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7995"/>
  </bookViews>
  <sheets>
    <sheet name="Synechococcus" sheetId="1" r:id="rId1"/>
    <sheet name="R. pomeroyi" sheetId="2" r:id="rId2"/>
  </sheets>
  <calcPr calcId="152511"/>
</workbook>
</file>

<file path=xl/calcChain.xml><?xml version="1.0" encoding="utf-8"?>
<calcChain xmlns="http://schemas.openxmlformats.org/spreadsheetml/2006/main">
  <c r="T409" i="2" l="1"/>
  <c r="T5" i="2" l="1"/>
  <c r="U5" i="2"/>
  <c r="V5" i="2"/>
  <c r="T103" i="2"/>
  <c r="U103" i="2"/>
  <c r="V103" i="2"/>
  <c r="U409" i="2"/>
  <c r="U411" i="2" s="1"/>
  <c r="V409" i="2"/>
  <c r="T440" i="2"/>
  <c r="U440" i="2"/>
  <c r="V440" i="2"/>
  <c r="T452" i="2"/>
  <c r="U452" i="2"/>
  <c r="V452" i="2"/>
  <c r="T496" i="2"/>
  <c r="U496" i="2"/>
  <c r="V496" i="2"/>
  <c r="T505" i="2"/>
  <c r="U505" i="2"/>
  <c r="V505" i="2"/>
  <c r="T545" i="2"/>
  <c r="U545" i="2"/>
  <c r="V545" i="2"/>
  <c r="T709" i="2"/>
  <c r="U709" i="2"/>
  <c r="V709" i="2"/>
  <c r="S88" i="2"/>
  <c r="S34" i="2"/>
  <c r="S19" i="2"/>
  <c r="S50" i="2"/>
  <c r="S59" i="2"/>
  <c r="S96" i="2"/>
  <c r="S81" i="2"/>
  <c r="S21" i="2"/>
  <c r="S79" i="2"/>
  <c r="S33" i="2"/>
  <c r="S23" i="2"/>
  <c r="S44" i="2"/>
  <c r="S6" i="2"/>
  <c r="S77" i="2"/>
  <c r="S27" i="2"/>
  <c r="S49" i="2"/>
  <c r="S97" i="2"/>
  <c r="S60" i="2"/>
  <c r="S10" i="2"/>
  <c r="S91" i="2"/>
  <c r="S102" i="2"/>
  <c r="S71" i="2"/>
  <c r="S28" i="2"/>
  <c r="S30" i="2"/>
  <c r="S64" i="2"/>
  <c r="S85" i="2"/>
  <c r="S13" i="2"/>
  <c r="S74" i="2"/>
  <c r="S39" i="2"/>
  <c r="S83" i="2"/>
  <c r="S36" i="2"/>
  <c r="S68" i="2"/>
  <c r="S55" i="2"/>
  <c r="S89" i="2"/>
  <c r="S8" i="2"/>
  <c r="S45" i="2"/>
  <c r="S82" i="2"/>
  <c r="S93" i="2"/>
  <c r="S80" i="2"/>
  <c r="S12" i="2"/>
  <c r="S53" i="2"/>
  <c r="S17" i="2"/>
  <c r="S69" i="2"/>
  <c r="S58" i="2"/>
  <c r="S20" i="2"/>
  <c r="S52" i="2"/>
  <c r="S95" i="2"/>
  <c r="S90" i="2"/>
  <c r="S15" i="2"/>
  <c r="S76" i="2"/>
  <c r="S57" i="2"/>
  <c r="S22" i="2"/>
  <c r="S18" i="2"/>
  <c r="S46" i="2"/>
  <c r="S100" i="2"/>
  <c r="S31" i="2"/>
  <c r="S86" i="2"/>
  <c r="S9" i="2"/>
  <c r="S35" i="2"/>
  <c r="S38" i="2"/>
  <c r="S84" i="2"/>
  <c r="S78" i="2"/>
  <c r="S73" i="2"/>
  <c r="S87" i="2"/>
  <c r="S11" i="2"/>
  <c r="S14" i="2"/>
  <c r="S48" i="2"/>
  <c r="S63" i="2"/>
  <c r="S37" i="2"/>
  <c r="S61" i="2"/>
  <c r="S7" i="2"/>
  <c r="S24" i="2"/>
  <c r="S75" i="2"/>
  <c r="S94" i="2"/>
  <c r="S66" i="2"/>
  <c r="S40" i="2"/>
  <c r="S67" i="2"/>
  <c r="S25" i="2"/>
  <c r="S56" i="2"/>
  <c r="S5" i="2"/>
  <c r="S99" i="2"/>
  <c r="S29" i="2"/>
  <c r="S32" i="2"/>
  <c r="S16" i="2"/>
  <c r="S101" i="2"/>
  <c r="S92" i="2"/>
  <c r="S70" i="2"/>
  <c r="S54" i="2"/>
  <c r="S43" i="2"/>
  <c r="S62" i="2"/>
  <c r="S98" i="2"/>
  <c r="S47" i="2"/>
  <c r="S72" i="2"/>
  <c r="S41" i="2"/>
  <c r="S26" i="2"/>
  <c r="S51" i="2"/>
  <c r="S42" i="2"/>
  <c r="S231" i="2"/>
  <c r="S222" i="2"/>
  <c r="S310" i="2"/>
  <c r="S372" i="2"/>
  <c r="S232" i="2"/>
  <c r="S196" i="2"/>
  <c r="S289" i="2"/>
  <c r="S362" i="2"/>
  <c r="S336" i="2"/>
  <c r="S385" i="2"/>
  <c r="S379" i="2"/>
  <c r="S123" i="2"/>
  <c r="S371" i="2"/>
  <c r="S244" i="2"/>
  <c r="S281" i="2"/>
  <c r="S386" i="2"/>
  <c r="S233" i="2"/>
  <c r="S308" i="2"/>
  <c r="S186" i="2"/>
  <c r="S226" i="2"/>
  <c r="S243" i="2"/>
  <c r="S144" i="2"/>
  <c r="S190" i="2"/>
  <c r="S264" i="2"/>
  <c r="S211" i="2"/>
  <c r="S395" i="2"/>
  <c r="S335" i="2"/>
  <c r="S187" i="2"/>
  <c r="S321" i="2"/>
  <c r="S405" i="2"/>
  <c r="S366" i="2"/>
  <c r="S311" i="2"/>
  <c r="S111" i="2"/>
  <c r="S155" i="2"/>
  <c r="S351" i="2"/>
  <c r="S130" i="2"/>
  <c r="S276" i="2"/>
  <c r="S175" i="2"/>
  <c r="S275" i="2"/>
  <c r="S309" i="2"/>
  <c r="S209" i="2"/>
  <c r="S347" i="2"/>
  <c r="S297" i="2"/>
  <c r="S261" i="2"/>
  <c r="S109" i="2"/>
  <c r="S103" i="2"/>
  <c r="S239" i="2"/>
  <c r="S128" i="2"/>
  <c r="S183" i="2"/>
  <c r="S105" i="2"/>
  <c r="S108" i="2"/>
  <c r="S104" i="2"/>
  <c r="S389" i="2"/>
  <c r="S153" i="2"/>
  <c r="S210" i="2"/>
  <c r="S342" i="2"/>
  <c r="S326" i="2"/>
  <c r="S250" i="2"/>
  <c r="S146" i="2"/>
  <c r="S258" i="2"/>
  <c r="S349" i="2"/>
  <c r="S259" i="2"/>
  <c r="S363" i="2"/>
  <c r="S234" i="2"/>
  <c r="S382" i="2"/>
  <c r="S138" i="2"/>
  <c r="S154" i="2"/>
  <c r="S274" i="2"/>
  <c r="S272" i="2"/>
  <c r="S164" i="2"/>
  <c r="S151" i="2"/>
  <c r="S387" i="2"/>
  <c r="S199" i="2"/>
  <c r="S298" i="2"/>
  <c r="S396" i="2"/>
  <c r="S330" i="2"/>
  <c r="S219" i="2"/>
  <c r="S150" i="2"/>
  <c r="S139" i="2"/>
  <c r="S331" i="2"/>
  <c r="S204" i="2"/>
  <c r="S374" i="2"/>
  <c r="S195" i="2"/>
  <c r="S220" i="2"/>
  <c r="S148" i="2"/>
  <c r="S346" i="2"/>
  <c r="S408" i="2"/>
  <c r="S251" i="2"/>
  <c r="S278" i="2"/>
  <c r="S295" i="2"/>
  <c r="S194" i="2"/>
  <c r="S376" i="2"/>
  <c r="S228" i="2"/>
  <c r="S394" i="2"/>
  <c r="S340" i="2"/>
  <c r="S392" i="2"/>
  <c r="S203" i="2"/>
  <c r="S257" i="2"/>
  <c r="S266" i="2"/>
  <c r="S230" i="2"/>
  <c r="S192" i="2"/>
  <c r="S143" i="2"/>
  <c r="S225" i="2"/>
  <c r="S255" i="2"/>
  <c r="S267" i="2"/>
  <c r="S246" i="2"/>
  <c r="S262" i="2"/>
  <c r="S172" i="2"/>
  <c r="S380" i="2"/>
  <c r="S338" i="2"/>
  <c r="S328" i="2"/>
  <c r="S121" i="2"/>
  <c r="S353" i="2"/>
  <c r="S317" i="2"/>
  <c r="S252" i="2"/>
  <c r="S117" i="2"/>
  <c r="S305" i="2"/>
  <c r="S163" i="2"/>
  <c r="S348" i="2"/>
  <c r="S313" i="2"/>
  <c r="S106" i="2"/>
  <c r="S113" i="2"/>
  <c r="S122" i="2"/>
  <c r="S161" i="2"/>
  <c r="S404" i="2"/>
  <c r="S306" i="2"/>
  <c r="S202" i="2"/>
  <c r="S132" i="2"/>
  <c r="S315" i="2"/>
  <c r="S334" i="2"/>
  <c r="S224" i="2"/>
  <c r="S364" i="2"/>
  <c r="S145" i="2"/>
  <c r="S223" i="2"/>
  <c r="S140" i="2"/>
  <c r="S269" i="2"/>
  <c r="S388" i="2"/>
  <c r="S300" i="2"/>
  <c r="S165" i="2"/>
  <c r="S131" i="2"/>
  <c r="S378" i="2"/>
  <c r="S263" i="2"/>
  <c r="S215" i="2"/>
  <c r="S284" i="2"/>
  <c r="S397" i="2"/>
  <c r="S245" i="2"/>
  <c r="S358" i="2"/>
  <c r="S166" i="2"/>
  <c r="S285" i="2"/>
  <c r="S176" i="2"/>
  <c r="S277" i="2"/>
  <c r="S355" i="2"/>
  <c r="S156" i="2"/>
  <c r="S345" i="2"/>
  <c r="S369" i="2"/>
  <c r="S260" i="2"/>
  <c r="S343" i="2"/>
  <c r="S406" i="2"/>
  <c r="S286" i="2"/>
  <c r="S370" i="2"/>
  <c r="S229" i="2"/>
  <c r="S216" i="2"/>
  <c r="S237" i="2"/>
  <c r="S221" i="2"/>
  <c r="S291" i="2"/>
  <c r="S293" i="2"/>
  <c r="S352" i="2"/>
  <c r="S322" i="2"/>
  <c r="S227" i="2"/>
  <c r="S177" i="2"/>
  <c r="S115" i="2"/>
  <c r="S407" i="2"/>
  <c r="S180" i="2"/>
  <c r="S253" i="2"/>
  <c r="S393" i="2"/>
  <c r="S332" i="2"/>
  <c r="S268" i="2"/>
  <c r="S365" i="2"/>
  <c r="S402" i="2"/>
  <c r="S107" i="2"/>
  <c r="S354" i="2"/>
  <c r="S398" i="2"/>
  <c r="S159" i="2"/>
  <c r="S213" i="2"/>
  <c r="S265" i="2"/>
  <c r="S114" i="2"/>
  <c r="S197" i="2"/>
  <c r="S167" i="2"/>
  <c r="S133" i="2"/>
  <c r="S129" i="2"/>
  <c r="S119" i="2"/>
  <c r="S135" i="2"/>
  <c r="S160" i="2"/>
  <c r="S212" i="2"/>
  <c r="S201" i="2"/>
  <c r="S142" i="2"/>
  <c r="S242" i="2"/>
  <c r="S240" i="2"/>
  <c r="S373" i="2"/>
  <c r="S125" i="2"/>
  <c r="S198" i="2"/>
  <c r="S320" i="2"/>
  <c r="S324" i="2"/>
  <c r="S368" i="2"/>
  <c r="S367" i="2"/>
  <c r="S248" i="2"/>
  <c r="S329" i="2"/>
  <c r="S236" i="2"/>
  <c r="S360" i="2"/>
  <c r="S152" i="2"/>
  <c r="S238" i="2"/>
  <c r="S168" i="2"/>
  <c r="S304" i="2"/>
  <c r="S256" i="2"/>
  <c r="S182" i="2"/>
  <c r="S280" i="2"/>
  <c r="S279" i="2"/>
  <c r="S218" i="2"/>
  <c r="S292" i="2"/>
  <c r="S254" i="2"/>
  <c r="S185" i="2"/>
  <c r="S189" i="2"/>
  <c r="S271" i="2"/>
  <c r="S118" i="2"/>
  <c r="S296" i="2"/>
  <c r="S137" i="2"/>
  <c r="S312" i="2"/>
  <c r="S149" i="2"/>
  <c r="S173" i="2"/>
  <c r="S136" i="2"/>
  <c r="S208" i="2"/>
  <c r="S399" i="2"/>
  <c r="S301" i="2"/>
  <c r="S316" i="2"/>
  <c r="S288" i="2"/>
  <c r="S361" i="2"/>
  <c r="S299" i="2"/>
  <c r="S381" i="2"/>
  <c r="S188" i="2"/>
  <c r="S171" i="2"/>
  <c r="S377" i="2"/>
  <c r="S383" i="2"/>
  <c r="S344" i="2"/>
  <c r="S178" i="2"/>
  <c r="S116" i="2"/>
  <c r="S241" i="2"/>
  <c r="S339" i="2"/>
  <c r="S303" i="2"/>
  <c r="S333" i="2"/>
  <c r="S193" i="2"/>
  <c r="S375" i="2"/>
  <c r="S170" i="2"/>
  <c r="S390" i="2"/>
  <c r="S282" i="2"/>
  <c r="S169" i="2"/>
  <c r="S319" i="2"/>
  <c r="S327" i="2"/>
  <c r="S359" i="2"/>
  <c r="S356" i="2"/>
  <c r="S400" i="2"/>
  <c r="S302" i="2"/>
  <c r="S273" i="2"/>
  <c r="S270" i="2"/>
  <c r="S157" i="2"/>
  <c r="S207" i="2"/>
  <c r="S314" i="2"/>
  <c r="S174" i="2"/>
  <c r="S158" i="2"/>
  <c r="S350" i="2"/>
  <c r="S217" i="2"/>
  <c r="S214" i="2"/>
  <c r="S205" i="2"/>
  <c r="S287" i="2"/>
  <c r="S391" i="2"/>
  <c r="S384" i="2"/>
  <c r="S247" i="2"/>
  <c r="S337" i="2"/>
  <c r="S120" i="2"/>
  <c r="S181" i="2"/>
  <c r="S127" i="2"/>
  <c r="S184" i="2"/>
  <c r="S112" i="2"/>
  <c r="S206" i="2"/>
  <c r="S147" i="2"/>
  <c r="S179" i="2"/>
  <c r="S403" i="2"/>
  <c r="S323" i="2"/>
  <c r="S325" i="2"/>
  <c r="S318" i="2"/>
  <c r="S341" i="2"/>
  <c r="S162" i="2"/>
  <c r="S134" i="2"/>
  <c r="S290" i="2"/>
  <c r="S357" i="2"/>
  <c r="S416" i="2"/>
  <c r="S141" i="2"/>
  <c r="S307" i="2"/>
  <c r="S110" i="2"/>
  <c r="S126" i="2"/>
  <c r="S401" i="2"/>
  <c r="S283" i="2"/>
  <c r="S294" i="2"/>
  <c r="S249" i="2"/>
  <c r="S124" i="2"/>
  <c r="S235" i="2"/>
  <c r="S191" i="2"/>
  <c r="S419" i="2"/>
  <c r="S437" i="2"/>
  <c r="S434" i="2"/>
  <c r="S414" i="2"/>
  <c r="S423" i="2"/>
  <c r="S418" i="2"/>
  <c r="S435" i="2"/>
  <c r="S433" i="2"/>
  <c r="S417" i="2"/>
  <c r="S426" i="2"/>
  <c r="S436" i="2"/>
  <c r="S412" i="2"/>
  <c r="S438" i="2"/>
  <c r="S413" i="2"/>
  <c r="S428" i="2"/>
  <c r="S415" i="2"/>
  <c r="S427" i="2"/>
  <c r="S411" i="2"/>
  <c r="S409" i="2"/>
  <c r="S421" i="2"/>
  <c r="S425" i="2"/>
  <c r="S424" i="2"/>
  <c r="S430" i="2"/>
  <c r="S429" i="2"/>
  <c r="S432" i="2"/>
  <c r="S431" i="2"/>
  <c r="S420" i="2"/>
  <c r="S410" i="2"/>
  <c r="S422" i="2"/>
  <c r="S439" i="2"/>
  <c r="S441" i="2"/>
  <c r="S448" i="2"/>
  <c r="S443" i="2"/>
  <c r="S451" i="2"/>
  <c r="S447" i="2"/>
  <c r="S449" i="2"/>
  <c r="S450" i="2"/>
  <c r="S445" i="2"/>
  <c r="S446" i="2"/>
  <c r="S442" i="2"/>
  <c r="S444" i="2"/>
  <c r="S440" i="2"/>
  <c r="S480" i="2"/>
  <c r="S488" i="2"/>
  <c r="S483" i="2"/>
  <c r="S472" i="2"/>
  <c r="S468" i="2"/>
  <c r="S482" i="2"/>
  <c r="S477" i="2"/>
  <c r="S454" i="2"/>
  <c r="S474" i="2"/>
  <c r="S476" i="2"/>
  <c r="S485" i="2"/>
  <c r="S481" i="2"/>
  <c r="S490" i="2"/>
  <c r="S489" i="2"/>
  <c r="S492" i="2"/>
  <c r="S464" i="2"/>
  <c r="S494" i="2"/>
  <c r="S495" i="2"/>
  <c r="S486" i="2"/>
  <c r="S461" i="2"/>
  <c r="S471" i="2"/>
  <c r="S487" i="2"/>
  <c r="S462" i="2"/>
  <c r="S466" i="2"/>
  <c r="S453" i="2"/>
  <c r="S493" i="2"/>
  <c r="S478" i="2"/>
  <c r="S463" i="2"/>
  <c r="S470" i="2"/>
  <c r="S465" i="2"/>
  <c r="S473" i="2"/>
  <c r="S452" i="2"/>
  <c r="S458" i="2"/>
  <c r="S456" i="2"/>
  <c r="S455" i="2"/>
  <c r="S457" i="2"/>
  <c r="S479" i="2"/>
  <c r="S459" i="2"/>
  <c r="S484" i="2"/>
  <c r="S491" i="2"/>
  <c r="S469" i="2"/>
  <c r="S475" i="2"/>
  <c r="S460" i="2"/>
  <c r="S467" i="2"/>
  <c r="S501" i="2"/>
  <c r="S502" i="2"/>
  <c r="S499" i="2"/>
  <c r="S496" i="2"/>
  <c r="S500" i="2"/>
  <c r="S504" i="2"/>
  <c r="S503" i="2"/>
  <c r="S498" i="2"/>
  <c r="S497" i="2"/>
  <c r="S522" i="2"/>
  <c r="S539" i="2"/>
  <c r="S532" i="2"/>
  <c r="S511" i="2"/>
  <c r="S525" i="2"/>
  <c r="S519" i="2"/>
  <c r="S526" i="2"/>
  <c r="S512" i="2"/>
  <c r="S513" i="2"/>
  <c r="S538" i="2"/>
  <c r="S544" i="2"/>
  <c r="S536" i="2"/>
  <c r="S509" i="2"/>
  <c r="S508" i="2"/>
  <c r="S543" i="2"/>
  <c r="S531" i="2"/>
  <c r="S535" i="2"/>
  <c r="S530" i="2"/>
  <c r="S515" i="2"/>
  <c r="S534" i="2"/>
  <c r="S541" i="2"/>
  <c r="S510" i="2"/>
  <c r="S537" i="2"/>
  <c r="S518" i="2"/>
  <c r="S524" i="2"/>
  <c r="S523" i="2"/>
  <c r="S517" i="2"/>
  <c r="S516" i="2"/>
  <c r="S521" i="2"/>
  <c r="S533" i="2"/>
  <c r="S527" i="2"/>
  <c r="S540" i="2"/>
  <c r="S528" i="2"/>
  <c r="S505" i="2"/>
  <c r="S520" i="2"/>
  <c r="S506" i="2"/>
  <c r="S507" i="2"/>
  <c r="S514" i="2"/>
  <c r="S529" i="2"/>
  <c r="S542" i="2"/>
  <c r="S701" i="2"/>
  <c r="S632" i="2"/>
  <c r="S693" i="2"/>
  <c r="S687" i="2"/>
  <c r="S692" i="2"/>
  <c r="S616" i="2"/>
  <c r="S612" i="2"/>
  <c r="S679" i="2"/>
  <c r="S200" i="2"/>
  <c r="S706" i="2"/>
  <c r="S689" i="2"/>
  <c r="S606" i="2"/>
  <c r="S572" i="2"/>
  <c r="S575" i="2"/>
  <c r="S699" i="2"/>
  <c r="S667" i="2"/>
  <c r="S673" i="2"/>
  <c r="S647" i="2"/>
  <c r="S631" i="2"/>
  <c r="S620" i="2"/>
  <c r="S642" i="2"/>
  <c r="S590" i="2"/>
  <c r="S615" i="2"/>
  <c r="S639" i="2"/>
  <c r="S583" i="2"/>
  <c r="S585" i="2"/>
  <c r="S566" i="2"/>
  <c r="S618" i="2"/>
  <c r="S625" i="2"/>
  <c r="S669" i="2"/>
  <c r="S577" i="2"/>
  <c r="S573" i="2"/>
  <c r="S556" i="2"/>
  <c r="S588" i="2"/>
  <c r="S578" i="2"/>
  <c r="S579" i="2"/>
  <c r="S555" i="2"/>
  <c r="S548" i="2"/>
  <c r="S568" i="2"/>
  <c r="S580" i="2"/>
  <c r="S696" i="2"/>
  <c r="S700" i="2"/>
  <c r="S626" i="2"/>
  <c r="S677" i="2"/>
  <c r="S545" i="2"/>
  <c r="S560" i="2"/>
  <c r="S559" i="2"/>
  <c r="S587" i="2"/>
  <c r="S650" i="2"/>
  <c r="S691" i="2"/>
  <c r="S582" i="2"/>
  <c r="S546" i="2"/>
  <c r="S635" i="2"/>
  <c r="S659" i="2"/>
  <c r="S562" i="2"/>
  <c r="S637" i="2"/>
  <c r="S576" i="2"/>
  <c r="S707" i="2"/>
  <c r="S695" i="2"/>
  <c r="S598" i="2"/>
  <c r="S604" i="2"/>
  <c r="S584" i="2"/>
  <c r="S603" i="2"/>
  <c r="S649" i="2"/>
  <c r="S686" i="2"/>
  <c r="S629" i="2"/>
  <c r="S596" i="2"/>
  <c r="S571" i="2"/>
  <c r="S592" i="2"/>
  <c r="S645" i="2"/>
  <c r="S655" i="2"/>
  <c r="S628" i="2"/>
  <c r="S662" i="2"/>
  <c r="S636" i="2"/>
  <c r="S624" i="2"/>
  <c r="S581" i="2"/>
  <c r="S675" i="2"/>
  <c r="S697" i="2"/>
  <c r="S564" i="2"/>
  <c r="S551" i="2"/>
  <c r="S608" i="2"/>
  <c r="S574" i="2"/>
  <c r="S661" i="2"/>
  <c r="S565" i="2"/>
  <c r="S567" i="2"/>
  <c r="S550" i="2"/>
  <c r="S688" i="2"/>
  <c r="S668" i="2"/>
  <c r="S613" i="2"/>
  <c r="S702" i="2"/>
  <c r="S678" i="2"/>
  <c r="S682" i="2"/>
  <c r="S703" i="2"/>
  <c r="S643" i="2"/>
  <c r="S638" i="2"/>
  <c r="S644" i="2"/>
  <c r="S623" i="2"/>
  <c r="S595" i="2"/>
  <c r="S641" i="2"/>
  <c r="S622" i="2"/>
  <c r="S600" i="2"/>
  <c r="S680" i="2"/>
  <c r="S593" i="2"/>
  <c r="S663" i="2"/>
  <c r="S690" i="2"/>
  <c r="S609" i="2"/>
  <c r="S586" i="2"/>
  <c r="S602" i="2"/>
  <c r="S705" i="2"/>
  <c r="S664" i="2"/>
  <c r="S605" i="2"/>
  <c r="S654" i="2"/>
  <c r="S617" i="2"/>
  <c r="S597" i="2"/>
  <c r="S652" i="2"/>
  <c r="S599" i="2"/>
  <c r="S610" i="2"/>
  <c r="S674" i="2"/>
  <c r="S634" i="2"/>
  <c r="S660" i="2"/>
  <c r="S611" i="2"/>
  <c r="S694" i="2"/>
  <c r="S657" i="2"/>
  <c r="S627" i="2"/>
  <c r="S708" i="2"/>
  <c r="S633" i="2"/>
  <c r="S684" i="2"/>
  <c r="S561" i="2"/>
  <c r="S681" i="2"/>
  <c r="S558" i="2"/>
  <c r="S549" i="2"/>
  <c r="S672" i="2"/>
  <c r="S666" i="2"/>
  <c r="S648" i="2"/>
  <c r="S554" i="2"/>
  <c r="S670" i="2"/>
  <c r="S671" i="2"/>
  <c r="S651" i="2"/>
  <c r="S683" i="2"/>
  <c r="S640" i="2"/>
  <c r="S656" i="2"/>
  <c r="S553" i="2"/>
  <c r="S552" i="2"/>
  <c r="S658" i="2"/>
  <c r="S619" i="2"/>
  <c r="S630" i="2"/>
  <c r="S569" i="2"/>
  <c r="S665" i="2"/>
  <c r="S601" i="2"/>
  <c r="S704" i="2"/>
  <c r="S685" i="2"/>
  <c r="S614" i="2"/>
  <c r="S653" i="2"/>
  <c r="S607" i="2"/>
  <c r="S547" i="2"/>
  <c r="S594" i="2"/>
  <c r="S589" i="2"/>
  <c r="S563" i="2"/>
  <c r="S557" i="2"/>
  <c r="S570" i="2"/>
  <c r="S698" i="2"/>
  <c r="S676" i="2"/>
  <c r="S646" i="2"/>
  <c r="S621" i="2"/>
  <c r="S591" i="2"/>
  <c r="S726" i="2"/>
  <c r="S721" i="2"/>
  <c r="S716" i="2"/>
  <c r="S769" i="2"/>
  <c r="S770" i="2"/>
  <c r="S766" i="2"/>
  <c r="S711" i="2"/>
  <c r="S710" i="2"/>
  <c r="S717" i="2"/>
  <c r="S712" i="2"/>
  <c r="S740" i="2"/>
  <c r="S763" i="2"/>
  <c r="S747" i="2"/>
  <c r="S735" i="2"/>
  <c r="S761" i="2"/>
  <c r="S731" i="2"/>
  <c r="S724" i="2"/>
  <c r="S709" i="2"/>
  <c r="S730" i="2"/>
  <c r="S745" i="2"/>
  <c r="S749" i="2"/>
  <c r="S732" i="2"/>
  <c r="S759" i="2"/>
  <c r="S743" i="2"/>
  <c r="S762" i="2"/>
  <c r="S729" i="2"/>
  <c r="S768" i="2"/>
  <c r="S756" i="2"/>
  <c r="S765" i="2"/>
  <c r="S748" i="2"/>
  <c r="S767" i="2"/>
  <c r="S754" i="2"/>
  <c r="S752" i="2"/>
  <c r="S736" i="2"/>
  <c r="S751" i="2"/>
  <c r="S734" i="2"/>
  <c r="S723" i="2"/>
  <c r="S758" i="2"/>
  <c r="S720" i="2"/>
  <c r="S713" i="2"/>
  <c r="S760" i="2"/>
  <c r="S715" i="2"/>
  <c r="S755" i="2"/>
  <c r="S741" i="2"/>
  <c r="S719" i="2"/>
  <c r="S746" i="2"/>
  <c r="S718" i="2"/>
  <c r="S753" i="2"/>
  <c r="S764" i="2"/>
  <c r="S728" i="2"/>
  <c r="S733" i="2"/>
  <c r="S722" i="2"/>
  <c r="S771" i="2"/>
  <c r="S714" i="2"/>
  <c r="S737" i="2"/>
  <c r="S744" i="2"/>
  <c r="S750" i="2"/>
  <c r="S742" i="2"/>
  <c r="S739" i="2"/>
  <c r="S738" i="2"/>
  <c r="S725" i="2"/>
  <c r="S757" i="2"/>
  <c r="S727" i="2"/>
  <c r="S65" i="2"/>
  <c r="U507" i="2" l="1"/>
  <c r="U711" i="2"/>
  <c r="U454" i="2"/>
  <c r="U7" i="2"/>
  <c r="U710" i="2"/>
  <c r="U453" i="2"/>
  <c r="U6" i="2"/>
  <c r="U506" i="2"/>
  <c r="U498" i="2"/>
  <c r="U410" i="2"/>
  <c r="U104" i="2"/>
  <c r="U547" i="2"/>
  <c r="U442" i="2"/>
  <c r="U105" i="2"/>
  <c r="U441" i="2"/>
  <c r="U497" i="2"/>
  <c r="U546" i="2"/>
</calcChain>
</file>

<file path=xl/sharedStrings.xml><?xml version="1.0" encoding="utf-8"?>
<sst xmlns="http://schemas.openxmlformats.org/spreadsheetml/2006/main" count="12621" uniqueCount="8181">
  <si>
    <t>Accession</t>
  </si>
  <si>
    <t>YP_165094.1</t>
  </si>
  <si>
    <t>MKISSFLTAGALALALSGPALAAEVEWKMTAGVGEGSFLYQNFMERFVGNVATLTQGRVEITSFGAGVLAPAFKAYEVVQDGIVEAGHSTPSYLVNQDATNAIFASFPGGMSAEATLHWVYEGGGEEMLQTFRREEMGLHSIVVGIGTSEIMAHSNVKIETVEDLAGLKYRTSGAFAAVLQNEFGGVPTVVPGNEIYTLLQRKGVDAIEWSTPGANITEGFHEVAPYMIMPGVHQPSFLWEVFVKQETWDALPADLQTLITAAAKLTTYEGYTRFGDSDVKAMADFRNTNVELVVMARAESEKIREAGRNWAQTQAKTQSEAGSRRMQDILDSYLAYQSNWAANSGYLVRDGAE</t>
  </si>
  <si>
    <t>SPOA0265</t>
  </si>
  <si>
    <t xml:space="preserve"> TRAP transporter DctP family protein </t>
  </si>
  <si>
    <t>Membrane transport</t>
  </si>
  <si>
    <t>periplasmic transporter</t>
  </si>
  <si>
    <t>Secondary metabolites biosynthesis, transport and catabolism</t>
  </si>
  <si>
    <t>YP_165109.1</t>
  </si>
  <si>
    <t>MYLNLKTATASALALACGLAAGTASAETTLRLSTYVNEADIRYAGFTHFADLVAEKTGGSVKVEVFPSATLHGWSEGVDSVQGGVSDISWINADNRLPCYAVTSLYPAEVSLEDQTGLDAAYAALIRDEAANAGLVPLFNSNYSYDQEWWFEEPVADIGNLDGKLVRSIGPLVSMMIETWGGEPVFVAPKEVFQSAERGVVDGINMGVATYSSWKLWTVMPYMVNANLFYGNIQYMMNKAKFDALSADEQAALTAAAAETEAWLQPRYEAWVDQQVGNAVMQGGGAAVSISDDQRASLIASVKPKWDETVNAACGGELADSIRALLASHAP</t>
  </si>
  <si>
    <t>SPOA0280</t>
  </si>
  <si>
    <t xml:space="preserve"> TRAP dicarboxylate transporter, DctP subunit, putative </t>
  </si>
  <si>
    <t>Carbohydrate transport and metabolism</t>
  </si>
  <si>
    <t>YP_165129.1</t>
  </si>
  <si>
    <t>MQRRSLMKAAMTAATLTAFGTTAALAENPVLKIGFVGVTSGPAAAWGISNQRSMETRAAWINETGGYTIGGTTYDIEIVSFDDQKDPKRAIAGMERMAQEGIHYVVGPNVDDGAAAVRPVAEANGIMYFPYAFPKELYQAPASNAVLGMVANYQSGPAIYKYLMEKEGVETVAFIAANESDPLSQRDGGVAAAEALGLKVVSSSVTYQVDTTDFTPVLTPVMRTQPDLLVLSGVSPANAPQLIRSARELGFQGLISTETAQDAGVLAEGAGDLANGFISVGGASTPELASPMMNEFVKRYTEMFGEYNDESNTKVYALEYILETLKANPAAIEDVAAFQATMDTFEAPNPYMNGDATLRYVGMTSFGQRRQVAVPLVVNVYQDGAFETLFVAAVD</t>
  </si>
  <si>
    <t>SPOA0300</t>
  </si>
  <si>
    <t xml:space="preserve"> branched-chain amino acid ABC transporter, periplasmic branched-chain amino acid-binding protein </t>
  </si>
  <si>
    <t>Amino acid transport and metabolism</t>
  </si>
  <si>
    <t>AAV93381.1</t>
  </si>
  <si>
    <t>MPPASGPGALRNSCNRFGRARSFSLRPPHHERKRDMKHLVTALALLAATPALAQDKMTLLLDWFINPDHGPIIVAQEKGYFAERGLEVEIVAPADPSAPPRLVAAGQADLAVSYQPQLHLQIHEGLPLKRVGTLVATPLNCLLVLDNGPIKSPADLKGKKIGFSVAGVEEAILTTVLGKYDVALSDVEMINVNFSLSPALMSGQVDAVIGAYRNFELNQMDIEGEPGRCFYIEEEGVPSYDELIYVANPDRMDAGKIARFLEATEKATQFIVNNPQASWEIFSATSPELQDELNKRAWADTLPRFALRPAGFDAGRYARFETFLKDSGMIDSVNSVSAITIDVTAE</t>
  </si>
  <si>
    <t>SPO0050</t>
  </si>
  <si>
    <t>YP_165324.1</t>
  </si>
  <si>
    <t xml:space="preserve"> ABC transporter, periplasmic substrate-binding protein </t>
  </si>
  <si>
    <t>Inorganic ion transport and metabolism</t>
  </si>
  <si>
    <t>AAV93388.1</t>
  </si>
  <si>
    <t>MLGLGTLAKKVFGTPNDRKIKATRPVVAQINALEEEFAKLTDEGLKQKTDELRKRALDGESLDALLPEAFANCREAGKRALGLRAFDTQLMGGIFLHQGNISEMKTGEGKTLVATFPAYLNALTGKGVHVVTVNEYLAKRDSEWMGKVFAALGMTTGVIWSGQPDAEKMAAYESDITYATNNELGFDYLRDNMKGELSEVYQKQHNFAIVDEVDSILIDEARTPLIISGPAQDRSDLYVAIDALLPALSDDHFELDEKTRNVTFTDEGNEFLEAQLVARGLLPEGQSLYDPESTTIVHHVNQGLRAHKLFQRDKDYIVRDGEVVLIDEFTGRMMPGRRLSDGLHQAIEAKENAQIQPENVTLASVTFQNYFRLYDKLSGMTGTALTEAEEFAEIYGLGVVEVPTNRPIARTDEDDQVYRTAAEKYGAMIDETKKAHEKGQPVLLGTTSIEKSEMLSQMLTKEGIEHNVLNARQHEREAQIVAEAGRYGAVTIATNMAGRGTDIQLGGNVEMKVLEALAENPEADPVELRAAEEARHAEEKQKVLDAGGLYVMASERHESRRIDNQLRGRSGRQGDPGRTVFYLSLEDDLMRIFGSERLDKVLTTLGMKEGEAIIHPWVNKSLERAQAKVEGRNFDMRKNVLKFDDVMNDQRKVIFNQRREIMATEDLSDVVADMREQVIDDLIDEYMPPKTYADQWDTQGLYAAVIEKLGIDVPVIEWAAEEGVDDDEIRERLIKASGDYMESKAADFGAENMRNIEKQVLLQTIDSKWREHLLKLEHLRSVVGFRGYAQRDPLNEYKTESFQLFEGLLDSLRETVTQQLSRVRMLSEEEQRQMMAQMMAQQNQAEQAAVQAEAVAEAKASGDARPGFVEDDPSTWGNPARNDLCPCGSGKKFKHCHGRLA</t>
  </si>
  <si>
    <t>SPO0057</t>
  </si>
  <si>
    <t>YP_165331.1</t>
  </si>
  <si>
    <t xml:space="preserve"> preprotein translocase subunit SecA </t>
  </si>
  <si>
    <t>Intracellular trafficking, secretion, and vesicular transport</t>
  </si>
  <si>
    <t>AAV93432.1</t>
  </si>
  <si>
    <t>MKRFVKQGVVSGLALSAALFAGAAWAKDDITIAMQLEPPHLDPTSAAAQAIDSVVYVNIFEGLTRFMGDGSIVPALAESWEISGDGTVYTFRLHAGVTFHDGSAMDAEDVKFSLDRARAEDSANAQKALFAGIDSVDVVDPLTVKVTLKEPNGNFLFNMAWGDAVIVAPESIENIKTAPVGTGPYTLGEWVQGDKIVLNRNTGYWGDQPALAQATFKFISDPTAAFAAMMAEDVDVFTGFPAPENLPQFEADPRFQVLVGSTEGETILSTNNKQAPFDNVKVRQAMAHAIDRQAIIDGAMFGYGTPIGTHFAPHNPAYVDLTGTSAHDPDKAKALLAEAGLPNGFETTLHLPPPSYARRGGEIIAAQLAEVGIKAEIINVEWAQWLETVFKGKDFGLTIVSHTEPMDIGIYARPEYYFQYDNATFQELMGTLNSTTDPDKRTELMQQAQRIISEDYVNGYLFQLAALSVAKAGVQGLWVNAPTAANDLSAISWSE</t>
  </si>
  <si>
    <t>SPO0101</t>
  </si>
  <si>
    <t>YP_165375.1</t>
  </si>
  <si>
    <t xml:space="preserve"> peptide/opine/nickel uptake ABC transporter periplasmic substrate-binding protein </t>
  </si>
  <si>
    <t>AAV93512.1</t>
  </si>
  <si>
    <t>MKTNLTRRVMMAAASAAFAFSTPSWAEPVVDSIHFLIPGGAGGGWDGTARGTGEALTAAGLAGTASYENMSGGGGGKAIGYLIENAASNHGTLMVNSTPIIIRSLTGVFPQNFRDLTLVAGTIGDYAAIVVGKDSPVNSMTDLLASFDADPSGTAIGGGSVPGGMDHLVAAMVMEAAGKDSLAVKYIAYDAGGKAMAALLSGEIAALSTGFSEAVDLANAGEVKIIGVTSDDRVAAYPDAPTMKEQGIDTTFVNWRGFFGAPGLPEDRLAAYQEAIAKMYDTPEWEAVRARNGWVNIHNSGDDFRAFLEKQEQQIGDLMRKLGFL</t>
  </si>
  <si>
    <t>SPO0186</t>
  </si>
  <si>
    <t>YP_165456.1</t>
  </si>
  <si>
    <t xml:space="preserve"> hypothetical protein SPO0186 </t>
  </si>
  <si>
    <t xml:space="preserve">periplasmic solute-binding receptor of tripartite tricarboxylate transporters </t>
  </si>
  <si>
    <t>Function unknown</t>
  </si>
  <si>
    <t>AAV93562.1</t>
  </si>
  <si>
    <t>MASITLDNLVKAYGDTEVLHHVAGQIEDGEFIVIVGPSGCGKSTLLRMVAGLETVTAGQISIGDRVVNQLEPADRDIAMVFQNYALYPHMSVRENMAYGLKIRKISKDEIARRVEEAADILELRPYLDRKPRQLSGGQRQRVAMGRAIVRNPQVFLFDEPLSNLDAKLRVQMRLEIRKLQQRLGVTSIYVTHDQVEAMTLGDRLMVLNGGYVEQFGTPIELYDRPATTFVAGFIGSPAMNFLPATAAEGSVTLANGARIAGSGTAHGTVTLGLRPEHLLPDEGGPVRVRVELVEQLGANSLLHGQLEGTDTEMVVSMPGHMSAAADAVMAFTPTADSLHLFDPETGKRIAE</t>
  </si>
  <si>
    <t>SPO0237</t>
  </si>
  <si>
    <t>YP_165506.1</t>
  </si>
  <si>
    <t xml:space="preserve"> glycerol-3-phosphate transporter ATP-binding subunit </t>
  </si>
  <si>
    <t>AAV93565.1</t>
  </si>
  <si>
    <t>MIAFIKLLLELFFPLRNHPPVHEPREVDMTCKFLTLSASALVLTTGMAFAQTEIQWWHAMGGTNGERVDKIAADFNASQSEYKVVPTYKGNYTETMTAAVAAFRAKEHPHLVQVFEVGTATMMAAKGAIYPVEQLMSDAGEPFDKSDYLPAVISYYQTSEGELLSMPFNSSTPVLWYNADALKAAGVEVPKTWDDMKTAAKALVDSGMDCGFSFGWQSWVMIENYSAWHNIAMGTKENGFAGFDTELSFNNDEVTARLDDIAAMSEGNLFKYGGRRGDSLPMFTNGECGMWMNSSAYYGSIKGQAQFEFGQTMLPLDSAVADAPQNSIIGGATLWALAGHEAEEYKGLAKFMTYLSSPEVQAWWHQETGYVPITTAAYELSKEQGFYDSNPGTDTAIQQLSLNTPTANSRGIRFGNFVQIRDVINEELEALWAGDKTAAQALAAATERGNALLRKFERSAN</t>
  </si>
  <si>
    <t>SPO0240</t>
  </si>
  <si>
    <t>YP_165509.1</t>
  </si>
  <si>
    <t xml:space="preserve"> SN-glycerol-3-phophate ABC transporter, periplasmic SN-glycerol-3-phosphate-binding protein </t>
  </si>
  <si>
    <t>AAV93696.1</t>
  </si>
  <si>
    <t>MTVPAIELKGISKSFGPVQANKDISISVAPGTIHGIIGENGAGKSTLMSILYGFYKADKGEIWINGKKTEIPDSQAAIAAGIGMVFQHFKLVENFTVLENIILGAEDGGLLKPSLAKARRTLAELAAEYELNVDPDAVIEEIGVGMQQRVEILKALYRQAEILILDEPTGVLTPAEADQLFRILHRLKDEGKTIILITHKLREIMEATDTVSVMRRGEMTATVKTAETSPEHLAELMVGRKVLLRVDKVPAKPGKPILEIENLRVTDEKGVERVKGIDLTVRAGEILGIAGVAGNGQSELLEVLGGMRPGSGAIRLNGAPLPLSGPGSDARARRTAHVAHVPEDRQREGLIMDFHAWENVAFGYHHDPAYQSGIFMNNAALRADTERKIEKFDVRPADGWLAAKNFSGGNQQKIVVAREIERNPDLLLVGQPTRGVDIGAIEFIHKQIVALRDQGKAVLLVSVELEEIFGLADRIAVMFDGHIMGERLPDETDEKELGLLMAGVNGEAA</t>
  </si>
  <si>
    <t>SPO0378</t>
  </si>
  <si>
    <t>YP_165641.1</t>
  </si>
  <si>
    <t xml:space="preserve"> sugar ABC transporter, ATP-binding protein </t>
  </si>
  <si>
    <t>General function prediction only</t>
  </si>
  <si>
    <t>AAV93697.1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</si>
  <si>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</si>
  <si>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>SPO0379</t>
  </si>
  <si>
    <t>YP_165642.1</t>
  </si>
  <si>
    <t xml:space="preserve"> sugar ABC transporter, periplasmic sugar-binding protein </t>
  </si>
  <si>
    <t>AAV93716.1</t>
  </si>
  <si>
    <t>MFAVFNPARKIALSAMALAAAALLSACEPVAIGGGGPSINTSKPVPVALLVPRGSAQSGDAVLAQSLENAARMAIADLQNVQIDLRVYDTAGDAGTAAAVAKQAVGEGAKIILGPVYAQAANAAGLAVLNQNVNVLSFSNNVNIAGGNVFVLGPTFNNSADRLVSFAARQGKGNIVVVHSTDEAGQLGRAAISDAISRSSAKLAGTVAYERSQQGVINSVPQVKATVDGTGADSVFFTSTTAGALPLYTQLLPEAGVSPAQTQFIGLTRWDIPAQTLELPGVQGGWFALPDPSKAAAFRARYQSTYGGAPHPIGGLAYDGIAAIGALVGAGKSDALTGAALTQSAGFQGVGGIFRLRPDGTNERGLAIATIQNKQVVVIDPAPQSFSGAGF</t>
  </si>
  <si>
    <t>SPO0398</t>
  </si>
  <si>
    <t>YP_165661.1</t>
  </si>
  <si>
    <t xml:space="preserve"> hypothetical protein SPO0398 </t>
  </si>
  <si>
    <t>transport of lipid compounds</t>
  </si>
  <si>
    <t>MIRFRPDLAPPTSAQTLAHCPATDVSVTGPANRITNRSRPMAAYQYVYHMQGVSKSYPGGKKCFENIHLSFLPGVKIGVVGVNGAGKSTLMKIMAGLDKDFTGEAWAAEGAKVGYLPQEPHLDPNLTVRENVMLGVKAKKDILDRYNELAMNYSDETADEMASLQDQIDAENLWDLDSQIDVSMEALRCPPDDANVESLSGGERRRVALCKLLLEAPDMLLLDEPTNHLDAETIAWLQQHLIDYKGTILIVTHDRYFLDSITGWILELDRGRGIPYEGNYSAWLEQKAKRLEQEAREDKAKQKTLERELEWMRQGQKARQAKSKARIQAYNEMANQSEREKVGRAQIVIPNGPRLGSKVIEVEGLSKHMGDKQLIEGLDFSLPPGGIVGVIGPNGAGKSTLFKMITGQEQPDAGSIEIGDTVKLSYVDQSRDDLKDGDTVWEAITGGAEIIQLGDAQVNSRAYCSSFNFKGGDQQKKVSLLSGGERNRVHMARLLKEGGNVLLLDEPTNDLDVETLRALEDALVDFAGCAVVISHDRFFLDRICTHILAFEGDAHVEWFEGNFEDYEEDKKRRLGPDALEPKRLKHKKFVR</t>
  </si>
  <si>
    <t>SPO0446</t>
  </si>
  <si>
    <t>YP_165709.1</t>
  </si>
  <si>
    <t xml:space="preserve"> putative ABC transporter ATP-binding protein </t>
  </si>
  <si>
    <t>AAV93836.1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</si>
  <si>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</si>
  <si>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SPO0519</t>
  </si>
  <si>
    <t>YP_165781.1</t>
  </si>
  <si>
    <t xml:space="preserve"> glutamate/glutamine/aspartate/asparagine ABC transporter, periplasmic substrate-binding protein </t>
  </si>
  <si>
    <t>Amino acid transport and metabolism; Signal transduction mechanisms</t>
  </si>
  <si>
    <t>AAV93837.1</t>
  </si>
  <si>
    <t>MTTLTDPPKEQFRLSMLLYDTRYRSATIQVIAMIGFMLLAAWLISNTAQNLAALGKPIDFGFFSEPASYDINQRLLDYSSRDTHLRAAFIGLLNTLVVAVLGCITATVLGVIIGVLRLSNNWIVARLMTIYVEGFRNVPVLLWIVFIMAILIETLPAPRAFRGDDATASMMLNDSVAVTNRGVYIPDALFSNSLGNVHLFGESSLRFDISLDLMLILIVLGGSLWVSNFLRKRADRIQEQTGDRPVTWWQRLAVVVLPTGLVLVLLGFHLGYPELKGFNFQGGTHLRNSLIALWLALSLYTAAFIAEIVRAGILAISKGQTEAASALGLRSNKIMSLVILPQALRVIIPPLISNYLNLTKNSSLAIAVGYMDITGTLGGITMNQTGRELETILLLMLVYLTISLSISAVMNWYNESVKLKER</t>
  </si>
  <si>
    <t>SPO0520</t>
  </si>
  <si>
    <t>YP_165782.1</t>
  </si>
  <si>
    <t xml:space="preserve"> glutamate/glutamine/aspartate/asparagine ABC transporter, permease protein </t>
  </si>
  <si>
    <t>AAV93839.1</t>
  </si>
  <si>
    <t>MSELAIDREIDRSKMQVSDEVAIEITNMNKWYGAFHVLRDINLTVYQGERIVIAGPSGSGKSTLIRCLNALEEHQQGKIVVDGTELSNDLKNIDKIRSEVGMVFQHFNLFPHLTILENCTLAPIWVRKTPRKEAEETAMHFLEKVKIPEQALKYPGQLSGGQQQRVAIARSLCMRPRIMLFDEPTSALDPEMIKEVLDTMIELAEEGMTMLCVTHEMGFARQVANRVIFMDAGQIVEQNEPEEFFNNPQSERTKLFLSQILGH</t>
  </si>
  <si>
    <t>SPO0522</t>
  </si>
  <si>
    <t>YP_165784.1</t>
  </si>
  <si>
    <t xml:space="preserve"> glutamate/glutamine/aspartate/asparagine ABC transporter, ATP-binding protein </t>
  </si>
  <si>
    <t>AAV93876.1</t>
  </si>
  <si>
    <t>MLELPRRAFALALTMVLAGVLPLRADTVPTLQESVFWGAEVKSGDLPPIDQRIPEEPLIVDLAAKGREFGTPGGVMRTMITRSKDIRQMVVYGYARLVGYDENYNLVPDLLKSYEVEEDRRFTLHLRKGHKWSDGAPFTSADFEYWWKDVANNPLLSPAGPPDFLLIEGQPPRVSFPDATTVMFEWDKPNPNFLQSLAQARPPFIYRPAHFLKQFHQDYADTAQLAAAVEENRVKSWAALHNKLDNMYQFDNAQLPTLQPWINASEGKKIRHNFVRNPYYHRIDTRGVQLPYIDIIEMEIVAPGLVAAKSNAGEVDLQGRGLDFRDASILKKGEADGGYKTYLWQTGVASQIAIYPNLNHNDDVWRALLRDARLRRALSLAIDRDAINRALYFKLAKPGAMAVLPASPFFKQEHRDAWAAYDPARASALLDEVGLDKRDGAGIRLLPDGRPMELVIETAGERQEVENALQIITDTWREIGVKLVMRPLDRDILRNRVFAGTTMASVWFGWDNGLPQAYTSPAYLAPTDQVFLAWPKWGQHYQTAGQVGEAPDLPEAQRLMELLHDWERANNDQDRAAAWSEMLAIHADQIYGIGILAEAPQPIVVSARMRNVPKKGMWAWDPGAHFGVHRMDEFFIQD</t>
  </si>
  <si>
    <t>SPO0560</t>
  </si>
  <si>
    <t>YP_165821.1</t>
  </si>
  <si>
    <t xml:space="preserve"> oligopeptide ABC transporter, periplasmic oligopeptide-binding protein </t>
  </si>
  <si>
    <t>AAV93923.1</t>
  </si>
  <si>
    <t>MPQSISGIADNREEKMRRYLLSAAAVCAVVAGQAAYADEAAAKKWIDEEFQPSVLSKDEQMAEMQWFIKAAEPYAGMEINVLSEGIPTHSYESEVLTKAFEEITGIKVNHQILGEGEVVQAVQTQMQTKRNLYDAYVNDSDLIGTHSRLQLAYNLTDMMAGDFKDVTNPGLDLGDFMGTQFTTGPDGDLYQLPDQQFANLYWFRKDWFDREDLKAAFKAKYGYELGVPVNWSAYEDIAEFFSEDVKEIDGTAIYGHMDYGKRAPDLGWRMTDAWLSMAGAGSKGEPNGIPIDEWGIRMEAGSCNPAGASVTRGGAANGPAAVYAIRKWDEWLRKYAPPGAASYDFYQSLPALAQGNVAQQIFWYTAFTADMVKPQSEGNNTVDGDGNPLWRMAPSPHGPYWEDGQKVGYQDVGSWTILNSTPLDRAQAAWLYAQFVVSKTVDVKKSHVGLTFIRDSSVNHESFSERAAKLGGLVEFYRSPDRVRWSPTGINVPDYPKLAQIWWQQIGDVNSGAFTPQEAMDRLAFEMDTVMARMQAADEAANVYGGCGPRLNEEKDAEWWFANGGAKPKLDNEKPQGETVNYDELVARWAKN</t>
  </si>
  <si>
    <t>SPO0608</t>
  </si>
  <si>
    <t>YP_165868.1</t>
  </si>
  <si>
    <t>AAV93953.1</t>
  </si>
  <si>
    <t>MLETILCALVTLLPDYLFRRYVQGKRIGHELTLFSVWYELRWGLTSCAMLTLMVITTLFYFHPATNAVTSYFRTVTILPQVGGRVEEVYVENNQPIEAGQPILRLESLSQQAGVEAAHAGIAQIEASRKLALTDLAMADAGIAQARAALTQAQEDLARNQTLKDQGSSAVRLTEIERLDNLVSEREALLQAAEAGKAAAQQQIEVLIPAQMASAQAQLELAKAELGKTLVVAGVDGRIEQFGLQVGDYVSPLLRPAGILVPSHSGRGRFQAGFNQMAAQVIKPGMIGEIGCMTKPFTIVPMVVVAVQDVIPSGQIHPTDVLRDPARNLMPGSVTVYMEPLYEGGADLLPPGSACLANVYTNNHYRLAHDTDMGGFERVFLHVVDTIGVVHAAGLRLRVLLMPVQSLVFSGGH</t>
  </si>
  <si>
    <t>SPO0645</t>
  </si>
  <si>
    <t>YP_165900.1</t>
  </si>
  <si>
    <t xml:space="preserve"> multidrug resistance efflux pump, putative </t>
  </si>
  <si>
    <t xml:space="preserve">Multidrug resistance efflux pump </t>
  </si>
  <si>
    <t>Defense mechanisms</t>
  </si>
  <si>
    <t>AAV93956.1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</si>
  <si>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</si>
  <si>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>SPO0648</t>
  </si>
  <si>
    <t>YP_165903.1</t>
  </si>
  <si>
    <t xml:space="preserve"> bmp family protein </t>
  </si>
  <si>
    <t>periplasmic binding protein</t>
  </si>
  <si>
    <t>AAV93968.1</t>
  </si>
  <si>
    <t>MKHLFKGLIAATAVASVLVGTTATAEEPRRGGTLKTQLGNNLRTLNSAVQSGIVTGFPGAQLFASPLRYDDSWTPQPYLAESWEVSADGLKVTLNLVKNAVFHDGHPITSSDIAFSVKVIQEAHPFKSMFAPVTSVDTPDDHTAVLNLSHPHPGLMLAMSGQLMSIIPEHIYGDGQDFKTHPRNIENVVGSGPFKLAEYKNGEHVILERFDDFFIEGRPYLDKIVMRIITDSSARAIAYENGELDFGAFESEPLIINRLKKVDHLTVTPTGYGAIGALDWLAINTTKGPLADKRVRQAIAYAIDKNFIQNALMQGTVQDSNTGIHPDSPFYNADVNAYALDLDKANALLDEAGYPMKGDERFAVTIDYGWPSAKPHVEYVRAALKKVGINVEVRASADFPTWAKRMGTMDFDLSWDAVFNWGDPSIGVHRTYLTSNIAKGVWSNTQGYSNARVDELLDMAGKENDPEKRKALYAEFQSIVNDEVPIYFVQTLPYHTVYSNKVMNAPVNGIWSTSSPLDQVWLKE</t>
  </si>
  <si>
    <t>SPO0660</t>
  </si>
  <si>
    <t>YP_165915.1</t>
  </si>
  <si>
    <t xml:space="preserve"> peptide ABC transporter, periplasmic peptide-binding protein </t>
  </si>
  <si>
    <t>AAV93977.1</t>
  </si>
  <si>
    <t>MSLKLGVPSKGRLMEKTFAWFDKRGITLSRTGSDREYAGRVDGIEGVSLVLLSAGEIPRELAAGRIHLGVTGTDLVHEKLPLWDQQLEELAQLGFGQADLIIAVPACWADVDTLDDLDAAAAGFRARHGHRLRIATKYHRLVRDFLTDAGVADYTLVDSQGATEGTVKNETAEAIADITSTGETLRANHLKILSDGLILRSQATLWRSRTAPLEAADKQVLELLLDRLAK</t>
  </si>
  <si>
    <t>SPO0669</t>
  </si>
  <si>
    <t>YP_165924.1</t>
  </si>
  <si>
    <t xml:space="preserve"> ATP phosphoribosyltransferase catalytic subunit </t>
  </si>
  <si>
    <t>solute binding protein in the transport</t>
  </si>
  <si>
    <t>AAV93982.1</t>
  </si>
  <si>
    <t>MMTAKTKLLGAVAGLALAIGAMPAAVAAEGEITVAYFLEWPMPFEYAKQKGTYDEVLGVKVNWVSFESGVKMSAAMASGDVHLSVSQGVPPFVVATSAGQDLQILDVAVSYADNDNCVVRSELEIDKDNAGELAGKKVAVPLGTAAHYGFLKQMNHFGVDVASMDVVDMDPPDGAAAIAQGAVDMFCGWGGSLRRALEHGNVLLTGDEKTELGILVFDVTSGPAGWVAENSDLVAKFLKVTADANAMWADEANRAEMLPLIAKDAGMDEEATASTIATFKFPTIEQQLSGGWLGGNAQTFMKGVADVFVEAGSIDSALDTYENAVNTGPLSAAGGM</t>
  </si>
  <si>
    <t>SPO0674</t>
  </si>
  <si>
    <t>YP_165929.1</t>
  </si>
  <si>
    <t xml:space="preserve"> taurine ABC transporter, periplasmic taurine-binding protein </t>
  </si>
  <si>
    <t>AAV94012.1</t>
  </si>
  <si>
    <t>MKRILLSGVAALALPGAALAACPAVTVADPMGVAAGTFPQQYDLAEFQSAAGCTMDFAENPAIGDLNARIKGNPALPPLAERLPSEPLVVAPYDGIGQYGGQFDALSNATESGTSDFLSVRHVNLFRYSDDLQTVVPNVAKSWEWNEDFTQLTVHLRAGHKWSDGAPFTAADVVFWYDNLMMDTNVMAEPKDYALAGGKPMKVEAVDDTTVRFTLEAPKPGLIETFSFTYVQPFQPKHFFGQFHPALDANADANAQALGYENGYDLIKAYYGNSDWMDTPSPMLTAGDKLAGLPKDTMPTLESHILVKETTEGRHYVANPYFFQVDTAGNQLPYISNMDETYVGDEEVRTLKLLNGEVDYKSQAVNLTQAPVLLEGQEKGNYTIDVKPGIASATLTFNVTSEDLGKRAIFNDVRFRAAMSVAIDRDQLNEVVAFGLGTPNQYIGFSPRPDFIDAKWESHEIAFDPDRARALLDEVGLVDKDGDGDRDLPNGDPFVLDWQFSTQASSSQLVELIAQNWTDVGVTTTIKEVTSDEYRSSQSSNTLDVMMWGKGQPAGSILGDGEIWVPPFDGYFDVRTGMLWAEWISSNGSAGVEPPAWVAELKSELDTYQSSAPGTETSIAAAQKMVEIMTGQVLFIGTINAPAPVYHSNKLKNFPEFKTQSYEFYRTYPYRPAQWWLSE</t>
  </si>
  <si>
    <t>SPO0706</t>
  </si>
  <si>
    <t>YP_165960.1</t>
  </si>
  <si>
    <t>AAV94130.1</t>
  </si>
  <si>
    <t>MSLAACPTGGPPRQRPEQPARLRPTDQPEGNDMTLIRRTVLGALAALPLAALTPQIARAADTIVLGEVNSYTRLPAFTEPYKKGWELAIEQINAAGGVLGKDLVVVSRDDTGDPATAIRIAEELIAKEGAVMIFGTFLSNIGLAVADFANQKQVFFLASEPLSDALVWSKGNKYTYRLRPSTHMQAAMLAEQAAKLDAVKWATVAPNYAYGQDAVAAFKAELTRLRPDVQFVEEQWPPVFKIDAGPTVRAIEAAKPDAIYNVTFGGDLAKFVREGSLRYLFDDRPVVSLLTGEPEYLEPLQGETPNGWIVTGYPSTDIDTPEHKAFAEAYIAKFGEAPKTGSIVGYNSVLSIAAAITKAGSTETEAMLAAMEGLEVSSSPTGPFMFRAADHQSTMGAYVGKTALVDGQPKMVDWFYADGAAYLPSEEEAAKLRPAE</t>
  </si>
  <si>
    <t>SPO0825</t>
  </si>
  <si>
    <t>YP_166078.1</t>
  </si>
  <si>
    <t xml:space="preserve"> branched-chain amino acid ABC transporter, periplasmic substrate-binding protein </t>
  </si>
  <si>
    <t>AAV94325.1</t>
  </si>
  <si>
    <t>MSKNQVTRRGVLKTGAVAGAGVALPTIFTASSAAAYTNEPTGGTVTLGFNVPQTGPYADEGNDELLAQQLAVEHLNGMGDGGCLNTFTSKALKGNGILGKKVQFVTGDTQTKSDAARASAKSMIEKDGAIMINGGSSSGVAVAVQGLCQDAGVIFMAGLTHANDTTGKDRKANGFRHFFNAYMSGAALAPVLAKEMGSDRRAYHLTADYNWGWTQEESIVASTEALGWETVNTVKTPLASTDFSSYIAPVLNSGADVLVLNHYGGNMVNSLTNAIQFGLLDKVANGKDFKIVVPLYSELMAAGAGDNIKGVLGSMNYNWQLDNEGSRAFVKSFGEKYGKPPSNSAQTCYAQVLLYADACERAGTFNPCGVVEALEGFEFDGLGNGKTLYRADDHQCFKDVLVVRGAQNPTNAYDTLEIVEVTPVAQVMYPPNHPMFGGDEATLGQCNPGA</t>
  </si>
  <si>
    <t>SPO1021</t>
  </si>
  <si>
    <t>YP_166273.1</t>
  </si>
  <si>
    <t>AAV94432.1</t>
  </si>
  <si>
    <t>MTEATTPAITCQNLWQVFGPGANDALAEALARSGGDAEAAAAELRDKGLIPAVQDASFEVREGELFVIMGLSGSGKSTLIRCISQLLPGTGGEIRIEGDNVVGASKKRLTELRRRKLGMVFQHFGLFPHMTVAENVAYPLKVQGVGRKERRARAQEVISLVGLEGREDSFPRQLSGGQRQRVGIARSLAVNPDIWFLDEPFSALDPLIRRQLQDEFLRIQATLKKSIVFITHDIAEALKLADRIAIMRDGKIVQIGTPTEIVLNPVDDYVREFSKDVAKGRHAKVASVMRAGVEEQGPDDPGLTAGMTLDTALARCMQLYQPVPVRDASGAIVGTVQPSDLAAALQVDDT</t>
  </si>
  <si>
    <t>SPO1132</t>
  </si>
  <si>
    <t>YP_166383.1</t>
  </si>
  <si>
    <t xml:space="preserve"> glycine betaine/proline ABC transporter, ATP-binding protein </t>
  </si>
  <si>
    <t>AAV94506.1</t>
  </si>
  <si>
    <t>MLNSSRRGALRSAVGAMVIGLGLTFSGSATQAETVLKAVPHSDLKILDPIWTTAYITRNHGYMVYDTLFSLDAQGNIQPQMVDTVTTSEDGLMVTMTLRDGLVWHDGAPVTAADCVASINRWGSKDAMGQKMMSFVESLEATDDKTITFKLSTPTGLVTLALAKPSSNVPFMMPERVASTPSSEQIADYTGSGPFVFRQDLWEPGTKIVYEKFDGYVPRSEPASGLSGGKIAKVDVVEWLPIRDHQQAVNALKAGEIDFIEAPPHDLLPLLKDDPNITLDDFNPAGNQFTFRFNVLHPPFDNPKMRQALLYAFNQEDFVQAVVGNEEYYELCLALFGCGLPFESTAAMDGLLESNFAKARELIAESGYNGEPILLMHSTDLAVLTNLAPVAKDLMEAVGLNVDMQSMDWQTLVARRSKRDAPADGGWNAFITSWTTGDLFNPVAAAFLNSSCDTALFGWPCDTRIEELRDAFARATSVEEQKKIVDEVQAAWFDYPTHIHLGQWTSRAAMTNNVSGLLQTGAAVFWNLEKN</t>
  </si>
  <si>
    <t>SPO1210</t>
  </si>
  <si>
    <t>YP_166457.1</t>
  </si>
  <si>
    <t>AAV94509.1</t>
  </si>
  <si>
    <t>MRNGYRVEPMVDHKYALEVDGLTVSLPTNADRPNAVENISFTVAPGEIVCVVGESGSGKSVTASAVMGLLPDALRPIAGRTLLEGEDTLAADKNRLRDLRGTRMAMIFQEPMTALNPVTRVGEQIAEVLEIHTTMSAAERRQRAIEVMESVHLPDPERMVDSFPHQLSGGQRQRIMIAMALVLDPILLIADEPTTALDVTTQAQILKLIKEMQERRGTGVLFITHDFGVVAEIADRIVVMQNGRIVEYGDRDEVLQRPKAPYTQMLMRSVPSMTPPDRSAKTDKTAVEVTALNKVYGRTGWLSKDRIVHAVQDVDLQVRKGETLGIVGESGSGKSTVARCIARLIDPTSGSIGLHGAEIAHLTQGQLHPYRRKVQIVFQDPYRSLNPRRTIGQSLIEAPMNYGMTRDQALTVARDLMELVGLSGDALDRYPHQFSGGQRQRICIARALAVEPDILIADEAVSALDVSVQAQVLKLLDDIRVKYNLAMLFITHDLRVAAQICDRLIVMQKGVVVEHGPTRQVYQDPQHAYTRLLLEAAPGQGMRFGSQIQPTVAQGS</t>
  </si>
  <si>
    <t>SPO1213</t>
  </si>
  <si>
    <t>YP_166460.1</t>
  </si>
  <si>
    <t xml:space="preserve"> oligopeptide ABC transporter, ATP-binding protein </t>
  </si>
  <si>
    <t>AAV94533.1</t>
  </si>
  <si>
    <t>MLRTLTGRLSRMAVLAAGVAVIAIAPRPAVADNLADALIGAYNTSGLLEQNRALLRAADEDVAIALSALRPIVNWTARIQTTYNRSGNAIASTTATPDTFFAGLELTQLLYDGGAARLGRQAAQETVLATRQALVQIEQQVLFRAVTAYLNVLLQEETVGIRQNNVRLLGEELRASQDRFEVGEVTRTDVALSESRLANARANLADANGALTTAHAEYINAVGRHPGRTTGQPAMPGLPRSEDDAAALALRNHPSLIGAQHQVRALDLVVGQQRANLGPNVRFQAELGFTDDFGGTTFNDSASASVIYSQPLYAGGRLNASVRRAMAQRDASRANLLNVQRNVTQDVSNAYVRFQTANASLTASAERVRAAQVAFDGIREEATLGARTTLDVLTAEQDLLDAQLARISARTERSLAAYQLLASQGLLTAERLGLAVQIYDPTLYYNMVKDAPAAISKRSRDLDRVLEALGKK</t>
  </si>
  <si>
    <t>SPO1240</t>
  </si>
  <si>
    <t>YP_166486.1</t>
  </si>
  <si>
    <t xml:space="preserve"> TolC family type I secretion outer membrane protein </t>
  </si>
  <si>
    <t>type I secretion outer membrane protein</t>
  </si>
  <si>
    <t>Cell wall/membrane/envelope biogenesis; Intracellular trafficking, secretion, and vesicular transport</t>
  </si>
  <si>
    <t>AAV94596.1</t>
  </si>
  <si>
    <t>MTEAAPVIQIKNLHKSFGQLEVLKGVDITAHRGDVVSLIGSSGSGKSTLLRCCNLLEDSQQGEILFNGEPVRWTGTGSHRRPADAKQVLRIRTNLSMVFQQFNLWAHMTILQNVMEAPIQVLGRDRAEVEDSARRYLDKVGIGDKCDNYPAQLSGGQQQRAAIARGLCMEPQALLFDEPTSALDPELEQEVIKVIRDLAAEGRTMILVTHDMKMAADISSHVIFLHQGLVEEEGTAEDIFAAPKSERLQGFLSVTKAA</t>
  </si>
  <si>
    <t>SPO1307</t>
  </si>
  <si>
    <t>YP_166550.1</t>
  </si>
  <si>
    <t xml:space="preserve"> His/Glu/Gln/Arg/opine family ABC transporter ATP-binding protein </t>
  </si>
  <si>
    <t>AAV94685.1</t>
  </si>
  <si>
    <t>MLEKITRYLHCRREIVPTRPRTAPVPTAYRIRRKRFSMQTGPLSFSKRLHWIPAMALAFGLNTVQLDAQQAAPKVSVAAAYSKEITEEAVFIGRGEAIDKVDIVARVSGFLDEQLVEDGSTVAEGDLLFRIEPDLYQAVLEARRADLDKAEANLELAGVELARKEELLRREATPASEVDIARANELVAEAAVKSAKAAIRQAELDLSYTEIDAPFAGRLGRVATSVGDVVGPANPPLVTLVRETPIHVTFALNEKRLVDVLQQLGETAETLAESQRSPEVHVTLPNGTPLGETGRLVFVDNRIDPLTGSVVMRAEFANTGRLIVDGAFVHVRISALKPTLRVLVPQAALQRDQRGDFVLVVNDKQMVEQRYVTLGDTVGTAAIVLEGLREGESVIVEGLQRVRPGVAVDAVVAAEQPGE</t>
  </si>
  <si>
    <t>SPO1398</t>
  </si>
  <si>
    <t>YP_166639.1</t>
  </si>
  <si>
    <t xml:space="preserve"> RND family efflux transporter MFP subunit </t>
  </si>
  <si>
    <t>RND family efflux transporter</t>
  </si>
  <si>
    <t>Cell wall/membrane/envelope biogenesis</t>
  </si>
  <si>
    <t>AAV94752.1</t>
  </si>
  <si>
    <t>MKIFSGLSRKATYLMAAAALAVMAAPMSAKAEDRVSAVHAFPEFLVYTKTFLAMVADINERGKGIVQIDVRGGPEAIGMFEQPAAVRDGVVDMVHTPGSFYGANVPEIDAMVASRVTPMEARANGGAALMDKAHQERFNVRHLGWVDGGIKFHIYMNSEPKFRDDGILDLTGVKLRDNPIYHAFFEQLNATTASMPATEVYSALEKGVVDAAAWTEIGIPQLKWNEFLKYRVDPTFYNTDIGVIFNLDAWNALSPESQKLIQDVVIEWEGKSYADRQAEVAADAKTLADGGMSFVSHSAEAGETYRKMADDSAWARMYERIDGGGAGAETYMALRKAYALAE</t>
  </si>
  <si>
    <t>SPO1465</t>
  </si>
  <si>
    <t>YP_166706.1</t>
  </si>
  <si>
    <t>AAV94784.1</t>
  </si>
  <si>
    <t>MTTLARQQRRSRSFLTLVTALGVAGFLAYAFWPRPMLVDMAEVVQGRMVLTIDEEGRTRVKEPYVVSSPVAGELQRVTVEPGEVVERGKTVVAQMRPANPSALDVRTREQAHAAVTAAEAALRLAHADLNAAEAKRDFAESELDRAGKLVERGVTSQVTLQRAEQEARVARANLDTVSAAIAMREAELANARAQLIGFDDAALGAVLSERNPEGYSIPLRAPIDGTILKVIQKSETTLPAGAPILEIGDIEGDLEVMAELLSSDAVQVQTGDRVIITNWGGARDLVGIVSRIDPYGYTKHSALGVEEQRVQVIIQFETPSDKRENLGHGYRVEVQIVVWEREDALIVPSAALFRHGDAWAVFAVEEGRAALREVEAGRNNGREAEILSGLEPGARVVLFPSAELVEGMKLAQRQLD</t>
  </si>
  <si>
    <t>SPO1497</t>
  </si>
  <si>
    <t>YP_166738.1</t>
  </si>
  <si>
    <t>AAV94801.1</t>
  </si>
  <si>
    <t>MRVHSLLRPIIAALAMAMAALPALGEVQLRVAYLRQEVERPPVLSNLDPEPAGLGLDGAQLGLEDNRTSGRFLGQTYTLDTYEVPIGGDLEAAARAALAEARMLVIDAPAEAVLRIADLAEAEGALLFNAGAEESALRDAACRANLLHTAPSLAMRADALMQVLQRKRFSRLAMITGHGAPDLAFAEALRRSAAKFGLKMVADKPWPFDADMRRNASQEVPLFTQDFAEHDMLLIADEIGDFGRYIAYNTWTPRPVAGSEGLVPVAWSRVVEQWGAAQLQSRFWDLAGRDMRPRDYAAWAALRVLGEAVTRTNSTDPATLRAYILSDAFELAGFKGRPMSFRPWNGQLRQPIPVVTERAVVMQAPVEGFLHQRSELDTLGLDAPESRCTAFQE</t>
  </si>
  <si>
    <t>SPO1514</t>
  </si>
  <si>
    <t>YP_166755.1</t>
  </si>
  <si>
    <t xml:space="preserve"> hypothetical protein SPO1514 </t>
  </si>
  <si>
    <t>Periplasmic binding domain of ABC transporter</t>
  </si>
  <si>
    <t>AAV94830.1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</si>
  <si>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</si>
  <si>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SPO1543</t>
  </si>
  <si>
    <t>YP_166784.1</t>
  </si>
  <si>
    <t>AAV94835.1</t>
  </si>
  <si>
    <t>MRLFREIAANDPGPTGRMKNMKTFTTALATGVLALCPLAALADSSDPIVIPIHNWSSQIVMSNVVGQIFEEMGVAVEFVTTDSQAVYESVRLGDVTLELEVWEGAFGASFRAALEKGGIVDVGDHDAVTREDWWYPMWTKDACPGLPDWKALNDCAAVFATAETGDKGRYLDGPVDWLKHGKERVEALGMNFEVINAGSAAALWAEIGAAEADKRPVVVFNWTPNFAEAVWPGEFVEFPEWVDGCDKDPAVGPNPDALYDCGNPATGYLKKAAWEGMEAKWPDAYAVLTRISFTNPQIAEMAKLVDVDEMEPDEAAEAWLEANEDVWRPWLDG</t>
  </si>
  <si>
    <t>SPO1548</t>
  </si>
  <si>
    <t>YP_166789.1</t>
  </si>
  <si>
    <t xml:space="preserve"> glycine betaine/proline ABC transporter, periplasmic substrate-binding protein </t>
  </si>
  <si>
    <t>AAV94836.1</t>
  </si>
  <si>
    <t>MRFMGSPVISARNVWKIFGKDPVGYLKTLQPGRSFDDIRADGYIAGVRDVSLDVARGEMLVIMGLSGSGKSTLVRCFSRLHEITGGSIEVDGQIIGDLSEKDLIELRRNKMGMVFQSFGLLPHRTVLDNVAFPLEMRGQDRHTRRKRALEVIELVGLAGREDYFPRELSGGQQQRVGIARSLAIEPDIWFLDEPFSALDPLIRREMQDEFLRLQAMLGKTIVFITHDFDEALRLADRIAIMKDGAVEQCDTPDQIVMNPTTGYVAKFTEEIDKARVVHAGVLARAGVVGEGQPVEAGATVQQLARLLVNDSRDLIPVADKGQVIGALDRQGALDILLKAS</t>
  </si>
  <si>
    <t>SPO1549</t>
  </si>
  <si>
    <t>YP_166790.1</t>
  </si>
  <si>
    <t>AAV94838.1</t>
  </si>
  <si>
    <t>MTTSKRVAIIGAGPSGLAQLRAFQSAAAKGEEIPEIVCFEKQDNWGGLWNYTWRTGLDENGEPVHCSMYRYLWSNGPKEGLEFADYSFEEHFGKQIASYPPRAVLFDYIEGRVLKANVRDWIRFSTAVRWIDYNDETGLFKVTVHDHTNDRVYSEEFDHVICASGHFSTPNVPHYEGFETFNGRLVHAHDFRDAREFAGKDILVVGSSYSAEDIGSQCWKYGAKSITSCYRSAPMGFKWPDNWEEKPALVKVDKNTVFFSDGTSREVDAIILCTGYKHFFNFLPDDLRLKTANRLATADLYKGVVYVHNPKMFYLGMQDQWFTFNMFDAQAWWVRDAIMGKIDLSNVTKEQMLADVTERETREEASDDVKYAIRYQADYVKELVAETDYPSFDIDGACEAFFQWKKHKGEDIMAFRNNSYTSVITGTLAPVHHTPWKDALDDSMEAYLRN</t>
  </si>
  <si>
    <t>SPO1551</t>
  </si>
  <si>
    <t>YP_166792.1</t>
  </si>
  <si>
    <t xml:space="preserve"> flavin-containing monooxygenase </t>
  </si>
  <si>
    <t xml:space="preserve">flavoprotein involved in K+ transport </t>
  </si>
  <si>
    <t>AAV94941.1</t>
  </si>
  <si>
    <t>MIKAGGPAPSPSGLEPVAPQIATPRDIWSKRKKAFFALRQGDKNMSKMAEYDGPILEIDKLSISFFTRLREIPAVMDFSVTVQPGEAVGLVGESGCGKSTVALGVMQDLGKNGRIVGGTIKFKGRDLAQMSAEELRDIRGNEIAMIYQEPMASLNPAMKIGRQLMEVPMIHEGVSADEARKRALEVVSDVRLPDPERMLNSYPHQLSGGQQQRIVIAMALMSKPALLILDEPTTALDVTVEAAVVELVKDLGKKYGTSMLFISHNLGLVLETCDRLCVMYSGEAVERGSIKDVFDEMQHPYTQALFRSIPLPGADKNSRPLVAIPGNFPLPHERPPGCNFGPRCDYFEAGRCDAQDILMEAVPGNDRHHTRCLKFREIDWNAPIMLAAQKEKGEIGEVVLKMDNLKKYYEVSANALFGGGEKKVVKANETLSFEARESETLAIVGESGCGKSTFAKVLMGLETATDGHILLDNRSIEQIPIEERDTKTVSDVQMVFQNPFDTLNPSMTVGRQIIRALEIFGIGKTDGERQQRMLELLDLVKLPRAFAERMPRQLSGGQKQRVGIARAFAGGARIVVADEPVSALDVSVQAAVTDLLMEIQREQKTTLLFISHDLSIVRYLSDRVMVMYLGHVVELGTTDQVFSPPYHPYTEALLSAVPIADTSVIKEHIVLEGDIPSAMNPPPGCPFQTRCRWKSEVPGGLCDKDVPPVRQLGDGHQVKCHLSDEVLARMGPVIKIAAE</t>
  </si>
  <si>
    <t>SPO1656</t>
  </si>
  <si>
    <t>YP_166895.1</t>
  </si>
  <si>
    <t xml:space="preserve"> oligopeptide/dipeptide ABC transporter, ATP-binding protein </t>
  </si>
  <si>
    <t>AAV94944.1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</si>
  <si>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</si>
  <si>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SPO1659</t>
  </si>
  <si>
    <t>YP_166898.1</t>
  </si>
  <si>
    <t xml:space="preserve"> oligopeptide/dipeptide ABC transporter, periplasmic substrate-binding protein </t>
  </si>
  <si>
    <t>AAV94990.1</t>
  </si>
  <si>
    <t>MLKLQDLTLHYGHSQILHGISMEAALGEITCVMGTNGVGKTSLIKAISGTHPRSGGEMILDGEPLGVLPAHQLAHKGVAYVPQGREIFPLLTVRENLETGFGCLPASDRLIPDEIFELFPVLKQMQNRRGGDLSGGQQQQLAIARALITRPRLLLLDEPTEGIQPNIIQQIGQVIRHLRSQGTMAIILVEQYFEFAYDLADRFVVLRRGEVLVAGRKGELSKADVLKGVSV</t>
  </si>
  <si>
    <t>SPO1707</t>
  </si>
  <si>
    <t>YP_166945.1</t>
  </si>
  <si>
    <t xml:space="preserve"> branched-chain amino acid ABC transporter, ATP-binding protein </t>
  </si>
  <si>
    <t>AAV94993.1</t>
  </si>
  <si>
    <t>MKPAPMRKRFSAPREETSMNFLKTTLASSVVFAALCNAAMAAEDKIKVGVLHSLSGTMAISETTLKDTMLMLIEQQNAKGGLLGKQLEAVVVDPASDWPLFAEKARELLTVHEVDVIFGNWTSVSRKSVLPVIEELNGLLFYPVQYEGEESSKNVFYTGAAPNQQAIPATDYFLEELGVEKFALLGTDYVYPRTTNNILESYLKQKGIAEADIFVNYTPFGHSDWSKIVADVVALGADGKKVGVISTINGDANIGFYKELAAAGISADDIPVVAFSVGEEELAGLDTSNLVGHLAAWNYFQSAESDVNAEFVKSWKATMGEERVTNDPMEAHYIGFNMWVNAATEAGSTDVDAVRAKMYGQEFPNLTGGTAVMLPNHHLTKPVLIGEIQADGQFDIISQTAEVPGDAWTDFLPESAVLMSDWKELGCGMYNTETKTCVQTLSNY</t>
  </si>
  <si>
    <t>SPO1710</t>
  </si>
  <si>
    <t>YP_166949.1</t>
  </si>
  <si>
    <t>AAV95052.1</t>
  </si>
  <si>
    <t>MTISFKGLARGVACAALVLAALPAAAKEFRLGLITPPPHTWTKAAEAFGAELSEKSGGAHSVSVFPARQLGNEAQMLQQLQTGALDMAFMTVAEVSNRVPNMGAFYAPYLAGDINHAAAILRSDTARGMLAVLPQEAGVVGVGFGSAGMRQILSRGAVNSAADLSGLKLRITPFDPILDFYNALGAAPTPMPLPAVYDALANGQVDAIDMDVELINVLKYHEHADTILISNHMMFPMVGLISARVYAGMSDADKAMISELMAKHVDSTLDVYMVKEPEWTDALTKVGKTFKRVDQSFFGDAIAQWETIWADKAPSLPELRKTAADLQ</t>
  </si>
  <si>
    <t>SPO1773</t>
  </si>
  <si>
    <t>YP_167010.1</t>
  </si>
  <si>
    <t>AAV95064.1</t>
  </si>
  <si>
    <t>MNGTGQQPELSSVVSAKGLDLTFQTNDGPVHALKDVNLEINKGDFVSFIGPSGCGKTTFLRCIAALETPTGGSLTVNGMTPDEARRKRAYGYVFQAAGLYPWRTIAKNIKLPLEIMGFSRQEQEERVRKVLELVDLAGFGGKFPWQLSGGMQQRASIARALAFDADILLMDEPFGALDEIVRDHLNEQLLALWARTGKTIGFVTHSIPEAVYLSTKIVVMSPRPGRITDVIESPLPKDRPLDIRDSAEFIEVAHRVREGLRAGHADD</t>
  </si>
  <si>
    <t>SPO1785</t>
  </si>
  <si>
    <t>YP_167022.1</t>
  </si>
  <si>
    <t xml:space="preserve"> ABC transporter, ATP-binding protein </t>
  </si>
  <si>
    <t>AAV95067.1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</si>
  <si>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</si>
  <si>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>SPO1788</t>
  </si>
  <si>
    <t>YP_167025.1</t>
  </si>
  <si>
    <t>AAV95070.1</t>
  </si>
  <si>
    <t>MIGSVFRMGALVLGLMAGSLAQAGDFIVVQSTTSTQNSGLLDHILPAFEAETGIEVRVVAVGTGQAIRNAANGDGDVLLVHAKAAEEKFVAEGWGVERFDVMYNDFVLVGPASDPAGVRGGSDIVAALSAIAGAEAPFASRGDDSGTHKAELRHWASAGIDVSAASGGWYRETGSGMGATLNLAAGMGAYALSDRATWIAFGNKGDLVVAVEGDARLFNQYGVILVNPAKHPGVKAEAGQRFIDWLTGDEGQAAIAGYTLDGQQLFFPNAK</t>
  </si>
  <si>
    <t>SPO1791</t>
  </si>
  <si>
    <t>YP_167028.1</t>
  </si>
  <si>
    <t xml:space="preserve"> sulfate/tungstate ABC transporter periplasmic substrate-binding protein </t>
  </si>
  <si>
    <t>Coenzyme transport and metabolism</t>
  </si>
  <si>
    <t>AAV95071.1</t>
  </si>
  <si>
    <t>MAEFLTTRELADLLRIGERKAYDLAASGEVPHVRAMGKLLFPRAEVLAWLNASRAGPRVAEPPLPPILAGSHDPLLDWALRESGAGLATYYDGSFDGLTRLKERKAQAAALHIREADGFNTASLRDALGEAPVVLIEIARRQRGLLLAPGVSGITGLADLRGRRVAMRQSSAASQHLFLAELENLGITPADLAPDPACARTEEDLAMLLQSGKAEAGFGLGALASPHGLGFLPTHEERFDLAIWRRAAFDPPMTRLMSFLRGPAFATRATEMGGYDLSGLGTVHHNGASG</t>
  </si>
  <si>
    <t>SPO1792</t>
  </si>
  <si>
    <t>YP_167029.1</t>
  </si>
  <si>
    <t xml:space="preserve"> excisionase family DNA-binding protein </t>
  </si>
  <si>
    <t xml:space="preserve">solute binding proteins </t>
  </si>
  <si>
    <t>AAV95089.1</t>
  </si>
  <si>
    <t>MDQFTINLLFVGASFALYIGIAIWARAGSTSEFYAAGRGVHPVMNGMATAADWMSAASFISMAGLIAFVGYDNSTFLMGWTGGYVLLALLLAPYLRKFGKFTVSEFIGDRFYSSTARLVAVICLIVASVTYVIGQMTGVGVAFGRFLEVSNTTGLLIGACVVFAYAVFGGMKGVTYTQVAQYVVLIMAYTIPAVFISLQLTGNPIPGLGLFGEHTASGEPLLAKLDAILKELGFSEYTTHNGDTFNMVLFTLSLMIGTAGLPHVIMRFFTVPKVSDARWSAGWALVFIALLYLTAPAVGAMARLNITDMFWPNGTDGEAVTIEQIETDPRYDWMANWQKTGLLGWEDKNGDGKIQYYNDKSDAMAAKAAEKGWAGNELTNFNRDILVLANPEIANLPGWVIGLVAAGGLAAALSTAAGLLLAISSAVSHDLIKGSINPNISEKGELLSARIAMAVAIGVATYLGLNPPGFAAQTVALAFGLAAASIFPALMMGIFSKKINNSGAVAGMLAGLVVTLLYIFLHKGWFFIPGTNSFTDADPLLGTVKSTSFGAIGAAVNFGVAYLVAGMTKETPQEIKDLVESVRIPRGAGAAQDH</t>
  </si>
  <si>
    <t>SPO1810</t>
  </si>
  <si>
    <t>YP_167047.1</t>
  </si>
  <si>
    <t xml:space="preserve"> sodium/solute symporter family protein </t>
  </si>
  <si>
    <t>AAV95093.1</t>
  </si>
  <si>
    <t>MMNKMLSGAVAAALTVSFVGEAGATEWNVSVWGKRRAFTEHVEKLAELVSEKTGGAFTINVSYGGLSKPKENLDGISIGAFEMAQFCAGYHADKNRAITVLELPFLGVNTLAEEVAVSNAVYAHPAAQQEMAQWNARLLMTSPMPQYNLVGTGAPRDELAEFEGMRVRATGGLGAAFSAVGGVPTSVPATEAYNAMESGVVDTVAFAQHAHLSFGTINKADWWTANLNPGTVNCPVVVNIDAYEALSDDERAALDSSVDEAIAHYLTNYGALLKKWDDVLAEKGVEKVMISDAVLEEFRAKVAGPISAKWVEDMTAQGLPGQELLDLVHATLKAARGS</t>
  </si>
  <si>
    <t>SPO1814</t>
  </si>
  <si>
    <t>YP_167051.1</t>
  </si>
  <si>
    <t>AAV95094.1</t>
  </si>
  <si>
    <t>MAGHASVLQDGSALSRLDRALLRLERGLALISGLAVFSLMLLAVVSVGGRNAMNAPLPGYVDWIEQAMPLIAFMGIAFVQREGGHIRMDLVIGQLKGRALWLFELVSVLLILGLMMLLVWGSWAHFLRAFDMGAPLWSRDSSIDIGIPLWPSKLLAPVAFSVLCLRLGLQVWGYGRAFVLGLEAPVAVPLIQDVAAQAAAEAEQLAGHDNG</t>
  </si>
  <si>
    <t>SPO1815</t>
  </si>
  <si>
    <t>YP_167052.1</t>
  </si>
  <si>
    <t xml:space="preserve"> TRAP dicarboxylate transporter, DctQ subunit </t>
  </si>
  <si>
    <t>AAV95109.1</t>
  </si>
  <si>
    <t>MRKTSIAALACVALASPALAADTIKIGLGVPMTGDYAPYSEWQGARCMADMINAKGGVNGMKIEVLIQDSGADTQTAISLAQKFLDEGAVMLGTIPFSDTMIPVAQVAQGYGVSIFQPQSTQVEMHAGIVDNFFTGVSPDPFTATAAANHALSLGVKNVVLMTSDEGGSWSARTPLWFGDVVEAGGGKVLSKLNFSFGTSDWSPQIAEMKALGEQIDAVYISSIMPDIAVLIRQMRSAGIEAYVVGSDGFDDPSLDAIGTDDPAILDKVFFATLAPSHADSAVVRFIAECKEMGIDVPGLFPATGADTVKAVAWAVEQSGSTDPATLAETLRNADSIPVMSVDAISFKETRTYAQRTIPVIGFEGGKRVLISNEIPANTPTDWN</t>
  </si>
  <si>
    <t>SPO1830</t>
  </si>
  <si>
    <t>YP_167067.1</t>
  </si>
  <si>
    <t xml:space="preserve"> branched-chain amino acid ABC transporter, periplasmic branched-chain amino acid binding protein </t>
  </si>
  <si>
    <t>AAV95125.1</t>
  </si>
  <si>
    <t>MKNMIKGLLAATALTAAAGLASAETQGVTDDEVVIGAVNDLSGIFAAVGVPATKGANVYFDKVNAAGGVHGRKIRYVVEDHGYQMPRAMQGFNKLLNRDKVFAMMQNLGTPMNLAGFKLIDPLGIPNIAPLSAARQMIQDPMQNKFTSFSSYFDQSVVGVKYLVAEYGAKNVCSMYLPTDFGKEILEGTKAGAEEAGAAFVAETTHKPDETDFVGSLSKLKESGCEIVTIALGVRQAITIVGTAKKMGLTDMQFMGTSASFLTVVAQVPGGVTEGFYAAASWQDLWARADEPAPKAFIEEYKAATGEDPQGFAMLGYAAAQQMVMALEAAGRDLTHESFIAAMESLDYQDDLVGNHINYGPDDHQGADSVYVLKVENGGWAKVHEE</t>
  </si>
  <si>
    <t>SPO1846</t>
  </si>
  <si>
    <t>YP_167083.1</t>
  </si>
  <si>
    <t>AAV95215.1</t>
  </si>
  <si>
    <t>MKKLLTATAASALMASAAFAGGHAKEVKIGVILGFTGPIESLTPSMADGAELAMKEVTDSGLLLDGATVTSVRADSTCVDAAAATAAAERLVTSDKVDGIMGADCSGVTGAILSNVAVPNGVVMISPSATSPALSTADDNGLFFRTAPSDARQGVVMTEVLMEEGIKEVALTYTNNDYGKGLADSFQAAFEAAGGTVTISAAHEDGKADYSAEVGALAAAGGDRLVVAGYVDQGGSGIVRSAIDSGAFDTFHFPDGMIGAKLEENFGDEIEGSSGQHPGTDSPGVAKFSEMVGGAFDSTSPFTPEAYDAAALIMLAMQAANSKDSGDYKDHVMHVANAPGEKIYPGELAKALQIIKDGGEVDYVGATAVELIGPGESAGNYRQITIEGGKITTAKFR</t>
  </si>
  <si>
    <t>SPO1939</t>
  </si>
  <si>
    <t>YP_167174.1</t>
  </si>
  <si>
    <t>AAV95224.1</t>
  </si>
  <si>
    <t>MSFVKLSASALAIAAVSATAAAARDQVQVAGSSTVLPYASIVAEAFGENFDFPTPVVESGGSSAGLKRFCEGVGENTIDVANASRKIKDKEVAVCAENGVTDIIEVRIGYDGIVFASDIAGNTFEFTPSDWFLALSDKIMVDGQLVDNPNSTWADVNAAFPAQPIQAFIPGTKHGTREVFEDKVILAGCEATGAFEALKAANGDDKKAAEKACIALRTDGVSVDIDGDYTETLARIESNKDGIGVFGLAFYENNTDKLQVATMSGIVPSTESIATGEYPVSRPLYFYVKKAHIGVIPGLKEYAEFFIADEIAGPDGPLAEYGLVSDPELAKTQEAVADEKVIGGNS</t>
  </si>
  <si>
    <t>SPO1948</t>
  </si>
  <si>
    <t>YP_167183.1</t>
  </si>
  <si>
    <t xml:space="preserve"> phosphate ABC transporter, periplasmic phosphate-binding protein </t>
  </si>
  <si>
    <t>AAV95354.1</t>
  </si>
  <si>
    <t>MKVIICGAGQVGWQIARHLSGELNDVTVVDNNPDLVRRATETLDVQGIAGFASYPDVLEKAGARDADMIIAATYSDEVNMVTCQVAHSVFGIQRKIARLRSKSYLNAIYSDLYRREHLPIDVVISPEREVAAAAMRRLSAPSAFDTETFMDGQAQLVGLSVDEASPVINTPLRQLTDLFSTLRAIVVGIRREGTLFAPEPGDQIFAGDECYVFCHVDDVSRTMEVFGKTHKKQDRVVIVGGGNVGLEVARALEEHKTRIHAKVIERDRGNAERAAEALERTIVLHGDGMDAGLLAEAGIARADAMLAVTDDDRTNMLAAVRAKAEGCRLAIALINDPTLVALMPPLGIDAYINPRATTVSSILRHIRHGRVRQVYSIGDAEAEVIEAEVLSTSPMAGQRLRDIDFPEGVLVGAVRKGDKVLRPTGELRIEEGDVIAIFAMADDVPEVERLMQVSIDFF</t>
  </si>
  <si>
    <t>SPO2083</t>
  </si>
  <si>
    <t>YP_167313.1</t>
  </si>
  <si>
    <t xml:space="preserve"> potassium transporter peripheral membrane component </t>
  </si>
  <si>
    <t>AAV95402.1</t>
  </si>
  <si>
    <t>MARSRTMKLLVPALVAVSMAAAPAMAGDWSGAYLGLGVGYGDADGPGARDGEAASFGGHIGYNFDLGNRFVMGGELEYDRVNNDLGAGGGTLDEIGRLKVKAGYDFGPVLGYGVLGAARATSTFGNENGLVYGLGLAMPVTDYLSVSGEVLRHQFKDFGGAGNDFDVNTFNLRASLRF</t>
  </si>
  <si>
    <t>SPO2133</t>
  </si>
  <si>
    <t>YP_167361.1</t>
  </si>
  <si>
    <t xml:space="preserve"> outer membrane protein, putative </t>
  </si>
  <si>
    <t>AAV95452.1</t>
  </si>
  <si>
    <t>MTSEIQGNRPLSEEELQDLVASSDAGARDPAGSIGLFLAIVAVIWSVFQLILASPLSNMLLPGSIVNNSRQVHLAFALFLAFAAYPALKSSPRDRIPAQDWVMAVLGAGIALYGYFFYDKLVNSGGLADDTDKWVALVGLILLFEAARRALGPAMAIIATIFLAYVFWGASEWVPEVIRWKGASLKKAMSHMWITSEGVFGIALGVSTKFVFLFVLFGALLDKAGAGNYFIKMAFGALGHLRGGPAKAAVVGSAATGLISGSSIANVVTTGTFTIPLMKRVGFTSEQAGSVEVASSVNGQIMPPVMGAAAFLMVEYVGISYVEVITHAFLPAAISYIALIYIVHLEAVKRNMPTLGNREVHLIRTVAGMLSFFLIFAGLCYATQFPAQAIAAWAPSSAGLIMGLIVTAIYIVLVRLAAQVPDLEPDDPNAEVVELPDIAQIYKAGLHYLLPIVVLVYFLMIEQKSPGLSAFWATALLFVILLTQKPLKSLFRGESEMATSFMSGVADLWQGLIDGARNMIGIALATGTAGVIVGTVTLTGVGQVMADLVEFLSGGNLVLMLVMVGLLSLVLGMGLPTTANYIVVSSLMAGVVVQLGAQSGLIVPLIAVHLFVFYFGIMADVTPPVGLASFAAAAVSGGDAIKTGFTAFFYSLRTVALPFVFIFNTDMLLIDVGWVGGILVAISATIAVLVFTAGTMGFFLTRSRIYESVALILVAFVLFRPDYVMNRIAPPFELFEPARLEQAVGDAAPGDVLRVIVSGPDFDSGEMKDLSLELTVGDESDGAARVEAMGFLTLEEDGLIKLEEPLFGTPIAESLQDFDFYADEAVRIVTVKAPANQPPKELVFIPALLLLGLVAFLQRGRAARQGVPA</t>
  </si>
  <si>
    <t>SPO2186</t>
  </si>
  <si>
    <t>YP_167411.1</t>
  </si>
  <si>
    <t xml:space="preserve"> TRAP transporter, 4TM/12TM fusion protein </t>
  </si>
  <si>
    <t>AAV95453.1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</si>
  <si>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</si>
  <si>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>SPO2187</t>
  </si>
  <si>
    <t>YP_167412.1</t>
  </si>
  <si>
    <t xml:space="preserve"> TRAP transporter solute receptor TAXI family protein </t>
  </si>
  <si>
    <t>AAV95553.1</t>
  </si>
  <si>
    <t>MTFARVAPRSSDATRAPRPGALIWKSDPSPPHQRARNLRFIHLMGKKMITTLRTTSALALAAAALAAPASAQLLYENQSGGSVRLYGQFNPALISVDDGQQTETQIRDNDLSRSRIGLRLAQPFGDNTFRFRFEAGLGLPNSTETNQLGDNFSGWTRDDLRHIDFSLEGDWGKVSLGQGSMAADGIAESDLSYVGVALYSYLADANAGFFFRDTAGVLSGPAVGDALDTFDGSRRGRIRYDSPEIAGFTFSAAYGENILNTADQSDYYDAAVRYSGEFAGGVQLDAGLAYQVRDNNGVDRSDVVGSASVLLKNGLSFTFAGGTRDNDAAGATDPDYLYFKVAYDVDLFSFGKTGVGVHYYDGSDFNVAGSETKGWGVGIAQRVEAYNTDVYFTYQDYEYDDAANSYQDLSTIVLGARWRF</t>
  </si>
  <si>
    <t>SPO2289</t>
  </si>
  <si>
    <t>YP_167513.1</t>
  </si>
  <si>
    <t xml:space="preserve"> hypothetical protein SPO2289 </t>
  </si>
  <si>
    <t xml:space="preserve">Porin </t>
  </si>
  <si>
    <t>AAV95584.1</t>
  </si>
  <si>
    <t>MQCHGSAHRFPEISRGCSPSLSTKECPMDGGAIAQFLPLILIFAIMYLLLIRPQQKKVKEHQAMVSALRRGDQVITQGGLIGKVAKVKEDGEIEVEIAEGVKVRVVKSTIAQVLNKTEPAN</t>
  </si>
  <si>
    <t>SPO2322</t>
  </si>
  <si>
    <t>YP_167545.1</t>
  </si>
  <si>
    <t xml:space="preserve"> preprotein translocase, YajC subunit </t>
  </si>
  <si>
    <t>AAV95593.1</t>
  </si>
  <si>
    <t>MSLRNGPGRVFPLGGIEERHIMRLVPFLTAILVTVTLYMLVFERDALMAFAKAESTTQAAPETPPAADPVGAAIAETATIGVVVLRSQASEIDSAVVLRGQTRAMRQVEVRAETTSTVISEPKRKGSFVKAGDLLCELDPGTRPASLAEARARKAQAESSMPEAEARLDEAKARLKEARINDNAAQKLAQTGYASETRRVATEATVRSAEAGIKAAEAGLETSRASIEAAAAAVDAAQREIGRLTIMAPFQGLLESDTAELGSLLQPGALCATIIQLDPIKVVGFIPETEVNRVQVGALAGAELATGLQVQGRVTFLSRSADETTRTFEVEITVANPELLIRDGQTATIAISSDGAKAHRLPQSALTLNNEGELGVRVVREGNKVGFVPVELVRDTPTGIWVTGLAEQADVIVVGQDFVTEGVTVTPTWREVSE</t>
  </si>
  <si>
    <t>SPO2331</t>
  </si>
  <si>
    <t>YP_167554.1</t>
  </si>
  <si>
    <t>AAV95630.1</t>
  </si>
  <si>
    <t>MHDRAVNGQQTRDIMNTPIKAAALAAPMAMLSAAPVLAQSVDEKVNQIFANSTGWFVNFIFSPFPGTSFPWIVMWLVIAATVFTLYFGFIQFRAFPHSISLVKGDYSDPNDAGEVSHFQALATALSGTVGLGNIAGVAVAVGIGGPGATFWMILAGLLGMASKFTECTLGVKYRNEYADGTVSGGPMYYMTKGFKERGLPAGGFMAILFSIFCVLGALGGGNMFQANQAHAQIANVVGDFPGWITGFIFAGIVFAVIVGGLKSIASVTEKVVPFMGVLYVATALVIILMNADMIGWAFGQIFAGAFTGLGIAGGMVGALIQGFKRAAFSNEAGVGSAAIAHSAVRTKEPITEGFVSLLEPFIDTVVICTMTALVIIITGQLVSDPNTGLYLLDEGASTIQTVDGNKGVALTSAAFSSAFPFFKYILAIAVILFAFSTMISWSYYGLKAWTFLFGEGKTKELTFKIIFCLFVVIGASANLGPVIDFSDAMIFAMAVVNIMALYLLMPIVKKELDSYLSRLKSGEIKKFG</t>
  </si>
  <si>
    <t>SPO2370</t>
  </si>
  <si>
    <t>YP_167592.1</t>
  </si>
  <si>
    <t xml:space="preserve"> sodium:alanine symporter family protein </t>
  </si>
  <si>
    <t>AAV95687.1</t>
  </si>
  <si>
    <t>MRWVFQIWYTKKKLIVETLLASVLADGIPSLSARLAREPETAAIERRQGRRITMSLKFIYVAAGAAALAATTALADPVTLRVQTHYATEHPTGKQLAIWADDVQTMSGGDITIEMFYSSSVVATTETFDAAINGILDCDATGGAYQTGKNPAFQFVGDIMGGYDTPWQQYSWLYFGDGYAAAQELYNAQNMQLIGWAIYGQESLSSSKPIRGFEDLKGWKFRSPPGMETEIFEKLGASPIVMDFTEIFTALETGIIDGADASGLYNNVGLGLYDIVKHATYPGFHSMPSDHLACNLDVWNGLTDQQRRIVDTAWQKLGFQIALSNELNNNAAAAKLRAEGVTLHNWSAEDRAEFRKAAQAAWDDWGTRSPEAGALLASHKSYLTQLGLLN</t>
  </si>
  <si>
    <t>SPO2433</t>
  </si>
  <si>
    <t>YP_167650.1</t>
  </si>
  <si>
    <t>AAV95695.1</t>
  </si>
  <si>
    <t>MNNPMNLARSVIAVAAMTSASAAWAECGEVSLTEMNWPSSQIITHTAKFLMEQGYGCTVELVPSATVTSVASLAENGEPDIVTELWLNSAGEAYLKLEAEGKVERLAEVFNPGGLEGWWIPTYLAEANPELTTVAGILANPDLVGGRFNNCPVGWGCRIVNDNLITALGMRDKMEIFDHGSGETLATSIAAAYEDKTPWFGYYWAPTAVLGKYPMTQISIGDIDMDVHLANQSAENANPGVSDFPPAPVLTVATSALTERAPDVADLMRNVSFDIEVMNAVLAWKDDNGASAEEAAVYFLSNNSDVWAGWVNDAAREKLAALIK</t>
  </si>
  <si>
    <t>SPO2441</t>
  </si>
  <si>
    <t>YP_167658.1</t>
  </si>
  <si>
    <t xml:space="preserve"> glycine betaine/proline ABC transporter, periplasmic glycine betaine/proline-binding protein </t>
  </si>
  <si>
    <t>AAV95821.1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</si>
  <si>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</si>
  <si>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SPO2573</t>
  </si>
  <si>
    <t>YP_167786.1</t>
  </si>
  <si>
    <t xml:space="preserve"> solute-binding family 7 protein </t>
  </si>
  <si>
    <t>AAV95852.1</t>
  </si>
  <si>
    <t>MTTRRKFITTAAVGAAAAPLATPALAQSTIKWRMQTYAGPALAAHVIDPAIAMFNKIAGDRMQIELFYADQLVPTGELFRAMQRGTIDAVQSDDDSMASPTEVTVFGGYFPFASRYSLDVPVLFNQYGLNEIWDAEYSKVGVKHISAGAWDPCHFATKDPINSLADLNGKRVFTFPTAGRFLAQFGVVPVTLPWEDIEVAVQTGELDGIAWSGITEDYTVGWADVTNYFLTNNISGAWAGSFFANMDRWNELPEDLQTLFRVCCDQSHYYRQWWYWGGEASLRVNGTKMQLTSIPDAEWAQVEAAAVKFWDEIAAESETKAKVVEIFKKYNADMAKAGRPYRYG</t>
  </si>
  <si>
    <t>SPO2606</t>
  </si>
  <si>
    <t>YP_167817.1</t>
  </si>
  <si>
    <t>AAV95873.1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</si>
  <si>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</si>
  <si>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>SPO2628</t>
  </si>
  <si>
    <t>YP_167838.1</t>
  </si>
  <si>
    <t xml:space="preserve"> TRAP transporter solute receptor DctP family protein </t>
  </si>
  <si>
    <t>AAV95903.1</t>
  </si>
  <si>
    <t>MNLLKPILAGAVALGLALPVAAQDRTGTLAKIDASGEIVIGHRESSVPFAYLDENQKPVGYSIDLCMKIVEAVSAELGKELSIKYVPVNPKTRIALMANGTIDLECGSTTNNLTRQEQVEYLPTTFITGTKLMVRKGSGISSVADLDGKAVALAQGTTNERAVKAAIETMGLDVKVLPVRDHAEGMLSLETDRVDVYATDHILLFGLIAKSKTPDAFEVVGDFLSFDPYALMVRRDDSAFELVGKKALAAVFRSGEIDAIYAKWFDPLGVGQTDLLKAAFQLNALPE</t>
  </si>
  <si>
    <t>SPO2658</t>
  </si>
  <si>
    <t>YP_167868.1</t>
  </si>
  <si>
    <t xml:space="preserve"> glutamate/aspartate ABC transporter, periplasmic substrate-binding protein </t>
  </si>
  <si>
    <t>AAV96043.1</t>
  </si>
  <si>
    <t>MREKIDCSVKKCSASRKKQERIMKNTSITRRVMLAAAVAASALMTAGAAAAEKVKVAAIYTLPVEQQWISRIHKALNTAADRGDIVYAFSENVANTDYERVMREYAEQGVQLIVGEVFGLERAARKVAKDYPDTAFLMGSSFGPVAPNFSVFDNWIHEPSYLTGMVAGAATESNVIGMVGGYAIPEVNRLMHAFMDGARSVNPDVRFIVNFIDSWYDPPKAKESAFAMMDAGADVMYAERFGVSDAAVERGVKAVGNVIDTSGDYPGTIVASALWHMEATIDKAIANVAGGSFEAADYGQYSFMAYGGGSLVLDESLVAPETVAAVRAKEAEILDGLFRVNVNDDRPVSDN</t>
  </si>
  <si>
    <t>SPO2802</t>
  </si>
  <si>
    <t>YP_168010.1</t>
  </si>
  <si>
    <t>AAV96054.1</t>
  </si>
  <si>
    <t>MLDQPIAQIKKLRVEFQTKDGPVVGVEDVSFEINPGETVCIVGESGSGKSVSSLSLMRLVEFGGGDIAGGQLLFDRRDGGELDLATADQDYMRNIRGNEIGMIFQEPMTALNPVFTVGRQLTEGLRVHKGMNQSQAEERALELLRQVRIPEPERRLKQYPHELSGGMRQRVVIAMAMACEPRLLIADEPTTALDVTIQAEILALMDRLKRETGTAVMFITHDMAVVAQMADRVVVMFRGNKVEEGTVEEIFENPQHEYTKALLAAVPKLGEMHGKAAPEPMKLMGVADQRIEPIIGTESPLLTVKGLTTRFPVKGGFFRRTVANVHAVEDVSFTLNKGQTLSLVGESGCGKSSAGRSILRLVEPMAGEIDLDGVDIMQLDQSGLRKARLDMQMIFQDPFASLNPQMQLLEQVAEPMRNYGVASGSELVDRVASLFDRVQLPRSFMRRYPHEMSGGQRQRIAIARALALNPKLIVADEAVSALDVSVQAQVLNLMMELQADLGLSYLFISHDMAVVERVSHHVGVMYLGRIVELGSRVRVFENPQHPYTQALMKAVPIADPRRRKSEKDLNFKPIPSPIHPIGYEPEPSRYIEVEPGHYVLDGEWAGYTVDRDAIHAGQGGH</t>
  </si>
  <si>
    <t>SPO2813</t>
  </si>
  <si>
    <t>YP_168021.1</t>
  </si>
  <si>
    <t xml:space="preserve"> peptide/nickel/opine uptake ABC transporter ATP-binding protein putative </t>
  </si>
  <si>
    <t>AAV96055.1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</si>
  <si>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</si>
  <si>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SPO2814</t>
  </si>
  <si>
    <t>YP_168022.1</t>
  </si>
  <si>
    <t>AAV96233.1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</si>
  <si>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</si>
  <si>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SPO2995</t>
  </si>
  <si>
    <t>YP_168201.1</t>
  </si>
  <si>
    <t xml:space="preserve"> peptide/nickel/opine uptake ABC transporter periplasmic substrate-binding protein </t>
  </si>
  <si>
    <t>AAV96236.1</t>
  </si>
  <si>
    <t>MSEPLLKVRGLKIGATVYPPGEKPHDIEIVHGVDFDLERGKVLGLIGESGAGKSTIGLASMAYGRGGVKITGGEVWVNGRDILKTSLKDIRGLRGGEVTYVSQSAAASFNPAKKIMEQVIEAAVEQKKFSKPEAEARARALFAKLGLPDPDNIGERYPHQVSGGQLQRCMTALALCPEPDLVVFDEPTTALDVTTQIDVLMAIKEAIRDTGVGALYITHDLAVVAQVSDDIMVLRMGDMVEYGETDQIINRPQEEYTQALVSVRSIEHEEKKPTPDPVLSVKGISARYRGLAFDVLHDVTVDLHPGQTLAVVGESGSGKSTLARVITGLLPPREGEINFAGRKLSRDLAGRSREDLRELQMIYQMADTAMNPRQTVGTIIGRPLEFYFGLRGAEKRKRIIELLDEIEMGEKFIDRYPAELSGGQKQRVCIARSLAAKPRMIICDEVTSALDPLVADGILKLLLDLQKIEDVAYLFITHDLATVRAISDSIAVMYQGRVVRYGPKSQVLSPPFDDYTDLLLSSVPEMRLGWLEEVVAHRKMESAGN</t>
  </si>
  <si>
    <t>SPO2998</t>
  </si>
  <si>
    <t>YP_168204.1</t>
  </si>
  <si>
    <t xml:space="preserve"> peptide/nickel/opine uptake ABC transporter ATP-binding protein </t>
  </si>
  <si>
    <t>AAV96243.1</t>
  </si>
  <si>
    <t>MRHLDLFEGSVRADCLTLMDRAAMKLDLARVAGRIRTQGRISQPMARRPTSPVASEERAGSKKVGVLSALWPFMMPYKALMAGALMALVLTASMSLALPLAVRRVVDNFRIENGDLLDVYFLAALGIAAVLALGTGIRYALVTRLGERVVADIRKAVFDRVIGMSPEFYERIMTGEVLSRITTDTTLIQSVLGSSASIALRNMLLFAGGLVLMLLTSAKLTGLVLLLVPAVLVPILVLGRRLRAISRENQDWIAASSGNASEALSAVQTVQSYTNETASRAAFAEVTETAYDVSRRRIATRAVLTVIVIFLVFSGIVGVLWMGANDVRAGVMTEGTLIQFVIYSVIMAGAVAALSEIWSELQRAAGATERLVELLNAADSVNDPVQPAALALPVQGEIAFDNVTFRYPARPDQVALDGMSLTVRPGETVAFVGPSGAGKTTVIQLIQRFYDPQSGRVLLDGQDLTTLSRADFRRHIALVPQDPVIFAASARENIRFGRPSASDAEVEEAARAAAAHEFIAALPEGYDSFVGERGVMLSGGQKQRIAIARAILRDAPVLLLDEATSALDAESERAVQQAVERLSADRTTLIVAHRLATVKKADRIVVLEAGRIVAQGTHDELVAGGGLYARLARLQFTDGLAAE</t>
  </si>
  <si>
    <t>SPO3005</t>
  </si>
  <si>
    <t>YP_168211.1</t>
  </si>
  <si>
    <t xml:space="preserve"> ABC transporter, ATP binding/permease protein </t>
  </si>
  <si>
    <t>AAV96276.1</t>
  </si>
  <si>
    <t>MKHLIATTALASLTLAPIAATAAECTNDAWNRIQERGKIVVGVKADYKPWGFRDTDGSIIGMEIDMAAEVAKTLGVELELTPVVASNRMQFLEQGQIDLMIATMTDRADRREIVGIVGPNYYTSGTNILAPKALGFSSWNELNGKPVCGVQGAFYNQIVEDKYGAQIVAFAGAAEARQALRDKKCVAFVYDDSSIGSAIASGEWEDFEMPLASEDDSPWGLAVPKGEENCIFGRFMTGMQYSWHQNGSLINWEAKWGIKPTAYLQELNAKLADQVAE</t>
  </si>
  <si>
    <t>SPO3040</t>
  </si>
  <si>
    <t>YP_168244.1</t>
  </si>
  <si>
    <t xml:space="preserve"> polar amino acid ABC transporter periplasmic substrate-binding protein </t>
  </si>
  <si>
    <t>AAV96344.1</t>
  </si>
  <si>
    <t>MMRFLTSLVLGAALLAGAAQAQNQPLRITIDEGIIEPLPYAAPNFVPDSPAAAEYAAEIARVLAADLTGSGLFREIPSTAYISQVTSFDAPVQFADWKAINAQALITGAVSVSGNRLTVRFRLWDVFAGAELGSGLQFAGTTDGWRRMSHKVADAVYSRITGESGYFDSRVAFVSESGPKDQRRKRLAIMDYDGANVQYLTDSSSIVLAPRFSPTGDRVLYTSYQGGFPRIHILDVGQVQQRVLQSQDGTMSFAPRFSPDGQTVLFSLAQGGNTDLYAMNIASGQSTRLTSAPSIETAPSYAPDGSRIVFESDRSGTPQLYVMSAAGGEATRISFGQGRYGTPVWSPRGDLIAFTKQSKGRFHIGVMRADGSEERLLTASFLDEGPTWSPNGRVIMFTRETQGASGRAALYSVDISGRNLRPVRTPDGGSDPSWSPLQK</t>
  </si>
  <si>
    <t>SPO3109</t>
  </si>
  <si>
    <t>YP_168312.1</t>
  </si>
  <si>
    <t xml:space="preserve"> translocation protein TolB </t>
  </si>
  <si>
    <t>AAV96347.1</t>
  </si>
  <si>
    <t>METEALALAQEIDFSMWGLFARATLTVKLVMLLLVLASFWAWAIIIQKHILYRATRREADRFDQSFWSGEPLDELFEQIGAQPEGSSEKIFAAGMVEWRRSHRNDGGLIAGAQARIDRSMDVAIAKEAEGLQRGLPVLATVGSTAPFVGLFGTVWGIMTAFIEIAEQQNTNLAVVAPGIAEALLATGLGLLAAIPAVIFYNKLSADSDRIVAGYEAFADEFATILSRQLDS</t>
  </si>
  <si>
    <t>SPO3112</t>
  </si>
  <si>
    <t>YP_168315.1</t>
  </si>
  <si>
    <t xml:space="preserve"> proton transporter TolQ </t>
  </si>
  <si>
    <t>Tol-Pal system</t>
  </si>
  <si>
    <t>AAV96518.1</t>
  </si>
  <si>
    <t>MKMKLATVALGALMAAGPALADLTFPSLSYRTGPYAAGGIPFADGYADYFTLLNERDGGIGGVKANVLECETGYNTEKGVECYESTKGQGALVYQPLSTGITYQLIPKATADGIAIHSMGYGRTSAKNGNVFSHVFNYPANYWDGASGAVNYLLEINGGDIKGKKIALVYHNSAYGKEPIRTLEELSKKHGFDLSTLPVDHPGQEQKSQWLQIRRDKPDYVLMWGWGVMNQVAVQEAANIRFPMENFIGIWWSGSENDVLPAGDAANGYKALTFHNVGTAFPLFDDLQKYVIDAGKAAGAGDQVGTVLYNRGLYAAMLAAEAAKKAQEISGKADITAADMRDGMEALEMTEAKMAELGLPNFGPTFSVSCGNHGGDALVGVTQWDATSKTWSLISDFKPTDGDVIGALIEEDSSAYASENNISPRCN</t>
  </si>
  <si>
    <t>SPO3291</t>
  </si>
  <si>
    <t>YP_168487.1</t>
  </si>
  <si>
    <t xml:space="preserve"> branched-chain amino acid ABC transporter, periplasmic branched-chain amino acid binding protein, putative </t>
  </si>
  <si>
    <t>AAV96592.1</t>
  </si>
  <si>
    <t>MIELAADKGIRLADETIASSPLAVRGLTVSYGQKPAVFSVDMTVQPGAMTAIIGPNGAGKSTLLKAALGIVKPLSGQVTVFGRPLEEQRARIAYVPQRASVDWDFPTRVIDVVLMGLYRELGLLGRLRARHKAQALDCLARVGMRDFADRQIGQLSGGQQQRVFLARALAQDADLYLLDEPFAGVDAATEKAIISVLKSLKQAGRTVVVVHHDLATVSDYFDHVFLINTRRVAEGPVAEAFTADNLQAAYGGRLATAQVDQLARVLG</t>
  </si>
  <si>
    <t>SPO3365</t>
  </si>
  <si>
    <t>YP_168561.1</t>
  </si>
  <si>
    <t xml:space="preserve"> zinc/manganese/iron ABC transporter, ATP-binding protein </t>
  </si>
  <si>
    <t>AAV96656.1</t>
  </si>
  <si>
    <t>MKTEGNTMKKVLFATTALIATASVAAADVRISGYGRFGLDYNDANDRAVNGVSKTTITSRLRLQFDMSAETDAGVAFDARFRAQAESRDNTPGGATFNGARFGVSYQGFRVNVGNIIGAVENMPGTYLETRTAGIGIDGASFYSHVGNVNNEFFNWDAYSSAGTGVNGIEAIYSTGGFTGHLSYSTRNGAVASDRIGVMLSYNFGDWTVAAAHQSSDAMWEDKTLVSVAWDGGQFGARVAYADNDGISKFGIYGNMDIGASSNILLFYTDEEAVSASDVLAGRGDNRDAVAGSNMNEGGSYGIHYSYDLGGGASFEAGYRRASNDNDTFQAGVYFSF</t>
  </si>
  <si>
    <t>SPO3430</t>
  </si>
  <si>
    <t>YP_168626.1</t>
  </si>
  <si>
    <t xml:space="preserve"> outer membrane porin </t>
  </si>
  <si>
    <t>AAV96694.1</t>
  </si>
  <si>
    <t>MQSSTFAPWEDPNAKPLIRFKNVTKRFGEFTAIDNLTLDIFEREFFALLGPSGCGKTTMMRMLAGFETATEGVIELAGQDIAPVPPNKRAVNMMFQSYALFPHLSVWDNIAFGLRRDRKSKAEIEARVEEMLRLVRLEKFAQRKPHQISGGQRQRVALARSLAKAPKLLLLDEPLGALDKKLRQDTQFELMDIQEKTGTTFVIVTHDQEEAMTVASRVAVMDQGQLMQVATPDRIYETPNSVYVADFIGDVNIIEGRATPEGEDGYRIDWAEGQPALTAKSATRFDKGQKCHLAIRPEKVAISAERPADAANAVQGRVHDIAYLGNLSTYYVELADGTIIKAQTSNTRRISRRSFTWEDTVWLSWTATAGVLLAN</t>
  </si>
  <si>
    <t>SPO3468</t>
  </si>
  <si>
    <t>YP_168664.1</t>
  </si>
  <si>
    <t xml:space="preserve"> putrescine ABC transporter, ATP-binding protein </t>
  </si>
  <si>
    <t>AAV96695.1</t>
  </si>
  <si>
    <t>MTFKSLTLTAVVALASSTAFAEEVRVYNWSDYIDEELLAKFEAETGITLIYDVFDSNEVLETKMLAGGSGYDVVVPTGTFLQRQIQAGAFQKLDLSKLPNHANMWDQIESRTAQYDPGNEYSINYMWGTTGLGVNVGKVREVLGEDAPMNSMDLVFNPENMEKLASCGVHFLDAPTELIPATLKYLGENPDSHDADVIAKAEPVLMAVRPYIQKFHSSEYINALANGDICVAIGWSGDILQARDRAAEADNGVEIEYHAFKQGSLMWFDQMAIPVDAPNPDAAHVFLNFIMDAQNMAAASNYVYYANGNKASQEHLVEDVIGDTAIYPDAETMDNLYTTTPYPAKIQRTVTRLWTKVKSGT</t>
  </si>
  <si>
    <t>SPO3469</t>
  </si>
  <si>
    <t>YP_168665.1</t>
  </si>
  <si>
    <t xml:space="preserve"> putrescine ABC transporter, periplasmic putrescine-binding protein </t>
  </si>
  <si>
    <t>AAV96698.1</t>
  </si>
  <si>
    <t>MYGELALTTRTSSDTFVEFERVQKSYDGETLVVKDLNLTMPKGEFLTMLGPSGSGKTTCLMMLAGFETATHGEIKLDGRPINNIPPHKRGIGMVFQNYALFPHMTIAENLSFPLEVRKIGKSDREAKIKRALDMVEMGAFGGRRPAQLSGGQQQRVALARALVFEPELVLMDEPLGALDKQLREKMQFEITRLAHELGITVVYVTHDQTEALTMSDRVAVFNDGVIQQLAPPDELYEQPANSFVAQFIGENNTLEGEVQEIRDGIAVVRLDDGGLIDCKPVNVSRPGERTRVSIRPERVEFNKSRLQKGVHTLKAEVMEFIYMGDIFRTRVRVAGNDEFIIKTRNAPDQVRLEPGAQIEIGWLPEDCRALDA</t>
  </si>
  <si>
    <t>SPO3472</t>
  </si>
  <si>
    <t>YP_168668.1</t>
  </si>
  <si>
    <t xml:space="preserve"> polyamine ABC transporter, ATP-binding protein </t>
  </si>
  <si>
    <t>AAV96699.1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</si>
  <si>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</si>
  <si>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>SPO3473</t>
  </si>
  <si>
    <t>YP_168669.1</t>
  </si>
  <si>
    <t xml:space="preserve"> polyamine ABC trasnporter, periplasmic polyamine-binding protein </t>
  </si>
  <si>
    <t>AAV96700.1</t>
  </si>
  <si>
    <t>MTDIAQPLTTADGKPLKGALLRAQARARRRAFLLVLPLLAFILITFVFPIGQMLYRSVYNEGFTWHEDVTSGDRTPLMTNLADWFDANPPGTVPDEAAFAALAADLVTLRDLKAPGQAGTRINYELSGSRSMFTKAARSAKKLEPPYKEAILELDKDWGNPELWQAMRGASSSYTTNFYLAAIDRERDASGAVTMVPENRQVYVKLFMRTLTLSLLITFLTFILAYPIAHLLATLPLRHSNLLMILVLLPFWTSLLVRTTSWMVLLQSQGVLNDTLVGLGILGDDGRLQLMYNRAGTVISMTHILLPFMVLPLYSVMRMINPSYVRAARSLGATSWTAFRRIYFPQTVPGIGAGALLVFILAVGYYITPALVGGADGQLISNLIAFHMQKSLNWSLAAALAALLLAGVLLLYWLYDRLIGIDNLKLG</t>
  </si>
  <si>
    <t>SPO3474</t>
  </si>
  <si>
    <t>YP_168670.1</t>
  </si>
  <si>
    <t xml:space="preserve"> polyamine ABC transporter, permease protein </t>
  </si>
  <si>
    <t>AAV96722.1</t>
  </si>
  <si>
    <t>MQDYLNQAEVIWPLLVSAAKALVVLILGWTLAGTIAGLVRRRINATPQIDPTLGNFTASLVKWAILAMVLVAVLGIFGIEATSIVAVLGAASLAIGLALQGTLSDLAAGVMLVVFRPYKLGQFVDIGGTSGTVRDLNLFTTELVTPDNVQIIVPNGQAWGAIITNYSAHDTRRVDLVFGIDYDDDAGKAMEIIERTASADSRVLADPAPWVRVTNLGDSSVDLTARIWCRAEDYWELKFELTRRVKEAFDAGGISIPYPHSVEIHKEA</t>
  </si>
  <si>
    <t>SPO3496</t>
  </si>
  <si>
    <t>YP_168692.1</t>
  </si>
  <si>
    <t xml:space="preserve"> mechanosensitive ion channel family protein </t>
  </si>
  <si>
    <t>AAV96762.1</t>
  </si>
  <si>
    <t>MAHMPTQPGGRALTTRPRAATRARALDIRPGVMLLFAGLLLMALAGIARAEETIIKSHGFSEFGDLKYPEGFAHFDYVNPDAPKGGELSYAAVGTFDNLNPFTRKGRAAARSADQYESLLFPSYDEPASYYGLVAESLEYPESQDWVIFNIRPEARFSDGTPITAEDVVFSHELLLEQGLKSYAEAVRKRIPKAEALDSHRVKFHFAPDIPRRALITQVGGTPIFSKAWFMADPEKRRLDEPRLEQGIGSAPYVLDSFDINRRITYRRNPDYWGADLNVNVGRNNYDSIRVEYYTDTIAAMEGFKAGNYTLRQENNSKSWATAYDFPAIEKGHVIKAELRDGDVPSASGFVINMDRPQFQDIRVRAAVQLAFNFEWTNESLQYGLFQQRHSFWQGTPLEATGLPEGREREVLEALGDALDPAVLSEEPVSAHTSSPDRQNDRKNLRRAMKLLDEAGWAVDGDGIRRNGAGETLRIEFLSDEPTLDRIIQPFVDNLKVMGIDARYNRVDDAQFTLRRRDRDFDMIMGGYPMSLQPSTGLYQQFGSEAAAYSLFNPSGVHGPDIEPLIDGVVAASTTEELQANVRALDRVLRAKRIMVPTWYLGKYWVAYWDKYSYPENLPPYALGLEDLWWVDADRAAALKSSGALR</t>
  </si>
  <si>
    <t>SPO3537</t>
  </si>
  <si>
    <t>YP_168732.1</t>
  </si>
  <si>
    <t xml:space="preserve"> oligopeptide/dipeptide ABC transporter periplasmic substrate-binding protein </t>
  </si>
  <si>
    <t>AAV96844.1</t>
  </si>
  <si>
    <t>MMNRFSRRGALGLIGGAATLPMLGTPALANTKMTVGALRFTSHAASFVAFERGYFAEEGLDVEFKFFEAAQPMAVAIASGDADYAVTAITGGLISLAEKGAAKVIGGALSEEKGIDGQMILASNAAYDAGLTSAAALDGRSFAVTQPGSSFHYMGAKIAAVEGASVKFTPLQKVGAIIGAMKSGQVDAWTIVPHIGKALSGGGAVKHIGMVADYLPDYQVTTVFTSASNASGERAQTEAFLRAFSRGAADFNAALVDKTAGDEAGVEMVKLVHKYVYADQPFEKAEKSIRNGAMRLNKDSALNMGSVEDQLGWFKSEGMVKDSITTETLVDSSYVPMI</t>
  </si>
  <si>
    <t>SPO3620</t>
  </si>
  <si>
    <t>YP_168815.1</t>
  </si>
  <si>
    <t xml:space="preserve"> sulfonate ABC transporter, periplamic sulfonate-binding protein </t>
  </si>
  <si>
    <t>AAV96888.1</t>
  </si>
  <si>
    <t>MKKLTTLLAATALTSVAALSATAETWDMPLAYSGSNFHSVTAAEFGNCVTTGTGGEIEIVTHPSGSLFKGADIKRAVQTGQAPIGERLLSGHQNENALFGFDSVPFLATSFDDADKLWKAAKEPLSALLAEQNLTLLYSVPWPPQGLYFKNEVNAVADMKGIKFRSYNNATSRLAELTGMLPVTIEAAEISQAFATGVADSMISSGSTGYDRKVWESLNYFYEVDAWLPRNYVFVNSDVWSGVSDQNKNVIQACAGLAEYAGNWRSKEYTGFTLQGLRDGGMTVGPASDQLVGELKEIGVTMTSEWLEAAGDQGKAIVDAFKAD</t>
  </si>
  <si>
    <t>SPO3665</t>
  </si>
  <si>
    <t>YP_168860.1</t>
  </si>
  <si>
    <t>AAV96914.1</t>
  </si>
  <si>
    <t>MRIILLREGQREDNMTYRRKILGLIGGAAVAALATGFSAGTALAQEVTLKLHQFLPAQANVPKLVLDVWADGVEKDSGGRIKVERYPSMQLGGKPPELMDQAIDGVADVVWTVVGYTPGRFPSTEVFELPFMMTNARAVSHAYWEMFEKHMKDDEFKDVHILGTWVHGPGMIHTADPVETPADLQGMKIRGGSRSVNSLLTKLGATPVGMPVPAVPEGLSKGVIDGTTIPWEVTTALKVPELVENHTEFEGRALYTLTFVLAMNKAKYDSLPDDLKAAVDKNSGLEFSVFAGGTQADADGPARQVAEDLGNNIITIDAAGVEEWRALAQPIYDEWLADMDSKGKDGKALLEEAQMLIEKYTPQYSN</t>
  </si>
  <si>
    <t>SPO3693</t>
  </si>
  <si>
    <t>YP_168887.1</t>
  </si>
  <si>
    <t xml:space="preserve"> TRAP dicarboxylate transporter, DctP subunit </t>
  </si>
  <si>
    <t>AAV96926.1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</si>
  <si>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</si>
  <si>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>SPO3705</t>
  </si>
  <si>
    <t>YP_168899.1</t>
  </si>
  <si>
    <t>AAV96947.1</t>
  </si>
  <si>
    <t>MPSKLFSRRSFVTTACAGLAALALPLPAVALTEARAASLVNEVVTEINRVIASGKSENAMIRDFEKLFVRYGDVPIMARYALGPDARTASPAQLKSFTQAFQGYISRKYGKRFREFIGGEVTVKTARKIKAGYEVKTSVKLQGQAPFDVTFLVSDKSGKDKFFNMFIEGVNLLLTERTEIGSMLDRRKGDLNALIRDLASAG</t>
  </si>
  <si>
    <t>SPO3726</t>
  </si>
  <si>
    <t>YP_168920.1</t>
  </si>
  <si>
    <t xml:space="preserve"> toluene tolerance family protein </t>
  </si>
  <si>
    <t>toluene efflux (?)</t>
  </si>
  <si>
    <t>AAV96950.1</t>
  </si>
  <si>
    <t>MSAQDFSARKPIILGLLGLIVLVGGFGTWAVLSQIAGAVVAGGRIEVDRNRQVVQHLDGGVVAEILVDEGDTVPEGQTLIRLDSNLLNSQLLIAEGQLFELMARRGRLEAERDSNSEIVFDEDLLEAARARAEVAELLDGQERLFRARQESVTKETEQLEKRRGQIGNQIEGIVAQQRSRRSQLELIEQELVSQQSLLDKGLAQAGRVLSLERTKAELEGELGELIASQAQQEGRITEIDIEILKLGTTQREDAITQLRDLQYRELEVAEQRRSLLEQLSRLDIKAPVSGIVYGLQVHTPRSVIRPADPVLFLVPQDRPLVIAAKVETIHIDQIHLGQSVTLRFSALDQRLTPELIGTVMQVSADAFVDEASQASYYRVEIQLNEGEVDKLPPGAILIPGMPVEAFIRTADQSPIYYLVKPLADYFTKAFRET</t>
  </si>
  <si>
    <t>SPO3729</t>
  </si>
  <si>
    <t>YP_168923.1</t>
  </si>
  <si>
    <t xml:space="preserve"> HlyD family type I secretion membrane fusion protein </t>
  </si>
  <si>
    <t>AAV96994.1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</si>
  <si>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</si>
  <si>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SPO3774</t>
  </si>
  <si>
    <t>YP_168968.1</t>
  </si>
  <si>
    <t>AAV97007.1</t>
  </si>
  <si>
    <t>MPIREERMKNSSQIMTNPTRRAFLQNSSAAAAAAGFGGIGSFIASPVFASDYAPGMTGGPTGFEGAERFQYNNTMSEGRAIEGIKALQAAGNAPAKISMLLTDGAIGQITKPFPEGGPSAKEVWERETGIEIDIVGAPAEDIFKKVMQDVTTGGGTFDIYTGPWNSTGDLVSSGGAVNCSDFVAKYQPDWADPERGTPTPEMEKLLYTYAGDYYSFSLDGDFQTWFYLKGLYEDPRVQDAFLSETGVALKTPDTWEEVDRISKFFTGKDFGNGPMYGNGNLMSPFWGLATFYARFASMDFPNYHFFDEDGNPNLNSDLGIQCAEEHVRSFEWCPPDALTFTWAEAYATMWNLQIPHTAIYTNLVKFGDGYNADGTPKSKATGMIGSHLPVGRRFGDQLNRRSVLYYHITAWISSQSQHPEAVYLFLQWLSSTRTYTWMAGNPGGYFDPMQQANFKEPLVASTYHPYAMETIPQTIARSVPSINFAGQTALDNALDEEIQAAITGQKSAREAMDAAQSKWERIIKRQKRNGIVDAIKASRATWPTIVDPA</t>
  </si>
  <si>
    <t>SPO3787</t>
  </si>
  <si>
    <t>YP_168981.1</t>
  </si>
  <si>
    <t>AAV97100.1</t>
  </si>
  <si>
    <t>MNSPLIQLLVLAGIAIFLILRLKSVLGTREGFEKPPVPQQPENRTRRDFEVIEGGPDRDITDHVPEDSPQAQALAAMKRIEPAFSVSEFVQGARGAYEMIVMGFERGNLDEIEPFLTEEVFETFVGVVAAREDQGLTIEAEFIGVRETSIQDVHFDKDSNRGEITMRFVGELTSVVRDRGGDVIEGSPTAVKRQKDVWTFARVMGTDDPNWLLVATDA</t>
  </si>
  <si>
    <t>SPO3886</t>
  </si>
  <si>
    <t>YP_169074.1</t>
  </si>
  <si>
    <t xml:space="preserve"> Tim44 family protein </t>
  </si>
  <si>
    <t>AAV97102.1</t>
  </si>
  <si>
    <t>MAETDAAAAQQPPQIQMRVLGQFIRDMSFENVMAQRGASGDVQPDVNVQVNLDAKKRSTDNQYEIAIKLNITSKAKGMDDVLFVFEIDYCGIFHVEGVPNEQLHPFLLIECPRMLFPFLRRIVSDITRDGGYPPLNLDNIDFMALYRSELARQQAAAQAEQKADA</t>
  </si>
  <si>
    <t>SPO3888</t>
  </si>
  <si>
    <t>YP_169076.1</t>
  </si>
  <si>
    <t xml:space="preserve"> preprotein translocase subunit SecB </t>
  </si>
  <si>
    <t>YP_164836.1</t>
  </si>
  <si>
    <t>MAAALATVLALTGLTTAPATAQSTRTVIGERYVPTIWVDPDGCEHWVMDDGAEGFMTPHVRRDGTPVCRRGALCGTMPADQFFATDSYRISSEGQARLRQFFQETGANGYIITGHTDSRASDAYNLRLSVNRANSVARVGRATGARIVDVRGYGERDPRVPNTSAANMAQNRRVEIICVN</t>
  </si>
  <si>
    <t>SPOA0004</t>
  </si>
  <si>
    <t xml:space="preserve"> OmpA family protein </t>
  </si>
  <si>
    <t>Central metabolism</t>
  </si>
  <si>
    <t>Cell envelope</t>
  </si>
  <si>
    <t>YP_164843.1</t>
  </si>
  <si>
    <t>MSRQNYIFTSESVSEGHPDKVCDRISDAVLDAFLTEEPEARVACETFATTNRVVIGGEVGLSDQAKLREYMGRIDQIARDCIKDIGYEQDKFHHETVEITNLLHEQSAHIAQGVNAAEGKDEGAGDQGIMFGYATTETPALMPAPIQYSHAILRRLAEVRKNGTEPALGPDAKSQLSVIYRDGMPVGVSSLVLSTQHLDPDLTSADIRAIVEPYIREVLPEGWLSADTVWHVNPTGKFVIGGPDGDAGLTGRKIIVDTYGGAAPHGGGAFSGKDPTKVDRSAAYAARYLAKNVVAAGLADKCTIQLSYAIGVSKPLSIYADTHGTGDIAPAAIEKAIDTVMDLTPRGIRTHLGLNKPIYERTAAYGHFGREPEADGGFSWERTDLAEALKKAV</t>
  </si>
  <si>
    <t>SPOA0011</t>
  </si>
  <si>
    <t xml:space="preserve"> S-adenosylmethionine synthetase </t>
  </si>
  <si>
    <t>Vit/Coenzyme (transmethylation)</t>
  </si>
  <si>
    <t>YP_164847.1</t>
  </si>
  <si>
    <t>MSGHGTPIPMTSHPCGPLSGVAEVPGDKSISHRALILGAMAVGETRITGLLEGEDVLDTAKAMRAFGAEVTRHADGSWSVHGVGVGGFAEPEQVIDCGNSGTGVRLIMGAMATSPISATFTGDASLNKRPMARVTDPLALFGAQAVGREGGRLPMTIVGAADPVPVRYEVPVPSAQVKSAVLLAGLNAPGQTVVIEKEATRDHSERMLAGFGAEVTVEDTDEGRVITLTGRPELKPQVIAVPRDPSSAAFPVCAALITPGSDVLVPGIGLNPTRAGLFTTLREMGADLTYENERTEGGEPVADLRARYSPDMKGITVPPERAASMIDEYPVLSVVAANAQGVTMMGGVKELRVKESDRIDAMARGLRANGVTVEEGDDWWAVHGLGIGKVPGGGTCESFLDHRIAMSFMVMGMGAQAPVSVNDGSPIATSFPIFEPLMGGLGAKLERA</t>
  </si>
  <si>
    <t>SPOA0015</t>
  </si>
  <si>
    <t xml:space="preserve"> 3-phosphoshikimate 1-carboxyvinyltransferase </t>
  </si>
  <si>
    <t>biosynthesis of aromatic amino acids</t>
  </si>
  <si>
    <t>AA</t>
  </si>
  <si>
    <t>YP_164867.1</t>
  </si>
  <si>
    <t>MTPPRRWPMPQQRNIRGWPMVRWLALPVALMLSGCLFEAEPEVVKLSGDTMGTTYHITAIGADLDAEALGAAVEVTLAAVNAKMSNWDPKSEVSTFSARTDTAPMPVSPEFVTVIGAANQVHAQSGGKFDITLGPLIELWGFGPRKPEDPIPSDAEIASALQGVGQARLLTLDTAGGTLAKARPETGINLSAIAKGYGVDAVAETLRGFEIDDYMVEIGGDLVTRGKNDKGEAWRIGIERPDRGAQTVQLVVPISDYGMATSGDYRNYFEHQGQRYSHILDPVTGRPVTHRTTSVTVIADSAMMADAWATAMLVLGLDQGLKVAEAHKLAVFFIERDAQDGAEAYMTAQSSAFADLLNAAD</t>
  </si>
  <si>
    <t>SPOA0036</t>
  </si>
  <si>
    <t xml:space="preserve"> thiamin biosynthesis lipoprotein ApbE </t>
  </si>
  <si>
    <t>Vit/Coenzyme (Vit B1)</t>
  </si>
  <si>
    <t>YP_164888.1</t>
  </si>
  <si>
    <t>MTDTPKRTPLYDLHVELGGKMVDFAGWEMPVQYPMGIMGEHKQCREKAALFDVSHMGQVILRGDDIGAKLEKLCPQVFLTLPEGKARYGFFTNAEGGIMDDLIVSNAGEYFFVVVNAALRHQDIPHLAAHLDGVEVTEIFDRALVAVQGPSAEDVVGRLCPAARDLKFMETMLGEIDGVDCRISRLGYTGEDGYEISIPEGEAIRISRLFLAHEDCEPAGLGARDSLRLEAGLCLYGNDIDNGTSPIEASLLWAIQKRRREEGGFPGAGRILKEIAEGAPRKLVGIKPEGRAPARQHVEIQSLGGETIGEITSGGFGPTVGAPVAMGYVASAHAAPGEKVNLIIRGKAQPAEIVALPFVAQNYKR</t>
  </si>
  <si>
    <t>SPOA0057</t>
  </si>
  <si>
    <t xml:space="preserve"> glycine cleavage system T protein </t>
  </si>
  <si>
    <t xml:space="preserve">catabolism of glycine </t>
  </si>
  <si>
    <t>YP_164890.1</t>
  </si>
  <si>
    <t>MAFKLTDYEAYDFANRRHIGPSPREMADMLQVIGFKTLDQLIDATVPPSIRQKEALDWGPAMTERDALYHMKQVASKNKVLTSLIGQGYYGTTTPAPILRNILENPAWYTAYTPYQPEISQGRLEALLNFQTMVSDLTGLDVANASLLDEATAAAEAMAMAKRSSRSKANNAAFFVDKNCHPQTVAVIRTRAEPLGVDVQVGDPSELEAGAVFGAIFQYPGTYGHVRDYTAEIAALHEHNAIAIVAADILSLALLKSPGEMGADIAIGSTQRFGVPMGYGGPHAAYMATTDKLKRAMPGRIIGVSIDARGNKAYRLALQTREQHIRREKANSNVCTAQALLAVMASMYAVYHGPDGIKAIAQSVHRKTSRLAAGLEEHGFKVAPEVFFDTITVDVGPLQKTVIEAAVARGVNLRKVGSDRIGISLDEQTRSETIEAVWGAFGIDKKDDSVKNRAYRLPDYALRETPYLTHPIFHKNRAEAEMTRYMRRLADRDLALDRAMIPLGSCTMKLNATIEMIPVTWPEFANLHPFVPEDQAQGYLEMIDDLSEKLCQITGYDAISMQPNSGAQGEYAGLMTIRNYHAAQGQGHRNICLIPTSAHGTNPATAQMVGYQVVPVRSDDHGNIDLADFRAKAEQHSANLAACMITYPSTHGVFEETVREVCDITHEHGGQVYIDGANMNAMVGLAQPGEIGGDVSHLNLHKTFCIPHGGGGPGMGPIGVKAHLAEHLPGHPEYGTAVGPVSAAPFGSPSILPVSWAYVLLMGGAGLTQATKVAILNANYIAARLKDAYPILYTSATGRVAHECILDTRPLNDEGGVSVDDVAKRLIDSGFHAPTMSWPVAGTLMVEPTESEPKDELDRFCEAMLSIRAEAQQIIDGKIDPENNPLKHAPHTVRDLVGDWDRPYSREQACFPPGNLGVDKYWPVVNRVDNAYGDRHLVCTCPPMDAYEEAAE</t>
  </si>
  <si>
    <t>SPOA0059</t>
  </si>
  <si>
    <t xml:space="preserve"> glycine dehydrogenase </t>
  </si>
  <si>
    <t>deamination of glycine</t>
  </si>
  <si>
    <t>YP_164968.1</t>
  </si>
  <si>
    <t>MDSILVTGNGPLNGQIPIAGAKNACLTLMPATLLSDEPLTLTNAPRLSDIKTMTLLLQSLGAEVSSLQDGKVLAMSSHDLTSHTADYDIVRKMRASNLVLGPMLARLGQAVVSLPGGCAIGARPMDLHIEALEALGAEIELRDGYLHAKAPGGLKGAVHEMRFASVGATENMVMAATLAKGTTVLKNAAREPEIVDLVRCLRAMGAQIEGEGTSTIEIQGVDRLHGATHQVVTDRIELGTYMLAPAICGGEVELLGGRLDLVGAFVEKLDAAGIDVAETDKGLKVSRRNGRVSAVNVTTEPFPGFPTDLQAQMMALLCTAEGTSVLEEKIFENRFMHAPELTRMGARIEVHGGTATVRGVERLKGAPVMATDLRASVSLILAGLAAEGETLVSRVYHLDRGYEHVVQKLEAVGARIERIKG</t>
  </si>
  <si>
    <t>SPOA0137</t>
  </si>
  <si>
    <t xml:space="preserve"> UDP-N-acetylglucosamine 1-carboxyvinyltransferase </t>
  </si>
  <si>
    <t>YP_164989.1</t>
  </si>
  <si>
    <t>MHLARYPRRFIAHLPTPLERLDRLTAELGGPEIWIKRDDCTGLSTGGNKTRKLEFLMAEAELQGADMVMTQGATQSNHARQTAAFAAKLGMDCHILLEDRTGSNNANYNNNGNVLLDHLHGATTEKRPGSGLDMNAEMEKVAEKFRADGRKVYTIPGGGSNPTGALGYVNCAFEMLNQFNERGLKVDHIVHATGSAGTQAGLITGLQAMNAQIPLLGIGVRAPKPKQEENVYNLACATAEKLGCPGVVAREDVVANTDYVGEGYGIPTESGLEAIRMFAELEAILLDPVYSAKGAAGFIDLIRKGHFKKGERVVFLHTGGAVALFGYDNAFDYSGRWVA</t>
  </si>
  <si>
    <t>SPOA0158</t>
  </si>
  <si>
    <t xml:space="preserve"> D-cysteine desulfhydrase </t>
  </si>
  <si>
    <t>biosynthesis of tryptophan</t>
  </si>
  <si>
    <t>YP_165031.1</t>
  </si>
  <si>
    <t>MPQFLDSRQPDFETAFTALLGAKREDSPDVDAVVAGIIADVRARGDAAVIELTERFDRVALTPQSLRFSTEEIAQAVDEVPAPERAALELAAARIRAYHERQMPQDADWTDDTGARLGWRWSAVSAAGLYVPGGLASYPSSVLMNAIPAKVAGVGRLAIAVPTPDGQVNPLVLLAAQISGVDEVYRIGGAQAIAALAYGTDTIAPVDKITGPGNAFVAAAKRRVFGKVGIDMIAGPSEILVIADRDNDPDWIALDLLSQAEHDESAQSILITDDAAFGRAVAEAVDKRLETLERRAIAGVSWRDFGAVITVSDLDEAAALSNRIAPEHLELCVSDPEALAARTIHAGAIFLGQYTPEAIGDYVGGPNHVLPTARSARFSSGLSVMDFLKRTTMSRMTPEALRAIGPAAAQLARSESLEAHGLSVQARLDRLNG</t>
  </si>
  <si>
    <t>SPOA0202</t>
  </si>
  <si>
    <t xml:space="preserve"> histidinol dehydrogenase </t>
  </si>
  <si>
    <t>biosynthesis of histidine</t>
  </si>
  <si>
    <t>YP_165111.1</t>
  </si>
  <si>
    <t>MANPLYDRLFGAHAGQDTPFLYLPDGRVISHAAFLGQAARLAHVATNLGLKPGDRVAAQVEKSPEALALYAACAQAGLIFLPLNTAYTADELSYFIDNSGAALIVCDGRNRDMLAPIAEGLGARIETLNADGSGSLTERAATMPDRFDTVARGGGDLAAFLYTSGTTGRSKGAMLTQDNLLSNAETLAREWRFTADDVLLHALPIFHTHGLFVATNIALITGGSMIFLPRFDLDQIIAQMPRATSMMGVPTFYTRLLGDARFTRELAQHMRLFVSGSAPLLAETHVEFEERTGHRILERYGMTETNMNTSNPYEGARRAGTVGLPLPGVELKVTDPETGETLPQGEIGVIEVRGPNVFKGYWQMPEKTAAELRADGFFITGDLGFVDEQGYVTIVGRGKDLIISGGFNIYPKELELLLDDQPGVLESAVIGVPHPDFGETPLGLLVPRPGQTPDTQAIMATVETALARFKHPRKLIVLEELPRNTMGKVQKNILRDQFKALFEKQ</t>
  </si>
  <si>
    <t>SPOA0282</t>
  </si>
  <si>
    <t xml:space="preserve"> malonyl-CoA synthase </t>
  </si>
  <si>
    <t>Lipid metabolism</t>
  </si>
  <si>
    <t>Lipid transport and metabolism; Secondary metabolites biosynthesis, transport and catabolism</t>
  </si>
  <si>
    <t>YP_165121.1</t>
  </si>
  <si>
    <t>MKMRDTFLKPMHPEGRKFVGIFAAITVILFLIWSVLGWIGVGLTVWCYYFFRDPERVTPAREGLIVSPADGIVSMIEKSVPPAELGMPDQALTRISVFMSVFNCHVNRAPIAGRIAAIAYRPGKFFNASLDKASADNERNSLCIEMADGRQIAVVQIAGLVARRIVCFSSTGDTLRTGERFGLIRFGSRLDVYLPEGVEPMVDLGQTMIAGETVLADLQ</t>
  </si>
  <si>
    <t>SPOA0292</t>
  </si>
  <si>
    <t xml:space="preserve"> phosphatidylserine decarboxylase </t>
  </si>
  <si>
    <t>Lipid transport and metabolism</t>
  </si>
  <si>
    <t>YP_165142.1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</si>
  <si>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</si>
  <si>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>SPOA0315</t>
  </si>
  <si>
    <t xml:space="preserve"> isocitrate dehydrogenase, NADP-dependent </t>
  </si>
  <si>
    <t>TCA</t>
  </si>
  <si>
    <t>Energy production and conversion</t>
  </si>
  <si>
    <t>YP_165146.1</t>
  </si>
  <si>
    <t>MSTPQDLSHLKTIEQRILWLSHWMIHHANHIRPKVDGIKIGGHQASSASMVSIMTALYFSTLRPEDRVAVKPHASPVFHAIQYLMGNLDRARMENFRGYGGVQSYPSRTKDVDDVDFSTGSVGLGVAVTAFAALVQDYIAAKDWGQGAPMGRMVALVGDAELDEGNVYETLQEGWKNDLRNCWWIIDYNRQSLDGIVREGLFERVEKIFDAFGWDVVRIKYGALQRAAFQEPGGDALRDWIDACPNQQYSALTFMGGAVWRKRLMEDLGDQGPVSALLDRRSDDELAELMENLGGNCVATMAETFAAIDHDRPTCFLAYTVKGWGTPIAGHKDNHGGLMNKTQFAAWQAHMGVPEGQEWEPLATVADPAALRAFLDGVPFFAKGRRRFSDARLAVPGIEIASDREISTQAAFGKVLDDLSKGDSELAARIVTTSPDVTGTTNLGPWVNRRKLFARKDQADAFIEHKIPSTAKWEFTPKGQHIELGIAEMNLMLLLGAAGLSHSLFGKRLIPVGTVYDPFVARGLDALNYACYQDARFLLVGTPSGVTLAPEGGAHQSIGSPLIGMSQDGLAAFEPAFADELAVIMEWAFDYLQRDGEGDPDERTWLRDETGGSVYLRLSTNPIEQPGKRVDDAFRQGAIDGAYWLRKPGPNAEVVIAYQGAVAPEAIRAAGLLGEARRDVGVLAVTSADRLNAGWSAAQRARARDNPAALSHIERLMGELPPHCRLVTVIDGHPATLGWLGSVAGHRTIPLGVEHFGQTGTIGDLYRHFGIDAGAIVERVEGLTSGRPGQPARLVG</t>
  </si>
  <si>
    <t>SPOA0319</t>
  </si>
  <si>
    <t xml:space="preserve"> transketolase, putative </t>
  </si>
  <si>
    <t>Sugar metabolism</t>
  </si>
  <si>
    <t>YP_165239.1</t>
  </si>
  <si>
    <t>MQYHSPDSFAQAARLAAEAEGITRFLAGGTDVLVQLRADIVTPDTLIDIKKIPGTHDITRNGDGSWTLGVAVPGAELGEHAGLVADWPGVVEAMNLVGSTQVQGRATLTGNLCNGSPAADSVPAMVAASMTATVTGPDGERVVAVEDIPTGPGRTSLAKGELVSALHIPARGANAGDAYLRFIPRSEMDIAVVGCAVNLRLDGDTITEARVSLGAVAPTVLLVQDAAAAIIGSTLDDAALDRLAAAASAACKPIDDKRGTIAFRTEVAGVLAKRVARIAYARAKGEIIRGHHG</t>
  </si>
  <si>
    <t>SPOA0412</t>
  </si>
  <si>
    <t xml:space="preserve"> xanthine dehydrogenase family protein, medium subunit </t>
  </si>
  <si>
    <t>Nucl acid</t>
  </si>
  <si>
    <t>YP_165241.1</t>
  </si>
  <si>
    <t>MALDDRKSDGFTFVGTRPNRPDGLDKVTGRARFGADAHAPGMLHGAILRSPHAHARILRIDTSKAEALKDVKAVVTRADFSDKVEFAPGLEGDFWNILENVMAGDKALYDGHAVAAVAATSALAARDALKLIEVDYEVLPHVTDVDKAMLMDAPVIRQGAADYSVPEGMHPNVVRKHESGHGDVEAGFAEADLVIEDHFTTEATHQGYIEPHACLATLGADGKGELWCCTQGHWIVQKTCAALLGIETANLRVTASEIGGGFGGKTTVFIEPVALALSRKANKPVKLVMSRSEVFRATGPTASASMDIRIGMKKDGTLTAAQGTFRLQGGAFPGGPADFTAMCAFAPYNLPHVRQVGYDVMTNRPKQAAYRAPGSPMAAFAVESVIDELCNQLGLDPIEVRLKNASREGTKASYGPRFQRVGLVETLEAAKAHPHYTAPLKPGQGRGISCGFWFNHGGETSVSLALSEDGSAQVMVGTPDIGGSRASMALMAAEVLGIPYENIRVTIADTATLGYNDVSHGSRVTYASGLATIKAARHAVEKLCERAAKKWGIPVDAVKWENGCAVPSGPNAGEFDPLPLADITADMGRTGGPISGHFEATPEGAGVSFATHIVDAEVDPETGKTKVVRYTVVQDAGKAIHPTYVEGQFQGGAAQGIGWALNEEYIYGADGRLQNSVFLDYRIPVASDLPMIDTVIVEVPNPGHPFGVRGVGETSICPPLAAIANAVSAAAGARMRQLPMSPPRILAALKADG</t>
  </si>
  <si>
    <t>SPOA0414</t>
  </si>
  <si>
    <t xml:space="preserve"> xanthine dehydrogenase family protein, large subunit </t>
  </si>
  <si>
    <t>YP_165255.1</t>
  </si>
  <si>
    <t>MRLQDLDIIVTAPPAPGWGGRYWILVKVTTDTGITGWGECYASSVGPDAMTHVIRDVFDRHMAGENPENIELMFRRAYSSGFTQRPDLTVMGAFSGLEIACWDILGKDRNRPVHALIGGRMNQRIRAYTYLYPLPHHDIAGFWTSPDQAAECAAEMVRRGYTAVKFDPAGPYTIRGGHMPAMSDISLSVAFCKAIREAVGDKADLLFGTHGQFNTAGAIRLGQALEPYAPLWFEEPTPPDNLEDMARVARNVRIPVATGERMTTKTEFGAVLRAGAAEILQPALGRAGGIWEMKKVAAIAELFNAQMAPHLYAGPIEWAANIQLAAAIPNILLLESIETPFHDALIKGSIRVDNGFVIPPDAPGLGIEVDEELARAHPFTGNDLHLNMQEAPCDYASGNAFQGGAPTI</t>
  </si>
  <si>
    <t>SPOA0428</t>
  </si>
  <si>
    <t xml:space="preserve"> mandelate racemase/muconate lactonizing enzyme family protein </t>
  </si>
  <si>
    <t>Cell wall/membrane/envelope biogenesis; General function prediction only</t>
  </si>
  <si>
    <t>YP_165257.1</t>
  </si>
  <si>
    <t>MQKIRAAVCHEFNAPLVIEEVLLAPPGTGEVEVTLDAVAICHSDISYADGAWGGHLPAVYGHEAAGTVSAVGPGVEGFAPGDPVVVTLIRACGTCANCAGGQPTICDTPYDGVKQGPLRTADEGPLLQAMACGAFAEKVVVSQRQIVRIPADMGRDVACLLSCGVITGVGAAVNAARLRAGQDVVVIGAGGVGLNAIQGARIAGARRIVAVDMTEEKLDIAREFGATHGVLATSPKPWRAAYKALGGRGADAVLVTVGAVRAYDEAPKYLGWGGRAVMIGMPHAGAMAQYEPMSASFQGHGLIGSKMGDVVIQRDIPWMIDLYQQGRLKLDELISGRWSLDQINEAIADTRTGSAKRNVILFNH</t>
  </si>
  <si>
    <t>SPOA0430</t>
  </si>
  <si>
    <t xml:space="preserve"> zinc-binding dehydrogenase family oxidoreductase </t>
  </si>
  <si>
    <t>C1 metabolism</t>
  </si>
  <si>
    <t>YP_165266.1</t>
  </si>
  <si>
    <t>MSGLLQGKRGLIMGVANDRSIAWGIAKAMHEAGAELAFTYQGEAFGKRLEPLAASVGSDFMVDADVTDDASLDTAFEQLAARWPTLDFLVHAIAYSDKSELTGRFLNTTRANFKHSMDISAYSLIEVARRAYPMMKENGGTVLTLTYQGSNRVVPNYNVMGVAKAALESATRYLANDLGPDGIRVNAISPGPMKTLAGAAIGGARKTFKFCDQNAPLRSNATLEAVGGTAVYLASDAGACTTGEIIRVDGGFHVLGMPQSEFM</t>
  </si>
  <si>
    <t>SPOA0439</t>
  </si>
  <si>
    <t xml:space="preserve"> enoyl-(acyl-carrier-protein) reductase </t>
  </si>
  <si>
    <t>YP_165267.1</t>
  </si>
  <si>
    <t>MRRVVVTGLGIVSSIGVNAEEVTASLRAGRSGIVACEEMAEHGFRSRIAGTLKIDVAEHVDKRALRFMGPGAAYAHIAMQQAIADAGLSEEQVVNPRTGLVAGSGGPSTSAMLSAHQTVLKTGATKRIGPFAVPKCMCSTISANLATAFKIKGLNYSITSACSTSLHCIGNAAEQIMMGKQDVMFAGGGEELDWTLSCLFDAMGAMSSKYNDTPEKASRAFDQDRDGFVISGGGGIVVLEELEHALARGAKIYAEVTGYAATSDGHDMVAPSGEGGERAMRLAVSTLPEDRKISYINAHGTSTPVGDVGEVEAVRRVFGEGRVPPISSTKSMTGHAQGAAGALEAIFCLLMLEHDFITPSINVETLAEGIQPGEVATQYVENAGLDSVMTNSFGFGGTNGSMVLSKFRG</t>
  </si>
  <si>
    <t>SPOA0440</t>
  </si>
  <si>
    <t xml:space="preserve"> 3-oxoacyl-(acyl-carrier-protein) synthase </t>
  </si>
  <si>
    <t>YP_165271.1</t>
  </si>
  <si>
    <t>MAQYPSSFDKEDLLKCARGELFGPGNAQLPAPPMLMMDRITEVSADGGAHGKGHIRAEFDITPDLWFFDCHFPGNPIMPGCLGLDGLWQLTGFNLGWRGWLGRGYALGVGEVKLTGMVRPDRKMLTYKVDFTKAIQTRRLTMGVADGIVEADGEVIYQVKDMKVALSES</t>
  </si>
  <si>
    <t>SPOA0444</t>
  </si>
  <si>
    <t xml:space="preserve"> 3-hydroxydecanoyl-(acyl carrier protein) dehydratase </t>
  </si>
  <si>
    <t>AAV93343.1</t>
  </si>
  <si>
    <t>MPKAKITNEEALAFHLEPTPGKWEVQATVPMTTQRDLSLAYSPGVAVPCEAIAADPGLAYDYTNKGNLVAVISNGTAVLGLGNLGALGGKPVMEGKAVLFKRFADVNSIDIELDTEDPDEFCRAVRLMGPTFGGINLEDIKAPECFIIEQRLKEEMDIPVFHDDQHGTAVICAAGLINALHISGKKIEDVKIVLNGAGAAGIACIELLKTMGARHENCIVCDTKGVIFQGRTEGMNQWKSAHAIKTELRSLEEAMKGADVFLGVSVKGAVTQEMVQSMADNPVIFAMANPDPEITPEEAHEVRPDAIVATGRSDYPNQVNNVLGFPYLFRGALDIHARAINDEMKIACAHALAALAREDVPDEVAMAYGKSLAFGRDYIIPTPFDPRLIHRIPPAVARAGMDTGAARRPIIDMDAYELGLKSRMDPTASILRGINARARKAQSRMIFAEGDDPRVLRAAVTYQRSGYGKALVVGRHDDVKAKLEAAGLGDAVRELEVVNAANTTHLETYKEFLYSRLQRKGFDNKDVHRLAARDRHVFSALMLAHGHGDGLVTGATRKSAHVLHQISHVFDADAAHGAAGITALLHKGKIVLIGDTLVHEWPDEHDLATIAERAADVARHMGLEPRVAFVSFSTFGYPISERTEKLTKAPKVLEARGVSFEFEGEMTVDVALNPRSKEAYPFSRLTGPANILIVPARHSASISTKLMQEMAGATVIGPILTGVDKPIQICSTVSTANDILNMAVLASAEIG</t>
  </si>
  <si>
    <t>SPO0012</t>
  </si>
  <si>
    <t>YP_165285.1</t>
  </si>
  <si>
    <t xml:space="preserve"> malic enzyme </t>
  </si>
  <si>
    <t>AAV93349.1</t>
  </si>
  <si>
    <t>MSAPKKVVLAYSGGLDTSIILKWLQTEYGCEVVTFTADLGQGEELEPARKKAELLGIKPENIHIEDVREEFVRDFVFPMFRANAVYEGLYLLGTSIARPLISKRLVEIAAEHGADAVAHGATGKGNDQVRFELSAYALNPEIRVIAPWRLWDLTSRTRLLEFAEAHQIPISKDKRGEAPFSVDANLLHTSSEGKVLEDPGVEAPDYVAQRIVAVEDAPDTPEFIEVTFEKGDAVAINGEAMSPATILTRLNELGGKHGIGLLDFVENRFVGMKSRGVYETPGGTILLEAHRGIEQITLDSGAGHLKDSIMPRYAELIYNGFWFSPEREMLQALIDKSQEHVTGTVRLKLYKGSARTVARWSDHSLYSEAHVTFEEDAGAYDQQDAKGFIQLNALRLKLLATRNRRVAGK</t>
  </si>
  <si>
    <t>SPO0018</t>
  </si>
  <si>
    <t>YP_165291.1</t>
  </si>
  <si>
    <t xml:space="preserve"> argininosuccinate synthase </t>
  </si>
  <si>
    <t xml:space="preserve">biosynthesis of arginine </t>
  </si>
  <si>
    <t>AAV93376.1</t>
  </si>
  <si>
    <t>MVPIALTIAGSDSGGGAGIQADLKAMSALGIYGASVITAVTAQNTCAVTAVHEIPTEIIRAQIEAVLDDLDVRAIKIGMLATPEIIGAVADAIAGFDGPVVLDPVMVAKSGDALLAAEAVASLKERLLPRATLLTPNLPEAARLLSLRDAADQDEMVSQARALIALGAEAVLMKGGHAKGAICHDLLVGRAGVLAEFSAPRRMTKNTHGTGCTLSSAIAAGLAKGRTLKAAVRDAHTYLQGAIVAADRLGVGKGHGPVHHFHRVWSA</t>
  </si>
  <si>
    <t>SPO0045</t>
  </si>
  <si>
    <t>YP_165318.1</t>
  </si>
  <si>
    <t xml:space="preserve"> phosphomethylpyrimidine kinase </t>
  </si>
  <si>
    <t>AAV93378.1</t>
  </si>
  <si>
    <t>MRAFYGTELPNPLMLGTAQYPSPAILEQAFRASGAGVATVSLRRESGAGQTFWSMIRDLGVLILPNTAGCHTVKEAVTTAHMAREVFGTPWIKLELIGHTDSLQPDVFGLIEAARILTEDGFQVFPYTTDDLIVGERLLAAGCEVLMPWGAPIGSGRGLNNEYALRAMRAEFPDTPLVVDAGIGLPSHAARALELGYDAVLLNTAVARAGDPVEMARAMALAIQAGQLAHRADPIEARDMASASTPVIGKAFLS</t>
  </si>
  <si>
    <t>SPO0047</t>
  </si>
  <si>
    <t>YP_165321.1</t>
  </si>
  <si>
    <t xml:space="preserve"> thiazole synthase </t>
  </si>
  <si>
    <t>AAV93406.1</t>
  </si>
  <si>
    <t>MNFCVKVLLMVKKPTTLSTRRSFLVGAATALGTPALAQFTPEDPLRPAPEPEAPVRRNTSSFRALDWRPYFSNTRNGAILVDTVSRALHYWSEDQSVYRLFPSSVPLTDELTRRGRTSVIRKVVGPSWAPTPSMKKRNPEWPDYIPPGPDNPLGTHALYLSWKYYRIHGTHDTRKIGRRSSNGCIGLYNEHISQLFDLTKVGTQVLLI</t>
  </si>
  <si>
    <t>SPO0075</t>
  </si>
  <si>
    <t>YP_165349.1</t>
  </si>
  <si>
    <t xml:space="preserve"> ErfK/YbiS/YcfS/YnhG family protein </t>
  </si>
  <si>
    <t>AAV93414.1</t>
  </si>
  <si>
    <t>MTDRSSFIDTARQVVLDEARALDALSESLGDGFAEAVELILRTKGRVIVSGIGKSGHIGHKIAATLASTGTPAYFVHPAEASHGDLGMLSGDDVVLAISNSGEAPELANLLAFTRRFAIPLIGLSSKSESSLMQQADVHLLIPALGEACGFGMVPSISTTLTLAMGDALAIALMKYRDFRPENFRVFHPGGKLGARLSRVSDLMHGGEAVPLIAADTPMSEALLEISRKGFGVVGVTDGAGHLAGIVTDGDLRRHMSGLLDKTAAQVMTANPTTIAPDSLAEEAVAIMNARKITSLFVVDPAEPGVARGLLHIHDCLRVGLG</t>
  </si>
  <si>
    <t>SPO0082</t>
  </si>
  <si>
    <t>YP_165356.1</t>
  </si>
  <si>
    <t xml:space="preserve"> arabinose 5-phosphate isomerase </t>
  </si>
  <si>
    <t>AAV93426.1</t>
  </si>
  <si>
    <t>MAVRLAYPWVIHSERGPSVDIATRVYNHKWKIDPIVRSLIDTDFYKLLMCQSVFRNKPDTQVTFSLINRTMRIPLARIIDEGELREQLDHIRSLRLSRGESTWLRGNTFYGKRQMFRPDFMEWFEGLQLPPYHLERRDDQYELTFEGNWPEVMLWEIPALAVLMELRSRAVLHDMRRFELQVLYARAMTRVWEKIERLRGIDGLTIADFGTRRRHSFLWQDWCVQAMIEGLGAKFTGTSNCLIAMRREVEAIGTNAHELPMVYSALAETDTELARAPYDVLSDWHEEHDGNLRIILPDTYGTKGFLDRAPDWLAGWTGIRIDSGDPAEGAETAISWWKDRGENPTDKRIIFSDGLDVDKIAELHARFSGRAKISFGWGTLLTNDFRGLVPDDGLAPFSLVCKAVSANGHPTVKLSDNPEKAMGPADEVARYKRVFGVGRQTSYAVEV</t>
  </si>
  <si>
    <t>SPO0095</t>
  </si>
  <si>
    <t>YP_165369.1</t>
  </si>
  <si>
    <t xml:space="preserve"> nicotinate phosphoribosyltransferase </t>
  </si>
  <si>
    <t>Vit/Coenzyme (NAD)</t>
  </si>
  <si>
    <t>AAV93433.1</t>
  </si>
  <si>
    <t>MSATARKTAPNAQDIRARKGGVPLVSLTAYTTPMARLMDGHCDFVLVGDSVGMVLHGLNSTLGVTMEMMILHGQAVARGLDRAMLVIDMPFASYEEGPAQAFRNAARLMAETGAGAVKLEGGVEMAETIRFLVKRGIPVMAHIGLTPQSINTLGGYKVQGRDDQAQAVLADARAVADAGAFSVVLEKVPATLADRITAEVAIPTIGIGASAGCDGQILVVDDMLGFFTAFKPKFVKRYADLGPLAEAAIAEYAAEVRARSFPAAEHVFGDQAPAKGAKA</t>
  </si>
  <si>
    <t>SPO0102</t>
  </si>
  <si>
    <t>YP_165376.1</t>
  </si>
  <si>
    <t xml:space="preserve"> 3-methyl-2-oxobutanoate hydroxymethyltransferase </t>
  </si>
  <si>
    <t>Vit/Coenzyme (CoA)</t>
  </si>
  <si>
    <t>AAV93435.1</t>
  </si>
  <si>
    <t>MTFILAIDQGTTSSRAILFDGEMRRVATAQREFTQHFPEAGWVEHDAEEIWQTTVEVCREVIAGQGIGPEQIAGIGITNQRETTVVWDKAGGAPVHRAIVWQDRRTAAICERLRHAGCEDDFTAQTGLLLDPYFSGTKVKWILDTVPGARDRAAAGELLFGTIDSFLIWRLTGGRVHASDATNAARTLMFDIHQGEWSKDICELLDVPMSMLPEVRDCAADFGTTDLFGGQVPILGVAGDQQAATIGQACFQPGMMKSTYGTGCFALLNTGTQPVASQNRLLTTIAYQLDGQRTYALEGSIFIAGAAVQWLRDGLGIIENAAQSGALAARADPAQNVILVPAFTGLGAPYWKPDCRGAMFGLTRNSGPAEFCKAALESVAYQTRDLWEAMQGDWGADADVILRVDGGMSASDWAMQGLADRLGAPVDRPVMQETTALGAAWLAGMRAGVYPDQAGFAATWALDARFTPKMVEGDREAAYRRWKAAVAAAMMV</t>
  </si>
  <si>
    <t>SPO0104</t>
  </si>
  <si>
    <t>YP_165378.1</t>
  </si>
  <si>
    <t xml:space="preserve"> glycerol kinase </t>
  </si>
  <si>
    <t>AAV93445.1</t>
  </si>
  <si>
    <t>MQYIENKTFDEIRIGDSAELTRKLKADDIELFAVMSGDVNPAHVDEEYARSDMFHEVVAHGMWGGALISAVLGTELPGPGTIYLNQNLSFRRPVGLGDTVTVRVTVASKDAGTKRLKLDCLCVNQDGETVIKGQAEVIAPSEKVRRPRVVLPDVHLHERGARYRDLIAATHAMAPVRTAIVHPCDALSLTGALEAASQGLIVPILVAPRVKLEAVAEEAGLVLDGVEIVDVPHSHAAAERAVALVRCGKAEALMKGKLHTDELMDPVVDRDTGLRSERRMSHIFALDVPHYPKPLFVTDAAINIFPDLDTKRDIVQNAIDLAQALGIDRPKVAILSAVETVYPKIPSTIEAAALCKMWDRGQITGGVLDGPLAFDNAVSKSAAKAKGIVSEVAGDADILVVPDLEAGNMIAKQLIHLAGAEAAGIVLGARVPIILTSRADGVMSRLASSAMAQLYIHHAKKVVS</t>
  </si>
  <si>
    <t>SPO0115</t>
  </si>
  <si>
    <t>YP_165389.1</t>
  </si>
  <si>
    <t xml:space="preserve"> bifunctional enoyl-CoA hydratase/phosphate acetyltransferase </t>
  </si>
  <si>
    <t>AAV93452.1</t>
  </si>
  <si>
    <t>MFFQVIAVFLLALIPVLGAVPAQAEPLAKELFGAQKSASRQKPAAYGSYAKGCAAGLEQLPETGPTWQAMRLSRNRNWGHPETIDFIRDLSGFAARQKGWSGLYIGDISQPRGGPMLTGHRSHQLGLDIDIWMLQANNLRLSGQHRENISSISLRRAKGAYVNDNWTRQHHAIMREAARDKRVARIFVFPGAKVWMCNNEKGDRSYLRKIRPWWGHHYHFHVRLSCPRGSRGCVDQTPPPQGDGCAEAQEWVNNILNPPPPKPRDPNAPPPKKRREYVLADLPKQCASVLRSQ</t>
  </si>
  <si>
    <t>SPO0124</t>
  </si>
  <si>
    <t>YP_165396.1</t>
  </si>
  <si>
    <t xml:space="preserve"> penicillin-insensitive murein endopeptidase </t>
  </si>
  <si>
    <t>AAV93456.1</t>
  </si>
  <si>
    <t>MNHMRLDGKTAIVTGGAQGFGAGIVAKFVSEGARVMVADINLDTARETAAQMDGDAFAHQVDVSDGNSVDAMAAAALRRFGHVDILVNNAGVTHLPTAMEDVSEADFDRVYRVNMKSVYLTARALVPHMKDRGKGAILNVASTAGVSPRPRLNWYNASKGWMITATRTMAVELAPNGIRVNALNPVAGETPLLKSFMGEDTPEMRAKFLSTIPLGRFSTPQDMGNAACFLCSDEASMITGVAMEVDGGRCI</t>
  </si>
  <si>
    <t>SPO0128</t>
  </si>
  <si>
    <t>YP_165400.1</t>
  </si>
  <si>
    <t xml:space="preserve"> 3-ketoacyl-(acyl-carrier-protein) reductase </t>
  </si>
  <si>
    <t>Lipid transport and metabolism; Secondary metabolites biosynthesis, transport and catabolism; General function prediction only</t>
  </si>
  <si>
    <t>AAV93470.1</t>
  </si>
  <si>
    <t>MTDIVILDGARTAIGTFGGALASTAPIDLATVVTEAALERSGVEGGQIGHVVFGHVINTEPRDMYLSRVAAMQAGIPNGTPAMNVNRLCGSGAQAIVSAVQSLMLGDAEFAVAGGAESMSRSPFIMTQARWGAKMGDVKSLDMMLGALNCPFGTGHMGVTAENVADEHQISREQMDQFAMTSQERAAAAIAAGHFDGQITPVQVKVKRDMVDFKVDEHPKATSVEVLAGLKPVFKKDGRVTAGNASGINDGAAAMVLATADAAEKAGLKPKARILGYAHAGVRPEVMGIGPVPAVQNLLARTGLSIGDFDVIESNEAFAAQALAVNKELGLDAAKVNPNGGAIALGHPVGATGAIITLKTLYELERTGGSKGLITMCIGGGQGIAIAIELL</t>
  </si>
  <si>
    <t>SPO0142</t>
  </si>
  <si>
    <t>YP_165414.1</t>
  </si>
  <si>
    <t xml:space="preserve"> beta-ketothiolase </t>
  </si>
  <si>
    <t>AAV93475.1</t>
  </si>
  <si>
    <t>MAFETIIVEVEDHVALIRLNRPDALNALNTQLLGELCTALEEADGNDKVRCIVITGSDKAFAAGADIREMSQKTYVEVYSENLFAAANDRVSAIRKPIIAAVAGYALGGGCELAMLCDFIIAADTAKFGQPEINLGVIAGIGGTQRLTRLVGKSKSMDLNLTGRFMDAEEAERAGLVSRVVPAKKLVEEALSAAQKIAEKSMISAYAVKEAVNRSYETTLSEGLLFERRVFHSMFATEDQKEGMAAFLEKRAAQFRDK</t>
  </si>
  <si>
    <t>SPO0147</t>
  </si>
  <si>
    <t>YP_165419.1</t>
  </si>
  <si>
    <t xml:space="preserve"> enoyl-CoA hydratase </t>
  </si>
  <si>
    <t>AAV93516.1</t>
  </si>
  <si>
    <t>MTFDYVIVGGGSAGSALAARLSEDPGRTVCLIEAGGRGDSLLIRAPAAVVAMLPGRPRINNWAYETVPQPGLNGRRGYQPRGKALGGSSAINAMLYVRGHRRDYDEWAELGCDGWSWDEVLPYFRKSENNQRGADPMHGGSGPLQVSDQQSPRPISRAFVEAGAAMQIRQSDDFNTGDNEGIGLYQVTQFHKPGHQGERCSAALAYLYPVMGRPNLTVITRAHAKQVLFEGKRAIGVRYRKAGQSHTARAACEVILCGGAFNSPQMLQLSGVGRPEDIAPHGIAMVHELPGVGQNLQDHLDFTLAYKSRDTDNFGLGLAGAVNLLRHARAWRRDGSGMIATPFAEGGAFFKTDPGLERPDIQLHFVISIVDDHARKLHMGYGFSCHVCVLRPGSRGTVSLASADPLAAPVIDPQFLSDPADLSALMKGVRKTREMMRSQPLSGYIHKELFIDGEPDDAGLEQHIRARADTIYHPVGTCRMGRDEMAVVDPQLRVHGVEGLRVVDASVMPRLIGGNTNAPTIMIAEKAADMIRAAAQA</t>
  </si>
  <si>
    <t>SPO0190</t>
  </si>
  <si>
    <t>YP_165460.1</t>
  </si>
  <si>
    <t xml:space="preserve"> GMC family oxidoreductase </t>
  </si>
  <si>
    <t>glycine, serine and threonine metabolism</t>
  </si>
  <si>
    <t>AAV93535.1</t>
  </si>
  <si>
    <t>MSNPSLLILPGDGIGPEVMAEVRKIIGWFGDKRGLNFDVSEDLVGGAAYDVHGVPLADETMAKAQEADAVLLGAVGGPKYDDLDFSVKPERGLLRLRKEMDLFSNLRPAQCFDALADFSSLKKDIVAGLDIMIVRELTSGVYFGEPRGIFEEGNERVGINTQRYTESEIERVARSAFELAMRRSKKLCSMEKANVMESGILWREVVTRVAKDYPEVELSHMYADNGAMQLVRAPKQFDVILTDNLFGDILSDCAAMLTGSLGMLPSASLGAPMANGRPKALYEPVHGSAPDIAGQGKANPIACILSFAMALRYSFDQGAEADRLEAAVEQVLADGVRTADLLGTEGVTPVSTTEMGAAILAKLDASL</t>
  </si>
  <si>
    <t>SPO0210</t>
  </si>
  <si>
    <t>YP_165479.1</t>
  </si>
  <si>
    <t xml:space="preserve"> 3-isopropylmalate dehydrogenase </t>
  </si>
  <si>
    <t>Energy production and conversion; Amino acid transport and metabolism</t>
  </si>
  <si>
    <t>AAV93541.1</t>
  </si>
  <si>
    <t>MSPKTLYDKIWDAHLAHEAEDGTCLLYIDRHLVHEVTSPQAFEGLRMAGRKVRAPEKTIAVPDHNVPTTEGREDPAQMTEESRIQVQALDKNAREFGVHYYPVDDIRQGIVHIVGPEQGWTLPGMTVVCGDSHTATHGAFGALAHGIGTSEVEHVLATQTLIQKKSKNMKVEITGKLNPGVTAKDITLAVIGATGTAGGTGYVIEYCGEAIRDLSMEGRMTVCNMAIEGGARAGLIAPDQTTFDYVKGRPHAPKGAQWEAALAWWKTLYSDDGAHFDKIVTLKGEEIEPVVTWGTSPEDVLPITGVVPSPEDFTGGKVEAARRSIEYMGLTPGQKLTDIEIDTVFIGSCTNGRIEDLRAVAEVVKGKKIKSGLRAMVVPGSGLVRAQAEEEGIADILKDAGFEWRLAGCSMCLAMNPDQLAPGERCAATSNRNFEGRQGYKGRTHLVSPAMAAAAALTGKLTDVRELI</t>
  </si>
  <si>
    <t>SPO0216</t>
  </si>
  <si>
    <t>YP_165485.1</t>
  </si>
  <si>
    <t xml:space="preserve"> isopropylmalate isomerase large subunit </t>
  </si>
  <si>
    <t>AAV93547.1</t>
  </si>
  <si>
    <t>MKIGCPKEIKPQEFRVGMTPNAAREAVSHGHEVIIETNAGAGAGFDNADYVDAGARIVDTAAEVFATADMIVKVKEPQAIERKMLREGQLLFTYLHLAPDPDQTHDLLASGATCIAYETVTDRNGGLPLLAPMSEVAGRLAPQVGAWTLQKANGGRGVLMGGVPGVGPAKVLVIGGGVVGTHAAKIAAGMGADVTVLDRSIPRLRYLDDVFGGTFKNSYASAGNTIELARQADMIIGAVLIPGAAAPKLISRAQLSELKPGAALVDVAIDQGGCFETSKATTHQDPIYEVDGIMHYCVANMPGAVARTSTIALGNATMPFMLALADKGWKQACADDVHLLNGLNVHAGKLTYAAVGEALGLDVVSASQLVQ</t>
  </si>
  <si>
    <t>SPO0222</t>
  </si>
  <si>
    <t>YP_165491.1</t>
  </si>
  <si>
    <t xml:space="preserve"> alanine dehydrogenase </t>
  </si>
  <si>
    <t>alanine to pyruvate</t>
  </si>
  <si>
    <t>AAV93573.1</t>
  </si>
  <si>
    <t>MASYDDRDGVIWMDGELVDWRDAKVHILTHAMHYASSVFEGERAYNGKIFKSREHSERLVASAQALDMPMPYTVDQIEAAKEETLKASGLTDAYVRALVWRGSGEDMGVASARNPVRMAIAVWPWGAYYGDAKMQGAKLDIAEWKRPSPETIPVHAKAAGLYMICTISKHKAEAKGCSDALFMDWRGYVAEATGANVFFVKDGEVHTPLADCFLNGITRQTVIGMLKDKGITVHERRIKPEEMEGFEQCWLTGTAAEVTPVGQIGPYTFEVGQMTRDIAAEYEALVRA</t>
  </si>
  <si>
    <t>SPO0253</t>
  </si>
  <si>
    <t>YP_165517.1</t>
  </si>
  <si>
    <t xml:space="preserve"> branched-chain amino acid aminotransferase </t>
  </si>
  <si>
    <t>synthesis of the branched-chain amino acids</t>
  </si>
  <si>
    <t>Amino acid transport and metabolism; Coenzyme transport and metabolism</t>
  </si>
  <si>
    <t>AAV93582.1</t>
  </si>
  <si>
    <t>MTDAQDHKEKMKAVQAEHRKKVSEAVDPGRGLVLINTGKGKGKSSAAFGVVIRALGWGQKVAVVQFIKGKWKTGERRFFEEHNLVTWHTMGEGFTWDTQDRDRDIAAATAAFGKARELMESGDYDLVVLDEINIALRYEYLSVDTVLDGLQARSDRTSVFLTGRDAPQALRDYADLVTEMTVEKHPFEAGIKAQRGVDF</t>
  </si>
  <si>
    <t>SPO0262</t>
  </si>
  <si>
    <t>YP_165526.1</t>
  </si>
  <si>
    <t xml:space="preserve"> cob(I)alamin adenosyltransferase </t>
  </si>
  <si>
    <t>Vit/Coenzyme (Vit B12)</t>
  </si>
  <si>
    <t>AAV93584.1</t>
  </si>
  <si>
    <t>MDQIASAFGPQGFDVQGEGTWPSRFAVTDLATRCFGAVGAALGAVIEARGLGPRPAISVDRRLASLWYSWSIHPQGWQMPGAWDAIAGDYAAADGWIKLHTNAPHHRAAALSVLGCGAERATVAEAVRGWQADTLEAAIVGAGGAAAAMRSRAAWLAHPQGAAVAAEPLVHWATRAGVLRDFGGTRARPLAGLRVLDLTRVLAGPVATRTLAGYGAEVLRIDPPSWSEPGVVPDVTLGKTCAHLDLKQAADRARFEALLAGADVLVHGYRPGALDALCSPERRLALAPNLIEVSLCAYGWTGPWAGRRGFDSLVQMSCGIAEAGMGWAGADQPHPLPVQALDHATGYLMAAAVLTALARAARGEGVSAARLSLARTAELLCGLETGEEGPAITGSTPEDLSDWDEQTSWGPARRLKPALSVEGAEMRWDSAACELGSSPAAWR</t>
  </si>
  <si>
    <t>SPO0264</t>
  </si>
  <si>
    <t>YP_165528.1</t>
  </si>
  <si>
    <t xml:space="preserve"> CaiB/BaiF family protein </t>
  </si>
  <si>
    <t>AAV93587.1</t>
  </si>
  <si>
    <t>MSMNSFGHLFRVTTWGESHGPALGATVDGCPPGVPIEEAMIQHWLDRRKPGQNKYTTQRREADEVKILSGVFEGQTTGTPVQLMIENTDQRSKDYGDIKDKFRPGHADITYFQKYGIRDYRGGGRSSARETAARVAAGGLAREAIRALAPNAQITGYMVQMGPHRIDRARFDWAQIEQNPFWVPDAQAASDWADYLDGLRKSGSSVGAVIEVVARGVPAGLGAPVYGKLDTDLAAAMMSINAVKGVEIGEGMAAAELTGEANADEIFMGQNGPQYSSNHAGGILGGISTGQDIVVRFAVKPTSSILTTRKTITKSGEETEIITKGRHDPCVGIRAVPVGEAMMACVILDHLLLHRGQIGANRGHIG</t>
  </si>
  <si>
    <t>SPO0267</t>
  </si>
  <si>
    <t>YP_165531.1</t>
  </si>
  <si>
    <t xml:space="preserve"> chorismate synthase </t>
  </si>
  <si>
    <t>phenylalanine, tyrosine and tryptophan biosynthesis</t>
  </si>
  <si>
    <t>AAV93602.1</t>
  </si>
  <si>
    <t>MSNILFTNARLIDPEAGTDRIGWLRVTGGRIVATGEDSPQGLEEPPAETLDCGGKCLAPGIVDIGVKVGEPGERHKESYKSAGQAAAAGGVTTIITRPDTNPAIDTPEALEFVTRRAQADTPVNVLPMAALTKGRQGREMTEIGFLLDAGAVAFTDCDHVVTNTKVFSRALTYAKSCGALVIAHPQDPGLSEGAAATSGKFAALYGLPAVSPMAERMGLDRDIALLEMTGAKYHADQITTARALPALERAKKNGLDITAGTSIHHLTLNELDVSGYRTFFKVKPPLRSEDDRQAVIEAVRTGLIDTISSMHTPQDEESKRLPFEEAASGAVALETLLPAALRLYHAGQLDLPTLFRAMALNPARRLGLASGRLGAGAPADLVLFDPDVPFVLDRFTLKSKSQNTPFDGQRMQGRVLATYVAGQAVYRRD</t>
  </si>
  <si>
    <t>SPO0284</t>
  </si>
  <si>
    <t>YP_165547.1</t>
  </si>
  <si>
    <t xml:space="preserve"> dihydroorotase, multifunctional complex type </t>
  </si>
  <si>
    <t>Nucleotide transport and metabolism</t>
  </si>
  <si>
    <t>AAV93616.1</t>
  </si>
  <si>
    <t>MPYRSPVTDYTFLLSHVVGYDRVSGTEKYAEAGADMVSAILTEAGRMCDEVMAPLQRGGDLNPARLENGALRSSPGFAEGWKAIAEGGWIGMSGSPEHGGMGLPMAVTTAVNDMMSGACLSLQLAPLMSQGQIEALEHHASDAIKALYLPKLISGEWSGTMNLTEPQAGSDVGALSSKAEPNGDGTYAVTGQKIFISWGDNDFCDNVCHLVLARLPDGVPGTKGISLFLVPRNLPDENGNAGVANSLKVVSLEHKMGLHGSPTCVMQYDGATGWLVGEEHGGMAAMFTMMNNARLGVGGQGVGVAEAAWQHAMAYAMERKQGKSASGTIADHADVRRMLTSMKADVFAARAILAACAVAIDMGNATGSAEWKARAAFLTPIAKAFGTDTGIAVSETGVQVHGGMGFIEETGAAQFYRDVRVTAIYEGTNGIQAMDLVARKMMDGGEAAAKLLDEIEDHAERARGRLPELAGPVWEATETLREATEWMVAQGELNDRFAGAVPFLRAFARVLGGHFHLIAALADPGGPREKLARYYINALLPEHAGLLEQAQGGCADLYAISLEELSA</t>
  </si>
  <si>
    <t>SPO0298</t>
  </si>
  <si>
    <t>YP_165561.1</t>
  </si>
  <si>
    <t xml:space="preserve"> acyl-CoA dehydrogenase family protein </t>
  </si>
  <si>
    <t>AAV93643.1</t>
  </si>
  <si>
    <t>MARTALVTGGSRGIGAAISKALKAEGYNVAATYAGNDEAATAFTAETGIATYKWNVADYDESAAGIAKVEAEVGPIDIVVANAGITRDAPFHKMTPEQWHQVIDTNLTGVFNTVHPVWPGMRERKFGRVIVISSINGQKGQFAQVNYAATKAGDLGIVKSLAQEGARAGITANAICPGYIATEMVMAIPEKVRDSIVAGIPAGRLGEPEEIARCVTFLASEDSGFINGSTISANGAQFFV</t>
  </si>
  <si>
    <t>SPO0325</t>
  </si>
  <si>
    <t>YP_165588.1</t>
  </si>
  <si>
    <t xml:space="preserve"> acetoacetyl-CoA reductase </t>
  </si>
  <si>
    <t>PHA (?)</t>
  </si>
  <si>
    <t>AAV93644.1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</si>
  <si>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</si>
  <si>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>SPO0326</t>
  </si>
  <si>
    <t>YP_165589.1</t>
  </si>
  <si>
    <t xml:space="preserve"> acetyl-CoA acetyltransferase </t>
  </si>
  <si>
    <t>AAV93650.1</t>
  </si>
  <si>
    <t>MTDKTSNQMWGGRFAAGPDAIMEAINASIGFDKRLAAQDIAGSRAHAAMLAATGVITDSDAEAIREGLLTVLSEIEAGEFTFSTALEDIHMNVEARLKEIIGEPAGRLHTARSRNDQVATDFKLWVRDQFDAAEAGLLALLRALLGQAEAGADWVMPGFTHLQTAQPVTWGHHMMAYVEMFGRDLSRVRDARARMNESPLGSAALAGTSFPIDRHMTAAALGFDRPTANSLDAVSDRDFALEFLSVASICAMHLSRFAEELVIWSSAQFRFVTLSDRFSTGSSIMPQKKNPDAAELIRAKVGRIFGANTALMMVMKGLPLAYSKDMQEDKEQVFDAADNWMLALAAMEGMVRDMTANRDSLAAAAGSGFSTATDLADWLVRVLGLPFRDAHHVTGALVALAESKGCDLPDLSLDEMQSAHAAITEDVYGVLGVENSVNSRQSYGGTAPAQVRAQVARWKEMLA</t>
  </si>
  <si>
    <t>SPO0332</t>
  </si>
  <si>
    <t>YP_165595.1</t>
  </si>
  <si>
    <t xml:space="preserve"> argininosuccinate lyase </t>
  </si>
  <si>
    <t>MVPTLGESVTEATVSTWFKKVGDSVAQDEMLCELETDKVSVEVPAPASGVLTEIVAAEGATVNASAKLAVISGSASGASPAPAAPAAAVTPAVATGKDIANAPSAEKAMAEAGITPAQVTGTGRDGRIMKEDVTAAVAAAAAAPAPAAAAPAPAAAPRAPALAEDAAREERVRMTRLRQTIARRLKDAQNTAAILTTYNEVDMTEVMALRNTYKDAFEKKHGVRMGFMSFFTKACCHALKEVPEVNAEIDGQDIVYKNYVHMGVAAGTPQGLVVPVIRDADQMSFAEIEKAIAEKGKRARDGKLSMAEMQGGTFTISNGGVYGSLMSSPILNPPQSGILGMHKIQDRPMVINGEIKIRPMMYLALSYDHRIVDGKGAVTFLVRVKEALEDPRRLLMDL</t>
  </si>
  <si>
    <t>SPO0343</t>
  </si>
  <si>
    <t>YP_165606.1</t>
  </si>
  <si>
    <t xml:space="preserve"> dihydrolipoamide acetyltransferase </t>
  </si>
  <si>
    <t>AAV93662.1</t>
  </si>
  <si>
    <t>MTEQSPNSQFHASSFMQGHNAEYLEQLYARYANDPGAVDAAWAEFFRAMGDAETDVKKEANGPSWARADWPPMPADDLTGALTGQWAEIDAKAAGGKIKEQAAKAGVPVSDDQIKRAVLDSIRALMIIRAYRIRGHLVADLDPLGMRANTLHPELDPKTYGFADSDMDRPIFIDNVLGLTHASMRQILDIVKRTYCGTFALQYMHISNPEEAAWLKERIEGYGKEISFTREGRKAILNKMVEAEGFEKFLHVKYMGTKRFGLDGGEALIPAMEQIIKRGGALGVREIVIGMPHRGRLNILANVMGKPYRAIFNEFQGGSFKPEDVDGSGDVKYHLGASSDREFDGNTVHLSLTANPSHLEAVNPVVLGKARAKQDQFGDKDRTSVMPVLLHGDAAFAGQGVVAECFQLSGIRGHRTGGTMHIVVNNQIGFTTAPHFSRSSPYPTDIALMVEAPIFHVNGDDPEAVVHAAKVATEFRQKFRKDVVLDIFCYRRFGHNEGDEPMFTNPIMYKKIKSHKTTLALYTERLVRDGLIPEGEIEDMKAAFQAHLNEEFEAGKDYKPNKADWLDGRWSHLDKNKEEYVRGETAITPETLAAVGNALTRAPEGFSLHRTVERLLETKKAMFDSGTGIDWATGEALAYGSLLTEGYPVRLAGQDATRGTFSQRHSGLISQDSEERYYPLNNIRKGQAQYEVIDSMLSEYAVLGFEYGYSLAEPNALTLWEAQFGDFANGAQIMFDQFISSGESKWLRMSGLVCLLPHGFEGQGPEHSSARLERFLQMCGQDNWIVANCTTPANYFHILRRQLHRTFRKPLILVTPKSLLRHKLAVSRTEEFTTGSSFHRVLWDDAQYGNSDTKLVADDKIKRVVLCSGKVYFDLLEERDARGIDDVYLLRIEQYYPFPAHSLINELERFKGAEMVWCQEEPKNQGAWSFIEPNIEWVLTRIGAKHTRPTYVGRATSASPATGLASQHKAQQEALVNEALSIEGK</t>
  </si>
  <si>
    <t>SPO0344</t>
  </si>
  <si>
    <t>YP_165607.1</t>
  </si>
  <si>
    <t xml:space="preserve"> alpha-ketoglutarate decarboxylase </t>
  </si>
  <si>
    <t>AAV93664.1</t>
  </si>
  <si>
    <t>MAVLIDENTKVICQGFTGSQGTFHSEQAIAYGTKMVGGVTPGKGGMEHLGLPVFNSVHEAKHVTEANATVIYVPPPFAADSILEAIDAQMEVIVCITEGIPVLDMMKVKRALEGSSSRLIGPNCPGVITPDACKIGIMPGHIHKRGSVGVVSRSGTLTYEAVKQTSDIGLGQSTAVGIGGDPIKGTEHIDVLEWFLADDETESIIMIGEIGGSAEEEAAQFLKDEAKKGRKKPVAGFIAGRTAPPGRRMGHAGAIVAGGKGGAEDKIEAMRSAGIVVADSPATLGEAVLEAIGK</t>
  </si>
  <si>
    <t>SPO0346</t>
  </si>
  <si>
    <t>YP_165609.1</t>
  </si>
  <si>
    <t xml:space="preserve"> succinyl-CoA synthase, alpha subunit </t>
  </si>
  <si>
    <t>AAV93665.1</t>
  </si>
  <si>
    <t>MNIHEYQAKALLRSYGAPVSDGRVVLRAEDAKTAAGELDGPLWVVKAQIHAGGRGKGKFKEADAGEKGGVRLTKSVEEAAEEAKKMLGRTLVTHQTGPVGKQVNRIYIEAGSGIERELYLALLVDRQTSRISFVCSTEGGMDIEEVAASTPEKILSFSVDPVTGYQPYHGRRIAFSLGLEGPQVKQCVALMGLLYKAFVEKDMEMLEINPLIVAEGGSLKVLDAKVGFDGNAIYRHSDIAELRDTTEEDPKELEASKYDLNYIALDGEIGCMVNGAGLAMATMDIIKLYGAEPANFLDVGGGATKEKVTEAFKIITSDPNVKGILVNIFGGIMRCDVIAEGVVAAVKEVGLQVPLVVRLEGTNVEKGKEIINTSGLNVIAADNLSDGAEKIVKAVKG</t>
  </si>
  <si>
    <t>SPO0347</t>
  </si>
  <si>
    <t>YP_165610.1</t>
  </si>
  <si>
    <t xml:space="preserve"> succinyl-CoA synthetase subunit beta </t>
  </si>
  <si>
    <t>AAV93667.1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</si>
  <si>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</si>
  <si>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>SPO0349</t>
  </si>
  <si>
    <t>YP_165612.1</t>
  </si>
  <si>
    <t xml:space="preserve"> malate dehydrogenase </t>
  </si>
  <si>
    <t>AAV93670.1</t>
  </si>
  <si>
    <t>MDPRQRPYRSVLYIPGSKERALDKARSLPVDAIIFDLEDAVAADEKDNARETLKAALAQGGYGARVKIVRINGLDTPWGHADAEAVRDMDADVVLLPKVGGAADVDALAAITGDLPIWAMMETPRGMLNAAQIAAHPLLTGFVMGTNDLAKELQTRFRADRLPMMSSLGLCLLAAKAEGLIAIDGVYNAFKDGEGLAAECAQGRDMGFDGKTLIHPAQVEIANTAFAPSEAEIDLARRQIAAFAEVEASGQGVAVVDGKIVENLHVATAREVLAKAEAILALQAG</t>
  </si>
  <si>
    <t>SPO0352</t>
  </si>
  <si>
    <t>YP_165615.1</t>
  </si>
  <si>
    <t xml:space="preserve"> citrate lyase, beta subunit </t>
  </si>
  <si>
    <t>AAV93678.1</t>
  </si>
  <si>
    <t>MAAYEYETHEYDVVVVGAGGAGLRATLGMAEQGLRTACVTKVFPTRSHTVAAQGGIAASLSNMGPDHWQWHMYDTVKGSDWLGDTDAMEYLAREAPKAVYELEHYGVPFSRTEEGKIYQRPFGGHTTEFGEGPAVQRTCAAADRTGHAILHTLYGQSLKNNAEFYIEYFAIDLIMSEDGQCQGVVCWKLDDGTFHVFNAKMVVLATGGYGRAYFSATSAHTCTGDGGGMVARAGLALQDMEFVQFHPTGIYGSGCLITEGARGEGGYLTNSEGERFMERYAPQYKDLAPRDYVSRSMTMEIREGRGVGKDGDHIHLNLSHLPAEALAERLPGISESAKIFAGVDVTKEPIPVLPTVHYNMGGIPTNYWGEVLNPTADNPTAIVPGLMAVGEAGCASVHGANRLGSNSLIDLVVFGRASAIRAGKVVDPEAANPVLNLASVEKAFDRFDGLRNAKGSVATADLRLEMQKTMQADAAVFRTAKTMAEGVEKMTAIAAKMDDLSVTDRSLVWNSDLMETLELTNLMPSALATIVGAEARKESRGAHAHEDFPTRDDENWRVHTISRVEGNKVELSYRPVITEPLTTEEQGGIALKKIAPKERTF</t>
  </si>
  <si>
    <t>SPO0360</t>
  </si>
  <si>
    <t>YP_165623.1</t>
  </si>
  <si>
    <t xml:space="preserve"> succinate dehydrogenase flavoprotein subunit </t>
  </si>
  <si>
    <t>AAV93679.1</t>
  </si>
  <si>
    <t>MVQLTLPKNSRLTTGKTWPKPEGATNLRKFQIYRWNPDDGQNPRVDTYFVDMDDCGPMVLDALIYIKNKVDATLTFRRSCREGICGSCAMNIDGINTLACIYGMDEIKGDVKIYPLPHMPVVKDLIPDLTHFYAQHASIMPWLETKTNRPAKEWKQSIEDRRKLDGLYECVMCASCSTSCPSYWWNGDRYLGPAALLHAYRWIIDSRDEATGERLDNLEDPFKLYRCHTIMNCAKTCPKGLNPAKAIAEIKKMMVERTV</t>
  </si>
  <si>
    <t>SPO0361</t>
  </si>
  <si>
    <t>YP_165624.1</t>
  </si>
  <si>
    <t xml:space="preserve"> succinate dehydrogenase iron-sulfur subunit </t>
  </si>
  <si>
    <t>AAV93684.1</t>
  </si>
  <si>
    <t>MTIHIGANPGEIAETVLLPGDPYRAKWAAETFLDNPVLVNEVRGMLGFTGMWRGNRVTIHGSGMGMPSLSIYANELIRDYGAKTLIRIGSCGGMQDSVEVRDVILAMTASTLGTPSRGIFRELSFAPCADWSLLHAAARAAEDKGVRTHVGGIYSSDVFYDERPDLNEQMVRHGVLGVEMEAAELYILAARHKCRALAVLTVSDHLLTGAALPSAERETSFGDMVEIALHAAFPGA</t>
  </si>
  <si>
    <t>SPO0366</t>
  </si>
  <si>
    <t>YP_165629.1</t>
  </si>
  <si>
    <t xml:space="preserve"> purine nucleoside phosphorylase </t>
  </si>
  <si>
    <t>AAV93686.1</t>
  </si>
  <si>
    <t>MSQMQKDRQTANPDRKADRPWLIRTYAGHSTAKASNTLYRNNLSKGQTGLSVAFDLPTQTGYDSDHVLARGEVGKVGVPICHLGDMRVLFDQIPLEQMNTSMTINATAPWLLALYIAVAEEQGADVSKLQGTVQNDLIKEYLSRGTYVCPPKPSLKMIADVAEYCYTNVPKWNPMNVCSYHLQEAGATPEQELAYALATAIAVLDELKPRVPAEDFPALCGRISFFVNAGIRFVTEMCKMRAFVDLWDEILESRYGVSDPKFRRFRYGVQVNSLGLTEQQPENNVYRILIEMLAVTLSKKARARAVQLPAWNEALGLPRPWDQQWSMRMQQILAYETDLLEFGDLFDGNPVVDAKVEELKAGARAELANLDSMGGAVASIEYMKSRLVDSNAERLNRIERNETVVVGVNRWTEGEPSPLQTEDGGIMVVDPAVEQEQIARLESWRADRDDAAVAAALEALRAAARTGANVMEPSIAAARAGVTTGEWAEEMRKAYGTYRGPTGVSGSVSNKTEGLEDLRAAVDAASDKLGRRLKFLVGKPGLDGHSNGAEQIAFRARDCGMDISYDGIRLTPEELVASALDQQAHVVGLSILSGSHLPLVEEVMERMKKAGLAHIPVIVGGIIPDEDSQKLRAMGVAKVYTPKDFELNGIMGDIVTLVSDTEIAAE</t>
  </si>
  <si>
    <t>SPO0368</t>
  </si>
  <si>
    <t>YP_165631.1</t>
  </si>
  <si>
    <t xml:space="preserve"> methylmalonyl-CoA mutase </t>
  </si>
  <si>
    <t>AAV93688.1</t>
  </si>
  <si>
    <t>MALDTDSGIASYAAPEKDLYEMGEIPPMGFVPKKMYAWAIRKERHGDPDTAMQVEVVDVPTLDSHEVLVLVMAAGVNYNGVWASKGVPISPFDGHGQPYHIAGSDASGIVWAVGDKVKRWKVGDEVVIHCNQDDGDDEHCNGGDPMYSPSQRIWGYETPDGSFAQFTNVQAQQLMPRPKHLTWEEAACYTLTLATAYRMLFGHEPHDLKPGQNVLVWGASGGLGSYAIQLINTAGANAIGVISDESKRQFVMDLGAKGVINRKDFNCWGQLPTVNTPEYAEWFKEARKFGKAIWDITGKGVNVDMVFEHPGESTFPVSTFVVKKGGMVVICAGTSGYNLTFDVRYMWMHQKRLQGSHFAHLKQAMAANQLMVERRLDPCMSEVFTWADLPEAHMKMMRNEHKPGNMSVLVQSPRTGLRTLEEVLDARG</t>
  </si>
  <si>
    <t>SPO0370</t>
  </si>
  <si>
    <t>YP_165633.1</t>
  </si>
  <si>
    <t xml:space="preserve"> crotonyl-CoA reductase </t>
  </si>
  <si>
    <t>Energy production and conversion; General function prediction only</t>
  </si>
  <si>
    <t>AAV93706.1</t>
  </si>
  <si>
    <t>MATGSNIRTYFQGSWHEGDAPIIRAADHGAWLGSGVFDGARYFDGMAPDLEAHCARVNRSAEALMLTPTVSTQDMVEIVREGLKAYGPDQAVYIRPMYWGIDGDPTAIIPQADSTGFAVCLEEIPMAPATASATLTTTRFRRPVLEDAVVNAKAGCLYPNNARMLREARSKGFTNALVADALGNVAETATANIFMVKDGEVFTPIANGTFLAGITRARHIKNLRADGVPVHETVLSFADFHAADEVFMSGNMSKVTPVTALDDTQYQIGPIARRARALYWDWAKSTA</t>
  </si>
  <si>
    <t>SPO0388</t>
  </si>
  <si>
    <t>YP_165651.1</t>
  </si>
  <si>
    <t xml:space="preserve"> aminotransferase </t>
  </si>
  <si>
    <t>AAV93726.1</t>
  </si>
  <si>
    <t>MLASKRILLIIGGGIAAYKTLDLIRRLRERGAAVTPVLTGAAEEFVTPLSVSALAGEKVYRALFDLTDEAEMGHIQLSRSADLVVVAPATADLMGKMAAGLANDLASTLLMATDTPVLIAPAMNVRMWQHPATRRNHAQLAADGIRFIGPNEGDMACGEYGPGRMSEPLEIVAAIEAALGDGPLKGKRVLVTSGPTHEPIDPVRYIANRSSGAQGTAVARALAALGAEVVFVTGPADVPPPDGVEVVRVQSAREMDAAVDAALPVDAGVFAAAVADWRVASASDRKLKKSRDGLPVLEFAENPDILKRVSRMEAGRPPLVVGFAAETNDVIENATAKRLRKGCDWIVANDVSPATGIMGGSENAVILITGEGAEEWPRMSKEAVADRLARRIAETLVG</t>
  </si>
  <si>
    <t>SPO0408</t>
  </si>
  <si>
    <t>YP_165671.1</t>
  </si>
  <si>
    <t xml:space="preserve"> bifunctional phosphopantothenoylcysteine decarboxylase/phosphopantothenate synthase </t>
  </si>
  <si>
    <t>MKGSLMPANVLFSARSELWPVYQPLISTYLREMGIDFDLRRDFPPEEVDYVVYAPNGGLRDFTPFTRLKAVLSLWAGVESIADNPTLTVPLARMVDHGLTQGMTEWVVGHVLRYHLGMDAHIHGLNGDWRQDVPPLASQRQVTILGLGALGEAAARALSALGFQVTGWSRSPKELPGIACLHGPDGLDQALARAEILVLLLPSTAATENTLNTQTLARLPRGARIINPGRGPLIDDDALLAALDSGQVGHATLDVFRIEPLPRDHPYWGHPNVTVTPHIASETRPETAAQVICENIRRGESGEMFLHLVDRSLGY</t>
  </si>
  <si>
    <t>SPO0415</t>
  </si>
  <si>
    <t>YP_165678.1</t>
  </si>
  <si>
    <t xml:space="preserve"> D-isomer specific 2-hydroxyacid dehydrogenase family protein </t>
  </si>
  <si>
    <t>serine biosynthesis</t>
  </si>
  <si>
    <t>Coenzyme transport and metabolism; Amino acid transport and metabolism</t>
  </si>
  <si>
    <t>AAV93740.1</t>
  </si>
  <si>
    <t>MTHVTDQDRVLIFDTTLRDGEQSPGATMTHTEKLEIAEMLDEMGVDIIEAGFPIASEGDFKAVSEIAKRAQNSRICGLARANFADIDRCWEAVKHAEKNRIHTFIGTSPLHRAIPNLTQDEMAEKIHETVSHARNLCDNVQWSPMDATRTEWDYLCRVIEIAIKAGATTINIPDTVGYTAPAESADLIRRLIETVPGADDVIFATHCHNDLGMATANSLAAVAGGARQIECTINGLGERAGNTALEEVVMAMKTRHDIMPWRTGIDTTKIMAISRRVATVSGFNVQFNKAIVGKNAFAHESGIHQDGMLKNRENFEIMRPEDIGLSGTSLPLGKHSGRAALRDKLEHLGYEVGDNQLKDIFVRFKELADRKKEVFDDDVIALMRSGENAEQDHLQLVSMKVICGTGGPAEATVEMEIDGKDVSATAHGDGPVDASFKAIRALHPNEAHLQLYQVHAVTEGTDAQATVSVRLEEDGMIATGESANTDTVVASAKAYINALNRLIVRREKAGPGADAREISYKDLT</t>
  </si>
  <si>
    <t>SPO0422</t>
  </si>
  <si>
    <t>YP_165685.1</t>
  </si>
  <si>
    <t xml:space="preserve"> 2-isopropylmalate synthase </t>
  </si>
  <si>
    <t>leucine biosynthetic pathway</t>
  </si>
  <si>
    <t>AAV93744.1</t>
  </si>
  <si>
    <t>MADRFRITLAQLNPTVGDLAGNAAKARMAWEHGREAGADLVALPEMFVTGYNTQDLVLKPVFHDAAIAMIEALAEECADGPALAIGGPLVEEGKLYNAYLILKGGKIVSRSLKTHLPNETVFDEVRIFDAGPLGGPYSVGNTRIGSPICEDAWHEDVAETLAETGAEFLLVPNGSPYYRDKYDMRINQMVARVVETGLPLIYLNMVGGQDDQVFDGGTFGLNPGGALAFRMPVFDEAITHVDLERGSEGWQIVQGEVAPLPDAWEQDYRVMVESLRDYMRKTGFAKVLLGLSGGVDSALVAAIATDALGPENVRCVMLPSEYTSRSSLDDAEAVAQALGVRYDYVPISESRAAVTNTLAPLFAGTEPGLTEENIQSRLRGLLLMALSNKFGEMLLTTGNKSEVAVGYATIYGDMAGGYNPIKDLYKTRVFETCRWRNANHRLWMMGPAGEVIRPSVIDKPPSAELREDQKDSDSLPDYPELDAILDILVDQDGSIADCVAAGFDRDVARRVEHLIYISEYKRYQAAPGARLTPRAFWLDRRYPIVNRWRDPS</t>
  </si>
  <si>
    <t>SPO0426</t>
  </si>
  <si>
    <t>YP_165689.1</t>
  </si>
  <si>
    <t xml:space="preserve"> NAD synthetase </t>
  </si>
  <si>
    <t>AAV93756.1</t>
  </si>
  <si>
    <t>MITRRTFIAASAAAGTLPWAIQAKASDAFDPTPQVVRIKKQFEPGRLLILPRSFYLYYVTEEREAIRYGCGVGKAGLEFTGTATIDVKKEWPTWRPTPEMIERDPRTYAKFVDNNYIQPGGPENPLGARALYLFQNGVDTYFRIHGTTQPQTIGHAASNGCIRMLNEHVIDLYNRVPLGTVVTVL</t>
  </si>
  <si>
    <t>SPO0438</t>
  </si>
  <si>
    <t>YP_165701.1</t>
  </si>
  <si>
    <t>AAV93872.1</t>
  </si>
  <si>
    <t>MKHARSGTQAMSRQTDQDRIAVLGLGYVGLPLALGLARAGFQTLGFDTDAAHITALGRGHDRNGEVSERSLAETRARFSCDPADLAGCTVYIIGVPTPITDAKTPDLEPLKGACRMIAPHLVPGDMVIVESTVYPGVTEEICGPVLAEGSGLELYSQIKLAYSPERVNPGDAEHSMENVVKIVSAQDAETLDRVAAIYAPVVKAGVHRASSIRTAEAAKVIENTQRDLNIALVNEFSLIFSRLGLDTLEVLEAAGTKWNFLPFKPGLVGGHCIGVDPYYLTYRAEQSGYHPEVILAGRRINDNMGRHVARQLIKALIARRIDPGRARVLVMGFTFKENCADIRNTRVADILSELAEYSVATEVCDPWVDPEAMEQEYGVTPVSEPTTGAYDAIVVAVAHRQFVELGAAAIRAFGLPGAVLYDIKGIFSKSDTDLRL</t>
  </si>
  <si>
    <t>SPO0556</t>
  </si>
  <si>
    <t>YP_165817.1</t>
  </si>
  <si>
    <t xml:space="preserve"> UDP-glucose/GDP-mannose dehydrogenase family protein </t>
  </si>
  <si>
    <t>AAV93897.1</t>
  </si>
  <si>
    <t>MSLFSSTAAWVTDEHRMFAEAAGRFLDDELVPNIETWVDNGVVDRDFWRKAGETGLMAGAIPEEFGGVGGGMGFDAVTIYEQTSRGDAGWGYGIQSIVTHYITAYGSEEQKAKWLPGLASGEMVGAIAMTEPGTGSDLQAVRTTAEKDGNSYRINGSKIFITNGQTADLIIVVAKTDKTLGSKGVSLIALETEGAEGFRRGRNLKKLGMKANDTAELFFEDVKVPMTNLIGPEEGHGFYQLMKQLPWERLTIGIMALGAIDFALAETVKYVQERKAFGQRVMDFQNTRFKLAECKTKAEVLRSFVNDCIGRLEAGQLDAATASMVKYYGSEVQNEIMHECLQLFGGYGFMMEYPIARLYADARVQMIYGGTNEVMKELIARSMDV</t>
  </si>
  <si>
    <t>SPO0582</t>
  </si>
  <si>
    <t>YP_165842.1</t>
  </si>
  <si>
    <t xml:space="preserve"> acyl-CoA dehydrogenase </t>
  </si>
  <si>
    <t>AAV93899.1</t>
  </si>
  <si>
    <t>MNISSDTGFRRAGRLDGIELSEIVQISERVAQLRADGADIVALSTGEPDFPTPTHVIEAAHRAALAGQTRYPATAGTPALRAAIAAEAGVEPANVIVSTGAKQVLAGAFLATLDPGDEVITTAPFWTSYADMVRLAGGVPVVLDCPGAQGFKLTPAQLEAAITSRTRWLLLNTPSNPTGAIYSEAELQALGAVLDRHPHVWVISDEIYQHLAYVPFTPFVQAVPTLADRTLIVNGVSKAYSMTGWRIGWGIGPAPLIKAMVAVQGQITSGACSIAQAAALAALSGPQDLLVERRAEMLARRDLVVAGLNAAGLECASPDGAFYVFPKTPARMPVDHDFCHHLLDTAGVALVPGRAFGMSGHLRLSFAYARQSLEEGLARIARAVAAL</t>
  </si>
  <si>
    <t>SPO0584</t>
  </si>
  <si>
    <t>YP_165844.1</t>
  </si>
  <si>
    <t xml:space="preserve"> aspartate aminotransferase </t>
  </si>
  <si>
    <t>aminotransferase</t>
  </si>
  <si>
    <t>AAV93900.1</t>
  </si>
  <si>
    <t>MTPSIKEGPAMDRAQIVHENFLSRVAARDLPKGAPPRPGLTQAQAVSLYRAQVLSRALDRTSRAMQKAGQGFYTIGSSGHEGMAAVAQALRPTDIAFLHYRDAAFQIARAEQVPGQQIAWDMLLSFACSKEDPASGGRHKVLGSKALMIPPQTSTIASHLPKAVGAAYSLGAARRHPPEHRQLPEDGIAMCSFGDASANHSTAQGAINTAGWTSVQSIPLPLLFVCEDNGIGISTKTPRGWIQASMEHRPGIRYFQANGLDIYETYAVAQEAADYVRNRRKPAFLHLKTVRLYGHAGADVPTTYLTRAEVEAEEAMDPLLHSVRLLAEDGALASEEALAIYEQTCARIDRIAVEAATRPHLASAAEVAASLIPPKRECKPTNGPGAEMRAATFGGDMRAMDEPQPMSRLINWALTDLMLEHGEIVCMGEDVGRKGGVYGVTQKLQQRFGPDRMIDTLLDEQSILGLAIGMGHNGFLPIPEIQFLAYLHNAEDQIRGEAATLPFFSNGQFTNPMVLRIAGLGYQKGFGGHFHNDNSLAVLRDIPGVIIACPSTGEDAAQMLRECVRLAREEQRVVVFLEPIALYPMRDLHGVQDGGWMTPYPSPDRRIALGEVGVHGNGTDLAIVTYGNGHYLSQQAVPEIEAAGIRARIIDLRWLAPLPIEALRAATKDCKHVLIVDECRRTGSQSEALMTFFCEESRATSTARVVAEDCFIATGPAYAAPLPSRDGIVAAALSLTGVAK</t>
  </si>
  <si>
    <t>SPO0585</t>
  </si>
  <si>
    <t>YP_165845.1</t>
  </si>
  <si>
    <t xml:space="preserve"> dehydrogenase/transketolase family protein </t>
  </si>
  <si>
    <t>AAV93901.1</t>
  </si>
  <si>
    <t>MTRTAVVICPGRGTYNKPELGYLHRHHGARMDMFRAFDAIRGEAGQEAVTALDGAERYTVGKYSRGDVASPLIYAASLGDAQALAEDIEVVAVTGNSMGWYIALAAAGALSAENGFRVVNTMGTLMQERLIGGQLVYPFTGEDWADDAARKAALLADVARIDALPGHDLALSIDLGGMLVLAGNEAGLSAFEAAQPVVQERFPMRLANHAAFHTRLQAPVAAEGRQRLGADLFTQPIRPMIDGRGKIWCPGATDTGALWDYTLGHQVTEPYDFTRAVQTAAREFAPDLFIVTGPGATLGGAVAQSLVLANWRGMGDKAMFQARQAEAPLLVAMGREDQRGLVTAA</t>
  </si>
  <si>
    <t>SPO0586</t>
  </si>
  <si>
    <t>YP_165846.1</t>
  </si>
  <si>
    <t xml:space="preserve"> acyl-carrier domain-containing protein </t>
  </si>
  <si>
    <t>AAV93916.1</t>
  </si>
  <si>
    <t>MGKTLVVGAGGVSHAAVHKMAMNSDIFTEITLASRTKAKCDAIAASVKERTGVTIQTAALDAMDVAATVALIKETGAEILVNLALPYQDLKLMDACLEAGCHYLDTANYEPEDVAKFEYHWQWAYQDKFKEAGLTAILGSGFDPGVTSVFATWLKKHKLATIRQIDVLDANGGSNDQAFATNFNPEINLREVLAEARHWENGAWQVTPAMTHKVEFDFPGIGPKNMYLMYHEELESLSAHFPEIERARFWMTFGDAYIMHAKVLENVGMTRIDPVMHDGKEIIPIQFLKTLLPDPGTLAEETKGKACIGDIATGQAKDGSGEKTYYIYNICDHEECFREVGSQAVSYTTGVPAMIGAAQVLKGNWVEPGVWNMEQLDPDDFMDMLNNHGLPWQVHELDGPVSF</t>
  </si>
  <si>
    <t>SPO0601</t>
  </si>
  <si>
    <t>YP_165861.1</t>
  </si>
  <si>
    <t xml:space="preserve"> saccharopine dehydrogenase </t>
  </si>
  <si>
    <t>metabolism of lysine</t>
  </si>
  <si>
    <t>AAV93940.1</t>
  </si>
  <si>
    <t>MPRERLSVVVTRRLPEVVETRLSELFNVRLRDDDTPMSRDELAAALREADVLVPTLNDRIDAGLLAQAGERMRLIANYGAGVDHIDVATARQRGILVSNTPGVLTDDTADMTMALILAVTRRIPEGLAVMQKNEWTGWAPTALLGGRVGGRRLGILGMGRIGQAVARRASAFGMQIHYHNRRRLRPEVEDALEATWWDSLDQMIARMDVISVNCPSTPSTFHLMNARRLKLMKPTGVIVNTSRGEVIDENALTRMIRTGEIAGAGLDVYEHGTQVNPRLRELPNVVLLPHMGSATLEGRIEMGEKVIINIKTFADGHRPPDQVVPAML</t>
  </si>
  <si>
    <t>SPO0632</t>
  </si>
  <si>
    <t>YP_165887.1</t>
  </si>
  <si>
    <t xml:space="preserve"> 2-hydroxyacid dehydrogenase </t>
  </si>
  <si>
    <t>Energy production and conversion; Coenzyme transport and metabolism; General function prediction only</t>
  </si>
  <si>
    <t>AAV93941.1</t>
  </si>
  <si>
    <t>MRIRWQESLCLLWVGAATPLFAQQAADAVAPEGAATGQVRPFSAVVEAGQAAKEAGQPVEAENWMVAAANPLAVMAGGNVLRQGGTAADAMVAVQTVLGLVEPQSSGLGGGAFLVWYDGNTGQMTTLDARETAPREATPRLFQDADGQPLKFFDAVVGGLSVGTPGTPALLEEAHRRWGQANWGSLFGDAIWLAENGFTVSPRLAGLVEGDAEKLGRFPETAAYFLPGGAAIKAGDTLKNPAYAATLRALAAEGSAAFYGGPIAADIVRTVRNAEGNPGVLSGADLALYQVIEREPVCASYRAFEVCGMGPPSSGALTLGQILGLLEPYDLAALGAENPESWRLIGDASRLAFADRGRYMADSDFVPMPTKGLVDPDYLKTRSELLAGPNALESVAPGNPEFDHASNWADDISLELPSTSHISIVDRYGNVLSMTTTIENGFGSRLMTNGFLLNNELTDFSFKTHDNGVPIANRLEPGKRPRSSMAPTIVMQDGKPVLAIGSPGGSRIIGYVAQSIIAWADWSMNVQQALNAPHLVNRFGTYDLEEGTDAAGMEEALTGLGYKVSVRALTSGLHAIEIGDTLKGAADTRREGIALGE</t>
  </si>
  <si>
    <t>SPO0633</t>
  </si>
  <si>
    <t>YP_165888.1</t>
  </si>
  <si>
    <t xml:space="preserve"> gamma-glutamyltranspeptidase </t>
  </si>
  <si>
    <t>AAV93943.1</t>
  </si>
  <si>
    <t>MKTQVKALVVGGGAVGTSIAYHLAKAGWNDVMLIERDELTSGSTWHAAGLLPLFNMSYATTHIHQYSVDFYKTLEEETGLNAGFAVVGNLRMAQTQDRMDEYMLYASTAETCGVKYEWLTPDQIKERWPLIETSDLKGAIYHTEDGYINPADVTQAMAKGARQRGVDIVRKMQADAFHWNGTHWEVTCTKMVEKGGNLVPSDEQVVITAEHVVTASGNHAQRTAKLLGIKMPAIPVEHTFIVMDQDPELVKWREAGNPEHPVVRDADNESYAREERGGWILGIYEHGAPARFEYGVPDSFRADLFPLDLDRIADQYMAMAERVPSCAESGLKDDFNGPICYTPDGNPLVGPAPGLRNMWLAEGFSFGITAAGGTGYYLAQMMVDGEAEIDMASLDPKRYSSNWMTTEFAARKNEECYSHVYILHHPDEEREACRPLRTAPAYDRQKALGAQFGFVNGWERPNYYGPLDAPENFDHDARSFRRGGWWQYAVEEAKAIRNGVGLIDATAFTKHVVKGPGATQFLDWFTCNKLPKVGRINLTYALTSAGTTRTEYTIVRNGENNYYIVSAGAWTEYDADFLRKAAEDKMEEFGYIEIQDVTTQWGVFAIAGPKSRDVLKEVIKDADPETALSNKRFPWLSARQIELGMCPVNAIRVAYTGELGWELHHPIEMQRYLWDLLLAAGEKHGMKLVGARAQNWLRQEKSYRAFGTELGRDATPLEADLPRFVDLGKDFHGKAEMEAKGIRSKCCTLLIDGPSDADPWGREALYTPEGARVGRLTSGGYSVAFEKSIGMGYVKPELAVEGTKLKVKMLDQLWDAVVTCDSPYDPKNETIRKDG</t>
  </si>
  <si>
    <t>SPO0635</t>
  </si>
  <si>
    <t>YP_165890.1</t>
  </si>
  <si>
    <t xml:space="preserve"> aminomethyl transferase family protein </t>
  </si>
  <si>
    <t>Glycine oxidase (deaminating)</t>
  </si>
  <si>
    <t>AAV93962.1</t>
  </si>
  <si>
    <t>MDISFLLNGETVTLAGVDPTATLLDWLREARGLTGTKEGCNEGDCGACTVMISDAESSRALNACILFLPQLDGKAVRTVEGLGGTHPVQQAMVTHHGSQCGFCTPGFVMSMAASHAEGATDHDTQLAGNLCRCTGYAPIIRAARAVEDAPKPDWLATDRAFISPEILRGEAAGRGAEPPAAPTSSNELAALYDAHPDATLVAGATDVGLWVTKQLRELPKVIFLSGCADLKDIEITDTHVRLGAMVDMNRMRDALAPLHPSYGEMIRRYASVQVRNAATVGGNIANGSPIGDNPPALIALGATLHLRKGDTRRDLPLEAFFLDYGKQDRAPGEFVEAVSFPRQPDRLKCYKLSKRFDQDISAVCGCFNITVEGGTVTAARIAFGGMAGIPKRASAVEAALIGQPWTQQVVNAALPEFERDFTPMSDMRASARYRMETAKAMLSRYFAEDQGHLANVLEVRA</t>
  </si>
  <si>
    <t>SPO0654</t>
  </si>
  <si>
    <t>YP_165909.1</t>
  </si>
  <si>
    <t xml:space="preserve"> xanthine dehydrogenase, A subunit </t>
  </si>
  <si>
    <t>AAV93976.1</t>
  </si>
  <si>
    <t>MITRARILEQAARLRAGFEAAGAQGVETPILQPAETLLDLYGEDIRARAYVTSDALRGEQMLRPDFTVPVVQKHMEHGAEPARYTYAGEVFRRQEHDPDRANEYIQVGYEVFDRTNPAAADAEVFALIAQALDGLALRAATGDIGILMAAVEGLKTTEPRKAALMRHIWRPRRFRALLDRYAGRTTVPPARAALLAESEPLADGAPEIGKRSRAEVEARIEVLRADAAAAPISDNEMAGLDALLSVRETMPYALEHLRDIAVDLPQITPALDRLEARIAALRARGINVDRLDFEASYGRTSMEYYDGFVFGFYAERRPDLPPIATGGRYDALTRRLGNGAEIPAVGGVLRPGLMLLLAEAET</t>
  </si>
  <si>
    <t>SPO0668</t>
  </si>
  <si>
    <t>YP_165923.1</t>
  </si>
  <si>
    <t xml:space="preserve"> ATP phosphoribosyltransferase regulatory subunit </t>
  </si>
  <si>
    <t>MRPRPTGCAQTWEERPMNKIFEVPLYAYARSPDQDASSPVRHKVIVIGAGPIGLAAAIDLAQQGIEVVVLDDNDKVSFGSRAVCYAKRPLEILDRLGCGQPMVDKGVEWNLGKVFFDDRQVYDFNLLPEGGHQRPAFINLQQYYFEEYLVNRVRELQETGAPIEIRGRNKVEAIGTHPDHVKLEVETPEGSYTVEADWLIACDGAGSPVRSMLGLDFVGRVFEDNFLIADVIMDAGFPTERWFWFDPPFNRGQSALLHKQPDNVWRIDLQLGWDIDKEREKRPENVIPRLKAMLGEDVQFELEWVSIYTFQCRRMEKFRHGRVLFAGDAAHQVSPFGARGANSGLQDTDNLIWKLKLVMEGKAPESLLDSYDMERVHGADENILNSSRSTDFITPKSEMSRILRDAVLDLSEQYEFARPLVNSGRLSVPCTYDGSPLNSADALLDGPARTRPGSPCPDAPLGDGFLLPKLGDRFILLTIDADAPDSIEEEGVEVTRLALSVKDDPTMELKRRYLGDNDSAVYLIRPDQHVAARRATFDETQFRHAIRRATGKE</t>
  </si>
  <si>
    <t>SPO0682</t>
  </si>
  <si>
    <t>YP_165937.1</t>
  </si>
  <si>
    <t xml:space="preserve"> hypothetical protein SPO0682 </t>
  </si>
  <si>
    <t>Vit/Coenzyme (ubiquinone)</t>
  </si>
  <si>
    <t>Coenzyme transport and metabolism; Energy production and conversion</t>
  </si>
  <si>
    <t>AAV94000.1</t>
  </si>
  <si>
    <t>MAHDGQDPMTMTTQTVLLPDLLSLTGAALAPVDALFERARETVREMVSEGGRVSGALIDANQTAAHGLSWLATYQQSLRQMQRWAEALQAEGKFGEIEQLIHQIAFGEYLWQIYGGIQMNQGEVVRLQDLGLTQDDARGLMAPEVMTLCDKGNTQAARTRLVELMQDQAGATMYGASGLDEELEMIRDQFRRYAVEKVEPFAHEWHLKDELIPMEVIEELAEMGVFGLTIPEEFGGFGLSKASMVVVSEELSRGYIGVGSLGTRSEIAAELIIAGGTVEQKASWLPRIASAEILPTAVFTEPNTGSDLGSLRTRAVKDENGDFKVTGNKTWITHAARTHVMTLLARTDPNTTDYRGLSMFLAEKTPGTDAEPFPTPGMTGGEIEVLGYRGMKEYELGFDGFHVKGENLLGGEEGKGFKQLMETFESARIQTAARAIGVAQSALDIAMQYAQDRKQFGRALIAFPRVSSKLAMMAVEIMIARQLTYFSAWEKDHGHRCDLEAGMAKLLGARVAWAAADNGLQIHGGNGFALEYKISRVLCDARILNIFEGAAEIQAQVIARRLLG</t>
  </si>
  <si>
    <t>SPO0693</t>
  </si>
  <si>
    <t>YP_165948.1</t>
  </si>
  <si>
    <t xml:space="preserve"> isobutyryl-CoA dehydrogenase </t>
  </si>
  <si>
    <t>AAV94007.1</t>
  </si>
  <si>
    <t>MTLKVAINGFGRIGRGVLRALVESGADDIEVVAINDLASPETLAHLLKYDSVHGRLQAPVLVEGDRMIVGRSSIRLSAIRNPEDLPWADVDIAYECTGLFTEREQAARHLKNGSKRVLISAPGKGADRTVVFGVNDGALTADDVIVSNASCTTNCLAPVAMVLDHAFGIKTGYMTTIHAYTGDQPTHDTAHRDLYRARAASVSMIPTSTGAARAISEVLPHLKGRLEGSAIRVPTPNVSLVDLSFVPERPATREAVNAAIRTAAQGPLAGILAYEEDPLVSIDFNHDSHSSCFAAAQTSVTADGLVRVVSWYDNEWGFSNRMLDTGRRIGALLITPQRLAG</t>
  </si>
  <si>
    <t>SPO0701</t>
  </si>
  <si>
    <t>YP_165955.1</t>
  </si>
  <si>
    <t xml:space="preserve"> glyceraldehyde-3-phosphate dehydrogenase, type I </t>
  </si>
  <si>
    <t>AAV94015.1</t>
  </si>
  <si>
    <t>MTSGRVNPQFRLEDQGIEGLGNVYYNFMEPALIEAALKRGEGTLGNGGAFLVTTGKFTGRSPKDKHVVKTASVADSIWWDNNAAMTPEGFDALYDDMLAHMKGKDYFVQDLVGGADPAYSINVRMVTELAWHNLFIRHLLRRPAREDLNEFVADFTVINCPSFQADPAKHGCRSETVIAMNFDRKLILIGGTEYAGENKKSVFTLLNYMLPEKGVMPMHCSANHAVGNPVDTAVFFGLSGTGKTTLSADPARVLIGDDEHGWSDRGTFNFEGGCYAKTINLNPEAEPEIYATTTKFATVIENMVFDEETKELDFDDDSLTANMRCAYPLEYISNASVSALGGHPKNIIMLTCDAFGVLPPIARLTPAQAMYHFLSGFTSKVAGTERGVTEPQPTFSTCFGAPFMPRRPEVYGNLLRDKIARHGATCWLVNTGWTGGAYGVGSRMPIKATRALLTAALNGSLNNAEFRKDGNFGFDVPVSVPGVAEVLLDPRRTWDDQGAFDKQAAKLVQMFADNFEQYVPYIDEDVKAVAIG</t>
  </si>
  <si>
    <t>SPO0709</t>
  </si>
  <si>
    <t>YP_165963.1</t>
  </si>
  <si>
    <t xml:space="preserve"> phosphoenolpyruvate carboxykinase </t>
  </si>
  <si>
    <t>gluconeogenesis</t>
  </si>
  <si>
    <t>AAV94023.1</t>
  </si>
  <si>
    <t>MEIQKVGVIGAGQMGNGIAHVMALAGYDVLLTDISQQALDAALSTVRGNLARQAGRGKISEADMEAAMARISTTLALADLGQTDLVIEAATEREAVKQAIFEDLQPHLLPHTILTSNTSSISITRLASRTDRPERFMGFHFMNPVPVMQLVELIRGIATDEATFAACKAVVDKLGKTAASAEDFPAFIVNRILMPMINEAVYTLYEGVGNVRSIDESMKLGANHPMGPLELADFIGLDTCLAIMNVLHDGLADTKYRPCPLLTKYVEAGWLGRKTQRGFYDYRGEVPVPTR</t>
  </si>
  <si>
    <t>SPO0717</t>
  </si>
  <si>
    <t>YP_165971.1</t>
  </si>
  <si>
    <t xml:space="preserve"> 3-hydroxybutyryl-CoA dehydrogenase </t>
  </si>
  <si>
    <t>AAV94040.1</t>
  </si>
  <si>
    <t>MALQQISSFAAGQWVAPGAGARTIASAITGAPIASAGNDALDVLAMLDHARNTGGPALRKLGFHDRARMIKALGQALNARKAELYAASFDTGATQSDHLIDIDGGIGTMFVFASKGRREMPDGQIYLDGEVEQLSRNGTFLGQHVCTPLQGVAVHINAFNFPVWGMLEKLAPTLLAGVPSIVKPATNSCYVTELAVRIMLEAEILPAGALQLVSGGLGDMLDHLDCQDVVSFTGSADTALKLRSNPVILQNSVRFVAEQDSLNASILGPDAEPGTPEFDLFIKEVAREMTTKAGQKCTAIRRIIAPQPRVEAVIEALSARLSKTVIGDPRDEATRMGALVSGGQKADVLAKAAIIGQEAEQVFTMDPGLSGDLANGAFVPPMLFHCADPDRAQRVHDTEAFGPVSTVMGYRDVDHAVTLANRGGGSLVTSLITHDADVARDVVMGAGAFHGRIYINNRDSMKESTGHGSPLPHMVHGGPGRAGGGEEMGGVRGVKHYMQRTAVQGSPEMLARIGGKWVPGANEVAGPAHPFTRRYNELSIGETLNTAARTVTMDDIEHFAHFTGDTFYAHMDDAAAKRNPFFPGRVAHGYLLLSFAAGLFVEPNEGPVLANTGLDGLRFMKPVSAGDSIKVRLTVKKKTRRTEDYGEVRWHVTLTNQDDEMVAEYELLTMNAY</t>
  </si>
  <si>
    <t>SPO0735</t>
  </si>
  <si>
    <t>YP_165988.1</t>
  </si>
  <si>
    <t xml:space="preserve"> bifunctional aldehyde dehydrogenase/enoyl-CoA hydratase </t>
  </si>
  <si>
    <t>AAV94047.1</t>
  </si>
  <si>
    <t>MKDLSPKKEDLDPIEIASIDEIRALQLDRLKWSLRHAYDNVPMYKKRFDEAGVHPDDLQTLADLAKFPFTYKNDLRDNYPFGLFAVPREQIIRLHASSGTTGKPTVVGYTANDISNWADLVARSLRAAGLRKGDMIHNAYGYGLFTGGLGAHYGIERLGATVVPMSGGQTEKQVGLITDFKPTGIMVTPSYMLNILEQYHKVGMDPRESSLQVGVFGAEPWTDAMRREVEEAFDMHAVDIYGLSEIMGPGVANECVETKDGPVIWEDHFLPEIIDPATGEVLPDGEMGELVFTTLTKEGLPMVRYRTRDLTRLLPGTARSMRRMEKITGRSDDMIILRGVNVFPSQVEEQVMATGGLAPHYQIELYKAGRMDAMRVFVEALPTMTDELSKTAAARMLTKRIKDIVGVSTEIVVGNPGDVERSQGKAKRVVDNRDKE</t>
  </si>
  <si>
    <t>SPO0742</t>
  </si>
  <si>
    <t>YP_165995.1</t>
  </si>
  <si>
    <t xml:space="preserve"> phenylacetate-CoA ligase </t>
  </si>
  <si>
    <t>Aromatic amino acid metabolism</t>
  </si>
  <si>
    <t>AAV94063.1</t>
  </si>
  <si>
    <t>MDAFICDAQRTPIGRYGGALSQVRTDDLAAVPLAALVARNPQVDWASLDDVIYGDANQAGESNRNVARMAALLAGLPVDVPGTTVNRLCASGMDAVGMAARAIKAGDYDMAIAGGVESMSRAPFVMPKATSAFTRANAVYDTTIGWRFVNKKMHEMYGTDSMPQTADNVAEDYDISRADQDAFAARSQARWAAAHAAGVFGDEITPVTIPQRKGDAIVVDTDEHPRPGTTAEQLGKLKGVNGPDKSVTAGNASGVNDGAAAILMASEAAAVKNGLTPIARVVGMSVAGVEPRVMGIGPVPASRKVLARAGLTIGQMDVIELNEAFASQGLATLRALGVADDAPHVNPNGGAIAIGHPLGMSGARLVMTAAYQLKRTGGRYALCTMCVGVGQGAALILERV</t>
  </si>
  <si>
    <t>SPO0758</t>
  </si>
  <si>
    <t>YP_166011.1</t>
  </si>
  <si>
    <t xml:space="preserve"> beta-ketoadipyl CoA thiolase </t>
  </si>
  <si>
    <t>AAV94077.1</t>
  </si>
  <si>
    <t>MPEAIGYERVGDIVILAADNPPVNALGHAVRQGLAVGLDRAEAEGARGVLIYGTGRTFFAGADIREFGKPPKEPHLPELCNRIEASPLLVVSALHGTALGGGLEVALATHYRIAVPQAKVGLPEVHLGILPGAGGTQRLPRVAGVEAALDMITTGRHVRADEALRLGVIDRVAEGEPREIGLSYLRELLDEGAPRRPVGEMPAPAPVDFDAIYAAVLRKGRGQLSPATAVRAVQAACEAESFAAGLKRERELFMELMNSDQREGLIHAFFADRAVGKLPELEGVAPRPLAAIGVIGGGTMGAGIATAALLSGLSVTMLEMTPEAAEAAKGRIEGNLSGALKRGKLTAQQFDNLTTKALTLAIDYDALADADLVIEAVFEDMEVKKQVFTKLDAVCKPGAVLASNTSYLDINQIAAVTSRPQDVLGLHFFSPAHVMKLLEVVIADQTAPDVAATGFALGKRLGKVSVRAGVCDGFIGNRILSVYRTCADHMILDGASPYQIDEALEEFGFAMGPFAVADLAGLDIGWAVRKRKRAEGLDPRARDSAYADKLCEAGHFGQKTGKGYYDYAAGAKARVPNPEVLPLIEAERAQQGITPRAFSKDEIVRRYMAAMVNEAAKVVGEGIARRPLDVDVTLLYGYGFPRYRGGPLKWADMQGLPELLADIKRWAAEDAYFWQPAPLLEQLVAEGRTFDDLNKEAV</t>
  </si>
  <si>
    <t>SPO0772</t>
  </si>
  <si>
    <t>YP_166025.1</t>
  </si>
  <si>
    <t xml:space="preserve"> enoyl-CoA hydratase/isomerase/3-hydroxyacyl-CoA dehydrogenase </t>
  </si>
  <si>
    <t>AAV94078.1</t>
  </si>
  <si>
    <t>MKQAVIVSTARTGLAKSFRGSFNVTHGATMGGHAVQAAVARAGLDGSEIEDCIIGCGFPEGETGSNIGRQIAIRAGLPVTASGMTVNRFCSSGLQTVALAAQAITEGGSGPMVAGGVESISMVQPKARPAPEAWIQEHKPAIYMAMIETADIVAQRYGLSRAYQDEYSLRSQQRIAAAQAEGKFADEIVPMQTKMAVKDKESGEVSMHEVTVDRDECNRPSTTLEGLAGLEPVRGAGNFVTAGNASQLSDGAAALVLMEAAEAERRGLEPLGAFKGFCVAGCEPDEMGIGPVFAVPRLLERHGLKVDDIDLWELNEAFASQCLYSRDRLGIDPEKYNVNGGSIAIGHPFGMTGARMTGHLMLEGKRRGAKLGVVSMCIGGGMGAAGLFEIF</t>
  </si>
  <si>
    <t>SPO0773</t>
  </si>
  <si>
    <t>YP_166026.1</t>
  </si>
  <si>
    <t xml:space="preserve"> acetyl-CoA acyltransferase/thiolase family protein </t>
  </si>
  <si>
    <t>AAV94079.1</t>
  </si>
  <si>
    <t>MDLNYSDEELAFRAEVRAFLAENLPAEVSDKVRRGISLGKEGHEKWHATLNARGWLAYNWPREFGGAEWNAVERHIFEEECAAAYAPRIVPFGLSMLAPVLQKFGTKEQQDHYLPRILSGEDWWCQGYSEPGAGSDLASLKTRAVRDGDHYVVNGQKTWTTLGQYANWIFCLVRTDPEAKQQEGISFLLIDMTTPGITVRPIVLLDGTPEVNEVFFDDVRVPVENLVGEENKGWTYAKYLLTHERTNIAGVGFSQAGLDAVKRIARIETANGRPLIENPHFAARLAQIEIDLMAMATTNMRIISQAASGQAPGVESSMLKVKGTIIRQEINDLTRRAVGPYAMPFASEAIEGDNAPIGPDYAGPVSAQYFNNRKLSIFGGSNEIQRGIIAKVKMGG</t>
  </si>
  <si>
    <t>SPO0774</t>
  </si>
  <si>
    <t>YP_166027.1</t>
  </si>
  <si>
    <t>AAV94096.1</t>
  </si>
  <si>
    <t>MLTEFWAEALRVHWGIEAVLERLDGEYDLNFLARARNGQDYVLKVMRPGCEAGLVEMQVAALDHIAEVAPGLPFPKVFAALDGAMLPEIADEAGAPRLAWLLERLPGRCYARAKPHSEELILKLGRVLGATDRALEGFAHDGLARNFKWNLMQAGWIGAELQAIADPARRALLREIAAEFSGLRDRLAALPVQAIHNDVNDYNILVKGGLDETRRVSGLIDLGDMCAAPRVCDLAIAGAYVVLDHPKPERALAALVRGYHAANRLSAAEVDLIWPLLRMRLAVSVVNSTLMAAQNPDDPYVTISQAPAWRFLENASVNGGLMAARLRVACGLPVTDGAERVHAYLNQNRGRFAAMFGTDLGEAPMGSLSVENSTWPQNPFHMPIEEAARVGEEFGTGLWLGYYNEPRLIYAEPGFRKGPWKASDRRTVHLAVDVFAPAGTVLHAPLSGRVEAVENRTGHLDYGGVVILHHETPQGDAFYTLYGHLDPEVCDRLKPGDPVAQGAGFARLGDAGQNGGWAPHVHFQLALTTQGMETDWPGVGDPDEMDLWHAVCPNPAALLNLPDDKVFYRPSDKAAVLAGRRAHFGGNLSLTYDDPVMLVRGWKHHLFDEWGRPYLDAYNNVPHVGHAHPRIQAVAADQLQRMNSNTRYLHPAQLAFAEKVLSKLPARFEVCFFVNSGTEANELALRLARAHTGNMGMVTPDHGYHGNTTGAIAISAYKFNKPGGVGQADWVELVEVADDYRGSFRRDDAERATKFADFVDPAIARLQEMGHGVAGFIAETFPSVGGQIIPPKGYLAAVYDKIRAAGGVCIADEVQTGLGRLGDYYFGFEHQGAEPDIVVMGKPIGNGHPLGVLVTTKAIAQSFDNGIEYFSTFGGSTLSCRIGKEVLDIVDDEGLQENARLMGERLMTGLRVLEGEFGCVGDVRGMGLFLGVELINPDGSEGTEICRYVKNRMRDHRILIGSEGPKDNILKIRPPLTIEAEDVDMILWALREVLAEVGDWAPAPACDHDHHHTGCGCC</t>
  </si>
  <si>
    <t>SPO0791</t>
  </si>
  <si>
    <t>YP_166044.1</t>
  </si>
  <si>
    <t xml:space="preserve"> hypothetical protein SPO0791 </t>
  </si>
  <si>
    <t>AAV94097.1</t>
  </si>
  <si>
    <t>MAKVAFLGLGVMGYPMAGHLKSAGHDVTVYNRSAAKAEKWVTQHGGAMATTPRAAAEGAEFVMACVGNDDDLRSVCAGPDGALAGMAAGSVFVDHTTVSAKVTRELYAAARDGGVGFVDAPVSGGQAGAENGVLSVMCGGDQAEYDRAEPVIAAYARICRRIGESGAGQVTKMCNQIAIAGLVQGLAESLHFAEKAGLDGRAVVEVISQGAAGSWQMANRYETMLDDHWTHGFAVDWMRKDLGICLDTANETGASLPVTALVDQFYKDVQKMGGGRWDTSSLLARLRKLD</t>
  </si>
  <si>
    <t>SPO0792</t>
  </si>
  <si>
    <t>YP_166045.1</t>
  </si>
  <si>
    <t xml:space="preserve"> 6-phosphogluconate dehydrogenase domain-containing protein </t>
  </si>
  <si>
    <t>AAV94113.1</t>
  </si>
  <si>
    <t>MANDLFNSFMSGPDEQGRFGIFGGRFVSETLMPLILSLEEEYEKAKTDPSFWAEMDDLWTNYVGRPSPLYFAERLTEHLGGAKVYMKRDELNHTGAHKINNVLGQIILARRMGKTRIIAETGAGQHGVATATVCAKFGLKCVVYMGAHDVRRQAPNVFRMRLLGAEVIPVTSGRGTLKDAMNDALRDWVTNVRDTFYCIGTVAGPHPYPAMVRDFQSIIGKEAKEQMMKAEGRLPDTIIAAIGGGSNAMGLFYPFLDDTSVNIIGVEAGGKGVNEKMEHCASLTGGRPGVLHGNRTYLLQDDDGQILEGYSISAGLDYPGIGPEHSWLHEVGRAKYVSITDMEALEAFKLCCATEGIIPALEPSHALAHVMKLAPELPKDHIIIMNMCGRGDKDIFTVAKFLGFDMSDTEGRDAED</t>
  </si>
  <si>
    <t>SPO0808</t>
  </si>
  <si>
    <t>YP_166061.1</t>
  </si>
  <si>
    <t xml:space="preserve"> tryptophan synthase subunit beta </t>
  </si>
  <si>
    <t>AAV94180.1</t>
  </si>
  <si>
    <t>MKLAINGFGRIGRTILRQLLAAPRATDIDLVLINDIAPLDTCAYLFEYDSTFGPWRGDVATGADSLIVDGLAIPVTHSADLARVDLSDVDVLLDCTGIARSSDVAARGLSAGAGKVLISGPSPAAEITVVLGANEALLGNARIVSNASCTTNGLAPLARMIDDIAGITSAHMTTIHCYTNSQPMVDAPRGDLARSRAGALSMVPTTSSATHLIDEVLPHLAGRISGAAVRVPTASVSAVDLVVQLDRAMTPEQFDAALRAAVEASPVLGWTDKPLVSSDLRARPESLVIAGPETRMVGDKQVRVFGWYDNEWGFSARMLDIARLMAV</t>
  </si>
  <si>
    <t>SPO0875</t>
  </si>
  <si>
    <t>YP_166128.1</t>
  </si>
  <si>
    <t>AAV94184.1</t>
  </si>
  <si>
    <t>MNMTFAMRDENRKLLDRVAAMIRDEIMPLEEEYHAEIAKGDRWQYTARQTEILEWLKAKAKAAGLWNFWLTDSDRGFGLTTVEYAYFAEEMGKTPLAAEVFNCSAPDTGNMEVFERYGSERMKRDWLAPLLDGQIRSAYLMTEPDVASSDATNISMSCVRDGDDYVLNGEKYWASGAGDPRCKVYIVMVKTGGEDAPKHQRHSMIVVPAGAEGIEILRPMLVFGHDDAPHGHMHIRFTNVRVPAENILVGEGRGFEIAQGRLGPGRIHHCMRSIGQAEIALERMCKRALDKEAFGKKLAHLGANYDIIAECRMEIEMARLLCLKAAWMMDQGDARAAAPWISQIKVVAPRVSLKVIDEAMQMHGGQGISQDTPLAAAWTGQRTLRFADGPDAVHRRQIARTELKKYTQEKV</t>
  </si>
  <si>
    <t>SPO0879</t>
  </si>
  <si>
    <t>YP_166132.1</t>
  </si>
  <si>
    <t>AAV94223.1</t>
  </si>
  <si>
    <t>MFRPAITGTGVFTPPNVITNAELVTAFNAYADRMNAENAEAIAAGEMEPMQHSSEEFIVKASGIENRYVMDKTGVLDPAVMHPLLRQRGDDEPGIMTEMAVYAAKKALEQAGKTAADVDAVICAASNLERAYPAVAIEIQQALGIEGFAFDMNVACSSATFGIQAAADMIRSGSIRSALVVNPEICSAHLEWRDRDCHFIFGDVATATLIERIEDAKGPHFEILSTRCATQFSNNIRNNNGFLRRSRPDGMADRRDMQFMQNGRKVFKEVLPMVSQHIADHMAAEGVANTHLKRLWLHQANKTMNDFIGKKVLGREPEPGEQPNILQDYANTSSAGSIIAFSQNSADLVEGDLGLICSFGAGYSVGSVILRRHTS</t>
  </si>
  <si>
    <t>SPO0918</t>
  </si>
  <si>
    <t>YP_166171.1</t>
  </si>
  <si>
    <t xml:space="preserve"> 3-oxoacyl-(acyl carrier protein) synthase III </t>
  </si>
  <si>
    <t>AAV94228.1</t>
  </si>
  <si>
    <t>MPKRTDIQSIMIIGAGPIVIGQACEFDYSGAQACKALREEGYRVILVNSNPATIMTDPGLADATYIEPITPEVVAKIIEKERPDALLPTMGGQTGLNTSLALEEMGVLDKFGVEMIGAKRHAIEMAEDRKLFREAMDRIGLENPKATIVSAPKNEKGKFDIRAGLAEAMDALEDIGLPAIIRPAFTLGGTGGGVAYNRDDYEHFCRSGLEASPVAQILIDESLLGWKEYEMEVVRDKADNAIIVCSIENVDPMGVHTGDSITVAPALTLTDKEYQIMRNGSIAVLREIGVETGGSNVQWAVNPADGRMVVIEMNPRVSRSSALASKATGFPIAKIAAKLAVGYTLDELDNDITKVTPASFEPTIDYVVTKIPKFAFEKFPGSEPYLTTAMKSVGEAMSIGRTIHESMQKALASMESGLTGFDEVTIPGLSVGLWDAVEGADDKAHVIKAISRQTPDRLRTIAQAMRHGLSDDEIFGVTKFDPWFLARIREIVEEERALRKTGLPTTEEGLRALKMLGFTDARLGQLTGRDEDNVRRARHNLGVTAVFKRIDTCAAEFEAQTPYMYSTYEAPMMGEVECEARPSDRKKVVILGGGPNRIGQGIEFDYCCCHACFALTDVGYETIMINCNPETVSTDYDTSDRLYFEPLTFEHVMEILRVEQQNGTLHGVIVQFGGQTPLKLANALEQAGIPILGTTPDAIDLAEDRERFQDLVNRLGLKQPRNGIASTDAQALAIAEDIGFPLVIRPSYVLGGRAMEIVRDMDQLRRYIAEAVVVSGDSPVLLDSYLSGAVELDVDALCDGEAVHVAGIMQHIEEAGVHSGDSACSLPPYSLSAEIIEQIKDQTNKLARALNVVGLMNVQFAIKANEQGVDEIYLIEVNPRASRTVPFVAKATDSAIASIAARVMAGEKLSAFPMRPPYKEGEDTKIADQMTLADPNMPWFSVKEAVLPFARFPGVDTILGPEMRSTGEVMGWDRSFARAFLKAQMGAGMVLPSEGRAFISIKDADKGAAMLEAAQVLVDQGFTLVATRGTQSWLEGHGVPCEIVNKVYEGRPDVVDMLKDGQVHLVMNTTEGAQAVSDSKAIRSIALYDKIPYFTTAAGSNAAALAIKAQAEGDIEVRSLQG</t>
  </si>
  <si>
    <t>SPO0923</t>
  </si>
  <si>
    <t>YP_166176.1</t>
  </si>
  <si>
    <t xml:space="preserve"> carbamoyl phosphate synthase large subunit </t>
  </si>
  <si>
    <t>Amino acid transport and metabolism; Nucleotide transport and metabolism</t>
  </si>
  <si>
    <t>AAV94250.1</t>
  </si>
  <si>
    <t>MRWIVRIGITLVLAAVVMIGALLLLPGDRLARLAIEQIRKQTGREVTVAGEVKLSFWPVLGVETGPVTVANADWASAAPMLQAQGLAIGVAAPALLGGEVRITRILAQDPVLRLETAKGRVNWEFSPTGASGGAATPSGGGSGGQLVTLDGLDLRNARLIYVEEGKTSFDFGGVDLSASWPATDAPLKMEARLEPGAGPISVDLDLADLSAFSNGQVSAMQMKMTAPKTSITFDGRASIDGALAGAAVLDTSDSAAMLAAFGQAGISLPRGLGQRADLRAQITYTADGRLALRELAADLDGNRLNGAADVTVADPPQVTARLTAGALDLTGLAAAGGTGSGRSDAASGWSEDAIDASALALANGMLHLSAGSIALPGLELGQSVLSLSLDNSRAVVDMAPVSLFSGQLTGQVVANNRNGLSVGGDLRAEGIEMREALATLGGIERLSGAASGQLKFLGVGASEAQIMRSLSGEGRLAMGRGVIAGFDLDNLMGRGAKGGGTTVFNSLTASYRMDKGNLFNEDLLMLLDNFKANGTGRVGLGARDIDYLFTPVALRANAGQGLSVPVRIVGPWADPSIRPDLSQVIEAATGLDKEAVDTKAKDELRRKLGEELDTEITPDQNVEELIKDRLEKEATKGLLKLLGAD</t>
  </si>
  <si>
    <t>SPO0945</t>
  </si>
  <si>
    <t>YP_166198.1</t>
  </si>
  <si>
    <t xml:space="preserve"> AsmA family protein </t>
  </si>
  <si>
    <t>MIRPTGFREYDARWKYPEEINLPGMTALGLGLGTQMHRRGIAPVIAVGNDYRDYSLAIKNALILGLMQAGIQVKDIGPALSPMAYFSQFHLDVPAVAMVTASHNPNGWTGVKMGFDRPLTHGPDEMAELRDIVLNGEGVARPGGSYEFVDGVKEAYIDDLVGDFRMSRPLKVVCATGNGTASAFAPEIFARMGVEIVPSHNELDYTFPNYNPNPEAMEMLHDMADTVKASGADFALGFDGDGDRCGVVDDEGEEIFADKVGVIMARDLSKLYPGSTFVADVKSTGLFAADPELQKHGAKADYWKTGHSHMKRRVKEIGALAGFEKSGHYFLAEPIGRGYDCGMRVAVEICKLMDRNPEMSMSDLRKALPRTWSTPTMSPYAADTEKYAILERLVEKLVAKHAAGDSFAGRAIKEVVTVNGARVILDNGSWGLVRASSNTPNLVVVCESSESEAEMRAIFAEIDEVIRTEPGVGDYDQTI</t>
  </si>
  <si>
    <t>SPO0946</t>
  </si>
  <si>
    <t>YP_166199.1</t>
  </si>
  <si>
    <t xml:space="preserve"> phosphomannomutase/phosphoglucomutase </t>
  </si>
  <si>
    <t>AAV94267.1</t>
  </si>
  <si>
    <t>MIPSVLPTYTRAPLHFVKGEGAWLTEADGRRFLDLGAGIAVNALGHAHPALVKALTDQAQNLWHVSNLYHIPQQQALADKLVEHTFADTVFFTNSGTEACELAVKMARKYFYDKGQPERVEIITFDGSFHGRSSAGIAAAGSEKMVKGFGPLLPGFVHLTFGDLDGVTNAITDKTAAILIEPVQGEGGIRPVPDADLKALRQICDDHGLLLILDEVQCGVGRTGRLFAHEWAGITPDIMMVAKGIGGGFPLGAVLATEEAASGMTVGTHGSTYGGNPLGCAVGCAVMDHVADPDFLAEVNRKAALLRQRLEGLIATHPNVFEEVRGSGLMLGLKCKASNLDVVKAGFDNLVITVPAADNVVRLLPPLTLTEEDIAEAFTRLDAAATQVDAA</t>
  </si>
  <si>
    <t>SPO0962</t>
  </si>
  <si>
    <t>YP_166215.1</t>
  </si>
  <si>
    <t xml:space="preserve"> bifunctional N-succinyldiaminopimelate-aminotransferase/acetylornithine transaminase protein </t>
  </si>
  <si>
    <t>AAV94314.1</t>
  </si>
  <si>
    <t>MFDKILIANRGEIALRVIRAAREMGIATVAVHSTADSDAMHVRMADESVCIGPPPGNQSYLSVPAIISACEITGAQAIHPGYGFLSENAGFVQIVEDHGITFIGPSAEHIRIMGDKITAKDTAKELGIPVVPGSDGGVADVAEARRVGEHIGYPVIIKATAGGGGRGMKVARNAKEMEHAFSTARSEAKAAFGNDEVYIEKYLTTPRHIEIQVFGDGKGNAVHLGERDCSLQRRHQKVFEEAPGPCITPEERARIGKICADAVARINYIGAGTVEFLYENGEFYFIEMNTRLQVEHPVTEGIFGVDLVREQIRVAAGLPMSFTQDDLQINGHAIEVRINAEKLPNFSPCPGKITAYHAPGGLGVRMDSALYTGYSIPPYYDSLIAKLIVQGRDRPEALARLQRALSELIVDGIDTTVPLFHALLQEPDVQSGTYNIHWLERWLAENLAD</t>
  </si>
  <si>
    <t>SPO1010</t>
  </si>
  <si>
    <t>YP_166262.1</t>
  </si>
  <si>
    <t xml:space="preserve"> acetyl-CoA carboxylase biotin carboxylase subunit </t>
  </si>
  <si>
    <t>AAV94394.1</t>
  </si>
  <si>
    <t>MKDILSELETRREAARLGGGQKRIDAQHARGKLTARERIELLLDEDSFEEFDMFVSHRCTDFGMEKQRPAGDGVVTGWGTINGRMVYVFSQDFTVFGGSLSETHAQKICKIMDMAVQNGAPVIGINDSGGARIQEGVASLAGYAEVFQRNIMASGVVPQISVIMGPCAGGAVYSPAMTDFIFMVKDTSYMFVTGPDVVKTVTNEVVTAEELGGASTHTRKSSVADGAFENDVEALAEVRRLVDFLPLNNREKPPVRPFFDEPGRIEASLDTLVPENANTPYDMKELINKIADEGDFYEIQEDFAKNIITGFIRLEGQTVGVVANQPMILAGCLDIDSSRKAARFVRFCDCFEIPILTLVDVPGFLPGTSQEYGGVIKHGAKLLFAYGEATVPKVTVITRKAYGGAYDVMASKHLRGDFNYAWPTAEIAVMGAKGATEIIHRADLGDADKIAAHTKDYEGRFANPFVAAERGFIDEVIQPRSTRKRVSRAFASLRGKSLKNPWKKHDNIPL</t>
  </si>
  <si>
    <t>SPO1094</t>
  </si>
  <si>
    <t>YP_166345.1</t>
  </si>
  <si>
    <t xml:space="preserve"> propionyl-CoA carboxylase, beta subunit </t>
  </si>
  <si>
    <t>AAV94401.1</t>
  </si>
  <si>
    <t>MFNKILIANRGEIACRVIKTARKMGISTVAIYSDADKQALHVQMADEAVHIGPPPANQSYIVIDKVMAAIRATGAQAVHPGYGFLSENSKFAEALEAEGVIFVGPPKGAIEAMGDKITSKKIAQEANVSTVPGYMGLIEDADEAVKISNQIGYPVMIKASAGGGGKGMRIAWNDQEAREGFQSSKNEAANSFGDDRIFIEKFVTQPRHIEIQVLCDSHGNGIYLGERECSIQRRNQKVVEEAPSPFLDEATRRAMGEQAVALAKAVGYASAGTVEFIVDGQKNFYFLEMNTRLQVEHPVTELITGVDLVEQMIRVAAGEPLSITQGDVKLTGWAIENRLYAEDPYRGFLPSIGRLTRYRPPAETAAGPLLVNGKWQGDAPSGEAAVRNDTGVYEGGEISMYYDPMIAKLCTWAPTRAAAIEAMRIALDSFEVEGIGHNLPFLSAVMDHPKFISGDMTTAFIAEEYPEGFEGVNLPETDLRRVAAAAAAMHRVAEIRRTRVSGRMDNHERRVGTEWVVTLQGADFPVTIAADHDGSTVSFDDGSSMRVTSDWTPGDQLANLMVDGAPLVLKVGKISGGFRIRTRGADLKVHVRTPRQAELARLMPEKLPPDTSKMLLCPMPGLIVKVDVEVGQEVQEGQALCTIEAMKMENILRAEKKGVVAKINASAGNSLAVDDVIMEFE</t>
  </si>
  <si>
    <t>SPO1101</t>
  </si>
  <si>
    <t>YP_166352.1</t>
  </si>
  <si>
    <t xml:space="preserve"> propionyl-CoA carboxylase, alpha subunit </t>
  </si>
  <si>
    <t>AAV94405.1</t>
  </si>
  <si>
    <t>MSKTDDWRALAEKELRGRPVEDLTWQTLEGIDVKPLYTDADTAELPHMGGMPGFGPFTRGVKATMYAGRPWTIRQYAGFSTAEESNAFYRRNLAAGQQGVSVAFDLATHRGYDSDHPRVVGDVGKAGVAIDSVEDMKILFDGIPLDKVSVSMTMNGAVIPILASFIVAGEEQGHDRSVLSGTIQNDILKEFMVRNTYIYPPEPSMRIISDIIGYTSDNMPKFNSISISGYHMQEAGANLVQELAYTLADGREYVRAAIEAGMDVDKFAGRLSFFFAIGMNFFMEIAKLRAARTLWHRIMTEFGAKSERSKMLRTHCQTSGVSLQEQDPYNNVIRTAYEAMSAVLGGTQSLHTNALDEAIALPTDFSARIARNTQLVLQEETGVTKVVDPLAGSYYVESLTNDLIEKAWALIQEVEEMGGMTKAVASGMPKLRIEESAARRQAMIDRGEEVIVGVNKYRKDKEDPIDILDVDNMAVRDAQIARLERIRASRDEAACAAALDELTRRAKEGGNLLEAAVEAARARASVGEISMAMEKEFGRHRAEVKTLAGVYGAAYEGDEGFAAIQKSIEAFAEEEGRRPRLLVVKMGQDGHDRGAKVIATAFADIGFDVDVGPLFQTPAEAAQDAIDNDVHVVGISSQAAGHKTLAPQLVEELRKAGAGDIIVICGGVIPQQDYQFLYDHGVKAIFGPGTNIPEAAQDILKLVRDARAG</t>
  </si>
  <si>
    <t>SPO1105</t>
  </si>
  <si>
    <t>YP_166356.1</t>
  </si>
  <si>
    <t>AAV94465.1</t>
  </si>
  <si>
    <t>MAPVIYPTTNLTATEQLVLDRGKGIYVYDTDGNEYIEGLAGLWCTSLGYDNAEVIGAITDQLNRLPFTHTFGGKTHEPIMKLAEKLKAMVPVEDAYFFFGNSGSDANDTHYKMLRYYFNAIGKPEKRKIITRERGYHGVTVAAGSLTSLPANLAHFDAPVEALHILRSDAPHYYTGRQGNETEAQFVDRILDNLEQQILAEGADTIAAMIVEPITGASGVIVPPEGYYEKLQTLLRKHDILVWADEVICGFGRTGADFGCTTMGIKPDLMTFAKQLSSAYFPISASVIPGWMYEKMIAPSAAVGVFGHGYTYSGHPVACAAALKTLEIYERDDLFGHAAEVGAHMQEQLRAIFTDHPLVGEVRGKGLIAALELVSNKTTGATIEKGAGGATVQRLAQENGLLIRAVAGNSAALCPPLIITKEEVDEMLRRLKTAVDGAYAELKDKGLLAA</t>
  </si>
  <si>
    <t>SPO1166</t>
  </si>
  <si>
    <t>YP_166416.1</t>
  </si>
  <si>
    <t>Vit/Coenzyme (Porphyrin)</t>
  </si>
  <si>
    <t>AAV94467.1</t>
  </si>
  <si>
    <t>MTDFKKILIANRGEIAIRVMRAANEMGKKTVAVYAEEDKLGLHRFKADEAYRIGEGMGPVAAYLSIPEIIRVAKECGADAIHPGYGLLSENPDFVDACVQNGITFIGPRAETMRSLGDKASARKVAIAAGVPVIPATEVLGDDMDAIRKEAAEIGYPLMLKASWGGGGRGMRPIHSEKELAEKVMEGRREAEAAFGNGEGYLEKMIIRARHVEVQILGDKHGEIYHLWERDCSVQRRNQKVVERAPAPYLSQAQREELCDLGRRICAHVNYECAGTVEFLMDMDSGNFYFIEVNPRVQVEHTVTEEVTGIDIVQAQILIAEGKPLAEATGKASQGEIALNGHALQTRITTEDPLNNFIPDYGRITAYRSATGMGIRLDGGTAYAGGVITRYYDSLLTKVTAWAPTPEKAIARMDRALREFRIRGVSTNIAFVENLLKHPTFLSNEYTTKFIDTTPDLFQFKKRRDRGTKVLTYIADITVNGHPETRDRPMPAAEARMPKPPAKRGEPRMGTRNLLEQKGPQAVADWMKAQRQLLITDTTMRDGHQSLLATRMRSIDMIRVAPAYAANLPQLFSVECWGGATFDVAYRFLQECPWQRLRDLREAMPNLMTQMLLRGANGVGYTNYPDNVVREFVRQAAKGIDVFRVFDSLNWVENMRVAMDAVVEQNKICEGTICYTGDILNPERAKYDLKYYVAMGKQLRDAGAHVLGLKDMAGLLKPAAARVLIRALKEEVGLPIHFHTHDTAGIASATILAASEAGVDAVDCAMDSFSGNTSQATLGTVVEALRHTDRDTGLDVKAIREISDYFEAVRAQYAAFESGLQAPASEVYLHEMPGGQFTNLKAQARSMGLEDRWHEVAQMYADVNQMFGDIVKVTPSSKVVGDMALMMVSQGLTRAQVEDPKSDVAFPDSVVDMMRGNLGQPPGGFPTVILSKVLKGEAPNTERPGAHLPPVDLEEVRSKVSAELEGKEVDDEDLNGYLMYPKVFMDYMGRHRQYGPVRTLPTRTFFYGMEPGEEITAEIDPGKTLEIRCQAIGETDENGEVKVFFELNGQPRVIRVPNRLVKSTTMQRPKAEPGNANHLGAPMPGVVATVAVQAGQQVKAGDLLLTIEAMKMETGIHAERGATVKSVHVQPGGQIDAKDLLVELE</t>
  </si>
  <si>
    <t>SPO1171</t>
  </si>
  <si>
    <t>YP_166418.1</t>
  </si>
  <si>
    <t xml:space="preserve"> pyruvate carboxylase </t>
  </si>
  <si>
    <t>AAV94491.1</t>
  </si>
  <si>
    <t>MTRKYLMIAAGGTGGHMFPAQALAEAMLRKGWRVRLSTDARGARYTGGFPHTTEISQVSSATFARGGILAKAMVAPRIAAGIAATAWEMRRDRPDVVVGFGGYPSIPALGAATLLRLPRMIHEQNGVLGRVNQLFARRVACVACGVWPTDLPEGAQGVHVGNPVRAAVLERAGAAYIPPGPYPMSILVMGGSQGARILSDVVPGAIAALPEELRQYIRVAHQARDEDGARVTEFYAAHGIDAEVQPFFHDVPRRMSEAQLVISRAGASSVADISVIGRPSILIPFAAATGDHQTANARALTGANAAILIPERALDSAALAEQIAAVLTHPDAALQMANAALSTGAPDATERLVGLVEQLAEKETP</t>
  </si>
  <si>
    <t>SPO1195</t>
  </si>
  <si>
    <t>YP_166442.1</t>
  </si>
  <si>
    <t xml:space="preserve"> N-acetylglucosaminyl transferase </t>
  </si>
  <si>
    <t>AAV94492.1</t>
  </si>
  <si>
    <t>MTPATKLPQDVGPIHFVGIGGIGMSGIAEVLLNLGYRVQGSDLKGSKITERLAGLGAEIFEGQRAENLDGAAVVVISSAIKPGNPELDGARAQGLPVVRRADMLAELMRLKSNIAIAGTHGKTTTTTMMAELMVAGGFDPTVINGGIIHAYSSNARMGQGEWMVVEADESDGSFNRLPATVAIVTNIDPEHMEHWGSIEALRQGFYDFVSNIPFYGIAVCCTDHAEVQALVGRITDRRVRTYGFNAQADVRATNLTYKGGVAHFDILLQHEDMVIEGCTLPMPGDHNVSNALSAVAVARHLGMKADEIRAALAAFGGVNRRFTKVGEVNGVTIIDDYGHHPVEIAAVLKAARQASEGRVIAVHQPHRYSRLSNLFDDFCACFNEADVVAIAEVYAAGEAPIPGADRDALVAGLIRHGHRHARAILSEEDLERLVREQTRPGDMVVCLGAGTISAWANGLPDRLKG</t>
  </si>
  <si>
    <t>SPO1196</t>
  </si>
  <si>
    <t>YP_166443.1</t>
  </si>
  <si>
    <t xml:space="preserve"> UDP-N-acetylmuramate--L-alanine ligase </t>
  </si>
  <si>
    <t>AAV94556.1</t>
  </si>
  <si>
    <t>MSFLSATLSRVKPSPTVAMTAKAAELKAGGRDIIGLSAGEPDFDTPQNIKDAATAAIAAGKTKYTAPDGIIELKQAVCAKMQRDHGLSYTPAQVSVGSGGKQTLYNALMATLNPGDEVIIPAPYWVSYPDMVLLGGGTPVVVETALESAFKLTPAQLEAAITPRTKWFIFNSPSNPTGAGYSRDELKGLTDVLMRHPHVWVMSDDMYEHLAYDGFAFCTPAQVEPGLYERTLTCNGTSKAYAMTGWRIGYAAGPVGLIAAMRKIQSQSTSNPCTISQWAAVEALNGTQEFLAPNNALFKRRRDLVLSMLNAIEGIDCPTPEGAFYVYPSIAGLIGKTTPKGTRIDSDETFCTALLEEADVAVVFGAAFGLSPNFRVSYAASDAALTEACTRIQRFCASLT</t>
  </si>
  <si>
    <t>SPO1264</t>
  </si>
  <si>
    <t>YP_166509.1</t>
  </si>
  <si>
    <t>MAVLMRLLAIYSIVATHLAKGTLMPLSSEQLAEIDAQRAHTAPTRRVVSPGMESHLYRAHPVLDHGFVRVIDYMGDDAAICQAARVSYGTGTKSVQNDEGLIRYLMRHWHSTPFEMCELKLHVKLPVFVARQWIRHRTANVNEYSARYSILDREFYIPAPEHVAAQSAVNNQGRGEALQGEEAARVLEILKADSARCYDNYEAMIGQEGQQGLARELARMNLPANIYTQWYWKVDLHNLFHFLRLRADAHAQYEIRVYAETMCRLVADWVPFAYKAFEDYRLGAVNLSAQMVDSLRRMLAGEAVTQETSGLSAREWREFQDVIGR</t>
  </si>
  <si>
    <t>SPO1273</t>
  </si>
  <si>
    <t>YP_166518.1</t>
  </si>
  <si>
    <t xml:space="preserve"> FAD-dependent thymidylate synthase </t>
  </si>
  <si>
    <t>AAV94601.1</t>
  </si>
  <si>
    <t>MARFIFITGGVVSSLGKGLASAALGALLQARGFSVRLRKLDPYLNVDPGTMSPFEHGEVFVTDDGAETDLDLGHYERFTGVAARKTDSVSSGRIYSNVLEKERRGDYLGKTIQVIPHVTNEIKDFISIGEDEVDFMLCEIGGTVGDIEGLPFFEAIRQFSQDKPRGQCIFMHLTLLPYIKASGELKTKPTQHSVKELRSIGLAPDILVCRSEGPIPQKEREKLALFCNVRPDSVIAAQDLSTIYDAPLAYHREGLDQAVLDAFQISPAPKPDLTKWEDVSDRVHNPEGEVKIAIVGKYVQLEDAYKSIAEALTHGGMANRVKVRIEWVDAEIFEKEDPAPHLEGFHAILVPGGFGERGTEGKIKAAQYAREHQVPYLGICLGMQMAVIEAARNVAGIAGAGSEEFDHEAGKKRFEPVVYHLKEWVQGNYKVSRKVDDDKGGTMRLGAYDAVLKEGSRVAEVYGGTAIEERHRHRYEVDIKYREQLEKAGLCFSGMSPDGRLPEIVEWTDHPWFIGVQYHPELKSKPFDPHPLFADFVRAAKESSRLV</t>
  </si>
  <si>
    <t>SPO1312</t>
  </si>
  <si>
    <t>YP_166555.1</t>
  </si>
  <si>
    <t xml:space="preserve"> CTP synthetase </t>
  </si>
  <si>
    <t>AAV94607.1</t>
  </si>
  <si>
    <t>MANVVVVGAQWGDEGKGKIVDWLSERADVIARFQGGHNAGHTLVIDGEVYKLHALPSGVVRGGKLSVIGNGVVLDPWHLVKEIATIRDQGVEITPETLMIAENTPLILPFHGELDRARENQNSVAKIGTTGRGIGPAYEDKVGRRVIRVADLADAATLELRVDRALVHHNALRSGLGLDPIDRDALLVSLREIAPQILPFAAPVWKVLNEKRKAGKRILFEGAQGALLDIDFGTYPFVTSSNVIAGQAATGVGIGPGAIDYVLGIVKAYTTRVGEGPFPTELDDADGERLGTRGHEFGTTTGRKRRCGWFDAALLRQTCATSGINGIALTKLDVLDGFETLKICVGYDLDGTRLDYLPTAADQQARCTPIYEEMPGWSESTEGARSWADLPANAIKYVRRVEELIDCPVAMVSTSPEREDTILVTDPFAD</t>
  </si>
  <si>
    <t>SPO1318</t>
  </si>
  <si>
    <t>YP_166561.1</t>
  </si>
  <si>
    <t xml:space="preserve"> adenylosuccinate synthetase </t>
  </si>
  <si>
    <t>AAV94633.1</t>
  </si>
  <si>
    <t>MNILILGSGGREHALAWAVMQNPKCDKLIVAPGNAGIAQIAECAELDIMDGGLVATFAEENAIDFVIVGPEAPLAAGVADRLREAGFLVFGPSAAAARLEASKSFTKEICDAAGAPTAGYARFTQAGPAKDYIRAQGAPIVIKADGLAAGKGVIVAMDEATALEAIDDMLGGAFGDAGAEVVIEEFMEGEEASLFVLVDGEEVLSIGTAQDHKRVGEGDTGPNTGGMGAYSPAPVLSAEVEARAMEEIVKPTMAEMARRGVPFQGVLYVGLMIKDGAPRLVEYNVRFGDPECQVLMLRLGAQAMDLMHATAEGRLREARVNWAEDHAITVVMAANGYPGSYQKGSEIKGLDTLPEDSRNMVFHAGTAAREGAIVATGGRVLNVTARGDSLAEARDRAYAMVEAIDWPGGFYRRDIGWRAL</t>
  </si>
  <si>
    <t>SPO1345</t>
  </si>
  <si>
    <t>YP_166587.1</t>
  </si>
  <si>
    <t xml:space="preserve"> phosphoribosylamine--glycine ligase </t>
  </si>
  <si>
    <t>AAV94642.1</t>
  </si>
  <si>
    <t>MQPPPQRQRHICPVPALAAALISPHRPAPRACPMAIAAISCITCGDDTYLKVRDPTMIRPLIAVLSLFYLISSAALAQQSADEVVWVQIEAQPNLRTAQERAQTYAADLSDVAGFSLGGGWYGIVLGPYLREDAEQVLRVYRAERRIPGDSFIALSGALGQQFWPVGSDLLNRGAAVAPVEQTAPEPVAEATPQVQPEPADETPAQARRSEQALSREERQALQIALQAAGFYNAAIDGAFGAGTRRSMADWQGFNGFEATGVLTTRQRKVLMDQYNAPLISTGMARHRDTAAGIEMDLPLGVVRFSRYEAPFAHFDASGELGAQVLLISQPGDKATLYGLYDIMQTLEIVPLDGPRERGSDSFTLEGRGNGIVSYTEAALSGGEIKGFTLIWPTGDEDRRARVLAAMRASFARTDGVLDPAAGGDAVQSVDLVSGLEIRKPRLSRSGFYVDGKGTVLTVAEAVQGCTRVTLDGSYGAQVVDRDAGLGVAVLRPEQALAPMVVAGLGQEMPRLGADITVAGYSYEGILGAPTLTFGTLDDVKGLRGETELARLGLMAQTGDAGGPVIDDQGTVVGMLLPAPATGQQLPRGVSFAAKAQALRDVLSAAGMGAQQAETAGRITPDELNRRASGMTVLVSCWD</t>
  </si>
  <si>
    <t>SPO1354</t>
  </si>
  <si>
    <t>YP_166596.1</t>
  </si>
  <si>
    <t xml:space="preserve"> peptidoglycan binding domain-containing protein </t>
  </si>
  <si>
    <t>Posttranslational modification, protein turnover, chaperones</t>
  </si>
  <si>
    <t>MLPVRTWCLRRLQTPLFCTQTRGAAVQNNPNTTLITSTAPVATSTHGGRAKCLQRLVRLDLPVPRTVALSFGAVHDIAQGQLPDIAAIVSQFDPTALLCVRPSSEDPDWGGPGAVLNIGMNDARFVELSDRMGAEAAAALYLRFVQTFAIHVARLDPDVFDEIEADGREGLRQSLRAYEDETDESFPQDPGEQLAAVLRSMARAWEGTSARLLRQAKGAPADAGLGLVVQEMIPGLGQGECGSGVLQLVEPATGLPQITGRYLSQSQGRDALGAGAEALYLEKDPRGISLEDVAPEAFAALKQHAALMREKLREEMQVEFVIESGRVHILDGVRVPRSARAALRIAVRLAEDGIIPQQEAVMRIDPHSVNELLHRQVHPQARRDVLTTGIAASPGAATGKIVFTAAEAQASAARGEPCVLVRRETSPEDVRGMHAAVAVLTERGGMTSHAAVIGRGLGLPCIVGASDMEFQTKARQIKAPDGRVFRTGDILTIDGSTGQVLAGQPEMIDAALDDSFQTLMAWADAERDIGIRANADTPADAQAARNFDAQGIGLCRTEHMFFEPGRLTVMREMIFAATPSGRKAVLERLLPMQRQDFVQLFRIMEGKPVCIRLFDPPLHEFLPTTRSGQRELAEALDLPVSDVTRRVEAMSEYNPMLGLRGVRLGVTVPEIYDMQARAIFEATLEASRKGEPVVPEVMIPLVSAKREVELVKARIDAVASAVASERGQEFDYRLGVMVETPRACLRADEIAACVSFLSFGTNDLTQMTYGLSRDDAGRFMSAYVRQGVFSEDPFHVLDRDGVGELLKLGVERGRRGQPGVTVSVCGEHGGNPESIAFCRAAGFDYVSCSPFRVPVARLAAAQLAISDKLGISSD</t>
  </si>
  <si>
    <t>SPO1359</t>
  </si>
  <si>
    <t>YP_166601.1</t>
  </si>
  <si>
    <t xml:space="preserve"> pyruvate phosphate dikinase </t>
  </si>
  <si>
    <t>AAV94654.1</t>
  </si>
  <si>
    <t>MRVYYDRDCDINLIKDKKVAILGYGSQGHAHALNLRDSGAKNLVVALREGSASAKKAEGEGLTVMGIAEAAAWCDVIMFTMPDELQAETYKKYVHDNIRPGAAIAFAHGLNVHFGLIEPKEGVDVIMMAPKGPGHTVRGEYTKGGGVPCLVAVHTDATGKALEIGLSYCSAIGGGRSGIIETNFREECETDLFGEQAVLCGGLVELIRCGFETLVEAGYAPEMAYFECLHEVKLIVDLIYEGGIANMDYSISNTAEYGQYVTGPRILPYEQTKASMKAVLTDIQQGKFVRDFMLENAVGQPTIKASRRANDEHQIEQVGQKLRDMMPWISAGKMVDKSKN</t>
  </si>
  <si>
    <t>SPO1366</t>
  </si>
  <si>
    <t>YP_166608.1</t>
  </si>
  <si>
    <t xml:space="preserve"> ketol-acid reductoisomerase </t>
  </si>
  <si>
    <t>AAV94658.1</t>
  </si>
  <si>
    <t>MAALLETVDPEGLEEFSVVFTDRSLNHMSSVFQQVMRDISGMLGAVYNTDAVAVIPGGGTYAMEAVARQFARGARVLVVRNGWFSYRWSQIIETGGLTAETTVMKARRSGNESTAPFAPAPIEDVVTAIREQKPDVVFAPHVETAAGVILPDDYITAMAAAAHEVGALMVLDCIASGCVWVDMKATGVDVLISAPQKGWSASPCAGLVMLSERAEARLAETQSDSFAIDLKKWRDIMKAYEGGGHAYHATMPTDALRAFRDTMAETRDYGFERLREAQWALGNGVRALLRDKGIVSVAADGFGAPGVVVSYTSDPDIQNGKKFAALGMQIAAGVPLQCDEPADFRTFRLGLFGLDKLYDVEGTIARLKRVLDQVL</t>
  </si>
  <si>
    <t>SPO1370</t>
  </si>
  <si>
    <t>YP_166612.1</t>
  </si>
  <si>
    <t xml:space="preserve"> aminotransferase family protein </t>
  </si>
  <si>
    <t>AAV94665.1</t>
  </si>
  <si>
    <t>MAQNPLSKPTACLVLADGTVFYGTGFGATGQTVAELCFNTAMTGYQEIMTDPSYAGQIVTFTFPHIGNVGVTPEDDETTDPVAAGMVVKWDPTAASNWRAAEELKGWLARRGRIAIGGVDTRRLTRAIRQQGAPHVALAHDPEGKFDLAALIAAARGFAGLEGMDLAKDVTCAQSYRWDEMRWAWPEGYARQEAPKHKVVAIDYGAKRNILRCLASSGCDVTVLPATATAAEVLAHAPDGVFLSNGPGDPAATGEYAVPMIREILDTTSLPVFGICLGHQMLALALGGRTVKMNHGHHGANHPVKDLETGKVEITSMNHGFAVDAQSLPEGVVETHRSLFDGSNCGIRMSERPVFSVQYHPEASPGPQDSFYLFERFAAAMDAQKAEV</t>
  </si>
  <si>
    <t>SPO1377</t>
  </si>
  <si>
    <t>YP_166619.1</t>
  </si>
  <si>
    <t xml:space="preserve"> carbamoyl phosphate synthase small subunit </t>
  </si>
  <si>
    <t>AAV94692.1</t>
  </si>
  <si>
    <t>MAGTRKDIAKLNGPWSDEMLWYARAVRALQGRAPADRTSWWYLAAIHGIDIPGWVQQGIVPSAGTLPPQGEQDLIFNQCQHAGWFFLPWHRGYLAAFEAILDAWISAQPGGPQDWALPYWNYLSDSNPNGRAIPPEFLDPTLPDGSANPLSQVRRNGMHVLGPQPWFPGDISLSAQTRSLPFTAAPGTEGYGGAISGFAQQGSLTGAVEGDPHNRVHVMVGGVQPVPGWMSDPDFAALDPIFWVHHCNIDRFWAAWMSDPANQQEDSGAWSNGPFPRQFLMPNPAGGGNVFLPGETLPGGALAPAYDDLHDGTGIPQVVAGGPVTEGVMITSKQAGGSALLGSNSAPLTVAAGPAATEIAIPATAATEFAAPPGLGPEPRLYLNLEGVRGAAAAGVLQVHLRLPGADGGLRLVDTVALFGLGKASSTEGVHAGNGLSLAIDITELAREVQSAAPGALERLSVELSQPGAPETEITVERVSLYRQDMG</t>
  </si>
  <si>
    <t>SPO1405</t>
  </si>
  <si>
    <t>YP_166646.1</t>
  </si>
  <si>
    <t xml:space="preserve"> tyrosinase domain-containing protein </t>
  </si>
  <si>
    <t>Vit/Coenzyme (pigment ?)</t>
  </si>
  <si>
    <t>AAV94718.1</t>
  </si>
  <si>
    <t>MSDTPNYGFDTLQIHAGARPDPATGARQTPIYQTTAYVFRDADHAAALFNLQEVGYIYSRLTNPTVAVLQERIATLEGGVGAVCCSSGHAAQIMALFPLMGPGCNVVASTRLYGGTVTQFSQTIKRFGWSAKFVDFDDLDALREAIDDNTRAVFGESIANPGGYVTDIRAVADVADAAGVPLIIDNTSATPYLCRPFEQGASLVVHSTTKYLTGNGTVTGGCVVDSGRFDWSASDKFPSLSAPEPAYHGLKFHETFGPLAYTFHGIAIGLRDLGMTMNPQAAHYTLMGIETLSLRMQRHVENAKQVAAWLEADPRVDYVTYAGLPSSPYAERAERCYPKGAGGLFTFAVKGGYEACVKLVNALEIFSHVANLGDARSLIIHSASTTHRQLTPEQQEAAGAGPNVVRVSIGIEDADDLIADLDQALTKATA</t>
  </si>
  <si>
    <t>SPO1431</t>
  </si>
  <si>
    <t>YP_166672.1</t>
  </si>
  <si>
    <t xml:space="preserve"> O-acetylhomoserine aminocarboxypropyltransferase </t>
  </si>
  <si>
    <t>methionine biosynthesis</t>
  </si>
  <si>
    <t>AAV94785.1</t>
  </si>
  <si>
    <t>MGVIRESDMIESIAEALQYISYYHPADFIGTMTSAWEREENPGAKAAMAQILVNSRMCAMGRRPICQDTGAANIHVKVGVQAKTDFSRSLQEICDEGTRQGYQRDTNPLRASVVVDPFGARKNSGDNTPCMLTVEMVAGDTIEVEVAAKGGGSENKSKFTTLNPSGNVADWVVQTVETLGAGWCPPGVLGIGVGGNADKAMALAKQALSEPLDMSDLLRRGPSDKTEELRLEIYDRVNALGIGAQGLGGVTTVLDVKIKSFPTHAASLPVGLIPNCAATRHVHFTLDGSGAAEFTPPSMDLYPDILLDAAGAQATRLDLDDLNDTVLASLEPGQTLLLSGTLYTGRDAAHKRMVDMLDKGEPLPVDLKGKAIYYVGPVDAVGDEVIGPAGPTTSTRMDKFTDRILGDTGLKVMVGKAERGPVAIEAIAKHKAAYLIAVGGAAYLVSKAIKAARPVAFQDLGMEAIYELRVEDMPVSVAVDTQGNSIHQTGPAKWRRATAAGS</t>
  </si>
  <si>
    <t>SPO1498</t>
  </si>
  <si>
    <t>YP_166739.1</t>
  </si>
  <si>
    <t xml:space="preserve"> fumarate hydratase, class I, putative </t>
  </si>
  <si>
    <t>AAV94795.1</t>
  </si>
  <si>
    <t>MGWFGLERMQGRKPMNKIIMAAVAGLVATAGWHSAALAAGVTEEDLANDTANTSSVLTNGMGRHLQRYSPLDILNKDNVKNLMPAWAFSLGGEKQRGQETQPLIHDGVMYITGSYSRMYAIDVNTGEELWQYDARLPEGILPCCDVINRGGAIYGDKIYFGTLDARIVALDLKTGDVVWNKKIADYKAGYSYTAAPLIVKGLVITGNSGGEFGIVGEVQARDAETGEMVWTRPVIEGHMGTFKGEESTMTGTLNATWPGDMWKTGGGATWLGGSYDAETDTLVFGAGNPAPWNSWLRDAGQNNDGKGDNLYAASRIGINPDNGEIKWHFQTTPREGWDYDGVNEVVAYTDRDGNKRWATADRNGYFYVLNREDGKFVRGVPFVKDITWASGLDENGRPIFNEDNRPGDPAAAADGAKGEVIFASPSFLGGKNWMPMAFSQKTGNFYVPSNEWGMDIWNEPITYKKGAAYLGAGFTIKPNYEDHIGSLKAIDPDTGELKWEFKNDAPLWGGVMTTAGGLVFTGTPEGKFIAFDDETGEILWSFQTGSGIVGQPVTWEMDGEQYVSVISGWGGAVPLWGGEVAKKVNYLNQGGLLWTFKLPKQLAAAN</t>
  </si>
  <si>
    <t>SPO1508</t>
  </si>
  <si>
    <t>YP_166749.1</t>
  </si>
  <si>
    <t xml:space="preserve"> quinoprotein ethanol dehydrogenase </t>
  </si>
  <si>
    <t>AAV94804.1</t>
  </si>
  <si>
    <t>MELSDSKVIAADRATVWAALLSPEVLKECVPGCQEMSGSPDEGFEATVVQKVGPVKATFKGGVTLSEMVAPESLTLSGEGKGGAAGFAKGAARVRLEEGADGTTILSYEVEAKVGGKLAQLGSRIIDGFARKMADQFFTRFQEVLEGPGEAESPEAEASGDAKKKGWFKRVISG</t>
  </si>
  <si>
    <t>SPO1517</t>
  </si>
  <si>
    <t>YP_166758.1</t>
  </si>
  <si>
    <t xml:space="preserve"> carbon monoxide dehydrogenase operon G protein </t>
  </si>
  <si>
    <t>AAV94805.1</t>
  </si>
  <si>
    <t>MPEINMVVNGRSVRGEVEPRDLLVDFLREGLSLTGTHVGCDTGQCGACVVHVDGVAVKSCNMLAVEAAGSEVSTIEGQAAPDGTLNALQQAFQDHHGLQCGFCTPGMVMSAAALLKDNPTPSEAEVRAHLEGNLCRCTGYHNIVRAIMAASGQDVSGIAAE</t>
  </si>
  <si>
    <t>SPO1518</t>
  </si>
  <si>
    <t>YP_166759.1</t>
  </si>
  <si>
    <t xml:space="preserve"> carbon-monoxide dehydrogenase, small subunit </t>
  </si>
  <si>
    <t>AAV94806.1</t>
  </si>
  <si>
    <t>MPKDSGIGASSKRREDVRFLTGAGNYTDDINLHGQAYVHFLRSDMAHGRIVSLDTAAAAAMPGVVRIFTGADFEGVGGLPCGWQVTDKHGEPMQEPGHPVLAQGKVRHVGDPIAAVVAETPDQARDAAEAIGVEIEELPAVIDMKAALAEGAAKVHDDLSSNLCYDWGFVEENKGAVDAAFAEAAHVTTLELVNNRLVANPMEPRVAIGDYARATGDSTLYTTSQNPHVIRLLMGAFVLGIPEHKLRVVAPDVGGGFGSKIFHYAEEAFCTFAAKALARPVKWTSSRSEAFMSDAHGRDHVTRIELALDAQNNFTALRTETLANMGAYLSTFAPSVPTWLHGTLMAGNYKTPLIYVNVKAVFTNTVPVDAYRGAGRPEATYQLERVIDKAARELGVDPIALRRQNFVTEFPYQTPVAVVYDTGDYNATMDKLEEIADLSGFAARRAESEARGKLRGLGINCYIEACGIAPSNLVGQLGARAGLYDAATVRVNATGSISVMVGAHSHGQGHETAFPQVVAEMLGIDESMIEIVHGDSSKIPFGMGTYGSRSLAVCGSAMVRATEKIINKAKKIAAHLMEASEADIELKDGQFSVAGTDKSVAWGDVTLAAYVPHNYPLEDIEPGLEETAFYDPSNFTYPAGAYACEVEVDPDTGKVTVERFSAADDFGNIVNPMIVSGQVHGGLGQGIGQALLENCAYDPETGQLLSASYMDYAMPRADDVPFYAVDHSCATPCTHNPLGVKGCGEAGAIGSPPAVVNAVIDALQSGGKTVTHIDMPMSPSRVWSAMQG</t>
  </si>
  <si>
    <t>SPO1519</t>
  </si>
  <si>
    <t>YP_166760.1</t>
  </si>
  <si>
    <t xml:space="preserve"> carbon monoxide dehydrogenase, large subunit </t>
  </si>
  <si>
    <t>AAV94807.1</t>
  </si>
  <si>
    <t>MYNFEFERPGSVAEAVAALKTEEAQALGGGQTLIPTLKQRLAAPAKLVSLGGIAEMKGVCRNDDGSLSIGGGTTHAEVARAAAAHYPALAALAGGIGDPAVRNRGTIGGSLANNDPSACYPAAALGSGATIVTDRREIAADDYFQGLFTTALEEGEIITSVRFPVPEKANYQKFVQPASRFALVGVFAAQTADGTRVAVTGASEDGVFRWSAAEAALASGASIDGMAPEADGMIADLHGTKPYRAHLTGVLTRRALQAMA</t>
  </si>
  <si>
    <t>SPO1520</t>
  </si>
  <si>
    <t>YP_166761.1</t>
  </si>
  <si>
    <t xml:space="preserve"> carbon monoxide dehydrogenase, medium subunit, putative </t>
  </si>
  <si>
    <t>AAV94844.1</t>
  </si>
  <si>
    <t>MAYKSDIEIAREARKLPILEIGAKLGIAADELLPYGHDKAKVSQGFIDSVQDRADGRLILVTAINPTPAGEGKTTTTVGLGDGLNRIGKNAMICIREASLGPNFGMKGGAAGGGYAQIVPMEEMNLHFTGDFHAITSAHSLLSAMIDNHIYWGNEADIDTRRVVWRRVVDMNDRALRQITCSLGGVSNGFPREAGFDITVASEVMAILCLARDLKDLEKRLGDIIVAYRRDKSPVYCRDIKAEGAMTVLLKDAMQPNLVQTLENNPAFVHGGPFANIAHGCNSVIATKTALKVADYVVTEAGFGADLGAEKFMNIKCRKAGIAPSAVVLVATVRAMKMNGGVAKGDLGAENVAAVNKGCANLGRHIENVKSFGVPVVVAINHFVTDTDAEVQAVRDYCANHGVEAVLSRHWELGSEGSEALARKVVELAESGKANFAPIYPDDMSLFEKIETIAKRIYRADEVLADAKIRNQLKEWEEAGYRNLPVCMAKTQYSFTTDPNRRGAPTGHSVPVREVRLSAGAGFIVVVCGEIMTMPGLPRKPAAETIRLNDAGQIEGLF</t>
  </si>
  <si>
    <t>SPO1557</t>
  </si>
  <si>
    <t>YP_166798.1</t>
  </si>
  <si>
    <t xml:space="preserve"> formate--tetrahydrofolate ligase </t>
  </si>
  <si>
    <t>AAV94846.1</t>
  </si>
  <si>
    <t>MAATVIDGKAFAARIRGQVAEHVAELKAGHGITPGLAVVLVGEDPASQVYVRSKGKQTVEVGMNSYEHKLDADTSEADLLALIDRLNGDPDVHGILVQLPLPGHLDEDLVINAIDPAKDVDGFHISNVGLLGTGQKSMVPCTPLGCLMMLRDHHGSLSGMDAVVIGRSNIVGKPMAQLLLGDSCTVTIAHSRTKDLADVVRRADIVVAAVGRPEMVPGDWIKPGATVIDVGINRIERDGKTRLVGDVHYDSCAQVAGAITPVPGGVGPMTIACLLANTLTACTRANKLTEPDGLTP</t>
  </si>
  <si>
    <t>SPO1559</t>
  </si>
  <si>
    <t>YP_166800.1</t>
  </si>
  <si>
    <t xml:space="preserve"> folD bifunctional protein </t>
  </si>
  <si>
    <t>Vit/Coenzyme (Folic acid)</t>
  </si>
  <si>
    <t>MTKQTGFHDRFARFTENFIEYNGFWLANCMSTAGPIEEYHACREKCVVLDLSALRKFEITGPDSEALCQYIFTRNMKTLPVGGVVYTAMCYPHGGMIDDGTVFRLGKDNFRWIGGSDYGGEWIREKAAELGLKVLVRSSTDMQHNIAVQGPESRELLKKVIWTAPHQPKFEELGWFRFAPARIGDDQGVPVVVSRTGYTGELGYEIFCHPKHAGAVFDAVWEAGQAHGIRPMGLEALDMVRIEAGLIFAGYDFSDQTDPFEAGIGFTVPLKSKPDDFIGREALIRRKEHPARVLVGLDIDSNVDVGHGDCVHIGRAQIGEVTSSMRSPILGKNIALARVDVAHHEVGTRVEIGKLDGHQKRLPATIVPFAHYDPQKTRPRS</t>
  </si>
  <si>
    <t>SPO1562</t>
  </si>
  <si>
    <t>YP_166803.1</t>
  </si>
  <si>
    <t xml:space="preserve"> glycine cleavage system T protein, putative </t>
  </si>
  <si>
    <t>AAV94852.1</t>
  </si>
  <si>
    <t>MSFHPIEQAPARLNRSELAVPGSQPQMFEKAAQSDVDVIFLDLEDAVAPDEKEQARKNIIKALNDLDWGTKTMSVRINGLDTHYMYRDVVDVVEQAGERLDLIMIPKVGTAADVYAVDMMVTQIEDAKGYKKRIGFEHIIETALGMQNVTEIAGASKRNESLHFGVADYAASTRARTTIIGGVNPDYSVLTDPLEDGSRAVHWGDMWHYALARMVVAARANGLRPIDGPFGDFQDPEGYRAAAKRAAVLGCEGKWAIHPSQIALANEVMSPSEAEVTKARRILEAMAEAEAAGKGAVSLDGRLIDYASIRQAEVLVEKARQIAGN</t>
  </si>
  <si>
    <t>SPO1565</t>
  </si>
  <si>
    <t>YP_166806.1</t>
  </si>
  <si>
    <t xml:space="preserve"> citrate lyase, putative </t>
  </si>
  <si>
    <t>AAV94859.1</t>
  </si>
  <si>
    <t>MNASHQDTGFFTEALSERDPELFGAITSELGRQRDEIELIASENIVSAAVMQAQGSVMTNKYAEGYPGRRYYGGCQYVDIAENLAIERAKQLFGCGFANVQPNSGSQANQGVFQALIKPGDTILGMSLDAGGHLTHGAAPNQSGKWFNAVQYGVRQQDNLLDYDQVEALAKEHRPKLIIAGGSAIPRQIDFARMREIADMVGAYLHVDMAHFAGLVAAGEHPSPFPHAHVATTTTHKTLRGPRGGMILTNDEDIAKKVNSAIFPGIQGGPLMHVIAAKAVAFGEALRPEFKTYIQQVIANAQALSDQLIKGGLDTVTHGTDTHVVLVDLRPKGVKGNATEKALGRAHITCNKNGVPFDPEKPTVTSGIRLGSPAGTTRGFAETEFRQIADWIIEVVDGLAANGEDANEAVEDKVKAQVAALCAKFPIYPNL</t>
  </si>
  <si>
    <t>SPO1572</t>
  </si>
  <si>
    <t>YP_166813.1</t>
  </si>
  <si>
    <t xml:space="preserve"> serine hydroxymethyltransferase </t>
  </si>
  <si>
    <t>interconversion of serine and glycine</t>
  </si>
  <si>
    <t>AAV94866.1</t>
  </si>
  <si>
    <t>MAIIYRTSALAQRHAEIGGELEDWNGMGTAWFYDHTDERAKADYEAVRTKAGLMDVSGLKKIHLSGPHAAAVIDRATTRNVDKLMPGRAVYACMLDDRGLFIDDCVIYRLSVNNWMLVHGTGTGHESLAMAAYGKNVSMIFDDDLHDMSLQGPVAVDFLAKHVPGIRDLAYFGIIQTKLFGKPVMISRTGYTGERGYEIFCEGRHAIALWDAILEDGKDMGIVPVQFSTLDLLRTESYLLFYPGDNSETYPFADDTCGDSLWELGLEFTVSPGKIGFRGAENHYARKGKERFKIYGVKLEGTTPADMGAPLLKDGEVVGVVTFGMNSDLNGHNVGIARMPVDCAVPGTKLTVRNEDGTEIACVAEEMPFYDKDKSIRAAKG</t>
  </si>
  <si>
    <t>SPO1579</t>
  </si>
  <si>
    <t>YP_166820.1</t>
  </si>
  <si>
    <t>AAV94885.1</t>
  </si>
  <si>
    <t>MTETNLQDWVGRQESAEDWLRPQPARFLQATLDRDPDLAEGDALPPLWHWLYFLEARRASELGRDAHPKKGGFLPPVPLPRRMWAGGRFRFARPLILGRAASKRSTIASVTEKEGRSGKLCFVTVRHQLLQDGAPALTEEHDIVYRADPTPDAPAPTPERAPDGAEFSRRITPTEVMLFRYSALTFNGHRIHYDVDYARTVEGYDGLVFHGPLTATLLADLACAQAGRPLRAFSFRGLAPIAGPAPFDIEGRAEGDALTLWARRADGALAMRASAEF</t>
  </si>
  <si>
    <t>SPO1598</t>
  </si>
  <si>
    <t>YP_166839.1</t>
  </si>
  <si>
    <t xml:space="preserve"> hypothetical protein SPO1598 </t>
  </si>
  <si>
    <t>AAV94922.1</t>
  </si>
  <si>
    <t>MMKTVHVALGARSYDVEIGPGLIAEAGARIAPLLARKRVAVLTDETVAALHLEALREGLAAGGVTMEALALPPGESTKGWPQFERAADWLLDQKVERRDVVVAFGGGVIGDLAGFAAAVLRRGVRFVQIPTSLLAQVDSSVGGKTGINASHGKNLIGAFHQPSLVLADTAVLGTLTARDFLAGYGEVVKYGLLGDAAFFDWLEGQGPALAAGDMAARVEAVTRSVQMKADIVARDETEQGDRALLNLGHTFCHALEAATGYSDRLLHGEGVAIGCALAFELSARLGLCSQEDPSRVRAHLKAMGMKTDLTDIPGDLPTADVLVDLMAQDKKVVDGQLRFILARGIGQAFVTSDVPREAVLTVLEDALASC</t>
  </si>
  <si>
    <t>SPO1635</t>
  </si>
  <si>
    <t>YP_166876.1</t>
  </si>
  <si>
    <t xml:space="preserve"> 3-dehydroquinate synthase </t>
  </si>
  <si>
    <t>AAV94958.1</t>
  </si>
  <si>
    <t>MSQIHPSAIIEEGAQIGADCVIGPFCIVGPKVVLGDRVELKSHVVVTGDTTVGEDTVIFSFAVIGEIPQDKKFGGEETRVVIGARNRIREHVTVNAGTAGGGGTTRIGNDCLLMAGCHVAHDCQLGDRVIMVNHAGAAGHCVVEDDVIIGGISGLHQWVRVGRGAIIGALTMVPNDVIPYGLVQAPRGELDGLNLIGLKRRGVARSDITQLRAAFQMLAQGEGTFQDRARRMGEEFDSDYVREIAEFILGDTDRSFLTPGK</t>
  </si>
  <si>
    <t>SPO1673</t>
  </si>
  <si>
    <t>YP_166912.1</t>
  </si>
  <si>
    <t xml:space="preserve"> UDP-N-acetylglucosamine acyltransferase </t>
  </si>
  <si>
    <t>AAV95007.1</t>
  </si>
  <si>
    <t>MSHSISNTTLVRRDRLRQLQQREKAWFDLEFLKAIAPEDRSRCIDLLDRSKSQLRQDLFALCQTGFKEDGFFVEFGATDGIELNNSYLLETGFGWSGILAEPARGWHAALKANRAATIETRCVWHTSGETLGFTEAPRGENSGISTFVKSSRRIRGQNYKVETISLVELLETHQAPAHIDYISIDTEGSEFDILNAFDFDRWTFGVMTVEHNHAPQREDIHALLTGKGYRRVLQDISRFDDWYLREG</t>
  </si>
  <si>
    <t>SPO1725</t>
  </si>
  <si>
    <t>YP_166965.1</t>
  </si>
  <si>
    <t xml:space="preserve"> hypothetical protein SPO1725 </t>
  </si>
  <si>
    <t xml:space="preserve">S-adenosylmethionine-dependent methyltransferases </t>
  </si>
  <si>
    <t>AAV95013.1</t>
  </si>
  <si>
    <t>MPEFHDRMLSLGLARVAEQAALASASLIGRGDEKAADQAAVNAMREQLNLLDIAGVVVIGEGERDEAPMLYIGEEVGTGNGPGVDIALDPLEGTTLTAKDMPNALTVIAMGPRGSMLHAPDVYMDKLAIGPGYAEGVVSLDMSPRERVEALAAAKGCKPSDITVCILERPRHEAMIAEVRETGASIRLITDGDVAGVMHCAEAETTGIDMYMGSGGAPEGVLAAAALKCMGGQIFGRLLFRNDDERGRAAKAGITDLDRVYTRDEMVTQDVIFAATGVTGGSLLPRIKREPGWVETTTLLMRSKTGSVRRMSYRTPV</t>
  </si>
  <si>
    <t>SPO1733</t>
  </si>
  <si>
    <t>YP_166971.1</t>
  </si>
  <si>
    <t xml:space="preserve"> fructose 1,6-bisphosphatase II </t>
  </si>
  <si>
    <t>AAV95014.1</t>
  </si>
  <si>
    <t>MKPALRLGIAGLGTVGVGVVRIIRRQADLLEARTGRRIEITAISARDAGKDRGVNLSSYAWESDPVALARRDDVDVFVELMGGENGPAKASIEAALETGKDVVTANKALLAIHGQALAEQAEAAGRVIRFEAAVAGGIPVIKALTEGLAGNEITRVMGVMNGTCNYILTRMESQRKGYNALFQECAELGYLEADPTLDVGGIDAAHKLALLAAIAFGTKPHFDGIDIEGIERINLEDIAYAADMGYRIKLLGVAQRSGRGLEQRMRPCLVPADSPLGQLEGGTNMVVIEGDAVEQIVLRGPGAGEGPTASAVLGDICDIARGFRLPVFGQPATALAEADSAQSNSPAPYYLRLLLPDRPGALAKVAAALGDAGVSINRMRQTGHDSAEAPVVIVTHKTQRADLDAALEAMTAAGVLAAEPVALRIEAV</t>
  </si>
  <si>
    <t>SPO1734</t>
  </si>
  <si>
    <t>YP_166972.1</t>
  </si>
  <si>
    <t xml:space="preserve"> homoserine dehydrogenase </t>
  </si>
  <si>
    <t>aspartate pathway</t>
  </si>
  <si>
    <t>AAV95036.1</t>
  </si>
  <si>
    <t>MKLIPVRWAKPVLVLAAMSVAASCSLPKVGPNKREIFAGSVQQEGDAFIVAVNDRVTRATAVVPALGFSDAFKNASPLTSDTIRPGDVLGLTVWENVDDGLLANEASNATILEEVQVDSAGFIFVPYAGRLRASGNTPDQLREVITARLEEQTPDPQVQVRRVAGDGSTVSLTGAVGGQGIYPIERPTRTLSTMLAQAGGVTIQPDIAEVTVIRGNQQGKVWYQDLFNHPELDIALRGGDRILVEEDTRSFTALGATNTQARVPFETQDLSALEAIAQVGGLISAASDPTGVFVFRNEPAEIAGLVLGRDDLQGAQRMVYVLNLTEPNGLFTARDFVIRDEDTLYVTEAPYAQWTKTISLISGGLTPLANLQTIAGS</t>
  </si>
  <si>
    <t>SPO1756</t>
  </si>
  <si>
    <t>YP_166994.1</t>
  </si>
  <si>
    <t xml:space="preserve"> polysaccharide biosynthesis/export protein </t>
  </si>
  <si>
    <t>AAV95041.1</t>
  </si>
  <si>
    <t>MSFETPGPVEARLRDAISPIEEIIDEARKGRMYILVDHEDRENEGDLCIAAEFADAAAINFMATHGRGLICLPMTADRIDRLGLPMMAVNNSSRHETAFTVSIEAREGVSTGISAADRALTVATAINEQNTMASLATPGHIFPLRAKRGGVLVRAGHTEAAVDISRLAGLNPSGVICEIMKEDGTMARLPDLVDFAERHGMKIGTISDLISYRARNDNLVDETARSTVTSEYGGDWEMRIFTDQTHGIEHVVLVKGDISTPEPVLTRTHALHEASDVLGLGPKPTQELPRAMEKIAAEGRGVVCLFRQPRNALYASDEDGVRTIKQTGLGAQILSKMGLHELILLTDSPQTRYLGLDAYGLTIVGTRPILKDA</t>
  </si>
  <si>
    <t>SPO1761</t>
  </si>
  <si>
    <t>YP_166999.1</t>
  </si>
  <si>
    <t xml:space="preserve"> 3,4-dihydroxy-2-butanone 4-phosphate synthase/GTP cyclohydrolase II, putative </t>
  </si>
  <si>
    <t>Vit/Coenzyme (FAD and FMN)</t>
  </si>
  <si>
    <t>MMAQGQMAPGIVAGRLSSEELAANFDDLHPAYAPHEAAVAADRCYFCYDAPCQTACPTEIDIPLFIRQIQTGHPEAAARTILEQNILGGMCARVCPTETLCEEACVREAAEGKPVEIGRLQRYATDTLMARGVHPFTRAAPSGKRVAVVGAGPAGLACAHRLALLGHDVVIHEARPKAGGLNEFGIAAYKATGGFAGTEVDWLLQIGGITVEQGSALGQGLTLDALRAGYDAVFLSIGLAGVNALRAAGEDKDGVRDAVDFIAELRQAGDLSALPVGRNVVVIGGGMTAIDAAVQSKLLGAENVTVAYRRSRAEMGASGFEQDLAASKGVRLMFNVMPVAVHGNGAAVEIELEYTTSAGGSVTGTGETVRLAADQVFKAIGQTLEGVPEGLELEGRKIKVDGSGRTSVPGVWAGGDCASGGEDLTVTAVAEGRDAAMDIHARLSA</t>
  </si>
  <si>
    <t>SPO1776</t>
  </si>
  <si>
    <t>YP_167013.1</t>
  </si>
  <si>
    <t xml:space="preserve"> putative oxidoreductase </t>
  </si>
  <si>
    <t xml:space="preserve">pyrimidine degradation </t>
  </si>
  <si>
    <t>Amino acid transport and metabolism; General function prediction only</t>
  </si>
  <si>
    <t>AAV95060.1</t>
  </si>
  <si>
    <t>MAAPAQNLRINVDRLWDSLMEMAQIGPGVAGGNNRQTLTDEDGEGRALFQKWCEAAGCSMGLDQMGNMFAMRPGTDPDALPVYVGSHLDTQPTGGKYDGVLGVLAGLEVIRTLNDLGIRTKHPIVATNWTNEEGTRFAPAMLSSGVFAGMHTQDWAYARTDAEGKSFGDELSRIGWRGEEEVGARKMHAFFELHIEQGPILEAEGKDIGVVTHGQGLSWTQVTITGKDAHTGSTPMPMRRNAGLGMARVLEKVDEIALSHAPHAVGAAGHIDVYPNSRNVIPGKVVFTVDFRSPDLSVIEDMEARLRVEGQKIADAMGLEVAFEKVGGFDPVAFDEGCVSAIRNAAERLGYSHMNIISGAGHDACWINRVAPTAMVMCPCVDGLSHNEAEEISKDWAAAGTDVLFHAVVETAEIVE</t>
  </si>
  <si>
    <t>SPO1781</t>
  </si>
  <si>
    <t>YP_167018.1</t>
  </si>
  <si>
    <t xml:space="preserve"> allantoate amidohydrolase </t>
  </si>
  <si>
    <t>AAV95062.1</t>
  </si>
  <si>
    <t>MSTVIRNGTVVTADLTYKADVRIENGVITEIGPGLSGDKELDATGCYVMPGGIDPHVHLEMPFMGTYSSDDFESGTRAGLAGGTTMVVDFCLPNQGESLLDAIKRWDNKSTRANCDYSFHMAVTWWGEQVFNDMKTVIETRGINTFKHFLAYKGALMVNDDELFASFNRLAELGGIAMVHAENGDVVAEMTAKLLAAGNTGPEAHAYSRPSQVEGEATNRAIMIADMAGVPLYVVHTSCEEAHEAIRRARMQGKRVWGEPLIQHLTLDESEYFHPDWDHAARRVMSPPFRNKQHQDSLWAGLQSGSLSVVATDHCAFTTEQKRYGVGDFSKIPNGTGGLEDRMPMLWTHGVATGRLTPNEFVAVTSTNIAKILNCYPKKGAVLVGADADLVVWDPEKSKTISAGSQQSAIDYNVFEGKEVKGLPRFTLTRGQVAVHDGEIRTQEGHGKFVAREANTPVNRALSSWKELTAPRPVERSGIPATGV</t>
  </si>
  <si>
    <t>SPO1783</t>
  </si>
  <si>
    <t>YP_167020.1</t>
  </si>
  <si>
    <t xml:space="preserve"> dihydropyrimidinase </t>
  </si>
  <si>
    <t>AAV95092.1</t>
  </si>
  <si>
    <t>MSPAAQTETKLYAPSADTVARAHVNADTYDRMYAASMADPEGFWAEQGKRVDWIKPFTQVKDVNYNFGEVSINWYADGTLNVAANCIDRHLATRGDQTAIIWEPDSPTEAAKHITYKELHGSVCRMANILESLGVRKGDRVVIYLPMIPEAAYAMLACARIGAIHSIVFAGFSPDALAARVNGCDAKVVITADEAPRGGRKTPLKSNADAALLHCKDTVKCLVVKRTGGQTTWIADRDFDYNEMALEASDYCAPAEMGAEDPLFILYTSGSTGQPKGVVHTTGGYLVYAAMTHEITFDYHDGDIYWCTADVGWVTGHSYIVYGPLANGATTLMFEGVPTYPDAGRFWEVCAKHKVNQFYTAPTAIRALMGQGTSFVEKHDLSDLRLLGTVGEPINPEAWNWYNEVVGKGKCPIVDTWWQTETGGHLMTPLPGAHATKPGAAMKPFFGVVPVVLDPQSGVEISGNGVEGVLCIKDSWPGQMRTVWGDHERFQKTYFADYKGYYFTGDGCRRDAEGDYWITGRVDDVINVSGHRMGTAEVESALVAHAAVAEAAVVGYPHEIKGQGIYCYVTLMNDREPSDELMKELRSWVRTEIGPIASPDVIQWAPGLPKTRSGKIMRRILRKIAENDFGSLGDTSTLADPSVVDDLIANRAGK</t>
  </si>
  <si>
    <t>SPO1813</t>
  </si>
  <si>
    <t>YP_167050.1</t>
  </si>
  <si>
    <t xml:space="preserve"> acetyl-coenzyme A synthetase </t>
  </si>
  <si>
    <t>AAV95126.1</t>
  </si>
  <si>
    <t>MDTRTLPAQTVINGVTFNATPGQRPVLVDGTTTISALFQKRCAELGTRTAHREKDLGIWKAYSWADYWQHAKWIGLALRKLGLKRGEVVSILSEDRKEWAWFDMGIQAVGGIASGVYTTDSANQLKYLINDSDSRFLIAENEEQLDKYLQIEGEVPGLLNVIILEDEGLHDLNHPRCMMIDRLYEIGREAEKEEPGAFEAEIAQIRPEDVALLIYTSGTTGMPKGAMLTHENIMAGIEAGAHRLPTEETDEQLCFLPLCHILERDVSIYFPLASKCTVNFAESPETVFANLQEVSPATFTAVPRVWEKIYSQVLILAQEATPSGRAAFGMALRAGMKRAQYLVENKPVPAGVAANFWLWDRLVLRNLRRMLGMDKMRRGGTGAAPISPELLKWYWAIGVPLVEGYGMTETAGIATINTPEENRIGTIGRVVPGIDVRIAEGGEIQVRGLNIFKGYWRNNEKTAESFTDDGWLRTGDIGRMDDDGYVTITGRLKDIIITAGGKNITPAEIESRLKFSHYISDAVIVGDKRKFLTCLIMIDQENVEKFAQDRKVPFSNFASLCAAKEVRELIAAEVAQVNKEFARVEQIKDFRLIDVLLTAEDDELTATMKLKRSFVEKKHAHLIEDMYK</t>
  </si>
  <si>
    <t>SPO1847</t>
  </si>
  <si>
    <t>YP_167084.1</t>
  </si>
  <si>
    <t xml:space="preserve"> AMP-binding enzyme </t>
  </si>
  <si>
    <t>AAV95142.1</t>
  </si>
  <si>
    <t>MTRTIVESKTKTAIIGFDQPFCVIGERINPTGRKKLAAELEAGDFSTVEKDAIAQVAAGATVLDINAGVVYNSNPNPNETEPPLMRKIVELVQGLVDVPLCIDSSVPGALEAGLAAAEGRPLLNSVTGEEERLEQILPLVKKYNVPVVAISNDDTGISEDPDVRFAVAKKIVERAADFGIPAHDIVVDPLVMPIGAMATAGQQVFALVRRLREELGVNTTCGASNISFGLPNRHGINNAFLPMAMGAGMTSAIMNPVALPVTQKAIAEKRAAVTAAGIILPEGMDDETFVQMFGLGSTLSRAGKEMEAIRAANLLTNNDAHGAEWIRFNKPPAAEGEESRGRGGRAGSRRRRA</t>
  </si>
  <si>
    <t>SPO1863</t>
  </si>
  <si>
    <t>YP_167100.1</t>
  </si>
  <si>
    <t xml:space="preserve"> methyltetrahydrofolate:corrinoid/iron-sulfur protein methyltransferase </t>
  </si>
  <si>
    <t>AAV95144.1</t>
  </si>
  <si>
    <t>MDLTALRTANPDHWTKATAIRALTLDAIAAANSGHSGMPMGMADVATVLFEKHLKFDAANPTWPDRDRFILSAGHGSMLLYSLLYLTGNPEITLDEVKNFRQMGAKTAGHPENFLAKGIETTTGPLGQGISNAVGFAIAEEIQRAQYGKKVVDHYTYVIAGDGCLMEGVSQEAIGLAGRLELSKLVVLWDNNNITIDGTVDIADRTDQVRRFAASGWHVIEIDGHDPAAIDAALTQAKGSKKPTMIACKTHIALGHAAQDTSKGHGALTDQGQLLAAKEGYGWAHGPFEVPSDVKSAWEAIGSRGAAERAAWEARFAELSERKQAEFTRAYAFEAPKKLAGAIRALKKQVSEDQPKWATRKSSEEVLKVVNPIMTETVGGSADLTGSNNTKTADLGIFLPENRKGRYIHWGIREHGMAAAMNGMALHGGIRPYGGTFMCFTDYARPAMRLAALMKIPSVFVMTHDSIGLGEDGPTHQPVEHLAISRATPNTYVFRPADTVETAEAWELALTFQNSPSVLSLTRQNLPTLRTEHKVKNLTAQGGYVLAEATGKRQVILIATGSEVEIAMQARATLEAEGIGTRVVSMPCMELFAEQDEAYRKRVLPAGPVRVGIEAAMRAGGWDRWLLGERGREAKAGFVGMTGFGASAPAEELYEKFGITAAATVAKVKDLLG</t>
  </si>
  <si>
    <t>SPO1865</t>
  </si>
  <si>
    <t>YP_167102.1</t>
  </si>
  <si>
    <t xml:space="preserve"> transketolase </t>
  </si>
  <si>
    <t>AAV95149.1</t>
  </si>
  <si>
    <t>MQEPAITPDLIAAHGLKPEEYDMILEIIGREPTFTELGIFSAMWNEHCSYKSSKKWLRTLPTSGPQVICGPGENAGVVDIGDGQAVVFKMESHNHPSYIEPYQGAATGVGGILRDVFTMGARPIASMNALSFGEPSHPKTRQLVNGVVEGIGGYGNCFGVPCVGGEVRFHPAYNGNCLVNAFAAGLADSDKIFYSAASGVGMPVVYLGAKTGRDGVGGATMASAEFDDTIEEKRPTVQVGDPFTEKRLMEATLELMQTGAVISIQDMGAAGLTCSAVEMGDKGGLGVRLDLENVPQREENMTAYEMMLSESQERMLMVLKPELEAEARAVFEKWDLDFAIVGETIAEDRFLIMHHGEVKADLVLSKLSSTAPEYDRPWVPTPAAEPLAEVPQIDPIDGLRALLASPNYGGKQWVYEQYDTMVMADSARTPGLGAGIVRVHGTDKALAFTSDVTPRYVRANPEEGGKQAVAEAYRNLTAVGARPLATTDNLNFGNPEKPEIMGQFVGAIKGIGAACAALDMPIVSGNVSLYNETDGTAILPTPTIGAVGLLASTDEIIGKEVREGHVALVVGETTGHLGQSALLAEVFNREDGDAPHVDLEAERRNGDFIRANRALIKACTDLGDGGLALAAFELAEGAGVGLHLDDAPTEILFGEDQARYLVACNFDQAEALMSAAGQTGVTVTSVGRFTGDTVRIGGSEALLADLAATFRASFAAAVA</t>
  </si>
  <si>
    <t>SPO1870</t>
  </si>
  <si>
    <t>YP_167107.1</t>
  </si>
  <si>
    <t xml:space="preserve"> phosphoribosylformylglycinamidine synthase II </t>
  </si>
  <si>
    <t>AAV95152.1</t>
  </si>
  <si>
    <t>MSQPKLTLNDKFDLEKSPVLLNGTQALVRLMLMQKARDAAAGLNTAGLVTGYRGSPLGAVDLQMSRAKKQLNASDVTFQFGLNEDLAATALWGSQQAGLRGDGKYDGVFGLWYGKGPGVDRSGDVMRHANMAGTATHGGVLMAMGDDHTGESSTVLHQSEWALVDAYMPVVSPAGVQEILDYGIYGYALSRFSGLWVGLKTMKDTIEVTSVVDGRPDRMQVVIPEFDMPEGGLNIRLGDTPHLQEGRIIDYKRFAAEAFSRANRMDKRVWGKPGAKIGIVAAGKNWLDLVHAMSLLNIDENEAERLGITTYKVGQTFPLDMQSFHDWAEDLDLVVIVEEKRKLIEVQVKEAIFDDRQGRRVYGWYKGGAGALHRDELFPTRGALDPILIAEKLGGILIEEGRETDGIRAGLNALADARRNDNAQEIASRLPYFCSGCPHNSSTKVPDGSRAYAGIGCHYMVQWMDRNTQGFTHMGGEGANWIGEAPFSKTKHVFQNLGDGTYNHSGVQAIRAALAAGTNITYKILFNDAVAMTGGQENEGDLSAPRIVAELKAMGVKELAVVYDDKEDVDRSQFPSGIPFHERAELMQVQKRFREIAGVSAIVYIQTCAAEKRRRRKRGTFPDPDKRAFINTDICEGCGDCGVQSNCVSIVPKETELGRKRAIDQSSCNKDFSCVKGFCPSFVTVQGAKIRKEATAEIDLPDLPMPDLPAITGTHNVVITGVGGTGVVTIGAVLAQAAQIDGKGAGMMEMAGLAQKGGAVHIHCRIANRPEDISAIRVATGEAHALIGGDLVVSAGAKTLGLTRTGTTGAVVNSHEIITGDFTRNTEFTIPADRLSLALEARLKERLDLFDASELARAVMGDSIYSNMMVFGAAWQRGLLPVSHEAIMQAIELNGAAVERNKRAFDIGRWAVLHPDEATRLIRPGVVELSKSPEDKIAYRAEHLTAYQGARLAKRYRKLVDGIEDGDLRMAVAEGYHKLLSYKDEYEVARLLLDSRDKAAAEFDGDLKLTLHLAPPILGGKDADGRPKKREFSERWLGLFKLLARMKGLRGTPLDLFGYTAERKMERALIRQYEKDLREVLPRLDTRTREAIVALARLPLDIRGFGPVKMANEAKAAKRREELLAVIRQGGPALAKAAE</t>
  </si>
  <si>
    <t>SPO1873</t>
  </si>
  <si>
    <t>YP_167110.1</t>
  </si>
  <si>
    <t xml:space="preserve"> indolepyruvate ferredoxin oxidoreductase </t>
  </si>
  <si>
    <t>AAV95154.1</t>
  </si>
  <si>
    <t>MAVGIFDSGLGGLTVLEAAQKRLPEVEFLYYADSAHAPYGVRTPDDIFQLTRAAVHDLWNRGCDLVILACNTASAAALRRMQEEGVPPGKRVLGVFVPLIEALTERQWGDNSPPREVEVKNVALFATPATVASRAFQRELAFRAIGVDVEAQACGGVVDAIEEGDLILAEALVRSHVDALKRKMPYPQAAILGCTHYPLMEPIFQDALGPDVRVFSQGNLVADSLADYLERHPNMRGSGAAGYLTTGKPATVSNRATQFLRRQITFAAA</t>
  </si>
  <si>
    <t>SPO1875</t>
  </si>
  <si>
    <t>YP_167112.1</t>
  </si>
  <si>
    <t xml:space="preserve"> glutamate racemase </t>
  </si>
  <si>
    <t>AAV95155.1</t>
  </si>
  <si>
    <t>MTHKIAILGASGYTGAELVRLIAEHPNMEIVALSGERKAGQSMAEVFPHLRHLDLPVLCKIDEIDFAGVDLCFCALPHKTSQEVIRALPATLKIVDLSADFRLRDPEAYRTWYGNEHVALEQQAEAVYGLTEFYRDQIRTARLVAGTGCNAATGQYVLRPLIAAGVIDLDEIILDLKCAVSGAGRSLKENLLHAELSEGANAYAVGGTHRHLGEFDQEFSALAGRPVQVQFTPHLIPANRGILATTYVRGDAQTVFQTLAAAYADEPFVHVLPFGETPSTHHVRGSNHCHIGVTGDRIAGRAIVIAALDNLTKGSSGQALQNANLMLGETETTGLTMAPLFP</t>
  </si>
  <si>
    <t>SPO1876</t>
  </si>
  <si>
    <t>YP_167113.1</t>
  </si>
  <si>
    <t xml:space="preserve"> N-acetyl-gamma-glutamyl-phosphate reductase </t>
  </si>
  <si>
    <t>AAV95161.1</t>
  </si>
  <si>
    <t>MQYDTISLDIADGLAVLTLNRPDKMNALTSRMRAEITHAMKAAAREARAIVLTGAGRAFCTGQDLGDAGSSGKIDLERTLRDEYNPMLEAIYDCPVPTIAAVNGPAAGAGANLALCADVVIATESAYFLQAFARIGLMPDAGGTWFLPRQMGLAKAMGAALFADKIDARQAEAWGMIWEAVPDAEFDAQWRKRAAYLANGPTAAFANIKKAIRGSYGTALPDQLAAEAHLQGECGRSRDFQEGVVAFMEKRAAKFEGR</t>
  </si>
  <si>
    <t>SPO1882</t>
  </si>
  <si>
    <t>YP_167119.1</t>
  </si>
  <si>
    <t xml:space="preserve"> enoyl-CoA hydratase/isomerase family protein </t>
  </si>
  <si>
    <t>AAV95166.1</t>
  </si>
  <si>
    <t>MARRTKIYEGKAKILYEGPEPGTIVQYFKDDATAFNAQKKDVIEGKGVLNNRLSEYFMTGLAQIGVPTHFIRRLNMREQLVRACEIVPLEVIVRNFAAGTMSKRLGIEEGTQLPRPIVEYCLKNDELGDPLVTEEHIAAFGWASQQDMDDILSLALRVNDYLSGLMYGVGIKLVDFKIEIGRVYENDYPRLIIADEISPDSCRLWDIATGQKLDKDVFRRDLGSLTDAYSEVARRLGVIPKTQIAKPTLIN</t>
  </si>
  <si>
    <t>SPO1887</t>
  </si>
  <si>
    <t>YP_167124.1</t>
  </si>
  <si>
    <t xml:space="preserve"> phosphoribosylaminoimidazole-succinocarboxamide synthase </t>
  </si>
  <si>
    <t>AAV95177.1</t>
  </si>
  <si>
    <t>MSKAQMREQMANGAGFIAALDQSGGSTPKALALYGVDAAQYGSEEEMFAEIQRMRARIILADDFTSKKVIGAILFERTLGESIEGRGVADYLWNVKGVVPFLKIDKGLEDEANGVQMMKPIPGLAATLAKAEGVFGTKERSVIHEANAEGIAAVVAQQFDVAREVIAAGMVPIVEPEVNIHSTTKAQAEEMLKDEILKNLDTLGEGQDVMLKLTIPSTANLYDVLADHPRVVRVVALSGGYSTDQACDLLSRNGKMIASFSRALTEGLSKQQSDAEFNTALGGNIDKIYRASL</t>
  </si>
  <si>
    <t>SPO1899</t>
  </si>
  <si>
    <t>YP_167135.1</t>
  </si>
  <si>
    <t xml:space="preserve"> fructose-1,6-bisphosphate aldolase </t>
  </si>
  <si>
    <t>MPADRYWGAQTQRSIQNFPIGWERQPVAIIRALGVVKKACALRNRETGALAQDLADAIVAAADEVIAGRLDDHFPLVVWQTGSGTQSNMNANEVIANRAIELLGGQLGSKDPVHPNDHVNMGQSSNDTFPTAMHVAAAMMARDVLLPGLYALLAGLEQKAEEFRDIIKIGRTHTQDATPLTLGQEFSGYAHQIRMGLTRIEAALPGIHELAQGGTAVGTGLNTRAGWAEAVAANMAEITGLPLVSAPNKFEALAAHDAMVFLSGAIATVAGSCYKIANDIRFLGSGPRSGLGELILPENEPGSSIMPGKVNPTQAEALTQVAAHVMGNDAAIKFAGSQGHFELNVYNPMMAYNLLQSMQLLGDAADSFTQRMLLGIRANTARIDQLMRESLMLVTALAPTIGYDNATTVAKTAHKNGTTLREEAVRLGFVDAETFDRVVRPEQMIGPRD</t>
  </si>
  <si>
    <t>SPO1905</t>
  </si>
  <si>
    <t>YP_167141.1</t>
  </si>
  <si>
    <t xml:space="preserve"> fumarate hydratase </t>
  </si>
  <si>
    <t>AAV95193.1</t>
  </si>
  <si>
    <t>MALDIDFVRKQFPAFAEPSLHGQAFFENAGGSYTCQPVIDRLTRFYTQRKVQPYAPYEASRLGGAEMDEARARMAAILGVETDELSFGPSTTQNTYVLAQAFRQWMQPGEAIIVTNQDHEANSGPWRRLAEAGIEVREWQIDPETGHLNPEDLEDLLDETVRLVCFPHCSNVVGEINPVTEITAIAHAAGAFVCVDGVSYVPHGFPNVGELGPDIYLFSAYKTYGPHQGLMVIRRTLGELLPNQGHYFNADSLYKRFTPAGPDHAQVAACAGMADYVDQLAAHHGITATDAAGRGAAVHDLMRAHEVTLLQPLLDAVRDRNSVRLIGPDRAEQRAPTVALAMNRPGEPVAAELAQHGIMAGGGDFYAVRALAAMGVDPVQGVLRLSFTHYTSKDEIAQLIEALDRVL</t>
  </si>
  <si>
    <t>SPO1916</t>
  </si>
  <si>
    <t>YP_167151.1</t>
  </si>
  <si>
    <t xml:space="preserve"> aminotransferase, class V </t>
  </si>
  <si>
    <t>AAV95198.1</t>
  </si>
  <si>
    <t>MRIARDLAEAVGHTPLIRLRRVSEETGCEIYGKAEFMNPGQSVKDRAALYIIRDAIARGELQPGGTIVEGTAGNTGIGLALVGASMGFKTVIVIPETQSEEKKDMLRLAGAELVQVPAAPYRNPNNFVRYSERLARELAKTEPNGAIWANQFDNTANRQAHVETTGPEIWEQTGGKVDGFVAAVGSGGTLAGVAEALQPKGVKIGLADPMGAALFSYYTTGELAMEGGSIAEGIGQVRITRNLEGFKPDFAYQVPDAEALPYIFDLLRQEGLVMGGSTAINIAGAVRMAREMGPGHTIVTVLCDYGTRYQSKLFNPDFLREKDLPVPEWMSRAPSSIPGVFEDV</t>
  </si>
  <si>
    <t>SPO1921</t>
  </si>
  <si>
    <t>YP_167156.1</t>
  </si>
  <si>
    <t xml:space="preserve"> cysteine synthase A </t>
  </si>
  <si>
    <t>AAV95206.1</t>
  </si>
  <si>
    <t>MSYSISQIAKALGAEAAGNLDLTVTGAAEPGDAGHDQLALAMSPKYAEALAKGGARAAILWPGAAWQAMGLEAAIFAARPRLAMAGLTAMLDPGQGVASGIHPSAVIDPSAEIGADVSIGPLTVVGARARIGAGSVIGPHCVIGMDAVLGEGAWLREMVSIGARATIGARFIAQPGARIGGDGFSFVTPEVSGAENARKTMGDQGEAKAQAWTRIHSLGAVEIGDDVEVGANCTVDNGTIRNTCIGDGSKLDNLVHVGHNTRIGRDCLLCGQTGVSGSVEIGNNVVLGGQTGVVDNIYIGDGVIAGGGSKILSNVPAGRVIMGYPAVKMDLHTEIYKAQRRLPRLLRDISALKKAVSKPGPSE</t>
  </si>
  <si>
    <t>SPO1930</t>
  </si>
  <si>
    <t>YP_167165.1</t>
  </si>
  <si>
    <t xml:space="preserve"> UDP-3-O-3-hydroxymyristoyl glucosamine N-acyltransferase </t>
  </si>
  <si>
    <t>AAV95218.1</t>
  </si>
  <si>
    <t>MNTIAEMRAMSEWQKSNWRAKPRVQMPDYTDQAELARVEAQLSQFPPLVFAGEARRLKRHLGAAGRGEAFLLQGGDCAESFDQFSADGIRDTFKVMLQMAMVLTFGAKVPVIKVGRMAGQFAKPRSAPTEVLDGVELPSYRGDIINELAFTPEARMPNPQKMLQAYTQAAATLNLLRAFSTGGFADMNRVHSWTLGFTDEQDVQKYSEIADRIQDTIDFMGAAGITADTTHQFSTVEFYTSHEGLLLEYEEALTRLDSTSGNWLAGSGHMIWIGDRTRQPDGAHVEYCRGVLNPIGLKCGPTTTAEDLKVLMAKLNPENEEGRLTLIARFGAGKAGDHLPRLIKAVREEGAKVTWVCDPMHGNTIKSASGYKTRPFESVLREVRDFFAVHQAEGTVPGGVHFEMTGQDVTECTGGVRAVTDEDLSDRYHTACDPRLNASQSLELAFLVAEELTRLRADQRRRAAG</t>
  </si>
  <si>
    <t>SPO1942</t>
  </si>
  <si>
    <t>YP_167177.1</t>
  </si>
  <si>
    <t xml:space="preserve"> 3-deoxy-7-phosphoheptulonate synthase </t>
  </si>
  <si>
    <t>MKTRKSLAVFLRFGKDMVPSDRISGVFPMDIAAKPALRDKDKPDLGGFDWEDPFRLADQLSEDERMIADAARAYAQEKLQPRVTQAFQTEHTDPDIFREMGEMGLLGTTIPEQYGGIGAGYVTYGLVAREVERVDSGYRSMMSVQSSLVMYPIYAYGSEEQRMKYLPKLASGEWIGCFGLTEPDAGSDPASMKTRAVKTEGGYRLTGTKMWISNAPIADVFVVWAKSDAHDGKIRGFVLEKGMKGLSAPKIENKMSLRASITGEIVMDGVEVGEEALLPHVSGLKGPFGCLNRARYGISWGVMGAAEACWHGARQYGLDRKQFNRPLAQTQLFQLKLANMQTEIALGLQASLRVGRLMDEAKAAPEMISIIKRNNCGKALEIARHARDMHGGNGISLEFQVIRHMVNLETVNTYEGTHDVHALILGRAQTGLQAFF</t>
  </si>
  <si>
    <t>SPO1955</t>
  </si>
  <si>
    <t>YP_167190.1</t>
  </si>
  <si>
    <t xml:space="preserve"> glutaryl-CoA dehydrogenase </t>
  </si>
  <si>
    <t>AAV95233.1</t>
  </si>
  <si>
    <t>MELKDRIVVVTGAASGIGRGLAERFAAEGAKCVVCADLNLQGAEDVAQAVGGVALRCDVSREADIAALIEHVETQIGPIDLFCSNAGILTIGGIETPDADWQRIWDINVMSQVWAARHVVPRMIARGGGYLLNTASAAGLLNQVGAAPYGVTKHASVGLAEWLAMTYGDDGIGVSVLCPQAVRSEMTRGHEESVAALDGLLEPSDVAEACVQAIRDRRFLVLPHPQVLDYIRMKTADYDRWLGGMRKLNRQFGGKL</t>
  </si>
  <si>
    <t>SPO1957</t>
  </si>
  <si>
    <t>YP_167192.1</t>
  </si>
  <si>
    <t xml:space="preserve"> short chain dehydrogenase/reductase family oxidoreductase </t>
  </si>
  <si>
    <t>AAV95243.1</t>
  </si>
  <si>
    <t>MAKLVRSEEEVMLADAARGFLDQAAPVAHLRRLRDGEQTQDRALWSEMAAMGWAGVLVPEEAGGSDMGHAAACALAGEMGKTLVASPFLSTAVIAATALRQVSDARAGQALARIASGELTYALAIDEGAKFAPEATQMQAQAEGNGFRLNGEKRFVVDGANADRLLVLSRTDAGLTLFDLPAERDGITREAQAMIDSRDAARITFSDVIATGEDVLGQVDDAMSVLAPALRAGQAALAAEMAGLAAGAFGMTVEYLKERKQFGVPIGAFQALQHRAAHLWCECEVTASAILNAGRMLDEDPDNAALAVSLAKARATDTAQRAVQEGVQMHGGIGMTDAFDMGFYMKRARVGAEWLGDYGYHANIVAQARGF</t>
  </si>
  <si>
    <t>SPO1967</t>
  </si>
  <si>
    <t>YP_167202.1</t>
  </si>
  <si>
    <t xml:space="preserve"> acyl-CoA dehydrogenase, putative </t>
  </si>
  <si>
    <t>AAV95287.1</t>
  </si>
  <si>
    <t>MYDVDRIRAEFPILSRQVNGKPLTYLDNGASAQKPQAVIDAVTRGYAEEYANVHRGLHFLSNLATEKYEAVRGIVARFLNAGSEDEIVLNSGTTEGINMVAYGWAMPQMQAGDEIVLSTMEHHANIVPWHFLRERQGVVLKWVDPEPDGSLDPQAVLDAIGPRTKLVAITHCSNVLGTVVDVKSICAGARAKGVPVLVDGSQGAVHMPVDVQDLGCDFYAITGHKLYGPSGSGAIYARAERLAEMRPFMGGGDMIKEVTKDTVIYNDPPMKFEAGTPGIVQTIGMGVALDYMMALGMENIAAHEAGLRDYAASRFAGLNWLNVQGHAPGKAAIFSFTLQGAAHAHDISTILDKKGVAVRAGHHCAGPLMDHLGVTATCRASFGLYNTRAEVDTLIEALELAHELFA</t>
  </si>
  <si>
    <t>SPO2014</t>
  </si>
  <si>
    <t>YP_167246.1</t>
  </si>
  <si>
    <t xml:space="preserve"> cysteine desulfurase SufS </t>
  </si>
  <si>
    <t>AAV95296.1</t>
  </si>
  <si>
    <t>MAALDQTQVKEGVDQETVDAVREAGTYKYGWETEIEMEYAPKGVNPDIVRLISDKNEEPEWMTEWRLAAFERWTGMSEPKWAMVSYPEIDFQDQYYYARPKSMSEKPKSLDDVDPKLLATYEKLGIPLKEQMILAGVEGAENAPAEGRKVAVDAVFDSVSVGTTFQAELKKAGVIFCSISEAIREHPELVKKYLGSVVPVSDNFYATLNSAVFSDGSFVYVPPGVRCPMELSTYFRINAENTGQFERTLIIADKGSYVSYLEGCTAPKRDVAQLHAAVVEIIIEEDAEVKYSTVQNWYPGDENGKGGIYNFVTKRADCRGDRSKVMWTQVETGSAVTWKYPSCILRGDDSQGEFYSIAIANNMQQADTGTKMIHLGKNTKSRIVSKGISAGRAQNTYRGLVSMHPKAKNSRNYTQCDSLLIGDKCGAHTVPYIEVKNNSSRCEHEATTSKVDEDQLFYCRSRGMDEEEAVALVVNGFCKDVLQALPMEFAMEAQQLVAISLEGSVG</t>
  </si>
  <si>
    <t>SPO2023</t>
  </si>
  <si>
    <t>YP_167255.1</t>
  </si>
  <si>
    <t xml:space="preserve"> cysteine desulfurase activator complex subunit SufB </t>
  </si>
  <si>
    <t>AAV95311.1</t>
  </si>
  <si>
    <t>MQIREALTFDDVLLVPAASSVLPSTADTRTRVTREIKLNIPLLSSAMDTVTEARMAIAMAQAGGMGVIHKNLSVDEQAREVRRVKRFESGIVYNPVTLRPDQTIADAKALVERYNFTGFPVTDTRGHIVGIVTNRDMRFATSDDMPVSAVMTTNDLAMLAEPADLDEAKSLMRARRIEKLLVHDGQGRLTGLLTLKDTEQAVLNPTACKDHLGRLRVAAASSVGDSGFARSEALIDAGVDIVVVDTAHGHSAGVIDAVRRIKQQSNMVQVIAGNVATAEATKALIDAGADAIKVGIGPGSICTTRMVAGVGVPQLTAIMDCAQAAGDVPVIADGGIKFSGDFAKAIAAGASCAMVGSMIAGTDESPGEVILYQGRSFKSYRGMGSLGAMARGSADRYFQKDAASDKLVPEGIEGQVPYKGSASAVIHQLVGGLRAAMGYTGCATVGEMRQNCQFVKITGAGLKESHVHDVQITRESPNYRVG</t>
  </si>
  <si>
    <t>SPO2039</t>
  </si>
  <si>
    <t>YP_167270.1</t>
  </si>
  <si>
    <t xml:space="preserve"> inosine-5'-monophosphate dehydrogenase </t>
  </si>
  <si>
    <t>AAV95316.1</t>
  </si>
  <si>
    <t>MLGQMMYQPLLISSLIDHAARYHGEAQIWSVSTEGGVEETNWAGIADNARRLGSVLTDAGLAPQSRVATLAWNNRRHLEIYYGVSGAGFVLHTINPRLFPEQLVYILNHAEDRILFFDATFLPLVEGIRPHLTTVERLVLMGPRDEAAAARIEGLEFYDEFVATGDAGFDWPDLDERTASSLCYTSGTTGNPKGVLYSHRSTVLHSFGSNTRDCIGFSARDVVMPVVPMFHVNAWGTPYACAMSGSCMVLPGPDLHGEALVGLIDRYRVTIALGVPTIWQGLLATARAKGSTLESLTRTVIGGAACPPSMIAEFRDRYGVDTVHAWGMSEMSPLGTTNQPLAKHGALPIEAQHKLRENQGRPPYGVELKIVDDDGNTLPNDGQTQGDLMVRGHWVLDSYFQLQDQPILSDGWFATGDVATLDRDGYMTIRDRSKDIIKSGGEWISSVELENIAVAHPKLATAAVIGVPHPKWDERPLLVAVKAEGETPDEAELLAFFDGKIAKWQVPDRVVFVEALPLNATGKVLKRTLREQFRDVLTG</t>
  </si>
  <si>
    <t>SPO2045</t>
  </si>
  <si>
    <t>YP_167275.1</t>
  </si>
  <si>
    <t xml:space="preserve"> medium-chain-fatty-acid--CoA ligase </t>
  </si>
  <si>
    <t>AAV95317.1</t>
  </si>
  <si>
    <t>MFQDLHALHTRTSGRRILDLFAADLRRAERFSADLGEMRLDYSKTQIDDAIRAGLIALCDRAQLADKREAMFAGAPINETEGRAVLHTALRNLDGGPVHVDGAEVMADVRLTLARMRRFAEALRSGALPGAGGAITDVVNIGIGGSDLGPAMAVLALAPYHDGPRCHFVSNVDGAHIADTLRGLDPARTLVIVASKTFTTIETMTNARTARDWMQRGGGDPERQFAAVSTATDRTAAFGIPGDRVFGFADWVGGRYSLWGPIGLSLMIAIGPDDFDAFLRGAQEMDRHFQSAPWEKNLPVMLALTGIWHHQICGHPSRAVLPYDQRLARLPAYLQQLEMESNGKSVAMDGTALDQAAGPIVWGEPGTNGQHAFYQLIHQGKQVVPCEFMVAARGHEPDLAHHHRLLIANCLAQSEALMRGRPLDEARAIAAARGVAGDELERQARHRVFAGNRPSTTLIYPRLTPAMLGRIIALYEHRVFVEGVILGINSFDQWGVELGKELATSLGPVVDGTESAAAKDGSTAALVDYVLAHRDTDLT</t>
  </si>
  <si>
    <t>SPO2046</t>
  </si>
  <si>
    <t>YP_167276.1</t>
  </si>
  <si>
    <t xml:space="preserve"> glucose-6-phosphate isomerase </t>
  </si>
  <si>
    <t>AAV95319.1</t>
  </si>
  <si>
    <t>MVSRIIPVEPFDLVVFGGTGDLARSKILPALFRRSVAGQVPEGGRIIGVARQDMGVEAYHALIAQSLRELLPDLAQVPGALDRFLKQLDYVALDATQPEGWEQLASMLGQGVRAFYFSVGPGLFGALAERLRQHGLVSDDTRIVVEKPFGHDLASARALNATLAAQFHERQIYRIDHYLGKETVQNLMAVRFGNMLFEPLWNSQYVDHIQITVAEAVGVGGRADYYDRAGAMRDMMQNHLMQLLCLIAMEPPAKFDPDAVRDEKLKVIRALDAVKPHHIVRGQYAVPVGGVGQGYRDEVGDPRSITESYIALRAHISNWRWAGTPFYLRTGKRLVARSSVINVMFKDAPHSIFGEEAGRHANVLSIRLQPNEGITLKVTIKEPGPGGMRLVDVPLDMSFAKALGPENQSPPDAYERLIMDVIRGNQTLFMRGDEVEAAWAWTDPIIAGWQARGDVPKPYDCGSTGPGDAELLMRRDGRRWQGINP</t>
  </si>
  <si>
    <t>SPO2048</t>
  </si>
  <si>
    <t>YP_167278.1</t>
  </si>
  <si>
    <t xml:space="preserve"> glucose-6-phosphate 1-dehydrogenase </t>
  </si>
  <si>
    <t>AAV95335.1</t>
  </si>
  <si>
    <t>MVVRRINLALQGGGAHGAFTWGVLDRLLDEPDVEVAAITGTSAGALNGAAFKAGMVAGGRAGARAALDRVWRRMGAVTDDRISGWLGAGDPAHLARMLEYSAPFALAETWSRLVSPYAYGPFYGNPLRPVVEALDFANVCAHQGPKLFICATRVRTGKIRVFAEEEITTDAILASACLPTMFQAIEIDDPETGRREAYWDGGYTGNPALFPLFNRDLPDDVVIVNINPLERDALPVTPQQIQNRINEISFNSSLLRELRAIRFVQRLLEDGTLERGRMSRVLVHMIADDALMNSLSVATKVVPLPQILDRLKQAGRAAADSFLDAHKTDLGQRSTVDMEAMFG</t>
  </si>
  <si>
    <t>SPO2064</t>
  </si>
  <si>
    <t>YP_167294.1</t>
  </si>
  <si>
    <t xml:space="preserve"> patatin family phospholipase </t>
  </si>
  <si>
    <t>AAV95347.1</t>
  </si>
  <si>
    <t>MTPTVAAFPAARFRRARKSPALRALVRENSLGVDDLIWPVFVRDGEGIEEPVPSMPGVMRRSVDRIAQAAVEAQALGIPAICLFPYTDAALKTEDCAEAWSPDNLSNRAIRAIKAAAPDIAVMTDVALDPYNINGHDGYVVDGEIVNDETVEALVKMTLAQAEAGADIIGPSDMMDGRIGAMRQALEAAGHRNVLILSYAAKYASAFYGPFRDAVGASGALTGDKKTYQMDPGNSDEALRLIQRDLSEGADMVMIKPGLAYLDICHRVKQSFGAPTYAYQVSGEYAMIKAAAQNGWIDGDKVMLESLLAFKRAGCDGILTYFAPDVARILQG</t>
  </si>
  <si>
    <t>SPO2076</t>
  </si>
  <si>
    <t>YP_167306.1</t>
  </si>
  <si>
    <t xml:space="preserve"> delta-aminolevulinic acid dehydratase </t>
  </si>
  <si>
    <t>Vit/Coenzyme (heme)</t>
  </si>
  <si>
    <t>AAV95366.1</t>
  </si>
  <si>
    <t>MPELTRTLAEFATGSITTTPAARLVTSLSALDWIAVGRAGVEEPVSRILREMVLEEGGTARAHLFGGGAAPLRGAALVNGTVSHALDYDDTHFAHIGHPSVAVFPAVLAMAESRDAAIVELLEAALVGMELSVRVGLWLGRGHYQAGFHQTATAGAFGAAAAAGRLAGLTPQRMAQALGLTATRAAGLKAQFGTMGKPYNAGLAAAAGIEAVELVRRGFDANPLAMEGEYGFGATHHGADEMSALEGLGESWLFDQVSHKFHACCHGLHAALEAARSLDIAAPEVAQLSVRTHPRWLSVCNQQAPSTGLGAKFSYGTVLAMRALGHDTARLDSYSDALCADPRLIELRDRVEVIGDDSLSETQAHLSLLRRDGQRQEVSHDLMAPLTLAEREERVRAKAAKLIGGSLADEIWALLRTGGGAADLALRLSAS</t>
  </si>
  <si>
    <t>SPO2095</t>
  </si>
  <si>
    <t>YP_167325.1</t>
  </si>
  <si>
    <t xml:space="preserve"> MmgE/PrpD family protein </t>
  </si>
  <si>
    <t>propionate catabolism</t>
  </si>
  <si>
    <t>AAV95368.1</t>
  </si>
  <si>
    <t>MTDRAYVIDEMISAKAIAARIEALCREIQTEFADTDKLVVVGLLRGSFVFIADLVRELNLPIEVDFLEASSYGDAMESSREVRILKDLRSPIEGRDVLVVEDIVDTGHTLNHVTHLLLSRMPKRLKSIALLDKPSRREVDFRADWIGFEIPDEFVVGYGIDFAQRNRNLPFIGKVRFTEA</t>
  </si>
  <si>
    <t>SPO2097</t>
  </si>
  <si>
    <t>YP_167327.1</t>
  </si>
  <si>
    <t xml:space="preserve"> hypoxanthine phosphoribosyltransferase </t>
  </si>
  <si>
    <t>AAV95380.1</t>
  </si>
  <si>
    <t>MSQTSHDRLLIIDFGSQVTQLIARRLRELNVYCEIHPYQNVTMDFVREMAPRAVIFSGGPDSVTREGSPRAPQEIFDYGVPILGICYGQQTMMTQLGGRVESGHGTAEFGRAYVTPKGTLDILDGWFTDGREQVWMSHGDHVAEIAPGFEVYGTSPGAPFAITADTSRHFYAVQFHPEVHHTPNGAKLYENFVRLAGFKGDWTMGAYREEMIRTIREQVGDKKVICGLSGGVDSSVAAILIHEAIGDQLTCVFVDHGLLRKNEATEVVGMFRDNYNIQLIHADESDLFLGELDGQSDPETKRKIIGKLFIDVFQKHADTIEGAEFLAQGTLYPDVIESVSFSGGPSVTIKSHHNVGGLPEKMGLKLVEPLRELFKDEVRALGRELGLPQSFIGRHPFPGPGLAIRCPGEITREKLEILREADAIYIDQIRKHGLYDEIWQAFVAILPVRTVGVMGDGRTYDYACALRAVTSVDGMTADYYPFTHEFLGETATRIINEVKGINRCTYDITSKPPGTIEWE</t>
  </si>
  <si>
    <t>SPO2109</t>
  </si>
  <si>
    <t>YP_167339.1</t>
  </si>
  <si>
    <t xml:space="preserve"> bifunctional GMP synthase/glutamine amidotransferase protein </t>
  </si>
  <si>
    <t>AAV95388.1</t>
  </si>
  <si>
    <t>MTLLYDQNHHWISTRFDQTLAKTATRPHLMSRKTCILIGAPVDSGKRRTGCLMGPDSYRTAGLAEALADLGHRVEDLGNLSPAEHAPEPSDTHLHQPNRTIGWTNRLIRAAEQAMPRGLPIFLGGDHALALGSVAGVANHAARVGRPQFVLWLDAHSDYHTPETSASGNLHGTPLGYVTGRGGFAGFPVIKNPVKQRNICILGLRSVDHAEREALQRTKIRFHDMRQIDEHGIARPLQAFLDTWAKENGMLHVSLDVDFLDPSIAPAVGTTVPGGATMREGHLVMEMICDSGLMTSLDLVELNPFLDERGRTAQLIVDLAASALGRRVFDRPTRSFS</t>
  </si>
  <si>
    <t>SPO2119</t>
  </si>
  <si>
    <t>YP_167347.1</t>
  </si>
  <si>
    <t xml:space="preserve"> arginase </t>
  </si>
  <si>
    <t>histidine and arginine degradation</t>
  </si>
  <si>
    <t>AAV95390.1</t>
  </si>
  <si>
    <t>MTATTIPSDKALVPFVSVDHMMQLVHSIGVEEMMRGIADYIEADFRRWESFDKTPRVASHSPVGVIELMPTSDGELYGFKYVNGHPKNTKEGLQTVTAFGLLASVETGYPVLLSEMTMLTALRTAATSAMVAKYLAPKGAHTMAMIGNGAQSEFQTLAMKAICGLKSVRLYDIDPAATAKAAHNLASQGIEVVSCASPEEAIEGAQILTTCTADKQYATILTDNMVGSGVHINAIGGDCPGKTELAEAILHRSDIFVEYPPQTRIEGEIQQLAPEHPVTEMWQVITGKVPGRSSDRQITLFDSVGFAIEDFSALRYVRDRLQETGLYHALDLLADPDDPRDLFGMLQRAAPAKG</t>
  </si>
  <si>
    <t>SPO2121</t>
  </si>
  <si>
    <t>YP_167349.1</t>
  </si>
  <si>
    <t xml:space="preserve"> ornithine cyclodeaminase </t>
  </si>
  <si>
    <t>arginine and proline biosynthesis</t>
  </si>
  <si>
    <t>AAV95399.1</t>
  </si>
  <si>
    <t>MTRERLYLYDTTLRDGQQTQGVQFSTPEKLRIASALDSLGIDYIEGGWPGANPTDSAFFDAAPATRARLTAFGMTKRSGRSAENDDVLAAVMNAGTGTVCLVGKAHDYHVTQALGIELAENTENIRASMAHIVAQGREALFDAEHFFDGYRDNPAYALEVCRAALEAGARWIVLCDTNGGAMPADVARVVGEVIAAGIPGDRLGIHCHNDTDQAVACSLAAVIAGARQIQGTLNGLGERCGNANLTSLIPTLLLKEPYASRFETGVSAGALADLTRISRMLDDILNRVPVKQAPYVGSSAFAHKAGLHASAILKDPSTYEHIDPSLVGNERIIPMSNQAGQSNLRKRLTDAGLSVPPGDPALGHILERIKAREDEGYSYDTAQASFELLARRELGQMPAFFEVKRYKVTVERRKNKYDRMVSLSEAVVVVKVDGEKLLSVSESLDDTGSDRGPVNALYKALAKDLGRYSAILSDMRLVDFKVRITQGGTEAVTRVIIDSEDGKGRRWSTVGVSANIVDASFEALLDAINWKLLRDCAGQGAAAE</t>
  </si>
  <si>
    <t>SPO2130</t>
  </si>
  <si>
    <t>YP_167358.1</t>
  </si>
  <si>
    <t xml:space="preserve"> alpha-isopropylmalate/homocitrate synthase family transferase </t>
  </si>
  <si>
    <t>MQLFKGMDMSDRTGIFAGDDPFAIARDWLAEAERSEPNDANAIALATVDASGLPNVRMVLLKEIEPAAFVFYTNYESAKAIELEQAGKAAFVMHWKSLRRQLRVRGTITREEGPQADDYYASRSLKSRLGAWASRQSRPLSSRAALMAEVAKITAAKGPNPPRPPFWGGFRLTPVEIEFWADGAFRLHDRFVWRRNSAGESWVIQRLNP</t>
  </si>
  <si>
    <t>SPO2141</t>
  </si>
  <si>
    <t>YP_167368.1</t>
  </si>
  <si>
    <t xml:space="preserve"> pyridoxamine 5''-phosphate oxidase, putative </t>
  </si>
  <si>
    <t>Vit/Coenzyme (Vit B6)</t>
  </si>
  <si>
    <t>AAV95410.1</t>
  </si>
  <si>
    <t>MSNQLMAGKRGLIMGLANDKSIAWGIARALADAGAELAFSYQGDALKKRVDPLAAQLGSEIVLPCDVGDEASIDTLFDALEQKWGKLDFVVHAIGFSDKNELRGRYVDTSRANFKLTMDISVFSFTAVMKRAEKLMSEGGSAITLTYYGAEQVMPHYNVMGVAKAALEASVKYLAEDLGKDGIRVNSVSAGPIKTLAASGIGDFRYIMKWNEYNSPLRRNVTIDDVGKSALYLLSDLSSGVTGENLHVDSGYHIVGMKAVDAPDIDKG</t>
  </si>
  <si>
    <t>SPO2142</t>
  </si>
  <si>
    <t>YP_167369.1</t>
  </si>
  <si>
    <t xml:space="preserve"> enoyl-(acyl carrier protein) reductase </t>
  </si>
  <si>
    <t>AAV95412.1</t>
  </si>
  <si>
    <t>MAPTRTATTFAPPVMEARRWLEGVTFSPDRPLINVSQAAPVEPPPQALRQAMADFALTEDSAHLYGPVLGNADLRAELAAQISHHYGGAVRPEQVAITSGCNQAFAATISAITGEGDEVILPTPWYFNHKMWLDMEGVTAVPLATGPDLLPDVEAARALITPRTRAIALVTPNNPGGVEYPAELVGAFYDLAAEHGLRLLLDETYRDFDSRSGAPHDLFTRPDWDKTLVHLYSFSKAYRLTGHRVGALASDTGLLAEIEKFLDTVAICPGQIGQHAALWGMRNLGQWVAGERDEILDRRAAIAEGMPALVAEGWTLLGLGAYFAYLEHPFDLPSDELARRLVRDAGVLVLPGTMFMPEGDLAGARQLRVAFANLDRAGIGQLFDRLKGLRF</t>
  </si>
  <si>
    <t>SPO2144</t>
  </si>
  <si>
    <t>YP_167371.1</t>
  </si>
  <si>
    <t xml:space="preserve"> hypothetical protein SPO2144 </t>
  </si>
  <si>
    <t>Aspartate transaminase</t>
  </si>
  <si>
    <t>AAV95414.1</t>
  </si>
  <si>
    <t>MALTPDFETFARAYEAGENQVVHTRLAADLDTPVSLMLKLTGAQKDAFMLESVTGGEVRGRYSIIGMKPDLIWRCHGEQSALNRKARFDPDGFRPQEGNPLDNLRALLAESRIALPEDLPQASAGLFGYLGYDMVRLVEHLPDVNPDPLGLPDAVMMRPSVVAVLDGVKGEVTVVSPAWVSDGQSARAAYAQAAERVMDAVRDLERAMPAETRDLGEAHEVAPPVSNFTREGYKAAVEKAKDYIRAGDIFQVVPAQRWTQEFPLPPFALYRSLRRTNPSPFMFYFNFGGFQVVGASPEILVRVFGQEVTIRPIAGTRPRGATPEEDRANEADLLADKKELAEHLMLLDLGRNDAGRVSKIGTVRPTEKFIIERYSHVMHIVSNVVGELDPDKDALDAFFAGMPAGTVSGAPKVRAMEIIDELEPEKRGIYGGGVGYFSAGGDMDMCIALRTAIVKDRKLYIQAGGGVVYDSDPEAEFMETVHKSNAIRRAAADAARFIGSRNS</t>
  </si>
  <si>
    <t>SPO2146</t>
  </si>
  <si>
    <t>YP_167373.1</t>
  </si>
  <si>
    <t xml:space="preserve"> anthranilate synthase component I </t>
  </si>
  <si>
    <t>AAV95418.1</t>
  </si>
  <si>
    <t>MSDALKPLIGAAADRPLTRAEAEQAFTILFDGEATPSQIGGLLMALRTRGETVDEYAAAAAVMRAKCNAVRAPEGAMDIVGTGGDGKNTLNISTATAFVVAGAGVVVAKHGNRNLSSKSGTADLQGQMGINVMVGPQVVEKALNEAGIGFMMAPMHHPATAHVMPTRAELGTRTIFNILGPLTNPAGVKRQLTGAFTRALIRPMAETLGLLGSERAWLVHGSDGTDELTITGVSWVAALEDGTVKEVELHPEDAGLPVHPFEAIIGGTPEENATAFRALLDGAPSAYRDAVLLNAAAALVVADRAADLREGVALAAQSIDSGQARAKVEALSRITQDAR</t>
  </si>
  <si>
    <t>SPO2150</t>
  </si>
  <si>
    <t>YP_167377.1</t>
  </si>
  <si>
    <t xml:space="preserve"> anthranilate phosphoribosyltransferase </t>
  </si>
  <si>
    <t>aromatic amino acid biosynthesis</t>
  </si>
  <si>
    <t>AAV95419.1</t>
  </si>
  <si>
    <t>MTDTILDKIKAYKLEEVAADKAAKPLEAVEAEAREADPVRGFADALIAATRQGYGLIAEIKKASPSKGLIRPDFDPPALARAYAEGGATCLSVLTDTPSFQGAKSYLTAARAACDLPALRKDFMYDPYQVVEARALGADCILIIMASVDDAQAEELEQTAFDWGMDVLIEVHDAEELERAERLKSPLIGINNRNLKTFETTLDTTRKLSKLVPPDRIIVCESGLNTPADLSDMARHGARCFLIGESLMRQDDVTGATRTLLADPLMPGAM</t>
  </si>
  <si>
    <t>SPO2151</t>
  </si>
  <si>
    <t>YP_167378.1</t>
  </si>
  <si>
    <t xml:space="preserve"> indole-3-glycerol-phosphate synthase </t>
  </si>
  <si>
    <t>tryptophan biosynthetic pathway</t>
  </si>
  <si>
    <t>AAV95421.1</t>
  </si>
  <si>
    <t>MITVEEARSLLLDLVEPLGAEEAPLAESAGRVLARDVAATRDQPPFAAASMDGYAVKSAEVERHAMFKVIGEAAAGHRFDGQVGPGQAVRIFTGAPVPDGADFVVIQEDVSRSGDLITITDAPGDKTNIRPAGVDFRIGQTLSAPRVLRPEEVALLASMNIPRVPVRRQPVVALISTGDELVMPGETPGPDQIIASNTFGLKALFEANGARVRVLPIARDTRAALVTAFELARGADLVITIGGASVGDHDLVAQVAGELGMEQSFYKVRMRPGKPLMAGRIGGMPMVGLPGNPVSAMVCGYIFILPMLRRMLDLDPEIALREAVLSAPLGPNGPREHYMRAQVENGQIATFGDQDSSLLSILAQANALLMRPPEDSARAIGERVRYLPI</t>
  </si>
  <si>
    <t>SPO2153</t>
  </si>
  <si>
    <t>YP_167380.1</t>
  </si>
  <si>
    <t xml:space="preserve"> molybdenum cofactor biosynthesis protein A </t>
  </si>
  <si>
    <t>Vit/Coenzyme (molybdopterin)</t>
  </si>
  <si>
    <t>AAV95425.1</t>
  </si>
  <si>
    <t>MTEEKKTATLSLNGQSYDLPVYSPSAGPDVIDIRKLYGQAGVFTYDPGFTSTASCDSTITYIDGELGELLHRGYPIDQLAAKSHYLEVCYLLLYGELPTAAALEKFETTITRHTMIHEQMHYFFRGFRRDAHPMATMVGVVGAMSAFYHDSTDIADPHQREIASHRLIAKMPTIAAMAYKYSIGQPFMYPRNDLDYAANFLQMCFAVPAEHYHVDPILARAMDRIFTLHADHEQNASTSTVRLASSSGANPFACIAAGIACLWGPAHGGANQACLEMLKEIGSPDRIPEFIARAKDKNDPFRLMGFGHRVYKNFDPRATVMKQSADEVLDLLGVENNPILATAKELERAALADDYFAEKKLFPNVDFYSGIILEAMGFPTSMFTPIFAVSRTVGWVSQWKEQLADPQHKIGRPRQLYLGSTARDYVDIEDR</t>
  </si>
  <si>
    <t>SPO2157</t>
  </si>
  <si>
    <t>YP_167384.1</t>
  </si>
  <si>
    <t xml:space="preserve"> citrate synthase I </t>
  </si>
  <si>
    <t>AAV95437.1</t>
  </si>
  <si>
    <t>MTSGKNGITYAEAGVDIDAGNALVDRIKPAAKRTNRPGVASGLGGFGALFDLKAAGYQDPVLVAATDGVGTKLRIAIDTGLVDGVGIDLVAMCVNDLVCQGAEPLFFLDYFATGKLETDTAARIIEGIAEGCVQSGCALIGGETAEMPGMYPAGDFDLAGFAVGAMERGTALPEGVVEGDVLLGLASNGVHSNGYSLVRKLVEISGNTWESDCPFGDGKLGQALLTPTRLYVRQVLAAIRAGGVHALAHITGGGLTENLPRVLPEGMGATIDLDTWDLPPVFGWMAETGGIAEAEMLKTFNCGIGMIVVCAADRAEALAELLSAEGETVARIGTVTTTPGIAYTGKLL</t>
  </si>
  <si>
    <t>SPO2169</t>
  </si>
  <si>
    <t>YP_167396.1</t>
  </si>
  <si>
    <t xml:space="preserve"> phosphoribosylaminoimidazole synthetase </t>
  </si>
  <si>
    <t>AAV95458.1</t>
  </si>
  <si>
    <t>MTALTLTPGSATLEHLARIYFDESPVRLDPACRPAVEAAAARIRAAAAGDVPVYGVNTGFGKLASLKVAPQDTATLQRNLILSHCCGVGAPIPRRMARLMMVLKLLSLGRGASGVRWELITLLQEMLARDVTPVIPVQGSVGASGDLAPLAHMTAVIIGAGEAEYQGQRLPGAEALARAGLTPIALGPKEGLAFINGTQFSTAFALAGLFGAWRAATSSLVTAALSTDAIMGSTAPLQPEIHALRGHRGQIDAAARMRALLDGSEIRESHREGDTRVQDPYCIRCQPQVTGAAMDVLRQAAQTLEIEANAATDNPLVLAEADMIVSGGNFHAEPVGFAADLIALALSEIGAIAQRRVALMVDPTLSFDLPPFLTPKPGLNSGLMIAEVTTAALMSENKHLANPCVTDSTPTSANQEDHVSMAAHGAVRLGRMVENLHYILGVELLCAAQGIEFRAPLQTSTALQAAVARLRAEVPRLEEDRYMAPEIETAARLVGAGALLDVVGIDMGGLRP</t>
  </si>
  <si>
    <t>SPO2192</t>
  </si>
  <si>
    <t>YP_167417.1</t>
  </si>
  <si>
    <t xml:space="preserve"> histidine ammonia-lyase </t>
  </si>
  <si>
    <t>AAV95469.1</t>
  </si>
  <si>
    <t>MQELTHYINGEHVKGTSGRFADVFNPATGDVQAKCPLASTEEMARAVEIAAAAQPAWAAVNPQRRARVMMKFVDLLNRDMDKLAEALSREHGKTLPDAAGDVQRGLEVVEYCIGAPHLLKGEFTDSAGPGIDMYSMRQPLGVTAGITPFNFPAMIPMWMFAPAIACGNAFILKPSERDPSVPLMLAELMEEAGLPKGILQVVNGDKEAVDAILYNPVIQSVGFVGSTPIAEYIYGTGCAQGKRVQCFGGAKNHMIIMPDADMDQAADALVGAGYGAAGERCMAISVAVPVGDDTADRLIEKLVPRIEKLKVGPYTAGKDVDYGPVVTAAAKENILRLVNSGVEQGAKLVVDGRDFSLQGYEDGFFVGPHLFDHVTPDMDIYKKEIFGPVLSTVRAKTYEEALGLAMDHEYGNGTAIFTRDGDAARDFANRINIGMVGVNVPIPVPLAYHTFGGWKKSAFGDLNQHGPDAFKFYTRTKTVTARWPSGIKEGGEFSIPVME</t>
  </si>
  <si>
    <t>SPO2203</t>
  </si>
  <si>
    <t>YP_167429.1</t>
  </si>
  <si>
    <t xml:space="preserve"> methylmalonate-semialdehyde dehydrogenase </t>
  </si>
  <si>
    <t>AAV95477.1</t>
  </si>
  <si>
    <t>MDFALTEEQTAIFDMAHAFGQDNIAPYARQWEAEGTIPKDLWPQVGELGFGGLYVSEEAGGAGLSRLDATLVFEALSMACPSVAAFLSIHNMCAKMLDNFASDELKTRVMPDVLSLNTVLSYCLTEPGSGSDAAALKTRAEKSNEGYVLNGTKAFISGGGYSDAYVCMVRTGEDGPKGISTVYVEDGTPGLSFGALEDKMGWKSQPTAQVQFDDCKVPAGNLVGVEGDGFKYAMMGLDGGRLNIASCSLGAAQTALNMTLQYMGERKAFGKSIDQFQALQFRLADMEIELQAARTFLRQAAWKLDNKTPDATKFCAMAKKFVTETGSKVVDQCLQLHGGYGYLADYGIEKLVRDLRVHQILEGTNEIMRVIVARHMLANR</t>
  </si>
  <si>
    <t>SPO2211</t>
  </si>
  <si>
    <t>YP_167437.1</t>
  </si>
  <si>
    <t>AAV95488.1</t>
  </si>
  <si>
    <t>MAAQSYDVIVIGAGPGGYVAAIRAAQLGLKACVVEREHLGGICLNWGCIPTKALLRSSEVFHLMERAKEFGLKADNIGYDLDAVVKRSRGVAKQLSGGIGHLMKKNKIDVVMGEATIPAKGKVSVKTDKGTQELTAKNIILATGARARELPGLEADGDLVWTYKHALQPVRMPKKLLVIGSGAIGIEFASFYNTLGADTTVVEVMDRVLPVEDAEISAFAKKSFVKQGMKIMEKSMVKQLDRAKGKVTAHIETGGKVEKLEFDTVISAVGIVGNVENLGLEALGVKIDRTHVVTDAYCRTGVEGLYAIGDIAGAPWLAHKASHEGVMVAELIAGKHAHPVKPESIAGCTYCHPQVASVGYTEAKAKELGYDIKVGRFPFIGNGKAIALGEVEGMIKTIFDAKTGELLGAHMVGAEVTEMIQGYVVGRQLETTEEDLMHTVFPHPTLSEMMHESVLDAYGRVIHM</t>
  </si>
  <si>
    <t>SPO2222</t>
  </si>
  <si>
    <t>YP_167448.1</t>
  </si>
  <si>
    <t xml:space="preserve"> dihydrolipoamide dehydrogenase </t>
  </si>
  <si>
    <t>AAV95497.1</t>
  </si>
  <si>
    <t>MFSKSKINEPAPKAPEAAKPAAPAAPAAPAPSDYKAAAPKPKPPASILSSDLHITGNIKTSGDIQVEGSVEGDIRAHLLTIGETATIKGEVTADDVVINGRIVGRVRGLKVRLTSTARVEGDIIHKTIAIESGAHFEGSVQRQDDPLNPGRAAKPGANPAAAAPAPKPEGA</t>
  </si>
  <si>
    <t>SPO2231</t>
  </si>
  <si>
    <t>YP_167457.1</t>
  </si>
  <si>
    <t xml:space="preserve"> hypothetical protein SPO2231 </t>
  </si>
  <si>
    <t>AAV95501.1</t>
  </si>
  <si>
    <t>MGWKTLDDMDLTGKRVLVRVDINVPIVDGVVTDSTRIRRLMPTIRDILAAGGRPILLAHFGRPGGERRKNLSLGQLVPTLERAFETKVLFADDCVGPAAEEAAEALQPGQVLLLENTRFHASETKNDPDLAAGMARLGDIYCNDAFSAAHRAHSSTEAIARLLPSCAGRLMQAELEALEKALGKPERPVTAVVGGAKVSTKLELLGNLIEKVDYLVIGGGMANTFLVAKGLPVGKSLAERIMKDTAAEILAKAEAAGCTIVLPSDVVVAEKFESHAPHQILPNDRCPDEGMILDAGPDSLAAIKAIFEKSRTLIWNGPLGAFELEPFDAATNAAALKAAALTRAGKLISVAGGGDTVAALNASGAAGDFTYISTAGGAFLEWMEGKTLPGVAALIQAG</t>
  </si>
  <si>
    <t>SPO2235</t>
  </si>
  <si>
    <t>YP_167461.1</t>
  </si>
  <si>
    <t xml:space="preserve"> phosphoglycerate kinase </t>
  </si>
  <si>
    <t>AAV95506.1</t>
  </si>
  <si>
    <t>MTATRKTSRKSNTSAEELKHYYREMLLIRRFEEKAGQLYGMGLIGGFCHLYIGQEAVVVGLEAAAEEGDKRITSYRDHGHMLACGMDPGGVMAELTGREGGLSKGKGGSMHMFSKEKHFYGGHGIVGAQVPLGAGLAFADKYQDNGRVTFTYFGDGAANQGQVYETFNMAALWKLPVIFVIENNQYAMGTAQKRSTSSPDIYTRGEAFGIPGETVDGMNVLSVKEAGEKAVAHCRAGKGPYILEVKTYRYRGHSMSDPAKYRTREEVQKVREQSDPIEMVREMLLSGKHATEDDLKAIDKEIKEIVNQAAEFSKESPEPSVDELWTDIYA</t>
  </si>
  <si>
    <t>SPO2240</t>
  </si>
  <si>
    <t>YP_167466.1</t>
  </si>
  <si>
    <t xml:space="preserve"> pyruvate dehydrogenase complex, E1 component, alpha subunit </t>
  </si>
  <si>
    <t>AAV95507.1</t>
  </si>
  <si>
    <t>MATEILMPALSPTMEEGTLAKWLVKEGDTVSSGDILAEIETDKATMEFEAVDEGIVGKILIAEGTEGVKVNTPIAVLLEDGESADDIASASSGAAAPSSAPVAAPAEKAPQGAAEAPAAPPVDLSPDWPADAPMKSQTVREALRDAMAEEMRADEAVYLMGEEVAEYQGAYKISQGMLDEFGSKRVIDTPITEHGFAGIAVGSAFGGLKPIVEFMTFNFAMQAIDQIINSAAKTLYMSGGQMGCPIVFRGPNGAAARVGAQHSQDYAAWYMQIPGLKVAMPYSAADYKGLMKTAIRDPNPVIFLENEILYGRSFDVPQIDDLAIPFGKARIWREGTDVTIVSFGIGMQYALEAAERLATDGISAEVIDLRTLRPMDLPTVINSVMKTNRLVTVEEGWPQGSVGSYIASEVMQQAFDYLDAPIITCTGKDVPMPYAANLEKLALVTTDEVVAAVKQVTYR</t>
  </si>
  <si>
    <t>SPO2241</t>
  </si>
  <si>
    <t>YP_167467.1</t>
  </si>
  <si>
    <t xml:space="preserve"> pyruvate dehydrogenase subunit beta </t>
  </si>
  <si>
    <t>AAV95508.1</t>
  </si>
  <si>
    <t>MPTEILMPALSPTMEEGTLAKWLVKEGDSVSSGDLLAEIETDKATMEFEAVDEGIVGKILVPEGTEGVKVNTPIAVLLDEGESAGDIASASSGATAPSSAPAAASAEKAPQGAAEAPAAAPAAPKAADGARVFASPLARRIAADKGLDLSQIAGSGPHGRIVKADVIGATAPAAAPASAAPAPAAAAAPAAAPSGPGADMVARMYEGREYEEVKLDGMRKTIAARLSEAKQTIPHFYLRRDIKLDALMKFRAQLNKQLEGRGVKLSVNDFIIKAVANALQQVPDCNAVWAGDRVLKLKPSDVAVAVAIEGGLFTPVLKDADMKSLSALSTEMKDLATRARDRKLAPHEYQGGSFAISNLGMFGIDNFDAIVNPPHAGILAVGSGVKKPVVGADGELTVATVMSVTMSVDHRVIDGALGAQLLQAIVDNLENPMVMLA</t>
  </si>
  <si>
    <t>SPO2242</t>
  </si>
  <si>
    <t>YP_167468.1</t>
  </si>
  <si>
    <t xml:space="preserve"> branched-chain alpha-keto acid dehydrogenase subunit E2 </t>
  </si>
  <si>
    <t>AAV95512.1</t>
  </si>
  <si>
    <t>MIFTTTGRGRLYGSILETVGNTPVIRLNTIAPGHVTMYVKFEAFNPAGSVKDRLALNIIEAAEREGRLQPGQTVVEATSGNTGIGLAMVCAAKGYPLVITMHDGFSVERRRLMRMLGAKVVLTRKEDKAVGMVVKAKELAEANGWFLAHQFETKDNADIHEATTAQEILGDFDGERLDHVVLGYGTGGTVAGLGRVLKAARPGLKITLSEPANAALVQSGEAQQRNAEGEPAATHPAFNPHPIQGWTPDFIPLVLQEALDQGYFDALEPVSGPESIAWSKRLAAEEGILTGISGGASLAAAMKVAETAPEGSVLLVMLPDTGERYLSTPLFEDIAAEMDEAEQALSASTPGYQY</t>
  </si>
  <si>
    <t>SPO2246</t>
  </si>
  <si>
    <t>YP_167472.1</t>
  </si>
  <si>
    <t>AAV95535.1</t>
  </si>
  <si>
    <t>MRRVVVTGLGLITPLASGVEETWSRLLEGQSGAGPITRFDAVASGVTTTYACEVPRGDGSDGTFNPDDWMAPKEQRKIEDFILYSIAAAEMACKDANWLPEDEEDRLRTGVLIGSGIGGLGSIAETANLIKEKGPRRVSPFFIPGALINLASGQVSIRHGFKGPNHSVVTACSTGAHAIGDASRIIRAGDADVMIAGGGEACICEIGIAGFNACKALSTKYADNPKAASRPYDADRDGFVMGEGAGIVVLEDYEHAKARGAKIYAEVLGYGMSGDAYHITAPSETGDGAERSMRAALRSAGLEPSDLDYINAHGTSTMADTIELGAVERLLGNHAANVTMSSTKSATGHLLGAAGAIEAIFSILAIRDQVAPPTINLDNPAVETPVDLAPNAKRARKIDVALSNSFGFGGTNASVIFGKAD</t>
  </si>
  <si>
    <t>SPO2271</t>
  </si>
  <si>
    <t>YP_167495.1</t>
  </si>
  <si>
    <t xml:space="preserve"> 3-oxoacyl-(acyl carrier protein) synthase II </t>
  </si>
  <si>
    <t>AAV95539.1</t>
  </si>
  <si>
    <t>MFDLTGKNALITGASGGIGGAIARALHAAGASVVLSGTRVEPLQALADELGERAHVLTCNLSDMAAVEALPKQAADLLGSVDILVNNAGITRDNLFMRMSDDEWQSVIDVNLTATMKLCKGVLRGMMKARWGRIVNISSVVGAIGNPGQGNYAASKAGVVGMSKALAYEVASRGITVNAVAPGFITTAMTDKLTDEQKSGLLTQVPAGRMGSPEEIAAAVLYLASPEAAYVTGATLHVNGGMAML</t>
  </si>
  <si>
    <t>SPO2275</t>
  </si>
  <si>
    <t>YP_167499.1</t>
  </si>
  <si>
    <t xml:space="preserve"> 3-oxoacyl-(acyl-carrier-protein) reductase </t>
  </si>
  <si>
    <t>AAV95540.1</t>
  </si>
  <si>
    <t>MTTAFVFPGQGAQTIGMGKALAEAYPAAQAVFDEVDAALGEKLSALIWEGDIETLTLTQNAQPALMATSMAAMRALEAEGVAITQAAFVAGHSLGEYSALAAAGALSVGDTARLLRTRGQAMQSAVPVGQGAMAAILGLDLAAVREVAAEAAQGEVCQAANDNDPTQVVVSGAKAAVERAAEIAKAKGAKRAVMLPVSAPFHCALMQPAADAMAEALAAVEIKAPAVPLVANVRAEAVSDPDLIRQLLVEQVTGSVRWRESVEYMAAQGVTEIWEIGAGKALSGMVRKINREIACKPAGTPEDVQKILAGDA</t>
  </si>
  <si>
    <t>SPO2276</t>
  </si>
  <si>
    <t>YP_167500.1</t>
  </si>
  <si>
    <t xml:space="preserve"> acyl-carrier-protein S-malonyltransferase </t>
  </si>
  <si>
    <t>AAV95567.1</t>
  </si>
  <si>
    <t>MIPRYSRPEMVAIWSPETKFKIWYEIEAHACDAMADLGVIPRENAEAVWKAKDVEFDVARIDEIEAVTKHDVIAFLTHLAEHVGSEEARFVHQGMTSSDVLDTCLNVQLVRAADILLEGVDKVLAALKKRAYEHKDTVRVGRSHGIHAEPTTMGLTFARFYAEMDRNKARLQGARDEVATGAISGAVGTFANIDPAVEEHVCAKLGLRPEPISTQVIPRDRHAMFFATLGVIASSIENIAIEIRHMQRTEVLEGAEFFSMGQKGSSAMPHKKNPVLTENLTGLARLVRMAVIPAMENVALWHERDISHSSVERGIGPDATVTLDFALNRLAGVVDKMLIFPENMLDNMNKFPGLVMSQRVLLALTQAGVSREDAYTMVQRNALKVWEERVDFREQLLADADVVAALGTDGINEKFDMGYHTKHVDTIFARVFGN</t>
  </si>
  <si>
    <t>SPO2305</t>
  </si>
  <si>
    <t>YP_167528.1</t>
  </si>
  <si>
    <t xml:space="preserve"> adenylosuccinate lyase </t>
  </si>
  <si>
    <t>AAV95574.1</t>
  </si>
  <si>
    <t>MPIKVGQDTAKTRRTLSVNGKSISYYSIPAATEAGLGDFSKLPAALKVVLENMLRFEDGGFSVSVDDIKAFAEWGAKGGQNPREIAYRPARVLMQDFTGVPAVVDLAAMRDGIKALGGDAQKINPLNPVDLVIDHSVMIDEFGNPRAFQMNVDREYERNMERYQFLKWGQGAFNNFRVVPPGTGICHQVNLEYLAQTVWTDTDQDGVEVAYPDTLVGTDSHTTMVNGMAVLGWGVGGIEAEAAMLGQPISMLIPEVIGFELTGQMVEGTTGTDLVLKVVEMLRAKGVVGKFVEFYGTGLDRLPLADRATIANMAPEYGATCGFFPIDDKTLAYMRNTGRDEDRIALVEAYAKENGFWRDADYAPVYTDTLSLDMGTIVPAISGPKRPQDYVALTDAKTAFTREMAETFKRPMGKEVAVKGEDYTMESGKVVIASITSCTNTSNPYVMIGAGLVARKAAALGLNRKPWVKTSLAPGSQVVSAYLEAAGLQEDLDKIGFNLVGYGCTTCIGNSGPIQKELSEAIAEGDLVATSVLSGNRNFEGRISPDVRANYLASPPLVVVYALAGTLDIDLTSEPIGTDKDGNDVYMKDIWPTQAEIAELVDRTVTREAFQSKYADVFKGDEKWQAVETTDAETYDWPATSTYIQNPPYFQGMGTEPGTISNISGAKVLAILGDMVTTDHISPAGSFATTTPAGKYLTERQVAPREFNSYGSRRGNHEIMMRGTFANIRIKNEMLDGVEGGYTKGPDGQQTSIYEASMAYQEQGTPLVVFGGEQYGAGSSRDWAAKGTALLGVKAVIAESFERIHRSNLVGMGVIPFEFTGGDNRKSLGLKGDETVAISGLDTIQPLQEVPCTITYGDGSEKTITLKCRIDTAPEIEYIENGGVLHYVLRNLAKAS</t>
  </si>
  <si>
    <t>SPO2312</t>
  </si>
  <si>
    <t>YP_167535.1</t>
  </si>
  <si>
    <t xml:space="preserve"> aconitate hydratase </t>
  </si>
  <si>
    <t>AAV95607.1</t>
  </si>
  <si>
    <t>MSTRLAKQGRLIDRSKQVTFTFNGTTMRGFQGDTLASALLANDQMMMGRSFKYHRPRGVVASGAEEPNALVGLGEGARFEPNQRATTTELFDGLKAASQNHWPNLDFDIGAVNTYLSRFLPAGFYYKMFIHPAPFWKHVYEPIIRRSAGLGKAPDKELVDADTYEHFHVHTDILVIGGGVAGLQAAKVAASSGARVLLIEQTAHWGGRAPVDGGTIDGLSPDEWVSRTLAELEAMDNVTLRARTMGAGVYDHGYALGYERVADHTPGVPGPRHRLWRIRAKQIVSATGAIERPLSFAGNDVPGVMLAGAMRDYVVNWGVTPGQRVVVATNNDDAYRTAIILKQAGVDVLRILDARKEGGGALADEARALGIRVDPGKAIAKVKGGKRVKKISICNQDGVGGAREEVEADAVAMSGGWSPVVHMWSHCGGKLIWDRANAHFRPDPDRPPLGADGKGYVVAAGSANGPLALDQVMADADAAGKAAAKAAGFSPKRTKVPEGVATGENAMEAVWLMPANAEVQLRMKSWLDFQNDVKVSDVQLAAREGYESVEHTKRYTTLGMATDQGKLSNINGLAILADALNADIPQVGTTTFRPPYTPISMGAIGGEARGEVFQPVRKTPIYDWSNANGADWEPVGQWRRPFAYVRPGESVHDAVNREVKNTRENLGLLDASTLGKLIVKGPDAGKFLDMLYTNMMSTLKPGKCRYGLMCSENGFLIDDGVVARIDEDTFLCHTTTGGAERIHGHMEEWLQTEWWDWKVYVANVTEQYAQIAVVGPKARKVLEKLNAKAGGGMDLSVEALPFMEWRDGRIGEFDARAYRISFSGELSYEIAVPASQGLAFWEALVDAGKEFGVMPYGTETLHILRAEKGFIMIGDETDGTVIPQDLGLHWALSKKKDDYLGKRAQERSHMADRDRWKLVGLETVDGSVLPDGAYAVGEGVNANGQRNMIGRVTSTYYSANLGRGIAMGLIQHGPDRMGEIVEFPGTDGKSYKAKIVDPVFYDKEGAKQNV</t>
  </si>
  <si>
    <t>SPO2345</t>
  </si>
  <si>
    <t>YP_167568.1</t>
  </si>
  <si>
    <t xml:space="preserve"> sarcosine oxidase alpha subunit family protein </t>
  </si>
  <si>
    <t>MLGGHGISATKSRTGSDSPMKHYSAFAVAREALRYHTGWERAWRSPEPKKRYDVVIVGAGGHGLATAYYLGKNYGIQNVAVIEKGWLGGGNTGRNTTIIRSNYLQDPSAAIYEKARSLYETMSQDLNYNVMFSPRGVMMLAQTQHEIRGYKRTAHANALQGVKTEWITPERVKQLVPIINLHGPRYPVLGALWQERGGTARHDAVAWGYARACSAMGMDIIQQCEVTGVRREGGQVVGVDTTKGSIDCGKLGVVVAGHSGQLAEMAGFRLPVEALALQALVSEPIKPCMDVVVMANTVHGYMSQSDKGEMVIGGGTDGFNNFTQRGSFHHIEETVRALVETFPMISRLKMLRQWGGIVDMTGDRSPIISKTPLGGCFINCGWGTGGFKAIPGSGWAMAQLMATGHSPLAEAFSLDRFKEGRFIDESVAAGVAH</t>
  </si>
  <si>
    <t>SPO2348</t>
  </si>
  <si>
    <t>YP_167571.1</t>
  </si>
  <si>
    <t xml:space="preserve"> sarcosine oxidase beta subunit family protein </t>
  </si>
  <si>
    <t>AAV95724.1</t>
  </si>
  <si>
    <t>MPPRKIIIDTDPGQDDAVAILLALASPDELEVLGITAVAGNVPLPLTAKNARIVCELAGRADVAVYAGCDAPIARKLVTAEHVHGKTGLDGPDLPDPVMPLQEAHAVDFIIDTLRAHAPGTVTLCPLGPLTNIATAFTRAPDIVSRVQEIVLMGGAYFEVGNITPAAEFNIYVDPEAADIVFKSGAPIVVMPLDVTHKALVTKARNDAFRALGTPAGIAVAQMTDFFERFDKEKYGSEGAPLHDPCVTAYLLNPDLFSGRHINVAVETTSELTLGMTVADWWRVTERAPNALFIGDLDAEGFFTLLTDRLARL</t>
  </si>
  <si>
    <t>SPO2470</t>
  </si>
  <si>
    <t>YP_167687.1</t>
  </si>
  <si>
    <t xml:space="preserve"> inosine-uridine preferring nucleoside hydrolase </t>
  </si>
  <si>
    <t>AAV95728.1</t>
  </si>
  <si>
    <t>MSTIIDIHAREILDSRGNPTVEVDVVLEDGTMGRAAVPSGASTGAYEAVERRDGDKSRYMGKGVLEAVAAVNGEIAEELVGFDATEQVAIDAAMIELDGTENKGRLGANAILGVSLAVAKAAADFTAQPLYRYVGGTSARVLPVPMMNIINGGEHADNPIDIQEFMIMPVAAEDIRDAVRMGAEVFHTLKKELSAAGLSTGIGDEGGFAPNIASTREALDFVLKSIEKAGYKPGEDIYLALDCAATEYFKDGKYVLSGEGKTLSSDENVDYLAALVADYPIISIEDGMAEDDWAGWKALTDRLGGKVQLVGDDLFVTNPARLAEGITRGCANSMLVKVNQIGSLTETLKAVDMAHRARYTNVMSHRSGETEDATIADLAVATNCGQIKTGSLARSDRLAKYNQLIRIEEALGEVAEYAGRSILRG</t>
  </si>
  <si>
    <t>SPO2474</t>
  </si>
  <si>
    <t>YP_167691.1</t>
  </si>
  <si>
    <t xml:space="preserve"> enolase </t>
  </si>
  <si>
    <t xml:space="preserve"> part of the glycolytic and gluconeogenesis pathways</t>
  </si>
  <si>
    <t>AAV95739.1</t>
  </si>
  <si>
    <t>MQLDTTAAVITGGASGLGEATARYFAEKGAQVTILDRDSARGETVADEIGGHFAQTDVTSEDSVAAAIAHAMEKMGKITAAVNCAGIAYGIKTVGKEGAHPLDAFQRTIDINLVGSFNVARLAAVEMARNEPEPDGARGVIINTASIAAFDGQKGQVAYSASKGGVVGMTLPMARDLASTGIRVMTIAPGIFLTPMLMGLPDEVRAGLAADVPNPARLGDPREYGRLAGFIVEMGYLNGEVIRLDGALRMR</t>
  </si>
  <si>
    <t>SPO2487</t>
  </si>
  <si>
    <t>YP_167703.1</t>
  </si>
  <si>
    <t xml:space="preserve"> 3-hydroxyacyl-CoA dehydrogenase, type II </t>
  </si>
  <si>
    <t>AAV95745.1</t>
  </si>
  <si>
    <t>MAGRAVVKGVGHYLPERVVPNAAFEKTLDTTDEWIRSRSGIERRHFAAEGETTSDLATRAAEAALADAGISAEQIDAIVLATSTADLTFPSAATMVQARLGMTNGYAFDVQAVCAGFVYALSNANALIVSGQAKRVLVIGAETFSRIMDWTDRSTCVLFGDGAGALVLEYEEGEGTPQDRGILSVDLNSDGRYKDLLYVDGGVSTQTTGHLRMQGNQVFRHAVEKLAQTAETALDKAGLSSADVDWIVPHQANIRIIQGTAKKMGLPMDKVVVTVQDHGNTSAASIPLALSVGKARGQIKTGDLVVTEAIGGGLAWGAVVLRW</t>
  </si>
  <si>
    <t>SPO2494</t>
  </si>
  <si>
    <t>YP_167710.1</t>
  </si>
  <si>
    <t xml:space="preserve"> 3-oxoacyl-(acyl-carrier-protein) synthase III </t>
  </si>
  <si>
    <t>AAV95748.1</t>
  </si>
  <si>
    <t>MTGVCPNQQIEAMIAGGEIRAEPPVLPEQIQPASLDLRLGTVAYRVRASFLAGAGHSVADRLAEFEMHRIDISQGAVLEKGCVYLVPLMESLALPAQINAVANAKSSTGRLDLLTRTITDGGTEFDRIPAGYTGPLYAEICPRSFSVLVRPGMRLNQIRFRRGQAVLDDTALRALHAEMPLVDGPAVIQDGLGFSVDLRLPGSDLVGYRAKPHTGVIDLDRIGAYDPAEYWEEVRSRDGRIILDPGAFYILVSREAVHIPPLYAAEMAPYLAMVGEFRVHYAGFFDPGFGHAQAGGAGSRGVLEVRCHEAPFVLEHGQIVGRLVYEKMAEQPTQLYGAGIASNYQGQGLKLSKHFKTPA</t>
  </si>
  <si>
    <t>SPO2498</t>
  </si>
  <si>
    <t>YP_167713.1</t>
  </si>
  <si>
    <t xml:space="preserve"> 2'-deoxycytidine 5'-triphosphate deaminase </t>
  </si>
  <si>
    <t>AAV95752.1</t>
  </si>
  <si>
    <t>MSFGATILDAEGLRLSTDEKALFREADPFGFILFARNVDSADQVRALCAEMREAVGRDCVITVDQEGGRVQRLRPPLARNWLPPLDHVARAGTGAERAMYLRARLIAHELRAVGIDSNCAPMLDLARDETHPFLRNRCYGSDPETVARLGRAVAQGHLDGGVLPVVKHMPGHGRATLDSHHDLPHVALEAEALDGTDFAPFRALNDMPMGMTAHLVYDRIDPRPATISPVMMALIRERIGFQGLIMTDDISMKALAGSIADKTARALAAGCDVALVCNQTLAERAAAAGAAGRMSAQAQARAERALALRQPPGELDIPAAEAELSRVMGGQVYDG</t>
  </si>
  <si>
    <t>SPO2502</t>
  </si>
  <si>
    <t>YP_167717.1</t>
  </si>
  <si>
    <t xml:space="preserve"> beta-N-acetylhexosaminidase, putative </t>
  </si>
  <si>
    <t xml:space="preserve">beta-glucosidase </t>
  </si>
  <si>
    <t>AAV95826.1</t>
  </si>
  <si>
    <t>MTREMTGAKMVVQALKDQGVDTVFGYPGGAVLPIYDEIFLQNDIRHILVRHEQGAVHAAEGYARSTGKPGVVLVTSGPGATNAVTGLTDALLDSIPLVVLTGQVPTFMIGSDAFQEADTVGITRPCTKHNWLVKETDKLAKTIHEGFHVATSGRPGPVLIDIPKDVQFATGQYQGPKGLTSHYNPPVKGDMEEITELVAAIEKAKRPVFYTGGGVINSGPAASQLLRELVDATGFPITSTLMGLGAYPASGKNWLGMLGMHGLYEANMAMHGCDLMINIGARFDDRITGRIDAFSPKSKKAHIDIDPSSINKVIRVDIPIVGDVGHVLEDILKVWKARGRKTNAEAVQKWQAQITEWRKVSCLTYKPSEKTIKPQYALERLEALTKGRDRYVCTEVGQHQMWAAQYLGFEDPNRWMTSGGLGTMGYGFPASIGVQMAHPDALVINVAGEASWLMNMQEMGTAVQYRLPVKQFILNNERLGMVRQWQELLHGERYSQSWSEALPDFVKLAEAFGAKGILCKDPADLDDAIMEMLNYDGPVIFDCLVEKHENCFPMIPSGKAHNEMLLGDAETQGVIQAGGAVLV</t>
  </si>
  <si>
    <t>SPO2578</t>
  </si>
  <si>
    <t>YP_167791.1</t>
  </si>
  <si>
    <t xml:space="preserve"> acetolactate synthase 3 catalytic subunit </t>
  </si>
  <si>
    <t>AAV95827.1</t>
  </si>
  <si>
    <t>MSALHIKKGSSSHSAYNLRPTFSDVAERHTIALLVENEPGVLARVIGLFSGRGYNIESLTVAEVDHTGHLSRITIVTTGTPQVIEQIKAQLGRIVSVRDVHDLTVEGRSVERELAMLKVVGSGDKRVEALRLADIFRANVVDSTLSSFVFEITGAPEKIDAFADLMRPLGLAEIARTGVAALLRGD</t>
  </si>
  <si>
    <t>SPO2579</t>
  </si>
  <si>
    <t>YP_167792.1</t>
  </si>
  <si>
    <t xml:space="preserve"> acetolactate synthase 3 regulatory subunit </t>
  </si>
  <si>
    <t>AAV95837.1</t>
  </si>
  <si>
    <t>MAAHWEIAVKNSSRSAVDPFIVMDVMEAARRAEEAGRRIIHMEVGQPGTGAPRGAVEALAKSLETDALGYTVALGLPALRQRIARLYGEWYGVDLDPGRVVITPGSSGGFLLAFTALFDSGDRVGIGAPGYPSYRQILRALGLVPVDLPTAPENRLQPVPADFAGLDLAGLMVASPANPTGTMLDHAAMGALIEAAQAQGASFISDEIYHGIEYEAKAVTALELTDECYVINSFSKYFSMTGWRVGWMVVPEDQVRVVERIAQNMFICAPHASQVAALAALDCDAELQANLDVYKANRKLMLERLPKAGFTRIAPPDGAFYVYADVSDLTDDSRAFAAEILEKAGVAVTPGLDFDPERGAGTLRFSYARATADIEEGLDRLEAFMQARG</t>
  </si>
  <si>
    <t>SPO2589</t>
  </si>
  <si>
    <t>YP_167802.1</t>
  </si>
  <si>
    <t xml:space="preserve"> aminotransferase, classes I and II </t>
  </si>
  <si>
    <t>AAV95860.1</t>
  </si>
  <si>
    <t>MSETLFTPLKAGNIALKNRVVMAPLTRNRADDTAGTVFDRHAEYYAQRASAGLLITEGAQISAEGKGYIQTPGIHTPEQVAAWRKVTDAVHARGGKIVIQLWHVGRISHSSLLPDGQAPVSPSAIAAEAKTFTHAGFETTSTPRALETDEIARVLADYAHAAQSAREAGFDGVEIHAANGYLVEQFLKDGANQRQDDYGGSVENRARFLFQVLEAVLTVWEPGNVGIRLSPFTTVNGISESDPVATYTPVIKRLDSYGLAYLHMIEGQTGGARDGAFDDLRQLWTGAYMGNNGYDRASALERTETGAVDLVAFGRPYIANPDLVERLAADAPLNMGDTATYYGGGDEGYTDYPVLQTA</t>
  </si>
  <si>
    <t>SPO2615</t>
  </si>
  <si>
    <t>YP_167825.1</t>
  </si>
  <si>
    <t xml:space="preserve"> Oye family NADH-dependent flavin oxidoreductase </t>
  </si>
  <si>
    <t>AAV95884.1</t>
  </si>
  <si>
    <t>MRFGPVPVAGADGAILAHSVQAGPKKLRKGLRLEPGHLEQLAQAGIAEVIVARLDPGDCHEDDAARQLAAALAPDPGAAGLRVSAPFTGRVNLLAEGPGVVCLDVAAIERFNLVHPMITVATVPQHQQMGPGGMVATIKVISYAVPQADVTRAVEAARGAIRLASPVLRSAGLVVTEIPGGPPNDKGIAAIRGRVEALGLTLDDLRLVPHRGGDLAAAISEISGDMVLILTGSATSDPEDVAPAALRAAGGAVERFGMPVDPGNLLFLGALGARPVIGLPGCARSPALNGADWVLSRVACGVPVTGRDIAAMGVGGLLKEIPTRPQPRAGRAGASESGPKTDSQTA</t>
  </si>
  <si>
    <t>SPO2639</t>
  </si>
  <si>
    <t>YP_167849.1</t>
  </si>
  <si>
    <t xml:space="preserve"> molybdopterin biosynthesis protein </t>
  </si>
  <si>
    <t>AAV95885.1</t>
  </si>
  <si>
    <t>MEASMERFDNAPETALAWHRQGLGAALATVVETWGSAPRRVGAQLVIGGDGRIEGSVSGGCVEGAVIVEALEALEEGQARLLEFGVSDEDAFAVGLACGGTIRVLVEPVGQVLSEVMLAELVAARASRQALAYVVDTARGTRALVRDAYPERMRMDRSGFDEDGRTFVAVHNPPLRLIVVGAVHIAQALVPMARIAGYDPVVIDPREAFASDARFPGETILHDWPDEAVAKLGLDARTALVLLTHDPKLDDPALEAALAADVFYIGALGSTRTHAKRVARMQEAGFTEAQIGRIHGPVGLDIGAAGPAEIAVAILAQMTAVLRGRA</t>
  </si>
  <si>
    <t>SPO2640</t>
  </si>
  <si>
    <t>YP_167850.1</t>
  </si>
  <si>
    <t xml:space="preserve"> XdhC/CoxI family protein </t>
  </si>
  <si>
    <t>CO ox (?)</t>
  </si>
  <si>
    <t>AAV95899.1</t>
  </si>
  <si>
    <t>MIPAAYPTREEIARLTARMLLEIGAVNFNTKEPYILASGLPSPSYIDCRKLISFPRIRSTLMDFLTVTVMRNAGFEAFDNIAGGETAGIPFAALVAERMALPMTYVRKKPKGYGRNARIEGAMSEGQRVLLVEDLTTDGGSKLSFVDAIRETGASCGHTAVIFYYDIFPETEKTLGDHGVALHYLCTWWDVLAEARAQKAFDEVTLSGVEAFLKDPRAWQAANKR</t>
  </si>
  <si>
    <t>SPO2654</t>
  </si>
  <si>
    <t>YP_167864.1</t>
  </si>
  <si>
    <t xml:space="preserve"> orotate phosphoribosyltransferase </t>
  </si>
  <si>
    <t>AAV95931.1</t>
  </si>
  <si>
    <t>MSVLFRTLPRPLMGLSALALLAACEAPLDYDLRGQIGAFNTTEAAQSARTAARPKPDERGVISYPNYQVAVAKRGDTVATLSDRVGLPVGEVARFNGLQPTDGLREGEVLALPRRVTEPVGQGNNVDIASLAGSAIDQAPDTTPVQTTALEPAKPAASPAPKPAAPEPVRHKVERGETAYTISRLYQVPVKALGEWNGLGPDFTIREGQYLLIPVKDQPAPKSAAKPAAATTTTAAVSAPGAGSATPTPPSATKPLPEEKVPAAKPAEPDVSVGQPTASSNARLGFPVKGKIVRPYSKGKNDGIDIAGAPGSAVSAAEAGTVAAITADADQVPIVVIRHADNLLTVYANVDGIEVNKGDTVSRGQKIARLRGGDNAYVHFEVRKGFDSFDPEPYLK</t>
  </si>
  <si>
    <t>SPO2686</t>
  </si>
  <si>
    <t>YP_167896.1</t>
  </si>
  <si>
    <t xml:space="preserve"> LysM/M23/M37 peptidase </t>
  </si>
  <si>
    <t>Cell cycle control, cell division, chromosome partitioning</t>
  </si>
  <si>
    <t>AAV95937.1</t>
  </si>
  <si>
    <t>MDLGISGKRALVCASSKGLGLGCAEALAAAGVDLVMNARGAEALEAAAESIRRVHGVAVTTVACDVTTEEGQAQVIEAARGVDILVTNAGGPPPGLWSDWDRGDFIRALDANMLTPIAFMKALLPGMIDKGWGRVVNITSQSVRAPIPALGLSNAARTGLTGYVAGTSRQVAPHGVTINNLLPGIHATDRANALDGPVAEQKGISLDAARAERAATIPARRYGTPAEFGAACAFLCSQHAGFIVGQNLLLDGGGTNLTM</t>
  </si>
  <si>
    <t>SPO2692</t>
  </si>
  <si>
    <t>YP_167902.1</t>
  </si>
  <si>
    <t>AAV95962.1</t>
  </si>
  <si>
    <t>MPVQQLFYKTAVPVSAKRHGDLSISSGKTYAFARHTNSIPLTALEFGPAAGTHPIVFAGTGEDVVPAIIVGTREDENLAVDADGNWQGTYIPAFARRYPFIFSLDKDKNQFTLLVDEEFEGANRDGRGERLFDSEGEQTGYLKSVLKFLQDYQAGFARTQAFCKRLKELDLLVPMQAEFSLGAGQKRTLGGFQVVDREKLKALSGEVLADLCRKDELECIYLHLSSMRHFRQMLERANTEASEAEPETDAADVAEPMAET</t>
  </si>
  <si>
    <t>SPO2717</t>
  </si>
  <si>
    <t>YP_167927.1</t>
  </si>
  <si>
    <t xml:space="preserve"> SapC protein, putative </t>
  </si>
  <si>
    <t>AAV95980.1</t>
  </si>
  <si>
    <t>MPFTIRSALLALGMALTALPGFAYDTSARAAYVLDQSTGTVLLTKNADEALPPASMSKLMTLYVTFEALRDGRLTLDERLPVSQHAMSYGGSTMFLNTTDRVRVEDLLRGIIVLSGNDACAVIAEALSPDGTEAGFARFMTKRAQQMGMTRSTFANSNGWPAAGHLMSVHDLAVLANRLITDFPEYYPLFAETEFAFDGRAPSNVRNRNPLLKLDIGADGLKTGHTAEAGYGLVGSARQGDRRVIFVLTGLESEARRAEEAEAIVNWSFRHFATKTVARADAPVAQAQVWMGAKQSVGLVPAEDLSLLLPVLSDKRIEAEVVYDGPINAPIAKGQQLAELVIKPDDLPEIRRPLVAAEAVPAGGFVVRIKTAANLLLRQLNAGPAEAM</t>
  </si>
  <si>
    <t>SPO2739</t>
  </si>
  <si>
    <t>YP_167946.1</t>
  </si>
  <si>
    <t xml:space="preserve"> D-alanyl-D-alanine carboxypeptidase </t>
  </si>
  <si>
    <t>AAV95987.1</t>
  </si>
  <si>
    <t>MMKRRLCASFVAASMVVVPAQRAAADEAAALIGGALLGGLIVNEVHKNKQRQRQQTQRRTYQSSGVSSAQRQQNREVQSALNYFGYNVGTVDGSLGRRSRSGISHFQSDMGYPIDGYLDDHERGFLLTSHQRALASAHVAPYNQILASQGQGGLLRTYRNEQLGIQTPQGVQPVQPQTHMAMTAPQAVQPSQVVTARAATGAALPNFGFAQPGPVSINAHCNEVNLLTTSNGGPSRPGQVREPVFALNEQFCQARSQAMTEASQIEVTIPNMTAVQVEQQCAGLAQAMAPQMVGIDTKAPSEVVAATSAFLQNSGQPMASLISGGKICLGVGYRTDNAEMALASATLLASAGQLGYGEVVSHQLRQGFGAPVGMARAGEWMRLALNAAQSGSGVLGQTSERVAVLNEASTSAAAAPAIPVFSASTSGN</t>
  </si>
  <si>
    <t>SPO2746</t>
  </si>
  <si>
    <t>YP_167953.1</t>
  </si>
  <si>
    <t xml:space="preserve"> hypothetical protein SPO2746 </t>
  </si>
  <si>
    <t>enzyme involved in bacterial cell wall degradation, peptidoglycan binding protein</t>
  </si>
  <si>
    <t>AAV96028.1</t>
  </si>
  <si>
    <t>MYETITIDTDARGVATLTLDRAEKHNAMSAQMLADLSAAAAGLAADDAVRVVVLTGAGKSFCAGGDLGWMQAQMAADAETRFVEARKLAEMLQALNSLPKPLIGAVQGNAFGGGVGMASVCDIAIGVDTLKMGLTETRLGIIPATIGPYVIARMGEARARRVFMSGRLFGAAEAVELGLLARAVPADGLAAAIEAEVTPYLACAPGAVASAKALIRDLGPRVDDAVIDRTIRALVDRWETDEAREGIGAFFDKRKPAWNTQV</t>
  </si>
  <si>
    <t>SPO2787</t>
  </si>
  <si>
    <t>YP_167994.1</t>
  </si>
  <si>
    <t>AAV96029.1</t>
  </si>
  <si>
    <t>MGDWVEIFEMGPRDGLQNEKREIPVAEKVALVDCLSRAGFRRIEVASFVSPKWVPQMAGSAEVLSGITRAEGVRYAALTPNMRGYEDALAARADEIAVFASASEGFSKANINASIEESIARFEPILEAARHIDLPVRGYVSCVTDCPYDGAVAPEKVAEVADRLFALGCYEISLGDTIGQATPDKIARMLLAVRERVPVSRLAGHYHDTAGRALANIDASLALGVRVFDAAVGGLGGCPYAPGAAGNVATEAVAAHLERLGYQTGLDMDVIAEAADMARAMRTG</t>
  </si>
  <si>
    <t>SPO2788</t>
  </si>
  <si>
    <t>YP_167995.1</t>
  </si>
  <si>
    <t xml:space="preserve"> hydroxymethylglutaryl-CoA lyase </t>
  </si>
  <si>
    <t>AAV96030.1</t>
  </si>
  <si>
    <t>MFDKILIANRGEIACRVMETAQRMGVACVAVYSDADAGAKHVAMADEAVHIGGPAPADSYLKGDVIIAAALETGAQAIHPGYGFLSENPGFVDAVEAAGLTFIGPSASAIRAMGLKDAAKALMHEAGVPVVPGYHGDNQDPEHLAGAADTIGYPVLIKAVAGGGGKGMRLVERPQDFAAALDSARGEASTAFGNDAVLVEKFVSKPRHIEVQVFGDGTHAVHLFERDCSLQRRHQKVIEEAPAPGMTEEMRAAMGQAGVRAAEAIGYKGAGTVEFIVDASDGLRADRFWFMEMNTRLQVEHPVTEAITGVDLVEWQLRVAAGESLPARQEELSITGHAFEARLYAEDVPKGFLPATGTLSHLAFPEGCRADSGVRAGDTISPWYDPMISKVIVHGPTRAVALSRLDRALAGTQVGGTVTNLAFLGALTRHAGFAAGDVDTGLIGRDIDALVAAPAPEPRHVAAAAMAVLGLAGDQAEQGFTLWAPLHRAITLGWQGEELAVDVQVEGRNRQLWQVGADQVVAERHDGRWRIGGRAMPDVSVAGGVATVFDGYGLPFDIIDPLERDSSAGGDTNVVLAPMPGLVKAVFAAAGQAVQEGDRLAILEAMKMEHSLLAARDGVVAEVLAEAGAQVEAGAALVRLVEEEA</t>
  </si>
  <si>
    <t>SPO2789</t>
  </si>
  <si>
    <t>YP_167996.1</t>
  </si>
  <si>
    <t xml:space="preserve"> methylcrotonyl-CoA carboxylase, alpha subunit </t>
  </si>
  <si>
    <t>AAV96031.1</t>
  </si>
  <si>
    <t>MKLTSKAMPASEGFKANRAAHLDALAQIGAAAEAARLGGGEKSRARHESRGKMLPRRRVANLLDAGSPFLEIGATAAFDMYDNAAPAAGVVAGIGRVEGQEVMVVCNDATVKGGTYYPMTVKKHLRAQEIAEENNLPCIYLVDSGGANLPNQDEVFPDRDHFGRIFYNQARMSAKGIPQIAVVMGSCTAGGAYVPAMSDVTIIVKEQGTIFLAGPPLVKAATGEVVSAEDLGGGDVHTRLSGVADYLAEDDAHALALARRAVRSLNRRKPLTVDWASPEEPAYDPEEILGVVPADLKTPYDIREVIARLVDGSRFDEFKPRFGETIVCGFAHLKGCPIGIIANNGVIFSEAAQKAAHFVELCSQRKIPLVFLQNITGFMVGRKYENEGIARHGAKMVTAVATTAVPKITMLVGGSFGAGNYGMAGRAYQPRFLWTWPNSRISVMGGEQAAGVLATVKRDGIERQGGSWSAEEEAEFKRPTLEMFERQSHPLYASARLWDDGIIDPRKSRDVLALSLSAALNAPIEDTRFGVFRM</t>
  </si>
  <si>
    <t>SPO2790</t>
  </si>
  <si>
    <t>YP_167998.1</t>
  </si>
  <si>
    <t xml:space="preserve"> methylcrotonyl-CoA carboxylase, beta subunit </t>
  </si>
  <si>
    <t>AAV96034.1</t>
  </si>
  <si>
    <t>MFAATMQFDLGEDVNALRDMVHRWAQERVRPMAAEIDQTNEFPNELWREMGDLGLLGITVPEEFGGAGMSYLAHVVAVEEIARASASVSLSYGAHSNLCVNQIKLNGNDEQKRKYLPGLVSGEHVGALAMSEAGAGSDVVSMKLRAEKRNDHYRLNGNKYWITNGPDADTLVVYAKTDPEAGSKGITAFLIEKSMKGFSTSKHFDKMGMRGSNTAELVFEDVEVPFENVLGQEGRGVAVLMSGLDYERVVLAGIGTGIMAACLDEIMPYMAERKQFGKPIGSFQLMQGKIADMYTAMNSARAYIYEVAKACDRGDVTRQDAAACCLYASEQAMVQAHQAVQAMGGAGFLSDSAVSRIFRDAKLMEIGAGTSEIRRMLIGRELMNTVL</t>
  </si>
  <si>
    <t>SPO2793</t>
  </si>
  <si>
    <t>YP_168001.1</t>
  </si>
  <si>
    <t xml:space="preserve"> isovaleryl-CoA dehydrogenase </t>
  </si>
  <si>
    <t>AAV96038.1</t>
  </si>
  <si>
    <t>MSTALVILAAGKGTRMKSDLPKVLHPIAHAPMLVHAMRAGAVLEPARTVIVAGHGAEAVRAAALDEDEGATVVLQEEQLGTAHAVDQARAALEGFEGDVVVLYGDTPFLQPDTLERMLAARKTHDLVILGFEAADPARYGRLVMQGDSLERIVEFKEATEQERAIRFCNSGLLACNAETLFALIAAVGNNNASGEYYLTDVVEIARKQGLAVTAVACDEAQTLGVNSRADLAAADAIFQTRARAELLDLGVTLMAPETVYLAADTVIGRDTVIEPNVVFGPGVTVESGATIRAFSHLEGCHVSRGAVVGPYARLRPGAELAENARIGNFVEIKNAEIGEGAKVNHLTYIGDASIGAGSNIGAGTITCNYDGVMKHRTTIGANVFIGSNTMLVAPVTLGDGAMTATGTVVTRDVEPDALAKARVKQENKPDRARKLFEMLRAKKASKQKET</t>
  </si>
  <si>
    <t>SPO2797</t>
  </si>
  <si>
    <t>YP_168005.1</t>
  </si>
  <si>
    <t xml:space="preserve"> UDP-N-acetylglucosamine pyrophosphorylase </t>
  </si>
  <si>
    <t>AAV96080.1</t>
  </si>
  <si>
    <t>MSGRVERNGLEIAGELAAFVETRALPGTGVEPDAFWAGMARMVAELGPKNRALLDRRAALQAQIDAWHVAHRDKPHDHEAYKTFLAEIGYLLPEGAAFEIETANTDPEIASVPGPQLVVPITNARYALNAANARWGSLYDALYGTDAMAGPVPAGGYDRGRGARVVARARVFLDEAFPVQGVSHADARRYHIRDGALLVDGQPLIDPSKFAGYRGHPKAPDAVLLRNNGLHVELVFDRTHPVGCHDQAGLADVRLESAISAIMDCEDSVACVDAEDKVQAYSNWLGLMRGDLSEEVTKGGATFTRALAGDLDYLAPDGSAMSVKGRALMLVRNVGHLMTNPAVLDADGAEIYEGLMDALVTVAIAMHDLKRAGGNSLTGSVYVVKPKMHGPEEVAFAVETFDMVEDILGLPRNTVKIGIMDEERRTSVNLKECIRAAKSRVCFINTGFLDRTGDEIHTSMEAGPFSRKDFIKRKSWITAYENLNVDIGLDCGLSGKAQIGKGMWAMPDRMAAMIETKIEHPKAGANCAWVPSPTAATLHALHYHKVDVFAVQGALKSGGRRAHVDGILEIPLASFRKWSSEQIRREVENNAQGILGYVVRWVDQGVGCSKVPDINDVGLMEDRATCRISAQHIANWLHHDVVDAQEVMAAMRKMAAVVDEQNAGDPAYHPMAPGFDGIAFQAACDLVFKGRVQPSGYTEPVLHARRLELKASLGA</t>
  </si>
  <si>
    <t>SPO2839</t>
  </si>
  <si>
    <t>YP_168047.1</t>
  </si>
  <si>
    <t xml:space="preserve"> malate synthase G </t>
  </si>
  <si>
    <t>MTAKSAHAALFAFSLRLGAIWCTPTRLARPDRRGKAIRTIGMADGTIPMNAKPTEEISVREVFGIDTPMLVKGFAERSDRVPEIDQTYKFDPDTTLAILAGFSHNRRVMVQGYHGTGKSTHIEQVAARLNWPCVRVNLDSHISRIDLIGKDAIKLRDGKQVTEFHEGILPWALRNPVAIVFDEYDAGRADVMFVIQRVLEHDGKLTLLDQNEIITPNPCFRLFATANTVGLGDTTGLYHGTQQINQAQMDRWSLVATLNYLSHDAETMIVLSKAPHYNTEKGRKQVSQMVTVADLTRTAFMNGDLSTVMSPRTVINWAQNAEIFRDVGYAFRLTFLNKCDELERQTVAEFYQRCFDEELPESAASTSLG</t>
  </si>
  <si>
    <t>SPO2853</t>
  </si>
  <si>
    <t>YP_168061.1</t>
  </si>
  <si>
    <t xml:space="preserve"> cobalt chelatase, CobS subunit </t>
  </si>
  <si>
    <t>AAV96096.1</t>
  </si>
  <si>
    <t>MSKPTDNPADPFKKALAEATKVMADDPDLSVSYTVDPSGVSGDAMRLPQVSRRMTRDEVLLARGTADALALYRRYHDDATHSRYAPPGDMARDLYEAMETARCEAMGARDMPGTASNIDVKITHEALRRGYDQCKQPSEAPLPVAAGYLVRHLATGRDLPAAAANVMNLWRGFIEEQAGGTLENLSDILSNQAEFAKFARQVIKDLGYGDQLGDDPDEMDEDQEDQAEDDADEQPDPDSTGQDDQDDQDADADPEQSQEQQQDESQAQVSMDELADEELAEETEMPDGEAPLEPPPPPPASEADPNYKVYLDTHDEEIAAEELAEPAELERLRAYLDQQLEPLKGAVSRLANKLQRRLQAQQNRSWEFDREEGILDAGRLARVVANPTTPLSFKVEKDTEFRDTVVTLLLDNSGSMRGRPISIAAICADVLARTLERCNVKVEILGFTTRAWKGGLAREAWLNEGRPQQPGRLNDLRHIIYKAADAPMRRTRQNLGLMMKEGLLKENIDGEALEWAHRRMLGRREQRKILMVISDGAPVDDSTLSVNPANYLEKHLRDVIAMVERRKQVELLAIGIGHDVTRYYQRAVTITDVEQLAGAMTEQLAALFDSDPRARARVMGMKRAS</t>
  </si>
  <si>
    <t>SPO2855</t>
  </si>
  <si>
    <t>YP_168063.1</t>
  </si>
  <si>
    <t xml:space="preserve"> cobalt chelatase, pCobT subunit </t>
  </si>
  <si>
    <t>AAV96145.1</t>
  </si>
  <si>
    <t>MFTRFMTSVAALGLTAGMAAAEYKLTILHTNDFHARFEPISKYDSGCGAEDNAEGKCFGGTARLVTAIEAARARAGNAILVDGGDQFQGTLFYTYYKGKVAAEFMNKLGYDAMTVGNHEFDDGPEVLRGFMDAVSFPVLMSNADFSGEELLATKLLKSTVIEKGGEKIGLIGLTPEDTHELASPGPNISFSDPVPAVQGEVDRLTAEGVNKIIVLSHSGYGTDQRVAAETTGVDVIVGGHSNTYLSNVSDKASGPYPTVVNGVQIVQAYAYGKFLGELNVTFDDAGNVIEAVGEPLIMDATVSEDTATVARIQELAVPLEEIRNKVVANAAAPIEGSRDVCRVQECQMGNLVTDAMLERVADQGVTIAIANSGGLRASIDAGEVTMGEVLTVLPFQNTLSTFEATGALIVEALENGVSQAEEGAGRFPQVSGLTFTWDSAQPAGSRIVEVMVASEDGFVPLDLTGTYMVVTNNYVRNGGDGYAMFSGDDKNAYDYGPDLADVTAEYLAANAPYQPYLDGRIVKK</t>
  </si>
  <si>
    <t>SPO2904</t>
  </si>
  <si>
    <t>YP_168112.1</t>
  </si>
  <si>
    <t xml:space="preserve"> Ser/Thr protein phosphatase/nucleotidase, putative </t>
  </si>
  <si>
    <t>P release</t>
  </si>
  <si>
    <t>AAV96148.1</t>
  </si>
  <si>
    <t>MIERLGLTALHRLDPETAHGLSIKALKAGLVPLPGPVTSTRLRTRVAGLDLPNPVGLAAGFDKNAEALAPLARAGFGFIEVGAATPRPQPGNPRPRLFRLTEDRAAINRFGFNNQGMEAIAVRLAKRPRDAVIGLNLGANKDSSDRPGDFARVLAHCAAHLDFATVNVSSPNTEKLRDLQGRAALTALLSGVIETRDALARPIPVFLKIAPDLSKDEIADIAAVARDTGVDAVIATNTTLSREGLHSAHKDEAGGLSGAPLFDKSTRVLARLSALTDGAIPLIGVGGISNAEQAYAKIRAGASAVQFYTAMVYGGLALAAEIARGLDALLARDGFASVAEAVGTRREDWL</t>
  </si>
  <si>
    <t>SPO2907</t>
  </si>
  <si>
    <t>YP_168115.1</t>
  </si>
  <si>
    <t xml:space="preserve"> dihydroorotate dehydrogenase 2 </t>
  </si>
  <si>
    <t>AAV96156.1</t>
  </si>
  <si>
    <t>MPIYTAPTKDTQFILHDVLKVSQSDTPGYAELDADFTGAVLEEAGKIATNVLHPLNIVGDTEGCRLENGVVYTPTGFKEAFEQVKEGGWTGLDMPEQYGGQNMPQVIGTAVGEMFSASNQAFTMYQGLTHGAASAILAHGTDAQKDTYLPKMVSCEWTGTMNLTEPHCGTDLGMMRTKAEPQGDGSYKITGQKIFISSGDHDMADNIVHLVLAKITGGPEGIKGVSLFIVPKFMVNEDGTLGARNAVSVGKIEEKMGIHGNSTCVMNYDGATGYLLGEEHKGMRAMFTMMNEARLGVGMQGLAQADAAYQNALEYAKDRLQGRDVTGVKNPEGPADPLIVHPDIRRNLMDQKSFTEGARAFLLWGATLIDAAHRAGDKDADGLVSLLTPVIKGFLSDQGYDMTVQAQQVYGGHGYIEEWGMSQYTRDARIAMIYEGANGVQALDLVGRKLAADGGKHVMAFFELVKSFCKENAGQDEAYDKAFIEPLKAASKDLQAAGMYFMQNGMKNPNNALSGSYDFMHMFGHVCLGLMWAQMAKAARTALDGGASDTAFYETKIATGRFYMARRLPATALHLARIQTGADTVMALDAANF</t>
  </si>
  <si>
    <t>SPO2915</t>
  </si>
  <si>
    <t>YP_168123.1</t>
  </si>
  <si>
    <t>AAV96159.1</t>
  </si>
  <si>
    <t>MTEAYIYDAVRTPRGKGRKDGSLHEVTSVRLSALTLNALKERNNLEGHAVEDVIWGNVTQVMEQGGCLARTAVLASDLDQSIPGLAINRFCASGMEAVNLAANQVRGGAGDAYIAGGVEMMGRVAMGSDGAAIAVDPSIAMETYFVPQGISADIIATEYGFTRDQADALAMESQRRAKEAWDEGRFAKSVIPVRDQNGLTILDHDEYMRPGTDMQSLGGLNPAFQMMGEQMPGFDKIAMLKYPHLERINHIHHAGNSSGIVDGAAGVLIGNKEFGEKYGLKPRARIKATAKIGTDPTIMLTGPVPVTEKILADNGMKIGDLDLFEVNEAFASVVLRFQQAFDVDPALVNVNGGSIAMGHPLGATGAIIIGTLLDELERRDLETGLATLCIASGMGAATIIERV</t>
  </si>
  <si>
    <t>SPO2918</t>
  </si>
  <si>
    <t>YP_168126.1</t>
  </si>
  <si>
    <t>AAV96161.1</t>
  </si>
  <si>
    <t>MSDFTLTKDADGVAFITWDAQGKSMNVMTREAFELVDSLVDQALADDEVKGIVITSGKSDFAGGMDLNTLAVIREEAGENPAQGLFDFVMGGHRIMRKLELAGMDPKTKKGGKPVACAINGTCAGIGTEIALACHHRVMTTNPKAKIGLPEILLGIFPGGGGTIRYSRMVGAMAAAPVLLEGKMMDPAKAKGAQMVDALADDPVAAAKEWVLNAKDADLVKPWDAKGYKMPGGAPYHPAGFMTFVGASAMVNGKTQGAFPAPKALLSAIYEGALVDFDTALRIEARWFTHVLMNPSSSAMIRSLFINKQALEKGAVRPKDIPDQRVKKLGVLGAGMMGAGIALVSAQAGMEVVLIDRDQAAADKGKAYTEAYLDKGMKRGKVTAEKKEAMLGLITATPDLDALKGCDLIIEAVFEDPGVKAEMTKKVEAIIPEDCIFASNTSTLPITGLAKASVRPEQFIGIHFFSPVEKMLLVEIIKGKETGPRAVAKALDYVRQIRKTPIVVNDARFFYCNRCIIPYVNEGARMITEGVSPVLIDNAARQLGFPVGPIQLTDETSIDLGAKIARATKAAMGNAYPESPADDLIFWMEELGRMGRKANAGFFDYDDKGKRTGYWQGLQDKYPLAEEQPDLIEVQERLMFAQVLEAVRALEEGVLEDIREGDVGAILAWGFAPWSGGPLSWIDIIGTPYAADRCDQLAAKYGERFACPPLLREMADKGQSFYGRFDPEAKSAA</t>
  </si>
  <si>
    <t>SPO2920</t>
  </si>
  <si>
    <t>YP_168128.1</t>
  </si>
  <si>
    <t xml:space="preserve"> fatty oxidation complex, alpha subunit </t>
  </si>
  <si>
    <t>AAV96173.1</t>
  </si>
  <si>
    <t>MSDQPSLRQAALDYHAFPKPGKLEIRATKPMANGRDLARAYSPGVAEACLEIKDNAAHAETYTARGNLVAVVSNGTAVLGLGNIGALASKPVMEGKAVLFKKFAGIDCFDLEVNESDPEKLADIVCALEPTFGAINLEDIKAPDCFIVEKLCRERMNIPVFHDDQHGTAIVVGAAARNALHVAGKAFGDIKIVSTGGGAAGIACLNMLVKLGVKRENIWLCDIHGLVYEGRAEDMNPQKAAFAQATDLRTLDDVIAGADLFLGLSGPNVLKPEMVARMAKRPIIFALANPTPEILPDAARAVAPDAIIATGRSDFPNQVNNVLCFPFIFRGALDVGATEINDAMQIACVEGIAELARITTSAEAAAAYQGEQLTFGADYLIPKPFDPRLVGVVSSAVARAAMESGVARRPITDLEAYRQKLNQSVFKSALLMRPVFEAAAKAARRLVFAEGEDERVLRAAQAILEETTETPILIGRPEVIEARCEKMGLSVRPGQDFQIVNPENDPRYYDYWTSYHQLMERRGVTPDIAKAIMRTNTTAIGAIMVHRGEADSLICGTFGEYRWHLNYVEQVLGSKDLRPHGALSLMILEDGPLFIADTHVRSRPSPEELAEITLGAARHVRRFGIEPQIALCSQSQFGNQAEGSGQRLRQAIEILDSRPRDFVYEGEMNLDSALDPELRQRIFPNSRLYGAANVLIFAHADAASGVRNVLKMKANGIEVGPILMGMGNRAHIVTPSITARGLLNMAAIAGTPVAHYG</t>
  </si>
  <si>
    <t>SPO2932</t>
  </si>
  <si>
    <t>YP_168140.1</t>
  </si>
  <si>
    <t>AAV96175.1</t>
  </si>
  <si>
    <t>MAYQDVYESWKSDPEAFWMEAAKSIDWVEAPSRALDDSNAPLYEWFTDAKVNTCWNAVDRHVEAGRGEQTAIIYDSPITHTKRQISYVELRNRVAMLAGALRAKGVEKGDRVIIYMPMIPEALEAMLACARLGAVHSVVFGGFAANELAVRIDDAQPKAIIAASCGLEPGRVVHYKPLLDGAIDMAKHKPEFCVIFQREQEVAHLEEGRDYNWHGFQYGVEPAECVPVEGNHPAYILYTSGTTGAPKGVLRPTAGHLVALNWTMKNIYNVDPGDVFWAASDVGWVVGHSYICYGPLIHGNTTIVFEGKPVGTPDAGTFWRVISEHKVKSFFTAPTAIRAVKREDPKGEMLAKYDLSHLKALYLAGERADPDTIIWAQKALSVPVIDHWWQTETGWTIAGNPLGIEELPTKLGSPAKAMPGYDVQILDEGGHQMKPGELGAIAVKLPLPPGTLPGLWNAEARFRKSYLEHFPGYYETGDAGMIDEDGYLYIMARTDDVINVAGHRLSTGGMEEVLAGHEDVAECAVIGVSDDLKGQMPLGFLCLNNGCNRDHGDVVKEVVKLVRDKIGPVAAFKLAVVVDRLPKTRSGKILRGTMVSIADGKEYKMPATIDDPAILDEIKVALQSLGYAK</t>
  </si>
  <si>
    <t>SPO2934</t>
  </si>
  <si>
    <t>YP_168142.1</t>
  </si>
  <si>
    <t xml:space="preserve"> propionate--CoA ligase </t>
  </si>
  <si>
    <t>AAV96180.1</t>
  </si>
  <si>
    <t>MSKRIAFLASDAPVAQTARAALVGRYGNAAPRDAEVIVALGGDGYMLRTLHSTQHLDVPVYGMNRGTIGFLMNEYAETSLLERLAAAEEEIINPLSMTAMDQAGQIHRALAINEVSLLRAGPQAARLKISIDGRLRLAELVCDGALVATPAGSTAYNYSAHGPILPIGSDVLALTAIAAFRPRRWRGALLPKTAKVRFDVVDADKRPVMADADSTSITDIDWVEIQSEPTIRHRILFDPGHGLEERLISEQFT</t>
  </si>
  <si>
    <t>SPO2939</t>
  </si>
  <si>
    <t>YP_168147.1</t>
  </si>
  <si>
    <t xml:space="preserve"> inorganic polyphosphate/ATP-NAD kinase </t>
  </si>
  <si>
    <t>MARVTGLWGGLLMPFAGLEDRARVENEMPWEARDVPATLHQLLTRTATRFPGHKAMSYQLLSGPTDKAETLTWSQLLSKVNQTANLFRSLGIGENDVVAYVLPNTSETLITMLAGAVAGIVNPINPLLEPEQIAAILRETNAKVVVTLKPFPKTDIAQKVAEAVRHAPHVNTVLEVDLNRYLTPPKSWIVPLVRPKMADKEHLAHADYLSFNREMRKQPTELTFADSTGDRVACYFHTGGTTGMPKVAQHKYSGMIYNGWLGHTLLFNEEDTIMCPLPLFHVFACHVIVMAAVSSGAHVVFPTPAGYRGDGVFDNFWKLIERWKVTFIITVPTAISAKMQRPVDADISSVKTAFSGSAPLPVELFRRFEKATGVTIVEGYGLTEATCLVSCNPVDGEKKIGSIGIPFPYSDVKIIKGTPDGPVECAVDEIGEICISNPGVYAGNTYTEEDKNKDLYYYGTHLRTGDLGRFDADGYLWITGRAKDLIIRGGHNIDPAEIEEALLGHPAVAFAGAIGQPDAHAGEVPCAFVELVEGGKVTEAELLEHCKVHVHERAAHPKHMTILPELPKTAVGKVFKPDLRKNAITRVYNGALTEAGLAARVVSVIDDKKRGLVAQLAAHGATEDEVAKVLGAYTRPWEWAE</t>
  </si>
  <si>
    <t>SPO3003</t>
  </si>
  <si>
    <t>YP_168209.1</t>
  </si>
  <si>
    <t xml:space="preserve"> acyl-CoA synthetase </t>
  </si>
  <si>
    <t>AAV96246.1</t>
  </si>
  <si>
    <t>MTHALRTHIDSQTYADQSALLDQLVAQAALSEVDRAAICAAAAGLVRDIRSSTAPGLMEVFLAEYGLSTDEGIALMCLAEALLRVPDADTIDALIEDKIAPSDWGKHLGHSSSSLVNASTWALMLTGKVLDERKASPVGALRGAIKRLGEPVIRTAVSRAMKEMGRQFVLGETIQSAMKRASGMEAKGYTYSYDMLGEAARTEADAARYHLSYSRAIAAIAEACTHGDIRANPGISVKLSALHPRYELAQDARVMDELVPRLRALALLAKAAGMGLNVDAEEADRLSLSLQVIEAVMAEPALKGWDGFGIVVQAYGPRAGLVIDTLYEMAQRHDRKLMVRLVKGAYWDTEVKRAQVEGVDGFPVFTQKSATDVSYIANARKLLSMTDRIYPQFATHNAHTVAAILHMAKDGQPYEFQRLHGMGETLHNLVLTANKTRCRIYAPVGAHRDLLAYLVRRLLENGANSSFVNQIVDENVPPEVVAADPFETVKAPAKPLKRGPELFAPERPNSMGFDLGHQPTLDAIDAARDPFRSHRWQAGPLLAEEASPEAEEAVVNPADPHDVPGSVAPASAADAELSLARAQPWQAPAAERAAVLNRAADLYEAHYGELFALLHREAGKTLPDAVAELREAVDFLRYYAANIPDAASAGIFTCISPWNFPLAIFSGQIAAALATGNAVLAKPAPQTPLIAHRAVQLLHEAGVPRDALQLLPGGPAVGAALTSDPRVSGVAFTGSTATAQKIRAAMAANMRPGTPLIAETGGLNAMIVDSTALPEQAVQAVIESAFQSAGQRCSALRCLYLQEDIAEDVLTMLKGAMDALNLGNPWALSTDSGPVIDEAARKIITDHVAGARAEGRVLKELALPPEGTFVAPTLIKVAGIGALEREIFGPVLHVATFRSNELDQVIAAINATGYGLTFGLQTRIDDRVQHVTEAVHAGNIYVNRNQIGAIVGSQPFGGEGLSGTGPKAGGPNYMARFCAPDRQQAAADWAAPMATLPRATGTPAPVRVQSLPGPTGESNRLSEMARPPLLCLGPTAATVATQAQAVEALGGTAIRATGALAAEALETVEGISGVIWWGDEETARAYELALSRRSGPILPLIPGLPDGARVLAERHVCVDTTAAGGNAALLGGMG</t>
  </si>
  <si>
    <t>SPO3010</t>
  </si>
  <si>
    <t>YP_168214.1</t>
  </si>
  <si>
    <t xml:space="preserve"> bifunctional proline dehydrogenase/pyrroline-5-carboxylate dehydrogenase </t>
  </si>
  <si>
    <t>arginine and proline metabolism</t>
  </si>
  <si>
    <t>AAV96255.1</t>
  </si>
  <si>
    <t>MEKFGKSQPVTRVEDHRFLTGQGRYIGDAAPGDALVAMFFRSPVAHGEILDLDLGAARQMAGVHLVLTLADLEAAGVKVGLSGTTMANRDGSQGAAPERPMLARDHVRFVGEPVAMVVAETADQARDAIEAMGMDIRDLPVVTKPVPGGPAIHPEAPDNRAFDWGLGDEAATEVAFASAAHVVSLRVDDNRIIANSMEPRGCYAEMAEGRLHFAYGGQGVWGMKAQLAEKLGIDPEALRVTTPDVGGGFGMKAMPYPEYFTVAHAARVLNRPVRWISDRTEAMLSDNHGRDLTSLAELAFDADLRITAYRVRTRCNLGAYNSHFGQAIQTQLFSRVLTGVYDIQTAWLQVEGYYTNTTQVDAYRGAGRPEAIYVLERVMDRAARDLGVSPWEIRRRNFIRAEAFPYQTATGETYDVGEFDRLLRLAEAEAQGFAARRAADAKRGLLRGIGLCYYIESILGDPSEGAEIAFNEDDTVDLMVGTQSNGQGHETVYARFLSDQTGLPMDRIRVVQGDSDRIAQGGGTGGSRSVTVQTNATLTTVDTMVAAFTPYLADKMGVAPEAVHFDHETFRAPGSNLTPSLLEAAAMARADGRSDLLRHAARAKLPGRSYPNGAHLAEIVIDPETGQAHVDRYRVWDDFGNLINPLLAEGQVHGGVAQGIGQALCEHVVHDGEGQLLTATFMDYALPRAHEVPIIGFTSVPVPSTANPMGMKGSGEAGTVGALAAVANAVQDAIWDRGVRQADMPFTPLRLWEMLNAEPVAAE</t>
  </si>
  <si>
    <t>SPO3019</t>
  </si>
  <si>
    <t>YP_168223.1</t>
  </si>
  <si>
    <t>AAV96261.1</t>
  </si>
  <si>
    <t>MARVSVEYKDHVAFVTLTRGDKMNALDQAMFQAIIAAGQEVAASDARAVVLSGEGKSFCAGLDVANFAAFAGQDPVEMLMPRSHGDTNDFQEVAMVWRRVPVPVIAALHGAVYGGGLQIALGADIRIAAPDTRLSVLEMKWGLIPDMGGMVLLPQLVRSDVLRLLTYTARPIGAEKAAEWGLVTDLADDPLAEATALAQEIAGKSPSAIRSAKRLIDQAEAMSREEVLLAESQEQAQLIGKPDQMEVIAAQMQGRAPVFK</t>
  </si>
  <si>
    <t>SPO3025</t>
  </si>
  <si>
    <t>YP_168229.1</t>
  </si>
  <si>
    <t>AAV96265.1</t>
  </si>
  <si>
    <t>MTGNISLAQGRGYLAIPGPSVMPDAVLRAMHRAAPNIYAGELVDMMPGLMADLRRVVRTAHHATIYICNGHGAWEAALSNVIAPGEVVLVPASGRFAHGWAEMAEGLGAECQVIDFGKSAPWDMDRIAEALKADTAHRIKAVLAVHVDTSSSIRNDIAGLRAVLDALGHPALLMADCIASLGCDVFEMDGWGVDVTVTASQKGLMVPPGVGFVFFNERAAAKRASMPRVSRYWDWVPRANPTDFYQYFDGTAPTHHLYGLRTALDMIHAEGIEHVWARHAVLARAIWAACSVWAEGGDLVLNVADPAHRSHAVTALRLDSGKGTALRQWTETNLGLTLGIGLGMAAPGDPAYDKFFRLGHMGHLNGQMVMGLLGGVEAGLRALDVPCGKGALEAAAEVLAAG</t>
  </si>
  <si>
    <t>SPO3029</t>
  </si>
  <si>
    <t>YP_168233.1</t>
  </si>
  <si>
    <t xml:space="preserve"> serine--glyoxylate transaminase, putative </t>
  </si>
  <si>
    <t>AAV96268.1</t>
  </si>
  <si>
    <t>MVHATIAQVTARIVTRSAATRGPYLARIDEARDQGPARAHLSCSGQAHAYAGAGADQQALATGSTGHLGIVTSYNDMLSAHQPFERYPDVLRQAARSVGGTAQVAGGVPAMCDGVTQGAAGMELSLFSRDVIAMAAGVALSHNTFDAAVFLGVCDKIVPGLVIAAQSFGHLPAVFVPAGPMTSGLPNDEKAKVRQRFAAGEVGHAALMAAEMAAYHGPGTCTFYGTANTNQMLMEFMGLHLPGASFVPPGTGLREALTAEAARRSLSLSALGDNYTPVGHVLDERAYVNGIVGLMATGGSTNLLIHLVAMARAGGILLDWQDFAEISAVVPLVARVYPNGLADVNHFHAAGGLGYTIHTLLEAGFLHPDTLTVAGRGLELYTREPKLRGDVLSWEAGTETSLNDKILRPASDPFQASGGLSRLSGSLGTAVMKVSAVAPEHRVVEAPVRVFHDQNEVKAAFKAGELTGDMVVVVRFQGPKANGMPELHSLTPILSILQGRGQKVALVTDGRMSGASGKVPAAIHVVPEALEGGPIARLRDGDLLRVDAEAGVLDILTEGVLARAPATADLSGNQFGTGRDLFAAFRAVVGSADTGASVFGG</t>
  </si>
  <si>
    <t>SPO3032</t>
  </si>
  <si>
    <t>YP_168236.1</t>
  </si>
  <si>
    <t xml:space="preserve"> phosphogluconate dehydratase </t>
  </si>
  <si>
    <t xml:space="preserve">Entner–Doudoroff pathway </t>
  </si>
  <si>
    <t>Amino acid transport and metabolism; Carbohydrate transport and metabolism</t>
  </si>
  <si>
    <t>AAV96269.1</t>
  </si>
  <si>
    <t>MVSRVIPVNAFDLVLFGATGDLARRKILPGLFHRYEVGQMPEEARIIGSARTELSTEAFRADVRQAIEEFTPETPTRAAVLERFLLKLDYVAVDARGDAGWQALAAMLRPDVVRAFYLSVGPSLFAGIARQLDCHGMATPEARIVVEKPFGRDLETARALNAGLRACFEEHQIYRIDHYLGKETVQNLMALRFANSLFEPLWNATHIDHVQITVAESLGIEGREAYYDQSGAMRDMVQNHLVQLLCLTAMEPPSKFTPNAVRDEKVKVIEALDPVPPGDIARGQYRADKGGDGYLDHVGDAQSRTESFIALKVHVANWRWAGVPFYLRTGKRLRARVSEIVVQFRDPPHSIFPNVGPIHGNKLIIRLQPDEGITLRTTIKDPGPGGFRLAEVPLDMSFAEALGGDVRPQDAYERLVMDVIRGDQTLFMRGDEAEAAWAWVDPIIAEWEKNRDRPYPYDQGSSGPEEALMLLHRDGRRWRQIGG</t>
  </si>
  <si>
    <t>SPO3033</t>
  </si>
  <si>
    <t>YP_168237.1</t>
  </si>
  <si>
    <t>AAV96271.1</t>
  </si>
  <si>
    <t>MPTLVMKFGGTSVANLDRIRRAAKRVGVEVAKGYDVIVIVSAMAGKTNELVGWVNETSPLFDAREYDAVVSSGENITAGLMALTLQEMDIPARSWQGWQVPLMTNSAHSQARIEEIPPHNINQKFAEGMKVAVIAGFQGVSPEGRITTLGRGGSDTTAVAFAAAFEADRCDIYTDVDGVYTTDPRICTKARKLEKISFEEMLELASLGAKVLQTRSVELAMRYKVKLRVLSSFEEQSDTAGTLVVDEEEIMESNVVSGVAYSRDEAKMTVVSVQDRPGVAATIFNALSEGGVNVDMIVQNVSEEGITDMTFSCPTDQVARAEKAMNAVKDAGELEFEDLLVDYDVCKVSVVGIGMRSQSGVAAKMFKILSDEGINIKVITTSEIKISVLIDRKYMELAVQALHDAFELDKAA</t>
  </si>
  <si>
    <t>SPO3035</t>
  </si>
  <si>
    <t>YP_168239.1</t>
  </si>
  <si>
    <t xml:space="preserve"> aspartate kinase, monofunctional class </t>
  </si>
  <si>
    <t>biosynthesis of methionine, lysine, and threonine</t>
  </si>
  <si>
    <t>AAV96296.1</t>
  </si>
  <si>
    <t>MRNTKIAVIGGSGIYDIDGLDAAEWVTVETPWGAPSDQILTGRLGGVDMAFLPRHGRGHVHSPTEVPYRANIDALKRLGVTDVISVSACGSFREAMAPGHFVIVDQFIDRTFAREKSFFGTGCVAHVSVAHPTCPRLSDACETSARAAGVTVHRGGTYLAMEGPQFSTLAESKMYREHWGSDVIGMTNMPEAKLAREAELCYASVAMVTDYDSWHPDHGEVDVTRIIATLMGNADKGRAMVKGLPALLGAERAPCPHGCDRALEHAILTAPEARDPALLSRLDAVAGRVL</t>
  </si>
  <si>
    <t>SPO3060</t>
  </si>
  <si>
    <t>YP_168264.1</t>
  </si>
  <si>
    <t xml:space="preserve"> 5'-methylthioadenosine phosphorylase </t>
  </si>
  <si>
    <t>AAV96301.1</t>
  </si>
  <si>
    <t>MSRTKSVQDYIRTIVDFPHEGILFRDVTTLFADPRGFRIAIDQMLHPYAGERIDKVVGLEARGFILGGAIAHQLSVGFVPIRKKGKLPGTTISQDYKLEYGEAIVEIHDDAIQPGEKILLVDDLLATGGTAAAGIKLVERLGGEIVSCAFIIDLPDLGGRKVLESMGMDVHALCAFDGL</t>
  </si>
  <si>
    <t>SPO3066</t>
  </si>
  <si>
    <t>YP_168269.1</t>
  </si>
  <si>
    <t xml:space="preserve"> adenine phosphoribosyltransferase </t>
  </si>
  <si>
    <t>AAV96306.1</t>
  </si>
  <si>
    <t>MKYISTRGQAPELTFEEAMLTGLARDGGLYLPAEIPVMGQDEIAALAGLPYEEIAFRVMWPYVSGSFGEDEFRGIIARAYQGFGHAARAPLKQLNENHFLLELFHGPTLAFKDFAMQLIGQLFQAALARRGETVTIVGATSGDTGSAAIEAFRGLDAVNVFILFPHGRVSEVQRRQMTTPADSNVHALAVDGDFDDCQARVKDMFNDFAFRDGVRLAGVNSINFARVLAQVVYYFSAATSLGAPHRKVSFTVPTGNFGDIFAGYIAKRMGLPIEQLVVATNQNDILHRCLSGEGYFKGETIPSISPSMDIQVSSNFERALYYAYGQDGAAVSQLMDELQQGGFHVSQGAMQALRDSFTSGRASEEETLATIKATLAASGELLCPHSAVGVKVAEEARRADEAPMITLATAHPAKFPAAVEQASGVFPPLPPRMSDLYERPERVTRIANDLAALQDHIRRHIPA</t>
  </si>
  <si>
    <t>SPO3071</t>
  </si>
  <si>
    <t>YP_168274.1</t>
  </si>
  <si>
    <t xml:space="preserve"> threonine synthase </t>
  </si>
  <si>
    <t>AAV96317.1</t>
  </si>
  <si>
    <t>MKKVYANATEALDGLLQDGMLIAAGGFGLCGIPELLLQAIKESGAKDLTFASNNAGVDDFGIGILLQTKQVKKMISSYVGENAEFMRQYLSGELELEFNPQGTLAERMRAGGAGIPGFYTKTGVGTVIADGKEHKEFNGETYILEEGIFADLSIIKAWKADDTGNLVFRKTARNFNVPAATCGKICIAEVEEIVPRGELDPDCIHLPGIYVHRIIQGEHEKRIEQRTTRKREEA</t>
  </si>
  <si>
    <t>SPO3082</t>
  </si>
  <si>
    <t>YP_168285.1</t>
  </si>
  <si>
    <t xml:space="preserve"> 3-oxoadipate CoA-succinyl transferase, alpha subunit </t>
  </si>
  <si>
    <t>AAV96318.1</t>
  </si>
  <si>
    <t>MPWDRNQMAARAAEELEDGMYVNLGIGIPTLVANYVGDKDITLQSENGMLGMGPFPYEGDEDPDLINAGKQTITELARTAYFDSATSFAMIRGGKIAAAILGAMEVDEKGDLANWMIPGKLVKGMGGAMDLVAGVGRVVVVMDHTNKHGESKVLKECTLPLTGKGVVDRIITNLGVLDVVEGGLKIVELADGVSEAEMRAATEATLVN</t>
  </si>
  <si>
    <t>SPO3083</t>
  </si>
  <si>
    <t>YP_168286.1</t>
  </si>
  <si>
    <t xml:space="preserve"> 3-oxoadipate CoA-succinyl transferase, beta subunit </t>
  </si>
  <si>
    <t>AAV96323.1</t>
  </si>
  <si>
    <t>MGPMRNWMMCLGLAGTLSACGIEAGYQVDSGTFGNATLNNTQMMNGERSYTQVLADRFAREIPTQINFAFDSAELDATAQQVLTLQADWIRQFPEVRFRVYGHTDAVGSSGYNKSLGMRRARAVVSFFASRGISRSRLEAVVSYGETQPLVPTGERERRNRRTVTQVSGFVDGNQNLLDGKYAQVVYREYIKSAEPKTTVEIDTSSSAFEQ</t>
  </si>
  <si>
    <t>SPO3088</t>
  </si>
  <si>
    <t>YP_168291.1</t>
  </si>
  <si>
    <t>AAV96363.1</t>
  </si>
  <si>
    <t>MKFFVDTAEIDAIAELNDLGMVDGVTTNPSLIKKSGRDIIEVTREICAMVDGPVSAEVTATDAETMIAEGRKLVEIAGNIAVKVPLTWDGLKACKVLSDDGHMVNVTLCFSANQALLAAKAGATFISPFIGRLDDINLDGMELIEDIRTIYDNYGFETQILAASIRSVNHILDSARIGADVITAPPAVIKAMVNHPLTDKGLDAFLADIKAADIKIL</t>
  </si>
  <si>
    <t>SPO3128</t>
  </si>
  <si>
    <t>YP_168331.1</t>
  </si>
  <si>
    <t xml:space="preserve"> putative translaldolase </t>
  </si>
  <si>
    <t>AAV96391.1</t>
  </si>
  <si>
    <t>MFFASDNSGPVHPEILAGLTDANQGYAMAYGADTQMQAVQEKIRRIFEAPDAAVYLVATGTAANSLALATLSQPWQTIFCSPVAHIHEDECNAPEFYSGGAKLTLVPGGDRMTPEALRASITGEETRGVHGPQRGPVSITQVTERGGVYSIAELQALCAVAKAYGLPVHLDGARFANALVALNASPAEMTWKAGVDAVSFGGTKNGCMGVEAVIFFDPKHAWEFELRRKRGAHLFSKHRYLSAQMLAYLSDDLWLRSARRANDNCARLAEGLRAAGAEFLHEPQANIVFASFPRAIHRRLMGAGASYHLWGAELEGANEDEMLACRMVCDWSIGTDQIDRFLSLL</t>
  </si>
  <si>
    <t>SPO3156</t>
  </si>
  <si>
    <t>YP_168359.1</t>
  </si>
  <si>
    <t xml:space="preserve"> L-threonine aldolase, low-specificity, putative </t>
  </si>
  <si>
    <t>AAV96394.1</t>
  </si>
  <si>
    <t>MPSLTEPKLIAGNANLPLARSIARRMSLYRGVDQGLVDARVERFNDGEIFVEVFENVRGEDMFIIQPTSNPANDNLMELLIIADALRRSSASRITAVIPYFGYARQDRRTKARTPISAKLVANMLTGAGIERILTMDLHAAQIQGFFDIPVDNLYASPIFALDVQTQFKQQMSDLMVVSPDVGGVARARELAKRINAPLSIVDKRREKPGEVAEMTVIGDVTDKICLIVDDICDTAGTLCKAAQVLLDNGAREVHSYISHGVMSGPAVERVSNSVMKSLVITDSIQPTPEILAAPNIRVVPTAPIFTQAILNIWNGTSVSSLFEDKTLRPIYESLYHMD</t>
  </si>
  <si>
    <t>SPO3159</t>
  </si>
  <si>
    <t>YP_168362.1</t>
  </si>
  <si>
    <t xml:space="preserve"> ribose-phosphate pyrophosphokinase </t>
  </si>
  <si>
    <t>Nucleotide transport and metabolism; Amino acid transport and metabolism</t>
  </si>
  <si>
    <t>AAV96412.1</t>
  </si>
  <si>
    <t>MRGYSSGAPRMNQFTPQPGIMDIALYQGGKAHVDGVANVIKLSSNENPLGPSPAAVEAIRATAAQAHRYPSTDHAELRAAIGAVHGLDPDRIICGVGSDEVLQFVAQAYTGPGDEVIHTEHGFSMYPILARMAGATPVQVPERQRVVDVDAILAAVNDRTRLVFLANPANPTGTMISEAEVTRLADGLPGHVLLVLDGAYAEFVEGFDGGAALVSARDNVIMTRTFSKIYGLGGLRIGWGYAPREIIDVLNRIRQPFNLSTMQLAAAEAAVRDQDWVARCRDQNTTWRTWLAARLAELGVPSDVSCANFILARFADQGEAEACDLFLQSRGLIVRRVAGYNLPQALRITVGDEAGCRAVVDAVRAFKEARA</t>
  </si>
  <si>
    <t>SPO3177</t>
  </si>
  <si>
    <t>YP_168380.1</t>
  </si>
  <si>
    <t xml:space="preserve"> histidinol-phosphate aminotransferase </t>
  </si>
  <si>
    <t>AAV96422.1</t>
  </si>
  <si>
    <t>MTETRTLSLDEIEDLSFRALVAVGTSEANARPLAVATAATEADGIASHGLLYIPIYCEHVQCGKVDGQAEPRLDRPAPSVLTVDAATGFAHAAIDLGFDQLMPLARSQGVAVLAIRNSYNCGVLGYHTARLARAGLVGLGFTNAPASIAPSGGSKPVVGTNPFSLAVPGEDGEPAILIDQSASTIAKSEVMKHAREGKPIPVGWALDGEGNPTTDPEVGLKGSMAPSGGYKGVGVALLVETMAAALTGATLGIDASPFSGTAGGPPRTGQFFIAIDPGATSGDRFAPLVARLAAAVHDQDNAHLPGDGRRGRRLRARAQGVAVNSATLERIEKIIAA</t>
  </si>
  <si>
    <t>SPO3187</t>
  </si>
  <si>
    <t>YP_168390.1</t>
  </si>
  <si>
    <t xml:space="preserve"> malate/L-lactate dehydrogenase family protein </t>
  </si>
  <si>
    <t>AAV96429.1</t>
  </si>
  <si>
    <t>MSRFAAPIAEQIWDMKYRFKQADGTPIDQTVEDSWRRIARDLARVEQDPDRWEREFYTALEDFKYLPAGRITAGAGTARQVTLFNCFVMGTIPDSMGGIFEMLKEAALTMQQGGGIGYDFSTIRPRGADVKGVAADASGPLSFMDVWDAMCRTIMSAGSRRGAMMATMRCDHPDIEQFIGAKSDPARLRMFNMSVLVTDAFMEAVKADGSWELQFDGKVYHTVEARTLWNKIMQATYDYAEPGVIFIDRINAANNLNYVETIAATNPCGEQPLPPYGACLLGSVNLARLVSNPFEDAAELDPEALQKLVATAVRMMDNVVDASRFPLPEQAAEAQNKRRIGLGVTGLADALLMLGLRYGSDEAAKQTEDWLHAIARAAYLASVELAKEKGAFPLFDAEKYLASGTMRAMDEDVREAIRTHGIRNALLTSIAPTGTISLYAGNVSSGIEPVFAYAYTRKVLQKDGSRTEEEVVDYAVQMWRDKFADAPLPDYFVNAQTLAPADHVRMQAAAQKWIDSSISKTINCPEDISFDAFKDVYMQAWDLGCKGCTTYRPNDVTGSVLTVSESADKAPGESASAPHGTEGGDVIYMSEPLDRPQTLEGNTYKLKWPDSEHAIYLTINDIIINGHRRPFEVFINSKNMEHYAWTLALTRMISAVFRRGGDVSFVVEELKAVFDPRGGAWVKGKYIPSILAAIGGVIEQHLIAIGFLEGEGMGLKSDPQAQVVNGDMPRGKACPSCGQFDMQMVEGCMTCRSCGHSKCG</t>
  </si>
  <si>
    <t>SPO3194</t>
  </si>
  <si>
    <t>YP_168397.1</t>
  </si>
  <si>
    <t xml:space="preserve"> ribonucleoside-diphosphate reductase, putative </t>
  </si>
  <si>
    <t>AAV96436.1</t>
  </si>
  <si>
    <t>MSVPHLRLGVNIDHVATVRNARGGEYPDPIRAAKIAEQAGADGITAHLREDRRHITDADIDGLMAALSVPLNFEMAATDEMQKIALRHKPHAVCIVPEKREERTTEGGLEVAREENRLAHFIAPLREVGCRVSIFIAADRRQVEAAHRIGAQVIELHTGAYCDAHAEGDFATRDRELEALREMSAFAHSLGLEVHAGHGLTYDTVQPVAAFPEVMELNIGHFLIGEAIFRGLHPAIAEMRRLMDEARA</t>
  </si>
  <si>
    <t>SPO3201</t>
  </si>
  <si>
    <t>YP_168404.1</t>
  </si>
  <si>
    <t xml:space="preserve"> pyridoxal phosphate biosynthetic protein PdxJ </t>
  </si>
  <si>
    <t>MTPETQMSFDDLIDRHGTFCSKWDMMEPIYGVPAQDGLAMWVADMDFRAPDHVLARLREMTDHGVLGYVDYSKPYTDAIRWWMRNRHDWDVAPEAIFTTTGLVNGVGMCLDTFTQPGDGIVLFTPVYHAFAKVIRNAGRQVVECQLVNTDGRYEMDFAAYDAQMTGNERMVILCSPHNPGGRVWTQEELRAVADFAKRHDLLLVSDEIHHDLVYPGHTHIPMPNAAPDIIDRLLMLTAPSKTFNIAGLHTGQVIIPDPELRGRFAKRMAALSLAPNSTGQMATLAAYSPEGAEWVDGLLAYLDENRRLFDSAIAAIPGLRSMPLEATYLAWVDFSGTGMERAEFTERVEQQAKIAVNHGTSFGTGGENFLRFNLGTQRARIEEAIDRLNRAFGDLQ</t>
  </si>
  <si>
    <t>SPO3220</t>
  </si>
  <si>
    <t>YP_168423.1</t>
  </si>
  <si>
    <t>AAV96461.1</t>
  </si>
  <si>
    <t>MRILPQIMAAIVLASPALSQCGGGFSSFVDGLKAEAVSMGHDAALVDRFFQGAAQDAKVLKADRAQGVFQKPFVEFSRRLISQNRLDTGKAMGRKYDAVFDRIEAEYGVSRGVLLAFWAFETDFGGFQGDFNTRNALITLAHDCRRPELFRPQIFAAIELYSHGDFDPARTTGAWAGEIGMVQMLPRDILENGVDGDGDGHVTLKTSAPDALMSGARMLSHLGWRAGEPWLQEVTLPAQMDWSLSGPGKPRSAGEWQAMGVRPRAGDLADLPASLILPQGHKGPAFLAYPNFDVYFEWNQSFVYVLTAAYFGTRLEGGQVYDAGNPAPGLDGAGMKALQQKLQARGHDVGKIDGILGAGTRAAVQAEQARLGLPADAWPTAELLNRL</t>
  </si>
  <si>
    <t>SPO3226</t>
  </si>
  <si>
    <t>YP_168429.1</t>
  </si>
  <si>
    <t xml:space="preserve"> hypothetical protein SPO3226 </t>
  </si>
  <si>
    <t>AAV96465.1</t>
  </si>
  <si>
    <t>MSLEEIFATRAGRLKASEIRELLKLLDQPDILSFAGGIPDPALFPAEAFANAFAEVLTPAHQAQALQYSVSEGYLPLRSWLADHMGTLGVPCGANNILITSGSQQALDYLGKLFLSPGDTALVGWPTYLGALAAFNAYEPAYDRLHINTNRLPEDYRAAAEAAGGQVKMAYLSADFANPTGETVDEAGRERLLDLAETLDCAVIEDAAYQALRYDGAPVPPILALEIARKGSIEACRTLYCGSFSKTLSPGLRVGWVVAPQAVIRQLVLMKQAADLHSSTINQIAIHRVAETLFDSHVASLRATYRRRRDAMLAALARHMPEGVDWTRPEGGMFVWLTLPQGMDGAALLARSLDTVRVAFVPGRAFFADGSGANTLRLSFSCASEEMIEEGMARLGQLLRAG</t>
  </si>
  <si>
    <t>SPO3230</t>
  </si>
  <si>
    <t>YP_168433.1</t>
  </si>
  <si>
    <t>Transcription; Amino acid transport and metabolism</t>
  </si>
  <si>
    <t>AAV96493.1</t>
  </si>
  <si>
    <t>MRPLILLFVLLSLMAACGRRAPEPEPVPAPDPMRAELAQLVTYPKFGDADPHPWDGRAPQSYPIHGIDISRWQGNIDWATARAAGVNFAFIKATEGGDVADPKFAEHRRGAQAAGVPWGAYHYYYFCRPAEEQARWFIRHVPRGADLPHVLDMEWTHRSRTCPLRPEGAKVRAEARKFLDLLEAHYGRRPIIYTTVDFYRDTGIGQLRDTEFWLRSVAGHPRQVYPGAYWTFWQYTGTGLVPGIEGKVDINVFRSAPDIWLRWKAGQIG</t>
  </si>
  <si>
    <t>SPO3258</t>
  </si>
  <si>
    <t>YP_168461.1</t>
  </si>
  <si>
    <t xml:space="preserve"> glycosy hydrolase family protein </t>
  </si>
  <si>
    <t>AAV96516.1</t>
  </si>
  <si>
    <t>MTHFDPLETRTDDQRAADLASALPQQIARAKTAPGFARLLADVDPAAITDAAALATLPVLRKSELSRAQGEHPPFGGFTVKPAHGFAHVFQSPGPIYEPGGTDHDWWRMGRFLHAAGIGQGDIVQNCFGYHLTPAGMIFENGARAVGAAVLPAGTGQTELQVTAARDIGCTAYAGTPDYLKVILDKAEEMGVALKFTKAAVGGGALFPSLRKEYADRGISCLQCYATADLGNIAYESAAMEGMIVDEHVIVEIVTPGTGTPVAPGEVGEVVVTSLNPDYPLIRFATGDMSAVLPGHSPCGRTNMRIKGWMGRADQTTKIKGMFVRPEQVAALVDKHAEIVKARVIATRVGEMDAMTVQIESSGGDDAAYARSVAEVLKLKGAIEVVAPGSLPKDGLVIEDQRRYD</t>
  </si>
  <si>
    <t>SPO3289</t>
  </si>
  <si>
    <t>YP_168485.1</t>
  </si>
  <si>
    <t xml:space="preserve"> phenylacetate-CoA ligase, putative </t>
  </si>
  <si>
    <t>AAV96523.1</t>
  </si>
  <si>
    <t>MAQTQSGAEGLQSLPALLHRNATQYGNHPAYREKEFGIWQCWTWAEVAAEIRAMALGFLELGVAKGDHVAVIGRNRPAHYWSMVAAQMVGAVPVPFYQDAVAEEMAYVMEHCGAKFIVCGDQEQVDKVIEIQETVNQVQQILYTDKRGMRKYDHSQMNALEDVMAEGRAGHYRFDAELDRRIAEITYDDTCVMLYTSGTTGKPKGVVLSNRNVIESAKNSAKFDNLTKDENILSYLPMAWVGDFIFSIGQAYWCGFCVNCPESPDTMMTDLREIGPTYFFAPPRVFETQLTNVMIRMEDASTLKRNMFHHFMAHAKKVGGKILDGEQVSAGDRLKYAIGNALVYGPLKDTLGFGNVRVGYTAGEAIGPEIFDFYRSLGINLKQLYGQTEATVFITVQPDGQVRADTVGVPAPDVEIKIAENGEIFYRSPGTFVEYYKNPESTASTKDAEGWVATGDAGFFEEDTGHLRIIDRAKDVGKMADGSMFAPKYVENKLKFYPDILEAVLFGNGKDRCVAFINIDLTAVGNWAERNNIAYASYQELAGHPKVLDTIRSHVEKVNVSVAEDPMLSGCQVHRFVVLHKELDADDGEMTRTRKVRRRIVEEKFADIIAALYDGSEKVSTVTEVTYEDGRKGAIKATLTICDAKVMPTAPQQVAAE</t>
  </si>
  <si>
    <t>SPO3296</t>
  </si>
  <si>
    <t>YP_168492.1</t>
  </si>
  <si>
    <t>AAV96534.1</t>
  </si>
  <si>
    <t>MTHLWVRAEQRPNEERVGLTPEGAAALIAAGLRVTVEESSVRAIPLDGYRDAGCQIAPENSWPDAPGDAIIFGLKELPEDGTPLPHRHIMFGHAFKGQHSGRRLLERFKAGGGTLYDLEYLVDENGRRVAAFGYWAGYAGAAVTLKAWAAQQQGGICGPVGVYPGKDTLNAALAAELDATGAPRPRAIVIGALGRVGTGAADLCTAMGVEVTKWDMAETASGGPFPEILAHDIFLNCIFARPGTPVFVPREALSAPRALTAIGDVACDPDSDYNPVPVYDRATSWDAPVLRVAEAPVLDVMAIDNLPSMLPVESSEDYAAQLLPSLLTLTDLDAGVWGRARATFLGHVEG</t>
  </si>
  <si>
    <t>SPO3307</t>
  </si>
  <si>
    <t>YP_168503.1</t>
  </si>
  <si>
    <t xml:space="preserve"> saccharopine dehydrogenase, putative </t>
  </si>
  <si>
    <t>AAV96536.1</t>
  </si>
  <si>
    <t>MTIHWCGTGLSAIPGLRRLIEAGHALTVWNRTVEKARAELGDLTDDIRAFDIDALGAVLAKGDVVVSMLPGDWHVPLAELAIAKGTHFVSSSYIAPEMRALDERAREAGVSLVNEIGLDPGIDHLMAHELVADYRASDAFDAQNHLSFISYCGGIPKHPNPFRYKFSWSPLGVLKALRSPSRSIRDYAPLDVARPWDAISSYTAPLPTPESFEVYPNRDSLPFMGQYHFKEHWPVKEFVRGTLRLNGWADAWGDVFREIETLSGPEGDARLKEMSDQFWAENAYDQGEPDRVVLCVGLKAEKDGREVWHKSYVMDAWGDARGTAMARLVSIPVSLAVEAVLNREIPAGVHAASSDPKLLARWMAEVATLAQHLQIVDHTA</t>
  </si>
  <si>
    <t>SPO3309</t>
  </si>
  <si>
    <t>YP_168505.1</t>
  </si>
  <si>
    <t>AAV96541.1</t>
  </si>
  <si>
    <t>MPMYRSRTSTHGRNMAGARGLWRATGMTDGDFGKPIIAIVNSFTQFVPGHVHLKDLGQMVAREVEAAGGVAKEFNTIAVDDGIAMGHDGMLYSLPSREVIADSVEYMVNAHCADAMVCISNCDKITPGMLMAAMRLNIPAIFVSGGPMEAGKIDIADLEMTKIDLVDAMVAAANDKFTDEQVQHIEENACPTCGSCSGMFTANSMNCLAEALGLALPGNGSTLATHSDRKALFLEAGRRIVEITKRHYEGEEKGLLPREIATFEAFENAMSLDIAMGGSTNTVLHLLAIAHEGEVDFTMTDMDRLSRKVPCLCKVAPNTANVHMEDVHRAGGIFSILGELSRAGLLHDDCGTVHSASMGEAIAKWDIKVANNPEAESLFKAAPGGVRTTQAFSQSNRYKDLDTDREGGVIRSKEHAFSQDGGLAVLFGNIAEDGCIVKTAGVDASILQFTGTAHVCESQDDAVNNILTGKVKEGDVVVIRYEGPRGGPGMQEMLYPTSYLKSKGLGKACALLTDGRFSGGTSGLSIGHVSPEAAEGGTIGLVEDGDRIEIDIPNRRIHLAVSDEVLAARRAAQEAKGWHPAKPRKRKVSTALKAYAKLTTSAAKGAVRQV</t>
  </si>
  <si>
    <t>SPO3314</t>
  </si>
  <si>
    <t>YP_168510.1</t>
  </si>
  <si>
    <t xml:space="preserve"> dihydroxy-acid dehydratase </t>
  </si>
  <si>
    <t>AAV96555.1</t>
  </si>
  <si>
    <t>MGGPTNSRRRHAMLDAATDLKSLLKTPDLLATKAYIGGQWVDGDNGTFAVTNPARGDVIAEVADLSRAQVAGAIAQAEAAQKEWAKYTGKERAVILRRWYDLMMEHAQDLGRILTAEQGKPLAEAVGEVAYGASFIEFFAEEAKRIYGETIPGHQRDKRITVLKQPIGVAASITPWNFPNAMITRKAGPALAAGCAFVARPAAETPLSALVLAVLAEKAGIPAGVFNVVPSSRSSEIGKEFCENPGVRKLTFTGSTEVGRILLKQAADQVMKCSMELGGNAPFIVFDDADLDAAVEGAMLCKFRNNGQTCVCANRIYVQAGVYDAFAEKLAAAVAKLNVGDGLSDGVTTGPLINAEAVEKVLEHLGDVTAKGGAVLTGGKPHALGGTFFEPTVVTGVTQEMKVAKEETFGPLAPLFKFDDVDEVIAMANDTIFGLAAYFYAKDLSRVYKVAEALEYGIVGVNTGIISTEVAPFGGIKQSGLGREGSHHGIEDYLEMKYICMSV</t>
  </si>
  <si>
    <t>SPO3328</t>
  </si>
  <si>
    <t>YP_168524.1</t>
  </si>
  <si>
    <t xml:space="preserve"> succinate-semialdehyde dehydrogenase </t>
  </si>
  <si>
    <t>AAV96564.1</t>
  </si>
  <si>
    <t>MSNQELEAAIEAAWDARDSITPATTGATREAIEETLAALDGGGLRVAEKQADGSWHVNQWAKKAVLLGFRIKDMEIQSGGPQGGGWWDKVDSKFAGWGESQWKAAGFRAVPNCVVRKSAYIAPGVVLMPSFVNLGAYVDSGTMVDTWATVGSCAQIGRNVHLSGGVGIGGVLEPMQAGPTIIEDNCFIGARSEVVEGVIVREGAVLGMGVYIGQSTKIVDRETGEVMYGEVPPYSVVVSGSMPSTGGVSLYCAVIVKRVDERTRSKTGINELLRD</t>
  </si>
  <si>
    <t>SPO3337</t>
  </si>
  <si>
    <t>YP_168533.1</t>
  </si>
  <si>
    <t xml:space="preserve"> 2,3,4,5-tetrahydropyridine-2-carboxylate N-succinyltransferase </t>
  </si>
  <si>
    <t>lysine biosynthetic pathway</t>
  </si>
  <si>
    <t>AAV96581.1</t>
  </si>
  <si>
    <t>MAIAQTASRDDARKPLTRPANPRFSSGPCAKPPVFDVSKLADAALGRSHRAAIGKDKLKAAIEGTREILGIPADYRIGIVPASDTGAVEMALWSLLGARKVEMLAWESFGAGWVTDVVKQLKLDAEVKTADYGQIVDLASVDFDNDVVFTWNGTTSGVRVPNGDWIATDRQGLTICDATSAAFAMDLPWDKLDVTTFSWQKVLGGEAAHGMIVLSPRAVERLESYTPAWPLPKIFRMTKGGKLIEGIFKGETINTPSMLAVEDYLLALDWARSVGGLNGLIARADANAQAIFDFCDTHDWVANLAEDAATRSNTSVCLKFTDARIQDGAGFAKAVAKRLEAEGVALDIGAYRDAPAGLRIWCGGTVETSDVAALLPWLAWAYQAEIDAQSQAA</t>
  </si>
  <si>
    <t>SPO3354</t>
  </si>
  <si>
    <t>YP_168550.1</t>
  </si>
  <si>
    <t xml:space="preserve"> phosphoserine aminotransferase </t>
  </si>
  <si>
    <t>AAV96582.1</t>
  </si>
  <si>
    <t>MAPKVLISDKLSDAAVQIFRDRGIDVDFQPDLGKDKDKLAEVIGQYDGLAIRSATKVTEKILENATNLKVIGRAGIGTDNVDKDAASKKGVIVMNTPFGNMITTAEHAIAMMFAVARQIPEASASTHAGKWEKSKFMGVELTNKTLGVIGAGNIGGIVCDRARGLKMKVIAYDPFLGEEKANKMGVEKVELDDLLKRADFITLHVPLTDQTRNILGRENLAKTKKGVRIINCARGGLVDEEALAEMLQSGHVAGAAFDVFSVEPAKENPLFGLPNVVCTPHLGAATTEAQENVALQVAEQMSNYLLTGAVENALNMPSVTAEEAKVMGPWIALAGHLGSFVGQMTDEPIKAINILYDGTASTMNLAALNCATVAGIMKKANPEVNMVSAPVVAKERGIQISTTNQDKSGAFDGYVKVTVVTAKRERSVAGTVFSDGKPRFIQIKGINVDAEIGAHMLYTTNEDVPGIIGTLGQTMGENGVNIANFTLGRAAAGGEAIALLYVDEPVPAEARAKLAETGLFNQIKPLEFDVA</t>
  </si>
  <si>
    <t>SPO3355</t>
  </si>
  <si>
    <t>YP_168551.1</t>
  </si>
  <si>
    <t xml:space="preserve"> D-3-phosphoglycerate dehydrogenase </t>
  </si>
  <si>
    <t>AAV96587.1</t>
  </si>
  <si>
    <t>MSQSFLSHITDTLAQIEAEGLYKRERLITSPQGGEITVGDRQVINLCANNYLGLADHPALIAAARDALEPKGFGMASVRFICGTQDIHRELEQRLARFLNKDDAILFAACFDANGGLFEPLLGPEDAIVSDALNHASIIDGIRLCKAKRYRYANSDMGDLEAQLKQARADGARHVMIATDGVFSMDGYLANLPEITRLAHQYDAVVMVDDCHATGFMGPHGAGTPDHFGLDVDILTGTLGKALGGAIGGYIAGPQPVIDLLRQRARPYLFSNSLPPAIVAAGIEAIRLVEEGADLRARLFENARYWRAGLTDLGFDLLPGEHPIIPVMLGEAKLAQDMAARLFDEGVYVSGFFFPVVPRGQARIRTQMNAALTRDELDRALAAFATAGKALGVI</t>
  </si>
  <si>
    <t>SPO3360</t>
  </si>
  <si>
    <t>YP_168556.1</t>
  </si>
  <si>
    <t xml:space="preserve"> 2-amino-3-ketobutyrate coenzyme A ligase </t>
  </si>
  <si>
    <t>Vit/Coenzyme (Biotin)</t>
  </si>
  <si>
    <t>MKKDHQAAWLLKAITLIDLTTLSGDDTVGRVRRLCAKARQPVAPALLEALGMGPITTGAVCVYHDMIETAVEALKGTGIPVAAVSTGFPAGLSPFHLRVAEIGESVAAGAEEIDIVISRRHVLTGDWQALYDEMKAFRAACGHAHVKAILATGELGSLRNVARASLVCMMAGADFIKTSTGKESVNATLPVSLVMIRAIREYYDRTGYRVGYKPAGGISKAKDALVYLALIKDELGDRWLQPDLFRFGASSLLGDIERQLEHHVTGAYSAGYRHPMG</t>
  </si>
  <si>
    <t>SPO3367</t>
  </si>
  <si>
    <t>YP_168563.1</t>
  </si>
  <si>
    <t xml:space="preserve"> deoxyribose-phosphate aldolase </t>
  </si>
  <si>
    <t>AAV96596.1</t>
  </si>
  <si>
    <t>MDFTGKTVVVIGGTSGINRGIALAFARAGARLAVASRSQDKVNDTVAELRAAGAQEALGASFDVRDAEAVAAGLQGFRDRLGEFDVLVSGAAGNFPALTAEMSINAFKTVIDIDLMGTVHVMKGAYPHLKRPGASIINISAPQSWLPYEGQAHVCAAKAGVDQITRTLSLEWGPEGIRVNSVVPGFIEGTEGAKRLAPSPEAEKSFKKDVPLGRWGQPQDVANACLFLGSDMASYVSGTVLSVDGALYQRGSGRAGQMIGQMLRAMPKPG</t>
  </si>
  <si>
    <t>SPO3369</t>
  </si>
  <si>
    <t>YP_168565.1</t>
  </si>
  <si>
    <t xml:space="preserve"> short chain dehydrogenase </t>
  </si>
  <si>
    <t>AAV96601.1</t>
  </si>
  <si>
    <t>MTDLSPVRRALLSVSDKTGLIELGQALAARGVELLSTGGTAKALRDAGLTVRDVAEVTGFPEMMDGRVKTLHPMVHGGLLALRDNADHVAAMEQHGIAGIDLLVVNLYPFEATVAKGADYDDCIENIDIGGPAMIRAASKNHAFVNVVVDVADYDALLAEMAANDGQTSYAFRQRLAQTAYARTAAYDAAVSNWMADQLALEAPRRRAFAGELKQTLRYGENSHQQAAFYTDGSNRPGVATARQLQGKELSYNNINDTDAAFELVAEFAPENGPACAIIKHANPCGVALGATLSEAYQKAFDCDRTSAFGGIVALNQPLDAETAGKIVEIFTEVVIAPGASDEAIAIFATKKNLRLLLTDGLPDPRQPIVAMKQVAGGLLVQDKDVGHVDLTDLKVVTRKAPTEAQMADLLFAWKVGKHVKSNAIVYVKDGATVGVGAGQMSRLDSANVAAAKAQRMATELGLPESPAKGCAVASDAFFPFADGLLEAAAAGGACVIQPGGSMRDDEVIKAADEAGLAMVFTGMRHFRH</t>
  </si>
  <si>
    <t>SPO3374</t>
  </si>
  <si>
    <t>YP_168570.1</t>
  </si>
  <si>
    <t xml:space="preserve"> bifunctional phosphoribosylaminoimidazolecarboxamide formyltransferase/IMP cyclohydrolase </t>
  </si>
  <si>
    <t>AAV96635.1</t>
  </si>
  <si>
    <t>MKEVVIAGAARTPMGGFQGMYDGVSAAELGGAAIRAALAGAGAATVDEVLMGCVLPAGQGQAPARQAGFAGGLGEEVPATTLNKMCGSGMKAAMIAFDQIALGQTGTMIAGGMDSMSNAPYLLPKMRGGARIGHGQVIDHMFLDGLEDAYDKGRLMGTFAEDCAEHYQFTREAQDEYALRSLQNALEAQASGAFDGEIAAVTVKTRKGEVVTDADEQPKSARPDKIPTLKPAFRKDGTVTAANASSISDGAAALVLASAEAAAAQGLTVRARILGHASHAQAPGWFTTAPVPAAKKLLANIGWSVEDVDLWEVNEAFAVVPMAFMHEMGLSRDKVNVNGGACALGHPIGASGARIMVTLLNALEKRGLKRGVAAICIGGGEGTAIAIERV</t>
  </si>
  <si>
    <t>SPO3408</t>
  </si>
  <si>
    <t>YP_168604.1</t>
  </si>
  <si>
    <t xml:space="preserve"> acetyl-CoA C-acetyltransferase </t>
  </si>
  <si>
    <t>AAV96643.1</t>
  </si>
  <si>
    <t>MNFPERFSNLPAYAFPRLRALLDHHPAGGEVVHMTIGEPKHAFPAWVTDVIVENAHLFQSYPPNEGSPELRGAITDWIARRYGVTLDPEKNVMALNGTREGLYNAAMALCPEQKNGQRPIVLCPNPFYQVYMVAAISVGAEPHFVPATAATGHLPDYASLPVEVLNRTAVAYICSPANPQGAVASREYWAELIGLAEQYDFRIFADECYSEIYREEAPAGALSVAQEMGADPERVVLFNSLSKRSNLAGLRSGLIAGGPETLKHVKQLRNYSGAPLPGPLQAAAARVWADEAHVAENRALYQEKYALADQVFAGVQGYQPPEAGFFLWLPVDDGEAASLKAWRETGVRVLPGAYLAQGKPGQNPGETYIRVAMVAPKQDLQRGLIALRDCIYR</t>
  </si>
  <si>
    <t>SPO3417</t>
  </si>
  <si>
    <t>YP_168613.1</t>
  </si>
  <si>
    <t>AAV96653.1</t>
  </si>
  <si>
    <t>MSLIPDITELLARARADLRMGVPVVLRDEGGDSALALAAETLTAARLADLRQLGDPVIAITGRRAETLKARAYDGDLARVILPTGADLRWVQAVADPSDDLNTPMKGPLGTMRQGKAGLHRLAISLTKSARLLPAAVLVALPEGRTFAADHGLTTIDHAQAAPHLSERSPLHVVSAARLPMEVSEAGRLHVFRPEDGGEEHYAVEIGRPDRDKPVLARLHSACFTGDLMGSLKCDCGPQLRGALAQMGAEGAGVLLYLNQEGRGIGLANKMRAYFLQDQGFDTVEANHRLGFEDDERDFRLGSDILKSLGFKSVRLLTNNPAKIAMMERTGIAVTERVPLKVGETAHNRGYLATKAAKSGHML</t>
  </si>
  <si>
    <t>SPO3427</t>
  </si>
  <si>
    <t>YP_168623.1</t>
  </si>
  <si>
    <t xml:space="preserve"> 3,4-dihydroxy-2-butanone 4-phosphate synthase/GTP cyclohydrolase II </t>
  </si>
  <si>
    <t>AAV96767.1</t>
  </si>
  <si>
    <t>MQPSKQALSSAPHAQDAATLRVRLLATTDLHMQLTGYDYYSDRPEKTGGLARLAPLIAAARAETGVDLSLLFDNGDSIQGTQMGDIAARHPSAPHPLMRAFSYLGYDALGLGNHDFNFGLEVLDQVLEQAPCPVVCANAHRLDRATPWQQEVILEREVRTGADVTLLRIGVLATLPPQTVDWDAHLLSGRMRVDGIVEAARHAVTRLRAAGCDLIIALAHSGLAEADAAPDQENAVIPLAALDGIDAVIAGHTHLRLPSQDAAPLPHTDRANGLVHGKPVVMPGHHGSHLGIIDLDLRQTPGGRWRVARAQAVLRPAEGPADTALMQLLAADHAATCAAANQPAGHADDAMHSYFTFVAPDRGLAKVAAAQAAALRPFLAGTPLADLPLLSSVSPLKAGGRAGPDHYTDVPAGPLSMRHVADLHMFPNELRALVLTGADLREWLEMAAGVFLSPAPAGACDMLLDTSVPGHNFDSLYGLTYEIDPRAPPRYDIGGRLIADENRRIGSLCHNGTPVDDRQKFVVALNNYRANGGGHFLMLDRGEPVPLPSLRIQSALHDYLSGRLPADPLEQAPHPWRLAPLPGQSAILRTGPRARDHLDELAGRDISDLGLDAEGFLRLRVGL</t>
  </si>
  <si>
    <t>SPO3542</t>
  </si>
  <si>
    <t>YP_168737.1</t>
  </si>
  <si>
    <t xml:space="preserve"> 2`,3`-cyclic-nucleotide 2`-phosphodiesterase, putative </t>
  </si>
  <si>
    <t>AAV96781.1</t>
  </si>
  <si>
    <t>MFKGSMPALVTPFRNGELDLEALKRLVEWQIGEGSTGLVPVGTTGESPTLSHEEHETVVAEVVKAAAGRVPVIAGAGSNNTTEAIRFVQFAQRIGADAALVVTPYYNRPTQRGLIAHFTALHDCAEIPIVIYNIPGRSVVDMTPATMGALAKLPRIVGVKDATGDLARVSQQRASCGADFIQLSGEDATALGFNAHGGVGCISVTANVAPRLCAEFQQATLAGDYAKALDYQDRLMPLHEAIFIEPGLVGAKYALSKLGLCSEEVRSPLTGLEDSTKAAIDAAMKHAGLL</t>
  </si>
  <si>
    <t>SPO3556</t>
  </si>
  <si>
    <t>YP_168751.1</t>
  </si>
  <si>
    <t xml:space="preserve"> dihydrodipicolinate synthase </t>
  </si>
  <si>
    <t>lysine biosynthesis</t>
  </si>
  <si>
    <t>Amino acid transport and metabolism; Cell wall/membrane/envelope biogenesis</t>
  </si>
  <si>
    <t>AAV96786.1</t>
  </si>
  <si>
    <t>MECVLMKMTTEEAFVKTLQMHGIQHAFGIIGSAMMPISDIFPAAGITFWDCAHEGSGGFMADGYTRATGKMSMMIAQNGPGITNFVTAVKTAYWNHTPLLLVTPQAANKTIGQGGFQEMEQMRMFADCVAYQEEVRDPSRVAEVLNRVIMNAKRASAPAQINIPRDMWTQVIDIALPAIVEFERPSGGEEAVAAAAEMLSNAKNPVILNGAGVVLSKGGIAASKALAERLDAPVCVGYQHNDAFPGSHPLFAGPLGYNGSKAGMELIKTADVVLCLGTRLNPFSTLPGYGMEYWPADAKIIQVDINPDRIGLTKKVSVGIIGDAAKVARGILAQLSDTAGDEGRAARKDRIAQTKSAWAQQLSSMTHEDDDPGTTWNERARADKPDWMSPRMAWRAIQAALPREAIISSDIGNNCAIGNAYPDFDEGRKYLAPGLFGPCGYGLPAVVGAKIGCPDVPVVGFSGDGAFGIAVNELTAIGRGEWPAVTQIVFRNYQWGAEKRNSTLWFDDNFVGTELDQRVSYAGIAKACGLQGVVARTMDELTAALAKAIEDQKAGKTTLIEAMINQELGEPFRRDAMKKPVRVAGIDKADMREQQV</t>
  </si>
  <si>
    <t>SPO3561</t>
  </si>
  <si>
    <t>YP_168756.1</t>
  </si>
  <si>
    <t xml:space="preserve"> sulfoacetaldehyde acetyltransferase </t>
  </si>
  <si>
    <t>AAV96801.1</t>
  </si>
  <si>
    <t>MTFTKLSAAAGLTAILALGACTDPASLSTNTDPNQKAKQGALIGGILGAGVGAIANDSNPGLGALAGAAIGAAGGGLIGNSLDKQAAELRQELANDGITITNTGDRLIVSVPNDITFDTDSSTVRPGLRSDLQKVAAHLVRYPQSSVQVIGHTDSDGEAAYNQGLSERRAGAVADILQAGGVTYDRISTLGMGENSPIASNLTPEGKARNRRVEIVVIPRN</t>
  </si>
  <si>
    <t>SPO3576</t>
  </si>
  <si>
    <t>YP_168771.1</t>
  </si>
  <si>
    <t xml:space="preserve"> OmpA domain-containing protein </t>
  </si>
  <si>
    <t>AAV96811.1</t>
  </si>
  <si>
    <t>MTAYPHMLAPLDLGFTTLKNRVLMGSMHTGLEETKDWNRVAEFYADRARGGVALMVTGGIGPNMEGSVLPGASMMTSDKDVANHSIVTARVHEAGGKIAMQILHAGRYAYGPKCVAPSPVKSPISPFPPTELDEEGIEKQITDIVNAAVLAQQAGYDGVEIMGSEGYFLNQFLVTHTNKRTDRWGGSYENRMRLPIEVVRRTREAVGTDFIIIYRLSMIDLVPNGSTFDEVVQLAKEIEKAGATIINTGIGWHEARIPTIATSVPRAAFAWVTKKLMGQVSIPVITSNRINTPEVAEEVLATGCADMVSMARPMLADADFVNKAAAGQGDRIAPCIACNQACLDHTFSGKLTSCLVNPRACHETELVVAKAAAPKKVAIVGAGPAGLSTAITAAQRGHAVTVFDKSDEIGGQLNMAKQVPGKEEFWGLVDWYRVMLADLGVTLKLGKAVGAGDLSGFDEVVIATGVSPRDPAIPGQDRANVLSYIDVLRHKKPVGKRVAVIGAGGIGFDVSEFLLEEGHSPTIDLPQWMKEWGVSDPAEHRSGLAPEGPQPGKPEREVTLLQRKAKAHGKDLGKTTGWIHRATLKMKGVSFVGGVNYEKIDDEGLHISFGEARENPTLIACDTVVLCAGQISDRSLADALEAKGVHCHVIGGADVAAELDAKRAINQGTRLALTF</t>
  </si>
  <si>
    <t>SPO3586</t>
  </si>
  <si>
    <t>YP_168781.1</t>
  </si>
  <si>
    <t xml:space="preserve"> 2,4-dienoyl-CoA reductase </t>
  </si>
  <si>
    <t>beta oxidation</t>
  </si>
  <si>
    <t>AAV96824.1</t>
  </si>
  <si>
    <t>MRRLRKVKIVATLGPASETYETIRALHEAGADVFRLNMSHGTHDEIRAKHQIIRQVEQDLDSPIAILADLQGPKLRVGTFVNEAEELAEGAAFRLDLDPAPGDAGRVCLPHPEIFQVLEPGAHLLVNDGKIRLKVLDCGPDFAECTVVTGGTISNRKGVNVPDVVLPLAALSDKDRDDLEFACALGVDWLALSFVQRARDVFEARALADGRAAILSKIEKPAAVEAFDAILDASDGIMVARGDLGVELPVAAVPPIQKRLVRKCRAAAKPVIVATQMLESMIESPMPTRAEVSDVATAIYEGTDAIMLSAESAAGQYPLEAVRTMDNVAVEVEADPTYTQIIAASRTAKGTTIADGIVAAAREIAEKTDIKAICCFTQSGTTALLTARERPGVPIIAMTSLLATARRLCLSWGCHCVITPELERFKGAVVNAARAARAGGFAIETDQIVVTAGVPFNVPGTTNILRVAPCDERLIYNTDPG</t>
  </si>
  <si>
    <t>SPO3600</t>
  </si>
  <si>
    <t>YP_168795.1</t>
  </si>
  <si>
    <t xml:space="preserve"> pyruvate kinase </t>
  </si>
  <si>
    <t>AAV96828.1</t>
  </si>
  <si>
    <t>MTRTVYVNGEYLPETEAKVSIFDRGFLMADAVYEVTSVLDGKLIDFDGHAVRLKRSLDELEMAEPCSQQELLEIHRKLVDLNGIVAGLVYLQVTRGSDGDRDFVFPAADTPPSLVLFTQSKPSLADSPESKRGAKIISIEDIRWGRRDIKTVQLLYPSMGKMMAKKAGCDDAWMIEDGYVTEGTSNNAYFVKNGKIVTRPLSNDILHGITRKAVLRLAQEAQMEVEERLFTIDEAKTADEAFTTSASAFVMPVVEIDGATLGDGTPGPIARRLREIYLDEARKTAI</t>
  </si>
  <si>
    <t>SPO3604</t>
  </si>
  <si>
    <t>YP_168799.1</t>
  </si>
  <si>
    <t xml:space="preserve"> D-amino acid aminotransferase, putative </t>
  </si>
  <si>
    <t>AAV96832.1</t>
  </si>
  <si>
    <t>MSFRIQPAAPARPNRCQLFGPGSNTKLFVKMAASAADVINLDLEDSVAPSDKDSARANVIEALNTIDWGNKYMSVRINGLDTPYWYRDVVDVLEQAGDRLDQIMIPKVGCAADVYAVDALVTAIERAKGRSKPISFEVIIESAAGIAHVEEIAASSPRLQAMSLGAADFAASMGMQTTGIGGTQENYYMLREGTKHWSDPWHWAQAAIVAACRTHGVLPVDGPFGDFSDDEGYIAQAKRSATLGMVGKWAIHPKQIALANQVFTPSDDAVTEAREILAAMEAAKAKGEGATVYKGRLVDIASIKQAEVIVAQAELIAANG</t>
  </si>
  <si>
    <t>SPO3608</t>
  </si>
  <si>
    <t>YP_168803.1</t>
  </si>
  <si>
    <t xml:space="preserve"> malyl-CoA lyase </t>
  </si>
  <si>
    <t>AAV96840.1</t>
  </si>
  <si>
    <t>MTQYLDFEKPLAEIEGKAEELRALARANEEMDVAEEAAALDAKAAKLLDELYRDLTPWRKCQVARHPERPHCRDYVDALFTEYTPLAGDRNFADDLAVMGGLARFNDRPVMVIGHEKGSDTKSRIAHNFGMARPEGYRKAVRLIEMAGRFGLPVVTLVDTAGAYPGKGAEERGQSEAIARSTEMCLRAGVPLVSVIIGEGGSGGAVAFATANRVAMLEHSIYSVISPEGCASILWKNAEKMREAAEALRLTAQDLLKLGVVDRVIPEPRGGAHRDKTAAMEAVRGAIAAMLKELDGKSAEALIKDRRKKFLDIGSKGLAA</t>
  </si>
  <si>
    <t>SPO3616</t>
  </si>
  <si>
    <t>YP_168811.1</t>
  </si>
  <si>
    <t xml:space="preserve"> acetyl-CoA carboxylase carboxyltransferase subunit alpha </t>
  </si>
  <si>
    <t>AAV96841.1</t>
  </si>
  <si>
    <t>MINRRFFTLGLGALSLSACGGGAPLTASTPAAAPAQSWPTVPNAGWEAWVAGFRSRASAQGINATTLDRAFRGAGFIPKVIERDRNQTEFKRSLEDYLAIAASDERIATGRQMLQQHGALLTRIEAHYGVDKEIVTAIWGLESRYGARRGDVPIVSALSTLAYDGRRGAFFEKQLIAALKILQNGDTSPQNMTGSWAGAMGHTQFIPTSYLAYAVDFTGDGRRDIWSEDPTDALASTAAYLANAGWVRGQPWGGEVGSAAANSGSPSAVLQPQEPGPKIAVFKNFSVIKRYNNSDSYAIGVGHLSDRLKGGGPFRASFGPDETGLTLEERKELQSRLTAAGYDTGGADGVIGSKSTAAISDYQRARGLAVTGTPSVELLRQLRGG</t>
  </si>
  <si>
    <t>SPO3617</t>
  </si>
  <si>
    <t>YP_168812.1</t>
  </si>
  <si>
    <t xml:space="preserve"> peptidoglycan-binding protein, putative </t>
  </si>
  <si>
    <t>AAV96849.1</t>
  </si>
  <si>
    <t>MSIPQSGGGPIERHEQLAEYLASGCKPKSEWRIGTEHEKFGFCKDTLKPLPFEGTRSIVAVLEGLRDRHGWAEMREGGNLIGLQKDGANISLEPGGALELSGAPLETIHETCDEVNTHLREVKDIADEIGVGFIGLGAAPIWTHDQMPLMPKGRYKLMDAYMQKVGTMGTTMMRRTCTVQVNLDFGSEADMVQKLRVAIALQPVATALFANSPFFEGQPNGHKSWRARVWRDLDADRTGMVPFIFDEGFGFESWVQYALDVPMYFVYRDGTYINALGQSFRDFLNGRLPALPGETPTLSDWADHLTTLFPEARIKKYIEMRGADGGPWRRLCALPAFWVGLTYDQSALDAAWDLVKGWDAETRETLRIEASRQGLQARAGNVRMHDLAREVLAISEAGLKARARPGAGGLVPDETHFLNALKDSVESGKVPADELLDHYQGDWNGDLSRIYAQYSY</t>
  </si>
  <si>
    <t>SPO3626</t>
  </si>
  <si>
    <t>YP_168820.1</t>
  </si>
  <si>
    <t xml:space="preserve"> glutamate--cysteine ligase </t>
  </si>
  <si>
    <t>Vit/Coenzyme (glutathione)</t>
  </si>
  <si>
    <t>AAV96870.1</t>
  </si>
  <si>
    <t>MLNGTRIIEIEGLGPGPFAAMLLADLGADVITVHRKGGAVTPGMPERSLLDRGKRSIALDLKDAADIATARALIASADALIEGFRPGVMEKLGLGPADCHALNPALVYGRMTGWGQDGPLSHAAGHDLNYISLSGALWYGSAPGDAPQTPATLVGDIGGGAMYLVTGLLAGLLNARATGQGTVVDAAIYDGSAHMMNLLMSLGQTGSLSETRGHSLLDGPHWSRTYACADGGHVTVQCLEPKFYALFLDRLGLSDDPEFQQQFAPKLWPTLTTRLAALFATQPRDHWADLFLGTDACVAPVLSPHEAQHHPMNAARRTWCEIDGALQAAPAPRFAGRDWRPKPSPARGENTAEILAELAKAAKP</t>
  </si>
  <si>
    <t>SPO3647</t>
  </si>
  <si>
    <t>YP_168842.1</t>
  </si>
  <si>
    <t xml:space="preserve"> CAIB/BAIF family protein </t>
  </si>
  <si>
    <t>AAV96872.1</t>
  </si>
  <si>
    <t>MKIALPSPASPLKIGTRGSPLALAQAYETRHRLGAAFDLPEDAFEIVVISTTGDNRAMIEADRPLKEIGNKGLFTKEIEEAMLRGDIDIAVHSTKDMPVEQPAGLVLDTFLPREDVRDAFISPGHSAIRDLPLGAVVGTSSLRRKAQLLNRRPDLKVVEFRGNVQTRLRKLSEGVAECTFLAMAGIRRLNMAEVPATAISPDDMLPAIAQGAIGIERRMDDTRAAEMLTAIHHGETGQRLAAERALLAALDGSCETPIAGLAELDGTTLRLRGEVLRPDGSEAITLDRSGDVADGPALGTEMARELLAQAGPGFFDWRG</t>
  </si>
  <si>
    <t>SPO3649</t>
  </si>
  <si>
    <t>YP_168844.1</t>
  </si>
  <si>
    <t xml:space="preserve"> porphobilinogen deaminase </t>
  </si>
  <si>
    <t>AAV96877.1</t>
  </si>
  <si>
    <t>MSFSIAGKTAIVTGAANGIGLAIARQFASAGANVMFADMDEKGLEEQLGDLAEDGNIRYFAGDLRERLTVANLLSATIDAFDQIDILVNGARQVIPTDPLDTEDDSVRVALNQNLFPAYRLSQAVAKRMIKQAGENGEGQAGAIINLTSVAARRTHPDLLAYSVSTAALDQMTRAMAVALAPQRIRVNAIAIGSVMSASLQAALKDNREFRQDIERHTPLGRVAAANELVLTAQYLASDASSFMTGQILTVDGGRTLLDPVAAPAH</t>
  </si>
  <si>
    <t>SPO3654</t>
  </si>
  <si>
    <t>YP_168849.1</t>
  </si>
  <si>
    <t xml:space="preserve"> 7-alpha-hydroxysteroid dehydrogenase, putative </t>
  </si>
  <si>
    <t>AAV96907.1</t>
  </si>
  <si>
    <t>MPAPKNPFKQALAEGRRQIGCWMSFAEPIVAEVMGTCGFDWLVVDGEHAPNDIRSIRDQLTALAASPSHPVVRVPVGEDWIIKQALDAGAQTVLVPIVESADQARQLVRACRYPPTGVRGVGATAARASRFGSVSEYIQTADQEICLLVQVENRAGMAALDEILTVEGVDGVFIGPADLSTDMGFQGNSAAPEVRAVVADAMARIRAAGKAPGILGTNEEATQAYLEMGAQFLAVGLDVMLLAQTARSLSARWKTA</t>
  </si>
  <si>
    <t>SPO3686</t>
  </si>
  <si>
    <t>YP_168880.1</t>
  </si>
  <si>
    <t xml:space="preserve"> HpcH/HpaI aldolase family protein </t>
  </si>
  <si>
    <t>AAV96921.1</t>
  </si>
  <si>
    <t>MTQRIDFQTDPSRYRHWRVAYDGEIANLYMDVDEQGGLFPGYELKLNSYDLGVDIELADIVQRMRFEHPEVKVVVMQSGKDRVFCAGANIRMLGGASHAHKVNFCKFTNETRNTYEAAEADSGQKYIAAVKGACAGGGYELALACNYIMLTNDSSSSVALPEVPLLAVLPGTGGLTRVTDKRKVRRDLADVFCSVEEGVRGQRAVDWRLVDEIAPNSKFDEVVQERAREFASASVKPSGLTGIALTPLDRRFAEDGSVTYSTVEVVVEREAGRATLTISGPTDAAPDTVDALQAQGAEAWILRAARELDDAILHLRLNERRIGTLVIQTQGDGAAVAAHEALLLENRDHWLANEILQHWKRVLKRVDMTSRSLVAIVEHGSCFAGPLAELLWAVDRSYMMLEEFEGDNRPLAAITLSPGNFGTYPMGNDLSRLATRFLGTPEAVEAARARIGEALEAEEAEKLGLVTYVLDDIDWEDEVRVFLEERASFSPDAMTGMEANLRFAGPETMETRIFGRLTAWQNWIFQRPNAVGPDGALQRYGTGVRGDYDMERV</t>
  </si>
  <si>
    <t>SPO3700</t>
  </si>
  <si>
    <t>YP_168894.1</t>
  </si>
  <si>
    <t>AAV96933.1</t>
  </si>
  <si>
    <t>MGYRVVVAGATGNVGREMLNILAERQFPVDEIAALASRKSLGTEVSFGDKTIKTQDLDTFDFTGWDMALFAIGSDATKVYAPKAAAAGCVVIDNSSLYRYDPDIPLIVPECNPQAVHGYAKKNIIANPNCSTAQMVVALKPLHDRATIKRVVVSTYQSVSGAGKDGMDELWEQTKAVYNPTSDVPPKKFQKEIAFNVIPHIDVFMEDGSTKEEWKMVAETKKIVDPSIKVTATCVRVPVFVGHSESINIEFEEFLDEDEARDILRESPGIMVIDKREPGGYVTPKECVGDFATFISRIRQDSTVENGLNLWCVSDNLRKGAALNAVQIAELLGREVLKKG</t>
  </si>
  <si>
    <t>SPO3712</t>
  </si>
  <si>
    <t>YP_168906.1</t>
  </si>
  <si>
    <t xml:space="preserve"> aspartate-semialdehyde dehydrogenase </t>
  </si>
  <si>
    <t>AAV96941.1</t>
  </si>
  <si>
    <t>MFENLKAQPADKILALMQMYKDDPRSDKIDLGVGVYKNAEGVTPVMRAVKAAEKIVWEQQESKSYTGLIGDPAYSDAMIKLILGDAVQRANVGAAATPGGTGACRQAFELIKMASPEARVFVSDPTWPNHISILNYLGMTMVPYRYFDADSRGVDFEGMLVDLGQARAGDVVLLHGCCHNPTGANLNLSQWREVVKLINAKGLVAMIDIAYQGFGDGLEEDAQGTRLVASSVKECLIAASCSKNFGVYRERTGLLMAVSQDSGQTALNQATLAFLNRQNYSFPPDHGARVVTTILNDDALRADWMAELEEIRLSMLGLRQQLADELQRLSGSDRFSFIAQHRGMFSRIGAAPELVEKLRTEFGIYMVGDSRMNIAGLNAQTVPILAKAIIDAGI</t>
  </si>
  <si>
    <t>SPO3720</t>
  </si>
  <si>
    <t>YP_168914.1</t>
  </si>
  <si>
    <t xml:space="preserve"> aromatic amino acid aminotransferase </t>
  </si>
  <si>
    <t>AAV96966.1</t>
  </si>
  <si>
    <t>MTQLITPPTPEPAPFTDAAQAVARLEELYSQATGFLCESFTTAMQGTEPGARYRAYYPEIRFSTSSYAQVDSRLSFGHVSHPGTHATTVTRPDLFRSYLTQQIGLLIRNHGQPVQIGPSSTPIPLHFAVANAPDLVVPHEGAAGFTLRDVFDVPDLATTNDDIVNGTHVSEDGAGPLSLFTAQRVDYSLARLAHYTATDAAHFQNHILFTNYQFYVSEFEAYARAQLADPASGYTSFVSTGNVEITDPDTQIETLAKLPQMPSYHLKRADGSGITLVNIGVGPSNAKTATDHIAVLRPHAWLMVGHCAGLRNTQALGDFVLAHAYLREDHVLDDDLPVWVPIPALAEIQIALEQAVAEVTELSGYDLKRIMRTGTVATIDNRNWELRDQSGPVQRLSQSRAIALDMESATIAANGYRFRVPYGTLLCVSDKPLHGELKLPGMASTFYTTQVSRHLRIGIRAMETLRGMPLERLHSRKLRSFDETAFL</t>
  </si>
  <si>
    <t>SPO3745</t>
  </si>
  <si>
    <t>YP_168939.1</t>
  </si>
  <si>
    <t xml:space="preserve"> AMP nucleosidase </t>
  </si>
  <si>
    <t>MAPRLVAVAAGREPADMIIRNGTWINVHTREALPGHSIAIAEGRIAFVGPDASHCSGPDTRIIEANGRYMIPGLCDGHMHIESGMLTPAEFAAAVIPHGTTTMFTDPHEIANVLGLAGVRMMHDEALMQPVNIFTQMPSCAPSAPGLETTGYEITPEDVAEAMTWPGIIGLGEMMNFPGVTNADPKMLAEIAATQRAGKTVGGHYASPDLGPAFAAYVAGGPADDHEGTCEADAIARVRQGMRSMMRLGSAWYDVETQITAVTEKGLDPRNFILCTDDCHSATLVNDGHMNRVVRHAIACGCDPLIALQMATINTATHFGLERELGSTAPGRRADVILTSDLRDLPIELVIARGQVVAENGKIAVDCPHYDWPDTARGTVHLGHALSARDFEIAAPTGANRVRANVIGVVENQAPTKALKAELPVREGLVETAEHPDDVCQIALVERHRATGGVTNAFVSGFGYQGRMAMASTVAHDSHHMIVVGTDREQMALAANRLAEVGGGITIWRDGQELALVELPIAGLMSDSPAAEVAAKAQAMVEAMAACGCTLNNAYMQHSLLALVVIPELRISDLGLIDVRSFERIDLLEPLA</t>
  </si>
  <si>
    <t>SPO3746</t>
  </si>
  <si>
    <t>YP_168940.1</t>
  </si>
  <si>
    <t xml:space="preserve"> adenine deaminase </t>
  </si>
  <si>
    <t>AAV96991.1</t>
  </si>
  <si>
    <t>MAKQPMLKFVQIERDMPEKRAADARKEDFHEIYAEYAAVKAAEQASRCSQCGVPYCQTHCPLHNNIPDWLRLTATGRLQEAYETSQATNTFPEICGRICPQDRLCEGNCVIEQSGHGTVTIGAVEKYITDTAWDMGWVKPASPVAERSESVGIIGAGPGGLAAADMLRQAGVQVTVYDRYDRAGGLLMYGIPGFKLEKEVVERRNRLLADGGVRFELNCDVDAAKFAELRAAHDAVIIATGVYKSRDLSMPGSGLGGIEKAIDYLAASNRKSFGDEVADFDNGRLNAEGKRVVVIGGGDTAMDCVRTAIRQGAVSVKCFYRRDRANMPGSQRETQNAEEEGVVFEWLSAPKGFTGDDKVAGVMVQKMRLGQPDASGRQSPEVIEGADYVEEADLVIKALGFEPEDLPTLFGQPDLPVTRWGTVKAAFRTGATEMEGIYAVGDIVRGASLVVWAIRDGRDCAEAILEGFGAKTAMAAE</t>
  </si>
  <si>
    <t>SPO3770</t>
  </si>
  <si>
    <t>YP_168965.1</t>
  </si>
  <si>
    <t>AAV96993.1</t>
  </si>
  <si>
    <t>MSKLVTIYGGSGFVGRYIARRMAKEGWRVRVAVRRPNEAMHVKPYGAVGQVEPVLCNLRDDNSVAQTMRGADAVVNCVGVLNELGRNSFDAVQAEGAERIARIAAEQGVARMVHVSAIGADGDSDSAYSRSKALGEAGVLRHMPDAMILRPSVIFGTEDQFFNRFAGMTRFGPFLPVVGAETRFQPVYVDDVARAAVKGVLGQAPGGVYELGGPDVETFRALMQRMLGVIHRKRIIIALPFFAARIMAGMLDVAKFVSFQLFPNNILTRDQLKNLRRDNVVSEGAKGFADLGIAPEPMDTVLPAYLWKFRPNGQYDEIQASAKNLRA</t>
  </si>
  <si>
    <t>SPO3772</t>
  </si>
  <si>
    <t>YP_168967.1</t>
  </si>
  <si>
    <t xml:space="preserve"> NADH ubiquinone oxidoreductase, putative </t>
  </si>
  <si>
    <t>Cell wall/membrane/envelope biogenesis; Carbohydrate transport and metabolism</t>
  </si>
  <si>
    <t>AAV97010.1</t>
  </si>
  <si>
    <t>MSDLITPILMPKWGLSMREGTLAAWHVEEGTEISPGDEIMDVETDKIANVVEAADGGLLRRRVGQAGEVYPVRALLGVLAPESVSDAEVDAYVDAFEMPQIEEEEDTGPAHEFADLGVGRIRYITREGEGVPVILIHGFGGDLDNWLFNIDALAEKAPVHALDLPGHGQSVKTVDDPGLGTMVDAVVQLMDHLNIDKAHLVGHSMGGLVSGQVAIEHPGRVASLSLICSAGLGDEINAGYIDGFVGAASRRDLKPVLKDLFADQSLVSRAMVDDLLKYKRLDGVQSFLEALRGNLFAGGRQAAGIAAALAGFNGPIQVIWGADDAVIPQSHANAIADASVTVVEGAGHMVQMENASRVNELISHHL</t>
  </si>
  <si>
    <t>SPO3790</t>
  </si>
  <si>
    <t>YP_168984.1</t>
  </si>
  <si>
    <t>AAV97011.1</t>
  </si>
  <si>
    <t>MARTLSMKDAINEALDQEMTRDPTVIMMGEDIVGGAGAAGEDDAWGGVLGVSKGLYHKHPKQMIDTPLSESAYVGAAIGAATCGLRPVAELMFIDFMGVCLDQIYNQAAKFRYMFGGKAETPVVIRAMCGAGFRAAAQHSQMLTPIFTHIPGLKVVCPSNAYDTKGLLIQAIRDNDPVIFLEHKNLYASECDVPEEPYAIPFGEANIAREGSDVTIVTYGLMVPNSLAAAETLKKEGIDVEVIDLRTLSPIDMDTVIESVENTGRLVCVDEANPRCSIATDVSASVAQDAFKALKAPIAMVTAPHAPVPFSPALEDLYIPSPDRIAAAVRKTMGA</t>
  </si>
  <si>
    <t>SPO3791</t>
  </si>
  <si>
    <t>YP_168985.1</t>
  </si>
  <si>
    <t xml:space="preserve"> acetoin dehydrogenase complex, E1 component, beta subunit </t>
  </si>
  <si>
    <t>AAV97012.1</t>
  </si>
  <si>
    <t>MSNPFPLEKDGLLEAYRRMKTIREFEERLHVDFGRGDIPGFVHLYAGEEAAGVGIMMHLKDLDRIASTHRGHGHCIAKGVDVKGMMAEIYGKSTGSCAGKGGSMHIADLSKGMMGANGILGAGAPLVCGAALAAQKLGHDGVGITFFGDGASNQGTVLESMNLAAIWNLPAIFVVENNGYAESTSVDYAVASDSYVDRATGFGMPGITVDGTDFFAVYEAAGEVVKRAREGGGPTLLECKMIRFFGHFEGDAQTYRAPGENEDNRKNRDCLKIFRAKVTEAGVLTNAELDAIDAEVATLIEDAVREAKAAPLPTPAELTTDVYVSY</t>
  </si>
  <si>
    <t>SPO3792</t>
  </si>
  <si>
    <t>YP_168986.1</t>
  </si>
  <si>
    <t xml:space="preserve"> acetoin dehydrogenase complex, E1 component, alpha subunit </t>
  </si>
  <si>
    <t>AAV97018.1</t>
  </si>
  <si>
    <t>MTYQAPVRDIMFAIEHLSQWPQVEALQTYSEIELDDARAALEEFGRFCGEMIAPLSTIGDTEGARLENGRVVLPEGYKTAYDQFVDMGWQSLSHPAEHGGMGLPKVVGAAATEIVNSADMSFGLCPLLTNGAIDALSITGSDAQKAFYLDKLITGRWSGTMNLTEPQAGSDLSRVRCTAVPQDDGTYAISGTKIFITFGEHDLSENIVHLVLARTPDAPEGVRGLSLFVVPKLLAGEGGETSQRNTLGCVSLEHKLGVRASPTAVMEYDNATGYLVGEENSGLRYMFIMMTSARYAVGVQGVAIAERAYQHALSYARDRIQSRPVDGSAQDAVPIIQHPDVRRMLLRMRALTEGGRALAIATGGWLDLAEHGPEEARAEAQSMAEFLVPLVKGFCTERAVEVASLGVQIHGGMGFIEETGVAQFYRDARILPIYEGTTAIQANDLLGRKVLRDGGRTARRFAEMIAATEGELSKGGAAAQRIAQRLAEARAAFAAGLDHLLATAGQDPNRAYAGSVPFLMLTGNLATGWQLGLSALAAEAELAKGGDAEFLQAKIATADIFAQQVLVECSAEHSRITDTGDSLLTASL</t>
  </si>
  <si>
    <t>SPO3804</t>
  </si>
  <si>
    <t>YP_168992.1</t>
  </si>
  <si>
    <t>AAV97031.1</t>
  </si>
  <si>
    <t>MNWITNYVRPRINSIFSRREVPENLWQKCDECGTMLFHRELADNLNVCTQCGHHMQITPRARFQALFDGGIFTEVEVPEPVADPLHFRDQKKYPERMKAAQKGTGEKEAMLVASGEIGRTPIVAAAQDFSFMGGSMGMYVGNAIIAAAQKAVDLKRPLILFSAAGGARMQEGILSLMQMPRTTVAVQMLKEAGLPYIVVLTHPTTGGVTASYAMLGDVHIAEPNALICFAGPRVIEQTIRETLPEGFQRAEYLLDHGMLDRVIKRTDLREELITLTRMLLNLPPAVRGDLPPPEAATPETAKEQTAPSEAPAKS</t>
  </si>
  <si>
    <t>SPO3817</t>
  </si>
  <si>
    <t>YP_169005.1</t>
  </si>
  <si>
    <t xml:space="preserve"> acetyl-CoA carboxylase, carboxyl transferase, beta subunit </t>
  </si>
  <si>
    <t>AAV97032.1</t>
  </si>
  <si>
    <t>MTNPGSDVILQRMLALHPKIIDLTLDRVWRLLAALDNPQDRLPPVIHIAGTNGKGSTQAMIRAGIEGAGLSAHAYTSPHLARFHERIRVAGELISEPDLVAVLDECYAANGGETITYFEITTCAALLAFARTPADYTLLEVGLGGRLDATNVIARPALSIITPISMDHEQFLGDTLAKIAGEKAGIIKRDVPVVSGPQPDEVLEVIEATAARLGAPLLAHGQHWHVRQERDRLIFEDETGLCDLPLPNLLGAHQIENAGAALAALRHLNLGEAACEAAVTRAHWPARMQRLKTGPLVQSAPIAELWLDGGHNPAAGVALATLLASRPGRPTHLICGMLNTKDVTGYLRPLSAQAGSLTAVSIPGEANTLSAEQTAVAAQSVGLTASTAPDVATALARIVAAEPDARVLICGSLYLAGNILRENG</t>
  </si>
  <si>
    <t>SPO3818</t>
  </si>
  <si>
    <t>YP_169006.1</t>
  </si>
  <si>
    <t xml:space="preserve"> folC bifunctional protein </t>
  </si>
  <si>
    <t>AAV97035.1</t>
  </si>
  <si>
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</si>
  <si>
    <t>SPO3821</t>
  </si>
  <si>
    <t>YP_169009.1</t>
  </si>
  <si>
    <t xml:space="preserve"> ornithine cyclodeaminase/mu-crystallin family protein </t>
  </si>
  <si>
    <t>AAV97064.1</t>
  </si>
  <si>
    <t>MRTRAAVAVEAGKPLEVMEVNLEGPKAGEVLVEIKATGICHTDEFTLSGADPEGLFPAILGHEGAGIVLEVGEGVTSLKPGDHVIPLYTPECRQCEYCLSGKTNLCQAIRTTQGKGLMPDGTTRFSMLDGTPILHYMGCSTFSNHTVLPEIALAKVRPDAPFDKICYIGCGVTTGIGAVINTAKAEIGCRAVVFGLGGIGLNVIQGLRLAGADQIVGVDLNPDKVAMATRFGMTDFVNPAEVEGDMVAHLVELTRGGADYSFDATGNVGVMRTALECAHKGWGESIIIGVAPAGAEISTRPFQLVTGRVWKGTAFGGAKGRTDVPRIVDWYMDGKIEIDPMITHTLSLDEINKGFDLMHAGESIRSVVVY</t>
  </si>
  <si>
    <t>SPO3850</t>
  </si>
  <si>
    <t>YP_169038.1</t>
  </si>
  <si>
    <t xml:space="preserve"> glutathione-dependent formaldehyde dehydrogenase </t>
  </si>
  <si>
    <t>AAV97065.1</t>
  </si>
  <si>
    <t>MLKILVFVAIIALLALGAGFLMEASGGVQITVAGTEYTLGPLQSVIGFGLLVVAVWLFFKLLTLLIATLKFLNGDETALSRYFDRGRERRGYQALTEGLMALASGEGRLAMAKAARAEKLLQKPELTNLLVAQAAEMTGDTKKAAETYRKLVTDQSTRFVGVRGIMKQKLAEGDDETARKLAEKALALKPRHEETQDVLLTLQTRAQDWAGARATLTSKLKTGTLPRDVYKRRDAVLALSEARDLLSETASLDQQERAIEANRLSPDLIPAAAMAARAHIAKGKPKNAAKILTKAWQVQPHPDLAHAFAEIAPDETPAARIKRFAALAKAHPQHAETRLMMAELNIVAEDFPEARRALGDLLDHAPDARAYTLMAAIERGEGASDAVVQGWLARALTAPRGPQWVCDNCQHIHAAWAPVCGNCNSFDTLSWRAPQDTDAGAMTTANMLPLIVGAIEQKAPDVEEVDFETDADSDDSVEGTAKEVDGANEPVSR</t>
  </si>
  <si>
    <t>SPO3851</t>
  </si>
  <si>
    <t>YP_169039.1</t>
  </si>
  <si>
    <t xml:space="preserve"> HemY domain-containing protein </t>
  </si>
  <si>
    <t>AAV97075.1</t>
  </si>
  <si>
    <t>MAGDYIVKDISLAGFGRKELDIAETEMPGLMTLREEYGKAQPLKGARIVGSLHMTIQTAVLIETLVALGADVRWASCNIFSTQDHAAAAIAAAGIPVFAIKGQTLEEHWDYLDKSFLFDEGPNMILDDGGDATLYILLGARAEAGEDIIPVPGSEEEEVIKKQIAKRMAASPGWFTKMRDQIQGVSEETTTGVNRLYQLVKDGHLPFPAINVNDSVTKSKFDNKYGCKESLVDGIRRATDTMMAGKVAVVCGYGDVGKGSAASLRGAGARVKVTEVDPICALQAAMDGFEVTTLEDEVASADIFITTTGNKDVIRIEHMREMKNMAIVGNIGHFDNEIQVAALKNHKWTNIKEQVDMIEMPSGNKIILLSEGRLLNLGNATGHPSFVMSASFTNQVLAQIELFTKGDQYENKVYILPKHLDEKVARLHLARIGVKLTQLSPDQASYIGVKPEGPFKPEHYRY</t>
  </si>
  <si>
    <t>SPO3861</t>
  </si>
  <si>
    <t>YP_169049.1</t>
  </si>
  <si>
    <t xml:space="preserve"> S-adenosyl-L-homocysteine hydrolase </t>
  </si>
  <si>
    <t>YP_165143.1</t>
  </si>
  <si>
    <t>MPNDTHAQTGASGPTTLFTNANVLTVDAEFSTAQAIAIRGNRILAVGSDAEVRAAAGDDATVVDLEGKTVLPGFIDAHAHAVSGSVVDAIMDYVGMARFTTVDEVLNHIATRAAKTPAGDWLVFRNFDPAVQEGADALTFAELDPISTDHPIFILNASGHLAYANSRAFEVSGLTNDVPNPPGGEFVRDADGNLTGTIKNNVAFLQIAENYPAMKQVNPVEGLLGLLGKWSQQGLTTVSELSLGALAQSPADVQVMAAAAQSGRMTARLRAYPFYTLGTETWDNAGVKQGDGNALARVAGYKLVADGSNQGFTGLQREPYLNREDRGLAYMEPDELTTTALERAGKGWHLAIHGNGDAAIDNILDTCQALADAGIDMARVRPRIEHCSILHDEQIARMKALGVSASFLIGHVHYWGVAMRDQVFGLEKAQLLDRCKSVEEAGVGFTLHSDFMVTDPNPLHMIEMAVTRRTWKEPDYVLAPQERISVDSAIRAMTSEAAWQLFSDHEIGSLEPGKLADMVILDQDPRKVAPDEIKAIKVLETWMDGQRVFAA</t>
  </si>
  <si>
    <t>SPOA0316</t>
  </si>
  <si>
    <t xml:space="preserve"> amidohydrolase domain-containing protein </t>
  </si>
  <si>
    <t>Inorganic nutrient processing</t>
  </si>
  <si>
    <t>N</t>
  </si>
  <si>
    <t>AAV93365.1</t>
  </si>
  <si>
    <t>MSSPFDYFVVFAEMRTGSNFLEANLNALDGVACVGEAFNPHFIGYPNKTEILEVSQDMRDADPQCLIDAVRDARGVLAGFRFFHDHDPRVLDLVLSDPRCAKIILTRNPLDSYVSWKIAKETGQWKLTNIKRRKEAQARFDAEEFARHVEALQDFQVFLLNSLQRSGQTPFYVAYEDLQDLSVMNGLAQWLGVSARLEQLDDSLKRQNPSPVTSKVVNAGEMVEALSGLDRFNLTRTPNFEPRRGPAVPTYVTGAVTPLIYLPVRGGPEDEVRRWMADLDGVVDAALGTGLNQKQVRGWLKGNEGHRAFTVLRHPLARAHSAFCHRILNKGPGCFTKIRNTLRRQFSLPIPEGTPGLDYGRADHRAAFEAFLEFVRMNLAGQTAIRIDGSWCSQAQALSSFAEFVSPDLILREDEIATDLPSLARRFGHAEPPEPPRAAPDTPIPLSDIYDDALEALAADVYQRDYIVFGFGKWAGGQA</t>
  </si>
  <si>
    <t>SPO0034</t>
  </si>
  <si>
    <t>YP_165307.1</t>
  </si>
  <si>
    <t xml:space="preserve"> hypothetical protein SPO0034 </t>
  </si>
  <si>
    <t>Sulfotransferase</t>
  </si>
  <si>
    <t>S</t>
  </si>
  <si>
    <t>AAV93549.1</t>
  </si>
  <si>
    <t>MTHESDDPSLDWLEAELEDSLDEDFEIEFSEPMLSMEIRRIYKDQRPDLLDRQVYFRNLLRLQAELIKLQDWVQHTNSKVLIIMEGRDAAGKGGVIKRITQRLNPRIARVVALPAPSRREQSQWYFQRYVPYLPSGGEMVLFDRSWYNRAGVERVMGFATEDQVEQFFQDVPEFERMLVRSGIILLKYWFSITDEEQQLRFLMRVHDPMKQWKLSPMDLESRIRWEQYTKAKEQMFSRTNIPEAPWYIVEGNDKKRERLNCIEHLLSKIPYEDIPHEKVTLPDRRYNPDYERQVLPDELYVPKVY</t>
  </si>
  <si>
    <t>SPO0224</t>
  </si>
  <si>
    <t>YP_165493.1</t>
  </si>
  <si>
    <t xml:space="preserve"> polyphosphate kinase, putative </t>
  </si>
  <si>
    <t>P</t>
  </si>
  <si>
    <t>AAV94205.1</t>
  </si>
  <si>
    <t>MTMLSNLAPIPELYVSYDSAQKLKMEAAELKSHDLSPRQICDLELLMNGGFSPLKGFLSEADYNNVVDNMRLADGTLWPMPITLDVKEGFADTIELGQDIALRDQEGVILATMTVTDKWVPNKAHEAEKVFGADDQAHPAVNYLHNVAGKVYLGGPVTGIQQPVHYDFRARRDTPNELRAYFRKVGWRRIVAFQTRNPLHRAHQELTFRAAREAQANLLIHPVVGMTKPGDVDHFTRVRCYEAVLDKYPAATTSMSLLNLAMRMAGPREAVWHGLIRKNHGCTHFIVGRDHAGPGKNSQGQDFYGPYDAQELFKKHQDEIGLEMVDFKHMVYVQEKAQYYPVSEVPEGDTVLDISGTELRRRLREGLEIPEWFSFPEVVKELRRTSPPRSKQGFTVFFTGFSGSGKSTIANALMVKLMEMGGRPVTLLDGDIVRKNLSSELGFSKEHRDLNIRRIGYVASEITKNGGIAICAPIAPYATTRRAVREEIEQFGAFVEVHVATTIEECERRDRKGLYKLAREGKIKEFTGISDPYDVPEAPELRVETENVEVDNCAHQVLLKLENMGLIAG</t>
  </si>
  <si>
    <t>SPO0900</t>
  </si>
  <si>
    <t>YP_166153.1</t>
  </si>
  <si>
    <t xml:space="preserve"> bifunctional sulfate adenylyltransferase subunit 1/adenylylsulfate kinase protein </t>
  </si>
  <si>
    <t>AAV94248.1</t>
  </si>
  <si>
    <t>MSDSPEIVQKAPFAVEVTEGKSYFWCACGKSQKQPFCDGSHKGTAFAPVKYTAEADKKVFFCGCKHSGKQPLCDGSHSKL</t>
  </si>
  <si>
    <t>SPO0943</t>
  </si>
  <si>
    <t>YP_166196.1</t>
  </si>
  <si>
    <t xml:space="preserve"> hypothetical protein SPO0943 </t>
  </si>
  <si>
    <t>Fe</t>
  </si>
  <si>
    <t>AAV94260.1</t>
  </si>
  <si>
    <t>MFPTDRRSVLRVLLWGSAAFLPSHSARALTNSLSDLGGTMVQNADAVIYTAREVVTLDPARPTAQAVAVLGDRIHAAGTLSEVTAALDGHPYRVDDRYSGHVIVPGFIAQHDHPILAALTMASVILSIEDWVLPGGTVPAVRDKADFIARLTEAVSAAPTADEPILTWGYHPSFYGRLTRSDLDAISTQQPILAWARSCHEMVLNSAALARGGVTADTVAGFSDTAQEQSNFDEGRFWEQGFFAVLPNIGSMVASPERLRAGLELSRDYMRAKGITIGNEPGGILSKQVQDGVNAVFGAADMPFRWSFMADGKSLIAAQPDDARVIADTEALAGWYGGMTSLAPKQIKLFADGAIYSQLMQVRDPFLDGHKGEWMMDLDQFQRAFRVYWDAGYQLHVHVNGDAGLDRVLDTLETNLRRTPRDDHRTTIVHFAVSGADQVLRIRDLGAIVSANPYYVAALADNYGEVGLGPDRADNMVRLGDVEAAGISWSLHSDMPMAPCDPLFLMWCAVNRVTSSGRVAGPAQRVSAETALRGVTINAAYSLKLEHEIGSIEPGKRANLTILGDNPLTVDPEKIRDIAVIGTVMEGRDFPAQSDRRKASLDMPRNPEASQEFAVAALDHAMRVAHGHEGN</t>
  </si>
  <si>
    <t>SPO0955</t>
  </si>
  <si>
    <t>YP_166208.1</t>
  </si>
  <si>
    <t>AAV94301.1</t>
  </si>
  <si>
    <t>MISRRDFLQVSMAASALVGASGFGNWSRLAAQQALTQDQLLEFDTFGNLTLIHITDIHAQLMPIYFREPEVNLGIGAAKGQMPHITGADFRRFYGIEDGSPSAYALTYDDFSSLARTYGRVGGMDRVANVVNAIRADRPDALLLDGGDTWHGSYTCHHTEGQDVVNVMNALKPDAMTFHWEFTLGTDRVTELVESLPFASLGQNIFDAEWDEPAELFKPYKFFERGGVKVAVIGQAFPYMPIANPGWMFPEFSFGIREENMQAMVDEVRAEGAEVVVVLSHNGFDVDKKMAGRVTGIDVILSGHTHDALPEPVLVEQTYVIASGSNGKFVSRVDLDIRDGRMMGLKHKLIPIFSDVIAPDPQVTALINAQREPHIDQLREVIGRTADDALLYRRGNFNGTWDDLICDALISERDADIAMSPGVRWGPSILPGQEITREDIWNVTSMSYGAAYRTEMTGEFLHVVLEDVGDNLFNPDPYYQQGGDMVRVGGLGYRIDVTKPQGSRISDMTLLKTGEQIDPAKNYVVAGWASVNEGTEGPQIWDVVENHIRKLGTVNVTPNTSVEVVGA</t>
  </si>
  <si>
    <t>SPO0997</t>
  </si>
  <si>
    <t>YP_166249.1</t>
  </si>
  <si>
    <t xml:space="preserve"> sulfur oxidation B protein </t>
  </si>
  <si>
    <t>AAV94589.1</t>
  </si>
  <si>
    <t>MADWTDNLPEAAQAYLENRRLDEVECIISDLPGIARGKAVPASKFARQDYFHLPDSIFYQTITGDWGDAAGEEGFIERDMILRPDYSTATAAPWTGDWTLQVIHDAYDRDGDPIPFSPRNVLRRVVSLYHAQGWKPVVAPEMEFFLVARNLDPAKEIEPMMGRSGRPAAARQAYSMTAVDEFGPVIDDIYDFAEAQGFEIDGITQEGGAGQLEINLRHGSPVRLADEVFYFKRLIREAALRHNCFATFMAKPIENEPGSAMHIHHSIVDMETGENIFSGPQGGETDAFYHFIAGLQNHLPSGLAVMAPYVNSYRRYVKDHAAPINLEWGRDNRTTGIRVPLSGPAARRIENRLAGMDCNPYLGIAVSLACGYLGLMEELRPRKQFKGDAYVGEGDIPQVMGDALDLFDEAKALHEVLGPEFARVYSIVKRAEYNEFLQVISPWEREHLLMNV</t>
  </si>
  <si>
    <t>SPO1300</t>
  </si>
  <si>
    <t>YP_166543.1</t>
  </si>
  <si>
    <t xml:space="preserve"> glutamine synthetase family protein </t>
  </si>
  <si>
    <t>AAV94860.1</t>
  </si>
  <si>
    <t>MTIDLAKFAKDKGVKYFMISFTDLFGGQRAKLVPAQAIADMQEDGAGFAGFATWLDMTPAHPDMLAVPDPSSVIQLPWKPEVAWVAGNCVMEGADVAQAPRNVLRRLIAEAAAEGMHVKTGIEAEFFLLTPEGDQISDPFDTAAKPCYDQQAVMRRYDVVREICDYMLELGWGPYQNDHEDANGQFEMNWEFDDALSTADKHSFFKFMTKSVAEKHGFRATFMPKPIEGLTGNGCHAHISVWDAPGAASKVNVFAGAGDGPTGEVGLSERGKHFLGGIMKHASALAAITNPTVNSYKRINAPRTMSGATWAPNTVTWTGNNRTHMVRVPGPGRFELRLPDGAVNPYLLQAVIIAAGLSGIHSKADPGKRWDIDMYAEGHKVRGAPKLPLNMLDAIREFDRDKELKKSMGDEFSASYIKMKMQEWNSFVTHFSRWEKENTLDI</t>
  </si>
  <si>
    <t>SPO1573</t>
  </si>
  <si>
    <t>YP_166814.1</t>
  </si>
  <si>
    <t xml:space="preserve"> glutamine synthetase III </t>
  </si>
  <si>
    <t>AAV94996.1</t>
  </si>
  <si>
    <t>MPATISRADYAAMFGPTTGDRLRLADTDLIIEVERDLTTYGEEVKFGGGKVIRDGMGQAQTTRAEGAVDTVITNALIVDHSGIYKADVGLKNGRIAKIGKAGNPDTQPGVDIIVGPGTEAIAGEGRILTAGGFDSHIHFICPQQIEDALHSGLTTMLGGGTGPAHGTLATTCTPGPWHIGRMLQAADAFPMNLAFAGKGNASLPAALEEQVLGGACALKLHEDWGTTPAAIDCCLSVADAMDVQVMIHTDTLNESGFVENTVAAMKGRTIHAFHTEGAGGGHAPDIIKICGEEHVLPSSTNPTRPFTVNTLEEHLDMLMVCHHLDKSIPEDVAFAESRIRRETIAAEDILHDMGAFSIIASDSQAMGRVGEVLIRTWQTADKMRKQRGRLAEETGDNDNFRVRRYIAKYTINPAIAHGIGHEIGSIEEGKRADLVLWNPAFFGVKPEMVLLGGTIVMAQMGDPNASIPTPQPVYSRPMFGAYGRSVENCAVTFVSAAAHEDGIGARLGLAKETLAVTNTRNIGKSHLILNNATPQIEVNPETYEVRADGELLTCQPAEVLPMAQRYFLF</t>
  </si>
  <si>
    <t>SPO1714</t>
  </si>
  <si>
    <t>YP_166953.1</t>
  </si>
  <si>
    <t xml:space="preserve"> urease subunit alpha </t>
  </si>
  <si>
    <t xml:space="preserve">Urease </t>
  </si>
  <si>
    <t>AAV95011.1</t>
  </si>
  <si>
    <t>MPIKIPAHLPAYDILTREGVMVMSEDQAARQDIRPLRIGLLNLMPKKIQTETQFARLIGATPLQIELSLIRMTEHQTKTTASEHMEEFYRPFQEVRDEKFDGLIITGAPIEHLEFSDVTYWDELGEVFAWTQSNVHSTFGVCWGGMAMINHFHGIRKHMLDHKAFGCFRHRNLDPASPYLRGFSDDFVIPVSRWTEVKQAEVDAVPELVTLLGSDEVGPCLISDPGHRALYIFNHFEYDSDTLKQEYDRDVEGGTAINVPINYYPDDDPSRKPLNRWRSHAHLLYGNWISEIYETTPYDMARIGLESTDLRG</t>
  </si>
  <si>
    <t>SPO1729</t>
  </si>
  <si>
    <t>YP_166969.1</t>
  </si>
  <si>
    <t xml:space="preserve"> homoserine O-succinyltransferase </t>
  </si>
  <si>
    <t xml:space="preserve">glutamine amidotransferases </t>
  </si>
  <si>
    <t>AAV95023.1</t>
  </si>
  <si>
    <t>MAPKNEPSFRQSVDMMFNRAVALMDLPPGLEEKIRVCNATYTVRFGVRLRGQIQTFVGYRSVHSEHMEPVKGGIRYAMSVNQDEVEALAALMTYKCALVEAPFGGSKGGLCIDPRQYEEHELEQITRRFAYELAKRDLINPSQNVPAPDMGTGEREMAWIADQYARMNTTDINARACVTGKPLNAGGIHGRVEATGRGVQYALQEFFRDRVGVGKSGLDGKLDGKRVIVQGLGNVGYHAAKFLSEEDGCVITGIIERDGALVSDEGLDVEAVHNWIVKHGGVTGFPDGTFVAEGAKVLEEPCDILIPAAMEGVINLANADRIKAPLIIEAANGPVTAGADEILRKKGCVIIPDMYANAGGVTVSYFEWVKNLSHIRFGRMQRRQEEARHQLVIDELERLDRYLGDAWSMTPQFKEKYLRGADELELVRSGLDDTMRIAYQAMRDVWHERGDVEDLRTAAYLVSIDRVAKSYRAKGL</t>
  </si>
  <si>
    <t>SPO1743</t>
  </si>
  <si>
    <t>YP_166981.1</t>
  </si>
  <si>
    <t xml:space="preserve"> glutamate dehydrogenase </t>
  </si>
  <si>
    <t>deamination of glutamate</t>
  </si>
  <si>
    <t>AAV95104.1</t>
  </si>
  <si>
    <t>MTPLIFAATCDLAGKVRGKGFPAEQRDKRLVRGVGWTPTNALITCFDTIGNSRYGALGDLLLIPDEDAEVELSFGEVTEHFMLGDIVELDGSPWDLCTRALLRGALDRLEALSGTRLLAAFEHEFQICGGPGPVGEAYGRGGFEAQRALCETLMARLAQVGLSPDSIMKEYGPNQYEVVIGPEIGLRAADAAVILREITRSSARHLGQEATFTPIRDPASVGNGVHIHMSFLRADDSPATYDADGTCGMSALTASFAAGVLKYLDSILALTAPSVVSYLRLTPHRWSAAYNNLGFRDREAALRICPVTTRDPASVARQYNIEYRAADAAACPHLALAAIVHAGCQGIEEGLSAPEPTEEDLSLLPPEALAARGLVRLPQTLEEALERLGANATVAGWFPEPLVPVYLAHKQAEIAHVAELDTSGRCAAYEASY</t>
  </si>
  <si>
    <t>SPO1825</t>
  </si>
  <si>
    <t>YP_167062.1</t>
  </si>
  <si>
    <t>AAV95139.1</t>
  </si>
  <si>
    <t>MKNDRTLTFDEFDEAVNPRPEDCDFDQVVEEALSRRGFLGGVLAMGGFAALGGAVLPRGAEAASNRFAFEAVAASTADEIVVPKGFKADVLVRWADPLWSDGVAFDQVTRGTAASQARAFGDNTDGMEVFHHEGRTLLVVNNEYTNREIIWGNRAEGKAETDDDVEKGLLAHGVTVVELAHDGAHWQVVTDSPYNRRITPRTEMALTGPAAGHDLMKTAADPTGTVTFGTWNNCGSGTTPWGTYLACEENFNGYFSAADEAHEVSAELNRYGVSAKDWGYGWARVDDRFDVAKNPNEPNRAGYVVEIDPRDPNSTPKKRTALGRFKHENAECVVNRDGRLVIYMGDDERGEFLYRYVSNGVYAAGVDTDELMENGTLYAAKFDASGKGIWLALTPEATGMSQAEICIHTRIAASKLGATTMDRPEWVTANPNADEVYCALTNNKNRGVKPNRGGDDTPAEGPNPREKNNYGQIVRWRPEGGDHSAEGFDWDLFVLAGNPTVHSDANAGSENVNAGNMFNSPDGLAFDSNGLLWIQTDGKYSNEGDFAGQGNNQMLAGDPVTGEIRRFLVGPREAEITGLCWSGDRRTMFVGVQHPGEEGDSHWPDGGDSVPRSAIIAVTREDGGVIG</t>
  </si>
  <si>
    <t>SPO1860</t>
  </si>
  <si>
    <t>YP_167097.1</t>
  </si>
  <si>
    <t xml:space="preserve"> twin-arginine translocation pathway signal sequence domain-containing protein </t>
  </si>
  <si>
    <t>Secreted phosphatase</t>
  </si>
  <si>
    <t>AAV95228.1</t>
  </si>
  <si>
    <t>MAQQHITSVYDRELEAIQAHIMKMGGLVEAAIMAAARSLETRDAELANEVRAGDKAIDALEELINQETARLIALRAPTASDLRLVLTVLKIAGNLERIGDYAKNIAKRTTVLVDQPQVGDSAAALRRMAREVELMLKDALDAYIQRDAELGADVIERDHEVDQMYNALFRQFLTFMAEDPRNITPCMHLHFIAKNVERMGDHVTSIAEQVVYLVTGNRPDEMRPKGDVTSTTA</t>
  </si>
  <si>
    <t>SPO1952</t>
  </si>
  <si>
    <t>YP_167187.1</t>
  </si>
  <si>
    <t xml:space="preserve"> phosphate transport system regulatory protein PhoU </t>
  </si>
  <si>
    <t>AAV95358.1</t>
  </si>
  <si>
    <t>MDGTVLVADDDRTIRTVLTQALTRAGCKVHATSSLTTLMRWVAEGKGDVVISDVVMPDGNGLEMLPKIAQDRPGLPVIVISAQNTIMTAIQAAEAEAYDYLPKPFDLPDLMKRTARALEQKRRTVSSEPREEGAERPDELPLVGRTPAMQALYRLVAKVMNTDLPVMISGESGTGKSLIARTIHDFSDRRTLPFISVTASDLMDLEGPARVLARVKGGTLLIDEIADIGDELQGRIVRMMDAPGDYVPRFMATSQGDPARAMEAGKLRRDLYYRLCGAPIHVPALRERVDDIPLLTEYFLAKAERDGAPKRWLGAGAAELFRIYSWPGNVRQLENAVRRLSLISRAEEISRTEVEQVLGNQPELEPALGGRGDSEKLSASVARHLQRYFDLHGNVLPPPGLYQRILREVEAPLIEIALEASGGNQAKCADLLGINRNTLRKKITDLDIEVTRRRKLM</t>
  </si>
  <si>
    <t>SPO2087</t>
  </si>
  <si>
    <t>YP_167317.1</t>
  </si>
  <si>
    <t xml:space="preserve"> nitrogen regulation protein NtrC </t>
  </si>
  <si>
    <t>Signal transduction mechanisms</t>
  </si>
  <si>
    <t>AAV95359.1</t>
  </si>
  <si>
    <t>MSAESALWASLPVPAFLIDADDRIVDVNSAAEGFLNLSRKAVLGHPIWDQLAIDAPIEPAFERARGQGTPLFVNDIDVGSGNRAPLQCAIQIAPLVGSPGVMMMLVSPRELAGRMTQSHSVKSAAQSAIGMAEMLAHEIKNPLAGITGAAQLLSMNLAPEDLELTDLIVAESRRIVKLLEQVEQFGNLSVPDFKPVNIHDVLDRARRSALLGFGAHMKIIEDYDPSLPLAYGDPDQLLQVVLNLLKNASEAAPGGGTIRLRTYFEHSFRLRRNDGSGQSLPLQVEVIDDGPGLPEEIRADIFDPFVSGRENGTGLGLALVSKIISDHDGWIAVDSVPGRTVFRLSLPRVPKDRGEKESN</t>
  </si>
  <si>
    <t>SPO2088</t>
  </si>
  <si>
    <t>YP_167318.1</t>
  </si>
  <si>
    <t xml:space="preserve"> nitrogen regulation protein NtrB </t>
  </si>
  <si>
    <t>AAV97116.1</t>
  </si>
  <si>
    <t>MKKIEAIIKPFKLDEVKEALQDIGVQGLSVVEVKGFGRQKGHTELYRGAEYVVDFLPKVKLEVVLDDDQVDAAIEAIVSAAKTDKIGDGKIFVSTVEQAIRIRTGETGSDAL</t>
  </si>
  <si>
    <t>SPO2294</t>
  </si>
  <si>
    <t>YP_167517.1</t>
  </si>
  <si>
    <t xml:space="preserve"> nitrogen regulatory protein P-II </t>
  </si>
  <si>
    <t>AAV95557.1</t>
  </si>
  <si>
    <t>MSKDAVLQLIKDEGAEYVDIRFTDPRGKLQHVTIVSDLVDEDFLEEGFMFDGSSIAGWKSIEASDMKLMPDTESAYVDPFYAEKTICIHCSVVEPDTGEAYDRDPRGTAVKAEAYLKASGIGDVAYMGPEAEFFLFDDVRFSNTINKVSYEVDATDASWNSDAEFETGNMGHRPGLKGGYFPVNPIDEAQDLRAEMLSTMKRMGMKVDKHHHEVASCQHELGLIFGTLTKQADEIQKYKYVIHNVAHAYGKSATFMPKPIYGDNGSGMHVNMSIWKDGKPLFAGDKYADLSQEALYFIGGILKHAKTLNAFTNPGTNSYKRLIPGFEAPVLRAYSARNRSGCVRIPWTESPKAKRVEARFPDPSANPYLCFAALLMAGLDGIKNKIDPGEAMDKNLYDLPAEELADIPTVCGSLREALECLASDHDFLLQGDVFTKDQIEGYIELKMEEVHKYEHTPHPVEFGMYYSC</t>
  </si>
  <si>
    <t>SPO2295</t>
  </si>
  <si>
    <t>YP_167518.1</t>
  </si>
  <si>
    <t xml:space="preserve"> glutamine synthetase, type I </t>
  </si>
  <si>
    <t>AAV95831.1</t>
  </si>
  <si>
    <t>MDVIRSSASDILGALRSRQLSSEAVMEATLARIAAVNPELNAIVALRPTDELLAEARAADAVAPEARGALHGLPIAVKDLVETAGIVSSHGSPLFRDHVPERDDLIAARIRAAGAILIGKTNVPEFGLGSHTFNPVYGATGNPYAPNLTCGGSSGGAAVALATGMTALADGSDMMGSLRNPAAWCNVYGFRPSWGRVPSEPLGDTFLHQLATLGPMGRSPADIAILLDVISGADPRQPHGFDSAPVAPLRPAATRGLRLGWLGDWGGAFPTEPGILPLCETALKIFSDLGCTVEKVPPPFDAEALWESWITLRSWSVGAGLAPLSEKRAQLKDSAQWELDRGLALSAMEVDRASVTRSAWFMRATELFESYDALILPSAQVWPFDLDRPYPTEIAGQAMDTYHRWMQVVTPVSLIGLPSLAMPAGFGDAGLPMGVQIFGPRGGDAALLALGEAYHAATTWPQRHPGM</t>
  </si>
  <si>
    <t>SPO2583</t>
  </si>
  <si>
    <t>YP_167796.1</t>
  </si>
  <si>
    <t xml:space="preserve"> amidase </t>
  </si>
  <si>
    <t>Translation, ribosomal structure and biogenesis</t>
  </si>
  <si>
    <t>AAV95853.1</t>
  </si>
  <si>
    <t>MLTFETLKAQVAAGTVDTVLVCLVDMQGRLMGKRFHAQNFLDSAYEETHCCNYLLATDLEMATPDGYRATSWQAGYGDYVMKPDLSTLRPLPWLEGTVMVLCDVLDHHSHEPVPHSPRQVLKAQIARAEALGLTPMMATELEFFLFEGTFDEIRKTGYRNLTPISGYNEDYHILQTSKEEHVMRPLRNHLFAAGIPVENTKGEAEAGQEELNIRYADALACADHHTIAKHATKEIAHQHGHAASFLPKWHHDRVGSASHVHLSLWRGSEPAFYDKDAPHGLSELGRQFCAGMIRYAPDYTFFLAPYVNSYKRFMKGTFAPTKTVWSVDNRTAGFRMCAEGTKGVRMECRIGGSDLNPYLAQAALLAAGLQGIEEKLELAPPTSGDVYDNAEAGEIPRSLRDAVGTLDGSAMLRAAMGDWVIDHYTRCAQWEQEEFDRVVTDWEIARGFEKA</t>
  </si>
  <si>
    <t>SPO2607</t>
  </si>
  <si>
    <t>YP_167818.1</t>
  </si>
  <si>
    <t xml:space="preserve"> gamma-glutamylisopropylamide synthetase, putative </t>
  </si>
  <si>
    <t>Glutamine synthetase</t>
  </si>
  <si>
    <t>AAV96179.1</t>
  </si>
  <si>
    <t>MTDTALWQLDATQIAAQTTSGALSAEQAVGAAIERMQAVNPDLNAVVDSCAEAAMDRARALDKARAAGTPCGPLHGVPVTIKVNVDQTGYATTNGVTALKDMIAPDDAPVVRNLQAAGAVVIGRTNTPEFSFRADTDNPLYGRTHNPWGRHISPGGSSGGAGSAVMAGIGALAHGNDIGGSLRFPAAANGAVTVKPGLGRVPAWNPSQKAERGMLAQSMSVQGLITRSAADLHLAMPSLIAPDPRDPFHVPLPWRGTPVEGPIRVAFTKATYGYDLHPEVEAALDTARDALRDAGYLVEEVETPDAFEAGRAGYRALMGEVWALMKADVDAYGSQTVRDIFEVYFQEFPPFHGTELLQVMAARSHYAREWSLFLEQYPLVLGPFLPQPFFGPDRDTEGAEGVHEALGSAVWSYAMNFIGLPAACLPTRLADLPKGAQPINVQITARRWREDMAVDAAAAVEARVGRMAPHLWARMG</t>
  </si>
  <si>
    <t>SPO2938</t>
  </si>
  <si>
    <t>YP_168146.1</t>
  </si>
  <si>
    <t>MPGACGIYALATVSKPDPDMTQIITALAEISERYRALFVDLWGCVHNGVTAYPEAVAALQAYRAAGGIVVLVTNSPKPRAGVATQLSQFKVPQDAYDTIATSGDSARSAMFRGAVGQKVYFMGEWERDAGFFEPLKLLDSPVEITRVPLQEAEGIVCCGPFDPMADPAVNRPDFLYAKTKGMKLLCANPDIVVDRGEIREWCAGALARLYTEMGGESLYFGKPHPPIYDLARRRLLSLGADIADSEILAIGDGIQTDIAGGQGEGIDSLFISGGLAASETKTGHSPDPAALTAYLDRENRMPTYTIGQLR</t>
  </si>
  <si>
    <t>SPO3151</t>
  </si>
  <si>
    <t>YP_168354.1</t>
  </si>
  <si>
    <t xml:space="preserve"> HAD family hydrolase </t>
  </si>
  <si>
    <t>dephosphorylation of a broad range of substrates</t>
  </si>
  <si>
    <t>AAV96501.1</t>
  </si>
  <si>
    <t>MRHINIYRSFRMGFAYNAIEVMAFVFVSVIGLMMLTAVVLFIVDRFQTGDAIRRNYPVIGRFRNIFTELGEFFRQYFFAMDREEMPFNRAQRNWVYNASEAKGNTVAFGSTRNLNIPGTPIFMNAPFPPLDDQFGASEPLVIGPTCRQPYSAPSIFNISGMSYGAISKPAVLALSKGAKAAGVWMNTGEGGLSPYHLEGGADIVFQIGTAKFGVRDAEGNLSDDKLREVAAHPQVKMFEIKLSQGAKPGKGGILPAAKIDAEISQIRGVPMGMDAISPNRHREVDDFDGLLDLIAHLREVTGKPVGIKTCMGSADPWFDFFRRIRERGADSAPDFITVDGGEGGTGAAPMPLIDLVGLPLREALIRMVDLRDLSGLHDRIRIVASGKLVAPGDVAWAICLGADFITSARGFMFSLGCIQALKCNKNTCPTGITTHIPSLQKGLVVHEKEKRVAAYARSVIHEVETIAHSVGVPEPRLMRRRHVRIVCDDGTSVQMDDLYPSVKSDAEGLDRARGNRQFEDGLRRLGVV</t>
  </si>
  <si>
    <t>SPO3272</t>
  </si>
  <si>
    <t>YP_168469.1</t>
  </si>
  <si>
    <t xml:space="preserve"> glutamate synthase family protein </t>
  </si>
  <si>
    <t>AAV96644.1</t>
  </si>
  <si>
    <t>MSDWLTMTASDLGRGIAAGRIDPVALTDCYLDAIEAHPDSERIYARVTARRARAEAHAAAERARLGLRRSLFDGVPISWKDLFDSAGVATESGSALLAGRVPEADALVLRNATAAGAVCLGKTHMSELAFSGLGLNPITATPPNPHDPAWVPGGSSSGAAASVSFGLAACGIGSDTGGSVRIPSAWHDLVGLKTTSGRLSLEGVVPLCLKFDTVGPLARSVEDAAEALALLEGGRAADLRGASLKGCRLAVLQTVALDDLREEPGSAFDDALSRLSAAGAEIVPLEVPELVDAMALSGVLYTAEAYGLWRDVIEANPDAMYDQILERFRAGAGFSGPDYVAAWARLETCRAAWDGAVAGFDAVLMPTAPILPPDRDRLLSDHDYYVSENLLALRNTRIGNLMGLSGLSLPTGTPACGLTLLGRPDGEEALLRVGAAAEHALT</t>
  </si>
  <si>
    <t>SPO3418</t>
  </si>
  <si>
    <t>YP_168614.1</t>
  </si>
  <si>
    <t xml:space="preserve"> amidase family protein </t>
  </si>
  <si>
    <t>AAV96936.1</t>
  </si>
  <si>
    <t>MKLARPLPNYLVQRYHGWKATTYTENQVWYRRLASEGQRPRAMVISCCDSRVHVTSIFGADQGEFFIHRNVANLVPPYLPDGDHHGTSAAVEYAVTVLKVAHLIVLGHSQCGGVRGCLDMCKGHAPQLEAKESFVGRWMDILKPKYDHVAKIEDEDEQVRQLEKHAVVASLENLMTFPFIASAVEEGSLSLHGLWTDIGEGGLQCYEPGDERFVPV</t>
  </si>
  <si>
    <t>SPO3715</t>
  </si>
  <si>
    <t>YP_168909.1</t>
  </si>
  <si>
    <t xml:space="preserve"> carbonic anhydrase, putative </t>
  </si>
  <si>
    <t>C</t>
  </si>
  <si>
    <t>AAV96940.1</t>
  </si>
  <si>
    <t>MQDDPKTLVSTDWLAAHLKDPDLRILDGSWHLPHLGRDPKAEYEAAHIPGARFFDIDDISDHRSDLPHMVPPVEKFMSRLRAMGVGDGHQVVVYDSLGLQSAARVWWLFKLMGQDNIAVLDGGLPKWQAEGHPIEDLPPVIRDRHMTVRVQNHLLRDVTQVSAAAKLHDHEIVDARSAGRFAGTDPEPRPGLRGGHIPGSKNVPFGTLLNKNGTMKSPADCRAVFEAAGVDLKKPVITTCGSGVTAAILSLALQRMGKTDHSLYDGSWAEWGAFPTLPVATGEN</t>
  </si>
  <si>
    <t>SPO3719</t>
  </si>
  <si>
    <t>YP_168913.1</t>
  </si>
  <si>
    <t xml:space="preserve"> thiosulfate sulfurtransferase, putative </t>
  </si>
  <si>
    <t>AAV96945.1</t>
  </si>
  <si>
    <t>MKLIIATIKPFKLDEVREALTEAGIRGMMVTEIKGFGTQSGHTEIYRGAEYTVNFVPKIKLELVVADQIAEQIADTIARTARTGKIGDGKIFVLDVEQALRVRTGETDDDAL</t>
  </si>
  <si>
    <t>SPO3724</t>
  </si>
  <si>
    <t>YP_168918.1</t>
  </si>
  <si>
    <t>AAV96989.1</t>
  </si>
  <si>
    <t>MTKYDADWVRAEEAKRKWLAENGLYSEEEEHSSCGVGLVVSVNGKRSRKVVEAGIDALKAVWHRGAVDADGKTGDGAGIHVQIPVPFFYDQIRRTGHEPRMNELVAVGQVFLPRTDFGAQERCRTIVETEILRMGYFIYGWRHVPVDVTCLGEKANATRPEIEQILISNSKGVDEETFERELYVIRRRIEKAAQAAGIAGLYLASLSCRSIIYKGMMLAEQVAVFYPDLMDERFESAFAIYHQRYSTNTFPQWWLAQPFRMLAHNGEINTLKGNLNWMKSHEIRMASSYFGEKAEDIKPIVPGGSSDSAALDAVFEVLVRAGRNAPMAKTMLVPESWSKQAVELPQAWVDMYSYCNSVIEPWDGPAALAMTDGRWVCGGLDRNGLRPMRYVVTGDGLLIAGSEAGMVPTDEATVVEKGALGPGQMIAVDMAKGKLYHDRALKDKLAASRPFGDWVGKINNLEDQLGDVEETPLFTGAELRKRQIAAGYSVEELEQVLAPMAEDGKEALASMGDDTPAAVLSKQYRPLSHFFRQNFSQVTNPPIDSLREYRVMSLKTRFGNLKNVLDEDSSQTEIIVAESPFVGNAQWETLKKNFNAPLVEIDCSFEQGSAGLGAALARIRSEAEEAVSSGAGHLLLTDQYSGPGKVAMPMILATSAVHSHLTRKGLRTFCSLNVRSAECIDPHYFAVLIGCGATVVNAYLAEDSIADRIKRGLLDGSLTENIARYREAIDQGLLKIMAKMGISVVSSYRGGLNFEAVGLSRAMVAEFFPGMTSRISGIGIKGIQTKAEEIHARGWDSGLDVLPHRGFYKARKSGETHAWEATSMHMMQMACNRASFELWKQYSAKMQSNPPIHLRDLLDIKPLGKPVPIEEVESITSIRKRFVTPGMSLGALSPEAHKTLNVAMNRIGAKSDSGEGGEDPAHFVPESNGDNPSAKIKQVASGRFGVTAEYLNHCEELEIKVAQGAKPGEGGQLPGMKVTDLIARLRHSTKGVTLISPPPHHDIYSIEDLAQLIYDLKQINPRAKVTVKLVASSGVGTIAAGVAKAKADIILISGGNGGTGASPATSIKFAGLPWEMGLTEAHQVLSMNNLRDRITLRTDGGLRTGRDIVMAAMMGAEEYGIGTAALIAMGCIMVRQCQSNTCPVGVCTQDESLRAKFTGNADKVVNLITFYAQEVREILASIGARSLDEVIGRADLLAQVSRGSAHLDDLDLNPLLITVDGAQNIVYDRAKPRNVVPDTLDAEIVRDAARFLEDGEKMQLSYSVQNTHRTVGTRVSSHIVKRFGMRNDLQPDHLHIKLRGSAGQSLGAFAAPGLKIEVSGDANDYVGKGLSGGTIVVRQPQVSPLKADENTIIGNTVLYGATDGHLFAAGRAGERFAVRNSGAKVVIEGCGTNGCEYMTGGVAVILGGIGANFGAGMTGGMAYLYDPDGQAQLLMNMETLVTCPVSVAHWEAQLKELVERHAEETRSAKAAHILQHWDIEKGNFLQVCPKEMLNKLPRPLSHDSLAMPAE</t>
  </si>
  <si>
    <t>SPO3768</t>
  </si>
  <si>
    <t>YP_168963.1</t>
  </si>
  <si>
    <t xml:space="preserve"> glutamate synthase, large subunit </t>
  </si>
  <si>
    <t>AAV97056.1</t>
  </si>
  <si>
    <t>MRFLSYRKHFRDLSEQEVIALAISSEEDDARIYRSYAEMLRADFPATAKLFDGMAAEEDEHRAQLIALHERRFGAVIPLIRREHVAGYYARRPVWLVENLGIERIRTEAAAMERDAERFYLTAAARSTDAATRKLLGDLAAAEAGHQATASDLESTHLDDETRANEDATAHRQFILTWVQPGLAGLMDGSVSTLAPIFATAFATQDTWTTFLVGVAASVGAGISMGFTEAASDDGELSGRGSPVKRGFASGIMTTLGGLGHALPYLIPDFWTATSIAIFIVFFELWAIAWIQNKYMETPFFRAAFQVVVGGALVLAAGVLIGSG</t>
  </si>
  <si>
    <t>SPO3842</t>
  </si>
  <si>
    <t>YP_169030.1</t>
  </si>
  <si>
    <t xml:space="preserve"> hypothetical protein SPO3842 </t>
  </si>
  <si>
    <t>Fe and Mn</t>
  </si>
  <si>
    <t>YP_164892.1</t>
  </si>
  <si>
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</si>
  <si>
    <t>SPOA0061</t>
  </si>
  <si>
    <t xml:space="preserve"> catalase/peroxidase HPI </t>
  </si>
  <si>
    <t>Oxidative stress</t>
  </si>
  <si>
    <t>AAV93719.1</t>
  </si>
  <si>
    <t>MKIAFQMDPIGAVNINADSSFRLAEEAQARGHELFYYGPDQLAYQEGRITARGHDMTVQRVAGDPAVLGPLREVDLAEFDVVWLRQDPPFDMHYITSTHLLDRLKGQTLVVNDPFWVRNYPEKLLVLNFPELTPPTTIARDLDTIRAFKARHGDIILKPLYGNGGAGVFRLDENDRNLSSLHELFVGFSREPLIVQKYLPDVRKGDKRVILVDGEAVGAINRVPAEGEVRSNMHVGGRPEKIGLTDRDREICTAIGPLLREKGQIFVGIDVIGDYLTEINVTSPTGIQELERFDGGNIAGRIWEAIEAKL</t>
  </si>
  <si>
    <t>SPO0401</t>
  </si>
  <si>
    <t>YP_165664.1</t>
  </si>
  <si>
    <t xml:space="preserve"> glutathione synthetase </t>
  </si>
  <si>
    <t>Coenzyme transport and metabolism; Translation, ribosomal structure and biogenesis</t>
  </si>
  <si>
    <t>AAV94208.1</t>
  </si>
  <si>
    <t>MAETRHTKVLIIGSGPAGYTAGVYASRAMLEPILVQGIEPGGQLTTTTEVENWPGDTEVQGPDLMVRMEAHAKAMGCEIIGDIITSLDTSARPFVAKGDSGTTYTADAVILATGARAKWLGMESEEKFKGFGVSACATCDGFFYRGQEIVVIGGGNTAVEEALFLTNFASKVTLIHRRDELRAEKILQDRLFKNEKIVPLWFNQLEEVYGTDAPLGVEGVKVRNVKTGEITDIPCKGVFVAIGHAPANELVKDVLELHNGGYVSVKPGTTETSIPGIFAAGDLTDHKYRQAVTSAGMGCMAALDAERFLAEQE</t>
  </si>
  <si>
    <t>SPO0903</t>
  </si>
  <si>
    <t>YP_166156.1</t>
  </si>
  <si>
    <t xml:space="preserve"> thioredoxin-disulfide reductase </t>
  </si>
  <si>
    <t>AAV94541.1</t>
  </si>
  <si>
    <t>MSDAPQLRQPDIETRVARGWRGLSLVWLVPVVAVAGALALVWQSYSNRDIPIRIEFADATGIEVDKTEIRFREVSVGRVSGMRFSEDLSRVIVEAEIHRELERYLDSDARFWRVTARVGPGGISGLNTLLSGAYIAADWDAVEGEAARDFVAEAEAPAVPPGTKGLAVVLIAPDSGSVSVGAPILHKGVQMGKIAAVRYDALSGSVLLTGFIEAPNDKLINSATRFWNVSGAGLELGEGGIQLKVDSLASLLQGGVAFDTAMSGGEALGKRPIFDLYATEDSARDSLLGDSLQATVEVMSSFDGSVRGLKLGSEVVFRGVKVGQVRHLSAEIDESVEGKPDIRMQVIYTIEPGRLGLHDVSTPDDTLSLLATMVARGGVRAQLMPASFFSGGLVVQLQENPDAPAATLDREATPFPIMPSLPTPADTLAVASQNVLDRVAALPVEELMQRAIETLENVNTILADGDTRRIPADLRDMLGNVNAVAGSESLRNLPEDLRQALASVNAVLAHFEEEEGAQKLVAALEELRTAATGISAASADLPALVRDIDALVAKADALPLEQVVTSADQVLQTADTLLRSDDVERVPAALNAALAQAEQTLVSIREAAGSVNSTLSTFEEKKVAQTLVDALGDMRTAAANVETASAELPQLVADIDRLIATANALPLADVTASADRVLQSADAFLRNEDMDKVPGALAGALEEAQRALEELRQGGAVENLNRTLQTASTAADSVALAVQTLPDLAARLDALADSAEATIGAYGPGSPVNREVQAAIGDLRATVRSLNALVQAIRRKPNSLLVGR</t>
  </si>
  <si>
    <t>SPO1249</t>
  </si>
  <si>
    <t>YP_166494.1</t>
  </si>
  <si>
    <t xml:space="preserve"> paraquat-inducible protein, putative </t>
  </si>
  <si>
    <t>superoxide radical-generating agent</t>
  </si>
  <si>
    <t>AAV94617.1</t>
  </si>
  <si>
    <t>MSFDYDLFVIGGGSGGVRAARVAAGETGAKVALAEEDRYGGTCVIRGCVPKKLMVFASEYSGMVEDAQAYGWNIQPGAFDWDVFRSKLYTELDRLEGVYRNILKNNGVETFDMRARLVDAHTVELSDGTRKSAKHILIATGGRPVKPEIKGAELAITSNEIFHLDKLPERMLIVGGGYIACEFVGIMNGMGVEVTQYYRGAQILRGFDDEARGLVSEEMCQNGIKLHLGTNVLEMEREGDRIRVKATNGDEELFDQVMFATGRVPNADHLGLEGLGVELGRKGQIVVDDYSQTAVPSIYAIGDVTDRVNLTPVAIREGMAFVDTVFRGKPTPVDHALIPTAIFTQPEMGTVGLSEEEAAAQEPVEIYATSFKPMQTAFAGRSQRVLMKLIVSKATRKVLGCHIVAPGAGEMIQLVGIAVKMGATKEDFDRTVAVHPVMAEELVTLRQPVRSA</t>
  </si>
  <si>
    <t>SPO1328</t>
  </si>
  <si>
    <t>YP_166571.1</t>
  </si>
  <si>
    <t xml:space="preserve"> glutathione-disulfide reductase </t>
  </si>
  <si>
    <t>AAV95332.1</t>
  </si>
  <si>
    <t>MIDLHLSAEVHAARVAGTPIVALESTIITHGMPYPQNVETARAVEQDIRDAGAVPATIAVIEGRLHVGLDPDQLDALGQAQGVAKLSRADMAACIATGGTGATTVAATMIAARFAGIEVFATGGIGGVHKGAEQSFDISADLHELAETPVTVVAAGAKAILDLPKTLEVLETLGVPVIAYGQDSFPAFWSATSDLPAPLRMDDSASIARAHAARRALGLPGGQLVANPIPADAQIAAEDLAPVIAQAQAQADAQGIAGKAVTPFLLQAIFEATGGRSLTANIALVRNNARLAAKIARDLIALGG</t>
  </si>
  <si>
    <t>SPO2061</t>
  </si>
  <si>
    <t>YP_167291.1</t>
  </si>
  <si>
    <t xml:space="preserve"> indigoidine synthase A family protein </t>
  </si>
  <si>
    <t>AAV95450.1</t>
  </si>
  <si>
    <t>MTDIRADLGEAPILANEDEIIADIIQANLKMMEVEENGFKWRAQHPKGHGAIPARFIVGPDVPQAFRVGLFAQPGAYDALIRFSNGTERRDDPKGGDAHGMAIKLFGVPGARVEGAADAKGTLDFVLVDNETFFEGDLNEYSAFNDLVSEVLNFKRNGDEALAAIVNGIYLKFLKKYFSHDIYAVAQKFGDQLPTSPLRAIYWSTTPFLHGDIAVKHRAVPDPVPAPGELREGVEGADGLTDQLLDGLNGKAAAFDFYIQPQEDVAAHPIEDPNVNWTENGAGWVKLARIEIPALDPGDAAARAARIAAGDRMAFNPWNTLPEHRPLGAVNRVRNKVYKELARARNAEGV</t>
  </si>
  <si>
    <t>SPO2184</t>
  </si>
  <si>
    <t>YP_167409.1</t>
  </si>
  <si>
    <t xml:space="preserve"> hypothetical protein SPO2184 </t>
  </si>
  <si>
    <t>Catalase-like heme-binding proteins</t>
  </si>
  <si>
    <t>AAV95494.1</t>
  </si>
  <si>
    <t>MPDVTDIAPEFTLPRDGGGEISLSDLRGRAVVLFFYPRDDTPGCTKESIGFSVNLQAFADAGAQVLGISRDTVAKHDKFVAKHGLTTPLLSDAESDVCERYGVWVEKNMYGKKSMGIERTTFLIDGEGRIAQVWRKVKVDGHVDAVLDAVRAL</t>
  </si>
  <si>
    <t>SPO2228</t>
  </si>
  <si>
    <t>YP_167454.1</t>
  </si>
  <si>
    <t xml:space="preserve"> AhpC/TSA family protein </t>
  </si>
  <si>
    <t>AAV95602.1</t>
  </si>
  <si>
    <t>MAFELPDLPYAHDALASKGMSAETLEYHHDLHHKAYVDNGNKLIADTEWDGKSMEEIITGTYDKSAVAQNGIFNNISQLWNHNQFWEMMGPGESKMPGELEKAIAESFGSVDEFKSQFSAAGAGQFGSGWCWLVKNADGSLAVTKTENGVNPLCFGQTALLGCDVWEHSYYIDFRNKRPAYLTNFLDNLVNWENVASRM</t>
  </si>
  <si>
    <t>SPO2340</t>
  </si>
  <si>
    <t>YP_167563.1</t>
  </si>
  <si>
    <t xml:space="preserve"> superoxide dismutase, Fe </t>
  </si>
  <si>
    <t>AAV95631.1</t>
  </si>
  <si>
    <t>MTTKFVVGYDGSAASRRALDFAMERAKAGGASIIVAHVLEWSPYSFLTPTEIEERHKRRAEEMARAETAILAPLKAELAGSGVEIETAIRYGQVADTLCDIATKSGAAQIFIARQGESGLAARVFGSVAGTLAQYAPVPCTIVP</t>
  </si>
  <si>
    <t>SPO2371</t>
  </si>
  <si>
    <t>YP_167593.1</t>
  </si>
  <si>
    <t xml:space="preserve"> universal stress protein family protein </t>
  </si>
  <si>
    <t>AAV96610.1</t>
  </si>
  <si>
    <t>MGLRINDIVPNFEADTDKGRIAFHDWIGDSWAILFSHPKDFTPVCTTEFGAVAQLADEWAKRNTKVIGVSVDGVEDHKKWKGDIESFAGTSAGFPIIADEGLAVSKAFDMLPADAYLPDGRTPADSATVRSVFIISPDKKLQLSMTYPMSVGRNFAEVLRALDGLQRTYQQPLATPANWQTGQDVIVALALDNAAAEEKYGALDIKLPYLRFAKNPG</t>
  </si>
  <si>
    <t>SPO3383</t>
  </si>
  <si>
    <t>YP_168579.1</t>
  </si>
  <si>
    <t xml:space="preserve"> thiol-specific antioxidant protein </t>
  </si>
  <si>
    <t>MMAYKSLLTVLTDPKIAPATLAQLVALAEAQDAHAEALCLGVDRSQTGYYYAGANALILQETLNRANAEAEEVLTLAQDTLGKSGVRWSAESGVAQIADLGRHVAHRARFSDLVVLSRPYGEDRGSEAEPIVEAAMFEGHAPVLVVPDNAPPLKQPRTVLLGWNESVEAMRAIRLAMPFLRAADLVRIVVIDPPRHGPDRSDPGGLLSQMLARHGVKVEIDVLSKTMTRVSDILNRHATDTSADMLVMGAYGHSRFREAILGGATRNMLEQATVPVFMAH</t>
  </si>
  <si>
    <t>SPO3527</t>
  </si>
  <si>
    <t>YP_168722.1</t>
  </si>
  <si>
    <t>YP_165089.1</t>
  </si>
  <si>
    <t>MFKPHGRHLIAGKWVDGDDSFSSEPAHGPSHRFAVGRVADVDAAATAAENAFWSFASSTRAARADLLTAIADEIDACGGAITEIGTQESGLPEARLIGERGRTTGQLRLFATHILKGDYLDRRHDAALPDRQPLPRPDLRMIQRPIGPVAVFGASNFPLAFSTAGGDTAAALAAGCPVVVKAHGAHPGTSEIVAEAVKAAIERCGFHPGVFGLIQGGNRQVGAALVQHPLIKAVGFTGSLGGGRALFDLCAARPEPIPFFGELGSVNPMFIFAGALANRGSAIAQGWAGSLTMGAGQFCTNPGVAVMLAGPNADAFAQSAAEALAQVAPQTMLTDGIAEAYRAGQRRMGAATGVRELLSTPCDQRSAAPSLYATTAKAWLANEELAEEVFGPLGMIVTADSVEEMLAIARDLQGQLTCTVHVDAEDAAAATRFMPVLERKAGRILANGFPTGVEVSDTMVHGGPYPASTNFGATSVGTLSIRRFLRPVCYQDMPEGLLPADL</t>
  </si>
  <si>
    <t>SPOA0260</t>
  </si>
  <si>
    <t xml:space="preserve"> aldehyde dehydrogenase family protein </t>
  </si>
  <si>
    <t>Other cellular processes</t>
  </si>
  <si>
    <t>Detoxification</t>
  </si>
  <si>
    <t>YP_165133.1</t>
  </si>
  <si>
    <t>MYTHEDLSHLRNQSLKLQGWIRQQTFSPEMEKTLRRFSSWEVSELIFNVNQSTFRGKLVADPTLPGGEVEPDGRQRWFSLEEVNELRRRLKINRKSLMPPRPAGKRAIRAAVANFKGGAGKSTVALHLAHAAALDGYRVLVVDFDPQATLSHSMGLTDVAEDYTVWGIMARDLIRETERMNNRAAAAESGTTLPRRQLPASITGMGLGDLRVGDFIKPSSWSTIDAIPSCANAAFVEFASAQYRHLNPEWSFFAAVSRYLDQIPDDAYDLILFDCPPAIGYQSMNAVFAADMLYIPSGPGYWEYDSTTSFIGQLAEALEDLSHGFDGVLPTGKIGLPKTFAEIRFILTRYEPGNALHQAMYEAFRKVFGHHVTDHPVEMTRAVEQSGRFLNSVYEMDYREMTRETWRRARGTFDNAYREFREVMLSAWSKLEDDA</t>
  </si>
  <si>
    <t>SPOA0304</t>
  </si>
  <si>
    <t xml:space="preserve"> replication protein </t>
  </si>
  <si>
    <t xml:space="preserve">plasmid partitioning </t>
  </si>
  <si>
    <t>YP_165259.1</t>
  </si>
  <si>
    <t>MAASVFDSAHLARLFPAGDAGRLFTDGAELRAMLLVEGMLAKAQGALGLIPVESAGAIHRAAMEIHLDPGALAEATGANGVSVPALVAAFRSEMQAPEHAQYVHWGATSQDIIDTGLMLRLRQAVSVLERDLAAVLETLAALAESHADLPMAGRSYAQHATPTSFGAVVASWGAPLLDLLRELPGLRRDCLLVSLSGAAGTGAALGPEVAQLRADLAQLLNLADPGRSWHTDRTPVLRLAEWCTRIALALGKLGEDAIELSQTGIAEITLGGGGASSTMPQKQNPVGASALVALSRQVPGLLAVLHGAGVHRHQRDGAAWFTEWMCLPQIVLGAAASVQITQRLLPGLAPCPEAMAAALDTNYGTIHAEAVNFALAAHLPRPEAQAAVKTLCAEAMESRTPLRELIARDWPQLDAAALTDPSRQLGAAPDEARAFAARVRSQGAT</t>
  </si>
  <si>
    <t>SPOA0432</t>
  </si>
  <si>
    <t xml:space="preserve"> 3-carboxy-cis,cis-muconate cycloisomerase </t>
  </si>
  <si>
    <t>aromatic compound degradation</t>
  </si>
  <si>
    <t>YP_165261.1</t>
  </si>
  <si>
    <t>MQIADLGDIKLHFRVDGDPDGAPVVFINSLGTDLRLWDPILPHLPAGLRLIRYDKRGHGLSDAPEGPYAMGTLVRDAERLLDLLDIRDAAVVGLSIGGMIAQGLAVKRLDQVRALVLSNTAAKIGTKEMWQQRIAAVTAGGIEALADTVMERWFSRGFRATPELALWRNMLVRQPVQGYAGCSAAIAGTDFYTPTSGLRLPTLGIAGDEDGSTPPDLVRETVDLIPGSQFHLFRKAGHLPCVEHPAAYAERLAQFLRDVGHF</t>
  </si>
  <si>
    <t>SPOA0434</t>
  </si>
  <si>
    <t xml:space="preserve"> 3-oxoadipate enol-lactone hydrolase </t>
  </si>
  <si>
    <t>AAV93335.1</t>
  </si>
  <si>
    <t>MVSNKPRGLGRGLSALMADVTQPAEAAASEAARRPDRTVPIEKLRANPNQPRRTFTEDALQELAASIKEKGVLQPLIVRPVDGDMYEIVAGERRWRAAQLAQLHQVPVLVRELDDTEVLEIAIIENIQRADLNAVEEAAGYRQLMDKFGHTQEKLAEALGKSRSHIANLLRLLSLPDDVQTLVVEGKLSAGHARALITSDNPSELAKIVVRDGLSVRATEALVKKQAEGDKPTATARPKSITADKDADTRALEKDLSAILAMKVAINHKPGTETGQVVLTYENLDQLDDLCAKLSR</t>
  </si>
  <si>
    <t>SPO0004</t>
  </si>
  <si>
    <t>YP_165277.1</t>
  </si>
  <si>
    <t xml:space="preserve"> chromosome partitioning protein parB </t>
  </si>
  <si>
    <t>chromosome segregation</t>
  </si>
  <si>
    <t>Transcription</t>
  </si>
  <si>
    <t>AAV93428.1</t>
  </si>
  <si>
    <t>MTLPLWFDPTLCLIGGRWQAPRGGDTLPLINPSDGTEICRIARGTAPDIDTAVTAAEAALAGDWGRMTATERGRILSRLGQLVLERVEDLAVIEAWDVGKPLTQARADAVALARYCEFYGGAADKVMGETIPYLEGYTVYTLREPHGVTGHIVPWNYPMQIIGRSVGAALAMGNACVLKPAEEACLTALAFADLAKQAGLPAGALNVVPGLGAEAGAALSAHPGVHHISFTGSVATGALVQQAAGRNVVPVTLELGGKSPQLVFDDADLDTALPFLVNAGCQNAGQTCSASSRILAQRGVYEEVKARMAASYAELTVGPAMEDLRVGPLISARQKEIVTGFLDKGADLTIAAQGRIVDHAPETGAYVRPTLFADVPPDHALARDEIFGPVQVLIPFDTEEEAIAIANGTDYGLVASIWTRDGARQMRLAKRLRAGQVFVNNYGAGGGVELPFGGVGKSGHGREKGFEALYGFSQLKTVAARHG</t>
  </si>
  <si>
    <t>SPO0097</t>
  </si>
  <si>
    <t>YP_165371.1</t>
  </si>
  <si>
    <t>AAV93461.1</t>
  </si>
  <si>
    <t>MRRFGFLAILSLQLAFFGVSGLSAQEAAPGFRYLATRDMDFYGEDLDALFDTDLQSCIRACSANNACNAFTFNARSNACFPKRGVSEQTPYQGALSAVKLPSPAAVRDRARQQAARLAFLPDRDLTRAVAQARDLGLRYAAGGMELDQVIAAMRNAGEGAQAAGWAGLAVSLSDRADLWAEYARLLLSVRSDDSSIKRDHARRAVSAAINAYLRADRPGAEVSALALLAQALERDGRGRDMVPVLRLASDIQPREDVLAALDRAIGKYGFRVVETTVESDSAQPRICAQFSDPLARSGVDYEPFVHSPEGDLVVQADGNQLCLDGVEHGKRYRITLRAGLPAGSGEALWKDVTLTHYVRDRSPAVRFPGRSYVLPKSADAAIPVETVNATTLDLILRRVSDRNLLRAVQEGYFARPLSYWEDEHFASDIAQEVWTGSAEVASTLNRDMTTRLPLAEAISGQAAGIYTLTARVPGADPYDNPGATQWFVLSDLGLSSISGNDGLHVSVRGLSDAAPRAAVDLTLISRANAVLGRVQTDAQGLARFEPGLTRGTGAAAPALILATAGDTDLGFLSLIDPAFDLSDRGVEGRKPAGPVDVFLTTDRGAYRAGETIHATALSRDGTARAIDGLPLTAILTRPDGVEYGRKVSDGGVAGGHVFALTTGASAPRGTWRLDIKADPDGPALASQTLLVEDFLPERIDFDLALPDAPILPGDSPPLSIEARYLFGAPGADLSIEGQVQLRAADQIAGWPGYRFGRHDAGLQTRTSHFGDARTDAAGNARLAVEIPQIDAEGKPLEAVVTARLADGAARPVERRISVPVSPATPVIGIKPLFEDVVSEGTEAGFQVIGLTPDLTPQPMRIKWTLNRVETRYQWYQLYGNWNWEPVTRRTRIATGEADLGSDPLSLSQPVEWGEYELLVERLDGAYVASSADFYAGWYQAADAAATPDRLELSLDKDSYRPGDTARLRIVPRMAGTALVTVLSDRVIARQAVEVAAGESVIPLTVTEDWGTGAYVTATVIRPMDVAAGQNPARALGLAHATIEPVGKALTVAIDAPEVAKPRATQPVRLTVAGAQAGDEVWLTLAAVDLGILNLTGFQSPDPQGHYFGQRRLGVEMRDVYGRLIDGMNGAMGIVRSGGDADNGLRMQSPPPTQDLMAVFSGPVQVGADGGVSVDVPLPAFNGTVRLMAVAWSDQAVGQAERDMIVRDPVVVTATVPRFLAPGDSSRLRLEVVHADGPPGEMALKLASAPGLQLGAAPDRFTLTEGGKAVFEVPVTATALGDPVLTVELETPGGQELRQVLRLPVRANDPVVAQTRRFALGAGDSFLFSRDVFTGLRPGSARAILSAGPLARFDAPGLLGVLDRYPYGCTEQVTSQAMPLLYLGAVAQAAGLGTGPQVAERIDAAIRRILTRQSANGAFGLWRAESGDFWLDAYASDFLSRARAEGYALPDRAFAMAMDNLRNRLNYAPDFDEGGEDIAYALMVLAREGAAAMGDLRYYADVKADAFTTPLGAAQLGSALAMYGDQTRADAMFARAARMVAGQRPEAPVWRADYGTSLRDAAGLLTLAAEAGSAVIDRDSLISRISQPAGEMSTQEAAWSLLAAQALVKQPEQSGLRVNGAAVDGPFVQVLAGTSDEVLNITAVDGGATDITLTMLGVPEVPLPAGGTGYTITRARYTMDGAPIQRDAFAIGERFVTVLTVTPFEASGGRLMVNDPLPAGFEIDNPSLLRSGDVRALDWLSLDEASHTEFRSDRFLAAVDLYGTRPVTLAYVTRAVSPGAFHHPAASVEDMYRPRYRARTDTGRIRVGQ</t>
  </si>
  <si>
    <t>SPO0133</t>
  </si>
  <si>
    <t>YP_165405.1</t>
  </si>
  <si>
    <t xml:space="preserve"> PAN domain-containing protein </t>
  </si>
  <si>
    <t>antiprotease</t>
  </si>
  <si>
    <t>AAV93560.1</t>
  </si>
  <si>
    <t>MKDIVMTAETVMQQLGLGAADLTGGSIRVTSPIDGRVLGEVHETPLSEMAAVLDRAKSAFKIWRSVPAPRRGELIRLLGEELRASKEALGALVSWEAGKITSEGLGEVQEMIDICDFAVGLSRQLYGLTIASERPGHRMMETWHPAGPVGVISAFNFPVAVWSWNAALAIVCGDPVIWKPSEKTPLTALACQKIFERALARFGDAPDGLLQTLIGGADLGRTLVESEDVPIISATGSTRMGRAVAPIVAARFGKCILELGGNNAMIVGPSADLEMAVRAIVFSAVGTAGQRCTTLRRLIAHNSIKDELVARLKKAYAGLPIGNPLAEGTLIGPLVDEASGNAMTDALKSAKAEGGMVFGGARVSEGVPAGGVYMQPAIVEMPAQSATVKTETFAPILYVMGYDSFEEAVHIQNDVPQGLSSCVFTLNMREAEQFLSASGSDCGIANVNIGPSGAEIGGAFGGEKETGGGRESGSDAWKAYMRRQTNTVNYSAELPLAQGVKFDI</t>
  </si>
  <si>
    <t>SPO0235</t>
  </si>
  <si>
    <t>YP_165504.1</t>
  </si>
  <si>
    <t>AAV93738.1</t>
  </si>
  <si>
    <t>MGFFDNLSGLFAADMAIDLGTANTLVYVKGRGIILSEPSVVAYHVKDGVKKVLAVGEDAKLMLGRTPGSIEAIRPMREGVIADFDTAEEMIKHFIRKVHKRSTFSKPKIIVCVPHGATPVEKRAIRQSVLSAGARRAGLIAEPIAAAIGAGMPITDPTGNMVVDIGGGTTEVAVLSLGDIVYARSVRVGGDRMDEAIISYLRRQQNLLVGESTAERIKTSIGTARMPDDGRGQSMLIRGRDLLNGVPKEIEISQAQVAEALAEPVQQICEAVMTALETTPPDLAADIVDRGVMLTGGGALLGDLDLALREQTGLAVSIADESLNCVALGTGKALEYEKQLRHAIDYDS</t>
  </si>
  <si>
    <t>SPO0420</t>
  </si>
  <si>
    <t>YP_165683.1</t>
  </si>
  <si>
    <t xml:space="preserve"> rod shape-determining protein MreB </t>
  </si>
  <si>
    <t>AAV93991.1</t>
  </si>
  <si>
    <t>MAKAFASQGDMSEKKISFTEVGEGLYAFTAEGDPNSGVIIGDDSVMVVEAQATPRLAQKVIDCIREVTDKPISHVVLTHYHAVRVLGASAFGAGQVIMSDTARSMVVERGQEDWDSEFQRFPRLFEGHESIPGLTWPTTTFSDSMTVYLGKRRVDIMHLGRAHTAGDAVIHVPDQNVMFTGDIVEYHSACYCGDGHFNDWGNTLDNIAWFDVDAIAPGRGDALVGKEMVNAAIENTRDFVQSTYRPAARVAARGGSLKEAWDAVRAECDPKFADYAIYEHCLPFNVARAYDEARGIDTPRIWTAQRDLEMWEALQG</t>
  </si>
  <si>
    <t>SPO0683</t>
  </si>
  <si>
    <t>YP_165938.1</t>
  </si>
  <si>
    <t xml:space="preserve"> metallo-beta-lactamase family protein </t>
  </si>
  <si>
    <t>Secondary metabolism</t>
  </si>
  <si>
    <t>AAV93994.1</t>
  </si>
  <si>
    <t>MNRPTDPHLLTQAATPAGTTAGYMPGWGNDFETEALPGALPQGMNSPQKCNYGLYGEQLSGTAFTATRPERTWCYRIRPSVKHSHRYEKIDLPYWKSAPCIDPDVISLGQYRWDPVAHSGAGLTWLTGMRTMTTAGDVNTQVGMASHIYLVTESMVDDYFFSADSELLVVPQEGRLRFATELGIIDVEPKEIAILPRGLVYRVEVLEGPCRGFVCENYGQKFELPGRGPIGANCMANPRDFKSPVAAFEDRETPSTVTVKWCGQFHTTKIGHSPLDVVAWHGNYAPVKYDLRNYCPVGAILFDHPDPSIFTVLTAPSGVPGTANIDFVLFRERWMVMEDTFRPPWYHKNIMSELMGNIYGQYDAKPQGFVPGGMSLHNMMLPHGPDKEAFEKASNANLGPDKLDQTMSFMFETRFPQHLTEFAAKEAPLQDDYIDCWTSLEKKFDGTPGKK</t>
  </si>
  <si>
    <t>SPO0686</t>
  </si>
  <si>
    <t>YP_165941.1</t>
  </si>
  <si>
    <t xml:space="preserve"> homogentisate 1,2-dioxygenase </t>
  </si>
  <si>
    <t>AAV93997.1</t>
  </si>
  <si>
    <t>MAHIIVVGNEKGGAGKSTVSMHVASALARLGYKVNTLDLDLRQRSLGRYFENRTAFNKASGLDLPSPRNHDLPEIDPASLKPGENVFDHRLSAAVARLEADSDFILIDCPGSHTRLSQVAHSLADTLVTPLNDSFVDFDLLARIDSSGEKILGPSVYSEMVWNARQLRAQAGLKPIDWVVVRNRVGTQRMVNKEKMERAIEMLASRIGFRIAPGFSERVIFRELFPRGLTLLDLKDVGVKQLNISNIAARQELRDMMKALQLPGVEIDF</t>
  </si>
  <si>
    <t>SPO0689</t>
  </si>
  <si>
    <t>YP_165944.1</t>
  </si>
  <si>
    <t xml:space="preserve"> hypothetical protein SPO0689 </t>
  </si>
  <si>
    <t>AAV94057.1</t>
  </si>
  <si>
    <t>MAEDMTIDSYLAAGGMLTNPTNVPARYRAELMKLMATFVDSELAGAAGFAEIINQGPGIKERIAAAKIVLEKTDNADRVLRIMGEFGADTQRYATHHPWTARLERDADIGAARTERDMRLAVFNYPIEGWADAVMMNLLMARAVVVQLADFTMISYQPLAEAFRAIAPIETRHGELALEGAAKLVEDGEVEALQASAAYWWPRVAASFGTGSAGRTEALRAMGLRRTGNAEMRTRWEAEAANLLDSLGLKRP</t>
  </si>
  <si>
    <t>SPO0752</t>
  </si>
  <si>
    <t>YP_166005.1</t>
  </si>
  <si>
    <t xml:space="preserve"> phenylacetic acid degradation protein, putative </t>
  </si>
  <si>
    <t>AAV94058.1</t>
  </si>
  <si>
    <t>MARFHDLEVTDIHKTIRDAVVVTLKPANGAASEFDFTQGQYLTFRRAFEGEELRRSYSICSGKDDGVLQIGIKRVDGGAFSTWANEELKVGDTVQAMPPMGGFHTPLDPGAEKQYLGFAGGSGITPVLSIIKTTLAREPRSQFTLVYANKGVNTIMFREELEDLKNLYMGRFNVLHILETDAQEIELFTGLVTEEKCGQLFEHWIDIQHVDTAFICGPEPMMLGIAAALRAHGLSDAQIKFELFASAQPGRAKRKAVSSEAAKGANQTRAAITLDGATQSFDMPKDLSILDAALQNSLDAPFACKAGVCSTCRCRVLEGEVEMVANHALEDYEVEKGYVLSCQAYPLTDTVVVDYDQ</t>
  </si>
  <si>
    <t>SPO0753</t>
  </si>
  <si>
    <t>YP_166006.1</t>
  </si>
  <si>
    <t xml:space="preserve"> phenylacetic acid degradation oxidoreductase PaaK </t>
  </si>
  <si>
    <t>AAV94062.1</t>
  </si>
  <si>
    <t>MYAQMIKTASDGVKSREDMSDEERAFQDKIDNDIKIEPKDWMPDDYRRTLIRQIGQHAHSEVVGQLPEGNWITRAPTLERKAILLAKVQDEAGHGLYLYSAAETLGESRDDLINLLHEGRMKYSSIFNYPTLNWADIGAVGWLVDGAAIINQVALQRTSYGPYSRAMIRICKEESFHARQGYHAIMAMAFGTPEQKKMAQDAVNRLWFPALMMFGPSDKDSIHSEQSMAWKIKVKTNDELRQQFVDQTVPQILYLGLELPDPNITWNEARGHYDFSDPDWSEFFNVIKGNGPCNTDRLAARRKAWDDGQWVRDGLLAHSRKKAAARMAAE</t>
  </si>
  <si>
    <t>SPO0757</t>
  </si>
  <si>
    <t>YP_166010.1</t>
  </si>
  <si>
    <t xml:space="preserve"> phenylacetate-CoA oxygenase subunit PaaA </t>
  </si>
  <si>
    <t>AAV94115.1</t>
  </si>
  <si>
    <t>MRVFGKWLGRALLALILAAGVIGVWKWEEINRLLAVNSLFNAEKIVANFSHMDAAFLTAPVARGNGPTSDLPHGAAYELPTGGTDWIEERAVTSLLVMKDGQIRFEEYYLGTSPDDRRISWSVAKSYLSALLGVLLEEGAIASIDDPVVKYVPQLKGSAYEPASIRNVLNMASGVTFDEDYFDKNSDINRMGRVVALGGTLDDFAASFTDSFAAPGETWQYVSIDTHVIGMVIRGATGRSVTDLLTEKILAPLGLERDGYYITDGAGVAFVLGGLNFTTRDYARFGQMILQDGSYGGKQVVPAGWIAASTAASAPTAAGKIGYGYQWWIPVGAGPGEFLARGVYGQYIYFDQPRGVMIVTTGADRGFRGEGVNEANIEMFRKIAQSL</t>
  </si>
  <si>
    <t>SPO0810</t>
  </si>
  <si>
    <t>YP_166063.1</t>
  </si>
  <si>
    <t xml:space="preserve"> 6-aminohexanoate-dimer hydrolase, putative </t>
  </si>
  <si>
    <t xml:space="preserve">Beta-lactamase </t>
  </si>
  <si>
    <t>AAV94152.1</t>
  </si>
  <si>
    <t>MSLSHVVIGNESLLIGCSEMLLDRGHKIAAVVSTDAEIAAWARGKGLAHMRDLSDLDRHLAGAGFDWLLSIANLRVIPEALLALPRQGAINFHDGPLPRYAGLNTPAWALMAGETRYGVTWHLIEGGIDEGDILAQQMFDIAEDDTAFSLNSKCYGAALDSFARVAGQLEQGLERQAQDLSQRSYFGRDARPAAAGRLDFTKPAATLAALVRALDFGDYANPLTCAKILAGGRVLAVGRARAEGRSGALPGTVLSSSSDSLTLACGEGDLVLSGLRALDGAPVDLAALVPEGQRLPALSAAESAALDRALAAALPAERHWRLPLAAMRPLPVPLAGSSAPGIPGPHRISVPHGLDDAALMAAVVVWALRSSGEEFGDLALTTGAMQQAAAEGYINGWVPLQAALTSTRADLIGWIEQTVEAARAKGAPPADLLLRDPRIAHRDTPQVALALDGAGPVPGAALTVALDRGQATLFADAARLDPRRTEILARRLETAMHAMGRARATDTAAALPVLPASERSTMLSDWNRSARDYDRALTVHRAFEDQAARTPEAPALVFEGQTLSYAALNARANAVAARLREMGAGPGSHIGIYLDRSPELLIAALAALKAGGAYVPLDPAYPADRIAHYVSDSRAAIIVSTGTRAQSLPKTQAQILDLGPLAGARQPENVDGCASADDLAYVIYTSGSTGTPKGVMVEHRNVANFFAGMDDRIDHALGGVWLAVTSLSFDISVLELFWTLARGFKVVLSSDENRAEVSKGPIAVSDRPIDFNLMYWGNDDGQGPKKYELLLEGAKFADAHGFNAVWTPERHFHAFGGPYPNPSVTGAAVAAVTKNLSVRAGSCVAPLHHPARIAEEWAVIDNLTGGRAALGIASGWQPDDFILRPENTPPRNKPAMFETIETLRRLWRGEAVEFAKADGTMHSVVTQPRPVSKELPLWVTTAGNPETWREAGSIGANVLTHLLGQSIDEVAEKIRIYHAALREAGHDPAGFKVTLMLHTYLADTREEAARIAREPMKDYLRSAAGLIKQYAWAFPAFKKPKGVTNAFEMDLGVLSGDELEAILDFAFERYFEDSGLFGTIGDAVARVEQLKRIGVDEVACLIDYGIDPAVVLEGLKPLAEVLRRVRAPSALAEDDFSLAAQIVRHGVTHMQCTPSMARMIAMNDEARLALGRVKHLLLGGEALPGDLVEDLREATGARILNMYGPTETTIWSTCALVPPRAEGTVDIGQPIANTTVYVLDGSGQPCPIGVPGELHIGGEGVTRGYWQRPELTAERFPRDPFAAEAGLTVTAAPQMYRTGDLVRWRADGQLDFLGRSDHQVKIRGQRIELGEIEAAMAAYPGVTGAVVIAREMGGDTRLVGYVTTGGPVSDAALRAHLAARLTEVMVPAHIVTLDAFPLTPNKKIDRKALPEPVQQRAAPSAPSEPASGAEAQIAAIWSRILGVGDIRADDNFFTLGGHSLLAVQAHREIRAALNVPNLPITDIFRFPTLGGLAAHLSQGSAPDEPTPPAVDSEERASTMSRRRAMRASRQERVR</t>
  </si>
  <si>
    <t>SPO0847</t>
  </si>
  <si>
    <t>YP_166100.1</t>
  </si>
  <si>
    <t xml:space="preserve"> non-ribosomal peptide synthetase </t>
  </si>
  <si>
    <t>PKS</t>
  </si>
  <si>
    <t>AAV94154.1</t>
  </si>
  <si>
    <t>MATSETQFEQEDIAIVGMSVHVPGAQSAAEFWRNLRAGIESIRVLDDAALLEAGERPDRLADPNYVRAAAPLDGFDRFDADFFGFSPKEAAILDPQHRQFLETAWEAMEDAGHPPETIAGPIGVYAGCGMGSYFYFNICSNPGLVDDVGMFLLRHTGNDKDFLSTRVSHVFDLRGPSLNIQTACSTSLVAIHYACKALREGECDMALAGGSTIELPQGRGYLYKENEILSPDGHCHAFDHRAQGTVFGSGAGVVALRRLEDALADGDHIWAVIKGSAINNDGADKAGYLAPSVGGQAQAISAALKAADVPAETIDYIECHGTGTYLGDPIEVSALTQAYREQTAESGFCRIGSVKTNIGHLDTAAGVAGFVKTALALHHKQIPPSLGYEAPNPAIDFETSPFRVNDKLTDWTPHKGPRRGAVNSLGVGGTNAHVILEEAPERAASDESDFPFQILCLSARSRAALDGNAKALAGWLRANPDVNLADVAYTLKEGRRGFEKRRVLVAETALEAADLLDQGDPRRVFTHDALGAGADVVFMFPGGGAQYAGMARDLYEVEPVFAEWMDRGLAHLQQSLDYDIRAIWLPDGDTAEADAKLQQPSVQLPLIMIVEYALAQLWLSWGVRPAALVGHSMGENTAACLAGVIAFEDCIDLVLLRGRLFDTVAPGGMLSISLPLDEVQALIGEDLDIASVNAPRLTAVSGPQAALDRLAAVLKAREVEYQRIQIDIAAHSRMLEPILKEYGDFLRGLTLSAPQIPIQSNRSGAVLSEAEATSPDYWVAQLRNTVHFADCIAGLSSDPDRVFLEVGPGKALSSLAQMCPGVTPGQVLSSLRHPDQEIADDAYFLGVIGRLWACGVEADWPQIWGEAHRRRLPLPTYAFQRSRYFIEPGTRQAEAPRALPARSDDLSQWGWRPVWRPRLADCDIDTATELAEAAPRNWLFFMDETGLAEAAAQRLEGVGHHVTRVRSGDSYARLTDGSYTLAPEQGRMGYDLLLRDLDEQQRLPDRIGHFWLVTEAERFRPGSSFHDRNMEHGFFGLTWLAQALGQVDLPGALHITVFTSGAARLRDEGLAYPEKATIAGPMGVLPHEMPGLTCATVDIELPARLRPPLFARLRGAAPEQDEDLTPALLEELLVEPGNAFAARRDGKRYARSYRPAPLTDAGPAFRDGGTYLITGGFGGIGLTLARHLMDHHGANVILLGRDPLPTDPAAWLAGHSPADRTSRRLRALAELEALERGEVMAIAADVANIDQMRRALTLAEDRFGALTGVIHAAGHIADGPALAKTEADLHRVLSPKMTGLRVLDELFPDGVLELMVLCASSSTASRPAGQVDYVAANEYLNAFADSRQGGATRVVAVNWGVWADVGMAADARAARLGTGHDTARSPTGLPLLHEAGFDEAGNRLFVSRLSAEDWVFDEHRTADGTALLPGTGYLELAAQALHAQGITHPYDIRDLYFFRPLRVNGTPREVVVRLEDAPDGVAFSVWSALPGGGYAQNAQARLVPAPGAQAEPLDLAAIATRCPEAQSAAPNAVLHSPQERHLQFGPRWQVLRATARGTGEGLARLALPEAYRGDLDKGYRMHPGLLDLATGWAIELAAGYDDTTLWVPVSYRSIRVHAPLPAEIRSWMRLTPDQASVAGHASFDITLSDATGAVLVEIEGFQMQRTSGTIDLSDPERPDADARALGLEPARQSTPLSPEEQRLHHNIAQGIRAEEGAEALVRALGTGLPQLVVSSLDLPRLIAEADQVAAPAEAGQSFDRPELDTDYVAPATETEKTLAGFFETLLGVSKVGTQDSFFDLGGHSLIAVRLFAQINRAFAVEFPISLLFEAPSVEAIATRIDARLGRSGTGDSPETAEASAPDLTHVVPLHQAAGGHASPFFVVAGMFGNVLNLRHLALMLGRDRTVYGLQARGLVGEDAPHETIPEAARDYIAEMRQVQPHGPYLLGGFSGGGIIAYEIAQQLRDAGEEVALLVLLDTPLPQRPPLGRSDKALIKLQQFRERGPRYLVDWVKARFAWEVQRRRGPAQDSGGGAFNNTRIEAAFLRSAAGYALRPWEGATVLFRPPLERLWQVSGGNWVNHERHYVYPDNDWGRWIAALEVIEVPGDHDSMVLVPNVSVLAEHLRGQLNAIDKPGALPHAAE</t>
  </si>
  <si>
    <t>SPO0849</t>
  </si>
  <si>
    <t>YP_166102.1</t>
  </si>
  <si>
    <t xml:space="preserve"> non-ribosomal peptide synthase </t>
  </si>
  <si>
    <t>AAV94211.1</t>
  </si>
  <si>
    <t>MTLEILTADSLSFVRHGFFTRRGGASSGVFAGLNCGSGSSDQTDVVILNRARVAQAMEVEREALVGVHQVHSPDVVTVTGPLNDKPRADALVTATPGLALSVLTADCQPVLFADPEAGVIGAAHAGWRGARDGVLEATLDAMEALGASRADITAVIGPTISQRAYEVGPEFLDDFLAEDMDNSRFFANGTGDRMLFDLPAYGLHRLRAAGCGQAEWTRHCTYSDADRFYSYRRATHAREADYGRLISAIRL</t>
  </si>
  <si>
    <t>SPO0906</t>
  </si>
  <si>
    <t>YP_166159.1</t>
  </si>
  <si>
    <t xml:space="preserve"> hypothetical protein SPO0906 </t>
  </si>
  <si>
    <t>AAV94585.1</t>
  </si>
  <si>
    <t>MAKTQDFTAIMKDMMGAFPVDTKAMEDAFKSTAALNEKLSGVALEAAEKSAEISSKWTKETLAKLSDMSKAKAEPADYAKAMTDFASASAEVAAENMAAFAEVAKKVQMDTVELLMAAGKDITEDATAAVKKATNDVTAAAKKAAAAK</t>
  </si>
  <si>
    <t>SPO1293</t>
  </si>
  <si>
    <t>YP_166538.1</t>
  </si>
  <si>
    <t xml:space="preserve"> phasin, PhaP </t>
  </si>
  <si>
    <t>carbon storage</t>
  </si>
  <si>
    <t>AAV94800.1</t>
  </si>
  <si>
    <t>MRTALALLALTLAAPLGAEEIWVTNEKDDTISVIDVATLEVVRTIATGERPRGITFSHDFSRVYICASDSDTVQVMDPETGEILHDLPSGEDPEQFVLHPNDRHLYIANEDDAITTVVDTETRRVIAQIDVGIEPEGMAVSPDGRIAITTSETTNMAHWIDTETRQLFANTLVDARPRHAEFVHGGAELWVSSEIGGTVTVFDVATQAEKAKIAFEVKGVHPDRVQPVGFELTADEKTAFVALGPSNHVAVVDTATYEVVDYILVGRRVWHMAFNSDKSLLFTTNGVSGDVTVIDVARREAIKSIKVGRFPWGAALRP</t>
  </si>
  <si>
    <t>SPO1513</t>
  </si>
  <si>
    <t>YP_166754.1</t>
  </si>
  <si>
    <t xml:space="preserve"> hypothetical protein SPO1513 </t>
  </si>
  <si>
    <t>AAV94909.1</t>
  </si>
  <si>
    <t>MILQPPGPGERRGAARQFTGRNVMSETVMQTQIGKLDLTAPPPGFLENPFPFYDALLAHAPVLAQPDGSVLLSRHADLDRIYRDTTLYSSDKKAAFGPKFGVGSPLFEHHTTSLVFNDPPLHTRVRKIMTSALTPRAIARMEPGLFETVDHLLEAMAGRDRVDLIADFASTIPIQIIGNLLDVPMDERGPLRDWSLIILGALEPKLSAEQLAQGQQAVTEFKTYLEDLVARRRARPGDPETDVLTRLIRGEGADQQLSEIELLQNCIFILNAGHETTSNLIGNGLALLHDYPEERARLLADPSLLPSAVEEILRFRSPNQLGNRETTAEIELDGRRLPRGTNLHLCIGAANRDPAVFDDPTRFDIARKPNRHLAFAGGPHVCVGLTLARLEGRIALGRLLERFPDYCLLEGRVPGGRIRFHGYAELPARL</t>
  </si>
  <si>
    <t>SPO1622</t>
  </si>
  <si>
    <t>YP_166863.1</t>
  </si>
  <si>
    <t xml:space="preserve"> cytochrome P450 family protein </t>
  </si>
  <si>
    <t>AAV94955.1</t>
  </si>
  <si>
    <t>MHNGRGAGTYCGVGVSSRHMLLNSVSAIFLATAMTFAALPQDAQAQDYRFNTVQVDGNQRIETSTIISRMGIERGKTISAGALNDAYQRLLDSGVFETVELIPRGNTLVVKVVEHPTINRINFEGNRRVKDETLEGAIGSQSRRVFTPEQAERDAATIAEIYSTQGRVAATVVPRIIRRSDNRVDLVFEISEGDTIEIERVSFVGNRVFSDRRLRRILETKQAGFLRTFIRSDTFIADRIEFDKQVLRDFYLSRGHVDFRVNSANVEFTRERDAFFLVMDVTEGQQFSFGKITTVSEIPGVEAPAYQDVLKIKPGVVYSPSLVENSIARMERLGLKNGVDFLRVEPRITRNDRDLTLDIEFALVKGPRIFVERIDIEGNTTTLDQVIRRQFRTVEGDPFNPREIRESAERIRALGFFGDANVETREGSTPAQVIVDVDVEEKPTGSLSFGGSYSVSDGFGVAIGLTEDNWLGRGQRLGLTLSTAQDAEQYVLSFTEPQLLGRDLRFDIDLGVANTNSSFASYDTERAFFAPGITFRLGELSTLQLRYRWEASEMVQRTATTVSGAVIASEIAQGKKSSSALGLTYTYDSRIGGLNPNAGVLFEVGVDAAGLGGDNEYFKTSAKAIAQTRVWHEEITLRASLDVGAFTWQGSGFSRAIDRFVIGPNTFRGFEPAGVGPRDQSNGVDDAIGGNYYAVARFEAEFPLGLPEELGLRGGLFYDVGNVWDVSDVNTAGGTIVGADGSFRHVIGFSLLWTTAFGPLRFNFSKALKKETFDKEQSFDLTIQARF</t>
  </si>
  <si>
    <t>SPO1670</t>
  </si>
  <si>
    <t>YP_166909.1</t>
  </si>
  <si>
    <t xml:space="preserve"> OMP85 family outer membrane protein </t>
  </si>
  <si>
    <t>outer membrane protein assembly complex</t>
  </si>
  <si>
    <t>AAV95082.1</t>
  </si>
  <si>
    <t>MSLREAVLANLKKITDPVSGQDIVSAGIVRALNVEGDTVRFVIEIDPKLAERMEPVRAAAEKAAQMVEGVAKVSAMMTAHSDKAPPELKPRAKAAPQGPQPVAGVDRIVAVASGKGGVGKSTVSANLACALAAEGRRVGLLDADVYGPSQPRMLGVSGRPASPDGKTILPLRNHGVTMMSMGLMTNEGQAVVWRGPMLMGALQQMMNQVQWGGLDVLIVDLPPGTGDVQLTLSQKFAVDGAIIVSTPQDVALIDARKGIDMFRQLKTPILGMIENMSTHICSNCGHEEHVFGHGGVAAEAEKLGVPLLGEIPLHLDIRVAADGGAPIVVSKPDSPQAEAFRRIARDLIAKGQA</t>
  </si>
  <si>
    <t>SPO1803</t>
  </si>
  <si>
    <t>YP_167040.1</t>
  </si>
  <si>
    <t xml:space="preserve"> Mrp/NBP35 family protein </t>
  </si>
  <si>
    <t>AAV95336.1</t>
  </si>
  <si>
    <t>MSLNGKTAIVTGSNSGIGLGIARELARAGADVVLNSFTDRDEDHALAAALAAEFGVSARYIKADMSQGAECRALIAQAGRCDILINNAGIQHVAPIDTFPQEKWDAIIAINMNSAFHTMAAALPMMRAAGWGRIVNIASAHGLTASPFKAAYVAAKHGVVGMTKTVALETAQDPITCNAICPGYVLTPLVEAQIPDTMEKYGMSREDVIKKVMLERQPSKEFATVEQLGGTAVFLCSDAAAQITGTTISVDGGWTAL</t>
  </si>
  <si>
    <t>SPO2065</t>
  </si>
  <si>
    <t>YP_167295.1</t>
  </si>
  <si>
    <t xml:space="preserve"> D-beta-hydroxybutyrate dehydrogenase </t>
  </si>
  <si>
    <t>PHAs</t>
  </si>
  <si>
    <t>AAV95349.1</t>
  </si>
  <si>
    <t>MGLLFRWLLRLAAGLIALAVAAVALVYYLASQSLPDYDQTQEVAGLTAPVEIVRDTHNVPHIFGASDPDVFFGLGYAHAQDRLWQMTMLRRTVQGRLSEVFGPRTVAIDRLLRRLDLARLAQQSVSAQDAYTTAALKAYAAGVNARLAEINDEALGRGAPEMFLFNAPVAPWQPADSLAIIKLMGLQLSGHLEEEVLRARTSLMLGDPARLVDILPDAPGTGTAALPEYAQLFPGLPRYAAGRDTPHDPLMPLPRRGLAGASNAWAAAPSRSASGGTLLANDPHLGFAAPSTWYLARLELANGGVIGGTIPGMPAVLLGRSERLGWGLTSSYMDDQDLFVERLNPDNPEEYLTPDGYKTFESRPSIIEIKGAAPITLTLRWTENGPVLPGSVYDLETITPPGHVMSLGWTMLDARDTSMSAALALINAGTVQEAIRASEAYVGPSQNLTLADRETVALKMVGAVPRRDPRHQSQGRLPAQGWRAENRWQGRMPYASNPEFVSPVGGILGNTNNKLLERPFPNHVSFVWGDTQRVTRWQKLMQSREVHTRDGFIEAQLDPVSPAARTLLPLIGADLWFTGEAAPEGTPERQRQIALSLLAEWNGEMSEHLPEPLIYAAWVRALQKRLITDELGPLADEYKQVEPLFIERVFRDIDGASVWCDIRQSAPRETCTEIARLALDDALVWIGDRYGSALESLRWGDAHQATHDHPVLGEVPVLRYFVNIRQSTSGGDHTLQRGRTSGEDPDPFRNVHGAGYRGVYDFADPDSSVFVISTGQSGHFLSRYYDDQAQLWRRGEYIPMSLDADLARAAAVGVTRLLPAPE</t>
  </si>
  <si>
    <t>SPO2078</t>
  </si>
  <si>
    <t>YP_167308.1</t>
  </si>
  <si>
    <t xml:space="preserve"> penicillin amidase family protein </t>
  </si>
  <si>
    <t>AAV95379.1</t>
  </si>
  <si>
    <t>MEEAMTRRRARGGGGAARRAERSAVVIETAKYIERNIPNFEVLNEEALEIIEANAETVLAEIGVNFVNNPAALERWRAAGAEVEDERVRIPRGLARKLCSTAPGQFTQHARNPAKSVVVGGRNLVLAPVYGPPFVRDAQGGRRYATMADFEKFVKLAYMSKWLHHSGGTVCEPTDIPVNKRHLDMLMAHMTLSDKPFMGSVTAPERAQDSVEMCEILFGKEFVRDNTVMTSLININSPMTFDDIMMGALEVYAASNQACIISPFIVGGAMAPVSVAGTLTQVLAEVLAGVAYSQLVRPGAPVIFGAFVSSIDMNSGAPTFGTPEASLVTYGAGQLARRLGLPFRSAGSFCGSKLPDAQAAYETANSLNMGLLSGVNFMLHACGWLEGGLVADFEKFVMDADQLGVLHGLAKGVPVDAEHQAMGAIREVGPGGHYLGCAHTQANFKSAFWKSELLDYKPFETWEEEGARDTYALASSRVDKLMDAYQQPTLDPDIAAALAAYVAEKKASMPDAFM</t>
  </si>
  <si>
    <t>SPO2108</t>
  </si>
  <si>
    <t>YP_167338.1</t>
  </si>
  <si>
    <t xml:space="preserve"> trimethylamine methyltransferase family protein </t>
  </si>
  <si>
    <t>AAV95689.1</t>
  </si>
  <si>
    <t>MKLLRFGPAGAEKTGMLDADGNVRDLSAHVPDLSGAAVSIEALDALRAIDPATLPLVADPGRIGACLSSVPNFFCIGLNYAKHAAETGATPPSEPILFSKTTSCLSGPNDPVIIPRNSVKTDWEVELGVIIGRSALYVDEADALDYVAGYCTINDVSERAFQAEMGGQWIKGKSAPSFGPIGPWLVTADEVPDPQALDLRLSLNGKVVQDSNTDDMIFSVAQIVSYMSRFMQLQPGDIIATGTPSGVGLGMKPPLFLKPGDTMELSVQGLGSQRQVAVAAD</t>
  </si>
  <si>
    <t>SPO2435</t>
  </si>
  <si>
    <t>YP_167652.1</t>
  </si>
  <si>
    <t xml:space="preserve"> fumarylacetoacetate hydrolase family protein </t>
  </si>
  <si>
    <t>catechol pathway (?)</t>
  </si>
  <si>
    <t>MAYAPRNWSSVMTRTVQCISPIDGSVYLERPAATREAAMDAAERARAAQAAWAARPLAERVALVLAAVAEVGKTTDRMAVELAHQMGRPVRYGGEFGGFNERATYMARIAESALAPLVVEDSDAFLRKIEREPFGVVLVVAPWNYPYMTAINTVAPALMAGNTVILKHAAQTLQVGERMAEAFHAAGIPEDVFQNIVLDHDTTAELISRRKVNFVNFTGSVRGGQAMERAAAGTFIPVSTELGGKDPGYVRADADLDAAVDTLIDGAMFNSGQCCCGIERIYVHTSLFNAFVDKAVALVNSYKLGNPLDPETTIGPMANVRFAQVARDQIEDAIAKGATAHIERFAQDDGGAYLTPQILTNVTHDMEIMREETFGPVVGIMPVADDEEAIALMNDCQFGLTASIWTRDTARANEIGRRLETGTVFMNRCDYLDPALCWTGCKDTGRGAGLSVLGFHALTRPKSYHLKKA</t>
  </si>
  <si>
    <t>SPO2608</t>
  </si>
  <si>
    <t>YP_167819.1</t>
  </si>
  <si>
    <t xml:space="preserve"> aldehyde dehydrogenase, putative </t>
  </si>
  <si>
    <t>AAV95979.1</t>
  </si>
  <si>
    <t>MHRKSPPARPLTRLPALGLGLLLLAGCEEGANLSLFQPKDKEAATSSETRSTKLVERDVEAPEVFQVTEAGLWDGRPSLGGVWVAHPDVKEPERVIIRNATNDKFVIGALFRREREIPGPRIQASSDAAAALGMLAGAPVELNVTALRREEVQEEPPLDETIAQADAVEPLPEVAETTLDPVAGAAAAIEAAAPSPAPAAAPAPATPPKPKAQASSLDKPYIQIGIFSVEANAKSAADQMRSAGMVPTIRQETTSGKSFWRVVVGPAQSKSERTALLKQVQGTGFSDAYAVKK</t>
  </si>
  <si>
    <t>SPO2738</t>
  </si>
  <si>
    <t>YP_167945.1</t>
  </si>
  <si>
    <t xml:space="preserve"> putative lipoprotein </t>
  </si>
  <si>
    <t>involved in sporulation and cell division</t>
  </si>
  <si>
    <t>AAV96064.1</t>
  </si>
  <si>
    <t>MHLNGKHALVTGGGTGIGLAIAQALAAEGAQVTITGRRAEVLEQVATEGLHPMAMDVRHEEEVVTGVARAVEARGPIQICVANAGIAVGKTLQKTDMAFWRDIMATNLDGAFLTIRESLRSMLETDWGRVITVASIAGLRGAPGAGAYAASKHGMIGLTRTYSEEFMGTPYTFNALCPGYVDTPIVERNTASISQRTGMAADDALQLMVNQNRHKRLIAPEEVAAAALWLVRPGSQSINGQCIEIAGGQT</t>
  </si>
  <si>
    <t>SPO2823</t>
  </si>
  <si>
    <t>YP_168031.1</t>
  </si>
  <si>
    <t>AAV96224.1</t>
  </si>
  <si>
    <t>MSDSIQKKAAEAVGLVEEVTAVILPEPRAEVVPLAEADAPASAEIRRRMGEIDMGDTNSIVRFGSGAQAELQEISQAMLADVRNKDVGPAGDSLRNIVTTIRGFSVSELDVRRERSWWERLLGRAAPFAKFTARFEQVQGQIDKITDTLLGHEHTLLKDIKSLDLLYEKTLRFYDELALYIAAGEEKLTELDSQDIPALAAAVDAAPEGEQVIKAQELRDLRAARDDLERRVHDLKLTRQVTMQSLPSIRLVQENDKSLVTKINSTLVNTVPLWETQLAQAVTIQRSAEAAAAVRDANDLTNELLTSNAANLRESNKLIRQEMERGVFDIEAVKKANADLIGTIQESLQIADEGKAKRAAAEEELKKMEAELRDTLAAARARADGIGYNAGTAVPG</t>
  </si>
  <si>
    <t>SPO2986</t>
  </si>
  <si>
    <t>YP_168192.1</t>
  </si>
  <si>
    <t xml:space="preserve"> tellurite resistance protein </t>
  </si>
  <si>
    <t>Defense</t>
  </si>
  <si>
    <t>AAV96249.1</t>
  </si>
  <si>
    <t>MTDRMYRIALASRPTGAPEAANFSLEEAPVPTPGPGEVLVRVHYMSLDPYMRGRMDDAKSYAAPVPIGGTMEAGGVGEVIASNDPGFAPGDFAFGMFGWATHGVQPGKMLRKIDPKVMPITTALGVLGMPGFTGWFGLMEHGRPKAGETLVVAAATGPVGSMVGQVARLAGLRTVGVAGGADKCRIATETFGFDACLDHRAYDSAADLRRALAAECPDGIDIYFENVGGKVLEAVLPLMNNFGRIPVCGMISWYNAGGLGAGASDPGLTGPAIWRSILVKFLSVNGFIISNHFDRYPAFLAEIAPKLASGEIRYLEDVAEGLENAPAAFMAMLRGGNTGKQIVKLI</t>
  </si>
  <si>
    <t>SPO3013</t>
  </si>
  <si>
    <t>YP_168217.1</t>
  </si>
  <si>
    <t xml:space="preserve"> L4BD family NADP-dependent oxidoreductase </t>
  </si>
  <si>
    <t>AAV96272.1</t>
  </si>
  <si>
    <t>MKNLLANLTATAVIAASASVALSQEASHFDPKGKPPSQETIAIIEALRGSLPFEDERDFEEARKGFIAKPDFTQIMAEKGNVAWDIGSYDFLLQGEDFDTIHPSLQRQAVLNMSYGLYEVMPDRIYQVRGFDLANFTVVKGDTGWIVFDPLTAKETAAAALKLVNDTLGERPVTGVVYSHSHADHFGGVRGVVAEDDVREGLVPIIAPVGFMDHAVAENVYAGNAMNRRLFYQYGVLLPRSPFGHVDQSIGKNTAAGNLGLIAPTVVIEDDIKELTVDGVRMVFQNTPGTEAPAEMNTYFPDFKAFWAAENITGTIHNIYTLRGALVRDALEWSRQINAALYLFGQDAEVMFASHSWPRWGNERIQEVMRAQRDTYANLNNGVLHLANQGVTINEMHNEYSVPESLQQQWSARSYHGSVEHNSRAVINRYLGYWDANPATLIPLSPSESAPLFVEMMGGAGPIMARGQDLYDSGKYKLAQEILNKLVYAEPENQEAKDLLADVFEQIGYQQESPSVRNSFLAGAYELRNGIPSGASPKSSGPDMVRAMDTYLWLDFLGVRLDSAKAGDRSFTINMITPDNGEKFVIELSNGTLTNLQGYLADDPDLTMVLNRSDLEPVMMGMATIEDQIAAGKVALAGDTGIIDELKAMLVQFDLGFEILPGTGEQDLTPEANAFQQPEPADTSGG</t>
  </si>
  <si>
    <t>SPO3036</t>
  </si>
  <si>
    <t>YP_168240.1</t>
  </si>
  <si>
    <t xml:space="preserve">Metallo-beta-lactamase </t>
  </si>
  <si>
    <t>AAV96427.1</t>
  </si>
  <si>
    <t>MSDTKLNLIAGEWLAGEAEIENRNPSDLSDLVGMFAQASADQLDATLHQARRAQAEWAAYGMERKQAVLMAIGTELMARAEELGTLLSREEGKPLAEGKGEVYRAGQFFTYYAAECLRQLGENADSVRPGVEVDVRREAVGVVAVISPWNFPTATASWKIAPALCYGNAVVWKPANITPASAVALTEIIARQDIPKGLFSLAMGSGRSIGQRLVESPLVNAISFTGSVPVGKGIASAAIQNLTKVQMEMGSKNALAVMDDADLDLAVTLALGGAFGGTGQKCTASSRLVVHAAIHDAFVEKLVAGTQAMKVGHALAEGTQMGPVVSQQQLSENLAYVDLGKSEGAELACGGQRLEMPQEGYYMSPGVFLNTTNTMRINREEMFAPLTSVIKVGSYDEALSVVNDTNFGLTSGIVTKSLARATHFRRNARTGVVTVNLPTAGTDYHVPFGGRGDSSYGPREQGKAAAEFYTTVKTAYISAGAPQ</t>
  </si>
  <si>
    <t>SPO3191</t>
  </si>
  <si>
    <t>YP_168394.1</t>
  </si>
  <si>
    <t>AAV96441.1</t>
  </si>
  <si>
    <t>MFYKDERLALFIDGSNLYAAAKALGFDIDYKLLRQEFMRRGKMLRAFYYTALLENDEYSPIRPLVDWLHYNGFTMVTKPAKEYTDSMGRRKVKGNMDIELTVDAMELAPRVDHIVLFSGDGDFRPLVASLQRQGVRVSVVSTIRSQPPMISDELRRQADNFIELEELREVIGRPPREVPAEPRSFAANGN</t>
  </si>
  <si>
    <t>SPO3206</t>
  </si>
  <si>
    <t>YP_168409.1</t>
  </si>
  <si>
    <t xml:space="preserve"> hypothetical protein SPO3206 </t>
  </si>
  <si>
    <t>circadian clock system</t>
  </si>
  <si>
    <t>AAV96595.1</t>
  </si>
  <si>
    <t>MSIKELFDTMEYGPAPESAAEALAWLVDQGDRFGHFIDGAFTAPGDGFDSRNPATGEVLATLTQATQADVEAAVAAARKAQPKWAALGGAGRARYLYAIARLMQKHSRLFAVLETLDNGKPIRESRDIDIPLAQRHFYYHAGMAQLMESELPDAEPLGVCGQIIPWNFPLLMLAWKVAPALAMGNTVVLKPAEFTSLTALLFADICQQAGLPKGVVNIVTGDGAVGEMIVAADVDKIAFTGSTAVGRHIREATAGRGLELTLELGGKSAYVVFDDADIDSAIEGLVDAIWFNQGQVCCAGSRLLVQEGIADRFYTKLRARMDGLRLGNPLDKCIDVGAVVDPVQLQTIERMVASNTAGQVHHAACALPENGCYYPPTLITGLSTSDPLMQEEIFGPVLVSTTFRTPAEAVELANNTRYGLAATVWTENVNLALDIAPKLVAGVVWVNATNLFDAAAGFGGVRESGFGREGGWEGLAAYTRPKGKRKALARIEPTMGHGAPVDPIDRTAKLYVGGKQARPDGGYSRPVWGKSGLLGHVGLANRKDVRNAVEAAAGASGWAKTTGHLRAQILYYIGENLSARAAEFTHRIDAMTGKRSGAKEVEASIQRLFTAAAWADKYDGQVHGVPIRGVALAMKEPVGVIGALCADEAPLLGLVSVMAPAIAMGNRVVLAASEPYPLAATDFYQILDTSDVPAGVVNILTGSHAELARPLASHLNVDAVWSFSSTDLSAEIETAAAGNLKRSWVNNATSLDWSVDHSKRFLQAATEIKNIWVPYGE</t>
  </si>
  <si>
    <t>SPO3368</t>
  </si>
  <si>
    <t>YP_168564.1</t>
  </si>
  <si>
    <t>AAV96609.1</t>
  </si>
  <si>
    <t>MIEKRDFYINGAWVAPAVSNDFQVINPSTEEPCAVISLGSEADTNAAVAAAKAALPGWMATPVAERIALVEKLIEIYHTRGEDLAQAMSLEMGAPIDMSRSQQVGAGTWHLKNFIRAAKAFQFERPLGDHAPNDRIIYEAVGVAALITPWNWPMNQVTLKVGAAAIAGCTMVLKPSEQSPLNAMIFAEMMDEAGFPPGVFNLVNGDGAGVGSQLSTHPDIDMVSFTGSTRAGTAISKAAADTLKKVHLELGGKGANVIFADADDKAVKRGVLHMMNNTGQSCNAPSRMLVQRPIYDQAVETAAEVASKVTVGNALDEGRHIGPVVNELQWSKIQDLIQKGIDEGARLVAGGTGRPEGLNKGYYVRPTVFADANNQMTIAREEIFGPVLTMIPFDTEEEAIEIANDTPYGLTNYVQTQDATRANRMARALRSGMVEMNGQSRSAGSPFGGMKQSGNGREGGVWGLEDFLEVKAVGGWAAE</t>
  </si>
  <si>
    <t>SPO3382</t>
  </si>
  <si>
    <t>YP_168578.1</t>
  </si>
  <si>
    <t>AAV96913.1</t>
  </si>
  <si>
    <t>MSAERILIAGGGIGGLAAALGLARQGRRVLVLEKAAQLGEIGAGIQLGPNAFHAFDYLGVGDAARALAVYIDNLRLMDAITGVEITRIPLDDPFRARMGNPYAVVHRGDLHGVFLRACQDSPLVELRTSSAVVGYEQDGTSATALLQDGTRETGAALIGADGLWSKVRAQMLDDGPPRVSGHTTYRSVIPVEDMPEELRWNAATLWAGPKCHIVHYPLQGWRSFNLVVTYHNDAPDPVAGMPVTADEVRKGFEHVSPVARQVIDKGQDWKLWVLCDRDPVMTWTEGRVALLGDAAHPMLQYFAQGACMAMEDAVRLSALVGEGGEIETLLRRYQDSRRLRTARVQLQSREIGEHIYHPDGAHAALRNAMMSAKTPEEWYDSIEWLYGGTGLTGAV</t>
  </si>
  <si>
    <t>SPO3692</t>
  </si>
  <si>
    <t>YP_168886.1</t>
  </si>
  <si>
    <t xml:space="preserve"> salicylate hydroxylase </t>
  </si>
  <si>
    <t>AAV96918.1</t>
  </si>
  <si>
    <t>MSANAAHYFVDRHVEEGRGARPAFREAAGARRRQSYGELARDSGAVAGALARAGIPREARAAMLVLDQLEFPALFWGCLKAGVVPVPLNTLLATSVYEVILNDSRASILFVSEELWPVVQPAALASPHLTRIVVIGAAPDGTQSYADFVQGADILPAVEVSPDDVAFWLYSSGSTGQPKGVRHVHASLKATADSYGARVLGIEPDDLVYSAAKLFFAYGLGNGMTFPMSVGAETILFNGRPTPDGVRDIIATEKPTVFCGVPTLYAAMVAMLDREGVPDVTLRRCISAGEALPEEIGRSWHRQWGVDILDGVGSTEMLHIFLSNAPGDVVYGTSGRPVPGYEVRLVDESGADVGPGGLGELLVRGASAADGYWNKRDKSRATFEGEWTRTGDKYELTSDGRYVYCGRTDDMFKVSGIWLSPFEVEQALVAHPAVLEAAVVAARDADGLEKPKAFIVLKAAETEGLADTLRDFVKEKVGKWKYPRWIEFVEDLPKTATGKIQRFKLREGG</t>
  </si>
  <si>
    <t>SPO3697</t>
  </si>
  <si>
    <t>YP_168891.1</t>
  </si>
  <si>
    <t xml:space="preserve"> benzoate-coenzyme A ligase </t>
  </si>
  <si>
    <t>AAV96922.1</t>
  </si>
  <si>
    <t>MLDLINVSYDTQIPNNVGLSQDKKVLKALEKWHPGYINWWNDLIPQNFQESLVYLRTAVSVDPKGWAKFDYVKMPEYRWGVLLAPQVENRTIPCGEHYGQPAWQEVPGEYRNLLKRLIVIQGDTEPASVEQQRLLALTAPSLYDMRNLFQVNVEEGRHLWAMVYLLHKYFGRDGREEADDLLRRQSGSEEAPRMLGAFNEETPDWLSFFMFTYFTDRDGKMQLESLAQSGFDPLSRTCRFMLTEEAHHMFVGETGVGRTIERTCQVMKENGIDDPYDTGRIRDLGVIDLPLIQKKLNLHYTLSLDLFGQEVSTNAANAFNAGIKGRYMENRLTDDHQLQQDTYTVWDFEDGKAVQKQVAALTAINMRLRDDYTKDAAGGVGRWNKIIEKHGVDFQLSLPHEAFHRKIGVFADKHFDPSGQPVSGAEYDAGLPKWLPTHADGDFIQSLMKPCYEPGQYARWIAPPKVGIDNRPGDFEYVKLHMA</t>
  </si>
  <si>
    <t>SPO3701</t>
  </si>
  <si>
    <t>YP_168895.1</t>
  </si>
  <si>
    <t xml:space="preserve"> benzoyl-CoA oxygenase, B subunit </t>
  </si>
  <si>
    <t>AAV96958.1</t>
  </si>
  <si>
    <t>MSHIVVIGAGQAGASLVARLRKDGFEGEITLIGAEPVPPYQRPPLSKAYLLGEMEKERLFLRPESFYAEQNIALRLNARVSAIDPAAKTVSLGGEVIPYDQLALTTGSEPRRLPAAIGGDLAGVHVVRDLADIDAMAPSVTEGARALIVGGGYIGLEAAAVCAKRGVQVTLVEMADRILQRVAAPETSAYFRALHTGHGVDIREGVGLTRLIGAQGRVTGAVLTDGSELPVDLVVVGVGIAPATALAEAAGLVLENGIRTDAQGRTSDPSIWAAGDCASFPYKGGRIRLESVPNAIDQAETVAQNMQGAGKDYVAQPWFWSDQYDVKLQIAGLNTGYDRVVTRPGEGQTVSFWYYTGDQLVAVDAMNDPRAYMVGKRLIDSGKTADPAIVADPAADLKPLLKA</t>
  </si>
  <si>
    <t>SPO3737</t>
  </si>
  <si>
    <t>YP_168931.1</t>
  </si>
  <si>
    <t xml:space="preserve"> pyridine nucleotide-disulphide oxidoreductase family protein </t>
  </si>
  <si>
    <t>AAV94583.1</t>
  </si>
  <si>
    <t>MRYMMTYDWMETVRNTNQWMGATANSMASYPLFSMVPNPVFNWMSAWGEVTERTFQRMVVKPDWGIRTFTCEDGKDHLVEINTVVERDFGDLIHINVTGRETQPRKVLLVAPMSGHYATLLRSTVKSLLVNCEVYVTDWHNARDIPVSAGKFDVEDYTLYLVDFMRELGPDTHVIAVCQPAPLTLAATAYLAELDPKAQPSTLTLIGGPVDPDATPTEVTDFGRRVTMGQLEQSMIQRVGFKYKGVGRMVYPGLLQLASFMSMNADRHSKAFTDQIQRVMRDEASDHDAHNRFYDEYLAVMDMTAEFYLSTVERVFKKREIARNAFIVDGHKVDISKITDVAVMTVEGANDDISAPGQCIAALDLCTGLADSKKANHLEPGAGHYGIFAGRSWRDNIRPLVIDFMNTNSRKGKSLRPANKNSAA</t>
  </si>
  <si>
    <t>SPO1291</t>
  </si>
  <si>
    <t>YP_166536.1</t>
  </si>
  <si>
    <t xml:space="preserve"> polyhydroxyalkanoate depolymerase, intracellular </t>
  </si>
  <si>
    <t>AAV94584.1</t>
  </si>
  <si>
    <t>MTTSEDMPTHLTGEQFEQLKENMTKVEELSKRLVEIMAGKKPHTPALDAPNQELFAKAATAYWAEAWQNPAKLLEQQLEFWGKSVLNFAEAQQALISGGAEGDEDAPKDRRFSNPMWDNNPYFRFIKQQYQTNAAALAQAVASVDDLPDKDRKRLKYFSQQIIDMMAPTNFLATNPDALERAVETEGRSLLKGLENLITDLEANNGELVVKLADEKAFHVGGNIATTPGDVVYRNRMMELIQYKPATDTVHEIPIVLFPPWINKFYILDLKAQNSFIKWVTEQGFTIFVVSWINPDASYADVGMEDYIQDGFLTAIDEVKKICKVKQVNAVGYCIAGTTLSLTLSLMKQTGDKSVKSATFFTALTDFSDQGEFTPFLQDDFIDGIEEEVTREGVLRSWIMARTFSYLRSNDLIYKPAIQSYMLGETPPAFDLLYWNGDGANLPAKMAVQYLRGLCQRNEFAGEGFDLMGHTLHVRDVDVPVMAITCETDHIAAWKDCYRGVQKMGSRSKTFVVSESGHIAGIVNPPSKKKYGHYTNPDLKDDAATWLAEADFNEGSWWPMWAAWLKPRAGKQIPARDPGDSQHPSLCPAPGTYVVAKAST</t>
  </si>
  <si>
    <t>SPO1292</t>
  </si>
  <si>
    <t>YP_166537.1</t>
  </si>
  <si>
    <t xml:space="preserve"> poly(3-hydroxyalkanoate) polymerase </t>
  </si>
  <si>
    <t>AAV93800.1</t>
  </si>
  <si>
    <t>MSKNAFTTFATAAALSLSLIAPASQARAGTDPFVGELMLAGFNFCPRGWAEANGALLAISSNTTLFSLLGTMYGGDGRTTFALPDLRGRVAIGVGTGPGLQPITQGERLGQPTTTQTIATMAPHTHLATSNASTSIHVSSDDANIQDPGNAFLGTTSTPTYTTTQPDEALANGSATTGVTTTILSTGQGLPQENHQPSLGLKYCIALFGVYPSRN</t>
  </si>
  <si>
    <t>SPO0483</t>
  </si>
  <si>
    <t>YP_165745.1</t>
  </si>
  <si>
    <t xml:space="preserve"> microcystin dependent protein, putative </t>
  </si>
  <si>
    <t>Interaction and hydrolysis</t>
  </si>
  <si>
    <t>Interaction</t>
  </si>
  <si>
    <t>AAV94505.1</t>
  </si>
  <si>
    <t>MKVLIAGLATETNSFSPIPTGRLAFEDSFVSRTATREPANLFSAPQHEWRAMAEARGWEVVESLSAFAQPAGPTIRSTYEGFRDEILADIEAAKPDILLLSMHGAMIAEGYDDCEGDMLVRARAILGPSAVIGLEIDPHNHLTEDMLGAADLIVSYKEYPHTDGHLRARELFTLAADTAAGKIRPVMRDYDCRMITMFHTTRAPMRGFVDEMQARENTGGILSLSLTHGFPWGDCERVGARMLAIADGDAELAETVAREFGEKLWSLRDQLRGDWPSIPGAIDHAVAANKTPVVLADFADNAGGGAPADSTFVLREILGRGLRDAAIGIFWDPVVVRMCQDAGVGAQMQVRLGGKIGAMSGDPLDLKVTVRGLREKMTQKMGEGQMPMGNGVWLETEGVHIVVSDRRTQAFHPMCFTDLGIDLSDMRMVVVKSSQHFYAGFAPIASEVVYISGPGAITPDYANIPYTKRDSNYWPKVEDPFA</t>
  </si>
  <si>
    <t>SPO1209</t>
  </si>
  <si>
    <t>YP_166456.1</t>
  </si>
  <si>
    <t xml:space="preserve"> MlrC domain-containing protein </t>
  </si>
  <si>
    <t xml:space="preserve">Microcystin degradation </t>
  </si>
  <si>
    <t>AAV95271.1</t>
  </si>
  <si>
    <t>MGLVNGGCPGKKAPVTAMWVSSRRNAAIPPGQNLFRNTSFPRRCNAVRILQPSGHSIILFTQERPSMSQKDLGFVRRSYFPTMIFQIDVPEPEDLNKKLLASIYAERERDKKGISRSNIPALGGWHSHNDLYKSKEYAELVGLIGQATSKMSEDLGYADSHTIRIGTMWSIINPPGCVNRAHVHPGCLWSGVYYIQAPENCGNIEFIEPRTVHLMNQAKFQPNKKRSRENWTKVRYTPVAGRMIIFPAWLYHAVDPNETKETGDAGNRVIISFNLNQVKKS</t>
  </si>
  <si>
    <t>SPO1996</t>
  </si>
  <si>
    <t>YP_167230.1</t>
  </si>
  <si>
    <t xml:space="preserve"> hypothetical protein SPO1996 </t>
  </si>
  <si>
    <t>hydrolases</t>
  </si>
  <si>
    <t>AAV95476.1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</si>
  <si>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</si>
  <si>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>SPO2210</t>
  </si>
  <si>
    <t>YP_167436.1</t>
  </si>
  <si>
    <t xml:space="preserve"> BNR/Asp-box repeat-containing protein </t>
  </si>
  <si>
    <t>sialidase</t>
  </si>
  <si>
    <t>AAV95762.1</t>
  </si>
  <si>
    <t>MTARFQGTAEYVATDDLTIAVNAAVTLERPLLVKGEPGTGKTELARQVAGALGLRMIEWNVKSTTRAQQGLYEYDAVSRLRDSQLGEERVHDVGNYIKKGKLWQAFDSDEKVVLLIDEIDKADIEFPNDLLQELDKMEFHVYETGQTVRARQRPIVIITSNNEKELPDAFLRRCFFHYIRFPDEATMRRIVEVHHPGIKESLLTAALTQFYEIRETQGLKKKPSTSEVIDWLKLLLAEDLSAEDLRRDGANALPKLHGALLKNEQDVHLFERLAFMARGKR</t>
  </si>
  <si>
    <t>SPO2512</t>
  </si>
  <si>
    <t>YP_167727.1</t>
  </si>
  <si>
    <t xml:space="preserve"> AAA family ATPase </t>
  </si>
  <si>
    <t>fimbriae regulation</t>
  </si>
  <si>
    <t>AAV95961.1</t>
  </si>
  <si>
    <t>MAPKVISSQKPRFCLSFLALIGVLPRDALSNEKQMKCRGQGGFVAMSFPFIRGLKIPGSRRDSRSLFARKSGTSGRKVHVEQLEPRLLLAADFAVSMADAMQVDTAALRLEGFQSESGAALRALNSSGAQIAQAFGGVDTVPLSSQIRVISTEKDDRIEIDALSLFEISKQSSNLPLFEVEGGEGTDTLRVVGGDLENGLRTYTDWHIDDVTEEGASGVASVTLRDSNDAEVATFDIAFSGIEVLAGTQGDDTFYLAASEMRKGITIDGGDGDFDSLVLDGSYSSVSYQAATANDGQILLDGTALVYLGLEPITQNSASDDLVIDLTDYDDDAVLNSFNAGTMYIGTTGGFTPTFENITFVNPTNSLTINLKSGSDTLTVESLSANWDASLYIYGEYEGAETFLGDSGEDDVTFSGSIDLGSSGSMQVIAETITVNDNVSITGDTSEDGFIEFRSRRLGTAELENLSPIFPGIPKYAAVDIGENASIEAGGVYLIAQAEERGYAEQLEISSALDTNLVGPLLGQVTSVLGLPFQILVKKTDAKVTVADGANIVGHSAVGIYANAVTNASGSAGFSIASLGWADSTANADVDIGDANIYSDGFVVVTSDASSTANMSVETNTGLGTVPTSSSSQVSLSLAVARSTLSSTLTVAEGATIEAGLTANLLAGGSVDSQASATSGLFASGAAGAALAIELSDADVHTNIHGTVISRNEPGAVVKLEFDPLAAPGERGYVDLENNRIFVGPNALATEDTVVYTSSRGQNIGGLIDGATYYVLKDSADPNYIQLAKFEDSVFRGDAVDLVEFNGTASSPLYPATNNKSFTGADVDSEKGEIKLSNGALTGSGTDFTTLDQTYPLGQAVIYEAAAGSEIEGLVSGNTYYVITGTNQFNLDGGARSFYGADGQTIQLAETENEAYAGVAIELGNVTGDDFTLRAAHILDAGFATGVGIGAKLEVETTTEAGAGLSSADSNGSNSPDGYNLNDSALGNIFSSMMGRISTESSSNSAMNSAGASPNSLSAAVALAFAYNDHDVSVNVHPTARISSGEDLEVKAEIEHLNKAFAQSSTEPQEENETGEQSAPNTISAAVILTITDNDAQATIHGGAEMDAKRATRVIAGVTYPFAQTLDQFLPTTAGEVVDMFKTEGYGAITQYVDDTFGLSSFLNTWSSSTSKGDNVSVAGSINFQVQDTTAIATVKDGALINQDASFNADETDPYFGQEVVSVEATSYMQQIDMAGIFGWSFGSLGLNDLYVSSSGASFDGGTPFDTESPSVAGNSGGKGGIGATLYVKLVDNTTHAIVEDNARIFTGRSGGFNMKAEEALFNLGFAQSGAASDSGFGVGGTISVIKQNSDTLVQLGNRARVTGEDARLYAGSLDTHIGITGGLFLGESVGVGVSIAVNDVTRNTRAVIGPEEPDAEASYTAASANYLDLDGKLSVRAINDGAIWGFSIAGAIQSNEQHPDRSDDPLDGVSLGILFGDTPVENPVTTGVGISGSVALNFVKDTTRAAITDAGQVKAGSLEVTSNNETQVVSVSGSFALAVSRGQTGNSGTQTGVGVAGAVSVNTVSGDTEALVLGTDFSITEDPDPNDSSVEATGDGGMIIDAFRVGDIFSLAGSLGGAVTTSQSNSTISAGVAISVGVNLLSGKVRSYMSDSDATVYKGSSQVLATAAPDILSISGALAFSYSGGVSGSSTSAAVGIAISVNEIGTEDEPFEVIARVHDSVIEVMDGDITVKADNQSEIENYTYGVALAISNSSGGSSYAFSGVGSVSVNNLHTVVYAEVTEDDNETELTATKGAVTVSAKENAKIDADAGGFGLALALAGSGGGGFAGGLGLSIAINDLSSDTMAIVDGAAITAGTVLNTGDDDVVIQADLTAEITALTIAGAGTASQGDAAIALAGTGSGNRLRIRALADVDGATITGGDKGIRIEGGLGETSKIKADAGGVGIALGLSSTASVSLGIAVAVNDIQGLADVTTPDVGATVNGSTLTTDDGALSIGAISGADIDTFVLGVSVSANIGLTDSTAIGFSGAGSVAISRIGFDTEASLTDSSFTSSGGGNATLLAQDGSTIDTFALAGSFTLAVASGGTAVAASIAASVSVNEIENGIVARVSGSDILTRGDVTVSASTVPTTSQNAQDQLAGIADFDYDATEDATINAIAIGVAGAVAISPGDASISASLAGGFAFNDIDNTIVAEITADSTVAGVNDGDKVGKVDVLAYDQANIFASADGGAISLSFGDPAISIALAAFVSVNDIDNVVTARISDSTVQARDTISVHARSTASIESISVGAAASISIGQQTAIAISGAGGYVANTIGNTITAEIVDSTDSTGVPRVSGGAVDVYAEDVSTMDGIGVAASLAFSVALNLKDGVSVSVSGAGAGVYNTLNSTLDANITNSTVAATGADEDTEITDNLSGDVRVQADSNVTFDDTTVAVSVSAAISLISITVNAAVVIVQNQALGSVTASIDGSTVNATGDVTVDASDDTSLDSEAIGVTVSISLAGLAGAGVAIENKIDRDVTAQIVQASTVTAAADVTVDAYAEQNVMKSTGTAASIAVVPISISGAGVSAEALVNSDVTALIDGSTVTASAGDVVVDAQIDTLAYATAQGGAFGAVSISVMLASAEVTGLVRGGITGTSIVTGRNVRVTSVSNATADVSLISVGVGLLTGAGIGAAPDAEEGASGNVMVSRSVEALIGLPEGSARQTVTANGTEEGSGKVEVDADATHYADVDATAVTVGGGAISASLSGVNISGDILAIVDEGAIITARALIVDADSYLDAYAEITGAAVGLLAGAGSNAVATITGTTRATVGADRDRASSTVPTTLTIGAGGTTVQAVSEAFAETLSDGGSGGGLSITALLASTTINTDVIANVGQSTQITGGALTVTADAFRDADSEVLAAGVAAITGSGGSADSAIMGETSASFGPGDGTTPGSNAAATTMINGGDVTITAIENSDSYAYTHGGSGGAIAIAALIPTAYVTTTMEAYVGAGTDIGADNLTVTANAEQRKASVDLLVVAVSIAGGAGSTGTAYVGSADNSAYSNADAWIGDGAVIDLTGDLTVKSITSFDYAAVDGDVGSGGGLAISVLLSDSDLSSGSFAWIGDNVEVTGRNVTVEATSQAGTFSDVLVGTGALIGGGGAQTSAYTYTRTAAYTGDGASLDLTGDLIVTASNIVGEAKGKASAYGGGVILVGASVSDAYAKNDVEAFLGDNGVIIADDVTVGAVVEDGNANPPSNTLTMDDSNNTINFERHGLQEGDAVALTGAGSANGTYTVMEIAGNSPDPTDNFRFGAALTVDASESFLATAADLPVIGVSAAISQVDAGTDQITFISPHGLATGDTVSSDAATSGMAYVRAINDFVIELYETEAQAQDTTSQNGLLDVEAPVGVDAAADRIYLGASSDLYTGQLVGYDPGGAAAVAPAGQLYYVRVVDANLNAIELYTNQSDAENGTGTPVNLTASTGTHLIYQAAPEGAAQVDALSDTIRFAYAHSFKDDMQVVYKPSGAPISGLTADATYQVRVVDEFTIRLATSDFNPSTDRLTFSGGNISSGVIDPATMPFAANDLVTYSNTGTTKRFEASFVDLQGSAETPDTNSSGELLTTDNNTIYLGTDLNRDDVYEGHGFANGDLVVYEVENGGTPVGGLISGRGYYVIVVDAYRIQLAETYFESVGYTDPNDSSNNIAITPIALTRSASNDAVQSLTRAADLPIIGLDQGTTYSVTSNGGALADGFVLRDASGNTMSFAGTVNVILANGSVVVQALSNANRLERVEVNLGAPVEGRHEFRVILDALPGNPTDATGMGLETTEGRDIREAVLVAFDGQTKAEARGGGGAGIGFTFPVADSGADVMAQAYINADLVRARGDVTLYSLTDTSLDLVVSNIAGGLLSVQNSDGDQIATSYSTTAVGKLTRITGGTTEGTSATILSIDSAVTELTEVQAQDVTIEAAGNYRQYSQLDFDHTAEVIADGGGLIAGAGAYVENDLTARSNSVIGDGATIDAETVDVSANMGIFDNPTSSSLSGDLTMDSYARAEAGGLFGGTRAESDSDFDYDSAVLIEGSLLAGKDQLTDGTLIQGRRGVDFEVNRASYSYDSDYRAVFWGIGAGTGETFGSASTRTVIDGDAGATIFAAPRLIGGENVHVDNVPPSALNTYPGYNDLAVYVSVTGDLIEWDSDIEISAGPSPELVVDASGDVVRAYNVRLLNDSGAFVLPEVGSDAFSDFNGSDQIVVDDIIAANLGSVVFNAPLGSISQENGNFDGKHWAELRVLRGFGEVRLTNLSNYDLVVNRIDMIAEAGHARVLLVDLDTVESAMQFSIKENYGNALIDIRNLGAGNIVLAGSNVDGASIENPLGETRILNTGGDILTEGAVIRTNTMGDADLARSFRDTEFMSHTVAELEVTAQTGASGAVELVRTDGGDWSAMGIGERGLIRVGDEVHQVAEVNGDRLTLTRASSITAGTATRIVSLFHGIEATSGDIGLDGTAIKVDLTRVASENEALYAASGDSIWMDLGLRLRTGDTTQTTATVAVGIVAAATEASLALRSAVREDVDGQSQGVLVTGDTGDNGTYYQFFYDDPDTVNRDLGPGAGYSATATELAVTTWDFDLIEAGSRITANGTDPDGSTVRAPGDNTVRIVANTNIRQGDTDGDGAHYIDAATNGDVVLTEIDAVLSGDLDDLRVGRIDSSAGDVTLEAPRHILDSDPTDGSPDPWDVGGVNITMTARTGGVGTDADFLETNLVDSVLNVSQSGVLTADAQRTIRITETAGNMRVNTVDSELGDVTLTTRAGSILDSNSGAGEDDNVTGRNVDLLADGGSIGLSSDDFDIDSGILGDWSGVVTADGDTGVYLTETANELNLLYALSTGGAVRLTIPDTPATPTLPASPYGHAQVPRILPRDVSSPAEDLYLLENGTRLVVQNAVQSFDSARVDAFNTVDLWVGDNLSMEANSLVIAGQTVTMQLDTTRTGASRSGTDADAGYGSNAELTGTIQTRGNQNGDQFLLQSGDDVDIITVNSLKLIAQGFIRTAGDEDEITVNTLMTMDTYRDNGYRDTLDLDGAEGTDVYVINTTGTYGEERDYLINVLDTGAPDDGTDTLAITGSTGSDLFLLREITSIENRTADRPSFVALMHANPNGTDTSLDNAIDQAQTSSDRPSNVQRVNYDRAVNGRLTVYGLEGDDMFAVDGNSTITTLDAGAGADRFQIGQFHGVLDANNPEGAAFHLNAAPGDEPAEIIRTTRGYITAGPSQSLVAKGGDGGDTFTVYSNKAEIRLEGDAGNDIFVVRAFALADENFDPILDQYSVEGRNIINTGTGEDQVTYNLNAPVSIDGGAGYDKVIVLGTEFGDAFVIREDGVFGGGLNVNFENIEVLEVDGLEGDDDFFVLSTPIGVAVRIVGNLGSDVINIASDVTEQISSAGLEGQSSVINHDVLSDGRYEGLSIEGVEMTVAGDGSGPVSIRELDENGDEDGYSVVREGDFGDRYEISLNEAIAVGTRVYITVSAARSSDDEDAWDPTEAPRILLDRNNDGLPDEGDSVLIGASEGDYFDTVSVNGTDEQVPTRDVVLVFDSTNWSDAQTVWIAASDDSLEEGERKIVISHSVQAINENGADQDAVDLYDGLAVRNVEVTILDNDQADVILTHDGTDTRVLEGPDGFTDRVGISLSRAPDPGETVTISLAELFAPGTDAQLAFDTPTITFDSSDWDSVKYVTLTAIDDSKPEDPRGLQIQATVTSTGGAFDDAASQVLGVKVLDNDTPGVVITESAGDTLVTPLADDDYTIRLTSAPNAGEVVTIPLLTDGQASIVSAIDTSDNSNRLIRDVDVGTFEVAEFFDGPVTFSGDTITRTDLGSFVDANLYVGARIAISGSTANDTGTEEYYEVIAVTDTSITLAGASFTGGADTNVSLGEVSISMLFNGQVIFGDETVTENGVTVDGDTITRTDGDSWYDDGFLPGHEIRIDSGPNAGLYQIALVEIDDQGREFLRLTSSGSLTVGTGNVRVVRVADAIQFDDSNWATEVQITVEANQDYTLPVYLQNKMSFSSVHRLTNIQGPVSVEGGATGADRTLIPAIILPGETPGEAVDIGPQPDEFAQIDVLNIFDDASQEDKSGVLTPTGLTGFGMALELNFEETDFGEPTTVPGGISWGTQVVDTSGNFVTDPLLSSIEILNIMMGKGNDALRIDGTLQPTTSGQGGETAIHGGLTMIHGGGNRTEDGGDLIMVDGGGGSESLLVIYGDTSQDGLFYSGSGENNNGHNFGERPFPPFTSEALADIRASFVMPLADPFLIAGKDEILVFAELAGEMTFDAAALTIQATSSWLDAGFRQGRAIEVELTNGATASYRIAEISADGLTLTLEDGAVLPDGLRQARITAGGGAGKVTAYGGGNDDLIMGSREGDHLAGGGGNDAIFGQQGVDQIWGDSGFNVDIFGDLTLYNDDTLTNAEKRALAGPILTIPVAGALISEAGDAMIVGDDSVFGGMGDDVVFGDHGRIDVTEPPLRIRTTAYEYIVTIASSEIDNGGDDLIFGDAGRDILIGGANRVVQGVPNGDRIDGGTEQDLIFGDNVTLAQRAVGQYQDQDARIVRLTGSTIYNRDGSANVDTVTLFDDPRHAGSPWTAFEITELYHDVAYQARNDGQFGNDDIAGGASHDKIFAQLGDDSVQGDGAILDLAVSATRDADGTLVHVPSFEAETDGDDYVEGGGGNDLIFGNLGQDDLIGGSSSLYTLVTPEQRPDGSDVIFGGAGTQIAIDILGTDANSMLGAPSEHGRDADVIVGDNGNIFDLVGGPNVWLIYNYDRTSDIGNNTVDPSQVHLRSDIRLIPRAVVQLDYTPGTDVGSLGASDLVYGEDGDDIIYLMTGNDVGYGNGHDDQIIGGTGDDRIFGGTGEDGLLGDDGVIRVSRNGLAEPLNGISAEAQRTLSIPGPWIGAEVDLNGYLKITVDAILPKEGGNDIIYGGLGDDFIHAGAGDDAASGAEALPIFHNDTRPIANTPMLYEPDSGILTEFYDRTTGSYQTFYDPDDPRPIIENYFLNFRTFDDDGNLIEDGKDAIFGGDGNDVVFGGTGHDRMFGGWGDDYLQLDDNLGTNGGRNDTSDSAVSPQTTGGAADFAFGGGGRDVLIANTGTDRMFDWTGEYNSFIVPFSRFGAPTVNRLPSPHAVEFLLDLAEATGAATSRAEAYDLIAMVTPQDPEWGDQHGAPRDPQPGNGRGAFDSAGGPENDTVRVPLQTAAGSTPSGPAEPGTIEVGLQIEKAINAADPWSPTDAEDADTAAEAVVLSVGTDVIWTYLVSNTGDESLHRVSISDTASNGGRFTPTYVAGDANENRRLDPGEVWLYTSEGVGDHTVVAGPYSNVATVTARGSRGATPTDSDGNHHVGVVVTDPPPSVTIEKAINALDPFNPTAAEDADTGPGPVLETGSAVLWTYLITNDGAVSVSLDSIVDDAGTPNDTSDDRTPVYVSGDDGNGMLDPGETWLASLGGVAADGAYVNEVRVTVSDSYGREATDTDVNHHTGTRVPGGSSVTLVKAVNAVDPWNPTVAEDANALNGPELVGGDAVVWTYLVGNTGGGALAVGTLIDDAGTPGDGSDDFAPAFVSGDANNNGLLDTDETWLYRAVGIVTPGDYVNVAIVTATDASGAQVTDSDLAHYHGTPPPGTPAISLEKAVNAVDPLEPTKEEDADTIPALVRAGQDVTWTYLLSNTSDVAVSVVSLTDDAGTPNHASDDFAPVYVSGDDGNGLLDPGETWLFSSMGIAPEGDYENIATAVAVSASNQQVSATDNARLTGVADQVKLVKAVNAVNVYAPTELEDANDAPGPLFVEGTPLIWTYLVTNEGAGEVVLDKLTGVIDDAGTPDDTSDDFAAIYVDGDTDNDGMLDAGETWLFTSEGAVDASATTGAYGNAAAVFAGEDRSITDTDLAHHYGVDQGEAAGLTPGFWKNNATQHGASAWPTTSDGTLIYDPQQTLDTVFDIPVSYAHLADVTLVDALGLTGGGENALIRHAVAALLNATSVLVGYPASAPQVIAWTNEALASGSRAVMNDQKDMFVDWNELGADLDQHGRSQSYLDIVTQSKIYVPWLLDDLSTPETSDYLVYDDETSTFGRPPAGGAPHFAL</t>
  </si>
  <si>
    <t>SPO2716</t>
  </si>
  <si>
    <t>YP_167926.1</t>
  </si>
  <si>
    <t xml:space="preserve"> type I secretion target repeat-containing protein </t>
  </si>
  <si>
    <t>giant protein</t>
  </si>
  <si>
    <t>AAV96082.1</t>
  </si>
  <si>
    <t>MRDAAPTTIHLKDYTPFGYLVDEVHLTFDLAPDATRVTSRIAFRPNPEAPGHRFFLHGEELRLIRAAIDGAEVTPEITDAGLTCAAPDTPFVWEAEVEIAPAANTALEGLYLSNGMYCTQCEAEGFRKITYYPDRPDVMSTFTVRINGTHPVLLSNGNPVDSGEGFAEWHDPWPKPAYLFALVAGDLVAHSDRFTTVSGREVDLNLWVRPGDEDKCAFGMEALKKSMRWDEEVYGREYDLDVFNIVAVDDFNMGAMENKGLNIFNSAAVLASPETSTDDNFERIEAIIAHEYFHNWTGNRITCRDWFQLCLKEGLTVFRDAQFTSDLRSAPVKRIRDVIDLRGRQFPEDQGPLSHPVRPESFQEINNFYTATVYEKGAEVIGMLKRLVGDAAYAEALDLYFARHDGQACTIEDWLKVFEDVTGRDLAQFKHWYSQAGTPRLTVEEAWQDGTFTLTLSQDTPATPGQPDKLPQVIPVAVGLLNPNGDEVHATEVLELTQARQSFSFEGLAARPVASVLRDFSAPVVLDHDLSPEQRAFLLAHDTDPFNRWEAGRSLAGQCLLDMIIEGTAPDTAYLDGLVAVLRDDGLDPAYRALMLGLPSQSELAASLQQRGLTPDPQAIWDATETLRQATAQHMQDLLPRLRAEAQVDAPFRPDADQAGRRALGSATLALLSRLDGGAQAAADFTRADNMSLQLSSLSCLLKAGKGEVELAAFYDQWRGDRLVIDKWFGLQVAMAAPGQTAETARRLSAHAEFNWRNPNRFRAVFGALAMHHAGFHHASGAAYQLLADWLIRLDPVNPQTTARMCAAFQTWRRYDEGRQALIGAQLDRILAQPNLSRDTTEMLTRIRGS</t>
  </si>
  <si>
    <t>SPO2841</t>
  </si>
  <si>
    <t>YP_168049.1</t>
  </si>
  <si>
    <t xml:space="preserve"> aminopeptidase N </t>
  </si>
  <si>
    <t>ectopeptidase</t>
  </si>
  <si>
    <t>AAV96575.1</t>
  </si>
  <si>
    <t>MGSKLVRAIAGLCLAATAATTSVSAQQSESTNRVASKTDWSVFVEDNPTECWSVSAPKETVNTRGGSVVSVRRSDILLMVFFRPKAGVKGQVTFTGGYPFAPGSTVNLNVGGTEFELITEGEWAWPATAADDAKIVAVLKRGTDAVLTARSARGTQTKDTFSLLGFTAAVEDAEKRCGG</t>
  </si>
  <si>
    <t>SPO3348</t>
  </si>
  <si>
    <t>YP_168544.1</t>
  </si>
  <si>
    <t xml:space="preserve"> hypothetical protein SPO3348 </t>
  </si>
  <si>
    <t>Invasion associated locus B (IalB) protein</t>
  </si>
  <si>
    <t>AAV96835.1</t>
  </si>
  <si>
    <t>MKAIWIGALAGLAMICAGALAAGPAKLQPANPQPGGLKRGLSVSYGYAKEGEHIRQLAEARSVLKAGAQRGKALRGLDYRDTAKGENTLTSARAENVAAAIRGYIRFDAPGIYEIDFFTNDGVDARIGGQRVGHFDGRQTCDSTIVSEVEVPQAGWYKVDITYFNRLNTSCLMMRWGQKGKGMKWVPNEVFGY</t>
  </si>
  <si>
    <t>SPO3611</t>
  </si>
  <si>
    <t>YP_168806.1</t>
  </si>
  <si>
    <t xml:space="preserve"> hypothetical protein SPO3611 </t>
  </si>
  <si>
    <t>hydrolase-like</t>
  </si>
  <si>
    <t>YP_164859.1</t>
  </si>
  <si>
    <t>MQNFRLKKGLDLPVKGAPVQTIHPGPAIGSVAVLGADYLGLKPRMLVQEGDEVRRGTPLLCHKDAPEAMMVAPVTGRVAAINRGARRVLQSVVIEVTDAADPGLDFATTGNGKTREGLTEKLCAAGLWTAFRTRPYSKMPVPGDTPNAIFVTAMDSEPLAADAATIIADAGSAFASGLAAVALLSDGPTWLCHKPGDAIPGGDVAGVSVATFDGPHPAGLAGTHIHFLAPLTSDKSVWTIGYQDVIAIGRLLETGHLDPSMVIALSGPAAREPRLIRTIMGASTGDLTTAEISVDAPVRVISGSILSGRQAEGPFAYLGRFARQVTLIEEDRKQHTLGWILPMPSKFAVQPVLGSAFSRKLYALTSNLNGGRRAMVPTGTFEELMPQDYLPTQLLRALLVMDTDTAQALGALELDEEDLGLVGFACPAKYEYGLALRDSLSKIEKEG</t>
  </si>
  <si>
    <t>SPOA0028</t>
  </si>
  <si>
    <t xml:space="preserve"> Na(+)-translocating NADH-quinone reductase subunit A </t>
  </si>
  <si>
    <t>YP_164861.1</t>
  </si>
  <si>
    <t>MSETQSKGLIARFLAAPPDSVGKTIFVAVAVCLVASMIVSSAAVALRPVQEVNKLKDKQMNILQVAGLFEPGQNVAEAFKAFEPQVLELTTGRFTDQFDAATFDDKAAANDADLSRALDDDPAGIGRQALYRTVYLLRDEAGGIDKVILPIHGYGLWSTLYGFIAVEENGNDIFGLQFYQHGETPGLGAEVDNPRWKAMWNGKKLRDDAGDLQITVAKSQPAAGADFYVDALAGATLTSVGVDNLVRFWMGEQGYAPFLEALKAGEI</t>
  </si>
  <si>
    <t>SPOA0030</t>
  </si>
  <si>
    <t xml:space="preserve"> Na(+)-translocating NADH-quinone reductase subunit C </t>
  </si>
  <si>
    <t>YP_164864.1</t>
  </si>
  <si>
    <t>METFSLGVVLFTLIVIALVGVILMARSRLVSTGNVNITINGEKTISVPAGGKLLQTLAAEKLFVPSACGGGGTCAQCRVKIHSGGGSILPTEESHITKREAACGDRLSCQVAVKQDMDIEVPEEVFGVKKWRCKVRSNDNVATFIKALVLELPEGENVNFRAGGYIQIEAPAHQLAYTDFDVQDEYREDWDRFNLWQYKSVVNEPVERAYSMANYPEEKGIIMLNVRVASPPPGSSDIPAGKMSSYIFNLKPGDEVTISGPFGEFFARDTDKEMVFIGGGAGMAPMRSHIFDQLKRLKSKRKISFWYGARSKKEMFFVEDFDMLAAENPNFEWHVALSDAQPEDDWKGYTGFIHNVLFEEYLKNHPAPEDCEFYMCGPPIMNQSVINMLLELGVDREDIMLDDFGG</t>
  </si>
  <si>
    <t>SPOA0033</t>
  </si>
  <si>
    <t xml:space="preserve"> Na(+)-translocating NADH-quinone reductase subunit F </t>
  </si>
  <si>
    <t>YP_165037.1</t>
  </si>
  <si>
    <t>MLWYDSRAQRLRERSAVWAQNQKTDPDFDGLPPKYAEELQKNILGTVVLPGDPEYDTDRMLSNPRFSAYPQVIVYCEVETDVAECLRVARALSMAVVVRSGGHSTAGFSSQNGFLIDVSRMNDVCISPEALRAWVGPGTNFGKFNAKLLPYDLHTPGGACPDVCVGGYMQGGGYGFTARIFGMNCDQVEEIRVMMTDGRIVHANAELNPDLFWAVRGGTGSNFGVLLGVKYRLYRGSTFAGFSVRWSMQTDAGVQDTATSLAWLQENFMRTGAPDTMGYQMIWAFEGPEGQAKEPVLLMRGMYRGTREELQEKLAPVLALPGATLQAIYDPQQYIDLNRILLSEPYEVPEFPADMTPMPPPEAKISRYVAKPIDAAGWKALLDYFRTSPSPYTIAAMEIYGGAIARMPKGENAFFHRDVYCDLFFDVFWLTEQEKETMLAFIAGWEAAFAPHWTGQSYQNYPSPDNPGFADEYWGDTYWLLRLIKHKYDPINLLRFPQSIQPLEWHPPGPGFPPGFRGFEDPIQAIAG</t>
  </si>
  <si>
    <t>SPOA0208</t>
  </si>
  <si>
    <t xml:space="preserve"> oxidoreductase, FAD-binding </t>
  </si>
  <si>
    <t>AAV93556.1</t>
  </si>
  <si>
    <t>MSQQMRAVEISRPGGPEVLQLTQRPRPEPGHGQVLIKVAYAGVNRPDALQRAGAYDPPPGASDLPGLECSGEVVAVGPGAEDVAVGDKVCALLPGGGYADYVVTPAAHCLPVPQGMALREAACLPETFFTVWSNVFTRGGLKAGERFLVHGGSSGIGTTAIQLAHAFGARVFATAGSDDKCRACLDLGAERAINYRDEDFVKVMRSEGGADLILDMVGGDYIPRNVKALAEDGRLVQIAFLQGPVVELNFALMMVKRLTLTGSTLRPQSDLAKADIARDLREAVWPLLDAGRIAPVMDSEFDLGDAAAAHARMESSGHIGKIVLKVG</t>
  </si>
  <si>
    <t>SPO0231</t>
  </si>
  <si>
    <t>YP_165500.1</t>
  </si>
  <si>
    <t xml:space="preserve"> alcohol dehydrogenase, zinc-containing </t>
  </si>
  <si>
    <t>AAV93557.1</t>
  </si>
  <si>
    <t>MSETARTVVIEGFGGPEVLQLRDLPVGEPGPGELRIRHQACGLNFIDVYQRTGLYPLALPHALGMEAAGIVEAVGEGVTHLKPGDRAAYAATPPGAYAQARVMPAAQVCPLPDEISFDQAAAMMLKGLTVDYLFHRTTPLSRGDTVLFHAAAGGVGLIACQWAKAEGITLIGTAGSDEKCALAKAHGATHVINYRTENFTDRVRELTDGKGVDVVMDSIGADTFEGSLDCLKPLGMMISFGNASGPVPPVNIGMLGQKGSLKLTRPTLFTHISDHAACQAMARRLFGKVTGGEVKIRIDQRFPLDQVADAHRALEARQTTGSTILEL</t>
  </si>
  <si>
    <t>SPO0232</t>
  </si>
  <si>
    <t>YP_165501.1</t>
  </si>
  <si>
    <t xml:space="preserve"> quinone oxidoreductase, putative </t>
  </si>
  <si>
    <t>AAV93591.1</t>
  </si>
  <si>
    <t>MSHAEDHEGTRRDFLYYATAGAGVVTTGAAVWPLVNQMNPSADVQALSSIRVDISGVEVGTQISVKFLGKPVFIRRRTQAEIDEARAVDLSDLIDNDSRNPNLSGGGDGGDENRSLDENGEWLVMMGVCTHLGCVPLGDGAGDFHGWFCPCHGSHYDTSGRIRKGPAPENLHIPVAEFVDENTIKLG</t>
  </si>
  <si>
    <t>SPO0271</t>
  </si>
  <si>
    <t>YP_165535.1</t>
  </si>
  <si>
    <t xml:space="preserve"> ubiquinol-cytochrome c reductase, iron-sulfur subunit </t>
  </si>
  <si>
    <t>AAV93634.1</t>
  </si>
  <si>
    <t>MAEIEREAMEYDVVIVGAGPAGLSAAIRLKQLDADLNVVVLEKGSEVGAHILSGAVLDPCGLDALIPDWKEKGAPLNVPVKDDNFYMLGEAGQIRIPNFPMPPLMNNHGNYIVSMANVCRWMAEQAEELGVEIFPGMSCSELVYGDNGEVKGVVAGVFGLEADGSYGPNTEPGMELHGKYVFLSEGVRGSLAKEVIAKYDLQKGKEPQKFGVGMKEIWEIDPAKHREGSVTHTMGWPLGGNAGGGSFIYHLDNNQVYVGFVVHLNYKNPHLFPYMEFQRFKHHPMVAELLKGGKRVAYGARAITEGGYQSMPKMVAPGVALLGCSVGMVNVPRIKGNHNAMLSGKAAAEAAHAAIKAGRQSDELSDYETEVRSGPIGKDLKKVRNVKPMWSKWGLAASLALGGLDMWTNTLGFSLFGTLGHGKTDAAATEDASKHKPIDYPKPDGVLSFDRLTNVSFAATNHEESQPCHLRLTDPDLPVKVNLPKYDEPAQRYCPAGVYEVVEDEGGPRFVVNFQNCVHCKTCDIKDPSQNITWVTPQGGDGPNYPNM</t>
  </si>
  <si>
    <t>SPO0316</t>
  </si>
  <si>
    <t>YP_165579.1</t>
  </si>
  <si>
    <t xml:space="preserve"> electrotransfer ubiquinone oxidoreductase family protein </t>
  </si>
  <si>
    <t>AAV93660.1</t>
  </si>
  <si>
    <t>MATYDVIIIGAGPGGYVCAIRCAQLGLKTAVVEGRETLGGTCLNVGCIPSKALLHASHSLHEAQHNFAKMGLKGKSPSVDWKQMLAYKDEVIEGNTKGIEFLFKKNKIDWIKGWASIPAAGKVQVGDDTHEAKNIIIASGSEPASLPGVEVDEKTVVTSTGALELGKIPKSLVVIGAGVIGLELGSVYARLGAEVTVVEFLDVITPGMDGEVQKTFQRILKKQGLTFVMGAAVQKTEIARGKAKVTYKLLKKDTEHEIEADTVLVATGRKPYTAGLGLDKLGIEMTQRGQIKVGKDWQTNVPGIYAIGDVIEGPMLAHKAEDEGMAAAEQVAGKHGHVNYGVIPGVIYTTPEVANVGATEESLKAEGRAYKVGKFMFMGNGRAKANFASDGFVKILADKETDRILGAHIIGPAAGELIHEVCVAMEFGASAEDLALTCHAHPTYSEAVREAALACGDGPIHS</t>
  </si>
  <si>
    <t>SPO0340</t>
  </si>
  <si>
    <t>YP_165603.1</t>
  </si>
  <si>
    <t xml:space="preserve"> 2-oxoglutarate dehydrogenase, E3 component, dihydrolipoamide dehydrogenase </t>
  </si>
  <si>
    <t>AAV93824.1</t>
  </si>
  <si>
    <t>MNIILLGPPGAGKGTQARHLVETRGMIQLSTGDMLRAARSSGTEMGKKVAAIMDAGKLVTDEIVIGLIEEQLTTQTGAGFIFDGFPRTLAQADALAALLAKLGQSLHTVIEIRVDDEALVDRISGRFTCGGCGEVYHDKTKPTKVDGVCDNCGSTEMVRRADDNADSLRTRLMEYYKKTSPLIGYYYAKGDLRPVNGLADIKEVTASIEAILG</t>
  </si>
  <si>
    <t>SPO0507</t>
  </si>
  <si>
    <t>YP_165769.1</t>
  </si>
  <si>
    <t xml:space="preserve"> adenylate kinase </t>
  </si>
  <si>
    <t>AAV93883.1</t>
  </si>
  <si>
    <t>MTHPAPALRSYALEDRYNQTTGRVFLTGTQALVRIMMDQARRDRAAGLNTAGFVSGYRGSPLGGLDLEMWRAKTRLEQDRITFMPAVNEDLGATAVLGAQQAVLDPDCQHEGIFSMWYGKGPGVDRSGDALKHGNAYGSAPKGGVLVVAGDDHGCVSSSMPHQSDVAFMAWFMPTLNPASVEEYLEYGEYGLALSRFSGTWVGFKAISETVESGRSVELRPDRQFTLPQIDLPAGGLHVRRADLPSPEIETRIQAKLRAVRAFAEENPIDRRIYDLPNARFGFVTTGKGHLDLMEALRLLGLDEAKCRALGIDIYKVGIVWPLARRNALRFVRGKQEVLVVEEKRGIIESQFKEYFYDWPGDKPHRMVGKYDEQGEPLIPWTGELSPLMLAPVVAARLDAFFPDENLPARARALTETPPPVIAVPGATRTPYFCSGCPHNTSTKVPEGSRANSGIGCHVMASWMNRDTDGYAQMGGEGVPHVVASKFNGGKHIFQNLGEGTWYHSGSLAIRQAVAAGTNITYKILYNDAVAMTGGQPVDGPVSVSGIAQTCRAEGVQRIALISDDIEKFARADFPAGTTFHDRAELMVVQKELREIKGVTVLIYEQTCATEKRRRRKRGKIEDPKRFAWINDLVCEGCGDCSVASNCLSVEPRETPLGRKRKINLSSCNKDFSCLNGFCPSFVTVEGATRRKRTITLELDQLESGLPEPTLPALSDPFDLLVTGVGGTGVVTVGALITMAAHLEGLGASVLDFTGFAQKFGTVLSYIRLGAKPDTLHQVRIDTGGADAVIGCDMVVSSAPKASAHYRNGTKVVLNRAEMPTGDLVLHRDAQLKIDTREAAIRAVVGTENVSGFDANQTAEQLLGDAVFANVMMLGYAWQQGLVPVSRSALAQAILLNGVAVEKNRLAFAAGRALAADPARLDVESASPEAEETLDQMLARRAAFLTDYQNAAYATRFTNRIAALRQALPEASEALIAEAARNLFRFMASKDEYEVARLMTADHFQQDLQAQFEGDVKLTYHLAPPLLAHRKDARGRPVKRGFGPWLRPVLSLLARAKPLRGTALNPFGYHSEARLHRETLAWYLALLDRMQQDCTATNEADWQSVLTLTGEIRGYGPVRAEAAGRIRAEIASRLDRG</t>
  </si>
  <si>
    <t>SPO0568</t>
  </si>
  <si>
    <t>YP_165828.1</t>
  </si>
  <si>
    <t xml:space="preserve"> 2-oxoacid ferredoxin oxidoreductase </t>
  </si>
  <si>
    <t>AAV93930.1</t>
  </si>
  <si>
    <t>MKAVLYRAFGAARDVLTLEEFPAPRPGPGEVLVDLAFSGVNPSDVKARAGARAGVTELPYPAIVPHSDGSGVIRAVGEGVDVARVGERVWLWNGQWGRAMGTCAEQIALPAEQAVPLPQDVSLETGAVLGIPGLTAAHVVFSGGPVSGKTLLVQGGAGTVGFLAVQLAKWGGARVIATASAGAAERVRAAGADAVLDYAAPDLAAAVLAANDGAPVDRIVEVEFGANAEVDAAVIAPNGRINAYGSARQMAPVLPFYPLMFKSVTLEMTLVYLLDTANRQAAIGHLHSALSAGALSCPVQEIYALDAAAAAHEAVERGARSGAILVRTSG</t>
  </si>
  <si>
    <t>SPO0616</t>
  </si>
  <si>
    <t>YP_165876.1</t>
  </si>
  <si>
    <t>AAV94025.1</t>
  </si>
  <si>
    <t>MAVLLLAEVTGGELALDATAKAVSAAKALGDVTVLAAGASAAAAGEAAAKIDGVSKVLVAEDASLGHRLAEATAALIVGLADGYEHIVAPATTDAKNVMPRVAALLDVMVLSDVSGVVDGSTFERPIYAGNAVQTVKSKDAKKVITFRTSTFDAAGEGGAAPVETISVGDNPGLSEWVEDKVAASDRPELTSAGIVVSGGRGVGSEADFKLIEALADKLGAAVGASRAAVDSGYAPNDWQVGQTGKVVAPNLYVAVGISGAIQHLAGMKDSKIIVAINKDEEAPIFQVADFGLVADLFQAVPELTEKLG</t>
  </si>
  <si>
    <t>SPO0719</t>
  </si>
  <si>
    <t>YP_165973.1</t>
  </si>
  <si>
    <t xml:space="preserve"> electron transfer flavoprotein, alpha subunit </t>
  </si>
  <si>
    <t>AAV94026.1</t>
  </si>
  <si>
    <t>MKVLVPVKRVIDYNVKVRVKADGSGVDLANVKMSMNPFDEIAVEEAIRLKEAGKAEEIVVVSIGVKQAQETLRTALAMGADRAILVVAADDVHQDIEPLAVAKILAKIVEEEQPGIVLAGKQAIDNDMNATGQMLSALLGWSQGTFASELNVEGDHALVTREVDGGLQTIKVKMPAIITVDLRLNEPRYASLPNIMKAKKKPLDEKTAADYGVDVSPRLEIVKTEEPPARAAGIVVGSVDELVAKLKEAGAV</t>
  </si>
  <si>
    <t>SPO0720</t>
  </si>
  <si>
    <t>YP_165974.1</t>
  </si>
  <si>
    <t xml:space="preserve"> electron transfer flavoprotein, beta subunit </t>
  </si>
  <si>
    <t>AAV94118.1</t>
  </si>
  <si>
    <t>MAVITNIEDLKRIYERRVPRMFYDYAESGSWTEQTFRENSSDFDLIRLRQRVAVDMSGRSTASQMVGQDVAMPVALAPVGLTGMQHADGEIKAARAANEFGVPFTLSTMSINSIEEVAEATGRPFWFQLYTMRDTDYTSRLIQRAKAANCSALVITLDLQILGQRHKDLKNGLSAPPKLTPRTIANLMTKWAWGIEMLGAKRRNFGNIVGHVHGVSDTANLGAWTAEQFDPTLDWGKVAKLMEQWDGKVILKGILDAEDAKMAAKLGADAIVVSNHGGRQLDGALSSIRVLPEIMDAVGGDIEVHLDSGIRSGQDVLKALALGAKGTMIGRAFVYGLGAMGQKGVTTALEVIRKELDTTMALCGERNVADLGRHNLLVPEDFGGRWA</t>
  </si>
  <si>
    <t>SPO0813</t>
  </si>
  <si>
    <t>YP_166066.1</t>
  </si>
  <si>
    <t xml:space="preserve"> L-lactate dehydrogenase, putative </t>
  </si>
  <si>
    <t>AAV94310.1</t>
  </si>
  <si>
    <t>MGILNTLLRAVTWWNGATLNTRIYTARKGTRVGEDAQGNIFYRNGDDSQRWVIFNGEAEASRIDPEWHGWLHRTWDEPPSERPLPHKAWEKPHQENLTGTPLAYVPAGSLRRTKPVERRDYEAWSPE</t>
  </si>
  <si>
    <t>SPO1006</t>
  </si>
  <si>
    <t>YP_166258.1</t>
  </si>
  <si>
    <t xml:space="preserve"> NADH dehydrogenase </t>
  </si>
  <si>
    <t>MDLKWRARRRLPRFVWEYLDSGTGVEATKARNRASLDRVGFLPSVLHGPLEHDLTTTLLGTTYALPFGVAPVGMSGLIWPDAEGHLARAAAAANIPYCLSTVASQSPEDLAPHIGPQAWFQLYPPKNPDIRRDLVERARQAGFKTLVLTVDVPVASRRERQVRSGLTQPPTLTPRLLAQVAMRPAWAMGMARRGMPHMRTLDKYSQGLTNLPPTAHIGYLLRTSPTEDYVAWLRDAWQGPFVVKGVLRPEDGERMERLGVDALWVSNHAGRQFDGAPGAAEMLPHIRAATRLPLIFDSGVESGLDILRALALGADFVMLGRAFHFGLAALGPRGAAHAIDILQKDIESNLGQLGAARLTDLPPTRPLSIAQ</t>
  </si>
  <si>
    <t>SPO1172</t>
  </si>
  <si>
    <t>YP_166419.1</t>
  </si>
  <si>
    <t xml:space="preserve"> FMN-dependent alpha-hydroxy acid dehydrogenase family protein </t>
  </si>
  <si>
    <t>AAV94947.1</t>
  </si>
  <si>
    <t>MTSSTSPETPSDPSQTRYKRVMLKISGEALMGDQGFGLHPPTVKRIAHEIKTVHDMGVEICMVIGGGNIFRGLSGAAQGMERTTADYMGMLATVMNALGMQAALEGLGVFTRVISAIRMDEVAEPYIRRRAVRHLEKKRVCIFAAGTGNPYFTTDTAATLRANEMACEAIFMGKNGVDGVYDKDPALHDDAVRYDEISYDEVLAKRLKVMDASAIALARDNNLPLIVFSLDTAGGFRGILAGEGTYTKVQG</t>
  </si>
  <si>
    <t>SPO1662</t>
  </si>
  <si>
    <t>YP_166901.1</t>
  </si>
  <si>
    <t xml:space="preserve"> uridylate kinase </t>
  </si>
  <si>
    <t>AAV95131.1</t>
  </si>
  <si>
    <t>MTDIPSTMFAVLQTGDGYSGKATGPAIADAADWLEPGEIAVPQPGPGEALIRLRMASVNPSDLHFIKGEYGQPRVKGAPAGFEGCGDVVAAGAGAEGLVGQRVAFVAASSGAWAEYVLTKAQMCIPLRPDISDEDGSAQIVNPLTAMAMVDIARSEGEAFVVSAATSQLGKLMVSLGRDLGLKPIALVRRAEAVEPLKALGAAEVLVTSDPEMGQKFATISRALKPRVFLDAVSDQTSERIFTAMPNGARWVSYGKLDAELPVLTQMGQLIFMGKRIEGFWLTQWMMTTPPADQGRVVAEVQARFADGRWKTDVSGHLPLRDVVSGLAEALKKTDGKVMITP</t>
  </si>
  <si>
    <t>SPO1852</t>
  </si>
  <si>
    <t>YP_167089.1</t>
  </si>
  <si>
    <t>AAV95191.1</t>
  </si>
  <si>
    <t>MFNALVVDKDEESGKTQAAVKQLSLTDLPVGEVTVAVEYSTVNYKDGLCIGPGGGLVRKYPHVPGIDFAGTVENSSDERYKPGDKVVLTGWRVGEAHWGGYSQKANVRADWLVPLPEGLDTRQAMAVGTAGFTAMLAVMALEDHGLTPGHGPVLVTGAAGGVGSVATAILAHLGYEVAAVTGRPETADYLTSLGATQIVARDEINETVKRPLESEIWAGCVDAVGGAMLARVLGQMKYGASVAAVGLAGGAGLPATVIPFLLRGVNLLGIDSVMQPYANRLRAWERIARDLPMDKLEAMIRPATLSDLPGLGADILKGQVQGRVVVDVNA</t>
  </si>
  <si>
    <t>SPO1914</t>
  </si>
  <si>
    <t>YP_167149.1</t>
  </si>
  <si>
    <t>AAV95245.1</t>
  </si>
  <si>
    <t>MKAMLSTAVGGPETLELTEMADPAPGKGELLVRVHAAGVNFPDTLMIRDLYQMKPPRPFAPGGEIAGEVLAVGEGVSGYTPGDRVLALTGFGGFATHLTVKANVAVKIPDAMPYDEAACFIFTYGTSHHALKDRAALQPGETLLILGAAGGVGAAAIELGKAAGARVIAAVSSQEKAEFCRQIGADETLVYPRELDRDGQKALSGEIKKLAGGDGVDVVYDAVGGAYAEPCLRAMAWQGRYLVVGFPAGIPSIPLNLTLLKGCQIVGVFWGASVFRDPKGHAANVGDLFRLYAEGRIKPQICARFPLDQAGAALEMMQDRKVLGKVVITP</t>
  </si>
  <si>
    <t>SPO1969</t>
  </si>
  <si>
    <t>YP_167204.1</t>
  </si>
  <si>
    <t>AAV95698.1</t>
  </si>
  <si>
    <t xml:space="preserve">nucleoside diphosphate kinase </t>
  </si>
  <si>
    <t>MALERTFSIIKPDATRRNLTGKINAKFEEAGLRIVAQKRIHMTKEQAGVFYGVHAERPFYDELCEFMSSAPVVVQVLEGENAIAKNREVMGATNPADAAPGTIRAEFAESVGENSVHGSDAPETAAVEIAYFFSGIELVG</t>
  </si>
  <si>
    <t>SPO2444</t>
  </si>
  <si>
    <t>YP_167661.1</t>
  </si>
  <si>
    <t xml:space="preserve"> nucleoside diphosphate kinase </t>
  </si>
  <si>
    <t>AAV95855.1</t>
  </si>
  <si>
    <t>MKLVGNWSYPTAIRFGAGRIAEIAEACKAAGISKPLLVTDKGLAAMEITTRTLDLMEAAGLGRAMFSEVDPNPTERNVEAGLKVYREGGYDGVIAFGGGSGLDLGKTLAFMAGQTRPLWDFEDIGDWWTRADPAGIHPIVAVPTTAGTGSEVGRAGVITNSDSHEKKIIFHPLMLPKVVICDPELTVGMPKFITAGTGLDAFAHCVEAYCSPHYHPMSQGIALEGMRLVKEYLPRAYADGSDLEARAHMMSAAAMGATAFQKGLGAIHALSHPIGAHHHTHHGTTNAVCMPAVLQFNRPAVEGVLAQAAAYLGIAGGFDGFAAYVDELNTSLGIPKTLTDLGVKDPNLDVLVRDALNDPSTGGNPVTMTAENTRPLLESLF</t>
  </si>
  <si>
    <t>SPO2609</t>
  </si>
  <si>
    <t>YP_167820.1</t>
  </si>
  <si>
    <t xml:space="preserve"> alcohol dehydrogenase, iron-containing </t>
  </si>
  <si>
    <t>AAV96015.1</t>
  </si>
  <si>
    <t>MSDLRKINIDGHEIEVEGAMTLIQACEVAGIEVPRFCYHERLSIAGNCRMCLVEVVGGPPKPAASCAMQVRDLRPGPEGQPPVVKTNSPMVKKAREGVMEFLLINHPLDCPICDQGGECDLQDQAMAYGVDFSRFREAKRAVDDLDLGPLVGTAMTRCISCTRCVRFTTEVAGITQMGQTGRGEDAEITSYLNQTLDSNLQGNIIDLCPVGALTSKPYAFTARPWELTKTESIDVMDALGSNIRVDTKGREVMRILPRNHDGVNEEWISDKTRFVWDGLRRQRLDRPYVRIDGKLKPATWPEALSAAATAMKGKKLAGLIGDLVPVEAAFALKQLVEGQGGKVECRVDNARLPIGNRGAYVGTAAIEDIDDADMILLIGTNPRDEAPVLNARIRKAWSRGAEVALIGPAADLTYDYYHAGTDRQALADMIAEGVSDETRDNKKSLVIVGQGALREADGLAVLAAAQKMAEISGSGLLVLHSAAGRVGAMDIGAVTEGGIEAAIDGAEVIYNLGADEVEIDAGAFVIYQGSHGDRGAHRADVILPGAAYTEENGLFVNTEGRPQLAMRAGFAPGEAKENWAILRALSAELGATLPFDSLAQLRQALVAEVPHLAQIDQVPENAVEALEQGPLGTASFRIAVDDFYLSNPIARASALMAELSAAAKARRAEKIAAE</t>
  </si>
  <si>
    <t>SPO2774</t>
  </si>
  <si>
    <t>YP_167981.1</t>
  </si>
  <si>
    <t xml:space="preserve"> NADH dehydrogenase subunit G </t>
  </si>
  <si>
    <t>AAV96018.1</t>
  </si>
  <si>
    <t>MLKDQDRIFTNLYGMHDRTLKGAMARGHWDGTAGIIGKGRDWIIQQMKDSGLRGRGGAGFPTGLKWSFMPKESDGRPSYLVVNADESEPGTCKDREIMRHDPHTLIEGCLIASFAMNANACYIYIRGEYIREREALQAAIDEAYDAGLLGKNAAKSGWDFDLYLHHGAGAYICGEETALIESLEGKKGMPRMKPPFPAGAGLYGCPTTVNNVESIAVVPTILRRGPEWFAGFGRQNNAGTKLFAISGHVNNPCVVEEAMSISFEELIETHCGGIRGGWDNLLAVIPGGSSVPCVRGEKMKDAIMDFDYLRGELGSGLGTAAVIVMDKSTDIVKAIWRLSKFYKHESCGQCTPCREGTGWMMRVMDRLVRGEAEPEEIDMLWDVTKQVEGHTICALGDAAAWPIQGLIRNFRDEIEDRIKAQKSGRMGAMAAE</t>
  </si>
  <si>
    <t>SPO2777</t>
  </si>
  <si>
    <t>YP_167984.1</t>
  </si>
  <si>
    <t xml:space="preserve"> NADH dehydrogenase I subunit F </t>
  </si>
  <si>
    <t>AAV96021.1</t>
  </si>
  <si>
    <t>MLRRLHPEQPDSFAFTPANLAWAEAQVTKFPEGRQASAVIPLLWRAQEQEGWLTRPAIEAVADMLGMAYIRVLEVASFYFMFQLQPVGTVAHIQICGTTSCMICGAEDLIAVCKEKIADKPHTLSADGKFSWEEVECLGSCTNAPMAQIGKDYYEDLTAKRFGELLDELAAGKVPVPGPQNGRYASEPLKGLTSLTEYDSGKTRYNASVQLATDIGDTVKRIDGTEVPLLTPWIGKDGTVASRAGKVSPPPAPAAPKPAVKQTPKAEAKPAPKPEAEPVLKPSAALPGQEELAARKGSWRYEAPAAEVAQADATGDAGEEQPLTLSAAREGGADDLKLLKGVGPKLEGLLNELGFYHFDQVAAWTPAQVAWVDARLTFKGRIERDGWIEQARQLAAGEETEFAKRAKKDGIYDE</t>
  </si>
  <si>
    <t>SPO2780</t>
  </si>
  <si>
    <t>YP_167987.1</t>
  </si>
  <si>
    <t xml:space="preserve"> NADH dehydrogenase subunit E </t>
  </si>
  <si>
    <t>AAV96023.1</t>
  </si>
  <si>
    <t>MMDGGKGFEDALTGEQKIRNFNINFGPQHPAAHGVLRMVLELDGEIVERCDPHIGLLHRGTEKLMESRTYLQNLPYFDRLDYVAPMNQEHAWCLAIEKLTGVEVPRRASLIRVLYSEIGRILNHLLNVTTQAMDVGALTPPLWGFEEREKLMVFYERACGARLHAAYFRPGGVHQDLPDALLDDIEAWSHTFPNVLDDIDGLLTENRIFKQRNCDIGVVSEEEILQYGFSGVMVRGSGLAWDLRRAQPYECYDEFEFQVPVGKNGDCYDRYLCRMEEMRQSISIIRQAIAKLRDCPGDVLARGKLTPPKRGDMKTSMESLIHHFKLYTEGFHVPAGEVYAAVEAPKGEFGVYLVADGTNKPYRSKIRAPGYLHLQAMDHVARGHQLADVAAIIGTMDIVFGEIDR</t>
  </si>
  <si>
    <t>SPO2782</t>
  </si>
  <si>
    <t>YP_167989.1</t>
  </si>
  <si>
    <t xml:space="preserve"> NADH dehydrogenase subunit D </t>
  </si>
  <si>
    <t>AAV96025.1</t>
  </si>
  <si>
    <t>MSDALRELGTHLELKRADCILSWDVTFGELNVDVAPSNLVDFVDFLRSDSSCRFSTLVDITAVDYPERAKRFDVVYHFLSMYQNQRIRLRVSIREDDMVPSITDVHPSANWFEREVFDMFGILFTGHPDLRRILTDYGFRGYPLRKDFPTTGYTEVRYDEAEKRVVYEPVSLVQEYRQFDFMSPWEGADYILPGDEKKEG</t>
  </si>
  <si>
    <t>SPO2784</t>
  </si>
  <si>
    <t>YP_167991.1</t>
  </si>
  <si>
    <t xml:space="preserve"> NADH dehydrogenase subunit C </t>
  </si>
  <si>
    <t>MEERGAGMAVMTGANTAGVDKEVATQALNAELQDKGFLLTSTEDIINWARTGSLHWMTFGLACCAVEMMHTSMPRYDAERFGIAPRASPRQSDVMIVAGTLTNKMAPALRKVYDQMPEPRYVISMGSCANGGGYYHYSYSVVRGCDRIVPVDIYVPGCPPTAEALLYGLLQLQRKIRRTGTIVR</t>
  </si>
  <si>
    <t>SPO2785</t>
  </si>
  <si>
    <t>YP_167992.1</t>
  </si>
  <si>
    <t xml:space="preserve"> NADH dehydrogenase subunit B </t>
  </si>
  <si>
    <t>AAV96060.1</t>
  </si>
  <si>
    <t>MEFGFTTAAYVVAAVLFILSLGGLSGQESAKRAVWYGIAGMALAVFATLIGPGSGLWLLSLILIAAGGIIGTYVAKRVQMTEMPQLVAAMHSLVGLAAVFVGFNAHFELGNVLSMTEEARHGLEGFAALLAHKSPVEQNILRVELFLGIFIGAVTFTGSVVAYGKLAGKVTSAATKLPGGHMLNAGAAALSLICLIWYFNSGGFLPLLIMTLAAFFIGYHLIMGIGGADMPVVVSMLNSYSGWAAAAIGFSLGNDLLIVVGALVGSSGAILSYIMCKAMNRSFISVILGGFGGTTGPAMEVEGEQIAIDAEGVAAALNDADSVVIIPGYGMAVAQAQQSVSELTRKLRAKGKNVRFAIHPVAGRLPGHMNVLLAEAKVPYDIVLEMDEINEDFPDTDVAIVIGSNDIVNPAAQEDPNSPIAGMPVLECWKAKQVFVSKRGQGTGYSGIENPLFYKENTRMFYGDAKQSLDKLLPMID</t>
  </si>
  <si>
    <t>SPO2819</t>
  </si>
  <si>
    <t>YP_168027.1</t>
  </si>
  <si>
    <t xml:space="preserve"> NAD(P)+ transhydrogenase, beta subunit </t>
  </si>
  <si>
    <t>AAV96061.1</t>
  </si>
  <si>
    <t>MKIGTPKEIFEGENRVAMTPDSAVQLQKLGYDCAIESGAGAAAGFSDALYEAAGVEIIKTAAALWKEVDIVAKVRQPDATELKRLSKGKTLISFFNPAGNEDGMAAAKSKGANVIAMEMVPRISRAQKMDALSSMANIAGYRAVIEAGNNFGRFFTGQVTAAGKVPPAKVLIVGAGVAGLAAIGTSTSLGAITYAFDVRPEVAEQVESMGAEFVYLDFEEEQQDGAATGGYASVSSPEFAAAQLAKFRELAPEMDIVITTALIPNREAPELWTEDMVAAMKPGSVIVDLAAEKGGNCKLTVKDEKIVTENGVTIIGYTDFPSRMAAQASTLYATNIRHMMTDLTPEKDGQINHNMEDDVIRGATVTFEGDITFPPPPPKVQAIAAKSKEKPKELTPEEKRAQEVAAFKAQTKNQVTLLTVGGLLLLLVGLVAPASFMQHFIVFVLAVFVGFQVIWNVSHSLHTPLMAVTNAISSIIILGALMQIGSGSFLVILLAGLSVFMAGINIFGGFLVTRRMLAMFQKS</t>
  </si>
  <si>
    <t>SPO2820</t>
  </si>
  <si>
    <t>YP_168028.1</t>
  </si>
  <si>
    <t xml:space="preserve"> NAD(P) transhydrogenase subunit alpha </t>
  </si>
  <si>
    <t>AAV96201.1</t>
  </si>
  <si>
    <t>MRSFTVQSAGSPAQLIDQPVPEPAPGQVRIDIRACGLNFADLLMQKGTYQDTPPAPFTLGMEVAGTINALGTGVSHLKVGDRIAIYTGQGGLAEQGVFDADRALPLPDTMSFEHAAAFQIAYGTSHMALDHRARLQPGETLLVTGAAGGVGLTAVEIGKLMGARVIAQARGADKLEIARQAGADILIDADEDLRARLLDLGGVDVVYDAIGGDVFKAAFRAANPEARLLPIGFAGGEVPQIPANHLLVRNLTVIGFYIGGYLSFRPEVIRNSFQTLLDWYQQGRLHPHVSHILPLERAAEGLELLRNRTATGKVVITP</t>
  </si>
  <si>
    <t>SPO2960</t>
  </si>
  <si>
    <t>YP_168168.1</t>
  </si>
  <si>
    <t>AAV96311.1</t>
  </si>
  <si>
    <t>MKNALTLSALLAALSSLPAAAQELEIIGKPVDGGMGFQPAATELARDLQWLDGMILVIITAICLLVAALLVWCIVRFNSRANPTPAKFSHYTPVEILWTVGPIVILLFIGSYSLKELFDQQEIPEGEINIKVTGYQWYWGYDYTDEGFGFESFMLGRDALEEHGYSQDEYLLATDTAVVVPVGKVVVMNVTGADVIHSWTIPAFGVKQDAVPGRLAQLWFKAEKEGIYFGQCSELCGKDHAYMPITVKVVSEAEYAKWLASAKEEYAGLPTSYQVASN</t>
  </si>
  <si>
    <t>SPO3076</t>
  </si>
  <si>
    <t>YP_168279.1</t>
  </si>
  <si>
    <t xml:space="preserve"> cytochrome c oxidase, subunit II </t>
  </si>
  <si>
    <t>AAV96397.1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</si>
  <si>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</si>
  <si>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SPO3162</t>
  </si>
  <si>
    <t>YP_168365.1</t>
  </si>
  <si>
    <t xml:space="preserve"> F0F1 ATP synthase subunit beta </t>
  </si>
  <si>
    <t>AAV96398.1</t>
  </si>
  <si>
    <t>MPNLKDLKNRIASVKSTRKITKAMQMVAAAKLRRAQESAEAARPYAERFNAVMAGLAASVGGSDSAPLLLRGTGSDQVHLLVVMTAERGLCGGFNSNIAKLARVRANELLAKGKTVKILTVGKKGRDAMKRDFAANMVGHVDLSGIKALGYANAQDIARDVLGRFDAGEFDVATIFYAKFQNVVTQLPTAQQIIPAAFEAEGESDEVALFDYEPSEEAILADLLPRGVATQIFSALLENGASEQGARMSAMDNATRNAGEMIDKLTIEFNRSRQAVITNELIEIISGAEAL</t>
  </si>
  <si>
    <t>SPO3163</t>
  </si>
  <si>
    <t>YP_168366.1</t>
  </si>
  <si>
    <t xml:space="preserve"> F0F1 ATP synthase subunit gamma </t>
  </si>
  <si>
    <t>AAV96399.1</t>
  </si>
  <si>
    <t>MGIQAAEISAILKDQIKNFGQEAEVAEIGRVLSVGDGIARVYGLDNVQAGEMVEFPGGIMGMALNLENDNVGVVIFGSDRDIKEGDTVKRTNSIVDVPQGDELLGRVVDGLGNPIDGKGPINAKLRGVADVKAPGIIPRKSVHEPMATGLKAVDSMIPIGRGQRELIIGDRQTGKTAIALDTILNQKSYNDAAGDDESKKLYCVYVAIGQKRSTVAQLVKKLEENGAMEYSIVVAATASDPAPMQFLAPYAATAMAEYFRDNGRHALIIYDDLSKQAVAYRQMSLLLRRPPGREAYPGDVFYLHSRLLERSAKLNEDFGAGSLTALPVIETQGGDVSAFIPTNVISITDGQIFLETELFYQGIRPAVNTGLSVSRVGSSAQTKAMSSVAGPVKLSLAQYREMAAFAQFGSDLDAATQQLLNRGARLTELMKQPQYSPLTNAEIVCVIFAGTNGYLDKVALADVGRWEAGLLQHLRGKHAELLAWITNEDPKIKDDAAGRVKAALDEYAATFA</t>
  </si>
  <si>
    <t>SPO3164</t>
  </si>
  <si>
    <t>YP_168367.1</t>
  </si>
  <si>
    <t xml:space="preserve"> F0F1 ATP synthase subunit alpha </t>
  </si>
  <si>
    <t>AAV96400.1</t>
  </si>
  <si>
    <t>MSEPASISAGIAQRYATAIFAIAQDNNDLKGLETGINDLTAALGESADLRSLIASPLVSRAEQEAAITAVAKKMKLNPVLANALSLMAQKRRLFVLPQLLTALRDALAEARGEVTAEVASAKALTKTQIEKLTKTLSEKVGKSVTINATVDESLIGGLVVKVGSKMIDSSIRSKLNSLQNAMKEVG</t>
  </si>
  <si>
    <t>SPO3165</t>
  </si>
  <si>
    <t>YP_168368.1</t>
  </si>
  <si>
    <t xml:space="preserve"> ATP synthase delta chain </t>
  </si>
  <si>
    <t>AAV96468.1</t>
  </si>
  <si>
    <t>MRNILAPVLSLVLIAGVASPALAASGPFFSLKNTDFVVTIAFLVFIAVLFYFKVPSMIGGALDKRAEGIQSDLDEARKLREEAQSLLASFERKQKEMQGQADAIVAAAKEEAQRSAEQAKVDLEASIARRLAAAQDQIASAEAAAVKDVRDRAIAIAVAAAGDVIASSMTAAEANKLIDAGIADAGAKLH</t>
  </si>
  <si>
    <t>SPO3233</t>
  </si>
  <si>
    <t>YP_168436.1</t>
  </si>
  <si>
    <t xml:space="preserve"> F0F1 ATP synthase subunit B </t>
  </si>
  <si>
    <t>AAV96469.1</t>
  </si>
  <si>
    <t>MATEQTGAVSTCVDSYGSAIGMPQLCFDWFPNQIFWLVITLVVVFLVLSRVALPRIAAILAERQGTITNDLAAAEDLKAKAAAAEEAYTKALADARAEAQRIAAEARAEIQAGLNDAIAKADAEIAAKAAESEKVIAGIRAGALESIEAVAKDTAEALVDALGGKAEAASVAGAVDQRMKG</t>
  </si>
  <si>
    <t>SPO3234</t>
  </si>
  <si>
    <t>YP_168437.1</t>
  </si>
  <si>
    <t xml:space="preserve"> F0F1 ATP synthase subunit B' </t>
  </si>
  <si>
    <t>AAV97042.1</t>
  </si>
  <si>
    <t>MSTFDYDLIIIGSGPSGRAAAIQAGKLKRRVLVIDRKDRLGGVSVHTGTIPSKTLRETVLNLSGWRERSFYGRSYRVKDRISAEDLKARLHMTLDYEVDVLEHQFNRNHIDTLNGLARFVGPHEIEVATEAGDTTRLTAAKFLIATGTKTYRPDYVPFNGKTVVDGDDFLEMERIPRSLAVIGAGVIGVEYASMFSALDVRVTLIEPRETFLDFIDRTLIQEFTHQIRENGVDLRLGSAVEKIEDTGSHIEISLANGRHIRAEMLLFAAGRMGATSALNLDAVGLETDHRNRITVDRKTYQTSVPHIYATGDVIGHPSLASTSMQQGRVAACHALETPTLPESPWFPYGIYSVPEMSTCGMSEEELQERGIPYEVGVARFRETSRGHIMGLEHGMLKMLLSLKTRRVLGVQIVGEGATELIHIGQAVMNLKGTVDYFVQNTFNYPTLAEAYRTAGLDAFNRMPIPEEFKVKKPKK</t>
  </si>
  <si>
    <t>SPO3828</t>
  </si>
  <si>
    <t>YP_169016.1</t>
  </si>
  <si>
    <t xml:space="preserve"> soluble pyridine nucleotide transhydrogenase </t>
  </si>
  <si>
    <t>YP_164869.1</t>
  </si>
  <si>
    <t>MAPTDQHDQLVLSIYDAALDPGKWPELLTRIARYAGGIGAMIFEVETPGDQPHLLASHFSDTYQIDLVEGYLNQHNDLEIADQAVFARHSRATDDIQLIPDSVLAASEAELLARPNQKTMMQYGIRYRCGALLNKDQLFHDRFSMQFGSDASDDLPQRLARASRLLPHIAKALSIGRPIQAVQKRHQTVLNALDKLDVGFCVLDERMNVIAGNEEFRRQSEESGVFRRDPQGKLSFRSDDDLSRARTLLGDPQQHGRFGARPRKEALEADHQSDARIGDALCIDISPLHKAREIGEQALDGFLLMSTDTSRTYRLEMPTIAALFDLSEAECAVFELMAEGKTNKQIAEERGRSLDTINSQVKSILSKSNCDNRTQAIRMATNISSGFLVRD</t>
  </si>
  <si>
    <t>SPOA0038</t>
  </si>
  <si>
    <t xml:space="preserve"> LuxR family transcriptional regulator </t>
  </si>
  <si>
    <t>Basic cellular processes</t>
  </si>
  <si>
    <t>Signal transduction mechanisms; Transcription</t>
  </si>
  <si>
    <t>YP_165034.1</t>
  </si>
  <si>
    <t>MLDLLKAAARVATPTGQEALPTDILSFTLEYPEPVTAEAARGAIAALLEGDRFDLFPATQADDDMLILQFPGVPIEQSPGYLFAEAAALKEALDLVSVTPDILPPFTDAESVPPPVENVGDVIWDLCRAHTPPLADRNWALRLIKADRAMSRFGVTGAGQRIGQPDTGVAAHHELKHGVDKARGYNFVDNTPDPTDPLLPSMGSPGHGTGTASVVISRRSGRVNGSAPRASLVPLRTNNAVVIGSWAPVARALDHARAQGCRIVTMSLGSGFAPRLIRRAVARAVSADMILLAAAGNCVRFVTYPAFDRNVIAVAGVDHAGRRWRGSCRGPEVDIAAPAENVHVARRRPGETDLSDVTDTGQGTSFAVALTAGVAALWLEHHGWTALRQEARRRGLPLQELFRAALRQSANAPAGWDHSQMGAGIVDAEALLALDPADIMVGAAPESAGPAELLFGADFDAGGLQAEAEYLAFDWRLRERPEASATVENAMREMPSPALAALLGDRQPLGEPGLVLAPAAPPAPLDRAFRRLAAGRGGTTESAADLSYEASVDRLRGEGLDTVMETVNELFQARAESAPDLVDTDMQAEAADKIRQAVQSHLDPDRDVRLSPGEVGFALEALVKLSGRPAIRVQADGSELFDPLLGTWRADLLTAVSRWQPLVRAVGRIDARNPQGVWVHVGTGFLLADGLVMTNRHVIDAFAEPMPEENGQRPFKLRFPVSIIFDPDAADETTRYTLTEVATAGGARIGRTVNMARLDMALMRIDPDNGHAPPPDPIDRGLISTTDLALTKILVAGYPAEPRNVRGPDPRQDQDTYLAFWARLGELYGDRYGVKYISPGMIEARPGAVTGDPRGWAFSHDATTLPGNSGSAILSLHNPGQLCGLHFGGQSLETNLAHDIQAVLGMGDGAFATGLLNGQGE</t>
  </si>
  <si>
    <t>SPOA0205</t>
  </si>
  <si>
    <t xml:space="preserve"> serine protease </t>
  </si>
  <si>
    <t>YP_165035.1</t>
  </si>
  <si>
    <t>MRPTSRNALPPLETVLAGVSLLAGLEAEILSRFAADLELVTVHTGQTVMEQGETSTEMYVVVRGRLVGLLLSPNGKEVAFTEITAGRYFGELSALDGRPRSLTISAAETTVLARMPAQRLLDWMAREPRLAHNLAIDLAERNRVLTERVFGLVVHDVDKRVRALLIQQAQAARQLKPGGVLDPSPTHDAIANYIGATREAVSRVMARLSAAGVIETGRRRLEIADIEQLFEGL</t>
  </si>
  <si>
    <t>SPOA0206</t>
  </si>
  <si>
    <t xml:space="preserve"> Crp/FNR family transcriptional regulator </t>
  </si>
  <si>
    <t>YP_165171.1</t>
  </si>
  <si>
    <t>MEKPENIGNTISIIGKPSGRSLVWDDTRAFLAVARHGTLSAAAGALHIGIATLSRRIDRMEEALGVPLFVRHQSGYQLTEDGSDLIEKAEAMENAAIALSTGAKLQAQLTGKVRLATAENFASGLIIPALPEFQARFPGLMVEIVTDITTVNVHRRDADLALRMVKPQRGNVTLQRLGTLGYGLYASEAYVQGRNPGTDRGSYETDAFISWGEGQSHLPAAQWAERMLRGRAPALTTTSLSTQVTAAAAGLGLAVLPHFLAADAGLVCLNANIGIDQPIYLVIQSDLAQSRRTRALADFLAELVHSNRTRLRGY</t>
  </si>
  <si>
    <t>SPOA0344</t>
  </si>
  <si>
    <t xml:space="preserve"> LysR family transcriptional regulator </t>
  </si>
  <si>
    <t>YP_165256.1</t>
  </si>
  <si>
    <t>MIKRILAGLGLVILALVAVIAFRTVQYRPGPVEASQPFSVGADIDRAAQVLAEAVRFRTVSTDMSHPDFPAFLAFLEQSFPAVHRTMERTLLEPVTPLYKWQGSNPDLPPVMLAAHYDVVPVTEDTLGEWDHPPFAGVVADGFVWGRGTLDNKGALIAALTAAEKLINDGFTPERTIYFSFGGDEETGGLGAIAVAEHLRAQGVQLAWVLDEGSFVLDKIIPGLDVPVASINLAEKGYLTIQLVAHAEGGHSSMPPRHTAVGQLARAVARLQEAPMPGGLTGVSAEFFDALGRHFSIDKRAIFANRWLFDPVLEGILSGSPSTDAMLRTTTAPTMLEGSPKENVLPTRAVATVNFRLHPRDSIDDVLVHVKAAIDDEGIEIVADRDLASPASPVSDSQGAGFKDVEASIREVFGPIASVPGLTIAATDARHYAKAADAAYRINPFQIEGDDLARFHGIDERLSIANIERGINFYAALIGKQ</t>
  </si>
  <si>
    <t>SPOA0429</t>
  </si>
  <si>
    <t xml:space="preserve"> hypothetical protein SPOA0429 </t>
  </si>
  <si>
    <t xml:space="preserve">Zinc peptidases </t>
  </si>
  <si>
    <t>AAV93339.1</t>
  </si>
  <si>
    <t>MRPSGRDLSEMRPVSIETGFTKHAEGSCLIKMGDTHVLCTATIEDRVPPFIKGSGLGWVTAEYGMLPRATNTRMRREAASGKQGGRTVEIQRLIGRALRAGVDRVALGERQITVDCDVIQADGGTRCASITGGWVALRLAVNKLMKAGDVISDPLVDPVAAVSCGIYAGQPVLDLDYPEDSEAGVDGNFIMTGSGKLIEVQMSAEGSVFNRAQLDQLLGLAEKGVGELVAAQMAATA</t>
  </si>
  <si>
    <t>SPO0008</t>
  </si>
  <si>
    <t>YP_165281.1</t>
  </si>
  <si>
    <t xml:space="preserve"> ribonuclease PH </t>
  </si>
  <si>
    <t>AAV93374.1</t>
  </si>
  <si>
    <t>MGKVIGIDLGTTNSCVAIMDGAQPKVIENSEGARTTPSIVAFTDEERLVGQPAKRQAVTNPSNTIFGVKRLIGRRVDDAEVTKDKKMVPFTIVNGGNGDAWVEAKGEKYSPSQISAVILGKMKETAESYLGEEVTQAVITVPAYFNDAQRQATKDAGKIAGLEVLRIINEPTAAALAYGLDKKNSQTIAVYDLGGGTFDVTILEIDDGLFEVKSTNGDTFLGGEDFDMRIVNYLADEFKKEHGVDLSGDKMALQRLKEAAEKAKIELSSTTQTEINQPFISMGANGQPLHLVMKLTRAKLESLVGDLIKKSMDPCKAALKDAGISPSDVDEVVLVGGMTRMPKVFEEVTKFFGKEPHKGVNPDEVVAMGAAIQAGVLQGDVKDVVLLDVTPLSLGIETLGGVFTRLIDRNTTIPTKKSQVFSTAEDNQNAVTIRVFQGEREMAADNKILGQFNLEDIPPAPRGMPQIEVTFDIDANGIVSVSAKDKGTGKEHKITIQASGGLSDEDIEKMVKDAEENAEADKARKELVEARNQAESLIHSTEKSVEEHGDKVDPTTVEAIELAIAALKDDLDKDGVSAEKIKSGLQNVTEAAMKLGEAIYKAQSEGGDDEPAAADARPSDDDIVDAEFEDLGEDKRK</t>
  </si>
  <si>
    <t>SPO0043</t>
  </si>
  <si>
    <t>YP_165316.1</t>
  </si>
  <si>
    <t xml:space="preserve"> chaperone protein DnaK </t>
  </si>
  <si>
    <t>AAV93375.1</t>
  </si>
  <si>
    <t>MSKRDYYDVLGVSKGASADEIKKAYRGKAKELHPDRNKDNPDAESLFKEVNEAYEVLKDAEKKAAYDRFGHAAFEGGMGGGQRPGGGFGSGDFSSAFSDVFEDLFGDFMGGQRGGGGRRAARGSDLRYNLRVTLEEAFSGLQKTINVPTAVACSSCEGTGAEGGVEPTTCPTCSGMGKVRAQQGFFTVERTCPTCSGLGQIIKNPCKSCRGQGRVEKDRALSVNIPAGVETGTRIRLAGEGEAGMRGGPPGDLYIFVEVAKHELFERDGVNLYCRVPVSMAKAALGGAIEVPTIDGGRGRVQVPAGSQSGRQMRLRSKGMPALRGGGIGDMFIELAVETPVNLTSKQKDLLREFDELSEDNNPETKSFFSSVKSFWDGMKG</t>
  </si>
  <si>
    <t>SPO0044</t>
  </si>
  <si>
    <t>YP_165317.1</t>
  </si>
  <si>
    <t xml:space="preserve"> chaperone protein DnaJ </t>
  </si>
  <si>
    <t>AAV93382.1</t>
  </si>
  <si>
    <t>MRAAAGQPWRDYTRHAFVEGMKDGSLARDAFVHYLRQDYVFLIHFARAWALAVVKGETHAEMLAAVGTVNTLVVEEMQLHVGVCEAAGISKDALFATPERPENLAYTRFVLEAGYSGDLADLLAALAPCVMGYGEIGARLATEATSEAYKDWIDTYAGPEYQAACKAVGELMDQALTRRIGADFEASPRWERLCRTFRTATELEVGFWQMGLTP</t>
  </si>
  <si>
    <t>SPO0051</t>
  </si>
  <si>
    <t>YP_165325.1</t>
  </si>
  <si>
    <t xml:space="preserve"> TENA/THI-4 family protein </t>
  </si>
  <si>
    <t>AAV93392.1</t>
  </si>
  <si>
    <t>MSDTDGKKTLGLRGSRPGNVKQSFSHGRTKNVVVETKRKRVVVPKPGAGKPSAGGSSPAGDPSRRPAGISDAEMERRLNALKAAKARESEEAAQREAEEKARAEERERRRAEQEAKEREQREAEQRAREKAEEEERQRREAEEEAKRAAVRAAAEQEAPKAERSAERAPAAARPEGGDNARRTTDRDREREQRQTRGKGRQDGRRSGKLTLSQVTDGEGGRQKSLAAMKRKQERARQKAMGGAAEREKVIREVQLPEAIVVSELANRMAERVADVVKELMKMGMMVTQNQTIDADTAELIIEEFGHKVVRVSDSDVEDVISDIEDAEEDLKPRPPVITIMGHVDHGKTSLLDAIRDAKVVAGEAGGITQHIGAYQVKTDGGATLSFLDTPGHAAFTSMRSRGAQVTDIVVLVVAADDAVMPQTVEAINHAKAAGVPMIVAINKIDKPEANPTKVRTDLLQHEVVVEAMSGEVQDVEVSAKTGEGLDELLEAIALQAEILELKANPDRPAQGAVIEAQLDVGRGPVATVLIQKGTLRQGDIFVVGEQYGKVRALINDKGERVSEAGPSVPVEVLGLNGTPEAGDVLNVTSTEAQAREIAEYRAQVAKDKRAAAGAATTLEQLMAKAKADENVAELPILVKADVQGSAEAIVQAMEKIGNDEVRVRVLHSGVGAITETDVGLAEASGAPIMGFNVRANASARNTANQKGVEIRYYSVIYDLVDDVKAAASGLLSAEIRENFIGYANIKEVFKVSNVGKVAGCLVTEGVARRSAGVRLLRDNVVIHEGTLKTLKRFKDEVAEVQSGQECGMAFENYDDIRPGDVIEIFEREEVTRTLT</t>
  </si>
  <si>
    <t>SPO0061</t>
  </si>
  <si>
    <t>YP_165335.1</t>
  </si>
  <si>
    <t xml:space="preserve"> translation initiation factor IF-2 </t>
  </si>
  <si>
    <t>AAV93393.1</t>
  </si>
  <si>
    <t>MTRGGAHKDRTEGPERKCIATGESQPRFGLIRFVAGPDGQLVPDIAGKLPGRGTYVAADREALQKAVDKKLFARGLKQQVQVPDGLVDEVERQLIRRVVDLLSLARKSGDAVSGYEKVKTWLDKEEAQVLIQASDGSGRGKTKLSTPHFGKYIGWLTADELGMAFGRQTVIHAALASGGLAKRVVEEAQRLRGMRKTDDGGKGRAEG</t>
  </si>
  <si>
    <t>SPO0062</t>
  </si>
  <si>
    <t>YP_165336.1</t>
  </si>
  <si>
    <t xml:space="preserve"> hypothetical protein SPO0062 </t>
  </si>
  <si>
    <t>AAV93394.1</t>
  </si>
  <si>
    <t>MAITSANQLELLQTAEAVAREKMIDPGLVIEAMEESLARAAKSRYGAEMDIRVSIDRKTGKATFTRVRTVVADEELENYQAEFTVDQAKQYMENPQIGDTFVEEVPPVEMGRIAAQSAKQVILQKVREAERDRQYEEFKDRAGTIINGLVKREEYGNVIVDVGAGEAILRRNEKIGRESYRPNDRIRCYIKDVRREPRGPQIFLSRTAPEFMAELFKMEVPEIYDGIIEIKAVARDPGSRAKIAVISYDNSIDPVGACVGMRGSRVQAVVNELQGEKIDIIPWNEDQPTFLVNALQPAEVSKVVLDEEAGKIEVVVPEEQLSLAIGRRGQNVRLASQLTGLDIDIMTEAEESARRQKEFESRTNLFMETLDLDEFFAQLLVSEGFTNLEEVAYVELDELLVIDGVDEGTAEELQARARDYLEAQAKAALDNARALGAEDSLIQFEGLTPQMVEALAKDDVKTLEDFATCADWELAGGWTTVDGQRVKDDGILEPFGVSLEDAQDMVMTARVMLGWVDPTELLEEAEETEEGETATDEEAGA</t>
  </si>
  <si>
    <t>SPO0063</t>
  </si>
  <si>
    <t>YP_165337.1</t>
  </si>
  <si>
    <t xml:space="preserve"> transcription elongation factor NusA </t>
  </si>
  <si>
    <t>AAV93409.1</t>
  </si>
  <si>
    <t>MRYQISGKQIDIGAALQSHVQTELGEVVSKYAQRPTDAHVVFSRSAHEYVCEATVHLSTGLTAQAKAHATEIYAAFDGCCEKMDKQLRRYKRRLKDHHKDRAEPVELFGASSYILASEEPDAQSEPDSLQPMIVAEMETKIPSLSVGEAVMQMELAGAPVLVFRNESKDGLNVVYRREDGNIGWIDP</t>
  </si>
  <si>
    <t>SPO0078</t>
  </si>
  <si>
    <t>YP_165352.1</t>
  </si>
  <si>
    <t xml:space="preserve"> ribosomal subunit interface protein, putative </t>
  </si>
  <si>
    <t>AAV93478.1</t>
  </si>
  <si>
    <t>MKISIERGALLKAVAQAQSVVERRNTIPILANVLIEAEGEGAQFRATDLDIEVVDKAPAMIERAGATTVSATTLHEIVRKLPDGALVTLTADAAAGRLTVEAGRSNFSLATLPREDFPVMASSEYQSNFTANAAVLRRLFDKSKFAISTEETRYYLNGVYMHVADGDGGKVLRCVATDGHRLARIDADLPAGATDMPGVIVPRKTVGELRKLLDDDEMDIAVSVSETKVRFATPDITLTSKVIDGTFPDYTRVIPQANTRRLEVDASEFAKAVDRVATVSSERSRAVKLQLDEDKLVLSVNAPDSGAAEEELAVAYSDERLEIGFNAKYLLEIASQVDRENAVFLFNSSGDPTLMREGNDQSAVYVVMPMRV</t>
  </si>
  <si>
    <t>SPO0150</t>
  </si>
  <si>
    <t>YP_165422.1</t>
  </si>
  <si>
    <t xml:space="preserve"> DNA polymerase III subunit beta </t>
  </si>
  <si>
    <t>Replication, recombination and repair</t>
  </si>
  <si>
    <t>AAV93483.1</t>
  </si>
  <si>
    <t>MSEIEQPGNEYGADSIKVLKGLEAVRKRPGMYIGDTDDGSGLHHMVYEVVDNGIDEALAGHADHVTVKIHADSSVSVADNGRGIPVDIHAEEGVSAAEVIMTQLHAGGKFDSNSYKVSGGLHGVGVSVVNALSDWLELRIWRHGKEHVARFERGDTVEHLRVVGECGDRTGTEVRFLASTTTFSNLDYVFETLEKRLRELAFLNSGVRIILIDERPAERIETELFYEGGVREFVKYLDRSKSPVMPAPIYFKGERDDIGVEIAMWWNDSYHETVLPFTNNIPQRDGGTHVAGFRGALTRTINNYAQSSGIAKREKINFTGDDAREGLTCVLSVKVPDPKFSSQTKDKLVSSEVRPAVENLVNEKLAEWFEENPNVAKQIVGKIIEAALAREAARKARELTRRKTAMDVNYLAGKLKDCSEKDPSKTEVFLVEGDSAGGSAQTGRDRRTQAVLPLRGKILNVERARFDRMLGSQEIGNLVMALGTGIGRDEFNISKLRYHKIVIMTDADVDGAHIRTLLLTFFYRQMPELIEGGYLYIAQPPLYKVARGKSEVYLKDQAALDDYLIHQGVEGAVLKLGNGEEIVGQDLTRVVEEARQLKRVLDAFPTHYPRHIMEQAAVAGAFVAGAVDADLQGVADKVAARLDLIALEYERGWLGRITQDHGIRLARILRGVEEVRTLDGPMLRSGEARKTGSFTRSLQEIYTQPAMLVRRDRTQAIHGPLTLLKAILDEGEKGLTLQRYKGLGEMNPEQLWETTLDPDARTLLQVRVNDMVEADDIFTKLMGDSVEPRREFIQQNALSVENLDF</t>
  </si>
  <si>
    <t>SPO0155</t>
  </si>
  <si>
    <t>YP_165427.1</t>
  </si>
  <si>
    <t xml:space="preserve"> DNA gyrase subunit B </t>
  </si>
  <si>
    <t>AAV93554.1</t>
  </si>
  <si>
    <t>MQVSVRDNNVDQALRALKKKLQREGVFREMKLKQHFEKPSEKKAREKAEAIRRARKLARKKAQREGML</t>
  </si>
  <si>
    <t>SPO0229</t>
  </si>
  <si>
    <t>YP_165498.1</t>
  </si>
  <si>
    <t xml:space="preserve"> 30S ribosomal protein S21 </t>
  </si>
  <si>
    <t>AAV93645.1</t>
  </si>
  <si>
    <t>MRTRIKKLADLPEGAENPLSAAISSRHRSTVAMATEAVRHGDCLLAYQPVLQTAPPHGIAFYEGFIRVLDETGRVIPARDFMPAVENTEIGRELDCVALETGLRALVRNPTLRLSVNMSARSIGYRKWMQTLERFLKRDEALGDRLILEINQTSAMAVPELVIDFMDRLQPRGIAFALDDFGDGPIDFNSFRDFFFDAVKIDGRFIRQVSTDAANRATVRALIALAREFEMLIIAESVETEEDAAFLAENGVDCLQGYLYGAPTVTPVWEKPETAKASG</t>
  </si>
  <si>
    <t>SPO0327</t>
  </si>
  <si>
    <t>YP_165590.1</t>
  </si>
  <si>
    <t xml:space="preserve"> EAL domain-containing protein </t>
  </si>
  <si>
    <t>AAV93710.1</t>
  </si>
  <si>
    <t>MTETQFTPRVFSGIQPSGNLHLGNYLGALKRFVDMQGPEMETVYCMVDLHAITVWQDPKELAHSTRELCAGFIAAGIDPEQSILFNQSQVPEHAQLAWIFNCVARMGWMQRMTQWKDKAGKNQQNASLGLFAYPSLMAADILIYHATHVPVGEDQKQHLELTRDIAIKFNNDFGVDFFPVTEPVIEGAATRVMSLRDGTKKMSKSDPSDMSRINMTDDADAIAQKIRKAKTDPDALPSEIDGLEGRPDARNLINIYAALADRSVEQVLADVGGKQFGEFKPMLAELAVAKLSPISSEMARLMNDQAEIDRILARGAERARAITAPILKRTYEIVGMVS</t>
  </si>
  <si>
    <t>SPO0392</t>
  </si>
  <si>
    <t>YP_165655.1</t>
  </si>
  <si>
    <t xml:space="preserve"> tryptophanyl-tRNA synthetase </t>
  </si>
  <si>
    <t>MPLMTYDLYIGDRSFSSWSLRGWLMLEKFGIPYRSHLVGLYSGTMAADLAPVAPARQVPALRTPDGIALGQSLAMAETLAERHPEAGLWPADPAARATARWLCAEMVSSFTALRGECPMQLLHCYEGFQPGAGTLADLARIETLWSHARAVSGAATGPLFGTYSLADVFYVPVAARIIGYGLPVSAAARDYCLFLLGDTAVRQWRAMGLTVRYDPMPYGLDLPVRDWPVGTPGAARAVEAGPSVNTACPYSGDPVSDFLELDGRVWGFCNAFCRDKTVADPGAWPKFTAMVAKG</t>
  </si>
  <si>
    <t>SPO0403</t>
  </si>
  <si>
    <t>YP_165666.1</t>
  </si>
  <si>
    <t xml:space="preserve"> hypothetical protein SPO0403 </t>
  </si>
  <si>
    <t>AAV93732.1</t>
  </si>
  <si>
    <t>MTNPILADWQTPFDIAPFDRIADSDFAPALEVALAEHRAEIAAIADSPEAPTFANVIEALEAAGGALDRVLGVFFTVAGADSNPAREELQRAFSPQLAAHFSEISANKALFARVAAVWEARADLELSDEQQRVLMLTHRGFVRAGAALSGEAEARMKEIKARLAVLGTEFTQNLLADERDWFMDLSEDDLEGLPDFVTAAARAAGQEKEAAGPVVTLSRSLIVPFLQFSPRRDLRERAYRAWVARGANGGKTDNRAIATETLTLRQERAALLGYDSFAAYKLETEMARSPDRVRDLLMQVWAPARARAEADAEVLTAMMQEDGINGPLEPWDWHYYAARRRKAEHDLDEAALKPYLQLDRMIEASFACANRLFGLEFRPLDIALYHPDCRAWEVTRDGRHVAVFIGDYFARGSKRSGAWCSAMRAQAKFPRTQAPVVINVCNFAKGDPALLSYDDARTLFHEFGHALHQMLSDVTYESVSGTSVARDFVELPSQLYEHWLEVPEVLAEFATHAETGAPMPAEMLEKVLGAANFDQGFQTVEYVASALVDLAFHDGPAPSDPMAKQAEVLAELGMPHAIGMRHATPHFAHVFAGDGYSSGYYSYMWSEVMDADAFAAFEEAGGAFDPDRAEALERHILSTGGSRDAEDLYLAFRGRLPGVEALLKGRGLIAA</t>
  </si>
  <si>
    <t>SPO0414</t>
  </si>
  <si>
    <t>YP_165677.1</t>
  </si>
  <si>
    <t xml:space="preserve"> peptidyl-dipeptidase, putative </t>
  </si>
  <si>
    <t>AAV93748.1</t>
  </si>
  <si>
    <t>MSMTTTRFAPSPTGYIHVGNLRTALMNYLIARKAGGTFILRIDDTDPERSKEEYVDAIKQDLDWLGLHWDRVERQSERLDRYAEAADKLRAMGRFYEAFETPTELDLKRKKQLNMGKPPVYDRAALALSEGEKEALRAERGNGVWRFKLDQERIEWTDGILGDISIDAASVSDPVLIRGDGQVLYTLASVVDDTDMGVTDVVRGSDHVTNTATQIQIMAALGFEHPRFAHHSLLTGPQGEALSKRLGTLALRDLREQGVQPMALLSLMARLGSSDPVELRSDMAELIEGFDVTRFGAAPTKFDVQDLFPLTGRYLQALPLEAVAKDVAAAGVPEDLAAPFWSMARENITTLNDLAGWWALCRDGAEPLIADEDRAFVTEAMALLPEGPLDADSWGAWTQAVKEATGRKGKGLFMPLRKAVTGMERGPEMATLLPLMQVIRARG</t>
  </si>
  <si>
    <t>SPO0430</t>
  </si>
  <si>
    <t>YP_165693.1</t>
  </si>
  <si>
    <t xml:space="preserve"> glutamyl-tRNA synthetase </t>
  </si>
  <si>
    <t>AAV93755.1</t>
  </si>
  <si>
    <t>MATGTVKWFNTTKGFGFIAPEEGGKDVFVHISAVERSGLTGLADNQKVSYELKPGRDGRESAVDLKLL</t>
  </si>
  <si>
    <t>SPO0437</t>
  </si>
  <si>
    <t>YP_165700.1</t>
  </si>
  <si>
    <t xml:space="preserve"> cold shock family protein </t>
  </si>
  <si>
    <t>AAV93773.1</t>
  </si>
  <si>
    <t>MLHWHNRTAGPGAWGALPSPMETDMSNSRELALASKAWPFEEARRVLKRYEKAPPEKGYVLFETGYGPSGLPHIGTFGEVARTTMIRRAFHEISDIPTRLICFSDDLDGMRKVPGNVPNQDMLREHLQKPLTSVPDPFGTHESFGHHNNAMLRRFLDTFGFEYEFYSATEFYRSGQFDEILLRAAERYDDIMKIMLKSLREERQQTYSIFLPIHPETGRVLYVPMKEVNAKDGTITFDDEDGREWTLPVTGGNVKLQWKPDFGARWAALGVDFEMYGKDHSTNTPIYDGICRVLGVPAPEHFTYELFLDENGQKISKSSGNGVSIDEWLTYASSESLAYFMYQKPKTAKRMYFDVIPKAVDEYHQQLRAYPTQDLAAQLNNPVWHIHGGDVPASTLIVPFGMLLNLASVSGAEDKEALWGFIRRYAPEASAESHPDLDQAAGFAVRYFNDFVKPTRVYRAPIEVEREALEELRAQLAAYDGPVEDEALQSIVYAVGRDRFDPLRAWFGALYEVLLGASQGPRFGGFIALYGIPETIALIDKALAGELV</t>
  </si>
  <si>
    <t>SPO0455</t>
  </si>
  <si>
    <t>YP_165718.1</t>
  </si>
  <si>
    <t xml:space="preserve"> lysyl-tRNA synthetase </t>
  </si>
  <si>
    <t>AAV93801.1</t>
  </si>
  <si>
    <t>MALKSYKPTTPGQRGLVLIDRSELWKGRPVKSLTEGLTKSGGRNNTGRITSRRRGGGAKRLYRIVDFKRNKFDVAATVERIEYDPNRTAFIALIKYEDGEQAYILAPQRLAVGDKVVASAKADIKPGNAMPFSGMPIGTIVHNIEMKPGKGGQIARAAGTYAQFVGRDGGYAQIRLSSGELRMVRQECMATVGAVSNPDNSNQNYGKAGRMRHKGIRPSVRGVAMNPIDHPHGGGEGRTSGGRTPVTPWGKDTKGTRTRNKNKASQKLIIRSRHAKKKGR</t>
  </si>
  <si>
    <t>SPO0484</t>
  </si>
  <si>
    <t>YP_165746.1</t>
  </si>
  <si>
    <t xml:space="preserve"> 50S ribosomal protein L2 </t>
  </si>
  <si>
    <t>AAV93802.1</t>
  </si>
  <si>
    <t>MSRSVWKGPFVDAYVLKKAAAVRESGRNEVIKIWSRRSTILPQFVGLTFGVYNGQKHIPVNVTEDMIGQKFGEYSPTRTYYGHAADKKAKRK</t>
  </si>
  <si>
    <t>SPO0485</t>
  </si>
  <si>
    <t>YP_165747.1</t>
  </si>
  <si>
    <t xml:space="preserve"> 30S ribosomal protein S19 </t>
  </si>
  <si>
    <t>AAV93803.1</t>
  </si>
  <si>
    <t>MGKEKNPRRVAENEAMAKLRMLRTSPQKLNLVAAMIRGKKVGQALTDLTFSNKRIAQDVKKCLQSAIANAENNHNLDVDELIVAEAWVGKNLVMKRGRPRARGRFGKIMKPFSELTITVRQVEEQA</t>
  </si>
  <si>
    <t>SPO0486</t>
  </si>
  <si>
    <t>YP_165748.1</t>
  </si>
  <si>
    <t xml:space="preserve"> 50S ribosomal protein L22 </t>
  </si>
  <si>
    <t>AAV93804.1</t>
  </si>
  <si>
    <t>MGHKVNPIGMRLQVNRTWDSRWYADTKDYGNLLLEDLAIREFIKEECKQAGVARVIIERPHKKCRVTIHTARPGVIIGKKGADIETLRKKLANMTDSELHLNIVEVRKPEMDAQLVAESIAQQLERRVSFRRAMKRAVQNSMRMGALGIRVNVAGRLGGAEIARTEWYREGRVPLHTLRADIDYALAEASTPYGIIGIKVWIFKGEILEHDPQARDRKAQELQDGPAPRGAGGRR</t>
  </si>
  <si>
    <t>SPO0487</t>
  </si>
  <si>
    <t>YP_165749.1</t>
  </si>
  <si>
    <t xml:space="preserve"> 30S ribosomal protein S3 </t>
  </si>
  <si>
    <t>AAV93805.1</t>
  </si>
  <si>
    <t>MLQPKRTKFRKMFKGRIHGLAKGGSDLNFGTYGLKALEPERVTARQIEAARRAMTRHMKRQGRVWIRIFPDTPVTSKPTEVRMGKGKGSVDYWACKVKPGRVMFEIDGVNDEIAREALRLAAMKLPIKTRVVVREDW</t>
  </si>
  <si>
    <t>SPO0488</t>
  </si>
  <si>
    <t>YP_165750.1</t>
  </si>
  <si>
    <t xml:space="preserve"> 50S ribosomal protein L16 </t>
  </si>
  <si>
    <t>AAV93812.1</t>
  </si>
  <si>
    <t>MIQMQTNLDVADNSGARRVQCIKVLGGSKRKYASVGDIIVVSVKEAIPRGRVKKGDVRKAVVVRTAKEVRREDGTAIRFDRNAAVILNNNNEPVGTRIFGPVVRELRAKNFMKIISLAPEVL</t>
  </si>
  <si>
    <t>SPO0495</t>
  </si>
  <si>
    <t>YP_165757.1</t>
  </si>
  <si>
    <t xml:space="preserve"> 50S ribosomal protein L14 </t>
  </si>
  <si>
    <t>AAV93813.1</t>
  </si>
  <si>
    <t>MAAKLRKGDKVVVLAGKDKGKEGTITSVDPKAGKAVVDGVNIAIRHTRQTQTSQGGRLPKALPIDLSNLALLDKNGKATRVGFRMEGDKKVRFAKTTGDVIDA</t>
  </si>
  <si>
    <t>SPO0496</t>
  </si>
  <si>
    <t>YP_165758.1</t>
  </si>
  <si>
    <t xml:space="preserve"> 50S ribosomal protein L24 </t>
  </si>
  <si>
    <t>AAV93814.1</t>
  </si>
  <si>
    <t>MLDAANYTPRLKAQYAETIRAALKEEFGYKNDMMIPKLEKIVLNIGCGAEAVKDSKKAKSAQEDLSKIAGQKAITTTAKKSIAGFRVREDMPMGAKVTLRGERMYEFLDRLITIAMPRIRDFRGVKPSFDGRGNFAMGIKEHIVFPEIDFDKVDEVWGMDIVIATTAKTDAEAKSLLKHFNMPFNA</t>
  </si>
  <si>
    <t>SPO0497</t>
  </si>
  <si>
    <t>YP_165759.1</t>
  </si>
  <si>
    <t xml:space="preserve"> 50S ribosomal protein L5 </t>
  </si>
  <si>
    <t>AAV93816.1</t>
  </si>
  <si>
    <t>MNDPIGDMLTRIRNAQLRGKSTVSTPGSKLRAWVLDVLADEGYIRGYEKSTDVNGHPTLNIELKYYEGEPVIRELKRVSKPGRRVYMGVKDIPSVRQGLGVSIVSTPKGVMSDANARSNNVGGEVLCTVF</t>
  </si>
  <si>
    <t>SPO0499</t>
  </si>
  <si>
    <t>YP_165761.1</t>
  </si>
  <si>
    <t xml:space="preserve"> 30S ribosomal protein S8 </t>
  </si>
  <si>
    <t>AAV93817.1</t>
  </si>
  <si>
    <t>MSRIGKKPVELPSGVSAAVSGQTIEVKGPKGARSFTATDDVTITVDGNVVSITPRGMSKRARQQWGMSRTMVANLVAGVTEGFKKELEITGVGYRANAQGNTLKLNLGYSHDVDFTVPAGVTVSTPKQTEIVVEGIDQQQVGEVAAKIREWRSPEPYKGKGIRYKGEFIFRKDGKKK</t>
  </si>
  <si>
    <t>SPO0500</t>
  </si>
  <si>
    <t>YP_165762.1</t>
  </si>
  <si>
    <t xml:space="preserve"> 50S ribosomal protein L6 </t>
  </si>
  <si>
    <t>AAV93818.1</t>
  </si>
  <si>
    <t>MANSKRTLFLKRRLRVRNKLRKVNAGRLRLSVHRSNKNISAQLIDDVRGVTLAAASTMEKDLGVVGKNNVEAAKKVGAAIAERAKKAGVEEAYFDRGGFLFHGKVKALADAAREGGLKI</t>
  </si>
  <si>
    <t>SPO0501</t>
  </si>
  <si>
    <t>YP_165763.1</t>
  </si>
  <si>
    <t xml:space="preserve"> 50S ribosomal protein L18 </t>
  </si>
  <si>
    <t>AAV93819.1</t>
  </si>
  <si>
    <t>MAERENRRGNRRDREEAAPEFADRLVAINRVSKTVKGGKRFGFAALVVVGDQKGRVGFGKGKAKEVPEAIRKATEQAKRQMIRVQLREGRTLHHDIEGRHGAGKVVMRAAPEGTGIIAGGPMRAVFEMLGVKDVVSKSLGSANPYNMIRATIDGLKKEQSPRSVAQRRGKKVADILPKRDEAPAAEAAEA</t>
  </si>
  <si>
    <t>SPO0502</t>
  </si>
  <si>
    <t>YP_165764.1</t>
  </si>
  <si>
    <t xml:space="preserve"> 30S ribosomal protein S5 </t>
  </si>
  <si>
    <t>MLHRPRISGGVLHFGHLLRDAFTASIRPRWPQGRKNQQARNAVVGPSRFVGHIRRRRSEMKLHELSDNPGATKKRMRIGRGPGSGKGKMGGRGIKGQKSRSGVAINGYEGGQMPLYQRLPKRGFNKPNRKAFAVVNLGLIQKFVEAGKLDGAAAITEDALVASGLVRRKLDGIRVLAKGDFNAKLNIEVTGASKSAVEAVEKAGGSLKVTNAAAAE</t>
  </si>
  <si>
    <t>SPO0505</t>
  </si>
  <si>
    <t>YP_165767.1</t>
  </si>
  <si>
    <t xml:space="preserve"> ribosomal protein L15 </t>
  </si>
  <si>
    <t>AAV93826.1</t>
  </si>
  <si>
    <t>MARIAGVNIPTAKRVPIALTYITGIGNTSAKAICEAVGIDATRRVNELSDAEILAIREHIDANYSVEGDLRREVQMNIKRLMDLGCYRGLRHRRNLPVRGQRTHTNARTRKGPAKAIAGKKK</t>
  </si>
  <si>
    <t>SPO0509</t>
  </si>
  <si>
    <t>YP_165771.1</t>
  </si>
  <si>
    <t xml:space="preserve"> 30S ribosomal protein S13 </t>
  </si>
  <si>
    <t>AAV93827.1</t>
  </si>
  <si>
    <t>MARDKTRTTKKKERKNIASGVAHVNSTFNNTKILISDVQGNAISWSSAGTMGFKGSRKSTPYAAQLAAEDAGRKAQDHGVKTLEVEVQGPGSGRESALRALAAVGFNITSIRDVTPIAHNGCRPPKRRRV</t>
  </si>
  <si>
    <t>SPO0510</t>
  </si>
  <si>
    <t>YP_165772.1</t>
  </si>
  <si>
    <t xml:space="preserve"> 30S ribosomal protein S11 </t>
  </si>
  <si>
    <t>AAV93828.1</t>
  </si>
  <si>
    <t>MIHKNWAELIKPTQLEVKPGNDPARQATVIAEPLERGFGLTLGNALRRILMSSLQGAAISSVQIDNVLHEFSSVAGVREDVTDIILNLKQVSLRMDVEGPKRLSVNAKGPAVVTAGDISESAGIEVLNRDHVICHLDDGADLFMELTVNTGKGYVSADKNRPEDAPIGLIPIDAIYSPVKKVAYDVQPTREGQVLDYDKLTMKIETDGSITPDDAVAFAARILQDQLSIFVNFDEPESAGRQDDDDGLEFNPLLLKKVDELELSVRSANCLKNDNIVYIGDLIQKTEAEMLRTPNFGRKSLNEIKEVLSGMGLHLGMDVEDWPPDNIEDLAKKFEDAF</t>
  </si>
  <si>
    <t>SPO0511</t>
  </si>
  <si>
    <t>YP_165773.1</t>
  </si>
  <si>
    <t xml:space="preserve"> DNA-directed RNA polymerase subunit alpha </t>
  </si>
  <si>
    <t>AAV93829.1</t>
  </si>
  <si>
    <t>MRHARGYRRLNRTHEHRKALFANMAGSLIEHEQIKTTLPKAKELRPIVEKLITLGKRGDLHARRQAAAQLKEDKDVAKLFDVLAERYKDRQGGYVRILKAGFRYGDMAPMAIIEFVDRDVDAKGAADKARLAEEEAAAEE</t>
  </si>
  <si>
    <t>SPO0512</t>
  </si>
  <si>
    <t>YP_165774.1</t>
  </si>
  <si>
    <t xml:space="preserve"> 50S ribosomal protein L17 </t>
  </si>
  <si>
    <t>AAV93850.1</t>
  </si>
  <si>
    <t>MRIKPSLTRIRNAVVPVLTGPPILAFLPAVTLGAFWLGGEIALLLISLGLPLMFAFAGAFGKWPVNHQLPRDSVTGLMLKDGFEGALTHIHAMAAETDRKSACFIIELDDYADLVDHHGQEAGDLVALRSGERILSAVRNNDVVARLGDRRFAVCLAPVPQLDLELCIQLAGRMQSAVEDPISLDGVAIYVSCSIGFCQNRRAPGSSASDWLDAANVALAAAQGAGPSAIRAYAPDMERRPSGAPDLRDEIQAALENGQIQPWYQPQISTDTGKVTGFEALARWNHPTRGLLAPNLFLPVIEEAGLMERLGQVMLYHALTAVKAWDSAGVDVPRVGVNFASDELRNPGLVERVQWELDRFDLTPDRLSVEILETVFSNTPDDVITRNIAGLGKLGCRIDLDDFGTGHASIASIRRFDISRIKIDRSFVMKADRDPEQQRMIAAILTMAERLELETLAEGVETVGEHALLAQLGCDHVQGFGIGKPMPFDQTLDWIAHHDAKLQDAPRIGRETG</t>
  </si>
  <si>
    <t>SPO0533</t>
  </si>
  <si>
    <t>YP_165795.1</t>
  </si>
  <si>
    <t xml:space="preserve"> diguanylate cyclase, putative </t>
  </si>
  <si>
    <t>AAV93858.1</t>
  </si>
  <si>
    <t>MLNSLSGRFLILTVAFVMLAEVLIFVPSIARFRQDFLQNRLERAQIASLALLADDMLATDLETELLENAGVYNVVLRRDEVRQLMLSSPIPGQIGQSYDLRQASPWILMRDALLRFFMSENEVIRVIGEPVKEAGLLIEVTMDSQPLRMAMIDYGARILLLSLVISIITAFFLFLAVRAILVRPIRGVVDYMQRYARAPEDVRGIITPNSGVTELREAEEALQMLQRQLTQALRQRERLAQLGGAVAKVSHDLRNILTSAQLFTDRIETSEDPLVRRMAPKLVNSITRAVSLCESTLAFGRAEEPSPMLTMVRLHMVAEDVVASERLALGEGAIEIVNEVPETLSARADPEQLFRVVMNLVRNARQALEATGQAGLVAVSGHETEADWVIEVRDTGPGLPLKARENLFTPFQGGVRKGGSGLGLAISAELVRGHGGALVLKDSGPSGTAFEIRLPKGGETF</t>
  </si>
  <si>
    <t>SPO0541</t>
  </si>
  <si>
    <t>YP_165803.1</t>
  </si>
  <si>
    <t xml:space="preserve"> sensor histidine kinase </t>
  </si>
  <si>
    <t>AAV93975.1</t>
  </si>
  <si>
    <t>MAKPKKTPRPKAETPKGFRDYFGAEVTQRTEMLRDIAGVYHRYGFEALESSAVETVEALGKFLPDVDRPNEGVFAWQESEDDGAGDWMALRYDLTAPLARVYAQHRNDLPTPYRRYAMGPVWRNEKPGPGRYRQFYQCDADTVGSASMAADAEICAMLSDTLETVGIPRGDYVVRVNNRKVLNGVLETMGLADEGQRDAVLRTIDKFDKVGEDGVRELLGKGRLDASGAFIDGVGLSDDQAGPVLAFLTSRGADAATTVANLRAAVGASQIGVQGIDELEQIGDLLAAGGYGPDRIVIDPSVVRGLGYYTGPVYEAELTFEIFDEKGRKRQFGSVSGGGRYDDLVKRFTGQEVPATGVSIGVDRLLAALREKGRIRTAERGPVVVTVMDRDRMADYQAMVAELRNAGIRAEVYLGNPKNFGNQLKYADKRNSPVAVIEGGDERANGVVQIKDLILGAQIAANATLEEWKERPSQYEVARADLVAKVREILAEQAG</t>
  </si>
  <si>
    <t>SPO0667</t>
  </si>
  <si>
    <t>YP_165922.1</t>
  </si>
  <si>
    <t xml:space="preserve"> histidyl-tRNA synthetase </t>
  </si>
  <si>
    <t>AAV93998.1</t>
  </si>
  <si>
    <t>MTTRAGFVALIGEPNAGKSTLLNRMVGAKVSIVTHKVQTTRTRIRGVAMEGEAQIVFVDTPGLFQPRRRLDRAMVAAAWGGAADADIVVLMIEAHRGITEGVERILEGLAEIAKGRTVALAINKIDRVPAEKLLGLSEALNARFEFARTFMISAERGHGVEDLRKWLAAELPESPWLYPEDQIADLPMRMIAAEITREKLTLRLHQELPYQLTVETENWEERKDGSARIDQVIYVMRDGHKGIVLGKRGETVKAVGQAARVELEEFLDRKVHLFLQVKVRPNWLEEAERYSEMGLDFKDGN</t>
  </si>
  <si>
    <t>SPO0691</t>
  </si>
  <si>
    <t>YP_165946.1</t>
  </si>
  <si>
    <t xml:space="preserve"> GTP-binding protein Era </t>
  </si>
  <si>
    <t>AAV94034.1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</si>
  <si>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</si>
  <si>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SPO0728</t>
  </si>
  <si>
    <t>YP_165982.1</t>
  </si>
  <si>
    <t xml:space="preserve"> elongation factor Tu </t>
  </si>
  <si>
    <t>AAV94107.1</t>
  </si>
  <si>
    <t>MANASMEEFEALLNESFEMDTPEEGSVVKGKVIAIEAGQAIIDVGYKMEGRVELKEFANPGEAPEISIGDEVEVYLRAAENARGEAVISREMARREEAWDRLEKAYADDQRVEGAIFGRVKGGFTVDLGGAVAFLPGSQVDVRPVRDAGPLMGLKQPFQILKMDRRRGNIVVSRRAILEESRAEQRAEVIGNLTEGQTVDGVVKNITEYGAFVDLGGVDGLLHVTDMAWRRVNHPNEILNIGETVKVQVIKINKDTHRISLGMKQLQEDPWDLVGAKYPLESVHTGRVTNITDYGAFVELEPGVEGLVHVSEMSWTKKNVHPGKIVSTSQEVEVMVLEIDGAKRRVSLGLKQTMRNPWEVFAETHPEGTVVEGEVKNITEFGLFIGLPGDIDGMVHLSDLSWDERGEDAIQNYRKGDMVKAVVSEVDIDKERISLSIKSVGGDKFAEAVGGVKRGSIITVNVTAIEDGGIEVEYEGMKSFIRRSDLSRDRADQRPERFSVGDKVDVRVTNVDSKTRRLGLSIKAREIAEEKEAVEQYGSSDSGASLGDILGAALKGDN</t>
  </si>
  <si>
    <t>SPO0802</t>
  </si>
  <si>
    <t>YP_166055.1</t>
  </si>
  <si>
    <t xml:space="preserve"> 30S ribosomal protein S1 </t>
  </si>
  <si>
    <t>AAV94109.1</t>
  </si>
  <si>
    <t>MIRSELIQKIADENPHLYQRDVERIVNTVFEEVTDAMARGDRVELRGFGAFSVKKRDARIGRNPRTGDTVHVEEKHVPFFKTGKLLRDRLNGKA</t>
  </si>
  <si>
    <t>SPO0804</t>
  </si>
  <si>
    <t>YP_166057.1</t>
  </si>
  <si>
    <t xml:space="preserve"> integration host factor subunit beta </t>
  </si>
  <si>
    <t>AAV94117.1</t>
  </si>
  <si>
    <t>MAGEIPDLVALERTGTGKGAARQARRDGMVPGIVFGGDNEPLPIQIPFNRLLKMLKAGRFKSTLFNLKVEGHEDVRVICRDVQRDVVKDLPTHLDLMRLRRTSRIKLFIHVDFVNHAAAPGLKKGGVLTVVRPEVELEVTAGDIPESITVDLTGLNIGDVVTISSVTLPAGAKPTVERDFVIANISAPSGLAASAAEEEDEEGESEE</t>
  </si>
  <si>
    <t>SPO0812</t>
  </si>
  <si>
    <t>YP_166065.1</t>
  </si>
  <si>
    <t xml:space="preserve"> 50S ribosomal protein L25/general stress protein Ctc </t>
  </si>
  <si>
    <t>AAV94122.1</t>
  </si>
  <si>
    <t>MGFKMGIVGLPNVGKSTLFNALTRTAAAQAANFPFCTIEPNVGEVGVPDARLDKLAAIAKSKQIIPTRMTFVDIAGLVKGASKGEGLGNQFLANIREVDAIAHVLRCFEDGDVTHVEGRVDPVADAETIETELMLADLESIEKRRANLVRKLKGNDKDAQQQDRLLAVAQAALEDGKPARVVEVSDEDAKAWKMLQLLTTKPVLYVCNVGEAEAAEGNAHSARVAEMAAAQGNSHVIISAQIEEEISQLEDDEAAMFLEEMGLEEAGLDRLIKAGYALLHLETYFTVGPKEARAWTIRQGTAAPQAAGVIHGDFEKGFIRAETIAYDDYIACNGEQGAKEAGKMRAEGKSYVVKDGDVLHFLFNT</t>
  </si>
  <si>
    <t>SPO0817</t>
  </si>
  <si>
    <t>YP_166070.1</t>
  </si>
  <si>
    <t xml:space="preserve"> translation-associated GTPase </t>
  </si>
  <si>
    <t>AAV94175.1</t>
  </si>
  <si>
    <t>MSYLDNIRTFVRVYELGSMSAAGRDLRISPAVTSARISQLEDHLNVRLFQRTTRNLTPTEQGRAFYPGAVAVLDAVDEAEAQVMHLTEAPRGSLFVAAPLGLGRRLLAPNVPDFLAQYPEIDIRLRLTDRTIDLTTEGLDLAFFLGQPEDSNLRIRKIADCRRVLCAAPDYVKRRGLPATGQDLITGRHECLNLRFPGATEFQWLLQTAEGPRRFAVSGRHECDDGDVLTDWALTGQGIAMKPVFEVAEHLKAGRLVPVAVDTPPVTVQMACLYTHRRHQDPKTRLFMEFMIERVGRAVKAAESAAA</t>
  </si>
  <si>
    <t>SPO0870</t>
  </si>
  <si>
    <t>YP_166123.1</t>
  </si>
  <si>
    <t>AAV94191.1</t>
  </si>
  <si>
    <t>MALKPLHDRVLVRRTESEEKTAGGLIIPDSAKEKPSEGVVVACGEGARKDSGELIAMAVKSGDRVLFGKWSGTEVTVDGEELLMMKESDIMGIIE</t>
  </si>
  <si>
    <t>SPO0886</t>
  </si>
  <si>
    <t>YP_166139.1</t>
  </si>
  <si>
    <t xml:space="preserve"> co-chaperonin GroES </t>
  </si>
  <si>
    <t>AAV94192.1</t>
  </si>
  <si>
    <t>MAAKDVKFNTEARNKMLKGVNILADAVKVTLGPKGRNVVLDKSFGAPRITKDGVSVAKEIELEDKFENMGAQMVKEVASRTNDEAGDGTTTATVLAQAIVREGMKSVAAGMNPMDLKRGIDLATAKVVEAIKAASRPVNDSAEVAQVGTISANGESEIGRQIAEAMQKVGNEGVITVEENKGLETETDVVEGMQFDRGYLSPYFVTNADKMIAELEDCMILLHEKKLSSLQPMVPLLEQVIQSQKPLLIIAEDVEGEALATLVVNKLRGGLKIAAVKAPGFGDRRKAMLQDIAILTGGQVISEDLGMKLESVTMDMLGTAKKISITKDETTIVDGAGEKAEIEARVAQIRTQIEETTSDYDREKLQERVAKLAGGVAVIRVGGMTEVEVKERKDRVDDALNATRAAVQEGVVVGGGVALVQAGKVLADLEGANADQTAGINIVRKAIEAPLRQIAENAGVDGAVVAGKVRESGDASFGFNAQTEEYGDMFKFGVIDPAKVVRTALEDASSVAGLLITTEAMVADKPQKDAPAGGGMPDMGGMGGMM</t>
  </si>
  <si>
    <t>SPO0887</t>
  </si>
  <si>
    <t>YP_166140.1</t>
  </si>
  <si>
    <t xml:space="preserve"> chaperonin GroEL </t>
  </si>
  <si>
    <t>AAV94231.1</t>
  </si>
  <si>
    <t>MHAYRSHTCAALTAANVGETVRLSGWVHRVRDHGGVLFIDLRDHYGVTQVLCDGDSAAFAALEKVRSEWCIRIDGTVKARDADLVNPKLPTGEIEVYVRELEVLGRAEELPLMVFGDQEYPEETRLRYRYLDLRREAMQANMTLRSDVVASMRRRMWDKGFREYQTPIITASSPEGARDFLVPSRLHPGRFYALPQAPQQFKQLIMVSGFDKYFQIAPCFRDEDPRADRSPTDFYQLDLEMSFVTQQDVFDTIAPVLAGVFEEFGGGRKVDAPQDWPQIAYADAAKWYGTDKPDLRNPIKMQDCSEHFRGSGFAIFAKLLEQEGTEIRAIPAPTGGSRKFCDRMNAFAQKEGLPGMGYIFWRDQGEGLEAAGPLAKNIGPERTEAIRQQLGLGVGDAAFFLGGKPKSFEKVAGKARDVIGAELGLTETDRFAFAWIVDFPIYERDEETGEIDFEHNPFSMPQGGMEALNGDPMAVRGYQYDLACNGYELVSGAIRNHKPEIMLKAFELAGYGADEVKARFGALFNAFHYGAPPHGGCAAGIDRIVMLLADEANIREVMMFPMNQRAEDLMMQAPSEPSSDQLMELGLRVILQD</t>
  </si>
  <si>
    <t>SPO0926</t>
  </si>
  <si>
    <t>YP_166179.1</t>
  </si>
  <si>
    <t xml:space="preserve"> aspartyl-tRNA synthetase </t>
  </si>
  <si>
    <t>AAV94258.1</t>
  </si>
  <si>
    <t>MTEHTPYTPPRVWTWDKENGGQFANINRPIAGATHDKELPVGKHPFQLYSLGTPNGVKVTVMFEELLAAGHAGAEYDAWLINIGEGDQFGSGFVDVNPNSKIPALLDRSGPEPVRVFESASILFHLAEKFGAFLPASGPARTEVMNWLFWQMGSAPYLGGGFGHFYAYAPEKFEYPINRFAMEVKRQLDVLDRQLAQHPFIAGEEYSIADMAIWPWYGQLVLGRAYDAAEFLDAESYTHVMRWARELDARPGVSRGRMVNRVSGEPKYQLRERHDASDFDTRTQDKLESNPS</t>
  </si>
  <si>
    <t>SPO0953</t>
  </si>
  <si>
    <t>YP_166206.1</t>
  </si>
  <si>
    <t xml:space="preserve"> putative glutathione S-transferase YghU </t>
  </si>
  <si>
    <t>AAV94278.1</t>
  </si>
  <si>
    <t>MSRRCELTGKGPMTGNNVSHANNKTRRRFLPNLNDVTLQSETLGRGVKLRISAAALRSVDHRGGLDAFLAKAKDEDLSDAALKVKKEIAKAQAAA</t>
  </si>
  <si>
    <t>SPO0974</t>
  </si>
  <si>
    <t>YP_166226.1</t>
  </si>
  <si>
    <t xml:space="preserve"> 50S ribosomal protein L28 </t>
  </si>
  <si>
    <t>MFDPVDTYMNTLVPMVVEQTSRGERAYDIFSRLLKERIIFINGPIHDGMSHLIVAQLLHLEAENPNKEISIYINSPGGVVTSGLSIYDTMQYIKPKCSTLVIGQAASMGSVLLAGGEKGMRFSLPNSRIMVHQPSGGYQGQASDIMIHAAETQKLKDRLYDIYVKHTGQTKKAVEKALDRDNFMSPEEAKEWGHIDEIVESRSKGDDAE</t>
  </si>
  <si>
    <t>SPO1003</t>
  </si>
  <si>
    <t>YP_166255.1</t>
  </si>
  <si>
    <t xml:space="preserve"> ATP-dependent Clp protease, proteolytic subunit ClpP </t>
  </si>
  <si>
    <t>Posttranslational modification, protein turnover, chaperones; Intracellular trafficking, secretion, and vesicular transport</t>
  </si>
  <si>
    <t>MTMATNSGGDSKNTLYCSFCGKSQHEVRKLIAGPTVFICDECVELCMDIIREETKSSSLKSSDGVPTPRDICDVLDDYVIGQSTAKRVLSVAVHNHYKRLNHAQKAGSDIELAKSNILLIGPTGCGKTLLAQTLARILDVPFTMADATTLTEAGYVGEDVENIILKLLQASEYNVERAQRGIVYIDEVDKITRKSENPSITRDVSGEGVQQALLKLMEGTVASVPPQGGRKHPQQEFLQVDTTNILFICGGAFAGLDKIIAQRGKGSAMGFGADVRASDERGVGELFTELEPEDLLKFGLIPEFVGRLPVLATLEDLDEDALVTILTKPKNALVKQYQRLFELEDTELDFTDDALKAIAKRAIERKTGARGLRSIMEDILLDTMFDLPSMDNVTKVVVNEEAVTSDAQPLLIYADAEKGSASAG</t>
  </si>
  <si>
    <t>SPO1004</t>
  </si>
  <si>
    <t>YP_166256.1</t>
  </si>
  <si>
    <t xml:space="preserve"> ATP-dependent protease ATP-binding subunit </t>
  </si>
  <si>
    <t>AAV94338.1</t>
  </si>
  <si>
    <t>MQVVFHTGAHGTDDDRLIRCLLSNKEPFSQRGIAVPGPAQYRALFKKVLTALDEAEPEPQAREVLIETILDGEVADRVIFSDANFFGSHWSALGKGMFYPRAAPRMANLQSIFAYDQVEMFMAIRNPASFVPDILGALPEKGAAEAMDGIDLNKLHWTGLVESIRAAAPNVQLTLWCNEDTPLIWAQIIRDMAGLEHGNKIVGGFSLLSEIMSKEGMVRFRAYLAEHPELSEMQKRRVIAAFLDKYALEDAVEEELDLPGWTHELVDQLTERYDEDVFSLQRIPGVQFIAP</t>
  </si>
  <si>
    <t>SPO1034</t>
  </si>
  <si>
    <t>YP_166286.1</t>
  </si>
  <si>
    <t xml:space="preserve"> hypothetical protein SPO1034 </t>
  </si>
  <si>
    <t>AAV97130.1</t>
  </si>
  <si>
    <t>MRLPHQLTGSRFFSFSDEGEFLKSVSAVVDEEEFVRIGSLVQAGLMPITSKEVLATMLGVNPGIIWSLENKPERYYRRFKIPKGKGEREIVAPKVGLKVIQKWFSVQLQDCARIDDHVFGFVPGRSHIDAASVHTNANWVYSIDLTNFFPSTPINWVASSLINIGYDADSADRISKLCCYRGALAQGSPASPVLSNISMRGIDAALGALAAEMDVRVTRYADDITFSAAGEFPQVLPERLESLFSQTPWKISQEKTYFSEAPVRLKVHGLVVNGNTVKLTKGYRNKLRAYRHVLQTNRCRQEDLARLSGHVRYASQVSSRDD</t>
  </si>
  <si>
    <t>SPO1047</t>
  </si>
  <si>
    <t>YP_166298.1</t>
  </si>
  <si>
    <t xml:space="preserve"> RNA-dependent DNA polymerase, putative </t>
  </si>
  <si>
    <t>AAV94421.1</t>
  </si>
  <si>
    <t>MRLSRYFLPVLKENPAEAQIVSHRLMLRAGMIKQAQAGIYSWLPLGFKVLRKLENIVHEEQIRAGHIPMLMPTLQSADLWRESGRYDDYGQEMLRITDRHGRDMLFGPTNEELITDIFRGHVSSYKDLPLTLYHIQWKFRDEIRPRFGVMRGREFLMKDGYNFDLTKEDALHAYNRHLVSYIRTYERMGLQAIPMRADSGPIGGDDTHEFLVLAETGESEVFYDSKVTDIRLGEREIDYDSVDQCRAVMEEFTSLYARTDETHDEAVFNQIPEERRRSARGIEVGQIFYFGTKYSEPMGATVQGPDGKPVPVHMGSHGIGVSRLIGAIIEASHDDKGIIWPEGVTPFHCGIVNLKQGDGEADAACDQLYAALSAIGLEPLYDDRNERAGGKFATMDLIGLPWRITVGPRGLKNGVVELTSRKTGESVELSPEEAVKKVADIYAPHHPHLSREEPMAGRSFHTWL</t>
  </si>
  <si>
    <t>SPO1121</t>
  </si>
  <si>
    <t>YP_166372.1</t>
  </si>
  <si>
    <t xml:space="preserve"> prolyl-tRNA synthetase </t>
  </si>
  <si>
    <t>AAV94502.1</t>
  </si>
  <si>
    <t>MIGSRAGARLVGALLLATFLAACGGGGFRTAADRSQNLDGYTPEQIFERGEYELSAKRTEDAAYYFSEVERLYPYSNWAKRALIMQAFAYHSGKDYPESRAAAQRYIDFYPADEDAAYAQYLLALSYYDQIDEVGRDQGLTFQALQALRTVIEVYPDSEYATSAILKFDLAFDHLAAKEMEIGRYYLRRQHFSAAINRFRVVVEDFQTTTHTAEALHRLVEAYLSLGLEAEAQTAGAILGHNYQSSEWYEASYKLLTARGLKMRDVGNNWLSQIYRQSIKGQWL</t>
  </si>
  <si>
    <t>SPO1206</t>
  </si>
  <si>
    <t>YP_166453.1</t>
  </si>
  <si>
    <t xml:space="preserve"> competence lipoprotein ComL, putative </t>
  </si>
  <si>
    <t>AAV94510.1</t>
  </si>
  <si>
    <t>MKILPAIEQSRSELETIFKDLHAHPEIGFTETRTAAIVAEKLRAYGVDEVHEGIARTGVVALIRGKGDGNRRIGLRADMDALPIHEETGLAYASTRPGIMHACGHDGHTTMLLGAAKHLAETRDFSGTAVLIFQPAEEGLGGARGMLADGLFDRFPCDEVYGMHNWPNGTPGKFRIVKGAAMAGASFFDIHIKGKGSHGAMPQDSRDPLIVASALVGQIQTIVSRNIPPLDACVVSVTQIHSGSAYNVVPDTATLAGTIRYFKDEVCALAEQRMQELCDGLAAAYGVEIRLELRNIFNVLENDADLSDAYMEAACDIVGAENVIERKEPVTGSEDFADMLRAVPGAYCTLSHAGNVPVHNPGYVLDPEILPVGASILARIVERRLSPAA</t>
  </si>
  <si>
    <t>SPO1214</t>
  </si>
  <si>
    <t>YP_166461.1</t>
  </si>
  <si>
    <t xml:space="preserve"> hippurate hydrolase </t>
  </si>
  <si>
    <t>AAV94511.1</t>
  </si>
  <si>
    <t>MPYLDLPFDADAMLAGLKPWIECESPTFDAAAVNRMMSLAAYDLSQMGVVERIPGRMGFGDSLRVRLPHPRAGEPGILIAGHMDTVHPIGTLAKLPFRREGDLCYGPGIQDMKGGNYCALEALRQIAAAGLHTPLPVTVLFTPDEEVGTPSTRELIESEARRNRYVLVPEPALPNGGVVIGRYAIARFNLRTTGRPSHAGARLAEGRSAIAAMARRILDIEAMTGADCTFSVGVIHAGQWVNCVSSSCEAEALSMAKRQEDLDDGIARMLALAGEADDVLFEVTRGVTRPVWQPNQPGTMQMYDLAREIAGEMGVELPCDSAGGGSDGNFTGALGIATLDSLGVRGKGLHTLTEHIEVASLPERARLMAGLLLRLE</t>
  </si>
  <si>
    <t>SPO1215</t>
  </si>
  <si>
    <t>YP_166462.1</t>
  </si>
  <si>
    <t xml:space="preserve"> carboxypeptidase </t>
  </si>
  <si>
    <t>AAV94532.1</t>
  </si>
  <si>
    <t>MTDFATRRRMMVDTQVRPSDVTKFPIIQAMLTVPREAFVPDPQRDVAYADAMIDLGEGRAMLEPRTLAKMLDAAAIGGDEMVLDVGSGLGYSAAVAARMAELVVAVEEAAELADEAQTLLMDNGADNAVLHQGPLAQGAAEHGPYDVILIQGGVEQVPETLVEQLKEGGRIVAVFMEGALGTVRIGRKTAAGLSWRQAFNATAPVLPGFERERAFSL</t>
  </si>
  <si>
    <t>SPO1239</t>
  </si>
  <si>
    <t>YP_166485.1</t>
  </si>
  <si>
    <t xml:space="preserve"> protein-L-isoaspartate O-methyltransferase </t>
  </si>
  <si>
    <t>AAV94559.1</t>
  </si>
  <si>
    <t>MANYLEALSLVERLHRLLLDVIKDEFERVGVLEINAVQALLLFNIGDNEVTAGELKSRGYYQGSNVSYNLKKLVDMGYMHHQRCEIDRRSVRVRLTQRGREIRDVVAELFMRHAEGLQSRGVLGPDGIEEITSALKRVERYWTDQIRYIY</t>
  </si>
  <si>
    <t>SPO1267</t>
  </si>
  <si>
    <t>YP_166512.1</t>
  </si>
  <si>
    <t xml:space="preserve"> MarR family transcriptional regulator </t>
  </si>
  <si>
    <t>AAV94574.1</t>
  </si>
  <si>
    <t>MAQISLTFPDGNARSYDAGVTPAQVAADISTSLAKKAISATVDGKHWDLQWPIATDAQIAIHTMADEAQANELVRHDLAHIMARAVQEIWPATKVTIGPVIENGWYYDFDRAEPFTPEDLGLIEKKMKEIINKREPVTTEVWERTRAIEFYKANNEPYKVELIEAIPGTEPIRMYWHGHWQDLCRGPHLQHTGQVPGDAFKLMSIAGAYWRGDSNRPMLQRIYGVAFTGKEKLKAHLHMLEEAAKRDHRKLGREMDLFHMQEEAPGQIFWHPNGWTIYTTLQDYMRRQQRRGGYVEVNTPQVVDRKLWEASGHWEKYQENMFIVEVDEEHAREKAVNALKPMNCPCHVQIFNQGLKSYRDLPLRMAEFGSCNRYEPSGALHGIMRVRGFTQDDGHIFCAEDQIESETAEFIDFLSMIYKDLGFEKFSVKFSDRPDTRAGSDAVWDKAEAALLSATRAAGIEPELNPGEGAFYGPKLEFVLTDAIGRDWQCGTHQVDFVLPERLDATYIGADGAKHRPVMLHRATLGSFERFIGILIEEHAGKLPFWLAPRQVVVASITSEADDYVREVVAELCAAGVRAEADTRNEKINYKVREHSVGKVPVILAVGHREVEERTVSVRRLGEKQTSVQSLADVTIELGRAATPPDLL</t>
  </si>
  <si>
    <t>SPO1282</t>
  </si>
  <si>
    <t>YP_166527.1</t>
  </si>
  <si>
    <t xml:space="preserve"> threonyl-tRNA synthetase </t>
  </si>
  <si>
    <t>AAV94618.1</t>
  </si>
  <si>
    <t>MAGNSGGPWGGGGSSGGGGNRGNNGGQRPPEGDGPQIPEIDELVKKGQEQLRVLMGGRGGSGNRGGGNGRGTGGGGGPAFTRGTVGLGLVVALGLWGMASFYTVKPEEQSVELFLGEFSGIGTEGLNFAPWPLVTAEVIPVKVEQTETIGSGGRGSDAGLMLTGDENIVDIDFQVVWNITDPANFLFNLRDPRQTIQAVSESAMREIIAQSELAPILNRDRAVIAERLKDLIQLTLDSYNSGINIVRVNFDGADPPEPVKDAFREVQSAGQERDRLEKQADAYANTVLAGARGEAAQVLEEAEGYRARVVNEAQGEASRFLAVLEEYSKAPDVTRKRLYLERMEQVLGDIDKVILDGEGSGSQGVVPYLPLNELRKSSDKENN</t>
  </si>
  <si>
    <t>SPO1329</t>
  </si>
  <si>
    <t>YP_166572.1</t>
  </si>
  <si>
    <t xml:space="preserve"> HflK protein </t>
  </si>
  <si>
    <t>AAV94619.1</t>
  </si>
  <si>
    <t>MRKSTFLLPIVVVLVALGLSSLFIVDEREKALVLQFGRVIDVKEEPGLAFKIPLIQEVVRYDDRILSREVGPLEVTPLDDRRLVVDAFARYRIVDVRQFRQAVGAGGIATAETRLDSILRAKTREILGSVSSNDILSSDRAALMLRIRNGAIFEARDLGLEVIDVRLKRTDLPEANLNATFARMRAEREREAADEVARGNEAAQRIRAQADRTVVELVSEARREAEIVRGEADAQRNGIFAEAFGKDPEFFEFYRSLSAYEKALQGGNSSMVMSPDSEFFNYLKSPSGRSE</t>
  </si>
  <si>
    <t>SPO1330</t>
  </si>
  <si>
    <t>YP_166573.1</t>
  </si>
  <si>
    <t xml:space="preserve"> HflC protein </t>
  </si>
  <si>
    <t>AAV94622.1</t>
  </si>
  <si>
    <t>MTTNARLMALAGLSVLFLLLQTLIAQARPESLAPLADKVSPAVVNITTSTLVEGSTGPQGIVPEGSPFEDFFREFQDRNGGGDRPRRSSALGSGFVISEDGYIVTNNHVIAKADEILIEFFPGDGQPARELPAKVVGTDENTDIALLKVEADGPLKYVKFGNSDTARVGDWVMAMGNPLGQGFSVSAGIVSARNRALSGSYDDYIQTDAAINRGNSGGPLFNMDGEVIGVNTAILSPNGGSIGIGFSMASNVVTKVVGQLREYGETRRGWLGVRIQDVTEDMAEAMGLEKTGGALISDVPEGPAKEAGLKAGDVIVSFDGAEVRDTRDLVRRVGESEVGKSVRVLVFRDGGTQTILVTLGRREDAERAGSGSEEEGEGGQTTPEASKKEFLGLTVSVLTAEMRAELGLAEDATGLAIVAVDEASEAFEKGLRTGDVITEAGQQKVATLADLETRIDEAREAGRKSLLLLVRRGGEPRFVALSLGQ</t>
  </si>
  <si>
    <t>SPO1333</t>
  </si>
  <si>
    <t>YP_166576.1</t>
  </si>
  <si>
    <t xml:space="preserve"> periplasmic serine protease </t>
  </si>
  <si>
    <t>AAV94643.1</t>
  </si>
  <si>
    <t>MTHPTPTAPRSFQEIILRLQTYWASKGCAILQPYDMEVGAGTFHPATTLRALGSSPWAAAYVQPSRRPTDGRYGENPNRLQHYYQYQVLIKPSPPDLQELYLGSLEAIGVDMALHDIRFVEDDWESPTLGAWGLGWEVWCDGMEVSQFTYFQQVGGHDCAPVSGELTYGLERLAMYVLGIDHVMDMPFNDPQSPIPLSYGDVFKQTEEEYARWNFDVANTEVLLRHFEEAEAECAAILAQTHDDPKTGKRIVMAHPAYDQCIKASHIFNLLDARGVISVTERQAYIGRVRALAKQCADAFVQTTAGGYAAA</t>
  </si>
  <si>
    <t>SPO1355</t>
  </si>
  <si>
    <t>YP_166597.1</t>
  </si>
  <si>
    <t xml:space="preserve"> glycyl-tRNA synthetase subunit alpha </t>
  </si>
  <si>
    <t>AAV94646.1</t>
  </si>
  <si>
    <t>MPDLLIELFSEEIPARMQARAGEDLKKRITDGLVEAGLTYAYAAALSTPRRLVLAVEGLLDASPTQREERKGPKVGAPEQAVEGFLRGAGISRDQLEERETPKGAIYFATIEKPGRPAAAIVAEVLEDTIRNFPWPKSMRWGAGSLRWVRPLQSILCILTTEAGAEVVPLDIDGIKAGDSTAGHRFMAPARFSVTSFEDYQVKLKRAFVVLDPAERAEHIWNDAQNMAFAAGLELVEDKGLLAEVAGLVEWPVVLMGQIGSEFLDLPAEVLQTSMREHQKFFSVRNPKTGRIERFVTVANRETADNGATILAGNQKVLSARLADAKFFWDNDLRAAHAGMDAWVQALENVTFHNKLGSQGDRIRRIAALARELAPVVGAEADQAEQAATLAKADLSSEMVFEFPELQGLMGRYYIAASGQDAAIAAVAQDHYSPLGPSDEVPTAPLSVIVALADKLDTLTGFWAIDEKPTGSKDPFALRRAALGVIRLVLANDLRLPLDRSIDAQLLRHKYHASNGEAALRDLIEEIADHGVFGAAFETIKEKLGDAGALEALAGDVPDLSADLLAFIHDRLKVFLRDEGIRHDVIDACIAMAGNDDLNLLVKRARALNTVIATEDGENLVQGFKRANNILTQAEEKDGVEYSFGADIKFAEADSEKALFAALEQAESKINVALKAEDFAAAMTAMAALRAPVDAFFDQVQVNSDNQVVRRNRLNLLSQIRKVCSSVADLTRIDG</t>
  </si>
  <si>
    <t>SPO1358</t>
  </si>
  <si>
    <t>YP_166600.1</t>
  </si>
  <si>
    <t xml:space="preserve"> glycyl-tRNA synthetase subunit beta </t>
  </si>
  <si>
    <t>AAV94690.1</t>
  </si>
  <si>
    <t>MARILITSAIPYINGIKHLGNLVGSQLPADLYARYQRGRGNEVMFLCATDEHGTPAELAAAKAGKPVAEYCAEMHGVQADIARRFGLSFDHFGRSSSAQNHKLTQHFAGKLAENDLIREVSERQVYSNADGRFLPDRYIEGTCPNCGYDKARGDQCENCTKQLDPTDLIEPRSAISGSTDLEVRETKHLYLRQSALKDQLDAWIDSKADWPVLTTSIAKKWLHDGDGLQDRGITRDLDWGIPVKKGEQDWPGMEGKVFYVWFDAPIEYIACAGEWAEAHGKSDAEWERWWRTDKGADDVRYVQFMGKDNVPFHTLSFPATLIGSGEPWKMVDHLKSFNYLNYDGGQFSTSQGRGVFMDQALEILPADYWRWWLLSHAPENSDSEFTWENFQASVNKDLADVLGNFVSRITKFCRSKFGEEVPEGGAYGPQEEALIAELTTRLRAYEGHMEAMEVRKSAQELRAIWAAGNEYLQSAAPWTLFKTDPVQAAAQVRLGLNLIRLYAVLSAPFIPAASARMLEAMQTSDDNWPVDIATALNALAPGHAFTVPEVLFAKISDEDREGWQQRFAGVRS</t>
  </si>
  <si>
    <t>SPO1403</t>
  </si>
  <si>
    <t>YP_166644.1</t>
  </si>
  <si>
    <t xml:space="preserve"> methionyl-tRNA synthetase </t>
  </si>
  <si>
    <t>AAV94696.1</t>
  </si>
  <si>
    <t>MANYTTLPAPTPEGGLNRYMQEIRKFPLLEPEEEYMLAKRWVEEQDAESAHKMVTSHLRLAAKIAMGYRGYGLPQAEVISEANVGLMQAVKRFDPEKGFRLATYAMWWIRAAIQEYILRSWSLVKLGTTSAQKKLFFNLRKAKAKIGALEEGDLRPENVARIAHDLGVSEDDVISMNRRMSGGDASLNATVGSEGEGTMQWQDWLEDEDADQAADYEARDELEARRELLASALDVLNEREKDVLTQRRLLDQTVTLEDLSAQYNVSRERIRQIEVRAFEKLQKRMRELAREKGMLIPA</t>
  </si>
  <si>
    <t>SPO1409</t>
  </si>
  <si>
    <t>YP_166650.1</t>
  </si>
  <si>
    <t xml:space="preserve"> RNA polymerase factor sigma-32 </t>
  </si>
  <si>
    <t>AAV94700.1</t>
  </si>
  <si>
    <t>MFHLPFPLRDANAGSGSKELGNLPEWDLSDLYSGEDAPELAHDLDWLETECAAFAADYEGKLAELDAAALLTCVQRNEKISAIAGRIMSFAGLRYYQLTIDAGRAKFMSDCQEKITNFTTPLVFFTLELNRIEDDALTARFAENADLARYAPVFRRIRAMKPYQLSDELEKFLHDLGVVGDAWERLFDETIAGLTFDIDGEELNIEGTLNLLTEQDRSKREAAAHELARVFGENIKTFARVHNTAAKEKEVIDRWRKMPSAQTGRHLSNDVEPEVVEALREAVVAAYPKLSHRYYELKRKWLGLDRMQVWDRNAPLPMEDTRTIPWAQAERMVMEAYEAFDPRMGEIAAPFFSKGWIDAAVKPGKAPGAFAHPTVTEVHPYVMLNYLGKPRDVMTLAHELGHGVHQVLAAGQGEMLSSTPLTLAETASVFGEMLTFRKMLEKAETQEQRKVLLAGKVEDMINTVVRQIAFYDFECKLHAARRQGELTPENIGDLWMSVQGESLGPAFDFMEGYESFWAYIPHFVHSPFYVYAYAFGDGLVNALYSVYAEGAEGFEEKYFDMLKAGGSKHHKELLAPFGLDASDPKFWDKGLSMISDMIDELEAMEG</t>
  </si>
  <si>
    <t>SPO1413</t>
  </si>
  <si>
    <t>YP_166654.1</t>
  </si>
  <si>
    <t xml:space="preserve"> oligoendopeptidase F </t>
  </si>
  <si>
    <t>AAV94794.1</t>
  </si>
  <si>
    <t>MQTQAGTSPAQPFRSALIVDDHPLFCDALSMTLQAVSGIRTVQTLARLEDALDWLGNHPAPDLVILDLNLPDVEGLDGLVRIRTAARAPVIVVSSMADNRVISGVIQAGAAGFVPKHSQREVFRTAIETVSTGAVFTPEGFVDVAREGGDGPEVEDALARLSALTNQQARILQLVCEGKLNKQIAYDLSIAETTVKAHVTAIMRKLGVQSRTQAVLIAKKTSFSSFLPETQKQA</t>
  </si>
  <si>
    <t>SPO1507</t>
  </si>
  <si>
    <t>YP_166748.1</t>
  </si>
  <si>
    <t xml:space="preserve"> LuxR family DNA-binding response regulator </t>
  </si>
  <si>
    <t>AAV94924.1</t>
  </si>
  <si>
    <t>MAGSVNKVILVGNLGRDPEVRTFQNGGKVCNLRIATSENWKDRNTGERRERTEWHSVAIFSEGLVRVAEQYLRKGSKVYLEGQLQTRKWQDQSGQDRYSTEVVLQGFGATLVMLDGRGEGGGGGGFGGGQGGGDSYGGGYDSGPAGDPYGGGPSGGGSSSGGGRGRGPASGGIDDDEIPF</t>
  </si>
  <si>
    <t>SPO1637</t>
  </si>
  <si>
    <t>YP_166878.1</t>
  </si>
  <si>
    <t xml:space="preserve"> single-strand binding protein </t>
  </si>
  <si>
    <t>AAV94949.1</t>
  </si>
  <si>
    <t>MSDDFELDTDDLKRRMDGAMANLKTEFASLRTGRASGSMLEPIQVEAYGQMTPINQIGTVNVPEPRMVTINVWDKSMVGKVEKAIRESGLGINPQLNGTIIMLPIPELNEERRRELTKVAGQYAEHARVAIRNVRRDGMDQIKKAKADGISEDDQKFWEAEVQELTDKMIKVVDAALETKQAEIMQV</t>
  </si>
  <si>
    <t>SPO1664</t>
  </si>
  <si>
    <t>YP_166903.1</t>
  </si>
  <si>
    <t xml:space="preserve"> ribosome recycling factor </t>
  </si>
  <si>
    <t>AAV94965.1</t>
  </si>
  <si>
    <t>MTEAEAAQELARLAGLLAQANLAYHTLDAPEISDADYDALKQRNAEIEARFPHLKRPDSPSEQVGARPGEGFSKVSHAVRMMSLGNAFDDADVADFDRSIRKYLGLDVETALAYTAEPKIDGLSLSLRYEQGVLVQAATRGDGEVGENVTANARTIADIPARIEGAPEVLEVRGEVYMSHADFAALNTRQEAEGGKLFANPRNAAAGSLRQLDAAITRARPLRFFAYSWGELSEPLAETQMQAIERLAGLGFQTNPLTRRCADLDAMIAHYRDIEAQRATLGYDIDGVVYKLDDLGLQARLGFRSTTPRWAIAHKFPAELAWTRLEAIDIQVGRTGALSPVARLTPVTVGGVVVSNATLHNEDYIAGRDSRGQEIRDGKDIRVGDWVQVYRAGDVIPKIADVDLNKRPEGANPFEFPEQCPECGSPAIREEGDAVRRCTGGVICPAQAVEKLKHFVSRAAFDIEGLGAKQVEQFHADGWIREPADIFELRSRYGEGLQQLKNREGWGEKSATNLFQAIDDKRRIPLARLIFALGIRHVGEVGAKDLSLHYRDWDAMAAALDTARLAALAHRAADTAEEQERQQAQAEGRRARISDTRAAVIAAQEVPPEAAAAWADLIGVDGIGATLGLSLSDAFANGDERAAFDRLSAHLTVIPPDAPARDSPVAGKTVVFTGSLEKMTRAEAKARAEALGAKVAGSVSKKTDLLVAGPGAGSKLKTAESLGIETLDEDGWLKLIEGL</t>
  </si>
  <si>
    <t>SPO1680</t>
  </si>
  <si>
    <t>YP_166919.1</t>
  </si>
  <si>
    <t xml:space="preserve"> DNA ligase, NAD-dependent </t>
  </si>
  <si>
    <t>AAV94976.1</t>
  </si>
  <si>
    <t>MKTFSATPADIDKKWILIDAEGVVLGRLASIVAMRLRGKHKASFTPHMDMGDNVIVINADKVQITGKKREEHFYWHTGHPGGIKSRTKQQILEGAHPERVVYQAVKRMLPGNRLSRQQMTNLRIYAGTEHPHEAQAPEVLDVKSMNKKNTRS</t>
  </si>
  <si>
    <t>SPO1691</t>
  </si>
  <si>
    <t>YP_166930.1</t>
  </si>
  <si>
    <t xml:space="preserve"> 50S ribosomal protein L13 </t>
  </si>
  <si>
    <t>AAV94977.1</t>
  </si>
  <si>
    <t>MADQINTLEELSAVAGLESLAADEPREPVRDELGRSYATGKRKDAVARVWIKPGSGKVVVNGKDQDAYFARPVLQLILRQPFQVAGVEGQFDVMATVKGGGLTGQAGAVKHGISKALQLYDPSLRGALKAAGFLTRDSRVVERKKYGKRKARRSFQFSKR</t>
  </si>
  <si>
    <t>SPO1692</t>
  </si>
  <si>
    <t>YP_166931.1</t>
  </si>
  <si>
    <t xml:space="preserve"> 30S ribosomal protein S9 </t>
  </si>
  <si>
    <t>AAV95033.1</t>
  </si>
  <si>
    <t>MRCPFCGNIDTQVKDSRPAEDHVSIRRRRFCPACGGRFTTYERVQLRDLVVIKTSGKREDFDRDKLERSIRISMQKRPIDPERIDQMISGIVRRLESMGETDIPSKKIGEIVMEALARIDTVAYVRFASVYKNFQAADDFEDFVHELRPPSPPTEE</t>
  </si>
  <si>
    <t>SPO1753</t>
  </si>
  <si>
    <t>YP_166991.1</t>
  </si>
  <si>
    <t xml:space="preserve"> transcriptional regulator NrdR </t>
  </si>
  <si>
    <t>AAV95151.1</t>
  </si>
  <si>
    <t>MIGRVKKVADMDWDKLRIFHAVADAGSLTHAGDRLNLSQSAVSRQIRALEESLNATLFHRHARGLILTEQGELLFDATKSMAKRLDAAAARIRDSEEEVFGELRVTTTFGFGTLWLAPRLAALYQKYPDLKVDLMLEERVLDLPMREADVAIRMKEPSQADLIRKRLMTVEMKLYATRAYLDSAGTPQDISDISAHRLICQNISAAQVGASAVLVQHLLAYNPSSLLTVNNYFGVLQGVLHNLGIGVLPDYVTQDFPDLIHVLPDIKSALVPVYLAYPEELRHSQRVAAFRDFVQEEIIAHRKQLRELGIL</t>
  </si>
  <si>
    <t>SPO1872</t>
  </si>
  <si>
    <t>YP_167109.1</t>
  </si>
  <si>
    <t>AAV95171.1</t>
  </si>
  <si>
    <t>MAQAMKIAIVDDEQDMRQSISQWLALSGYDTETFASAEEALKVLGSEYPGIVISDIKMPGMDGMQFLKKLMGADSSLPVIMITGHGDVPMAVEAMRVGAFDFLEKPFNPDRMSDLAKRASNARRLTLDNRALRRELSDGGQIMKKLIGTSPVMERLREDILDLGQADGHVLIDGETGTGKTLVAHALHAVGSRAGKKFVLVSCSALEEEALAKRLFGPMIPEDAQLPAIEEARGGTLVLEDVESLSDALQAKLLSVMNQQGTPAETRIVAISNLQEAGKTSEDVLRPDLFYRLAALRLTMPPLRQRGEDILTLFTRLSEQFAEEYGCDAPQVSAQEAAQLLQAPWPGNVRQLINIAERAVLQARRGSGTIASLLMSDHEDMQPVMTTEGKPLKEYVEAFERMLIDNTMRRHKGSIAAVMDELCLPRRTLNEKMAKYGLQRSDYL</t>
  </si>
  <si>
    <t>SPO1892</t>
  </si>
  <si>
    <t>YP_167129.1</t>
  </si>
  <si>
    <t xml:space="preserve"> C4-dicarboxylate transport transcriptional regulatory protein DctD </t>
  </si>
  <si>
    <t>AAV95251.1</t>
  </si>
  <si>
    <t>MAITAALVKELRDSTGAGMMDAKKALTETDGDMEAAVDWLRTKGLAKAAKKSGRTAAEGLVAVVVEGGKGVAVEVNSETDFVAKNSDFQEMVGKIAAAALAADDVDALLAADLGGKSVADTLTAKIATIGENMSVRRLAKLEGETVVTYVHNAATTGMGKIGVLVAMKGGDEALGKQVAMHIAAVNPAALSEAEMDPVVVEKEKQVQMDIARESGKPEAVIEKMIEGRMKKFVAESTLLSQQFVVNPDLTVGAAAAEAGAEITGFVRLEVGEGIVVEKEDFAAEVAKAAQG</t>
  </si>
  <si>
    <t>SPO1975</t>
  </si>
  <si>
    <t>YP_167210.1</t>
  </si>
  <si>
    <t xml:space="preserve"> elongation factor Ts </t>
  </si>
  <si>
    <t>AAV95252.1</t>
  </si>
  <si>
    <t>MALPEFSMRQLLEAGVHFGHQTQRWNPRMSPFIYGARNGIHILDLTQTVPMLDQALKAVRDTVAKGGRVLFVGTKRQASGPIAEAAEKSAQYYMNHRWLGGTLTNWKTVSQSIQRLRMIDEKMEGGAEGLTKKERLGMERDQAKLQASLGGIREMGGVPDLLFVIDVKKEALAIAEANKLGIPVVAVVDTNCSPDGVDYIIPGNDDAARAISLYCDLAARAALDGMTAQLGAAGVDLGELEEAPAEEALAEEAAAEA</t>
  </si>
  <si>
    <t>SPO1976</t>
  </si>
  <si>
    <t>YP_167211.1</t>
  </si>
  <si>
    <t xml:space="preserve"> 30S ribosomal protein S2 </t>
  </si>
  <si>
    <t>AAV95266.1</t>
  </si>
  <si>
    <t>MFAVLKTGGKQYKVQAGDVLRVEKLAADAGEKVQFNDVLMLGGDAPVVGAPLVDGAAVQAEVIDQIKGEKLIHFVKRRRKHSSQRTKGHRQKLTLVRITEILTSGADKTGVKAATGQAAAGAAAPAAAAPAAAGSDDLTKITGVGPAAAKKLVEAGIGSFAALAALSDEQIAAIDAVKVKPEWVEQAKELAQG</t>
  </si>
  <si>
    <t>SPO1990</t>
  </si>
  <si>
    <t>YP_167225.1</t>
  </si>
  <si>
    <t xml:space="preserve"> fused 50S ribosomal protein L21/unknown domain-containing protein </t>
  </si>
  <si>
    <t>AAV95290.1</t>
  </si>
  <si>
    <t>MGVPAQKQTATEALLATLTLPTAGCTQSAREAALARLREMGVPGRRDEYWKYTRPDSLISPEAPRAATFHTDEPMMFDAIDRLKIVFVDGVFDAEASDALELDGVRIERIEDICCKDIHWAKDLYGVLEARGQTPVPRPLAALNTAFAADGIAIHVTGKPSKPISLIYKHASESSDALLHHVIRVESGAEVTILENGPAASRFNKCMEIDIADGGTLHHVRAQGRDHERRAVTHMFTRLGAASVYKSFTLTVNGVLTRNEQVVELTGDEGVAHVAGACVGDGDFLHDDTVFVTHDAVNCESRQVFKKVLRNGATGVFQGKILVQPGAQKTDGYQISQSLLLDDDSQFLAKPELEIYADDVACSHGSTSGAIDDTALFYLRSRGVPEKAATDLLTLAFLAEAVEEIEDEALVADIVSRLEGWLARRA</t>
  </si>
  <si>
    <t>SPO2017</t>
  </si>
  <si>
    <t>YP_167249.1</t>
  </si>
  <si>
    <t xml:space="preserve"> FeS assembly protein SufD </t>
  </si>
  <si>
    <t>AAV95303.1</t>
  </si>
  <si>
    <t>MDLRNIAIIAHVDHGKTTLVDELLKQSGAFRENQAVAERAMDSNDLERERGITILAKATSVEWRGTRVNIVDTPGHADFGGEVERILSMVDGVVLLVDAAEGPMPQTKFVTSKALALGLRPIVVLNKVDKPDAEPDRALDECFDLFANLGANDEQLDFPHLYASGRSGWADTDLDGPRKDLTALFELVVRHVPAPAQIARKDEPFRMLATTLGSDPFIGRILTGRVESGTLKAGETLKALSRDGTQIESFRASKILAFRGLGQQPIDVAEAGDIVTIAGMSKATVADSLVNPQVSEALPAQPIDPPTISVTFGINDSPLAGRDGKKVQSRVIRDRLMKEAESNVAIRVTDTPGGEAFEVAGRGELQMGVLIENMRREGFELSISRPQVLFREEDGQRLEPVEEVTIDVDDEYTGAVIEKVTGPRRGELVEMKPAGAGKTRIIAHVPSRGLIGYHGEFLTDTRGTGVLNRVFHGWTPHKGAIPGRRAGVLISMENGQSVAYALWNLEERGRMFIGPQTDVYEGMIIGEHSRDNDLEVNPLKGKKLTNVRASGTDDAVRLTPHIQFSLEEAIAYIDDDELVEVTPNTIRLRKRYLDPHERKRMARAAS</t>
  </si>
  <si>
    <t>SPO2031</t>
  </si>
  <si>
    <t>YP_167262.1</t>
  </si>
  <si>
    <t xml:space="preserve"> GTP-binding protein TypA </t>
  </si>
  <si>
    <t>AAV95305.1</t>
  </si>
  <si>
    <t>MPSLNDIRSTFLNYFAKQGHTIVPSSPLVPRNDPTLMFTNSGMVQFKNCFTGVDKRDYVRATTAQKCVRAGGKHNDLDNVGYTARHHTFFEMLGNFSFGDYFKSEAIPFAWELITRDFDIPKDRLYTTVYHTDDEAFEIWKKVGVPESRIIRIATSDNFWQMGPTGPCGPCTEIFYDHGDHIWGGPPGSPEEDGDRFIEIWNIVFMQNEKFEDGSMVDLDMQSIDTGMGLERIGALLQGSHDNYDTDLFKALIEASADATSVDPYGDQNVHHRVIADHLRSTSFLIADGVMPSNDGRGYVLRRIMRRAMRHAHLLGAKDPVMHRLVRTLVGQMGAAYPELGRAQALIEETLLLEETRFKQTLDRGLKLLDDELTALPEEAPLPGEAAFKLYDTYGFPLDLTQDALREKGRKVDTDGFDAAMAEQKAKARAAWAGSGESTDNAIWFDVLDVAGATDFLGYDTEKAEGQALALVVDGALSDRIAEGGSGWVVTNQTPFYGESGGQVGDTGVIRRLENRDHVALVEDSRKFADGKVYAHKVTMERGALAKGDAVELEVDHARRSAIRANHSATHLLHEALREALGDHVAQRGSLNAADRLRFDFSHAKALTEAELAQVGAEVNRFIRQNSRVETRIMTPDDARAIGAQALFGEKYGDEVRVVSMGRAETGKGADGKTWSIELCGGTHVAQTGDIGMFVLLGDSASSAGVRRIEALTGQAAFDHLSQEGARLSQVTAMLKAQPAEVAERVRALMDERKALQNEVAQLRRDLAMAGGAGQGGGAETHEVGGVPFLAQVLSGVSGKDLPALIDEHKSRMGSGAVLLIADAGGKAAVAAGVTEDLTARVSAVDLVKAAVAALGGKGGGGRPDMAQGGGQDAGKADAAIKAAEQVLGG</t>
  </si>
  <si>
    <t>SPO2033</t>
  </si>
  <si>
    <t>YP_167264.1</t>
  </si>
  <si>
    <t xml:space="preserve"> alanyl-tRNA synthetase </t>
  </si>
  <si>
    <t>MGPTVSIESEMRTSYLDYAMSVIVSRAIPDLRDGLKPVHRRILYAMHETGNGHDKPYRKSARPVGDVMGKYHPHGDSAIYDALVRMAQDFSMSLPLLDGQGNFGSMDGDNPAAMRYTEVRMDKPAAFLLSDIDKETVDFQDNYDGKDREPTVLPARFPNMLVNGAGGIAVGMATNIPPHNLGEVVDATLALIDDPDLTSEQLIDYVPGPDFPTGGVMLGRSGARKAYLEGRGSVIIRAKTRVEELRKDRYAIIVDEIPYQVNKATMIEKIAEAVREKRIEGVAHVQDESDRNGVRVVVELKRDATPEVVLNQLYRFSPMQTSFGCNMLALNGGRPEQLTLRRFLTCFIDFREEVVARRTAHDLRKARERSHVLCGLAVAVSNVDEVVATIRSSADAADAREKLMTRRWPAADIAAYLRLIDDPLSKMNEDGTYNLTEVQARAILDLRLQRLTQLGVKEVTDELEVLAGKIKEYLEILGSRERIMGIIADELREVREQFAVPRRTEIVDWSGDMEDEDLIEREDMVVTVTSGGYIKRTPLADFRAQKRGGKGLSGMQTKEEDVVTTLFVANTHTQLLFFTTDGMVYKLKTWRLPQSGRTGKGKAIVNILPIPTGVSIAAIMPVDVPDEEWDALQIVFATSAGDVRRNALSDFTNVKRNGKIAMKLPEDVELVNARICSEEDDVMLITNSGRAIRFPTTDVRVFKGRDSTGVRGIRLQNGDRVVSMSVIRHFEAEPWERAEFIKRFRTILGAEMEDDAAETDEDAVEGEGVLTDERYQEMQDAQDLILTITVTGLGKLSSSHDYPVRGRGGQGVKAISAGPRGGTLAASFPVLMDDQIMLATSGGQSIRVPVEGISFRSRSAGGVRVFNTSKGEEVVSVARIAEQGDEEGEEE</t>
  </si>
  <si>
    <t>SPO2051</t>
  </si>
  <si>
    <t>YP_167281.1</t>
  </si>
  <si>
    <t xml:space="preserve"> DNA gyrase subunit A </t>
  </si>
  <si>
    <t>AAV95324.1</t>
  </si>
  <si>
    <t>MSAFEQLMAHARETAALDQIAGRLGWDQETMMPRGAAPQRAEESAAIAGVLHARRTDPQVGDWLAAAEAPDEAGAAQLREIRRSFERTARVPADLARALARTTARAQGVWAEARADEDVAAFLPDLKEVVALRREEGQALAQGGDLYDALLEEYEPATSAAQIAETFDTMRPRLVALRSAVLDRPVPQRLEGQFDESAQMKLSRHLARSFGYDMAHGRVDKAVHPFSSGSGLDVRITTRTNPDDPFNCFYSTIHEVGHAAYEQNIDRAYLLTPLGRGVSMGVHESQSRIYENQLGRSRAFTGWLFGQMRAAFGDFGIADEDAFYATVNTVHRGYIRTEADEVQYNLHIMLRFDLERALMAGDLAVDDLEAAWNDRFAADFGYQVDKPSNGCLQDVHWSVGLFGYFPTYALGNVYAGCLYQALRQAVPGLEADLAQGDTAAATGWLADQVQRHGGLYAPREVIARASGIEPGPEPLLDYLEAKFGALYDL</t>
  </si>
  <si>
    <t>SPO2053</t>
  </si>
  <si>
    <t>YP_167283.1</t>
  </si>
  <si>
    <t xml:space="preserve"> thermostable carboxypeptidase </t>
  </si>
  <si>
    <t>AAV95330.1</t>
  </si>
  <si>
    <t>MIRFRQHDPGAKTLSGKFIIHHIPVCPFSQRIEILLALRSLSDAVEFRVVDITRPRDPELLAKTRGTTALPVLETPDGRIIKESLVILRYLDEVLPGAPLRRIDPAEHAIESMLIAKEGAFVTAGYLYVMNQDRSQREAHLDRLLGLYRGLDDFLVEHNPKGTWLFDGFGLAEAVYTPLFKRFWFLDYYEDFALPDDPAYDRVRVWRAACIAHPATDQVSEEEIVKLYYDYALGAGNGALVDGRTVSSFAFEPDWRSRPWPPRDKYDGTASDAALGLLSV</t>
  </si>
  <si>
    <t>SPO2059</t>
  </si>
  <si>
    <t>YP_167289.1</t>
  </si>
  <si>
    <t xml:space="preserve"> glutathione S-transferase family protein </t>
  </si>
  <si>
    <t>AAV95400.1</t>
  </si>
  <si>
    <t>MTTIKLHNTRTRTKEEFVPIDPDNVRMYVCGPTVYDRAHLGNGRPVVVFDVLYRLLRHVYGADHVTYVRNFTDVDDKINARAAERGRPIGDITAETTQWFLDDMGALGALEPDHMPRATQYIPQMVAMIEELVAKGHAYEAEGHVLFAVDSWKEHYGKLSGRSVDDMIAGARVEVAPYKKNPMDFVLWKPSTPDLPGWDSPWGRGRPGWHIECSAMSYELLGESFDIHGGGNDLMFPHHENEIAQSCCAHPEGHFANFWLHNEMLQVEGKKMSKSLGNFFTVRDLLDQGIPGEVIRFVFLSTHYRKPMDWTEKKAKEAEATLRKWWRLTAPLDEMEIKPSPQFIDALTDDLNTPGAIAELHRLAKEKDYAALEAGLEMLGLQETVNFGVASFGFSTSVEVLEAANDLARRWMAYRDAKNFEEADRLKKSALLAGVDLSVSKEGGIQVPSATINGSPTVDELEALK</t>
  </si>
  <si>
    <t>SPO2131</t>
  </si>
  <si>
    <t>YP_167359.1</t>
  </si>
  <si>
    <t xml:space="preserve"> cysteinyl-tRNA synthetase </t>
  </si>
  <si>
    <t>AAV95413.1</t>
  </si>
  <si>
    <t>MSAGVKSLSKTFVWILMGLLIAGLAGFGAVNLSGTVRTVAQVGEQTVSVDAYARELQREIRGIEAQTGQPLQMSQVRDLGIDQAVLARLVAIAALDNEVAGLGISIGDENLSREIVQIPAFQGVDGKFDPEGYRYALDNAGLSEAEFEADLRRESARTLVQGAIMEGLVMPDTYADTLAQFVGARRSFTMATVDTGALDSPVAAPDAAQIEAFYADNQDQFMLPRSKRLTYALLTPEMLLDRVELDEGAVRRLYEERESSYQQPERRLVERLVFADQASAESAMAQVEVGGATFELLVEGRGLSLTDVDMGDLTAQDLGAAAEAVFAAEVGDVVGPLPSDLGPALFRVNGTLDARITTFESVEAELRDELAGERARRLIEAQAESLNDMLAGGATLEELAQDTDMELGQIDWTEDSSDGVAAYAGFRAVATEVAEGDFPEIGFLEDGAVFALRLDEELEPRPEPLDSARERVIAAWTAAETRRALQDKAASVATGLATDGDFTATGLPHRVENGLTRTAFIDGTPFDFMEQVFAMQPGDLKVIAGDDAAFIVRLEEELPPADTDELTQMKRALSAQMTQALAQNLFDIYVRDAQTRAQPTLDQRALNAVQASFQ</t>
  </si>
  <si>
    <t>SPO2145</t>
  </si>
  <si>
    <t>YP_167372.1</t>
  </si>
  <si>
    <t xml:space="preserve"> hypothetical protein SPO2145 </t>
  </si>
  <si>
    <t>AAV95424.1</t>
  </si>
  <si>
    <t>MPDQVVTRFAPSPTGFLHIGGARTALFNWLYARGRGGKFLLRIEDTDRARSTPEATAAILQGMAWLGLDHDGEVISQFERAPRHAEVALELLAQGKAYKCFSTQDEIQAFREAAQAEKRSTLFRSPWRDADPATHPDAPYVIRIKAPQSGETVIRDQVQGDVTIRNDQLDDMVLLRSDGTPVYMLAVVVDDHDMGVTHVIRGDDHLNNAARQMMIYQAMGWEVPVWAHIPLIHGPDGKKLSKRHGALGAQEYQAMGYPAAGMRNYLARLGWSHGDDEFFTDAQAREWFDLDGIGKSPARFDLKKLENLSGQHIAVSDDAALRHEIEAYLAAAGLPALTQTQSGDLERAMYCLKDRARTFPELIEKAAFVLASRPISPDEKAAAALASVSDGILAELTPQLQNASWTRESLEEALNAFAEAHGTKFGKLAAPLRAALAGRAVTPSVFDMMLVLGRDESLARLRDAAHPA</t>
  </si>
  <si>
    <t>SPO2156</t>
  </si>
  <si>
    <t>YP_167383.1</t>
  </si>
  <si>
    <t>AAV95435.1</t>
  </si>
  <si>
    <t>MKTLTTTPELAAFCKAAASHAYVTVDTEFLRERTYYSKLCLIQLAYPGEDADSAVLVDPLAEGLELEPLYTLFRDTSVVKVFHAARQDLEIFWVDAGVFPEPLFDTQVAAMVCGFGEQVGYETLVRKICRQGLDKTSRFTDWSRRPLSDAQKTYALADVTHLRQIYEHLAADLAKTGRSHWVAEELRTLTDPATYDIRPEEAWRRIKTRTNSGKFLAVVRELAQFRESYAQDNNVPRNRVFKDDALIELASTKPRTHADLGGSRLLLREARKGAIADGILAAVGRGIDCPPEKMPKATNGRENLQVNPALADLLRVLLKAKTETVGVAAKLIANSAELDLIAAGERDVPSLTGWRLEVFGADALRLCQGEIGLAAKGQNVEVVTL</t>
  </si>
  <si>
    <t>SPO2167</t>
  </si>
  <si>
    <t>YP_167394.1</t>
  </si>
  <si>
    <t xml:space="preserve"> ribonuclease D </t>
  </si>
  <si>
    <t>AAV95467.1</t>
  </si>
  <si>
    <t>MLVQAILKSKASDGVVTVSAAATVAQAAAILAEKRIGTVVVSDDGETAQGILSERDIVRELAASGSGCLSEPVSTYMTKDLITCGRDAKVQDVLSQMTEGRFRHMPVIEEGKLVGLVTLGDVVKAQLAELAMEKDALEGMIMGH</t>
  </si>
  <si>
    <t>SPO2201</t>
  </si>
  <si>
    <t>YP_167427.1</t>
  </si>
  <si>
    <t xml:space="preserve"> CBS domain-containing protein </t>
  </si>
  <si>
    <t>AAV95545.1</t>
  </si>
  <si>
    <t>MPLYEHVMIARQDLSNTQAEGLIEHFGAVLSDNGGSLVDHEYWGVKTMAYKINKNRKGHYAFLRTDAPASAVQEMERLMRLHDDVMRVLTIKVDEHAEGPSVQMQKRDERDSRRERR</t>
  </si>
  <si>
    <t>SPO2281</t>
  </si>
  <si>
    <t>YP_167505.1</t>
  </si>
  <si>
    <t xml:space="preserve"> 30S ribosomal protein S6 </t>
  </si>
  <si>
    <t>AAV95547.1</t>
  </si>
  <si>
    <t>MQVILLERVAKLGQMGDVVDVKSGYARNFLLPQSKALVASDANIAQFEAQKAQLEARNLETKQEAEALAVKLDGQQFVVIRSASDAGALYGSVTPRDAAEAATEAGFSVDKKQIALIAPIKDLGLHTVAVRLHPEVEVSINLNIARSPEEAELQASGKSIQELAAEEEAAAEFEIAELFDDLGGAASDDDDQAPASDETA</t>
  </si>
  <si>
    <t>SPO2283</t>
  </si>
  <si>
    <t>YP_167507.1</t>
  </si>
  <si>
    <t xml:space="preserve"> 50S ribosomal protein L9 </t>
  </si>
  <si>
    <t>AAV95552.1</t>
  </si>
  <si>
    <t>MQVTETLNEGLKRGYNIVVSAAELDAKVNEKLVEAQPEIEMKGFRKGKVPMALLKKQFGQRLLGEAMQETIDGAMNKHFEDSGDRPALQPEVKMTNEDWKEGDDVEVAMSYEALPAIPEVDMSDIALEKLVVKADDAAIDEALGNLAETAQDFKARRKGSKAKDGDQVVMDFVGKVDGEAFEGGSAEDYPLVLGSNSFIPGFEEQLVGVKAEEEKDVTVTFPEEYGAEHLAGKEAVFTCTIKEVKEPVAAEIDDELAKKFGAEDLAALKSQIAERLEAEYAGASRAVMKRGLLDALDAKVSFDLPPSLVDAEAKQIAHQLWHEENPEVHDHNHGEIEATEEHTKLAERRVRLGLLLAELGQKAEVEVTDAEMTQAILGQARQYPGQERQFFEFVQKNPQMQQQLRAPIFEDKVVDHIVAQAKVTEKEISKDDLQKALEALDAE</t>
  </si>
  <si>
    <t>SPO2288</t>
  </si>
  <si>
    <t>YP_167512.1</t>
  </si>
  <si>
    <t xml:space="preserve"> trigger factor </t>
  </si>
  <si>
    <t>AAV95587.1</t>
  </si>
  <si>
    <t>MHDIRAIRENPAAFDAALSRRGSAPVSSDILALDEARRGKILAAETAQADQNKASKEVGAAKARGDEAEFERLRALVAEKKAEIAAMQAEAKELDTQLSELLAGLPNLPAEDVPQGADEADNVELHRWGTPREMDFAPKEHFDLASVQDGMDFETAAKLSGARFVLLSGAVARIHRALAQFMLDTHSEQNGLTEVNGPVLVLSEMMYGTGQLPKFGEDSYQTREGWWLIPTSEVSLTNIVNGSTIAEDYLPRRYTAHSLCFRSEAGSAGKDTRGMLRQHQFEKVEMVSVTHPDHSDAEQKRMLRCAEGILEALGIPYRTIVLCTGDMGFGARRTYDIEAWLPGQNTYREISSVSTCGDFQARRMNARFKPADGGKPQFVHTLNGSGLAVGRCLIAVLENGQNADGSVTLPQALAPYLGGKLTLNTDGTLN</t>
  </si>
  <si>
    <t>SPO2325</t>
  </si>
  <si>
    <t>YP_167548.1</t>
  </si>
  <si>
    <t xml:space="preserve"> seryl-tRNA synthetase </t>
  </si>
  <si>
    <t>AAV95611.1</t>
  </si>
  <si>
    <t>MTFWILVTLMALTVAALLALSMLRARVAAEPAAAYDLRVYRDQLAGVDRDLARGVIDAGDAERIRTEISRRILAADAQMRAEVEGGGQSLRKAGLGALLGAVVIVGGTMALYSRLGAPGYGDLPLQLRLDIAEANRTDRPGQGEAEARIPAHPAPQLDPGYAELLGKLRDTVAQRPDDIQGQMLLAQHEANTGNFAAAYAAKGRVIALLQGDASPQDFTEQAEMMIRAAGGYVSPEAEAVLFEALRRDPEYGPARYYWGTMLAQIGRPDLAFNTWARTLQTAPAGTAWGEAIREQIGELAMRAGVNDYTPPAPPAGTALPGPRREDVEAASEMDAETRAEMIQGMVTRLSTRLATEGGTPQEWGRLIGALVVLGDTDRARAILDEARQVYGESPEALVLIESAAQRAGLGE</t>
  </si>
  <si>
    <t>SPO2349</t>
  </si>
  <si>
    <t>YP_167572.1</t>
  </si>
  <si>
    <t xml:space="preserve"> cytochrome c-type biogenesis protein CycH </t>
  </si>
  <si>
    <t>AAV95707.1</t>
  </si>
  <si>
    <t>MTSPTPIRFEMPDLDAMAAATGRVAVIVPPEGKLDPGARRANRLTRGALARLVESDRFAKLKPGQVVSLAWPAGMAAEALDVLVLPRRADALTARKGGAALAKLAGGKPLLLMAGGQVRAEQLALGIALRAYDFTAHKSKPEEEAAEATDASVTIAHNKAEEIAAAYAPLAALAEGVHMTRDLVNEPANVLTTTEFANRLKEMEALGLEVEVLEEDKLEELGMRTLLCVGQGSDSPSKVVVMHWKGGDKDAAPLALVGKGVVFDTGGISLKPAAGMEDMTMDMGGAGVVAGTMRALALRKAKANVVGLVGLVENMPSGRATRPGDVVKSMKGDTVEIINTDAEGRLVLCDVMWYAQERFKPTGMIDLATLTGAIIIGLGHENAGVFSNDDTLCNAFLKSAGDEGEGAWRMPLGKAYDDMLKSRIADMKNVGGRPAGSITAAQFLARFVQEGTPWIHLDIAGVASVTAETDMAPKGATGWGVLALNRLVDRLAE</t>
  </si>
  <si>
    <t>SPO2453</t>
  </si>
  <si>
    <t>YP_167670.1</t>
  </si>
  <si>
    <t xml:space="preserve"> leucyl aminopeptidase </t>
  </si>
  <si>
    <t xml:space="preserve">Cytosol aminopeptidase </t>
  </si>
  <si>
    <t>AAV95710.1</t>
  </si>
  <si>
    <t>MQQNLTTLSRCLARMMGAAALTLTLAGGPVAAQSLFSPAIRVNQGVITHFELEQRIRLMEVLRIPGDPQKDARRSLIEEALKMQAVEEAGIEVAPEDVQLGIDDFAARARLSTDEFLAALANEGVSAETVRDFVSKQMAWRDYVSARFLARARPTPDEIDRALGLGGGGGLQVLLSEIIIPITPQTVDQVDEVAQQIAALTSYEAFSSAAIQVSAAETRENGGRMPWIPLAQLPPALQPVILELEPGEISDPITLPNAVALFQMRGLREAAVGTPRYAAIDYAAYRMAGGRSPETLKAATELRQRVDTCDDLYGVAKGQPAEVLERISAKPAEIPQDIALELAKLDPGETSLALTRNNGQTLLFLMMCTRTRDLGGDASREDVANALTQQRLQTLAESLVEQLRADAIITEE</t>
  </si>
  <si>
    <t>SPO2456</t>
  </si>
  <si>
    <t>YP_167673.1</t>
  </si>
  <si>
    <t xml:space="preserve"> peptidyl-prolyl cis-trans isomerase domain-containing protein </t>
  </si>
  <si>
    <t>AAV95722.1</t>
  </si>
  <si>
    <t>MPVINRIADFAADMTAWRQHLHTIPELEFDCHQTAAFVAERLREFGVDELHEGIAKTGIVAIINGQGDGPTIGLRADMDALPIPEETGLAYASTHPGKMHACGHDGHTTMLLGAARYLAETRNFSGRVALIFQPAEEEGGGADIMVREGILDRFDIAQVYALHNAPGHAEGSFYTAPGPLMAAVDTFEIHIQGRGGHGAMPHETIDPVMAACGIAQAIQTIVSRNHYALDDLVVSVTQIHTGTVNNVIPDTAYLNGTVRTFDPAVQKMVMRRMREIVAGQAASYGVTAELDYQVGYPATINDAAKTEFAAEVAREVSGAANVVGDGGREMGAEDFSYMLEKRPGSYLFIGQGDSAGLHHPKYNFNDEIAPVGASFFARIVEKAQPVA</t>
  </si>
  <si>
    <t>SPO2468</t>
  </si>
  <si>
    <t>YP_167685.1</t>
  </si>
  <si>
    <t xml:space="preserve"> amidohydrolase family protein </t>
  </si>
  <si>
    <t>AAV95737.1</t>
  </si>
  <si>
    <t>MTYHPKSDFIAVMMERGFLADCTDYQGLDEALMKGCQPGYIGFDATAKSLHVGSLIQIMMLRWLQKTGHKPITLMGGGTTKVGDPSFRADERPLLTPAQIDDNIAGIRKVFAAYIDYDSGAENAALMLNNEEWLDDLNYLDFLRDIGRHFSVNRMLSFESVKSRLDREQSLSFLEFNYMILQAYDFMELNRRYGCILQMGGSDQWGNIVNGIDLTRRVIDHEVYGLTSPLLTTSDGKKMGKSQDGAVWLNPDMRSPYEFWQFWRNTTDADVGRFLKLYTELPVGECDRLGALAGSEINAAKVILANEVTALCHGAEAAATAEATAREVFEKGGIGDDLPTLTLGAADLPASIVQLIVKTGLAKSGKEAKRLIAEDGARLNDAPLTDAGMMIEAGDLAAPIKLSAGKKRHALVQLG</t>
  </si>
  <si>
    <t>SPO2484</t>
  </si>
  <si>
    <t>YP_167700.1</t>
  </si>
  <si>
    <t xml:space="preserve"> tyrosyl-tRNA synthetase </t>
  </si>
  <si>
    <t>AAV95746.1</t>
  </si>
  <si>
    <t>MSDKTLTRMDLSEAVFREVGLSRNESAQLVESMLNHMSDALVRGEQVKISSFGTFSVRDKSARVGRNPKTGEEVPIQPRRVLTFRPSHLMKERVAAGNRK</t>
  </si>
  <si>
    <t>SPO2495</t>
  </si>
  <si>
    <t>YP_167711.1</t>
  </si>
  <si>
    <t xml:space="preserve"> integration host factor, alpha subunit </t>
  </si>
  <si>
    <t>AAV95754.1</t>
  </si>
  <si>
    <t>MNLFTEMRGLVLEALEQMQAEGALPQGLDFANVAVEPPRDAAHGDMATNAAMVLAKPAGQKPRDIAETLAARLAADARVAKAEVAGPGFLNLTLAAPVWQRVVGTVLLDGTAYGRSDMGQGKKVNVEYVSANPTGPLHVGHTRGAVFGDALASLLDYAGYQVTREYYINDGGAQVDVLARSVYLRYLEAHGQAVEFVDGTYPGEYLVEVGQALKDKVGDAYVGQPEEVWLEAIRDFATDAMMELIRADLAQLGVKMDVFYSEKSLYGTGRIEAAIDSLRAKGLIYRGTLEPPKGKLPEDWEPREQTLFKSTEHGDDVDRPIMKSDGAWTYFAPDIAYHYDKVSRGFDALIDVFGADHGGYVKRMKAAVSALSDGRVPLDIKLCQLVKLWKNGEPFKMSKRAGNFVTLRDVVDQVGADVTRFVMLTRKNDAPLDFDFDKVLEQSRENPVFYVQYAHARVSSVLRRAAEAGIDTSDTALRAADLGLLGHEAELAVMRKLAEWPRLVEIAARTNEPHRIAFYLYELAGDFHALWNRGNDVSELRFIQDGDEGTSQAKIALARSVAVVISAGLAILGVTPAEEMR</t>
  </si>
  <si>
    <t>SPO2504</t>
  </si>
  <si>
    <t>YP_167719.1</t>
  </si>
  <si>
    <t xml:space="preserve"> arginyl-tRNA synthetase </t>
  </si>
  <si>
    <t>AAV95770.1</t>
  </si>
  <si>
    <t>MTAPSDVFDRPRIRLKPKANARAIRHGAPWVFDNEVVTDRRTRKIAPGTVAVLEDDNRAPLGLVAVNPGSRILARMLDRDPEAELNAAWFEARLTRALALRERLFDAPFYRLVHAEADGFPGVIIDRFGEACVIQPNAAWAEAHLELLSAALIKVTGVSTVLKNASGRTRALEGLDDQNAVLAGAAPTAPVPVLMNGATYMADLTGGQKTGLFYDQRPNHAFAARLAGQGTRVLDVFSHVGGFALAMLAGGAGSALAVDGSAPALALAEQGALASGLAGRFETRQGDAFDVLTALAEEGETFDVVICDPPAFAPSKQALDAGLRAYERVARLAAALVRPGGYLGLCSCSHAADLSRFREASVRGIGRAGRSAQLIHTGFAGPDHPQLPQLAESGYLKAVFFRL</t>
  </si>
  <si>
    <t>SPO2520</t>
  </si>
  <si>
    <t>YP_167735.1</t>
  </si>
  <si>
    <t xml:space="preserve"> hypothetical protein SPO2520 </t>
  </si>
  <si>
    <t>AAV95833.1</t>
  </si>
  <si>
    <t>MRAEIQNVVTDIQKSLRLLAQRMDQETAQHRLEEFNARVEDPNLWDNPENAQKLMRERQTLVDALDIYKGIETDLADNIELIELGEMEDDQDVIKDAEAALKALRERAAEKELEALLDGEADGNDTFLEINAGAGGTESCDWASMLARMYVRWAEKKGYKVELQSESAGDEAGIKSAAYKISGHNAYGWLKSESGVHRLVRISPYDAAAKRHTSFSSVWVYPVVDDNIEIEVNPSDIRIDTYRSSGAGGQHVNTTDSAVRITHIPTGIVVTSSEKSQHQNRDIAMKALKSRLYQQELDRRNAEINAAHEAKGDAGWGNQIRSYVLQPYQMVKDLRTGHETSDTKGVLDGALDGFMAATLAMKVSGKSRADAQSED</t>
  </si>
  <si>
    <t>SPO2585</t>
  </si>
  <si>
    <t>YP_167798.1</t>
  </si>
  <si>
    <t xml:space="preserve"> peptide chain release factor 2 </t>
  </si>
  <si>
    <t>AAV95845.1</t>
  </si>
  <si>
    <t>MSLDDVLSRIDADLPAAIERLMELLRIPSISTDPAYAEACDQAADWLVADLAGIGIAAEKRPTPGRPMVVGHVEADHDDAPHVLFYGHYDVQPVDPLNLWTSPPFEPQLEDTPNGRVIRGRGSSDDKGQLMTFVEACRAWKAVHGTLPCRITFFFEGEEESGSPSLVPFLQANAEELKADIALVCDTSMVSRGVPSIAAQLRGMLKDEFTITGPRIDLHSGHYGGPGLNPLRELSRIVTSFYDQETGRVAVEGFYEGVHEVPAEQLRQWESCGFDESEYLNSVGYSQAHGEQGYSTLEQQWARPTLEVNGLWGGYNGAGSKTVIPAQAHCKITCRLVGDQDPDKLRVAIRKHVEAQLSPDAGVIWDNDLEGSKASVMNIARPEMEAARGALSDEWGREAVFTGMGGSIPVVGFFKSVLGLDSMLVGYANDDDAIHSPNEKYDVESFHKGIRSWARILDALTR</t>
  </si>
  <si>
    <t>SPO2597</t>
  </si>
  <si>
    <t>YP_167810.1</t>
  </si>
  <si>
    <t xml:space="preserve"> hypothetical protein SPO2597 </t>
  </si>
  <si>
    <t>AAV95862.1</t>
  </si>
  <si>
    <t>MTEDQIIGLLSQNIIYLAAAIFIIVVILKGIRIVPQSEKFVVERFGRLHAVLGPGINFIVPFLDVVRHKISILERQLPTASQDAITKDNVLVQVDTSVFYRITEPEKTVYRIRDVDGAISTTVAGIVRAEIGKMDLDEVQSNRAQLISTIKSSVEDAVDDWGIEVTRAEILDVNLDQATRDAMLQQLNAERERRAQVTKAEGAKRAVELNADAELYAAEQTAKARRIEAEAEAYATEVVARAIAAHGLEAAQYQVALKQVEALNALGNGAGKQTIILPANALEAFGDAFKLLKGGK</t>
  </si>
  <si>
    <t>SPO2617</t>
  </si>
  <si>
    <t>YP_167827.1</t>
  </si>
  <si>
    <t xml:space="preserve"> SPFH domain-containing protein/band 7 family protein </t>
  </si>
  <si>
    <t>AAV95883.1</t>
  </si>
  <si>
    <t>MARRPHNAPPQRDTGPRVNDKIRASEIRLIGADGENVGVVHPAKAMAMAEEAGLDLVEISPNATPPVCKIMDFGKYKYEQQKRESEARKKQKIIEVKEVKFRPNTDTHDYEVKMRNVYKFLENGDKVKVTLRFRGREMAHQNLGRELLERVAEDVKEMGKIENMPKMEGRQMIMMIGPLPQK</t>
  </si>
  <si>
    <t>SPO2638</t>
  </si>
  <si>
    <t>YP_167848.1</t>
  </si>
  <si>
    <t xml:space="preserve"> translation initiation factor IF-3 </t>
  </si>
  <si>
    <t>AAV95890.1</t>
  </si>
  <si>
    <t>MLYWHHSSRPKSVFHPAFKGKTMSDLISTHALLAPEAQHPQRSDLCIERVGDTAASAGFNPGLERAADLTETSVSGFAEAREASAAGMADDELDALMNPTGFQTEVVIGFDDRIRISPANRWPWAVHGHMEMTFPDGRRFIGSGTMINRHHVLTAGHCVFSRDNGGWATEVIFQAARDDGALPFGTSSAVRLLSVAGWTNGENPEFDMGMLILGDELGERTGWHGIVTGPEAMLSNHRVNVSGYPGDKGGRTLWTHKDVIKSVTDTKVFYDIDTAGGQSGSGVWSVWDGHAGEKVCAIHTTGSQSGNGAVRINRDKFDRIIGWMARH</t>
  </si>
  <si>
    <t>SPO2645</t>
  </si>
  <si>
    <t>YP_167855.1</t>
  </si>
  <si>
    <t xml:space="preserve"> S2 family protease </t>
  </si>
  <si>
    <t>AAV96001.1</t>
  </si>
  <si>
    <t>MSRERLIYLPLGGAGEIGMNAYVYGYGKPGKERLILVDMGVAFSDMDTTPGVDLIWADISWLRENVDRLEAVFITHAHEDHVGAVAHTYDQLRKPIHARAFTANIARRKMSELGLPEQAVQTVSAWPEQVQAGPFTVGFLPVSHSVPESAALVIDTPAGRIVHSGDFKLDPSPVVGEAFDPELWGSVGKSGVRALVCDSTNVFSPNPGRSESEVGPEIEKLVAGASGMVVATTFASNVARVRTLAEAGARAGRSVVLLGRAMRRMIEASMETGVLTEFPPVISPEEAQDIPRDHLMLIVTGSQGERRAASAQLARGKYRGLELAEGDLFLFSSKTIPGNEKEVIRIINQLSEKGVDVVDDSSGRYHVSGHANRPDLARVHALIDPQMVIPMHGEHRHLREHARLAEAGGRQGVVAVNGTMLDLSGNAPKVAAHVETGRTYLDGTVQVGALDGVIRNRIRMALNGHVTVTVILDEEDEPLGEPWCDIMGLPEIGSSKAPLVDVMEEDLNQFLMRSNQKTLRDDDRLEEALRRIARQTAQAEIGKKPEVTVVISRMR</t>
  </si>
  <si>
    <t>SPO2760</t>
  </si>
  <si>
    <t>YP_167967.1</t>
  </si>
  <si>
    <t>AAV96049.1</t>
  </si>
  <si>
    <t>MPVKNRFAELQSEITEWRRDIHENPEILFETHRTSALVAEKLQEFGCDEVVTGIGRTGVVGIIKGKSDSKGKVIGLRADMDALPIHEQTGLDYASKTPNAMHACGHDGHTAMLLGAAKYLSETRNFDGTVVVIFQPAEEGGGGGREMCEDGMMDRWNIQEVYGMHNWPGAPVGSFAIRPGAFFAATDQFDITFEGRGGHAAKPHDTIDTTVMTAQAVLALQTIASRNADPIDQVVVSVTSFETSSKAFNVIPQRVQIKGTVRTMSKEMRDLAEKRIHEICAGIAATFGGTADIRYIRGYPVMVNSDEQTEFAAKVARDVSGGCDEAALVMGGEDFAYMLEERPGAYILVGNGDTAMVHHPEYNFNDEAIPAGCSWWAGIVEQRMPAA</t>
  </si>
  <si>
    <t>SPO2808</t>
  </si>
  <si>
    <t>YP_168016.1</t>
  </si>
  <si>
    <t>AAV96088.1</t>
  </si>
  <si>
    <t>MLDLTFETPKPKTIAGAKHDWELVIGMEVHAQVASQAKLFSGASTAFGAEPNSNVSFVDAAMPGMLPVINEFCVEQAVRTGLGLKAEINLKSAFDRKNYFYPDLPQGYQISQLYHPIVGEGEVLVEMGDGTARRVRIERIHMEQDAGKSIHDMDPNMSFVDLNRTGVCLMEIVSRPDIRGPEEAAAYIAKLRQILRYLGTCDGNMQNGNLRADVNVSICRPGAYEKYQETQDFSHLGTRCEIKNMNSMRFIQAAIEYEARRQIAIVEAGGEVDQETRLYDPDKNETRSMRSKEEAHDYRYFPDPDLLPLEIEQAWVDDIAASLPELPDDKKARFIKEFGLTDYDASVLTAEVESARYFEEVAQGRNGKLAANWVINELFGRLKKEDHDITDSPVSPSQLGGIIDLIASDAISGKIAKDLFEIVYTEGGDPAEIVEARGMKQVTDTGAIEAALDEIIAANPAQVEKAKVNPKLAGWFVGQVMKATGGKANPGVVNQMVSKKLNG</t>
  </si>
  <si>
    <t>SPO2847</t>
  </si>
  <si>
    <t>YP_168055.1</t>
  </si>
  <si>
    <t xml:space="preserve"> aspartyl/glutamyl-tRNA amidotransferase subunit B </t>
  </si>
  <si>
    <t>AAV96098.1</t>
  </si>
  <si>
    <t>MYQSFEVTARPEQGPPRLEQLRAQMRAEGLSGFLVPRADAHQGEYVAAHDERLAWLTGFTGSAGFCAVLMDVAGVFIDGRYRTQVKAQVADVYTPVPWPDVTLTAWLKEQLPQGGRVGFDPWLHAAGQIRTATGELKGSGIELVPCDNLVDRIWQDQPPPPMEAVKAHPMEFAGESAPDKAARLAEDLRKAGQQAAVITLPDSIMWLLNIRGADIPRNPVAHGFAILHADGRVDLFMAAQKLTGLGDHLDASVTQHEPDGFLDAVAALTGPVRVDLNTLPQIVADRLGDRMSDGGDPCALPKARKNAAEIAGAAEAHLRDGAAMVELLAWLDAQAPGSLTETQVVTRLEQCRRRDNGLQEISFETISGTGPNGAIMHYRVTEETDSRLENGHLLVLDSGGQYLDGTTDVTRTIAIGAVGDEEKACFTRVLKGMIAMSMLRWPVGLAGRDIECVARLPLWLAGQDFNHGVGHGVGAYLSVHEGPQRLARTSHVPLEPGMILSNEPGYYREGAFGIRIENLVVVQEAAPLPGGDGERAMLDWRTLTYVPIDRRLIVADMLTAEERRWLNAYHADVAAKIGPRLGAETRMWLDAATAPL</t>
  </si>
  <si>
    <t>SPO2857</t>
  </si>
  <si>
    <t>YP_168065.1</t>
  </si>
  <si>
    <t xml:space="preserve"> M24 family metallopeptidase </t>
  </si>
  <si>
    <t>AAV96153.1</t>
  </si>
  <si>
    <t>MPETRLSFKEMCAEFDVTPRTLRYYEYIELLQPDREGRARYYGARERARMKLIMRGRRFGFALEEIRQWLLIYEDEGNQAQMAAFVEMADRQMHELRLQQQQLDEAMSELQQLRDQTARGIK</t>
  </si>
  <si>
    <t>SPO2912</t>
  </si>
  <si>
    <t>YP_168120.1</t>
  </si>
  <si>
    <t xml:space="preserve"> MerR family transcriptional regulator </t>
  </si>
  <si>
    <t>MMTIKLYCFGESGNSYKAALALQLSGLDWEPVFVDFFGGETRTPEYRTTVNELGEAPVLVDGEFRTSQSGCIQAYVTEASGKFGGKTREENYDILRWVLWDNHKLSSMAGLTRFLMNFLPEDKRPQEVIAFNQGRLKAAYATLNSHLEGRDWIVGVGPTNADLSCCGYLYYPEPFGFDRADWPHIDAWLDRIAALPGWKHPYDLMPGNPSDRA</t>
  </si>
  <si>
    <t>SPO2917</t>
  </si>
  <si>
    <t>YP_168125.1</t>
  </si>
  <si>
    <t>AAV96208.1</t>
  </si>
  <si>
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</si>
  <si>
    <t>SPO2969</t>
  </si>
  <si>
    <t>YP_168176.1</t>
  </si>
  <si>
    <t xml:space="preserve"> aspartyl/glutamyl-tRNA amidotransferase subunit A </t>
  </si>
  <si>
    <t>AAV96232.1</t>
  </si>
  <si>
    <t>MRMTQKNTLREIEELEDLGITLSDGTRLSARVWRPLDAGTDPVPAILEYLPYRKRDGTCARDALSHPWMAKRGYACIRVDIRGNGDSQGLMEDEYTQQELDDAVEVIHWLAAQPWCSGTIGMMGISWGGFNSLQVAAMQPEPLKSIITLCSTVDRYADDIHFKGGCLLNENLGWGATMWCFSSRAPDPALVGDAWREMWLERLRAQPFLPETWLQHQTRDAFWQHGSICEDFSAVKTPTLAISGWGDSYMNTVPHLVENLDTVVKGINGPWIHKYPHFAIPGPRIGFLQEALRWWDRWLKGVENGAEDDPDYRAYLMDGIAPETKSLFRPGRWVAEAEGATAHLPVTTLSLSDAGLGSDGPLSARVCSPLHVGMDCGEYGSFWAGPELPGDQRLDDALSVCFDSAPLPQRTDIVGAPRLRLRLRADKPQAQIAVRLNHVLPDGTSARITWGVLNLSHRDSHATPEALEPGRLYDIALDLDHIAYRVPAGHRLRVAISSSYWPMIWPAPERATLTLDSGALDLPLRPSGEADEWVFPPEDADPPWQIRTLREGTNTRRTEIDKATGHVRLIIVDDAGLVEDMAHGARSGTIAREEWVIHPDDPTSARGSCHWTAETGRGDLSLRTETRCEMWSDAEHFHLKAAIEAYENDTKIYENVKTSRIRRNML</t>
  </si>
  <si>
    <t>SPO2994</t>
  </si>
  <si>
    <t>YP_168200.1</t>
  </si>
  <si>
    <t xml:space="preserve"> X-Pro dipeptidyl-peptidase family protein </t>
  </si>
  <si>
    <t>AAV96258.1</t>
  </si>
  <si>
    <t>MAMEKTFDAAEAEARITKAWEEAGAFKAGANRSRDESFTIMIPPPNVTGALHVGHAFNNTLQDILTRWHRMRGFDTLWQPGQDHAGIATQMQVEKMLAATQQPSRRELGREEFLKKVWEWKGQYGGTIVEQLKRLGASCDWSRNAFTMAGAAGDPRTGHENSPNFHDAVIKVFVDMYNKGLIYRGKRLVNWDPHFETAISDLEVENIEVAGHMWHFKYPLAGGATYTYVEKDEDGNIVLEEERDYISIATTRPETMLGDGAVAVHPSDERYAPIVGKLCEIPVGPKEHRRQIPIITDEYPDKNFGSGAVKITGAHDFNDYAVAKRGGIPLYRLMDTRGQMRADGAPYAAEAGKAQDYARGRAFTENEIDVINLVPDHLRGLDRFEARAKVVDEITSEGLAVMTVASDPRLGTTALKPGAEGADAIVPLVEAKPIMQPFGDRSKVVIEPMLTDQWFVDAEKVVGPALDAVRDGTVKIIPESGEKTYYHWLENIEPWCISRQLWWGHQIPVWYGPNRDDLGASYKAFCAASEQDALLLAQNYYGANVEVDFDSGPEELSGGIAFGTIEGPGGQKTLQSVSLTRDPDVLDTWFSSGLWPIGTLGWPEDTDEMRRYFPTSVLITGFDILFFWVARMMMMQLAVVDQVPFHTVYLHQLVRDEKGKKMSKTTGNVIDPLEIVDEFGADALRFTNASMAAIGGVLKLSKERITGYRNFTTKLWNAIRFAEMNEVFTDAVPQLSAAELAPKAAVNRWIIGETARVREEVDAALDSYRFNDAANALYAFVWGKVCDWYVELSKPLLQGEDTEAQAETRATMRWVMDQCLVLLHPIMPFITEELWGLTAERAKMLVHADWPTYKAADLVDDAADREMNWVISVIENTRSARAQMRVPAGLYVPMIVTEIDDHGQAAWDRNEALIKRLARIDSLTKADAMPKGCISIAAPGAAFGLPLAEIIDIGAEKDRLEKAKGKLAKELGGLRGRLNNPKFVESAPDEVVEEARENLAAREEEEARLNEALARLAELG</t>
  </si>
  <si>
    <t>SPO3022</t>
  </si>
  <si>
    <t>YP_168226.1</t>
  </si>
  <si>
    <t xml:space="preserve"> valyl-tRNA synthetase </t>
  </si>
  <si>
    <t>AAV96270.1</t>
  </si>
  <si>
    <t>MADGTESESRKLLGRLREAMATDEAGQARLDRITHLIADSMGTEVCSIYLFRDTDTLELCATEGLKPESVHQTRMRLGEGLVGRVAKSGKVVNTPNAPAAKGFRYMPETGEERYSSFLGIPVQRLGEKLGVLVVQSRDAREFSADEVYALEVVAMVLAEMAELGAFVGEGAALSPLHQKSALFRGSTGQEGAAAGHVWLHEPRVVITNPIADDPQRELERLNEAVDELRVGVDKMLEMSQNGDKEQLQVLEAYRMFANSKGWMRRMEEDIARGLSAEAAVEKEQSLARARMGQVQDSYLRERLADLDDLSNRLLRILTGQGKQTGAELPPDPILVARNIGPGDLLEYGRSLKGVVLEEGSVGSHAAIVARALAIPLVVHAERITTEALNGDQILVDGDQGVVHLRPEDSVVAAFRDKIAMQADAQARYASIRETPAVTQDGQRINLVMNAGLMADLPSLESSGAEGVGLFRTELQFLVRNQMPKRSELVALYSRVLDAAKGKRVVFRTLDIGSDKVLPYMKPTDEPNPALGWRAIRVGLDKPGVMRMQLQALIRAANGRALTIMFPFVAQAEEYHAARAEVDKTIAREKVLGHPLPETLEIGAMLETPSLAFAPQKFFDDVGFLSIGGNDLKQFFFAADRENERVRRRYDTLNSSFLSLIERIVERCGISGTPLSFCGEDAGRPIEAICLAAMGIRTLSMRPASIGPVKSLLLRTDLGELRKIITDARHRGVQSVRPAVMDWLSQRP</t>
  </si>
  <si>
    <t>SPO3034</t>
  </si>
  <si>
    <t>YP_168238.1</t>
  </si>
  <si>
    <t xml:space="preserve"> phosphoenolpyruvate-protein phosphotransferase </t>
  </si>
  <si>
    <t>cGMP-specific phosphodiesterases</t>
  </si>
  <si>
    <t>AAV96314.1</t>
  </si>
  <si>
    <t>MPVVVVESPAKAKTINKYLGSDYTVLASYGHVRDLPAKDGSVDPEHDFDMTWEVAADSRKHVKAIADALAEDNELILATDPDREGEAISWHLQEALTKRRSIKKGTAVSRVTFNAITKDAVTKAMQNPRQVDMPLVEAYLARRALDYLVGFNLSPVLWRKLPGARSAGRVQSVCLRLIVEREMEIEAFKPVEYWSVKALLETPRGQVYEARLVTLAGNKLDKMDISNATQAELAVQAITSRALSIQSVEAKPAARNPSAPFMTSTLQQEASRKFGMGARHCMSAAQRLYEAGHITYMRTDGIDMAPEAVMATRDAIADRFGAEYVPDSPRMYKNKAKNAQEAHECIRPTDMRKDAAALKLKDEDQRRLYDLIWKRTIACQMAAARLERTTVEIGSADGQVGLRATGQVVLFDGFLRVYEEGRDDVENDEDKRLPQISMGEKAVFAKTSLADQFARATGDTPLTEGAKIAKEAILSENEAVLALQHHTQPPPRYTEATLVKRMEELGIGRPSTYASVITTIQDREYVRKDKNRLIPEEKGRIVTIFLLNFFRQYVGYEFTANLEEQLDDVSAGSRDYKDLLGRFWRDFSAAISETSELRISEVLDKLDEALAPQLYPPREDGSDPRICPKCGTGQLHLKTSRTGGFVGCGNYPECRYTRPISGDADDSAERLLGEDGGDEIWLKAGRFGPYVQRGEISEENKKPPRASLPRGWSAEDLDLEKALVLLSLPRQIGQHPEGGMISSNFGRFGPYLMHQLPDEAKPIYANLKDPSDVFEIGMNRAVELLAEKRANPRGRGRAAAKPLKELGEHPEHGGAVNVLDGRYGAYIKWDKVNATLPKDVEAADVTMEMAVALIAEKSTKKGTKKKAAPRKKTTKKAAEE</t>
  </si>
  <si>
    <t>SPO3079</t>
  </si>
  <si>
    <t>YP_168282.1</t>
  </si>
  <si>
    <t xml:space="preserve"> DNA topoisomerase I </t>
  </si>
  <si>
    <t>AAV96340.1</t>
  </si>
  <si>
    <t>MSLGNARNIAFWVVLFLLILALFNLFSGSGGTLQSQEKTYSEFVSAVDEGNVTKVILDGEQIRYRTSDGRDFVTIKPGDAEVTTLLIDKNIPVRAEKQQQSGFQSFIITLLPFLLLIGVWVYFMNRMQGGGRGGAMGFGKSKAKMLTEKHGRVTFDDVAGIDEAKEELEEIVEFLRNPQKFSRLGGKIPKGALLVGPPGTGKTLLARAIAGEAGVPFFTISGSDFVEMFVGVGASRVRDMFEQAKKNAPCIVFIDEIDAVGRHRGAGYGGGNDEREQTLNQLLVEMDGFEANEGVIILAATNRKDVLDPALLRPGRFDRNVTVGNPDIKGREKILGVHARKTPLGPDVDLRIIARGTPGFSGADLANLVNEAALMAARVGRRFVTMEDFENAKDKVMMGAERRSMVLTQDQKEKTAYHEAGHAVVGLALPMCDPVYKATIIPRGGALGMVVSLPEMDRLNWHRDECQQKLAMTMAGKAAEILKYGEDHVSNGPAGDIQQASQLARAMVMRWGMSDKVGNIDYAEAHEGYSGNTAGFSVSAHTKELIEEEVKRFIQQGYDQAHAILTERREDWDRLAQGLLEYETLTGEEIKRVMKGEPPHAGDDEDQGTDQGNAASVTAIPKTKPKAPPAGGMEPEPTA</t>
  </si>
  <si>
    <t>SPO3105</t>
  </si>
  <si>
    <t>YP_168308.1</t>
  </si>
  <si>
    <t xml:space="preserve"> ATP-dependent metalloprotease FtsH </t>
  </si>
  <si>
    <t>AAV96371.1</t>
  </si>
  <si>
    <t>MCADTTAETPEYKDTLNLPKTDFPMRAGLPAREPQWLERWEKIGVYDRLREKQGRAPFTLHDGPPYANGHLHIGHALNKTIKDMIVRSHQMMGFDARYVPGWDCHGLPIEWKIEEQYRKKGKSKDDVNVVEFRQECRRFAEGWIDIQREEFKRLGITGNWADPYVTMDYHAEAVIADEFMKFLMNGTLYQGSKPVMWSPIEQTALAEAEVEYHDKESFTIWVKFRAVNSGDLDGAQVVIWTTTPWTIPSNKAVVYGKDIAYGLYEITGTPEECWASVGDKYILADKLADDVMRRARLDPDMYRRVGDVDPSQIGGLTHPLHGAEGGNGEWDDIRDFRAAEFVTDTEGTGFVHCAPSHGMEEFELYRDLGMLEQVITYNVMDDGSFRADLPFFGGKYILSRKGGEGDANKTVIDKLVEVGGLLARGKIKHSYPHSWRSKAPIIYRNTPQWFASVDRPVNDGQDSYGKTIRERALTSIDQLVKFTPQTGRNRLYSMIEARPDWVLSRQRAWGVPLTCFTRKGALPTDADFLLRDPAVNARIFAAFEAEGADCWYAEGAKERFLGNDYKADEWDQVFDVLDVWFDSGSTHAFVLRDREDGTADGIADVYMEGTDQHRGWFHSSLLQACGTLGRAPYRNVVTHGFTLDEKGMKMSKSLGNTIVPDEVVKQYGADILRLWVAQTDYTADQRIGPEILKGVADSYRRLRNTMRFMLGSLSDFTEADRIEDPAEMPPLERWVLSRMAELDEQVRKGYAGFDFQGVYSAVFNFATVDLSAFYFDIRKDVLYCDGDTTRRRAARTVLDLLFHRLTTWLAPILVFTMEEVWLERYPGEGSSVHLVDFPETPASWRNPQNESNVARVRRVRRVVTAALEIQRRDKVIGSSLEAAPVVHVEDAETRALLAQIDIDDLCITSGLTVSADPAPAEAFRLPEIEGVGVVFEMAEGEKCQRCWKILPDVGRHAHAGVCGRCDAALG</t>
  </si>
  <si>
    <t>SPO3136</t>
  </si>
  <si>
    <t>YP_168339.1</t>
  </si>
  <si>
    <t xml:space="preserve"> isoleucyl-tRNA synthetase </t>
  </si>
  <si>
    <t>AAV96416.1</t>
  </si>
  <si>
    <t>MTKRTSAKYKIDRRMGENIWGRPKSPVNRREYGPGQHGQRRKGKMSDFGLQLRAKQKLKGYYGDLTEKQFRRIYGEAERVKGDTGENLIGLLERRLDAVVYRAKFVPTVFAARQFVNHGHVLVNGKRVNIPSYRVKEGDVIEVRERSKQLASVLEAVSLAERDVPDYLEVDHSKMTATFVRTPHLGDVPYAVVMEPNLVVEYYAKN</t>
  </si>
  <si>
    <t>SPO3181</t>
  </si>
  <si>
    <t>YP_168384.1</t>
  </si>
  <si>
    <t xml:space="preserve"> 30S ribosomal protein S4 </t>
  </si>
  <si>
    <t>AAV96434.1</t>
  </si>
  <si>
    <t>MASKAAKTGNAFVETIKTIVYALLIAGVFRTLFFQPFWIPSGSMKETLLIGDFLFVNKMAYGYSYASCPSLVLPQFGIDIDAEDVCGWAKGDNDRLFGGTPERGDVVVFRHPVSGRDFIKRLIGVPGDRIQMKDGVLYINDQAVKLEDDGVFEELAEAQGPQRLRPRCENGPVGEGGICQKSRQIETLPNGVSHKIVNIGNQASDHTGVYTVPEGNYFFMGDNRDNSSDSRLPQSAGGVGYVPYENLIGRADRIMFSSAGRSMLFFWTWRSDRFFKGIE</t>
  </si>
  <si>
    <t>SPO3199</t>
  </si>
  <si>
    <t>YP_168402.1</t>
  </si>
  <si>
    <t xml:space="preserve"> signal peptidase I </t>
  </si>
  <si>
    <t>AAV96488.1</t>
  </si>
  <si>
    <t>MAMKIRLARGGSKKRPFYRIVAADSRMPRDGRFIEKLGTYNPLLPKDSEERVKMDVERVQYWLSQGAQTTDRVARMLEAAGVVGKTERSNPNKAVPGKKAKERAEEKAAKAAAATEAAAEE</t>
  </si>
  <si>
    <t>SPO3253</t>
  </si>
  <si>
    <t>YP_168456.1</t>
  </si>
  <si>
    <t xml:space="preserve"> 30S ribosomal protein S16 </t>
  </si>
  <si>
    <t>AAV96492.1</t>
  </si>
  <si>
    <t>MDLIAQLEAEQIAALGKDIPDFKAGDTIRVGYKVTEGTRSRVQNYEGVCISRKNGSGIAGSFTVRKISFGEGVERVFPLYSTNIDSITVVRRGRVRRAKLYYLRARRGKSARIAEVANYKPKADAEA</t>
  </si>
  <si>
    <t>SPO3257</t>
  </si>
  <si>
    <t>YP_168460.1</t>
  </si>
  <si>
    <t xml:space="preserve"> 50S ribosomal protein L19 </t>
  </si>
  <si>
    <t>AAV96533.1</t>
  </si>
  <si>
    <t>MQLYCAPGTISVAVAIALHEAGIEHEKVQLDFRAAEQTKPAYQQINPKGRVPALALPGGILTETGALLEFIADSAPDKGLVPADPLLRARMREVMYYLATTMHVNHAHKLRGARWADRADSWADMTAKVPETMATSAAYVERNGLRGPFVLGEVLSIADCYLYVVTGWLEGDGVDLEPFPKIRAFRAAMEARESVRAVKAAGLL</t>
  </si>
  <si>
    <t>SPO3306</t>
  </si>
  <si>
    <t>YP_168502.1</t>
  </si>
  <si>
    <t xml:space="preserve"> glutathione S-transferase, putative </t>
  </si>
  <si>
    <t>AAV96559.1</t>
  </si>
  <si>
    <t>MTLDAARLTADLIRCASVTPADDGALDVLERVLSQAGFSCTRVDRGGICNLFARWGDKGHARSFGFNGHTDVVPVGDAAAWTVAPFGAEEKDGFLYGRGATDMKSGVAAFVAAAVDLVTTTPPEGAVIVTITGDEEGDALDGTKALLDYMAASGERMSVCLVGEPTCPDRMGEMIKIGRRGSMTAWFTVTGVQGHSAYPHRAKNPLPAMARLMDRLASHGLDQGTDHFDPSTLAVVTIDTGNTATNVIPAQCRGAVNIRFNDLHSGASLTGWMQGEADRVAEEFGVAVEMKVKISGESFLTPPGELSDLVAAAVEAETGVTPVLSTSGGTSDARFVKDHCPVVEFGLVGRTMHQVDERVEIAQIHQLKAIYGRILRDFFA</t>
  </si>
  <si>
    <t>SPO3332</t>
  </si>
  <si>
    <t>YP_168528.1</t>
  </si>
  <si>
    <t xml:space="preserve"> succinyl-diaminopimelate desuccinylase </t>
  </si>
  <si>
    <t>AAV96569.1</t>
  </si>
  <si>
    <t>MGQRRKQGSPQMRDDRQSPFRDAHTDRSTASHVPDTPQTRSPAYKLAFADEDFLCRDELRPVRLQLELLKPEMMMAERGITSTVVMFGGARIPEPAQKHTARTQTLADLSEYYDEAREFARLITEKSKETGCKEMVIVTGGGPGVMEAGNRGAKDAGGCSIGLNIVLPHEQAPNLFVTPELSFNFHYFAIRKMHFLMRARAITIFPGGFGTLDELFESLTLIQTGRMERVPFLLFGREFWERVINWRALADAGTISAEDLDLFRFVDTAQEAVEIIDNWEPAPPRDAIPGR</t>
  </si>
  <si>
    <t>SPO3342</t>
  </si>
  <si>
    <t>YP_168538.1</t>
  </si>
  <si>
    <t xml:space="preserve"> decarboxylase family protein </t>
  </si>
  <si>
    <t>AAV96616.1</t>
  </si>
  <si>
    <t>MFDVTTKSMQWGEETLTLESGKIARQADGSVVATLGETRVMANVTFAREQKPGQDFFPLTVHYQEKYYAAGKVPGGFFKREARPTEKETLTARLIDRPIRPLFVPGFKNEVLVMCTVLSHDLVNDPDIVAMIAASAALTISGVPFMGPIAGCRVGYVDGEYVLNPTVDDMQDLRLNPEQRLDLVVAGTKDAVMMVESEAYELTEAEMLGAVTFAHAQIQPVVDLIVSFAEQCAKEPFDFTPPDYSDLYAAVKAAGEEQMRAAFAITDKQERTAAVAAAREAIKAALTEEQLADGNLGSALKKLEAGILRGDVVKGGKRIDGRDTTTVRPIVAETGLLPRTHGSALFTRGETQGLVVTTLGTGDDEQFIDALHGNFKSNFLLHYNFPPYSVGEVGRVGSPGRREIGHGKLAWRALQAVLPAPTDFPYTIRVVSEITESNGSSSMASVCGGSLSMMDAGVPLKSAVAGVAMGLILEDDGSYAVLTDILGDEDHLGDMDFKVAGTENGITSLQMDIKVAGITPEIMEKALSQAKDGRMHILAEMNKALSGAADFSVHAPRIETMQIPTDKIREVIGSGGKVIREIVEVSGAKVDINDDGIIKIASPNGDSIKKAYDMIWSIVAEPEEGQVYTGKVVKIVDFGAFVNFFGKRDGLVHVSQIENRRLNHPSDVLKEGQEVKVKLLGFDDRGKVRLSMKVVDQETGEEIVPEKKEASEAE</t>
  </si>
  <si>
    <t>SPO3389</t>
  </si>
  <si>
    <t>YP_168585.1</t>
  </si>
  <si>
    <t xml:space="preserve"> polynucleotide phosphorylase/polyadenylase </t>
  </si>
  <si>
    <t>AAV96651.1</t>
  </si>
  <si>
    <t>MPFTLATWNINSVRLREPIVCKLLAEEGPDILCLQEIKSPVDKMPVEGFADLGYRHVVAHGQKGYNGVAILSRLPIEEVGREDFATLGHARHVAARLENGVTIHNFYVPAGGDVPDREVNEKFGQKLDYLTEMRDWFHANAPEKSILVGDLNIAPREDDVWNHKQLLKIVSHTPIEVDHLGQVMDSGKWVDITRQDIPQGLLYSWWSYRAKDWSAADKGRRLDHVWATPDISNAGHSSRILRDARGWEQPSDHAPVFASFDL</t>
  </si>
  <si>
    <t>SPO3425</t>
  </si>
  <si>
    <t>YP_168621.1</t>
  </si>
  <si>
    <t xml:space="preserve"> exodeoxyribonuclease III, putative </t>
  </si>
  <si>
    <t>AAV96658.1</t>
  </si>
  <si>
    <t>MSRYSATEIEAKWQEAWDKAGIFRAARTADKPKYYVLEMFPYPSGRIHIGHVRNYTMGDVIARYKLSNGFNVLHPMGFDAFGMPAENAAMASGGHPKDWTYKNIETMVAQMKPLGFGLDWSRMFATCDPEYYGQQQALFLDFLEKGLVYRKNAVVNWDPVDMTVLANEQVEDGRGWRSGALVERRELTQWFFKISDMSGELLDALDTLDDWPAKVKLMQANWIGKSRGLQFSWALTEPAHGIEALDVYTTRPDTLMGASFLGISPDHPLTKALEAENPDLAAKVAEMRKGGTTEEAIEKAEKLGADTGLRVRHPLNPDWELPVWVANFILMDYGTGAIFACPAHDQRDLDFCRKYDLPVIDTFVALDDPKPIATEAFVPLKTEKVKWIDHFAGLDVATGQEAIDTTIDWMEAKGLGTGVTKFRLRDWGLSRQRYWGCPIPVVHCDACGVVPEKKENLPIRLPDDVTFDVPGNPLDRHPTWRDCACPSCGKPARRETDTMDTFVDSSWYFARFTAPRAETPTDMAEAEYWMNVDQYIGGIEHAILHLLYSRFFARAMHICGHLPEKSKEPFNALFTQGMVTHAIYKTTGADDRPVYHYPEAVRLEGGKGYLEDGTEVEIIPSAKMSKSKNNVVDPVAIIDRFGADTARWFVLSDSPPERDVEWTDAGAEAAHKHLNRVWNLCDRIAAMDSAAPGEGDDDLLREMHKCIRDVTNGIESFGFNASIAKLYAFTNTLAKSKAGAAAQKQAIMTLAQLMSPMTPHLAEDIWAHQGGEGLIAAAPWPVADEAMLVDALVTLPVQINGKRRAEISVPADMDKTQVEKLALSTDAVQKALDGAAPKKVIVVPGRIVNVVV</t>
  </si>
  <si>
    <t>SPO3432</t>
  </si>
  <si>
    <t>YP_168628.1</t>
  </si>
  <si>
    <t xml:space="preserve"> leucyl-tRNA synthetase </t>
  </si>
  <si>
    <t>AAV96661.1</t>
  </si>
  <si>
    <t>MYKVYGRVKSRASRVLWLLEELGQPYEFVDVGPHDPQVKALNGSGKIPVLVDGDHVITDSSAIMTYLADKHGQLTYPAGTPERAKQDALLHTILDEIDGVLWVAARHGFVLPEDKRVPAVIDCAKWEFERNLARLESRLGAPFAMGDKVTIVDILLVHCLNWAFGAGFPITSDRIKAYGKEMRARPAFQRMGALTPA</t>
  </si>
  <si>
    <t>SPO3435</t>
  </si>
  <si>
    <t>YP_168631.1</t>
  </si>
  <si>
    <t>AAV96668.1</t>
  </si>
  <si>
    <t>MGLAAGGGGGYLPDNSKGQPMPHKAEDLSHALLHAARQAGAEAADALVVQGTSVSVEVRGGALEHAERSEGTDLGLRVFVGKRQAIVSSSDSRPEALAAMAERAVAMAREAPEDPYAGLAEPDQLARGWDLAALNLRDPAAEPDPQALMQDALAAETAAAAVSGVTQVSDAAAAYGQHHVHLAATNGFSGGYGRSVRSLSCVAISGSGTGMERDADGDSRTYQSDLRSPEEIGRSAGERAVALQGARKPATGSYPVLFDERISASLIGHLLAAANGASVARGSSWLKDNLGEQVLPAALSLIEDPHRPRVSGSRPFDAEGLPTQARAIVEDGVLTGWTLDLASARKLGLASTGNATRGVSGPPSPSNWNLTLTPGTASRDDLIRDMGTGLLVTSLIGSTINPNTGDYSRGASGFWVEKGQIAYPVNECTIAGNLRDMLLGMIPANDARPWLTRVVPSILIEGMTLAGN</t>
  </si>
  <si>
    <t>SPO3442</t>
  </si>
  <si>
    <t>YP_168638.1</t>
  </si>
  <si>
    <t xml:space="preserve"> hypothetical protein SPO3442 </t>
  </si>
  <si>
    <t>AAV96672.1</t>
  </si>
  <si>
    <t>MNRLGTLVFAGVAIAAGAYWLTLPSQGNLPANPLVGSAEAQQAEIDTSSIVEMVQGAEDAPVEVIEYASYTCPHCAAFHEGPYKKLKADFIDTGKVRFIYREVYFDRYGLWASMVARCAGPEKFFGISDLIYKGQAEWSRAGGPAEIAEELRKIGRLAGIENDKLEACLGDATKAQTLVAWYQEHATRDDINSTPSFMINGKKVENQAYDGFKALIEAELGN</t>
  </si>
  <si>
    <t>SPO3446</t>
  </si>
  <si>
    <t>YP_168642.1</t>
  </si>
  <si>
    <t xml:space="preserve"> DsbA family thiol:disulfide interchange protein </t>
  </si>
  <si>
    <t>AAV96715.1</t>
  </si>
  <si>
    <t>MKFTLSWLKDHLDTTASVDEIAEALTDLGLEVEGIENPAARLAGFTLAHVKSASQHPDADRLRVCVVETNEGEKQIVCGAPNAREGITVVLAKPGDYVPGIDVTLSVGNIRGVESHGMMCSERELELSDEHDGIIELPSGEVGERFIDWLAENDPAKVDPVIEIAITPNRPDALGVAGIARDLAARGIGTLKTRAYAPVPGDFDCPIKVTIDEDTRDGCPLFTGRLIRDVRNGPSPQWLQDQLRAIGLRPISALVDITNYMTYDHNRPLHVFDADKVKGNLRVHRAAGGETLKALDEKEYTFQPGMMVISDDEGAESIAGIMGGDATGCTEETVNVFLESAYWDNVQIALAGRALKINSDARYRFERGVDPAYTLEGLEHATQMILDICGGEASTVVIAGAVPDHSRAYKLDAERVRSLVGMDIPESEQRQTLTRLGFRLEGNMAHVPSWRPDVQGEADLVEEVARIASLTKLVGRPLPRLTDGVPKPVMTPQQRRLSMARRTAASLGYNECVSYTFIDQASAALFGGGTDATMLENPISSEMSHMRPDLLPGLLAAAARNQARGFADLALFEAGPVFHGGEPGEQRAQIAGLLVGRTGPKDVHGAARAVDLYDAKADAEAVLAAMGAPAKVQILRDGDGWWHPGRHGRICLGPKKVLGVFGELHPRVLQAMDVKGPAVAFVLWPEEVPLPRKSGTTRAALALRDLQAVERDFAFVVDAGVEALTLVNAAAGADKALIEDVRVFDEFIGGSLGEGKKSLAITVRLQPTETTLKEKDIEAVSAKIVEKVAKATGGTLRG</t>
  </si>
  <si>
    <t>SPO3489</t>
  </si>
  <si>
    <t>YP_168685.1</t>
  </si>
  <si>
    <t xml:space="preserve"> phenylalanyl-tRNA synthetase subunit beta </t>
  </si>
  <si>
    <t>AAV96724.1</t>
  </si>
  <si>
    <t>MAREYPLNLYRNFGIMAHIDAGKTTCSERILYYTGKSHNIGEVHDGAATMDWMEQEQERGITITSAATTTFWERTEDGATADTPKHRLNIIDTPGHVDFTIEVERSLAVLDGAVCVLDANAGVEPQTETVWRQADRYKVPRMVFVNKMDKIGADFFNCVRMIEDRTGARAVPVGIPIGAETELEGLVDLVTMEEWLWQGEDLGASWVKAPIRDSLKDMAEEWRGKMIEAAVEEDDDAMMEYLEGNEPDVPTLRKLLRKGTLALHFVPVLGGSAFKNKGVQPLLNAVIDYLPSPLDVVDYMGFKPGDEEEVRNIARRADDNMAFSGLAFKIMNDPFVGSLTFTRVYSGVLKKGDTMLNSTKGKKERVGRMMMMHSNNREEIDEAFAGDIIALAGLKDTTTGDTLCDAKDPVVLETMTFPDPVIEIAVEPKTKGDQEKMSQGLARLAAEDPSFRVETDIESGQTIMKGMGELHLDILVDRLKREFKVEANIGAPQVAYRETISKEVEHTYTHKKQSGGSGQFAEVKLVITPTEPGEGYSFESRIVGGAVPKEYIPGVEKGIKSVMDSGPLAGFPVIDFKVALIDGKFHDVDSSVLAFEIAARMGMREGMKKAGAKLLEPIMKVEVITPEEYTGGIIGDLTSRRGQVSGQESRGNAIAINAFVPLANMFGYINTLRSMSSGRAQFTMLFDHYDPVPQNISDEIQAKYA</t>
  </si>
  <si>
    <t>SPO3499</t>
  </si>
  <si>
    <t>YP_168694.1</t>
  </si>
  <si>
    <t xml:space="preserve"> elongation factor G </t>
  </si>
  <si>
    <t>AAV96725.1</t>
  </si>
  <si>
    <t>MSRRHAAEKREVLPDAKFGDKVLTKFMNNLMIDGKKSVAERIVYNAFDRVENKIKRAPVEVFHEALDNIKPSVEVRSRRVGGATYQVPVEVRPERREALAIRWLIAAARNRNENTMEERLAGELLDAVQSRGTAVKKREDTHKMAEANKAFSHYRW</t>
  </si>
  <si>
    <t>SPO3500</t>
  </si>
  <si>
    <t>YP_168695.1</t>
  </si>
  <si>
    <t xml:space="preserve"> 30S ribosomal protein S7 </t>
  </si>
  <si>
    <t>AAV96732.1</t>
  </si>
  <si>
    <t>MNQELTNNPFNPLTPPKVFDEIKVSLASPERILSWSYGEIKKPETINYRTFKPERDGLFCARIFGPIKDYECLCGKYKRMKYRGVVCEKCGVEVTLQKVRRERMGHIELAAPVAHIWFLKSLPSRIGLMLDMTLRDLERILYFENYVVTEPGLTDLTYGQLMTEEEFMDAQDQYGMDAFTANIGAEAIREMLSQIDLEAEAEQLRADLAEATGELKPKKIIKRLKVVESFLESGNRPEWMVLTVIPVIPPELRPLVPLDGGRFATSDLNDLYRRVINRNNRLKRLIELRAPDIIVRNEKRMLQESVDALFDNGRRGRVITGANKRPLKSLSDMLKGKQGRFRQNLLGKRVDFSGRSVIVTGPELKLHQCGLPKKMALELFKPFIYSRLEAKGLSSTVKQAKKLVEKERPEVWDILDEVIREHPVLLNRAPTLHRLGIQAFEPILIEGKAIQLHPLVCSAFNADFDGDQMAVHVPLSLEAQLEARVLMMSTNNVLSPANGAPIIVPSQDMILGLYYLTLEREGMVGEGKIFGSIDEVQHALDAGEVHLHTKITARIAQIDDEGNEVLKRVETTPGRVRLGALLPMNNKAPFELVNRLLRKKEVQQVIDTVYRYCGQKESVIFCDQIMTMGFREAFKAGISFGKDDMVIPDDKWGIVDETRDQVKDFEQQYMDGLITQGEKYNKVVDAWSKCNDRVTEAMMSTISADKRDENGAVMEPNSVYMMAHSGARGSVTQMKQLGGMRGLMAKPNGDIIETPIISNFKEGLTVLEYFNSTHGARKGLSDTALKTANSGYLTRRLVDVAQDCIVREHDCGTDRGVTAEAAVNDGEVVASLAERVLGRVAADDILRPGTEEVLVAAGQLIDERMADAIHEAGVQTSRVRSPLTCESEEGVCAMCYGRDLARGTMVNQGEAVGIIAAQSIGEPGTQLTMRTFHIGGVAQGGQQSFQEANQDGTITFENPQLLLNASGESLVMGRNMKLLIKDAQGEERASFKLGYGSKLFVKDGAQIKRGDKLFEWDPYTLPIIAEKAGTAKYVDLVSGIAVRDETDEATGMTQKIVIDWRAAPKGSDLKPEIILVDSDGEPVRNDAGNPVHYPMSVDAILSIEDGQVIEAGDVIARIPREGAKTKDITGGLPRVAELFEARRPKDHAIIAEIDGYVRFGRDYKNKRRISIEPSNEAMEPVEYMVPKGKHIPVQEGDFVQKGDYIMDGNPAPHDILSILGVEALANYMVKEVQEVYRLQGVKINDKHIEVIVRQMLQKWEISDSGDTTLLKGEHVDKQEFDAANEKTIARGGRPASGEPILLGITKASLQTRSFISAASFQETTRVLTEASVQGKKDKLVGLKENVIVGRLIPAGTGGATQQMRHIATQRDNVVIAARREEAEAAAALAAPIMDADIVDDDFDTLVDTPESRD</t>
  </si>
  <si>
    <t>SPO3507</t>
  </si>
  <si>
    <t>YP_168702.1</t>
  </si>
  <si>
    <t xml:space="preserve"> DNA-directed RNA polymerase subunit beta' </t>
  </si>
  <si>
    <t>AAV96733.1</t>
  </si>
  <si>
    <t>MAQTFLGQKRLRKYYGKIREVLEMPNLIEVQKSSYDLFLNSGDAPQPLDGEGIMGVFQSVFPIKDFNETSVLEFVKYELEKPKYDVEECMQRDMTYSAPLKVTLRLIVFDVDEDTGAKSVKDIKEQDVFMGDMPLMTPNGTFIVNGTERVIVSQMHRSPGVFFDHDKGKTHSSGKLLFACRIIPYRGSWLDFEFDAKDIVFARIDRRRKLPVTTLLYALGLDQEGIMDAYFKTVSYRLEKKRGWVTPFFPERVRGTRPTYDLIDAASGEVIAEAGKKVTPRAVKKLIEEGSVTDLLVPFDHIVGKFAAKDIINEETGAIYVEAGDELTLEYDKDGDLIGGTVKELIDNGVTNIPVLDIDNINVGPYIRNTMAQDKNMNRETALMDIYRVMRPGEPPTVEAASALFDTLFFDSERYDLSAVGRVKMNMRLDLDAADTQRTLRREDIIACIKALVELRDGKGDIDDIDHLGNRRVRSVGELMENQYRVGLLRMERAIKERMSSVEIDTVMPQDLINAKPAAAAVREFFGSSQLSQFMDQTNPLSEVTHKRRLSALGPGGLTRERAGFEVRDVHPTHYGRMCPIETPEGPNIGLINSLATFARVNKYGFIETPYRVVKGGQVTDEVHYMSATEEMRHTVAQANATLDENGKFVNELVNTRQAGDYTLAPMESVDLIDVSPKQLVSVAASLIPFLENDDANRALMGSNMQRQAVPLLRAEAPLVGTGIEEKVAIDSGAAIQAKRAGIIDQIDAQRIVIRATEDLELGDAGVDIYRMRKFQRSNQNTCINQRPLVKVGQQVSKGEVIADGPSTDMGELALGKNVVVAFMPWNGYNYEDSILISERIARDDVFTSIHIEEFEVAARDTKLGPEEITRDIPNVGEEALRNLDEAGIVYIGAEVQPGDILVGKITPKGESPMTPEEKLLRAIFGEKASDVRDTSLRVKPGDYGTVVEVRVFNRHGVDKDERALQIEREEVERLARDRDDELAILDRNIYARLKSLILGKTAVKGPKGIKPGSEITEELLETLTRGQWWMLALEGEQDAQIVEALNEQYELQKRALDARFEDKVEKVRRGDDLPPGVMKMVKVFIAVKRKLQPGDKMAGRHGNKGVISKVVPMEDMPFLADGTPVDFCLNPLGVPSRMNVGQILETHMGWAARGLGLNVDEALQEYRRSGDLTPVRDAMKHAYGEDVYAEGISGMDEDTLVEAAGNVTRGVPIATPVFDGAKEADVNDALTRAGFDTSGQSVLFDGRTGEQFARPVTVGIKYLLKLHHLVDDKIHARSTGPYSLVTQQPLGGKAQFGGQRFGEMEVWALEAYGAAYTLQEMLTVKSDDVAGRTKVYESIVKGEDNFEAGIPESFNVLVKEVRGLGLNMELLDAEVEE</t>
  </si>
  <si>
    <t>SPO3508</t>
  </si>
  <si>
    <t>YP_168703.1</t>
  </si>
  <si>
    <t xml:space="preserve"> DNA-directed RNA polymerase subunit beta </t>
  </si>
  <si>
    <t>AAV96734.1</t>
  </si>
  <si>
    <t>MADLKALAESIVGLTLLEAQELKNILKDEYGIEPAAGGAVMVAAAGGDAGAAAEEEKTEFDVVLKNAGASKINVIKEVRGITGLGLKEAKDLVEAGGKIKEGVAKAEAEEIKAKLEAAGAEVELA</t>
  </si>
  <si>
    <t>SPO3509</t>
  </si>
  <si>
    <t>YP_168704.1</t>
  </si>
  <si>
    <t xml:space="preserve"> 50S ribosomal protein L7/L12 </t>
  </si>
  <si>
    <t>AAV96738.1</t>
  </si>
  <si>
    <t>MAKLGKRTRAAREAFAGKEELSVEQAVALIKSAASAKFDETVEIAMNLGVDPRHADQMVRGVVGLPNGTGKTVRVAVFARGPKAEEAQAAGADIVGAEDLMETIQSGKIEFDRCIATPDMMPVVGRLGKILGPRNLMPNPKVGTVTMDVAQAVQNAKGGEVQFKVEKAGVIHAGVGKVSFDEAKLVENVRAFVDAVAKAKPAGAKGTYLKKIALSSTMGPGVSVDVASASGN</t>
  </si>
  <si>
    <t>SPO3513</t>
  </si>
  <si>
    <t>YP_168708.1</t>
  </si>
  <si>
    <t xml:space="preserve"> 50S ribosomal protein L1 </t>
  </si>
  <si>
    <t>AAV96756.1</t>
  </si>
  <si>
    <t>MSTQPQLCHTSCDDCPIRHRAVCAHCDADELEKLEEIKYYRSFEAGQTVIWSGDQMSFVGSVVSGIATLTQTMEDGRTQMVGLLLPSDFVGRPGRDGAPYDVVATTDLVMCCFRKKPFEELMARTPHIAHRLLEMTLDELDAAREWMLVLGRKTAREKIASLLSIIARRDASLSMRGVSGPMVFDLPLTREAMADYLGLTLETVSRQISALKKDGVIHLEGKRHVTIPDMGRLMEEAGDDTDGGFLV</t>
  </si>
  <si>
    <t>SPO3531</t>
  </si>
  <si>
    <t>YP_168726.1</t>
  </si>
  <si>
    <t xml:space="preserve"> transcriptional activator protein FnrL </t>
  </si>
  <si>
    <t>AAV96758.1</t>
  </si>
  <si>
    <t>MRCDRIRATPDCAADDRITARKGIASMRVFTVLGPSQSGKSTLVEAISRLDSRPTTFDLSETVHLHGFSYLEEPWCAIDVDGGSDALAFAGPAMAISDAAVIVVPPDPEAAVLCAPYLRLVEEARIPAFLFINRMDNPNGRIRDIVAALQAYCSHHIALRQVPIREGDQVVGAVDLISERAWKYREGEPSALIELPAAAVEREQEARAELLEALSDFDDHLLEQLIEDRQPPSAEVYDLAARVSQNHQLIPAYLGAANHGNGLTRMMKALRHEAPEFDIAAGRDAASEQARAIAGFGDMRKHMGKIVVLRGLGDGVKAHEALGGDTVGSLLELDARSQIGALAAGQIGLAVKSDHLRPGHIYDSAGASDLPDWARSHPPGHRQLVSPAHERDDARLSSALARMNEIDPGLHLGVDEGTGHAVLGCQGPQHLRRIATKLAEDFGVEITSEPVATAYRETIQKPVEHHHRHRKQSGGAGQFADVLLTVEPLPRGAGFQFDEVVKGGAVPKTYIPSVAQGAEEALARGPEGFPVVDVKVTLKDGKHHAVDSSDYAFRTAGKAAVREALPQAKPVVLQPIMRAEIHLPSMFVGDLVPAISGLQGQVLGFEAHPSAAGWEIFNALLPAVAEDELHRMLASSSRGTGWVRLSFDHYEELRGPVPKPSRETAAAG</t>
  </si>
  <si>
    <t>SPO3533</t>
  </si>
  <si>
    <t>YP_168728.1</t>
  </si>
  <si>
    <t>AAV96775.1</t>
  </si>
  <si>
    <t>MSDAPSTPYQVLARKYRPETFADLVGQDAMVRTLKNAFAADRIAQAFIMTGIRGTGKTTTARIIAKGMNCIGPDGNGGPTTEPCGKCEHCVAIMEGRHVDVMEMDAASRTGVNDIREIIDSVRYRAASARYKIYIIDEVHMLSTSAFNALLKTLEEPPAHVKFIFATTEIRKVPVTVLSRCQRFDLRRIEPEDMIALMRRIADAEGAQIAEDALALIVRAAEGSARDATSLLDQAISHGAGETSAEQVRAMLGLADRGRVLDLMDMILRGDAGAALTELGAQYAEGADPMAVLRDLAEITHWVSVVKITPDAAEDPTVSPDERARGQQMADALAMRVLTRMWQMLLKALEEVAAAPNAMMAAEMAVIRLTHVADLPSPEELIKRLQDAPPPPNPGGGPRVGQGASAPAQNGVSASYAPAPRGGGGGPVAALAQDPQTALARFPTFEHLVELIRANRDGKLLADIEMDLRLVSYQPGRIEFQPTERAPTDLAQRLGSALQRWTGNRWAVSVVAQGGGKTIDEIRNAEKYALEEKAREHPLVQAVLAQFPKARITHIETPEQRAAKVVTEALPEVEDEWDPFEDG</t>
  </si>
  <si>
    <t>SPO3550</t>
  </si>
  <si>
    <t>YP_168745.1</t>
  </si>
  <si>
    <t xml:space="preserve"> DNA polymerase III subunits gamma and tau </t>
  </si>
  <si>
    <t>AAV96806.1</t>
  </si>
  <si>
    <t>MAKQLDYHTIREIFTRFQAADPEPKGELEHVNAYTLVVAVALSAQATDAGVNKATRELFKIADTPEKMLALGEEGVTEHIKTIGLFRQKAKNVIKLSRILVEQYGGEVPNSRAALQSLPGVGRKTANVVLNMWWRIPAQAVDTHIFRVGNRTGICPGKDVDTVERAIEDNIPADFQQHAHHWLILHGRYHCKARKPMCGTCLIRDLCQFEDKTL</t>
  </si>
  <si>
    <t>SPO3581</t>
  </si>
  <si>
    <t>YP_168776.1</t>
  </si>
  <si>
    <t xml:space="preserve"> endonuclease III </t>
  </si>
  <si>
    <t>AAV96823.1</t>
  </si>
  <si>
    <t>MSRVKGGTVTHARHKKVLKAAKGYYGRRKSSFKVATQAVDKANQYATRDRKARKRNFRALWIQRINAAVRSHDEALTYSRFINGLNLAGIEVDRKVLADLAVHEPEAFGAIVAQAQAALAA</t>
  </si>
  <si>
    <t>SPO3598</t>
  </si>
  <si>
    <t>YP_168793.1</t>
  </si>
  <si>
    <t xml:space="preserve"> 50S ribosomal protein L20 </t>
  </si>
  <si>
    <t>AAV96905.1</t>
  </si>
  <si>
    <t>MTADTKRPLTLRDVSEASGVSEMTVSRVLRNRGDVSDATRARVLAAAKELGYVPNKIAGALASNRVNLVAVIIPSLSNMVFPEVLTGINQVLEDTELQPVVGVTDYLPEKEEKVLYEMLSWRPSGVIIAGLEHSEAARAMLDAAGIPVVEIMDSDGKPVDAMVGISHRRAGREMAQAILKAGYRRIGFMGTKMPLDYRARKRFEGFTEVLGKNGVEIEDREFYSGGSALAKGREMTQAMLERSPDLDFLYYSNDMIAAGGLLYLLEQGIDIPGQIGLAGFNNVELLQGLPRKLATMDACRLEIGRKAAEIIAKRLEDPEAEIETRITLEPKISYGDTLKRR</t>
  </si>
  <si>
    <t>SPO3684</t>
  </si>
  <si>
    <t>YP_168878.1</t>
  </si>
  <si>
    <t xml:space="preserve"> LacI family transcription regulator </t>
  </si>
  <si>
    <t>MLERSQMPLSFAPADADALPLHVIEKTALDGWLQGQPASVAAWVRASGFTGAIGQALPVPGETGAPVMALAGYGSAETRARKRFVLAAAAESLPEGIWRIGSGLPEAQAEAECFGWLMTGYAFDRYKGQSPAKARLVAPAGVDAARIEAMATSEALTRDLINTPAQDMGPDALQAAVEALAAEFGATCTAIVGDDLLSHNFPMIHAVGRAAARAPRLIELRRGTVGPKLTLVGKGVCFDTGGLNLKPGNSMALMKKDMGGAANVLGLARMIMALDLPVQLRVLIPAVENAVSGNAFRPGDILTSRKGLTVEINNTDAEGRLVLADALALADEGAPDLVISMATLTGAARVAVGPDLAPFYSDDDSAAQALAEAALGAADPVWRMPFHTPYEEMIEPGIADLDNAPGGGFAGSITAALFLRRFVVAPYMHFDIYGWQPVKAPGRPKGGVGQGPRALLAALPRMLDL</t>
  </si>
  <si>
    <t>SPO3717</t>
  </si>
  <si>
    <t>YP_168911.1</t>
  </si>
  <si>
    <t xml:space="preserve"> cytosol aminopeptidase family protein </t>
  </si>
  <si>
    <t>AAV96965.1</t>
  </si>
  <si>
    <t>MTKTQLVAALAEDMGSDKKTASAALDAVCALITREVSGGGAVTLPGVGKIYCRERPERQVRNPATGETFTKAADKVVKMTIAKALKDSVNG</t>
  </si>
  <si>
    <t>SPO3744</t>
  </si>
  <si>
    <t>YP_168938.1</t>
  </si>
  <si>
    <t xml:space="preserve"> DNA-binding protein HU </t>
  </si>
  <si>
    <t>AAV97026.1</t>
  </si>
  <si>
    <t>MKKVVLAGLAGTLAGIIATTQIAGPLVAQEAKANSNVYEQLDLFGDIFERIRAQYVEEVDAGELIEAAIDGMLTSLDPHSSYLSPDDAAQMRVQTRGEFGGLGIEVTQEEGFVKVVSPIDGTPADEAGIEAGDFITHVDGESVLGLTLDKAVDLMRGPVGSEIVITVVREGEDEPFDVSIIRDTIKLTAVRARTEGTSVVLRVTTFNDQTYSNLEDGLAKQVEAAGGIDKINGFVLDLRNNPGGLLTQAIKVSDAFLDSGEIVSTRGRNPEDGERFNATLGDLAQGKPVVVLINGGSASASEIVAGALQDHRRAIVVGTKSFGKGSVQTVMPLRGDGAMRLTTARYYTPSGRSIQALGVSPDIVVEQPRRRPEAEEERVTPRSRSEADLRGRLNNDSLSEDEIRQIEEDRAKAEATAELRQEDYQLAYAIDILKGLSAFAPAD</t>
  </si>
  <si>
    <t>SPO3812</t>
  </si>
  <si>
    <t>YP_169000.1</t>
  </si>
  <si>
    <t xml:space="preserve"> carboxyl-terminal protease family protein </t>
  </si>
  <si>
    <t>AAV97037.1</t>
  </si>
  <si>
    <t>MSAKAQHYDVIRKPIITEKSTMASENGAVVFEVSIDSNKPQIKEAVESLFGVKVKAVNTTITKGKVKRFRGQLGKRKDVKKAYVTLEEGNTIDVSTGL</t>
  </si>
  <si>
    <t>SPO3823</t>
  </si>
  <si>
    <t>YP_169011.1</t>
  </si>
  <si>
    <t xml:space="preserve"> 50S ribosomal protein L23 </t>
  </si>
  <si>
    <t>AAV97038.1</t>
  </si>
  <si>
    <t>MKLDVIKLDGTKAGNIDLDEALFGLEPRADILHRVVRWQRNNAQAGTHKVLTKSEVSYSTKKIYRQKGTGGARHGSRKSPTFRHGGVYKGPTPRSHGHDLTKKFRKLGLRHALSAKAKAGELVVIENAEAEGKTAALAKQVANLGWKRALVIDGAAVNEGFARAARNIEGLDILPSMGANVYDILKRDTLVLTKAAVEALEARLK</t>
  </si>
  <si>
    <t>SPO3824</t>
  </si>
  <si>
    <t>YP_169012.1</t>
  </si>
  <si>
    <t xml:space="preserve"> 50S ribosomal protein L4 </t>
  </si>
  <si>
    <t>AAV97039.1</t>
  </si>
  <si>
    <t>MRSGIIAKKVGMTRLFMEDGKQIPVTVLQLDNLQVVAQRTTEKDGYTAVQLGAGTPKIKRVSKAMRGHFAAQKVEPKRKLAEFRVSEDALIEVGAEISAEHFLTGQKVDVSGTSIGKGFAGAMKRHNFGGLRASHGVSISHRSHGSTGQCQDPGRVFKGKKMAGHMGAARVTTQNLEVVKTDAERGLVFIKGAVPGPKSGWVTVKDAVKKKAPEGLPFPAAVKSAATEAPVAEAPAEGGEA</t>
  </si>
  <si>
    <t>SPO3825</t>
  </si>
  <si>
    <t>YP_169013.1</t>
  </si>
  <si>
    <t xml:space="preserve"> 50S ribosomal protein L3 </t>
  </si>
  <si>
    <t>AAV97040.1</t>
  </si>
  <si>
    <t>MQSQNIRIRLKAFDYRVLDASTQEIVNTAKRTGAQVRGPIPLPNKIEKFTVLRGPHVDKKSRDQFEIRTHKRLLDIVDPTPQTVDALMKLDLAAGVDVEIKLQS</t>
  </si>
  <si>
    <t>SPO3826</t>
  </si>
  <si>
    <t>YP_169014.1</t>
  </si>
  <si>
    <t xml:space="preserve"> 30S ribosomal protein S10 </t>
  </si>
  <si>
    <t>AAV97044.1</t>
  </si>
  <si>
    <t>MQNQFDKELQDRLVRYAAIDSQSDESVPTSPSTACQFDMLHLLRDELVEMGAQDVELTEYGVVLATIPGTAPGPTVGFLAHVDTAPQFNASGVKPRVIGGYNGGDITFPDDPALVLSPAEHPYLAEKIGHDLITASGTTLLGADDKAGVAIIMTMARHLLNSPDIARGPIRVAFTPDEEIGHGVNERLPADLRADFAYTLDGGQVGEIEYESFSADRAVVTVTGVSIHPGWAKEKMVNAIHLAAKIVQTLPQATMTPETTDGRDGFIHATDMEGGSSEMVIKFILRDFERDGLAAKGELLRQVCAAVQAGEPRAAIKCEIYPQYRNMRYWLEKDMTPVELARAAAEAEGVAPISVPIRGGTDGSRLTEMGVPTPNIFTGMQCIHGPLEWISVQDMATATRTCLRLAQMAAKG</t>
  </si>
  <si>
    <t>SPO3830</t>
  </si>
  <si>
    <t>YP_169018.1</t>
  </si>
  <si>
    <t xml:space="preserve"> peptidase T </t>
  </si>
  <si>
    <t>AAV97058.1</t>
  </si>
  <si>
    <t>MSTFGKGCHLHLIDGSAFIFRAYHALPPLTRKSDGLPIGAVSGFCNMLQRYVDGDHGPDAPTHLAVIFDKGSHTFRNDLYDLYKANREAMPEDLRPQIPLTRAATEAFNIPCKELEGYEADDIIATLSNQARDAGGRVTIVSSDKDLMQLVGDGVEMFDAMKNKRIDRDGVFEKFGVFPDRVVDVQALAGDSVDNVPGAPGIGVKTAALLINEYGSLEDLLDRAEEIKQPKRRQTLIDMRAQIELSKRLVELDANTPLDFTLDDLELRDPDPEKLLSFLAEMEFRTLTKRIADKLGAEAPVIAEKASPEAEEAPQPEQPPFDASRYECVRDAAALETWIAQARERGWVAVDTETTSLNEMTADLVGISLAVEPGAACYIPLGHRDGDAGDLFGSDKLAEGQLPLQQTLDLLKPMLEDPAILKIGQNMKYDAKIFARYGVAVAPIDDTMLLSYAMHGGLHGHGMDTLSERYLSHTPIPIKPLLGSGKSAITFDKVAIDEATAYAAEDADITLRLWQLFKPQLHRAQVTTVYETLERPLVPVLAEMEMHGVKVDREVLSRMSNAFAQKMAGLEAEIHELAGEPFNVGSPAQVGEILFDKMSLEGGKKGKTGKYSTPADVLEDLATEHELPARILDWRQLSKLKSTYTDALQTHINPDTGRVHTSYSITGANTGRLASTDPNLQNIPVRTEEGRRIREAFVAEPGNVLLSLDYSQIELRILAHIADIPALKQAFADGLDIHAMTASEMFDVPLDQMTPEVRRRAKAINFGVIYGISGFGLARNLRIPRAEAQEFIDRYFERFPGIRTYMDDTIAFAKEHGFVQTLFGRRIHTPEINAKGPHAGFARRAAINAPIQGTAADVIRRAMVRMPDAIRDLPAKMLLQVHDELLFEVAEEAVEDTIAAARDIMEGAADPAVRLDVRLVVDAGRGANWAEAH</t>
  </si>
  <si>
    <t>SPO3844</t>
  </si>
  <si>
    <t>YP_169032.1</t>
  </si>
  <si>
    <t xml:space="preserve"> DNA polymerase I </t>
  </si>
  <si>
    <t>AAV97079.1</t>
  </si>
  <si>
    <t>MVDAPQPDIGPDKSLLLVDDDEPFLRRLAKAMEKRGFEIETAGSVAAGRAIATARPPAYAVVDLRLEDGNGLDVVEVLRDKRPDCRVVVLTGYGAIATAVAAVKIGATDYLSKPADATDITNALLATGDELPPPPENPMSADRVRWEHIQRVYELCDRNVSETARRLNMHRRTLQRILAKRSPR</t>
  </si>
  <si>
    <t>SPO3865</t>
  </si>
  <si>
    <t>YP_169053.1</t>
  </si>
  <si>
    <t xml:space="preserve"> photosynthetic apparatus regulatory protein RegA </t>
  </si>
  <si>
    <t>AAV97096.1</t>
  </si>
  <si>
    <t>MTDLTPREIVSELDRFIIGQKDAKRAVAVALRNRWRRKQLADDLRDEVYPKNILMIGPTGVGKTEISRRLAKLARAPFIKVEATKFTEVGYVGRDVEQIIRDLADAAIVQTRDYMRDEVRARAHKAAEDRVITAIAGEDAREGTREMFRKKLKSGELDDTVIELEVADGANPMPMFEIPGQPGGNMGMMNLGDLFGKAFAGRTTRKKLRVADSYEILIGEEADKLLDDELVNKTALEAVEQNGIVFLDEIDKVCARSDARGADVSREGVQRDLLPLIEGTTVSTKYGPIKTDHILFIASGAFHIAKPSDLLPELQGRLPIRVELRALTEEDFVRILTETDNALTLQYTALMGTENVAVTFTPDGIAALAHIAAEVNQSVENIGARRLYTVMERVFEELSFTAPDRSGEAVTVDAGFVDTNLGELTRSTDLSRYVL</t>
  </si>
  <si>
    <t>SPO3882</t>
  </si>
  <si>
    <t>YP_169070.1</t>
  </si>
  <si>
    <t>AAV97108.1</t>
  </si>
  <si>
    <t>MTIESLNLADLKAKSPKDLLSMAEELEIENASTMRKGEMMFQILRERADEGWTIGGDGVLEVLQDGFGFLRSPEANYLPGPDDIYVSPDMIRQYSLRTGDTVEGEIKAPDDSERYFALTNVTMINFEDPEKARHKIAFDNLTPLYPDERLKMEIEDPTIKDRSARVIDLVAPIGKGQRSLIVAPPRTGKTVILQNIAHSIERNHPECYLIVLLIDERPEEVTDMQRSVKGEVVSSTFDEPATRHVAVSEMVIEKAKRLVEHKRDVVILLDSITRLGRAFNTVVPSSGKVLTGGVDANALQRPKRFFGAARNIEEGGSLTIIATALIDTGSRMDEVIFEEFKGTGNSELVLDRKIADKRVFPAIDILKSGTRKEDLLVDKGDLQKTFVLRRILNPMGTTDAIEFLLSKLKQTKTNGEFFDSMNT</t>
  </si>
  <si>
    <t>SPO3894</t>
  </si>
  <si>
    <t>YP_169082.1</t>
  </si>
  <si>
    <t xml:space="preserve"> transcription termination factor Rho </t>
  </si>
  <si>
    <t>YP_164837.1</t>
  </si>
  <si>
    <t>MKLIKGIALLAALGGLAACEATDKTRDRGIDAKDLSQLKAGIWVDPTGCQHWIIDDGLEGYLSQRMDRNGKPVCDDSLPKGVATGPFKKGSNIVDAI</t>
  </si>
  <si>
    <t>SPOA0005</t>
  </si>
  <si>
    <t>Undefined</t>
  </si>
  <si>
    <t>YP_164865.1</t>
  </si>
  <si>
    <t>MAPSSYQAPTRGDKAEKTTYSQSASSNLAQSQSTVADLLGGKGEAVFSVRPGDTIGQVVGVLKDKRIGAVLVTDQNGALLGILSERDIVRRMADTPGQTLPQQAEGLMTRAVQTCAPDETLNVVLKRMTEGRFRHLPVMRDGKLCGMITIGDVVNFRLRELEYEALKMKQMIVG</t>
  </si>
  <si>
    <t>SPOA0034</t>
  </si>
  <si>
    <t>YP_164870.1</t>
  </si>
  <si>
    <t>MISKHVIGMALACGLVALAAPEAQAQSGWSVCRDVECLDQGWNDAQRRWWYTTTQGSRLLPLSWMRALEQPGDGDGAIRAFLDRAYMDELGYIANPDPVHNPEGLPLGWVVDQDKTLSADLMCDTFPETCDALTMREPWVGLTCSACHTNEITHQGRRLRVEGAPTLADFQRMEEDLLQALKDTVADRDRFDRFARGVLGADQSIDGRESLELQLNEQIVWQQALADKNAAPKVRYGHARLDAQGHILNKVALTIRHPNQITNVLADAPASYPHIWNTSQQDQLQWNGIAPRMARIRLLGENTELGALVRNTSEVIGVFAHLETDKSKVLRGYPSSARVRELVSLERQLESLQSPRWPEDMLGAIDWDLAAQGREVFTRKIDGESCADCHSHMAPGDTSSKMEISMTPLTELGTDVFTTCNTFLHRSKSGNFGGQLVDTKFTRIDRDEDYTRLMLVNATVGTIRGKLFEVLAAILGKDDRPSGIRTESSLVTEYLPGVSDAKKKADAEECLTQEHPLLAYKARSLNGIWATAPYLHNGSVPTLYDLLLPARMRNVATALDAELPEDAATRPEVFGVGSREFDPVKVGFVSELDQNPFTFRARGEDGEPIPGNFNAGHDYGTAGLSEEDRRALVEYLKTL</t>
  </si>
  <si>
    <t>SPOA0039</t>
  </si>
  <si>
    <t xml:space="preserve"> hypothetical protein SPOA0039 </t>
  </si>
  <si>
    <t>YP_164913.1</t>
  </si>
  <si>
    <t>MHIHRLKVSGLRGIQNADITLGKHSVLVGPNNNGKTTIVEALALLLGRDRLVRRLTEHDFYQSRPIETSRILIIATISGFPENDPQHSPSWFAMGRGGVEKWLNPATGDLAASADGEHTDLSVQIAFAARYDLQELEAETIRFFVDDEATLGDPFHDETSYTQISSKTLQELGFFMVPASRTWDKWISFTSELFRRLVATLGGLPATAIRDARERLWEPEVGQRLEEQDGLTAIVEQANSELGKLMPSSPRLRLRITGTDSNSVLESVVPHFAHGDGPTLPSARHGTGLTSLQSLLLLMQFGKARADANKSFVLAVEEPELHIQPSQQKRLVNRLNALCDQTIVTTHSPLVAAMFPVEATYFVDNDDGQMSVSPLSKTAPAGPTNHKQHLFFAWRQKLIAALMHQRVLIPEGISDVAWLEALQTALELRQSWDSPEDEQSKFSTFVGVVPTDDAKIAETHDVVRRVHHHCAILVDGDQAGRDYLAELNAADPSPSAAIIWQTDWKIEHVVAWIAEANLALVLPQLAEANSTAIENAAELSAFLESRKSYAPTQEITSAILMGESACRKRAAQLLNALCDTLLDPSVQSSPLFVRETEDGAVMPTFRFEPPDDV</t>
  </si>
  <si>
    <t>SPOA0082</t>
  </si>
  <si>
    <t xml:space="preserve"> hypothetical protein SPOA0082 </t>
  </si>
  <si>
    <t>YP_164955.1</t>
  </si>
  <si>
    <t>MRRQFRCLRPGQSAEMALGGMTKITWQSSESFEVEEAGTHHVRRGGLGQGADDPLTGLFAQPEVRKVFEVVEAQRHVVRPTKRSAGPNEIAVRLDVDDGADYILAVRHPSGAIQFIGGQEIGAGGKRSNSALRTRRTRNYAIEFRAPISFYAEKDVRRGIVGDIKDAVVDAIVIKVKDFIAKKTVDLAEAAIWKLLGREPGMKQLSIENGRLNLAPVSGRIKPGPNGRALLFIHGTFSTTDGSFGDLASAEFFGELARTYGNAIYGFDHYSVSVTPEKNASDILKTLPSGGIDCDVVTHSRGGLVLRTLNERQGDLSQGKRFRLQRAALVACPNEGTQLATPDRWQGTLGWLANLLDLFPPNPITSNAALVMHWVTWFAKVGVAAAEGLDAMNMTGAQIRQLQSPPSPAPGQYSALVSNCEPNGKLWARALDLGIDWFFDEANDLVVPTSGGWRIDRVPDFIPKDQIGAYGPGGNIPAGPRQVTHISFFDRAETLQFVLRALSGAPQHLPELDLARALPVSRSADGAVLPAMAEEVEPQVAELPAFETVLHRAEAAAPRKAPARRLAAHPNSSVFELIVLDPEQITRMGFPRVEEEEAEDGHGTPFLYAAYGGARVMVPFYLKKAHLPPKTGNETEDKRLKSMAAEMGQRWGKLFGFHRRVQSVLDGNPRARELSPDELRIFGELLFETLLPQEVRRLYDVARSREHDKLFVIFTSMIHWVFDMPWEFARDPERGTYLATEDVHFIRNVLTQTPVEKLSPRESLKILIATSEPRDQRRVSATEEIAKLRKAITELQRDGLIEFEIRKNATPRNLHHEIATGNYDVVHFIGHGYWNTKSGESGLVLEDETGNSRPLGGRPLREILSGRGIRLVFLNACDTGRSRRASGVETTSLAGVAQDLFGRGVPNVVANQFPVGDNAAVAFARTIYEYLAHGKTIAQSVREARISANYEKDGQSMDWAIPVAYARDPEDRLVVERKAAGGDGLG</t>
  </si>
  <si>
    <t>SPOA0123</t>
  </si>
  <si>
    <t xml:space="preserve"> hypothetical protein SPOA0123 </t>
  </si>
  <si>
    <t>YP_165098.1</t>
  </si>
  <si>
    <t>MKRREFGALAAGALAMGLPFRAFADETCQSPYMPKITGQEEFVYVWTLGVEGMGDEQDKLVTIDLRPGSATRGQVINSVSVGGRNEAHHGGFSADRRFFWTGGLDTNRIFIFDVHSDPSNPKLHKTIDTFVKDSGGVVGPHTFFALPGSMMITGLSNDDDHGGRTALVEYNDDGEYVATYWMPTADDMQGAVAVGDAVADGYGYDIRALIRKNVMLTSSFTGWSNYMMDFGQMLQDAEAMKRFGNTIVQWDLHTRQPKKVFNVPGAPLEIRFPWGSNANYAFSTTALTSQLWLIYEDDAGEWQAKAVADIGNPADIPLPVDISIAADDQTLWINSFMDGKTRLFDISDPHKPFQIYEKVIDRQVNMVSQSWDGKRVYFSSSLLANWDKKGKDDAQYLKAYNWDGKELVEDFAVDFYELGLGRAHIMRFGSSALYSS</t>
  </si>
  <si>
    <t>SPOA0269</t>
  </si>
  <si>
    <t xml:space="preserve"> hypothetical protein SPOA0269 </t>
  </si>
  <si>
    <t>YP_165168.1</t>
  </si>
  <si>
    <t>MDEDGNFVVIGAVTTRADDGVTTRWTGAVVSAQSPVPAFGERAPYTIIERFEPDEPLPKHLGDKVLHTLPLPLPCNNYPMVFAPQQYPDANTEDRPSYPLHRAPIPDFEPEHGRQLDRPVTLAEWVRASGTLTVTLEHEARKARFSFTFSDLLPRTLYTIMTLREHDLDPAGPTRPGPLGVPNVFVTDRSGGAAFEAVLPNPFPDPSQEGGNRVINVVVLCMSSQMSHGGAIGRYGLGGDIHAQLKFPQPMFHEFTTRA</t>
  </si>
  <si>
    <t>SPOA0341</t>
  </si>
  <si>
    <t xml:space="preserve"> hypothetical protein SPOA0341 </t>
  </si>
  <si>
    <t>YP_165172.1</t>
  </si>
  <si>
    <t>MLRRKLGQDLEVSAIGLGCMGMSEFYGPRDDEKSLDVMSRAVVLGIDFFDTADMYGPHHNEELIGTFLRQSRARIQVATKFGIVRNPGEYKRSLDNSASYARTACEGSLRRLGVDCIDLYYVHRVNTNQPIEETMEGLAALVKEGKIARIGLCEVSAETLRRAHAVHPVTAVQTEYSLWSREVENSVLPTCRALGIGFVPYSPLGRGFLTGRFQSPDEITDGDFRASLPRFAEDAITQNRSISNVIAAIAAEKGCSQAQLSLAWLLAKGDNIVPIPGTKRRRYLEENAAAASITLTGEEIARLEASIAELPIIGERYTAEGMKGVDA</t>
  </si>
  <si>
    <t>SPOA0345</t>
  </si>
  <si>
    <t xml:space="preserve"> aldo/keto reductase family oxidoreductase </t>
  </si>
  <si>
    <t>YP_165222.1</t>
  </si>
  <si>
    <t>MKILLRAFGNGGPMDAVAATLQTLCDQARSTVDQLNIDAPLTVGDDSIWSGYNPDGHGEFELNIRLLATLHVRYNNTLTNPLAIGDVCRACADMISAAPRHPNTAPGLAPIAQLLHQLQNAQAFNKTTNRVRVKRRDILDQMPGVGGTQWYLPPEDVLGNIDRLLGYYETGDISGTTTDGLGVLAMLSTVNVAAIGTLDQIKQQLAAMVNNGLAFTSFAGMVVQMHHSLPECMMAINLMPRDLGVDNSAITQIYSPFLTNTGLGDINNVYNEWRQARYTALGGAGQVPDNATQMLIVVQDIFQMPNRATAAHEVALILPVTAQGMTNNAFVFGSNFYNWIVGALNTANPGPAITLEKLSSAVFDQWFGPDFNPAIVNPQFGPEVVACVEQGMALPRNQLQNAGQYRQIVAPFVGQAEYGQVEPAQVGNLN</t>
  </si>
  <si>
    <t>SPOA0395</t>
  </si>
  <si>
    <t xml:space="preserve"> hypothetical protein SPOA0395 </t>
  </si>
  <si>
    <t>YP_165224.1</t>
  </si>
  <si>
    <t>MSGFAEELPRLLAVGRNWVGRELHEDEVIGLVNWLKSETAHNPAAAGQIDRGLAAASSVIAQGRQAAEGAIADAFRSVRGAPAPPQAPGQAPPPSLHERVTRTEQRVLEQVLKSGVVGEARIDPAMEAQFAQLAEHLANLIETEVVRQVELRMVEFDARTGARIEAQSAQVVELCNQLSAEIRQQLARDLRAETALRPARPAAQKKS</t>
  </si>
  <si>
    <t>SPOA0397</t>
  </si>
  <si>
    <t xml:space="preserve"> hypothetical protein SPOA0397 </t>
  </si>
  <si>
    <t>AAV93622.1</t>
  </si>
  <si>
    <t>MKLIFLAGALALSLMACTRQSAPPADDATVAAVRYRDPGPAKLTLYTMVNNRSGAGAHTSLMINASERVIFDPAGSFWADIVPEQNDVLYGITPAVETAYRGSHARETHHVVVQELEVTPEQAEAAYRLARSMGPVPGAYCANYTARLLQQVPGFGDIKVTFQPTKLADQFGSRPGAVTNRYYEQDDADLQKGLAANNAKLNQPG</t>
  </si>
  <si>
    <t>SPO0304</t>
  </si>
  <si>
    <t>YP_165567.1</t>
  </si>
  <si>
    <t>AAV93635.1</t>
  </si>
  <si>
    <t>MFSFVQMTGCLLPLTALTPLSHCTRPRNALALLQSSWKGGSLAISLVRNAVAAVLAAALSVPVSADVGAGSYLAARQAVFANDFSSAADYFARALAIDPQNPALMENMVLSQLALGRLEQAYPVAQLMQEAGLQSQVANIAIVVHLLSEERYQEVLDRDPEMRGVGKLVDGLVAGWAEMGLGSVARALAQFDKVADEAGLRGFANYHKAMALASVGDFEGAEALFAADDGALTTISRRAALARAEILSQLDRNDQALEMLADVFSGGFDPALSDIADRLVAGETLPFSLVRSVRDGLAEVFFTIGAALNGEASDDFTLVYIRSAVHLRPDHIDALLMTAGLLESLGQYDLAVATYKQIPNDSPDYHAAELGRAEALRRSAKPDAAIEVLEKLAKDYPSQPQAFVALGDLQRQQEAYDRAATAYDKALQLTDPGAPNMWFLHYARGICHERLGNWPGAEADFRAALELNPDQPQVLNYLGYSLVEKQEKLDEALDLIERAVAARPDSGYIVDSLGWVLFRLGRYDEAVGHMERAVELMPVDPVVNDHLGDVLWAVGRVREAEFQWRRALSFIKADDTDGEADPERIRRKLEIGLDRVLAEEGVPPLKVANGD</t>
  </si>
  <si>
    <t>SPO0317</t>
  </si>
  <si>
    <t>YP_165580.1</t>
  </si>
  <si>
    <t xml:space="preserve"> TPR domain-containing protein </t>
  </si>
  <si>
    <t>AAV93654.1</t>
  </si>
  <si>
    <t>MRLTCPNCDAQYEVPDEVIPPEGRDVQCSNCGHTWFQPPAGEALDADEGDAEDGFAPDAAPAPEEDTSESPDQSDEQDDWDEDGELPDDKDEDSFDNDPAPTDPVQGRGVGPDVSDILREEAAREAELRAREAEALESQPDLGLDAYPGDEPGRRAREAQDRMARMRGQEPVAQETDSTSRRGLLPDIEEINSTLRNSDAAAAAPAIHAGPARRRRSGGFMRGFVVMLIFGAVLFLLYTNAPLVARTLPQADPMLSAYVALVDQARLWLDAQIGALIPR</t>
  </si>
  <si>
    <t>SPO0336</t>
  </si>
  <si>
    <t>YP_165599.1</t>
  </si>
  <si>
    <t xml:space="preserve"> hypothetical protein SPO0336 </t>
  </si>
  <si>
    <t>AAV93673.1</t>
  </si>
  <si>
    <t>MAKTNPGRFFEDYTVGQTLHHAVPRTVTNGERALYHALYPARHALYSSDAFAQSCGLPGSPIDDLAAFHVVFGKTVPDVSLNAVANLGYAEGRWLKPVYAGDTLRSVSEVIGLKQNSNGKTGVVYVRTRGLNQRDETVMEYVRWVMVRKRDLDAPAPEIVVPELKKALAPNDLVVPEGLDFTAYDFALAGEPHRWGDYAVGETIDHVDGVTVEEAEHMLATRLWQNTAKVHFDLTFRPDGRLIYGGHVISMARALSFNGLANAQIIVGLNGGAHANPCFAGDTIKAWTEVLDKAETAAPGVGALRLRLVATKGGAPFALHGEDGKYLPEVLLDLDYWVLMPK</t>
  </si>
  <si>
    <t>SPO0355</t>
  </si>
  <si>
    <t>YP_165618.1</t>
  </si>
  <si>
    <t xml:space="preserve"> hypothetical protein SPO0355 </t>
  </si>
  <si>
    <t>AAV94019.1</t>
  </si>
  <si>
    <t>MGEISQIVFVTGPSGAGRSTAINVLEDLGFEAIDNLPMGLLMRLLDGPALRRPLALGLDARNRDFSTEGFLDLSKRLASLEGFQVTTLYLDCSADILLRRFSETRRRHPMSPGSSPLEGVEHELELLRPIREAADTLIDTTALNVHQLRREVERWFAPSGGSMLAISVESFSYKRGLPRGLDMVFDCRFLANPHWQPDLRAADGRDPAVAAYVHADPQYLPFFTRVTDLLQSLLPAFRSEGKAHLSVGFGCTGGQHRSVALTEAVAKALAEAGGQVSIRHREMERRKPDARPD</t>
  </si>
  <si>
    <t>SPO0713</t>
  </si>
  <si>
    <t>YP_165967.2</t>
  </si>
  <si>
    <t xml:space="preserve"> hypothetical protein SPO0713 </t>
  </si>
  <si>
    <t>AAV94305.1</t>
  </si>
  <si>
    <t>MTLNRRTFLGTGVAAAATLQAPMVLGAGKPRVVVVGGGAGGATAARYIAKGADGAIDVTLVEPTRSYYTCFFSNLYIGGFRELSSIAHSYGKLASEYGINVVHDWAVGIDRDARTVSLAGGGVLPYDRLILSPGIDFVDGAVEGWDLSAQNKMPHAYKAGSQSELLKAQIEAMPEGGTFAMVAPPNPYRCPPGPYERVSMVAHVLKQRNPTAKIIVADPKPKFSKMALFQEGWNTHYSGMVDWIGPDFGGANVSVDPDAMTVTIDGEETKVDACNVIPAMKAGRICEIAGINEGNWAPVIGHTMQSRMDENIHVLGDATNQGDMPKSGFSANSQAKVAAMAVRAALTGTKMFPAKFSNTCWSLIGTDDGVKVGATYEATDEKIAKVDGFISATGESAELRQATYEESIGWYAGITSDMFG</t>
  </si>
  <si>
    <t>SPO1001</t>
  </si>
  <si>
    <t>YP_166253.1</t>
  </si>
  <si>
    <t xml:space="preserve"> sulfur oxidation F protein </t>
  </si>
  <si>
    <t>AAV94385.1</t>
  </si>
  <si>
    <t>MGRDKLTERFRTLHVPGNPLVMPNPWDIGSAKVMARLGAQALATTSSGYGFTLGLADGGQISRDIALQHAADICAAVDLPVNGDFENGFGDSPDTVAETVRLAAEAGLAGVSIEDTMMPSKEFYPFDLALARIEAAVAAARAAGIVLTARADGCMTGNYDQAEALRRCIAFARAGADVIYAPLVDADTTRALVATGTPVNLLAAGEMRDLTTEQMGALGVARISIGGGLARVTQQILLDGTRAMLERGDFTLLKGAANVAEVEALLNG</t>
  </si>
  <si>
    <t>SPO1085</t>
  </si>
  <si>
    <t>YP_166336.1</t>
  </si>
  <si>
    <t xml:space="preserve"> hypothetical protein SPO1085 </t>
  </si>
  <si>
    <t>AAV94546.1</t>
  </si>
  <si>
    <t>MIQPGTNERVHLMGNWQVKLDANKAIEQIDQLASRAWRAFQTPSTAVVVELLNETRYDLRHVCNYRWQGNFMEPTDDLLAGWGRVWGMQSKGLDGCFGAVIYQLWDQGTETDAFLVIGNLIYWDGAMPHYTAEITTKNYENEGKPKTLDLLNDGRSSAWSKDYRDTGGVSLDLKVDIWRQEITSIEENFRIQLTNPS</t>
  </si>
  <si>
    <t>SPO1254</t>
  </si>
  <si>
    <t>YP_166499.1</t>
  </si>
  <si>
    <t xml:space="preserve"> hypothetical protein SPO1254 </t>
  </si>
  <si>
    <t>AAV94564.1</t>
  </si>
  <si>
    <t>MRLTFARPHQTIGQNYLTKEQRQAVMKPHLVAVAACVVLTACGGSDAVFGTGDGSGDGSGGGTGGDTGSPIQGDRTLPPGTTSPTARTGIFRSEPTSTETAYNGNGYARDVSYNAADDTFSVDNLGFDGDNTYSRGTAVGSLGPYSVYEADAQFLDSFDGEPVNQFRHRAIYGVSTSGNTQFAIVRTGAYVGYGFGGFIYQRNNEVNLPTTGQALFTGSVAGLRDYNGIGALEYTTGDIRIAIDFDDFNDTTGTRGDAVRGEIRNRRIFDLQGNDVTETTLNRINTQNNATLREIPTATFTVGPGVMDDNGEILGQMTSYFVNNEGQALLFEEGNYYAIISGDQAQEIVGVVVLETSRDPAAPTVRETGGFIVYN</t>
  </si>
  <si>
    <t>SPO1272</t>
  </si>
  <si>
    <t>YP_166517.1</t>
  </si>
  <si>
    <t xml:space="preserve"> hypothetical protein SPO1272 </t>
  </si>
  <si>
    <t>AAV94582.1</t>
  </si>
  <si>
    <t>MGRARATELEFACDCGALAGHLSADAVRAGTRVGCHCPDCRAAELYFGQPDPAPGPVDIFQTSPDGFVIDRGAEHLALMRLSPKGLFRWYAKCCNTPLATTLDSPKKPFVGVNVRRLADPDALGRTRAYGFVPQPDGSRKHRNIAPAVYGLLTRMLAGRLSGRWRKTPFFDTSTGEPVVKPQVLDKERRAALYR</t>
  </si>
  <si>
    <t>SPO1290</t>
  </si>
  <si>
    <t>YP_166535.1</t>
  </si>
  <si>
    <t xml:space="preserve"> hypothetical protein SPO1290 </t>
  </si>
  <si>
    <t>AAV94716.1</t>
  </si>
  <si>
    <t>MRILIFLVAALLFAAVGLARADEQPGHITVTGSGTIETVPDMAVITLGVTHESQEARAALLATSEAVQQIFDRLGEMGVDVRDMQTNDLSLSPLWSNRASSSEPPKITGFQASNRVTVRVRDLAALGGILDAVVSDGANTFNGLEFGVKEPKPLRDLARAKAVADAQDRARQLAEAAGVKLGRVVSISELPHDPQPRPMMRMAAMAESMDVPVAGGEIGLSGSVTMVFEIRQ</t>
  </si>
  <si>
    <t>SPO1429</t>
  </si>
  <si>
    <t>YP_166670.1</t>
  </si>
  <si>
    <t xml:space="preserve"> outer membrane protein, 28Kda </t>
  </si>
  <si>
    <t>AAV94720.1</t>
  </si>
  <si>
    <t>MKTRPLGRTGIEVSALCLGTMTFGSQTSEADSHAQIDRALAAGITFVDTAEMYPVNPVSKETVGRSEEIIGSWNRANPARRGDYVLATKHSGAGMAHFRDGAPISGQTIAGAVEGSLKRLGTDHIDLYQFHWPNRGSYMFRQNWRYDPSGQDTGAVLENMADCLEALQREVDRGTIRAFGLSNESAWGTAQWLRLAESGQGPRVASMQNEYSLLCRLYDTDMAELSVNEDVGLMAFSPLAAGFLTGKYQRGAVPEGSRMSLVPEMGGRKSERVFDAVAAYLDIAQRHGIDPVHMALAWCQTRPFMMSAIFGATTLAQLDHVLAGADLTLSDEVLDEIARAHKAHPMPY</t>
  </si>
  <si>
    <t>SPO1433</t>
  </si>
  <si>
    <t>YP_166674.1</t>
  </si>
  <si>
    <t>AAV94869.1</t>
  </si>
  <si>
    <t>MTIQFNTETFRDDYSFRNSDWAIKRFPFPFHEDSYMYSVNMEQHRGGPAGSVYEKRFDVDEHYVSEMADRAIVLADDPLRCQSLPHMTLAGWDTLELIMVCKSEDYPDLFELHRDGDRWRWINKPMGIDHTFTFLDETTLPCGPLEYITRQAQGDYAVLDQRGDMLYMDAGMVTTQADWSLDFDIGMDFFEWHAPVPLAHEMGIFKRALKFLLNVQQGAPARRLNWTMTVNPLLDTSPENYHKWGVQKTTLTPENIGAKQHLRVELQTFYRLPRSNALLFPIRCYLIAFQDLVSVPKWGRRLHRVVRDLPEELATYKGFIANRPMMLDYLSRYDDGLPTSPGIWPDLDSEPPLQT</t>
  </si>
  <si>
    <t>SPO1582</t>
  </si>
  <si>
    <t>YP_166823.1</t>
  </si>
  <si>
    <t xml:space="preserve"> hypothetical protein SPO1582 </t>
  </si>
  <si>
    <t>AAV94930.1</t>
  </si>
  <si>
    <t>MTLRPDPTFYPSAKLAMEGPVEKLAFTLMLSPDASKPDGLAVVDVDPTSEKFGQIVHQLIMPNKGDEFHHFGWNACSSALSPLTGHAFLERRYLIIPGIRSSRIYIVDVKEPLKAKIHKIIEPEEVFAKTGYSRPHTIHCGPEGIYVSTLGGGGEDGTDGPPGIFILDCETFEILGRYEMDRGEQTKHYDFWWNLPRDYMVSSEWGLPPQFENGIVPEDLLSNKYGHKIHFWKLRDRKNVQTIDLGANHQMALEIRPAHDPSKDYGFCGVVVDTTNLQGAIFTWWQKDDGTFEAKKTITIDPVPADADDLPDLLKGFGACPPLVTDIDLSLDDKYLYVACWGLGEMHQYDVSDPMNPVLTGKVEIGGIVKKTPHPNGKTFGYGPQMVEISRDGKRVYWTNSLYSTWDEQFYPGDRGAAMVMANVGENGGLTLDKDFWVDFPAGYRSHQIRLEGGDCSTDSFCYPSV</t>
  </si>
  <si>
    <t>SPO1643</t>
  </si>
  <si>
    <t>YP_166884.1</t>
  </si>
  <si>
    <t xml:space="preserve"> selenium-binding protein, putative </t>
  </si>
  <si>
    <t>AAV94978.1</t>
  </si>
  <si>
    <t>MRISYGVENLRSLTRTPEIELRPITILIGRNSAGKSTYLRSFALMRQSLEVKSSAPILWYGDYVDFGDFDAAVSNGDKDSDITFNFRVEDLDTRDVEDEIYYYNEYAYRSSRRKISYQAVSLSISLGEQLRRTVRRRIALEIPEDRISAVASFEKDGRECSDFQINGQRLSDLIPNVAVYFRASDIFDRPVLVRQVRKDGKSLRRVVGAASEIGSAISQRLRQQVDKRISEENLAIEARRILNHPRLDPTSLQQLRLRAGNRSFRKLYDRWLKDEASTTLAEIDHLCALNHALITVGRVSSVLKGFFRNTTYLGPARARSERYYRSQELEVSEISPDGQNLPMFLASLSTTEQGRFSDWVEEAFGFGVLVERKEGHVSIKLRQRTISVNVADTGYGVSQILPVLAQIWWATQIPRNYTRQMRHGLRPITMEQPELHLHPAHQAKLADVFQSAIERSNASGPEAVLLIETHSEALINRLGELIEYGKIAANDVQVVIFSARGEGEELNTEISTSTFDDNGALRDWPYGFFNY</t>
  </si>
  <si>
    <t>SPO1693</t>
  </si>
  <si>
    <t>YP_166932.1</t>
  </si>
  <si>
    <t xml:space="preserve"> hypothetical protein SPO1693 </t>
  </si>
  <si>
    <t>AAV95031.1</t>
  </si>
  <si>
    <t>MTGLTKILALAVFLGAGAQAQALTTRMGHRVLPVNDAVFEVVPRGKQRVGDFWCAASEYARRELGAGWNDRIYLVRGRGPSVTTGRKTAVQFSMTPEAVGVTPLENELTTIRTGLKVGDNMTVNQGNSYCEFGPVRP</t>
  </si>
  <si>
    <t>SPO1751</t>
  </si>
  <si>
    <t>YP_166989.1</t>
  </si>
  <si>
    <t xml:space="preserve"> hypothetical protein SPO1751 </t>
  </si>
  <si>
    <t>AAV95048.1</t>
  </si>
  <si>
    <t>MTPGPCPYTTPKEGRRITNSGGGQHMAQTQVAADTGRKPFNIVVVGQNNRLQYEAVLFAASLRHSSPGFNGRLFVAHPQPGPKWDEDPSIQSDEVRAALDTLGAELLPFENKVFGQTYPHGNKIEALLALPEGEPFVFFDTDTLITGDLMSVPFDFSRPTASLKREGTWPQPTLYGPGYTEIWRALYSRFGLDFESSLDFEQPDEYWKRYLYFNAGFFYYECPHKFGHRFLTYARSIRDTPLPELICQSLNPWLDQVALPLVIHSFGGGRDCLPEGLLDGAVSCHYRLFPLLYARESDRVIEVLEEVASPNKIKKVLKNYEPLKKMVYQGKGEKIREMFDRENLPHKEQAIRNRIKSKGLWLR</t>
  </si>
  <si>
    <t>SPO1769</t>
  </si>
  <si>
    <t>YP_167006.1</t>
  </si>
  <si>
    <t xml:space="preserve"> hypothetical protein SPO1769 </t>
  </si>
  <si>
    <t>MRFHQRIEIFVTDLFFYGTLRHAPLLEVVLGTTDPRPEITAASLPDHAVFSIQGQPFPMIQTAPGARAEGLLVRGLTPLQLDRLNFYEGGFAYDLQAVEVTLPTGGSAKAQVFFPQEGLWSPEAPWHLADWVAEWAPLSLHAAAEVMDFHGRLTPEQVGRSFPAIRLRAAARLAAAARPADPARDLSRDVVVERYSRAYVNYFGLDEIDIRFRRNDGTMSDCLNRGALVTGQVTIVLPYDPVRDQVLLVEQFRVPVYMIGDPAPWMLEAVAGMIDPGETPEQAAERELLEEAHLTAYRLEPAGKAYSSCGSSTQFSHLFLALADIRTETDSGGLASEGEDIRTVILSFDALMELIDTQQIKDLGLVAVANWLARHRDRLRG</t>
  </si>
  <si>
    <t>SPO1920</t>
  </si>
  <si>
    <t>YP_167155.1</t>
  </si>
  <si>
    <t>AAV95201.1</t>
  </si>
  <si>
    <t>MTAYTRPKRISLKNHPVYSENWVQDIIADDPSILGLGDLVLRDRERIQSRAGRLDLLLQDPETYKRYEVELQLGATDETHIIRSIEYWDIERKRYPQYEHCAVLVAENITSRFLNVVSLFNGAIPIIAIQMQVFEVGDHVTLVFTKVLDELQRGLVDEDEDAISAPTDRAYWEKDKGTPKTVALMDRMFELVKEGDPESELKYNKFYVGLIKEGRANNYVAFRPKKAFVLFEPKLPRSDEVDALLEDVGIETLEYATRWGNYRIRVTDADFKVHKGLFQDLIEKARSYREG</t>
  </si>
  <si>
    <t>SPO1925</t>
  </si>
  <si>
    <t>YP_167159.1</t>
  </si>
  <si>
    <t xml:space="preserve"> hypothetical protein SPO1925 </t>
  </si>
  <si>
    <t>AAV95210.1</t>
  </si>
  <si>
    <t>MDGKIFLGGGGPDYGVAQGLDLKYANRHGLIAGATGTGKTVTLQILAQGFAEAGVPVFLADVKGDLSGMAKPGSPDHKLHAAFTSRAEKIGLSDYAYRACPVTFWDLFGEQGHPVRTTVAEMGPLLLSQLLELTEAQEGILNIAFRLSDEEGLPLLDLKDLQALLVWIGENGKSLSLRYGNISTASVGAIQRRLLVIENQGGARLFGEPALDLADMMRVDDQGRGMVNILAADTLMASPRLYSTFLLWLLSELFEELPEVGDPEKPKLVFFFDEAHLLFDDAPKALVDKVEQVARLIRSKGVGVYFITQNPADVPEDVLGQLGNRIQHALRAFTARDRKNLRLAAETYRENPAFDTEEAIREVGVGEAVTSMLMKKGVPGVVERTLIRPPSSQLGPITPAERKAILNTSDMAGKYDTPLDRKSAFEILAKRAEEAAKEAEQAEERAEEASPWEREYNSARRYSGSRVGRSSARQTSSRRRSEDTLTSAMGEAVIKELKGTTGRRIVRGILGSLFKGR</t>
  </si>
  <si>
    <t>SPO1934</t>
  </si>
  <si>
    <t>YP_167169.1</t>
  </si>
  <si>
    <t xml:space="preserve"> hypothetical protein SPO1934 </t>
  </si>
  <si>
    <t>AAV95220.1</t>
  </si>
  <si>
    <t>MIRSMTGFASARGEMAPFSWSWELRSVNAKGLDLRLRVPDWLEGLETAIRADLGKALGRGSVTLSLRLSRGEEGAALALNPAALSAVLDALSEVEDQAMTRGMTLAPSRAADLLALRGVLEAGGGSDDPAPLVKRLKAELGPLIAAFLQMRETEGAALAEILQGNLIRVADLTAQAAALAEARKPLVAETLRANLARVLDNTDGADPDRVAQELAMLAVKADVTEELDRLQAHIKAARDLLAKGGAVGRKLDFLMQEFNREANTLCSKSQNADLTGVGLELKAVIDQMREQVQNVE</t>
  </si>
  <si>
    <t>SPO1944</t>
  </si>
  <si>
    <t>YP_167179.1</t>
  </si>
  <si>
    <t xml:space="preserve"> hypothetical protein SPO1944 </t>
  </si>
  <si>
    <t>AAV95238.1</t>
  </si>
  <si>
    <t>MSDTTQSLDLSAVDAYLRDHLPGYAGPLEARKFDVGQSNPTFLLATPARNYVLRRKPPGVLLKSAHAVDREFRVQRALADTDVPVPRMYLLCEDDAVIGSAFYVMEHLDGRNFAEPTMEGETNATRTAVIDEMNRVLAALHSVDIDAVGLSDYGPPGNYFERQISRWTKQYRASETGTIADMDALIEALGQDMPEDDGQRTLVHGDYRIDNMMFEKGGTRCLGVLDWELSTIGHPYADLAAVIMQWQMPPGREGRGLAGVDRAALGLPTDDEFIAAYCARRGIGGIDRFGFYLAFTFFRMAAIIQGVYKRALDGNASNPERARMLGQYVGVFAQNGLRALRG</t>
  </si>
  <si>
    <t>SPO1962</t>
  </si>
  <si>
    <t>YP_167197.1</t>
  </si>
  <si>
    <t xml:space="preserve"> phosphotransferase family protein </t>
  </si>
  <si>
    <t>AAV95254.1</t>
  </si>
  <si>
    <t>MLMHRLLALLLSLLALPALAQEARWQPLAGFDKVWTKQGATFDGPETGRFEYDALRFGREVPLYEYEFFDMEDLFNRAYRNRAAKGVLVDAATGGARILSPTMAEAWLAVRDDPAVVAVVPMGFARVAGDTRVVGYRRINGRDMQSMFFARNLDAILCLNDMARRNAESYDGQVPFLFGLNFKGRATYSYVEGLDMVNLADGASPQRFLETFTACSDLLQLGRRVIEPRDYSRLGGRQGRIALDRAASGEIKPTERIVLLYDRFGHMNFVRTRQPTGIYELGRLLSSDGFYDSEPCAYPEKAEYRGRSLSCELWAVTIAAFDGAAIAVRQGDKAMFWGDPGRYAPGVLVIRRKTPPARPQVTTAPSPARAAPALPLAPAPKLQQRLLPVD</t>
  </si>
  <si>
    <t>SPO1978</t>
  </si>
  <si>
    <t>YP_167213.1</t>
  </si>
  <si>
    <t xml:space="preserve"> hypothetical protein SPO1978 </t>
  </si>
  <si>
    <t>AAV95258.1</t>
  </si>
  <si>
    <t>MAQSGVNLASLIGSRICHDLISPIGAITNGLELLDMTGSVEGPEMELIADSVGNAGARIRFFRIAYGASSDQMLGRAELVGLLDDLNRSARAKADWAPTEPVTRAEVRMAFLALQCCETALPFGGSVRMDQQGDRWIVTAEAEKLSVDPALWEGLSNPAALKQVTPAQVQFALLPAVAEDAGRRVTVETSDRQLVIRF</t>
  </si>
  <si>
    <t>SPO1983</t>
  </si>
  <si>
    <t>YP_167218.1</t>
  </si>
  <si>
    <t xml:space="preserve"> hypothetical protein SPO1983 </t>
  </si>
  <si>
    <t>AAV95343.1</t>
  </si>
  <si>
    <t>MTMTDYGYDLGQYSCPVTTAAPEAQLWFDRGLIWTYGYNHAEAAACFRRALEHDPDCAMAHWGLAYASGPNYNMPWERWDSATRAEALATSYDASQAALARVAGGTPVEQALIRALPARYPQRELDADMHRWDHDFADAMRAAFAAHPGHLDLRAIYAESLLNLTPWQMWDLATGQPAAGAATREAQEVLETALSEAPGAMHHPGLLHLYVHLMEMSPTPEKALKAADVLRTLVPDAGHLVHMPTHIDVLCGQYHDVVHWNRRATLADRKYLDREGAFNIYTGYRIHNCHFAIYGALFLGQMQPALEANRDLWDSVPEEMLRMESPPMADYFESYMAMGPHILIRFGRWDEAIALEPPADPDLYRTLTATVHYARAVAFAATGRVAEAEAEEQVFLAAAARVPESRLLHNNRVVDLLEIAKEMLRGEIEYRKGSYDLAYAHLRRSIELDDTLPYDEPWGWMQPTRHALGALLFEQGHVDEAETVYRADLGLGGQLSRAAVHPDNVWSLKGLHDCLKARAETVEIIQIRQRLDLALARADRAVGASCFCAQAAMRAAG</t>
  </si>
  <si>
    <t>SPO2072</t>
  </si>
  <si>
    <t>YP_167302.1</t>
  </si>
  <si>
    <t>AAV95348.1</t>
  </si>
  <si>
    <t>MSSIHTPRLSRRGFALGMAGLTLTAACGNGVGNSNASQIDARVNATLTEMYAQFPNTVEISHKAAGMLVMPLLTEAGFVFGGGYGRGALRVDGVTVDYYSAVKGSAGLQIGAQQYAHVLFFMTQGALSEFRRSSGWSAGADLEYVVSDQGDSLAADTNTLRSPILAAVFGRAGLRVGATLEGTKYTRIIP</t>
  </si>
  <si>
    <t>SPO2077</t>
  </si>
  <si>
    <t>YP_167307.1</t>
  </si>
  <si>
    <t>AAV95389.1</t>
  </si>
  <si>
    <t>MTTIQAPMAVVMIRPHAFRPNPETRADNAFQTDSAAADTAARARDEFDRAVTGLRAAGVRVHVFDDTGVLDTPDSVFPNNWFSTHTGGHVAVYPMYAENRRRERRPDVIELLKREYRVSDVIDYSGLEQDGLALEGTGAMVLDHIGRIAYVARSHRADPVLLERFCAHFNYEPICFDAVDARGRPVYHTNVLMGIGTEYALICLSMIPDPERRRTVAERLAETGRSVIDLSPEQIGAFAGNAIELTGHRRILALSARAHAALTPDQIAVIERSAQLLPLAIPTIETAGGSVRCMIAGIHLTRRPERTAA</t>
  </si>
  <si>
    <t>SPO2120</t>
  </si>
  <si>
    <t>YP_167348.1</t>
  </si>
  <si>
    <t xml:space="preserve"> amidinotransferase family protein </t>
  </si>
  <si>
    <t>AAV95416.1</t>
  </si>
  <si>
    <t>MGGFIGGLLAGAVLVLAAAAWLSLTTPLPQRPEVAATPAAAEPSAEPAEQGGIASPGRDADLVELAPRQPEAAPGAETLGALDEADRQPAGKPQVGGATETIARPEGSDSAAVQVPGTGSGVTQLQLASPAAPQDRAEPEVNTEAPAQPSAPETGVTAEVTAPSLPDSTPAVPETATDAQPAQESASVAEAPATDTAPVPDTATAAPEAPQEEEKPRIAALPQIGGAEEGAAPRVGTPVVPLTERDSAVAEAPAEGGPRPIEAYAATFDNPEDKPLMSIVLIDDAEGLGSEALRDFPYPLTFALDPADPQAAEKMARHRAAGVEVMLIADLPAAASAQDAEVSMAVWLKALPETVGILEGTGTGIQGNRALSDQVTAIVGGSGRGLLTQDNGLNTVQKLAARDGVPSAVVFRDFDGAGQSPTVMRRFLDQAAFRAGQEGAVVMLGRLRPDTISALLLWGLQDRASRVALAPVSAVLTRDPG</t>
  </si>
  <si>
    <t>SPO2148</t>
  </si>
  <si>
    <t>YP_167375.1</t>
  </si>
  <si>
    <t xml:space="preserve"> hypothetical protein SPO2148 </t>
  </si>
  <si>
    <t>AAV95434.1</t>
  </si>
  <si>
    <t>MLKPLIALVTAGSVLTACGGWRDSRVNPSNWFGPSTPAPIEATAGEETNPLIPRNSGKGLFARPDPEDRSILITQVTELKVEPTTTGAIISVVGVANRQGGFDTELRPIVTPENTEAGILAYGFRVVYPEDATPQGPVQTRTIREAVSVSRQDLAGIKVIRVEAKDGALETRRR</t>
  </si>
  <si>
    <t>SPO2166</t>
  </si>
  <si>
    <t>YP_167393.1</t>
  </si>
  <si>
    <t>AAV95490.1</t>
  </si>
  <si>
    <t>MVGPEDVLKFWLDEVGPAGWYAQDEALDARIRDKFQSTWEAAAEGRFSLWLTYPSGALAYIILTDQFPRNMFRGSGKAFATDRAALMAAKCAVDKGWDLKIDEPARQFFYLPMMHSENLCDQERCVRLMCQRMPESGASNLLHARAHREVIRKFGRFPYRNQALDRASTQSEAEYVSDGGYGATVQQLQRKAG</t>
  </si>
  <si>
    <t>SPO2224</t>
  </si>
  <si>
    <t>YP_167450.1</t>
  </si>
  <si>
    <t xml:space="preserve"> hypothetical protein SPO2224 </t>
  </si>
  <si>
    <t>AAV95590.1</t>
  </si>
  <si>
    <t>MSLTLAIVGRPNVGKSTLFNRLVGKRLALVDDQPGVTRDLREGQARLGDLRFTVIDTAGLETATDDSLQGRMRRLTERAVDMADICLFMIDARAGVTPNDEIFADILRRRSAHVILAANKAEGAAADAGVIEAYGLGLGEPIRLSAEHGEGLNELYAVLMPLADEMEQQAEEQAPETDVDLDPEDEDGEEVAAPHAITREKPLQVAVVGRPNAGKSTLINRILGEDRLLTGPEAGITRDAISLQIDWNDTPMRIFDTAGMRKKAKVQEKLEKLSVSDGLRAVKFAEVVVVLLDAAIPFEQQDLRIADLAEREGRAVVIAVNKWDVEENKQDKLRELKESFERLLPQLRGAPLVTVSAKTGRGLERLHDAILRAHEVWNRRIPTAALNRWLIGMLEQHPPPAPQGKRIKLRYMTQAKTRPPGFVVMCSHPDKMPESYSRYLVNGLRADFDMPGTPIRLTLRGQGDKNPYKGRRKKNAGALAKHLKSRG</t>
  </si>
  <si>
    <t>SPO2328</t>
  </si>
  <si>
    <t>YP_167551.1</t>
  </si>
  <si>
    <t xml:space="preserve"> GTP-binding protein EngA </t>
  </si>
  <si>
    <t>AAV95591.1</t>
  </si>
  <si>
    <t>MGSALLLLSACAEPEVILPGAREDIRPGATDAVVNQGRAIRLPAQQANSAWAQAPGTEAFRTAHPALRSTPQLVWSTPIGSGDEKRQRITADPVVAGGLIYTLDSAARVSGVTPGGGLAWQTDLVPPGEDEGQATGGGMAYADGILYVSSGYGLLTALEAKTGTVRWQQKLNATGSGTPTIRDGLLYLVAGDDTGWAINIKDGRIAWQVQATPSVGNVLGAPAPAMTPDLVIFAFGSGDLIGSFRQGGVRRWGASVSGQRKGRAAARIGDVTGSPVIQGKTVYAGNHSGRTVAFRADNGERLWTATEGALGPVWPAGDSIFLVSDRSQILRLDASDGSVIWAQDLPGFIKDKPKKRGASYAHYGPVVAGGRVIVASNDGYLRLYNPEDGAMISRVEVPGGATTGPVVAGNTLYVVGAKGQLHAFR</t>
  </si>
  <si>
    <t>SPO2329</t>
  </si>
  <si>
    <t>YP_167552.1</t>
  </si>
  <si>
    <t xml:space="preserve"> PQQ repeat-containing protein </t>
  </si>
  <si>
    <t>AAV95713.1</t>
  </si>
  <si>
    <t>MSGNTNRKRRRTGSSAKTNKADVKHMRSSKSRSRSKNNRNRPSGGNVVNRVFDSSGPEGKVRGTPQQIIEKYNQLARDAQLANDRVAAENFQQHAEHYLRLLSEAQREIDARREEQERQNRERQAERDRERAERQDRDSIAPAPVADPSSAPQPDVLDLGGSDAGEEASGLVETPESKGESRKRRAPRAEEDAPASDEAGEQPKKKTPRRPRARKPAAGEGETPDPQPGGPAEAAE</t>
  </si>
  <si>
    <t>SPO2459</t>
  </si>
  <si>
    <t>YP_167676.1</t>
  </si>
  <si>
    <t xml:space="preserve"> hypothetical protein SPO2459 </t>
  </si>
  <si>
    <t>AAV95891.1</t>
  </si>
  <si>
    <t>MTQAPSIDAVQQMLGEQGYVCGRALATVVFLSLRLGRPLFLEGEAGVGKTEIAKAIAAALGRRLIRLQCYEGLDAASAVYDWNFAAQMVAIRTAEAAGGADRGALQTELFSDEFLIERPLLQAMRPDPAGAPVLLIDELDRTDEPFEAFLLEALSDFQVTIPELGTVKAPEPPIVILTSNRTREVHDALKRRCLYHWVDYPDFDREIEILHARAPEAAETLSRQVVAFVQTLRTEDLFKKPGVAETIDWAKCLLALDVIDLSPEVIADTLGAILKYQDDIQKLQGSEAKRILDQAKASLEPA</t>
  </si>
  <si>
    <t>SPO2646</t>
  </si>
  <si>
    <t>YP_167856.1</t>
  </si>
  <si>
    <t xml:space="preserve"> hypothetical protein SPO2646 </t>
  </si>
  <si>
    <t>AAV96017.1</t>
  </si>
  <si>
    <t>MNVMSNPTASRFPQRAALALLIGAVAATAACNSTKRENRLLFGGHFFPVKAKPVDKKATLSVFTVTVDKVSQSFDDAREAGRHGGISYCIANYGSSKIDWQVGPDSEPAQLRIEGDKMTFQGTCQRP</t>
  </si>
  <si>
    <t>SPO2776</t>
  </si>
  <si>
    <t>YP_167983.1</t>
  </si>
  <si>
    <t xml:space="preserve"> hypothetical protein SPO2776 </t>
  </si>
  <si>
    <t>AAV96192.1</t>
  </si>
  <si>
    <t>MGWRAVAIHGVRVPFGRMSVMRAFLGIAALCVAGAVEAGTVSGSAGYRERFALPPGAVLQVELRDISRQDVAAPLLSARRYAMTGVPMDFALDYDDALIDPAMRYAVSARILQDERLLFVTDTVVPVLTGEAGNTADLMLVRVAGEVSALEGRNWALREIEGMPVERPGMPGIAFDAGGRFSGRGGCNRFQGEAEIGAGWINFPDNIGMTMMACSQEAEALDRRFLEALAKVVAFAVEGDALTLAGVEGRVVLRFVDQP</t>
  </si>
  <si>
    <t>SPO2951</t>
  </si>
  <si>
    <t>YP_168159.1</t>
  </si>
  <si>
    <t xml:space="preserve"> hypothetical protein SPO2951 </t>
  </si>
  <si>
    <t>AAV96226.1</t>
  </si>
  <si>
    <t>MGIFDFLSGQFIDVIHWTDDTRDTMVWRFEREGHEIKYGAKLTVREGQSAVFVHEGQLADVFTPGLYMLETNNMPILTTLNHWDHGFRSPFKSEIYFVNTTRFNNLKWGTKNPIMLRDPEFGPTRIRAFGTYSVRVTDPARFLSEIVGTDGEFTMDEISFQIRNIIVQEFSRVIAASGIPVLDMAANTADLGKLIAAQVALPLTEYGLEMPEFYIENISLPPAVEAALDKRTSMGLAGDLGKFTQYSAAEAMTAAATNPAGGGMAAGLGAGMGMAMAQQMAQPGPWGAAPASRHAAPPPPPVEHVWHVAVDGQTSGPFSKAKMGRMAAEGEITRDTYVWTPGQDGWKRAEDVRELAQLFTILPPPPPPPGA</t>
  </si>
  <si>
    <t>SPO2988</t>
  </si>
  <si>
    <t>YP_168194.1</t>
  </si>
  <si>
    <t xml:space="preserve"> hypothetical protein SPO2988 </t>
  </si>
  <si>
    <t>AAV96238.1</t>
  </si>
  <si>
    <t>MTSMYRFGSRPESAGSTPKDSVGYRRNAERESLMDRKLLLIILDGVPYRNFRRLFGNLEGWVQSGEARVWKLRAVLPSISASCYASIHTGVTPQEHGCTGNGNVFRLSHKDIFSQVRAGGGVTGAVTHSFWSQFFNRHPFDYVRDVEYDEPESDTINHGRFHTMTGYGHDNQMTPSDVDLFATLTNLCLRFGLSYGILHTCTLDSMGHRFFHDCTEMDHACFVMDEMLAPFIPRWRQLGYDVIVTADHGQDERGHHGGRHPLQQETALYYFGDAEGPDPETVIDQLQLAPTILDRLGAPIAETMKAGSFLT</t>
  </si>
  <si>
    <t>SPO3000</t>
  </si>
  <si>
    <t>YP_168206.1</t>
  </si>
  <si>
    <t xml:space="preserve"> hypothetical protein SPO3000 </t>
  </si>
  <si>
    <t>AAV96377.1</t>
  </si>
  <si>
    <t>MVITTIADRVMRGVETVSDTLSEALFEPVIRLGVTGLARSGKTVFITSLVANLLDRGRMPGLVAAQEGRIEAAFLQPQPDDTVPRFDYEAHLAALTGPAPHWPDSTRAVSELRLSLRVRPGGLLGGLQGPRTVHLDIVDYPGEWLLDLGLMDKSFEDWSAGVLARIGPRPQAAAYLAALEPVDPTTRHDEPQAQELARAFTAYLEAARGAGFSDCTPGRFLLPGDLAGSPVLTFAPLPVTGAAPRRSLHREMARRFEAYKAQVVRPFFRDHFARIDRQVVLVDALGAIHKGPQAVEDMRLAMADILGAFRPGRNAWLNRLLLGRRVDRILFAATKADHLHHKQHPQLTAIIEALTREARDRAQFAGAETAALALAALRVTTEEMRAHDGRDLPCVRGSLLEDGRQAAFYPGALPEEPGQLLSPARAGAETWLGAGFKAMSFAPAPLQLKPGDGPPHIRLDRAAQFLFGDRL</t>
  </si>
  <si>
    <t>SPO3142</t>
  </si>
  <si>
    <t>YP_168345.1</t>
  </si>
  <si>
    <t xml:space="preserve"> hypothetical protein SPO3142 </t>
  </si>
  <si>
    <t>AAV96547.1</t>
  </si>
  <si>
    <t>MRYVKWVIIGLFWLCVAAFLHYTLPQRDIVRIVNTYEERQELNDWTRIFWSRPDDQSATIINRDVQFIQGVTPEGRPKVYRNEDTSWSWPPYFKFDTANLYTEANDAISTKDTPEWVAITHYGWRNEFLSIFPNAVAIKPVAGPDVRLIPWFNIIVLTLLAALVWAIWVRWRRFRQRRIDPVIEDVEDSLYAAGEAIEERRGRLRRWLDSWKSK</t>
  </si>
  <si>
    <t>SPO3320</t>
  </si>
  <si>
    <t>YP_168516.1</t>
  </si>
  <si>
    <t xml:space="preserve"> hypothetical protein SPO3320 </t>
  </si>
  <si>
    <t>AAV96550.1</t>
  </si>
  <si>
    <t>MSLTSDQMELREEAIRAHYPAATTLLDGFDHAPRVAQARTPARAEERSPGIPTARRFRSTTPGLVTRRTTRPDGVHLRERIEAADDGDTLVSPLQATVAQAIRRALAIALAMGEGYGDRTPLGDLKRANLAGDLPVARKGEFTELLTAEGLVVTHVFGNALAYLLSPHLGATSVEVGEVEEFLTDNAQVALHGALWDLDQKLAQFAGDDAQLIATTAGFAEQLMAKAAARAQGAGHLAPFTGAAWHVEADDLTLRGFTPSAKARSTKLTMTFKKPNEVVGNHIAKYQAMKLAKMLMAYDFERRLNPFAELGGFIFTFMGDGKPGTGKTTLIQMMAGLIDEYCRNAGYPFRYQNFGIDNIDSYQGKSGQNAKAFVQNVLDPGVIGFGTIDDIDQIAGKRGDRQSSAGQQEVTAVFMEAFAGANTVVRGNCTFGMFSNYPENVDDALRQRAGARFLVDGPQTRDDYIDILALLLGKRHDIPLGAHDLYAAQEIKRAVAASFAAHGRPQEAGLAQVWERVGAQVGPLDTIAKLGTYLKGIQEADERFTGRAIKNITDAVKVRAMDFELPDEWMETPDLFLFRDYDTKLAMIEELRQPITVDMVVQEINRYADSEFRYADKSDEVAIDGMVRDLTRQEEAKRRYLEEKG</t>
  </si>
  <si>
    <t>SPO3323</t>
  </si>
  <si>
    <t>YP_168519.1</t>
  </si>
  <si>
    <t xml:space="preserve"> hypothetical protein SPO3323 </t>
  </si>
  <si>
    <t>AAV96552.1</t>
  </si>
  <si>
    <t>MSDTAFEAMILETQRKVRESQAQIEGVTSRIEAARAKIGTAEADIDIENATLEDVHAHTEVMNANIAELIMGLDDVTSAFSKDFDEMRSKTGWESFVGIFSSGKSESMRQERMRTANIDDKLQDLIAKSDVIVKLLQGQLTVLEEQREKVETNLTGTLDDREFTVQELETVRAEILAMDPQIIALENKISVEQDAAARTKLETELADLNKTYNAKVRDEQVKLAKSQTLERYIEKGKTWVDSLQNQAATQMVLINKLQTDTQQRVVLYDALTKSLKTAQQQDVAHRINEIGVQTDQEAQTAMAAIGTATNQKMADMLEAHEDHMVFARDVLEKKAKADERFARRFAAIVEKHDKNLYGG</t>
  </si>
  <si>
    <t>SPO3325</t>
  </si>
  <si>
    <t>YP_168521.1</t>
  </si>
  <si>
    <t xml:space="preserve"> hypothetical protein SPO3325 </t>
  </si>
  <si>
    <t>AAV96602.1</t>
  </si>
  <si>
    <t>MASRWARFQNRLYARLSQRHKSVRAFVSQPEPRTIGSYARGRQLVAGNLLFAGYLVESQSSGLWEVEAPNGAFDDERQGFAWLDDLAAVGDVRAREKAQRWLWGWIAEHGRGRGPGWTPELTGRRVIRWINHAPFLLRGVEPEQSHAFFRSLGQQTWFLSRRWPGAKPGLGRFEALTGVIYAGLALEGLEELADPAVRALARDCDSQIDKEGGLPTRNPEELLEVFTLLSWATAALHEAGRGAPHAQTAAIERIAPTLRALRHADGQLGRFHGGGRGLEGRLDHALAASGVKPVHAEGLSMGYARLSGGRTSVIVDASVPPRGAASYNAHASTLAFELTSGRRPLIVNCGSGVSFGVEWRRAGRATPSHSTLCLDGFSSARLAEPERGTGLEALIEGPARVPVEISEMTDGIRFQGGHDGYAKVFGLTHARTLELSHDGRGLVGEDMLLAMDDAAKRRFDKAMDASVLAGVGFDLRLHLHPEVDAAVDLGGAAVSMALKSGEIWVFRHDGKYKLSLEPSVYLEKTRLKPRATKQIVLSGRAMEYATRIRWTLSKAQDTAIAIRDLNRDEPEFD</t>
  </si>
  <si>
    <t>SPO3375</t>
  </si>
  <si>
    <t>YP_168571.1</t>
  </si>
  <si>
    <t xml:space="preserve"> hypothetical protein SPO3375 </t>
  </si>
  <si>
    <t>AAV96657.1</t>
  </si>
  <si>
    <t>MTLQNAFKATLVLALCLGVAACGNRRAGVRITDAPPADDSYITNNRESAPTNYEKSSIWDVFGPSKAEQTVQVNRYLWAASLDVLSFLPIQSVDPFTGVIVTGYGTPPGGGRSYRATVHIKDPALEARSLKVSLQTSGGSPVSAATARAVEDAILSRARQLRIGDDKL</t>
  </si>
  <si>
    <t>SPO3431</t>
  </si>
  <si>
    <t>YP_168627.1</t>
  </si>
  <si>
    <t xml:space="preserve"> hypothetical protein SPO3431 </t>
  </si>
  <si>
    <t>AAV96667.1</t>
  </si>
  <si>
    <t>MPVFLRRTSGAVLVYAISTQIAWADLTADQVWADWNAYLGGMGYDVAGTESRSGDTLTIADFAMSMNMPEQDSAMSFSMPQITLTDQGDGTVRIGLPEEFPLSFTMSVEDEAPVTGTVTYANRNMSMVASGDPDNITYDYNADQISVRLASLMADGEAMPADAISFLMEMTSVSGTSQMSLGEMRDLVQSFTAAGLTYALSFDDPDSDDAGNFSGTLSDVSYSGSGSLPTSFDATNFSDMLKSGFAFDALMSYGAGSGNVAAKGDGEEFAWTSSSQGGDFRIAMDAGHVVYDLKGRQSQISMTTQDLPFPIDLAMAESGFKLDIPTQAGDDPQPFSFGMNLTDFTMSDMIWGMFDPAGALPRDPATVVLDLSGLATVLVDFLDPTVAETLEATGGAPGELNELTINQLLVSLVGAKLTGTGAFTFDNSDYESFGGMPAPSGVANLTLTGANALLDKLIAMGFVSEDDAMGARMMMGMLAVPGDAPDTLNSKIEINEQGHVLANGQRIK</t>
  </si>
  <si>
    <t>SPO3441</t>
  </si>
  <si>
    <t>YP_168637.1</t>
  </si>
  <si>
    <t xml:space="preserve"> hypothetical protein SPO3441 </t>
  </si>
  <si>
    <t>AAV96791.1</t>
  </si>
  <si>
    <t>MAKPLMAKATAVWLVDNTTISFKQIADFVGMHELEIQGIADGDVAAGVKGFDPIANNQLTQEEIDKAEQNPLHKLKLKFNPAAAGEEKRRGPRYTPLSKRQDRPNAILWLVKFHPELSDGQIAKLVGTTKPTIQSIRERTHWNISNMQPIDPVALGLCRQSELDSVVQKAAAKKAAEGGVMSDDERRKLVSTEQSLGMDTGPRIPTAIEGLENFSLSEPISTSDDDEEDHRSIADADSFFNLPKGGTDDEDEDDDPRY</t>
  </si>
  <si>
    <t>SPO3566</t>
  </si>
  <si>
    <t>YP_168761.1</t>
  </si>
  <si>
    <t xml:space="preserve"> hypothetical protein SPO3566 </t>
  </si>
  <si>
    <t>AAV96793.1</t>
  </si>
  <si>
    <t>MCPGLHLCLWHARICGYQGFRHSFPGVSPMTRILALVLAAATATAAWSQELIDKGFVHGWNLMVDPALGNGCLIQTVYEDLSVVRLGYDRTGNRGYFTVFNKNWGSIEDGGSYPITFDLDGERFEATAIGANKGKVRGATVFFTDREFVHAIAQRKVMTVYGAEGQQVMAIDLKGTSKALEYARECQKAQN</t>
  </si>
  <si>
    <t>SPO3568</t>
  </si>
  <si>
    <t>YP_168763.1</t>
  </si>
  <si>
    <t xml:space="preserve"> hypothetical protein SPO3568 </t>
  </si>
  <si>
    <t>MMRPKRAKSAHGDESAANITRNARFSGPLVLTGIKWRPAMIETPYLLFLGDAPDQLAAKVAVGIKDWRPENAVGQLRMEGCKADLGLTDMDLAQAREAGAKTLVIGVANRGGVISQDWKKVLVMALEEGFDLASGLHNLLRDEPDLVAVAEACGRKLHDVRIPSVKYPIANGVKRKGKRCLAVGTDCSVGKMYTALAMDAEMRARGMKSTFRATGQTGILITGDGVPLDAVIADFMAGSVEWLTPDNDEDHWDLIEGQGSLFHVSYSGVTMALVHGGQPDALILCHEPTREHMRGLPGYQLPTLEAVRDMALSLAKVANPACQVVGVSINTQHMSEADARAYLAGIEAEMGLPATDPFRFGPGKLVDALAAM</t>
  </si>
  <si>
    <t>SPO3607</t>
  </si>
  <si>
    <t>YP_168802.1</t>
  </si>
  <si>
    <t xml:space="preserve"> hypothetical protein SPO3607 </t>
  </si>
  <si>
    <t>AAV96875.1</t>
  </si>
  <si>
    <t>MAQRLTARPRPRPRARIGARCESLYPARANPLSRRSNIMTRRRTGWTLVTAALLLPGMAMGFQAFNRFEVYPVSKGVFEVVNRHGSAPKDFWCGAGDYAIRVLRTSATQRIYLVRPVGPAATVKGRKGVQFSLQPPEGADTTPGYSVSVKKVGDNMNASLAQNYCYDRLTDDFWLRP</t>
  </si>
  <si>
    <t>SPO3652</t>
  </si>
  <si>
    <t>YP_168847.1</t>
  </si>
  <si>
    <t xml:space="preserve"> hypothetical protein SPO3652 </t>
  </si>
  <si>
    <t>AAV96934.1</t>
  </si>
  <si>
    <t>MPACRYPIASDQGFLMRFFVPFVVALFSTVTPGLAGSYSTETTVTAATVFPQGAAVRRQLSMELPAGRHDLTLLGIPVDGPELETLDIQVAGARVLARKFRHSDVPWHDYRSAAYLAARERVRAVEQQILAVRDAAETARLRARAADQASGFLARLGENEGLAGAEPETLRAITRMIAEEALTSARAAQDAEIEARGIERKLTALEEELQAAMQDLAAVSGATEDRGVLTLDLELEAEGTVEIDIGYLTLEAGWQPVTDLYLTTGASPQVDIRLGARVTQDTGDDWSEIALSISTLRPMDRASPSTLWPLLRRIVEPEREERMFKGAMAEAVVEAPVIVDEFQPAYDVPGTGQTYTLSAPVTLISGVEDTFLEIGRVSEAAEVFAQAAAQHDSHAFRMARFRNSTGRTILPSDSGRRFVDGVMVALEATPQIVEGEEVTLGFGPIYGLTVERAVLNRSTGDTGIITRSNAQNERVEIAVRNLTGESWPLRVFDQVPYSEQEDLVIDWTATPKPDEQDVDRLRGILAWKMELAPEAERIIRLDTAINWPEGMELR</t>
  </si>
  <si>
    <t>SPO3713</t>
  </si>
  <si>
    <t>YP_168907.1</t>
  </si>
  <si>
    <t xml:space="preserve"> hypothetical protein SPO3713 </t>
  </si>
  <si>
    <t>AAV97013.1</t>
  </si>
  <si>
    <t>MTKVGIIANPVSARDIRRIVSHAGNLPINDRANIVLRMLTGLMATGVEEVVIMPENGGIRTQLMRTIDREARMGHLRFPRVSYLDMPVTCTSDDSAEAARQMHDQGVGAIVVLGGDGTNRVVVSRCGNTPIAGVSTGTNNAFPELREPTITGLAVGLAVTGQVPCDHAYSYNKRLEVRVNDQREIALVDVAVVSERFIGARAIWKTANFRDLFVTFGRPDGIGMSSIIGLLAPLDRQTPEGRRARLLPLETAKTRLVAPIAPGLIEEVGIGGVEKVLPDTVYLPSVSAGSFALDGERELTFSETCDVSIRLQTDAFRTVNVPDCMAYAARHGLLTRAASEALRSAHQTGRTT</t>
  </si>
  <si>
    <t>SPO3793</t>
  </si>
  <si>
    <t>YP_168987.1</t>
  </si>
  <si>
    <t xml:space="preserve"> acetoin catabolism protein X </t>
  </si>
  <si>
    <t>AAV97028.1</t>
  </si>
  <si>
    <t>MGRVLDRLFHLREMRRWRRAARNALSTPLSELRGQRNRARDLRTHLDRLINVADGRLALPLIGSSFFPKPHGTDWSWRPELWRGPLASPGLSSVPTRSTLGGEVTLFHDCEFSELTLRQLRNLREADLAPYGLRMDVFKFDGSFLSLVIDLPETAAEGMTRAHLLRVDTIIESEKPLEIFARLNIRHGPNTEQIVRELPLHEQDVMVEFDLAYSRLNEKRIEKIWLDLIFEAPEMNQVILRDLTFCRHRRAAL</t>
  </si>
  <si>
    <t>SPO3814</t>
  </si>
  <si>
    <t>YP_169002.1</t>
  </si>
  <si>
    <t xml:space="preserve"> hypothetical protein SPO3814 </t>
  </si>
  <si>
    <t>AAV97073.1</t>
  </si>
  <si>
    <t>MGKRDDLIAQYADDLKNKCGMTPDMDLLTKVTIGCGPAIYDADASTVASSQPSELETVKNNFLIKKLGLADGPELDAAIAKVVDTYGKSERNKYRAVVYYMLTKHFGKESVYG</t>
  </si>
  <si>
    <t>SPO3859</t>
  </si>
  <si>
    <t>YP_169047.1</t>
  </si>
  <si>
    <t xml:space="preserve"> hypothetical protein SPO3859 </t>
  </si>
  <si>
    <t>Anova (p)</t>
  </si>
  <si>
    <t>A</t>
  </si>
  <si>
    <t>B</t>
  </si>
  <si>
    <t>YP_001225848.1</t>
  </si>
  <si>
    <t>hypothetical protein SynWH7803_2125</t>
  </si>
  <si>
    <t>Photosynthesis</t>
  </si>
  <si>
    <t>MSLSSSSNDPLANVPSDRLWLRSELMGTQVITRDTGRRLGVVGEVIVDIDGREVVALGLRDNPLTRFLPGLPRWMPLDRIRQVGDVILVDSADSLSEAFSPERYSRVINCQVITESGQQLGRVLGFSFDIETGELTTLVTGAVGVPLLGEGVLSTWEIPVEEIVSSGADRIIVYEGAEDKLKQLNSGFLEKLGVGGPSWEEQERERYRVNVVPVENQLSSGQSAEDTPRQLEASSSQRFDADQAELEYVELEQPRQDEVRRRRYLDELPLEEESGRYEPQERYQPQERYQPQERYESEERYEPQERYEQPRNDPPRDVDQDRDFDRRPSQFDETPPQPRPDRRPRPASRRPIERPGEPLDVEPMDQEPQPRSPREPMDDPW</t>
  </si>
  <si>
    <t>YP_001224507.1</t>
  </si>
  <si>
    <t>photosystem II protein D1</t>
  </si>
  <si>
    <t>MATAIRSGRIGGWERFCQWVTDTNNRIYVGWFGVLMIPCLLAATTCFIVAFIAAPAVDIDGIREPVAGSLIYGNNIISGAVVPSSNAIGLHFYPIWEAASLDEWLYNGGPYQLVVFHFLIGISAYMGRQWELSYRLGMRPWICVAYSAPLSAAFAVFLVYPFGQGSFSDGMPLGISGTFNFMLVFQAEHNILMHPFHMLGVAGVFGGSLFSAMHGSLVTSSLVRETTEAESQNYGYKFGQEEETYNIVAAHGYFGRLIFQYASFNNSRSLHFFLAAWPVVGIWFTSMGISTMAFNLNGFNFNQSVLDAQGRVLNTWADVLNRANLGMEVMHERNAHNFPLDLAATESTPVALQAPTIG</t>
  </si>
  <si>
    <t>YP_001224205.1</t>
  </si>
  <si>
    <t>dihydrobiliverdin:ferredoxin oxidoreductase</t>
  </si>
  <si>
    <t>MFDSFLNKLHQGIHQRGGQPAAVPEGLEHCHSSKSGGSIDSWLWSVPGFRRWRVTRLDAGESLQVLNSVAYPDHSLDHPLMGVDLLWFGARQKLVAVLDFQPLIQDQDYLDRHFQGLKALHERFPELNGEETMRSFDPNQYFSPWLLFCRGGAQEAEESLPAAFDAFLTAYWAMHDQALDVEAAGTSASTLSINDVERLQEAYDVYSAERDPAHGLFTSHFGKDWSDRFLHEFLFPASQST</t>
  </si>
  <si>
    <t>YP_001224947.1</t>
  </si>
  <si>
    <t>photosystem I reaction center subunit X</t>
  </si>
  <si>
    <t>MFLSLLAITPASVSWTPKVALVMIICNVIAIAIGKATIKYPNEGAKMPSASFFGGMSHGAMLGCTSFGHLLGMGAILGLSTRGVF</t>
  </si>
  <si>
    <t>YP_001224242.1</t>
  </si>
  <si>
    <t>ferredoxin</t>
  </si>
  <si>
    <t>MPVIRFVREGRDVECYPGENLRDVALREGIQLYGLKGQLGNCGGCGQCITCFVEVKGDQTAAASLTGRTAVEEAKLRRRPDSWRLACQALVERSVVILTRPQVSMSDQRRRIEAALNAPLPPGPTAWPVVETSEEEEEADADADDQSQLSNEAPATPGDEP</t>
  </si>
  <si>
    <t>YP_001225878.1</t>
  </si>
  <si>
    <t>putative phycoerythrin linker protein CpeS-like protein</t>
  </si>
  <si>
    <t>MTLEIPDALSFFRLSCGQWRSQRSVHHLLHRRAEAGGSLIVVDDLLPTDDRLVAMARQHGQDPARIIGGSHVRWSANMAWDRDGDAHDGETCFALIADADAERSGTLLRDQGYAEKAPATSTFSMDDRDGLILRTSYEMMTVWERFSFNGPNVRVRSSTVEGLSNNASFCVETRLSDAAPRGAASASGPVNSLFGW</t>
  </si>
  <si>
    <t>YP_001224520.1</t>
  </si>
  <si>
    <t>high light inducible protein</t>
  </si>
  <si>
    <t>MERNSAQDSWFQGSAARAIHEEQLAKVERFNGRAAMLGFVIGVITEGLTGQGILHQIGLGPLVDGYAACSAQYLPFCF</t>
  </si>
  <si>
    <t>YP_001225926.1</t>
  </si>
  <si>
    <t>photosystem II complex extrinsic protein precursor U</t>
  </si>
  <si>
    <t>MKRLLSWLTGLVVMAGLLFSLATPSGVQAADIRNVADDKIAERGDKVDLNNSSVRRFQQFPGMYPTLAGKIVLGGPYESVDDVLALDLTDRQKELFEKYRDNFTVTAPSIALNEGFDRINDGQYR</t>
  </si>
  <si>
    <t>YP_001225369.1</t>
  </si>
  <si>
    <t>photosystem I assembly protein Ycf4</t>
  </si>
  <si>
    <t>MAAELLEQPVLGSRRLSNILVAAMVTIGGVGFLFASLSSYLGRDLLPLGHPAGLVFVPQGLVMGLYSIAAALLATYLWAVIAIDVGSGSNRFDKQAGVITISRRGFRKPISVEIPLKDVQAVKVEVRDGFNTRRRVSLRVQGRRDMPLTRVGEPLPLAQLEQDGAELARFLGVNLEGL</t>
  </si>
  <si>
    <t>YP_001224208.1</t>
  </si>
  <si>
    <t>C-phycoerythrin class I beta chain</t>
  </si>
  <si>
    <t>MLDAFSRSVVSADAKTAAVGAGDIAALRQYVAEGNKRLDAVNAITSNASCIVSDAVTGMICENTGLIQAGGNCYPNRRMAACLRDGEIILRYISYALLAGDASVLDDRCLNGLKETYIALGVPAQSAARAVAIMKASATAHIGETNTQANGGAKFRKMETTQGDCSALVAEAASYFDRVISAIA</t>
  </si>
  <si>
    <t>YP_001224114.1</t>
  </si>
  <si>
    <t>photosystem I P700 chlorophyll a apoprotein A1</t>
  </si>
  <si>
    <t>MTISPPERGSTAKTQVEKVDNPATFELFGKPGHFDRALAKGPKTTTWVWNLHANAHDFDSHTSDLEEVSRKIFSAHFGHLAVIFIWLSGAFFHGARFSNFSGWLADPTHVKPSAQVVWPVFGQEILNGDMGAGFQGIQITSGLFHVWRAWGITNETQLMSLAIGALVMAGLMLNAGVFHYHKAAPKLEWFQNVESMLNHHLAGLLGLGSLSWTGHLLHVSLPTTKLMDAIDAGQPLVLNGKTIASVADIPLPHEFFNQDLLAQLYPGFGAGIGAFFSGNWAAYSDFLTFKGGLNPVTGSMWMSDIAHHHLAIAVLFIVAGHMYRTNWGIGHSIKEILEGQKGDPLLFPATKGHDGLFEFMTTSWHAQLAVNLAMLGSLSIIVAQHMYAMPPYAYMSIDYPTQIGLFTHHMWIGGFLIVGAAAHAAIAMIRDYDPAKHVDNVLDRVLKARDALISHLNWVCIWLGFHSFGLYIHNDTMRALGRPQDMFSDSAIQLKPVFAQWIQGLHAAAAGSTAPNALAGVSEVFNGSVVAVGGKVAAAPIPLGTADFMVHHIHAFTIHVTVLILLKGVLYARNSRLIPDKANLGFRFPCDGPGRGGTCQVSAWDHVFLGLFWMYNSLSIVIFHFSWKMQSDVWGTVNADGSVQHITNGNFANSAITINGWLRDFLWAQAAQVINSYGSNTSAYGLMFLGAHFVWAFSLMFLFSGRGYWQELIESIVWAHNKLKVAPAIQPRALSITQGRAVGVAHYLLGGIATTWAFFHAHILVVG</t>
  </si>
  <si>
    <t>YP_001224936.2</t>
  </si>
  <si>
    <t>Thf1-like protein</t>
  </si>
  <si>
    <t>MTGLRTIADSKRAFHAAFPYVIPSLYRRTADELLVELHLLSHQTQFKTNALFAVGLRQVFTAFTKGYRPADHLPQLFDALCSCNGFNAEELKSLAEGSEQAVSGHSVDEVQTWLQAKGDGAPGPLATGLADIAGEQFHYSRLMAVGLFSLLSSAQGDSQDPEELCKTAHTIGEQIGLSRPRLEKDLSLYRNNLEKMAQAVELMEETLASERRKRERQASENKQPQD</t>
  </si>
  <si>
    <t>YP_001225283.1</t>
  </si>
  <si>
    <t>ferredoxin-NADP oxidoreductase</t>
  </si>
  <si>
    <t>MRVSSAANNTYNERVFTLVVVGLQSSNQRRSEQTFTVSYDRLQSTVQRINACGGRILSVTAGNASAPAHSPGSSASNVPKAPATSTVTDTPSKPAHKTVPVNLYKPKAPFIGTVTENYSLLKEGAIGRVQHITFDLSGGDPHLAYVEGQSIGIIPEGEDAKGKPHKLRLYSIASTRHGDNMEGNTVSLCVRQLEYKNEAGEEIKGVCSTYLCDIEPGTKVKITGPVGKEMLLPDDEDANVIMLATGTGIAPMRTYLRRMFEPTEQEKNGWTFRGKAWLFMGAPKTPNLLYDEDFEHYERQYPDNFRYTKAISREQQNTKGGRMYIQDRVLEHADEIFSMIENPKTHVYMCGLRGMEPGIDEAMSAAAAAKGLDWSELRPQLKKAERWHVETY</t>
  </si>
  <si>
    <t>YP_001225247.1</t>
  </si>
  <si>
    <t>photosystem II PsbP protein</t>
  </si>
  <si>
    <t>MRVQLHSSLRTLCALFCVLMLTACSGAGAGLNSFKSPDGRYAFLYPSGWTRVAVTGGPQVVFHDLINSDETVSLVVSDVDPDNDLEGLGSAVAVGERLRREVIAPEGSGRVADLIEARERESDGHTFYDLEYAVHLQDRDRHELATVVVDRGRLYTLATSTNEARWTKVQGLFESVITSFTLLI</t>
  </si>
  <si>
    <t>YP_001224204.1</t>
  </si>
  <si>
    <t>phycoerythrobilin:ferredoxin oxidoreductase</t>
  </si>
  <si>
    <t>MSSLVRTSSLDPVQIKGWRWQPFLDKAISALETFRLSPYPIDETFLQREGSTGSKSKPVPVTTATWACATDKLRQVRCACVEAGTAASVLNFVINPSCRFDLPFFGADLVTLPNGHLLALDLQPVDKADPEHTGPVWERLMPVFERWQAELPDGGPIPEEAQPYFSPAFLWTRIPLGEEGDALIERVIRPAFIEYLQLYLKLVAEAQPVNDDRAASLLAGQKRYTAYRAEKDPARGMLTRFYGSEWTESYIHDVLFDLEKAASTSLS</t>
  </si>
  <si>
    <t>YP_001224210.1</t>
  </si>
  <si>
    <t>phycobilisome linker polypeptide, C-phycoerythrin class II-associated</t>
  </si>
  <si>
    <t>MPAIKFKRDFTHQDRVSFSFSNSRDAAKGSAEKGGQVASSPAEFKENQCGSMGIGSGPRIHEVCPFSAVNHSYAATGEGALSQAISAAYKQVFGNIGITDSQRLVSLEAFLRDGRITTRDFMAGLVKSELYKQTFFFAVSPMRGVELTVKHLLGRPPVSQSEVGAAIKMIADEGFDAFVDHLVRSEEYLETFGTDTVPYLRAFKSEARAYCSTFVSMAELAPANASAENVMYSGPLLVRRLVKTGLSVNAINPRAFDTSVEFSYTNAVGNTRNPAFRRIYGGKFAY</t>
  </si>
  <si>
    <t>YP_001225879.1</t>
  </si>
  <si>
    <t>phycobilisome rod-core linker polypeptide cpcG (L-RC 27.8)</t>
  </si>
  <si>
    <t>MALPLLQYAPTTQNNRVAAIRVASDENQRTRQMDISMDPENLKTVIESAYRQIFFHAFKSDREIFLESQLRSGQITVRDFIRGLCLSDTFKRSFYNLNSNYKVVRHLVEKVLGRKTHGKSEEIAWSIVIATKGVEGMVDALLDSEEYLNAFGYDTVPYQRNRVLPGRELGETPFNITTPRYDEYYRGILGFPQVVYTGTAKALPARAKRVRGGSPSDYLPWVRGLSNARGASPSGSADIDYLAKVPYRSVGR</t>
  </si>
  <si>
    <t>YP_001224480.1</t>
  </si>
  <si>
    <t>hypothetical protein SynWH7803_0757</t>
  </si>
  <si>
    <t>MIVVKLTSCLLAAALATSTVELIPAPSVRAESLLSQATEAPRTGLSPRQATEAATALLQAIQTKNAAGIYALLSSPLQAATTAEAVAKRLESAPGIETFRVVAVNPGMDDTTVDTVAITNGGTREVPLMLVLDDDGKLLAWKWVGTMRPIEQTALNFVKDLDAGRWVAARYYLDLDFQKEISPADLQRKWTKLETVLGGVKRIKSALVASQGGEQQLVLVTIEFGKVTDNLFVIFNRQGRIINVDFSADLV</t>
  </si>
  <si>
    <t>YP_001224256.1</t>
  </si>
  <si>
    <t>cytochrome b6</t>
  </si>
  <si>
    <t>MANSSPVYDWFQERLEIQDIADDISSKYVPPHVNIFYCLGGITLVCFLIQFATGFAMTFYYKPTVAEAYSSVQYLMTDVSFGWLIRSVHRWSASMMVLMLILHVFRVYLTGGFKRPRELTWVTGVTMAVITVSFGVTGYSLPWDQVGYWAVKIVSGVPAAIPVVGDFMVELLRGGESVGQSTLTRFYSLHTFVMPWLLAVFMLMHFLMIRKQGISGPL</t>
  </si>
  <si>
    <t>YP_001225748.1</t>
  </si>
  <si>
    <t>anchor polypeptide LCM</t>
  </si>
  <si>
    <t>MTVTASSGSPRVSPQLYDTLPLSSVRQAEQQDRFPDGGELDSLITFFRSGNDRLEASRIIAANAESIVARAANRIFVGGTPLSFLESPLTTGEERRAGDDTPLAADQVAFAQSVRTFTGESATTKRGNFLTRLLDGSSGDADVRVVLPTGFNAISVAKYGPAFMRKSVRDMGWFLRYVGYALVAGDPSILSVNTRGLRDILLKNCSLTATNVALQEMRAASAQLLRELPEARRLTIDCFNVLLQELAVATPSTRQKPGSAVRQGLQLPAIYALAAESAQRFEMRPGLSGAEKAEIVKAAYRQVFERDIAKGYSQTPCRSEASQLVQGKISMREFIRALGKSKEYRTQFYGRFVNSRVVELAYRHFLGRGISSLEEFRKAFSIVSEQGLNGLVDVLVNSSEYAQTFGEETVPYLRDLGEEAQESAGWGSNRRLFRFSAPFEGAPQYVTLYASYRQPFGDQHVYGGGNDPVGNQYGAIFPSSTASVATRPAPFGYDTRRLLVSNGMAQPGQMDSPQFRGSRPRKVGPRVLRLQQIATGGAARPRRGGQPSIRNTESSTQAVIKAVYVQVLGTAGYAGERLSSEEARLENGDISLRDFVRSVARSNAFRRRYWEGLYITKAIEVMHRRLLGRPTFGRWEIDALFDTAARRGFYGLVDALIDGQDYKDCFGEDTVPYERFITPADLNTRRAPALRRPIDVTAVVDLAMGRRPDSVRNDRLRTTSDVTTRNLTGQTQTAAGQWRADLSSMPASNWSPLMRRRPQRSSTSPGSAQDTANSWSRTLDSRFTRTIQQDQGKTGLTAALQVGNALGFQRRTGLPAKLSLPVNPSESELREVADATYRQLLNRVPLESERLITSESRLRDGQIDLEGFVAAVATSEAFMERLSKMAPLRAATAAAMALVGRASTPAETSRFLIVRAESGQCAAVQELLDLRSKLGFESSEVPGLQGLSSQPGVTQPTLTRTASLYSGNAGLTPPTSQPL</t>
  </si>
  <si>
    <t>YP_001225749.1</t>
  </si>
  <si>
    <t>allophycocyanin subunit alpha</t>
  </si>
  <si>
    <t>MSIVSNSIINADAEARYLSPGELDQIKAFVGGGQRRLRVAQVLSESRERIVKTAGGQLFQKRPDVISPGGNAYGEEMTATCLRDMDYYLRLVTYGVVAGDVTPIEEIGVIGARELYRSLGTPLEAMAEAVREMKTVAMSILSGADAEEAGFYFDYVVGALA</t>
  </si>
  <si>
    <t>YP_001224301.1</t>
  </si>
  <si>
    <t>light repressed protein A-like protein</t>
  </si>
  <si>
    <t>MKLLIHGRNLDVTPALRDYTETKLDRAIHNFGDLVKEADVHLSVARNPRVPQQTAEVTVFANGTVIRAQERSENLYASIDLVASKLARQLRRFKDRHSDHHHSHGHRASETPTTESVLDDEAIVESLLDGKEVQLPSPGVRRKYFSMPPMTLEQARQQLDLIDHDFYLFRDSASGDLQVIYRRNHGGYGVIEARD</t>
  </si>
  <si>
    <t>YP_001225751.1</t>
  </si>
  <si>
    <t>putative phycobilisome linker polypeptide</t>
  </si>
  <si>
    <t>MRLFKVTACIPSPEKVRTQRELQNTFFTKWVPYDSWFAEQQRIQKQGGRIIKVELCTGSRQVNVGN</t>
  </si>
  <si>
    <t>YP_001224216.1</t>
  </si>
  <si>
    <t>C-phycoerythrin class II beta chain</t>
  </si>
  <si>
    <t>MLDAFSRQAVSADSSGSFIGGAQLNDLKAFIAEGNKRLDAVNAITANASCVVSDSVAGICCENTGLTAPNGGVYTNRKMAACLRDAEIIMRYVSYALLAGDASVLQDRCLNGLRETYAALGVPSGSAARAVAIMKASACAHITNTNNTTGEKRKMPVTEGDCNALSAEAASYFDMVISAIS</t>
  </si>
  <si>
    <t>YP_001224224.1</t>
  </si>
  <si>
    <t>phycobilisome linker polypeptide, C-phycoerythrin class I-associated</t>
  </si>
  <si>
    <t>MTATISSLRCDANQDRSQASDIIRAAYRQVFGNRYLMELDVQPSIEALFINGDLSVQGLVTALAQSDTYRRLYLEANSPYRFVELNFKHLLGRPPRNQAEISEHVRLLADEGFDAEIASYTYSDEYLRNFGVDTVPYARTQTSVVGESTVAYRRNQAMDPGFAGFDADQASVLQVSLASNSNPNAAGTRKVVGGGNRFTVLWTSRVQLGAVRRSAQRSVVSYSSLSRTIQSIQAQGGRILSIANA</t>
  </si>
  <si>
    <t>YP_001225370.1</t>
  </si>
  <si>
    <t>photosystem II D2 protein</t>
  </si>
  <si>
    <t>MTIAVGRAPQRGWFDVLDDWLKRDRFVFVGWSGILLFPTAYLAIGGWLTGTTFVTSWYTHGIASSYLEGCNFLTAAVSTPADAMGHSLLLLWGPEAQGDFVRWCQLGGLWAFVALHGAFALIGFMLRQFEIARLVGIRPYNAIAFSGPIAVFVSVFLMYPLGQSSWFFAPSFGVAAIFRFLLFLQGFHNWTLNPFHMMGVAGILGGALLCAIHGATVENTLFEDGEQANTFKAFEPTQEEETYSMVTANRFWSQIFGIAFSNKRWLHFFMLFVPVMGLWTSSIGIIGLALNLRAYDFVSQEIRAAEDPEFETFYTKNILLNEGLRAWMAPADQPHENFVFPEEVLPRGNAL</t>
  </si>
  <si>
    <t>YP_001225371.1</t>
  </si>
  <si>
    <t>photosystem II CP43 protein</t>
  </si>
  <si>
    <t>METPFNSGLIATGGKDLDSTGYAWWSGNARLINLSGRLLGAHVAHAGLMVFWAGAMMLFEVSHFTFDKPMYEQGLILFPHVATLGYGVGPGGEVTDLYPFFVVGVLHLISSAVLGLGGLYHALRGPEILENYSTFFSQDWRDKNQMTNIIGYHLILLGVGCLLLVFKAMFFGGVYDTWAPGGGDVRLITNPTLDPGVIFGYLFRAPFGGEGWIIGVNSMEDIIGGHIWLGLTLIFGGIWHVITKPFGWVRRAFIWNGEAYLSYSLGALSFMSFIASAYIWFNNTAYPSEFYGPTNAEASQAQSFTFLVRDQRLGANIGSAMGPTGLGKYLMRSPTGEIIFGGETMRFWDFRGPWLEPLRGPNGLSLDKLQNDIQPWQVRRAAEYMTHAPNASINSVGGIITEPNSVNFVNIRQWLAATQFILAFFFLIGHLWHAGRARAAAAGFEKGIDRQAEPTLAMPDLD</t>
  </si>
  <si>
    <t>YP_001224215.1</t>
  </si>
  <si>
    <t>C-phycoerythrin class II alpha chain</t>
  </si>
  <si>
    <t>MKSVLTTVIGSADSGSRFPTSSDLESVQGSLQRAAARLEAAEKIAQNYDAIAQRAVDAVYTQYPNGATGRQPRQCATEGKEKCKRDFVHYLRLINYSLVVGGTGPLDELAINGQREVYKALSIDPGTYVAGFTQMRNDGCAPRDLSPQALTEYNAALDYVINSLA</t>
  </si>
  <si>
    <t>YP_001224209.1</t>
  </si>
  <si>
    <t>C-phycoerythrin class I alpha chain</t>
  </si>
  <si>
    <t>MKSVVTTVVTAADAAGRFPSQNDLEAVQGNIQRAAARLEAAEKLAAGLDAVTKEAGDACFNKYPYLKQPGEAGENQTKVDKCYRDLGHYLRLINYCLVVGGTGPLDEWGIAGAREVYRTLGLPTGPYVEALTYTRDRACAPRDMSPQALNEFKSYLDYVINALS</t>
  </si>
  <si>
    <t>YP_001224119.1</t>
  </si>
  <si>
    <t>photosystem I reaction centre subunit XI</t>
  </si>
  <si>
    <t>MTVTPVADPTVGNLATPVNSSYFTKAFLNALPAYRPALSPNRCGLEVGMAHGFFLYGPFTICGPLRLTEYSTTAGLLATIGLVSILTVCLSIYGTAGNGPNVQPADATIDNPPADLFTKAGWAEFASGFWLGGCGGAAFAWFLTGTALVAPLVNIAGGVWSVN</t>
  </si>
  <si>
    <t>YP_001224115.1</t>
  </si>
  <si>
    <t>photosystem I P700 chlorophyll a apoprotein A2</t>
  </si>
  <si>
    <t>MATKFPSFSQGLAQDPTTRRIWYGIATAHDFESHDGMTEEKLYQKLFSTHFGHLAIIGLWVSGNLFHIAWQGNFEQWVADPLHVRPIAHAIWDPHFGQGAIDAFTQAGASSPVNIAYSGLYHWFYTIGMTTNAELYQGSIFMMILSAWALFAGWLHLQPKFRPSLAWFKNAESRLNHHLAVLFGFSSIAWTGHLVHVAIPESRGQHVGWDNFLNVMPHPAGLGPFFTGNWGVYAQNPDTMGQVFGSAEGSGTAILTFLGGFHPQTEALWLTDIAHHHLAIGVIFVIAGHMYRTNFGIGHSIREILEAHNPPQGTPGDLGAGHKGLYDTINNSLHFQLGLALASLGVVTSLVAQHMYAMPSYAFIAKDYTTQAALYTHHQYIAIFLMCGAFAHGAIFFIRDYDPEANKDNVLARMLEHKEAIISHLSWVSLFLGFHTLGLYVHNDVVVAFGTPEKQILVEPVFAQFVQAASGKAIYGFDVLLANTGGVAANANAAYMGGWMDAINGVRGSNDLFLPIGPGDFLVHHAIALGLHTTTLILVKGALDARGSKLMPDKKDFGYSFPCDGPGRGGTCDISAWDAFYLAVFWALNTVGWVTFYWHWKHLAIWQGNVAQFNESSTYLMGWFRDYLWLNSSQLINGYNPFGSNNLAVWAWMFLFGHLVWATGFMFLISWRGYWQELIETIVWAHQRTPLANLVGWRDKPVALSIVQARVVGLAHFTIGYILTYAAFLIASTSGKFG</t>
  </si>
  <si>
    <t>YP_001225782.1</t>
  </si>
  <si>
    <t>MIEPTTIPVRRLPRYGFHTHTERLNGRAAMLGFIALLAVEIKLGHGLLIW</t>
  </si>
  <si>
    <t>YP_001224228.1</t>
  </si>
  <si>
    <t>phycobilisome rod-core linker polypeptide cpcG (L-RC 28.5)</t>
  </si>
  <si>
    <t>MSLPLLDYPLSTQNNRVANITSRAEGFNQVVNQSTSSRDLLIEKAYRQIYFHAMKHDRDTCLESQFRAGSITMRDFVRQLLLSERFQQSYYQCNSNYRMVDQVIGRVLGRSVHNDGERRAWSIVIGEKGFTAFVDALLESDEYMNNFGYDRVPEQRARVLPGQPTGEIPIYQQFPRYGADWRDSLQDRAPSDQSQWQQLQASSTWVNGQPPALALKIWLGIAAVGAFELGRVILVIAVSMLRT</t>
  </si>
  <si>
    <t>YP_001224263.1</t>
  </si>
  <si>
    <t>photosystem I reaction center subunit IV</t>
  </si>
  <si>
    <t>MAISRGDMVRIKRPESYWYNEVGKVASIDTSGIRYPVVVRFEQVNYNGISGSEGGINTNNFAESELEPA</t>
  </si>
  <si>
    <t>YP_001225011.1</t>
  </si>
  <si>
    <t>MSVVRDLILKADDDLRYPSSGELNSIVEFLGQGSLRLSVVRILSDNEKKIVDESARQLFSLRPEYVAPGGNAYGQKQRAQCLRDYSWYLRLVTYGVLAGSTEMIEQIGLIGAREMYNSLGVPMPGMVDAMRAMREASLVLLSDDQQRLAGPYFDFLIQGMQTST</t>
  </si>
  <si>
    <t>YP_001224241.1</t>
  </si>
  <si>
    <t>photosystem II P680 chlorophyll A apoprotein (CP-47 protein)</t>
  </si>
  <si>
    <t>MGLPWYRVHTVVINDPGRLLAVHLMHTALVAGWAGSMALYELAIFDPSDPVLNPMWRQGMFVMPFMARLGVTDSWGGWSITGATGVDPGFWSFEGVAAAHIVFSGLLMLAAIWHWTYWDLEIWQDPRTGEPALDLPKIFGIHLLLAGLGCFGFGAFHLTGVFGPGMWISDPYGITGHLEPVQPSWGPEGFNPFNPGGIVAHHIAAGIVGIIAGIFHITTRPPERLYKALRMGNIETVLASAIAAVFFAAFIVAGTMWYGAAATPIELFGPTRYQWDQNYFKTEINRRVQTAMDQGATASEAYASIPEKLAFYDYVGNSPAKGGLFRVGPMVNGDGLPTGWLGHISFTDKEGRDLQVRRLPNFFENFPVILEDSDGIVRGDIPFRRAEAKYSFEQQGITATVYGGALDGQTFTDPAEVKRLARKAQLGEAFEFDRETYNSDGTFRSSPRGWFTFGHATFALLFFFGHIWHGARTLYRDVFAGIDPDLGEQVEFGLFQKLGDRSTRRLPDGYVPPAGSPLS</t>
  </si>
  <si>
    <t>YP_001224203.1</t>
  </si>
  <si>
    <t>R-phycocyanin II beta chain</t>
  </si>
  <si>
    <t>MFDAFTKVVAQADARGQFISASEIDALAAMVSDSNKRLDAVNRISSNASTIVASAARQLFAQQPSLIAPGGNAYTSRRMAACLRDMEIILRYVTYASFAGDASVLEDRCLNGLRETYLALGTPGASVAAGVNLMKESALAIVNDRAGISAGDCASLSSEIGTYFDRAAAAVA</t>
  </si>
  <si>
    <t>YP_001223973.1</t>
  </si>
  <si>
    <t>Ycf48-like protein</t>
  </si>
  <si>
    <t>Photosynthesis system II assembly factor</t>
  </si>
  <si>
    <t>MPGMSSLLKPLIQLVLVACIGFGLGGCVTTRVPMATSSPWQVVDLNTDANPLDVAFTSADHGFLVGSNRLILETNDGGSSWNERSLDLPDEENFRLLSIAFEGDDGWIAGQPGLLMHTTDGGQNWTRLFLDTKLPGEPYLITALGPDSAELATNVGAVYRTRDGGGSWEAKVSDAAGAVRDLRRGADGSYVSVSSLGNFYATWTPGQDVWQVHQRVSSQRLQSIGYQPDGNLWMVARGAQIRLNDTAEDFESWSKPIIPITNGYGYMDMAWSKDGAIWAGGGNGTLLVSRDGGDSWERDPESRQAPTNFNRFVFNDSQGQEHAFLLGERGLMLHWTAVS</t>
  </si>
  <si>
    <t>YP_001223921.1</t>
  </si>
  <si>
    <t>photosystem I subunit VII</t>
  </si>
  <si>
    <t>MSHAVKIYDTCIGCTQCVRACPLDVLEMVPWDGCKAGQIASSPRTEDCVGCKRCETACPTDFLSIRVYLGDETSRSMGLSY</t>
  </si>
  <si>
    <t>YP_001225700.1</t>
  </si>
  <si>
    <t>cytochrome c-550</t>
  </si>
  <si>
    <t>MASFLPNVRRSLSRLLIVLSAFAVLVIGTPAQAASWDAETLTVPADAEGSPVTFSEQQVKAGRKVFNTSCGTCHAGGITKTNHNVGLDPETLALATPARDNVAALVDYLQDPTSYDGEYSIADLHPSMRSRDLYPAMRDLTDEDLRLMSAYILVAPKVLGQEWGGGKIYF</t>
  </si>
  <si>
    <t>YP_001225573.1</t>
  </si>
  <si>
    <t>cytochrome b6-f complex iron-sulfur subunit</t>
  </si>
  <si>
    <t>MTQMPAGDVPGMGRRQFMNLLTFGSVTGVALGALYPVVNYFIPPRAAGSGGGTSAKDELGNAVTASGWLSTHPAGDRSLVQGLKGDPTYLIVEGDDAIGSYGINAICTHLGCVVPWNSGANKFMCPCHGSQYDATGKVVRGPAPLSLALANVSVENDNVFVSQWTDTDFRTGEKPWWA</t>
  </si>
  <si>
    <t>YP_001224076.1</t>
  </si>
  <si>
    <t>photosystem II manganese-stabilizing protein PsbO</t>
  </si>
  <si>
    <t>MRFRPLLALVLAFCFTVVTACSGGAQAVDRSNVTYDDIRNTGKANDCPTLSDSARGSIDLTAGDAYELRGICMHPTQVFIKGEPANKRQEAQFVEGKILTRYTSSLDEVYGTLTVGEDSISFKEEGGIDFQPITVLIPGGEEFPFTFSSKNLDAVANGAAITTSTDFEGTYRTPSYRTSNFIDPKGRALTTGVDYPQGLIGLGGDYKELESENVKRYIDGQGVMSMSITKVDPETGEFAGVFSAIQPSDSDMGGREIVDVKINGELYGRLEEA</t>
  </si>
  <si>
    <t>YP_001224202.1</t>
  </si>
  <si>
    <t>R-phycocyanin II alpha chain</t>
  </si>
  <si>
    <t>MKTPLTEAVSAADSQGRFLSSTEVQAASGRFNRAAASLEAAKALSAKADALVNGAAQAVYNKFPYTTQMEGSNYSTTPEGKAKCSRDVGYYLRMITYCLVAGGTGPMDDYLIAGLDEINRTFELSPSWYVEALKYIKSNHGLSGDAATEANSYIDYAINALI</t>
  </si>
  <si>
    <t>YP_001225567.1</t>
  </si>
  <si>
    <t>photosystem I reaction centre PsaF protein</t>
  </si>
  <si>
    <t>MRRLFALALSALLVFGFAPVAKADVAGLTPCAESARFQQRASAATTDQAKARFEMYSQAVCGEDGLPHLIVDGRWDHAGEFMLPGLMFLYIAGCIGWAGREYLKATRGTKEQYTKEIQIDLPLALKSCIAAATWPIAAFGELTSGKLLESDDKITVSPR</t>
  </si>
  <si>
    <t>YP_001225574.1</t>
  </si>
  <si>
    <t>apocytochrome f</t>
  </si>
  <si>
    <t>MRRLLSPLFAALIVGVTVLTAPSTSWAYPFWAQQNYDSPREATGKIVCANCHLAQKLTQAEVPQSVLPDSVFKAVVKIPYDTSVPEIGADGSEVPLQVGAVVMLPDGFTLAPQDRWTDDIKEETEGVYFSEYSDDQPNVILVGPIPGDQHQEIVFPVLSPDPATDSNIHFGKYSIHVGGNRGRGQVYPTGEKSNNTVFTAPSTGTVRSIEAGENGASVVTIASADGTELSETVPVGPALIVSVGDAVEAGAPITNDPNVGGFGQLDTEVVLQNPVRIYGLLAFFAAVALAQIMLVLKKKQFEKVQAAEGV</t>
  </si>
  <si>
    <t>YP_001224180.1</t>
  </si>
  <si>
    <t>photosystem I reaction center subunit II</t>
  </si>
  <si>
    <t>MTATALNGQLPQFIGSTGGLLNSAETEEKYAITWTSNSAQAFELPTGGAAMMNAGENIMYFARKEQCLALGTQLRTKFKPRIEDYKIYRIFPGGDTEYLHPSDGVFPEKVNEGRAMVGHNPRRIGQNTNPANIKFSGRNTFDA</t>
  </si>
  <si>
    <t>YP_001224226.1</t>
  </si>
  <si>
    <t>MPFGPASLLGVERFSQESEAPLELIPGDDDAKKEQIIRAVYKQVLGNAYVMESERQLVAESQFKLGEISVRELVRRIAKSELYRGRFFDACSRYRYIELAFRHLLGRAPVDFDEMRAHAERLDNHGYDADIDSFLDSSDYQDTYGEWTVPFQRGWKTEACGTLQEFTWSFQLLRGNSSSSLKGDLSGISSKLGGNAYQNRPMAVVAPSSTEPGGWSFRPAKNLQDAPTRHGVGAGEQGKTYRVEVTAYSANNVRRISRYTRSNRVYFVPFDKLSEQFKRIHAEGGKISSITPVN</t>
  </si>
  <si>
    <t>YP_001225069.1</t>
  </si>
  <si>
    <t>allophycocyanin subunit beta</t>
  </si>
  <si>
    <t>MRDAITGLIGRYDQLGRYLDRSAIDRIESYLDESAIRLKAVELINREAAELVREASQRLFQGDPELLLPGGNAYTTRRLAACLRDMDYFLRYASYALIAGDSTILNERVLNGLDDTYKSLGVPTGPTVRSMVLLADVLCERLLEEGVPSKSLDLVRAPFEHMASGLAASDVRQR</t>
  </si>
  <si>
    <t>YP_001224225.1</t>
  </si>
  <si>
    <t>phycobilisome linker polypeptide, C-phycoerythrin-associated</t>
  </si>
  <si>
    <t>MSASKGFGAESLNDGPVSFSRNRNAASKPALSSGEFLRQSCASMKIAIGPRNHEDCPHGVTAQRYAPADSASLDAAINAAYRQVYGNAHVMDNERSVELEAQFCNGELNVRDFVRGLAKSNFYRARFFEGVAPQRGIELNLKHLLGRPPINQAEMSAHITLLASGGHDAVIDFIVDGAEYAEVFGDDVVPYTRSFTSAAGIPTNSFANMAALERGFALSDSAIGSRSQLSNNLARGTTAYIQLPSGFRSGVSPSSPSGAMAFAPKKRASSDGGDFAPIRNDAYVGFGLGQREQEVFQRCPGDTADTINGLIRATYRQVMGNPHLMESERAMSAESKFAEGYLSTRELVRAIALSPEYSRRFFETNAPYRFVELNFKHLLGRAPTSQAELSEHIQILANDGYEAEINSYLDSTEYQSTFGEDTVPYLRILSEQGRSQLAFNRHLSLAEGYAASDTVLNSSSLVTSVATNSVPSGWRTTTTRTNRNGAVAGSPSATTKRFRIVVNAQPRGGRQRTPNASYLVSGKDMTSQLKYIHARGGRIVSITEVM</t>
  </si>
  <si>
    <t>YP_001225750.1</t>
  </si>
  <si>
    <t>MQDAITNVINKSDVQGLYLDTTSMSSLEGYFASGELRVKAAATISANASSIIRDAVAKALLYSDITRPGGNMYTTRRYAACIRDLDYYLRYSTYAMLAGDTSILDERVLNGLKETYNSLGVPIGATVQAIQAMKEVTASLVGPDAGKEMGVYFDYICSGLGN</t>
  </si>
  <si>
    <t>YP_001224405.1</t>
  </si>
  <si>
    <t>carboxysome peptide A</t>
  </si>
  <si>
    <t>Carbon fixation</t>
  </si>
  <si>
    <t>Secondary metabolites biosynthesis, transport and catabolism; Energy production and conversion</t>
  </si>
  <si>
    <t>MLIVKVIKPLVSTNRIPDFEHKHLQVVQDGSTKKVAVDAVGAKPGDWVICVSSSAAREAAGSKSYPSDLTIVGIIDHWEPDPPKSPATPSAPTTPSTPAPPSAPPGNSSGGQSA</t>
  </si>
  <si>
    <t>YP_001224407.1</t>
  </si>
  <si>
    <t>carboxysome shell peptide, CsoS1</t>
  </si>
  <si>
    <t>MAASAPAAAAPASAAPASAAPAASTIPAASSGSSSSGSAASRSSAGRSSTTTRRSTTSNRAAAGSGGRGSVAKPGPASPAPAAQPVQGIALGMIETRGMVPAIEAADAMTKAAEVTLISREYVGGGYVTVMVRGETGAVNASVRAGADACERVGDGLVAAHIIARPHQEVEPALIPTHVRRRG</t>
  </si>
  <si>
    <t>YP_001224161.1</t>
  </si>
  <si>
    <t>HAD family phosphatase</t>
  </si>
  <si>
    <t>Photorespiration</t>
  </si>
  <si>
    <t>MRIPVVSCELLVFDFDGVIVDGMQEYWWSARRAALSLRPGTALPDAIPDGFRALRPWIHHGWEMVLIAALLSEPSQALGAGDLQRVIRDYGAFCSEGLSRFGWTPTLLQERLEHVRREAVASDRARWLAMHRPYPGVPERLASLGDDGVAWAVLTTKGKDFTSELLASMGLTPARLDGRESGPKPEVLLSLQRDWQLKGFIEDRKATLETVRGTAGLEALPCWLASWGYLKPDDPATLPDGVRLLSPECFARPLASWN</t>
  </si>
  <si>
    <t>YP_001224398.1</t>
  </si>
  <si>
    <t>hypothetical protein SynWH7803_0675</t>
  </si>
  <si>
    <t>carboxysomes</t>
  </si>
  <si>
    <t>MNRFAGFDARERRVGGSALVTGTEVQPSASGASCVVTTDSESSRLTRRNSHVQSIELRTHVFIDSLQPQLAAYMGSVSQGFLPIPGDACLWMEVSPGMAVHRVTDIALKASNVRLGQMVVERAFGSMALYHRDQSTVLHSGDVVLEAIGSSIDQRSPAEVSWTEVIRAITPDHAVLINRQNRRGSMIEAGMSMFILETEPAGYVLIAANEAEKSSNITLVDVKAVGAFGRLTLAGREGDVEEAAAAAMRAIDQVNQRTRLR</t>
  </si>
  <si>
    <t>YP_001224846.1</t>
  </si>
  <si>
    <t>proton extrusion protein PcxA</t>
  </si>
  <si>
    <t>MAGRNWLDTFGRAKSLDVNADLDRGYEAALLIQSLELEYYGDRPIRPDLELSVPSSVQATVLRKFRAAISVCRASLDKLEYQRGELDPQELRQLQLIESVVNRYSPRRTASAPTISRSPDPLPRSLLGIFDTLRRQLNPTAEATLVAGFRRRRDSTLISLKVLLLLILVPLLVQQVSRTYIISPAVDRYAPDLPFLSYPKPQLEEQAVEKLRVYKAEIEFDALLRGDSIPTQEELQKKLSAKAEELKQEADSESTHAVKNVIADLAATVAFVVVCVFSREELRVLRGFFDEAVYGLSDSAKAFAIILFTDIFVGFHSPEGWTVLLDGIANHFGFPARENFILLFIATFPVILATIFKYWIFRYLNRVSPSSVATLRGMNGGG</t>
  </si>
  <si>
    <t>YP_001224404.1</t>
  </si>
  <si>
    <t>carboxysome shell polypeptide, CsoS3</t>
  </si>
  <si>
    <t>MVRSMPFRGGRPQAPTAPTRRQLASQEGSASTSTGASIPLTRSATRSSALQRRQALTTAGKAAVVNSGSVTAGRVRNQQDRPARSSQQPSWVKKSSQSTSTPVNLSRSSLPWTVEVHPLTDQQLNDQLQSYEHEVKGRFDRIVPVLKQVSVLQHEPDFITQAQRLARSELGFDLPDHILEQSWVRPLDMRALFAWCVFQSHQQFSDHFFQEDPLHGAAGSANAEAFEAFLLECGFHLLDVSPCADGRLAHTIAYALRIPFSAVRRRSHAGAMFDVENTVNRWVKTEHRRFREQVPNEAHADTRYLKVVAYHFSSVDPLHQGCAAHGSDDSLAASSGLRRLLDFKEAVENSFCCGASVDLLLIGLDTDTDAIRVHVPDQSGEIRLDQWLCAKALYDSTVSMTPQQAHEAVEASVKTHVASAPAAGMVRFISRLLMNNFSQQDYVRSQHRGPYPDAGHAERFIGVGIGFKEVHLRNLTYFAHLDTVEQGAPDLDVGVKIFKGLNVSRDLPIPVVVRFDYSGKVPGARDRAIADCHRIQSAIHDRYSPLVSQGLLHTLLTVRDRDQPHSAVVVGSTLDPVQQEAH</t>
  </si>
  <si>
    <t>YP_001224400.1</t>
  </si>
  <si>
    <t>carboxysome shell peptide</t>
  </si>
  <si>
    <t>MANETMGIALGMIETRGLVPAIEAADAMTKAAEVRLIGREFVGGGYVTVLVRGETGAVNAAVRAGADACERVGDGLVAAHIIARPHREVEPALGNGNFLGQKD</t>
  </si>
  <si>
    <t>YP_001224410.1</t>
  </si>
  <si>
    <t>CO2 hydration protein ChpX</t>
  </si>
  <si>
    <t>MTTTVQPLLQNAAQGLPEQDELVRRLLSDSPLLADTSDHLLQVVNVLESYGLVLDAYSRNLIHQGKTQLLNPFPVMRFFHEGFSVERLWEHLLGDRINFEYAEYCQKAMFWHGTGGMDAYFDTDEFENACQQVIRLRSRRDPLLRLVNALYPGFAPEAIRSMTTIYALGLFWRVMSDVFIDLARRYRIGEVACVLDVVHHIRDGLVAAAGNPITYEVTLGKESVWLLPPKAGLTFLVDVAVPYVEAVFFRGMPFLGTVSYNAQARQISPDQSQFKYGALYADPVPSMGAGIPPSLCMQDMFRNLPDELSSWYESHGRSDADVHVQICVSFQKSMFCVTNAAIAGTMPHPLDSEDPSHQEANRAYAEAWAGRLMGCQRGALL</t>
  </si>
  <si>
    <t>YP_001226074.1</t>
  </si>
  <si>
    <t>phosphoglycerate kinase</t>
  </si>
  <si>
    <t>MAKRSLASLNAGDLSGKRVLVRVDFNVPLNDAGAITDDTRIRAALPTINDLIGKGAKVILSAHFGRPKGQVNDAMRLTPVAARLSELLGKPVAKTDSCIGPDAEAKVGAMADGDVVLLENVRFFAEEEKNEAGFAEKLAGLAEVYVNDAFGAAHRAHASTEGVTKFLKPAVAGFLMEKELQYLQGAVDEPKRPLAAIVGGSKVSSKIGVLEALIDKCDKVLIGGGMIFTFYKARGLSVGKSLVEEDKLELAKELEAKAKAKGVELLLPTDVVLADNFAPDANSQVADVTAIPDGWMGLDIGPDAVKVFQAALADCQTVIWNGPMGVFEFEKFATGTNAIATTLAELSAKGCCTIIGGGDSVAAVEKAGLAEKMSHISTGGGASLELLEGKVLPGVAALNDAA</t>
  </si>
  <si>
    <t>YP_001225024.1</t>
  </si>
  <si>
    <t>ribulose-phosphate 3-epimerase</t>
  </si>
  <si>
    <t>MSTKSLVVSPSILSADFSRLGEEVKAVDQAGADWIHVDVMDGRFVPNITIGPLIVEALRPVTTKPLDVHLMIVEPEKYVPDFAKAGADIISVQVEACPHLHRNLAQIKDLGKQAGAVLNPSTSLSTLEYCLELCDLVLIMSVNPGFGGQSFIENQVQKIRDLRRMCDEKGLDPWIEVDGGVKGGNAWKVIEAGANAIVSGSGVFNQPDYAAAIQGIRDSKRPEAVLV</t>
  </si>
  <si>
    <t>YP_001225789.1</t>
  </si>
  <si>
    <t>ribose-5-phosphate isomerase A</t>
  </si>
  <si>
    <t>MSDLQNQMKQAVADAAVQQFRDGMVVGLGSGSTAALMIKGLGERLAAGQLSDIVGVTTSFQGEVLAAELGIPLRSLNAVDRIDLAIDGADEVDPAFQLIKGGGACHVQEKLVAARADRFIVVVDSTKLVERLNLGFLLPVEVLPGAWVQISQQLKAMGGDAELRMATRKAGPVVTDQGNLVLDVRFEGGIADPASLEKEINNIPGVLENGLFVNLADEVLVGQIDGGVASARSLEKAG</t>
  </si>
  <si>
    <t>YP_001223918.1</t>
  </si>
  <si>
    <t>transketolase</t>
  </si>
  <si>
    <t>MVAAPASLDTLCINSIRMLAVDAINKSKSGHPGLPMGCAPLGYALWDKFLKHNPKNPKWFNRDRFVLSAGHGCMLLYALLHLTGYDSVSIDDIKQFRQWGSKTPGHPETFETPGVEVTTGPLGAGISNAVGLAIAESHLAAKFNKPGATLVDHYTYVVMGDGCNQEGIASEACSLAGHLKLGKLIALYDDNHITIDGRTDVSFTEDVLKRYEAYGWHVQHVADGNTDVDAIAKAIEAAKAVTDKPSIIKVTTTIGYGSPNKGDTAGVHGAPLGEDETVLTRQQLGWEYGPFEVPQEAYDQFRQAIERGASLEAEWNQTLATYRTQFPAEAAEFERMLRGELPEGWDKDLPTAGPDEKGLATRKHSQICLGALGPNLPELIGGSADLTHSNYTDIKGETGSYQPETPEKRYLHFGVREHAMAAILNGIAYHDSGLIPYGGTFLVFADYMRGSMRLSALSELGVIYVLTHDSIGVGEDGPTHQPIETIPSLRAMPGMLVFRPGDANETSGAYKLAIQNRKRPSALCLSRQGMANQANSSIDKVALGGYVLEDCEGTPDLILIGTGTELDLCVQAAKQLSAEGKKVRVVSMPCVELFDEQSDAYKEEVLPNAVRKRMVVEAAESFGWHRFIGLDGDSVTMNRFGASAPGGTCLKEFGFTVENVVAKSKALLG</t>
  </si>
  <si>
    <t>YP_001223752.1</t>
  </si>
  <si>
    <t>glyceraldehyde-3-phosphate dehydrogenase</t>
  </si>
  <si>
    <t>MTLRVAINGFGRIGRNVMRGWLSRGADTGLEIVGMNSTSDPKTSAHLLTYDSILGHIDRSVQIETTDDTMIVNGKEIKFFADRNPLNCPWKDWGVDLVIESTGVFNTDEKASMHLEAGASKVILTAPGKGDGVGTFVVGVNDDQYRHEDWKILSNASCTTNCLAPIVKVLDQSFGLDWGLMTTIHSYTGDQRILDNSHRDLRRARAAALNMVPTTTGAAKAVALVYPEVKGKLTGFAMRVPTPNVSAVDLTFGPSRATTVDEVKAVIKAASENGMKGIIKYSDLPLVSTDYAGTNESTIFDADLTYAMGDKAVKILAWYDNEWGYSQRVVDLAEVVARNWK</t>
  </si>
  <si>
    <t>YP_001225158.1</t>
  </si>
  <si>
    <t>triosephosphate isomerase</t>
  </si>
  <si>
    <t>MRKPVIAGNWKMHMTCAQTRDWMGTFLPLISETPDDRHLVIAPPFTAISTLADVGAGSRVEISSQNVHWEGHGAYTGEISPAMLQEHGVRYAIVGHSEPRKYFSESDEQINHRARSAQAHDLIPIVCVGESDEQRSRGEAERVIRRQVEQGLEGLDPQRLVVAYEPIWAIGTGKTCESAEANRICGLIRSWVGSPDLIIQYGGSVKPANIDELMGMSDIDGVLVGGASLDPEGFARIANYKKG</t>
  </si>
  <si>
    <t>YP_001224874.1</t>
  </si>
  <si>
    <t>phosphoribulokinase</t>
  </si>
  <si>
    <t>MSKRHPVVAVTGSSGAGTSTVKRAFEHIFARESITPAVVEGDSYHRFERMEMKKAMAEALSKGENFSHFGPEANLFDKLEELFRVYGETGGGQKRYYLHSPEEAAEHNARLGVELDPGQFTPWEDIPSGTDLLFYEGLHGGVQGESYDVAALADLLVGVVPITNLEWIQKIHRDNAERGYSAEAIVDTILRRMPDYINHICPQFSRTDINFQRVPTVDTSNPFICRNIPTPDESFVIIHFRKGAREKWGIDFSYLLSMIHDSFMSSPTSIVVNGGKMGFAMELILTPIIHRMIEEKKKLG</t>
  </si>
  <si>
    <t>YP_001224402.1</t>
  </si>
  <si>
    <t>ribulose bisphosphate carboxylase small subunit</t>
  </si>
  <si>
    <t>MPFQSTVGDYQTVATLETFGFLPPMTQDEIYDQIAYIIAQGWSPLVEHVHPSNSMATYWSYWKLPFFGEKDLNVVVSELEACHRAYPDHHVRIVGYDAYTQSQGACFVVFEGR</t>
  </si>
  <si>
    <t>YP_001224401.1</t>
  </si>
  <si>
    <t>ribulose bisophosphate carboxylase</t>
  </si>
  <si>
    <t>MSKKYDAGVKEYRDTYWTPDYVPLDTDLLACFKCTGQEGVPKEEVAAAVAAESSTGTWSTVWSELLTDLDFYKGRCYRIEDVPGDKESFYAFIAYPLDLFEEGSITNVLTSLVGNVFGFKALRHLRLEDIRFPMAFIKSCYGPPNGIQVERDRMNKYGRPLLGCTIKPKLGLSGKNYGRVVYECLRGGLDFTKDDENINSQPFQRWQNRFEFVAEAIKLSEQETGERKGHYLNVTANTPEEMYERAEFAKELGMPIIMHDFITGGFTANTGLSKWCRKNGMLLHIHRAMHAVIDRHPKHGIHFRVLAKCLRLSGGDQLHTGTVVGKLEGDRQTTLGYIDQLRESFVPEDRSRGNFFDQDWGSMPGVFAVASGGIHVWHMPALVTIFGDDSVLQFGGGTHGHPWGSAAGAAANRVALEACVKARNAGRHLEKESRDILMEAGKHSPELAIALETWKEIKFEFDTVDKLDVQN</t>
  </si>
  <si>
    <t>YP_001224403.1</t>
  </si>
  <si>
    <t>carboxysome shell polypeptide, CsoS2</t>
  </si>
  <si>
    <t>MARLSSRELALERRKALTTSGKKSSVAAGDGANRVRTAADARPTRTDAAAAVEPTAPAAAAPAKSSVSFTPASPSRHSQVKPQRHPSRDLVLARREALSRRGKIADTSRDRNRADVARQTQPAQAVPAAEPTKSCGCGGQRAAEKTALSVPAPKLSARTERRSATPKRRAIENPSRALVLARREAMSKHGKTAGKQPTSAAAVARQANPDLTSRELAQQVRELRAKAGARNKQSAGVTRPTGPNRHGAKQAAAADAHWKVGESTTSSGQTVTGTQANRSVKTTGNEASTCRSITGTEYLGAEVFQTFCQQAPEPTTPAKVRITATSHGNRVTGNEVGRSEKVTGDEPGTCKNVTGTEYISANQSAAYCGSGVTSPRKVGHSLTEQGRPVSGVMVGRSASVTGDEAGSGRSLTGDQYLGSDPLPDGRPAAKVGLSGTLSGTGVTGTMVGRSAQVTGDEFGSCHRVTGDQYISAEQVNAFCGGKPEPEAAKVGFSITNRNQVVSGTRTGRSERVTGDEPGSCQAVTGTPYAGLEQAGQHCGTPAVQAIRERTPVRPGTPSAAMTGIQPGVGGVMTGDEKGACEAITGTPYVGADQLATACGNDAPAGTESHGQSPEGAAWTRFSVMSPARAAQQQRDSRGAVTGTSYEQGNRITGPFDMAGGKVTGTEQFRFDNREFQRRQFQPTVAVVSEPDEKPASRVTGEGSSTKITGDDWDRGEHVTGTEGASARRRNPTRPGPMSAMAPYERKRNQENEWPVSRVTGSSGNTEKGSLITVSGGARG</t>
  </si>
  <si>
    <t>YP_001225023.1</t>
  </si>
  <si>
    <t>fructose 1,6-bisphosphatase II</t>
  </si>
  <si>
    <t>MDRTLIQEILEVVEQAAIASARLTGLGKKDEADAAAVEAMRQRMGQIEMQGRIVIGEGERDEAPMLYIGEEVGSGSGAGVDFAVDPCEGTNLCANNQRGSMAVLAASDRGGLFNAPDFYMKKLAAPPAAKGKVDIRKSATENIKILSECLGMAASELTIVVMDRARHKDLIAEIRATGARVQPISDGDVQAAIACGFAGTGTHCLMGIGAAPEGVISAAAMRALGGHFQGQLVYDPAVAQTKEWADLTKEGNLARLAEMGIADPDKIYEAEELASGEHVVFAGSGITDGLLFHGVKFESDCTRTSSLVISNLDNTCRFTNTVHIKDGAQSIALS</t>
  </si>
  <si>
    <t>YP_001224868.1</t>
  </si>
  <si>
    <t>fructose-1,6-bisphosphate aldolase</t>
  </si>
  <si>
    <t>MALVPLRLLLDHAAENGYGIPAFNVNNLEQVQAIMEAADETDSPVILQASRGARNYAGEIFLRHLILAATETYPHIPVVMHQDHGNAPDTCYSAAINGFTSVMMDGSLEADAKTPASYEYNVAVTKQVVNFAHSVGVSVEGELGCLGSLETGKGEAEDGHGFEGELSKDMLLTDPAEAADFVAKTKCDALAIAIGTSHGAYKFTRKPTGEVLAISRIAEIHKAIPNTHLVMHGSSSVPQEWLEMINKHGGSIPETYGVPVEEIQEGIRNGVRKVNIDTDNRLAFTAAVREAAMADPANFDPRHFNKPARKYMKQVCLDRYQQFWAAGNASKIKQASITHYAGLYAKGALDPKAAVAA</t>
  </si>
  <si>
    <t>YP_001225273.1</t>
  </si>
  <si>
    <t>coenzyme F420-reducing hydrogenase, beta subunit</t>
  </si>
  <si>
    <t>MTSSPASPLPHDQARPIPRDRIRPAKDLCSDCGLCDSRWVAYVRQACAFLHQDFDGMERKAHGRARDLDQEDELYFGVQQRMLTARLQTPIAGAQWTGIVSRLGVRALETGLVDAVLCVQQSPDDRFTPMPVLARTPEEVLAARVNKPTLSNNLSVLEQLPGSGIKRLLAIGVGCQVQALRAVQDTLPLEALYVLGLPCVDNVSREGLQTFLESASATPDTVVHYEFMQDFRIHFRHSDGRVETVPFFGLDTPALKDVFAPSCLSCFDYVNAGADLVVGYMGAEFGRQWLVVRNSRGEDLLKLVEAELDQAPVMSRGDRRQAVQQGIDAYDKALRLPMWLAEVVGWIVQRVGPKGLEYGRFSIDSHFTRNALWLRRHHPEVVERHLPAFARRIVERYRLPAR</t>
  </si>
  <si>
    <t>YP_001226014.1</t>
  </si>
  <si>
    <t>NADH dehydrogenase subunit H</t>
  </si>
  <si>
    <t>MVTFFATNAPALVSPGLDLEQSFSQTLEGFGLSDQAARLIWLPLPMLLVLVAAVVGVLVTVWLERKISAAVQQRIGPEYAGALGVLQPLADGLKLLVKEDIIPARADGLLFTLGPVLVVVPVILSWLIVPFGQNLLISNVGVGIFLWISLSSVQPIGLLMSGYASNNKYSLLGGLRAAAQSISYEIPLALAVLAVVMMSNSLSTVDIVSQQTGAGILSWNIWRQPVGFLIFWICALAECERLPFDLPEAEEELVAGYQTEYAGMKFALFYLGSYINLVLSALLVSVLYLGGWGFPVPVEWLAGWLGQSVDAPLVQVITGATGIVMTVLKAYLLVFIAILLRWTTPRVRIDQLLDLGWKFLLPLALVNLLVTAALKLAFPVAFGG</t>
  </si>
  <si>
    <t>YP_001226012.1</t>
  </si>
  <si>
    <t>NADH dehydrogenase subunit J</t>
  </si>
  <si>
    <t>MTIAASTQLISFLVLSAVIVLGALGVVLLSNIVYSAFLLGGVFLAVAGLYLLLNASFVAAAQVLVYVGAVNVLILFAIMLVNKREDLAPIPGIAVRRLLSGGVCAGLFVLLTRVVLTTPWAQGPEPIGEGATIRIGEHLFTDYLLPFELASVLLLMAMIGAIVLARRDVQAVDPGTGEAVDQGLIEKARTPLLVDQPPA</t>
  </si>
  <si>
    <t>YP_001225473.1</t>
  </si>
  <si>
    <t>FAD/FMN-containing dehydrogenase</t>
  </si>
  <si>
    <t>MVPEMLRAELAAVPDLTLLERPEDLDRYSKDAYDYSPVLRERLASCRAALVVRPDTVEAVAAVAAACCRHGIALTLRGAGTGNYGQSVPLEGGVVMLMGRLRAVRRIEATTGVVTVECGCLLKDLDQMLRGHGRQLRLLPSTWRSATIGGFIAGGSGGIGSVRWGFLRDPGHLLGLEVVTMEPEPKRLQLEAAEAEALNHAYGTNGIITALTLATAPAVAWQEMVIDCVDWPSAVELAQRCCGSALDLHLCTVLEADVVAQLPAWDVPETKADRVLLLVAPDAVSTVEQLAADCGAAVVFSEAEQHHAGHGLRELTWNHTTLHLRQHDPDWTYLQMLLPQPELDCLHALKQTWGGDVLIHLEAVRQQGVQRLAALPLVRWRGADALERLMQQCRDLGALIFNPHVLTVEGGGLGVVDGDQVAAKQRLDPAGLLNPGKLGGFSS</t>
  </si>
  <si>
    <t>YP_001223977.1</t>
  </si>
  <si>
    <t>MSPTPDKQANADAPVAVAPAPGPVSQWLSQQGFEHELLEPDHVGVEQIAVEALFLPVIAAALKSHGFDYLQCQGGYDEGPGERLVCFYHLLAMAEVAEGSADQVREVRLKVFLSREGQPSVPSLYGLFRGADWQERETFDMFGIQFEGHPHPKRLLMPEDWTGWPLRKDYVQPDFYEMQDAY</t>
  </si>
  <si>
    <t>YP_001226003.1</t>
  </si>
  <si>
    <t>NAD(P)H-quinone oxidoreductase subunit 4</t>
  </si>
  <si>
    <t>MLEFAVSAPFDPAADISAGIIPAQFPWLSLSILFPIVGSLMVPFIPDQGDGRQVRWFALGIALTTFLITVAAYLNGYDPSFSGLQLSERVSWLPNLGLTWAVGADGLSMPLILLTSFITTLAVLAAWPVTFKPKLFFFLMLAMDGGQIAVFAVQDMLLFFLAWELELLPVYLLLAIWGGKKRQYAATKFILYTAGSSLFILLAALAMGFMGGGTPNFEYAVLAQKGFSTSFQLLCYAGLLIAFGVKLPIVPLHTWLPDAHGEATAPVHMLLAGILLKMGGYALMRFNAEMLPDAHAQFAPLLVVLGVVNIIYAALTSFAQRNLKRKIAYSSISHMGFVLIGIGSFSALGTSGAMLQMISHGLIGASLFFLVGATYDRTHTLQLDEMGGVGQKMRIMFALWTVCSLASLALPGMSGFVSELMVFTGFATDEAYTLTFRIVIDGLAAVGVILTPIYLLSMLREIFFGKENVQLASNTNLVDAEPREVYIIGCLLVPIIGIGLYPRLMTDSYRTAIEALVDRDVAAMETISRPTAPLIRNPSLAPALLQAPKLP</t>
  </si>
  <si>
    <t>YP_001223974.1</t>
  </si>
  <si>
    <t>rubredoxin</t>
  </si>
  <si>
    <t>MSDESQAPENVVAADAESEAPQEAPETPAEQTLAEASDPRTHRFECRSCGYVYDPEEGVKKLAIPTGTAFEDLDAASFRCPVCRSRVGAFRDIGPRSKASGFEENLNYGLGVNRLTPGQKNVLIFGGLLLGFAFFLSLYSLR</t>
  </si>
  <si>
    <t>YP_001223976.1</t>
  </si>
  <si>
    <t>NADH dehydrogenase subunit B</t>
  </si>
  <si>
    <t>MAGESPSIQALRDLREASCGPVAGAADGAPTVTQDLSENVILTSLDDLHNWARLSSLWPLLYGTACCFIEFAALLGSRFDFDRFGLVPRSSPRQADLLIVAGTVTMKMAPALVRLYEQMPEPKYVIAMGACTITGGMFSADSTTAVRGVDKLIPVDLYMPGCPPRPEAIFDAVIKLRKKVANESVADRRQLQQTHRYCTVAHAMTAVEPIVTGAYLRAETQVAALQPGAGLPMPALETADAVQPSEPS</t>
  </si>
  <si>
    <t>YP_001225144.1</t>
  </si>
  <si>
    <t>MNALAKDARSEGRLNLGPELLSAVLGHSLHATPLLVSSGGTSSRCAGDGLWTLDLKQRYREFCYQEGASEVRIGTGLTMAEVLEGLRSEQRALPIGLSGLPGSGFLLTGGMGPLSRSQGLAMDHIQRIEGVWGNGEPFNIHRDDTIGDQHTACCWRGLLGAAPFLAVVTAVELRTHPIEPLAVLQQRIAIEALPNWIRAAEEWPSSASLQWSWGDQLEIYAVQSGADGGSDHWFGALAEQAAERCADQLSQPGFGRLTSDHAPLPSHCEVLGRLGGRWGEHAEAVVDCLREWMLRRPHPSCRISAQQLGGATRTVSPASTSFIHRNAEWKPWITAAWAPGDLQGRARALDWMDCVSTALRALNPGVHLAQIHDHLPGHAQELSDAFGSWLPSLQRLKAEIDPDQRLCPL</t>
  </si>
  <si>
    <t>YP_001224269.1</t>
  </si>
  <si>
    <t>glycerol-3-phosphate dehydrogenase</t>
  </si>
  <si>
    <t>MNDTGFDLLVIGGGASGACVAYEGVRRGLRVALLEGHDLGGGTSCRSTKLLHGGVRYLELAFKTADTAQLRLVREALLERGHWLQQAPFLAKRLELALPTDGVIGQAYYRLGLGLYDALSGRSGIGSSRLLSSQQLRHALPALRDDITRGVAYSDGQFDDARLNLLMALTAEQAGAVVRTRTRVVALETDSSGRLCGAISESASGQNERWQAKVVVNATGIHSDTIRRMADPSCEERMLTSRGIHLVLKQTLCPEGVGLLLPSTDDGRVLFMLPFFGRTLVGTTDTPCPQEQASVPAENEVKYLLDYVQRWFPARDPVDVGSCWAGGRPLLKPAGADVNSSRVVREHEVETLACGLVSVMGGKWTTCRPMAIDTLQAVEQQLGHTLKAPGALPLIGSAPDPLQTPALLQTQHASLESLLPDTPQRSQQIAHLQANHGLAAAQWVSSWSNDDRQPLSEVIPVCRGELRHAITHEHARGVTDVLCRRTRLGMVDQQDAERLRPNVSELLAQAGHGGADAEALDLSR</t>
  </si>
  <si>
    <t>YP_001224438.1</t>
  </si>
  <si>
    <t>cytochrome c oxidase subunit II</t>
  </si>
  <si>
    <t>MTTSTDRKGPNIKAILIISIGVALNTALAAQMAQWSYSWFPPQASSAAPYVDDLFALETAIGSFLWFGLTAVIAWTLLFNRAPKYDESYGEPIEGNNRLEITWTIIPTVIVFAIAIYSMQVNDKLDALGPKHKYAIGTDPVAVAEVDPRATVGPIDVISRQWSWEFIYPDGTRSSELHLPVDQRVNFRLISEDVNHSFYVPAFRLKQDIIPGSVISYSLTPTKQGRFRLRDAMFSGAYFSQNQTDVIVESEDSYNQWLAATAKQPLQPGLSPGNELYAKRLANGNKGWATVPPAPPPMVNDPGDASIPHDA</t>
  </si>
  <si>
    <t>YP_001226129.1</t>
  </si>
  <si>
    <t>diflavin flavoprotein A</t>
  </si>
  <si>
    <t>MATSVSPAATSTERQMITLPIAEGLCCFRGLSPQRSRFELEYALERGSTANSFLFAAGPDPSGVRQAAVLVHPPGAAYASVFLPVLHQALPDPAAKLVVVVGHVNPNRVALLRDLACAYSGLELVASNAGAKLLRELWSLRRPPAPGDDTPQPPLPDLPEIHVIRQEQTLPVSHGHQLQVLPAPTPRWPGGLLAFEETLGLLMSDKLFSAHICTSAWAESNRSETEEERRHFYDCLMAPMASQVDALVERLEELDIRTVAPGHGPAIDTSWRSLFNDYRRWGESQQQASLSVALLFASAYGNTAAIADALAQGVSRTGVRVTSLNCEFTPADELVRTIQMADGLLIGSPTLGGHAPTPIVSALGTLLAEGDRSKPVGVFGSFGWSGEAIDLLETKLRDGGFRFAFDPIRIKFSPDAATVRTLEETGTRFGRSLRQEQRKQQRRGGGGLRESRSDPAVLALGRVVGSLCVLTTRKGSLSGAMVASWVSQASFTPPGITVAVAKDRAVEALLHKGDRFALNVLAEGRESGPMKQFLQPFEPGADRFEGLDLQLSPSEQPLLPEALAWMDAEVKQRMECGDHWLVYAEVLHGGLFDSEANTAVHHRRSGANY</t>
  </si>
  <si>
    <t>YP_001226001.1</t>
  </si>
  <si>
    <t>NAD(P)H-quinone oxidoreductase subunit F</t>
  </si>
  <si>
    <t>Energy production and conversion; Inorganic ion transport and metabolism</t>
  </si>
  <si>
    <t>MPSAADSAWLIPVLPLIGALITGLGLISFNRTINRLRKPVALLLISCVGAAAVISYAVLFEQLGGAPPVEHLFVWASAGDFSLPMGYVVDPLAAVMLALVTTVALLVMIYSHGYMAHDKSYVRFFTYLAIFSSSMLGLVVSPNLLEIYVFWELVGMSSYLLVGFWYDRDGAAHAAQKAFVVNRVGDFGLLLGILGLFWATGSFGFQGIADGLSTAVSSGVVPGWAALALCLFVFMGPMAKSAQFPLHVWLPDAMEGPTPISALIHAATMVAAGVFLVARLEPLYSQFPAVGVFIAVIGTLTCFLGATIALTQMDLKKGLAYSTVSQLGYMMLAMGCGAPVAGMFHLVTHAFFKAMLFLGSGSVIHAMEDVVGHEPVLAQDMRLMGGLRKKMPITAITFLIGCVAISGIPPLAGFWSKDEILGQAFQTFPLLWVVGFLTAGMTAFYMFRLYFLTFEGSFRGHDEALQARLMEAAGKSVDAEHAHHAGTLHESPWSMTTPLLVLAVPSILIGLLGTPWNSRFAALLNPEEAVEMAEHFSWGEFLPLAGASVAISAAGITVAVLAYALKRIDLGQLVAARFPSVNAFLANKWYLDAINEKLFVRGSRKTAREVLEVDAKVVDGVVNLTGLLTLGSGEGLKYFETGRAQFYALIVFGGVIALVVLFGVLGGPIA</t>
  </si>
  <si>
    <t>YP_001225090.1</t>
  </si>
  <si>
    <t>uridine kinase</t>
  </si>
  <si>
    <t>Nucl Ac</t>
  </si>
  <si>
    <t>MICICGPSAAGKTLFAGLLASALQNADIKAIVIGCDDYYREHWTPDPFFGFDTVEAIDSESLINDLRALRSGELKRLRRYDMGTRAVHWTRLEAEADVVLLEGAFGPQLLLNSCPPDLLIYLEESLAVRALRRLRRDIRERQRTVLSVLKQMFKQMIPGERRFIQPLREEADVVVRHGARDLSEALEPIISLCSSRRAQ</t>
  </si>
  <si>
    <t>YP_001225967.1</t>
  </si>
  <si>
    <t>thymidylate kinase</t>
  </si>
  <si>
    <t>MKGRFLVLEGIDGCGKTTQLRQLAEWLPDSGLMPEGATLHLTREPGGTPLGRALRELLLHPPDEAAPCPEAELLMYAADRAQHVQRRILPALACGDWVLSDRFSGSTLAYQGDGRGLDRALILDLERIATAGLVPDVTLWLDLSLEASMARREERTEDRIEAEGQAFLARVADGFRQLAAERGWVGIPAALSPKEVHQAIRLALEGHAALRRR</t>
  </si>
  <si>
    <t>YP_001224535.1</t>
  </si>
  <si>
    <t>Rieske-type iron-sulfur cluster-binding protein</t>
  </si>
  <si>
    <t>Inorganic ion transport and metabolism; General function prediction only</t>
  </si>
  <si>
    <t>MHASWTEQWWPVAYLRDLDPKRPQRFTVLERDLVLWWDASIGSWRAFDDVCPHRLVPLSEGRINASGELECPYHGWSFDGEGRCTRIPQMAEGANASGRRSSCNSLPTCSGQGLLFVWTGDPTMAGAKDPPLVPLLQEQGDGWADGWIVQDTFRDLPMDALTLLENVLDVSHVPFTHHKTVGNRENAAPVLAVIRAENDSGFEAFWEEGPRRGRLGSQFTHFSAPQLMWHDLDAKGFARILTVVYAVPIRRGECRLFARFPFQFKSALPRLLVGLRPRWLQHIGNHKVLEDDQVFLHWQERVLESAGGSAAAERAFFLPTEADVYVAALHRWINSHGGEPFAGQRLPPRQGIASLMDRYNSHTVNCRSCSQALHWIRRGQPWCWVVLWTAAVLIGVGQMGWLSALGGLLAVVAALLLQRLRRWERGLTVGDGLAPRNYGT</t>
  </si>
  <si>
    <t>YP_001225988.1</t>
  </si>
  <si>
    <t>putative dioxygenase</t>
  </si>
  <si>
    <t>MQLTRSWYVVEHSSAVPAGSVRRLDFHGQAFAIWRALDGTLSVVSDRCPHKGASLSAGRVGEEGLACPYHGWCFQSDGHCAKIPAQDSAQAIPRRAQAFSLPCRESVGFIWIWWDPSAESSAEDLPPLPTVGPVPEDDDRGWRALEGSVEWNAHWLRVLEAFMDLTHAPFVHSGSFGAMAPDQLMPVEQWAKDDSVYERVLAPRDRHYRADQGRGLRAWFNQGDDQSSSVSSDDGGEQHIQLWLANVSLVRVVFGDFQISLLTAHVPVDGTKTRNLWRHFRSFLRSPLADSNARGRVDRFMAEDQGTVETLRPLIPDLDGHGDLLVASDVSTLALRRMLREKRDAGLFR</t>
  </si>
  <si>
    <t>YP_001224990.1</t>
  </si>
  <si>
    <t>hypothetical protein SynWH7803_1267</t>
  </si>
  <si>
    <t>MSEIRFSVLDQLDQLEEIMLEGSRIPFSGGRLVNEQDAVELLDAVREAMPSQVAQADQLLEKRDEFIATARSQADEIVATAQQQREQLVAQASIRQEAERQVNEMREQVRQQCEQLLQTARHQSAQMEQEMQTKQAQLEQQYATRRQQLEQEALQRRQQLDQEANELKRQLSEQHERNRLQSMQELDQIRQEGLRLQKEAQSEAERLHQDALQFRQQTQQQCESLIQRSRQEASSVQDGANRYAEQTLGELEQRLKEMAQVVLAGRQELVKIQTGRVDASVNESSETKAVPISRARRVASRVRQMKGTG</t>
  </si>
  <si>
    <t>YP_001225931.1</t>
  </si>
  <si>
    <t>Fe-S oxidoreductase</t>
  </si>
  <si>
    <t>MRTLFIYPLFPKTFWSYEKILELVNRKVLLPPLGLVTVAALLPQEWEMKLVDRNVREITEAEWNWAELVVISGMIVQKDDMQVQIEEAKRRGLPVAVGGPYASSTPDAPEIADADFKVLDEGEITLPMFVEAIQRGDSGGRFSSEGEKPDVTSTPIPRFDLLELDAYDSMSVQFSRGCPFNCEFCDIIVLYGRKPRTKTPDQLVAELQSLYDLGWRRSIFLVDDNFIGNKRNAKLLLPEIKHWQEERGYPFSFATEASVDLADDEEMMRMMHEARFESVFLGIETPDEASLETSRKIQNTRNPLDAAVDRITANGIRVMAGFIIGFDGEKNGAGRRIVDFVTRTGIPAAMMGMLQALPNTALWYRLEKEGRLIQDKDAAKGVNQTNLLNFKPTRPIRDIANEYVEAFCALYEPNAYMDRVYSYYLKMGAPRWKGSTQLPTLTDLKALSIVIWRQGLKRSTRGRFWRYMFGMATQNPALLEQFLVVLAHNEHFLEYRSIVQSEIREQLESLPPEEPSESKELQPV</t>
  </si>
  <si>
    <t>YP_001224328.1</t>
  </si>
  <si>
    <t>inorganic pyrophosphatase</t>
  </si>
  <si>
    <t>MANLDQAPSRSMPNLLHVLPAFADESELRLNTIVELNSNTINKYELITETGHLKLDRVGYSSLAYPFAYGCIPRTWDEDGDPLDIEIVNVTEPLIPGSIVEARIIGIMTFDDGGEVDDKVIAVLADDKRMDHIKSFEDLGDHWKKETTYYWEHYKDLKKPGTCTVNGFFGTEKAVEIIKTCEARYMAEIDPKLVD</t>
  </si>
  <si>
    <t>YP_001224362.1</t>
  </si>
  <si>
    <t>uridylate kinase</t>
  </si>
  <si>
    <t>MAYARALLKLSGEALMGDQGYGIDPAIVQAIAKDVAGVVASGTQLAIVVGGGNIFRGLKGSAAGMDRATADYVGMLATVMNAITLQDGLERAGIPTRVQTAIEMQEVAEPYIRRRAIRHLEKGRVVVFGAGCGNPFFTTDTTAALRAAEISADVVFKATKVDGVYDKDPHKYADAVRYDTLTFQQVLSGELAVMDSTAIALCKDNNIPIVVFNLFEAGNIGRAVAGEPIGSRISN</t>
  </si>
  <si>
    <t>YP_001225745.1</t>
  </si>
  <si>
    <t>F0F1 ATP synthase subunit A</t>
  </si>
  <si>
    <t>MVPSLLNLPFAELEVGQHLYWQIGNLNLHGQVFLSSWVVIGLLLLLVVSGTRKMERDPKGVQNLLEYLWDYLRELAREQIGEKAYRDWLPFVGTLFLFIFVCNWGGALIPWRLVELPNGELGAPTADINTTVAMALLVSLSYFYAGLSRKGLRYFEYYVEPTPIMLPFKIIEDFTKPLSLSFRLFGNILADELVVAVLAFLVPVLVPLPAMFLGLFTSAIQALIFATLAANYIGEAVHEEAH</t>
  </si>
  <si>
    <t>YP_001225874.1</t>
  </si>
  <si>
    <t>ferredoxin-thioredoxin reductase catalytic chain</t>
  </si>
  <si>
    <t>MTDAPAGTSEPTAESLEVIRKFAETYAQRTGTYFCSDPGVTAVVLKGLARHKDELGGALCPCRHYEDKEAEVSQAFWNCPCVPMRERKECHCMLFLTEDNPFRGDEQTISTETIHATAG</t>
  </si>
  <si>
    <t>YP_001225702.1</t>
  </si>
  <si>
    <t>MASYKVTLVSESEGLNKTIEVPDDQYILDAAEEQGIDLPYSCRAGACSTCAGKITAGTVDQSDQSFLDDDQIEAGFVLTCVAYPTSDCTIKTHAEEELY</t>
  </si>
  <si>
    <t>YP_001225350.1</t>
  </si>
  <si>
    <t>NAD/NADP transhydrogenase beta subunit</t>
  </si>
  <si>
    <t>MDFLKYAVELVAVLLLALGIKGLSKVRSARSANQLAAVAMALAVLGLLINYLGTSGISAAAWTWIIIGTLIGGVLGAITAQRVPMTSMPETVALFNGCGGMSSLLVALAAAFFPLQLEAAGLVAVVSIVISVFVGAITFTGSIVAMAKLQGWLSTPAWMQSKARHVVNIALAVASLVAAIKLITDGNGTQGLWLLVVASGLLGIGVTLPIGGADMPVVISLLNSYSGVAAAAAGFVVGSQLLIVAGAMVGAAGLILTQVMCNGMNRSLVSVLFGGALGASAASGGGGGEYTNITSCSVEECALTLEAAERVVIVPGYGLAVAQAQHTLREVTRSLEAAGIQVDYAIHPVAGRMPGHMNVLLAEADVPYEQLKEMDVINPEFPATDVVLVLGANDVVNPQAKNDPNSPLYGMPVLDVQQARTVFVVKRGMSAGYSGIKNDLFDLGNTSMVFGDAKKVLGDLLGELKELGVGKK</t>
  </si>
  <si>
    <t>YP_001225997.1</t>
  </si>
  <si>
    <t>hypothetical protein SynWH7803_2274</t>
  </si>
  <si>
    <t>proton-pumping NADH:ubiquinone oxidoreductase</t>
  </si>
  <si>
    <t>MAETLLKSTTRHIRLFTARVENGDLVPDPEQLTLDLDPDNEFLWTEGTVTTIQTRFRDLVESYAGQPLNDYNLRRIGTELEGSIRELLQAGSLTYNPDCRVMNYSMGLPRTPELL</t>
  </si>
  <si>
    <t>YP_001224138.1</t>
  </si>
  <si>
    <t>adenylate kinase</t>
  </si>
  <si>
    <t>MKQRLLFIGPPGAGKGTQASRLCETHGLRHLSTGDLLRSEVSAGSALGQEAEAVMNRGELVSDDLVLAIVRSQLTALNGQGWLLDGFPRNVAQAEALEPLLGELQQSIETVVLLELDDEVLVERLLARGRADDNESVIRNRLEVYRQQTAPLIDYYQARGLLISVDAQGSVEAITTRLEASLA</t>
  </si>
  <si>
    <t>YP_001226128.1</t>
  </si>
  <si>
    <t>MAASTQAVAGRLSLQCQAIASDSTAIRSLDWDRSRFDIEFGLRNGTTYNAFLVRGERTALIDTSHAKFRDSWIPLLQEQIDPQAIDHLIVSHTEPDHSGLIADLLDLNPEIEIVGSKVALQFLKDQVHRPFRSRAVKSGDSLDLGANPESGVEHRFEFLSAPNLHWPDTIFSFDHGSGILYTCDAFGLHYCSEELFDSDPGAIAPDFRFYYECLMGPNARSVLQAMKRMDGLPAINTIAVGHGPLLRQHLSHWLNDYREWSSQRSKGDSYAAVLYLSQYGFSDRLSQAIAHGIGKAEAQVQLVDLRATDAQELSALVGEAKAVVVPTWPAEPDAELQSSIGTLLAALHSKQLVGVYDAFGGNDEPIDAVADQLRAQGQKTAFAPLRIRQLPSGADYQRCEEAGTDLGQLLTREKTIAAMKSLDGDLDKALGRLSGGLYVVTASQGEGESLRRSAMVASWVSQASFTPPGITVAVAKDRAIEALLQVGDRFVLNILRDDNHQQLMRHFLKRFPPGADRFAGVNVLENEAQGGPVLGDALAYLGCRVEQRLEGPDHWIIYAEVEQGNVADADAITAVHHRKVGNHY</t>
  </si>
  <si>
    <t>YP_001226037.1</t>
  </si>
  <si>
    <t>NAD(P)H-quinone oxidoreductase subunit H</t>
  </si>
  <si>
    <t>MTQLETRTEPMVVNFGPHHPSMHGVLRLVVTLDGEDVVDCEPVIGYLHRGMEKIAENRTNVMFVPYVSRMDYAAGMFYEAVVVNAPEKLADIPVPKRASYIRVLMLELNRIANHLLWLGPFLADVGAQTPFFYIFREREMIYDLWEAATGQRLINNNYFRIGGVAADLPWGWLEKCRDFCDWFGPKIDEYEKLITNNPIFRRRIEGLGVIGKEEAINWSLSGPMLRASGVPWDLRKVDHYECYDDFDWDVAWEKEGDCFARYRVRIEEMRQSLKILRQACDMIPGGPTENVEARRMAEGKDSEFAGFDYQYVAKKVAPTFKIPNGELYTRLESGKGEIGIFIQGNNDVTPWRFKIRAADSNNLQILPHILKGHKVADIMAILGSIDVIMGSVDR</t>
  </si>
  <si>
    <t>YP_001225740.1</t>
  </si>
  <si>
    <t>F0F1 ATP synthase subunit alpha</t>
  </si>
  <si>
    <t>MVSIRPDEISAILKQQIEDYDKSVSVSNVGSVLQVGDGIARVYGLQQVMAGELVEFEDGTEGIALNLEDDNVGAVLMGEGLGIQEGSTVRATGKIASVPVGDGLLGRVVNPLGVALDGKGDLGTTESRLIESPAPGIIQRKSVHEPMQTGITAIDAMIPIGRGQRELIIGDRQTGKTAIAIDTILNQKDQDVVCVYVAIGQKAASVAQVTEVLRERGALDYTVIVAANASDPAALQYLAPYTGASIAEYFMYKGKATLVIYDDLSKQAQAYRQMSLLLRRPPGREAYPGDVFYCHSRLLERAAKLSDAMGKGSMTALPIIETQAGDVSAYIPTNVISITDGQVFLSSDLFNSGLRPAINVGISVSRVGGAAQTKAIKKIAGTLKLELAQFDELAAFSQFASDLDAATQKQLGRGKRLRELLKQPQFSPLILAEQVAIVYAGVKGLIDDVPVDQVVQFSRELREYLKSNKPEFIEKIQTEKVLSPEAETMLKEAVAEVTSTMLATAN</t>
  </si>
  <si>
    <t>YP_001225742.1</t>
  </si>
  <si>
    <t>F0F1 ATP synthase subunit B</t>
  </si>
  <si>
    <t>MPLPLFASEGGFGLNLNLFETNLINLVIVIGVLYWFLKGFLGGILERRRQAILKDLEDSEGRLRQATTDLARAQEDLAAAQQKAEKIRSDGKARAEAIRKDGEMRTINAMAAVKQDALADLNAEGARLTEQLRREAALAAIDKVMTELPGRLDQAGQSRLIDASISNLEDA</t>
  </si>
  <si>
    <t>YP_001225716.1</t>
  </si>
  <si>
    <t>ferredoxin-thioredoxin reductase, variable chain</t>
  </si>
  <si>
    <t>MQPGDKVVVASSVVVYNHPEHRGTSFDLQGSEGEVVTVLTEWKGRPISPTLPVIVAFGRYKAHFRSDELQVAS</t>
  </si>
  <si>
    <t>YP_001225808.1</t>
  </si>
  <si>
    <t>hypothetical protein SynWH7803_2085</t>
  </si>
  <si>
    <t>MPLRLRTTFRHLSSGGLALFTLGLLSSCQTTADRTNSDAPSQAQAIQQLDARLKRLEQRLDTAAPVPDEGDRVPPGPIKSITFRSGTADDRVRIYWANGERSDLPCTLEQGTWACG</t>
  </si>
  <si>
    <t>YP_001225569.1</t>
  </si>
  <si>
    <t>guanylate kinase</t>
  </si>
  <si>
    <t>MASSQAPARLALLTGPSGVGKGTLVARLQERHPQLWLSVSATTRAPREGERDGVHYFFKTRQDFEALVRSGGLLEWAEFANNCYGTPRGPVEERLVAGIPVLLEIELEGARQVRKSFPEALQIFLAPPSFDELERRIRGRATESDDAIQRRLDRARAELEAQSEFDAVVVNDDLEAALLELEGLMGLAGSI</t>
  </si>
  <si>
    <t>YP_001225357.1</t>
  </si>
  <si>
    <t>thioredoxin reductase</t>
  </si>
  <si>
    <t>MAVENLVIVGSGPAGYTAAIYAARANLNPLLITGFQRGGIPGGQLMTTTHVENFPGFPDGVLGPDLMDLMKAQAERWGTRLLEADADQIDLSQRPYRIEADGDTIETQALIIATGASANRLSLPNEERFWSQGISACAICDGATPQFRNEQLAVVGGGDSACEEAVYLTKYGSHVHLLVRSDRLRASAAMADRVQANPQITVHWNTQVADAEGDEWLSGLRLHRRDSGLEEHLPVRGLFYAIGHTPNTELVRDQLQCDGTGYLITQPGRPETSKEGVFAAGDVADAEWRQGITAAGSGCQAALAAERWLSHNDLAQLVKRDQAEPAKADTPTATAETTETSYDPNALWQKGSFALRKLYHDSERPLLVVYTSPSCGPCHVLKPQLKRVLNELGGRAQGIEIDIEADQAIAEQAGVNGTPTVQLFYNKELKQQWRGVKQRSEFMASIRSLLPES</t>
  </si>
  <si>
    <t>YP_001225898.1</t>
  </si>
  <si>
    <t>NADH dehydrogenase, FAD-containing subunit</t>
  </si>
  <si>
    <t>MTQTPNPQEQPILVVGGGFAGLSALQAFSRVHPRPPLVLIEPRSKFLFVPLLYELLSGELQGWEVAPDYGQLLQARGVSHVQDSVRSINLEDHVVTTNGGQRMPYSQLVLATGAVPEDFGIPGVREHALRFHALEDIPPLQARLRELRHRPSGTSTLVIVGAGATGVELACKLVDLLDGAARVHLVEQGEQILSRSRAFNREQAERALKQRGVTVHLKTRVLNVSANAVQWSGVEGEVEQAHDGLIWTAGSRPNIPELTPSIAPHHKRLPVDETLRLIGQPDVLVLGDIASQPTIDEGQTPWPLSAQVAIQQGQAAARSLQSHRQGNRSDPFVFKDLGEMLSLGIGDATLTGMGVTLAGPLAFQMRRLAYLTRMPGLSLGLRSAGAWLFSS</t>
  </si>
  <si>
    <t>YP_001226013.1</t>
  </si>
  <si>
    <t>NADH dehydrogenase subunit I</t>
  </si>
  <si>
    <t>MFGFLKQVGDYTRDAVDAARNLTQGLAVTFDHMKRRPVTVQYPYEKLIPSERYRGRIHYEFDKCIACEVCVRVCPINLPVVDWVMNKETKKKELRNYSIDFGVCIFCGNCVEYCPTNCLSMTEEYELAAFDRHSLNFDNVALGRLPTSVTTDPAVQPLRELAYLPAGEVQPHGVDPSRPRAGQRPDQVLSSLKQNAGGSAGNEGESATSTNTSKGSAE</t>
  </si>
  <si>
    <t>YP_001224068.1</t>
  </si>
  <si>
    <t>NADH dehydrogenase</t>
  </si>
  <si>
    <t>MAGERFYLELEPPEERLRHAPHVVIVGGGFAGVRACKALANADVRISLIDKRNFNLFQPLLYQVATGLVSRGDVATPLRQLVGRQRNVQVLLGEVTQINPEGKQIVFNGKGYGYDYLVLATGSGSTFFGHENWRTFAPPMKILEHAEEIRRRLLMAMEQAEQTPDPEARRFLQTVVIVGGGPTGCEMAGATSELMRNAMRREFRQLNPADTRIVLVDPGDRVLRAMPEALSQAAQETLEALGVEMLFKGRVQTMQPGEVTVGTPDGDQRLQAATVIWTAGVRPSHLGKKLADAIGCETDRSGRVIVEPDFSVQGHPEIRVVGDLCSYKHTKDGNPLPGMAGPATQAGGFVGKDIAAMVGGQSRPTFSWFDFGSMAVLDRVDAVADLRGFKFKGGIGWLLWAAAHLAFMPDRENRYTLLIKWIFAVVSQSRASMLLTGMPSQHMGLDAPDAAFPMQPGSGPSIAEPGAALRAAMDYYSNQVSGLPTQSESGDSAAAIK</t>
  </si>
  <si>
    <t>YP_001225743.1</t>
  </si>
  <si>
    <t>F0F1 ATP synthase subunit B'</t>
  </si>
  <si>
    <t>MTWLLLAEAGVPEGGLFDLDATLPLMAVQVVLLTFLLNSLFFRPVGKVVEDREGYIATSRAEAKQKLEQINRLEADLQDQLRGARQAAQSAIVEAEQEVDRLYREALAEAEAEANRTREKARREIESQRESAQAQLMSQVDQLSAQIINRLLAA</t>
  </si>
  <si>
    <t>YP_001226130.1</t>
  </si>
  <si>
    <t>flavoprotein</t>
  </si>
  <si>
    <t>MSTASNPDVLVIAASNGENLKLAQRFVDEAKAQGKSADLLDLTTLDLPLFTPRVKDQGIPDGVRPLHEQLMGAPRWVICAPEYNGSIPPVLTSAIAWLSVQGDDFRALFNGRPVAMASFSGGPGIELLMVLRTQLTHLGAQVVGRTLAGNQNRPPRDSSLQDLLNRLMQMTPLSL</t>
  </si>
  <si>
    <t>YP_001225739.1</t>
  </si>
  <si>
    <t>F0F1 ATP synthase subunit gamma</t>
  </si>
  <si>
    <t>MANLKEIRDRIKSVKNTRKITEAMRLVAAAKVRRAQEQVLRSRPFADRLARLLENLQARMRFEDADAPLLEDRPLETVTLMAVTGDRGLCGGYNANIIKRTEQRFEELQSKGYKVNLVLIGRKAISYFTNRSYPIQATFTGLEQVPTADEAGSVANEVFAEFLSETTDRVEIIFTKFINLVSCKPVVQTLLPLDPQGIADADDEIFRLTTKDGDLRVETGSAPANAQPELSSEIVFEQSPDQLLNALLPLYLQNQVLRSLQEAAASELASRMTAMNNASDNAKALAKTLTLDYNKARQAAITQEILEVAGGAAAVG</t>
  </si>
  <si>
    <t>YP_001225352.1</t>
  </si>
  <si>
    <t>NAD/NADP transhydrogenase subunit alpha part 1</t>
  </si>
  <si>
    <t>METAVGETRVAASPETVKKFIALGCRVVLERGAGQTSGFLDEAYAEAGAQLVTPGDSQAWGEADVLLCVQSPSPVDLGRLRRGALVVGLLAPYANIELDAALKRCGLSAMALELLPRISRAQSADALSSQANIAGYKSVLLASAALDRYFPMLMTAAGTVQPARVVVLGAGVAGLQAVATARRLGAVVYVSDIRPAVKEQVESLGARFIDPPEMEDKPAESGGYAKQASDAFLAAQRQQLSDQLSEADVAICTAQVPGRRAPRLISEDMLDRMRPGAVVVDLAVAQGGNCADTLPSQTVDRKGVKLIGANDLPCSVPNHASFLYSKNLLALLQPTLKDGQLNLDLEDELIAGCLISQDGTIRRSDVLTPGAN</t>
  </si>
  <si>
    <t>YP_001225723.1</t>
  </si>
  <si>
    <t>F0F1 ATP synthase subunit beta</t>
  </si>
  <si>
    <t>MAAAAPASAGTKGVVRQVIGPVLDVEFPAGKLPKILNALRIEGTNTAGQPVALTAEVQQLLGDHRVRAVAMSGTDGLVRGMEALDTGAPISVPVGEATLGRIFNVLGEPVDEQGPVNASATAPIHRSAPKLTELETKPKVFETGIKVIDLLAPYRQGGKVGLFGGAGVGKTVLIQELINNIAKEHGGVSVFGGVGERTREGNDLYEEFKDSGVINAEDLSKSKVALCYGQMNEPPGARMRVGLSALTMAEHFRDVNKQDVLLFVDNIFRFVQAGSEVSALLGRMPSAVGYQPTLGTDVGELQERITSTLEGSITSIQAVYVPADDLTDPAPATTFAHLDATTVLSRGLASKGIYPAVDPLDSTSTMLQPAVVGEEHYKTARAVQSTLQRYKELQDIIAILGLDELSEDDRRTVDRARKIEKFLSQPFFVAEIFTGMPGVYVKLEETIAGFNQILAGELDHLPEQAFYLVGNIDQVKAKAEKIAAEAK</t>
  </si>
  <si>
    <t>YP_001224158.1</t>
  </si>
  <si>
    <t>hypothetical protein SynWH7803_0435</t>
  </si>
  <si>
    <t>NADH-quinone oxidoreductase cyanobacterial subunit N</t>
  </si>
  <si>
    <t>MPLLLSGRGFRRELESAGCMAVHAPLEGGAETRLLRRLRAAGYRTHLTSARGLGDPEVFLFQKHGVRPPHLGHQSVGRGAAVGEVHDVMPLLGEVFLGDKPVVLWLLEGQVLSRSELLSLCDLCRREPRLKIVVEMGGARSLRWQPMTQLLAA</t>
  </si>
  <si>
    <t>YP_001226111.1</t>
  </si>
  <si>
    <t>nucleoside diphosphate kinase</t>
  </si>
  <si>
    <t>Nucl Ac P trans</t>
  </si>
  <si>
    <t>MASERTFIAIKPDGVQRGLIGEILGRFERKGFKLVGLKQLTPSRELAEQHYGVHKERPFFAGLVDFITSGPVVAMVWEGDGVIASARKLIGATKPLEAEPGTIRGDLAINIGRNVIHGSDAPETAQFEIGLWFQASELSDWTPSDQGWRTEG</t>
  </si>
  <si>
    <t>YP_001224348.1</t>
  </si>
  <si>
    <t>MPTIRFEQEGQQVGCIEGANLRKAALDSGINPYKGLNNLNNCGGVGQCGTCVVEVLEGSQNLSPRSDVEEVYLADRPANYRLSCRTSVNGDVTIRTRPDDGVGKGSNSLLGAVKSLLGR</t>
  </si>
  <si>
    <t>YP_001225744.1</t>
  </si>
  <si>
    <t>F0F1 ATP synthase subunit C</t>
  </si>
  <si>
    <t>MSDLTSAASVLAAALAVGLAAIGPGIGQGTAAGQAVEGIARQPEAEGKIRGTLLLSLAFMEALTIYGLVVALVLLFANPFAG</t>
  </si>
  <si>
    <t>YP_001225741.1</t>
  </si>
  <si>
    <t>F0F1 ATP synthase subunit delta</t>
  </si>
  <si>
    <t>MPLLNTLATPYAEALLQVTDGRSESDDVAAQCKELLAVWDSSTALRDAMTSPVLEPAAKKQALAQLLAEQIKPSLMNLLKVLADRQRLTALDAVLRRYLELYRESRNISLAHVRCAQALSDDQTKALTAKVQSMVGTGSVEIDLTIDASLIGGFVINIGSQVIDASLSGQVRRLGLSLAKAS</t>
  </si>
  <si>
    <t>YP_001225865.1</t>
  </si>
  <si>
    <t>dipeptidyl aminopeptidase family protein</t>
  </si>
  <si>
    <t>MATRQPLSARQALGKQPSLKAPRVLGDWLLWLEQRPQDKGRTTALLRPWGRPEQTPKELTPAPCNLRCRVHEYGGGASAAALDDHGLLLTWIDDSDGCLWARSWGGLADGDPQTVVANGPARRLTAPGEGLLGGGVIDAKRNRWIGVMEHAGRDVLVQVAIDRLDQTPVVLHTAADFAGYPAISPDGDQLAWVEWQQPAMPWEAAALHWAPINAHGDLGSVGTLAGSTPDAERPTSIFQPLWLPDGQLIVAEDAGGWWNLMQHQDPGDPSQRWERLWPMQAETAMPQWVFGMSTTAWDGEQLIAAVCAEGRWQLKRLSADGSIRMVDQPFDDLAELHADAGRAVAIASNSTTGQGLLELHIASGRWSHTPASAPVLEPESISIAEPLWFAGAAGRRTHAWYYPPRGGASPNTPLLVKSHSGPTAMARRGLSLGIQFWTSRGWGVVDVNYGGSTGFGRAYRERLNGEWGVVDVQDCAAAAKAVIANGDAHPQRIAIEGGSAGGFTTLACLCFTDVFQVGACRYAVSDLLALASETHRFEARYLDALVGAWPQDRQRYEERSPLHHADRIRCPVIFFQGLQDKVVVPEQTERMAEALRRNGIPVEVRTYAEEGHGFRDSAVQVDVLEATEAFFRQHLGLEPHPH</t>
  </si>
  <si>
    <t>YP_001225526.1</t>
  </si>
  <si>
    <t>Zn-dependent carboxypeptidase</t>
  </si>
  <si>
    <t>MTRDVPSSAWTSLGDYLRETQLLGSIQSTLYWDQNTRMPSGGAAWRGEQLALLARQLHARQSCERYAALIGEARQAWQASSEQTSEAERLAQARNLDLLEQELHRQQALDPDLVSAIAVAKSEGYECWQQAKAASAFDQFAPSLKRMVALRQEQARQLAEPRSCWETLAQPFEPDLTLARLQELFAPLRQRLPELLGQLQGGPRPTALSWDLEAATQQDLCDQLLKCWGRDESITCVAASPHPFSITLGPRDFRITTRVVAGQPLSCFLATAHEWGHSLYEQGLPPSSHQWFAWPLGQATSMAVHESQSLFWENRVARSQPFAEHWWPRFAAAGAPIANAIDLWRAMNPMAPGCNRVEADELSYGLHILIRTDLELALLEQGLEVEALPSEWNRRYGELLGVTPADDAEGCLQDVHWSEGLFGYFPSYLLGHLISAQISEAMETAIGAPEEHVRRDDLQPVLSWLREAVHPIGRALNAEQLVASVTGRPLSSEPFLRYLESKIERLLALS</t>
  </si>
  <si>
    <t>YP_001225728.1</t>
  </si>
  <si>
    <t>Xaa-Pro aminopeptidase</t>
  </si>
  <si>
    <t>MQDLGGAAAVIPAATLVTHHADTEWPFRQDSDFWYLTGFDEPDAVALLLPHRPEGERFVLFVNPREPAAEVWTGRRWGCEGAVESFGADIAHPRSELEQRLPDYLNGAEGIAFRVGRHPAIEPLVVAAWAGQLDRASRTGSAALALLAPCSLLHRMRLRKEPAELERLREAGRISAAAHELARSVVKPGMRERQVQALIEEHFLDQGARGVAYGSIVAGGDNACVLHYIENNAVLQDGDLLLIDAGCSLPDYYNGDITRTFPVNGRFSGEQRELYSLVLAAQQSAIDSVRPGQTAEGVHDTAVRVLVEGLVSLGLLQGDVDGLIEQGAYRHLYMHRTGHWLGLDVHDVGAYRLGEHHVELEPGMVLTVEPGLYVSDRLPVPEGQPSIDERWKGIGIRIEDDVAVRKLDEVPEGHEVLSANALKSVQAMER</t>
  </si>
  <si>
    <t>YP_001225105.1</t>
  </si>
  <si>
    <t>tRNA (uracil-5-)-methyltransferase Gid</t>
  </si>
  <si>
    <t>MIGAGLAGTEAAWQVAEAGLDVQLVEMRPIRRSPAHHSSECAELVCSNSFGALSSDRAAGLLQEELRRLGSVVIQMADRHAVPAGGALAVDRGRYSASLTQLLEQHPRVSFVREEQIALPATDQVTVLATGPLTSDALAEDLRRFTGRADCHFFDAASPIVEGDSVDMTQAFRASRYDKGDADYINCPMNREQYLGFRDALLAAEQAELKDFDQGNATFFEGCLPIEELARRGEDTMRYGPLKPIGLWDPRWGDVNDRDVRRAKRAYAVVQLRQEDKDGRLWNLVGFQTNLKWGEQKRVLQMIPGLEGAEFVRFGVMHRNTFLEAPALLDATLQFRSRPNLLAAGQITGTEGYAAAVAGGWLAGTNAARLVRGERPIDLPRTTMVGALTHFISEAPSGKFQPMPPNFGLLPELPERIRDKRARYGAYRDRALADLLLAREEQALGNVPCPA</t>
  </si>
  <si>
    <t>YP_001224307.1</t>
  </si>
  <si>
    <t>S-adenosylmethionine:tRNA-ribosyltransferase-isom erase</t>
  </si>
  <si>
    <t>MADPRDLQLSAYDYELPEARIAQRPVEPRHAAKLLMVPPLEASSLQGRHGTVWDWQNELRSGDLLVVNDTRVLQARLRVRRSGGGLGELLVLEPRGEGRWLCLARPGKKLRPGDQVWLEALEQDPLPLQVLASDPASGGRIVQFPPAFVDAMAIEALLQRYGEVPLPPYITCHDDSDQERYQTRYASRPGAVAAPTAGLHLSDDLLQAIRARGVQMSSVTLHVGLGTFRPVETEDLSELSLHSEWVEVSTQLVEAVQACRQRGGRVIAVGTTSVRALEGAAAAGGGDLQPLKGPVDLVIQPGYQFRVVDGLLTNFHLPKSSLLLLVSALIGRERLLDLYALAIANDYRFYSYGDAMWIAPGAVLMDARPR</t>
  </si>
  <si>
    <t>YP_001224822.1</t>
  </si>
  <si>
    <t>methionyl-tRNA formyltransferase</t>
  </si>
  <si>
    <t>MKILFWGTPAYAVPTLDTLHEAGHQIVGVVTQPDRRRGRGKQLMPSPVKARAQELGCPVFTPERIRRDLDCQQQLNALDADVSVVVAFGQILPKDILQHPPLGCWNGHGSLLPRWRGAGPIQWSILEGDPETGVGIMAMEEGLDTGPVLLEQRLSINLLENAHQLGERLSRLSADLMLQAMPVIEAAGPGLEAERWSRLQVRHQPEEGTYARMLSKEDFQLNWGDSALTIHRKVMGLYPGAVTVWKDRRLKVLATEPLIERLADDLSDEARALVGRWNTGAHPPGQVLHSADSGLVVSTHGCPILIREAQLEGKARSHGQALIQQLQAQPGDSLGLAAKP</t>
  </si>
  <si>
    <t>YP_001224101.1</t>
  </si>
  <si>
    <t>30S ribosomal protein S10</t>
  </si>
  <si>
    <t>MSTAIAQQKIRIRLKAFDRRMLDLSCDKIIETADTTAATAIGPIPLPTKRKIYCVLRSPHVDKDSREHFETRTHRRIIDIYSPSAKTIDALMKLDLPSGVDIEVKL</t>
  </si>
  <si>
    <t>YP_001224844.1</t>
  </si>
  <si>
    <t>rRNA methylase</t>
  </si>
  <si>
    <t>MTHLKPSPLRVALFEPRIPPNTGNIARTCAAFDLPLSLIEPLGFSIDDRQLKRAGLDYWPHVNLSVHTNFQAFKNSLAKPFRVIGCSRRDGVALQGFCFEPGDVLLFGREDTGLPQPVRDQCDQILTIPMPCSADSDGQGGVRSLNLSVACAIACFQAGLKLQLW</t>
  </si>
  <si>
    <t>YP_001225669.1</t>
  </si>
  <si>
    <t>tyrosyl-tRNA synthetase</t>
  </si>
  <si>
    <t>MAPTPSLPAWLSRGMADLFPAGDPADADQALAARLAQAESQGRPLRVKLGIDPTGSSIHLGHSILFRKLRAFQDAGHTAVLIIGDFTARIGDPTGKSDTRVQLTAEQVDANAATYLAQLGQGQPKDTALLDFETPGRLEVRRNSEWLEGLDLPAVIGLLGTATVGQMLAKDDFSKRYGSGTPIALHEFLYPLLQGYDSVAVNADVELGGTDQKFNVAMGRDLQRHFGKGTQFGLLLPILVGLDGVQKMSKSLGNTVGLEEDPLSMYSKLEKVGDGAINDYVTLLTNLDLAALPENPREKQKAMALAVTASRHGLEAAAKAQADAASLVGGAGDAAAEVPEASLAQVNFPAKAFYLLSAVGICASSSDARRQIKGGAVRLEGEKITDPNQEFATAAELEGKVLQLGKKTFRRLTA</t>
  </si>
  <si>
    <t>YP_001223957.1</t>
  </si>
  <si>
    <t>tRNA nucleotidyltransferase/poly(A) polymerase</t>
  </si>
  <si>
    <t>MGAIPRLALPGIPPDLTPALAEQVRLQGHGRLALVGGAVRDALRHQLHGASWQGLPDLDLVLEGSCSAVALGLQQRLGTERVSWLQLHERYGTAELRLDGVLIDLAAARQECYPAPGENPVVQPGPLEDDLWRRDFTVNAMALVLQADGSQQLLDPHGGLAHLAARQLVLLHAASVADDPTRVIRAARYGARLGFELDSGSLQQLQTTLERWPWAWRQGDALDRVPPALGTRLRMELDLLLEREPWPQALALLQHWSALPLLDPLLQSKVKLSRRLRRAARLQLPLLSALIAAAGEPVALAQRLQIPIQQLRWLEQLQELRQWLEQEVLPQPWRQWGAREWTARLEQANWPAPVVALAAVEAPLCWRPLLRWWGRWRHATAAVSANDLIAEGLQPGPLLGEALRRSRDQVLEGLR</t>
  </si>
  <si>
    <t>YP_001224058.1</t>
  </si>
  <si>
    <t>isoleucyl-tRNA synthetase</t>
  </si>
  <si>
    <t>MSKETRDAAEGRPSYKDTLNLLQTGFGMRANAVKREPELQAFWRDNGIDGQLGLNNSGPTFTLHDGPPYANGALHMGHALNKVLKDVINKYQVLQGRRVRYVPGWDCHGLPIELKVLQSMDQEQRQALTPIKLRKKAAAYARKQVDGQMKGFQRWGIWADWDQPYLTLQKEYEAAQIKVFGEMVLKGHIYRGLKPVHWSPSSRTALAEAELEYPDGHTSPSVYVAFPAVEVPVPLRETLQSHGVELPADAAALGQALQVAIWTTTPWTLPANLAVSVNERLDYALVDDGNGRLLVVAAELIESLSKTLERPLQQRATVKGALLAGLVYRHPLLDRTSPVVIGGDYITTESGTGLVHTAPGHGVDDFHTGQKHGLPVLCPVDEAGTLTAEAGPFAGLNVLKDANPGIIEALEQAGALLKQEAYSHRYPYDWRTKKPTIFRATEQWFASVEGFRQDALDAIDQVQWTPASGRNRIEAMVKERGDWCISRQRTWGVPIPVFYHRSNGEVLLNADTLSHIETLIAAHGGDVWWEKDEADLLPPAYADQADQWRKGTDTMDVWFDSGSSWAAVSSQRESLSYPADLYLEGSDQHRGWFQSSLLTSVAVNGHAPYKRVLTHGFALDEKGRKMSKSLGNVVDPMVIIEGGKNQKQEPAYGADVLRLWVSSVDYSTDVPIGAGILRQLADVYRKVRNTSRYLLGNLHDFNPATDAIAVEDLPLLDRWMLQRTAEVMDEITEAFESYEFFRFFQLLQNFCVTDLSNFYLDIAKDRLYVSAPADRRRRSCQTVMALIIERLAGLIAPVLCHMAEDIWQNLPYPVEETSVFQRGWPTAPDRWRDASLNEPMQQLRELRTSVNKVLEDCRSRGELGASLEAAVRLEAHNPSLQSALQWLNDQGHAEVDGLRDWLLVSQLQIGGEPWAELLANHDDDVALIEVARARGSKCERCWHYESDVGQHADHPHLCGRCVSVLGRL</t>
  </si>
  <si>
    <t>YP_001225628.1</t>
  </si>
  <si>
    <t>seryl-tRNA synthetase</t>
  </si>
  <si>
    <t>MLDQRLVRENPELMARELARRGLTVDLNSLQALAQQQRDLEEQRSSLQAEGNRVGKEVGLKIKAGADPKGSDVAELRQQGNAIKQKVAVLEDEERQLAAELKTQLLTFPNLPSPACPDGRDENDNIEVRSWGDPRRQEGLDEHWAIADRLGLLDSERSVRIAQSRFVTLFGQGARLERALINFMLDLHTGKGYREVLPPVLVNSASLTGSGQLPKFAEESFRCADDDLWLTPTAEVPLTSLHRDEIIPLDQLPLRYVAYSPCFRREAGSYGRDTRGLIRLHQFNKVELYWFVHPDHADEAHAAITADAEAVLQALELPYRVLELCTGDLGFSAARTYDLEVWLAGAGAYREISSCSVCGDFQARRSSIRTKDGKTTRLVHTLNGSGLAIGRTMAALLENGQQADGSVLLPQALVPYFGSDRLQPE</t>
  </si>
  <si>
    <t>YP_001225929.1</t>
  </si>
  <si>
    <t>2-methylthioadenine synthetase</t>
  </si>
  <si>
    <t>MPMSPDPRPGRDGASTKPTVAFAHLGCEKNRVDTEHMLGLLSEAGYGVSSDESVANVVVVNTCSFIQEAREESVRTLVGLAEQGKELIIAGCLAQHFQEELLESLPEAKAIVGTGDYQHIVEVLERVEAGERVNRVSSTPTFVADERLPRHRTTGEAVAYLKVAEGCDYRCAFCIIPHLRGNQRSRPIESIVAEAHQLAAEGVKELILISQITTNYGLDLYGRPRLADLLQALGDVEIPWIRVHYAYPTGLTNEVISAYRDVPNVLPYLDLPLQHSHPDVLRAMNRPWQADVNERLLDQIRSQLPEAVLRTTLIVGFPGETQEQFEHLAGFLERQQFDHVGVFTFSPEQGTAAAELPNPVDADIALARKDRLMTLQQPISAAANARWVGRTVDALIEQHNPETGAMIGRCARFAPEVDGEVHIAPRADGLQAAPGTMIPVQITGSDIYDLRAEIVGAASMVASARSAL</t>
  </si>
  <si>
    <t>YP_001225501.1</t>
  </si>
  <si>
    <t>ribosomal RNA small subunit methyltransferase B</t>
  </si>
  <si>
    <t>MSESPSRSETPGLASRRVALEVLEAVAAGAYADVALERALRQHPLQAADRGLATELAYGAIRWRQWLDAWLDKLGKVPARKQPPRLRWLLHLGLYQVLRMERIPAAAAVNTTVELAKRGKLARLAPVVNGLLRAALRAREAGDGLVQPTDPALALAQNQSLPLWFTQDLLRWCGPAQAAQVAQACNQVPPLDLRINRLRSSPAEMAARLAECSMPTAAIPGCPDGLQVLHSAGDLRQWPGYEEGHWCVQDRAAQWVAPLLAVEPGQRVLDACAAPGGKATHLAELMGDQGEVWAVDRSGGRLQRVAANAARLGCGCINALAADAAQLLEERPQWRASFDRILLDAPCSGLGTLARHPDARWRISEASIADLVKLQAGLLDALVPLLKPGGRIVYATCTVHPAENTEQIHGWLQRHPQLVLASEQQRWPDPQGGDGFYAAVITAPAAA</t>
  </si>
  <si>
    <t>YP_001224043.1</t>
  </si>
  <si>
    <t>ribonuclease PH</t>
  </si>
  <si>
    <t>MNTTSRKDGRQASALRPFAVEWDPMGFALSSVIVRTGRTAVLCSVCHEEGVPRWRRDQGLGWLSAEYRLLPGSTPERQRREWLKLSGRTQEIQRLIGRSLRAALSMEALGENTLLIDCDVIQADAGTRTASVTGAWLALQNACESLVKQGVLQSNPVCSQVAAVSVGLLGGEALLDLDYSEDSQADVDLNVVMNDSGELLELQGTAEGKAFSRQQLNLLLDRAEPGLKQLMDAQKEALRLR</t>
  </si>
  <si>
    <t>YP_001224011.1</t>
  </si>
  <si>
    <t>queuine tRNA-ribosyltransferase</t>
  </si>
  <si>
    <t>MRVFDFQINATCRHTAARCGCFQTPHGPVTTPRFMPVGTLATVKGVTADQLATTGAQMVLSNTYHLHLQPGEAVVEAAGGLHRFMGWQGPMLTDSGGFQVFSLGDLNRIDDHGVDFRNPRDGSRILLTPERSMEIQMALGADVAMAFDQCPPYPATENDVEEASRRTHAWLERCVTAHTRTDQALFGIVQGGCFPHLREASAKAVAGFNLPGIAIGGVSVGEPVEEMHRIVRQVTPLLPEDRPRYLMGIGTLREMAVAVANGIDLFDCVLPTRLGRHGTAMVAGERWNLRNARFRHDHTPLDPTCPCIACKQHTRSYLHHLIRSEELLGLTLLSLHNLTHLIRFTSAMERAIREGCFAEDFRPWDDDSPAHHTW</t>
  </si>
  <si>
    <t>YP_001226059.1</t>
  </si>
  <si>
    <t>arginyl-tRNA synthetase</t>
  </si>
  <si>
    <t>MLRIAHRLDLQLRAAMDRAFPEQAAAARQASQPLDPQLAPASKPEFGDFQANGALALAKPLKQAPRQIATAIVAQLQADPAFTDLCLEPQIAGPGFINLTVRPERLAAEVSARLGDQRLGVPAVEQAAPVVVDFSSPNIAKEMHVGHLRSTIIGDSLARVLEFRGHPVLRLNHVGDWGTQFGMLITHLKQVAPDALDTADAVDLGDLVAFYREAKKRFDDDEAFQTTSREEVVKLQGGDPVSLKAWGLLCDQSRREFQKIYDRLDIRLNERGESFYNPFLPAVIDGLKDAELLVTDDGAQCVFLEGVQGKDGKPLPVIVQKSDGGFNYATTDLAAIRYRFGAAPDGDDARRVIYVTDAGQANHFAGVFQVAQRAGWIPEGARLEHVPFGLVQGEDGKKLKTRAGDTVRLRDLLDEAVERAETDLRSRLNEEERSESEEFIQHVAGTVGLAAVKYADLSQNRITNYQFSFDRMLALQGNTAPYLLYAVVRIAGIARKGGDLEVLTGQLQFSEPQEWALVRELLKFDAVIAEVEEELLPNRLCSYLFELSQVFNRFYDQVPVLKADAEALPSRLALCRLTADTLKSGLGLLGIPTLDRM</t>
  </si>
  <si>
    <t>YP_001224983.1</t>
  </si>
  <si>
    <t>leucyl-tRNA synthetase</t>
  </si>
  <si>
    <t>MTASKSSSATASASDRPDRYDPIALEQRWQSQWQQDDLYATRSPEPGQNAFYALSMFPYPSGSLHMGHVRNYVITDVIARAQRMRGDSVLHPMGWDAFGLPAENAAIERQVDPGVWTDRNIEQMKAQLARLGLSIDWSREQATCHADYYRWTQWLFLELMDQGLAYQKDATVNWDPVDQTVLANEQVDSEGRSWRSGALVEQKNLRQWFLRITNYADALLDDLDLLKGWPERVRTMQANWIGRSIGAEIDFRVSDHDDAVITVFTTRADTLHGVSYVVLAPEHPLVATLTAEHQRESVAAFRDLVGELSADERTADDRPKRGVPIGATAVNPANGESIPIWIADYVLAGYGTGAVMGVPAHDERDFLFARTYELPVKRVIQAAGTSDHLSDGEAWTGPGILLNSGRFDGQSSEEARQEITAHGQELGWARPKRQYRLRDWLISRQRYWGCPIPVIHCDHCGAVPVPADQLPVTLPKDVDLQGKGGSPLASLQSWVNVKCPSCGRDARRETDTMDTFMCSSWYFLRFADPHNTERAFDADAVERWLPVQQYVGGIEHAILHLLYSRFFTKALRDRGLLNIREPFERLLTQGMVQGVTYRNPRTGRYVAPSEVSDENAPKDPVDGGELEVLFEKMSKSKYNGVDPAAVIDRYGADTARMFILFKAPPEKDLEWDDADVEGQFRFLQRLWRLIESVRSDDQDQLLGDPVDPPEGSGLSDKEGEIRRAVHTAIEAVSDDLKGDFQFNTAISELMKLSNTLSGALPEASRAVQAEAVSALIRLLAPFAPHLAEEFWFSLGGQDSVHKQPWPLHDPAALVRDTVDLVIQVKGKVRGTITVPADCSKETLEELALASDVAERWLEGKPPRRVIVVPGKLVNLVPS</t>
  </si>
  <si>
    <t>YP_001224038.1</t>
  </si>
  <si>
    <t>peptidyl-tRNA hydrolase</t>
  </si>
  <si>
    <t>MIKSGDLRLVVGLGNPGDRYASTRHNVGFMALEQLAARDHARFRAMAKLQGDLADVGAGSDRLRLLMPNTYMNESGRSIRATLDWFGLNLGQVIVLVDDMDLPLGRLRLRARGSAGGHNGLKSTIQHLGTQEFARLRIGIGAPGRSPEERRARTVSHVLGAFSREEEPLLKEVLNEVLAGLERIQRQGLERAGNHINALNLAPAQSESV</t>
  </si>
  <si>
    <t>YP_001225435.1</t>
  </si>
  <si>
    <t>phenylalanyl-tRNA synthetase alpha subunit</t>
  </si>
  <si>
    <t>MSATVTLQQLTDQLEALEAEAAEAISAAADAEALEQLRVGLLGKKGRLSGVLGAMGKLPGNERPLVGQRANVLKTQVQSLLGERLLAVKQAAMEARIAAETLDVTAPPLGVPMGHRHPLISTTEEIVDLFCGLGYQVEEGPEVETDHHNFTALNIPPDHPARDMQDTFYLKDNLLLRTHTSPVQIRHLETNPPPVRIVAPGRVYRRDAVDATHSPVFHQVEVLAIDEGLDFSHLRGTVMAFLKAFFGDLPVRFRASYFPFTEPSAEVDVQWRGRWLEVMGCGMVDPAVLEGLGLDPERWSGFAAGLGVERFCMVRHGIDDIRRLYTSDLRFLEQF</t>
  </si>
  <si>
    <t>YP_001225341.1</t>
  </si>
  <si>
    <t>cysteinyl-tRNA synthetase</t>
  </si>
  <si>
    <t>MPVSLRFTNTLTRRTEPFQPLKDGQVSIYCCGVTVYDLCHLGHARSYINWDVLRRYLIWSGYAVTFVQNFTDIDDKILKRAAEEGSSMEAVSERNIDAFHADMDALGILRPDRMPRATRCLEGIRTLIAELEAKGAAYSADGDVYFAVMKHAGYGKLSGRDLADQQTNADGRVADAEEARKQHPFDFALWKGAKAGEPSFPSPWGNGRPGWHIECSAMVREELGDTIDIHLGGADLVFPHHENEIAQSEAATGQELARVWLHNGMVNVGGEKMSKSLGNFTTIRALLESGLSAMTLRLFVLQAHYRKPLDFTAEALEAATTGWKGLNAALSLGDLHAEALGWTPAEPMGNDAVVASESSAIDTLLSARQRFSAAMDDDLNSSGALAVLFELARPLRALANRLDRGDAPNHNDDDGQELLQRWLLLRELAAVLGLRLEHPSAPEEESDLDSQSIEAAIDARRLAKQSKDFAEADRIRAELSAQGIELIDKPGGITEWRRG</t>
  </si>
  <si>
    <t>YP_001225013.1</t>
  </si>
  <si>
    <t>phenylalanyl-tRNA synthetase beta subunit</t>
  </si>
  <si>
    <t>MRVSLSWLKDLVQVNEPADQLGDRLSMAGFEVEELEDLSLLAQGVVVGHVLEKTKHPNADKLSVCSVDVGAEAPLQIVCGAPNVRAGIHVPVAMVGAVLPAVKLTIKAGELRGVSSQGMICSLAELGQTSAVDGIAILEDLVFEVPAPGVSIAPVLGLDDTVLELAITANRPDGLSMTGIAREVAALTGSDLSLPDTPAPTSCEALTPSAGSAEAMQRGGIYAVTEVMQLDGAKRSPQWMQQRLQRAGVNPVNAVVDIGNLVMLEQGQPLHAFDADALESLCGQPIKAADFGLRQAHDQEPFRGLDGRDLVLDSRVQVVTCCDRAVAIAGVMGSANTAVNDTTQRIWLESALFTPTSVRSSSRATGQRTDSSSRYEKGLPREITLLAAGRALSLLKTMLGAEIGQTWQCAAEPGPAPVVELRRNALHQLLGPLAPTAPDAEAQDLDDGRVEACLKSLGCSLTATDDGWEVIVPPSRRLDLLREVDLIEEVARLVGFDHFESHLPDPLRPGQLSTAQQAERRLRQRLCAFGLQEVTTLSLTRADDSDANRIAISNPLLAETSHLRTALWQEHLEICQRNLQASQPGCWLFEIGNVFSPDSSGVHQQSRLGGVICGERRLSRWRTSGKTAPLSYFEARGILTALLSSLGIDSMDRRLSDDVRLHPGRAATVVVEGKPLGCFGQLHPSLCDDFELPPETYLFDFDTALLLNAATRNNRWIPQFKTYSTLPAAERDLAMVVSKSLPSGDLLQAIRKAGKPLLESVELIDHFESDQLGADRCSQAFRLRYRGKDSTLTDDQIQPVHEKVRQALIKQFEVELRS</t>
  </si>
  <si>
    <t>YP_001224503.1</t>
  </si>
  <si>
    <t>tryptophanyl-tRNA synthetase</t>
  </si>
  <si>
    <t>MGRPRVLSGVQPTGALHLGNWLGAIRNWVDLQHDHDTFFCVVDLHAVTVPHDPQRLAEDTLTTAALYLACGLDPELCTIFVQSQVSAHSELCWLLNCVTPLNWLERMIQFKEKAVKQGDNVSVGLLDYPVLMAADILLYDADLVPVGEDQKQHLELARDIAQQRINARFGSEDAPILKVPKPLILKDGARVMSLTDGRSKMSKSDPNEGSRITLLDPPELITKKIKRAKTDPERGLEFGNPERPETDNLLGLYALLSGKGREAAATECAAMGWGQFKPLLAEATVAALEPIQKRYQDLMADRGQLLAVLETGRERASAVADASAQRVRAALGFLTAS</t>
  </si>
  <si>
    <t>YP_001225787.1</t>
  </si>
  <si>
    <t>30S ribosomal protein S20</t>
  </si>
  <si>
    <t>MANNKSSKKRVEIAERNRLQNKAYKSSMRTLMKRCFSACEAYNATPGDEAKTSVQASMNAAFSKIDKAVKRGVLHRNAGAHQKARLSVAVKKAIDPAPASAS</t>
  </si>
  <si>
    <t>YP_001226163.1</t>
  </si>
  <si>
    <t>valyl-tRNA synthetase</t>
  </si>
  <si>
    <t>MPELAKTYDPVGTEARWQQAWEDQGAFHPDPKAPGEPFSVVIPPPNVTGSLHMGHAFNTALIDTIVRYQRLAGKNVLCLPGTDHASIAVQTILEKQLKEEGKTRHDLGREAFLERAWQWKAESGGRIVGQLRRLGYSVDWQRQRFTLDEGLSEAVKEAFVRLHEQGLIVRGEYLVNWCPASGSAVSDLEVEMKEVDGHLWHFRYPLSSGEGHLEVATTRPETMLGDTAVAVNPTDERYAHLVGQTLTLPFVGREIPIVADDHVEKEFGTGCVKVTPAHDPNDFAIGQRHGLPQITVMRKNGTMNKEAGQFEGLDRFEARKAVVAGLEELGLLVKVEDYRHSVPYSDRGKVPVEPLLSTQWFVKTEPLAARCREALEKQDPRFIPERWEKVYRDWLTDIRDWCISRQLWWGHRIPAWFVISETGGNYTDTTPYVVARNEAEALEKAKAEYGAAAEIEQDEDVLDTWFSSGLWPFSTLGWPDADSADLQRWYPTNTLVTGFDIIFFWVARMTMMAGAFTGEMPFQDVYIHGLVRDEQNRKMSKSAGNGIDPLLLIDRYGTDALRFALVREVAGAGQDIRLDYDRKTDTSATVEASRNFANKLWNATRFALMNLGGETPAQLGDPDPAALQLADRWILSRLARVNRETAERYSSYGLGEAAKGLYEFAWNDVCDWYLELSKRRLNPGENPSAEALADQRVAKQVLAKVISQMHLMLHPLMPHLTEELWHSVTGEPETTFLALQPWPVLDESALDDDLEASFAELIAAIRVVRNLRAVAGLKPSQSVPVRFVTGRGELAAVLSKGTADITALTRAESVAVMAPAEADAAPVAKALAGVSGELQVLLPIEGLVDLDALKGRLEKDIAKAEKEIKGLAGRLGNPNFADKAPPEVVAECQANLDEKQAQADLARKRLADLS</t>
  </si>
  <si>
    <t>YP_001224851.1</t>
  </si>
  <si>
    <t>methionyl-tRNA synthetase</t>
  </si>
  <si>
    <t>MTYSLTTPLYYVNAKPHLGSVYTTLACDALARFQRLEGQDVVFITGVDEHGQKIQRTAETQNISPIDHCDRISALYSDLWTRWHISNDRFVRTTSPRHLPLVQAFFQRCEAAGHIRTGHQEGWYCVDCEEFKDDPADAKAPDCPIHRKPLEWRDEENLFFCLSQFQERIETLIADPQFIAPASRRREIENFVAGGLRDFSISRVNVSWGLPVPGHPGHTFYVWFDALLGYLTALLDDGGAVDLDRLADIGWPADVHVIGKDILRFHAVYWPAMLMSAGLPVPKRVFGHGFLTREGQKMGKALGNVLDPEILLERCGTDAVRWYLLRDIQFGEDGDFQQQRFMDLVNNDLANTIGNLLNRTASMSRKWFEASLPPVSPDVRSEHPLKQPTEQTIERVRQSIPALAFQDAAEAVLQLAIEANGYLNEQAPWSLMKQPGHEEKVGDDLYAVLECCRVIGLLLQPLVPGLSSRILAQLDQRPSDDGWTQALRWGQLEPGVGLPKPEPVMQRLELESPL</t>
  </si>
  <si>
    <t>YP_001224105.1</t>
  </si>
  <si>
    <t>30S ribosomal protein S12</t>
  </si>
  <si>
    <t>MPTIQQLIRTERQSSKAKTKSPALKSCPERRGVCTRVYTSTPKKPNSALRKVARVRLTSGFEVTAYIGGIGHNLQEHSVVLIRGGRVKDLPGVRYHIIRGTLDTAGVKDRRQSRSKYGAKTPKE</t>
  </si>
  <si>
    <t>YP_001223900.1</t>
  </si>
  <si>
    <t>lysyl-tRNA synthetase</t>
  </si>
  <si>
    <t>MSDLRETRLEKVSALRDQGREPYALTFDPSDRMARLQSDHADLPKGEERDCAVAVAGRVMTRRVMGKLAFFTLADETGTIQLFLEKAALGEAFAQITSLVDAGDLIGVRGTLRRTDRGELSVKVAEWTMLTKSLQPLPDKWHGLADVEKRYRQRYLDLIVTPQSRETFRRRALTVSAIRRWLDEREFLEIETPVLQSEAGGADARPFITHHNTLDLPLYLRIATELHLKRLVVGGFERVYELGRIFRNEGVSTRHNPEFTSVEVYQAYADYLGMIELTESMIASVCEQVCGGTRLTYQGTEIDLTPPWRRATMHELVEEATGLDFTAFADRAAAAEAMTAKGLPVPDKADSVGRLLNEAFEHAVEANLIQPTFVLDYPEEISPLARKHRSKPGLVERFELFIVGRETANAFSELIDPVDQRGRLEAQQARRAAGDEEAQGVDEDFLQALEVGMPPTGGLGIGIDRLVMLLTDSPSIRDVIAFPLLRPEG</t>
  </si>
  <si>
    <t>YP_001223868.1</t>
  </si>
  <si>
    <t>translation initiation factor IF-3</t>
  </si>
  <si>
    <t>MPPRPRFDRRAPVRELPNINERINYPQLRVVDADGTQLGVIDREKALEVAQERELDLVLVSEKADPPVCRIMDYGKYKFEQEKKAKEAKKKSHQTEVKEVKMRYKIDQHDYDVRIGQAQRFLKAGDKVKCTVIFRGREIQHTALAETLLRRMAKDLEEPAEIQQPPKREGRNMIMFLTPRKTPLVKKDDKEEPATRAVRTITAPPRPTSARLASKPAGNG</t>
  </si>
  <si>
    <t>YP_001226048.1</t>
  </si>
  <si>
    <t>peptide chain release factor 2</t>
  </si>
  <si>
    <t>MPRTVFDVPALNARQQDLEQLAAQPDFWDDQQNAQKQMRRLDEVKAMLQQLDTWQGAVSDAQATLELYDLEPDDDMLGEAQSGLTQLRRDLDRWELERLLSGEYDKEGAVLSINAGAGGTDAQDWAQMLLRMYTRWAEDRGMKVTVDELSEGEEAGIKSATIEIEGRYAYGYLRNEKGTHRLVRISPFNANDKRQTSFAGVEVMPKLEEDVDIDIPDKDLEVTTSRSGGAGGQNVNKVETAVRILHVPTGLAVRCTQERSQLQNKEKAMALLKAKLLVIAQEQRAAEIADIRGDIVEAAWGNQIRNYVFHPYQMVKDLRTQEETNDVQGVMDGDLDPFIQALLRQGVDSPGQEEDN</t>
  </si>
  <si>
    <t>YP_001226121.1</t>
  </si>
  <si>
    <t>alanyl-tRNA synthetase</t>
  </si>
  <si>
    <t>MAVARSSRTDAARPRTGAEIRDAFLAFFEERGHKRMPSASLVPEDPTVLLTIAGMLPFKPIFLGQQERPAPCATSSQKCIRTNDIENVGRTARHHTFFEMLGNFSFGDYFKQQAIEWAWELSTGVFGLDPKNLVVSVFRDDDEAEQIWREVVGVNPKRIIRMDEEDNFWASGPTGPCGPCSEIYYDFKPELGDDGIDLEDDDRFIEFYNLVFMQSNRDAEGTLTPLANRNIDTGMGLERMAQILQKVPNNYETDLIFPLIQAAAERAGVDYHQLDEKGKTSLKVIGDHSRAVTQLISDGVTASNLGRGYILRRLLRRVVRHGRLLGIDKPFLQAMGEASIALMQSAHPQLSERREVILAELQREEARFLETLERGEKLLADVLAAKPKQISGEQAFELYDTYGFPLELTQEIAEEHGLAVDLAGFETAMEQQRQRAKAAAVSIDLTLQDAIDQVAAGLQDTEFRGYEQLEQSSSIQALVVNGEPAQSAVAGDAVQVVLDVTPFYGEGGGQIGDRGTLVADGQAGDGLIVMVESVSRNRSVFVHSGRVQRGALAVGDVVHGRVDRACRRRAQANHTATHLLQAALKQEVDPGIGQAGSLVSFDRLRFDFHCPRAVTAEELERIESLINGWIADAHALEVQEMAIEKAKAAGAVAMFGEKYADVVRVVDVPGVSMELCGGTHVANTAEIGLFKIVSESGVAAGIRRIEAVAGAAVLPYLNERDAVVKQLGERFKAQPGEIIERVTALQDELKATGKALAAAQAELAVAKSAALATKAVAVGDFQLLVERLDGVDGTGLQGAAQSLADQLGDGAAVVLGGLPDPADQGKVILVAAFGKAVIAQGQQAGKFIGGIAKLCGGGGGGRPNLAQAGGRDGAALASALEAASHQLRESL</t>
  </si>
  <si>
    <t>YP_001225493.1</t>
  </si>
  <si>
    <t>glycyl-tRNA synthetase subunit alpha</t>
  </si>
  <si>
    <t>MHFQDIISTLNRFWSEQGCLLLQPYDTEKGAGTMSPHTVLRAIGPEPWAVAYPEPCRRPTDGRYGDNPNRAQHYFQYQVLIKPSPDGIQETYLASLEALGIKAADHDIRFVEDNWESPTLGAWGVGWEVWLDGMEVTQFTYFQQCGGLDCKPVSIEITYGLERLAMYLQDVESIWDLSWNAQRSYGDIWLPFEKGQCHFNFEASNPERLKQLFAIYEAEATDLIAQNLPAPALDFVLKCSHTFNLLEARGVISVTERTATIGRIRTLARKVAEAWLAEREALGFPLLEPSAATAAV</t>
  </si>
  <si>
    <t>YP_001224136.1</t>
  </si>
  <si>
    <t>30S ribosomal protein S13</t>
  </si>
  <si>
    <t>MARIAGVDIPRDKRIEVALTYIYGIGLTRAQTILSKTGVNPDTRVKDLEDGDVQKLRGATEAFTIEGDLRRQEGMALKRLQDIGCVRGRRHRMSLPVRGQRTRTNARTRRGARKTVAGKKK</t>
  </si>
  <si>
    <t>YP_001224787.1</t>
  </si>
  <si>
    <t>tRNA/rRNA methyltransferase</t>
  </si>
  <si>
    <t>MSSRFDRRPSRPLRGGGPGGGRPSRGGPRGRSSRPDEGGTGLRRREQRSDARDARDASPWRGERDGGDGRRRGPSRSDSRDFKRPAGRSGARPLDGGGRGRRDQRTDDRRFPERNRALPLRSRSPRSDRQDRSDRPDRRFEEKPRGESSSHSADPVADDLLWGRHATQAALEAGRPIHRIWCTSEMRSAPRFMQLLRDAKSSGVLVEEVTWARLAQMTGGAVHQGIALQTAAADTLDLADLIEGCAALQEAPLLLALDGLTDPHNLGAIVRSAEALGAHGVVLPQRRSAGLTGSVAKVAAGALEHLPVARVVNLNRSLETLKDAGYRVVGLAEEGDQTLEEADLEGPLVVVTGSEGQGLSMLTRRHCDQLIRIPLRGVTPSLNASVATALCLYEVARRSWMKGLRGQNPSPQIVRPNLQAAPQPDASVTAPETVLDLQLERSTELATPRFDGSVEL</t>
  </si>
  <si>
    <t>YP_001224960.1</t>
  </si>
  <si>
    <t>50S ribosomal protein L28</t>
  </si>
  <si>
    <t>MSRVCQLTGTKANNGMAVSHSHIRTKKLQQANLQQRRLWWAEGKRWVNLRITTRALKTIQKKGLGAYAKSLGIDLARL</t>
  </si>
  <si>
    <t>YP_001225630.1</t>
  </si>
  <si>
    <t>30S ribosomal protein S14</t>
  </si>
  <si>
    <t>MAKKSMIARDAKRKKMVERFAAKRSALMAAFNAAEDPMERLEIHRKIQGLPRNSAPTRMRNRCWATGKPRGVYRDFGLCRNQLRERAHKGELPGVVKSSW</t>
  </si>
  <si>
    <t>YP_001224128.1</t>
  </si>
  <si>
    <t>peptide chain release factor 1</t>
  </si>
  <si>
    <t>MDPSTLISRLEAARSSFHNLERQLADPDVASDPTRLQSIARERSRLEPLVNDYASLQAVQSEREQARELLRDSRGDEEMAHLAQLELDELDIRHEALIERLTLALLPRDPRDERSVMLEIRAGAGGDEACLWAGDLARMYERFSSRRGWTVQPVSASEADLGGFKELILSVKGESVFSELKFEAGVHRVQRVPATESQGRVHTSTATVAVMPEADPVEVQIEPADLEISTARSGGAGGQNVNKVETAVDLMHRPSGIRVFCTQERSQLQNRERAMEILRAKLYERQLAEANARESSARRAQVGTGDRSEKIRTYNAKDNRVTDHRLGRNFSLDPVLQGQMEDVIGACIAEEQRSKLEALSRQSDD</t>
  </si>
  <si>
    <t>YP_001225241.1</t>
  </si>
  <si>
    <t>membrane-bound transcriptional regulator</t>
  </si>
  <si>
    <t>MNNRQRVGTNVLLLAAAAGLTGGFLLAIPLSRTLMPEAEAPALIPVSNPFSAWSVFDNREVLVLGVDEGGGNTDAIFTIRLEAGRTSITQIPRDSYIDSRSFGPLKANALFARGGADAVKRELSRLMGRPIDHHILVNLEGIRTLSDLVGGVEVDVPKRLYYRDNSQGLLIDLQPGLQVLRGRELEGFLRWRHDGEGDLGRLDRQQLVLKSLFSTLTKPQHVLKLPALINAAGRNLDTDLGAMELGGLITAMGLTELETQRLPARPFYRNGISYLETEWPGQGPKGIDATESSSWRYRLLF</t>
  </si>
  <si>
    <t>YP_001223876.1</t>
  </si>
  <si>
    <t>RNA polymerase sigma factor, sigma-70 family</t>
  </si>
  <si>
    <t>MAPTLAAASVSVPTVAVKSAAGASQPAKSGPTKAMASRPSGTDVDLVRSYLRDIGRVPLLSHQQEITLGRQVQELMDLEATEAELQEKRGGEAVPAAELAKAAGLSAVQLKRKLQAGRRAKERMVAANLRLVVSVAKKYTKRNMELLDLIQEGTIGLVRGVEKFDPTRGYKFSTYAYWWIRQGITRAIAEKSRTIRLPIHITEMLNKLKKGQRELSQDLGRTPSVTELAAFVELPEDEVKELMCRARQPVSLEMKVGDGDDTELLDLLAGDGELPSEQVEGECLKGDLRDLLGQLPELQERVLRMRYGMDGEDPMSLTGIGRVIGISRDRVRNLERDGLAGLRRLSDQVEAYVAC</t>
  </si>
  <si>
    <t>YP_001225016.1</t>
  </si>
  <si>
    <t>exoribonuclease R/ribonuclease II</t>
  </si>
  <si>
    <t>MGFKAKEQVLPARQLTLIAPSSPSTAVAGKLGVFPWDFNEQALTRARLMHRDWGQAWVLLGESGETVALSDFADLVYGSQDPLHCASAWLNLESGHDLFRLKQGLVSARLLDEIRSRRLERRREQLGQARFQRWLDYLGAKKGVERQVLDPLHLEWIEQLIGFCAGSNSFDDLTAGLRQSLTQLRFDQNRGDVRERLVTLGHLDPHQLSSIAGTPWSYGFSAELTAEAERLMRCSMQAQPGDSERRDLTHLACVTIDDAETKDIDDALGLERLANDHLRIWIHIADPSRLITAGSPLDLEARRRGSSLYLSRGLLPMFPSKLSSEVFSLKAGQRNPAWSTWVDLDASGDVTASGLCRSWVTPRYRLTYDDADELIDFAPPEEADLSDLHDLLTTRRQWRVQRGALLMDLPEGRIRCRDGQPTIEITEPSPSRDMVAEAMILCGSVAASQGIEHDLPLPFRSQLPAELPSAAQLEGLGDGAVRFAAIKRCLSRGLMGTTPAAHFSLGLSAYAQATSPIRRYSDLVVQRQFAALLYPHANEEPLNTESLQTLLQQIDTAVREGIAVTREDQRHWQQVWFEQHANARWPVDFLRWLRPQDRLGLVRLEELALDLAATCPAGSEPGDALVLEVAGVDSIRDQLHLVANVSSGR</t>
  </si>
  <si>
    <t>YP_001223866.1</t>
  </si>
  <si>
    <t>transcriptional regulator</t>
  </si>
  <si>
    <t>MRFHIQQESDIPASTQLYNQICFAIAARHYPPGHRLPSTRQLAMQTGLHRNTISKVYRQLETDGVVEAMAGSGIYVRDQQKPREIRTPASPRNRGVTDLDREVRKCVDGLLNAGCTLQQTRDLLTREIDWRLRCGARVLVSTPREDIGASMLIAEELEPCLDVPVEVVPMEELESVLESASNGTVVTSRYFLQPVEELAKQHGVRAVAVDLNDFRAELAMLKELRGGSVVGLVSISPGILRAAEVILHSMRGNELLLMTATPDVNSRLLALLRASSHVLCDRPSLPLVEQSLRQNRSQLMRMPQVHCAESYLSADTIELLRKEIGLLTA</t>
  </si>
  <si>
    <t>YP_001225999.1</t>
  </si>
  <si>
    <t>RuBisCO operon transcriptional regulator</t>
  </si>
  <si>
    <t>MADLPFTLDQLRILRAIVSEGSFKKAADSLYVTQPAVSLQIQNLEKQLEVSLFDRGGRKAQLTEAGHLLLSYCDRILSQCHEACRALDDLHDLKGGSLLVGASQTTGTYLMPRMIGLFRQKFPDVSVQLHVHSTRRTGWSVANGQIDLAIIGGELPAELNELLQVVPYASDELALVLPIKHPLSRLVELSKDDLYRLGFVSLDAQSTTRKMVDQLLARSGLDVPRLRIEMELNSFEAIKNAVQAGLGAAFLPVVSIERELTANTLHRPAVVDLQVRRQLKLITNPSRYCSRAAEAFRRDVLPVFASADSPLRQARGSGLAGEAGDGGADPLPSQDQN</t>
  </si>
  <si>
    <t>YP_001225614.1</t>
  </si>
  <si>
    <t>Phage shock protein A</t>
  </si>
  <si>
    <t>Transcription; Signal transduction mechanisms</t>
  </si>
  <si>
    <t>MGFFDRLSRLVRANANAAVSSMEDPVKILDQSVADMQADLVKLRQAVAMAIASQKRLRNQADQAETQSRTWYERAELALKKNEEDLAREALTRRKTFQETATSLSNQVKAQEAQVETLKKSLVALEGKIAEARTKKDMLKARAQAAQAQQQLQSAVNGIGTNSAMAAFERMEDKVQSMEATSQAAAELAGADLESQFAALEGGSDVDDELASLRQQLQGGPEAVALPQADDKVQPVKVAEVDQDLEELRRSIDKL</t>
  </si>
  <si>
    <t>YP_001225231.1</t>
  </si>
  <si>
    <t>exodeoxyribonuclease V beta chain</t>
  </si>
  <si>
    <t>MTGPGDARTIRFEPNRYPLNPGLRLLEASAGTGKTFALAHLVMRLVVERELKLDALLVVTFTEAAADELRDRIGKRLDGALQGLLCLEQGGDGEAMATDAVLQEWLAEHGRDPTGRKSKASLLLEALEALERADITTIHGFCRRTLRRQALDSGRSMDLSVDDDPQTLVEEVAHDLWREQVLTLDPDDVAGLLQSGLREDTLTAELLRLDGDCGVRIAEDAEVIDTETALRDVFPIWLEQRWLQVGELWSQDGDALERCLRDCAQDWHSLGCKDTKPYSRNPRKNRAALLSTWLQTKNDTQSLPIRYANVRNQDLLGTYYHPGVFAKTARKCGEDAPSLPRPELMRAIAELWDGPGEQTWRYLLIRGLQEIDQRRQRRGVVGFSGLLDALNPTDPSRSQAWITALRERYKVALIDEFQDTDPLQWNLLHQCFASSDHLLLMVGDPKQAIYRFRGGDLQTYKTARAQVDRIDDLLDNRRTTPPLMEAMNHLMSPGLKHSELSVPAVSAKASCTPLTLPPETAPLQILAFNPDDADGSRSRTDLEATIPCFAADLLLQILGNDASLTPADFCILVSRHRQAEAIRDQLSKVGLPSRLISPGDVLSSQGAGELQWFLDGLARPADNERLRRLAAGALMQWPAHTLEACEQTGQLDLFAAKLQTLAEALPRLGLMGCLAQLLEGETLADLSIRGRLLGDLLQCARLVQDAMHRQGLNAAGGADWLRRQRLHPPDNVPDQRQPYSDLAASAVAVVTVHRSKGLQYPVVICPYLWEAPSPGKGPLWRLPAGDPTGSWRVALNPHWGSGQAAACADALDCMAEAERLAYVALTRAERHLVLFSAGEANPSGNPLDPWLSALADGNHPHISLHHPRSPAAHQRWTPPRQNQTLQCAPVPKGALDRSWGRSSYSAWIASASNHHPSKRSNPHELEEGRDVDAGTDTSSLREPAVGLSSDVERELGDALPPRNGALRTFPRGASAGDCLHRILEQLPFDQPVEQPANQELVARELSRSGLDLSLQDDVLSAISTLLRSPFGGPLGQLRLADLHSGRRLHELSFDLPVAHAGSAVRASTLARAFRCDPKQRFGSDYAAQLETLDIHSRGFLTGSIDLVFTDGDDLSTARWWVADWKSNWIGERDGEGQPLHCGPRHYTQAAMEEQMLQHHYPLQAHLYLVALHRFLQWRLIDYSPERHLGGYAYVFLRGVSEQGGSGVIIEPAPLQRLEHLNTLLQGTQP</t>
  </si>
  <si>
    <t>YP_001223785.1</t>
  </si>
  <si>
    <t>DNA polymerase III gamma/tau subunit</t>
  </si>
  <si>
    <t>MSQAYQPLHHKYRPQRLDQLVGQEAIAATLGHALRSGRIAPAYLFSGPRGTGKTSSARILARSLNCLNSEGPTPEPCGHCELCTTIAAGTALDVIEIDAASNTGVDNIRDLIERSRFAPVQARWKVYVVDECHMLSTAAFNALLKTLEEPPPQVVFVLATTDPQRVLPTILSRCQRFDFRRIPLEALERHLTWIAEQETIPIQPEALHVVAQRAQGGLRDAESLLDQLSLLPGPIQAEAVWDLLGAVPEQELLALVAAMRSGEPVALLEATRNLLDRGRDAGSVLQGLAGILRDLVLMAAAPDRPELTSVSPQFRDQLPELAKAIGRSRLLQWQSQLRGTEQQLRQSVQPRLWLEVLLLGLLAEPTAAQTPVQAASQPPRPGSQSAPATAAPIPAPPVPAVATAAPSPQAPPAQAPPPAPVSLPDTSPPAAEPAAAANPSPPQDLGELWQQILAGLELPSTRMLLSQQAELVRLDNHRAVVQVAGNWMGMVQSRVALLEQAIARAVGGSRQLVLESHGGAAPMAAMPAPSTPPPPTPNATPAPVPAPAVTSSEAQLPPRPLAATPTPASLPPTPTPSAAPAPAPEPDSAAVQRQEPSVLDDKAKRLADFFNGQVLNVDLDP</t>
  </si>
  <si>
    <t>YP_001226252.1</t>
  </si>
  <si>
    <t>excinuclease ABC subunit A</t>
  </si>
  <si>
    <t>MGRPAPKSKALSGSRPVNLSGGSLEDVIRVRGARQHNLKNVDVTIPRNKMVVFTGVSGSGKSSLAFDTIFAEGQRRYVESLSAYARQFLGQVDKPDVDAIEGLSPAISIDQKSTSHNPRSTVGTVTEIQDYLRLLFGRAGEPHCPQCDRAIRPQTIDEMVDQILTLPEGTRYQLLTPLVRGKKGTHSKLISGLAAEGFARVRIDGEVRELADNIELDKNHQHSIEVVVDRLVARDGIQERLTDSLRTALKRGDGLAIVEVVPKKDEELPEGVERERLYSENFACPEHGAVMEELSPRLFSFNSPYGACDACHGIGHLRKFTAERVIPDPSLPVYAAVAPWAEKDNSYYFSLLYSVGEAFGFEIKTPWKDLTEEQQDVLLNGSRDPILIQADSRYRKGKGGYERPFEGILPILERQLRDASGEAMRQKLEKYLELVPCASCAGQRLRPEALAVRVGPYRITELTAVSVGQTLERIERLMGVGAFEASEPLLTDRQIQIGDLVLREIRMRLRFLLDVGLDYLSLDRPAMTLSGGEAQRIRLATQIGAGLTGVLYVLDEPSIGLHQRDNDRLLATLERLRDLGNTLVVVEHDEDTIRAADHLVDIGPGAGVHGGHIVAEGSLEDLLTAEESLTGAYLSGRRSIPTPSERRSAGTRSLKLLNCARNNLTDLSVEFPLGRLVSVTGVSGSGKSTLVNELLHPALEHGLGHKVPFPNGLGELRGIKSIDKVIVIDQSPIGRTPRSNPATYTGAFDPIRQVFAATVEAKARGYQVGQFSFNVKGGRCEACRGQGVNVIEMNFLPDVYVQCDVCKGARFNRETLQVTYKGFTIADVLQMTVEQAADVFSAIPQAADRLRTLVDVGLGYVKLGQPAPTLSGGEAQRVKLATELSKRATGKTLYLIDEPTTGLSFYDVHKLMDVMQRLVDKGNSIICIEHNLDVIRCSDWLIDLGPEGGDKGGQIVACGTPEEVAQHPTSHTGRYLAKVLEQHPPEVDVPLAA</t>
  </si>
  <si>
    <t>YP_001226142.1</t>
  </si>
  <si>
    <t>replicative DNA helicase</t>
  </si>
  <si>
    <t>MVSVPLTDAGGESTDGDRRGFGKGRRRDEPNFEALPDSLPPQNLEAEEAVLGGILLDPDAIGRVADVLQPEAFYLGAHREIFRTAVMLHSQGKPTDLTAMTAWLADTGALEKVGGSSRLVELVERVASTASIEQVARLVMDKFLRRQLIRSGNEVIQLGFDQSLPMEQVLDKAEQTIFAISQEKPSKGLTPTAEILTSTFNEIESRSLGTSVAGIPVNFYDLDAMTQGLQRSDLIIVAGRPAMGKTSIVLNLAKNVAQLHDLPVCVFSLEMSKEQLTYRLLSMEVGIEAGRLRTGRLQQEEWPLLGQGINTLGQLPIFIDDKPNSGVLEMRSLCRRLMAEQGKELGLVVIDYLQLMEGSSPDNRVQEISRITRALKQMARELNVPVIALSQLSRGVESRTNKRPMLSDLRESGSIEQDADLVLMIYRDEYYNPETPDRGITEVIVTKHRNGPVGTVKLLFEPQFTRFRNLAA</t>
  </si>
  <si>
    <t>YP_001223803.1</t>
  </si>
  <si>
    <t>excinuclease ABC subunit B</t>
  </si>
  <si>
    <t>MPAFDLTAPYSPKGDQPTAIKQLVAGVNDGERYQTLLGATGTGKTFTMANVIAQTGRPALVLAHNKTLAAQLCNELREFFPNNAVEYFISYYDYYQPEAYVPVSDTYIAKTASINEEIDMLRHSATRSLFERRDVIVVASISCIYGLGIPSEYLKAAVKFEVGETLNIRGQLRELVNNQYSRNDTEIARGRFRMKGDVLEIGPAYEDRLVRVELFGDEVEAIRYVDPTTGEILQSLESINIYPAKHFVTPKDRLDTAVQAIRSELTERLDFLNTEGKLLEAQRLEQRTKYDLEMLGQVGYCNGVENYARHLAGREPGTAPECLIDYFPKDWLLIVDESHVTCSQLQAMYNGDQARKKVLIDHGFRLPSAADNRPLKGEEFWEKAHQTVFVSATPGNWELEVSGDEVAQQVIRPTGVLDPIVEVRPTTGQVDDLLGEIRDRASKQQRVLVTTLTKRMAEDLTDYLAENEVRVRYLHSEIHSIERIEIIQDLRLGEYDVLVGVNLLREGLDLPEVSLVAILDADKEGFLRAERSLIQTIGRAARHVEGVALLYADNMTDSMAKAISETERRRTIQQAYNEKHGIVPTAAGKKASNSILSFLELSRKLKTEGPDADLVQVASKAVEALDDDADGMALDALPELIDQLEMKMKEAAKKLDFEEAANLRDRIKQLRQKLVGKV</t>
  </si>
  <si>
    <t>YP_001226092.1</t>
  </si>
  <si>
    <t>ribonuclease H</t>
  </si>
  <si>
    <t>MAESDRRGRVVAAATDGACSGNPGPGGWGALIRFEDGSVEEFGGSDPATTNNRMELQAALSLLERLAELPRHPDLTLRTDSKYLIDGLGSWMAGWKRKGWKTAAGKPVLNQDLWQALDAARLPDVPLTYVKGHSGDPDNDRVDAIAVAYSKGGTPPLRAVPTQPADPAPEPLRTLLTRLELADRLASGGFTLTAVELAQLVEQPLTNVLERQQPWRWRDWMVEPIEADRWRLRRAEAGSR</t>
  </si>
  <si>
    <t>YP_001223870.1</t>
  </si>
  <si>
    <t>DNA gyrase subunit B</t>
  </si>
  <si>
    <t>MSEAAKVQAAYGAEQIQVLEGLEPVRKRPGMYIGSTGPRGLHHLVYEVVDNSVDEALAGHCSEIQVVLGEDGSASVTDNGRGIPTDVHPRTGKSALETVLTVLHAGGKFGAGGYKVSGGLHGVGVSVVNALSEWVEVTVRRQGQVHRQRFERGAPIGSLASEPQPAEEDGRTGTSVCFKPDIEIFSVGIVFDYATLSARLRELAYLNGGVRIVFRDERESARDAEGNPHEETYFYEGGIKEYVAYMNAEKDALHPEIIYVNAEKDGVSVEAALQWCVDAYSDSILGFANNIRTVDGGTHIEGLKTVLTRTLNTFARKRGKRKEADSNLAGENIREGLTAVLSVKVPEPEFEGQTKTKLGNTEVRGIVDSLVGEALGQYLEFNPGVIDMILEKAIQAFNAAEAARRARELVRRKSVLESSTLPGKLADCSSRDPSESEIYIVEGDSAGGSAKQGRDRRFQAILPLRGKILNIEKTDDAKIYKNTEIQALITALGLGIKGEDFDVKNLRYHRVVIMTDADVDGAHIRTLLLTFFYRYQKELVDGGYIYIACPPLYKVERGKNHTYCYNEPELQKTLEGFGEKANYNIQRFKGLGEMMPQQLWETTMDPTTRTMKRVEIEDALEADRIFTILMGDKVAPRREFIETHSAELDMTALDI</t>
  </si>
  <si>
    <t>YP_001224425.1</t>
  </si>
  <si>
    <t>chromosomal replication initiation protein</t>
  </si>
  <si>
    <t>MELTGSELWSKVQQTLQSNLSKPTFETWIRPAQCSAFTGGTLTLLAPNSFACNWLRKNYAGTIADVAGEILGRSVVVMVEARDVEPRAEASTPRTPAEPAESAPPAPMPEAVTTAPKPLRRLPGLNMRYVFNRFVVGPNSRMAHAAALAVAEAPGREFNPLFICGGVGLGKTHLMQAIGHYRLEIDPEARVFYVSTETFTNDLIVAIRRDGMQAFRDRYRAADLILVDDIQFIEGKEYTQEEFFHTFNALHEAGRQIVIASDRPPSQIPRLQERLISRFSMGLIADIQAPDLETRMAILQKKAEQERVALPRDLIQYISGRFTSNIRELEGALTRAVAFASITGMPMTVESVAPMLDPSGQGVEVTPQQVIDKVSEVFGVSVDDMRSSSRRRAVSQARQVGMFLMRQGTGLSLPRIGDTFGGKDHTTVMYAIEQIEKKLSSDPQLASQVQKVKDLLQIDSRRKR</t>
  </si>
  <si>
    <t>YP_001225179.1</t>
  </si>
  <si>
    <t>nuclease-like protein</t>
  </si>
  <si>
    <t>MARSRRGRIRDSILLGAAATLCSLLPTTTVAADPHPRQEVTVLTVNNGQEVLVELDGEGRAVRLACIQAPLAEQRPWAQNATDQLRRSLQPGNRVVLELRARDVYGRVVARLIKAGADVATPLLTQGAVFAYDGYLGQCNDLDYPRFEREAKAAQLGVWSVEGGLERPWNLIEASGGRLEP</t>
  </si>
  <si>
    <t>YP_001226151.1</t>
  </si>
  <si>
    <t>NAD-dependent DNA ligase LigA</t>
  </si>
  <si>
    <t>MSIPQGLQERAAELRQLLNRAAHAYYVLDAPDLEDSVYDRLYRELLDLEAAHPELVEADSPTQRVGGSPAEGFRSVTHRIPLFSLDNAFSAEELRGWYTRLLKVLDREPPSGSPLPALAMVGELKIDGNALALSYDNGVLVRAATRGDGDQGEDITANVRTIASIPLRLHLDPPPAWVEVRGEALIPDNTFAAINSERAARDEPLFANPRNACAGTLRQLDPKVVAARRLDFFAYTLHLPEDWSGERPTSQWESLRWLEDAGFRVNPNAALLPDVDSVEQFFGDWDSRRHDLNYATDGVVVKLNDLRLQDAAGFTQKAPRWAIALKYPAEEAPSRLLKLTCQVGRTGVVTPVAEFEPVSLAGTSVSRATLHNADRLQELDLHSGDTIIVRKAGEIIPEVLRVLPELRPEGALPLELPQQCPSCGSDLVRESGEAATRCVNSSCPAILSGALRHWVSKGALDVDGLGSKLIEQLVERGLVRSIADLYRLDTALLTSLERMGEKSAGNLVAALAQSRTQPWSRQLYGLGIHHVGEVNAKALASAFADAHSLADAAVQRPEAITDLHGIGPEIAQSLQQWFNTSANQDLLQQLRAVGLTLAASDQERQALADRNNGKGHLNGQTFVLTGTLPSLSRSQAQALIEGAGGKVSGSVSKKTSFVVAGDEAGSKLDKANTLGVSVLDEAALMLLIQNSADTIHLL</t>
  </si>
  <si>
    <t>YP_001225312.1</t>
  </si>
  <si>
    <t>DNA gyrase subunit A</t>
  </si>
  <si>
    <t>MGPGSGGPGDSDDRIIQTDLRNEMSRSYLEYAMSVIVGRALPDARDGLKPVHRRILYAMYELGLTSDRPYRKCARVVGEVLGKYHPHGDTAVYDALVRMAQDFSMSMPLIDGHGNFGSVDNDPPAAMRYTESRLKALTTDSLLEDIEAETVDYVDNFDGSQQEPTVLPSRIPQLLLNGSAGIAVGMATNIPPHNLGELIAGLLALIENPELSDQELMALIPGPDFPTGGQILGRTGIKETYLSGRGSVTMRGVAAIETLEVPGRPDRDAVIITALPYQTNKAAMIERIAEMVNDKKLEGISDIRDESDRDGMRIVVELRRDAYPQVVLNNLYKLTPLQSNFSAHMLALVNGEPILLTLRKMLEVFLDFRVETIERRTRYFLRKAEERDHILLGLLLALDQLDPIIALIRAAPDTATARQQLQERHGLSDVQADAILQMQLRRLTALEADKIRLEHEDLVVKIADYKDILGRRERVFGIIQDELGQLRDRHAIPRRTEILDLGGGLDDIDLIANERSVVLLTETGYLKRMPVSEFEATSRGTRGKAGTRSQGEEAVKLFIGCNDHDTLLLFSDRGVSYALPAYRVPQCSRTAKGTPVVQLLPIPREEMITSLLAVSEFNDDTDLLMLTQGGFIKRTRLSAFSNIRSNGLIAIGLEEGDALTWVRLAVPGDSVLIGSRAGMTIHFRLSDDELRPLGRTARGVRSMNLRDGDALVSMDVLPVELADRVAQSSEDDSGEDETGDVSDGPWVLVASASGLGKRVPVTQFRLQKRAGMGLRAMKFRTEADALVGLRVLGAGEEVLLVSEKGVIVRTSADSIPQQSRAATGVRLQRLDKGDRLSEVVLVPPEAESDEEEADAEASDAPVVGADSNAAEPSSDQDS</t>
  </si>
  <si>
    <t>YP_001225340.1</t>
  </si>
  <si>
    <t>DNA polymerase I</t>
  </si>
  <si>
    <t>MPETLEKPLLLLVDGHSLAFRSFYAFSKGGEGGLATKDGRPTSVTYGFLKALLDNSKGLKPEGVAIAFDTAEPTFRHQADANYKAHRDVAPEVFFQDLDQLQTILRERLKLPLCLAPGYEADDVLGTLANRAAGSGWRVRILSGDRDLFQLVDDQRDIAVLYMGGGPYAKSSGPTLINEAGVVAKLGVMPNKVVDLKALTGDSSDNIPGVKGVGPKTAINLLKENNDLDGVYRVLEEVEAEGPKASRGAVKGALKGKLSADRDNAYLSRHLAEILVDIPLPEEPVLELGPVDGEGLEEQLQDLELNSLVRQIPSFVATFSSGGLTANAHLLEEATAKKAKGAPSKAGVAESGEAGTDPAATGVTSPSTRPELAPQVVSTREQLQSLMQQLMGCTNPSEPVAVDTETTDLNPFKAQLVGIGVCWGAGLSDLAYIPVGHTDPALTQLPLEVVLEQLAPWLSSPSHPKALQNAKYDRLILLRHGLVLGGVVMDTLLADYLRDAAAKHSLDGMAERDYGITPTLFSDLVGKAKDGKASCFAEVPSDQAALYCAMDVHLTRRLAIDLRQQLQASGEQLTNLLDQVELPLEPVLALMEATGIRIDLSYLDTLSKEMGETLTRLEADAKQAAGVDFNLASPKQLGELLFETLGLDRKKSRRTKTGYSTDATVLDKLADDHPVVPLVLEHRVLSKLKSTYVDALPQLVEAETGRVHTDFNQAVTATGRLSSSNPNLQNIPVRTEYSRRIRKAFLPQEHWTLLSADYSQIELRILTHLSGEEVLQQAYRDGDDVHALTARLLLEKDDVSADERRLGKTINFGVIYGMGAQRFARETGVSQTDAKEFLSKYRERYPKVFAFLELQERLALSRGYVETIMGRRRPFHFDRNGLGRLLGKDPFEIDLDVARRGGMEAQQLRAAANAPIQGSSADIIKLAMIQLQAALQQHSLPARLLLQVHDELVLEVEPSALDDVKALVVSTMEKAVELSVPLVAETGVGSNWMEAK</t>
  </si>
  <si>
    <t>YP_001224162.1</t>
  </si>
  <si>
    <t>recombinase A</t>
  </si>
  <si>
    <t>MPVEVKSSQSSGGDVRPGERDQALNLVLGQIERNFGKGSIMRLGDASRMRVETISTGALTLDLALGGGYPKGRVVEVYGPESSGKTTLTLHAIAEVQRRGGVAAFVDAEHALDPVYAASLGVDIENLLVSQPDTGEMALEIVDQLVRSAAVDIVVVDSVAALTPRAEIEGEMGDLAVGSQARLMSQAMRKITGNIGKSGCTVIFLNQLRLKIGVTYGNPETTTGGNALKFYASVRLDIRRIQTLKRGTEEYGIRAKVKVAKNKVAPPFRIAEFDILFGRGISTLGCLLDLAEETGVVTRKGAWYSYEGDNIGQGRDNTIGWLEQNPEAKDTIETLVRQKLTEGSEVTSNSMRPLAAAARSAATKSAAKGSEVQADVKTKGAA</t>
  </si>
  <si>
    <t>YP_001223963.1</t>
  </si>
  <si>
    <t>UvrD/REP helicase</t>
  </si>
  <si>
    <t>MSFLAGLNDAQRRAVDHHEGPLLVVAGAGSGKTRALTHRIAHLIGEHGADPAQILAVTFTNKAAREMKERLELLLAQRLAQSQYGQPWSTLPPVEQRQLRSRIYREVTKELWIGTFHALFARMLRYDIDKFKDSEGLTWTKQFSIYDEADAQSLVKEIVTQELQLDPKRFEPKKTRWAISNAKNQGWLPDQLEANAEGQRGKLTADVYRRYRKALAANNALDFDDLLLLPVQLLQQNEQVRSYWHRRFAHVLVDEYQDTNRTQYELIKLLVTDGKDPQVYNNWAGRSVFVVGDADQSIYSFRAADFTILMGFQDDFGDQQSDEATRTMVKLEENYRSTATILEAANALIANNSERIDKVLRPTRGEGELISLTRCDDEIAEAEAVVHRLRMMEAANPELTWGDMACLYRTNAQSRALEESLVRWRIPYVVVGGLRFYDRREIKDVLGYLRLLINPADTVSLLRVINVPKRGIGKTTIQRLTDAANQLGIPLWDVVSDPEAVRSLGGRSAKGLLQFCELINGLREQLHNTTPSDLIQQVMERSGYVSELITEGTDEAEERRRNLQELVNAGLQYQEENDEGDLEGFLASAALASDADSKDTAADRVTLMTLHSSKGLEFPVVCLVGLEQGLFPSYRSLDDPASLEEERRLCYVGITRAKERLFLSHASERRLWGGMREPAVPSVFLSELPEALVQGEIPRSGGAAIRREQRLDRLTRVDRDQPSSAPANAVRRRQAGPAPGKRWSVGDRVLHSSFGEGEVTHTFGSGEKVSIAVKFAGMGPKILDPRLAPIEPIDR</t>
  </si>
  <si>
    <t>YP_001225542.1</t>
  </si>
  <si>
    <t>exodeoxyribonuclease III</t>
  </si>
  <si>
    <t>MRIASWNVNSVRTRLEHVLGWLDRNTIDVLALQETKVDDPLFPLKPFQERGYHLSIHGQKSYNGVALISRQPLEDVRLGFTGELPGDADAEALGTQKRVISALVDGIRVVNLYVPNGSSLDSEKYSYKLNWMGCLERYLRAAETRDEPLCVVGDFNIGPEARDLHDPERLTGGIMASEAERKALVQVLGSNLGDAFRLFEPGSGHWSWWDYRSGAWNRDSGWRIDHIYISSDLQELARSCSIDKEERGREQPSDHAPVVVDLAWDFDEDDEDPEID</t>
  </si>
  <si>
    <t>YP_001223728.1</t>
  </si>
  <si>
    <t>DNA gyrase/topoisomerase IV, subunit A</t>
  </si>
  <si>
    <t>MAEERVQPIALHQEMQRSYLEYAMSVIVGRALPDVRDGLKPVQRRILYAMHELGLTPDRPYRKCARVVGDVLGKYHPHGDQAVYDALVRLVQTFSSRHPLLDGHGNFGSVDDDPPAAMRYTETRLAPIAHEGLLDEIGNDTVDFANNFDGSQQEPTVLPAQLPFLLLNGCSGIAVGMATSIPPHNLGEVVDGLIALVRKPDLSDDKLLSLIPGPDFPTGGEVLLGSGVRDTYLRGRGSIPMRGVAHVEEVQLGKGRHKRNAVIVTELPYQLSKAGWIEKLAEQVNDGKIGGIADIRDESDREGMRVVVELRRDADPDAVLKDLQRRTSLQSNFGAIMLALVDGQPQQLSLRRLLQTFLDYRELTLIRRTSHALRKAEDRLEVVEGLITALQSLQRVIAMIQEAQDAAAARASLMVHLDLSERQADAVLAMPLRRLTGLERESLRQEAEELRAERQRLKLLLDNRDQLLDALVQELRQLKKRFATPRRTRLVEGGDHLLAERAASQRPNAELQRRQALEALPPDSRILIQDDGQVKVISPQLMGRLHLNEPTALGDEPSPARIILPIKPVAKLLAVTASGRVALIRWEFAGQQPGSLERFLPTALQGDPVVSVLQLPDAEADSNAAAVSSLGLLSSDGRFKRLAMQELLDLSGRAASVVKLKEGIELKTAVICQEGGALSLISDLGRVLHLPVSEANLPLMGKLAQGPVTMRLLPEESLIAAVATNPDQQDPLLLFSRQGRIKSLARDAVRACQRGDLGVIGWQPEQDGRDPEDRLCAACTGSGLVGVVTSSGRHGRLLATEPKDLTLKSGETLERIVPLLS</t>
  </si>
  <si>
    <t>YP_001225843.1</t>
  </si>
  <si>
    <t>N6-adenine-specific DNA methylase</t>
  </si>
  <si>
    <t>MEHSSVGREHRHPPKRLPCIAVLPQGLEAIGADELSALGAKEVKPLRRAASFEADMACLYRLHLQARLPFRLLREMSHFRCNGRDDLYDGIQQALDWERWLHPSMSFRVDVTGTAPGLNHSHFTALQVKNAVIDRQRDLWGERSSIDLEEPDLNLHLHLHRGEATLSLDGSGGSLHRRGYRAAMGAAPLKENLAAGLIRLSGWDGTTPLVDPLCGSGTLLIEAAAMALQLPAGLDRVFALESWADFNLDQWNAERQRAQGRACRERKLPLIQGFEADSSIADQARANVQAAGLEHSVEIKTGSFHNFALPQGPGTLVCNPPYGERIGAGSDLESLYSDLGRYAKEHASGWALWVLSGNPQLTGALRMKATRRIPISNGGIDCRWLHYDVR</t>
  </si>
  <si>
    <t>YP_001223985.1</t>
  </si>
  <si>
    <t>deoxyribodipyrimidine photolyase</t>
  </si>
  <si>
    <t>MTASRTLFWHRRDLRLADNTGLHAAAALGPAVTGVYVLDPAIIAPPPELPPMAPARLWFLVESLVELQQRWRDAGSRLLVVAGDPVQRLPQLASLLEAAAVVWSRDVEPYARERDRQVARALQASGRKVLVDWDQLLVAPELLKTGGGDPYRVYGPFLRNWRGQVELSEPGTVEAPTGLIDLDAACLDALQTAAGELGRLCAEGQRDLEQLRSGHGFKGMDLCPCRPGEAAAAGQLAVFADGPLLGYEPDRNFPGTAGTSGLSAALSVGTVSPRQAWCAAQAAKDLARSDEQRQAIAVWEQELCWREFYQQALFHFPELADGPYREQWRRFPWENNEDWFDFWKDGQTGMPIIDAAMRQLNETGWMHNRCRMIVASFLVKDLICDWRWGERAFMELEVDGDLAANNGGWQWSASSGMDPKPLRIFNPATQASKFDADGDYIRRWVPELRHVCTKDLLSGDIGALERRGYPEPLVNHKIQQARFKALYATIKG</t>
  </si>
  <si>
    <t>YP_001225763.1</t>
  </si>
  <si>
    <t>superfamily II RNA helicase</t>
  </si>
  <si>
    <t>MKDQDPQAARPASEGSPDPAQLFPFQLDDFQLEAIDALNQGHSVVVSAPTGSGKTLVGEYAIYRAIAHGLKVFYTTPLKALSNQKLRDFREQFGADNVGLMTGDLSVNREASIVVMTTEIFRNMLYAEADQSDDPLAGVEAVVLDECHYMNDSQRGTVWEESIIHCPPPVQLVALSATVANAGQLTDWIERVHGPTRLVVSDFRPVPLQFSFCSAKGLHPLLNDQGTGLHPNCKVWRAPKGNKRKGRSQRPPQPEPPPISFVVAQMAAREMLPAIYFIFSRRGCDKAVRDLGVQCLVSESEQARIRERLKAYTEANPEAVRDGLHADALLRGIAAHHAGVLPAWKELIEELFQQGLVKVVFATETLAAGINMPARSTVISSLSKRTERGHRPLMASEFLQMAGRAGRRGLDSKGYVVTVQSRFEGVREAGQLATSPSDPLVSQFTPSYGMVLNLLQRHDLAKARELVERSFGRYLASLDLVEEEEILQQLRLQLGQLQGTAGDVPWEDFEDYEKLRGRLREERRLLRILQQQAEETLAHELTLALQFASVGTLVSLKAPQLRGGVTPAVIVEKCEGPGQFPLLLCLTSDNVWLMLPCQAVVSLHAELSCLQVDGLQAPELGRAGELRHGDQHSGGLALAVGHMAQRHDMTTPQYDLAGEVLSQMQTVKELEAELEAHPAHRWGDRKQLKKHRRRMEELELEITERQQLLHHRANRHWDTFLSLMEILQHFGALDDLVPTEIGRTVAALRGDNELWLGLALMSGHLDDLPPAELAAVFEAISTEVNRPDLWSGFPPPPRAEEALHDLSGLRRELLRAQERHQVVVPAWWEPELMGLVEAWARGVAWNDLIANTSLDEGDVVRIMRRTIDLLAQVPYCEAISEQLRSHARQALKAINRFPVAEADDLLKAAAAESEPLNPATERAA</t>
  </si>
  <si>
    <t>YP_001225234.1</t>
  </si>
  <si>
    <t>superfamily II DNA/RNA helicase</t>
  </si>
  <si>
    <t>Replication, recombination and repair; Transcription; Translation, ribosomal structure and biogenesis</t>
  </si>
  <si>
    <t>MTQTHPQAAVPCAVDLTVSELPSESLPNEEVFTTVIAPCSDADSEATSEGESAESASGFAGFGFSEALLKTLDAKGYKEPSPIQKAAFPELMLGRDLVGQAQTGTGKTAAFALPLLERLDGRSNTPRVLVLAPTRELAMQVADSFKAYAAGHPHLNVLAIYGGSDFRSQIHALKRGVDVVVGTPGRVMDHMRQGTLDTTGLRSLVLDEADEMLRMGFIDDVEWILDQLPEERQVVLFSATMPNEIRRLSKRYLREPAEITIKTKDREAKRIRQRSITLQNAHKIEALNRVLEAVTGEGVIIFARTKAITLTVAESLEAAGHDVAVLNGDVPQNQRERTVDRLRKGTVNILVATDVAARGLDVDRIGLVINYDMPFDSEAYVHRIGRTGRAGRTGEAILFVTPRERRFVGNLERAVNQSIEPMDIPSNAEINQSRLDRLRDRLSQAAACEANDETSLLQELIQRVGQEHELTADQLALAAMKLAVGDQPLLVSGDESWLQTPLRNDRRDDRRGDRGRDRRRPDREARPPEDNMTRYRVEVGHRDRVKPGNLVGAIANESGLQGRMIGRIQIFESHSFVDLPKGMPEDVFNALRRLKVLNRELQITQA</t>
  </si>
  <si>
    <t>YP_001224821.1</t>
  </si>
  <si>
    <t>putative ATP-dependent RNA helicase</t>
  </si>
  <si>
    <t>MEALQAKGYSHPSPIQAQAIPAVIDGRDVMAAAQTGTGKTAGFTLPVLERLRHGKRAGRAQIRALVLTPTRELAAQVLENVKAYSRHLPLRSDVVFGGVKANPQIDRLRGGVDLLVATPGRLLDLHQQGALRFDQLECLVLDEADRMLDMGFIHDIRRLIRLMPAKRQTLLFSATFSAPIRKLASGLLHDPVHLQVTPENQTARSVEQVVHPCDMARKSDLLSHLIRTGEWRQVLVFSRTKHGANRVADRLNKEGLAAAAIHGNKSQGARTRALQGFKQGSVRVLVATDIAARGIDIQQLPHVVNLDLPNVAEDYVHRIGRTGRAGETGHAVSLVAAEEALLLKAIERLTGEELTRQTVDGFEPTVLKAPPLDLSGGRRRSPGKPRARRAPSPVRGRHR</t>
  </si>
  <si>
    <t>YP_001223984.1</t>
  </si>
  <si>
    <t>NUDIX hydrolase</t>
  </si>
  <si>
    <t>Replication, recombination and repair; General function prediction only</t>
  </si>
  <si>
    <t>MAPLPASEPYELLETIEAMDARKIRFERNRIKLPMGVEGTFGLIRHPGASLAVPITNDGQVVVLRQYRFAVQARLLEFPAGTLEDGEDPLESMQRELGEEAGYSAARWDALGPMLPCPGYSDEVIHCFLARDLTALENPPAGDDDEDLEVVLMDPAELDARLASGEEWLDGKSVTAWYRAKQLLNL</t>
  </si>
  <si>
    <t>YP_001225524.1</t>
  </si>
  <si>
    <t>GTP-binding protein LepA</t>
  </si>
  <si>
    <t>MTDAPVSRIRNFCIIAHIDHGKSTLADRLLQDTGTVANRDMQEQFLDNMDLERERGITIKLQAARMNYTAADGEEYVLNLIDTPGHVDFSYEVSRSLQACEGALLVVDASQGVEAQTLANVYLALENDLEIIPVLNKIDLPGADPDRIKEEVEAIIGLDCSKAIPCSAKTGLGVPEILQAVVDRVPAPKDAVEEPTKALIFDSYYDPYRGVIVYFRVMSGRINCKDKVLLMASKKTYELDEIGIMAPDQKKVDELHAGEVGYLAASIKAVADARVGDTITLLNAPADEPLPGYTEAKPMVFCGLFPTEADQYPDLREALNKLQLSDAALQFEPETSSAMGFGFRCGFLGLLHMEIVQERLEREYDLDLIVTAPSVIYKVNMIDGTEVMVDNPATLPDPQKRESIEEPYVKMEIYAPNDYNGALMGLCQERRGEYLDMKYITTDRVTLIYELPLAEVVTDFFDQMKTRTQGYASMEYHLIGYRKNELVRLDVLINGERADPLTTIVHRDKAYNVGKALVEKLKELIPRQQFKIPLQASIGSRIIASTSISAIRKDVLAKCYGGDISRKKKLLKKQAKGKKRMKAMGKVDVPQEAFMAVLKLNDSP</t>
  </si>
  <si>
    <t>YP_001225199.1</t>
  </si>
  <si>
    <t>carboxyl-terminal processing protease</t>
  </si>
  <si>
    <t>MPTPRMSTEPSNRKGLLLILGAGGIAAAVAIAAPGLGLPSTTSSSITDSPKEVIDQVWQIVYRDYLDSTGQYSPERWTSLRRDLLNKSYAGTDESYEAIRGMLASLDDPYTRFLDPKEFKQMQIDTSGELTGVGIQITLDKDTKEIVVVSPIEGTPASKAGVQPKDVIVSIDGESTKGMTTEDAVKLIRGQEGSEVTLGLRRKGEVVTVPLKRARIEINAVESRLNTGSDGTKVGYIRLKQFNAKASREMRTAIRELEKQGAQGFVLDLRSNPGGLLEASVDIARQWLDEGTIVSTKTRDGIQDVRRATGSAVTDRPVVVLVNEGSASASEILSGALQDNNRAVLVGQKTFGKGLVQSVRGLSDGSGLTVTIAKYLTPKGTDIHKNGIRPDVPVELSEEEIQSLTVEQLGTGKDSQYRTAETTLIKALRSPERGQAYRPGSANLQSALRR</t>
  </si>
  <si>
    <t>YP_001223787.1</t>
  </si>
  <si>
    <t>ATP-dependent protease ATP-binding subunit</t>
  </si>
  <si>
    <t>MAKFDAHLKCSFCGKSQEQVRKLIAGPGVYICDECIDLCNEILDEELIDSQGGSRQGAEPSRKAGAAQARKSTKPAPTLASIPKPQDIKAFLDQQVVGQEAAKKVMSVAVYNHYKRLAWQGDGKGETEETATRLHKSNILLIGPTGCGKTLLAQTLAEMLDVPFAVADATTLTEAGYVGEDVENILLRLLQKADMDVDLAQRGIIYIDEIDKIARKSENPSITRDVSGEGVQQALLKMLEGTVANVPPQGGRKHPYQDCIQIDTSQILFICGGAFVGLDDVVQKRMGRNAIGFMPTEGRGRGKATRDLQAAQVLRHLEPDDLVRYGLIPEFIGRMPVSAVLEPLDEHALESILTEPRDALVKQFRTLLSMDNVQLEFEPSAIEAIAQEAHRRKTGARALRGIVEELMLDLMYELPSRKDASSFTITRAMVEEHTGGKVLPLPGSERQQESA</t>
  </si>
  <si>
    <t>YP_001225790.1</t>
  </si>
  <si>
    <t>trypsin-like serine protease</t>
  </si>
  <si>
    <t>MPVGFDRSLMIRCVWLQGLVAALLLILFQPMQALAAPAGLPGHHSFVADAVRDVAPAVVRIDTERVVERQPFDPNLIDPLLRDLLGEPGFGYGPERQRGQGSGVVIDNQGLVLTNAHVVEQVEQVNVTLASGEQRDGDVIGRDPITDLALVRLTGSALPPAARLGDSEALEVGDWAIALGTPYGLERTVTLGIVSSLHRNISTLGFSDKRLDLIQTDAAINPGNSGGPLVNADGRVIGINTLVRSGPGAGLGFAIPINLARRVTDELQAAGEVVHPYLGVQLIALTARIAREHNEDPNALVALPERAGALVQSVLPDSPAQRAGLRRGDLVIQAGEVPIDDPQDLLQQVDRAEINQPLSLSIIRGEQDLQVSVKPEPLPGLS</t>
  </si>
  <si>
    <t>YP_001226126.1</t>
  </si>
  <si>
    <t>molecular chaperone (small heat shock protein)</t>
  </si>
  <si>
    <t>MITLRQSPFDLFERLDQQLSQAERVPAAEIHETADHYTVRLELPGVSRDSIDVKATDRTLSVSAERRRPASTNIADENANDETARLSEFRYGTWSRSFRFGQGLNRDAVQASYRDGVLEITAAKAQSHTSVTVAVDA</t>
  </si>
  <si>
    <t>YP_001223848.1</t>
  </si>
  <si>
    <t>glycosyl transferase family protein</t>
  </si>
  <si>
    <t>Regulation</t>
  </si>
  <si>
    <t>MNEERRKLAWAAHRAGDLQLAEEHYRALLETAPVVNDAVNLCALLRQQGRLNEATALYGIWLKRFPDDLQFHLNASNCLHEIDKNEACIELLQAYLQRHPGEAAIRRKLARSLIKLRRLEEARKILEALTQTHPSEVDNWMELGSCYYQQEKTADALNCFERVSALKPDHQLAAANRITLLKDAGRYSDCCQLIDGLPEPLRRDPEIRGAIAGMHMKAMNMVAAREELTALCREDPNNGSHWLNLAASLRSSKHINAALTVVKRGLCRAPEVSKLQQALGQCLAELGKPELALPVLRQSAGPMDKIGDEHLFNIQFNGAAYHLIPAEELQRWARSWEQRVLNDKGLHNLWADTIRQPPQQRRLRIGYLSADWCNHPVCRFMLPVLENHDRTAVEVWGLSNSPHHDLGTSMAQARCDHWLDLEHVGDLEMARMIADLQLDVLVELGGYTGHSRITALLHRPAPVQLSYLGYFAPTYLNAIDGWIGDQELFGGLEPTDAQSQTLWMVKGGYMVYKSFDPLPDCERSAGKRFRFGSFNHSRKLNPGTIRLYAGVLRDVPNSTLVLKSVSFVEQAEKTRVMQALTAAGIGEDRILLLPSTANHKEHLALYREVDVVLDPFPYGGATSTCDALMMGVPVVSLASAGMVGRLSSSILASAGLEKWIARSQTDYRRIARELAAEGPVEPTARLKLREQVQNSPLCEATRLCRELERIYAESCRESAAA</t>
  </si>
  <si>
    <t>YP_001225506.1</t>
  </si>
  <si>
    <t>glutaredoxine domain-containing protein</t>
  </si>
  <si>
    <t>MAIELGDVHLYRMSLPEHECPWGLKAIALLKNRGIAFQDHLLSSQEDVNAFKQRHNVPTTPQIFAGDRRIGGYSELAAALGEQAESADYSYTPVVAVFGTALLMALVLGDSIIQHFMGFSICALAMLKLMDVESFAASFVKYDLITQRWRPWGKLYPGVELLIGLGFLLSSPLPLAGWAALVVGVPGMASVIKAVYVDKLALNCACVGGNTKTPLGIISFSEYAILTVMGFLVAFQLAF</t>
  </si>
  <si>
    <t>YP_001224961.1</t>
  </si>
  <si>
    <t>heat shock protein 90</t>
  </si>
  <si>
    <t>MAVQEENGQIQIHTENIFPIIKKAVYSGHEVFLRELVSNGVDAISKRRMASMAGDCLEGEDGKIQVRIDREKKTLTISDNGIGMTADEVKRYINQVAFSSAEDFLEKYKQNSEAIIGHFGLGFYSSFMVAERVEISTFSARPDSSAVHWSCDGSPNYSLSEGQRTEAGTDIILHLLEEELEYLEPTRIKTLINTYCDFMAVPVQLEGETINKMNAPWRRSARELDDQDYIDLYRYLYPFQGDPLLWVHLNTDYPYSLQGILFFPKQTGRADWEKGEIKLYCNQVFVSDSIKEVVPRYLLPLRGVLDSPDIPLNVSRSALQTDRRVRSIGQFVSKKVADKLRVLKDESPDQYAEAWDSLAPFVKIGAMEDEKFAEQVSDLILFQTTASTDDNSDVLTANAKSYTTITNYKNRQASENQNRVLYCTDEIAQAGALSLWKSQGAEVIFAETVLDSQFIPWLESQENELTFQRVDSELDRSLQDDQPELSDREGETKGESLRTLVKESLSNDKVTVQVQALKGGADAPAALILLPEQMRRMNDIGALMEQRLPGLPEHHVLLVNQQHPLVEELLKLESGSVVIADGATSPSHQLAVDLAHHLYDLARLAVGGLEPEELGQFQSKATSLMSRLLQQRG</t>
  </si>
  <si>
    <t>YP_001225549.1</t>
  </si>
  <si>
    <t>prohibitin family protein</t>
  </si>
  <si>
    <t>MEALVGLPALVLLALLGSGSVKVTSGGRSRLVERLGKYDRELQPGLSIVLPVVEKVVSHESLKERVLDIPPQLCITRDNVSIEVDAVVYWQLLEHSQAYYAVDNLQAAMVNLVLTQIRAEMGKLDLDQTFTTRSEVNELLLRELDEATDPWGVKVTRVEMRDINPSPGVKQAMEAQMTAEREKRAAILRSEGEKEAQLNEARGRAEALVLDARAQKEALLLEAEAQAKQQSVLAEAKSQAALVVAKALSESPQTEEAIRLMLAENWMEMGQRMADSPAGSVLMVDPQSPASLLAALKQFQQGDR</t>
  </si>
  <si>
    <t>YP_001225714.1</t>
  </si>
  <si>
    <t>molecular chaperone DnaK</t>
  </si>
  <si>
    <t>MGMTKPRAGEQNLHLSRRGTLAIDLGSTNTVVAFQACDAMGIELIDLAPISREAGEVPSMLWLDDQDTDGLLVGRQVLESGLGDRDAPQLHRDFKRWIGLPVPSEWRQRLSPDQAGARLLQEIWKRIPQDLTIERLVLTAPVETDASYRQWLLNACAPLQIPEIAMVDEPTAAALGAGLPAGAKLLVVDLGGGTLDLSLVALEGGEGRAAPLAQLLRFQSRNLSKSRQTLRQARVLGKAGIALGGRDLDRWILDALQPPGLPCEGDGFTACLAAAERLKCRLSNTDINDEEELTELASSPAMATPATLQMNRKRFTQILEERGLFLLLEELLNQTLRSAAVQGCRRSDLSAVVIVGGGAHLPQLRAWLTRFMSPVPLCTPPPMEAVARGALSLTPGVRILDLLQRGIALRCWDRRSNRHHWHPLFVAGQPWPSSQPFELVLSASAVDQTTLEFVLGEPELEARHEVRLVDGLPQVIERTSDAAAVKERPGPSFTLMLNPPAQPGEDCLKLHFVLDEHAELIMEGEDLRNGRRLERVSLGTVR</t>
  </si>
  <si>
    <t>YP_001224779.1</t>
  </si>
  <si>
    <t>peptide methionine sulfoxide reductase</t>
  </si>
  <si>
    <t>MLPNWLTGSTGTREQGDGIERHVVLGSPLRAPLMEDQEEIVFGCGCFWGAEKGFWRLPGVISTSVGYAGGQTDQPSYDQVCSGRTGHTEVVRVVWSTPAIDVSDLLKLFWECHDPTQGDRQGNDRGSQYRSAIYTTNARQMQLAQASRAWYQTALSAAGHGDITTEIAADRPYYFAEGYHQQYLARPGSRPYCSAMPTGVALGDFDGADYRLPDTVWSHYDWTISHCVLRGDNSPIALNP</t>
  </si>
  <si>
    <t>YP_001225873.1</t>
  </si>
  <si>
    <t>cysteine desulfurase activator complex subunit SufB</t>
  </si>
  <si>
    <t>MTSTSTRDLVSQPYKYGFVTEIETDKIAKGLSEDVVRLISEKKAEPDFLLQFRLKAFRHWLTLEEPDWAALGYPPIDYQDIVYYAAPKQQEKKASLDEVDPKLLETFDKLGIPLSEQKRLSNVAVDAVFDSVSIATTYKEKLAEHGVVFCSFSEAVKEHPDLIERYLGTVVASNDNYFAALNSAVFSDGSFVFIPKGVECPMELSTYFRINSGDTGQFERTLIVAEEGASVSYLEGCTAPMFDTNQLHAAVVELVALDDASIKYSTVQNWYAGDENGVGGIYNFVTKRGQCRGARSRISWTQVETGSAITWKYPSCVLQGADSVGEFYSVALTNNRQQADTGTKMVHVGPRTRSTIVSKGISAGHSSNSYRGLVQIGPGASGARNYSQCDSMLIGDQAGANTYPYIRSQQPDSAVEHEASTCRISEDQLFYLQSRGIGFEEAVSMMVSGFCRDVFNQLPMEFAAEADKLLALKLEGSVG</t>
  </si>
  <si>
    <t>YP_001225566.1</t>
  </si>
  <si>
    <t>o-sialoglycoprotein endopeptidase</t>
  </si>
  <si>
    <t>MPKVLALETSCDESAAAVVQHSAGGLEVLAHRIASQVEEHAQWGGVVPEIASRRHVEALPHLISAVLDEAGLAVGEMDAVAATVTPGLVGALMVGSLTGRTLAALHHKPFLGVHHLEAHLASVRLASSPPEAPYVVLLVSGGHTELILVDSDSGLQRLGRSHDDAAGEAFDKVARLLGLAYPGGPAIQAAAKAGDPKRFSLPKGRVSRPEGGFYPYDFSFSGLKTAMLRQVESLKAQSDALPLEDLAASFEQIVVDVLVERSLRCCLDRGLSTLVMVGGVAANVRLRVQMEQQGRERGVSVHLAPLAYCTDNAAMVGAAALGRLQAGWGSSSIRLGVSARWPLEAGGDLYAQDPQF</t>
  </si>
  <si>
    <t>YP_001225823.1</t>
  </si>
  <si>
    <t>DnaJ-class molecular chaperone</t>
  </si>
  <si>
    <t>MAGSGYRDYFKVLGVDRGADADAIKRAFRKLARQYHPDVNPGDKDAEAKFKEVSEAYEVLSDPEKRKRYEQFGQYWNQAGGGAGGVDVDFGRYGNFDDFINDLLGRFGGPGAGGFGGAPGGFAGGGFPGGFAGGGFPRGASRPPVNLDAEATVKVSFAEAFRGAERTLSVNDERVQVRIPAGVKTGSRLRLKGKGNLQPGTGRRGDLYLNLEVQSHPVWRFEGDQLRADLPVALDELALGGTVTVMTPDGEAEVSIPAGTSPGRSLRLKGKGWPLKTGRGDLLLTLTLQWPPQWSETQRSLLERLREERGDDPRRDWLQTARL</t>
  </si>
  <si>
    <t>YP_001225970.1</t>
  </si>
  <si>
    <t>DNA repair protein RadA</t>
  </si>
  <si>
    <t>MPRPSTSYVCQSCGAQTRQFFGRCNSCGSWNSLVEQSAPKQDSRRRRAGADPGAGPQARRSMSMAALGDQPLQRLSSGYGELDRVLGGGLVPGSLVLVGGDPGIGKSTLLLQSASAIASDRSVLYVSAEESAQQVKLRWQRLTADPSDLQLLAETDLDLVLEELEALQPDVAIIDSIQALHDGDLSSAPGSVAQVRECAAALQRVAKRQNTALLLVGHVTKEGVLAGPKVLEHLVDAVLTFEGDRFASHRLLRAVKNRFGATHELGVFEMRGQGLAEVGNPSELFLSGERASGVATIVACEGTRPLVVDLQALVSTTSYASPRRTATGIAVNRLHQILAVLEKHMGLPLSRFDCYLAVAGGLDVEEPAADLGVAAAVVASYRDLTLPAGTVLLGELGLGGQLRPVGQLELRLQEAVRLGFTRAVVPRGSGLGPLAARLDLALLEAGSITEALVLGLGVNPGDDD</t>
  </si>
  <si>
    <t>YP_001224472.1</t>
  </si>
  <si>
    <t>endopeptidase Clp ATP-binding chain B</t>
  </si>
  <si>
    <t>MQPTAEQFTEKAWAAILSAQQLAQKRRHQQLETEHLLQALLEQDGLASRILEKAGVTPAALQSSVDSHLTQQPALQSPPESVYLGKGLSDLLDRADSLKQDYGDSYISVEHLLLALADDSRCGRRLLSQAGAGPWLAQKGHQRCARQPDRDRSEPGGLLRVP</t>
  </si>
  <si>
    <t>YP_001225626.1</t>
  </si>
  <si>
    <t>AAA family ATPase</t>
  </si>
  <si>
    <t>MTESWSRQLDLLIRSGTPLIWIRSHEEERVEALLAQASDRLGDRLLARWDFVGGLRGALGQEALGARQPMAVLQWLKERSSNDPTLLLLKDVHRFCDDPGIARMLRNLASELRSTPHTLILSCGQWTPPADLDEALTLLDLPLPREEELRTLLSNIARASGSVLEEDVLEELTHACCGLSEARVRHVAAKALAQRGCLSRDDLSDVLEEKRLSLARSEVLEFCRTDATPADIGGLETLKHWLDQRHRAFSDEARRFGLPLPRGVLLVGPQGTGKSLTARAIAHSWSMPLLRLDVGRLFSGLVGASEARTRDMILRAEAMAPCVLWIDEIDKGFGQDSRSDGGTSQRVLATVLTWMAEKRSAVFVVATANGVERLPPELLRKGRFDEIFLLDLPSREERCGILSLHLQRRRPQLDLPLSTVVDRTESYSGAELEQVVIEAMHLAFAERRELNESDLIKAASQLVPLARTAREQLDALKQWASAGRARPASLRQVTNPDAP</t>
  </si>
  <si>
    <t>YP_001223746.1</t>
  </si>
  <si>
    <t>MADYYELLGVSRDADADTLKRAYRRLARQYHPDINKEPGAEDRFKEIGRAYEVLSDPQTRGRYDQFGEAGLGGAAGMPDMGDMGGFADLFETFFSGFGGAAGGARQQRRRGPQQGDDLRYDLTIDFDQAVFGQEREIRVPHLESCTTCGGSGAKSGSGPTTCSTCGGVGQVRRATRTPFGSFTQVAECPTCNGSGQVIADPCNACGGQGVVQVRKKLRINIPAGVDTGTRLRVAGEGNAGLRGGPSGDLYVFLTVKSHPTLRRDGLTVLSEVKVSYLQAILGDTIEVETVDGPTSLEIPAGTQPNAVLTLENKGIPKLGNPVARGNQRVAVTVKLPTRLNDEERGLLEELAGHHSARGEQHHHHKSGLFARLFGQR</t>
  </si>
  <si>
    <t>YP_001225213.1</t>
  </si>
  <si>
    <t>33kD chaperonin</t>
  </si>
  <si>
    <t>MADRLVRATAAGGGIRIVAVTTGETTRYAQSRHGLSYLTTVMLGRAMSAGLLLASSMKVSHGRVNLRLGSDGPIRGLSVDAGRDGRVRGYVGNPGLELDPVRTANGQAGFDFTSAAGTGYLHVVRDEGKGEPFSSTVELVSGCIGDDVASYLLHSEQTPSAVFVGETINSDGLQSSGGLLVQVLPKAAEEPALVALLEERCREIQDFSDQLNRCGDHPEQLIQQVFPDLDPQPIPSGEPMQPVEFHCPCSRERSLGALTLLGSEELNDMLENDRGAELTCHFCSEVYKVNEDELAALIKSLA</t>
  </si>
  <si>
    <t>YP_001225677.1</t>
  </si>
  <si>
    <t>MRLVLPLFMVGALLFGAPGSVFAAVENAVLAGGCFWCLESDLEKLPGVLSVESGYSGGSVAKPTYRQVTSETTGHQEVVEVRFDPAKISYPRLLQSYWRNVDPFDGGGQFCDRGDSYRPVIFTNSEAQAQAARASRAAAARELGVPEAKIKVEIKPLKKFWPAEGYHQNYAKNNTLRYRFYRFSCGRDRRLDQVWGPKARSGAAWSTPAKR</t>
  </si>
  <si>
    <t>YP_001223793.1</t>
  </si>
  <si>
    <t>protease subunit of ATP-dependent Clp protease</t>
  </si>
  <si>
    <t>MIDARTPHPIQNRWRGIQPMSVHPQAAPGVLPTVVEQSGRGDRAFDIYSRLLRERIIFLGTGVDDAVADALVAQMLFLEAEDPEKDIQVYINSPGGSVTAGLAIYDTMQQVAPDVVTICYGLAASMGAFLLSGGTKGKRLALPNARIMIHQPMGGAQGQAVDIEIQAKEILFLKETLNGLMAEHTGQPLDKIAEDTDRDNFMSPAQAVDYGLIDRVVDSFGAADVVSEG</t>
  </si>
  <si>
    <t>YP_001224021.1</t>
  </si>
  <si>
    <t>DNA-binding protein, sugar fermentation stimulation protein</t>
  </si>
  <si>
    <t>MTGTPLLSFEPLTEGILLKRYKRFLADIELEDGSCVTAHCANTGPMTGVLIPGQRVRLRHAPSPTRKLAWTWEQAEVPGADGQLCWVGINTALPNRLIRATIEAGCLREQLGEIESIRAEVVYGKNRKSRIDLLLQPSREAIDQRPIYVEVKNTTWSTGSTALFPDTVTTRGQKHLQELMDVLPEARAVLIPCLSRPDVTAFAPGDSADPRYGELFRNALDAGVEVLPCCFRFDRDGVTWQGTRPAQGQQPSAAL</t>
  </si>
  <si>
    <t>YP_001225451.1</t>
  </si>
  <si>
    <t>integral membrane protein</t>
  </si>
  <si>
    <t>MPASSNFQNAIREAQSSALVGPNVVNKALPYVGGGMALTAAGVVGGMATMASIGFQAFNGLSLVAIIPWFILFFVAQNAASKANNGTALPLMAAFSLLTGFTLTGLVVQAIAVAGVASIGIAALATGLTFVVASVVGRRMSDSVGQALTAVVGLGLMGLIIAMVGIFVAGFFIPGIYAATNLAIAGLGTVIFVGMAFVDFYTMPRTYRDDQYLSGALGMYLTYINLFIFILRLVIALQGGGRRD</t>
  </si>
  <si>
    <t>YP_001223748.1</t>
  </si>
  <si>
    <t>GTPase engC</t>
  </si>
  <si>
    <t>MSEAAPDGGMVVALQANYLEVELDAPSPGTPARLLCTRRTRLNHRGAAVHVGDRVTVEAIDPIQARAVVSAVEPRSSFLVRPPVANASCVLVALAAEQPAFDADQASRFLLTAEQTGLQVQLVLTKCDLLAPEQQLALKQRLEGWGYAPVMVSVQTGLGLDPLRAVLASQAITVLCGPSGVGKSSLINALLPGLALRVGAVSGRLQRGRHTTRHVELHPFSPGARVADTPGFNRPDLPGDARNLEVLFPELRDQLTIHPCRFRDCLHRDEPGCGVSRDWERYGFYRGAVEELLGISRPSRGG</t>
  </si>
  <si>
    <t>YP_001223797.1</t>
  </si>
  <si>
    <t>metallo-beta-lactamase superfamily hydrolase</t>
  </si>
  <si>
    <t>MTASTTANTKQPCLRVIPLGGLHEIGKNTCVFEYGDDLMLVDAGLAFPSDGMHGVNVVLPDTSFLRENQKRIRGMIVTHGHEDHIGGIAHHLKHFNIPVIYGPRLALSMLTGKMDEAGVTDRTTLQTVGPRDVVKVGQHFSVEFIRNTHSMADSFSLAISTPVGTIIFTGDFKFDHTPVDGEHFDLARLAHHGDQGVLCLFSDSTNAEVPGFCPPERSVFANLDRHMADAEGRVIVTTFASSIHRVSMILELALKNGRKVGLLGRSMLNVIAKARELGYMRAPDELFVPIKQINDVPDRETLLLMTGSQGEPLAALSRISRGDHPQVKVKSSDTIIFSASPIPGNTISVVNTIDRLMMLGAKVVYGKGEGIHVSGHGFQEDQKLMLALTRPKFFVPVHGEHRMLVRHARTGHSMGVPEDNTLIIDNGDVVELTADSLRKGDPVKAGIELLDQSRNGIVDARVLKERQQLAEDGIVTILAAISTDGAMVAPPRVNLRGVVTTADARKMSLWTEREINWVLENRWKQLTRNTGGKAPEVDWMGVQREVEVGLSRRMRRELQVEPLILCLVQPAPAGTPVYKGRADAEPDNRPAPRGRGGRHGGHGGGRNGGGGGGGRYRDAAPNRVAKPAAASPAPASAPAAAAPAPAPAPTPAAAAAAPSAPAVDQEMPAGRTRRRRSAAA</t>
  </si>
  <si>
    <t>YP_001223910.1</t>
  </si>
  <si>
    <t>zinc metallopeptidase</t>
  </si>
  <si>
    <t>MTPTQPWTERLEAMLPELIAFRRHLHAHPELSGEEHHTAALLAGALREAGWRVREGVGRTGVVADLGPEQGPKLGLRVDMDALPVEERTGLPYASLRQGVMHACGHDLHSTIGLGVARLLAAEPERPVGLRLLFQPAEELAQGARWMRDAGATDGLNGLFGVHVFPSLPAGSIGVRSGSLTAAAGELEIEVIGEGGHGARPHQSVDAIWIASRVVTGLQEAISRRLDALHPVVVSFGRIEGGKAFNVIADRVRLLGTVRCLCTDVHDRLPAWIEDTVQALCAGFGATARVHYRCISPPVHNDAELTALLERCAIEQLGATQVMRLEQPSLGAEDFAELLKGVPGTMFRLGVAGPEGCAPLHNGHFLPDEACLAVGIRVLTAALLAWEPPA</t>
  </si>
  <si>
    <t>YP_001224823.1</t>
  </si>
  <si>
    <t>putative modulator of DNA gyrase</t>
  </si>
  <si>
    <t>MGHAPLNVSALRDRLHQLASREGITQWDLGASRSNSASVQVDRGEAKQLKASQRSSITVRVWNRDGLVGITSTSDLSDAGLEKALMGAHQASAFGNADDVPHFSPLAKAPTDPLDRPLKNSEGIQSLLKNLLEAEKELLSRHPAIETVPYNGLNEGSSERIYLNSDGALRQAQRTQASLYLFARAEEAGRKPRSGGAVRLALGSAELDLNGCIDEAAERTISHLNYKPIDTGRYLVCFTPEAFLDLIGSFSSMFNARAVLDGVSLSKADTIGQQLAVPFFNLIDNGLHPAHVGAMPFDGEGTPTRALRLIGDGRLESFLHSEATARAFGVQPTGHAGLGAKVSVGPDWFEVHRSEGATLPGDHLDHRTTSDSFVLIESLNALHAGVKASQGSFSLPFDGWLVNGGERISVEAATVAGDIRELLRSIVQIEADPIVTHEGVCPHVWVDGLAITGEA</t>
  </si>
  <si>
    <t>YP_001225449.1</t>
  </si>
  <si>
    <t>GTP-binding protein Era</t>
  </si>
  <si>
    <t>MQVTPSAAGHRSGFVALIGRPNVGKSTLVNQLVGDKVAITSPVAQTTRNRLRAILTTDEAQLILVDTPGIHKPHHLLGERLVQSARSAIGEVDQVLLLLEGCEPPGRGDAFIVNLLRQQRLPVQVVLNKWDQVPTAQRPEADAAYRDLLAESGWPIHHCCALTGEGCPELVQAVSALMPEGPQLYPPEMVSDQPERLLMAELIREQVLLLTREEVPHSVAVSIDRVEEMPSKGKGGGRTAVLATVLVERKSQKGILIGKGGAMLKAIGQGARLQMQTLIDGPVYLELFVKVVPDWRSKPQRLAELGYAEEGR</t>
  </si>
  <si>
    <t>YP_001226192.1</t>
  </si>
  <si>
    <t>PP-loop superfamily ATPase</t>
  </si>
  <si>
    <t>MPSMTDSTAIALLSGGLDSATAAALAQEAGCRVIGLSFDYGQRHRRELQAAAAIAEALNLAEHHTISVNLASWGGSSLTDSAQALPVDGVQDGVIPSTYVPGRNTVFISIGLSLAEARGADRLVLGVNAVDYSGYPDCRPDYLDAFQTLADLSSKVGREGRGPRLWAPLVEWSKQKIVEEALRLGVPIERSWSCYSGGDHPCGVCDSCRIRDAALQAAGRPDLCSSASR</t>
  </si>
  <si>
    <t>YP_001224898.1</t>
  </si>
  <si>
    <t>hypothetical protein SynWH7803_1175</t>
  </si>
  <si>
    <t>MDTLTLNLEPGQDLHQSLHQLASDQQLSGFVLGVVGDLSEACFQCPGQPQPTRMQGVLEVITLNGTVSPQGVHLHLSLSDGACQVWGGHLEAGTTVHKGVQLLLGLDAATAQTAPISQERVELAVLPGCPFCHRARQLLERQGIPHTIISVESDSVFEACQKRSGLRVFPQIFVDGDYFGDYTALQQLHQSGQIESLR</t>
  </si>
  <si>
    <t>YP_001225077.1</t>
  </si>
  <si>
    <t>tRNA 2-selenouridine synthase</t>
  </si>
  <si>
    <t>MSGMGITTAASVETFRAAAGPLVDVRTPQEFRQGHWPGAINIPLFTDEQRHDVGLTYKQQGRHAAIQLGLALCGPRLADLSETLTQTAGGEAQPLRLYCWRGGMRSNSMAWLAGLRDHPVSLLEGGYKRYRQWVLQSFESPWPLMVLGGRTGTGKTDLLLELESLNVAVVDLEGLAHHRGSSFGNLGLPEQPSTEHYENRLAEILEEHARRRASEIWLEAESSQVGRCRIPRALFQQMQMAPVLEIRRSDQERVDRLVDVYAVHDATALREATERIQRRLGPQRTREALLAIDQQRWSDACMAMLAYYDSCYDRELERKPALRTIDLEGVDPKGAAKLLVEEGIVRAMVCS</t>
  </si>
  <si>
    <t>YP_001225818.1</t>
  </si>
  <si>
    <t>GTPase ObgE</t>
  </si>
  <si>
    <t>MQFIDQARITVRGGRGGDGIVAFRREKYVPAGGPSGGDGGHGADVVLEADSNLQTLLDFKYKRLFAAIDGRRGGPNRCTGASGQPLVIKVPCGTEVRHLTTGILLGDLTNPGERLTVAFGGRGGLGNAHYLSNRNRAPEKCTEGRDGEEWPLQLELKLLAEVGIIGLPNAGKSTLISVLSAARPKIADYPFTTLVPNLGVVRRPSGDGTVFADIPGLIAGAAQGAGLGHDFLRHIERTRLLIHLVDSGADDPVGDLRVVEKELEAYGHGLVSRPRLLVLNKLELLDEQGRDDLLERLEASSGHRPLLISAVMGKGLDALLDQVWQLLGV</t>
  </si>
  <si>
    <t>YP_001224994.1</t>
  </si>
  <si>
    <t>deoxyribodipyrimidine photolyase-like protein protein</t>
  </si>
  <si>
    <t>MDITLVFPHQLFADHPALHKGRAVALIEDPLLFGTDPQWPIQVHRQRLLLHRASMTAYAETLRAQGYTVFYRRHHQASNTEEHLQALRASGFVSFYLADPVDDLLEKRLRQFVARSGGDLRILDSPMLLTPASMVEEHFAGGRKPFMAKFYEHQRRRMGLLLDDNGGPLGGQWSFDADNRKKLPKGISVPSEPCHHGDAEIDQARRELETETLPFIGNWDFFSYPIRHEDADRWLQIFLDQRFRDFGAYEDAISTQHRVMWHSVLTPMLNVGLLTPQQVIDRTLERAADGDIPLNSLEGFIRQIVGWREFMAVMYRRHGVAMRKSNFWEFEDRPIPDAFYTGTTGLPPVDDAIHHALAHGYCHHIERLMLLGNIMLLCGFHPQRVYQWFMELFVDAYDWVMVPNVFGMSQFADGGLFTTKPYLSGSNYVRKMSDYKKGPWCDVWDGLFWSFIKRHEDFFRKQYRLAMMARNLDRMDPGTLLGHQRCASGFLDGLA</t>
  </si>
  <si>
    <t>YP_001225271.1</t>
  </si>
  <si>
    <t>hypothetical protein SynWH7803_1548</t>
  </si>
  <si>
    <t>MALIKRLLPWGRRQSSGDRLDRSPATAEADPAEAAGQLLREQREQRGLSLRDLSRQVRITTPVLEALERNWPERLPEPAYLVAMLHRLEENLDLEPGSLRGALPEQALPFHGSQHPRRTRFTVGSIDIFTTWQGSVLYGLAIVGSLFALNQQQRQLAINNAITLTPIPLDLTSESDALVQGLRPLQELRKASAAQAIPDLSTPQPLPGVLEIQLNQPSSIELSSKGGDRTKLQGATGSFTLQLLPPVQIKIQPAPQAGSVLWDGAALTSVKDKPGLYRLDQTSARTP</t>
  </si>
  <si>
    <t>YP_001225255.1</t>
  </si>
  <si>
    <t>membrane protein, metal dependent phosphoesterase</t>
  </si>
  <si>
    <t>MNVLAVLQWRQLYDQLSSSLIQWRLLDVFCAVLLGFLLFSRVNEQRTLWLLRGYLFLVFLAWFVQWSEKLPLTSTFIDALVLACSLSLAILWQGELRRLMELLGTGKLAVLLGNPQSRLRTTASTVAQLTEAAGRLSKSRRGALIVVDLGSDLRPEDFLNPGITIDAQLSKELLLNLFASDTPLHDGAVVIKGNRIISAGVILPLSRQGVSRYGTRHLAALGITERFDRCICVVISEESGTLSLANQGKLERPITSSRLQDLLTELIAASVSSAAVKAPSPRSVKKGTQEFLP</t>
  </si>
  <si>
    <t>YP_001224055.1</t>
  </si>
  <si>
    <t>hypothetical protein SynWH7803_0332</t>
  </si>
  <si>
    <t>MVPFNPLDWFRSSGSQARCRHALSHQPSMEEAVRDVSSTLGGNAADVALVFVSSHFASDLPRLLPLLQQRLHASHWLGCLGGGVVGTTAANEAHEVEQNPALSVMLLNLPGAELQSVQLSGSDLPDLDGAAQHWHEWVGLKPGSSRSLLLLIDPTCSGINDLISGLDYAYPEVDKIGGIAIPHNAAHGSLLCADGIAAGAVALSIGGDWSLDPVVAQGCRPIGPVFAIEQAQRNVLLELSDGERRDSPVACLQRVLAGLSAEDRELVQHSLFLGVERQELSAGAALAKLQRIQSESEQPEPQADDEQERTFLVRNLIGVDPRNGAVAVAERVRAGQNVQFQLREAQASRQEARQLLQASRATAATKAPLCGLLFACLGRGSGLFGGADGDVTIAREVIPDLPIAGSFCNGEIGPLGGATHLHGYTACWGLLRHAPLASSPS</t>
  </si>
  <si>
    <t>YP_001225799.1</t>
  </si>
  <si>
    <t>hypothetical protein SynWH7803_2076</t>
  </si>
  <si>
    <t>MPHPLLPDITPVAASTAAAHGFELVEIQILTHLQPMTVQVQIRRTDGSDVSLDDCAGFSGPMGEALESQALLTEAYVLEISSPGIGEQLQSDRDFQTFRSYPVEVLYRDDEGREQRQQGSLLERNADHVQVNVRGRIKRIARASVISVQLISPTG</t>
  </si>
  <si>
    <t>YP_001225995.1</t>
  </si>
  <si>
    <t>hybride histidine kinase</t>
  </si>
  <si>
    <t>MLKAIKQRLLGTSESRSERVQRLSRTWILVVATLIVGSVGYTYVRLRERTQQYFLERTDQLIRSTAAQLDLVDSFYRSLTEADISFIFATLSDGQTASPRSDEQSRELILDSLKEFEDGSSQRVDRVFDMLDDSLGAQATLFLIRNGEFVRVKTTVRKQSGELAQGTVLNIDGKVKPLLLQGKESYGIEYLFGRPYITQYKPIEDRKNNVIGAVGVGYPLEELRDVGQVIQTSAVGSLGFLTLVDDKGDIVYLTVGKPREKIQSIIDQSRQSNNQQMLVDGFEIQQYPFERWGFQIYVGSKVSEINDLAARIVFVSMAPITLILLLVILVTVFFERRLKMTLLEAEKLRLEAEHQSMRAHRAKKTAFLASKAKSEFLANMSHELRTPMNAIIGYSEMLIEESEELEPSDFVVDLEKILSSGRHLLGLINGVLDLSKIEAGKMTVYNESFSINKVLDDVCATAEPLAQKNKNQFVCERPSRDDDMAFLDVTKVRQSLINLIGNACKFTENGSVRLSCRLLNSEAGIPQVSFSVIDTGIGMSEKQQAKLFSDFSQADASTTRQYGGTGLGLSLSRKLSRLMGGDISVQSSLGVGSTFTMILPRYASSEVSEETSDTHASTEQTQGSSQSAETSSSSVSRGKIVVADDDQDSMDLIKRFLKKNNFEVFGVPNGEAGFESIVSIQPDALIVDINTSRSDEWNVLAMVKSDRKLSSLPVVVVSRDDTQKLSAMLGAAGCLQKPIDWDRLESILNRVSISHKANHLDIALLQNCSDLGLKIQEKLESLENIPCQLTIEQEPGAMEASVLKHCPHLMIVDMTYRLEPTMLMIERIRKHYNARELPLVAISSNNLSLDVLTRLDAVGTRWLPLTNDSVHVLISVIEELITLSTEVPSTP</t>
  </si>
  <si>
    <t>YP_001226117.1</t>
  </si>
  <si>
    <t>adenylate cyclase</t>
  </si>
  <si>
    <t>MKRFRNLLQSTGPYLAAIVVLVLLRSTDLAQTLDLVIYDLITSQRSEGSGQDQPITLVGIEESDIQRFGWPIDDGIFCDAFDALNASGVTAIGFDIYRDQGVGAEQQCLRDRFREEPTLVSIFNVAAGIGAVPGTPIERQSYNDLSLDGDGVVRRDLVHVTGQDEATVAFPLRVLEVATGDRSLRDALDAGTNAGPWLSADAGGYHNEIDAGLGLQRLLRFREPRSYATYTLAEVIDGTVPNTMLRDRIVLIGSTAPSLRDLFEVPHTRFARGDSLFTISGVEVHANRLATLIDERNGSFQQGWLIPGWGNLLLVIGFAGTGLLLGERIPKQRISILVVGLVAGGAAAGLGALLWNHIWIGMAMPLTGLLSFSGAAWLRRGVESQQHSQQIQQLLGQTTSPAVAQQLWEQRDSLLSDGRFQGQQLPITTLFTDTASFTSVSEGMSPRELMDWLNRGMEICVPAVTERDGMVNKFTGDGMLAVFGVPLPGNPSAEAQAAIEAAFQIKDGLEKLNEALKAEGAPSMRVRMGIHSGEALVGSMGSAERIEYAVIGDAVNCASRLESYDKNRHEGVLRVLLSSTTLELLPTEFRESLHLDYWGPVQVKGRDEPLDVSELKFNNE</t>
  </si>
  <si>
    <t>YP_001225173.1</t>
  </si>
  <si>
    <t>two-component system sensor histidine kinase</t>
  </si>
  <si>
    <t>MPSPSWQKRISSLLGWGSLALGSSAFCLLVFQALFGRQLEQLQTIQLGRDLALNVRLTELALERYPPHLVGELTGLDLVVTVRPKASTLNPSPGFKRQADALQKELCQRLSHCPMVYPQRAAGDERSIWIELISPLEPIWLKVDVPSMMRWPPEPTLLGLSLVGAGIICGGLFLLVEVEAPLRSLEKALARVGDGGGPDAVPARGAPEVQRLTKRFNAMVQRLATSRQERATMLAGIAHDLRAPITRLQFRLSMPQLTAEDRERCAGDLQSLERITGQFLLFAGGGDGEASVEVPLEQLLAEVASSHPADQLHLDLTPCSLAVKPVALSRAVANLIDNAFSYGKAPVVLRLRELNARCSIEIWDQGEGMPAHEWEQALQPFHRLDSSRGQQGHCGLGLAIVSHVATLHGGRLECLQGHLHPEEHPPGHFAIRLSLPWPGARNAPAAPQS</t>
  </si>
  <si>
    <t>YP_001225517.1</t>
  </si>
  <si>
    <t>MRRTVLPSLRGWLQSTALLSVIAGYVLLLLVNAALGDLQRKQQHLKLAASLLQQASTGALDAGPLGSLGLEARVLADGELQSPTLQPGPSGQQWLLSRSSLQLPNNERRLLELRQDVTASLQQQQFSQMLLVAAAGASILFTSLLLRPVLKRGLVLPLNDLDQELQALEADTLGEHLLDPSRQPQELRAIAEAFNNLQQRLAAAWQRERSFVDGVAHELRTPITVISGHSQRLQRQVLSDPARDSVNSITGEARRMGQLLTSLRELARCDAGRLQLQPALLDADEQLLLAYEQACAQAGERLQLPLPSAQRLPLFSADATRLQQSLQLLISNALSFSTGSVRLLAEVIGDQLVLHVQDSGPGIPEAERALVFQRFQRGSTAAGQRGPGIGLALVDELTRAMNGEVVIAEAPGGGADLQLRFKVAAAAP</t>
  </si>
  <si>
    <t>YP_001225109.1</t>
  </si>
  <si>
    <t>MPAEGFEPHPETSALVKQLRQSLGLLRVAFDATGEAMLIVDSGHQVRWVNQTAADLWGGGLPLRVVGKPLEALLRLRHLDQRLLTLSDPQHPLNQARLGEGQASLLVQAIVALAGDESDVLQRMVSWRPISELGGVFTLLTFRDLEPLEKSLQQQRAFINTLAHELRTPLAILTGSLRRLERKSDLAQPLDRALGDAIDETKRMAALVDKLLILSELDTDHFHWNLKRAPLRDFLDRWLHSLEPDKRPSVSLQINESISTCWVDLDQVALTRILNTLFENSLIDGSEGLVLCVDECRSSGFVDVVVGFNSAEMAGNQQLSRQGSRFSSDEPEQAQGDWNASNLGFSVVNNLVAGMGGMLLSNSTPMETSINGYDSVTLRFPVVAPD</t>
  </si>
  <si>
    <t>YP_001225037.1</t>
  </si>
  <si>
    <t>GTP-binding protein TypA/BipA-like protein</t>
  </si>
  <si>
    <t>MSAQQKAIRNIAIIAHVDHGKTTLVDSLLAQSGIFRDNEAVPTCVMDSNDLERERGITILSKNTAVTYNDTRINIVDTPGHADFGGEVERVLGMVDGCLLIVDANEGPMPQTRFVLKKALEQGLRPIVFVNKIDRARVDPETAVDKVLDLFIELGADDDQCDFPYLFGSGLGGFAKPDMKTDSENMRPLFDAILRHVPPPVGDPEKPLQLQITTLDYSDFLGRIIIGRVHNGVIKQGQNAALIKDDGNVKKGRISKLLGFEGLQRVEIDQASAGDLVAVAGFDDVNIGETIACPDEPSALPLIKVDEPTLQMTFVVNDSPFAGQEGKFVTSRQVRDRLQRELLTNVALRVEDTDSPDRFAVSGRGELHLGILIETMRREGYEFQVSQPQVIYRTIDGTPCEPVETLVMDVPEESVGSCIEKLGTRKGEMQNMETGQDGRTQLEFVVPSRGLIGFRGEFIRATRGEGIMSHSFFEYRPMLGDFDTRRNGVLIAFEEGTATFYALKNAEDRGQFFISPGTKVYKGMIIGEYNRPQDLEINVCKTKQLTNMRSAGAEELDTLQSPVQMTLERALEYIGPDEMLEVTPESIRLRKLPSKKAAKSKR</t>
  </si>
  <si>
    <t>YP_001225509.1</t>
  </si>
  <si>
    <t>MQPSRPWKQRLTGSMLGQLQLATYAAVLLGFTAATSTGLWLSERTRLQVGEAELRAGSESLAFCLVAHGGEGKDVIRRELQDHSSVRTQLWLEQPDGSVLSPERSHLPLPQGLLQTAMAANSTRTPGQAHVIELNGRDYLTLLDRKLNSGALLWSSTEITGLGRSQTEFLGWMIVIWGSCLGGSLALVTLLVRRITKPLQDLSDRSAELTADGLKSAALPVPTGPVELTRLTRTYNALIDRLAWSWSQQRQFVSAVSHELQTPLTLVSGSLKRVMRKAPDLDPALRQRLQDAQDETTDMQQLLNDLLDLSRSDSGRLQVKKEAVQLQPVIDTIVRVQGPAYGRTIEAQGPGDQAGLVVLADASRLHQVLVNLVENAHKYSPPDQPIELTLARVAKGVQVEVIDHGIGIPSSDQPHIFERFHRGSNTGGYSGSGLGLSVVKLLVEAMGGSITVASEPGMGSRFCILLQSA</t>
  </si>
  <si>
    <t>YP_001225686.1</t>
  </si>
  <si>
    <t>two-component system sensor histidine kinase NblS</t>
  </si>
  <si>
    <t>MASEPATASNDGRASWAVIDSKPSDDQNWTERISAWWAEFSLQTKLLAVATLVVSLMMTGITFFALNGIQRDAAMNDTRYARDLGLLLAGNVSELVAEGRDRELANVAETFWRSSRSLRYIFFADPEGIVYLGIPISGSNSTSDGDLRLNRRLELPAEMRNRPKNPLVRQHITPQGLVTDVFVPLVEQDRYLGVLALGVNPNETALASAALTREVTVAVFISIWVLVILGAVFNALTITRPVKELLRGVRSIADGDFRARIGLPVGGELGELLDGFNAMASQLQVYDAANIEELQAAQVKQASLIATMADGAVLLDGDGRIVLANPTARRLFRWEGRNLEGKDFLNELPELLAVELHEPLEAVSSNRTDTNELRSSIGDPARTLRFVLQAVREPSGETLKGLAVTIQDLTREVELNAAQSRFISNVSHELRTPLFNIKSYVETLHDMGDLLSDEDRQEFLGIANAETDRLTRLVNDVLDLSRLESSRSVTFAPIEVRPGLEQTLRSYQLNASDKQVELSLEADPNLPDILGNWDLLLQVLDNLVGNALKFNRKGGQLMIRAYTWPDSCQMTPAHPESEGPTCPLASPLPRMRVEICDTGYGISPDNQQRIFERFYRVENAVHTEVGTGLGLSIVRGILEKHGTEIRMASEPDVGTTFWFDLPLAQEDPDELQWKAERQREA</t>
  </si>
  <si>
    <t>YP_001225281.1</t>
  </si>
  <si>
    <t>adaptive-response sensory kinase</t>
  </si>
  <si>
    <t>MDPTPRQQLNLLLVASRHHLSSGDLRSLIQFLEKEDCGFDVTLQVADPLQQPELLELHRLVVTPALVKLQPVPKQVFAGSSIFQQLRGWLPRWQQDEVVSGLGLSLKPTELDGSRTQRELQLEDQLLVLRQENETLIDRLQSQERLLRMVAHELRTPLTAATLALQSQQRGQIDLNRFRDVLKRRLEEIALLSKDLLEVGSTRWEALFNPQRLDLASVAAEAILELEKLWFGRDVTIHTDIPADLPLAYADQRRMRQVLLNLLENALKYTQDGGTIAVSMLHRTNQWIQVSVSDSGPGIPEQEQQRIFLDRVRLPQTSGGTSGFGVGLSVCRRIVEVHGGRIWVISEPGKGACFTFTVPVWQGQGQEKMSTALTEGQSAP</t>
  </si>
  <si>
    <t>YP_001223899.1</t>
  </si>
  <si>
    <t>two-component system response regulator</t>
  </si>
  <si>
    <t>MTGGPSQLETGQGPEDAGTASTKATLLVVDDEPAVRRVLVMRLQLAGYRVVCAEDGEQALEVFSRESPDLVVLDVMLPKLDGFAVCRRLRAESCVPIIFLSALEAISERVAGLDLGADDYLPKPFSPKELEARIATILRRVGRGSANAEPRELPTGQGVVRVGELVVDTNRRQVTRGSERIALTYTEFSLLELLFREPGRVVPRAEILEQLWGYPPRRAADLRVVDVYVARLRGKLEPDPRNPELILTVRGIGYSSQRMGDNAPVAAAG</t>
  </si>
  <si>
    <t>YP_001225609.1</t>
  </si>
  <si>
    <t>MGAAPAPSIRILLVDDEARLTDLLKMELEVEGYDVVVASDGASGLFHARETPGPDLIVLDWNLPDFSGIDICQRIRTSGVTTPILMLTGHDDISDRVTALDAGVDDYLIKPFSIEELMARLRAMQRRAITFAAVNGDGPQPETLSVGNLSMNTITRDVYRGERMIQLSVKEYELLNFLMRGQGKVLERAAIMRGVWGENFYGDDNLLDVYIRYLRQKVESKDLPTLIHTVRGVGFILREEASASGS</t>
  </si>
  <si>
    <t>YP_001224646.1</t>
  </si>
  <si>
    <t>two component system response regulator</t>
  </si>
  <si>
    <t>MELRLDSRANQEAIAQASELLKERRIVVVFGDRLALISFVLVDAIASSLVGAATTEDEGFELVLRTQPDLLICSSDLESGYGINLLRRVKAELPTCQLLIVLVRETQAVVQEAMEAFADGVVFKSSLGAGRGDLIKALRTLADGGVYFPEQIRRIAASTPQPDLPPLVEELTPRELEVAAGVARGLKNNAIATLLGLSVETVKSHVGNAMDKLGARDRTQMAVTALLYGLIDPLQ</t>
  </si>
  <si>
    <t>YP_001225432.1</t>
  </si>
  <si>
    <t>two-component sytem response regulator</t>
  </si>
  <si>
    <t>MTLPAPLTQKSEQRPLVLLLGQEALALADRLLASGYQSHAGLAGTSDAPAAALVGADAIDQVASLRDRFGSMPILIGVSEDTIEAREACFSCGADDFWFTTSGASDLLQRLRLHLAIQERSQMRRPLLTVGDLSVDISCRQVRRGQRPIALTAREYALLMLLMEERGTVVGRDRILREVWNDEQGASSNVIEVYVRYLRQKLEEGGDSRLIHTIRGRGYCLNDGAPRLDPS</t>
  </si>
  <si>
    <t>YP_001225597.1</t>
  </si>
  <si>
    <t>hypothetical protein SynWH7803_1874</t>
  </si>
  <si>
    <t>MLVGDELLSKARALSNRPEDEIARGCGYVGPSGRVLRKSFYRALVEAKGYKLPSTSPNPGGPRGRQAEFRTRVHGNGNLLIGHAYTRRLGLTPGQEFRIELNKDTGTIALNPMNAADSPDNNGED</t>
  </si>
  <si>
    <t>YP_001224893.1</t>
  </si>
  <si>
    <t>hypothetical protein SynWH7803_1170</t>
  </si>
  <si>
    <t>MGVRKRWLILGFPVVVFAGLLALAPGTPKPEPTPRTDQQLKGDALGPFRYQPDDEVYALDFDPRKVRLGLLEGWDREQDAFEDSAALAYVSGPMYERHIDNGGQEITVPLGDLKFGQRIWRGRNRTASRQRAFVGIRDDGRVDFGYGELTPEREQTYDMFIGGLHSIYNDLETPPESYKGAYSISMGQRIRYYLPRIRMIFGLRSDGRLEMLMSKDGLTLEQTKELARRRGLVAAYMPDHASKSRLIIPGVKGFTEEDANWISGGATSFVHVPYLLRLSERRNQLQGGLVANLSERLQSQASCDGPVDCARMAGTRLADRALAGLNRVMEQGVEPIARMIWTPKPSSRESDTAPTASPGIGTRSPLPEPPITADPLVLLEQPGGNERSAPLEPTLPPIDTGLPPDLPPPEVIEPRLQEELPTTPAESASAPVTTDADDSKNDATETFVGAPPPPLLPPPLP</t>
  </si>
  <si>
    <t>YP_001225280.1</t>
  </si>
  <si>
    <t>hypothetical protein SynWH7803_1557</t>
  </si>
  <si>
    <t>MPLLPVERRGAQPPDGDPPASPRVPLDGNLRRWFARNLGLWRSRRQYVFKNEEVMFLDMMIRVEIFAESRVGKPRYRMSWWPEHDTDFFDKKPRYQREGVMEATLLGHQLQRSRAYLEEVESKTRIRQVDEHEVVFESHYLDWDVQEYTRLIDQDRFRSRAIYSWQKGDLEIVEHHHETRVEDASAPIPG</t>
  </si>
  <si>
    <t>YP_001224239.1</t>
  </si>
  <si>
    <t>MLESRAADGGRSVRRRRECLNCEFRFTTYERVETVPITVIKRNGNRETFSRTKLLHGLSRACEKTGLPPERLETLVDELELALQQRNGREVSSHDIGELVLEQLKELSEVAYVRFASVYRQFSGVSDFVATLEGIHASKTRLEALV</t>
  </si>
  <si>
    <t>YP_001224974.1</t>
  </si>
  <si>
    <t>peptidyl-prolyl cis-trans isomerase</t>
  </si>
  <si>
    <t>MTTDAGQIKLEMFDNDAPNTVANFVKLAKDGFYDGLAFHRVIDGFMAQGGCPNSREGSRGMPGTGGPGYTIDCEINSKKHVPGALSMAHAGKNTGGSQFFIVHEAQPHLDGVHTVFGQTGDMDVVLALKNGSKIQSVTVQDQ</t>
  </si>
  <si>
    <t>YP_001225464.1</t>
  </si>
  <si>
    <t>FKBP-type peptidyl-prolyl cis-trans isomerase</t>
  </si>
  <si>
    <t>MRDILISSAVCVACLMVALVSQVVAPSTVIAAPPTSTVQASAAQTADVQASTAMELDPDETNPTLFAMAPDSNQADASALGGPMSAEKPEITASGLRITDLVEGTGAEATSGQTVVVHYRGTLEDGRQFDASYDRGTPFSFPLGAGRVIKGWDEGVQGMKVGGKRKLVIPPDLGYGTRGAGGVIPPNATLIFEVELLEVKG</t>
  </si>
  <si>
    <t>YP_001226100.1</t>
  </si>
  <si>
    <t>chaperone ClpB</t>
  </si>
  <si>
    <t>MTSAYEGSFQPPASLTAEPERFSDQAWDLLLSSQDVARRWRHGDLDVEHLLQVLFADPRYQAEVAVLSVPRDRLLDQLEAFLAEQPTARGQDLFIGEDLERLLESADAVRGLWGSRLIDLSHLIIAIGRDPRIGEDLLSRFGLTPDRLEAELRRAPDPGPGATIQVPAQGASSQAPSFPVPPSAPAPPPAPAAPPAPAQTTDALPEPAPAAEATALERFGRDLTAEAADGQLDPVVGRDVEIRSLIKVLSRRGKNNPVLIGAPGVGKTAIAELLAQRMVAGEVPESLQGLRLVALDAGALIAGAKFRGQFEERLREVLQEVSDPEAGVVLFIDELHTVVNSDRSSADAGSLLKPALARGDLRCIAATTPEDYRRTVEKDPALNRRFQQVPIAEPSIDHSIEILRGVKERYELHHGVTITDAAVTAAARLADRYISDRCLPDKAIDLIDEAAAQLKMDVTSKPQVVEDAEMALRRVELSVLAAEQAPEAERVQLQRQRLEATTHLSRLRERWQAERAQLEELRQLLQEDEDLRHAMAEAEREGDLEEAARLQYDQLHRLQQRRDALEQSLSDAQAAGTALLREQVEAADIADVVARWTGIPVQRLLAGERQKLLELDQRLQERVIGQPEAVQAVAAAIRRARAGMKDPRRPVGSFLFLGPTGVGKTELAKALSGQLFDEEEAMVRLDMSEFMERNAVARLLGAPPGYVGYEEGGQLTEAVRRRPYALLLLDEVEKAHPDVFNVLLQVLDDGRLSDSQGRTVDFRHTVVVMTSNLASRAILEAARSGQESDPQAASPSLDAAVDEALNSHFRPEFLNRIDEVIRFRPLDQQDLSRIVRLQLADLSRLLREQGLSLEVDAAVIDALVSLGYEPEYGARPLRRVLRRRLENPLATELLEDRFHGAQTVLVHAGASPAEPFRFEPA</t>
  </si>
  <si>
    <t>YP_001226098.1</t>
  </si>
  <si>
    <t>transcription antitermination protein NusG</t>
  </si>
  <si>
    <t>MSDLDLSQSDSSEVLDLPAPNDGEEGTLEVPEVRTGIARWYAVQVASSCEKKVKATLEQRAVTLGVSNRILEIEIPETPAVKIKKDGSRQSTEEKVFPGYVLVRMVLDEDTMMAVRSTPNVINFVGAEDRRATGKARGHIKPRPLSRSEVDRIFKRAAEKKTVVKVDLTEGDQILVTAGPFKDFQGEVIEVSGERSKLKALLSIFGRETPVELEFSQVSKQN</t>
  </si>
  <si>
    <t>YP_001225129.1</t>
  </si>
  <si>
    <t>hypothetical protein SynWH7803_1406</t>
  </si>
  <si>
    <t>t-SNARE complex subunit</t>
  </si>
  <si>
    <t>Intracellular trafficking and secretion</t>
  </si>
  <si>
    <t>MAKELTHRADELAALGWSAEDVNRYAELWDYRQRWGAMNLEREDRLFLRKAEAALPELVTGKAAAKKSTKDKSYYRWLAFHLDAMTASEAQMSLSEGARGAWPILLEEELRLLDHYQPVLGLPDTLKAKAFDAFRELMAEQAAALPEESMQMGRYDFQNALLELKEKENSKWRHLRERSGEQPYPILLQGSVDNFRADVRSQFTPLLRETLPSLKDSDKPEPSED</t>
  </si>
  <si>
    <t>YP_001225258.1</t>
  </si>
  <si>
    <t>ATP-dependent Clp protease ATP-binding subunit clpA-like protein</t>
  </si>
  <si>
    <t>MLAQEEARRLGHNFVGTEQILLGLIGEGTGVAAKVLKSMGVNLKDARVEVEKIIGRGSGFVAVEIPFTPRAKRVLELSLEEARQLGHNYIGTEHLLLGLIREGEGVAARVLENLGVDLSKVRTQVIRMLGETAEVGAGGSGSGSKGSTKTPTLDEFGNNLTQLAGEAKLDPVVGRQSEIDRVIQILGRRTKNNPVLIGEPGVGKTAIAEGLAQRIQQGDIPDILEDKRVLTLDIGLLVAGTKYRGEFEERLKKIMEEIKAAGNVILVIDEVHTLIGAGAAEGAIDAANILKPALARGELQCIGATTLDEYRKHIERDAALERRFQPVTVGEPSIDDTIEILKGLRERYEQHHRLRITDEALEAAATLGDRYISDRFLPDKAIDLIDEAGSRVRLMNSKLPPEAKEVDKELRAVQKEKEDAVREQDFSRAGELRDKEVELRDKIRSLLQSSREDSPSDNQQSEDQATDVDVASTESEGATELAVTGTTPVVNEEDIAQIVASWTGVPVQKLTESESVKLLNMEETLHKRLIGQDEAVKAVSKAIRRARVGLKNPNRPIASFIFSGPTGVGKTELTKALAAYFFGSEEAMIRLDMSEFMERHTVSKLIGSPPGYVGFNEGGQLTEAVRRRPYTVVLFDEIEKAHPDVFNLLLQLLEDGRLTDSKGRTVDFKNTLIIMTSNIGSKVIEKGGGGLGFEFSGENAEENQYNRIRSLVNEELKQYFRPEFLNRLDEIIVFRQLNRDEVKEIAEIMLREVFGRIGEKGITLTVSDAFKERLVEEGYNPAYGARPLRRAVMRLLEDSLAEEVLSGRIKDGDEAEVDVEDGKVVVKHLNRTATETPELASAGR</t>
  </si>
  <si>
    <t>YP_001224375.1</t>
  </si>
  <si>
    <t>30S ribosomal protein S1</t>
  </si>
  <si>
    <t>MQVMHISKREEQDRLRREAQEARAAADAAAAKAAQLEQAALEAGTSLAPPPQPAAPAAPRVAEPEVPRSPDDDDFGGMTMADLMGGSEPRQKPTQRQQAPGGLQRSVDDFDFDEDAFLAALDENEPVGTTGDVVTGTVIGMESDGVYVDIGGKAPGFMPKSECGLGVITNLKERFPKGLEIEVLVTREQNADGMVTISCRALALRQSWDKVKQLEKEGKVAQVKVSGFNRGGVTCDLEGLRGFIPRSQLQEGENHEALVGKTLGVAFLEVNPETRKLVLSEKKAATAARFAELEVGQLVEGHVAAVKPYGLFIDLGGISGLLHQSMITGGSLRSLREVFDQGDTVKALITELDPGRGRIALNTAMLEGQPGELLINRDAVMAEASERANRARNVLRQQEQSAG</t>
  </si>
  <si>
    <t>YP_001224471.1</t>
  </si>
  <si>
    <t>MTDQNPEGSYESLEKYGRDLTAAARDGKLDPVIGRDEEIRRTIQILSRRTKNNPVLIGEPGVGKTAIVEGLAQRIVNGDVPQALQNRQLIALDMGALIAGAKYRGEFEERLKAVLKEVTASDGGIVLFIDEIHTVVGAGATGGAMDASNLLKPMLARGELRCIGATTLDEHRQHIEKDPALERRFQQVLVDQPTVEDTVSILRGLKERYEVHHGVRIADSALVAAAVLSSRYIADRFLPDKAIDLVDESAARLKMEITSKPEEIDEIDRKILQLEMEKLSLGRESDAASQERLERLERELAELSEQQSTLNAQWQHEKGAIDDLSNLKEEIERVQLQVEQAKRSYDLNKAAELEYGTLATLQKQLAEKETALAAADDGSQDKSLLREEVTEDDIAEVIAKWTGIPVAKLVQSEMAKLLSLETELHERVVGQQQAVTAVADAIQRSRAGLSDPNRPIASFLFLGPTGVGKTELSKALAAQLFDSEEAMVRIDMSEYMEKHTVSRLIGAPPGYVGYEAGGQLTEAVRRRPYAVILFDEVEKAHPDVFNVMLQILDDGRVTDGQGRTVDFTNAVLILTSNIGSQSILDLGGDDGQHGEMERRVNEALRAHFRPEFLNRLDDQIIFHSLRRDELRQIVTLQVERLRARLDERKLGLNLSEAATDWLANAGYDPVYGARPLKRAVQRELETPIAKAILSGRYGDGDTVHVDVEAVTGHENQQQLALR</t>
  </si>
  <si>
    <t>YP_001224824.1</t>
  </si>
  <si>
    <t>MQTNTISATGILNLDPSCTPWEQRLNTLLNAGLGAGADLVEVFLERTDHLGVLAEQDKITSVSPAFGMGAGIRVFRGVRDGFVSTNDLSDAGLAEALDQALAMLQLERSTLSGSSAFQGLSALKNFAATKHDWLDRTPNLDVITQRLLEGTQCLERLGQHLDVRRSSFSRDWQEVLVAASDGTFARDIRLHQSSGLSVLAADGDHRASIARRYGSTDKPNDLCDWAIEASAQEVCSSASTMLRADYVDGGQMPVVLANRFGGVIFHEACGHLLETTQIERGTTPFAECIGESIAHPAVTAIDEGLSDGAFGSLSMDDEGMEPQRTVLIEDGVLKRFISDRAGELRTGHARTGSGRRQSHGFAAASRMRNTYIAAGPHSINDLIGSVDRGLYCKSMGGGSVGPTGQFNFSVEEGYLIENGSLGKPVKGATLIGEAKEVMPRISMCADDLDLAAGYCGSVSGSVFVTVGQPHIKVDSITVGGR</t>
  </si>
  <si>
    <t>YP_001224188.1</t>
  </si>
  <si>
    <t>ribonuclease D</t>
  </si>
  <si>
    <t>MAEIPSEPHAFVVLDGDLNAEWSERFAASTALAVDTEAMGLIHGRDRLCLVQICDDKDQVACIRIALGQSEAPRLKALMEAATIEKVFHFARFDVAALATGLGIRVNPIFCTKVGSRLARTYTPRHGLKDLVMELVGVELDKQAQSSDWGRVDELTDVQLAYAANDARYLLPARRQLEVMLRREGRWELAQSCFQCIPVMSDLDRFRFVNTFEH</t>
  </si>
  <si>
    <t>YP_001225100.1</t>
  </si>
  <si>
    <t>MPAQQTPPAASPAKEPARVLVVEPHPTLRTVLVQRLRQDGHLTAAVASSSEAIELCQEQTPDLLISAELLEKSSALRLGQQLRCPVIVLTARNGAEPVVGLLDDGADDVLRKPFGLEELAARCRTLLKRERSGLQERVKVGPLEVHLLLRQVTLREKPVELSPREFALLCALLMPPGMVRSRQELLRMAWPPFSGGPRSVDTQVLTLRRKLEQAGLGDGGGITTVRQQGYRFSLDTLPEESSSSSELP</t>
  </si>
  <si>
    <t>YP_001224149.1</t>
  </si>
  <si>
    <t>50S ribosomal protein L29</t>
  </si>
  <si>
    <t>MARPNASELRQLSDADITEQINGLRRELFDLRFQQATRQLGNTHRFKQSRIKLAQLLTVQKERQSSTAS</t>
  </si>
  <si>
    <t>YP_001225651.1</t>
  </si>
  <si>
    <t>DNA-binding protein HU</t>
  </si>
  <si>
    <t>MNKADLVNLVAARTELTKTDVSLVVDAAIETIIDSVVEGKKVSILGFGSFEPRERSARQGLNPKTGEKIKIPAKRVPAFTAGKMFKDRVQG</t>
  </si>
  <si>
    <t>YP_001225631.1</t>
  </si>
  <si>
    <t>polynucleotide phosphorylase/polyadenylase</t>
  </si>
  <si>
    <t>MQGQTQSISFDGREIRLTTGRYAPQAGGSVMIECGDTSVLVTATRSSGREGIDFLPLICDYEERLYAAGRIPGSFMRREGRPPERATLISRLIDRPMRPLFPSWLRDDLQIVATCMSLDERVPADVLSVTGASMATLLAGIPFYGPMAAVRVGLLGDDFVLNPSYREIERGDLDLVVAGTPEGIVMVEAGANQLPEQDVIEAIDFGYEAVCELIKAQESILKDAGIEQVKPEQPEEDSTLPVYLEKACTKAIGEVLSQFDQSKADRDSKLDAIRSSTAETIEALKDSDPVRKLVSANSKALPTSFKALTKKLMRQQIVKDGKRVDGRSLDQVRPISAAAGVLPKRVHGSGLFQRGLTQVLSTATLGTPSDAQEMDDLNPSTEKTYLHHYNFPPYSVGETKPMRSPGRREIGHGALAERAILPVLPAKDTFPYVVRVVSEVLSSNGSTSMGSVCGSTLALMDAGVPLKAPVSGAAMGLIKEGDEVRILTDIQGIEDFLGDMDFKVAGTDKGITALQMDMKITGLAMGTIAEAINQARPARLHILEKMMEAIDTPRDGLSPHAPRLLSFRIDPELIGTVIGPGGRTIKGITERTNTKIDIEDSGIVTIASHDGAAADEAQKIIEGLTRKVNEGEVFSGAITRIIPIGAFVEILPGKEGMIHISQLSEARVEKVEDVVKVGDEVTVRVREIDNRGRINLTLRGVPQNGEEAEPAPAPTPVAPLN</t>
  </si>
  <si>
    <t>YP_001225237.1</t>
  </si>
  <si>
    <t>RNA-binding protein</t>
  </si>
  <si>
    <t>MTIYIGNLSFQAEQEDLLDLFSQYGEVKSASLPLDRETGRKRGFGFVEMNSDEDEQKAIDDLQNVEWMGRMIRVNKATPRERTGGGGGGRGGYGGGGGYGGGGGGGGGYDGGGNRW</t>
  </si>
  <si>
    <t>YP_001225456.1</t>
  </si>
  <si>
    <t>DnaJ domain-containing protein</t>
  </si>
  <si>
    <t>MGKTPDTVYSLQPMVNLLVDLPIDHFRLLGVSPTAEAEMVLRTLQLRLDRAPDQGFTHDALSQRAELLRLSADLLSDPLRRREYEATLLELGRDRPGETAGLELAFNREVAGLILLWEAHAPHETFQMARQALQPPQAPALGSGRESDLSLLAALACRDAAGQDRDQRRYESAATLLQEGIQLLQRMGKLPDQRQLLESELLQLRPYRILDLLSRDLAEQSARREGLAMLETFILERGGLEGTAAAAQEPAAVPGAMDQGAFELFFQQIRRFLTVQEQVDLFGQLQQAGSIDASFLGVMALAAAGFSQRKPERVQDARTKLEGLVLEGFDTQPLLGCLDLLLGDVDRAERRFSTSADPALKAWMDDHPGDGLASLCEYCRTWLGRDVLPGYRDVDADAVDLETWFADRDVQAYVESLERKQARQASVPQPQADAFPPFGLDPDGTLPMTMPAPAVVDDSSASPEDEDEGVAAPPFAGLRMPQLRWPAWPSLSVPEIPRPSRSLLIGSGVFAALVAVVAAGSLIGLRRDADSGAAGSGSASGEATAPAKAPSSPQDNAASPTATLKPEPKASGSAVPAVVAPLTAEQPTAAQLQRLLQSWLDGKAVVLQGDGTAQSRLQSIARPGLISQVRQERAADQAVGLKKTIEASITSVQLVSETPQRIELLAEVDYRDQTATPAGRVVATTEPSMIRVTYILGRDADGWRLQAYIPG</t>
  </si>
  <si>
    <t>YP_001225051.1</t>
  </si>
  <si>
    <t>elongation factor Ts</t>
  </si>
  <si>
    <t>MAAAVSAKLVKDLRDKTGAGMMDCKKALAATDGDADKAIEWLRQKGIASAEKKSGRTAAEGAIGSYIHTGARVGVLIEINCETDFVARGDMFQELLRDVSMQVAACPGVEYVNTDDIPSEIREREKAIEMGRDDLDGKPEQMKEKIVEGRINKRLKELALMEQPFIKDSSLTVAELVKQTAGKIGENVKVRRFTRYTLGEGIEVEENDFAAEVASMTKG</t>
  </si>
  <si>
    <t>YP_001225412.1</t>
  </si>
  <si>
    <t>cell division protein FtsH</t>
  </si>
  <si>
    <t>MPIREDDNRPNRRFGIINLVLIGFGVLLLISSFLPNQGMQQVPRVPYSLFIDQVNDGAVKRAYITQDQIRYELAEAEEGAPSVLATTPIFDMDLPQRLESKGVEFAAAPPKKPNIFTTILSWVVPPLIFILVLQFFARRSMGAGGAQGALNFTKSKAKVYVPDEQSRVTFADVAGVDEAKDELTEIVDFLKTPERYAEIGARIPKGVLLVGPPGTGKTLLSKAVAGEAGVPFFIISGSEFVELFVGAGAARVRDLFEQAKKNAPCIIFIDELDAIGKSRSGSMGVVGGNDEREQTLNQLLTEMDGFASKDKPVIVLAATNQPEVLDAALLRPGRFDRQVLVDRPDLSGRKTILEIYAKKVKLAEGVDLDRIAQATSGFAGADLANLVNEAALLAARNKQTSVQQGDLNEAIERVVAGLEKKSRVMQDDEKKVVAYHEVGHAIVGHLMPGGSKVAKISIVPRGMSALGYTLQLPTEERFLNSREDLEGQIATLLGGRSAEEIVFGKITTGAANDLQRATDIAEQMVGTYGMSDTLGPLAYDKQGGGRFLGGGNNPRRTVSDATAQAIDREVRALVDNAHDQALAILRQNMALLETIAQKILEKEVIEGDDLKEMLAASVMPEAIAA</t>
  </si>
  <si>
    <t>YP_001225015.1</t>
  </si>
  <si>
    <t>30S ribosomal protein S18</t>
  </si>
  <si>
    <t>MSSSFFKKRLSPIKPGDPIDYKDVDLLKKFITERGKILPRRLTGLTAKQQRDLTNAVKRARIVALLPFVNPEG</t>
  </si>
  <si>
    <t>YP_001226237.1</t>
  </si>
  <si>
    <t>MGKVVGIDLGTTNSCVSVMEGGKPTVIANAEGFRTTPSVVAYTKNQDQLVGQIAKRQAVMNPDNTFYSVKRFIGRRVDEVNEESKEVSYGVEKAGSNVKVKCPVLDKQFAPEEVSAQVLRKLAEDAGKYLGETVTQAVITVPAYFNDSQRQATKDAGKIAGLEVLRIINEPTAAALAYGLDKKSNERILVFDLGGGTFDVSVLEVGDGVFEVLSTSGDTHLGGDDFDKVIVDHLADSFKANEGIDLRQDKQALQRLTEAAEKAKIELSSATQSEINLPFITATPEGPKHLDLTLTRGKFEELASNLIDRCRIPVEQALKDAKLSSGELDEIVMVGGSTRIPAVLELVKRVTSKDPNQTVNPDEVVAVGAAIQGGVLAGEVKDILLLDVTPLSLGVETLGGVMTKMITRNTTVPTKKSETYSTAVDGQTNVEIHVLQGEREMASDNKSLGTFRLDGIPAAPRGVPQIEVTFDIDANGILSVTAKDKGSGKEQSISITGASTLSDSEVDKMVKDAEANASADKEKRERIDLKNQAETLVYQAEKQMGELGDKVDDAAKAKVEEKRTKLKEATEKEDYDAMKTLLEELQQELYTVGASVYQQEGAAAGAAPGADAGAGAGAAGGSSDAGDDVIDAEFTETK</t>
  </si>
  <si>
    <t>YP_001226108.1</t>
  </si>
  <si>
    <t>aspartyl/glutamyl-tRNA amidotransferase subunit B</t>
  </si>
  <si>
    <t>MAAPAATDQAWEAVIGLETHVQLGTNSKIFTAASTAFGDDPNTHIDPVVCGLPGTLPVLNQKVLEYAVKAAMALNLNIAEHSKFDRKQYFYPDLPKNYQISQYDEPIAEDGWIEVEVAEKGKDTYLKTIGIERLHMEEDAGKLVHAGSDRLAGSTHSLVDYNRAGVALAEIVSKPDLRTGREAAEYASEIRRIMRYLGVSDGNMQEGSLRCDVNISVRRGPEAPFGTKVEIKNMNSFSAIQKACEYEIQRQIKAYEAGEPIVQETRLWDESKQLTKSMRSKEGASDYRYFPDPDLGPIEVSADQRDSWRAELPELPAAKRHRYADTLGLSQYDARVLTDEKPMADYFEAVVVAGADAKLAANWITGDIAAYVNSNRLSYANLPFRPEQLAEMVQLIDGGKISGKIAKEILPELLENGGSPKAIVDERGLGMISDPAAIEAIVDELLGAHPDEVEAFRGGKTKLQGFFVGQLMKKTGGKADPKLANQILSKKLKG</t>
  </si>
  <si>
    <t>YP_001225722.1</t>
  </si>
  <si>
    <t>co-chaperonin GroES</t>
  </si>
  <si>
    <t>MAAVSLSVSTVKPLGDRVFVKVSESEEKTAGGILLPDTAKEKPQVGEVVQVGPGKANEDGSRQAPEVGVGDKVLYSKYAGTDIKLGSDEYVLLSEKDILAVVN</t>
  </si>
  <si>
    <t>YP_001224789.1</t>
  </si>
  <si>
    <t>glutamyl-tRNA(Gln) amidotransferase subunit A</t>
  </si>
  <si>
    <t>MAIAEWRQQLANGEVSARELTDHHLARIEAVEPGIHAFLEVTAERARADADRVDEARASGEDLPPLAGIPLAIKDNLCTRGVRTTCSSRMLEQFVPPYESTVTERLWAAGAVLLGKTNLDEFAMGGSTETSAFGPTANPWNPEHVPGGSSGGSAAAVASGECLASIGSDTGGSIRQPASFCGVVGLKPTYGRISRYGLVAFASSLDQVGPFSHSVADAAELLQVMAGADPRDSTCLNAPVPDYCAALGRPVEGLKVGLVKECFEQEGLDPQVKASVLAAAQQLQALGADLVDVSCPRFNDGIATYYVIAPSEASANLARYDGVKYGYRAEDAASLAAMTARSRAEGFGSEVQRRILIGTYALSAGYVDAYYKKAQQVRTLIRRDFDAAFQSVDVLLTPTAPGTAFRNGAHADDPLAMYLSDLLTIPANLAGLPAISVPCGFDTGGLPIGVQLIGNVLEEPLLLQVAHQFEQAADVMKTRPEAAFIPG</t>
  </si>
  <si>
    <t>YP_001224829.1</t>
  </si>
  <si>
    <t>exoribonuclease R</t>
  </si>
  <si>
    <t>MKFTVADLLDQVPADGSLDQAKLEKILRLSNRTEKQSLGLALQALSRLGILSTDDSGAVQRCITDDLVEARLRCSSKGFCFAIRDDGGDDIYIRDHQLNHAWNGDRVLVRITREGGRRRSPEGGVQCILERATTSLLAAVEQQEDKLVAIPLDDRILATIELASEDAGHADTPANEAVAEVILDRYPVAQFSAQGHVSRSLPLNGGPEADRDLMLTKANFHQRPTPPRASLKAPAAKKRVDCTDQPALLLTGWSATDAVSLPALHVIPHEGGTRLWIHAPAVAERLAPGNSLDQWLLNQSESICLGQHWLPLLSPALTKASAFRVGEVQDAVTLRLDLSADGEWKDWDFSLTRIRPVAQITQTHLEALAGRKPKSRAIPADLKAIKEQISQLETLIFSAKSAHESERSAGLIELDLPRPQLDMLGDLNPLAPDGDAANWAEPLNPSSPESVMAVLLRTAHRVWHAQSEDLKLPSVLLGAPPADDSALMDVAKAAIALDVPLELDEDGTPSADELAKAVAGCQSSRVLNLQLRHALPDSLYRLNEAAATAGNPQPDADNTTDPDSETTTSDDVDEQTSRAESPGSVGAQSLAPWCCPTLHYADLLNQQVLCQLLNEGKDRPSVRHKTKVGIGSRGAGDQITWPLFTASQDQKLSELFRERIIQRLNTRRRQVSELRKDVVAMAQARSAEPMVNQEQTGVISGVQSYGFFVEIPPSMVEGLVHVSSLNDDWYEYRSRQNRLVGRRSRRVYQLGDEVKVKVLKVDVLRNQIDLEVVPAEESDEQAAPLPVAVSDS</t>
  </si>
  <si>
    <t>YP_001225486.1</t>
  </si>
  <si>
    <t>ATP-dependent Clp protease-like protein</t>
  </si>
  <si>
    <t>MTTSAPYYGDSSVMRTPPPDLPSLLLKERIVYLGLPLFSDDDTKRQVGIDVTELIIAQLLYLEFDNPDKPIYFYINSTGTSWYTGDAIGFETEAFAICDTLRYVKPPVHTICIGQAMGTAAVILSAGTKGQRAALPHASIVLHQPRSGARGQATDIQIRAQEVLHNKRAMLEILSTNTGRSVEELSKDSDRMSYLTPEQAKEYGLIDRVLTSRKDLPAPVPAA</t>
  </si>
  <si>
    <t>YP_001225358.1</t>
  </si>
  <si>
    <t>translation initiation factor IF-1</t>
  </si>
  <si>
    <t>MIETSGVIEKEQGNGFYLVTLEQPAGHQCLCRAAGKLTKFRIKLLAGDKVLVEISPYDLTRGRITYRERNAGAPGGRPGGNRPGGPRRR</t>
  </si>
  <si>
    <t>YP_001224785.1</t>
  </si>
  <si>
    <t>anti-anti-sigma regulatory factor (antagonist of anti-sigma factor)</t>
  </si>
  <si>
    <t>MFHFTGQLDAYSEKQFLSYVTDVLKANASPTVLDLSKIDFLDSSGLGALVQLAKQCKDAKRSFVMVGNARVTQTVKLVRLEEFLHLVNDLQTAFTQLAA</t>
  </si>
  <si>
    <t>YP_001226187.1</t>
  </si>
  <si>
    <t>hypothetical protein SynWH7803_2464</t>
  </si>
  <si>
    <t>MDDLQPAVQASLAALGADTLDLLRRSDLLHSLVRRQLMEQATAELTPPDELVKKALINHCRQEQLQDEAALNNWLEERHLSREELLHQLSLPLKLSKLSLDWFGLQAEARFLQRKEALDQATYSLLRVKDSGMAHELYLQLEAGEASFESLAKDHSEGPEKSSSGRVGPASLMRAHPLLRTVLRTATPGVVLEPMLIEQWWVVTRLEERHEASFDETMRQRMAAELLQNWLQIETKSVMTTLLIPQE</t>
  </si>
  <si>
    <t>YP_001225546.1</t>
  </si>
  <si>
    <t>nucleotide-binding protein</t>
  </si>
  <si>
    <t>MATYSFDVVSDFDRQELVNTLDQVRRDVGQRYDLKDSNTEIELEEAAVVITTASDMTLQAVEDVLRAKATKRNLSLKIFDFQTPEAVGGNRVKQVVQLKKGLSQELAKKMSKIVRDELKKVTVAIQGESLRVTGKSKDDLQQVIQLLRSKEDELDVPLQFENYR</t>
  </si>
  <si>
    <t>YP_001224494.1</t>
  </si>
  <si>
    <t>oligopeptidase A</t>
  </si>
  <si>
    <t>MPPSELLRCEGLPRFDAIDAEQVDQQIPALLADLSERFTALEDQLRARISKPGSPPLSWDELMPPFHALGERLRWSWGVVTHLTAVRNTPELREAHARQQPDVVRFSNRVGQSVVLHQALRSLLAQDTHTLDATQTRILETELLSMQHRGVGLQGDEQQAFNRTSERLAALSTSFSNHVLDATQQWSLVVHDRDQLQGVPERVLETLAVAAATAGERSASGAEPTAANGPWRLGLDMPSYLPILTHAEDRTLRETLYKAYVSRASQGDLDNGPLIEEILALRQEQAKRLGYSNWAELSLASKMADGVDAVETLLEELRAAALPVAEQELKELNQLAARRGVSETLAPWDVSYWAEQLRRERFDLDQEALRPWFPLPQVLNGLFSLCERLFAIRIEAADGDAPIWHEDVRFFRVLDRSGEALAGFYLDPFSRPASKRGGAWMDECLNRKQQANGDLTLPVAYLICNQTPPSGDTPSLMSFEEVETLFHEFGHGLQHMLTTVDHPQAAGINNVEWDAVELPSQFMENWCFDRRTLMGMARHWTTGEPLPEADYNKLCSSRTFMQGSGTLRQIHFALTDLRLHSQWSPELGLSPDAFRRRIAESTTVLPPIATDRFLCAFGHIFAGGYAAGYYSYKWAEVLSADAFSAFEEVGLEQDDAVAATGERFRNTILSLGGSLRPAEIYRQFRGRDASSAALIRHSGLAATTS</t>
  </si>
  <si>
    <t>YP_001225721.1</t>
  </si>
  <si>
    <t>chaperonin GroEL</t>
  </si>
  <si>
    <t>MAKRIIYNENARRALEKGIDILAESVAVTLGPKGRNVVLEKKFGAPQIINDGVTIAKEIELEDHIENTGVALIRQAASKTNDAAGDGTTTATVLAHAMVKAGLRNVAAGANAITLKKGIDKASDFLVAEIKDKANPISDSNAIAQVGTISAGNDEEVGRMIADAMDKVGKEGVISLEEGKSMTTELEVTEGMRFDKGYISPYFATDTERMEAVLDEPYILLTDKKIGLVQDLVPVLEQIARTGKPLLIIAEDIEKEALATLVVNRLRGVLNVAAVKAPGFGDRRKAMLEDMAVLTNGQLITEDAGLKLENAKIEMLGTARRVTINKDTTTIVAEGNEVAVQARCEQIKKQMDETESTYDKEKLQERLAKLAGGVAVVKVGAATETEMKDKKLRLEDAINATKAAVEEGIVPGGGTTLAHLAPALEQWAASTLSGEELIGANIVAAALTAPLMRIAENAGVNGAVVAENVKAKSFNEGYNAANGDYVDMLAAGIVDPAKVTRSGLQNAASIAGMVLTTECIVADLPEKKEAAPAGGGMGGGDFDY</t>
  </si>
  <si>
    <t>YP_001224937.1</t>
  </si>
  <si>
    <t>ATP-dependent Clp protease proteolytic subunit</t>
  </si>
  <si>
    <t>MIPIVIEESGRGERAFDIYSRLLRERIIFLGEAVTSESANRIVAQLLFLEAEDPEKDIFLYINSPGGSVYDGLGIFDTMQHIKPDVQTVCVGLAASMGAFLLCAGAKGKRSSLRHSRIMIHQPLGGARGQASDIRIQADEILFLKNRLNQELSERTSQPLEKIQEDTDRDFFMSPNEAVDYGLIDSVIDKRPVHSV</t>
  </si>
  <si>
    <t>YP_001224095.1</t>
  </si>
  <si>
    <t>ribonucleases G and E</t>
  </si>
  <si>
    <t>MPQQIVIAEQLRIAAVLTDDRVDELIVAQGRYQIGDVYLGTVENVLPGIDAAFVNIGESEKNGFIHVTDLGPLRLKKGAAGITELLEPRQKVLVQVMKEPTGTKGPRLTGNLALPGRYLVLQPSGQGVNISRRISSEGERNRLRALGVLVKPPGAGLLIRTEAEEVSEELLIDDLESLLRQWEAIQKAAETASPPVLLNRDEDFIHRILRDHTDPELSRVVVDDPTAVERVSGFLGGDGAHVSVEAHSEPDELLEHFKVNAAIRDALKPRVDLPSGGYVIIEPTEALTVIDVNSGSFTRSANARETVLWTNCEAAVEIARQLKLRNIGGVIIVDFIDMDSRRDQLQLLEHFTTAIRDDSARPQIAQLTELGLVELTRKRQGQNIYELFGRACPSCGGLGHVAVLPGKDLLQPLATATGLVRSAASARADASGATESANGRRRRGGRGRPQVSAESPVLEEGLELGVSGESSSDAIEPAPANRRQDPELVAVPMDEEQEKVYGWLGLNPVLLLDPPPAQDNLLVRVVRPGEDADAVLEEARQQMAASSGRRRRRGARGGRGAGSKSGQGPAGGTTAADAEVQAPPPMESPLLVEITPLEVVPVPEASASPPPVEAEPSPSEALHQSSSEGAEERPGRRRRRSSATAG</t>
  </si>
  <si>
    <t>YP_001225910.1</t>
  </si>
  <si>
    <t>periplasmic trypsin-like serine protease</t>
  </si>
  <si>
    <t>MAVAVPSALRISARRLSDSRGLMSLMLTASLFGPLVAPWEIRPVKAVPAPASVLSSQLSSQSFVAGAVARSGPAVVTLETQRTVRASAGNGLPQGLLMDPFFQRFFGLQGQPSPRSRVERGQGSGVIFDAQGLVLTNAHVVENTDQVTVGLPDGRRVSGQVVGQDSVTDLAVVKLKGGNSWPTAPLGNSDQLRVGDWAIAVGNPFGLENTVTLGIVSNLNRNVSQLGIQGKRLDLIQTDAAINPGNSGGPLLNASGEVVGINTLVRSGPGAGLGFAIPINRAKTIAMQLVEQGRASHPMVGIGLSSIPASAPGGVTPPGAVVRSVVSGGPAARGGLQVNDVIVAVAGVAVKSPAEVVTAIDRSGVGRPLELRVERQGRSLPITVTPVDMRALKMR</t>
  </si>
  <si>
    <t>YP_001225052.1</t>
  </si>
  <si>
    <t>30S ribosomal protein S2</t>
  </si>
  <si>
    <t>MAVVTLAEMMEAGAHFGHQTRRWNPKMSRYIYCARNGVHIIDLVQTAVCMNNAYKWVRSAARSGKRFLFVGTKKQASEVVAQEALRCGGSYVNQRWLGGMLTNWTTMKARIDRLKDLERMEASGAIAMRPKKEGAVLRRELDRLQKYLGGLKNMRRLPDVVVLVDQRRETNAVLEARKLDIPLVSMLDTNCDPDLCEVPIPCNDDAVRSVQLVLSRLADAINEGRHGSNEQRGGDGSEG</t>
  </si>
  <si>
    <t>YP_001225783.1</t>
  </si>
  <si>
    <t>DNA-directed RNA polymerase subunit beta'</t>
  </si>
  <si>
    <t>MTSTPSKSRKSSKGSKAAKAAASAPETRPLAKTPPPFRNRVVDKKGLKQLVAWAYKHHGTAATSAMADQLKDLGFRYATQAAVSISVNDLKVPEAKQNLLGQAEELITATEESYRLGVITEVERHTKVIDTWTETNERLVDAVKKNFNQNDPLNSVWMMANSGARGNMSQVRQLVGMRGLMANPQGEIIDLPIRTNFREGLTVTEYVISSYGARKGLVDTALRTADSGYLTRRLVDVAQDVIVREDDCGTSRCILVKAEDGKYGNRLVGRLTADQVVGADGEVLAERNTEIDPPLSKRFEKAAVQAVSVRSPLTCEANRSVCRKCYGWALAHNELVDLGEAVGIIAAQSIGEPGTQLTMRTFHTGGVSTAETGVVRSKLEGTVEFGAKARVRPYRTPHGVNAQQAEVDFNLTIQPSGKGKPQKIEITNGSLLFVDNGQAIDADVTVAQIAAGAVKKSVEKATKDVICDLAGQVSYDPSIQPREVTDRQGNITHKAQRLGRMWVLAGDVYNLPPNARPVVTAGATVTEGQVLAEASQASEYGGAIRLREALGDSREVQIVTTAMTLRDFKLQGESTHAGEIWNLEAKDGTRYRLNTIPGSKIGSGEVVAELNDDRFRTQTGGLVRFAPGLAIKKARSAKNGYEVNKGGTLLWIPQETHEINKDISLLMITDGQWIEAGTEVVKDIFSQTAGIVTVTQKNDILREIIVRSGSFHLCTEKKALERFQGDGVMVNPGEPIAKGISTETMVYVQTVETPEGSGLLLRPVEEYTIPNEAQLPDLGHVKQPNGPHLGLKASQRLAFKDNELVKSVEGVELLRTQLMLETFDTTPQMTVDVEAVPDKRAKTIERLQLVILESILVRRDTISDSSHGSTHTELQVEDGQSIKAGEVIATTQILCKQEGVAQMPEATADEPVRRLIVERPEDTLTISTNSQPVVTVGQRIVDGEELAAGQPSDCCGEVEKVDSTSVTLRLGRPYMVSPDSLLHVRDGDLVQRGDGLALLVFERQKTGDIVQGLPRIEELLEARRPRESAILCKKPGTVEIKQGEDDENTTVTVIEADDAVSEYPILLGRNVMVSDSQQVTAGELLTDGPINPHELLECFFEDLRSRKPLMDAAQEAIAKLQHRLVTEVQNVYKSQGVSIDDKHIEVIVRQMTSKVRVEDAGDTTLLPGELIELRQVEDTNQAMSITGGAPAEFTPVLLGITKASLNTDSFISAASFQETTRVLTEAAIEGKSDWLRGLKENVIIGRLIPAGTGFSGFEEELKAEAGPHPDILAEDPAGYRRMQNLRPDYTVDMPAAPAGDATAVLDDPSDADMEATRSRHGIEAGSNFAAFARPDADNELKEEQVVDAEAVEGLQEEGLLSDE</t>
  </si>
  <si>
    <t>YP_001225368.1</t>
  </si>
  <si>
    <t>Prot folding</t>
  </si>
  <si>
    <t>MLNRSLRALVTLALCVPLLVSCATTTTASVPDGCDQASSPCLQGKASVAMETSRGTITLELDGDAAPVTAGNFVDLVKRGTYNGTVFHRVVREPVPFVVQGGDPASSNPQTPKAQYGTGSFIDPESGQARFIPLEVAFEGEDQPRYGRVVSNPSELLQLKLSHARGALAMARSQSPDSASAQFYIALKPLPELDGRYAVFGRVSEGMDVVDAIRMDDKIIKATLLTPGL</t>
  </si>
  <si>
    <t>YP_001225555.1</t>
  </si>
  <si>
    <t>methionine aminopeptidase</t>
  </si>
  <si>
    <t>MNLFADLLASAQGSTVTATGPRIQQRRGVEIKSARELKIMAKASRIVATVLREIMDLVEPGQTTGDLDAHAERRIREMGATPSFKGYHGFPASICASINNEVVHGIPSSKRVIKAGDLLKVDTGAFFEGYHGDSCVTICVGDVGEEAATLSRVAQESLLAGLAQIRAGNTLLDIAGAVEDRVREGGFSVVEDYTGHGVGRNLHEEPSVFNFRTDALPNVTLRPGMTLAVEPILNAGSKDCRTLKDRWTVVTRDGSMSAQWEHTIVVTSDGCEILTDRGD</t>
  </si>
  <si>
    <t>YP_001225278.1</t>
  </si>
  <si>
    <t>aminopeptidase N</t>
  </si>
  <si>
    <t>MVTSPSPQQSVRLEDYRPFPFRIPKTELDVVIQDDAVLVTADLHLEPVQDSSEPLRLQGVDLALISLAVDGQPLAADAYSLSGDALQIHATPHQPFTVTTVCKLDPAANGSLEGLYASGGMLTTQCEAEGFRRITFHPDRPDVLSCFRVRIEADRERYPVLLSNGNAVAAGPVPESPTRHAVVWEDPFPKPSYLFALVAGDLKEIRDHFTTASGRRVTLRLHVEAGDEPYTAHAMESLKRSMAWDEQIYGLEYDLDEFNTVAVRHFNMGAMENKSLNIFNSKLVLADAETATDGELERIESVVAHEYFHNWSGNRITCRDWFQLSLKEGLTVFRDQCFTADLHCAALKRIEDAAMLRNTQFREDAGPTAHPVKPDAYQAIDNFYTTTIYEKGAELIRMLQTLLGDARFMRGMRLYFQRHDGEAATTEDFVAAILEGATEDGSSLNFEPEQFKRWYHQAGTPHVSVDRQWEPTEGRLTLTFRQSTAPTPGQPDKLPVVIPVLWSVLNAEGRAGDERLLVLDQAQQSVVLEGLAKTPQPPVLSLFRNFSAPVTWTADQGDDDLFALFAEDTDAFARWDAGQQLWKRLLLARASGADASSLEMRMLDAVSQLLSPAGEQDPAVLATLLAFPGLAELEALQDEADPPALFEASCALRELFGSQLADALRQRLASSAESLQAHWPAGQGERQLTALIWSWLAAAGDEEVRDAALAAVSGPSMTLARAALRALQPIDCAQRLQALQVFHDRWQDRPVIFDTWFALEASTPRPDALARVEVLLQHPRFDPMAPNSVRAVLGGLVGNPSVFHALDGSGYLFMARQIIAVDGRNPITASRMAKVFSRWHTYGPQRKAAVQQALAVLAEADLSTNTREVVTLMQA</t>
  </si>
  <si>
    <t>YP_001224499.1</t>
  </si>
  <si>
    <t>threonyl-tRNA synthetase</t>
  </si>
  <si>
    <t>MANHDQQTVSSAAATTSASPSPVVLPKTSENEQLLRIRHSMSHVMAMAVQQLFPNARVTIGPWTESGFYYDFDNPEPFTEADLKAIKKGMIKIINKKLPLERVEVSRSEAEEKIKAQNEPYKLEILEGLQEPITLYTLGEDWWDLCAGPHVENTGQLNAKAFELESVAGAYWRGDETKAQLQRIYGTAWETAEQLAEHKRRKEEALRRDHRRIGKDLDLFSIEDEAGAGLVFWHPRGARMRLLIEEFWRQAHFEGGYELLYTPHVADISLWKTSGHLDFYAESMFGPMEVDEREYQLKPMNCPFHVLTYASKLRSYRELPIRWAELGTVYRYERPGVMHGLMRVRGFTQDDAHVFCLPEQISDEILKILDLTERILSTFDFNTYEINLSTRPEKSIGDDAVWDLATKGLIEALERKGWAYKIDEGGGAFYGPKIDLKIEDAIGRMWQCSTIQLDFNLPERFKLDYIAADGSKQRPIMIHRAIFGSLERFFGIMTENYAGDYPLWLAPEQVRLLPVTDEVQPYAESLLDQLTQAGVRATIDRSGDRLGKLIRTGEQMKIPVLAVIGAKEAEQNAVSLRSRRDGDLGVVAVADLLRAAQNANSQRAAGLELN</t>
  </si>
  <si>
    <t>YP_001224155.1</t>
  </si>
  <si>
    <t>50S ribosomal protein L23</t>
  </si>
  <si>
    <t>MTERFTGRLADVIRRPLITEKATRALELNQYTFEVDHRAAKPDIKAAVEQLFDVKVTGISTMNPPRRSRRVGRFAGKRAQVKKAVVRLAEGSSIQLFPES</t>
  </si>
  <si>
    <t>YP_001224134.1</t>
  </si>
  <si>
    <t>DNA-directed RNA polymerase subunit alpha</t>
  </si>
  <si>
    <t>MLQYQIDRIEHQIADDRSQTGVFLIGPLERGQATTLGNSLRRVLMGNLEGTAVTAVRIAGVNHEYATIPGVREDVLDILLNCKQITVNSRTSELEIGRLVVAGPATVKARDLQFSSQVQVVDGERAIATVGEGYSLELEVHVERGIGYRPVDRHNEDTSAIDLLQIDAVFMPVHRVNFTIDETAVAEGGSARERLRMEVVTDGSITPDDAIAQAANQLIELFQPLATVTMVEEVSAEPEPTAEAQIPLEELNLSVRAYNCLKRAQVNSVSDLMGFSYEDLLEIKNFGSKSADEVIEALERIGIQIPQSRTSA</t>
  </si>
  <si>
    <t>YP_001224103.1</t>
  </si>
  <si>
    <t>elongation factor G</t>
  </si>
  <si>
    <t>MARAFPLERVRNIGIAAHIDAGKTTTTERILFYSGVVHKIGEVHDGAAVTDWMAQERERGITITAAAISTSWNDHRINIIDTPGHVDFTIEVERSMRVLDGVIAVFCAVGGVQPQSETVWRQADRYSVPRMVFVNKMDRTGADFLKVHGQIKDRLKANAAPIQLPIGAEGDLSGIIDLVENKAHIYKDDLGQNIEVTDVPDDMKDQVAEWRTYLMEAVAETDEALIEKFLETGELSVEELKAGIRKGVLKHGLVPVLCGSAFKNKGVQLVLDAVVDYLPAPIDVPPIQGVLPNGEEAVRPSDDKAPFSALAFKVMADPYGKLTFVRMYSGVLAKGSYVLNSTKDSKERISRLVVLKADDREEVDELRAGDLGAVLGLKATTTGDTLCSAEDPIVLETLFVPEPVISVAVEPKTKGDMEKLSKALVALAEEDPTFRVNTDQETGQTVIAGMGELHLEILVDRMLREFKVEANIGAPQVSYRETIRASSRGEGKFSRQTGGKGQYGHVVIEMEPGEPESGFEFINKIVGGVVPKEYIKPSEMGMKETCESGVIAGYPLIDVKVTMIDGSYHDVDSSEMAFKIAGSMAFKDAVKKCNPVLLEPMMKVEVEVPEDFLGSIIGDLSSRRGQVEGQAIDDGTSKVSAKVPLAEMFGYATELRSMTQGRGIFSMEFSHYEDVPRNVAEAIISKNQGNS</t>
  </si>
  <si>
    <t>YP_001223966.1</t>
  </si>
  <si>
    <t>histidyl-tRNA synthetase</t>
  </si>
  <si>
    <t>MSQLQSLRGMVDLLPEQTRRWQAVEAVARDHFRRAGVEEIRTPLLEVTELFARGIGEGTDVVGKEMYSFLDRGERSCTLRPEGTASVVRAAMQHGLLNQGAQKLWYAGPMFRYERPQAGRQRQFHQIGVECLGVSSARSDVEAIALAWDLLAALGVQGLELEINSLGTPEDRQCYRAELVAWLEARRDQLDADSQQRLTTNPLRILDSKNKATQALLADAPTLLEALSPESAQRFAQVQALLHQLGIPFKLNTRLVRGLDYYGHTAFEITSDQLGAQATVCGGGRYDGLVEQLGGPATPAIGWALGMERLLLVLEAAAKADPAGAAAQLTMSAPPEVYVVNRGEAAEAVALSLTRSLRLAGVAVELDGSGAAFGKQFKRADRSGAPWAAVIGDEEAASGVVCLKPLLREGGDQRLPLSDPAAIVTILHSAPKSSLESEEER</t>
  </si>
  <si>
    <t>YP_001225338.1</t>
  </si>
  <si>
    <t>translation-associated GTPase</t>
  </si>
  <si>
    <t>MLKAGIVGLPNVGKSTLFNALVANAQAQAANFPFCTIEPNVGTVAVPDSRLELLSDLSSSAETIPTRMEFVDIAGLVKGASQGEGLGNKFLANIREVDAIVHVIRCFEDDDVIHVSGAVGPARDAEVINLELGLADLAQLEKRRERLKKQMRTSKEAQIEDAALERIQAVLEQGGAARSVELSEEEALMLKPLGLLTAKPIIYATNVSEDDLAGGNGFCEEIVALAAKEGAETVRISAQVEAELIELGDEERQDYLDGLGVNEGGLQSLIRATYQLLGLRTYFTTGEKETRAWTFKAGMTAPQAAGVIHTDFERGFIRAQTISTDKLLEAGSLVEARNKGWLRSEGKEYVVEEGDVMEFLFNV</t>
  </si>
  <si>
    <t>YP_001224969.1</t>
  </si>
  <si>
    <t>chaperone protein DnaK</t>
  </si>
  <si>
    <t>MGRIVGIDLGTTNSVVAVLEAGRPVVIANAEGTRTTPSVVGYTKDNELLVGQPARRQLVLNPRNTFSNLKRFVGRSWDELDDSSLTVPYTVRANPQGNVRVACPQTEREYAAEELVASILRKLVDDASTYLGEEVEAAVITVPAYFNDAQRQATRDAGRLAGLTVERILNEPTAAALAYGFDRSAVRRALVFDLGGGTFDVSLLRIANGVFDVKATNGDTQLGGNDFDQRIVDWLAEAFLKEHNLDLRRDRQALQRLTEAAEKAKQELSGVSTTPVSLPFIATGPDGPLHIETTLDRETFEGLCPDLLDRLMLPVQSALRDSGWSAEDIDDVVLVGGSTRMPMVQQLVRTLVPNDPCQSVNPDEVVAIGAAVQAGIITGDLRDLLLNDVTPLSLGLETIGGLMKVLIPRNTAIPVRQSDVFSTSEPNQSSVEIHVWQGERQMATDNKSLGRFRLSGIPPAPRGVPQIQVAFDIDANGILQVNATDRTTGRKQSVTIQGGSTLSEDEIQTLLAEAEAKADEDRRRRATIERRNSALTLVAQAERRLRDAALEFGPYGAERQQRAVEMAMRDVQDLLEQEDLQELELAVSGLQEALFGLNRRLTAERRTESGPLQGLKSTLGTLKDELFAEDDWDDDPWSSPQDRYGYDTRPRNGRRGLDPWDDDNFR</t>
  </si>
  <si>
    <t>YP_001225802.1</t>
  </si>
  <si>
    <t>translation initiation factor IF-2</t>
  </si>
  <si>
    <t>MTSSGKVRIYELSKDLGLDNKDVLDAAEKLSIAAKSHSSSISETEAGKIRSLLKAGSAPRAAASPSKPAPGKAILSVQKAGSGSNSPARPEQPKPAASSPPAAPAAPTKAKSPQQPPARPAAPSRPAAPKASATQTSAPQKPVVRQQPTAQQPVPRPKPKTAPERTVSRPPSPPARPVPQQPSPPSAKPRGTAPIRRAAPNDAPRPANAPPSRPQPKTPVNRTAPPPQRPAAKPELVGRPQPRRPEGPPTRQGAGPGSPRPAVSPRPSAPGSQRNMPQRPAGAQRPGAPTRPGTGAGRPSRPGGNTLELVGKPIRRDGSGNRGEGGRPPGGARPAGGGNRPAMPPGMRKPVAPGELMQLQKPSGRPGVPPPRRPDGTPVTPRGDGPKATPPVSRPTATPPSPATAPRRPGGFRPGAGPGGQRRPGRPDWDDSAKLDALRNRSPQKQRQKVHIIGENDDSLAAQTGGFAGEQQNMVLSASLARPSKPKSQQKAAPKPVAAMRKRRKETTRQRQRRRAMELRAAREAKQVRPEMIVVPEDNLTVQELADMLSVESSEIIKSLFFKGIIATVTQSLDMPTIETVAEEFGVPVLQDDVEEAAKKTVEMIEEQDLEHLIRRPPVVTVMGHVDHGKTSLLDAIRKARVAAGEAGGITQHIGAYQVEIEHSGEPRRLTFLDTPGHEAFTAMRARGTKVTDVAVLVVAADDGVRPQTLEAISHARAAEVPIVVAINKIDKEGASPDRVKQELSEQNLLAEEWGGDVVMVPVSAIKSENIDKLLEMLLLVTEVEDLQANPDRLARGTVIEAHLDKAKGPVATLLVQNGTLRTGDVVAAGPVLGKVRAMVDDASVRLKEAGPSCAVEALGFSEVPTAGDEFEVYPDEKSARAVVGDRASDARATRLAQQMASRRVSLTAMSGQANDGDLKELNLILKADVQGSVEAILGSLEQLPKDEVQVRVLLSAPGEITETDVDLAAASGAVIVGFNTSMASGARKAADANGVDVRDYDVIYKLLEDIQLAMEGLLEPELVEEALGEAEVRAVFTIGKSAVAGCYVTTGKLQRNCKVRVHRGKEIVYAGDLDSLRRNKDDVKEVATGFECGVGTDRFANWQDGDRIEAFKMVTQRRKLTT</t>
  </si>
  <si>
    <t>YP_001224238.1</t>
  </si>
  <si>
    <t>MTVTSTDPVQDPAVETAEALSNGADAAAEVADQAEFGTDEDLSIPDDIPTADDPSSRAASRDMDNAGFTLDEFAALLSKYDYNFKPGDIVNGTVFALESKGAMIDIGAKTAAFMPLQEVSINRVEGLSDVLQPGEIREFFIMSEENEDGQLSLSIRRIEYQRAWERVRQLQKEDATIYSEVFATNRGGALVRVEGLRGFIPGSHISTRKAKEELVADFLPLKFLEVDEERNRLVLSHRRALVERKMNRLEVGEVVVGTVRGIKPYGAFIDIGGVSGLLHISEISHEHIETPHSVLNVNDQMKVMIIDLDAERGRISLSTKALEPEPGDMLTDPQKVFDKAEEMAARYKQMLLEQAEEGEEPLGSMMV</t>
  </si>
  <si>
    <t>YP_001225785.1</t>
  </si>
  <si>
    <t>DNA-directed RNA polymerase subunit beta</t>
  </si>
  <si>
    <t>MSSSAIQVAKTATYLPDLVEVQRASFKWFLEKGLIEELESFSPITDYTGKLELHFVGSEYRLKRPRHDVEEAKRRDATFASQMYVTCRLVNKETGEIKEQEVFIGELPLMTERGTFIINGAERVIVNQIVRSPGVYFKDEQDKNGRRTYNASVIPNRGAWLKFETDKNDLLHVRVDKTRKINAHVLMRAMGLSDNDVIDKLRHPEYYKKSIEAANDEGISSEDQALLELYKKLRPGEPPSVSGGQQLLQTRFFDPKRYDLGRVGRYKINKKLRLTIPDSVRTLTHEDVLSTLDYLINLELDVGGASLDDIDHLGNRRVRSVGELLQNQVRVGLNRLERIIKERMTVGETDSLTPAQLVNPKPLVAAIKEFFGSSQLSQFMDQTNPLAELTHKRRISALGPGGLTRERAGFAVRDIHPSHYGRLCPIETPEGPNAGLINSLATHARVNEYGFIETPFWKVENGRVLKQGDPIYLSADLEDECRVAPGDVATDSDGAILADLIPVRYRQDFEKVPPEQVDYVQLSPVQVISVATSLIPFLEHDDANRALMGSNMQRQAVPLLRPERPLVGTGLETQVARDSGMVPISRVNGTVTFVDATAIVVRDEEGVDHSHYLQKYQRSNQDTCLNQRPIVRQGDPVIVGQVLADGSACEGGEIALGQNVLIAYMPWEGYNYEDAILVSERLVNDDLYTSVHIEKYEIEARQTKLGPEEITREIPNVAEESLGNLDEMGIIRIGAFVESGDILVGKVTPKGESDQPPEEKLLRAIFGEKARDVRDNSLRVPSTERGRVVDVRIYTREQGDELPPGANMVVRVYVAQRRKIQVGDKMAGRHGNKGIISRILPREDMPYLPDGTPVDIVLNPLGVPSRMNVGQVFELLMGWAAANLDCRVKVVPFDEMYGAEKSQQTVETFLKEAAKQPGKEWIYNPDDPGKLQLIDGRSGEPFDQPVAVGYSHFLKLVHLVDDKIHARSTGPYSLVTQQPLGGKAQQGGQRLGEMEVWALEAYGAAYTLQELLTVKSDDMQGRNEALNAIVKGKPIPRPGTPESFKVLMRELQSLGLDIAVFTDEGKEVDLMQDVNPRRSTPSRPTYESLGVADYDED</t>
  </si>
  <si>
    <t>YP_001224169.1</t>
  </si>
  <si>
    <t>hypothetical protein SynWH7803_0446</t>
  </si>
  <si>
    <t xml:space="preserve">aminoacyl-tRNA synthetase </t>
  </si>
  <si>
    <t>MSDESTTQVNDTDVTDAAQAGESVDFAERYKDILGKVNETLDKVDWGQAGRIGKVVGIFAAVIVAQILIKGILDTINLLPIVPGLLELLGVVVVGQWSWKNLTTSEKRSALVTRIQTLRKEYLG</t>
  </si>
  <si>
    <t>YP_001225871.1</t>
  </si>
  <si>
    <t>SufD protein, Fe-S cluster assembly</t>
  </si>
  <si>
    <t>MVNTVLTPVQKRGQANLERLGLPTRRQEAWRLTDLKRLEAMASLPSVEGSAQHAWPSIHQGVTRFVIGTGVDPLEGVQLPEGVSPLSEAELEQALGHTLDRCGCAETWPVELNHARSQRVLALRVRGSVAPLEIVLAAGGGLVATRVLLLLEEKAELDLFQVIPAERESAAAPLAHSHVIEVHLGQEARLRHGVLASASDDSSLLAHLAVEQEPRSSYDFVSVCRGWRFGRLEPRVLQVDGQATTRLTGLAMTGTDEQFATHTSVCFEGPEGSLDQLQKAVAADRSHSIFNGAIQVPRAAQRTDASQLSRNLLLSNRARVDAKPELEIVADDVRCAHGATVSQLQQDQLFYLRSRGVAADEAAALLLKGYCCDVVDRLPSMAPSWLASAAINDPARPL</t>
  </si>
  <si>
    <t>YP_001223733.1</t>
  </si>
  <si>
    <t>transcription antitermination protein NusB</t>
  </si>
  <si>
    <t>MQTRSLSRELALLVLSQCAERDRSLSVESLEALLQKALDSLMQHWREVLDRCAADLEKAQQSLLDSELQEGSTAAVMPVREHLRDSLTSAEQVLNGLSASLELPRLLALADQEMVQKEAMRRIQLVLDARPSLDDQLDSVMEGWRLSRLPRIDRDILRLAVVDLQSMKTPASVACNEAVELANRYSDEQGRRMINGVLRRLQNASSQAVS</t>
  </si>
  <si>
    <t>YP_001224142.1</t>
  </si>
  <si>
    <t>50S ribosomal protein L18</t>
  </si>
  <si>
    <t>MSTLSRKQQTQKRHRRLRRHLSGTADRPRLAVFRSNSHIYAQVIDDAAQSTLCSASTLDKDLRTSLTATGSTCDASVAVGELVAKRALAKGIQQVVFDRGGNLYHGRVKALADAAREAGLQF</t>
  </si>
  <si>
    <t>YP_001226096.1</t>
  </si>
  <si>
    <t>50S ribosomal protein L1</t>
  </si>
  <si>
    <t>MPKTSKRLASLVNKIEERAYEPLEAIKLVKENATAKFDETVEAHARLGIDPKYTDQQLRTTVALPHGTGQTVRIAVITRGEKVAEAKAAGAELAGDEDLVETISKGEMDFDLLIATPDMMPKVAKLGRVLGPRGLMPNPKAGTVTTDLAAAINEFKAGKLEFRADRTGIVHVRFGKASFSEGNLLDNLKTLQETIDRNKPSGAKGRYWKSLYVTSTMGPSVEVDIAALQDINKDG</t>
  </si>
  <si>
    <t>YP_001224361.1</t>
  </si>
  <si>
    <t>ribosome recycling factor</t>
  </si>
  <si>
    <t>MSQSDLESSMRKSVEATQRNFNTIRTGRANSSLLDRISVEYYGAETPLKSLATLSTPDSQTIQIQPFDISALALIEKAIAMSELGFTPNNDGKVIRINVPPLTEERRKEFCKLASKYAEEGKVALRNLRRDAIDKIKKQEKEGEFSEDQSRDAQDSVQKTLDKFIAEVEQHLATKEADILKV</t>
  </si>
  <si>
    <t>YP_001225041.1</t>
  </si>
  <si>
    <t>glycyl-tRNA synthetase beta subunit</t>
  </si>
  <si>
    <t>MANTFLLEIGTEELPADFVPSALRQLEQRIRSDLKDLRLAHGELSVTGTPRRLLVVVRELIDSQPDLEEDRKGPPVSQALVDGRPGPAAIGFAKRCGVDPEDLQPKDTPKGPCLFARVKTPGQPSSALLGECVPRWIDALQGRRFMRWGCGEQRFSRPVRWLVVMLGDAVIPVTLDTADPVVTSGRTSRGHRLHEQLQEVNSAEDLLRQLNDAGVMVNREQRAETIRAAIVSESERCDGQADCPESLFQELVDLVESPSVLKGRIADRFLELPPEVIVTVMQAHQRYVPLRIPQAVSDPLQLQARNVLKPEFLLVSNGVESASDTIVSGNQRVLGARLADAEFFLNVDRRQSSEQRRQSLERVTFAEGLGSLLDRSERISWVMDQLLLALQLEGTVASHARRAAHLCKHDLVCQMVGEFPELQGLMGGKYLLEEGEPRGVALAVAEHYLPAGSGDALPASDAGALLALAERIELLLSIFAKGQRPTGSSDPYALRRAGNGIVQILWNRGWQLPLQSLFTTASTHWAERFPAFNVEAEALANDLGQLLCQRMVSQFEDDGFAIDLVQAVCGEGVSTERLLEDPVDARDRLLLLKTLRESGRLQDLQAVVQRASRLAEKGDLPPSKLSVEGIVDAFLFDSPSEAALLVELEALSPLAQAKDYERLAQRLQGAARALEAFFDGSDSVMVMAEDPSVRRNRLNLLGVLRNQASVLARFDHIQS</t>
  </si>
  <si>
    <t>YP_001226191.1</t>
  </si>
  <si>
    <t>ecotin</t>
  </si>
  <si>
    <t>Protease Inhibitor Ecotin</t>
  </si>
  <si>
    <t>MSALTPVAAIPRLDLSGYPAPAPGLQRWVIQPSGLLPKTSDPLVSAHPLDWRIQLIVGEEVTLDCNLQRLSGPGMTMRMLPQASGKALFEVKGPLRLISTKKACPPGAPEKRSFLSLGLQPYLVPYNPSWPIVVDLPKGAELRWRLWKAETRQQKAVQR</t>
  </si>
  <si>
    <t>YP_001224131.1</t>
  </si>
  <si>
    <t>50S ribosomal protein L13</t>
  </si>
  <si>
    <t>MNKTSVPSIDSIDRQWYLVDAENQTLGRLATEVASVLRGKNKASFTPHLDTGDFVVVVNADKIRVSGNKPQQKLYRRHSGRPGGMKVETFTHLQERLPERIVEKAIKGMLPHNALGRQMFRKLKVYKGAEHPHAAQQPKPLQLDPAATAQ</t>
  </si>
  <si>
    <t>YP_001223724.1</t>
  </si>
  <si>
    <t>DNA polymerase III subunit beta</t>
  </si>
  <si>
    <t>MKLVCSQTELNSALQLVSRAVASRPTHPVLANVLLTADAGTDRLSLTGFDLSLGIQTSLPASVDTSGAVTLPARLFGEIVSRLSSDSPITLTTDDSGEQVELTSLSGSYQMRGMPADDFPDLPLVENGTAVKLDPAALVRALRSTLFASSSDEAKQLLTGVHLRFDQTRLEAASTDGHRLAVLSVDDALQDAIANEEAPDAEGSAGLAVTLPARSLREVERLMAGWKGSDPVSLFFERGQVVVLAADQMVTSRTLEGTYPNYRQLIPESFSRTMALDRRAFVASLERIAVLADQHNNVVRIISDPSKGLIQISADAQDVGSGSESLPAQIEGEEVQIAFNVRYVLDGLKAMDAERIVLSCNAPTTPAILSPADDGAGLTYLVMPVQIRS</t>
  </si>
  <si>
    <t>YP_001224255.1</t>
  </si>
  <si>
    <t>MQRLASGLFIGILVTLLCVPQALALNDAQQLVVESWRLVNQSYVDPEVFETIRWKRLRQKALENTIETSEQAYSAIETMLLPLNDPYTRLLRPEDYTVMKASNEGSLSGVGLQLGHPANGDSIVVIAPLEGSPAADAGVVSGTEILEVDGERVEALGLEATAARLRGAVGSQVLVTLVPPQGQPEEISLERRTIDLRPVRTRRLRSDAHTLGYLRITQFSEGVPAQVREALEELSDKNVEGLVLDLRNNSGGLVSAGLAVADVFLDQEPIVETRNRDGIADPIQAGAGELYSGPMVTLVNSGTASASEILAGALQDDDRSLLLGDKTFGKGLIQTLTNLSDGSGLAVTVAGYLTPSGRDIQGQGIQPDRILDQPEPLNPGGDGDRWLNDAERVLQALIEQDHPGDQSQPLESTDLAPDPT</t>
  </si>
  <si>
    <t>YP_001223794.1</t>
  </si>
  <si>
    <t>trigger factor</t>
  </si>
  <si>
    <t>Folding prot</t>
  </si>
  <si>
    <t>MSAASLKVTTTSRPGSRLAVEVAVPAERSQASYEEAITRLSRSVNLPGFRKGKVPRTVLVQQLGALRIRATALESLVESVWRDALAQETIEALGQPELSGSFEELLDTFKPGEALTVTMETDVAPSPTLKSTKGLKAEAETVAFDAAKVDEMLEQSRRQLATVVPVEGRKAEQGDIAVVGFKGTYSDDGSEIEGGSADSMDVDLEHGRMIPGFVEGVVGMAVGDSKTVDCTFPEDYPKEDARGRKASFAIELKDLKTRELPELDDAFAKQASEQETLAELRSDLEQRLKDDAERRSRSNRHDALLAALVEQLEVELPESLIQQEVRNLVEQTAGQFAQQGMDVQSLFTPELVRNLMESSRPEAEERLRRSLALTALAESEKLSVDDADLNAKLKEVKGQLSGERDIDPERLRQAVLDDLLQEKLLGWLEENSTVTEKAPEAESDAAKASKPAAAKKDASKAKTAKTSKAKTAKAESESAES</t>
  </si>
  <si>
    <t>YP_001225618.1</t>
  </si>
  <si>
    <t>periplasmic serine proteases (ClpP class)</t>
  </si>
  <si>
    <t>MVWPWRRKSRRRMARIAIEGAISGSTRRRVLKALREVQEREFPALLLRIDSPGGTVGDSQEIHAALLRLRAKGCRVVASFGNISASGGVYVGVAAETIVANPGTITGSIGVILRGNNLSELLNKIGIRFETVKSGAYKDILSPDRALSADERQLLQDLIDSSYDQFVAAVAEGRGLEPDAVKAFADGRVFSGAQAKELGLVDELGDEEQARVLAARLADLDEERCKPVTLGKPRKSLLQGLPGSALLSAVQQRLSAELELSGQLLWMHRS</t>
  </si>
  <si>
    <t>YP_001224143.1</t>
  </si>
  <si>
    <t>50S ribosomal protein L6</t>
  </si>
  <si>
    <t>MSRIGKSPIPIPDKVSVSLDGLAVTVKGPKGELKRTLPDGVTVNQVDNTIVVAPTSEKRQSRERHGLCRTLVANMIEGVSKGYSKKLEIVGVGSRAQVKGKTLVVSAGYSHPVEMLAPEGITFAVENNTNVTVSGTDKELVGNEAAKIRAIRPPEPYKGKGIKYAGERILRKAGKSGKK</t>
  </si>
  <si>
    <t>YP_001225691.1</t>
  </si>
  <si>
    <t>50S ribosomal protein L27</t>
  </si>
  <si>
    <t>MAHKKGTGSTRNGRDSNSKRLGVKAYGGESVTAGSILIRQRGTSVLPGVNVGQGKDDTLFALTDGVVKFETIRRGLRNRKRINVATAAG</t>
  </si>
  <si>
    <t>YP_001224396.1</t>
  </si>
  <si>
    <t>hypothetical protein SynWH7803_0673</t>
  </si>
  <si>
    <t xml:space="preserve">Cysteinyl-tRNA synthetase </t>
  </si>
  <si>
    <t>MASLRVLPAVLALGLALAACQSAEKKAATDEVKVAKGVEAVCAAQADVDAAVIAVNALTPESTVADAEKAGKKLNNALSSLNKAEDQLAKAEVKEYRDQVELFRQAVDDVSKNKDLTLAEAAEQLKGKAAPVVAAREQLAATTVCVAVEEDTKAEDSMKEDSMKDDTQKDDAK</t>
  </si>
  <si>
    <t>YP_001225674.1</t>
  </si>
  <si>
    <t>leucyl aminopeptidase</t>
  </si>
  <si>
    <t>MKISLSPATPEAWSGSVLALGIPENDPQGLVAAMEQRFSLQLSDWLKQKPFSGKPGDCVSLPLLRSDCTALVLVGLGEASSVDRDRLRLAAAAAARAAQGQGGTLGLLLPWSSDTPEEDAAAAAEAVRLALYSDERFRSKPEPSPKPDQLELLGSLPGGLSHGLEAVHPVCAGVELARELVAAPPNSVTPAELARTASHLAHEHGLELTILERSDCEERGMGSFLSVCQGSDMDPKFIHLTYRPNDAASKRLVLVGKGLTFDSGGYNLKVGAAQIDMMKFDMGGSAAVFGAMRAIAELRPAGVEVHMLVASCENMINGSAVHPGDIVTASNGTTIEINNTDAEGRLTLADALVYACKLKPDAIVDLATLTGACVIALGDEIAGLWSGDDSLSSQLEMAAQAAGEGLWRMPLHSPYRKGLKSLLADMKNTGPRPGGSITAALFLKEFVDAGIPWAHIDIAGTVWSDKGRGLDPSGATGYGVRTLVNWITNQANT</t>
  </si>
  <si>
    <t>YP_001224102.1</t>
  </si>
  <si>
    <t>elongation factor Tu</t>
  </si>
  <si>
    <t>MAREKFERNKPHVNIGTIGHVDHGKTTLTAAITNVLAKKGQAKVQDYADIDGAPEERERGITINTAHVEYETDTRHYAHVDCPGHADYVKNMITGAAQMDGAILVCAATDGPMAQTKEHILLAKQVGVPALVVALNKCDMVDDEEIIELVEMEIRELLSSYDFPGDDIPVVQVSGLKAIEGEAEWEAKIDELMQAVDANIPEPEREVDKPFLMAIEDVFSITGRGTVATGRIERGIVKVGEEIEIVGIKDTRKTTVTGVEMFRKLLDEGMAGDNVGLLLRGIQKEDIERGMVLVKPGSITPHTKFEGEVYVLKKEEGGRHTPFFAGYRPQFYIRTTDVTGQITAFTADDGSDVEMVMPGDRIKMTGELICPVAIEQGMRFAIREGGRTIGAGVVSKIIE</t>
  </si>
  <si>
    <t>YP_001224130.1</t>
  </si>
  <si>
    <t>30S ribosomal protein S9</t>
  </si>
  <si>
    <t>MSTSNSVVYWGTGRRKTSVARVRLVPGNGTITINGRPGDNYLNYNPAYLAAVRAPLQTLGLLTEYDVLVNVRGGGLTGQADAIKQGAARALCELSADNRKPLKTEGHLSRDPRAKERRKYGLKKARKAPQFSKR</t>
  </si>
  <si>
    <t>YP_001224148.1</t>
  </si>
  <si>
    <t>30S ribosomal protein S17</t>
  </si>
  <si>
    <t>MALKERVGTVVSDKMDKTVVVAVENRFPHPIYQKTVSRTTRYKAHDENNSVRVGDRVRITETRPLSRHKRWAVAEVLSHSPKAEEAKK</t>
  </si>
  <si>
    <t>YP_001224150.1</t>
  </si>
  <si>
    <t>50S ribosomal protein L16</t>
  </si>
  <si>
    <t>MLSPKRVKFRKQQRGRMRGVATRGNTIAFGQFALQAQECGWITSRQIEASRRAMTRYVKRGGKIWIRIFPDKPVTMRAAETRMGSGKGNPEFWVAVIKPGRILFEMGGDEITPEIAREAMRLAQYKLPVKTKFISLDEQEQSAGASAPAAAAATVES</t>
  </si>
  <si>
    <t>YP_001225586.1</t>
  </si>
  <si>
    <t>MAKLLKFSDESRAALERGMNALADAVRVTIGPRGRNVVLEKSFGAPDIVNDGDTIAKEIDLEDPFENIGAKLIQQVASKTKDKAGDGTTTATVLAQAMVEEGLRNTAAGASPIELRRGMEKAVALIVKGLGERSQSVSGDAIRQVATVSAGGDDEVGRMVAEAMDKVTVDGVITVEESKSLATELEVTEGMAFDRGYSSPYFVTDGDRQICEFENALLLLTDRKISAVADLVPVLETVQKTGSPLVILAEEVDGEALATLVVNKNRGVLQVAAVRAPSFGERRKAALADIAILTGGTVISEDRAMTLDKVTLEDLGRARRITISKEETTIVASEDSRDAVAERVASIRRELENSDSEYDREKLNERIAKLAGGVAVIKVGAPTETELKNRKLRIEDALNATRAAVEEGIVAGGGSTLIQLAGSLDGLANQLHGDQRTGVEIVHRALSAPLRQIAINAGANGDVVVEQVQRSGQGFNALTGGYENLLEAGILDAAKVVRLGLQDAVSIASLLITTEVVVADKPEPPAAPAPGGDPMGGMGGMGGMGGMGMPGMM</t>
  </si>
  <si>
    <t>YP_001224557.1</t>
  </si>
  <si>
    <t>membrane protease subunit</t>
  </si>
  <si>
    <t>MRSVNSGGPEGGLVAIVALVLAGLLLLAQSLFVVPAGEVAVITTLGKVSGTPRQPGLNVKAPLVQQVWPFSIRTQVRPENFATLTKDLQVIQATATIKYALRPDEAGRVYSTIASSDRDVYPRIIQPSLLKALKSVFSQYELVTIASEWNDISALVASTVAEELDQFDYVKVVGLDLTGLEIAEEYRAAIEQKQIAEQQLLRAQTEVKIAEQEALRYDTLNKSLDDQVLYKLFLDKWDGQTEVVPGLPGTAGGTPPVIVGRR</t>
  </si>
  <si>
    <t>YP_001224145.1</t>
  </si>
  <si>
    <t>50S ribosomal protein L5</t>
  </si>
  <si>
    <t>MSLKQRYRETIQPKLLKDLSLSNVHEVPKVVKVTVNRGLGEAAQNAKSLEASVNELAQITGQKVVVTRAKKAIAGFKIRQGMPIGCAVTLRGERMYAFLERLINLALPRIRDFRGVSPKSFDGRGNYTLGVREQIIFPEISFDKIDAIRGMDITIVTTARTDEEGRALLREMGMPFRSN</t>
  </si>
  <si>
    <t>YP_001223754.1</t>
  </si>
  <si>
    <t>MPKSFQHLGFSLAIRLAFQRWGTGLLSLLIVVGLLGAEPVWAGLPQGNAVQDPAAILRDSLPMDQEDLRELQHRLEGTSDDLRAKRWSALGRTIGRSEALLNTRSNNILNAVPDADRPQAEQLLNTVKDGLVQLQERVDATDKSGFIQSRRQTLSTIGDLEFLLIDDRIPAIPAEFDDLPRLNGRATVVISTTQGDLTAVVDGYNAPLTAGAFIDLSLKGFYDGLPFTRAEDFYILQSGDPEGPAIGYVDPTSKQERHVPLEIRVPGEPDTFYNETFEDVGLYKATPVLPFSTLGTLGWAHSDQALDDGSSQFFLFLYEAELTPAGLNLVDGRNAAFGYVVDGFDVLEELSVDDQINRIAVVDGADRLQAHA</t>
  </si>
  <si>
    <t>YP_001224424.1</t>
  </si>
  <si>
    <t>Serine protease</t>
  </si>
  <si>
    <t>MASAIKRSRTSFLTALSLGLLSFGISSCNGAWRQRIGIEKQPVAEPLPEVSDGPRSAPLKPGDNVIVEAVDRVGPAVVRIDTLKRVASPLGNLFGGRAPIQKQAGQGSGFITRSDGLIFTNAHVVEGADQVSVTLPDGRSFSGRVLGGDPLTDVAVVRVVADKLPVAPLGNSNDLKPGEWAIAIGNPLGLNNTVTAGIISAVDRTNAVGEGQRVPYIQTDAAVNPGNSGGPLINASGQVIGINTAIRQAPGAGLSFAIPINLAKRIAQQIISTGQASHPFIGVRLQSLTPQLAKEINATIDLCKVPELNGVLVIEVVENSPAAEAGIKPCDLIRDVNGTEVKDPSQVQLAVDRGRVGEAMPIVVERDGERLTLNVTPEELPRQQ</t>
  </si>
  <si>
    <t>YP_001225861.1</t>
  </si>
  <si>
    <t>30S ribosomal protein S21</t>
  </si>
  <si>
    <t>MTQVTVGENEGIESALRRFKRQVSKAGIFADLKRLRHHETPIEKYKRKAQQRRRRR</t>
  </si>
  <si>
    <t>YP_001226141.1</t>
  </si>
  <si>
    <t>50S ribosomal protein L9</t>
  </si>
  <si>
    <t>MAKRVQVVLNEDVLSLGRDGDMVEVAPGYARNFLLPYGKAVPVTPAVMKQVEHRRAKEAERQAALKQEALAFRTALDTIGRFTVKKQTGDDDVLFGTVTNGDVAEVIEEATKKEVDRRDITVPDIHRTGNYKVSVKLHSEVTAEINLEVVSY</t>
  </si>
  <si>
    <t>YP_001226181.1</t>
  </si>
  <si>
    <t>aspartyl-tRNA synthetase</t>
  </si>
  <si>
    <t>MRSNGCGDLRKEHIDNSVQLCGWVDRRRDHGGVIFIDLRDRTGTVQITVDPDLGAEAFAVAEHLRSETVLQISGKVRARPAESLNEKLATGAVEVLASGITVLNSVKGNLPFPVSVHDEENTREELRLRHRYLDLRRKRMNDNLRLRAQTIQAARRFLEDEGFIEVETPVLTRSTPEGARDYVLPSRVCGGEWFALPQSPQLFKQLLMVGGIERYYQVARCFRDEDLRADRQPEFTQLDIEMSFMDQEEILQLNESLICSIWKAVKGIDLPRPFPRMTWHDAMERYGTDRPDTRYGMELTNVSDIVKDMGFKVFSGAVKNGGAVKCIAVPGGNEALSNVRIKPGGDVFSEAQKAGAGGLAFIRVRDGGEIDTIGAIKDNLSDEQKQELLSRTGAEPGTLLLFGAGDTATVNKALDRVRQYLAKELGMVKADRDNDQWNFLWVVDFPMFEFNSDENRYEALHHPFCAPNAEDLGSDASQWADTLPGARAQAYDLVLNGLELGGGSLRIHDSALQRQVLQTVGLPLEEAQEQFGFLMDALDVGAPPHGGLAFGVDRMVMLLAGEESIRDTIAFPKTQQARCLMTNAPGGVADKQLEELHVASTWVDPTEEDSN</t>
  </si>
  <si>
    <t>YP_001224314.1</t>
  </si>
  <si>
    <t>30S ribosomal protein S4</t>
  </si>
  <si>
    <t>MSRYRGPRLRITRRLGDLPGLTRKAAKRSYPPGQHGQARRKRSEYAIRLEEKQKLRFNYGVSERQLVRYVKKARAQEGSTGTNLLKLLENRLDNVCFRLGFGPTVPGARQLVNHGHVTVNGRVTDIASYQCKPGDVIAIRERKCSKQLAEGNLEFPGLANVPPHLELDKPKLNAKVVGRCEREWVALEINELLVVEYYSRKV</t>
  </si>
  <si>
    <t>YP_001224151.1</t>
  </si>
  <si>
    <t>30S ribosomal protein S3</t>
  </si>
  <si>
    <t>MGHKIHPTGLRLGITQEHRSRWYASSKSYPTLLKEDDRIRKFIHKKYGSAGISDVLIARKADQLEVELKTARPGVLVGRQGSGIEELRSGIQKTVGDPNRQVRINVVEVERVDADAFLLAEYIAQQLEKRVAFRRTIRMAVQRAQRAGVLGLKIQVSGRLNGAEIARTEWTREGRVPLHTLRADIDYATKVASTTYGVLGIKVWVFKGEVLGDEAQQQLPVGATPRRRAGRRPQQFEDRSNEG</t>
  </si>
  <si>
    <t>YP_001224146.1</t>
  </si>
  <si>
    <t>50S ribosomal protein L24</t>
  </si>
  <si>
    <t>MATATSQSAPTQRIKMRLRKGDTVQVIAGKDKGKTGEVLRTLPNENRVIVEGVNMRTRHVKPTQEGESGRIVTEEASLHASNVMLYSTAKKVASRVELITEKDGSKKRRLKKTGEVID</t>
  </si>
  <si>
    <t>YP_001224147.1</t>
  </si>
  <si>
    <t>50S ribosomal protein L14</t>
  </si>
  <si>
    <t>MIQQESFLTVADNSGAKRIQCIRVLGTNRRYAHVGDVIVAAVKDAMPNMGVKKSDVVKAVVVRTKATLRRDTGNSIRFDDNAAVIINDDKNPKGTRVFGPVARELRERNFTKIVSLAPEVI</t>
  </si>
  <si>
    <t>YP_001224456.1</t>
  </si>
  <si>
    <t>hypothetical protein SynWH7803_0733</t>
  </si>
  <si>
    <t>MLTGADLLNKVKELGDVSKSDLVRACGYVSNKKDGGERLNFTAFYEALLEAKGVNLGATGVGGIGKGGRKLSYVATVQGNGNLLIGKAYTAMLDLKPGDEFEIKLGRKQIRLVPVGGTDEDEE</t>
  </si>
  <si>
    <t>YP_001224104.1</t>
  </si>
  <si>
    <t>30S ribosomal protein S7</t>
  </si>
  <si>
    <t>MSRRNAAVKRPVLPDPQFNNRLATMLVARLMKHGKKSTAQRILSDAFSLIGERTGGDPIELFETAVKNATPLVEVRARRVGGATYQVPMEVRQERGTAMALRWLVSFSRARNGRSMAQKLAGELMDAANEAGSAVRKREETHKMAEANKAFAHYRY</t>
  </si>
  <si>
    <t>YP_001226097.1</t>
  </si>
  <si>
    <t>50S ribosomal protein L11</t>
  </si>
  <si>
    <t>MAKKVTAVIKLALQAGKANPAPPVGPALGQHGVNIMAFCKEYNARTQDKAGFVIPVEISVFEDRSFTFITKTPPASVLITKAAGIEKGSGESAKGSVGSIKRSQLEEIAKTKLPDLNCTSIESAMRIIEGTARNMGVAITD</t>
  </si>
  <si>
    <t>YP_001224135.1</t>
  </si>
  <si>
    <t>30S ribosomal protein S11</t>
  </si>
  <si>
    <t>MAKTVKKSGPKKAKRNVPNGVAHIQSTFNNTIVSITDTTGEVISWSSAGASGFKGARKGTPFAAQTAAEAAARRALDQGMRQIEVLVRGPGSGRETAIRALQVAGLEITLIRDVTPLPHNGCRRPKRRRV</t>
  </si>
  <si>
    <t>YP_001224345.1</t>
  </si>
  <si>
    <t>prolyl-tRNA synthetase</t>
  </si>
  <si>
    <t>MRVSRLMLVTLRDVPADAEIPSHQLLVRGGYIRRIGSGIYAYLPMMWKVLRKINAIVRAELNHLGALETLLPQLQPADLWERSGRWQGYTEGEGIMFHLEDRQNRQLGLGPTHEEVITELAGDLLRSYRQLPVTLYQIQTKFRDEIRPRFGLMRGREFIMKDAYSFHANQEDLENTYQAMATAYARIFERCGLEAVAVDADSGAIGGAASQEYMVTAAAGEDLILTSSDGLYAANQEKATSRPPVALPLAAGEERMIETPDQSSIEQLCAANGLDPTQTVKVLVLLARLDDGREQPTLVSLRGDQDLNEVKLANAVSRSLNAAVLEIRPISENQLCQQDLSEFPFGAIGPDLSDTALKGCRSWENHFLRLADATALDLPRFVCGANSKDQHCWGRTWDAMPAQIKADLRTARAGDQCVHDPSQTLSECRGIEVGHIFQLGRKYSEALDARFTNSAGQQEALLMGCYGIGISRLAQAAVEQHHDEAGISWPLGIAPFQVIVVIAKIQDPTQVALAEELYQSFLDAGIDALLDDRDERAGVKFKDADLIGIPWRIVVGRDAGEGKVEVVERSTRCSTSVPHQEAFQQVKDSISTHL</t>
  </si>
  <si>
    <t>YP_001224028.1</t>
  </si>
  <si>
    <t>CinA-like protein</t>
  </si>
  <si>
    <t>competence damage-inducible protein</t>
  </si>
  <si>
    <t>MADAAGRSGVEVLCIGTELLLGNIVNGNARWLAEELAALGLPHFRQTVVGDNRDRLIAEVREIASRSRVLITTGGLGPTPDDLTTEAIAAAFQTPLEERADVWADITAKSRSRGREPGPETRRQALLPVGATVLPNPTGTAPGMVWSPTDHFTVLTFPGVPSEMRAMWQATAAPWFRQSGLSSGVFVSRTLRFWGIGESTLAEQVRDLLNQTNPTVAPYAGRGEVKLRITACASDQPEALALVDETERDLRSRTGDLCFGADEASLASVVLAHLRARGETLAVAESCTGGGLGAELTAVPGSSQVLLGGVIAYANAVKCELLGVPSSLLEEVGAVSDPVAQAMAEGVRRLTGSDWALALTGIAGPGGGSDEKPVGLVHIAVAGPDGCESHPIRLAASQGRDWIRLVSAGEALNRLRLRLMAAESGQTHTEAEGH</t>
  </si>
  <si>
    <t>YP_001226094.1</t>
  </si>
  <si>
    <t>50S ribosomal protein L7/L12</t>
  </si>
  <si>
    <t>MSAKTDEILESLKTLSLLEASELVKQIEEAFGVSAAASAGVVMAAPGAAGAGGGEAAEEKTEFDVVLESFDASAKIKVLKAVREATGLGLGDAKAMVEAAPKAIKEGVSKDEAEALKKAIEEVGGKVTLK</t>
  </si>
  <si>
    <t>YP_001224156.1</t>
  </si>
  <si>
    <t>50S ribosomal protein L4</t>
  </si>
  <si>
    <t>MANCVVRDWQGKETGKASLDLKVAKETTALDLMHRAVLRQQAHTRQGTASTLTRSEVRGGGRKPYKQKGTGRARQGSIRTPLRPGGGIVFGPKPRSYNLAMNRKERRLALRTALMARIDDVTVVKDFGTSLEAPKTREIVDALGRLGIEADSKVLIVLGTPSEVLRRSVRNLEKVKLIAANQLNVFDLLHANALVLGEEALATIQEVYGDD</t>
  </si>
  <si>
    <t>YP_001224157.1</t>
  </si>
  <si>
    <t>50S ribosomal protein L3</t>
  </si>
  <si>
    <t>MSIGILGKKLGMSQLFDEQGKAVPVTLIEAGPCRITQLKTTETDGYSAVQIGFGETRDKLVNKPAKGHLAKSGEGVLRHLSEYRVDDVNGLELGGAVTVSDFEAGQKVDVSGDTMGRGFAGYQKRHGFSRGPMTHGSKNHREPGSTGAGTTPGRIYPGKRMAGRYGGKKTTTRGLTILKVDSDRNLLVVKGSVPGKPGALLNIRPANRVGAKPAKGGK</t>
  </si>
  <si>
    <t>YP_001225559.1</t>
  </si>
  <si>
    <t>glutamyl-tRNA synthetase</t>
  </si>
  <si>
    <t>MVRVRLAPSPTGTLHIGTARTAVFNWLFARNQNGSFLLRIEDTDKERSKPEFTQNILEGLQWLGLDWDGDPVIQSEQTERHRSAIQTLLEKGLAYRCYASEEELDAMRTQQKAANQAPRYDNRHRDLTPEQEAAFQAEGRDAVIRFRIDEHREIRWNDLVRGPMLWRGADLGGDMVVARRAPADQIGDPLYNLVVVIDDAAMAISHVIRGEDHIANTAKQLLLYEALSLPVPTFAHAPLILNPEGRKLSKRDGVTSINDFRAMGYTPEALANYMTLLGWSVPEGMNEIFTLEAAAKVFDFDRVNKAGAKFDWDKLNWLNAQVLHSWEPANLLNALAPLWADQGWTLPDTTGWSLSLVELLGPSLTLLNDGVDQAKPFFMEPALEDDALKQLDQEGAKACLQALLSTLEEAPWSGESIDQAQEMLKSAAATAGVKKGILMKSLRAALLGRLQGPDLLTTWSLLAQIGQDLPRLRRCL</t>
  </si>
  <si>
    <t>YP_001223894.1</t>
  </si>
  <si>
    <t>single-strand DNA-binding protein</t>
  </si>
  <si>
    <t>MGVNSVTLVGRAGRDPEVRYFESGSMVANLTIAVNRRSRDDEPDWFNLEIWGKQAQVAADYVKKGSLLGIIGSFKLDRWTDRNSGEERSKPVVRVDRLELLGSKRDSEAAAGAFAGGGNFGGGSASDEDVPF</t>
  </si>
  <si>
    <t>YP_001225800.1</t>
  </si>
  <si>
    <t>transcription elongation factor NusA</t>
  </si>
  <si>
    <t>MALVLLPGLSNLIEDISEEKKLPPQVVEAALREALLKGYERYRRTLYLGVGEDPFDEEYFSNFDVALDLDEEGYRVLASKIIVDEVESEDHQIALAEVMQVADDAQSGDTVVLDVTPEKEDFGRMAAATTKQVLAQKLRDQQRRMIQEEFADLEDPVLTARVIRFERQSVIMAVSSGLGRPEVEAELPRRDQLPNDNYRANATFKVFLKEVSEVPRRGPQLFVSRANAGLVVYLFENEVPEIQEGSVRIVAVAREANPPSRSVGPRTKVAVDSIEREVDPVGACIGARGSRIQQVVNELRGEKIDVIRWSSDPGQYIANSLSPARVDVVRLVDPVGQHAHVLVPPDQLSLAIGREGQNVRLAARLTGWKIDIKNASEYDQASEDAVVAELIAQREQEEALQREAEERLAAEQAARAEEDARLRELYPLPEDEEEYGDETAEDVVMSEGEAADTSEVTPESSESAEDGAR</t>
  </si>
  <si>
    <t>YP_001225784.1</t>
  </si>
  <si>
    <t>DNA-directed RNA polymerase subunit gamma</t>
  </si>
  <si>
    <t>MTNSNLRTENHFDYVKITLASPDRVMEWGQRTLPNGQVVGEVTKPETINYRTLKPEMDGLFCEKIFGPSKDWECHCGKYKRVRHRGIVCERCGVEVTESRVRRHRMGFIKLAAPVSHVWYLKGIPSYVAILLDMPLRDVEQIVYFNCYVVLDPGDHKDLKYKQLLTEDEWLEIEDEIYAEDSEIENEPVVGIGAEALKQLLEDLTLDEVAEQLREEIAGSKGQKRAKLIKRLRVIDNFIATNARPEWMVLDVIPVIPPDLRPMVQLDGGRFATSDLNDLYRRVINRNNRLARLQEILAPEIIVRNEKRMLQEAVDALIDNGRRGRTVVGANNRPLKSLSDIIEGKQGRFRQNLLGKRVDYSGRSVIVVGPKLKMHQCGLPKEMAIELFQPFVIHRLIRQNIVNNIKAAKKLIQRADDEVMQVLQEVIDGHPIMLNRAPTLHRLGIQAFEPKLVDGRAIQLHPLVCPAFNADFDGDQMAVHVPLAIEAQTEARMLMLASNNILSPATGEPIITPSQDMVLGAYYLTALQPDVQPVDFGDRSRTFSDLEDVIHAFEDKRLGLHDWVWVRFNGEVEDDDEREEPVSSETLSDGTRFEQWTYRRDRFDDDGALISRYILTTVGRVVMNHTIIDAVAAT</t>
  </si>
  <si>
    <t>YP_001225487.1</t>
  </si>
  <si>
    <t>MPIGTPSVPYRLPGSQMERWVDIYTRLGVERILFLGSEVNDAVANSLVAQMLYLDSEDSGKPIYLYINSPGGSVTAGLAIYDTMKYVKSDVVTICVGLAASMGAFLLAAGTQGKRLALPHSRIMIHQPLGGTAQRQASDIEIEAQEILRMKEMLNRSMADMSGQSFEKIEKDTDRDYFLSSQEAMDYGLIDRVIAHPNEA</t>
  </si>
  <si>
    <t>YP_001224141.1</t>
  </si>
  <si>
    <t>30S ribosomal protein S5</t>
  </si>
  <si>
    <t>MTDSNPQTNPNDIPSAADVPAAAEGQQEQRRGGGGRGDRGDRRGGRRGDRRNQERDSEWQERVVQIRRVSKTVKGGKKMSFRAIVVVGNERGQVGVGVGKAGDVIGAVRKGVADGKKHLVKVPLTRHNSIPTLSNGRDGAASVLIRPAAPGTGVIAGGSIRTVLELAGIKNVLAKRLGSKTPLNNARAAMVALDSLRTHKETAKERGISLEQIYS</t>
  </si>
  <si>
    <t>YP_001226095.1</t>
  </si>
  <si>
    <t>50S ribosomal protein L10</t>
  </si>
  <si>
    <t>MGRTLESKQQIVEELKQLLGEAEMALVLDYQGLSIKEMSDLRTRLQAANGVCKVTKNTLMRRAIDGDSAWSNLDSLLTGTNAFVLVKGDVGGAVKAVQAFQKDTKKSETKGGLFEGKLLSQDEIKAIGDLPSKEALMAQIAGAINAVATKVAVGINEVPSGLARALKQHAESGEG</t>
  </si>
  <si>
    <t>YP_001224154.1</t>
  </si>
  <si>
    <t>50S ribosomal protein L2</t>
  </si>
  <si>
    <t>MAIRSFRPYTPGTRTRVVTDFSEVTGRKPERSLVVSKHRRKGRNNRGVITCRHRGGGHKRQYRVVDFRRNKHGVPAKVAAIHYDPHRNARLALLFYTDGEKRYILAPAGVTVGQTVISGPDAPIEDGNAMPLSSVPLGSSVHCVELYAGRGGQMVRTAGASAQVMAKEGDYVALKLPSTEVRLVRRECYATLGEVGNSEIRNTSLGKAGRRRWLGRRPQVRGSVMNPCDHPHGGGEGRAPIGRSGPVTPWGKPALGLKTRKRNKPSNKFVLRKRRKTSKRSRGGRDS</t>
  </si>
  <si>
    <t>YP_001225313.1</t>
  </si>
  <si>
    <t>hypothetical protein SynWH7803_1590</t>
  </si>
  <si>
    <t>aminoacyl-tRNA synthetase</t>
  </si>
  <si>
    <t>MASETPSEAKPSQADITVLGQEEVQNATPAPDPAPADVVDPAEAPAPVPAPAPELTSPSIAERVSVPATPPSGDTSEEGGEWDLLSTKVRQWWGEHDLADQWQRLRRPLLITAALIAFILVLRIYGGVLDAIATIPLAPRLFELVGVIYATWFAATRLVRSEERRKIGSGLGDLWSSVRGKSSS</t>
  </si>
  <si>
    <t>YP_001224140.1</t>
  </si>
  <si>
    <t>50S ribosomal protein L15</t>
  </si>
  <si>
    <t>MTLRLESLKSNKGARRRKLRKGRGIAAGQGASCGFGMRGQKSRSGRPTRPGFEGGQMPLYRRVPKLKHFPLVNPKQFTVVNVSALNDLKAGSTVSLDSLVKDGIVTSPKHPLKILGNGELKTKLTVQAAAFTASARTKIEAAGGTCELPE</t>
  </si>
  <si>
    <t>YP_001223755.1</t>
  </si>
  <si>
    <t>elongation factor P</t>
  </si>
  <si>
    <t>MISSNDFRTGTTIELDGAVWRVVEFLHVKPGKGSAFVRTKLKAVQSGNVVEKTFRAGEMLPQAILEKATLQHTYMEGEDYVFMDMGTYEETRLSAKQIGESRKYLKEGMEVNVVSWNDKPLEVELPNSVVLEIKETDPGVKGDTATGGTKPAILETGAQVMVPLFLSIGEKIKVDTRNDTYLGRENS</t>
  </si>
  <si>
    <t>YP_001224144.1</t>
  </si>
  <si>
    <t>30S ribosomal protein S8</t>
  </si>
  <si>
    <t>MANHDPISDMLTRIRNASEKRHQNTKVPASRMSRSIAKVLQQEGFIAEISEEGEGVHTNLVLELKYSGKHRLPTIRSMQRVSKPGLRIYKNTRGLPKVLGGLGVAIISTSKGVMSDRDARKQGVGGEVLCYVY</t>
  </si>
  <si>
    <t>YP_001224133.1</t>
  </si>
  <si>
    <t>50S ribosomal protein L17</t>
  </si>
  <si>
    <t>MRHQCRVPQLGRPADQRKAMLRGLTTQLIREGRVTTTKARAKALRDEAERMITLAKEGSLASRRRVLGYVYDKQLVHALFEKAPDRYSDRKGGYTRITRTVRRRGDNAEMAIIELV</t>
  </si>
  <si>
    <t>YP_001225690.1</t>
  </si>
  <si>
    <t>50S ribosomal protein L21</t>
  </si>
  <si>
    <t>MAETSTSQSAAPDTGTYAIVEASGQQFWLQPNRYYDLDRLQADVDATVTLDNVLLVKDATGTTLGKPYVKDASVELKVMAHRRGPKVIVYKMRPKKKTRRKNGHRQELTRVMVQSISVGGKSIS</t>
  </si>
  <si>
    <t>YP_001224153.1</t>
  </si>
  <si>
    <t>30S ribosomal protein S19</t>
  </si>
  <si>
    <t>MGRSLKKGPFIADSLLRKVEKQNAADDKSVIKTWSRASTILPMMIGHTIAVHNGKTHVPVFVTEQMVGHKLGEFAPTRTFKGHIKDKKGGR</t>
  </si>
  <si>
    <t>YP_001224152.1</t>
  </si>
  <si>
    <t>50S ribosomal protein L22</t>
  </si>
  <si>
    <t>MTTSSPTATTAQAHGRFIRGSVSKVRRVLDQIRGRTYRDALIMLEFMPYRSTGPITKVLRSAVANAEHNLGLDPSTLVISQASADMGPSMKRYRPRAQGRAYAIKKQTCHISIAVASQTDS</t>
  </si>
  <si>
    <t>YP_001225557.1</t>
  </si>
  <si>
    <t>50S ribosomal protein L19</t>
  </si>
  <si>
    <t>MAADPNDTSAKESATATTDGAVETSGADTAVADETKASTPTVSSVRLKPAELIREFETAQLKTDLPEIYVGDTVRVGVRISEGNKERVQPYEGVVIAKRHGGLNQTITVRRIFQGIGVERVFMLHSPQVASIKVERRGKVRRAKLFYLRERVGKATRVKQRFDR</t>
  </si>
  <si>
    <t>YP_001225453.1</t>
  </si>
  <si>
    <t>30S ribosomal protein S16</t>
  </si>
  <si>
    <t>MIKLRLKRFGKKREASFRLVACNSTSRRDGRPLQELGFYNPRTKETRLDAEALRQRLSQGAQPTDAVRTLLEKGGLIEKTVRPAEIVGKLKQAAKREADAKQAAKEAAEAKAAAEAEAKAAAEAESADAGAEEAPAEA</t>
  </si>
  <si>
    <t>YP_001224260.1</t>
  </si>
  <si>
    <t>putative enolase-phosphatase E-1</t>
  </si>
  <si>
    <t>MIKAIVLDIEGTTCPVTFVSQTLFPFARRQLSKTICSENRPSNVTAAIEEAIAEWKNDPESKSQALLLRASNQNQPTSEDIIHYFDHLIQNDRKSTALKELQGIIWEQGYAAGELQSPLYGDVVPALNAWTQQGITLAVYSSGSVKAQQLLYAHTTDGDITNRFSQWFDTRTGPKLNADSYRIISQSIGLKPASILFVSDHPRECDAAAEAGMETRFCLREGNPFSDGGDHQMIHNLGEIKL</t>
  </si>
  <si>
    <t>YP_001223790.1</t>
  </si>
  <si>
    <t>monoamine oxidase</t>
  </si>
  <si>
    <t>MSPSTPPTDLQPTLARLLAGVSSHLGEAQALELLRHLGGHPTDVDHGAPPEGLSPADPDATVVVVGAGIAGLVLAYELAERGQRVELWEAADRPGGRNFTVRPGDVIEEQGHPSQVCALPEGAYFNAGPGRISHHHRAVLHYCRRFQLRLRPHLSLNRGALLHRWLPEVDRDVVVRHRQVQFDGQGRLAELAAKAGPWLDAESALTAEQTDACCDWLRETCDLQIDGSKGQARYRASGRQGYAKPRGGPAEPGTPQPTLTLEQILGLRLWLEDPHRGPDVIDEQMSMFELEGGTDGLVKALVSRLGDRLHLGRRLTAVRRLPDGGVALEGEEHQDGAVRPLRREAARVVLALQPQAMQGLQLDLPDRVLEGLADLPARFAVKVGGWMQRRFWEEDLAIYGGISFTNLPIQQIWYPNDGFHDPRGGLLVMAYAAFDHGEALGTLAPTLRCRAAVELACRVHPEIREALDPASLLTIAWQNVPHIRSPWVAWTPESYQRWFPLLSTPCGPIAFAGDWCSHLPAWQEGAIRSAYALLPWALSA</t>
  </si>
  <si>
    <t>YP_001225131.1</t>
  </si>
  <si>
    <t>homoserine O-succinyltransferase</t>
  </si>
  <si>
    <t>MALILPPNYHKITAVERNRISWIEPKEAERQDIRPLRIGILNIMPLGKQYEFNLLHPLGLSVLQIEPIWIRLQTHAYKSWDQSHLNDLYVSWEEALSQGPLDGLIITGAPVEHLAFEDVTYWKELVAVVEEARQTCASTLGLCWAGFALAYLAGVNKTAFKRKLFGVYPLRSLVPGHSLMGTQDDQFLCPQSRHAGLPDAAMESAQRQGRLRLLAHGESVGYTIFETPDQRQLMHLGHPEYNVGRIIAEMERDKARGDVPPPENFNADHPRTLWRSHRNLLFQQWLWFCYQRVSLQG</t>
  </si>
  <si>
    <t>YP_001225497.1</t>
  </si>
  <si>
    <t>imidazole glycerol phosphate synthase subunit HisF</t>
  </si>
  <si>
    <t>MVALRLIPCLDVAAGRVVKGINFVGLRDAGDPVELACRYSQAGADELVFLDIAASHEGRATLVDLVKRTSEQVTIPFTVGGGIGSVEGITELLRAGADKVSLNSSAVRRPELVQEGAQRFGCQCIVVAIDARRRDGGGWDVYVKGGRENTGLDAVDWAREVARLGAGEILLTSMDGDGTQAGYDLDLTRAVAQAVPVPVIASGGAGTLDHIAEALDQGPSGGHASAALLASLLHDGVLTVQEIKNDLLHRGLAIRPPEGAGDT</t>
  </si>
  <si>
    <t>YP_001224296.1</t>
  </si>
  <si>
    <t>pyrroline-5-carboxylate reductase</t>
  </si>
  <si>
    <t>MSFAVGVIGMGRMAQALVRPLVEGGSLRGSDLIAVVGREPSVAHLQSQLQSEITVISSSDPRMHEAWEAPVQLLAVKPQQLDQVAASVPTPPAGAAPLLISVLAGVTLERLQSTFPGRVCVRAVPNTPCLVAEGLCGLAWGCDVTSEQQAWVRRMFEPVSEVLELPESQLDAFLALTSSGPAYVALMAEAMADGAVAAGLPRDQALRLAQRTLAGTAALLDQQQLHPAQLKDMVASPGGTTIAALRVLEKAGLRSALIEAVVAATERGRALR</t>
  </si>
  <si>
    <t>YP_001224755.1</t>
  </si>
  <si>
    <t>3-phosphoshikimate 1-carboxyvinyltransferase</t>
  </si>
  <si>
    <t>MTGSTAAARELKAGGSLKGAVRVPGDKSISHRALLFGAIADGVTTIEGLLPAEDPISTAACLRAMGAEISPIGEGDLIRVTGVGLDGLQEPDTVLDCGNSGTTMRLMLGLLAGRDGRHFVLTGDASLRRRPMQRVGQPLAMLGAEVRGRGDGNYAPLAVQGRRLRGAVVGTPVASAQVKSALLLAALTADGPTTVIEPAPSRDHSERMLKAFGADLTVGGEMGRHISVKPGARLQGQHVVVPGDISSAAFWLVAGALVPGADLTVENVGLNPTRTGVLDVLEQMGAKIEVLNRRDVAGEPVGDLHVTSGPLQPFRFGEEIMPRLVDEVPILTVAACFCEGESHISGAAELRVKETDRLAVMARQLKTMGADLDETPDGLVIRGGRPLRGAALDSETDHRVAMSLAVASLLASGDSTLERSDAAAVSYPSFWDDLARLRI</t>
  </si>
  <si>
    <t>YP_001224310.1</t>
  </si>
  <si>
    <t>metC/metB cystathionine beta-lyase/cystathioninegamma-synthase</t>
  </si>
  <si>
    <t>MAAERIHLLQHPATAPADATLAIHHGESFADGTGTVMPPIYATSTFAHGNPGGFDYTRSGNPNFRILEGVLASVERCDHATVFGSGVSAITAIASTLQQGDLVLCEENLYGCTVRLFEQVFAKFGVRTEWVDFTDPSALTAIVERQPAMVWLESPTNPLLKVIDLEAVCSAARGAEVPVVVDNTFATALVQRPLQLGATLSLTSTTKYINGHSDALGGAVCTDAPDWHARMVFAQKALGLMPSPFDCWLITRGIKTLPLRLRQQIENAAVLANHLAEHPQVDWVRYPHRADHPQQAVALRQMQGGGAIVTIGLNTSREQAYAVCKALRWFTMAESLGGVESLICHPATMTHAAVSPEVKSKLGITDGLIRLSVGCEDVADLITDLDQALATLS</t>
  </si>
  <si>
    <t>YP_001226109.1</t>
  </si>
  <si>
    <t>glycine/D-amino acid oxidase family protein</t>
  </si>
  <si>
    <t>MTALRPPATDAALILGGGLMGLAIAHQLARRDHPVCVISRRRGEAAGFVAAGMLAPHAEGLSSDQLRFGQLSLERVPSWVAQIEADSGLPCGLRSTGIVVPFSSSDQRDRYPTAAFGTALNRQQLEREVPGIAPTWQAGLLFEQDGQIDNRRQLMRSLESACVERGVQFLEGVEVLDLLQSGNQRITARIRDAEGTVTERNSAIAVLCSGAWSSQLLPQLPIFPVKGQMLSLQAPRGALKRVIFGPGTYLVPREDGLVVVGATSERDAGFAEGLTPQGQSTLKQGIASLLPEASGWPPMERWWGFRPCTPDEGPLLGRGPLSGLWLACGHHRNGVLMAAATAEAIADCVSQGHARDDLERLLPCFQWQRFDAGVS</t>
  </si>
  <si>
    <t>YP_001224945.1</t>
  </si>
  <si>
    <t>threonine dehydratase</t>
  </si>
  <si>
    <t>MDDYLQRILRARVYDVARETPLDVASNLSRRLANTVRLKREDLQPVFSFKLRGAYNRMAQLSQEELSRGVIASSAGNHAQGVALSASHLHCRAVIVMPVTTPSVKVEAVKQLGGEVVLHGETYDEAYAEACRRSENEHLCFIHPFDDPDVIAGQGTVGMEILRQSPRPPDAIYIAIGGGGLIGGIAAYVKTLWPDVQIIGVEPHDAAAMTLSLEAGERIRLPQVGLFADGVAVREVGEHTFRLVQRYVDSIVTVSTDEICAAIKDVFEDTRSILEPAGALAVAGLKADVARRGLKDQHLVAVACGANMNFDRLRFVAERAELGEEREAMLAVEIPEQPGSLRRLCELLHKRSLTEFSYRMGAGETAQIFMGIQVADLQDRSDLLAYLRSHGYECLDLSDDELAKVHLRHMVGGRLPMRVDPANQQPQELLYRFEFPERPGALMRFVSALHADWSISIFHYRNHGADVGRIVVGVLVKPDELQDWQVVLRELGYASWEETSNPAYRLFLGA</t>
  </si>
  <si>
    <t>YP_001225811.1</t>
  </si>
  <si>
    <t>aspartoacylase</t>
  </si>
  <si>
    <t>MVAGTHGNEINGPWLLDQWRQHPNFVDSKGLDVQLAIGNPAACAQGRRYLDRDLNRSFRSDLLERASTVPAEADREMLQALALLQQFGPEGQTPCDLVVDLHSTTSAMGNCLVVYGRRPVDLALAALVQHRLGLPIYLHEADAAQQGFLAERWPCGLVIEVGPVPQNVRRSDIVLQTRLALEALMAAITSVRDGTARYPDQVVIHRHLGSLDVPRRRSGDPDALVHPNLQGRDWQPLKAGDPLFINAESKAAVFEGEDGLIPVFINEAAYAEKAIALSFTKREAWPLPKDWKEALANLLG</t>
  </si>
  <si>
    <t>YP_001225788.1</t>
  </si>
  <si>
    <t>histidinol dehydrogenase</t>
  </si>
  <si>
    <t>MHDQTLNAPSSPPPSSEASVIHRIDAVDAAEQRLDQIATRTAGQSQRKAANSVDSILDQVRKDGDQALMALTQQFDGFVPDPLQVPCTDLQDAWDATPANLRDALELAHRRIQDFHQRQKPLDLDVKGVHGERLGRRWRPVQAAGLYVPGGRASYPSTVLMNAVPARAAGVERLVMVTPGGSDGTVNRTVLAAAHLAGVREVYRIGGAQAIAALAYGTQTIPRVDVISGPGNIYVTLAKKAVYGQVGIDSLAGPSEVLVIADASANVTQVAADLLAQAEHDPLAAAILLTTAPSLAEALPAELEQQLQKHPREAICRQSLQEWGLVVVCDNLETCAALSDRFAPEHLELLVERPRMLADRIQQAGAIFIGPWSPEAVGDYLAGPNHTLPTCGAARYSGALSVETFMRHTSLIEFSREALDATGGAVVELAGSEGLHSHANSVKVRLR</t>
  </si>
  <si>
    <t>YP_001225612.1</t>
  </si>
  <si>
    <t>aspartate/tyrosine/aromatic aminotransferase</t>
  </si>
  <si>
    <t>MLTSERLARLGSGVFDRNDRRKAQYCLGDRHPQQPLIDLSLGSTDLAPPAEVIAAMATALQEPVSASYCLHAGTEAFRHAAAAWCERRFGVAVDAETEVLLLVGSQEGTAHLPMAVLDPGDSALILDPSYPSHRGGLELADARIHTLPLQAERGWAPDFSALTTEQWRQLRLMVLGFPHNPTACTGDQTWLDEAMAHCHRHDLVLAHDNPYVDLALEGEAPALLRCPHWKERGIEFFSLSKGWCLGGFRLAFAVGAAPLISALRQLKGVVDFNQCRALQQGAVLALDRHADWPGSLRPVYRQRRDRMLSALAGIGWSVPEPSMALYLWMPLPPWVHSRGWSDERLAAEVLEHCGVALTPGSGFGTAGAGWLRLALVRPVMELEAAVDRLAPWWALQS</t>
  </si>
  <si>
    <t>YP_001225870.1</t>
  </si>
  <si>
    <t>selenocysteine lyase</t>
  </si>
  <si>
    <t>MTTLSRDVGVTLAERTRSDFPILDQLDSQGGPLVYLDHAATSQKPQAVLDALRGYYSNDNANVHRGAHQLSARATEAFEGARAAVARFVGAAGPDEVVFTRNATEAINLVARTWGDANLQAGDEVLLSVMEHHSNLVPWQQLAQRTGCVLRHVGITESGELDLDDLRQQLNKRTRLVSLVHISNTLGCRNPVEEIAALAHGVGALMLVDACQSLAHQSTDVNQLGVDFLVGSSHKLCGPTGMGFLWARKDLLDAMPPFLGGGEMIQDVFLDHSTWAALPHKFEAGTPAIGEAVGMGAAITYLEALGLEQIAAWEAQLTRYLFQQLDSIEGLRILGPTPEQQPGRGALATFLVDGVHANDIASMLDLAGICIRSGHHCCQPLHRHFKVTGSARASLSFTTTFEEIDRFAAELQGVIAFFREHG</t>
  </si>
  <si>
    <t>YP_001224877.1</t>
  </si>
  <si>
    <t>gamma-glutamyl kinase</t>
  </si>
  <si>
    <t>MMLRVVKVGTSLLRERPNATTGDAIARLANSLAESIHNGDQVVLVTSGAVGLGCQRLGMPHRPTSVSGLQAAAAIGQGHLMSLYEKALAQRSVPVAQVLLTRSDLADRRSYHNASATLHQLLQWGVLPVVNENDTVSSAELRFGDNDTLSALVAAAVGADELILLTDVDRLYTADPRSDSAATPITDVLHPSEIAELEEGAGDGGRWGTGGMTTKLAAARIATASGITVHLGDGRNPEGLRQILQGGRGGTVFHPHPEPLGNRKSWLVHALQPTGSLSIDSGACRAVRQRGASLLLVGITAVEGQFSANQAVRVLDPDGQEIARGLTSMDSEQLAFRLNQTSKPGTLGGSPVVIHRDAMVLITPTIRQPAS</t>
  </si>
  <si>
    <t>YP_001224098.1</t>
  </si>
  <si>
    <t>prephenate dehydratase</t>
  </si>
  <si>
    <t>MRLAFLGPEGTYGERAAREMLTLEGIPDGELVACTGLRAVVEHVADGRCDGAVVPVENSVEGGVTASLDALWSHRDLSIRRAVVLPIRHALLSSGSLQDIKEVLSHPQALAQCSGWLATHLPGALQLPTSSTAEAARMVRGSRFRAAIADRAVGERLELQQLAFPVNDVAANCTRFLLLQRGKRLREGDVASLAFSLHRNAPGALIEALQAIAGLGLNMSRIESRPSKRELGEYVFFVDVELPKGKASEILDALEAHLQPLCEHLSQFGAYPSSDLT</t>
  </si>
  <si>
    <t>YP_001226006.1</t>
  </si>
  <si>
    <t>5-10-methylenetetrahydrofolate reductase</t>
  </si>
  <si>
    <t>MSSALQRSLEAGSITITAEVMPPRGGDPAHTIAMAECLRGRVQAINVTDGSRAVMRMCSLAVCRLLLDHGLEPVLQMAGRDRNRIALQADLLGAHALGIRNVLCLTGDPVRAGDQASVRSVHELESVRLLQQVSAFNRGEDPVKDRLVDGPTNLFAGTAADPHCASWSGLSRRLARKREAGARFVQTQMVMDPHALERFCRDLADPLELPVLAGVFLLKSARNARFINRMVPGACIPDHLIDRLDQAKDPMAEGIAIAAEQVRQFTGIAQGVHLMAVKAEQRIPEVLDRAGVSLPVQ</t>
  </si>
  <si>
    <t>YP_001226106.1</t>
  </si>
  <si>
    <t>bifunctional ornithine acetyltransferase/N-acetylglutamate synthase protein</t>
  </si>
  <si>
    <t>MVRRQDAFSVSRTAVVDAARRVSSDWLPVAGGVTAPTGFQASGITAGLKASAKPDLALVLAPEGAVCAGAFTRSVVRAACVDLCAERLQDGGGQARAVLINSGQANACTGDRGLIDSQRATQALADRLGVDGEAVLICSTGVIGVPIPMEVLLAGLDPLVDGLSPEGGSAAAQAILTTDLVEKQIAFEAELAGRTVRIGGMAKGSGMIHPDMATMLGTISCDVAVPPLTWKAMVQRAVERSFNAITVDGDTSTNDTVLAFCAGESLPEFCEDKLEEGLTLVAQHLARAIARDGEGATCLIEVQVEGASTEAGALQMARTICGSSLVKTAVHGRDPNWGRIVAAAGRSGVAFEADAVALWIGPHQLMAAGQPLVFDRSAASAYLSERAYGRYLVDDSVQIRLVVGSGSGEGRAWGCDLSDQYVRINADYTT</t>
  </si>
  <si>
    <t>YP_001224589.1</t>
  </si>
  <si>
    <t>gamma-glutamyltranspeptidase</t>
  </si>
  <si>
    <t>MVRSCNRSLPTTLSSAGARLGWSLFRSRPTLMIGALLLLLSLSPVSAAPVSRDDPEQADTRKSRISTAAGSAVVVTANPLASKAALNVLASGGHAVDALVAAQAVLAVAEPQSSGLGGGGFLLHWDARRQALEVFDGRETAPERSRSDDLLKPSGDPLSYRAATRNPDAIGIPGTVALLWEAHQQMGQRPWSSTLQPAIRLAREGFLPSPRLRSSVALAQRLGATHNLAFQQLYLPGGKPLPAGRLFRNPALARTLETLAQHGGRAFYEGPLAQRIQSGVNALTAQAPNFKGWSANDLASYAVVRRSPLCRVLMKHRVCTVPPPSSGGLAVLQTLALLEATGGFNDPDNPQSWRDLALAESWADADRLYWVHDPIDGSVPTQGLLNPSYVQARAQAMQASPGRLPQPGLPPGLKRFPFGRPGPGPELGTSHVTIVDGAGNIASYTTTVETVFGSRNLVEGMVMNNQLTDFDWRPVVGGLAVANRRRPGRRPVSSMAPTIVFNNQQPVLALGSPGGKRIPHFISRVLLAALQWAEPPKRSVGLPLLSPQGDSLVIEKDPPLPWPINPNQLNVPGRKLRSQTLGSGIGLLQRIGDRWHGAADPRREGTALALP</t>
  </si>
  <si>
    <t>YP_001225147.1</t>
  </si>
  <si>
    <r>
      <rPr>
        <b/>
        <sz val="11"/>
        <color theme="1"/>
        <rFont val="Calibri"/>
        <family val="2"/>
        <scheme val="minor"/>
      </rPr>
      <t>choline</t>
    </r>
    <r>
      <rPr>
        <sz val="11"/>
        <color theme="1"/>
        <rFont val="Calibri"/>
        <family val="2"/>
        <scheme val="minor"/>
      </rPr>
      <t xml:space="preserve"> dehydrogenase</t>
    </r>
  </si>
  <si>
    <t>MPHHPFEAIVIGSGATGGVAAMTLAEAGVRVLVVEAGPDRSPEQARGSEPANSLRRAEGLLSGRHQRQAQHPGYWKQNPALYADEYQDPYCTPADQPFLWTQGRQVGGRSLTWGGITLRLSDFDFKAAEFDGYGQSWPIGHGDLDPHYSALERLFQVKGNRDGLQHLPDGQLESPLPFLPEEEHFRNLLLRDRDVALIHSRGFAASPPGSASRWPMSSSNGSTLRRALATGRVEVLSGCMAVNLLLHPGQDKARAVVVVDRSSGEQRLLEAELIVVCASTIASLRLLLQSEHSHNSRGFHDSSGLLGQGLMDHVSCCRFFSVPSLSGRTAMQERDPSSVLSGAGSFFLPFGNDPAHCKGRSFLRGYGLWGAINRFDPPWWLKRQPDQRLGFLIGHGEVLASKTNRVTLSDRCDPLGVPMPMISCRWGANEKAMVTHMQDTILDCIGVAGGTPASLPDLLHFPFVEPFVRGALAVQDDAPPPGYYIHEVGGAPMGLCEDTSVVDPYNRLWRCRNVLVVDGACWPSSAWQSPTLTMMAVTRRACLEALRPANDCG</t>
  </si>
  <si>
    <t>YP_001224272.1</t>
  </si>
  <si>
    <t>3-dehydroquinate dehydratase</t>
  </si>
  <si>
    <t>MRLLLLNGPNINLLGQREPGLYGHQTLSDIELRLRDRASEAEVQLETFQSNFEGALVERVHQAMGSVDGILINAGAYTHTSIALRDALLGVAIPFVEVHLSNIHARESFRHHSHLADRALGVVCGFGAFSYDMAFDGLVNHLRGVEA</t>
  </si>
  <si>
    <t>YP_001225957.1</t>
  </si>
  <si>
    <t>cysteine synthase</t>
  </si>
  <si>
    <t>MAIAPDITALVGCTPMVRLNRLPKAWGCTAEIVAKLESFNPTASVKDRIAGAMVEAAESAGTIAPERTVLVEPTSGNTGIALAMVAAARGYRLILTMPDTMSTERRAMLRAYGAELQLTPGMEGMQGAIERARELVDEIPGAYLLQQFDNPANPAVHAASTAEEIWADTEGSLDAVVAGVGTGGTITGCARVLKERQPKLSVVAVEPAASPVLAGGVAGPHRLQGIGAGFIPPVLEMDLIDEIIAVSDDEAMDVGRRLAREEGLLCGVSSGAAVAAALRLGQRPAMEGRRIVVILASFGERYLSTPMFSTAAPLPARRDAQL</t>
  </si>
  <si>
    <t>YP_001224986.1</t>
  </si>
  <si>
    <t>cysteine desulfurase</t>
  </si>
  <si>
    <t>MDKADARPIYLDACATTPLRPGVQQRMVAVQNQAWGNPSSLHCFGIAAAEALERTRVEIASLLGAEANEVLITSGATESIHLGLRGLASSLPPGRIVISAVEHPAVTAAAQALTPLGWQVCMAPVDAQGTIQLDRFAELLQPPTRLVSVIWGQSEVGTLQPIQTIGALCRQHGIPLHTDATQVISQALPDWSTLPVDLLTASAHKCGGPRGVGLLLVRGAWKQQLTALLTGGGQESNLRSGTESAVLLAGMAEALSQIQRCGVDALSNSGNGIRRLRDALELQLGQRFGVATIGQPDQRLPHHLALLLRDRSGQPLSGRRMVRVLDREGLAVSSGSACSSGRDTDSSVLTAMGLPREMRRSSLRLSLGFWNSDDQIESIVERFERALLTCSEA</t>
  </si>
  <si>
    <t>YP_001224455.1</t>
  </si>
  <si>
    <t>tryptophan synthase subunit alpha</t>
  </si>
  <si>
    <t>MQPSSRIAEVFAQTAREQRLALMPFIVAGDPNLETTADILLSLQSNGADVVELGIPYSDPLADGPVIQSAAYRALAQNTTPSNVLTMLRGLRDRLTMPVVLFTYSNPLLNRGAEAFFAEAADAGVAGLVVPDLPLEEAERLSPLAAEQGLDLVLLVAPTTPGDRRRRIATSSRGFTYLVSVTGVTGERASLQDRVAELVLSLKGLEAGPVAVGFGISGADQVRQVREWGADGAIIGSALVKRIAAAQPGCAAAEAGEFCRELRKAAG</t>
  </si>
  <si>
    <t>YP_001226054.1</t>
  </si>
  <si>
    <t>histidinol-phosphate aminotransferase</t>
  </si>
  <si>
    <t>MTGSTPPFPPPDSRPEVERLKGYSAPLEGRRGLLRLDFNENTLGPSPKVVEAIRSFPEELIAVYPEYDGLREALIANLKASKASLAHPLDPQQVGVFNGVDAAIHAVIHAYGSPGDTLLTTSPTFGYYAPCAAMQGMALEAIPHGMPGFVVPLDALRTALARKPRILMLCNPNNPTGARLAADQVLALAASAPDTLVVVDELYEAFTGDSVLPVVDFQTQANVLVLRSLAKTAGLAGLRLGFAIGHPGVVDRVGRVTGPYDVNSLAVAAAFAALEDQAYTDHYVREVLRARDWLVSVLTRSRVVFHCDGGNYLLVWPERPADAVEQALRSQGILVRSMTGKPQLEGALRVSIGTLEQMQRFWRAYSSICA</t>
  </si>
  <si>
    <t>YP_001224081.1</t>
  </si>
  <si>
    <t>chorismate synthase</t>
  </si>
  <si>
    <t>MGSSFGTLFRISTFGESHGGGVGVILEGCPPRLELDPLAIQAELDRRRPGQSKITTPRKEADQVEILSGVMDGLTLGTPIAMVVRNKDQRPQDYKEVEVAFRPSHADATYQAKYGIQARSGGGRASARETIGRVAAGAIARQMLQRSHGTDVVAWVKRIHDLEAQVDASTVTREAVDANIVRCPDAEMADRMIDRIEAIGQDGDSCGGVIECVVRRPPVGLGMPVFDKLEADLAKAVMSLPATKGFEIGSGFAGTLLRGSEHNDAFLPSDDGRLRTASNNSGGIQGGISNGEPIVIRVAFKPTATIRKEQQTINDRGEATTLAAKGRHDPCVLPRAVPMVEAMVNLVLADHLLRQQGQCSLW</t>
  </si>
  <si>
    <t>YP_001223736.1</t>
  </si>
  <si>
    <t>argininosuccinate lyase</t>
  </si>
  <si>
    <t>MAGGVTGGGSATWSDRFEQGLHPAIERFNASIGFDITLLQEDLDGSMAHARMLAQCGVISEAEADQLCGGLEQIRAEAAEGRFQPGLDDEDVHFAVERRLIALLGPVGKKLHTGRSRNDQVGTDLRLWLRRRIDELIPQVKTFQRALLRQALSHRRTLIPGYTHLQRAQPVCLAHHLLAYVEMLERDRQRLEDVRKRVNVSPLGAAALAGTPVPIDRRSTAAALGFDGLYANSLDAVSDRDFAVEFSAAISLVMVHLSRLGEEVIFWASEECGFVRLSDRCATGSSLMPQKKNPDVPELVRGKCGRVFGHLQGLLTMIKGLPLAYNKDFQEDKEALFDVVSTGSQCLEAMTILMDEGLSFREDRLEAAVAADFSNATDVADYLVARQVPFREAYQIVGSVVKQCLSEGVLLRDLSLERWQSFHPAIESDLYDALAPRQVVAARTSEGGTGFDRVEEQLSAWSERLDLANG</t>
  </si>
  <si>
    <t>YP_001225148.1</t>
  </si>
  <si>
    <t>L-asparaginase II</t>
  </si>
  <si>
    <t>MPLPSGYRGSARAPVIPPLNVQLRRGASIESSHRVHVVVCDSRGRVLMRAGEPDHETFVRSALKPFQALPLLSSGASEAYSCGERGIAISCASHAGTPSHAREAFRLLWNAELESDHLQCPIPVGARSPLEHNCSGKHAGFLITAKKMGWPLDTYLRGDHPVQQEVNRRVAELLGLPAEELVAERDDCGAPTLRLQLAQIGLLYAHLGASTHAEMEQISRAMLAHPELVAGEGRFDTELMRRSHNQVISKGGAEGVQCLSRTGDGLGVAIKVVDGARRAKQAVALHVLRQLDWLTPAGLQELEEQLLVLNPGVHLAVEGELR</t>
  </si>
  <si>
    <t>YP_001224418.1</t>
  </si>
  <si>
    <t>ATP phosphoribosyltransferase catalytic subunit</t>
  </si>
  <si>
    <t>MITVALAKGALLRESVERFQAAGLDFSAVLDPDNRQLMVPSTCGRARALLVRNGDVPVYVAYGQAQLGIVGYDVLREHQMPVAHLVDLGFGGCRMSVAVKNTSGYTRATDLPPHCRVASKFTRCARQYFDSIDLPVELVHLTGSVELGPITGIAEAIVDLVATGRTLRDNGLVAIEDLFHTTARLVGHPLALRLDQGELQSIIDVMQRSPHDAVGVN</t>
  </si>
  <si>
    <t>YP_001226112.1</t>
  </si>
  <si>
    <t>arginine decarboxylase</t>
  </si>
  <si>
    <t>MAHTSTAGPWTVQDGADLYGLDRWGDPYFSTNSRGHITVQPQGERGGSIDLIELVEGLQARDLGLPLLIRFDDILEDRLERLHAAFDRAIAHYGYAGRYQGVFPVKCNQQRHVVERIVESGQRWHFGLEAGSKAELLIALSLLNDPDALLICNGYKDQRYLETAILARKLGRQPVVVIEQPDEVERIIRASDHLGAAPMIGIRARLSTRSTGRWGSSVGDRAKFGLSIPELLDTTEALRNAGLLKELRLLHFHIGSQINDIAVLKDALQEAGQIYGELHRLGAPMGFLDVGGGLGVDYDGSRSATAASTNYSLQNYANDVVATVKECCEPSGVPVPTLVSESGRALASHFSVLVFDILGTGAAPDERPEPMDDDPLILRNLHETFDGITTANLQEAWNDVLKFKGDALSAFRLGYLSLPERARAEQLAWACARRISRLLPADDSSPEELRNLRASLASTYYGNFSVFRSAPDTWAIDQLFPVMPIHRLDEQPNQLGSIADLTCDSDGKLARFIQGGQSKPLLELHSPKPDQPYLIGLFLAGAYQEVMGNLHNLFGSTNAVHIRLAPGGGYLLDHVVRGDTNSDVLEAMEHDPDLMLERLRLASEEAIREQRLSVNDARLLISHVASSLQQATYLQG</t>
  </si>
  <si>
    <t>YP_001224451.1</t>
  </si>
  <si>
    <r>
      <t xml:space="preserve">flavoprotein related to </t>
    </r>
    <r>
      <rPr>
        <b/>
        <sz val="11"/>
        <color theme="1"/>
        <rFont val="Calibri"/>
        <family val="2"/>
        <scheme val="minor"/>
      </rPr>
      <t>choline</t>
    </r>
    <r>
      <rPr>
        <sz val="11"/>
        <color theme="1"/>
        <rFont val="Calibri"/>
        <family val="2"/>
        <scheme val="minor"/>
      </rPr>
      <t xml:space="preserve"> dehydrogenase</t>
    </r>
  </si>
  <si>
    <t>MDFATCSAQRQTPMEPQGDHFNVVIIGSGAGGGSLARALADAGHSILILERGGWLPREPQNWDPVEVFQKDRYVSTDPWLDKNGKEFQPGSHYFVGGASKMYGAAHFRLRERDFESVIHVDGESPEWPLKYDVFEPYYRKAEEWYHVHGERGEDPTEPPASSPYPYAPISHEPRMQKLVTDLRSAGLHPFHAPTGVAMNELDPAFSACVRCNRCDGFPCLVHAKGDAEVMGVRPALDHDNVFLLTEAEVCKLKTDASGREITEVVVNHRGEERRFRGDIVVISAGAANSARLLLMSANDAHPKGLANSSDQVGRNYMFHNCKAVVALAHEPNTTIFQKTVAVNDWYFGDNAFDYPMGNVQMTGKTNGAMIKGYKPRLTALAPTWSMDRIAEHSLDFWLQTEDLPCPDNRVTVDAHGQIKLSYTMTNNRASQELINRLEGLLDKLYLQNHLAERQVYFASSMDIAAVGHQMGTCRFGTDPATSVLDLNCRTHDVDNLYVVDTSFFPSSSAVNPSLTAIANAIRVGDHLKERLG</t>
  </si>
  <si>
    <t>YP_001226110.1</t>
  </si>
  <si>
    <t>glutamine synthetase III</t>
  </si>
  <si>
    <t>MSDHGSHALQPWLKRVAITWVNHAGASLVKVVPRRHLDTAADLGVGFSPVADAFRVDGCIAAAHRCARPDEDLRLHAVAEALVPLEPDRGWAWAPGERRWRDGRAYEADQRSFCRLQQDRLQQQGLTLQAGFELEWMVLSAEGGAPGSPAFPGGPYGADRLVEGLDYASEICDALDAAGLDWLQFHPEYGASQFELSLAHGSAVEAADRLVLARLVIQRVSRRLGLRCSFTPKLTTDQVGNGGHVHFSLLRHGQPVLQGGDGPGGVSPEGAALIAGVLHHLPALLPIACPLSASYARLAPSSWSAPYQVWGIENREAALRLVPTSLDQVPAHLELKVADLGANPYLLLGALQVLALAALSDVVPLPAPVRGDPARADGSTAAHARLPQSLAEGRAALASSAVLSAAMGELLHGSVLDSIDAEIERCAGWPAEQVIASTRWWPLVGDLS</t>
  </si>
  <si>
    <t>YP_001225152.1</t>
  </si>
  <si>
    <t>carbamoyl phosphate synthase large subunit</t>
  </si>
  <si>
    <t>MPRRNDLQRILLLGSGPIVIGQACEFDYSGTQACKALRAEGYEVVLVNSNPASIMTDPEMADRTYVEPLTPEVVTRVIERERPDALLPTMGGQTALNLAVALAENGTLERFGIELIGADLKAIRKAEDRQLFKQAMERIGVKVCPSGIASSMDEAKAVGDSIGSFPRIIRPAFTLGGSGGGIAYNPEEFDAICKSGLDASPVSQILIEKSLIGWKEFELEVMRDLADNVVIVCSIENLDPMGVHTGDSITVAPAQTLTDREYQRLRDQSIAIIREIGVATGGSNIQFAINPADGEVVVIEMNPRVSRSSALASKATGFPIAKIAAKLAVGYTLDEILNDITGKTPACFEPTIDYVVTKVPRFAFEKFRGSPAVLTTAMKSVGEAMAIGRSFEESFQKALRSLETGLSGWGGDRPEPTVQPAELERSLRTPSPERILSVRAAMIAGRSDTEIHALSNIDPWFLAKLRQLIDAEKRLLHGKRLDQLSGDALLELKQLGFSDRQIAWQTSSDELAVRQRRSSLAVLPVFKTVDTCAAEFASSTPYHYSTYERPVAQITASGDLTIQAPASEVTSDPRRKLMILGGGPNRIGQGIEFDYCCCHASFSAQAQGYCTVMVNSNPETVSTDYDSSDRLYFEPLTFEDVLNVIEVERPAGVIVQFGGQTPLKLALPLLRWLNTPEGQSTGTQIWGTTPESIDLAEDREQFEAILRQLDIRQPRNGLARSEEEARTVAETVGYPVVVRPSYVLGGRAMEVVYDEHELNRYMNEAVQVEPDHPVLIDQYLQNAIEVDVDALCDHEGTVVIGGLMEHIEPAGIHSGDSACCLPSVSLGTEALNTIKTWTKALALRLNVRGLINLQFAVQRAETGTEKVFIIEANPRASRTVPFVAKATGVPLARIATRLMAGESLSRVGVLDEPCPPLQAVKEAVLPFRRFPGADSLLGPEMRSTGEVMGWAPNFGMAYAKAEIAAGDALPTEGTVFLSTHDRDKPALIPVAERLIALGFELIATSGTAQTLAKAGLKVTPVLKVHEGRPNIEDQIRSGGVQLVINTPIGRQAAHDDRYLRRAALDYSVPTLTTLAGARSAVEGIEALQSHQLDIHALQDVHAGGESR</t>
  </si>
  <si>
    <t>YP_001224179.1</t>
  </si>
  <si>
    <t>anthranilate synthase component I</t>
  </si>
  <si>
    <t>MLTPDRTAFLEAVASGSTLIPVASSWPADLETPLTTWLKVGEGRPPGVLLESVEGGETLGRWSVVACNPLWTLSARKDRLQRIWRDGREETFSGNPFDTLRACLAPYKPATLSGLPPLGQLYGMWGYELIRWIEPSVPVHPNDGEGPPEGLWMLMDSILIFDQVKRLITAVAYADLSGEHNAFADPEAAWGDAIQRIQALKNSMAEPLPPVRPLDWTPSQGDTPSTSSNRTQDDFQQAVLKAREHIAAGDAFQLVISQKLSTEIDHPPLDLYRSLRMVNPSPYMAFFDFGDWQLIGSSPEVMVKAEPDQGGIRAVLRPIAGTRPRGSNELEDRSLEAELLADPKERAEHVMLVDLGRNDLGRVCVPGSVNVRELMVIERYSHVMHIVSEVEGRLAPGNDIWDLLMASFPAGTVSGAPKIKAMQLIHELEPDPRGPYSGVYGSVDLAGALNTAITIRTMVVKPNQDGGWTLEVQAGAGIVADSKPEAEYQETLNKARGMLTALACLEGAGS</t>
  </si>
  <si>
    <t>YP_001226052.1</t>
  </si>
  <si>
    <t>Para-aminobenzoate synthase component II</t>
  </si>
  <si>
    <t>MLLVIDNYDSFTYNLVQYFGELAAQHPLAAELRVERNDALSVAAISALKPDAILLSPGPGDPDQAGVCLDVLRQLSPQIPTLGVCLGHQALAQAYGGRIVRAPELMHGKTSPVQHRGEGVFAGLPQPLTATRYHSLIAERSSLPACLEITAELEDGTVMGLRHRDHHHLQGVQFHPESVLTEAGHNLLANFLQQAESRGQHC</t>
  </si>
  <si>
    <t>YP_001224592.1</t>
  </si>
  <si>
    <t>indole-3-pyruvate decarboxylase</t>
  </si>
  <si>
    <t>Carbohydrate transport and metabolism; Coenzyme transport and metabolism; General function prediction only</t>
  </si>
  <si>
    <t>MPPSVVTYVLDRLADLGIGHVFGVPGDYSFPLNDAVEVHPRLQWVPSANELNAAYAADGYARRRGAGIVCTTYGVGELSALNGVMGSMAERLPVFHLVGTPSVRIVRQGLICHHTLGDTRYDRFEAISAAAGCVSARLTPENAVVELERVIDKALEDSRPAYLTVPMDLALMPITGTPIQGTPIGSIDQHASVTVELDAVLDLVMERLAKATRPLVMPTVTLKRFGLVETFATFLEVSGLAYATTPMDKALLSEGHPAFLGMYNGVRSTPAALQSVVEGADVLLDVGGLVMEDLNTGLWSGYLDSRRVISLHADWVQAGDQVFTSVSLSEVLAGLIKRFQAADAKPSQWGEQRPVQPEPLIPLAGEGDQPTASANVYPRLQRFLRPTDLLMSDTGTSLLKLNAMRLPDGVAIETQTLWGSIGWATPAALGCALADAERRVVLVTGDGAHQLTVQEIGVMGFMKVKPVVIVLNNGLYGVEALLSETGHAYNDLPPWRYAQLPEAFGCQGWWCGKASTVAELEQALAAINAHNGAAYLEVSIPPEESLPLPEAMIETLHQTATP</t>
  </si>
  <si>
    <t>YP_001225927.1</t>
  </si>
  <si>
    <t>L-aspartate oxidase</t>
  </si>
  <si>
    <t>Deamination</t>
  </si>
  <si>
    <t>MSSVRSTSQDPIHNGPWDVVVVGAGAAGLMTCLELPPDLNVLLLNRNAGRRSSSRWAQGGIAAVTGPDDSALFHGEDTLKAGAGLCDGDAVRLLVDQAPHCVERLLSLGMAFDRNPDGSLATTLEAAHSQHRVLHVQDRTGRALVDVLRERVEARPGLVHRRGVRVTQLWVEDQRCCGVQILDGPWLHWVPARAVVLATGGGGHLYTNTTNPPQACGEGVVLSWQAGAAVDDLEFVQFHPTALKLAHAPCFLISEAVRGEGAVLVDPSGQSPVAMLTQRDLAPRDQVSRALLQAMRTQGLNHLGLDLSPIPAEQAERRFPTILERCREYGLRPLQEPIPVAPAAHYWMGGVATDLQAATTIPGLFAVGEVACTGVHGANRLASNSLMECLVFARRLRDIALNERSAPTVSNQGLEPFKLSTAEPMPGQDHESLHRSINALRAACWDMAGVDRRVNGMRQALRELLQASSALQCSPLLEVMRNQEKDRCFQLEETCRSNLNLLLDLHHRQQASRLLLDACLFRTESRGGHYRSDAPSPLPQWRCHSRQVKGKSIHTRPVSD</t>
  </si>
  <si>
    <t>YP_001224545.1</t>
  </si>
  <si>
    <t>3-hydroxyisobutyrate dehydrogenase related protein</t>
  </si>
  <si>
    <t>MTKVALLGTGLLGSAIGHRLLSVGCALAVWNRDPARCAPLTSAGAERFDDPAQAIAGASTVITVLRDGPITAEVVAALGGLDRCCVMPMGTMGISESVALEAQVQAQGGVYLEAPVLGSRPEALAGTLLVMAGGDQGVFDQQYALLKHLALEPKRMGAVGTGAAAKLALNQLIASLTHGYSLALRLIQASGLDVDSFMDVLRPSALYAPTVDKKLKRMLTHDYSDPNFSTSLLRKDLNLFLREAGLAGVDAGGLQSLADLLMRAEGTDLDTGDYSALHELTAPEPTLS</t>
  </si>
  <si>
    <t>YP_001224116.1</t>
  </si>
  <si>
    <t>hypothetical protein SynWH7803_0393</t>
  </si>
  <si>
    <t>MVSSATTQSLSSEQAQYFSYGEAANPIRSGLTELVPYRSFSPSFFEEPGSAVLPLDLSAELGCAGPATGPSLCANFVRLDQEELRTAAVATSQLFFVAEGHGETAACGQRFAWSKGDMLVLPAGGDAIHTSADKAAIYWVHDAPLLRHLGVAPSQARFEPTFYSHRDSQRKLSEIASSAVGSKANRVSVLLGNSAFPQSRTVSHTLWAMLGILPAHQEQMPHRHQSIALDFAVACEPGCYTLIGTQLNDQGRIINPHREDWAPGAAFVTPPGYWHSHHNESGADAYVLPIQDAGLHTYLRTLDIRFSG</t>
  </si>
  <si>
    <t>YP_001224062.1</t>
  </si>
  <si>
    <t>amidase</t>
  </si>
  <si>
    <t>MTSSLPGPVDHTDAIRLALQSWPDVDRYLQSCKGVIIPLGSTEQHGPTGAIGTDALTAEAVALELGRRSGVLVTPVQAFGMAEHHLGFAGTMSLQPATLLAVLHDMVLSLATHGFERIFVVNGHGGNMATTRAAFAQAYGTAASRGLEVAPRLRCKLSNWFMAGPVMRRARELYGDREGQHATPSEIAVTLHLHNSLIAKQRALPEAAPCGSIHGPADFRRRYPDGRMGSDPYLAKPEHGLELLNTAAEALREDLSTFLTAA</t>
  </si>
  <si>
    <t>YP_001224376.1</t>
  </si>
  <si>
    <t>creatininase</t>
  </si>
  <si>
    <t>MESLETHSSRRLDHLHWPEAASRLREDRSTLVWPFGALEQHGPQLPLATDALFAERILSLVLESLPDAWPIWALPPQSIGLSPEHRGFPGTLSLSADLLIRLVVEVGEQMADQGVKRLVLFNAHGGQIGLLQTAARELAARAPSMAVLPCFLWSGVPGLKDLIPSMELQNGLHAGLAETSLMLALAPELVGPERPCDGLDSAIPIPEGWSLEGAAPYAWFTADISSSGVVGDTRGADDSLGERLKTTLMAHWISLFSSLMRSDWPPTADARRVRGPSTMHP</t>
  </si>
  <si>
    <t>YP_001226022.1</t>
  </si>
  <si>
    <t>tryptophan synthase subunit beta</t>
  </si>
  <si>
    <t>MTSTLPSQPSASDLAVSSRPAAAGRFGRYGGQYVPETLMPALAELEQAAAQAWKDPAFTAELNRLLKSYVGRATPLYEAERLTEHYRRADGGPRIWLKREDLNHTGAHKINNALGQALLALRMGKKRVIAETGAGQHGVATATVCARFGLECVVYMGAEDMRRQALNVFRMRLLGATVHPVTAGTATLKDATSEAIRDWVTNVETTHYILGSVAGPHPYPMLVRDFHAVIGQETRQQCREAFGRLPDVLMACVGGGSNAMGLFHPFVECTDVRLIGVEAAGDGVATGRHAATITEGRVGVLHGAMSLLLQDQDGQVQEAHSISAGLDYPGVGPEHSYLREIGRAEYGAVTDAEALEALQLVSRLEGIIPALETAHAFAWLETLCPTLSAGTEVVLNCSGRGDKDVNTVAERLGDAL</t>
  </si>
  <si>
    <t>YP_001225466.1</t>
  </si>
  <si>
    <t>indole-3-glycerol-phosphate synthase</t>
  </si>
  <si>
    <t>MEIRRRPPNPKVQVAHLEYAIPHQDGEPRNILEKIVWEKDREIETARQRMPLVQLKARVAELPPALDFLGALRQAPVAPAVIAEVKKASPSKGVIREDFDPVAIAKAYAAGGASCLSVLTDRTFFQGGFDVLVAVREAVDLPLLCKDFILSPHQLYQARAAGADAALLIAAILTDQDLAYLQKVAATLGLTVLVEVHDAAEMERILTLGGFPLIGINNRDLTSFETDLATTEALTQQFADRLRAQDAFLVSESGLFARADLNRVQRSGAGAVLVGEALMRQDNVEQGLRDLIAP</t>
  </si>
  <si>
    <t>YP_001224496.1</t>
  </si>
  <si>
    <t>homoserine kinase</t>
  </si>
  <si>
    <t>MAQPRIGQTVVVDVPATTANIGPGFDCLGAALDLNNRFTMRRIEGDGERFELIIEGQEGSHLRGGAENLVYRAAQRVWKAAGEEPVALEARVRLAVPPARGLGSSATAIVAGLVGANALVGEPLSKEKLLELAIDIEGHPDNVVPSLLGGLCMTAKAASQRWRVVRCEWMHSVKAVVAIPAIRLSTSEARRAMPKTVPVGDAVVNLGALTLLLQGLRTGNGDLIADGMHDRLHEPYRWRLIKGGQEVRQAALEAGAWGCAISGAGPSILALCSEDKGPGISQAMVRAWESVGVASRAPLLNLQTTGSHWQPWDAG</t>
  </si>
  <si>
    <t>YP_001224875.1</t>
  </si>
  <si>
    <t>3-isopropylmalate dehydrogenase</t>
  </si>
  <si>
    <t>MTHHRVVLLPGDGIGPEITAVTRQLLDVVADHHGFQLDFDDQLIGGAAIDATGEPLPDKTLDACRSADAVLMAAIGSPRFDTLPREKRPESGLLALRSGLNLFANLRPVKIVPALIEASSLKAEVIQGVDLMVVRELTGGIYFGQPKGRVEADGEERGFNTMTYSASEVDRIARVAFELARERGGRLCSVDKANVLDVSQLWRDRVDAMAPSYADVEVSHLYVDNAAMQLVRAPRQFDVLLTGNLFGDILSDEAAMLTGSIGMLPSASLGSDGPGLFEPVHGSAPDIAGEDKANPMAMVLSAAMMLRIGLKQKAAADALEQAVDRVLAGGFRTGDLMAEGCTPLGCQAMGEELRKAL</t>
  </si>
  <si>
    <t>YP_001224783.1</t>
  </si>
  <si>
    <t>anthranilate phosphoribosyltransferase</t>
  </si>
  <si>
    <t>MVSSPMSWSKRLDHLLNGGVFSHAEATELMEAWLAEALTPVQTGAFLAALRSRGVDGTELGAMAAVLRQASPLPCERPTLGLVDTCGTGGDGADTFNISTAVAFTAAACGATVAKHGNRSASGKVGSADVLEGLGLHLKAPAAQVVSALPATRVTFLFAPAWHPALVNLAPLRKSLGVRTVFNLLGPLVNPLRPDGQVLGVATDDLLDPMAEALRSLGQDRAVVVHGSGGLDEASLAGPNPVRILEKGQVRSEWIAPEDLGLQQAPLDALRGGDLVRNQTILEELLSGRGSQAQNEVVAFNTALVLWVAGVESDFKQGAQKALAALSQGSPWSRLEQLRAALSPAKEE</t>
  </si>
  <si>
    <t>YP_001223997.1</t>
  </si>
  <si>
    <t>sarcosine oxidase</t>
  </si>
  <si>
    <t>MPVKAEVVIVGGGMAGLSCAAALGRRGVRDVVLLEAKTLAHARASSFGETRMFREMYSDPVLCRLAQEANRLWRQEEQHAGEPLRETHGLLFYGESWDEETIEGSIPGARRVMDEQNIPYEALSAKEIAERFPLKPKADFTGLFEPTAGAVRSDKVIAHWRRTAEQAGHRLLEGTPVKGIDADGGGVTLADGHHIAADQVVVACGIWSDLLLAPLGLSPKLEIWPMLWAHYTVDPALADRYPQWFCFQRERGDDGGLYYGFPVLSHTADGRPRIKAGIDWAPKELRVAEPNAMCSEAPARLLELLDTFLFNELNGVQERVETVMSPYSMTSDVNFVLDRLTPKLSLFAGGSGQAFKFAPLVGDSLARLACGESPAVDLSCWSHQREAVRA</t>
  </si>
  <si>
    <t>YP_001225256.1</t>
  </si>
  <si>
    <t>diaminopimelate decarboxylase</t>
  </si>
  <si>
    <t>MSQPFELGCDTTSPNRNLAPITAEIDAQGKLAVGGCALSDLAERYGTPLYVLDEASIRQACRAYREALERHYPGPSLAIYASKANSSMALSALVASEGLGLDAVSAGELITALDGGMPAERMVLHGNNKSLEELALAYRSGVMVVADNQHDLDLLQTIVPEGGEPVRLMLRFTPGIECHTHEYIRTGHLDSKFGFDPDELEPVLRALQGAAWARVEGLHAHIGSQIFELEPHRDLAAVMADALGLARELGHPVRDLNVGGGLGIRYVSSDDPPSIDAWVQVVGTAVASACQQRNLELPRLLCEPGRSLVAPAGVTVYTVGARKVVPGIRTYLSVDGGMSDNPRPITYQSQYTACLADRPKAEAEETVTIAGKHCESGDVLLKDLPFPACTSGEILVVLATGAYNVSMSSNYNRIPRPATVLVKGAEAELVQRREQPEDLLRYDLLPERLQSVV</t>
  </si>
  <si>
    <t>YP_001225411.1</t>
  </si>
  <si>
    <t>ornithine carbamoyltransferase</t>
  </si>
  <si>
    <t>MASASTSVAAALTALGGCDFLSSADVSAEQTAALLQLAVQLKNGDRRIDLGNRVLGLIFTKASTRTRVSFQVAMARLGGQTVDLNPQVTQLGRGEPLEDTARVLSRFCDVLAIRTFAQQELADYAHWASIPVINALTDLEHPCQALADFLTMQEAFGDLQGQTLAYVGDGNNVAHSLMLCGALLGVNVRIGCPQGFEPLPGVVDQARALSVGGAQISVITDPVEAVRGAQALYTDVWASMGQEQEQAEREQAFQGFCLNEDLLAEADPRAIVLHCLPAHRGEEISAGVMEGPSSRIFDQAENRLHAQQALLAAVLGGL</t>
  </si>
  <si>
    <t>YP_001226256.1</t>
  </si>
  <si>
    <t>threonine synthase</t>
  </si>
  <si>
    <t>MSVINAFRRRFSPAPVLQDWPGLIEAYRPWLPVTTSTPVVTLREGATPLIPVPSVAERIGRDVKVFVKYDGLNPTGSFKDRGMTMAISKAKEAHCEAVICASTGNTSAAAAAYARRAGMRAFVLIPDGYVAQGKLAQALVYGAEVLAIRGNFDRALDIVREVSDQFPVTLVNSVNPFRLQGQKTAAFEVIDALGDAPDWLCIPMGNAGNITAYWMGFQEYNQAGRSRKLPRMMGFQASGSAPLVNNTTVTDPDTIATAIRIGNPVNREKAIAARKASQGDFLDVTDAEIIEAYKLLGGQEGIFCEPASAASVAGLLKRKDEVPTGATVVCVLTGNGLKDPDCAINNNDAAFHTDLDPDLGTVARVMGF</t>
  </si>
  <si>
    <t>YP_001225733.1</t>
  </si>
  <si>
    <t>alanine dehydrogenase</t>
  </si>
  <si>
    <t>MAHSVLTAPMASIGVPTEIKADEQRVALTPDGVRELVTQGLEVRVQHGAGAGAGIGDDAFAAAGARMVDRDEAWAAHLVVKVKEPQVEEFGLLRDDMVLFTYLHLAAYPQVGQALLDAGTTGVAYETVQLENGSLPLLAPMSEIAGRLAAQVGARLLERPNGGRGVLIGGCTGVQPARVVVLGAGTVGWNAARLAAAMDAEVMLLDRSPERLRSLEADRRGRLMSVVSSRGLLERLVPTADLLIGAVLTPGGRAPTLVDDDMVKQMKPGSAIVDVAIDQGGCIATSRETTHTDPTINIHGVQHYAVGNMPGAVPFTSTEALVSVTLPYILGIAGRGLEEAVTERPELLSGLNTVKGAVCHPGVAKALNVPPRHPMACLR</t>
  </si>
  <si>
    <t>YP_001224337.1</t>
  </si>
  <si>
    <t>acetylglutamate kinase</t>
  </si>
  <si>
    <t>MVSPDHEPMDDALRVSVLSEALPYIQRFAGRRIVVKYGGAAMVHAELQSAVFRDLALLRSVGVQPVVVHGGGPEINHWLKRLDIDPEFREGLRVTDAATMDVVEMVLVGRVNKQIVNGLNRLGARAVGLSGSDGCLVEARAWGDGSHGLVGDVARVNPDVLEPLLDRGYVPVISSVAANAEGVAHNINADTVAGELAAALEAEKLILLTDTPGILRDRESPESLIRQLKLSEARQLIDDGIVAGGMTPKTECCIRALAQGVSAAHIVDGRVAHALLLEVFTDAGIGTMVLGRS</t>
  </si>
  <si>
    <t>YP_001223796.1</t>
  </si>
  <si>
    <t>dihydrodipicolinate synthase</t>
  </si>
  <si>
    <t>MSPAAELSPTPFGRLLTAMVTPFDAEGAVDLALAGRLARHLVDEGSDGLVVCGTTGESPTLSWDEQSQLLEAVRQAVGPGVPVLAGTGSNCTQEAVKATREAAAAGADGALVVTPYYNKPPQEGLEAHFRAIAEAAPELPLMLYNIPGRTGCSMEPATVARLMDCSNIVSFKAASGTTEEVTALRLACGAKLAIYSGDDGLVLPMLSVGAVGVVSVASHLVGRRMRAMVEAYLSGQPAVALGHHEQLIPLFKALFATTNPIPVKAALELSGWPVGSPRSPLLPLDPAMRAALSDTLAALRPT</t>
  </si>
  <si>
    <t>YP_001225470.1</t>
  </si>
  <si>
    <t>acetylornithine aminotransferase</t>
  </si>
  <si>
    <t>MVEPKADSKSTAVMGTYNRFPLSLVKGRGCWVWDDQNRRHLDAVAGIATCTLGHSDRVLRRALTRQLRTLQHVSNLYQIPEQEQLAQWLVANSCADSVFFCNSGAEANEAAIKLARKHGHQRRGIDRPVIITASASFHGRTLAAVSATGQPRYHQGFEPMVEGFEFFPYNDGDAFEQLLMQLEHNGPKVAAVLIEPLQGEGGVNPGDPAVMQRIRKLCSERDILLIFDEVQVGMGRTGTLWGYQQLGVTPDALTLAKGLGGGHVIGALLVSEHADVFEPGDHASTFGGNPFACRAGLTVASELQRRDLLKNVQMRGQQLQDGLNHLVERYPDHLAGCRGWGLLQGLVLRDTCGYSAADVVKAALEEQLLLVPAGAAVVRMVPPLVIGPREIQSLLTRLDRALQHLM</t>
  </si>
  <si>
    <t>YP_001226180.1</t>
  </si>
  <si>
    <t>glycine cleavage system aminomethyltransferase T</t>
  </si>
  <si>
    <t>MDLHRTPLHDLCVTTGGRMVPFAGWEMPVQFSGLVAEHTAVRQRVGLFDISHMGVLRIEGSNPKDALQTLVPTDLHRIGPGQACYSVLLNESGGIRDDLIVYDLGQTNSDQGEASLIVVINAACAAADTAWISEQLTPQGLKVTDEKGDGILLALQGPEALARMEQLSGVDLHALPRFAHRMLDLTGLSRPVFCARTGYTGEDGVELLLAREDGRNLWNRLVADGVTPCGLGARDTLRLEAAMHLYGQDMDADTTPFEAGLGWLVHLEMPSTFTGRAALERAADSGPSRRLVGLKLKGRAIARHGYPVIHNGEQAGAITSGSWSPTLQEAIALAYVPTALAKVGQELGVEIRGQVQAATVVRRPFYRHP</t>
  </si>
  <si>
    <t>YP_001225000.1</t>
  </si>
  <si>
    <t>methionine synthase (5-methyltetrahydrofolate--homocysteine methyltransferase)</t>
  </si>
  <si>
    <t>MQAVQSKSGPATSRFLARLHDPCKPVLVFDGATGTSLQQMDLTAEDFGGEALEGCNENLVVTRPDAVQAVHRLFLDAGCDVIETDTFGAASVVLAEYGLEDQAFELNRRAAELAREMADHYSNDTKPRFVAGSMGPTTKLPTLGHIDFDTLRDSFQEQAAGLLAGDVDLFIIETCQDVLQIKAALQGVEAAFEASGQRRPLMVSVTMETTGTMLVGSDIAAVVSILEPFPIDVLGLNCATGPEQMKEHIKYLSEYSPFVVSCIPNAGLPENIGGVAHYRLTPLELKMQLMHFVEDLGVQVIGGCCGTTPAHIKALSEISEELTPATRDVRTLHLERQQLSYEPSASSIYGSTPYFQDNSFLIIGERLNASGSKKVRELLNEEDWDGLVAVARGQVKENAHVLDVNVDYVGRDGEKDMHELVTRVVTNVNLPLMLDSTEWQKMEAGLKVAGGKCILNSTNYEDGDERFFKVLELARRFGAGVVIGTIDEDGMARTAEKKLAIAKRAYRDAVEFGIPAREIFYDPLALPISTGIEEDRRNGAETIEAIRRIRSELPGVHVVLGVSNVSFGLSPAARITLNSVFLHDCCEAGMDAAIVSPAKILPLIKIDDDHQQVCRDLISDARRFEGDVCVYDPLTELTTLFEGVSTKDARASGPSLADLPVEERLKQHIIDGERIGLEDALNEGLQSYPPLDIVNTFLLDGMKVVGELFGSGQMQLPFVLQSAETMKAAVAFLEPHMEKSDGKRSAKAKFLIATVKGDVHDIGKNLVDIILTNNGYEVINLGIKQDVGAIIAAQQEHEADCIAMSGLLVKSTAFMKDNLQAFNEAGINVPVVLGGAALTPRFVNKDCSDVYNGKVIYGRDAFTDLRFMDAFVEARKDGSWDNLKGFINGNPEGVSVGGDFESASDETTDVGASTPESEQQANLQVTDERSDAVPEEAALRPDFLGSKVLQGVEQIPLNEVIAYLDRQALFAGQWQMRKAKDQTREDYEADLKTKAEPILQTWLERSLNEDLLQPAVAYGYFPCGRDGNAVAVFDPDSNQELGRFALPRQRSGNRYCIADFYRDLSSGQPTDVLPMQAVTMGEKASVFAQKLFEADSYSDYLFFHGLAVQMAEALAEWTHARIRRECGFADPDGMPLRDVLAQRYRGSRYSFGYPACPNVADSRQQLLWLGAERIGLSMDESDQLHPEQSTTALVALHSAARYFSA</t>
  </si>
  <si>
    <t>YP_001225068.1</t>
  </si>
  <si>
    <t>alanine--glyoxylate transaminase</t>
  </si>
  <si>
    <t>MVSGLPMTHSLPQIDSRHRRSVEPISTPDRLLLGPGPSNAHPTVLSALARTPIGHLDPLYVDLMGEVQELLRYAWQTDNRLTLPMSGTGSAAMEATLANTVEPGDRVLVAVKGYFGNRLADMAGRYRADVRVIEKPWGEAFTLDELDSALQHHKPAILAMVHAETSTGVCQPMEGVGDLCRKHDCLLLLDTVTSLGGVPLYLDEWKVDMAYSCSQKGLSCPPGLGPFTMGPRAEAKLAARKDKVPNWYLDVSLLNQYWGSDRVYHHTAPVNMNFGMREALRLLADEGLDNAWSRHRCNAEALWKGLESLGLEMHVPEALRLPTLTTVRIPDDVDGKAFSSYLLNTHGIEVGGGLGALAGKIWRVGLMGYNSTPENVNRLLNLFETELPRFREGSCVAA</t>
  </si>
  <si>
    <t>YP_001224026.1</t>
  </si>
  <si>
    <t>serine hydroxymethyltransferase</t>
  </si>
  <si>
    <t>MVDFETAPINAPLAESDPAIARLIDQERDRQETHLELIASENFASSAVMAAQGSVLTNKYAEGLPNKRYYGGCEHVDAIEDLAIERAKELFGAAWANVQPHSGAQANFAVFLALLQPGDTIMGLDLSHGGHLTHGSPVNVSGKWFNVVQYGVDKETQRLDMEAIRQLALEHKPKLIVCGFSAYPRTIDFAAFRAIADEVGAYLLADMAHIAGLVAAGVHPSPVPHCDVVTTTTHKTLRGPRGGLILCRDAEFAKKFDKAVFPGSQGGPLEHVIAAKAVAFGEALRPAFKAYSQQVVANAQALADRLMARGIDVVSGGTDNHVVLLDLRSIGMTGKVADLLVSDVHITANKNTVPFDPESPFVTSGLRLGTAALTTRGFDADAFAEVAEVIADRLLNPEDDAIQARCLERVASLCRRFPLYAMATEPALV</t>
  </si>
  <si>
    <t>YP_001225329.1</t>
  </si>
  <si>
    <t>homoserine dehydrogenase</t>
  </si>
  <si>
    <t>MATRIGIGLLGLGTVGAGVATILTSPEGRHPLIAELDLVRVAVRDLNRSRPVAIPQEKLTTDPEAVVDDPEVQVVVEVMGGIEPARTLIMRAIAAGKSVVTANKAVIARHGEEIASAAAAAGVYVLIEAAVGGGIPIIEPLKQSLGSNRINRVSGIINGTTNYILSRMADEGADYFAVLKDAQDLGYAEADPAADVEGHDAADKIAILSGLAFGGPIDRDAIPTSGISNLQSKDVDYATQLGYGVKLLAIAERIESSSDASPALPLAVRVQPTLVPKEHPLAGVHGVNNAILVEGDPVGRVMFYGPGAGSGPTASAVVADILNIAGIRQLNAAPGGLDPLLAASSWRACRLVQGGEIRQRNYVRFNTDDAPGVIGRIGSCFGDQQVSIQSIVQFDASDEGAEIVVITHEVSSGAMQKALSAITALPEVRLLASHLGCL</t>
  </si>
  <si>
    <t>YP_001224487.1</t>
  </si>
  <si>
    <t>gamma-glutamyl phosphate reductase</t>
  </si>
  <si>
    <t>MNEVPEPSPELLQRAGAVRRAAVDLGMADDGQRMQALQAMADALAERSDALVAANREDLDRSASEGLAPALLARLKLDAAKLEGAIDGVRKVASLKDPLGRRDLHRELDQGLTLERVTVPLGVLGVIFEARPDAVIQIASLAIRSGNGALLKGGSEARCTNEAVMEALKAGLASSAVSPDALALLTTRQESLALLKLDGLVDLIIPRGSNELVRFIQDNTRIPVLGHADGICHLYVDAAADLDKAVRVALDSKTQYPAACNAIETLLVHRSVAASFLSAAIPAFRDAGVVLRGDAASVALGVPESATEADWRTEYLDLTLAVKVVDDLAAAADHIRRFGSRHTECIVTEDAAAADRFLSSIDSAGVYHNCSTRFADGFRYGFGAEVGISTQTLPPRGPVGLEGLVTYRYRLRGDGHVAADYASGASRFTHNDLSL</t>
  </si>
  <si>
    <t>YP_001224368.1</t>
  </si>
  <si>
    <t>acetolactate synthase 3 catalytic subunit</t>
  </si>
  <si>
    <t>MTLTSAPKVDAASGNGDGCRMTGAHALMDALRRHGVDTIFGYPGGAILPIYDALHVAESEGWLRHVLVRHEQGGTHAADAYARATGRVGVCFGTSGPGATNLVTGIATAQMDSVPMVVITGQVPRTAIGTDAFQETDIFGITLPIVKHSWVVRDPADLASVVAQAFHIAASGRPGPVLIDIPKDVGQEEFDYVPVEPGTVIPAGFRATPPPDLAAVADALALIKAANRPLLYVGGGAVAASAHDSLKVLAERYQLPVTTTLMGKGAFDENHPLALGMLGMHGTAYANFAVTDCDLLIAVGARFDDRVTGKLDTFAPRARVIHFEIDPAEIGKNRRADVAVLGDVGASLAALVELSLQDTPETRTAAWLERIKDWKQRYPLTIPPAEGSIYPQEVLLAVRELASDAIVTTDVGQHQMWAAQYLRNGPRGWISSAGLGTMGFGMPAALGAQVACPDRRVVCIAGDASVLMNIQELGTLAQYDLPVKVVIVNNHWQGMVRQWQESFYEERYSASDMLKGMPDFEMLARSFGVEGVKIVERSELKSGLAAALASPHPTLVDVHVRRGENCYPMVPPGCSNAQMVGLPSHPELAMDPKRNCPACGAVTSSDHRFCPSCGSAL</t>
  </si>
  <si>
    <t>YP_001224854.1</t>
  </si>
  <si>
    <t>dihydroxy-acid dehydratase</t>
  </si>
  <si>
    <t>MLRSDAVTKGIQRSPNRAMLRAVGFGDQDFGKPIIGIANGYSTITPCNVGLDDLARRAEEAARLAGGMPQTFGTITVSDGISMGTEGMKYSLVSREVIADAIETACNGQSMDGVLAVGGCDKNMPGAMLAMARMNIPAIFVYGGTIKPGKLGGCDLTVVSAFEAVGQITSGKIDEEQLTAIEKNACPGAGSCGGMFTANTMSAAIETMGLSLPHSSTMAAEDEEKAESAARSAEVLVQAIESGIRPLDLMTREAFENAISVIMAVGGSTNSVLHLLAIARTAGVELAIDDFERIRQRVPVICDLKPSGRYVTVDLHRAGGIPQVMKLLLDAGLLHGDCRTIEGKTLKELLADVPSTPPADQDVIRPLSNPLYAKGHLAILKGNLASEGAVAKISGVKNPVITGPARVFESEESCLEAILDNQIKAGDVVVVRNEGPVGGPGMREMLSPTSAIVGQGLLDKVALITDGRFSGGSYGLVIGHVAPEAAVGGTIGLIEEGDSITVDANQLLLQLNVEEAELERRRSAWSAPVPKYRTGILGKYARLVSSSSQGAVTDQP</t>
  </si>
  <si>
    <t>YP_001225162.1</t>
  </si>
  <si>
    <t>dihydrodipicolinate reductase</t>
  </si>
  <si>
    <t>MSSAAGGSIPVVVTGALGRMGAEVIRAVQAAEDCRLVGAVDTTPGTEGQDVGEQLGLGPLDVAVTADLEGCLCACSQAVRDDGRGQGAVMVDFTHPSVVYANTRAAIAYGVHPVIGTTGLSPQQMNDLSDFARKASIGGAVIPNFSVGMVLLQQAAAAAARFYDHAELTELHHNRKADAPSGTCIKTAELMEELGKTFNPEEVEEHESLEGSRGGRRPSGLRLHSLRLPGLVAHQEVMFGAPGETYTLRHDTIDRSAYMPGVLLCVRRVRQLEGLVYGLERLI</t>
  </si>
  <si>
    <t>YP_001224093.1</t>
  </si>
  <si>
    <t>L,L-diaminopimelate aminotransferase</t>
  </si>
  <si>
    <t>MPAEIDFTVVQVNGNYLKLKAGYLFPEIGRRVKAFSAANPDAALIRLGIGDVTEPLPQACRDAMKTAIDAMGTAEGFHGYGPEQGYGWLREAIATHDFKARGCDISAEEIFVSDGSKCDSSNILDILGEGNRVAVTDPVYPVYVDSNVMAGRTGDAGDEGRYAGLTYLPISADNGFAAQIPSDPVDLIYLCFPNNPTGAVATKEQLKAWVDYARANDALILFDAAYEAFIQDPSLPHSIFEIEGARDCAIEFRSFSKNAGFTGTRCAFTVVPKGLKGKAANGEAVELWSLWNRRQSTKFNGVSYIIQRGAEAVYSEAGQAEVKGLVSFYMENAAIIRRELSAAGLTIYGGEHAPYVWIKTPDGMDSWGFFDHLLNKANVVGTPGSGFGAAGEGYFRLSAFNSRANVDEAMARIKAL</t>
  </si>
  <si>
    <t>YP_001226043.1</t>
  </si>
  <si>
    <t>dipeptidyl aminopeptidase/acylaminoacyl-peptidase</t>
  </si>
  <si>
    <t>MNKRCLFGTVLLMGAIGTFSSPLRPVLAGSPPPLIPREVLFGNPEIAGVSLSPDGQRIAYLAPSGGVLNLWVRDLDGDAPARVLTQQRDRPQRAASWTADGRYLISSRDAEGDENTVLVRIDPKTGEATDLTPAKGVKAILVAGDQDAPSELVVGLNDRDPRFHDLYVIDVNNGQRRLLYRSTDDGRNVSVDWIDGVWQPVLRSQVLPDGGSAWELRPPGEADWRPFLKFNFEDTISGSGPSAFTRNGQWLYGILSTNEEIPRLVRWSRDHLKTCGDTCTPELVYRASAGALGGALSDPDSGRPVALNEVDLRRRLVVLDPSIQPDIDQLKRLAGTNDFGVVDQDLNDRRWLVVVGSDDRGPQYLLWDRDLQQSRRLFSVQPRLDDYTLRPMESLNLQARDGRRLPSYLTRTALGPDQGPRPLVLLVHGGPQARDYWGLNPTHQLLANRGYHVLSVNYRGSTGFGKAHLLAGEGEWYGRMQDDLVDAVRWAIAEGIADPDRIAIMGASYGGYASLAGLTRDPELFAAAIAEVGPSNVRTLLESIPPYWESARVIFERMIGVGSVDLDAISPIRHVDRIQRPLLLVHGANDPRVKLSESETIAEAMVARQLPVDFVVFPDEGHGLSNPRNALALTALVEAFLSEHLGGRAQPFGTVLDQSSMQWRQRALPRSGS</t>
  </si>
  <si>
    <t>YP_001225488.1</t>
  </si>
  <si>
    <t>ketol-acid reductoisomerase</t>
  </si>
  <si>
    <t>MAQLFYDTDADLSLLSGKTVAIVGYGSQGHAHALNLKDSGVDVVVGLYEGSRSAEKAKADGLEVLSVAEAAERADWIMVLLPDEFQKDVYAKEIAPHLKAGKVLSFAHGFNIRFGLIKPPADVDVVMIAPKGPGHTVRWEYQNGQGVPALFAIEQDASGNARGLAMAYAKGIGGTRAGILETNFKEETETDLFGEQAVLCGGLSELVKAGFETLVEAGYQPELAYFECLHEVKLIVDLMVKGGLSAMRDSISNTAEYGDYVSGPRLITADTKAEMKRILGDIQDGTFAKNFVAECEAGKPEMNKIREQDRHHKIEEVGKGLRSMFSWLKAS</t>
  </si>
  <si>
    <t>YP_001223769.1</t>
  </si>
  <si>
    <t>DHSS soluble hydrogenase, small subunit</t>
  </si>
  <si>
    <t>MIPGPTPVPETVLKAMGRHPIGHRSGEFQAVVERTNAQLRWLHQTSSDVLVITGSGTAAMEAGIINTLSRGDRVLCGDNGKFGERWVKVARAYGLDVEVIKAEWGQPLDPEAFRRALEADTDKAVKAVILTHSETSTGVINDLETISSHVKAHGVALTIADCVTSLGATNVPMDAWGLDVVASGSQKGYMMPPGLSFVAMSDRAWSAYERSDLPKFYLDLGPYRKTAAKNSNPFTPAVNLYFALDAALEMMQTEGLDSIFARHARHRAAATAAMKAIGLPLFAAEGYGSPAITAVAPDGIDAEQLRKTVKERFDILLAGGQDHLKGQVFRIGHLGFVCDRDVLTAVAAIESVLQSLGLHKGTMGAGLSAASSALNS</t>
  </si>
  <si>
    <t>YP_001224927.1</t>
  </si>
  <si>
    <t>3-dehydroquinate synthase</t>
  </si>
  <si>
    <t>MEPESRIRVALERNPYDVIIGSGQLARVGDALSALQVRAGTRILVVSNPDVADHYAAQCLSSLEAAGLKPVLLTIDAGEEQKTLDTLRIILDAAQHNGLERTSLMLALGGGVVGDMTGFAAACWLRGIRVIQVPTTLLAMVDASIGGKTGVNHPCGKNLIGAFHQPSLVMIDPLTLRTLPAREFRAGMAEVIKYGVIGDPELFERLEQAEDLSDPGRMTPELLQTILERSAQAKAAVVAADEREGGRRAILNYGHTFGHVVETLTGYGTWLHGEAVAIGMATVGQLAVNKGLWTDSDQQRQLTLIQKAGLPTAWPSLNIDKVLDTLRSDKKVRHGQLRFVLPDAIGSVLISDQIRDDDVRQCLTSQH</t>
  </si>
  <si>
    <t>YP_001224435.1</t>
  </si>
  <si>
    <t>flavoprotein related to choline dehydrogenase</t>
  </si>
  <si>
    <t>MIIDDRHYDIIVIGSGAGGGTLAGALSRQGRRVLLLERGGAMALSDQNVADVDLFRKDRYHPRNERWFGPDGDPIAPQTTYALGGNTKIWGAVLERMREKDFDDLPLQNGISPRWPFNYQHLAPFYDQAEHLYQVHGKSGVDPTEPARNGDFGHAPKPLMPFLEPLREGLKRQGCQPYDLPLSWSSSQEDPSGDAQLYGLDNADSEKLEVRSMARVMRLHVNPSGREVKAVEADVDGETWLFSADVVVLAAGAINTAAILLRSSSEKHPRGLSNGSDQVGRNLMNLQLTSILQLAAERNNGRYARSLGVNDYYWGDKNVSFPLGHIQAAGGVLQDALFAESPPVLSLVSKLIPDFGLERLASRSVAWWAMTEVLPDPHNKVWLNNDQIRINYLHNNREAHDRLVYRWIDTLTAVEADPITKVVTKAPTHPRGEAPLSVVGYACGTCRMGDDPAASVVDGDGRSHELDNLYIADSSVFPSCPSVGPGLTTIALALRMSEALKQRFDG</t>
  </si>
  <si>
    <t>YP_001225309.1</t>
  </si>
  <si>
    <t>2-isopropylmalate synthase</t>
  </si>
  <si>
    <t>MAHDPGRVLIFDTTLRDGEQSPGASLNLEEKLAIAQQLARLGVDVIEAGFPFASPGDFNAVQRIAQQVGGEQGPIICGLARASRGDIKACADAVAPAPRRRIHTFIATSDIHLEHKLRKSRQEVLAIVPEMVAYARSLVDDVEFSCEDAGRSDPEFLYAVIEAAINAGASTINIPDTVGYTTPAEFGALIAGIDQHVPNISEAVLSVHGHNDLGLAVANFLEAVKNGARQLECTINGIGERAGNAALEELVMALHVRRRYFNPFFGRAEDSPTPLTGVRTEEITKTSRLVSNLTGMVVQPNKAIVGANAFAHESGIHQDGVLKNRLTYEIVDARTVGLTDNRISLGKLSGRSAVRARLEELGYDLSREDLDDAFARFKELADRKRDITDRDLEAIVSEQVQQPDARYQLKLVQVSCGSSLQPTATVTLLDEEGQEQSEAAIGTGPVDAVCRALNALAGEPNELVEFSVKSVTEGIDAMGEVTIRLRRDGQLFSGHAADTDVVVAAAQAFVNALNRLVAGSLNPTLHPQRDATPLDASPTL</t>
  </si>
  <si>
    <t>YP_001224999.1</t>
  </si>
  <si>
    <t>branched-chain amino acid aminotransferase</t>
  </si>
  <si>
    <t>MHQFLPYAWFQGRCVPFEDAKVSVATHALHYGTGAFGGMRAIPDPSKPGGMLLFRAERHARRLSQSARLLLAELSEATVMDALVTMLRANRPTTPIYLRPFVYTSDLGIAPRLHNIETDFLIYGLELGDYLSPEGVSCRISSWTRQEDRSLPLRGKISGAYITSSLAKTEAVSSGFDEALLMNTRGKVSEASGMNLFIVRDGDLITPGVDQDILEGITRASVIELAKSMGLNVIERPVDKTELFIADEVFLTGTAAKITPIRQLESTVLSNQRPVMDALRQRLIAITEGRDEQFRHWVTRVELDR</t>
  </si>
  <si>
    <t>YP_001225195.1</t>
  </si>
  <si>
    <t>aspartate aminotransferase</t>
  </si>
  <si>
    <t>MSRPLSLSSRAEALQPSLTLAISARAKALQKEGRDICSLSAGEPDFDTPDFIVEASVEALRNGMTRYGPAAGDPHLRELIANKITSENGIPTSAAEVLVTNGGKQAIYNLFQVLLNPGDEVLIPAPYWLSYPEIARLAGARPVAVPSSAADGFRLDLNALDAAITPASRVLVINSPGNPTGRVLSRDELLSIAELMRRHPRLVVMSDEIYEYLLEDGVTHHSFASLAPDLQDRCFMVNGFAKGWAMTGWRLGYLSGPESVIKAASALQSQSTSNVCSFAQQGAVAALTGPRDCVQTMAESYNRRRSFLVSGLQAMDGITLVPPQGAFYAFPQLPDGCGDSMNFCRRALEEEGLAIVPGAAFGDDRCIRLSCAVSRETITDGLHRLNRLLKAG</t>
  </si>
  <si>
    <t>YP_001225704.1</t>
  </si>
  <si>
    <t>D-3-phosphoglycerate dehydrogenase</t>
  </si>
  <si>
    <t>MTKVLVSDPIDQAGIDILGQVAQVDQRTGLSAEELKSIIGDYDALMIRSGTQVTADVIAAADRLRIIGRAGVGVDNVDVPAATQRGVLVVNSPEGNTIAAAEHALALLLSLSRHVPQAHGSMRAGAWDRKKYVGNELYKKVLGVVGLGKIGSHVARVAKAMGMEVIAFDPFISADRAQQMQVRLTTLEDLFRQADYITLHIPRTPDTENLVNAELLRSMKSTARIVNCARGGIVDEAALAEAIENGVIAGAGLDVYASEPLSEDSPLRAVERGLVLTPHLGASTEEAQENVATDVAEQIRDVLLGLPARSAVNIPGLSAEIMERLKPHLQLAETLGLLVSQLSGGQVQELEVRLQGEFALHPSQPLMVAALKGLLTNALGDRINYVNASLEAKGRGIHVLEVKDDASRDFAGGSLQLTTRGGQGGHSVTGAVFADGELRVTNIDEFPVNVPPSRHMLFTRHRDMPGIIGHLGSLLGEHNVNIASMQVGRRIVRGDAVMVLSIDDPIPPALLATIHGINGIQEAHPVTL</t>
  </si>
  <si>
    <t>YP_001225130.1</t>
  </si>
  <si>
    <t>O-Acetyl homoserine sulfhydrylase</t>
  </si>
  <si>
    <t>MTDQRFETLQLHAGQVPDPTTNSRAVPIYQTSSYVFNDAEHGANLFGLKEFGNIYTRLMNPTTDVFEKRVAALEGGVAALATASGQSAQFLAITNCMQAGDNFVSTSFLYGGTYNQFKVQFPRLGINVKFAEGDDVDSFAAQIDENTKAIYVEAMGNPRFNIPDFEGLSALARQNNIPLIVDNTLGACGALLRPIEHGADVVVESATKWIGGHGTSLGGVIVDAGTFNWGNGKFPLMSQPSAAYHGLIHWDAFGFGSDICKMLGLPDNRNIAFALRARVEGLRDWGPAVSPFNSFLLLQGLETLSLRVERHAQNAMALASWLQAHPQVSDVSYPGLPGDPYHPAAKKYLTGRGMGCMLMFSLKGGYDDAVRFINSLKLASHLANVGDAKTLVIHPASTTHQQLSESEQASAGVTPTMVRVSVGLEHIDDIKADFDQALASGD</t>
  </si>
  <si>
    <t>YP_001223795.1</t>
  </si>
  <si>
    <t>aspartate-semialdehyde dehydrogenase</t>
  </si>
  <si>
    <t>MSTAASLPNRPLTVAILGASGAVGQELLQLLQERHFPVKELRLLASARSAGTRCSWNGQDLTVQEVSESAFAGVDLVLASAGGSVSRQWREAIVAAGAVMVDNSSAFRMDDDVPLVVPEVNPEAAIQHRGVIANPNCTTILLTLALAPLATRRALRRVVVSTYQSASGAGAQAMEELKTHSHEVLAGMTPTPAVLPHSLAFNLFLHNSPLQANRYCEEEMKMVNETRKIMGLPDLRFTATCVRVPVLRAHSEAVNVEFDAPLPVAEARELLAAAPGVQLMDDPASSRFPMPTDVAGRDPVMVGRVREDISEPKALEFWLCGDQIRKGAALNAIQIAELLLPA</t>
  </si>
  <si>
    <t>YP_001226227.1</t>
  </si>
  <si>
    <t>phospho-2-dehydro-3-deoxyheptonate aldolase</t>
  </si>
  <si>
    <t>MVETRPLVPPALLHGDLPIDARATETVATSRSRIQAIMRGLDRRLLVIVGPCSVHDVDAAREYARRLAPLRERHASELEVVMRVYFEKPRTTVGWKGLINDPNLDGSYDINTGLRMARSLLLDLAREGMPCATELLDPVVPQYIADLISWTAIGARTTESQTHREMASGLSMPIGYKNSTDGSATIAINAMQAASKPHHFLGINREGHASIVSTTGNPDGHLVLRGGNRGTNYHLEAIQEAAQELKAAGLPDRLMVDCSHGNSNKDFRRQGEVLKAVAAQVEQGSAHVMGVMLESHLVEGNQKISTDQSALTYGQSVTDACISLETTAELLEGLADSLTKVGTRPG</t>
  </si>
  <si>
    <t>YP_001226242.1</t>
  </si>
  <si>
    <t>argininosuccinate synthase</t>
  </si>
  <si>
    <t>MGRAKKVVLAYSGGVDTSVCIPYLKQEWGVEEVITFAADLGQGDELEPIRRKALEAGASQSLVGDLIQPFIEEFAFPAIRANALYEGRYPLSTALARPLIARRLVEVAREVGADAVAHGCTGKGNDQVRFDVAIAALAPDLKVLTPAREWGMSREETIAYGERCGLPAPVSKKSPYSIDLNLLGRSVEAGPLEDPMQAPPEEVFAMTVSIDAAPSEAEEIEIAFEAGNPVSINGQRLDPVALIREANRLAGSHGIGRLDMIENRVVGIKSREIYETPGLLLLIQAHQELESLTLAADVLRTKRQLEMQWADLVYQGLWFGPLKEALDGFMDRTQSEVNGVVRLRLHKGNAIVTGRGSSDSSLYVPEMASYGSEDQFDHRAAEGFIYVWGLPIRLWSAARRR</t>
  </si>
  <si>
    <t>YP_001225367.1</t>
  </si>
  <si>
    <t>acetolactate synthase 3 regulatory subunit</t>
  </si>
  <si>
    <t>MKHTLSVLVEDESGALSRIAGLFARRGFNIDSLAVGPAEADGRSRLTMVVEGDQQTLQQMTKQLDKLVNVLQVLDLSQRPAVERELMLMKVSAPASQRSAILELVQVFRAKVVDVADDALTLEVVGDPGKLVALERLMAPYGIQEIARTGKVALERASGVNTELLKASISGGRVPA</t>
  </si>
  <si>
    <t>YP_001224308.1</t>
  </si>
  <si>
    <t>MSRVYADNSQAIGNTPLVRLNHVTKGCKATVLAKVEGRNPAYSVKCRIGANMIWDAEKRGALTEGKVIVEPTSGNTGIALAFTAAARGYKLVLTMPESMSIERRRVMAVLGAEIVLTEAAKGMPGAIAKAKEIAASDPAKYFMPGQFENPANPEIHFKTTGPEIWNDCDGAIDVLVSGVGTGGTITGVSRYIKNEAGKAIESVAVEPSHSPVITQTLNGEEIKPGPHKIQGIGAGFIPENLDLSVVDKVEQVTNEESIAMAQRLAKEEGLLVGISCGAAAAAAIRLAQQDAYAGKTIVVVLPDLAERYLSSVMFADVPTGIIEQPVAV</t>
  </si>
  <si>
    <t>YP_001226135.1</t>
  </si>
  <si>
    <t>glycine dehydrogenase</t>
  </si>
  <si>
    <t>NH4 generation</t>
  </si>
  <si>
    <t>MTLLDQRTAAPSSVDPISSFVHRHIGPDAQAVKRMLQALGYADLDAFLQAVVPGDILDAQPPCADLPAGVDEAPALAELRTLASRNQLSRSLIGLGYFGTATPALIQRQVLENPSWYTAYTPYQAEIAQGRLEALLNFQTLISELTGLPIANASLLDEATAAAEAMSMSFGVCKREGACRFLVDAAVLPQTLAVLRTRCEPIGVQLEVAEPTDFRWGEDVFGVLLQLPGRCGRLWDPRACIERAHAHGALVTVAVDPLAQVLLEPVGDLGADIAVGSAQRFGVPMGGGGPHAAFFATRDAYRRQVPGRLVGQSRDAEGRPALRLALQTREQHIRRDKATSNICTAQVLLAVMASFYAIHHGPEGLEAIANRIVILRSRLEQGLAALGFPVPGGARFDSLDVHCPQAPAVHRLADREGFNLRVLPDGVPADEALGFGISLDELSDEAEIQSLLAIVAEVVQKELPPLSPLANPTAAMAGVPLRERPWLQQSVFQGYRSETELMRYIQRLVSKDLSLVHGMIPLGSCTMKLNAAAELAPVSWREFAAIHPFAPVAQQKGFQALIRDLEHWLAALTGFAAVSLQPNAGSQGEYAGLLVIRAWHRSRGEAQRDVCLIPTSAHGTNPASAVMAGLRVVAVACDDDGNVDVEDLRSKAKQHADVLAALMVTYPSTHGVFETRIREICSLVHEHGGQVYLDGANLNAQVGVCRPGAFGADVCHLNLHKTFCIPHGGGGPGVGPIGVAAHLQPFLPGHPLMQCGGDQGISPVSAAAWGSAGILPISWMYLRMMGAEGLRTATAVALLSANYLAHRLDAHYPVLFRGEGGLVAHECILDLRGLKRSAGLEVDDLAKRLMDYGFHAPTVSWPVAGTVMVEPTESESLDELDRFCDAMIAIRAEVARIESGESDRENNPLKRSPHTLAAVTNDHWERPYSRQEAAFPLPGQQQTKFWPAVARIDNAFGDRNLICTCPSVVDVAESLSVR</t>
  </si>
  <si>
    <t>YP_001224963.1</t>
  </si>
  <si>
    <t>ATP phosphoribosyltransferase regulatory subunit</t>
  </si>
  <si>
    <t>His</t>
  </si>
  <si>
    <t>MALQPASGVRDLNPQQVQRNHELREALAAVYRLWGYEEVAPPRIERMDTLKAGGAIDSRDIVRLVADEPLGLRPEMTASIARAACTRFQNRRRPLRLWSHGTVFEGRQADEGGLCIEEKLHCGVELFGARGVEAELELLSLLMASFKALALPLSEPPQLLIGHTGLMQLLLKNVDEQDHPAYRNCLTQLDRLALRELINTQPQHAHLQQWLDRRGAPDAVISQLKDAFPDAPVLQQLTRLINHLSPLAETTGISLQLDPTFQPMYALYDGIVFQLVCRGTSSPVVVARGGRYDTVVQRLGARGKDATGLGFSFCVDDLRDLPGAFAMTTSRTDRILLCYSQNSSMEQALQAQAGLHRRGLSCQVDHHPCETKAEAEERLREAGCNSLEWVGD</t>
  </si>
  <si>
    <t>YP_001224924.1</t>
  </si>
  <si>
    <t>muramidase</t>
  </si>
  <si>
    <t>degradation</t>
  </si>
  <si>
    <t>MTFLARSICRVLPAVSASVLPLLSLSAPAGAVLPPVGNDRSRLVMLPEEAEISALPYIITPERRAMLNTIRFAEGTWKGGLDLGYRVMFGGGLMSSMDRHPNRVIYSSRYASAAAGAYQFMPFTWDLVKRSLGVRGFGPEVQDQGALFLIQRRKALSLTDTGVMTPLLAAKLAPEWASFPTLRGRSYYGQPVKRFTNLKGFYNLNLAQLRQIRDAKRDALADKASETETGMPKAPVCTGPTILCGMP</t>
  </si>
  <si>
    <t>YP_001223862.1</t>
  </si>
  <si>
    <t>MTSTHPMPSSHSLHGLRLVVTAIDLEQSEHRGIAVYSKGVLRALKRAGAEVWLLTQFDPPMNDLRSRRIPKTTADTVFYARVLEGLNTGHRHLAQMSLRQRVLRALPIVNQWVPPVLKARSKFSTLFPQRHYPSRSLKCLPIRELFDNPYLQTERLDYLLNVDGLICADDIFVNSFRLANQKPGEMLEIDLQGFDGLITTCPLQIRPTNPTVFIQTVHDLIPLEYMQTSDHVPGFARRLRSCAPAGRLFVSSATQRKFNASILPTAMEGAEHHSRVLIQSPSLQFPGDALDWEAQMPSLKINAEGKERLQTLQPGGYLLFNSSVEPRKNLLFALRAYVESGIERHGIRFCITGLLKEDAYSASVSRLVSGHKSILLTGYVDEATKRHLYLNALALVSPSLVEGFGIPVLDAACLGLTALASPSASHQEIQALHDFDQHVLLCSTLQTSDWASAMRLVTLKQEQEQADLGPQALRRHLNRLRSERILRYRHYQRLVDQSFDATICELVQAESGAATLSHTTRARQLAPRATN</t>
  </si>
  <si>
    <t>YP_001225064.1</t>
  </si>
  <si>
    <t>glycosyltransferase</t>
  </si>
  <si>
    <t>MTNPDLKGAARLTIHQHDRPDQILVLHGEGYRIGRDQGLEIYIEHPAVSRQHAVLQKRKQQWCLVDQGSTNGLWWKGRRVREIELKDGDQISLAPASEAGAPSLRFENPANRVAQRIRRWFGLGLVLALGGSGALLVLAGLNVPVRGRLATVRGPVAIYDGNNKPLDSVDSSRHRELDSLAEFSPSLINALLSSEDNRFWWHPGVDPIGTIRAFATNITGGRVLEGGSSLTQQLARSLYPDLVGEGDTLGRKWRELLVALQLESRFSKGELLLSYLNRVYLGVGWGFDDASRIFFNKSAGSLSVEEAALLVGLLPSPNGHDPCQFPQRALEARNRVLNKMADAGRLSLDAARAARRQPIQLAQNACSKEATRRSAPFYTDQVKRDLTALVGPEVAAEGNFLIETHLDPVLQNVIERRLRNLIRTAGGLGVTEGAAVVIDSRSGGVLAIAGGRDYRFSQFNRASMAMRQPGSTFKLMTYLAALDKGIKPTESIDCSAMEWGGQRFESPCKGRLTLTSAFASSSNTAALRLAKRVGLEQVVRQARALGITTPLDPVPGLALGQSEVRLIELTSAYAAVVNKGQWKPATTIRRLMDAETCRQNNLRGCGSLTGPQANSLNGGRQAIRPDVAKQMQAMLRAVVRSGTGTGASLGGQEGGKTGTTNDGRDLLFIGYEPSRHWVLGIWLGNDDNSPSASSSALAASLWGEIMRSAGRGGLNTR</t>
  </si>
  <si>
    <t>YP_001224124.1</t>
  </si>
  <si>
    <t>cell wall-associated hydrolase</t>
  </si>
  <si>
    <t>MPTLGTPLTPDLITPGSCWQLLKDLNGYARSRGEGLATQAAAGRCFRVITPVNKLGTTRIRVQLLEDGYPCWLNVADLAGQARTTTPPRPRLMSSDAIAARIPAVLAWLKVAAARPNDYLWGGTLGPDLDCSGLVQCAFASAGIWLPRDAYQQERFCEPVAVRPGNDQLLRPGDLIFFGRPQRCTHVAIHLERGRYMHSSGREHGRNGIGIDSLHPSDRHPVASHYRAELRGAGRIMRCHDGTTLP</t>
  </si>
  <si>
    <t>YP_001223858.1</t>
  </si>
  <si>
    <t>MSGCWLECTLMPDQLLREWPPGYGGVERVAHELAAVWGGTVWSFDAQGLRASEVDALPVTYPRRCLPCTPALGRLRLPLPSRALWQLLRSPQPLHGHLPSPGVLLLLVLARLLRPRRRVTAHWHCFLEPEAGLSGHLYALYQRLALLVVPWLGGVITTSPLLREELLRCGCRPDRVAVLSCCLSAEQEAGALALPERLAGPERPLQLLFIGRLDSYKRLDWLLQALTTLSHPWLLVVVGDGPRRLLFESLSRELFSGQAERSVQFLGRLDESAKLAQLAAADVLVLPSDRSNEAFGIVQLEAMAAGIPALAFQRRRSGMGWVGQLPGLRWAQTPDTLAAVLQRLAADPALRARLGQQARARYRALFARGVWLTNLSTWDQR</t>
  </si>
  <si>
    <t>YP_001225500.1</t>
  </si>
  <si>
    <t>MTSTRRHWVLIGGSAVVVGVGVALAQAAVTRAFDATLPDARGISRFNRPGTITLLSSNGAVIQKLGPATREKIEPGQMPLLVKQAFIAAEDRRFYEHDGVDLWGIGRALVRNVRQGAVREGASTITQQLARTVFLSQDRTLTRKLKEAALAYKLERQLSKEQILEQYLNYVYLGSSAYGLADAAWVYFSKTPSELNLPEAALIAGLPPAPSVYSPLVNPKLALERRSLVLDRMRQSGFITASEAEQARNSPLALKPAIPKYFNSAAPFFTSWVAQQLPRLLTPEQLEVGGLKIRTSLNLNWQKKAQSVVREFAPFDTEGSIVSMEPGTGLVRVMVGGKDFSSSQFNRATQALRSPGSTFKLFPYAAAINSGVKPEDKFVDAPRCWAGYCPKNFGNKYFGTISLADALKNSLNTVAVQLQDKVGFDAIISTANKLGIGNQRPLGKYYPMAIGAYEQTVLEMTAAYAAVANRGVYVKPTAFEEIRGPNGNVLWSRRVDGDKGRRALDSDVADAMNWMFQRVVSGGTGAAARLEDRPVAGKTGTSEGARDLWFIGSIPQLTTAVWFGYDNNNETNSNSGEAAWAWKQFMEEVKGTYPVQNFPPKPVLTRTFQPPGKAKPSGRREEAPYQGYDYTPGPDLWAPGEEPFIGGEPPAAPTAPPPRYVAPPGGPPVDENFRPLPVQ</t>
  </si>
  <si>
    <t>YP_001224266.1</t>
  </si>
  <si>
    <t>LysM repeat-containing protein</t>
  </si>
  <si>
    <t>MRRTLLTLLALIALSPLPSGAANVTVKAGETLSDIAARYGVSVGRLMRENGLRDSNHVEAGQTLRLPSGAAAGVTAGKGRHTVRSGDTLSGIAVQYGVSERQLMTLNGLASADHVERGQTLKLPSNAVLPKPKTASKPKRKPVPVKADPNATSHTVARGQTLTQIAKAYEIPVASLVSINAIEDPNQVTVGTKLMLRASATQPVTAVASNDQPQRAAVPKSNEQPKPTATVKPQPTATATAKPKPKPAAKVQPVTTAKANAAKTALASQPNKANWKTYGPLQVDWANWQLMGGSDVAPTLNSDGQSLYVAVNCSAGKINVTGANGNWKTWIAPQSNFERDLLKDRCKSAKG</t>
  </si>
  <si>
    <t>YP_001224009.1</t>
  </si>
  <si>
    <t>METISTGPRDRRRCHVLGVPVDACRDVVASAIGLHGDGGGQIVTLNAEMTMRARQDADLGAVIAHADLVVPDGAGVVWALGRQGVRVRRSPGIELAWSLLRYAEAHNWSVALVGGSPEVMARLKTKLAHSHPKLRLQMAEHGFQAPEAWPALEARLRSLRADLVLVALGVPRQELWAQSMRHSLPGVWMGVGGSFDVWSGVKQRAPEWTSRLQLEWLFRLLQDPSRWRRYLVLPQFAWAVLRAGARRR</t>
  </si>
  <si>
    <t>YP_001223815.1</t>
  </si>
  <si>
    <t>UDP-glucose-4-epimerase</t>
  </si>
  <si>
    <t>MNILVTGGAGFIGSHTCLRLLEEGHQVVSIDNYSNSTVQSLTRIKELTSSVNTQNLKIIDGDIRRSVDLFKAFNCLDGKEIDAVIHFAGLKSVGESMKKPLKYWDINVNGTSNLLMAMSKHGCKTLVFSSSCTVYGTSKQKKINEASTIAPINPYGRTKAAVEQMLLDQFNSDPQWRICCLRYFNPVGAHPSGHIGEDPKGTPGNLFPFLMQVAKKQRKKLNIFGNDWPTADGTCIRDYIHILDLVDGHLAALRFLCEEAPQWLAVNLGTGIGVSVLEFVSAFEQATGLVVPYEFVERRAGDAAVAVADPSVALKKLKWKPVRSLRDICIDGWKWQNANPNGFNNQASIIS</t>
  </si>
  <si>
    <t>YP_001223826.1</t>
  </si>
  <si>
    <t>dTDP-4-dehydrorhamnose 3,5-epimerase</t>
  </si>
  <si>
    <t>MPAEALHTAAGQCLPGPLLITPRVFADERGFFYESWNERRFRAELIEAGVPAAEAEALVFRQDNHSRSSRGVLRGLHYQLPPEPQGKLVRCSLGAIFDVAVDLRRASPTYGQWVGAELSAANHQQLWVPVGFAHGFLTLTDVAEVQYKASGFWNRDCERSLRWDDSALAIAWPLEQAGVSEPLLAPKDADAPLLASLDAAAEVFP</t>
  </si>
  <si>
    <t>YP_001223948.1</t>
  </si>
  <si>
    <t>MAAPRIAFCIDSLKLGGAERVLLRWAGWCQQAGWSVLVITRQSPQRDVYPVPAGVQRLQEPPLPLHLDRLGWLAFPWRVLGLRALLRQQHCHLAVGITTLPAVKLLLACVGSPVRCVVSERNYPPAKPPLLPWRCLRRLTYPWADLHLVQTRRTGAWLQRHCGVRRQLLMPNPVQWPLPDRAPQVLPEAWLPPDAALLLGAGTKAHQKGFDRLMPVFAALSATHPQLHLALPGVPEAPYQGLDQQSWLRTILGPDPTLQQRLLLPGMVGSMASWYARATVFVLPSRFEGFPNVLLEAMAAGCACVASDCLTGPAELIEQGVNGVLMPCEASTSDWVLAIDQLLGDAARRRRLAAAAMRVRERFAPERLRHDFLEALRPLSDG</t>
  </si>
  <si>
    <t>YP_001223941.1</t>
  </si>
  <si>
    <t>MTTRNGVWVVAACFNEEAVIVRFIERVLAVPGVDHLVLIDDGSRDATRDQIRTFLAQRRSLGVPVPVTLLELTRNFGKEAAMLAGLDHVRERCEAAVLIDSDLQHPPELIEAMVSEWRAGAEVVTAVRDDRDQESRLKVLSASWFYRVFNKVVDSIQLQEGAGDYRLLDVAVVDAFTRLRESSRFSKGLLPWTGYRSVELPYQRVSRVGGTTSWSPLKLIGYAFDGIFSFSVLPLKVWTGLGVLVSGISLLYALLIALRTALVGRDVPGYASLMVAVLFLGGIQLIGIGVLGDYIGRIYVESKARPHYFIRSIDQGGA</t>
  </si>
  <si>
    <t>YP_001224751.1</t>
  </si>
  <si>
    <t>UDP-N-acetylmuramoyl-tripeptide--D-alanyl-D-alani ne ligase</t>
  </si>
  <si>
    <t>MTLQLSQLVELWGQPLWAGGPAPDLSKALGPVCTDSRTLEPGSFFIPLRGERFDGHRFLSSAVERGAQAAFVASDCAHAVPDGLLHWKVADTLEAYQQLATLHRRQLNAAVVAVTGSAGKTTTRELIRSALAPLGDVQASDSNNNNDIGVPLTLLGAHRSHAAVVVEMGMRGAGEIERLSCCAEPEIAVITNIGTAHIGRLGSRAAIASAKCEITAALSPRGVVVIPAGDALLEDALSRCWTGRILRVSLEGDEPEGGPDVSGLTSAALPAPDLVGVFQPEDQSLAFQGLRFRCPLEGRHNARNFMLALAVASELEVPLHSLEAMDVAMPGGRNKRLSMGGVSLLDETYNASPEAVLAALELLAHQPGRRFAVLGTMLELGSRSVELHRRVAQRAVDLKLDGLVVVAGGDEGDVMEATACSLSRFTRVQTPEDAALPLRGWLKPGDTVLLKASRGVALERLIPVLRTTLIG</t>
  </si>
  <si>
    <t>YP_001224049.1</t>
  </si>
  <si>
    <t>soluble lytic transglycosylase</t>
  </si>
  <si>
    <t>MSAGPTRGLLLLGGTSILTLMAIVGGQRLLRQRAIAVTPRMDSAQVWARYRWSLDPVQRREAALLLASRSKDSPQRQRRLLAGQGWGPAPLAAVALKQQALAAQRLGRPAEAKQRWRSLLERFPTSAASADARYYLKGKDAQLKQQLLSQQPAHPAALAAAAELPDDASEDRLQANALHLARWGPHWPGAASLMRRSCGTLSGIGLSQEQRLSLASALAELGDGQAAELCLQGTPLQPPQELIIGRTLLRGTPVQKRRGEALLLDLANAHPQSEEALKAAALLSEPLRPKQALLDALPLSLQERSADVAAARVRLNGDPNGLEVLTRWPDHPAIWQLQWDLARNALLDDQWEQALSVLTTIPGNKLPDPLAARQQFWIGFSLAKLGKQEQAERVWDSLVKDYPPGYYTWRAEARLGGGDLPALRAETAAAATRTIKANTGIGQGWSPLNSGLPLVDQLWRLGLRQEAWDTWRSSQADVKPSPQSQLIEGRLRLGVQDYWTGLNRLWRANLRLVAPDDETQLQLHQSQHPRPLLPEFSAAAQQEAVRLELLLAIARQESRFSPGVRSPVGAVGLLQLMPATAAEMAAAPISDDDLQEPGRNAILGARYLAWLLEEWQGNIWLTAASYNAGPGAAGSWRSEELAQDPELWVERIPYPETRLYTKKVLGNLWAYLKPDWAGRDRSRSR</t>
  </si>
  <si>
    <t>YP_001224317.1</t>
  </si>
  <si>
    <t>UDP-N-acetylmuramoylalanyl-D-glutamate--2,6-diaminopimelate ligase</t>
  </si>
  <si>
    <t>MTQTLHALLKAVGLPVPAGVANATVTALTCDSRCVGQGSLFIGLPGERVDGGSFWPAALASGAAAVLIGEQAAAAHPPAPGDSVLVVPDPVAFWAGELASAFWQRPSMRMELIGVTGTNGKTTTTHLIEHLSQACGRPAALFGTLVNRWPGHSLTATHTTAAADRLQAQLAEALEGGTQVAAMEVSSHALDQQRVAGCRFSGAVFTNLTQDHLDYHPSMEAYFEAKALLFASPYLVGEGPRAVVNVDDPWGRQLADRLGERAWRCSLAHEADLTMADLRMTSNGVDGALRTPLGEGRFHSPLVGRFNLMNVLQAVGALLQQGLPLPLLLNALPSFRGVPGRMERIVLTGSAAEDHPAVLVDYAHTPDGLRNALEACRPFVRGQLICVFGCGGDRDRGKRPQMAAIAAALADQVVVTSDNPRTEDPGQILDDVVAGLPADAERQVEVDRAKAIALAIAQARCGDLVLIAGKGHEDYQILGTEKVHFDDREQAEQALRHWR</t>
  </si>
  <si>
    <t>YP_001223861.1</t>
  </si>
  <si>
    <t>MQLINLLSWLPGHSGFGSYVQRVVPGLDGLRLQLGVDGQGALLTPEQWLPEPPAWAPGRRMRVLQRYSLVQHGLNLPALLQSHGMQLDQLEAIYSPFFDALLCWPDVPQLITCHDLTPLVASNSRKAWLRYRLWQPRHCRTATRLIAISRYVADQLVAFGVESDRIEVIPNGIRIQRPPVLAPSSQDLVALARHDVNKNLPALFRGIDQLQRQCPQWSGTLRIIGRGGRQTPLVQRLHQRLPRPQQVELIDALPQAELVALVRAAMALLSASTEEGFDYPVLEAKAEGLPTLISDIPVHREFHEGSSLFFPTDDDGTALAGQVRALLGDGALWSHLSAAGLGLARSLSVERQVAQIRDQLVALGAS</t>
  </si>
  <si>
    <t>YP_001223784.1</t>
  </si>
  <si>
    <t>MAAGTGDHRRGKTALFLAACGWAGAAPHWLDPSRSLLPALTLAVLLGGYGLRTVLRRESLGDGSEPGLTSADPEEGANTARPTVDVVVAARDEEAVVTRLVERLAALRYPADRLSLCVVDDGSEDRTPERLAVLQDRFPALQVIRRPRNAGGGKSGALNEALAQTQGEWLLILDADAQLADDQLERLIPFACGGDWSAVQMRKAVTNAQDNWLTRVQAMEMAFDAQIQQGRLAGGGVAELRGNGQLLRRDLLEACGGFNEETVTDDLDLSFRLLLQEARIGILWNPPVQEEAVETLQALWKQRQRWAEGGLQRFLDYWPGLLSSRLNLSQRRDLASFFLLQYALPVVSWSDLITSLLSRTTPAYWPLSIVAFSVSGVAYWRGCRRSSDGPDLPQPDVLNLLLGIAYLSHWFVVIPWVTLRMALRPKRLVWAKTSHRGQEETVQA</t>
  </si>
  <si>
    <t>YP_001223949.1</t>
  </si>
  <si>
    <t>MDDLWVVLPHLGAGGAQKVGLLAAEHFASQGLRVRVLSLRHGHPIKHALPAGVEVFDLGPDEAVLHPWLRDVADRSLPARMRRFSLAQVLKVQRAALRLAIMVCWPLIERQMHPQRSTWATRLLMRGMPRLAGYRYARLRQLVQQRQPRRILSLLTKTNVLCCAAAWDLPLHLVVSERNDPRRQQLEPLWRRLRSLFYRRADVVTANTQGVIDALQEMGAWQRLELLPNPLPAGLARRDVDRSLVREPMVLAVARLVPQKGLDLLLQAFASLPEACRSGWGVVLVGDGPERQALTDQARQLGIAEAVTFAGFRSDPVSFMQRAAIFALPSRFEGMPNALLEAMAAGLPSVVSDASPGPLEMVSDGVHGCVVPNEDWRAFAQALERLMSDAALRDRLGAAARDTLCSLDWAVVEPHWRSVLALPDQDP</t>
  </si>
  <si>
    <t>YP_001223986.1</t>
  </si>
  <si>
    <t>pleiotropic regulatory protein</t>
  </si>
  <si>
    <t>MQVPPFSLSQQLADLGPELDAAVLRVLHSGQYIGGSEIQAFECSFAEAVGTPHAVGCNSGTDALILALRGLGIGRGDEVITASFSFFATAEAISAVGATPVFVDVDPSTYLIDLNRMEAAITSRTRALMPVHLFGRPVDMTRLMTIAERHGLRVVEDCAQATGAQWNGRSVGSWGDVGCFSFFPTKNLGAAGDGGAVCCHSPELAQRMRELAVHGMPRRYLHTDLGYNSRLDALQAAVLNVKLPHLNRWVERRAAIAARYSAALQDLPGVQLPESDAHGGHGWNQFVIRIQRCANGQELCGGSCPAVCNDHGLPDSRCRDWLKQSLQQQGVNTIIYYPIPIHRQPAYSDLNLAPGSLPITEQLCSEVLSLPIFPELSVDQQSRVITVIKSLLLERPVKANQTCDVAA</t>
  </si>
  <si>
    <t>YP_001223956.1</t>
  </si>
  <si>
    <t>3-deoxy-manno-octulosonate cytidylyltransferase</t>
  </si>
  <si>
    <t>MAIQRSVVAVPARLASSRLPDKVLADIGGKPMIQRVLERCAQAAGPAAVVLCTDSSRLQQLAQGWGFPVLMTAESCSSGSERIASVADQLVALAWGEQADAYDSVQRAHRLLCTAVINVQGDQPFLDPAVVTAMVEEFGRREPVPAVVTPIYRLSADTIHNPAVVKTLVAHDGRALYFSRSAIPHVRDVDPADWHRHAPYWGHVGMYGFRADVLAQWDQLPASPLEDLERLEQLRLIEAGHTIATFSVEGTSLSVDTPEQLEEARRMART</t>
  </si>
  <si>
    <t>YP_001223751.1</t>
  </si>
  <si>
    <t>UDP-N-acetylmuramate-alanine ligase</t>
  </si>
  <si>
    <t>MRSLVCTLDIQSPVHFIGAGGIGMSALARILLSRGHRVSGSDRRLSPAMESLKTAGMVAFESQAAANFQALDRLDRSSPIVVISSAIPDHNPELVAARERQLEVWHRSDLLAALIDQQPSIAIAGSHGKTTTSTVVTTLLHGAGEDPTAVIGGIVPCYDSNGHAGQGRLLVAEADESDGSLVKFRASLGVITNLELDHTDHYRDLDDLIATLQRFGDGCKRLLANQDDPILSEHFQADAWWSVQRSDNVDFAGLPVALEGDRTIADLYEQGTFVGQITLPMPGLHNLSNTIGALAACRMEGVPLEHLISHLSELKTPGRRFDYRGDWQGRQIVDDYAHHPSEVAATLNMANLMVSSGRSPLPRSPQRLVAVFQPHRYSRTQEFQTEFARALLSAELVLLAPIFAAGEAEMPGVNSEALASVMQELSTQQSVLVASTMDELVSLVKEHSLPDDLVLAMGAGDVNSLWSRLSQSSSEGQASCPPALAA</t>
  </si>
  <si>
    <t>YP_001225127.1</t>
  </si>
  <si>
    <t>hypothetical protein SynWH7803_1404</t>
  </si>
  <si>
    <t>MTRFLIRRHRWTTVLLGLPILFTPLTVACRPLNTPTSKRPEAVKPTVAGTSIELPTRSGLPVAPNGRHYPLVPVEANSTATLLVGIETALVDPNHDPAEIAQLAHQQQVIYRVLSHQPAVAAAVRDQLPSQLQWVFDQHIAARRSFLAMHRGPASTTLPAWRIQKPASQDVLLKAYRSAATATGIPWEVLAAVNLVETGMGRIDGVSVANAQGPMQFLPTTWAEPGIGRDGDIRDPWDAIHAAARYLVRRGGLKDIRRGLWGYNNSDHYGKAVMHYAALLQREPLTYRGLYNWQIHYAASAGDLWLHEGYAASSPVPVSVHLKRYPHSAPPQRAKPN</t>
  </si>
  <si>
    <t>YP_001226084.1</t>
  </si>
  <si>
    <t>glycosyltransferase family undecaprenyl-PP-MurNAc-pentapeptide-UDPGlcNAc GlcNAc transferase</t>
  </si>
  <si>
    <t>MPRLLIAASGTGGHLFPALSVADALPAGWSAHWLGVPDRLETTLVPERYPLTTVNAGGLQGRGLKKVVQLLRLLAASRDVRRLIRRNGIDVVFTTGGYIAAPAILGARWSGVPVVLHESNAIPGRVTRLLGRACTQVAIGLPAAARRIPGCKAIVTGTPVRNSFLQTQTLPDWVPQGPGPLLVVMGGSQGALGLNRMVRPLLPMLLSEGCRVVHLTGSNDPDVNSIKHPGFAERPFSDAIPALLQHADLAISRAGAGSLSELAVSGTPTVLVPFPQAADRHQDANAACAAALGAAVIVHQHGPSEPTLRQTLWRLLGPRLRSCDSAADPLVSMAQAMGTLAEADADQQLAALLQGLVR</t>
  </si>
  <si>
    <t>YP_001223854.1</t>
  </si>
  <si>
    <t>glycosyltransferase family protein</t>
  </si>
  <si>
    <t>MQRYAGEHLGVAPHIVVLGSCKVGNFVVSTPVLHGLRERFPDAVIGFIGSEVTADFEAADPCINWRMSWDAPTGQGDALYGVAKELSQRRQAHGPVALAVNLDGFNPVTRVLASFLEPLWVAGGALDASRRRDLPWGDQPSQAFMGDPDWDSLAFLERHQHLFKSNYIAELFAVLAGVADYCDPTAIRLQASAPSFAVPDVLIHCTTARAAKIWPFDYWRDVVKVLTQKGFSVGLIGSPPKQQQAAYNSGGAEEWLLAETQLIDLRGRTSLSELAGACQQARAVISVDAGPLHIAAAMGSSTLAVVGNDGNGIGASPVRLWMPRCENAQRTVSSVTCQLCAEAQFRNDQCLAEHHDCMLSVQPEQVLAWLDQVLE</t>
  </si>
  <si>
    <t>YP_001225339.1</t>
  </si>
  <si>
    <t>membrane-fusion protein</t>
  </si>
  <si>
    <t xml:space="preserve">enable transport between the inner and outer membranes enable transport </t>
  </si>
  <si>
    <t>MGSQKSETSAGATHAALRPLTRLSGIKRRRQRLIAAAAVVLVVGGGALIWSRGAGTGRRQLADYTATAKRGTLPGVITASGELEPIRRVNVSPKRQGLLDALYVDEGDAVTKGQVLARMDSGDFTDRMDELSALERQARADFEAKRADYIRYQKLENSGAISASDLDGYRAAFLSSKEALTAARERIQQRDVEGNELLIRAPFSGVITERFAEPGAFVTPTTTASANAGATSSSIVELSEGLEVAAKVPESDIGRIRIGQDATVRVDAFPDQRFPARVRDIAPRAEKTDNVISFEVELTLIDPPPTLRIGMTVDVDFQTGRTAESTLVPNVAIVTENGQPGVLLVGKDDQPRFQAVELGSSSGGQSAILSGVKPGSKVFIDLPPWAKKRD</t>
  </si>
  <si>
    <t>YP_001225679.1</t>
  </si>
  <si>
    <t>UDP-N-acetylglucosamine acyltransferase</t>
  </si>
  <si>
    <t>MTAENRPAQVHPLAVVDPRAELAAGVVIGPGAVVGPDVRIGAHTWVGPNAVLDGQLVIGEHNKIYPGACLGQEPQDLKYKGAPTEVVIGDHNTIRECVTINRATDEGEQTRIGDHNLLMAYCHLGHNCELGNGIVMSNSIQVAGHVLIEDRAVIGGCLGIHQFVHIGGMAMVGGMTRVDRDVPPYCLVEGHPGRVRGLNRVGLRRRGLDRKDDGQELKQLQEIWSLLYRSEHVIADGLKLAREQSLLPLADHLCSFLERSIAPGRRGPMPALGSR</t>
  </si>
  <si>
    <t>YP_001225707.1</t>
  </si>
  <si>
    <t>UDP-N-acetylmuramoyl-L-alanyl-D-glutamate synthetase</t>
  </si>
  <si>
    <t>MPLSIVVGLGRSGLGAARLLQAQGHDVVVLERGDTPALQDTAHALRQQNITIELGRPLELDSFTAWLDQASEVVISPGIAWDHPTLNALRAQGLRVRGEMSVAWDALSGIPWIGITGTNGKTTVTHLLQHVLAHAGLEAPMAGNVGHSAAELALEVLQGTRPKPDWVVMEMSSYQIEAAGEVSPRIGIWTTLTPDHLERHGTLAAYRAIKRGLLERAETPVLNADDADIRQHCGAWSRPGLRWVSGADDGPDKDSIHRISVNAQGWVSQGERPLFPADALPLPGDHNRQNMLLATAAALEASVSASSIEAALRCFTGVPHRLEPLGSVGGIPVFNDSKATNYDAAAVGLRSVQAPVVLLAGGQTKQGDADPWLELLQSQVCGVVLFGAGAGELADLIETAGFSGPVMHHADLNAAVPQALSLAKDFEAGSVLLSPACASFDQYPNFEARGDHFRRLINAVKDL</t>
  </si>
  <si>
    <t>YP_001225575.1</t>
  </si>
  <si>
    <t>prolipoprotein diacylglyceryl transferase</t>
  </si>
  <si>
    <t>MNSVLIPAVFTSPGPELFQLGPFVLRWYGLLIALAVLIGLNLSSWLAKQRGLDGALISDLLPILVLAAVVGARMYYVAFEWKTYQGSWWDAFAIWRGGIAIHGALIAGTLSVVLFCRWRKVAFWDVLDVLVPSVILGQAIGRWGNFFNSEAFGVPTDLPWKLLIPFANRPKIFADSEYFHPTFLYESLWNLALFIALIVLFRLGQRGRIQLPAGALSCFYLLGYSLGRVWIEGLRIDPLCLGGQPPFCDGGLRIAQFMSLALMALASAGLFWLYGRRASLPDPGLRRCDPS</t>
  </si>
  <si>
    <t>YP_001223830.1</t>
  </si>
  <si>
    <t>dTDP-glucose-4,6-dehydratase</t>
  </si>
  <si>
    <t>MLVTGGAGFIGGAVVRRLLTGSQALIFNLDKFGYASDLTSIEGVLKDLGPAAAERHVVQRVDLADAAATAAAVQQADPDLVLHLAAESHVDRSINGPSAFLTSNVLGTYSLLQAVRAHWERLPQERQSAFRFHHISTDEVFGSLGPTGRFSETTPYDPRSPYSASKAASDHLVNAWHHTYGVPVVLTNCSNNYGPWQFPEKLIPVVILRAASGEPIPLYGDGLNVRDWLYVDDHVEALLLAATRGRLGASYCVGGDSERTNRQVVEAICSLMDEFKPESAPHDRFITRVKDRLGHDRRYAIDPGLITTELGWKPRHNVENGLRQTVRWYLNHLQWCNSLLDRN</t>
  </si>
  <si>
    <t>YP_001223844.1</t>
  </si>
  <si>
    <t>MRILFSHNNYPAQFRRLIPALIEQGHEVVFLCRSKEWHAPELDGVRLLPFEPHRAGGGAAIHPYLRRFEAAVLQGQATYRSLQPLVQEGWAPEWIINHVGFGNGLYLSDVFPNARRIGLFEWYYNACGADVDFLKRGPVDPDRALRLRTWNAHLLLELAACDFAVTPTRWQRDQFPKHLRSHLRVIHEGIDVDGMQALRQSPPIRPACLPADPDLEIVTYVSRGFEEYRGFPQAMQAIAELQRRRPGLHALIVGHDGVAYGAKRQDGRGWGEWARDELTLDPSRTHWMGMLQDAEYHQVLAHSSVHLYLTVPFVLSWSLLEAMAAGCALVSSATPPVLEVLEHDRSALLVDFFDPMAQANAVERLLDQPDLRARLSRAASKKACDFKASIGIQSWLALFGEELRT</t>
  </si>
  <si>
    <t>YP_001225582.1</t>
  </si>
  <si>
    <t>MRVLALSPGSLQQQLERLPALAAVAEQLGAQIQVACEPAHRPLWSLLPAVEKVIPFPFAGDPNLAEWANLLGLVREPDFQACLNFATGRQVNLMLSMSHIPVRVATEGFSSTAQVTPGQGWKPQQLASYLKPLGLSLKADDFRLSLPADAMEAARQLQPPGEGPLLLLAPDDSADDWPNERWQSLPERIRERLPQLRCEVIPPQAALPRRAAAVACADVVLSSCATTQLLTAYCGVPLVAMGSATDALPERDVIRVLAGERQALSTEEVMKALGF</t>
  </si>
  <si>
    <t>YP_001225469.1</t>
  </si>
  <si>
    <t>UDP-N-acetylglucosamine 1-carboxyvinyltransferase</t>
  </si>
  <si>
    <t>MTTAAPPSQDILKPHLAIDGGHSLQGELKVSGAKNSALVLMTASLLTAERLTLHNVPPLTDIDGMENILVSLGVKVHRRSETVELEASHLTSAEPPYDLVNGLRASFFAIGSILARMGYAKVPLPGGCRIGARPVVEHIRGLKALGASVSVEHGVVTAAVPGEGKRLKGASIVLDCPSVGATETILMAATLAEGTSVIENAAQEPEVQDLANLLNAMGARITGAGGPTITIHGVEALHGCEYSVILDRIEAGTFLLAAAITRSRLRVAPVVPEHLNAVLQKLRDCGCELEIDGDGITITPGTIKGVDITTQPFPGFPTDLQAPFMALLATASGTSVITEKIYENRMQHVAELQRMGAAIRIQGSTAIVEGVPSLSAAPVNGTDLRAAAAMVLAGLVARGSSQVSGLNHLDRGYAGIEAKLRACGAVLERHLP</t>
  </si>
  <si>
    <t>YP_001224876.1</t>
  </si>
  <si>
    <t>UDP-3-O-[3-hydroxymyristoyl] glucosamine N-acyltransferase</t>
  </si>
  <si>
    <t>MRFSQLIAVLKNGDAGVLSTSEGRDPELRGAASLERATADQLSFLEKGNALVGSLESSEAGAVLIPDQQELRELAERLQLAWAVCGDPRLAFAEALEQLHPKPSPQAGIHASAVIADRVQLGAGVSIGARVCIGDDTRIGPRTVIHPGVVIYGNVDIGEGCELHANAVLHPGSRIGDRCVVHSNAVVGSEGFGFVPTAKGWRKMPQTGLVVLEDGVEVGCGSTIDRPSVGETRIGSGTKIDNLVQIGHGVVTGRGCALASQVGIAGGAQLGHGVILAGQVGVANRAVIGDRAIASSKSGIHGEVAAGEVVSGYPAIPNRLWLRCSAAFSKLPEMAKQLRELKKQVSSEATGGSIEADQ</t>
  </si>
  <si>
    <t>YP_001223775.1</t>
  </si>
  <si>
    <t>glycosyltransferase of family alpha-mannosyltransferase</t>
  </si>
  <si>
    <t>MKIAFFTETFLPKVDGIVTRLTKTVKHLVDAGDEVIVFCPEGCPEEYMGARLIGVPAMPLPLYPELKLALPRPAVSEAIDSFQPDLIHVVNPAVLGLGGIWLAKAKSIPLVASYHTHLPKYLEHYGMGMLEPLLWELLKAAHNQALLNLCTSTAMVQELSDKGIQHTDLWQRGVDTELFRPDLRSAELRQRLLGRHDDRGALLLYVGRLSAEKQIERIKPVLEALPDARLALVGDGPHRQQLEKHFEGTATTFVGYLAGEELAGAYASGDAFLFPSSTETLGLVLLEAMAAGCPVVGANRGGIPDIISDGVNGCLYEPDGADGGAASLIAATQRLLGNDVERQALRNAARSEAERWGWAGATEQLRGYYRQVLKQPQLNAAA</t>
  </si>
  <si>
    <t>YP_001223836.1</t>
  </si>
  <si>
    <t>GDP-L fucose synthetase</t>
  </si>
  <si>
    <t>MATTTLIKPCDRFFVAGGRGMAGSAIVRALRRAGYGNPNQGGALLTPARLELDLLDDSAVRDWMEAQRPDVVVLAAATVGGIEANRSRPADFLLQNLRIETQVIEAAWRCGVRRLLFLGSSCIYPKFADQPIREEALLTGALEPTNAWYAIAKIAGIKLAEALRLQHGFDAISLMPTNLYGPGDNYHPTGSHVLPALIRRFHEAKQRGDASVTCWGTGTPLREFLHADDLGEACVFALEHWSTLSDDAPRNDAGDPLAFLNVGTGIDLSIKKLAEQVAASVGFDGAIHWDHSKPDGTPKKQLDVSRLAAMGWRAQIELEDGLPLAYMDFKRCLNSSMLRGMEQ</t>
  </si>
  <si>
    <t>YP_001224887.1</t>
  </si>
  <si>
    <t>NAD dependent epimerase/dehydratase</t>
  </si>
  <si>
    <t>MQILLMGGTRFVGKPLVSRLLQQGHQLTLFTRGRQPLPEGVESCIGDRQDAAALEQLRGRRFEVVIDSSGRTLADSQKVIERTGAPSHRFLYVSSAGVYAGSDTWPLDEQSPLDPQSRHAGKAETEAWLMREGIPFTSFRPTYIVGPGNYNPVERWFFDRIVNQRPVPLPGDGTTITQVGHVEDLAEAMARSLEVDAACNRVYNCSSHRGITFRGLIAAAAKACGRELADLDLRSFDPSGLDPKARKAFPLRLSHFLTDVSRVERELAWMPRFDAATAMADSFQRDYQLNPTPSPDFSGDEALFSQG</t>
  </si>
  <si>
    <t>YP_001224972.1</t>
  </si>
  <si>
    <t>N-acetylmuramic acid-6-phosphate etherase</t>
  </si>
  <si>
    <t>MIEPSADRGHLLTEQTNPSSENLDQLSTDALISLFVEEDRRPQMAVQGAISALSEAVDAIAKRLKAGGRLFYLGAGTSGRLGVLDAAECPPTFCSPPELVQGVLAGGPAALLRSSEGLEDLESAGASDLKDRDFSGNDCLVGIAAGGTTPYVKGGLRYARELGALAIAMACVPSDQAPLPCDIDIRLLTGPELLTGSTRLKAGTATKMALNILSTGVMVRLGKVYGNRMVDVAASNSKLVDRSMRILRDLLGLDRAASQALLGLAGGSVKRALVMGSCQLDAAEADALLKAHGSDLRQALLSRGVSLPQEAVTLPQ</t>
  </si>
  <si>
    <t>YP_001226251.1</t>
  </si>
  <si>
    <t>hypothetical protein SynWH7803_2528</t>
  </si>
  <si>
    <t>MRPIRSVFAAIAASAAVVLSGLPASALERLVLRMPYLGVDFTINLGEGRSVEEVIQSSPDLVDLDRASEGRLLALLKTVFLSPLPAELRGLLEGSTGQPLLEQALNAAAFIVNLEGVPFDSSGSMLTKALRRAYDNDQNNLLGFLHQLPGEEASIDLSKLAEAVNRLVANQSDGLELVKAGFAAPVSSELFESLQDPTWTREVIRVSVQHRDEPLRVLVLKPQGAGNQRLVVISHGLWDDPESFEAWAEVLAAKGYVVLLPDHPGSNFEQQRAMLAGDRPPPGPEELRLRPLDVSALLTAVEQGRVLAGRDLNTKEVAVVGHSWGATTALQLAGGIPTDQKLKARCRDPRDPERNISWVLQCSWLSGINKAGVADSRVKTVVAVSPPMRLLFDPVQSLDSVNGQRSSRPKVLLISGTRDWIVPSGPEAVSPMRDTQAARLGHRLVLVDGGTHFNLRAVRGQAPKAVIGPVVLAWINQQMTMTSSFTFDAGRWGHPDRRLVDVSGQL</t>
  </si>
  <si>
    <t>YP_001225053.1</t>
  </si>
  <si>
    <t>MFISVVIPTYNRRPILEKCLLALEGQNPSGEIENYEVVVVDDGSTDGTTDWLRASSSRFPRVRLIEQSHGGPAEGRNRGVSHARGDVIVFIDSDLVVTPTFLASHARALAAQWHRSGHRLCFTYGAVINTANFEHPTHERHKLRDLSWAYFATGNVAIDRGVLEQSGLFDTGFRLYGWEDLELGERLRQMGVALVRCPEAVGYHWHPAFRLEQIPDLIRVERERARMGLVFYRKHPSRRVRMIIQFTWMHRILWWVLTLGGLVNEQTLKPLLSWLIRQGQPSLALELLRLPLNRLGVEALYREAKVMGLH</t>
  </si>
  <si>
    <t>YP_001225310.1</t>
  </si>
  <si>
    <t>hypothetical protein SynWH7803_1587</t>
  </si>
  <si>
    <t>MVANGALALVLHAHLPYVRGAAPQSLEEDWFFQALIECYLPLLDTLEAAAADPLQEARLTMGLSPTLLSLLADRTLQSRFPAWVEARLTLLKQAPDDREEAASDLGLSFQKHLQAWKDCDGDLISRFAALQRQGVLDLLTCGATHGYLPLLREHPETVRAQLRTAVREHHRLIGERPLGIWLPECAYYEGLDRWMRDAGLRYAVLDGHGLLHAEPRPRYGVYAPIVSQQGVAFFGRDSDATLPVWSARDGYPGDPLYREFHRDLGWDLPAKQIEAHGLPTGRPLGLKLHRVSDPSGGLDGKCPYEPERARQRTQDHARHFLQGRREQLERLQAGMAIEPLLVAPFDAELFGHWWFEGPHFLRELFRQGPAAGVRFTSLRGVLASSPNLQLCAPCPSSWGRGGFHDYWLNETNAWIIPEWSRAGRAMVERCSRGVGTEADLRLLHQAGRELLLAQSSDWSFILRAGTTTELAKERIERHLARFWRLMAAIDRREDLPEHWLEDVEAEDALFPLIQPADWRKIGD</t>
  </si>
  <si>
    <t>YP_001224468.1</t>
  </si>
  <si>
    <t>hypothetical protein SynWH7803_0745</t>
  </si>
  <si>
    <t>MSRRWRPGQLMALPALAAVAVAAVGCSASDQSVDSSAGGASTIRIQLDGKDPSASRGELGRGSKPLQFKVGFGRNGIACQGTRFEEGWTPLGTFRVNAVLSADRFAMDPSLVEASGRSEDYLRDNLFRNMSAIDFKGDGETAEYGIGYISLTPVPATPQPFRFNTYDGQFRWYSFAIHGTNDSSRVGQSVTGGCINVGEQAMADLLKTVQLGDEVVITSESPCVS</t>
  </si>
  <si>
    <t>YP_001224980.1</t>
  </si>
  <si>
    <t>N-acetylmuramoyl-L-alanine amidase</t>
  </si>
  <si>
    <t>MVRLPLKQNLSALLKRMQRPGVGIVLVSTASLLVVVSLVGVTAEKDSGARRPSLLDLLNDVGKDKDSGRTIEGEPPVPPKALSWSSPLARQCSGIDPSVRKRLLQRKRTLSEQRKTIPADPTNFGTRYRRNPWGQPLNPDPRVVVLHETVYSLGSALNTFQTPHPRDEDQVSYHTLIGLDGAIVDLVDPLQRAFGAGYSAFLGEWAVTNAKFKGSVNNFALHLSLETPKDGHDNDKRHSGYTPAQYDAMALVLDNWIERFGFQPAAITTHQHVDLGGVRADPRSFSWADLQIRLAALGKLCL</t>
  </si>
  <si>
    <t>YP_001225924.1</t>
  </si>
  <si>
    <t>undecaprenyl pyrophosphate phosphatase</t>
  </si>
  <si>
    <t>MESAVSEPGLLEAIWRDFVLGVVQGLTEFLPISSTAHLKIVPVLAGWGDPGVSVTAVIQLGSIVAVIAYFRADLAAVLRGISGAVRRGQWREPEARLGIAMTIGTLPILFAGLAIKLYWPGYETSPLRSVPAIAGVSILMALLLALAERFGPRSKQLDQVQGRDGLLVGLAQVLALIPGVSRSGSTLTASLFDSWKRPDAARFSFLLGIPAITIAGLVELKDAFTEPSAGGVLPLMVGIVSAAVVSWLAIDWLLKFLQRHSTWVFVIYRLLFGILLLAWWAGSGSN</t>
  </si>
  <si>
    <t>YP_001224125.1</t>
  </si>
  <si>
    <t>hypothetical protein SynWH7803_0402</t>
  </si>
  <si>
    <t>MAFYRPEPTMQEHLAALIDRLAADGRPGLHERMAVTWVRYDQASPATGSGSGASWADQKLMYPASVVKLIYAVASEHWLERDVLPDSEELRRALLDMLADSSNDATGLIVDLLTGTTSGPALRSPAWEQWQHQRLVVNRWLRDFGWPELERVNCCQKTWGEGPYGREKAFYGETNANRNALSTAAVARMLEAVMTDGVLSPPACQRLRTRLLRSLDQKVRAADPENQVDGFLGAGLPAGSTLWSKAGWMSQARHDAAWWAFGDEAPHLLVVFTEGAELANDASLLPAMASDLARFATSD</t>
  </si>
  <si>
    <t>YP_001224564.1</t>
  </si>
  <si>
    <t>hypothetical protein SynWH7803_0841</t>
  </si>
  <si>
    <t>MDPHQFPPIAGREQAIQSLRLNRPRRWMALPSSTLDNQQAAFACALHMHQPTVPAGVNGALISHLQYMFDRPGEGDNHNAEPFAQCYRRMATLIPDLINEGCNPKIMLDYSGNLLWGVVQMGRDDITEALRYLACDQQMQNHVEWLGTFWSHAVAPSTPIPDLALQISAWHHQFADLFGNEALQRVQGFSLPEMHLPNHPDTLFALVKALKDSGYRWMLVQEHSVERCDGTPLASAQRYLPNQLMARNSRGDEVSITVLIKTQGSDTKLVGQMQPCYEAMGLEAQQLHGRTVPSLVSQIADGENGGVMMNEFPEAFRQANRRVRDGEGNVAALNGSEYLAHLESIGVEERHFPRIQAVHQHRVWEDVGDAIHPDAITAAIEKLTSLGDGFSMQGASWTNNLSWVDGYSNVLDPMQALSARFHQHFDAAVAADPSVTASSAYRQALLHVLLLETSCFRYWGQGQWTEFAQAINRRGEASLASLSSRSAS</t>
  </si>
  <si>
    <t>YP_001224122.1</t>
  </si>
  <si>
    <t>MAGLDLSVVVPLYNEEESLPELVEQLLSALRPTGEHFELVLVNDGSTDATAAVLERISADVPELVGVLLRKNYGQTAAMAAGFDVAQGKVIVSLDGDLQNDPADIPLLLAKQREGFDLVSGWRHDRQDAELQRKLPSRIANRIIGRVTGVRLHDYGCSLKAYDRDVLADMRLYGELHRFLPALAFIEGARITEVKVNHRARQYGTSKYGIDRTFRVLMDLLTVWFMKRFLTRPMYVFGFGGLIAILLSLIASSYLLAIKLMGDDIGTRPLLILAVVLGLAGIQLFCFGLLAELLIRTYHESQGRPIYRIRATLRGGRAC</t>
  </si>
  <si>
    <t>YP_001225366.1</t>
  </si>
  <si>
    <t>alpha/beta fold family hydrolase</t>
  </si>
  <si>
    <t>MLLHGFGASSSHWRHNAGPLANAGYRVYGLDLIGFGRSDQPGLQRRMALDNRLWGRQLAAFLEQVVQSPAVLVGNSLGGLTALTTAVLAPRLVAAVAAAPLPDPALIKPIALRQKRRTRQLRRATVTVLCRLLPLELVVPLISRTPLLKAGLQGAYRRPIGMDKELLRLIARPARRITAARALRAMSVGMALRPRGATAPALLQRLRQSPQPPPMLLLWGRDDHFVPLLLGERVQSEHPWIELKVVENSGHCPHDETPERFHQELLHWLDRNLGHEHASGIEHQA</t>
  </si>
  <si>
    <t>YP_001223916.1</t>
  </si>
  <si>
    <t>MKLSIIIPCYNESATILSLIDAVKQSPVANKEIIIVDDGSRDGTRDILSTLKDPDVRVIFHKMNQGKGAALRTGFQEASGDICIVQDADLEYDPQEFPIVIQPIVDGKADVVFGSRFQSGRPHRVVYFWHRVGNGVLTLMSNFFTDLNLSDMETCYKAFRREVIQAINIRENRFGFEPEVTAKIAKMNLRIYEVGISYYGRTYDEGKKIGWKDGVRAIYCILKYNLWAQR</t>
  </si>
  <si>
    <t>YP_001224759.1</t>
  </si>
  <si>
    <t>MPRLPRRFTALLVAASLQSVGWFSGLPARAASALAAWSFGKDGVLQLRTSTGARLDAFFEAGDRRQGPRVWIDFPGELSRPRRIPGSGPVREFRLGKPTPGATRLVIEFQPGVTLDPGNLRLVGTAPDRWKLLFEGLPTQGLRSIGEGDLNRASSGRWGGVRIRPTQTPVNAEGLPDVARGRYRVVVDPGHGGPDPGAVGINGIREAEIVLDISLQVARLLEAKGVQVTLTRTAEVDVDLPPRVSLANRIGATAFVSIHANAISMSRPDVNGIETFYFSDPRSARLAAHIQQQVLNVSPGSPNRGVRRGRFFVIRRTTMPAALVETGFVTGDIDASRLATASHRRRLALAIAAGILEYLQGVR</t>
  </si>
  <si>
    <t>YP_001223923.1</t>
  </si>
  <si>
    <t>mannose-1-phosphate guanylyltransferase</t>
  </si>
  <si>
    <t>MTTPLIPVILCGGTGTRLWPLSRASYPKQYWPLGGSGDETLLQQTQQRLDGLEGLAPPLLICNDDHRFIVAEQMRQIEVEPGAILLEPMGRNTAPAVAVAALQATARGEDPLLLVLAADHVIRDGEHFRAAIAAGRSAAEAGRLVTFGIVPTAPETGYGYIEAAEPLQPGALTPVPIARFVEKPDRATAEQFLASGRFTWNSGMFLFKASAMLAELERLAPEVVSCCRAALEQDVADLDFLRLEREAFAKCPSVAIDVAVMEKTELGSVLPLAAGWSDVGSWSALWDTADRDDDGNVLRGRVISEGSRNCYLRSEHRLVVGLGVENLVVVETDDAVLIADRSQAQNVKTIVKQLEADGSPEGKAHRKIYRPWGHYTGVVEDSRWQVKRISVKPGASLSLQMHHHRAEHWIVVKGTALVERDGDQQLIGENQSTYIPLGCRHRLTNPGRIPVELIEVQSGAYLGEDDIVRFDDVYGRSDAAARAALTPQ</t>
  </si>
  <si>
    <t>YP_001223945.1</t>
  </si>
  <si>
    <t>MIPSGADAQRIRVLVPGTGTRFRCGGLSVALQTARLLSDLRPTQVVTYRERSGSEPFLADVLRAEPAPGQGLWIVSWGFDVPALLRRLRGRAVLYQAHSTGYGFDLPPGVPVAAVSRNTLGYWGDRAPRNPLFLLPNALEPQWFERGARASLQQRARPIDVLVQRRKSSAYVLHQLVPALRAQGLKVEVQDGWVDDLVALFNNASVYLYDSADHWRCAGVSEGFGLPPLEASACGCVVFSSVNHALADILTPGVMGHQLGCGSLQHDVARISAAVARPADWRPTPSEMERLLSPYSEDALVNGWRRVLNELDALMPRLQAEPPLRSVPLAALRRRRWLAAARRVVNRLPGWLPGR</t>
  </si>
  <si>
    <t>YP_001225563.1</t>
  </si>
  <si>
    <t>UDP-N-acetylglucosamine 2-epimerase</t>
  </si>
  <si>
    <t>MAAKPRVTIVLGTRPEAIKLAPVIQEFRACSALETRVVLTGQHREMVTQVMDLFQLSADQDLDLMAPRQTLTHVTCAALQGLRDDFQAFPPQLVLVQGDTTTAFAAALAAFYEQIPVGHVEAGLRTDNLLDPFPEEANRRLISQVAQLHFAPTQRSQANLEASGVVGRAMVTGNTVIDALLRMAERAPALTDLPIDWANQRVILATVHRRENWGDRLRNIAVGMLAVLESHPDTTLLLPLHRNPTVREPLQELLGHHPRVVLTEPLDYDRLVAAMKGCTLLLTDSGGLQEEAPALGKPVLVLRRTTERPEAVDAGTARLVGTDSASIAQETARLLDDPAAYDQMARAVNPFGDGLASGRILQAALELLVR</t>
  </si>
  <si>
    <t>YP_001225479.1</t>
  </si>
  <si>
    <t>D-alanine--D-alanine ligase</t>
  </si>
  <si>
    <t>MPTSLLRVGVVFGGASGEHAVSIRSARTVIEAFSAPENQERFAVIPHYIDREGRWWGPAVAERALEQNKALDAHELPQPLPAPGLRHWPVDPDSVDLWYPVLHGPNGEDGTVQGLFTLMNKPFVGSGVLGSAVGMDKLAMKAAFAAAGLSQVPYMGLTAADLEDPERLEQLLTRVEQELGYPCFVKPANLGSSVGITKANNRDELLAGLHQAAALDPRLLVEQGVNARELECAVLGRRHLRASVVGEIRFDADWYDYETKYTEGRSHTLIPAPLPALVSQQIQAMAIRACHAVHAFGQARVDVFYDETSGEIWLNEINTLPGFTSQSMYPTLWAASGIPLPQLVAELVDTAQE</t>
  </si>
  <si>
    <t>YP_001223915.1</t>
  </si>
  <si>
    <t>dTDP-glucose 4,6-dehydratase (nucleoside-diphosphate-sugar epimerases)</t>
  </si>
  <si>
    <t>MRITRNLITGGAGFLGSHLTDRLMNAGEEVICLDNYFTGRKSNIAQWIGHPRFELIRHDVTEPIRLEVDRIWHLACPASPVHYQFNPIKTAKTSFLGTYNMLGLARRVGARLLLASTSEVYGDPEVHPQPESYRGCVNTIGIRSCYDEGKRIAETLCFDYQRMHGTEIRVMRIFNTYGPRMLPDDGRVVSNFIVQALQGQPLTLYGDGSQTRSFCYVDDLIEGMIRLMNGNHTGPINIGNPGEFTIRQLAELVRDRINPKLELITKPLPQDDPLQRQPIIDLARKELGWEPKIALQDGLQPTIDWFKQSLSKG</t>
  </si>
  <si>
    <t>YP_001223837.1</t>
  </si>
  <si>
    <t>GDP-mannose 4,6-dehydratase</t>
  </si>
  <si>
    <t>MGRSALITGITGQDGSYLAELLLEKGYVVHGIKRRASSFNTSRIDHLYQDPHELDPRLVLHYGDLTDSSNLIRIIQDVQPDEIYNLGAQSHVAVSFESPEYTANCDALGTLRILEAVRLLGLTERTRIYQASTSELYGLVQETPQRETTPFYPRSPYGVAKLYGYWITVNYREAYGMYACNGILFNHESPRRGETFVTRKITRGLARIDASLDDCLFMGNLDSLRDWGHARDYVEMQWRMLQQEAPDDFVIATGRQESVRRFIELSAVALGWGSIVWEGSGLEEQGRRADTGEVVVRIDPRYYRPAEVDTLLGDPSRAHEKLGWRPTTTLEELVQEMVEHDQNEARKEAYLTRKGFQVVGAHE</t>
  </si>
  <si>
    <t>YP_001226005.1</t>
  </si>
  <si>
    <t>nucleoside-diphosphate-sugar transferase</t>
  </si>
  <si>
    <t>Cell wall/membrane/envelope biogenesis; Translation, ribosomal structure and biogenesis</t>
  </si>
  <si>
    <t>MKAMILAAGRGTRVQPITHVIPKPMIPILQKPVMEFLLELLKEHGFKEVMVNVSHLAEEIENYFRDGQRFGVEIAYSFEGRIEDGELIGDALGSAGGLKKIQDFQRFFDDTFVVLCGDALIDLDLTEAVRRHREKGAMASLITKRVPKDQVSSYGVVVSDQEGQIKAFQEKPTIEEALSDTINTGIYLFEPEIFDHIPSGQSFDIGSDLFPKLVELGAPFYALPMDFEWVDIGKVPDYWQAIRSVLQGEVRQVGIPGKQVRPGVYAGLNVAANWDRINVQGPVYVGGMTRIEDGATLIGPSMIGPSCHICEGATIDNSIIFDYSRIGAGVQLVEKLVFGRYCVGRNGDHFDLQEAALDWLITDARRQDLVEPSPQQKAMAELLGTDLTAPAS</t>
  </si>
  <si>
    <t>YP_001225678.1</t>
  </si>
  <si>
    <t>lipid-A-disaccharide synthase</t>
  </si>
  <si>
    <t>MVRLLISTGEVSGDLQGSLLIEALHRQAARRGLDLEVLALGGSRMQAAGAELLADTAPMGAIGLWEALPLVLPTLKLQARVDHVLQQRPPDGVVLIDYMGANVRLGNNLRRRLPSIPITYYIAPQEWAWRIGDGGTTQLLKFTDRILAIFPEEATFYASRGADVTWVGHPLLDSVANRPDRAAARARLSLPPQGRLLLLFPASRPQELKYLMPVLVEAAARLQARDPSLDVIVPAGLASFEQPLKEALAAAGVRGSVVPSADADTLKPWLFAAADLALGKSGTVNLELALHGVPQVVGYRVSRVTAWVARHLLRFQVKHISQVNLLLGERLVPELLQDSFDADHLVELAAPLLADDAARQAMLSGYKRLTETLGEPGVTDRAARAILDQLPPTTTAS</t>
  </si>
  <si>
    <t>YP_001223954.1</t>
  </si>
  <si>
    <t>2-dehydro-3-deoxyphosphooctonate aldolase</t>
  </si>
  <si>
    <t>MAARQVSLGSITFANDAPFVLIGGVNVLESQQFALDAAAVYADVCRRLSIPLVFKASFDKANRSSIHSFRGPGLSDGLAMLQAVKDTHGIPVITDVHTPEQAAPAAEVCDIIQLPAFLARQTDLVQAMAGTGAVINIKKPQFLSPSQMANVVEKFRECGNEQLLICERGSNFGYDNLVVDMLGFGVMKRCCDDLPLIFDVTHALQCRDPGGAASGGRRSQVLDLARAGMAVGLAGLFLEAHPDPSQARCDGPSALPLHQLEPFLSQLKAVDDLVKSLPALTIQ</t>
  </si>
  <si>
    <t>YP_001223922.1</t>
  </si>
  <si>
    <t>D-fructose-6-phosphate amidotransferase</t>
  </si>
  <si>
    <t>MCGIVAVIGSRDAAPLLLEGLRQLEYRGYDSAGVATVESGQLHCIRAKGKLVNLSARVERDGAPGLVGIGHTRWATHGKPEEHNAHPHRDGSGAVAVVQNGIIENHRALREELSANGVTFLSDTDTEVIPHLVAAELARLQAAGRAADGALLLEAVQAVLPRLQGAYALAVLWAEVPGALVVARKAAPLLIGLGEGEFLCASDTPALAGFTRTILPMEDGEVALLGPLGIELYDASGARQQRSPSLLSGQEHVADKRHFRHFMLKEIHEQPETARLWVERHLPKGLPAQQPVALPFDDAFYSGIERIQILACGTSRHAALVGAYLLEQFAGVPTSVDYASEFRYAPPPLAPNTLTIGVTQSGETADTLAALAMDVQRRQGHGDPAFAPRQLGVTNRPESSLARQVPHILDIGAGIEVGVAATKTFLGQLLAFYALALAFAARRHSRSEAELAGLISELRGLPEQLSALVEQHDQRSEAMAHRFADTQDVIFLGRGINYPIALEGALKLKEISYIHAEGYPAGEMKHGPIALLDARVPVVSIAVPGVVFEKVLSNAQEAKARDAQLIGVAPEGPDTDLFDELLPVPAVSEWISPLLTVVPMQMLSYHIAAHRGLDVDQPRNLAKSVTVE</t>
  </si>
  <si>
    <t>YP_001223776.1</t>
  </si>
  <si>
    <t>sulfolipid biosynthesis protein (UDP-sulfoquinovose synthase)</t>
  </si>
  <si>
    <t>MKVLVLGGDGFCGWPCAVNLADQGHDVLIVDNLSRRKIDVDLEVESLTPITSIGERLKAWEEIGGKPMRFVHMDIAHEYQRLLDLLIEEKPDSVVHFAEQRAAPYSMKSSATKRYTVDNNVNGTHNLLAAIVESGQDIHVVHLGTMGVYGYGSHRGATIPEGYLKVEVPQPDGSRFEEEILHPASPGSVYHMTKTLDQLLFLYYNKNDKVRITDLHQGIVWGTNTDATDRDPRLTNRFDYDGDYGTVLNRFLMQAAIGYPLTVHGTGGQTRAFIHIRDSVKCVQLALENPPTQGERVKIFNQMTESHQVGELAKKVAALTGAQVNNLPNPRNEAVENDLIVDNRCFIELGLNPTTLDDGLLKEVVEIATRYADRCDRNRILCTSAWTKTQAQAIATA</t>
  </si>
  <si>
    <t>YP_001223853.1</t>
  </si>
  <si>
    <t>MRIALVNHGTANEWGGGDSVQIQETAKRLKQRGHQVSIQNSDRPEIDDVDLVHIFNCRVYQSFVQQMATCRQAGKPVVVSPIWISIGRALWGSRGSVGLLEQAVQSETAAAGGLNALLARQLVVHLPNGTVDALGRGTVDLSWQQTIGSLLKECQGMLPNSWLELKALQTDLHWCGNRFDVAHYGVNPQIFLDADPEPFRRHTGIQQPFVMQAGRIEPAKNQAMLCWALRETNLPIVLIGASRHWPSYAQLCRSISGDRLTIIDHLPQEMLASAYAAAGVHCLISWMDTCGLVSLEASLSGTPLVGSSFGHELEYLENDAWMADPADPIGIRTAVEEAWGQERNQGRSLRMKMKSLERFNWENTTNHTESLYQDILS</t>
  </si>
  <si>
    <t>YP_001223968.1</t>
  </si>
  <si>
    <t>MTTDARPILITGAAGFIGAALAQRLLQRGDRVVGIDSLNSYYDPSLKQARLQQIEAVAAPGAWSFCHQALEAADALQELFAREKPRVVVNLAAQAGVRYSLENPAAYIQSNLVGFGNILEGCRHHGVENLVYASSSSVYGGNRNLPFHEQQPVNHPVSLYAASKKANELMAHTYSHLYGLPATGLRFFTVYGPWGRPDMAPMLFAKAILAGEPIKVFNHGKMQRDFTYIDDIVEGVLRCCDKPATANPNFDALAPDPSTAAAPHRVFNIGNSQPTELLRFIEVMEQALGRQAIKDFQPMQPGDVVATAADTSALESWVGFKPSTPIEEGIAQFAHWYRSFYGH</t>
  </si>
  <si>
    <t>YP_001224753.1</t>
  </si>
  <si>
    <t>bifunctional N-acetylglucosamine-1-phosphate uridyltransferase / glucosamine-1-phosphate N-acetyltransferase</t>
  </si>
  <si>
    <t>MPVDSLGFVLQTMLAVAVLAAGKGTRMKSALPKVLQPLAGATLVERVLASARTLAPERRILIVGHQAERVEAQLNHLDGLEFVLQQPQNGTGHAVQQLIAPLQSFTGELLVLNGDVPLLRAETIEQLVETHRNSGADVTLLTARLNDPTGYGRVFADDDGRVSAIVEHRDCTEEQRRNTLTNAGIYCFNWSKLLAVLPKLSTDNDQGELYLTDTVSMLERAMHVEVADADEVNGINNRRQLAQCETLLQQRLRDHWMDQGVTFVDPASCTLSESCRFGRDVVIEPQTHLRGVCSIGDNCRLGPGSLLEDSELAENVTVLHSVVRGAKVARDVAVGPFANLRPAADIGEGCRIGNFVEVKKSTLAAGTKVNHLSYIGDAELGTDVNVGAGTITANYDGVNKHRTVIGDRSKTGANSVLVAPVTIGADVTIGAGSTITKDVPNGSLALGRAKQWVKEGWNS</t>
  </si>
  <si>
    <t>YP_001224891.1</t>
  </si>
  <si>
    <t>hypothetical protein SynWH7803_1168</t>
  </si>
  <si>
    <t>Lipoprotein-anchoring transpeptidase</t>
  </si>
  <si>
    <t xml:space="preserve">Cell envelope </t>
  </si>
  <si>
    <t>MSIPSWRIALPAGMALLSLGLAPMQARAEKTIEISLKQRYLTLLDNGKVVERFPVAIGAPESPTPSGSYAITRKEEAPVYHKGGKVIAPGPKNPVGVRYMAYFQIGSGEYAIHGTAWPNWVKLRAAVSLGCIRMLNKDVVTLFKQVDVGTPVVVTSN</t>
  </si>
  <si>
    <t>YP_001224270.1</t>
  </si>
  <si>
    <t>glycerol kinase</t>
  </si>
  <si>
    <t>Lipid</t>
  </si>
  <si>
    <t>MVRSPLLLALDQGTSSSRAVLFDEQGQAVASASAPLNIHYPADGWVEQTPMEIWASQRQAMARLEQTISAEQRQAVVACGITNQRETTILWRRSDGAPCGPALVWQDGRTADVCAAWKREGLERDWRTRTGLMLDPYFSASKIQWLLQNHDEASRAAAQGDLCFGTVESWLLWHLSGARRHCSDMSNASRTLLMDLEQRQWVPAFCDHIGLPSNALPDLVPCRGDFGTIASDCPFAGVPICALLGDQQAATLGQLCLEPGEAKCTYGTGAFLVINTGSEIKRSDAGLLSTLGWTDDQGTPTYCLEGSLFNAGTVVQWLRDGLEIIDSAEEVNRLALTVDDAAGVMLVPAFTGWGTPHWDPQARGLLMGLTRDSRRGHIARAALEGIALSVAGLVRLAEQASGHELGELAVDGGAAASDPLLQAQADSTGLRVRRPSQLESTARGVALLAGLQCDVVSDLQSLLPQREQNTQLFMPRLDLDQRQTWLRRWDDAVSRSLHWHE</t>
  </si>
  <si>
    <t>YP_001225975.1</t>
  </si>
  <si>
    <t>1-acyl-sn-glycerol-3-phosphate acyltransferase</t>
  </si>
  <si>
    <t>MSNLELQDQAPGPLVLTPRPSLAYRLVSAALVFPLYRLLFRGKTHGNERVPLQGPLVVVANHGSHLDPPLLGHALGRPVAFMAKAELFRIPLLGPLIRACGAYPVNRGASDREAIRTATARLQEGWAIGVFLDGTRQPDGRVNQPMPGAALLSARSGAPLLPVAIVNSHRALGTGRSWPRLVPLQMRIGEPIPAPASRRKPDLEAATLELQRRINALLDQG</t>
  </si>
  <si>
    <t>YP_001225972.1</t>
  </si>
  <si>
    <t>putative glycerol-3-phosphate acyltransferase PlsX</t>
  </si>
  <si>
    <t>MPPKDPELNPASTPRTKPRRSKAVRRLVIWYRRNAAVTSLVGTATTSANAAGSMAGSVTSMAGSMLQPVMDPLRRLQGGVPGDDIEINDQDRIWVAVDGMGGDHAPGPILEGCLQAIERLAVRIRFVGETDRVLEAAAASGLSEALNAAMDAGHLELILSGPSVEMHEEATVVRRKRNASINVAMDLVKRGEAQAVYSAGNSGAVMASAIFRLGRLTGIDRPAIGALFPTKDPGQPVLVLDVGANMDCKPSYLHQFALLGNIYSRDVLQVAQPRIGLLNIGEEECKGNDLALSTFALLKEESRLHFAGNCEGRDVLSGDFDVVVCDGFTGNVLLKFLESVGSVLLGVLKAELPRGRRGKVGSAFLRSNLKRIKKRLDHAEHGGALLLGVNGICVIGHGSSKALSVVSALRLAHSAASHGVMEDLAALSQQTAVKA</t>
  </si>
  <si>
    <t>YP_001225992.1</t>
  </si>
  <si>
    <t>phytoene synthase</t>
  </si>
  <si>
    <t>Isoprene</t>
  </si>
  <si>
    <t>MGVTSSLSSVVPETTPLSLKEAFERCRAETEEWAKTFYLGTMLMPLEKRQAIWAIYVWCRRTDEIMDSTEALSKPKEQLLDELDAWELHTRAMFKGHIETWLDKVMVDTIQRYSQPLQPYLDMIEGMRMDLTNLRYKTFSDLQLYCYRVAGTVGLMSEQVMGIDDSYTSAPWSEEAETSGAAVALGIANQLTNILRDVGEDRQRGRIYLPMDEINDFGYSEAELLDGVLNDQWRKLMAFQIHRAREWFKRSESGVRFLAPDARWPVWTSLRLYRGILSRIEDNDYDVFNYRAFVPRYRKLIDLPLSFILSQSK</t>
  </si>
  <si>
    <t>YP_001225088.1</t>
  </si>
  <si>
    <t>4-diphosphocytidyl-2-C-methyl-D-erythritol kinase</t>
  </si>
  <si>
    <t>Steroids</t>
  </si>
  <si>
    <t>MTAPVCVTAPAKINLHLEVLGLRADGFHELAMVMQSIDLQDQLHCENTSDGSISLRCDASELSCGEDNLIVRAARLLRERSGFSELGARMHLKKHIPIGAGLAGGSSDGAAALVALNELWGLSLDASQLERFAAELGSDMPFCVAGGTQLCFGRGERLEPLPPLEAQLGILLVKDPDVSVSTPWAYSECRRQRGSTYLQDEAAFEARREALRAAQWLHPLGGEAPPLRNDLQTVVEPLTPSVRDALQCLASLPNCLQAAMSGSGPSCFALFHNRGEADRAKDQVQTQLDQLGLRSWSCSLIPHGVKLMA</t>
  </si>
  <si>
    <t>YP_001225095.1</t>
  </si>
  <si>
    <t>MVATQDLALPGYFRKRLVLGGEHLPMKGPVLLAPTHRARWDALMLPMAAGRRISGRDCRFMVTRTEMTGLQGWFLHRLGCFAVDQDKPSLTTLRFALDLLASDQQLVVFPEGRINRDDDSIVLEPGLARLAQMALRQGVQVPVVPVGLAYNPARPGPRSRAAICFGPALHVAGRGRDHTDHFNQRLVEGMQAAEQAARRAVGRPMECL</t>
  </si>
  <si>
    <t>YP_001224019.1</t>
  </si>
  <si>
    <t>4-hydroxy-3-methylbut-2-enyl diphosphate reductase</t>
  </si>
  <si>
    <t>Lipid transport and metabolism; Cell wall/membrane/envelope biogenesis</t>
  </si>
  <si>
    <t>MDTHAFKRSLHHSDRYNRRGFGRAEEVAGSLEQAYQSSLIGSIRDNGYRLNHGRLQVRLAKDFGFCWGVERAVAMAYETRKHYPSERLWITNEIIHNPSVNDHLREMNVQFIPVEQGVKDFSGVTSGDVVILPAFGATVQEMQLLNERGCHIVDTTCPWVSKVWNTVEKHKKQTFTSIIHGKVKHEETLATSSFAGTYLVVLDLEEAQIVADYILGNGDRDSFMARFSKACSPGFDPDQDLEKLGVANQTTMLKRETEEIGRLFERTMLSKFGPTQLNEHFLAFNTICDATQERQDAMFSLVDEPLDLMVVIGGYNSSNTTHLQEIAINRGIRSFHIDTPERISADNSIEHKPLGQELIRELEFLPSGTVTVGITSGASTPDRVVEHVIQRLISLSEEN</t>
  </si>
  <si>
    <t>YP_001224489.1</t>
  </si>
  <si>
    <t>lipase family protein</t>
  </si>
  <si>
    <t>MTSSVNEPAPARRPLILVHGLWDSPRLFNRLVRRLDADEWPLLVPHLPHRLGAVPLVTLAEQLDDHIRQRFGDDASVDLLGFSMGGIIGRVWLQQLGGARRTHRFISVGSPQQGTLTAQWIPRWLFAGLADMKCGSALLRSLNADLSPLADLDCVSYFCRWDLMVVPGWQARLPVGTARGIPVLTHQQLIAHPRSLDVLLQTLRGD</t>
  </si>
  <si>
    <t>YP_001225260.1</t>
  </si>
  <si>
    <t>alpha/beta superfamily hydrolase/acyltransferase</t>
  </si>
  <si>
    <t>MKTQLEAIRCNLLDPQAAALLDQLQWWSLPELGVEAPFPVAVMGQGEPLLLLHGFDSSFLEYRRIAPLLCSRFQLFIPDLFGFGFSPRPSAADYGREPVLRHLDSVLQRIPGHRPVGVIGASMGGAVAVEMARRQPDRINTLLLLAPAGLTGRPMPVPPLLDRLGAWFLSRPGVRRGLCRQAFADPDRDVGPAEEQIASLHLQCPGWSEALAAFARSGGFSGSGHPLPQQPLHVLWGNNDRILRAGQKQALSALLKHPVESLDACGHLPHIDRPEDVSERCNTVFLPG</t>
  </si>
  <si>
    <t>YP_001225385.1</t>
  </si>
  <si>
    <t>hypothetical protein SynWH7803_1662</t>
  </si>
  <si>
    <t>MLISELGMRRQRRAQLGTQRPVIVVPGYLGTKLKSQASGEPVWGHFGFQGVLWTAGRHLRNIAIPMKPGVSVVDLKDDLVPSGLVGGVLITYLPFLPIQLQAYIGIIHQLERLGYCGSCEVVGQANGLPSKRQMYVFEYDWRRSNELSAAMLAQFIEEKQRKISRDHQIAEQNVEFDIICHSNGCLVARYFLRYGAQPLMPTGALPSLDWRGAKGIRNLVMLAPPNGGSLEAVLNTKEGLRYFGFGYSPVVIGSFPSVYQLFPRKRHHALMGKDSQMLDPLDADFWEASQWGPFDPREDPTLSLLLPGVSSREDRLAIVKEHVQKCMSHARRFHTALDQPASPPKSLKMWLFLGKDQPTASMYKQAEDGEWTVKKELLGDGQVVATSALMDESVGGLFADVSPRSPIAWSGVMMIFAKHLDLTRNDEFVTNLSFILDDQGILQGLR</t>
  </si>
  <si>
    <t>YP_001224862.1</t>
  </si>
  <si>
    <t>short-chain dehydrogenase/reductase</t>
  </si>
  <si>
    <t>MRTVLITGASRGIGRSIATLLLSQGHRLCLAVRDPDGLRDTALDPRLHGDALSLCRYDARDPDAAERAVQAVQQAYGSLDTLIHCAGILRSTPLLFGDAQSDEPDELWRVNVKAPWLLTRAAWSALVASQAGRIQVLVSMSGKRCKGKLAGYSASKFALMGLCQAMRNEGWDKGIRVTAICPGWVNTEMARGISPLAPELMTQPDDIASLCAQLLKLPASAVPFELALNPTLES</t>
  </si>
  <si>
    <t>YP_001225658.1</t>
  </si>
  <si>
    <t>hypothetical protein SynWH7803_1935</t>
  </si>
  <si>
    <t>MGFLSVLLGYLLGSIPSGYLAGRWLKGIDLRTIGSGSTGATNVLRNVGKGPALAVFLVDVGKGAAAVLLARALSEGLVGMELMRNWLEVLAGLAALAGHIWPVWLGFKGGKAVATGFGMFLGLAWPVGLACFGVFMAVFSLSKIVSLASVIAALSLPLLMVLATGSPPYILVAVVAMVLVLWRHRSNLQRLINGSEPKVGQKP</t>
  </si>
  <si>
    <t>YP_001225584.1</t>
  </si>
  <si>
    <t>3-oxoacyl-</t>
  </si>
  <si>
    <t>MNPTRTLDGQTALVTGASRGIGRAVALALAECGAEVVVNYASSPDAADAVVKEIESGGGKAYALQADVGDEEAVDALIKTVLERSGRIDVLINNAGITRDGLLMRMKAADWNAVINLNLTGVFLCTRAVARPMLKQKSGRIINITSVVGLMGNAGQANYAAAKAGVVGLTRSAAKEMASRGITVNAVAPGFIATDMTKDLDAEGILSAIPLGTFGTPEQVAGTVRFLAADPAAAYITGQVLQVDGGMVMG</t>
  </si>
  <si>
    <t>YP_001223991.1</t>
  </si>
  <si>
    <t>enoyl-(acyl carrier protein) reductase</t>
  </si>
  <si>
    <t>MLLDLTGKKILVTGIANNRSIAWGIAQQLKAAGAELGITYLPDDKGRFEAKVRELTAPLEPSLFLPLNVQDAAQMEAVFSEIKSQWGVLDGLVHCLAFAGKEELVGDYSATTAEGFARALEISAYSLAPLCRHAKPLFSEKAGVVTLTYLGAERAIPNYNVMGVAKAALEASVRYLSAELGPEKQVRVNAISAGPIRTLASSAIGGILDMIHNVEEKAPLRRTVTQTEVGNTAAFLLSELSSGISGQTLYVDAGYCINGM</t>
  </si>
  <si>
    <t>YP_001223756.1</t>
  </si>
  <si>
    <t>biotin carboxyl carrier protein of acetyl-CoA carboxylase</t>
  </si>
  <si>
    <t>MHLDHDQLNQLLDKLAESDIQEFRLEGDDFRLEVRRNLPVSAVAPQMVPVAAAPAPALEIKSTSESSSAAPPAAAGTRSDLVDVTAPMVGTFYRAPAPGEAAFVEIGNRISAGQTICILEAMKLMNELEAELSGEVVEILVDNGTPVEFGQVLMRVKPG</t>
  </si>
  <si>
    <t>YP_001224378.1</t>
  </si>
  <si>
    <t>dehydrogenase</t>
  </si>
  <si>
    <t>MFGLIGHSTSFEAARRKASELGFDHIAEGDLDVWCSAPPQLVEHVEVTSATGRTIQGAYIDSCFVPEMLSRFKTARRKVLNAMELAQKKGIDITALGGFTSIIFENFNLLQHQHVRSTTLAWERFTTGNTHTAWVICRQVENNAPALGIDLKKASVAVVGATGDIGSAVCRWLSSRTGVAELLLVARQQKPLEELREELGGGRILSLEDALPEADVVVWVASMPRTLEIDTSRLKTPCLMIDGGYPKNLDARVAAKGIHVLKGGIVEFFTDIGWSMMEIAEMEKPQRQMFACFAEAMLLEFESHHTNFSWGRNNITLEKMDFIGGASVRHGFTTLNLQGLPQAAVA</t>
  </si>
  <si>
    <t>YP_001225973.1</t>
  </si>
  <si>
    <t>3-oxoacyl-(acyl carrier protein) synthase III</t>
  </si>
  <si>
    <t>MAGQSPPVLGVGLIGSGSAQAAQVISNDQLSQRVDTNDEWIRTRTGIGRRRVSTADQTLVDLAAEAGRSALTMAGRSPQDLDLILLATSTPDDLFGSAPRVQAELGATNAVAFDLTAACSGFLFALVTAAQYLRTGAMRRALVIGADQLSRFVDWDDRRSCVLFGDGAGAVVLEASDEDGLLGFLLHSDGARGAVLNLPANDTSAPLIAGAEHRAGGYRPIVMNGQEVYKFAVREVPAVLQSLLKRCDVSADQLDWLLLHQANQRILDAVADRLSVPGAKVLSNLAAYGNTSAATIPLMLDEAVRDGRVSSGDLLASSGFGAGLSWGAALLRWQGPT</t>
  </si>
  <si>
    <t>YP_001225680.1</t>
  </si>
  <si>
    <t>(3R)-hydroxymyristoyl-ACP dehydratase</t>
  </si>
  <si>
    <t>MTSQPVLNAEQIMGLLPHRYPFALVDRVLEHVPGEKAVAIKNVTLNEPQFQGHFPDRPLMPGVLIVEAMAQVGGLIVTQMPDLPKGLFVFAGIDGVRFRRPVVPGDQLRISCELLSLKRQRFGKVKAEATVEGQLVCSGELMFSLVD</t>
  </si>
  <si>
    <t>YP_001224871.1</t>
  </si>
  <si>
    <t>acetyl-CoA carboxylase subunit beta</t>
  </si>
  <si>
    <t>MSLFDWFADRRKEQSVVKVAQEPEEGDGLWSKCPECGQVVYRKDLLANASVCSNCGHHHRINSAERIALIADEGSFEAMDEALAPTDPLGFKDRRAYADRLRETQSGTGLRDGVITGMCRVDGIPMALAVMDFRFMGGSMGSVVGEKLTRLVEQATAKRLPLLIVCASGGARMQEGMLSLMQMAKISGALERHRQAGVLYMPLLTHPTTGGVTASFAMLGDLILAEPKALIGFAGRRVIEQTLREKLPDNFQTAEYLQDHGFVDTIVPRTQLKSTLANLMKLHGCLQGSAAV</t>
  </si>
  <si>
    <t>YP_001225974.1</t>
  </si>
  <si>
    <t>malonyl CoA-acyl carrier protein transacylase</t>
  </si>
  <si>
    <t>MSIAWVFPGQGSQKVGMADAVLSLPGAEERFALASRLLGRDLLAICRGEAGDGDDPVDLNDTRNTQPALFVVESLIVDELRRQGREPALVAGHSLGELVALYAAGVFDADTGLELMQRRSELMAGAGGGAMAAVIGFERSQLDELVNATEGVVIANDNSAAQVVLSGTADAVAAVGDALTCKRVIPLAVSGAFHSPFMQDAADAFSQHLNDLAFEDARVPVLSNTDPTPCVDAVELKRRLHRQMITGVRWRETMLAMGEAGVETLVEVGPGAVLSGLAKRAMPGITLSQLAGADDLGL</t>
  </si>
  <si>
    <t>YP_001223919.1</t>
  </si>
  <si>
    <t>MVEGLQRVVVTGLGAVTPIGNSVADYWDGLTSGRNGVAGITLFDASAHACRFAAEVKAFDPTGFIEPKDAKRWDRFSKFGVVAAQQALADSGLEITPDNAERIGIIIGSGVGGLLTMETQAHVLDGKGPGRVSPFTVPMMIPNMATGLAAIAVGAKGPSSAVATACAAGSNAIGDAFRLLQLGKADAMLCGGAESAITPLGVAGFASAKALSFRNDDPATASRPFDRDRDGFVIGEGAGMLVLETLSHAEARGATILAEVVGYGTTCDAHHITSPTPGGVGGAAAMRLALDDGGVSAASVDYVNAHGTSTPANDSNETAAIKSALGDRALQIPVSSTKSMTGHLLGGSGGIEAVACVLALQHNVVPPTINHANPDPDCDLDVVPNTARDHKLETVLSNSFGFGGHNVCLAFRSMG</t>
  </si>
  <si>
    <t>YP_001224379.1</t>
  </si>
  <si>
    <t>acetyl-CoA carboxylase carboxyltransferase subunit alpha</t>
  </si>
  <si>
    <t>MPRRPLLEFEKPLVELEQQIEQIRQRARDSEVDVSPQLHQLETLAARRREEIFKSLTPAQKIQVARHPHRPSTLDYIQMLCDDWVELHGDRRGSDDQALIGGIGRLGDRAVLLIGHQKGRDTKENVARNFGMATPGGYRKALRLMDHANRFGLPILSFIDTPGAYAGLLAEEQGQGEAIAVNLREMFRFRVPIIATVIGEGGSGGALGIGVADKLLMFEHSVYTVASPEACASILWRDAGKASEAASALKITGPDLLSLGVVDEVLPEPVGGNHWAPLEAGEILKEALTRNLEGLLQLSEDALREQRYRKFRAMGQFLDDLSPEALMAE</t>
  </si>
  <si>
    <t>YP_001225851.1</t>
  </si>
  <si>
    <t>acetyl-CoA carboxylase biotin carboxylase subunit</t>
  </si>
  <si>
    <t>MTIGKVLIANRGEIALRILRSCRELGIATVAVYSTVDRNALHVQLADEAVCVGEGPSNRSYLDIPNILAAATSRGADAIHPGYGFLAENDRFAEICRDHGITFVGPSPHAIRSMGDKSTAKTTMQAVGVPTVPGSEGLLSGPDEAADLALAMGYPVMIKATAGGGGRGMRLVQSADQLETLYKAAQGEAEAAFGNPGLYMEKFIDKPRHVEVQVLADRHGNVVHLGERDCSIQRRHQKLLEEAPSPALDKDLRMRMGEAAVAAARSINYEGAGTVEFLLDRSGGFYFMEMNTRIQVEHPVTEMVTGIDLIAEQLRIAGGEPISVSQDQIELRGHAIECRINAEDASHNFRPAPGRITGWLPPGGPGVRVDSHVYTGYDIPPFYDSLIGKLIVWGSDREAAISRMRRALNECAVTGIPTTVDFHLRMLERPEFLQGEVHTKFVEQEML</t>
  </si>
  <si>
    <t>YP_001224303.1</t>
  </si>
  <si>
    <t>long-chain acyl-CoA synthetase</t>
  </si>
  <si>
    <t>b-oxidation of fatty acids</t>
  </si>
  <si>
    <t>MTATAHASWRPTPREQAALARQHHVQSLGRVDQLWPWLAEHHGSVLAVEAPHATHPERFSYAELADRISLAAAAFRRFGVKPGDVVGLFAENSPRWLVADQGLMRAGAIDAVRGAAAPVEELRYILEDSGSVALVVQNAELLQRLQLPAAWRETLHFVLVLEGDAPADALSFDAFLAQGALASAPDPLLGRDRASATSTTATLLYTSGTTGRPKGVPLTHANLLHQMRSLACVARPEAGDPVLSVLPIWHAYERSAEYYFFSCACSQSYTTIKQLKRDLPRVRPVVMVTVPRLWEAVQAGFDDVLKTFPPARQRLLKAALANSAAFALARRRSRNLLLDPVRKRDRVLAAAEASSRWPAHALASRLIWPKVRLQLSGGSLRFPINGGGAIAPHVDSFFEAVGIELLVGYGLTETSPVVSCRRPWRNIRGSSGLPMPETEFRIVDGETRRPLGYRQRGVVQVRGPQVMGGYLGKPEATAKVLDAEGWFDTGDLGLLLPDGSVVLTGRAKDTIVLSSGENIEPGPLEETLVASPLIEQVMLVGQDERQLGALVVPRLEAMRGWACDQIADPGEDLGGSPGDPGLRRLLRGELNRLLSERVGARGDERLVGVALVDPFSIDNGLLTQTLKQRRDRITERDAEAIEALYGR</t>
  </si>
  <si>
    <t>YP_001224099.1</t>
  </si>
  <si>
    <t>sterol-C-methyltransferase</t>
  </si>
  <si>
    <t>steroid</t>
  </si>
  <si>
    <t>MPLPAFFGPAAIGAAAAVGAYALWTRRNRAYLSSESVASAYDAWTEDRLLETLWGEHVHLGHYGAPPRSKDFRRAKADFVHELVRWSGLDQLPPGAKVLDVGCGIGGSARILARDYGFDVLGVSISPAQIRRATELTPEGMTCRFAVMDALDLALDDGGFDAVWSVEAGPHMPDKQRYADELLRMLRPGGLLAVADWNRRDPVDGPLNGRERWVMHQLLTQWAHPEFASIRGLQHNLETSAYSKGPIAVANWNQATLPSWNDSILEGLRRPAAVLRLGPSAIVQGLRETPTLLLMRWAFARGMMQFGVFRLANDQVRSELG</t>
  </si>
  <si>
    <t>YP_001224946.1</t>
  </si>
  <si>
    <t>1-deoxy-D-xylulose-5-phosphate synthase</t>
  </si>
  <si>
    <t>Coenzyme transport and metabolism; Lipid transport and metabolism</t>
  </si>
  <si>
    <t>MHLSDLAHPNELHGLSVAELQDVAKQIRERHLEVVSNSGGHLGPGLGVVELTLALYQTLDLDKDRVVWDVGHQAYPHKLITGRYADFDSLRQQGGVAGYLKRCESEFDHFGAGHASTSISAALGMAMARDRQGLDYKCVAVIGDGALTGGMALEAINHAGHMPNTPLLVVLNDNDMSISPPVGALSSHLNRMRLSPPMQFLSGSVEESMRHLPFMGGDLPPELNRLKESMRRLAVPKVGAVFEELGFTYMGPIDGHDMGEMIRTFQAAHRIGGPALVHVITKKGKGYPYAEADQVGYHAQSAFDLGTGKARPSKTPKPPSYSKVFGQTLVKICEQNSKVVGITAAMATGTGLDLLQKALPDQYVDVGIAEQHAVTLAAGMACDGLRPVVAIYSTFLQRAFDQMIHDVGIQNLPVTFVLDRAGIVGADGPTHQGQYDISYLRAIPNFTVMAPKDEAELQRMLVSSLQHSGPCAIRIPRGPGEGVPLMEEGWEPLPIGRGEVLRDGDDLLIVAYGAMNSKALATADLLASCGVQSTVVNARFLRPLDDELLHPLARRIGKVVTIEEGTLAGGFGSALTESLLDADIKPSILRLGIPDVLVDHATPQQSFEKLGLTPAQMAESIQGFLQRSKLTTATSVVQQPSVSVLES</t>
  </si>
  <si>
    <t>YP_001224495.1</t>
  </si>
  <si>
    <t>MDANLPLTAASDAGFPWLSLIVLLPAAAALVMPLLPGDDQSPSPVPRNLAIGVLLVDLVLMLVVFSQQFDPLSSELQLVERVSWLPSIGLEWSLAADGLSAPLVVLSGLVTLLSVVASWNVTHKSRLYFGLLLVQASAQGLVFLSQDFLLFFLAWELELVPVYLLIAIWGGQNRQYAATKFILYTALASLLILISGLALALSGDSFTLNLNELAQRSPGGSFGLLCYLGFLVGFGVKLPMFPLHTWLPDAHGEANAPVSMLLAGVLLKMGGYALLRFNVQMLPDAHLVMAPALIVLGIVNIVYGALNAFAQDNVKRRIACSSVSHMGFVLLGIGAVDALSISGAMLQMISHGLIAAAMFFVTGCFYERTKTLSIPNMGGLAKVLPITFAFFLASSLASLALPGMSGFISEITVFLGITSQESFTTLFRVTTIVLAAIGLVLTPIYLLSMCRRVFFGPRIPALAFVEDMRPRELVIGLTLLVPTLVIGIWPRIAMDLYEASTDALAVDLAKHTVVAMRALLPTG</t>
  </si>
  <si>
    <t>YP_001224408.1</t>
  </si>
  <si>
    <t>MTSALTLPLQTAWLIPLYGLAGMLVSLPWAFGWFRRDAHKPPAYLNILLTLIAVVHGSLVLRDVMLTGPALIQVPWLSVADLDLEISFSLSLTNVSALELITGLSLLSQIYSLGYMDKEWALARFFALLGFFEGAMSGVVLSDSLFQSYFLLEMLTLSTYLLVGFWYAQPLVVTAARDAFLTKRVGDVLLLMSVVAVTAWSGVTSFEDLYTWSAQKTLLPLSATLLGLGLIAGPTGKCAQFPMHLWLDEAMEGPNPASILRNSVVVTCGAIVLLKVMPLLQNAPVTLVVLQVIGVISAIGGSLVSIAQVDIKRTLSYSTTAYLGLVFIAISLQVPVLALLLLYAHAVSKALLSMSVGGVIASTNCQDITELGGLASRMPATTGSFLIGGAGLVGLLPLGGFLCLAQAVELIGARGVIFVPVFLATNVLTALNLTRVFRQVFLGQSLAKTRRAAEVNWLMALPMVALSVIVLLTPLLLIRLESLDGLLAFPWWAAALVVISGMVGLLVGALIPLNKAWSRSLNPLLRWCQDLFENDFYTERFYRVTIVNVVASFARLAGWFDRNVVDGILHGLARFSLQSAEGLKLSISGQTQSYVLTVIAAIVILLSSLSWILN</t>
  </si>
  <si>
    <t>YP_001224195.1</t>
  </si>
  <si>
    <t>phosphoribosylaminoimidazole synthetase</t>
  </si>
  <si>
    <t>MDYRSAGVDVEAGRAFVDRIRTSVEATHRPEVVGGLGGFGGLMRLPEGLRKPLLVSGTDGVGTKLELAQDHKSHHNVGIDLVAMCVNDVITSGAEPLFFLDYMATGALSPDAMAEVVEGIADGCRQSGCALLGGETAEMPGFYPPGRYDLAGFCVAVVEEDNLIDGRRVQAGDSILGIASSGVHSNGFSLVRKILECCAAGADTRVGPEQTPVIEALLKPTHLYGALVRTLLGANTRIHAMAHITGGGIPENLPRCLPKGLMASVDPHSWPRPELFSWLQTQGELQERDLWHTFNLGIGYCLILPEADVEGARTLCSNSGFESWVIGEVIPASEPQDGPVAGLPA</t>
  </si>
  <si>
    <t>YP_001226232.1</t>
  </si>
  <si>
    <t>formyltetrahydrofolate deformylase</t>
  </si>
  <si>
    <t>MSSASVILQLICPDRPALVSDIAGWVAANGGNIRHADHHTDAGAGLFLSRIEWDLQGFGLPREAIPVAVKALAERLGGDAQVHFSDDHPRVAILVSKQSHCLLDLLWRARSGELPMQVPLVISNHPDLEPYCADFGVPFVCVPVTTGKKAEAEATILELLDEHQVDLAVLAKYMQVLSGGFLERFSEVINIHHSFLPAFKGAQPYHRAWERGVKLIGATAHYVTEELDDGPIIEQTIATVSHRDEVEDLIRKGRDTERLALARALRLHLRRQVMVYRGRTAVFA</t>
  </si>
  <si>
    <t>YP_001224929.1</t>
  </si>
  <si>
    <t>phosphoribosylaminoimidazole carboxylase ATPase subunit</t>
  </si>
  <si>
    <t>MLLSDLRSDGKLQVEDEADMGSADGAIGVIGGGQLARMLSEAAALRGIDVLVQTSSEADCAVPASTRWVQALPTDQDATRDLARDCGGITFENEWVTVDALMPLERQGVTFVPSLASLVPLVNKLSQRRLLDDLSIPSPRWICLAEINPGSPALPPGWTFPVMAKAASGGYDGKGTRILENLNDLAHHLRNVRAQDWLLESWVNFERELALVVSRDRQGRIRHLPLVETHQSHQICDWVLAPAEAEPLLEATAYNIAASLLTRLGYVGVMALEFFYGQEGLFVNEIAPRTHNSGHFSIEACSSSQFDQQLCITAGLPVPSTELVVDGALMVNLLGLQDAAADGHDHNLQDRLARLRSIANAHVHWYGKQELPGRKVGHVTVVLREEHAETRRQMAMTALNQIREVWPNPLN</t>
  </si>
  <si>
    <t>YP_001225219.1</t>
  </si>
  <si>
    <t>ribonucleotide reductase</t>
  </si>
  <si>
    <t>MTLTPSRSVGPDSKTSLSGNGDFPATAPAANPVFYRTYSRRNSEGRESWTEVGARNLAGLKTLGSLTAEEIELMARMQAEKKALPSGRWLWIGGTPWIEQQVNFSGAYNCTSTNLVDWEAFGLMMDLAMMGCGTGAIIEPHLIERLPVVGNPIEVLSVSDIGITPAGERQEHTSHTIHGEVVSIKVGDTRRGWVDSYQLLLELSSDPRFAGRTVKVEVDLSDVRPVGETLKGFGGMANPVKLKDLYARVARLLGKAIGRKLTSVECCLLIDEAAVTIVAGNIRRSAGMRQFASDDSSAAGAKDNLWQQDAEGNWRIDPERDALRMANHTRVYHTRPSREVLLDAVTRQFHSGEGAIQFAPEAIARSNADLLSTPELRREFIEIYCDQGREEAGRWLSLNHGPIAEDELEHRLGRYGLNPCGEILGADFHCNLAEIHLNQIDPSDDEGQRDAFRAGALSVACLLNHQFEVERYRQSRAWDPIVGVSFTGLFDFFVHAFGTPWLQWWEAGRPNSEEGQEFKRREAEYLSRWKATVNEAVWEYCDRHGLRRPNRCTTVQPAGTKSLLTGAAPGWHPPKAQRFIRRITFRKNDPVAMACMDYGYTVVPSQSDKDDQGRLLDDPFDPRCTEWLVEIPTEVSWANLPGADAVDINAFSAMAQFDFYMQVQTHYTAHNTSATIEFRENEIEALTDALHGTIERGEGYISAALLARFDANATFPRLPFEPIDADTYERMQSDVIQRRVSSDFFEALQRYDMGEISEAGPAGCDSDKCLLPLSKP</t>
  </si>
  <si>
    <t>YP_001224352.1</t>
  </si>
  <si>
    <t>dihydroorotase</t>
  </si>
  <si>
    <t>MLLDPVQVLVGPGQAVEKQSAVLIKNRRLEAFGDEARRIGRLEALEPQDAGQQLLAPCLVDCHSDLPEPFHGRGETLLSLVRSAGSSGFGQLALLPETVHGPREQPDHLQGFAPSDCDVNVLLWGGFSSGSAGVELTAHADLLDAGAVGLSDGRSMPPIALLDRALTLGDMGSAPVLIPPLDLALRGEGLLRESVCALRAGWPSDPASSETLPLSQLGQLQQCHPDRRLVLMALSTAGAVELLQQMPMPPQATVNWWHVVADSSQSSASASTWFVDPSLGSATDRQALIRALAENLIQAIAVQATPLDDEECLLPPDQRPRGVSGHHLVLPSLWQTLVVTEGWSPEQLWQMISFGPSRLLGLREECLAVGSNRWLLFDPDQSWTPARPDPMGPRAANLPLLGQTLQGRVMDCGLRIPATRPC</t>
  </si>
  <si>
    <t>YP_001224067.1</t>
  </si>
  <si>
    <t>aspartate carbamoyltransferase catalytic subunit</t>
  </si>
  <si>
    <t>MSAWTHRHILDLSTFSREDYAAVLELAHRFSAMPVTGARRLPALQGRLVATLFFEPSTRTRSSFELAAKRLSADVSSFSPSSSSLSKGESLLDTARTYVAMGADVLVVRHRCTGVPRQLAEALERTGERTVVLNGGDGLHSHPSQGLLDLYTLAQHFNPSHPLPEALRGRRIVIVGDVLHSRVARSNLWALTACGADVILCGPPSLVPEAFAQFVAQPPPGQASDPVADRGALTVVRNLDDALAGADAVMTLRLQKERMRQHMLTSLDRYHRDFGLSHERLQVCQVPIPVLHPGPVNRGVEMSGALLDDLSANRVEDQVRNGIPIRMALLYLMAAAESPLSL</t>
  </si>
  <si>
    <t>YP_001224045.1</t>
  </si>
  <si>
    <t>deoxycytidine triphosphate deaminase</t>
  </si>
  <si>
    <t>MLKNDRWITEQAAQGMLEPFQSGLVRHLEPDQKLRPVLSFGCSSYGYDLRLSPQEFLIFKHVPGTVMNPKRFNPANLEPTELHHDEDGDYFILPAHSYGLGVALEKMKVPPNITVICLGKSTYARLGIIVNTTPAEASWEGHLTLEFSNSSGADCRIYANEGICQLLFFEGDPCDTTYSDRQGKYQHQPERVTLAKV</t>
  </si>
  <si>
    <t>YP_001224004.1</t>
  </si>
  <si>
    <t>orotate phosphoribosyltransferase</t>
  </si>
  <si>
    <t>MTDRSDPSMDRDVLLDRLAREAYRFGHFTLASGRSSDHYVNCKPVALSGTGLALLSPAMLALVEADAVAVGGLTLGADPLVSGVAMAAAHQGRALDALIVRKQAKGHGTGAWLEGPLPQPGARVTVLEDVVTTGGSSIKAVQQLREAGYTVKRVVTIVDREEGGSAAMAAADLELVSLFKLSDVATRAQELSA</t>
  </si>
  <si>
    <t>YP_001226091.1</t>
  </si>
  <si>
    <t>dihydroorotate dehydrogenase 2</t>
  </si>
  <si>
    <t>MAQSSSSGVLSTAGFYRRWLGPVLANDEGVDAEQLSRAALQALAQLSLRRRWPGVSGVLEGISAELQRRDVRLEQVLFGCRFSNPVGLAAGFDKNGVAAGVWDRFGFGFSEVGTVTWHGQPGNPRPRLFRLAQERAALNRMGFNNGGAEMLRRTLLRQALPARGQRPAVLGINFGKSKITPLDQAADDYASSLELLAPQADYAVINVSSPNTPGLRDLQDASQLRRLVERLRRLPGCPPLLVKIAPDLEDDAIDGLARLAYEEGLAGVIAVNTSLDRLGLEQRVIAQTGRTLAEEAGGLSGDPLRRRALEVLRRLRATAGPALPLVGVGGISTPEAAWERITAGASLIQLYTGWIYEGPDLVPRVLEGLQLQLDRHGFRHISEAVGSGAPWR</t>
  </si>
  <si>
    <t>YP_001224000.1</t>
  </si>
  <si>
    <t>HAM1 NTPase family protein</t>
  </si>
  <si>
    <t>MSPSLRTLVIASGNLGKIREFEHLLTGLPLQITAQPDGLDVEETGQTFAANARLKAVAVADATASWALADDSGLSVDALNGAPGVQSARYAPTDPERISRLLEALKDRDDRSAHFSAALCLAAPGGRVLLEVEGRCAGQITRSPRGEGGFGYDPIFEVDGTARTFAEMTTPEKKAQGHRGRAFALLEPKLRQLLMEA</t>
  </si>
  <si>
    <t>YP_001224046.1</t>
  </si>
  <si>
    <t>alternative thymidylate synthase</t>
  </si>
  <si>
    <t>MDPRFRVDLIAATPNPQQCVYAGMHQDYSEGFVAADRADWPDETKAGEICVKRLLAGERGHYGPLEHAQIVLNVGWFPHSVMQQARTHRVGVSFDVQSMRYTGDRIARAADGDLDLEDVFYLRPVGDYSDRQGKKYHYSPELRQQDLELCRQAAARYRDLLQAGFAEEHARGILPFDYRQHFVVSFSLRAFLHFMDLRAKLDAQQEIRELCDLLWPHLQTWAPEFAAWYEKSRLHKARLAP</t>
  </si>
  <si>
    <t>YP_001225665.1</t>
  </si>
  <si>
    <t>orotidine 5'-phosphate decarboxylase</t>
  </si>
  <si>
    <t>MASLRSAHPADRIIVALDGMAPEQALAFAAQVEGLRWVKVGLELFVQAGPEVVAQLREQGLRVFLDLKFHDIPATMAGACRRAAALGAELITVHACAGSEALKAAQAAAVEGAQGAGQPAPTLLAVTVLTSWEEQRLQRELAITQGIAERVPALAQLSATAGIGGCVCSPLEAAALRAQHPEPFALVTPGIRPKGAAVGDQARVMGPAEAIAAGASQLVIGRPITKAEDPSAAFAACCGELLG</t>
  </si>
  <si>
    <t>YP_001225683.1</t>
  </si>
  <si>
    <t>phosphoribosylaminoimidazole-succinocarboxamide synthase</t>
  </si>
  <si>
    <t>MTLSHGELLYEGKAKRIYASADDQQVLVEFKNDATAFNAQKKAQLEHKGRLNCQISACLFELLERHGIPTHYVGVADATWMVVQRVEVIPIEVVLRNTATGSLCRETPIPQGTALDPALLDLYYKDDALGDPLLTDARIALLGVVSAELRQRMEALARQVNAVLQPFFKDLGLQLVDFKLELGLNQAGELLVADEISPDTCRLWDLSSTDANERILDKDRFRKDLGGVIEAYGEVCKRVQGACPQPRNCG</t>
  </si>
  <si>
    <t>YP_001224399.1</t>
  </si>
  <si>
    <t>xanthosine triphosphate pyrophosphatase</t>
  </si>
  <si>
    <t>MRRLIIASGNPHKVAEIEAMLGPIDVDVCRQPSDLDVEETGSSYLENARLKARAAAERTGCWALADDSGLEIDALDGAPGLYTARFAASDHDKLERLLAAMADSPYRSACFRSAMVLCSPEGNCDEEAEGFCWGELLHAPAYPGGGIESLFWVREAGCSYGQLNASQLSRLGSRGKAARNLAAGLRRRLQLD</t>
  </si>
  <si>
    <t>YP_001226027.1</t>
  </si>
  <si>
    <t>phosphoribosylaminoimidazole carboxylase catalytic subunit</t>
  </si>
  <si>
    <t>MGSDSDLPTLHPAVEVLEGLQVAVEVRVLSAHRTPLEMVNFAREAHNRGLQVIVAGAGGAAHLPGMVASLTTLPVIGVPVRSTMLSGVDSLHSIVQMPGGIPVATVAIGGGLNAGLLAAQILALQDHALMERLGAYRRQLHDAVIAKDQRLVELGSAAYLDTTATMRAKDNAP</t>
  </si>
  <si>
    <t>YP_001226184.1</t>
  </si>
  <si>
    <t>CTP synthetase</t>
  </si>
  <si>
    <t>MAKFVFVTGGVVSSIGKGIVAASLGRLLKSRGYSVSILKLDPYLNVDPGTMSPYQHGEVFVTEDGAETDLDLGHYERFTDTAMSRLNSVTTGSIYQSVINKERRGDYNGGTVQVIPHITGEIRERIHRVASNSNADVVITEIGGTVGDIESLPFLEAIREFRGDVGRHDLAYIHVTLLPYIGTSGELKTKPTQHSVKELRSIGIQPDVLVCRSDREINAELKRKIGGFCGVHERAVIPSLDADSIYAVPQTLEEQGLCREVLDVLNLTDHDSDMRAWQQLVHKMRNPGPAVKVALVGKYVQLNDAYLSVVEALRHACLAQDASLDLHWVCAEEIENRGADALLHGMDAVVVPGGFGNRGVDGKVAAIRWAREQRIPFLGLCLGMQCAVIEWARNLAGLTDATSAELEPGTSHPVIHLLPEQQDVVDLGGTMRLGVYPCRIAEGSMADRLYGDEVVYERHRHRYEFNNAYRNLFLESGYRISGSSPDGRLVELIELPEHPFFTACQYHPEFLSRPGQPHPLFRGLIEAAQQRLPNSPSEIKATA</t>
  </si>
  <si>
    <t>YP_001225276.1</t>
  </si>
  <si>
    <t>ribose-phosphate pyrophosphokinase</t>
  </si>
  <si>
    <t>MTGFLTAARAEQEKIQHDTRRLRLFSGTSNPGLAREIAAYLGVPDGPRVCKRFADGELYVQIQESIRGCDVFLIQPTCAPVNDHLMELLIMVDACRRASARQITAVVPYYGYARADRKTAGRESITAKLTANLLVKSGVDRVLAMDLHSAQIQGYFDIPCDHIYGSPVLVDYLSAQELGEVVVVSPDVGGVARARAFAKQMNDAPLAIIDKRRTGHNMAESLTVIGDVNQRTAILIDDMIDTGGTICAGARLLRQQGASRVIACATHAVFSPPASERLSTDGLFEQVVVTNSIPIPSDRMFPQLQVLSVANMLGEAIWRIHEESSVSSMFR</t>
  </si>
  <si>
    <t>YP_001225474.1</t>
  </si>
  <si>
    <t>cytosine deaminase</t>
  </si>
  <si>
    <t>Nucleotide transport and metabolism; General function prediction only</t>
  </si>
  <si>
    <t>MSGQAAGSLRSRCPVSLVDWPAGVAAERPADGLLSVELRWLEGRITSVLPVADAQGLVLPRLVEPHGHLDKAFSWSDFPNPTGTYAGAMDANMREHRTRTAERVHERSERALALAWRHGLRAIRSHIDSLGPGAACSWEVLTSARQRWKGRIELQLVALVPIAHWSTPEGEHLASQVAAAGGVIGGVIEPPCRGRAPRQALRRLLALAERHGCPVDLHIDEASEHPAAGVRQLLRVLRTMTVSVPITCSHASSLSLLNPASLQRLGVRMAEHQLRVVALPLTNGWLLGRRGQATPLQRPLAPIRQLRDCGVCVAVGGDNVQDPWFPGGNLDPLALMAMGVPLAQLAPWDDEGMAPFSTDAARLLDLAWDGVFRPGAPADLIHVPTGGWPELLSAPPQRQVLAGGVWVQD</t>
  </si>
  <si>
    <t>YP_001224856.1</t>
  </si>
  <si>
    <t>Uracil phosphoribosyltransferase</t>
  </si>
  <si>
    <t>MAKTLRVVVPPHPLIAHWLTVLRHEGTPAALYRTAMEELGRWLSYEALRDWLPHRREVVKTPLASTEGTMIETSVPLLAIPLLPGGLHLWEGARQVLPNADLCLDGVPSSIESKAGVMVLLDQIDDGEAVVSILSRLHQEGVDGRRLRVITTVCASPGLKRIGEAFPDITLHTACIDADLNEDNQILPGIGDPLLRLGIRSSQDT</t>
  </si>
  <si>
    <t>YP_001225167.1</t>
  </si>
  <si>
    <t>adenine phosphoribosyltransferase</t>
  </si>
  <si>
    <t>MDLRQYVRDIPDFPKPGILFRDITPLLRDPAGWHEVIQRLVAVCDRWQPDLIVGIESRGFIVGTALATQLGKGFVPVRKPGKLPGEVIGIDYTLEYGSDRLEIHADALSDHPKVLLVDDLLATGGTASASAELVTKAGGELVGCGFVIELADLAGRAKLPEGVPVESLIIYG</t>
  </si>
  <si>
    <t>YP_001225685.1</t>
  </si>
  <si>
    <t>phosphoribosylamine--glycine ligase</t>
  </si>
  <si>
    <t>MAHSSPRPQSLPPLHRLLVVGGGGREQALAWALRRCPGVNEVWVTPGNGGTLDLEGCRALGISELDADGLIAHCRDHAIDLVVIGPEAPLAAGVADRLREAGLAVFGPGADGAQLEASKAWAKQLMQEGGIPTAGHWAVSELPEALAVLDRLQRPLVVKADGLAAGKGVTVAETIEATAAAIQEAFAGRFGSAGERLVLEERLQGPEVSVFALCDGERMVLLPPAQDHKRLLEGDRGPNTGGMGAYAPAPLLDAAGLEQVRAQVLTPTLRALRNRGIQYRGVIYAGLMLTATGPQVIEFNCRFGDPECQTLMPLMGPELAQVLQACALGCLDLAPALTITEACSACVVTAAEGYPDAPKKGDVVLLAPDDDPQRQLFHAGTRRDQDGRLLTSGGRVLTQVAQADTFDQAFARAYQALETVDYRGMQYRRDIGHQVRRS</t>
  </si>
  <si>
    <t>YP_001223771.1</t>
  </si>
  <si>
    <t>bifunctional GMP synthase/glutamine amidotransferase protein</t>
  </si>
  <si>
    <t>MRPPVPRLTGEMSQAPNEGQRQPAIVILDFGSQYSELIARRVRETEVFSVVLGYSTTAEDLRRMAPLGIILSGGPSSVYAEHAPLCDPEIWNLGIPVLGVCYGMQLMVQQLGGRVVAATGKAEYGKAPLEVDDPTDLLTNVDNGSTMWMSHGDSVEALPDGFVRLAHTANTPEAAVANLQRRLYGVQFHPEVVHSTCGMAMIRNFVYHICGCEPDWTTAAFIEEAVKQVRSQVGDKRVLLALSGGVDSSTLAFLLKKAIGDQLTCMFIDQGFMRKGEPEFLMDFFDRKFNIHVEYINARQRFLDKLKDITDPEQKRKIIGTEFIRVFEEESRRLGPFDYLAQGTLYPDVIESAGTDVDPKTGERVAVKIKSHHNVGGLPKDLQFKLVEPLRKLFKDEVRKVGRSLGLPEEIVRRHPFPGPGLAIRILGEVTAEKLNCLRDADLIVREEVKEAGLYHEIWQAFAVLLPVRSVGVMGDKRTYAWPIVLRCVSSEDGMTADWSRLPYDLMETISNRIVNEVKGVNRVVLDITSKPPGTIEWE</t>
  </si>
  <si>
    <t>YP_001225314.1</t>
  </si>
  <si>
    <t>inositol-5-monophosphate dehydrogenase</t>
  </si>
  <si>
    <t>MDIQLGRSKVVRRAYGIDEIALVPGGRTVDPEVTDTRWTLGGIEREIPIIASAMDGVVDVEMAVKLSKLGALGVLNLEGVQTRYDDPNDALDRIASVGKDAFVPLMQELYSEPVQERLIRKRIQDIKAQGGIAAVSGTPVAAMRFGKAIAEAGADLFFVQATVVSTEHIGPEGRESLNLEALCRDMGVPVVIGNCVTYDVALQLMRAGAAGVMVGIGPGAACTSRGVLGVGIPQATAVADCAAARADYEQESGRYVPIVADGGIVTGGDICKCIACGADAVMIGSPIARAEEAPGRGFHWGMATPSPVLPRGTRINVGSTGSLERILRGPAKLDDGTHNLLGALKTSMGTLGARTIKEMQSVEVVVAPSLLTEGKVYQKAQQLGMGK</t>
  </si>
  <si>
    <t>YP_001224342.1</t>
  </si>
  <si>
    <t>ribokinase family sugar kinase</t>
  </si>
  <si>
    <t>MSPSRFAQDSATFDVVGIGNAIVDVLVQTDDAFLQQQGLQKGGMALIDEQQAEVLYNASGPGLETSGGSVANTMVGIAQLGGQVGFIGRVRDDQLGSIFSHDIRAVGARFDTPAATSGATTARCLIYVTPDAERTMCTFLGASTQLEPDDLDLSMVKQTKVLYLEGYLWDSPAAKRAFIAAAEACKNAGGQVALSLSDGFCVDRHRDSFLELVNGHVDVLFANESEIKSLYSTDDFDAALAQVKGCCSVAALTRGEQGSVVLSGDQRWDIASYALGDLIDTTGAGDLYAGGFLHGYTQGLALETCGQIGSICAGQVVTQLGPRSQESLKNLVAKHLS</t>
  </si>
  <si>
    <t>YP_001224443.1</t>
  </si>
  <si>
    <t>MQDSSSQLVIRRPDDWHVHLRDGAMLKAVAPATARVFARAVVMPNLKPPVTTVDQARAYRQRIVEAVPADVRFEPLMTAYLTDHIDPAELERGFSEGVFTAAKLYPANATTNSAAGVSDLSRISKVLERMEAIDMPLLIHGEVTDADVDVFDREAAFIESHLIPLRQRYPSLRIVLEHITTEQAVDFIRTESLAGDSRLAATITPHHLHLNRNAMFLGGLRSDFYCLPVVKRECHRRALVKAATSGLSCFFLGTDSAPHPRSGKESSCGCAGIFNAVHALESYAAVFEQEGALEHLQGFASEHGPRFYGLPLNNESLTLVKRQQTVPKTLEDSGLEAGEWPVLFHAGETLNWSVHVDGQAETN</t>
  </si>
  <si>
    <t>YP_001223726.1</t>
  </si>
  <si>
    <t>phosphoribosylformylglycinamidine synthase II</t>
  </si>
  <si>
    <t>MASALRQEGLTQEDYIEIQRRLGRDPNRAELGMFGVMWSEHCCYRNSRPLLRGFPTDGPRILVGPGENAGVVDLGEGHRLAFKIESHNHPSAVEPFQGAATGVGGILRDIFTMGARPIALLNALRFGPLDEPATQGLVEGVVAGISHYGNCVGVPTVGGEVAFDPAYRGNPLVNAMALGLMETDDIVKSGASGVGNPVVYVGSTTGRDGMGGASFASAELSADSLDDRPAVQVGDPFLEKGLIEACLEAFQSGDVVAAQDMGAAGLTCSCSEMAAKGNVGVELDLDRVPAREQGMTAYEFLLSESQERMLFVVQAGREEALMQRFRRWGLQAAVVGQVLEEPVVRVLQHGSVAAEVPARALAEDTPINQHTLISEPPEDIQEHWRWSETDLPSVSRDHDWGADLLALLDDPTIASKRWVYRQYDQQVLANTVVPAGGADAAVVRLRPQQGDASLRGANRGVAATVDCPNRWVALDPERGAMAAVAEAARNLSCVGAVPVAVTDNLNFPSPETPKGYWQLAMACRGLSEGCRVLGTPVTGGNVSLYNETRADDGSLQPIHPTPVVGMVGLVEDLGRVGGLAWRQAGDAVVLLGVSSDERQDDRVGLAGSSYQGVIHGLLTGRPPRVDLDLEQRVQALVRQAWEQGLLASAHDSSDGGLAVALAECSIASGLGVDGALPGDGVAPERRLFAEGGARIVVSVRAECMDAWTSLLADEAHAAVPVTILGAVADHGRFRLSLGSQPVLDQAVQTLTERFDQALPRRLGTA</t>
  </si>
  <si>
    <t>YP_001224973.1</t>
  </si>
  <si>
    <t>5'-methylthioadenosine phosphorylase</t>
  </si>
  <si>
    <t>MSNISASPSLDSAKVGVIGGSGLYAIDALEDVREVELETPFGPPSDAFRVGRLNGVDIVFLARHGRHHHLLPSEVPYRANVWALRSLGVRWLVSVSAVGSLREHLRPRDMVVPDQFIDRTMQRPQSFFGDGCVAHVSLADPFCSRLSDLLATAASMEMPTGHHLHRGGTYLCMEGPAFSTRAESELYRRWGCDVIGMTNHTEARLAREAEIAYASLSMVTDFDCWHNDHDAVTVEMVVGNLKANALATGPILSRLMESMRQEPPASKAHRALADALMTPAEVVPEATRQRLDLFTSPYWGSVTAS</t>
  </si>
  <si>
    <t>YP_001226249.1</t>
  </si>
  <si>
    <t>phosphoribosylglycinamide formyltransferase 2</t>
  </si>
  <si>
    <t>MTTLPAKVLLLGSGELGKEVAIAAQRLGCHVIACDRYADAPAMQVADEAEVLAMTDREALLEVVRRHKPTVVIPEIEALAVNALAELEDEGLTVIPTARATAVTMNRDRIRDLAAGELALRTARFAYAASAEELHAEAPALGWPVVVKPVMSSSGKGQSVVDGPEGLNEAWEAAMANARGTSTHVIVEEFLRFDLEITLLTIRQRDGSTLFCPPIGHEQARGDYQCSWQPAALSDKQLSEAQAMARTVTDNLGGAGLFGVEFFLCGDEVIFSELSPRPHDTGLVTLISQNLNEFELHLRAVLGLPIPAIRCADAAASRVILADKHGSRVTYSGMEEALQESETSVFLFGKRDARPGRRMGVALARGEHQAEARAKADRSAAAVHLHIED</t>
  </si>
  <si>
    <t>YP_001225717.1</t>
  </si>
  <si>
    <t>pyrimidine regulatory protein PyrR</t>
  </si>
  <si>
    <t>MGTGGHDERIEILSSDELRRTLMRLASQVLESVGGLDDLVLLGIPTRGVQLAAVLARALEEQAGRPVARGTLDPTFHRDDLERVAMRPVTGTDLPVGVEGRDVVLVDDVIFTGRTVRAALEAIQAWGRPRRVLLLVMVDRGHRELPIQPDFCGRTVPTRRCETIELRLMDVDGEEGVFLRRTQDAT</t>
  </si>
  <si>
    <t>YP_001224016.1</t>
  </si>
  <si>
    <t>bifunctional phosphoribosylaminoimidazolecarboxamide formyltransferase/IMP cyclohydrolase</t>
  </si>
  <si>
    <t>MAPTALLSVSDKSGLLPLAKTLHERYGYQLLSSGGTAKVLQEAGLPVTPVADHTGAPEILGGRVKTLHPRIHGGILARRGDPAHEADLQAQQITPIDVVVVNLYPFRETVSDPAVSWERAIENIDIGGPTMVRSAAKNHDHVAVLTDPDQYDRFLQDLAASGGAVSAAVRRRLALDAFAHTAAYDAAITRWMQNRPELQPADDGSASSLPWLEALPLRQRLRYGENPHQGAAWYSAPKAGWGGAIQLQGKELSTNNLLDLEAALATVREFGYGEGGSHPAQRPAAVVVKHTNPCGVAVADGHAAALTRALDGDRVSAFGGIVAVNGRVDAPAARELTSLFLECVVAPEYAPEAREILASKGNLRLLELPPTAIDAAGHDHVRSILGGLLVQDLDDQPVAADGWTVASERAPSQAERDDLCFAWQLVRHVRSNAIVVARNGQSLGIGAGQMNRVGSARIALEASGDGARGAVLASDGFFPFDDTVRLAAQHGITAVIHPGGSKRDQDSIKACNELGLAMLLTGQRHFLH</t>
  </si>
  <si>
    <t>YP_001225761.1</t>
  </si>
  <si>
    <t>adenylosuccinate lyase</t>
  </si>
  <si>
    <t>MIERYTLPEMGAIWTDRAKYQSWLDVEVAACEANCSLGRVPEPAMEDIRTKAAFEPERILEIEAEVRHDVIAFLTNVNEHVGDAGRYIHVGMTSSDVLDTGLALQLKASVALLRQELTALDQAIAELATAHKNTVMIGRSHAIHGEPITFGFKLAGWLAETRRNAERLERLERDVAVGQVSGAMGTYANTDPEVERLTCERLGLSPDTASTQVISRDRHADYIQTLALVGASLDRFATEIRNLQRTDVLEVEESFAKGQKGSSAMPHKRNPIRSERISGLARVLRSYVVAALENVALWHERDISHSSTERMMLPDCSVTLHFMLREMTAVVAGLGVYPDNMRRNMNVYGGVVFSQRVLLGLVDAGMSREDAYRVVQRNAHSAWNTEGGDFRSNLAGDPEVTAKLSSQQLADCFSTELHQANLGVIWDRLKL</t>
  </si>
  <si>
    <t>YP_001224343.1</t>
  </si>
  <si>
    <t>adenylosuccinate synthetase</t>
  </si>
  <si>
    <t>MANVVVIGAQWGDEGKGKITDLLSRSADVVVRYQGGVNAGHTIVVDGQVLKLHLIPSGILYPDTICLIGSGTVVDPRVMLGELDMLIENGIDISGLQLASTAHVTMPYHRLLDQAMERQRGERRIGTTGRGIGPTYADKSQRSGIRVIDLLDEQRLRDRLEGPLQEKNQLLQTIYGMDPLNADEVIAEYLAYGKRLAPHVVDCSRAIHGAARNRKNILFEGAQGTLLDLDHGTYPYVTSSNPVSGGACIGAGVGPTLIDRVIGVAKAYTTRVGEGPFPTELDGSLNDHLCDRGGEFGTTTGRRRRCGWFDGVIGRYAVEVNGLDCLAVTKLDVLDEIDALQVCVAYELDGERIEHFPSCSEAFARCKPIYETLPGWQCSTADCRRLEDLPEKAMAYLRFLADLMEVPIAIVSLGASRDQTIVVEDPIHGPKRALLSA</t>
  </si>
  <si>
    <t>YP_001226220.1</t>
  </si>
  <si>
    <t>hypothetical protein SynWH7803_2497</t>
  </si>
  <si>
    <t>MTSPVLNGRERFKQHLRKVGSGEHTSKGMSREEAADALELMLHQDATPAQIGAFLIAHRIRRPEPQELTGMLDTYRKLGPVLHSAPGQRPPLCFGMPYDGRTRTAPIYPLTTLVLLACNQPVVLQGGERMPIKYGITAIELFRSLGLDLRGLPLETVQDGFHNQGFALIHQPDHFALAESLITYRDELGKRPPVASLELLWTAHRGDHRLISGFVHPPTESRAWEALKLAGETDLYTVKGLEGGTDLPIGRACITARVQGEQTERLILHPRDHGCHAADVEWTDLTTWQAQAMDALQNRGPLQDSLRWNAGVYLWFAGLSESLETALEQATSVMDQGLALQQLDQLCSCLSIR</t>
  </si>
  <si>
    <t>YP_001225653.1</t>
  </si>
  <si>
    <t>alpha-glucosidase</t>
  </si>
  <si>
    <t>MELLLFSSSEAPSPERIIDLDVHTHRSGDYWHVEVEGLTEGCLYGYRVFGPLAPGGHGFRPAKVLLDPCARGIEGWSVYQRGMATGASPNTDCCLKGVVCERDRFDFDAHPRPRHSWQQTVIYELHVGGFTRRSDSGVAPERRGTLLGVIDKIPYLKALGVTTIELLPVQAFDPHDAPPGRDNVWGYSPLSWFAPHAGYICGDDALQARKQMRALVAACHDAGLEVLLDVVYNHTTEGNQAGPTLSWRGFADRIYYHQSSQGDYLDVSGCGNSIAANQPLTRALILESLRCWALELGVDGFRFDLGIELSRGEGLKPLDHPPLLEAMEADPLLSDLKLVSEPWDCGGLYRLNDFPAQRIGTWNGRFRDALRGFWKGDENTTWALGQRLRGSPDLYDGKPVTLGRSVNLLTAHDGFTLMDLVSFNSKHNLANGEDNRDGENHNISWNHGVEGPSSDHAVTALRRRQQRNMLSTLLLARGVPMLLMGDEVGRSQGGNNNTWCQDTPLSWMIWSDDHCDRDLLTYVRRLIAVRHQLKDLFTPLIAHNEKPQQLSSDPEGFWRQWHGVELGKPDWASWSHCLALSVHRGSQGAVLWAGFNAYFKAMHFDLPEAATPWHRLIDTALPPGEDLPAQPEPWTPSGVPLEARSLVVMVAREYTNGLKL</t>
  </si>
  <si>
    <t>YP_001224517.1</t>
  </si>
  <si>
    <t>MDLNDLPDLSALNLAVIGHQEWVTFLEVDALPQPGRISRACRSLEEPAGAGAVVAVQLARLTGRRVLFFTALGSDAIGQRSEQRLRELGVEPVVAWRDTPSRRGISLMDPGGDRAITVIGERLTPCAEDDLGWERLASCDGVFVSATDAAGLRLARQARVLTATPRLRLPVLEEASVPLDALIGSGLDPSEQLPEGTPEPAPRLRIATEGAEGGLLVPGGRFAPEPLPGPSVESYGCGDSFAAGVTAGLAAGWAVADAVQLGARCGAACATRFGPYG</t>
  </si>
  <si>
    <t>YP_001225791.1</t>
  </si>
  <si>
    <t>beta-galactosidase</t>
  </si>
  <si>
    <t>Chitinase</t>
  </si>
  <si>
    <t>MASAAGNLLLQASGTLYWGGMSGTLTITNPTDSAIDNWSVSFETPHSDFQSWAGAAVVEALEGGGYRVTLTPAAWNSTIGAGQSIDVSFNAVSVGLANSGPLTDALFFTDSGVDSSGSQSDGETSADGNTQSPGENSDTENSTADEASVSDAPARVFAVDVYSGEVTDFRPGTDSLDFGGQSVHNLILGKTEEGYVTFLSPWNDAQKMTLVGVTYDMLDLEDYGVVGNEHLRQDLGGVVSWETGFGPAFDVENPDRERTTYIRSHEYGKVETITDFNPATDKISFLYYGTRELLSVTQEGVDLVIKTEPTGQTFIFENTNLGDIPSASLEFHFDQIVEDNLEIPFDREVEALTLKDRTVLRTPAAPEGEQTDGFQTQSGAEAVNAQPPHDSHSTGEHGSMEMEPDMDTASEMNMDMPSEPEPSVDIESSSSGLEVSATITGGWSGTFAGNVIVTNNTAESLGTDWSVSFVSDAPLKSVSNFEFTNTLRDDGRYAITLMPKSWSAPLAAGAAQSSYYQGSGDFADPNQVFDLAATSSVTPDVNPSGGEPAVSEDSPPTEGGVIAEDSPLPEGVPVTQGVPVTEGGTVTIDYERPNGTTDKRVVTYFEEWGIYGRDVNLSDVDGQSMTHMNYSFFDVKADGSITLFDPYAALQKRFSQSDQVSRTFSTSEYAAMAPELLDIYENSGRYTTSESGDSITVTSVPVGWNGVGDNDAGNFEQLRRFKELNPEVNLGFALGGWTLSDEFSTAYATQEGRDKFVSETVRIFETYDFFNVVDFDWEYPGGGGKAGNAVSASDGENFALVLRDLRSALDDLSAETGRDFEVSIATAGGQEKLANLNLEGIDPYVDFYNVMTYDFHGGWENVTGHQAAMTGDANNYDITGAVDVFESAGVDLSKVVLGAPAYTRAWGNVSDGGTFGYQQPGSGRDAAGSFEAGVYDYKDLLDDVVTGSRILYWDDDNKAAFLYDGDEWSSMETTATIAGKAAYVDKKGLGGMMFWALSNDAEGDASLVGAADDLLRQGASYAEVIGRAPEFDFIVGGDGQFGLDDFHLFA</t>
  </si>
  <si>
    <t>YP_001225697.1</t>
  </si>
  <si>
    <t>glucosamine-6-phosphate deaminase</t>
  </si>
  <si>
    <t>MGLIPARSVSKLPPSISVQRRPDPVALMDAVVDVLDASLQTGVQQQHFRPLGLATGRTMEPLYAALCARLKRWPALDLQWLREHWCSFNLDEYVGLPVGDPRSFAAYMQTHLAGPLDLPTDRVRLPDGKASDPGLEARRYSTAVQQAGGLGLQLLGLGSNGHVGFNEPPSGVDSPCRVVTLQAATRIQNADAFGGDSEAVPKQAITLGLQEILSAEVIHLIVTGSAKAEILRAALLEPSTDLVPASWLQRHPQVHVWVDDAAYARLSAP</t>
  </si>
  <si>
    <t>YP_001223932.1</t>
  </si>
  <si>
    <t>putative phosphoketolase</t>
  </si>
  <si>
    <t>MTVTPLLHLSGSEHLQAPADDELQRLDAYWRAANYLAVGMIYLQDNPLLREPLRPEHIKNRLLGHWGSSPGQAFIWTHANRLIKAYDLDMIYMSGPGHGAPGARGPVYIDGSYSERYPDKSLDETGLKKFFKMFSFPGHIGSHCTAEMPGSIHEGGELGYVLSHAAGSVFDNPELITVACVGDGEAETGPLATSWHINKFLNPIKDGAVLPVLHLNGYKIANPTILSRIDHEELDSLFRGLGWTPIFVEGCDPMEMHRKMAVAMEQAVLEIRAIQEQARSSGEAFRPRWPMIVLRSPKGWTGPQELDGKKIENFWRSHQVPIGDVKTNPDHLQLLEDWMKSYRPWELFDDSGAVREEIRALSPKGDRRMGSNPHTNGGVLRKDLRFPELRNYEVPVEIPGTTEKENTYPLGELIRDLISNNPGGYRLFGPDETASNRLQAVYETTKKAWMANFLPEDLNGSELSRDGAVVEMLSEHTLVGMMDGYLLTGRYGFFHTYEAFAHVVASMYNQHCKWLEHCEEIPWRAPIAPWNCLISSTVWRQDHNGFTHQDPGFMDLAGNKKGSITRVYLPADANSLLAVAEKALTETDVANIIVSDKQKHLQYLTLDEARRHVAKGAGIWEWACNDNCGIDPDEPDVVLASAGDIPTKECLAAIEILRSEIPHLKVRYVNVVKLFAMANPKDHPHGLSDRDFESLFTPDKPVIFNFHGYPWLIHRLTYNRPNHNNFHVRGYKEQGNINTPLELAICNQIDRFNLVIDVIDRVESLGSRAAHVKEQMKDEIHKHRAYAHEHGTDAPEINNWRWSLGRSSCNV</t>
  </si>
  <si>
    <t>YP_001225288.1</t>
  </si>
  <si>
    <t>phosphoglycerate mutase family protein</t>
  </si>
  <si>
    <t>MAEHRQLWLLRHGATEWAKNGRHTGSTDLPLLPEGEEEARLLAPVLTSQTFAAVFSSPLQRARRTCELGGLGEQAQVMPELLEWNYGDYEGVTTPEIRKTVPGWTVWSHGCPNGEDAEAVQKRCEIAIQRALEVPEPGDVALFAHGHLLRSLAGTWLGLGAVGGSLLKLSTGSICVLGFERENRAIVRWNAPANGRF</t>
  </si>
  <si>
    <t>YP_001223931.1</t>
  </si>
  <si>
    <t>glycosyltransferase of family glycogen phosphorylase</t>
  </si>
  <si>
    <t>glycogen hydrolysis</t>
  </si>
  <si>
    <t>MSTSQPLDLRLPTPGCYADPERAGLDAESVFDGMTEHLFFTLGKLAPSASRHDLYMALSYAVRDRLMTRFLASKEAIRARPQRTVAYLSAEFLIGPQLANNLLNLGIQKEAEEALKRFGIESLQQILEVEEEPGLGNGGLGRLAACYMESLASLEIPATGYGIRYEFGIFDQLIRDGWQVEVTDKWLKGGWPWELPQPDQACFVGFGGRTESYIDDKGSYRSRWIPSEHAIGVPHDVPVLGYRVNTCDRLRLWRADATESFDFYAFNIGDYYGAVEEKVGSETLSKVLYPNDGTDEGRRLRLKQQHFFVSCSLQDMLRSLDSRGLSVENFPEYWTVQLNDTHPAIAVAELMRLLIDDRHLEWEKAWDITTRSVAYTNHTLLPEALEKWDLNLFSSLLPRHLELIYEINRRFLQQVRLRYPGNDAIQRKLSIIDEDGGKAVRMAHLATIGAHHVNGVAALHSDLVREQLMPEFAELWPEKFTNVTNGVTPRRWVALSNPELSTLLDEHVGQGWITDMEQLRRLEERQHDHGFLEHWGNTKLSVKRKLSGYIHRNTGVLVDPSSLFDVQVKRIHEYKRQHLNALQVITQYLRIKNGQAEGMAPRTVIFGGKAAPGYYMAKLIIRFINGIAETINADPDMDGRLRVVFLPDYNVKLGEQVYPASDLSEQISTAGKEASGTGNMKFAMNGALTIGTLDGANVEIRELVGGENFFLFGKTVEEIAALKQGGYRPWEVIQSLPELAEAIRLVEIGHFSNGDGELFRPLLDNLTGNDPFFVMADFADYLRAQDAVSRAWTDRMHWNRMSLLNTARSGFFSSDRSIRDYCRDIWKVEAMPVEITCDVR</t>
  </si>
  <si>
    <t>YP_001226197.1</t>
  </si>
  <si>
    <t>sucrose hydrolysis</t>
  </si>
  <si>
    <t>MQFQSERTLGNLLRCLYECHPSGDLESLSSQLLQILGSASANGEIRTQGNPWCVDDVVLITYADTVVEDDQPALVSLRTFLNCHLSEFAAVLHVLPFLEASSDGGFAVASHERLEERHGDWSDLAELAQGRRLMADLVLNHVSASHPWVRQFLRDQEPGRFCVLEAGPDPCWDNVVRPRSSALFTKLQGPISMREVWTTFGPDQVDVDWRHPEVLLGFTRLLARMVTHGVGWIRLDAVGFVWKEPNTTCIHLPQAHQLVELLRQLLTIACANGVVVTETNVPEQENLSYLRTGREAHLAYNFPLPPLLLEAAVSGSADLLNRWLSRWPSLPESTALLNFTACHDGVGLRPLEGLMPPSRLRELLIACEQRGGLVSHRRLADGSEVPYEINISWWSAMADGGLDPSYRQRERFLLTQLMVLALPGVPAIYLPALLATANDLGRFRRTGHRRDLNRPQFTRRSVERRLQDPDSDAAAVVTVLKQALAVRARQPALHPDGQLEVLSPDREDRVVLHRSHAGHHLLAVHNVTSTRLSLDPSGLLDQEEASPWVDCLSGRTLEPRKRHLLNPYEVLWLVRS</t>
  </si>
  <si>
    <t>YP_001224497.1</t>
  </si>
  <si>
    <t>glucokinase</t>
  </si>
  <si>
    <t>MAAKTFLAGDLGGTKTLLALYSESEEGLNKIHSHRYVSAEWSDLESMLGDFLKTLPQGLSKPETSCIAVAGPVQNGTAKLTNLPWSMSEASLCKATGLQRLELVNDFAVLIHGLPHFSASQQVVLQTGSGRDAPAAAGQDGGAVAILGAGTGLGMARGLPAARGWQALPSEGGHREFAARTEDEWHLAQWMRSTLDLDRLSIERVVSGTGLGHVMCWLLSAQEHSDHPLQGKAKAWTTLPAEHPDHEDLPAHTSRAAASGDPLAQAAMTLWLGAYGSAAGDLALQELCTGGLWIGGGTAEKVIDGLRSSQFLEPLRRKGRFRPLIESLTIRAVTDQEAGLFSAACRARDLAESGGTLA</t>
  </si>
  <si>
    <t>YP_001225272.1</t>
  </si>
  <si>
    <t>starch and sucrose metabolism</t>
  </si>
  <si>
    <t>MLLHPTALPGSPVCGTFGAAARDWLHALARQGIRVWQVLPLAPPDGTGSPYSSPSSFAINPWLLDAQDLSDEGFITPDDVQALPQAAPADAEGGEQLDFALAAQRADALARSLRLRWAGQPADRHEAFQRWCIDQSRWLRDHAAFMVLRREHAGLPWWDWAHELAVHRETALEHWRCTHRSDLLEQDLLQWHLDRQWRRLRALASDLGVEILGDLPFYVARDSADVWSNRSLFSIAGDGRLHQQSGVPPDYFSATGQLWGTPVYTWGRHRRTGFRWWRDRLRRQWDLADRLRLDHFRALAAYWSVPGSDDTAMNGRWQRSPGGELLACLKRDAGGSLPIVAEDLGVITPDVERLRDRFHLPGMKVLQFAFDGNADNPYLPANIKGSGWVVYTGTHDNPTSLGWWERLEQSSRDQVAATLERSVEAPGWQLLELGLSTSAALVVAPLQDLLHLDDAARFNTPGTVGGNWMWRLPALDGALNGALEGYGVRAEVWSRR</t>
  </si>
  <si>
    <t>YP_001224445.1</t>
  </si>
  <si>
    <t>gluconolactonase</t>
  </si>
  <si>
    <t>MFNAQLERLFDGCRWLEGPVWLGDQQRLLVSDIPNDRILSWDEVHGLSVYRHNAGFPNGQTRDRQGRLLTCSHRDRAVLRTEHNGRVTSLVDSHQGKSLNTPNDVVVKRDGTVWFSDPLYGLVNDYEGGRRSSLQAPVIYRFDPADGSLQAMTTPDEVSGPNGLAFSPDESLLYVVDTGAPDDPVADRLIHVFDVVQGGRLLEGRRDFHRVNNGNADGIRVDEVGNVWSSAGNGVHCIAPDGTLLGRIATPRLVSNLCFGGVHGNRLFLCSWDTVYSIHVNTRGLQHPALP</t>
  </si>
  <si>
    <t>YP_001225921.1</t>
  </si>
  <si>
    <t>inositol monophosphatase family protein</t>
  </si>
  <si>
    <t>MTSAPLSPAQLLAVHQLLDGVAERQRHDFGHIVSDVKPDGSLITACDRWSDETLVQGFAQICSGESTLSEEGEKHCPATSAFWVVDPLDGTTNFAAGIPYWAISVARFVDGRPMEAFLDIPSLRQRIVAIRGRGAWRNGKRLTAETRLAAGSACVSLCSRAIRVLQRRHQEPFPGKIRLLGVASLNLVSVAMGQTVAALEATPKIWDLAAAWLVLSELGCPVLWLREDPTALVPGRDLSDVGFPVLAASSEEQLTRLRPWGESLLLP</t>
  </si>
  <si>
    <t>YP_001225588.1</t>
  </si>
  <si>
    <t>N-acetylmannosamine-6-phosphate 2-epimerase</t>
  </si>
  <si>
    <t>MTLPLGNGLIVSVQAPEGSPMRHPDVIAAMAEASLRNGALGVRLESPEHIAAVRERCPEALIIGLWKRSWPESSVYITPRWHEVKAVWGAGADVVALDATDRLRPQGEELERLVKRAKDDLGAPLMADVDSIENGLRAASLGCDWVGTTLFGYTETTQDSKPPGLHLLKPLRDGLPAQTGLICEGGIASPQTARDAISAGADAVVVGTAITGVDLQVAAYHRHITRQTV</t>
  </si>
  <si>
    <t>YP_001225284.1</t>
  </si>
  <si>
    <t>glucose-6-phosphate 1-dehydrogenase</t>
  </si>
  <si>
    <t>MTNPLRVGLRQERVIAPQCLVIFGASGDLTHRKLVPALFELFLQRRLPSEFALLGCARRPWSDEEFRQKMAEAMTKTVNENRVAWDQFAAGMFYEPVDLQQPEDLVKLGHRLDSIDRLRATRSNRTFYLSVSPKFYGSGCRALADAGLLKDPQRSRVVIEKPFGRDYGSAQALNRIVQSCGQENQIFRIDHYLGKETVQNIMVLRFANTIFEPIWNRNYISSVQITAAETVGVEERAGYYETSGALRDMVQNHLTQMLAITAMETPGRFDPEAIRSEKAKVLQAARLADENEPWNCCIRGQYGPGGTQENPLAGYRQEPGVDPNSTTETYVAMKLFIDNWRWQGVPFYVRTGKRLPKRLSEVVLTFREAPVHLFDAAGGGPTANQLILRIQPDEGAEFRFEVKSPGSGMRSRPVEMEFSYDESFGEPSDEGYVRLLADAMLGDPTLFTRSDEVEAAWRLYTPLLELIEDSPWQLPIHPYESRTWGPAASDALMARDGLLWRRP</t>
  </si>
  <si>
    <t>YP_001226028.1</t>
  </si>
  <si>
    <t>N-acetylglucosamine-6-phosphate deacetylase</t>
  </si>
  <si>
    <t>MRRITHVRLPQCAGTTPSQGLHWLILSDQGVITEIGPMPAMAAMAGESWNGDWLSPRGIDLQINGGLGLAFPELCDDDLPRLLQLLEQLWRDGVEAIAPTLVTCGVAPLRRALSVLRQARSMHHEDRCRLLGAHLEGPFLATERRGAHPIAHIAPPSLAELNQRIAGFETEIGLVTLAPEQPGAEHLITHLNALGITVALGHSTATAEQAATAFDQGVSMLTHAFNAMPGLHHRAPGPVGEACRRGGIALGLIADGVHVHPTMAVLLQRMAGDQTVLVSDALAPYGLADGEHRWDERVLHVQDGTCRLEDGTLAGVTLPLLEGCCRLARWSGDADGAIWAATMAPRRVIGMDHSVEGLVGQPIDHLLRWNLSEEGASLAWREAV</t>
  </si>
  <si>
    <t>YP_001224749.1</t>
  </si>
  <si>
    <t>glycogen synthase</t>
  </si>
  <si>
    <t>glycogen synthesis</t>
  </si>
  <si>
    <t>MRVLFAAAECAPMVKVGGMGDVVGSLPPALAQLGHDVRLIMPGYGKLWSSLDIPAEPIWRAQTMGTEFAVFETRHPTNGLPLYLVGHPVFDPERIYGGEDEDWRFTFFASAAAEFSWNVWKPQVLHCHDWHTGMIPVWMHQDPEISTVFTIHNLKYQGPWRWKLDRITWCPWYMQGDHTMAAALLYADRVNAVSPTYAQEIRTSEYGEKLEGLLNYISGKLRGILNGIDLEAWNPATDKALPATFSSANLAGKATCKQVLQERMGLTLNPDTFLLGMVSRLVDQKGVDLLLQVADRLLAYTDTQIVVLGTGDRGLESGLWQLASRHPGRVAVFLTYDDALSRLIYAGSDAFLMPSRFEPCGISQLYAMRYGCVPVVRKVGGLVDTVPPHDPRQKSGTGFCFDRFEPVDFYTALVRAWEAFRHPESWKELQRRGMEQDYSWARSALEYDRMYRDVCGLKEPSPDAAAVEQFSQGQEADPSRHGGASQTLSPSEEAPIESSEASSGSTPVRTSRNPLARLLGKQRR</t>
  </si>
  <si>
    <t>YP_001224512.1</t>
  </si>
  <si>
    <t>MTIRIGINGFGRIGRLAFRQAMACPDVEVVGVNDLIAVDYLAYLLRYDSTHRQFQGEIRVEDGALVVNGQRIRITAERDPSQLRWNEIGADYVLESTGFFLTGPLAQAHLDAGAKRVVMSAPSKDDTPMFVMGVNHTSYAGQSIVSNASCTTNCLAPLAKVVHDNFGIVSGLMTTVHATTATQKPVDSPSLKDWRGGRGAGQSIIPSSTGAAKAVGRVIPELNGKLTGMAFRVPTPDVSVVDLTVNLDQPTSYENLKQTIKQASQNGLSGILGYTEDPIVSNDLLGESCTSVFDAGAGMALNDRFMKLVAWYDNEWAYSCKCIDLIRHMAQYPEKFIASSKPTNQ</t>
  </si>
  <si>
    <t>YP_001225718.1</t>
  </si>
  <si>
    <t>phosphoglyceromutase</t>
  </si>
  <si>
    <t>MNAVDRQAGHPKQRSSVAPVVLAILDGWGDREGSDFNAIRSAETPVMDALRHAYPNTLIQASGSHVGLPDGQMGNSEVGHLTIGAGRIIRQELVRIGDTVRANQLAAVPALSKLAARLRESGRTLHLLGLCSDGGVHSHVDHICGLLRWAAEEGIESVAIHAITDGRDTPTQSAPRYVHTIEDTIQSCGVGEIASLCGRYWAMDRDQRWERTARAYALLTDPAHPCSNNDASAVLEASYAAGTTDEFLEPTRLSSSHLQDGDALLMFNFRPDRARQIIQSLTLDAFEGFERPHHPKLDVVTFTQYESGLPVEVAFPPESLDNLLGQVVAAEGLKQYRTAETEKYPHVTYFMNGGIEQPLDGEDRHLVPSPRVATYDQAPAMAADTLTDSCIAAIEQGIYSLVVINYANPDMVGHTGVMQAATEAIQTVDQCIGRLLDAVGRMGGTLMITADHGNAECMRGADGEAWTAHTTNPVPVILVEGERRKLVGMGNALRLRDEGGLADIAPTLLQLLGLDKPAAMTGQSLIEAIDTPAPSSAKLPQPV</t>
  </si>
  <si>
    <t>YP_001225875.1</t>
  </si>
  <si>
    <t>fructose-bisphosphate aldolase</t>
  </si>
  <si>
    <t>MAIANRPISDWLGDEAELLLNAAPRVSKERLHLPNTHVVDRFSLTDRNPQVLRSIQQMYGSGRLANTGYLSILPVDQGIEHSAAHSFAPNPDYFDSEAIVELAVEAGCNAVCSTLGVLGSVARKWAHRIPFMVKVNHNQLLTAPNVHEQILFASVDQAWDMGAVAIGATIYFGSDDCNRELQQIAALFEHAHDRGLATVLWCYLRNPIFKQPEADYHLSADLTGQAVHLGVTIGADIIKQKLPANNGGYPAVAKALGQSFGMTDDRIYSELSSDNPVDLCRYQVLNCYSGRIGLINSGGASGSDDMHEAIRTAVINKRAGGSGLIMGRKAFQKPRQEGVDLIHAVQDVYLSPEVNIA</t>
  </si>
  <si>
    <t>YP_001225285.1</t>
  </si>
  <si>
    <t>putative glucose 6-phosphate dehydrogenase effector OpcA</t>
  </si>
  <si>
    <t>MSPQLTLQTPLELPPAEVPSYLEQLWSRDQQGGVGSHTFCLLIWQPSWVEQQLVRTGRLEGPITGVQRAELVQAGRQVVVDGDLPLSTSPLTAPVAACLSSMGGSQQADDLRGQHIDAALSALRPRRLITLAPSLDDQQALETLVAAYCPLPEEGGGTVACGDVVVLRGGQPALNDGLSILQPLLPEDLPSWVWWNGALDEAPELLMQLAGSPRRLIIDSALGDPGFCLNLLATRIESGQAVNDLNWLRLGSWHQTLAMVFDPPNRRNALSHVVQLDIDVEGDHPVQGLLLASWIADRLGWHLQRTQHHDDHSISAEFARADGTAVQMRVSPVPMGQPSIHPGQIVGLRLICKPEDKPAICVILCAESGGCMRLEAGGMASMELIEEVVAVQPMPVEADVAKLLEGGHDSTNPLLAAAAPLAAKLIK</t>
  </si>
  <si>
    <t>YP_001224052.1</t>
  </si>
  <si>
    <t>N-acetylglucosamine kinase</t>
  </si>
  <si>
    <t>MTDSSTSNSLVLAGFDAGQTHCRCRLSRWTPAGWQCLGEGTGTGVSHLDAPGGEERFREAIRSSLHAAWPDHQDEPLSAAAVGASGVEAGTGLQARAASLLREVVHLPNDRCVATGDERTALRGAFAEQAGIVLISGTGMIVVGRNTLGEEQRCGGWGWRLDGAGSAFDLGHQGLQVSLRMADGRLADGPLRESLWERLGCRSANDLKSLVVQPDHQPADLARLAPLVDEAAAQGDREAQRILDRSAFALAEAAGAVARTLHLKTPNLCAHGGALLNLTEFKGAVRRSVQEHLPGARWTQPLGDACDGALTLARDCCQLKPH</t>
  </si>
  <si>
    <t>YP_001224958.1</t>
  </si>
  <si>
    <t>glycosyltransferase of family trehalose-phosphate synthase</t>
  </si>
  <si>
    <t>MLINEGKSDFIILYHRTPFDESTDELGNRIWRDQKSPNGIIPTLRNLFRSRENGTWIAWRRVDDVKNERDERIVMNNPATFSLRRIPLEQEQISSFYHVTSKESFWPILHTFPTYFDVNNANWQIFEEVNQRFANAACAEAAEGATVWIHDYNLWLVSGFIREKRPDLKIAFFHHTPFPGNDVFAILPWRKQIIESLLACDVVGFHIPRYTENFARAASCLLGVEKGPKESVATKFLKFGSALTEPTETPWLKYKNRKVKLVSSPVGTSPDVIQTLAVRNDVAELSKKIDEDTKKGRKLILSASRVDYTKGNEELLLAFERLLERRPDLHGKVVLMLACVAAASGMKIYEETQRLIEETAGRINGRFSLIDWVPIRFSTNRIPYEEMIAWFSKSDICWITPLRDGLNLVAKEYVAARKGRDGVLVLSEFTGASVVLDGALLTNPYSHKQMDDAIETALALPQEEQVSRMKKMVDAVDEFTVTDWANEQMQSLETVD</t>
  </si>
  <si>
    <t>YP_001225942.1</t>
  </si>
  <si>
    <t>cellulases</t>
  </si>
  <si>
    <t>MSQLLVVRASGHAGDQQRRYPRWELSNSELQRQLENGVGGVILLGGTATELQQRCRTLRAWAADDDLLLCADVEEGVGQRFEGATWLVPPLALGRLHGHNPAAAIRFAERYGRCTADQARRCGLNWVLAPVCDVNSNPANPVINVRAWGQAPEAAGALAEAFQRGLQAGGVLGCAKHFPGHGDTAQDSHLELPVLAHARERLEQLELKPFRRLIAAGVESVMTAHLLIPALDAERPATLSSKVLTDLLRVSLDFQGLIVTDALVMEAITGLVGPGEAAVQAFEAGADLILMPADADEAINAVCAALASGRLPASRLEQSLQRRREALQRCRERQRQNRTASTAPSPPDAAETAAETAEEHQLALELVGATLEVQGATPVDAPAGGGVTLIRVDGVLACPFLRPEAPAISWPARRGFRPILCHELGISPWHDPPQADHPLALDRLGEGPVLLQLFLRGNPFRAGRDRDDPWPAAIRQLLALNRLAGLAVYGCPYRWESLRALLPSSIPAAYSPGQMAEAQQMLMGRLLGEEHMLELGGEFTD</t>
  </si>
  <si>
    <t>YP_001225183.1</t>
  </si>
  <si>
    <t>MRIGINGFGRIGRLVFRALWGRPGIELVHVNDPAGDAATAAHLLEFDSVHGRWDRNITSDANGFSVEGSPLTWSSEKDPTAVPWTERGVEMVLEASGKIKTPETLTPYFEQVGLKRVVVACPVKGEVAGEEALNIVYGINHDLYEPERHKLVTAASCTTNCLAPVVKVVHESFGIEHGMITTIHDITNTQVPIDAFKSDLRRARSGLTSLIPTTTGSAKAIAMIFPELKGKLNGHAVRVPLLNGSLTDAVFELKQTVTVEQVNAAFKAASEGALKGILGYEERPLVSCDYTNDNRSSIIDALSTMVVDDNQLKVFAWYDNEWGYSCRMADLTCHVVGLDA</t>
  </si>
  <si>
    <t>YP_001225019.1</t>
  </si>
  <si>
    <t>6-phosphogluconolactonase</t>
  </si>
  <si>
    <t>MTSYRIERASDPQDLARLAAEHIGAAIDLALDQRDRAQIALSGGSTPARAYERLAQEHLPWDRVDVVLGDERWVAADDESSNARMLRNTLLKAGQPGSHACFHPVPTVELPTAEASAEAFASLLTKVCEGNPPVFDLMLLGLGDDGHTASLFPGTDAPKVQDQWSTVGRGKGLDRITLTAPVLSAARKVLFLVSGEGKHQALSRLIDPSESSERTPAKLVTPSTEILVLADQAASQGL</t>
  </si>
  <si>
    <t>YP_001223967.1</t>
  </si>
  <si>
    <t>UDP-glucose 6-dehydrogenase</t>
  </si>
  <si>
    <t>MPAAPIRSICCIGAGYVGGPTMAVIADRCADIQVTVVDINQARIDAWNDPDLSKLPVYEPGLDAVVGRARSRNLRFSTAVDEAIAAADMVFISVNTPTKTKGLGAGQASDLRWVEACARQVAKSAQGHTIVVEKSTLPVRTAEAVKAILSAAQQSDHGEPRSFAVLSNPEFLAEGTAVRDLESPDRVLIGGEHPEAIDALASVYGHWVPQERILRTNLWSSELSKLTANAFLAQRISSINSVAALCEATGADVREVARAIGTDSRIGPKFLNAGPGFGGSCFQKDILNLVYLCRHFGLPEVADYWESVVNLNSWQQHRIARTVVQKLFGTVTGKRLAILGFAFKADTNDTREAPAIRIARDLLEEGAQLAIHDPKVESEQIARDLGLIASEAPDAESGPTRASLSGEGTWWPSASVADALDGADGVLILTEWNEYRQLDWSDLAQRMRQPAWVFDARSVVSREAIHAAGLQLWRVGDGDA</t>
  </si>
  <si>
    <t>YP_001223936.1</t>
  </si>
  <si>
    <t>galactose mutarotase-like protein</t>
  </si>
  <si>
    <t>MAMTFRQQSAPYAHWEYVHPSSGDRLRIVPERGGLVSEWLCNGREVLYFDQERYADPAKSIRGGIPVLFPICGNLPDDSLPLASGTYTLKQHGFARNLPWTIELLDDQSGVRLSLVDTADTRAAYPFAFRVQMDVRPVASALEIVTTVTNTSAEGGEAMPFSFGLHPYFNVTDLARTTLEGLAPRCLNHLEMADAETASQLSRLPDGVDFLTRPAGPVTLVDTAAATRLQLQHHEPMDLTVVWTEPPRPMVCLEPWTGPRQSLISGDRKLELNAGQSTTLTCRYALS</t>
  </si>
  <si>
    <t>YP_001225418.1</t>
  </si>
  <si>
    <t>hypothetical protein SynWH7803_1695</t>
  </si>
  <si>
    <t>MAPLGLSALRSLLRRSSRPQAWTPPEASWSRPFGLGWDQPYTVRYASNLDDGPWHGMPLGGFGAGCIGRSSRGDFNLWHLDGGEHWYGTIPDCQFALFESNGSSQRAHALAVKPEADASRPNSAEPLAAWDWYPASTPERSTGTYAARYPLSWTHYEGVYDAEVSCEAFSPILPGDYQRTSYPVAVFRWTLRNPSDQPLDLSLLLSWRNTVGWFFNTDPSAEVHFRDDGSPEHNYAPAIGQGEGQRNRWLDQEGVRGIVLEGQRSEPIGEGQGQWCLAVPDALEGVEVLRCSRWDPTGDGQELWQSFAAEGRIPNSNNDRSSRAGEQASAAIALKFTLAPGESREIPIAISWDLPVTAFATGVRDLRRYTDFFGADGCNAAALAAEALRDWRQWRDQIDAWQAPVLARQELPEALRMALFNELYDLASGGSLWTAASGKDPHGRFGVLECLDYAWYESLDVRLYGSFALLQLWPELDKAVLRSFARAIPAADATQRPIGWYFTQGRGRVEADRKVKGATPHDLGAPNEVPFDATNYTAYQDCNLWKDLASDFVLQVWRTFKLAPTGEDLKFLADCWPAAVQALHYLKRFDVNNDGLPDNGGAPDQTFDDWPLKGVSAYCGALWIAALEAALAMAQRLQQELGLDTGSDQHTFSAWLEQSRSNFDRLLWNGEYYDIDAESGTPVVMADQLCGDFYARLLGLEPVVSEANSRSTLKAVKESCFEKFQGGSLGVANGLRRDGTPLDPNGTHPLEVWTGINFGIASYYRLMGEGQTAEAICSAVVDQVYSGGLQFRTPEAITAVNTFRACHYLRAMAIWGLWATHTDWQRIPGAERG</t>
  </si>
  <si>
    <t>YP_001225021.1</t>
  </si>
  <si>
    <t>glucose-1-phosphate adenylyltransferase</t>
  </si>
  <si>
    <t>MKRVLAIILGGGAGTRLYPLTKMRAKPAVPLAGKYRLIDIPISNCINSNINKMYVLTQFNSASLNRHLSQTYNLSAGFGQGFVEVLAAQQTPESPSWFEGTADAVRKYQWLFQEWDVDEYLILSGDQLYRMDYSLFINHHRSTGADLTVAALPVDAKQAEAFGLMRTDEDGRILEFREKPKGDSLLEMAVDTSRFGLSAESAKERPYLASMGIYVFSRDTLFDLLHQNPTHKDFGKEVIPEALQRGDRLKSYVFDDYWEDIGTIGAFYEANLALTQQPTPPFSFYDAEFPIYTRPRYLPPSKLVDSQITDSIIGEGSILKSCSIHHSVLGVRSRVEDEVVLQDSLLMGSDFFESSSERAVLRERGGIPLGVGKGTTVKRAILDKNARIGSNVTIVNKDHVEEADRPEHGFYIRNGIVVVVKNASIPDGTVI</t>
  </si>
  <si>
    <t>YP_001224452.1</t>
  </si>
  <si>
    <t>hypothetical protein SynWH7803_0729</t>
  </si>
  <si>
    <t>MTTSVISTAQLGEEPLELVRSRERDEGLKPWDLWGTYLSDRQWGTVREDYSGDGNAWNSFPFDHSHLRTYRWGEDGLLGLSDENGLLCFAPVLWNGKDPVLKERLFGLGNPEGNHGEDLKDTMYHLAGTPTCSYAKALYRYPQERFPYERLREENQRRSRDEPEFELVDTGIFSDNRFFDLGVEYAKVSPEDLLIRLTVTNQGPEAADLHLLPSLWFRNTWDWGDDTSARPRLRLADGVVVSDALNALASYNFSCSEQGTWLFTENETNTERLYNQPLRQPYVKDAFHRYLIEGEAGAVNPSGEGSKAALHLQRRLDPGEVWQVDLRLCRHDHHGAKAPDPMESSQVDAVLSQRRQDWEDHLQWVAPGLGTEDRAIHAAAAAGLFWCRKFYNWYVARWLRGDSNAPRPPEERWHSENAYWSTLRARNIISMPDCWEYPYFCQWDLMVHAVAFAELDPGEAKRQARMLRQASVTANNGQSPAYEWALSDANPPIGAWATLRIFQISKRTHGQKDYPFLRASLRELLLEYGWWANRTDRNGDSLFEGGFLGLDNIAIFDRRYPLKDGSRIEQSDGTAWMGMLSLNMLEACVLLSSDREEYKGLCERFVSDFSRLTYALNSPSGRGFVNWDEADGFYYDVLKRPDGSSDYLRTRSLSGLIPLLAIATFDAQTVDSIPALDVRSYLNDLGRERGAPFDAISHLGTWHRDRVLFSIVPPHRLRRILTRVFDEEEFLSPYGIRSLSKVYENHPYSYQQGDDYATISYSPADSPVAMFGGNSNWRGPIWMPINYLLIEALQKFGHFFGDDFKMEFPTGSGRELNLWQISLELEQRLIGIFRRDDDGRRAFNGPVEQFQQNPLWRDLFLFNEYFHGCSGAGVGASHQTGWSAIVAKMITQLNRWQT</t>
  </si>
  <si>
    <t>YP_001224448.1</t>
  </si>
  <si>
    <t>glucose 1-dehydrogenase</t>
  </si>
  <si>
    <t>MTSLCLRDKVIVVTGGNSGIGKSIVEAVGGLGAKVVIDYRSHPERTEELIEEIGELGGQAIGVQADVAKLDDLQRLIDTAVKTFGKIDVMVNNAGIETRTSILDTTPEDYDKVMNVNLRGVFFATQFAAKQMIAQGSGGRIINISSVHEDWPMPDNTPYCVAKGGVRMLTRTAGVELASKGVSIVNVGPGAVATPINDSTINNPELLAKLNAAIPMGRMAQPEEIASVVAFLASNGASYMTATSVFADGGIMMSSPGL</t>
  </si>
  <si>
    <t>YP_001224001.1</t>
  </si>
  <si>
    <t>phosphoglucomutase/phosphomannomutase family protein</t>
  </si>
  <si>
    <t>MASAPLPLTAAPIRFGTDGWRGILGVDITVERLLPVAAAAAQELAYQAPEGLKSRTVVIGYDRRFLAPELAEAIAASVRGAGLDPLLTSTPVPTPACSWAVVQRQALGALVITASHNPPEWLGLKIKGPFGGSVEGDFTAAVEQRLAAGGLSIPVAGDLPRFDARGEHLQGLRNKLNLSAITQGLRSMGLKVIVDPMHGSAAGCVQDLLGPEAEGIVTEIRSSRDPLFGGCPPEPLAPHLEQLIAAVQTSTQAGQPAVGLVFDGDGDRIAAVDETGCFCSTQQLMPLLIDHLAGARALPGTVVKTVSGSDLMRLVAEDLGRTVLELPVGFKYIAAEMLSGEVLIGGEESGGVGFGMHLPERDALFAAMLVLEALVDGGKPLGKRLEALRNRCGGACHYDRLDLRLPDMDARRRLEALLGEQPPQSVAGVAVQEVITTDGVKLRLGPSHWLMLRFSGTEPLLRLYCEAPDAERVAEVLAWARSFAEAA</t>
  </si>
  <si>
    <t>YP_001223965.1</t>
  </si>
  <si>
    <t>UDP-glucose 4-epimerase</t>
  </si>
  <si>
    <t>MAQLLVTGGAGFIGSHTCVVLLEAGHDLIVLDDFSNSSPIALTRVAELAGLTSSERSSQRLRPVRGDIRDARCLEQVFSDAAAHLRPIEAVVHFAGLKAVGESVQNPLHYWDVNVGGTVSLLKAMQEFGCRTLVFSSSATLYGYPEAVPIKEGAPIQPINPYGHTKAAVERLLNDLAASAPEQWRIGCLRYFNPVGAHPSGRIGEDPLGRPNNLFPFVSQVAVGRRPEIAVFGGDWPTTDGTCIRDYIHVMDLAEGHRAALDTLLQESPQVLTLNLGSGHGASVLEVIQAFETACGRPIPHSIQQRRAGDAAITVADPAAAKERLGWSTRRNLHDICRDGWAWQSANPSGYGPDPANA</t>
  </si>
  <si>
    <t>YP_001224357.1</t>
  </si>
  <si>
    <t>transaldolase/EF-hand domain-containing protein</t>
  </si>
  <si>
    <t>MASLLEQLSAMTVVVADTGDLEAIRKFTPRDATTNPSLILAAAQIPAYQSLIDEALRSSRRLIGDNAPVEQVVREALDEISVIFGKEILKIVPRRVSTEVDARLSFDTDATIEKGRKLIRLYNDAGISNDRVLIKIASTWEGIKAAEVLEKEGIHCNLTLLFGFGQAVACAEAGVTLISPFVGRILDWYKADTGRDSYPGPEDPGVLSVTRIFNYFKTYGYKTEVMGASFRNIDEITELAGCDLLTISPKLLDQLRESQATLTRKLDGENPSSSEAQIHVDREQFDAMMKSDRMASDKLGEGIKGFSKAIETLESMLAHRLAELEGGKAFGHAVQEIFLLNDMNGDGCITRDEWLGSDAVFDALDLDHDGRLTPEDVRRGFGAALSLTTA</t>
  </si>
  <si>
    <t>YP_001224479.1</t>
  </si>
  <si>
    <t>glycogen branching enzyme</t>
  </si>
  <si>
    <t>MTNTVLEWMVEDAQRLAECRHDHPFAVLGPQPQEDGTWVLRAWMPEAEGVTLLLGDQEMGMSTPHHPWIFEASVAHDPGCAYRLRVHRGGITHEQHDPWAFRQDWMGEMDRHLFAEGNHHHIWRRMGAHHCEREGIPGVMFCLWAPHARSVSVIGDLNSWDGRHHPMQQRLGGIWELFVPGLAEGQLYKYEIRTQEGHCYQKADPYGFQHEVRPDTSSVVSHLDGFHWTDTDWIQKRDSSNPLDQPIAVYEMHLGSWIHAAADEPFIEADGTPRAPVPAADLKPGARLLTYPELADRLIPYVKERGFTHIELMPITEHPFDGSWGYQVTGWYAPTSRYGTPDEFRAFVDRCHAEGIGVIIDWVPGHFPRDSHGLAFFDGCHLYEHADPRIGEHKEWGTLIFNYSRNEVRNFLVANLVFWFDQFHIDGIRVDAVASMLYRDYLRPDGEWLPNEHGGRENTEAVQFLQQANHVLFQHFPGALSIAEESTTWPMVTQPTDIGGLGFNLKWNMGWMHDMLDYFELDPWFRQFHQNNITFSIWYTYTENFMLALSHDEVVHGKSNLLHKMPGDDWQKYANTRALLAYMWTHPGKKTIFMGMEFGQRAEWNVWGDLQWDLLNYEPHQGVQRMVDDLNGLYKSEPALWRDDFDQYGFQWIDCNDNRHSVISFMRRESTSGTWLVVVANFTPQSHSHYRVGVPLAGYYEEIFNTDASKYGGSNLGNMGGKPTEEWGIHGYENSLDLCLPPLSLMVFKHDPKKSLNPVQE</t>
  </si>
  <si>
    <t>YP_001225020.1</t>
  </si>
  <si>
    <t>6-phosphogluconate dehydrogenase</t>
  </si>
  <si>
    <t>MSKAHFGLIGLGVMGENLVLNAESNGFSSVVYNRTYAKTEEFLSGRGAGKNIQGATDLQDFVSKLERPRRILMMVKAGGPVDAVIQQISPFLEEGDLLIDGGNSEYHDTERRVAELESKSFGFIGMGVSGGAKGALEGPSMMPGGTKASYDAIESLVRKMAAQVEDGPCVTYIGPGGSGHFVKTVHNGIEYGIEQILAEGYDLMKRVGGMNGTQMADVFAHWNSTEELSSYLVEITEVCLRTKDPDDGADLVEKIQDKAGQKGTGLWTVVSALQMGASVPTIYASLNGRVMSSMKEQRIKAEPILKGPAIKSFDMGTPADGMAPLMDAMVLACMASYAQGMELLRIASAEHNYNLNMPSIAQIWKGGCIIRARLLKRIQDAFNADPQLANLLIDPWFAEQVNRRLPGLAKVVAGAAEAGIPVPCLSSTLDYINSYRTARLPQNLVQAMRDCFGSHTYERVDKDGIFHTEWLN</t>
  </si>
  <si>
    <t>YP_001224353.1</t>
  </si>
  <si>
    <t>phosphoglycerate mutase</t>
  </si>
  <si>
    <t>MTLRLLLVRHGLSSFNVERRIQGRDDLSTLTETGEDQARRTGTALADVPITAVYSSPLQRAASTTAGVLAARSDALEPCFEEGLLEIDLEPWSGLTAAERAERFPEEYAAWRSHPEQLELCRHDGTRYRPLQELMQQASQFLDALLARHPVDGNDTVLLVGHNAILRCLITTLLGNPAGGFRRLRLDNASLSVFNLIPQGSGHQVQIECLNSTAHLNPPLPPKGAGARMILVRHGETNWNRDGRFQGQIDIPLNSNGHAQAEAARAFLETVSIQRAYSSAMSRPRQTAEGILRSHPGVPLTVTRGLVEIGHGLWEGKLESEIRAEWAELLDEWKRTPETVQMPEGETIQDVWERSVRSWNTIADSLDASETALVVAHDAVNKTILCSLLGLSAGDIWAVKQGNGGVTVVDMPTEPGQPAVVACLNLTSHLGGVLDRTAAGAL</t>
  </si>
  <si>
    <t>YP_001225666.1</t>
  </si>
  <si>
    <t>cupin, RmlC-type superfamily protein</t>
  </si>
  <si>
    <t>MSGTQRCQDSRSSSLHPEATATRPMLPRIIHPDQLQGYRFSDQDHCRLALLSSPADGDDDRGSQEGISLFLEIHDPCDRVPLHTHHHSAEFYFVLRGTVIFHIEERSITASTGDFVVVPAEAIHDFENPGPDRLYLLTVLNRDEGFSEILRQGVPTDLEPEDLEVLRNL</t>
  </si>
  <si>
    <t>YP_001226102.1</t>
  </si>
  <si>
    <t>enolase</t>
  </si>
  <si>
    <t>MFDSLDLVIDTIVAREVLDSRGNPTVEAEVLLEGGASGRAIVPSGASTGAHEAHELRDGGDRYMGKGVIQAVNHIEERIAPALCGLSALDQAAVDAAMLELDGSDNKSSLGANAILAVSMANARAAANGLGLPLYRYLGGPMATLLPVPLMNVINGGAHAANSLDFQEFMLVPHGAPSFREALRMGTEVFHTLKKLLSAKGMSTAVGDEGGFAPDLGNVEAGEILVEAIEKAGYKPGEQISLALDVASTEFFADGRYAFDGGSYDSAEMVGQLEKLVEQFPIVSIEDGLAEDDWEGWKLLTERLGSKVQLVGDDLFVTNTKRLQQGIDSSTANSILIKVNQIGSLTETLQAIDLAGRSGYTSVISHRSGETEDTTIADLSVATRAGQIKTGSLSRSERVAKYNQLLRIEDELGSQAVYAGAVGQGPRGNA</t>
  </si>
  <si>
    <t>YP_001225887.1</t>
  </si>
  <si>
    <t>phosphoglucomutase</t>
  </si>
  <si>
    <t>MTASASAEPTHTLVRLDAPFTDQKPGTSGLRKSSRQFEQPHYLESFVEAVFRTLPGVQGGTLVLGGDGRYGNARAIDIILRMGAAHGLSKVIVTTAGILSTPAASNLIRKRQAIGGIILSASHNPGGAEGDFGVKVNGANGGPTPASFTDAVFECTKTLEQYAIVEARTPSLDAPGKHSIGAMDVEVIDGVDDFVELMQELFDFDRIRDLIRSDFPLAFDAMHAVTGPYARRLLEGLLGAPAGSVRHGTPLENFGGGHPDPNLTYAHELAELLLDGDEYRFGAACDGDGDRNMILGQRCFVNPSDSLAVLTANATVAPAYANGLAGVARSMPTSAAVDVVAKELGIDCFETPTGWKFFGNLLDAGKITLCGEESFGTGSNHVREKDGLWAVLFWLQILAERRCSVADIMTEHWKRFGRHYYSRHDYEAVASEAAHGLYDRLESMLPDLVGQAFAGRTISAADNFSYTDPVDGSVTTGQGLRILLDDGSRVVLRLSGTGTKGATIRIYLESYVPSSGDLNQDPQTALAGMITAINDLAELEQRTGMDKPTVIT</t>
  </si>
  <si>
    <t>YP_001224982.1</t>
  </si>
  <si>
    <t>glucose-6-phosphate isomerase</t>
  </si>
  <si>
    <t>MHLVMSFPDFSATDTQIQWQRFCDLLWYHDDLGVWLDVSRMHLNAAALAELTPPLEQAFEAMGKLEAGAIANADENRQVGHYWLRDPQLAPDQSVGQHIAAEINDIEQFGQAVVNGEIKSPTGEPFTDVLWIGIGGSGLGPLLMVRALQDTGKGLPFHFFDNVDPNGMSRVLGELGDALRTTLVVTVSKSGGTPEPHLGMEQARHRVESLGGNWPGQAVAITMANSHLDQQAKEETWLKRFDMFDWVGGRTSITSAVGLLPGALIGSDIRDFLAGAAQMDQATRVADVRRNPAALMAAAWYTAGEGKGKRDMVVLPYRDRLEVFSRYLQQLVMESLGKRLDRSGAVAHQGIAVYGNKGSTDQHAYVQQLRDGVDNFFVTFIEVLQDVDDIPEINGERPGDFLDGFVQGTRSALTEGGRQSLSISMRTFDSRRLGALIALFERAVGFYGELVNINAYHQPGVEAGKKAAAAILKLQKQVEEVLSDGTSRSVLEIQQAIGEGSDEAIFWILRHLTGNNRGYQAQGSWDSPASLRFAKG</t>
  </si>
  <si>
    <t>YP_001225762.1</t>
  </si>
  <si>
    <t>fumarate hydratase</t>
  </si>
  <si>
    <t>MTNATRTEHDSMGTVQVPEQALWGAQTQRSLNNFAIAEDRVPTPLIHALARIKQAAAIVNARHGLISSDQCSLIVDAAAAIAEGHHDAQFPLRVWQTGSGTQTNMNLNEVISNLASLHAGEALGSHRPIHPNDHVNRSQSTNDAFPAAIHVAAVDAISRRLQPELQQLNEAFAIKAEAWGSIVKIGRTHLQDAVPLTLGQEASAWRDQIGTAARRIDTSLQEILPLPLGGTAVGTGLNAPRGFSVEAAAELQQLTGLPFTTAPNKFAVMASHDGLVNTMGQLRLLAVSLLKIANDIRLLACGPRAGLAELHLPENEPGSSIMPGKVNPTQCEAMAMVCTQVIGLDAAVAMAGAGGHLQMNVYKPLIGFNLLQAITLLTDACHCFRVAMVEGMEPNRARIQRDVEQSLMLVTPLTPVIGYDKASRIAKYAHDQGLDLKSAALDLGYVSAEEFDRVVDPAAMAAQQG</t>
  </si>
  <si>
    <t>YP_001224325.1</t>
  </si>
  <si>
    <t>malate:quinone oxidoreductase</t>
  </si>
  <si>
    <t>MDRYDAVLVGAGIMSATLASLLHALDPRLRLLLVEGLEAPALESSAAMNNAGTGHAANCELNYTPQLDDGSVATEKALAINASFERSLEFWASLAELGSLQPDRFLHRVPHLSFVWGEKDVAFLRQRHRQLSAVPAFAAMEWSTDAGEIADWIPLMMEGRNGREPIAATRVQRGMDVDFGSLTQMLLAPLQSAGALDVVFGTRVQRLKRCRTERMTSGDWQIDLRSPSGARQVRAPFVFLGAGGGALPLLQNSGIPEAANFAGFPVSGQWLVCQQPELVEHHFAKVYGKAKVGAPPMSVPHLDTRWIDGTRSLLFGPYAGFSSKFLKTGSLLDLPKSVRISNLQPMLQVGVNNLPLVNYLITQLRQSPADRMDALRDFLPQAREQDWTLSVAGQRVQIIKRTPDGGRLQMGTEVVSSADGSLAALLGASPGASTSVSIMLTVLERCFAEPLATAAWQERLKALIPSFGHDLNADGDGLRRTRERSDALLGLAG</t>
  </si>
  <si>
    <t>YP_001224030.1</t>
  </si>
  <si>
    <t>3-isopropylmalate dehydratase small subunit</t>
  </si>
  <si>
    <t>MTETTPFPQGSIAMVRGRALVLRGDDIDTDRIIPARFLKCVSFEALGAQAFADDRQELAGRHPFDQSVHAGASILVVNDNFGCGSSREHAPQALMRWGIRALVGVSFAEIFYGNCLALGIPCATASSQQISVLQDAVAADPALNWQLDLNGLTFSAGAVSEPIQVGSGALDMLRSGQWDATGQLVARDAELTRTMDNLPYLRGF</t>
  </si>
  <si>
    <t>YP_001224029.1</t>
  </si>
  <si>
    <t>isopropylmalate isomerase large subunit</t>
  </si>
  <si>
    <t>MSSGTLYDKVWDLHRVADLPGGSTQLFIGLHLIHEVTSPQAFAALEDKGLTVRCPQRTVATVDHIVPTTSQARPFADPLAEEMLSTLERNCSHHGITLHGLGSGRQGIVHVIAPELGLTQPGMTVACGDSHTSTHGAFGAIAFGIGTSQVRDVLASQSLAMNKLKVRRIWVENQLSPGVFAKDLILHVIRSLGVKAGVGYAYEFSGPAIEALSMEERMTLCNMAIEGGARCGYVNPDQTTFDYLHGRAQAPSAEAWDRAVSWWRSLASGADACFDDEVRFDAATIAPTVTWGITPGQGIGVDETVPRPEQLDPADRPIAEEAYRYMDLAPGQAIAGVPVDVCFIGSCTNGRLSDLQAAAAVAKGRHVASGIRAFVVPGSEQVARAAEAEGLDAVFREAGFEWREPGCSMCLAMNPDRLEGRQISASSSNRNFKGRQGSASGRTLLMSPAMVAAAAITGQVRDVRQLNCMTTD</t>
  </si>
  <si>
    <t>YP_001225086.1</t>
  </si>
  <si>
    <t>pyruvate dehydrogenase E1 component beta subunit</t>
  </si>
  <si>
    <t>MAGTLLFNALREAIDEEMARDPHVCVMGEDVGQYGGSYKVTKDLYEKYGELRVLDTPIAENSFTGMAVGAAMTGLRPIVEGMNMGFLLLAFNQISNNMGMLRYTSGGNFTIPTVVRGPGGVGRQLGAEHSQRLEAYFHAVPGIKIVACSTPTNAKGLMKAAIRDNNPVLFFEHVLLYNLSEELPAGDYTCALDQADLVKEGSDVTILTYSRMRHHCLKAVEQLDADGINAELIDLISLKPFDMETIARSIRKTHRVIVVEECMKTGGIGAELIALITEHCFDDLDARPIRLSSQDIPTPYNGNLENLTIIQPHQIVEAAQTIVRQGL</t>
  </si>
  <si>
    <t>YP_001226228.2</t>
  </si>
  <si>
    <t>bifunctional aconitate hydratase 2/2-methylisocitrate dehydratase</t>
  </si>
  <si>
    <t>MLSAYRENAAERLALGIPPLALSATQTKALTELLETPPSGEEQELMHLLSERIPPGVDEAAYVKATWLSAIAQGQTSSPLVSPLEATRLLATMVGGYNVAALIELLQHNDVELAGCAAEGLSRTLLVYDAFNEVMELATSNRFAKQVVDSWAAAEWFTSKPALADTITVTVFKVEGETNTDDLSPATHATTRPDIPLHALAMLETRDPDGLKTIAALKEKGHPVAYVGDVVGTGSSRKSAINSVLWHTGDDIPHVPNKRGGGVILGGKIAPIFFNTAEDSGALPIECDVTVLNTGDVITIRPHAGTIERDGEVVSRFALKPSTISDEVRAGGRIPLMIGRALTDKVRAKLGLAPSELFIRPSAPADTGKGFTLAQKMVGKACGLPGVRPGTSCEPLMTTVGSQDTTGPMTRDEMKELACLGFSSDLVMQSFCHTAAYPKPVDLETQKELPDFFAQRGGVALRPGDGIIHSWLNRMLLPDTVGTGGDSHTRFPLGISFPAGSGLVAFAAAIGAMPLDMPESVLVRFSGSLQPGVTLRDVVNAIPWVAIQRGLLTVEKANKKNLFNGRIMEIEGLPDLKLEQAFELTDASAERSCAGCTIKLSEATVSEYLRSNVALLKNMIARGYSDASTLARRIKEMEAWLANPQLLSADGDAEYAEVLEINLDELTEPVVACPNDPDNVKLLSEVAGDPVQEVFIGSCMTNIGHYRAAAKVLEGAGQNQARLWVCPPTRMDEDTLKAEGYYATFEAAGSRMEMPGCSLCMGNQARVEDNTTVFSTSTRNFNNRLGKGAQVYLGSAELAAVCAQLGRIPTPQEYRSIAAEKIDPLSDELYRYLNFDQIAGFEDQGRTISADDEAEVLAGS</t>
  </si>
  <si>
    <t>YP_001225457.1</t>
  </si>
  <si>
    <t>pyruvate dehydrogenase E1 component alpha subunit</t>
  </si>
  <si>
    <t>MSQDIAVGTESRTSSQGGLVGAHAERLSSLVTAQRATVDRATGLELYRDMTLGRRFEDKCAEMYYRGKMFGFVHLYNGQEAVSTGVIGAMKRQHDWFCSTYRDHVHALSAGVPAREVMSELFGKETGCSKGRGGSMHLFSKEHHLLGGFAFIGEGIPVALGAAFTSRYKRDALGDSSSNAVTAAFFGDGTCNNGQFFECLNMAQLWKLPILFVVENNKWAIGMAHDRATSDPEIWRKAGAFGMAGEEVDGMDVLAVRAAAQRAVERARAGEGPTVLECLTYRFRGHSLADPDELRAEEEKQFWAKRDPLKALERDLLAANLVSADELRAIEKEIDAEVQDCVDFALNAPEPDGSELTRYIWADD</t>
  </si>
  <si>
    <t>YP_001223940.1</t>
  </si>
  <si>
    <t>isocitrate dehydrogenase</t>
  </si>
  <si>
    <t>MAQFEKLTAPSQGTPIRFENGQPVVADNPIIPFIRGDGTGVDIWPATQKVLDAAVAKAYGGAKTIEWFKVYAGDEACDLYGTYQYLPEDTLEAIRTYGVAIKGPLTTPVGGGIRSLNVALRQIFDLYSCVRPCRYYEGTPSPHKRPQDLDVIVYRENTEDIYMGVEWEADDAVGQELRKHLNEVVIPANGKLGKRQIPEGSGIGIKPVSKHGSQRHIRKAIQHALRLEGDKRHVTLVHKGNIMKFTEGAFRDWGYELATTEFRDVCITERESWILGNLEKDPGLSVQANARMIEPGYDSLTPEKKADIDAEVQAVIDAIGSSHGGGKWKQMVLVDDRIADSIFQQIQTRPQEYSILATLNLNGDYISDAAAAMVGGLGMAPGANIGETAAIFEATHGTAPKHAGLDRINPGSVILSGVMMLEFLGWQEAADLVTKGLSAAIADKQVTYDLARLMEPKVDPVSCSGFAEAIIERF</t>
  </si>
  <si>
    <t>YP_001224305.1</t>
  </si>
  <si>
    <t>branched-chain alpha-keto acid dehydrogenase subunit E2</t>
  </si>
  <si>
    <t>MATHDIFMPALSSTMTEGKIVEWLKKPGDKVARGESVLVVESDKADMDVESFNDGFLASVLMPAGSTAPVGETIGLIVESEAEIAEAQAKAPSGGAAAPASAPAAAAAPPAAPSAPTPVPSAPVSSPPPATAPPAPAAVPAPAPTGTGRLIVSPRAKKLAAQMGVDLSSLRGSGPNGRIQAEDVERAAGRPVSVPQVGEGTAPAALAGGAVPAPPSAPAGNSFGRPGETVPFNTLQAAVNRNMEASLAVPSFRVGYTITTDKLDAFYKQVKPKGVTMTALLAKAVAVTLARHPQVNAATTQAGMAYPADVNVAVAVAMEDGGLITPVLRQADRIDLYELSRQWGDLVKRSRSKQLQPEEYSTGTFTLSNLGMFGVDRFDAILPPGTGAILAVAASRPTVVAAKDGSIAVKRQMQVNLTADHRVIYGADGAAFLKDLAELIEMRPESLAL</t>
  </si>
  <si>
    <t>YP_001226015.1</t>
  </si>
  <si>
    <t>methylcitrate synthase</t>
  </si>
  <si>
    <t>MSPTEGGEIRHERTGLVFRPGLEGVPATQSSICDIDGQKGLLSYRGYPVDVLASHCSFLETTYLLIWGELPNPQQLRDFEQEVQMHRRVSFRVRDMMKCFPSDGHPMDALQSSAASLGLFYSRRAIDDPQYIYDAVVRLIAKIPTMVAAFQLIRKGQDPIQPRDDLAYSANFLYMLMEREPDPLASRIFDRCLILHAEHSLNASTFSARVTASTLTDPYAVVASAVGTLAGPLHGGANEDVLAMLDEIGTADRAADYLDAAIASKRKVMGFGHREYRVKDPRAVILQALAEELFARFGHDEMYDVARALEAAAERRLGPKGIFPNVDFYSGLVYRKLGIPRDLFTPVFAIARVAGWLAHWREQLGANRIFRPSQIYTGCSMRQWSPLEDRLPSAST</t>
  </si>
  <si>
    <t>YP_001224941.1</t>
  </si>
  <si>
    <t>pyruvate kinase</t>
  </si>
  <si>
    <t>MAVLDLNRRTKIVATIGPATESPERIRELIQAGATTFRLNFSHGDHSEHAARMATIRQVAHELGVHIGILQDLQGPKIRLGRFEEGPITVGKGDHFSLTSKQVRCNQTVATVTYDKLADEVTAGSRILLDDGRVEMRVDRVDLADQTLHCVVTVGGVLSNNKGVNFPDVQLSVRALTQKDRQDLAFGLQQGVDWVALSFVRNPSDMQEIRELIRKHGFTTPVVAKIEKFEAIDQIDAILPLCDGVMVARGDLGVEMPAEEVPLLQKDLIHKANSLGIPIITATQMLDSMASSPRPTRAEVSDVANAILDGTDAVMLSNETAVGDFPVEAVETMATIARRIERDYPQRPIDTHLPSTIPNAISGAVSSIARQLNAAAILPLTKSGATAHNVSKFRPSTPILAITSEVSVARKLQLVWGVTPLLIETQKSTTATFTLAMGVAQEMGVLKDGDLCVQTAGTLAGVSGSTDLIKVGIVSAVLGRGTGIGNGSISGKVRIALNASDCARLEPGEILVASDTNADYLDAFREAAAIITECGGDDSHAAVIARRLGLSVITGVANATRDLREGEVVTLHIKEGAVHRGTGSNTLMKLDTML</t>
  </si>
  <si>
    <t>YP_001224763.1</t>
  </si>
  <si>
    <t>Acetyl-coenzyme A synthetase</t>
  </si>
  <si>
    <t>MSEGSTIESVLKEQRVFAPPIELTQSARIGGMEAYQAMADAARKDPDAFWGDAARRELDWFTPFEQVLDWSNPPFARWFQGGTTNLSHNCLDRHLHGETANKTALIWEGEPGDVRRFTYRELHAEVCKAANALKSMGIGKGDLVALYMPMIPEAAIAMLACARIGAPHSVVFGGFSAEALRDRLIDGEAKAVITADGGFRKDKPVSLKPAVDAALAGGACPSVTSVLVVQRTQQPVEMAQGRDQWWHALVDGQSSECPAEPMQSEDRLFVLYTSGSTGKPKGVVHTTAGYNLWAHLTFQWIFDLRDNDVYWCTADVGWITGHSYIVYGPLSNGATTVMYEGAPRPSKPGAFWEVIQKHGVTIFYTAPTAIRAFMKSGRTVPDQFDMSSLRLLGTVGEPINPEAWMWYRDVIGGGRCPIIDTWWQTETGGVMISPLPGATPTKPGSATLPLPGIEADVVDAEGNSVAANEGGYLVVRRPWPGMMRTVHGNPERFRQSYWEHIRPDDGSHIYFAGDGARRDADGYFWVMGRVDDVINVSGHRLGTMEIESALVSHPAVAEAAVVGRPDDLKGEGIVAFVTLEVEREASDALIAELRAHVGTEIGPIARPDEIRCSDALPKTRSGKIMRRILRALAAGEDVTGDTSTLEDRSVLDRLRA</t>
  </si>
  <si>
    <t>YP_001224177.1</t>
  </si>
  <si>
    <t>phosphoenolpyruvate carboxylase</t>
  </si>
  <si>
    <t>complementation of oxalacetate</t>
  </si>
  <si>
    <t>MIMTVSDPGGSSMSSSSAITPESEQAMAAVNDAPVGGQLLQQRLALVEDLWQTVLRSECPAEQAERLLRMKQLSDPVLPEGNAVSSDALVSLIRDMDLSEAIAAARAFSLYFQLVNILEQRIEEDGYLESIVRSQDTAEQINPFTPPLATQTEPATFRELFERLRRLNVPPAQLETLLQELDIRLVFTAHPTEIVRHTVRHKQRRVASLLQQLEAQTESSTFEAGTIRLQLEEEIRLWWRTDELHQFKPSVLDEVDYALHYFQQVLFDAMPQLRRRLSSALASSYPDVQLPPSSFCTFGSWVGSDRDGNPSVTTDITWRTACYQRQLMLERYVSAVQGLRDQLSISMQWSQVSAPLLESLEMDRLRFPEVYEERATRYRLEPYRLKLSFVLERLRLTQIRNQQLAEAGWRAPADGLLSSNPEAPQSESLHYGSVAEFRSDLELIRTSLVSTDLTCEPLDTLLTQVHIFGFSLAGLDIRQESTRHSDALDEVSRYLNPDQAYGDLNEQERVQWLLQELQTRRPLIPPSVSWSPTTEETVDVFRTLHRLQDEFGSRICRTYVISMSHSVSDLLEVLLLSKEAGLVEPSAGHADLLVVPLFETVEDLQRAPEVMEELFQTPLYRNLLPRVGSQGQPLQELMLGYSDSNKDSGFLSSNWEIHKAQIALQDLAARNGVALRLFHGRGGSVGRGGGPAYQAILAQPSGTLQGRIKITEQGEVLASKYSLPELALYNLETVSTAVVQNSLVTNQLDATPSWNDLMARLARCSRRHYRALVHDNPDLVAFFEQVTPIEEISKLQISSRPARRKTGTRDLSSLRAIPWVFGWTQSRFLLPSWFGVGTALHEELVNDPDQMSLLRTLHQRWPFFRMLISKVEMTLSKVDLDLARHYVTSLGSADHRQAFDGIYTTIAEEYSLTHRLVLEITGQERLLDADPALQLSVDLRNRTIVPLGFLQVALLRRLRDQNRQPPMSESPSDGDGRTYSRSELLRGALLTINGIAAGMRNTG</t>
  </si>
  <si>
    <t>YP_001224217.1</t>
  </si>
  <si>
    <t>bilin biosynthesis protein CpeY</t>
  </si>
  <si>
    <t>Vit/Coenzyme (Bilin)</t>
  </si>
  <si>
    <t>MSERFDTLFSGMSEESAMSTLLKDPGELDNPGLKYLAATRLGACTSSESLDLLLKAGANPSDNLYERITRRKALDALGRRKNPKALPVLLQALSADDEPTVVNAADAIARIGTPLGERDQARLIGALQGPDNQRRAVVQAFTRLGMADRDRAIDRCRQDGNPLVAGAAHAHAVRVGGQRDGLAPLIEQLQDNNPGRRRAAVIDLGDAGRLEALEPLTRCPVSMPLRAKSAFQMAETEDGSINPEATELLEQLLQDDPRQLDLDVVSSTCATEKAIRNGLQHRDEAQQYAAAKALMSLQKDHQLNLMETLHSDLGSDYGVHYLLASCTGLLQLRERGDLVRQALEETAPQYAKSRVAAAWSCVRLELKDQRPTLQELSHSNRWKPLRWSCGQALKKLS</t>
  </si>
  <si>
    <t>YP_001224381.1</t>
  </si>
  <si>
    <t>GTP cyclohydrolase I</t>
  </si>
  <si>
    <t>Vit/Coenzyme (biopterin)</t>
  </si>
  <si>
    <t>MTSTLPVSTNGNGSASQNAKLSALQSRVSDRIRARLRERDVSFLANDNVADHLLPGELDALQVEVADRVRDLLHSLVIDIENDHNTAETAERVAKMYLHEVFKGRYHQQPKVASFPNVKRLDEIYTVGPITVRSACSHHLVPIMGNCWIGIKPGERVIGLSKFTRVADWVFSRPHIQEEAVMILADEIERLCEPQGLGIIIKAQHYCMKWRGVKEPQTSMVNSVVRGDFRHDPSLKQEFFELVRQQEALLST</t>
  </si>
  <si>
    <t>YP_001225935.1</t>
  </si>
  <si>
    <t>6-pyruvoyl-tetrahydropterin synthase</t>
  </si>
  <si>
    <t>MTETKSIARHGQGRGCVITRRACFSASHRYWLPELSADDNAARFGACALAPGHGHNYELIVSMAGGLDADGMVLNLSEVKHAIRKEVTDQLNFRFLNDAWSDFDVSKPDGCLPTTEALVHRIWQRLSPHLPITALRLYEQPGLWADYLGHPMDAFLTIRTHFAAAHRLARPELSQEENERIYGKCARPHGHGHNYLVDVTVRGAIDPRTGMVCDLSALQRLVDDLVVEPFDHTFLNKDVPFFAECVPTAENIALHIADRLSGPVGAIGAHLHKVRLQESPNNAAEVYAEMPQLDMTPATLEAAAPV</t>
  </si>
  <si>
    <t>YP_001225822.1</t>
  </si>
  <si>
    <t>delta-aminolevulinic acid dehydratase</t>
  </si>
  <si>
    <t>Vit/Coenzyme (biosynthesis of tetrapyrroles, such as heme, vitamin B12 and chlorophyll)</t>
  </si>
  <si>
    <t>MDLTYRPRRLRRTASLRAMVRETSLSAADFIYPLFVHEGAAVEPIGAMPGAKRWSLEQLSGEVRRAWDLGIRCVVLFPKVSEGLKTEDGAECFNENGLIPRAIRQLKQELPEMAIMTDVALDPYSCDGHDGIVSDQGVVLNDETIELLCKQAVAQARAGADLIGPSDMMDGRVGAIREALDDEGFEHVGIISYTAKYSSAYYGPFREALDSAPRAAGSKPIPKNKDTYQMDPANAREAITEAQLDEQEGADIMMVKPGLAYLDIIHRLREESELPIAAYNVSGEYSMVKAAAERGWIDEKAVVLETLLSFKRAGADLILTYHACDAAEWLLQE</t>
  </si>
  <si>
    <t>YP_001225311.1</t>
  </si>
  <si>
    <t>lycopene beta cyclase</t>
  </si>
  <si>
    <t>Vit/Coenzyme (carotene)</t>
  </si>
  <si>
    <t>MDVLVLGGGPAALCIASELNQRGVAVAGIAPDPVNDPWPNTYGIWADELKAVGLEHLLEHRWSDTVSYFGDGGSTVQDQSHAHGIDYGLFDRAALQRYWLERADGVVWHQDTAERVELNGATTSVSCVSGTTLQARLVIDASGSRTPHIRRPDQGPVAGQAAYGVVGRFSKPPIESGRFVLMDYRCDHLSEQQRSEPPTFLYAMDLGDGVFFVEETSLALAPGVPYDVLKQRLQQRLELRGVEITEVIHEEFCLFPMNLPLPDLRQPVLAFGGAASMVHPASGYMVGALLRRGPDLAQALAEALANPSLGSAALAQRGWQELWPMELVLRHQLYQFGLGRLMGFNETLLRTHFATFFSLPREEWFGFLTNTLPLPRLMAVMLRLFALSPWELRRGLVLGVSSAQSPIFRQSAG</t>
  </si>
  <si>
    <t>YP_001224167.1</t>
  </si>
  <si>
    <t>phytoene dehydrogenase</t>
  </si>
  <si>
    <t>MDSSRDAIVIGGGIAGLTAAALLAREGLSVTLLEAHHQLGGCAGTFKRGRYTFDVGATQVAGLEPGGSHARLFRHLGLEPPAAERLDPGCVVNLNDGSPPIHLWHDPQRWREERSRQFPGTERFWDLCSWIHRQNWQFAAADPVLPVRSGWDLSRTLKALTPGNLASAPLSLLTVADLLRLCGCASNLRLRRFLDLQLRLYSQQPADQTAALYGATVLQMCQAPLGLWHLQGSMQSLSDQLLRSLQRDGAEVLLRHRAVLMERQHSGDSWTVQIEQPGGGQRSLQAADVVCSLPPQCLPSLIPDSNLLGASYRRHLQTLDAPSGALVFYGAVHRRDLPEACPGHLQCDWDTPGSLFLSISSEGDGRAPAGEATVIASVFTTPEGWHDLPEEAYQKRKQTVLGQMRRGVEEALTLSAEAWLHSELSTPRGFAYWTGRPKGVVGGLGQSPDRFGPFGLASRSPIRKLWLCGDSIHPGEGTAGVTLSALMACSQLMQERGRTLTLAD</t>
  </si>
  <si>
    <t>YP_001223993.1</t>
  </si>
  <si>
    <t>lignostilbene-alpha, beta-dioxygenase</t>
  </si>
  <si>
    <t>MTVAPAVDRFARSEWASAFRNVEQELTDVPLTPARGTIPSDLVGTLYRNGPGRLERNGQRVHHPFDGDGMITALRFEEGALALSNRFVRTAGWQEEEAAGKVLYRGVFGSQKPGGRLANAFDLRLKNIANTGVVQLGDQLLALWEAAEPHALDPRTLETHGISLLGGVLKKGEAFSAHPRFDPGHHDRPRMVTFGVKTGPRSTIRLMEFATETDAAAGIKAGDLLCERKDSFNGFAFLHDFAITPNWAVFLQNAIAFNPLPFVLGQKGAAQCLESKPDGQAKFWLIPRESGAFAGQPPRIVDAPDGFVFHHLNAWEDDGDVVVESIYYSDFPSVGPEMDFTAVDFDLIPEGLLEQCRITLESGEVKTTRLSERCCEFAMVNPDKEGLPCRYAWMAAAAREQGNDPLQVIKKLDLSTGDRQIWSAAPHGFVSEPLMVPRPGASAEDDGWILELVWNGAREGSDLVILDAADLKEVAVIELPLAIPHGLHGSWVEAR</t>
  </si>
  <si>
    <t>YP_001225103.1</t>
  </si>
  <si>
    <t>carotenoid isomerase</t>
  </si>
  <si>
    <t>MIVIGSGIGGLVTASQLAVKGAKTLVLERYLIPGGSGGSFKRDGYTFDVGASMIFGFGEHGHTNLLTRALADVGQSCDTVPDPVQLEYHLPDGLTMQVDRDYGGFMDRMAARFPHEAKGIRAFYDTCWQVFRCLDAMPLLSLEDPAYLAKVFFRAPLACLGLARWLPFNVGDVARQHIRDEELLRLIDMECFCWSVMPADRTPMINAGMVFSDRHAGGINYPKGGVGTIAEKLVAGLQSHGGEIRYRSRVTDVIIEAGQAVGVRLADGEELFARRVVSNATRWDTFSGDGSPSTTLVDADHTPAREATWRRRYQPSSSFLSLHLGVRADVIPNGLHCHHLLLEDWNELESEQGVIFVSIPSLLDPSLAPEGRHIVHTFTMSEISAWSGLSPAQYKAKKEADAARLIERLEALLPGLEAAIELREVGTPRTHRRFLGRMGGSYGPIPSMRLPGLLPMPFNRTGLKGLYCVGDSCFPGQGLNAVAFSGYACSHRIGADLGLNAWALPA</t>
  </si>
  <si>
    <t>YP_001225996.1</t>
  </si>
  <si>
    <t>MRVAIAGAGLAGLSCAKYLADAGHTPVVVEARDVLGGKVAAWKDEDGDWYETGLHIFFGAYPNMLQLFKELGIEDRLQWKSHSMIFNQPEEPGTYSRFDFPDLPAPVNGVAAILGNNDMLTWPEKISFGLGLVPAMLRGQGYVEECDQYSWTEWLKIHNIPERVNDEVFIAMSKALNFIDPDEISSTVVLTALNRFLQEKNGSQMAFLDGAPPERLCEPMVEHIHSLGGEVHLDSPLREIKLNPDGSVAAFHIGGVKGKESFDLTADAYVSALPVDPFKLLLPEPWKQMDVFQKLDGLRGVPVINLHLWFDRKLTDIDHLLFSRSPLLSVYADMSITCKEYEDPDRSMLELVFAPAKDWIGRPDEEIIEATMGELKKLFPMHFSGDNPATLRKYKVVKTPLSVYKTTPGCQKLRPDQTTPIKNFFLAGDYTMQRYLASMEGAVLSGKLCAGAVDGQCDRLSGMFEKEQSAPVG</t>
  </si>
  <si>
    <t>YP_001225947.1</t>
  </si>
  <si>
    <t>zeta-carotene desaturase</t>
  </si>
  <si>
    <t>MRVAIVGSGLAGLSAAVDLVDAGHEVNLYEARPFMGGKVGSWVDDSGNHIEMGLHVFFFNYANLFALMRKVGAFENLLPKQHTHLFVNKGGDLRELDFRFPIGAPFNGLKAFFTTPQLSWIDKLRNALALGTSPIVRGLVDYEGAMRTIRALDSVSFQDWFVGHGGSPESIRRMWNPIAYALGFIDCEAISARCMLTIFMMFAAKTEASKLNLLKGSPHRWLTGPILDYIQQRGGKLHLRHRVKQVEYSEGESPEITGLQLGTPEGEIRVEADAYLAACDVPGIQKLLPKEWNRYPQFEAIHQLEAVPVATVQLRYDGWVTELGDAQEAQRCDVAHPAGLNNLLYTADADFSCFADLALASPEDYRKEGEGSLLQCVLTPGDPWIPKSVDDIVAHTDRQVRELFPSARNLKLTWSNVVKLAQSLYREAPGMEPYRPEQSTPVRNFFLAGSYTRQDYIDSMEGATMSGHLAAAAILKKPAQLATNTAVA</t>
  </si>
  <si>
    <t>YP_001224360.1</t>
  </si>
  <si>
    <t>Vit/Coenzyme (chlorophyll)</t>
  </si>
  <si>
    <t>MSNDVDRTRDVLVVGSGAAGGAAAVHLALAGHDVLTLERDSQPRIKPCGGGMAASVQQWFPFSLEPAVEQVIGQVNFSWCLEDPVVAELPGDAPFWIVRRETLDQLLSDQAIQAGAERLTGVEVNDIRRHGNVWQVTATDGRHWQGRAVVIADGSGSPWPQQLSLGAKQPQMATTMSVRLEGQGKLSDGTTRFEFGLVKQGFAWAFPLAGGVNIGVGSFIGKQDADPEQVLAQLLPDLGFAADAGIRQRGRLQVWNGHHRLDGDGIVVVGDAASLCDPFLAEGLRPALMSGCEAARSLSPWLKGESRDLRGYSRSMRERWGDSMAWGRRIAQVFYRFPGVGYQLGIKRPTAPRRIAQILSGEMGYGDIAQRVIRRLLLQRG</t>
  </si>
  <si>
    <t>YP_001226029.1</t>
  </si>
  <si>
    <t>Mg-protoporphyrin IX methyl transferase</t>
  </si>
  <si>
    <t>MTPEQQLKDKLAEKQEVKGYFETTGFDRWNRIYSESDDVNKVQRNIRIGHQKTVDEVLAWIKDSGELSEVSFCDAGCGVGSLSLPLAAMGAGSISASDISEAMAKEAERRAGEAGLDMSKLNFFASDLESLSGSFHTVCCLDVFIHYPQAAAEEMVKHLCSLSEQRLIVSFAPYTPLLAILKSIGQLFPGPSKTTRAYTLKEEGIVKAAMACGFEPVRRSLNKAPFYFSRLIEFRKKD</t>
  </si>
  <si>
    <t>YP_001226169.1</t>
  </si>
  <si>
    <t>Short-chain dehydrogenase/reductase of unknown specificity</t>
  </si>
  <si>
    <t>MGWTTEDMPDQQGRIALVTGANSGLGLETTRALISRGCTVLMACRSARKGEAARSQLLGSGAAGLDLLELDLSDLTSVARCAREVAERYGRLDLLINNAGLMAPPRMLSRQGYELQFAVNHLGHFALTKALLPLMDDRPQARVVTVTSGAQYFGVMAWDDLQGEQRYDRWKAYSQSKLANVMFALELNQRLQASGSAVRSLAAHPGLARTNLQPVSVAATGAWQEALAYRLMDPLFQSAAQGALPQLYAATASEAQGGEHYGPSQLGGLRGAPKQQPVARAAKDQNLRQRLWTVSESLTEHHSAAV</t>
  </si>
  <si>
    <t>YP_001224591.1</t>
  </si>
  <si>
    <t>light-dependent protochlorophyllide oxido-reductase</t>
  </si>
  <si>
    <t>MKQILITGASSGIGLEAARRLVSSGHQLTLLCRSSERGQQTHAQLVAACASPGQVTCLVADLADLRSVQSACDQLLDRGEPLDALVLNAGQQRAGVAAPVWSSQGIEITFAVNQLAHQLIATRLLPLLRAGSQPRVVITASDVHNPATGGGRVGQPADLGDLAGLRAGAGFVMLDGTARFDGDKAYKDSKLCNVLLGLEFDRQLAGALPVLTWSPGLVIQRSRDGFFRHNRQSNPVGMALFALVARDLLRVTESAATAGGLLADLITDPAYASPGFSYWSNRLVRPGMHRFSAVQTSAAAADLAKAGELWRLSEALIRTALASH</t>
  </si>
  <si>
    <t>YP_001225040.1</t>
  </si>
  <si>
    <t>geranylgeranyl hydrogenase ChlP</t>
  </si>
  <si>
    <t>MLRVAVVGGGPSGSCAAEILAKAGISTWLFERKLDNAKPCGGAIPLCMVEEFDLPESIIDRKVRNMKMISPSNKEVDIKLDPLGYDDNAYIGMCRREVFDAFMRNRAADLGTTLVNGLVQKIDTGNARQGPYTLHYADYSSGGPTGELKTLEVDLIIGADGANSRVAKAMDAGDYNVAIAFQERIKLPPEEMTYYEDLAEMYVGTDVSPDFYAWVFPKYDHVAVGTGTMQQNQSLIKGLQKGIRERARKRLFKGEVIKVEAHPIPEHPRPRRVVGRMALVGDAAGYVTKSSGEGIYFAAKSGRMCAEAIVEISANGSRVPTEKEIKSTYLKRWDRKYGATYAVLDILQRIFYRNDAAREAFVEMCDDRDVQKLTFDSYLYKRVVLMNPWQQIKLTLRTLGSLLRGEALAPAGYDAVPSAVGRSEGDFLADEAAQAIKAQAHNESTAEPKERPTVTTG</t>
  </si>
  <si>
    <t>YP_001224392.1</t>
  </si>
  <si>
    <t>protochlorophyllide oxidoreductase</t>
  </si>
  <si>
    <t>MSTPGTVLITGTTSGVGLNATCALVKRGWTVITANRSPQRAAAAADEMDLPKERLQHVLMDLGDLDSVRRAVDALPDRLDAVVCNAAVYKPKLKQPERSPQGYEISMATNHFGHFLLVQLLLGRLQNSSHPSRRVVILGTVTANSKELGGKIPIPAPADLGDLSGFEAGFKDPIAMASGKPFKPGKAYKDSKLCNMITTQELHRRLHGETGITFTSLYPGCVADSPLFRNTPKAFQTIFPWFQKNITGGYVSQALAGERVADVVANPDFAESGVHWSWGNRQKKDGQQFSQELSDKATDPDTARRVWDLSMRLVGL</t>
  </si>
  <si>
    <t>YP_001224197.1</t>
  </si>
  <si>
    <t>bifunctional pantoate ligase/cytidylate kinase</t>
  </si>
  <si>
    <t>MGGLHQGHARLIATAVTSCGGKGSVLVSTFVNPLQFGVDEDFDCYPRTFEDDCALAEQAGASALWCPDERQVYPYGTSEGWRLQAPARLTAHLCGPWRSGHFDGVVTVVMRLLGLVRPHQLWLGEKDWQQLTILRHLVNDFGLRVRVRGCPTVREGDGLAASSRNRYLGDAQRTVASAFSSALCATARDVCAGSVDEASAQVALRQQLREAGLEVEYVETVDPVTLQPARPGRSIRLLAAAVRCGETRLIDHVFIMTRSPIVAIDGPAGAGKSTVTRAFAERMGLLYLDTGAMYRAVTWWVQSNGADPSSAPAVEALLEGLEVDLSPLKDGVQTVRVNGRDITDAIRDPEVTGSVSLVAAHPCVRALLTKQQQRLGERGGLVAEGRDIGTAVFPDADVKVFLTATPEERARRRAKDLEARGHAVPDLAALEAQIVERDRLDSTREVAPLVQADDATELITDGMSIEAVIDALEDLFRFRVAKEIWPTPQG</t>
  </si>
  <si>
    <t>YP_001224991.1</t>
  </si>
  <si>
    <t>phosphopantetheine adenylyltransferase</t>
  </si>
  <si>
    <t>MKALYPGSFDPLTLGHLDLIERGASLVDELVVAVLQNPGKSPAFSLEQRLRQITASTEHLGNVSVISFDGLTVACAKEQGTRLILRGLRAMSDFEYELQIAHTNRSLAPEFETVFLTTSAHYSFLSSSVVKEVARFGGAVDHMVPRVVAEDLARFFNSAFAPPSR</t>
  </si>
  <si>
    <t>YP_001225483.1</t>
  </si>
  <si>
    <t>3-methyl-2-oxobutanoate hydroxymethyltransferase</t>
  </si>
  <si>
    <t>MRASDLIRFKQSGRTITMLTAWDALSASVVEEAGADIVLVGDSLAMVSLGHATTLPVTLEQMLLHTQAVCRGLSKPPSEQPLVITDLPFLSYQCGLDRAVAAAGHLLKHSCAGGVKLEGAEPEVVQVIERLVRMGIPVMGHLGLTPQSVHQLGYRRQAKDPVSQERLRLQASELEKAGCFAMVLEHVPEALAGHLRRDLAIPVIGIGAGQNCDGQVSVTADLLGLTPRQPPFSPARLEGRTLGIEALRCWLEEQRQPGADPTTAQPPPGSDC</t>
  </si>
  <si>
    <t>YP_001224757.1</t>
  </si>
  <si>
    <t>2-phosphosulfolactate phosphatase</t>
  </si>
  <si>
    <t>Vit/Coenzyme (coenzyme M)</t>
  </si>
  <si>
    <t>Coenzyme transport and metabolism; General function prediction only</t>
  </si>
  <si>
    <t>MQVSYFHVAADVPDAIGSVEGPDAAVVIDVLRATTTIAWALHNGAEAVQAFADLDELRLQSRNWPEQTRLLLGERGGRMLEGFDLGNSPVAVIPEVVQGKRLFMSTTNGTRALQRVRDVSVVMTVALPNRQAVAQRLLRDQPERVWMVGSGWEGTYSLEDSLAAGALADALVAAGAQVANDELQAALALWAQWKHDPEACLRVASHGQRLTRLGNHDADFSCCAGLDQLSVVPTQTEPGVLRAIRV</t>
  </si>
  <si>
    <t>YP_001223978.1</t>
  </si>
  <si>
    <t>hypothetical protein SynWH7803_0255</t>
  </si>
  <si>
    <t>Vit/Coenzyme (F420)</t>
  </si>
  <si>
    <t>MLRSRRAMRWLQPGLVVKRWLLTSGIGLVLALLGAAVWADLQPIYWTLWAIQESLSWITRVMPRGITGPLVLLVGIGLLLWGQSRSFGSIQQALAPEKDTVLVDALRAKSRLNRGPNIVAIGGGTGLSTLLSGLKRYSSHITAIVTVADDGGSSGVLRRELGVQPPGDIRNCLAALSTEEPLLTRLFQYRFSSGTGLEGHSFGNLFLSALTAITGNLETAITASSRVLAVQGQVVPATNADVRLWAELEDGRRIEGESVIGKAPSPIVRLGCLPERPPALPRALEAIAHADLILLGPGSLYTSLLPNLLVPELVTAIQRSRAPRLYICNLMTQPGETDGLDVSGHLRAIEAQLASLGINQRLFDAVLAQEAIADSPLIAYYKSRGAEPVVCNRRQLLSEGYDVMEAPLQGSRPTATLRHDPRSLALAVMRFYRKHKKDLQGSAGQQSAHQ</t>
  </si>
  <si>
    <t>YP_001224882.1</t>
  </si>
  <si>
    <t>hypothetical protein SynWH7803_1159</t>
  </si>
  <si>
    <t>MECLLLILLLLGLAIAWIEARHRLWPASPLELRQSDWSATQNGASLEMEGWLDISNPHGRMEVMVPELEVQPTLIGSADLRDIVTSTRITPHHPDEETRADGYWPAYIVKGHKSTRVHVAITLSGTAPAPVGERVDTVWVDVHWVNYGPFGRLSRRQGVAVPLRRPAVTTAAQAEFRSGDQCSVLPLKTHLLGPLDDCIEVLRHYSADLLQKGDILTIGETPVAVIQGRYAHPSTINPGWLARLLCRVFHPTSSLATACGLQTLINQVGPTRVLLAWLVGSLLKPLGQRGWFYRLAGDQARLIDDITGTTPPYDQTIVLGPQDPEQLCDQAAAALGVSVAIVDVNDLGRVKVLASSRGCDEDLLQRALKPNPAGNANERTPLVLVRPA</t>
  </si>
  <si>
    <t>YP_001224975.1</t>
  </si>
  <si>
    <t>bifunctional 3,4-dihydroxy-2-butanone 4-phosphate synthase/GTP cyclohydrolase II protein</t>
  </si>
  <si>
    <t>MVSELRTSRALPDSVDQSTQSQTLFDTIPDALKAIRNGECVVVVDDERRENEGDLICAAQFATPEQINFMATEARGLICLAMQGDRLDALDLPLMVDRNTDANQTAFTVSIDAGPEHGVSTGISADDRSRTIQIAIQPDAKPADLRRPGHIFPLRARPGGVLKRAGHTEAAVDLAQMSGLYPSGVICEIQNPDGSMARLPELQVYAREKGLKLISIEDLIRYRLENERFVVRSAQCSLPTEFGSFLAIGYRNELDGSEHVALVKGDPSHLQEPVLVRMHSECLTGDAFGSLRCDCRDQLHSALKRIEAEGEGVVVYLRQEGRGIGLINKFKAYSLQEGGLDTVEANEKLGFAPDLRNYGVGAQILSDLGIHRLNLLTNNPRKIAGLGGYGLEVVKRVPMKPALGDFNAEYLATKREKLGHLMDDHQQRSHWVICLDSSSTDEGELSELLHRVETLSQEHGLQLQAEQAPRLLALWERPRFVWSLQGTEPEAATLKTLLTTMASWAATSRMGLLHAVNPEQISHPPQTLERKELSLASLGSSQQGWGWFPAGDQPALIHWS</t>
  </si>
  <si>
    <t>YP_001225438.1</t>
  </si>
  <si>
    <t>riboflavin biosynthesis protein ribF (riboflavin kinase / FMN adenylyltransferase)</t>
  </si>
  <si>
    <t>MIPLCAPQQARTPTALALGSFDGLHAGHRRVIEAITANPAGGHPTVVSFWPHPREVLHGEPRLRLDLPDEKLHLLEPLGVEQLVLVPFTKQLAQLSAADFVDQVLLSTLQARHIAVGANFRFGRGREGDTDTLARLASAAGVTVSVVPILEDGDGRMSSSRIRAALSAGELQQAATLLGRAYSFQGKVVRGRGLGRGLGWPTANLQVDGRKFLPGLGVYAAWAWVDGQGTRLPAVMNLGPQPTIDPGSPSAVEVHLLDVERELVGRSIQVEPVRRLRGQQRFAGLEELSNQIGRDADAARDTLRAQDG</t>
  </si>
  <si>
    <t>YP_001225599.1</t>
  </si>
  <si>
    <t>riboflavin synthase subunit alpha</t>
  </si>
  <si>
    <t>MFTGLVQAVGRVERRGRGLLVEGCAAFAPLQLGDSVAVDGVCLTVASLVGDGFLADVSEETLQRTSLGRKASRGGAVNLEPALRLSDRLGGHLVSGHVDGTGEVVSIEALPQSWTVELRWKESHFGRYICDKASVAVNGISLTVAGSRDQGTRFWVAVIPHTWSVTALRDLAVGDDVNLEIDLLARYTERLLAAGDGGTPSGELSADWLSAHGWG</t>
  </si>
  <si>
    <t>YP_001225293.1</t>
  </si>
  <si>
    <t>FolD bifunctional protein (PPDC) (methylenetetrahydrofolate dehydrogenase / methenyltetrahydrofolate cyclohydrolase)</t>
  </si>
  <si>
    <t>MALRLDGKALAKELEQRLAQQVRSGCAKAGRPPGLAVLRVGDDPASAVYVANKEKACARVGVESFGAHLPASSQPETLLKTIQALNADERVDGILLQLPLPAGLDETPLLAAIDPDKDADGLHTLNLGRLLKGEPGPRSCTPAGVMAMLRSQGIDPSGKRAVVVGRSILVGQPMALMLQAANATVMVAHSRTRDLAALTRQADILVVAAGRPEMIGAEHVAPGAVVVDVGIHRRPEGGLCGDVNAAELEPLAAALSPVPGGVGPMTVTMLLVNTVLAWSRRHQLDHDLADLVP</t>
  </si>
  <si>
    <t>YP_001225159.1</t>
  </si>
  <si>
    <t>dihydropteroate synthase</t>
  </si>
  <si>
    <t>MRHPTCWGRRPAVMGVINLTPDSFSDGGQFNSAKQARKEADRQINDGADVLDLGAQSTRPGAEEVGEEEELKRLIPCLQAIRRDHPDVIISVDTFLAAVATAALEAGADWINDVSGGRRDAGMLPLIADAGCPYVLMHSRGDSASMDTCTNYGSEGVVNAVRRELRESTERALRQGVKATQLIWDPGLGFAKDNEQNLELIRQLEEFQRDGIPLLLGPSRKRFIGAVLNQPRPKARIWGTAAVCARAQAAGVHVLRVHDVGPIHQVVSMGEAVARNT</t>
  </si>
  <si>
    <t>YP_001224178.1</t>
  </si>
  <si>
    <t>glutamate-cysteine ligase family 2 protein</t>
  </si>
  <si>
    <t>MTNNRLLKGFEVELFTGHPDGRNVGIAAEASQELAGFVTEPDHRNLEYITAPQSDYGPLTEALLAPRRTLRTWLQPRGLTLLPGSTLSLGDTTRFERSDPSNPYHDLIEATYGTDVVTASIHINLGIESPQDLFKALRLVRCEAALMLALSASSPFLNGDITGAHSQRWMQFPLTPARVPLFVDHQHFIRWTEEQIAAGTMHNVRHLWTSVRPNGPDRPHQLNRLELRICDLITNPAHLLAVTTLLELRIQQILRDPSAHDPMTKSTLSLDELEQLSVNNDRAAAQASLEATLHHWEDGRPLLCREWVLTLIESVEPLAADLHLSDRLKPLTTILDQGNQAMRWLAAIRDGASIQSVLSDSISTMETEESPLGSTPGHHALG</t>
  </si>
  <si>
    <t>YP_001223944.1</t>
  </si>
  <si>
    <t>Heme oxygenase</t>
  </si>
  <si>
    <t>MSVALASQLREGTKKSHTMAENTGFVSCFLKGVVDKGSYRTLVADLYFVYAAMEEEMARLADHPVIAPIAFSELNRREALEQDLAYYYGADWLQQIKATPAAEVYVDRIRQVAKESPELLVGHHYTRYLGDLSGGQILKNIAQKAMNLGGNDGLHFYSFPEIADEKAFKTTYRAAMDQLPIDQAMADRMVEEANHAFHLNMKMFQELEGNLVAAIGKVLFGFLTRRQRAGSTEAVAA</t>
  </si>
  <si>
    <t>YP_001224367.1</t>
  </si>
  <si>
    <t>ferrochelatase</t>
  </si>
  <si>
    <t>MSRVGVVLLNLGGPERIQDVGPFLFNLFADPEIIRLPIPALQKPLAWLISTLRSGKSQEAYRSIGGGSPLRRITEQQARELQSLLRQRGIDATSYVAMRYWHPFTESAVADLKADGMDQVVVLPLYPHFSISTSGSSFRELQRLRQGDESFEKLPIRCIRSWFDHPGYVRAMAELIAEEVRQSDDPTQAHVFFSAHGVPKSYVEEAGDPYQKEIESCTDLIMKELGQLMGHDNPFTLAYQSRVGPVEWLKPYTEEALEELGKAKTNDLVVVPISFVSEHIETLEEIDIEYRELATEAGVVNFRRVRALDTYPPFIEGLADLVTTSLEGPEVSLDAAAELPTKVKLYPQEKWEWGWNNSSEVWNGRLAMLGFSGFLLELISGHGPLHALGLL</t>
  </si>
  <si>
    <t>YP_001224332.1</t>
  </si>
  <si>
    <t>porphobilinogen deaminase</t>
  </si>
  <si>
    <t>MSMALEHLRIASRRSQLAMVQTNWVKAELEKAHPGLAISVEAMATQGDKILDVALAKIGDKGLFTKELEAQMLVGRAEIAVHSLKDLPTNLPEGLMLGCITEREDPADALVVNSKNAEHTLETLPEGSVVGTSSLRRLAQLRHHFPHLQFKDVRGNVITRLEKLDAGQYDCLILAAAGLSRLGFGDRIHQIIPGHISLHAVGQGALGIECVCDRPEVLKIIQVLEHAPTAGRCLAERAFLRELEGGCQVPIGVNSRIDGTELILTGMVASLDGQRLIRDERRGSLTDPEAIGRALAADLKSRGAGEILQEIFAEMRPEA</t>
  </si>
  <si>
    <t>YP_001224478.1</t>
  </si>
  <si>
    <t>uroporphyrinogen decarboxylase</t>
  </si>
  <si>
    <t>MSDTLPLLLRAARGEAVERPPVWMMRQAGRYMKIYRDLRDKYPSFRERSENPDLSYEISMQPFNAFKPDGVILFSDILTPLPGMGIDFDIIESKGPQIGDPIRTMAQVDALHPLNPAESMPFVGEVLGRLRQSVGNEAAVLGFVGAPWTLAAYVVEGKSSKNYAVIKAMAFQEPALLHKLLDHFAESIAQYLRYQIDSGAQVVQMFDSWAGQLSPADYDTFAAPYQKKVVDLVKQTHPDTPFILYISGSAGVLERMATTGVDIISLDWTVDMAEALARLPEHIGVQGNVDPGLLFGTPEAIEARIDDCVRKARGRKHILNLGHGILPGTPEENGASFFRSGKSVMDRIGALA</t>
  </si>
  <si>
    <t>YP_001224761.1</t>
  </si>
  <si>
    <t>prenyl transferase</t>
  </si>
  <si>
    <t>Vit/Coenzyme (isoprenoid biosynthesis)</t>
  </si>
  <si>
    <t>MTTVTELLQPVEADLEILLSDLRSLIGAGHPILQAAAEHLFSAGGKRLRPGIVLLVSRALSPEGELSPRHRRLAEITEMIHTASLVHDDVVDEAGTRRGVETVHSRFNHRVAVLAGDFLFAQASWHLANLDNLDVVKLLSRVIMDLADGEVKQGLFRYDTGQTFETYLEKSYCKTASLVANSARAAGVLSGCTEPQLESLYHYGRQLGLAFQVVDDILDFTGSEQQLGKPAASDLSSGYLTAPALYALEQNPSLGVLIEREFSNEGDLDEALQIVRQSDAIARTRQLAERFAQESREALSWLPESPSRTALLELPDFVLSRLY</t>
  </si>
  <si>
    <t>YP_001226208.1</t>
  </si>
  <si>
    <t>molybdopterin biosynthesis protein moeA</t>
  </si>
  <si>
    <t>Vit/Coenzyme (molybdenum cofactor)</t>
  </si>
  <si>
    <t>MATGNAEPYGREGLALDEARQRILDALKARPTRLTTVTPELMPLRDALGRVLADAVKAPADVPGFRASIMDGYALGQDCQPNAGDSWTLVGRSAPADPYQQTLHRGEAIRILTGAPLPQGAAWVLPQELIANQNGTIRLVKDASSNPWIRPTDEECSQGSLLLASGDRLGVADIGRASSCGISHVKVQRRPRIGLLVTGDELVSPGEERSNGAIWESNSTLIRGMLERLGYPAVDCRLVADECQLLKQAILDLAASCDVIVSTGGVSAGDSDWIRPLMQDLGQVEFWKLFLKPGRPFAFGWFGDAVPFFGLPGNPVAATVTALQLLWPALQILEGQSSPELLPRMPVRLATPYRRKPGRPELARASLDCSPDGQLLARIDGSQASSRIGSLQNADLLVEIPADSGPLDIGQQVWAQLLRRRIL</t>
  </si>
  <si>
    <t>YP_001224171.1</t>
  </si>
  <si>
    <t>molybdopterin biosynthesis protein</t>
  </si>
  <si>
    <t>Vit/Coenzyme (molybdopterin or chlorophyll)</t>
  </si>
  <si>
    <t>MPELSSQERGRYARHLTLPELGLAGQRRLKAASVLCIGAGGLGSPLLLYLAAAGIGRLGIVDDDRVDLSNLQRQVIHGQAAVGEGKTSSARRRILDLNEHCVVDEHPSRLTPENALSLIGAYDLVVDGSDNFPTRYLISDACVMLGRPFVYGSVQRFEGQVTVFNQGPLSPDYRDLVPQPPPRDLVPSCADGGVMGVMPGLIGLLQATEVIKVITGLGETLDGRLLLVDSLSMRFRELRLERRPHRPAIEQLVDYEQFCNPERPVEGEESKIVNSISVRELKALLDERADLLLLDVRQQAEADVAVIQGSQLFPLASIESGDAIEAIRSLASGRVVYVHCKLGGRSAKAVDHLTRSGIQAVNVTGGIDAWSQEVDASVPRY</t>
  </si>
  <si>
    <t>YP_001226060.1</t>
  </si>
  <si>
    <t>nicotinate-nucleotide pyrophosphorylase</t>
  </si>
  <si>
    <t>MVVSLPITPQLQRQLEAWLQEDLGRGDLTASALQGCHGAAHWIAKADGQFCGGVFLEPMVRALDPLAQVRLLVAEGERVASGQRVLELEGAATALVAVERTALNLAMRLSGIATATAALVAGLDGTGVRLADTRKTTPGLRQLEKYAVRCGGGINHRLGLDDAAMLKENHLAWAGGVEAAITAVRASAPWPARVIVEAETEAEAMAAVQAGADGVLLDEFSPQELAVLVPRLRDQARGRDHAAPVVLEASGIHPDALAAYAATGIDLISTSAPVTRSSWLDLSMRFAGAAG</t>
  </si>
  <si>
    <t>YP_001225732.1</t>
  </si>
  <si>
    <t>glutamine-dependent NAD(+) synthetase</t>
  </si>
  <si>
    <t>MRIALAQINPVVGDLLGNADRIHAALAATEVNGKVSADLLVTPELSLWGYPPRDLLFSAAHLEQQQQALDQLQQRLHAEQLDVALLVGVAEVAPDQQHPRLFNALALVQARGWQVVARKQLLPSYDVFDETRYFRASSSPSTLSLRVNNRDWQLGLSICEDLWVDEELHGQRLVGPDPIASLIPERLDALINCSASPFSRRKGTLRHELAARAAERLQCPVVYVNQVGGNDELIFDGASFVIAPGDDTPLLQLPEFAVSTEVWTAASSTDRLEQPSRAHQQANTPDDDLEALFRGLVTGVKDYATKCGFKAALLGLSGGIDSALVAVIAAAALGPDHVQSLLMPSPWSSSGSIADALALATRLGIASQIVPIQTLMEGFEATLTPALNAEPSGITAENLQSRIRGTLLMAMANQQGQLLLSTGNKSELAVGYCTLYGDMNGGLAVIGDLYKSTVFALCHWLDSPDAGACRAELGLGGSGPLIGQAILEKPPSAELRPDQKDSDSLPDYERLDPLLMDLIEQRMSGEQLIGAGHDPDDVKRIERLFRRAEFKRRQAPPLLKVSKQAFGSGWRLPIAAI</t>
  </si>
  <si>
    <t>YP_001224921.1</t>
  </si>
  <si>
    <t>quinolinate synthetase</t>
  </si>
  <si>
    <t>MSADPALVAAINRLRKERNAVILAHYYQEPAIQDIADFIGDSLELSRKAASTAADVIVFCGVHFMAETAKILSPEKTVVLPDLDAGCSLADDCAADEFARFRAEHPDHLVVSYINCTAAVKAQSDLICTSSNAVDLVNQLPADRPILFAPDQNLGRWVQRQSGRELTLWPGRCIVHETFSEEAVLRLKLENPQAEVIAHPECLENLLDLADFIGSTSKLLNYTQSSPSDTFIVLTEPGILHQMKQRVPDKTLIDVPGLDGCSCNACPYMRLNTLEKLRDCLETLSPQIAMDESLRSKAEAPIRRMLEMSR</t>
  </si>
  <si>
    <t>YP_001225433.1</t>
  </si>
  <si>
    <t>inorganic polyphosphate/ATP-NAD kinase</t>
  </si>
  <si>
    <t>Vit/Coenzyme (NADP)</t>
  </si>
  <si>
    <t>MRSVPRVGLIVNDGKPLAVETATTIQARLERGGHEVVRVSSSGGMVGFANPDQHLRMLGYNACVPEGFDPAMALAIVLGGDGTVLSAARQTAPVGVPILTINTGHLGFLAEAYLDDLDRALDQVLTQQWTIEERANLVVSVMRGDQRRWEALSLNEMALHREPLTSMCHFEIAIGRHAPVDISADGVILSTPTGSTAYALSAGGPVITPDCPVLQLTPIAPHSLASRALVFSDAEPVTVFPATPERLMMVVDGSAGCYVWPEDRVLIRRSDHPVRFVRLTDHEFFQVLRNKLGWGLPHVAKPDRA</t>
  </si>
  <si>
    <t>YP_001224998.1</t>
  </si>
  <si>
    <t>aerobic cobaltochelatase CobN subunit</t>
  </si>
  <si>
    <t>Vit/Coenzyme (porphyrin and chlorophyll metabolism)</t>
  </si>
  <si>
    <t>MHRLTSLPGGDTDDPVAFVEQPSAEVLFLSSASTDLSALARVLETSASKNWDGRIRALPLDALSHPAQIDHYLSNCTSRTRLIVVRLLGGRGHWSYGLEQCSLWESAEPGRTLLVLAGTSDQDRELHSLGSLPEGIGDAMALLLREGGTDNLQTWLSGLSWILASDQERSESLAEPLLQAIPSPDPDPYDWQEESGSRVGVILYRAHRQSGDWLWCDALLSVLRQHGLAPRALWVSSLRDAAVQEAVQRLFRQQEVALVITTTSFASVQFSEAGLGTPLWDGLDCPVLQLLSSSRPRSAWTSSFQGLDPIDLSLQVVLPELDGRITTRIGAFREVLKADEQLCTAVKRLEPDSAGIDWIANHALAWTDLQTTAASERRLTLLLANYPVRNGRLANGVGLDTPASCLNILRWLQDDGYDLGTQPLPQDSDALMAMILAGRTNDPESELRPPLTHLPLETYLTWWSTLSPSARELIENRWGQPQKAEDLEAEGFAIHGIRFGKVSVLVQPSRGYDPEQLSDLHSPDLPPPHRYLAQYLWLRHEERCQLMIHVGKHGSAEWLPGKSVGLSTCCGPALALGAIPHLYPFIVNDPGEGSQAKRRGHAVILDHLTPPLGRAGLHGNLLSLESLLDEYIEARELGASRCRALEQQLRALLVELDWPGRPDTLESGTESAHWSATLEQVETYLCELKEAQIRTGLHRLGELPSSASLLELLIAIARAPVADRPGLTQWIALQCGLCVDPWGDEDGLLLANQDQNVLSELGVPGCRRVSDAAEWMEGQAQQLLQRLLGLEAEGIEDVSSPLADPLIHSLEESPLPAVLAFIKADLWPRLQQCETRERNALLAGISGRRIASGPSGAPTRGRDDVLPTGRNFYSVDLRGLPTEAAWDLGRRSAEQLVELYELEHGEPLRHLALSVWGTATMRNGGEDIAQMLALLGVRPVWDGPTRRMVDLELIPLSLLGRPRVDVTLRMSGLFRDAFPQLLGWVHRALTLVAARDEPDGDNPLAARTRSEGPQSRLFGSAPGAYGAGLQALIDSGQWEQRSDLGEAYLAWSSWRYDGEAVAHEDRQGLEQALRSVQVVLHNQDNREHDLLDSDDYYQFQGGMAAAVQEAGGQAPTLLFADHSRRERLRIHGLEREIDKVVRSRLLNPRWIEGMQQHGYKGAFEMGASLDYLFAYDATTGTVPNWCYARIAERWLLDDSIRTFLQTANPWVLRDMAERLLEAAHRQLWSDADASLLDRIRALLLEAERTVECGGDLNR</t>
  </si>
  <si>
    <t>YP_001225022.1</t>
  </si>
  <si>
    <t>glutamyl-tRNA reductase</t>
  </si>
  <si>
    <t>MHIAVVGLSHRTAPVEVREKLSIPEQTMEESLQNLRGHDQVLEASILSTCNRLEIYTLVRNPELGISAVREFLSSHSGLETGDLKPHLFAYHHEDAVGHLLRVAAGLDSLVLGEGQILSQVKKMMRLGQEHKSLGPILNRLLTQAVSTGKRVRSETNLGTGAVSISSAAVELAQLKLGQSRGLDELVTLEDEQVAVVGAGRMSRLLLQHLQAKGASGVVVLNRTVARAEALAADFPTLPVQCRPLKDLDHCLSTCSLIFTSTAADDPIIDAERLSKLNRRSSLRLIDIGVPRNIAADVEGIGGVDAHDVDDLKEVVERNQEARQQVAREAQGLLDGEARQFLEWWDSLEAVPTINRLRSSMESIRSEELMKALSRMGPDFSARERKVVEALSKGIINKILHTPVTALRSPQPRSDRQNALSVVERLFDLQADEDSVQN</t>
  </si>
  <si>
    <t>YP_001225544.1</t>
  </si>
  <si>
    <t>glutamate-1-semialdehyde aminotransferase</t>
  </si>
  <si>
    <t>Vit/Coenzyme (porphyrin and chlorophyll)</t>
  </si>
  <si>
    <t>MTAPTLNTTRSQELFSAAQALMPGGVSSPVRAFRSVGGQPLVFDRVKGPYAWDVDGNKYIDYIGSWGPAICGHAHPEVISALQEAIEKGTSFGAPCALENTLAEMVIDAVPSVEMVRFVNSGTEACMAVLRLMRAFTGRDKVIKFEGCYHGHADMFLVKAGSGVATLGLPDSPGVPRSTTANTLTAPYNDLEAVKQLFAENPDAISGVILEPIVGNAGFIQPEPGFLEGLRELTKEHGALLVFDEVMTGFRISYGGAQAHFGVTPDLTTMGKVIGGGLPVGAYGGRRDIMEMVAPAGPMYQAGTLSGNPLAMTAGIKTLELLRQPGTYEKLTATTEKLIAGIKEAASAAGLPITGGSVSAMFGFFLCEGPVRNFEEAKATDAERFGKLHRAMLQRGVYLAPSAFEAGFTSLAHSDGDIEATLQAFRESFAEIA</t>
  </si>
  <si>
    <t>YP_001224184.1</t>
  </si>
  <si>
    <t>coproporphyrinogen III oxidase</t>
  </si>
  <si>
    <t>Vit/Coenzyme (porphyrin)</t>
  </si>
  <si>
    <t>MPEDGSASTASVVPGERPPADSRERARSLVMALQDEICAGLEQIDGSGRFQEESWVRPEGGGGRSRVMREGRIFEQGGVNFSEVQGQELPPSILKQRPEAKGHPWFATGTSMVLHPRNPFVPTVHLNYRYFEAGPVWWFGGGADLTPFYPFLEDARHFHRTHQQACDSVDERLYQVFKPWCDEYFFLKHRQETRGVGGIFYDYQDGSGRLYRGQDPEGPAAQKASQIGAVPLSWEQLFSLAGANGRAFLPAYAPIIERRNGMAYGDRERQFQLYRRGRYVEFNLVWDRGTIFGLQTNGRTESILMSLPPLARWEYGYQAAPGSREALLTDLFTRPQDWFGDPSLEDRCRPHNAVN</t>
  </si>
  <si>
    <t>YP_001226176.1</t>
  </si>
  <si>
    <t>spermidine synthase</t>
  </si>
  <si>
    <t>Vit/Coenzyme (spermidine)</t>
  </si>
  <si>
    <t>MSEAPSTASGWIDEHHNGVRYGLQGDVIADEQSAIQRITVIHSHRYGNGLLLDGCWMTAEHQERHYHEPLVHPALCAARSIDRVLVIGGGDGGTARECLRHHAVKHVDLVEIDGRVVELSQKHLAAIGGGCWSDPRFQLTVGDGIAWVGEASDASYDVVLVDGSDPAGPAEGLFNRSFFQHCRRILKPGGVFATQSESPEAFRAVHIDTVRMLREVFGHADPLYGWVPMYPSGWWSWTFAASDGPRYRSPDPERAAAIGPGCDIWSPRWQAGAFEAIPASIERELSA</t>
  </si>
  <si>
    <t>YP_001225198.1</t>
  </si>
  <si>
    <t>4-hydroxy-3-methylbut-2-en-1-yl diphosphate synthase</t>
  </si>
  <si>
    <t>Vit/Coenzyme (terpenoids)</t>
  </si>
  <si>
    <t>MTGTLATASQTGNDTARNQRYDTVIHRRRTRTVMVGDVPIGSEHPVAVQSMINEDTLDIEGAVAGIRRLADAGCEIVRVTTPSMAHAKAMGDIRAALRAQGCGVPLVADVHHNGIRIALEVAKHVDKVRINPGLFVFDKPDPGRQDFSREEFEAIGRRIKDDFAPLVEVLKTQNKALRIGVNHGSLAERMLFTYGDTPEGMVESAMEFVRLCDELDFHNIVISMKASRAPVMLAAYRLMADTLDREGFHYPLHLGVTEAGDGDYGRIKSTAGIATLLAEGLGDTIRVSLTEAPEKEIPVCFSILQALGLRKTMVEYVACPSCGRTLFNLEEVLNQVRDATSHLTGLDIAVMGCIVNGPGEMADADYGYVGKTPGIISLYRGREEIRKVPETEGVEALIQLIKDDGRWVDPA</t>
  </si>
  <si>
    <t>YP_001225072.1</t>
  </si>
  <si>
    <t>SAM-dependent methyltransferase</t>
  </si>
  <si>
    <t>MAPSFTEIAYRTLQQGRSLAGLVHKELSTKVMEVVAPDVVPQTEPVPTEMMAALRQSLNTLHDRDWLDAEEGLYPQSLLFDIPWLDWAERYPRVWLDLPSNWARRRARDVQDLPDLSDRDFYPDYYLQNFHHQTDGYLSDHSAELYDLQVDILFNGAADAMRRRILPALLDGLKHFSNRSQANLRILDVATGTGRTLHQIRAALPQATLVGVDLSEAYLRQANRWLNQGRCSLVQLVQGNAERMPFDQGGFQALTCVFLMHELPADARQAVLQDCYRLLEPGGVLVLADSVQLKDSPQFDVAMDNFRRVFHEPYYRDYISDDIDQRLLDAGFCNVQAESHFMARVWSATKPDSGTK</t>
  </si>
  <si>
    <t>YP_001225747.1</t>
  </si>
  <si>
    <t>MQPTPSDAATPVVSDFYDRFPYPGDPIQDGPPPGYNWRWCLDSVDGAVRGATPVRADAGTPPRILDAGCGTGVSTDYLCHLNPGAEILAVDISAGALGLARERLHRSGGAQQVRSLRQEQRSLLDLKDEGPFDYINSVGVLHHLRDPLAGLKALAALLDEDGLMHLFLYANAGRWEIHRTQRALTRLGVGQDGEALRLGRELFEVLPESNRLRRNHEQRWLIDTAADANFADMYLHPQETSYDLKSLFALIEASGLHFAGFSNPSAWDPARVLSGDLLARAQSLPIQDQWFLIEDLDTEISHFEFFVARKPIQKRRWDDDGELLKTRGRRQSCLWGWPSVSLLGPDLEPMALSAQEKQLLEAVDAHPEHSLGELDLGPWTADVARALIQRRLLLPIAEAGGGRENA</t>
  </si>
  <si>
    <t>YP_001224365.1</t>
  </si>
  <si>
    <t>MSSFLRPLAYRYRWIYDTVTAVSALSVGGVKTLRALGLEALQPQLQPGAAVLDLCCGSGEAAAPWLAAGFAVTGLDVSPRALQLAKARHPTLQRVEGLAEDPPLRSESFSAIQLSVALHEFPRVERAMVLRSALRLLQPGGWLVVVDLHPAGPWLRLPQQIFCELFETDTASAMLEDDLPAQLRALGFTSVKQELLAGQALQLITAMRPIQPEQS</t>
  </si>
  <si>
    <t>YP_001224084.1</t>
  </si>
  <si>
    <t>glycine-sarcosine methyltransferase</t>
  </si>
  <si>
    <t>MLCSRRICGPAAISSAVKSEFGMTSTKSHPSANPDDAQRFGETPESVRETDHYQQEYIEQFADRWDRLIDWQAREEAEGDFFVKLLREHGAKSVLDVATGTGFHSVRLLREGFEVVSVDGSPNMLARAFKNARSRDLLMRTVHADWRFLNRDIHGEYDAVICLGNSFTHLFRERDRRKALAEYYAVLKHNGVLILDHRNYDRLLEGTSTSGKSNVYCGKDVEVGPEHVDDGLARFRYAFSDGSTYHLNMFPLRHGYVRRLMREVGFQRITTYGDYQRGHDDPDFYVHVAEKEYLFDTDVTAI</t>
  </si>
  <si>
    <t>YP_001225361.1</t>
  </si>
  <si>
    <t>MADQCCGPSLDQTQAVESRYGAAAHQQEACLCTPVAFDASLLKVIPADVVERDYGCGDPTRWVQIGDDVLDLGSGSGKNAFICSQVVGENGSVIGVDRNDDMLALSRAAAPVVANRIGFANVRFVKGAIEALDAATASGSPLIASASVDVVLSNCVLNLVNPSARVTLLDNIRRVLRPGGRVAISDIVCDRPVPLRLQQDPELWSGCISGAWLEEAFLADFRALGFEQVGYADRSDTPWRVVEGIEFRAVTLTGVLPGS</t>
  </si>
  <si>
    <t>YP_001223892.1</t>
  </si>
  <si>
    <t>S-adenosyl-L-homocysteine hydrolase</t>
  </si>
  <si>
    <t>MVATPSATTGLQVAQDYVIADINQAEFGRKELDIAETEMPGLMALREKYGTEKPLKGARIAGSLHMTIQTACLIETLVELGAEVRWASCNIFSTQDHAAAAMAARDIPVFAVKGETLEEYWEYTHRILEWGDGGSPNMILDDGGDATGLVMLGSKAEQDITVLDNPGNEEETFLFASIKKKLAQDPTFYSRTKAQIQGVTEETTTGVARLYKMQKSGELPFPAINVNDSVTKSKFDNLYGCRESLVDSIKRATDVMVAGKQALVMGYGDVGKGSAQSLRGLGATVCIAEVDPICALQAAMEGYRVVRLEDVVEDMDIFVTATGNYQVIRNEHLLKMKDEAIVCNIGHFDNEIDVASLKDYEWENIKPQVDHITLPSGNRIILLAEGRLVNLGCATGHPSFVMSNSFTNQVLAQIELFTKGNEYGKEVYVLPKHLDEMVARLHLDRIGAKLTELSKDQADYINVPVEGPFKPDHYRY</t>
  </si>
  <si>
    <t>YP_001224236.1</t>
  </si>
  <si>
    <t>S-adenosylmethionine synthetase</t>
  </si>
  <si>
    <t>MSRYVFTSESVTEGHPDKICDQVSDAVLDALLAQDSSSRVACETVVNTGLCMITGEVTSKAQVDFIHLVRDVIREIGYSGARAGGFDANSCAVLVALDQQSPDIAQGVDEADDHEGDPLDKVGAGDQGIMFGYACNETPELMPLPISLAHRLSRRLAEVRHNGTLDYLLPDGKTQVSVVYENDKPVAIDTILISTQHTAEVAGLSDEQQVRERISDDLWTHVVEPATADLPLKPSKDSTRYLVNPTGKFVVGGPQGDAGLTGRKIIVDTYGGYARHGGGAFSGKDPTKVDRSAAYAARYVAKCLVAAGLAQRAEVQLSYAIGVAKPVSILVESFGTGKVSNAELTELVQQHFDLRPGAIIQQFKLREMPALSGGRFYRDTAAYGHFGRPDLKLPWEDVENKASTLLQAEASRLQQGNTL</t>
  </si>
  <si>
    <t>YP_001225495.1</t>
  </si>
  <si>
    <t>menaquinone biosynthesis methyltransferase ubiE</t>
  </si>
  <si>
    <t>MKPGDPEAVEQLFNDAAPTYDRLNDLLSFGLHRQWKRQMLLDLAPRSGESWLDLCCGTGDLALALARRVRPGGQVVGVDTAEAPLALARQRAAREPWLTLAFQQGDALALNAETASVDGVVMAYGLRNLADPAAGLQEIKRVLRPGGRAGLLDFNRLQPTSMAARFQRAYLRRVVVPVADGLGLKDHYAYLEASLQRFPDGASQEQLARAVGFPLARHRPVAGGLMGLLTLRS</t>
  </si>
  <si>
    <t>YP_001226145.1</t>
  </si>
  <si>
    <t>hypothetical protein SynWH7803_2422</t>
  </si>
  <si>
    <t>MLWEAPTAAVLAGEEPGWLPGPWRLMLLGDGSPTRHLRLLTSHPVAVRVSAMEADTALHGAPREVRELSYPLLRRQVWLECGDITLAWAESWWNQTEAEQHLQDRNLPIWISLTQGRSELFREVDGLALVTAPWLEQGFGEPGPFWSRHYRFFRQGKELTVIREVFSPALERWLGEAPRRPLHAAS</t>
  </si>
  <si>
    <t>YP_001225335.1</t>
  </si>
  <si>
    <t>hypothetical protein SynWH7803_1612</t>
  </si>
  <si>
    <t>MAASEGGLQSVGDLVDNFIDSEAMVVCVERFKALPGGAEMIEQRYPPFQPDLAALEALPEGSLGRAYAGMIRKLNYDPDFFRPRDTSSEALWLTQRIATTHDLHHVIGGFNTQSAGESGVLAITATQIGFPAYVLINTLACFRAFRFAPANLAGVSRSIAFGNRIGLEAKPLVLQRWEEAWEKPLHQWRQELGVHSAEGEAFGAVY</t>
  </si>
  <si>
    <t>YP_001225030.1</t>
  </si>
  <si>
    <t>hypothetical protein SynWH7803_1307</t>
  </si>
  <si>
    <t>MLFNLDKKAQALKMVAGLSLWMKNPDELNNVRAVAGSLRGTNLFAQSMAHLLKNSRFQALADERWRPPTKSLKELSLLPSGSLGKTYADELIKQGFSPDELMDSGEVTNLKSFVSHRLHETHDIIHVLTGFGTDLVGEMGLQAFALAQNRAPLAVLLIAGSLLRALQNDEPLEPLLMALSRGFELGLNADLVIAYKLEDQWKLSVEEWRKTLGITDHQNN</t>
  </si>
  <si>
    <t>YP_001224508.1</t>
  </si>
  <si>
    <t>hypothetical protein SynWH7803_0785</t>
  </si>
  <si>
    <t>MNLGDTFNELTLTKLQAVANYVDTRGQDVNSAIRLYELLKTTYGLPKELGYVAALPRMKALIDEGWRPKTITLDQLLSMPNHSLGYHYGSHLQRAGLTLNKINDPNPITSPLEYVSHRMRETHDILHVLTGFDVSLEGELGVLGFGMAQWRSPVSLMLIPAFLYHALLNDGCYEAWLDSATKGICMGQQGVECIPACKFEEAWEKPLEAWREELKIVPISPQ</t>
  </si>
  <si>
    <t>YP_001225434.1</t>
  </si>
  <si>
    <t>protein kinase</t>
  </si>
  <si>
    <t>MSVLSVFDGSARALEIVQVLSKHEWAFLSQLLRRGDAEETRLPLPSVLCNILTELGPVYVKLGQLLSTRPDLLGEAYIEALSELQANVPPVPWERVRPQLEEQLKCEVTQAFHSFEQAPIAAGSVGQVYRATLRDGVPVAVKVLRPGIEAQVAEDGRLLRKIAALASATALGSQYDFTGLADQVLDALGRELDFRIEAQNTLRLERCLEASSFVPEGQLRLPQVVQNLSGQRVLVLEWIDGDAILTDQARHSLSQGPGVGPTTTALLGAFVEQYFVEGFFHADPHPGNLKVLSDGSVVLLDAGMVGVFDPRTRGNLLDLVLALINQDGARATDLLEQIAPAARGVKVDRQQLQRQLDALIASSFSKPLEELNFALFLADLLQLANRTGLRVPGTLGLFVKSVTNLEGVGCSLNPAFSFTGEMQPLVAQLLARSVMLPQERLMQFGLDLRNFSLEAPRQLSQLLRRFSSDELVFALQLEGLESLRATLERLSQRVSLAILVAALLLSATLMASLAQQELLRNVSEGLFIGATLFGLWLIVSLLRSNRR</t>
  </si>
  <si>
    <t>YP_001226254.1</t>
  </si>
  <si>
    <t>MAPQELGDFIEASGLLTYDPAAITRIYAGHPQRLLRRLWQTLVPIGLFLLGVGTDKVLGLLSDQKRARARAREFANLLVDLGPAFIKAGQALSTRPDIVPPVLLEELAQLQDQLPGFDSDLAMACIEEDLGAPVDDIYETLEREPISAASLGQVHRGVLKNGQRVAVKVQRPGLREQITLDLYIVRNIAAWLNSNIGLIRSDLVALIDELGRRVFEEMDYLNEASNAERFSELHSHNPRIAVPLIFREATSRRVLTMEWIDGVKLTNLEAVRELGIDPDDMVEVGVSCSLQQLLEHGFFHADPHPGNLLALEDGRLCYLDFGMMSEVTRESRTGLIQAVVHLVNRNFGKLSKDFVSLGFLAEDVNLEPIVPAFETVFSQALEAGVSRMDFKAVTDDLSGVMYKFPFRVPPYYALIIRSLVTLEGIALSVDSDFKILGAAYPYFARRLMEDPDPQLRMSLREMLFDGDIFRWTRLENLVASAASQDQLDLEALLDQVLDFLFSANGGMLRRQLVDAVADRLDALSWMTLQRIGRRLPRPLQPPMLLEASDSFDQSTYLDLEPIRQLIAVLQQLPGFSPDLVFSRLPRLIREPDARRMGVELAQGLAERGVVRLVRAAAGVSP</t>
  </si>
  <si>
    <t>YP_001226113.1</t>
  </si>
  <si>
    <t>hypothetical protein SynWH7803_2390</t>
  </si>
  <si>
    <t>MRIKLQERLQSLKLLAGLAAFLKNPGSLESVFAVGASLKDSALGKQMVEHLLEDHQFRSLVDEGWRPAPINLDQLQKLPEGSLGRVYADQLISQGITPDSLIDPSPVSNSQDFVVHRLKETHDIVHVLTGFGIDGASELGLQGFNLAQNRSPLAVMLIFGGMLSALQNDEPLAPMLRALAHGFQMGLDADLVIARKLEDGWDRPLADWRQELKLPTQTST</t>
  </si>
  <si>
    <t>YP_001223792.1</t>
  </si>
  <si>
    <t>hypothetical protein SynWH7803_0069</t>
  </si>
  <si>
    <t>MDLSGFMRYLEAPGDAADNASISRFFQELGAQAQMLEVVMSDPEVASLVADRYAPPSFEMDQLLAMPEGSLGRVYARFVDGHHFNPHFFHNVEGQSDLAYVLNRLRTTHDIWHVLLGFDSSEAGECGMNAFTFSQACTPTTCLLMAAKMIRSIPEAPDERRRLLQAIADGIKLGLQAPHFLAWRWEEHWSEPLEELRGRVGLSALTPAMKG</t>
  </si>
  <si>
    <t>YP_001224756.1</t>
  </si>
  <si>
    <t>3-octaprenyl-4-hydroxybenzoate carboxy-lyase</t>
  </si>
  <si>
    <t>MALFRPGPGTRDLRSFIQLLEERGQLRRIQAPVDPDLELAAIADRVLASGGPALLFENVIGSSMPVAVNLLGTVERVVWSMGLERPEQLEELGERLALLQQPRPPKGLGETKKFARVFWDLVKARPDRDLLPPCRQQIFKGDEVDLSQIPLIRPWPGDAGGVITLGLVITKDPETGVPNVGVYRLQRQSVNTMTVHWLSVRGGARHLRKAAAMGKKLEVAVAIGVHPLLVMAAATPIPVQLSEWLFAGIYAGEGVRLSPCKTLDLQVPSHSEVVLEGTITPGEVLPDGPFGDHMGFYGGVEDSALVRFHCMTQRRDPIFLTTFSGRPPKEEAMLAIALNRIYTPILRQQIPEIKDFFLPMEALSYKLAVISIDKAYPGQAKRAAMAFWSALPQFTYTKFVVVIDSHLNVRDPRQVVWAIAAQVDPQRDLFVLENTPFDTLDFASEQLGLGGRMAIDATTKIGPEKNHDWGEPLSRPDDLEQRVTDRLGELGLDDLANQEPDPSLFGYALDALLQNRPIGSPASKAS</t>
  </si>
  <si>
    <t>YP_001225439.1</t>
  </si>
  <si>
    <t>thiamine-phosphate pyrophosphorylase</t>
  </si>
  <si>
    <t>Vit/Coenzyme (vit B1)</t>
  </si>
  <si>
    <t>MESMPVAPSTDPRVARLIDANLDRAREGLRVIEDWCRFGLDRQDLVVPLKDWRQQLGQLHHDRYRQARSTATDSAAGLGHPAQDTRTDSVAIVKANASRVQEALRVIEEFARNGDAVLARTAAAVRYALYDHEVRILEACGHSRRKQQLEDARLCLITDPGADDGCERLVQRVEAALQSGVSLVQYRRKHGSDGLRLQEAQQLAQLCHEHNALFIVNDRIDLALLVNADGVHLGQEDLPYREARRLLGSAKLIGRSTHKLAQLHEAQEQGADYVGVGPVFATATKADRHPAGLSWVKEACEAARIPWFAIGGITATTLPRVREAGAQRVAVVSAIMASEDPASASRQLLDLLT</t>
  </si>
  <si>
    <t>YP_001223913.1</t>
  </si>
  <si>
    <t>thiamine biosynthesis protein ThiC</t>
  </si>
  <si>
    <t>MRASWVESRRGQANVSQMHFARQGVVTEEMAYVAKRENLPESLVMEEVARGRMIIPANINHTGLEPMAIGIASKCKVNANIGASPNASDAAEEVNKLKLAVKYGADTVMDLSTGGVNLDEVRTAIIDASPVPIGTVPVYQALESVHGSIEKLDEDDFLHIIEKHCQQGVDYQTIHAGLLIEHLPKVKGRLTGIVSRGGGILAQWMLYHHRQNPLFTRFDDICEIFKRYDCTFSLGDSLRPGCQHDASDAAQLAELKTLGELTRRAWAHDVQVMVEGPGHVPLDQIEFNVKKQMEECSEAPFYVLGPLVTDIAPGYDHITSAIGAAMAGWHGTAMLCYVTPKEHLGLPNAEDVREGLIAYKIAAHAADIARHRPGARDRDDELSRARYNFDWNKQFELSLDPERAKEYHDETLPADIYKQAEFCSMCGPKHCPMQTKITDEDLEGLEKVLETKSGAADLAGVKMEKES</t>
  </si>
  <si>
    <t>YP_001223778.1</t>
  </si>
  <si>
    <t>thiazole synthase</t>
  </si>
  <si>
    <t>MDSTPTSTDTLVIGGRQFRSRLFTGTGKYPNLALMQQSLDRSDCEMVTVAVRRVQTVAAGHAGLMEAIDWTKIWMLPNTAGCTTAEEAIRVARLGRELARLAGQEHNTFVKLEVIPDSRHLLPDPFGTLEAAEQLVKEGFTVLPYINADPLLAKRLEEVGCATVMPLGSPIGSGQGLRNASNIALIIENASVPVVVDAGIGVPSEASAALEMGADAVLVNSAIALAGNPPLMAEAMASAVRAGRQAFQAGRLPTRAQASPSSPTTGKVND</t>
  </si>
  <si>
    <t>YP_001224090.1</t>
  </si>
  <si>
    <t>MDDFPQQSALAASGSAAGERVLLVRLPCNPIFPIGPIYLADHLHKCFPGLPQRILDLAALPVLDVHRVLRITIDQFQPTLLVFSWRDIQIYAPVDGRGGNPLQNSFEVFYSRNPLKRLHGAFGGLRLMTSHYGELRRNQALVKQGLHRARRYQPQARAVLGGGAVSVFYEQLGRSLPKGTIVSIGEGEPLLEKLLNGQSLDGERCFVVGAPPRPGLIHEQPESRPKTACDYDYIASIWPQLDWYLEGGDFYVGVQTKRGCPHNCCYCVYTVVEGKQVRLNPVDEVVKEMRQLYDRGVRGFWFTDAQFIPARRYIEDAKELLRAIKAEGLTDIRWAAYIRADNLDPELAQLMVDTGMSYFEIGITSGSQELVRKMRMGYNLRTVLDSCRMLAEAGFNDHVSVNYSFNVIDERPETIRQTVAYHRELEAIFGADRVEPAIFFIGLQPHTHLEQYGFDQGLIKPGYNPMSMMPWTARKLLWNPEPMGSTFGRVCLEAFDANPSDFGRTVMDLLERDYGTSTLNEALRAPVQGRGALANAVS</t>
  </si>
  <si>
    <t>YP_001224364.1</t>
  </si>
  <si>
    <t>Cob(I)alamin adenosyltransferase</t>
  </si>
  <si>
    <t>Vit/Coenzyme (vit B12)</t>
  </si>
  <si>
    <t>MSTNDLDQSAAELGMGGKLAPESDDAGYRKRMERRQQVQKQRVEERNKEKGLILVFTGQGKGKTTAGLGLVLRTLGHGERVAIVQFIKGGWEPGEARALKAFGDQVRWHALGEGFTWETQDRERDQQLVERAWQTALEYLRDGAVKLVLLDELNVALKLGYIDAATVIQGLKERPTLTHVAVTGRGAPAELVDAADLVTEMTLIHHPFREQGVKAQAGIEF</t>
  </si>
  <si>
    <t>YP_001223981.1</t>
  </si>
  <si>
    <t>protoporphyrin IX Mg-chelatase subunit ChlD</t>
  </si>
  <si>
    <t>MGRQTFMVSGGGVASGVAKTAAMDQANRAFPLAAITGHGTLKLALMLAAVDPGLGGVIIAGGRGTGKSVLARGLHALLPPIEILDPANAPVPIGPGRNLDPQRPEEWGSSLRDTLGAEPASTVIPAPFVQVPLGITEDRLVGAVDVTASLSSGSPVFQPGLLAEAHRGVLYVDELNLLDDGIVNLLLAAVGAGENQVEREGLSLSHPCRPLLIATYNPEEGNVRDHLLDRFAIALSADQLVSTEQRVEITNAVLSHGQCSRSFAERWKEDTDALATQLLLARQWLPDVQISREQIEYLVTEAIRGGVEGHRSELYAVRVAKAHAALSGRDQVEADDLQVAVALVIAPRASQLPPPDQQMEPPPPPEQPDDQTPPPPPDPGEQNSDDTPPPPEGSADDDNDPPEDSSDDNDSEDDDSNDDEDSEQDEAPPSVPEEFMLDPEAVAIDPDLLLFNAAKSKSGNSGSRSVVLSDSRGRYVKPMLPRGPVRRIAVDATLRAAAPYQKARRARQPERTVIVEESDLRAKLLQRQAGALVIFLVDASGSMALNRMQSAKGAVIRLLTEAYENRDEVALIPFRGDQAEVLLPPTRSITAARRRLESMPCGGGSPLAHGLTQAARVGANALATGDLGQVVVVAITDGRGNVPLSTSLGQPELEGEEKPDLKQEVLDVAGRYRMLEIKLLVIDTERKFIGSGMGKDLAEAAGGKYVQLPKASDQAIAAVAMEAINSVT</t>
  </si>
  <si>
    <t>YP_001224172.1</t>
  </si>
  <si>
    <t>hypothetical protein SynWH7803_0449</t>
  </si>
  <si>
    <t>MDATRSSETSGGARRRSNRGIGIVTAADSRERSLGQLHVYDGDGKGKSQAALGVVLRTIGLGICEQRRTRVLLLRFLKGPGRAYDEDAAIEALQQGFPHLIDQVRTGRADYFNAEEATRFDQQEAQRGWDIARGAIASALYSVVVLDELNPVLDLGLLEIDDVVQALSSRPEGMEIIVTGRGAPRPLIQIADLHSEMRAHRRPSDDNQSVVPFSTPGGIEIYTGEGKGKSTSALGKALQAIGRGISQDKSHRVLILQWLKGGSGYTEDAAIAALRESYPHLVDHLRSGRDAIVWRGQQQPIDYVEAERAWEIARAAIASGLYKTVILDELNPTVDLELLPVEPIVQALLRKPAETEVIITGRCKHPPAYFDLASVHSEMVCHKHYAEQGVDLKRGVDY</t>
  </si>
  <si>
    <t>YP_001226212.1</t>
  </si>
  <si>
    <t>uroporphyrin-III c-methyltransferase</t>
  </si>
  <si>
    <t>MTASNRSGTVYLVGAGPGDPELLTVKAHRLLQTCDALVYDSLVPREVLDLVPEHCERHFVGKRRGHHSVPQPSTNAVLVELSARHACVVRLKGGDPFLFGRGGEEAAHLVKHGVQVEVVPGVTAGIAAPAYAGIPVTHRRAGSSVTFVTGHEEIDKRRPSVNWRSLASASDGLVIYMGLHNLPRIADELMAGGLSPETPVAVIQQGTVAGQRCLQAVLSTIAERARQEQFASPSIVVVGDVVKEQISACAPEPAAVTMPIPF</t>
  </si>
  <si>
    <t>YP_001225576.1</t>
  </si>
  <si>
    <t>precorrin-4 methylase</t>
  </si>
  <si>
    <t>MTTISIVGAGPGAPDLLTRRAEQRIQAADVLIWTDSLVSPQIAALASEQCERIRTSTLTLEEVIPLMIDRANQGLRVVRLHDGDPCLYSALNEQICALADADLNVEVVPGISAYQATAAAINAELTIPGVVQTIVLGRTGGRTGVPEREQLDHLARLQASLCLYLSARHVDEVQSTLLKHYPADTPVAIGYRVSWPDQSIDVVPLNAMADATRARKLIRTTLYVISPALREQKGSERSRLYSPDHDHLFRPAGGN</t>
  </si>
  <si>
    <t>YP_001223811.1</t>
  </si>
  <si>
    <t>riboflavin synthase subunit beta</t>
  </si>
  <si>
    <t>Vit/Coenzyme (Vit B2)</t>
  </si>
  <si>
    <t>MATFEGRFTDAQGLRIAVVVARFNDLVTGKLLSGCLDCLHRHGVDVTPESSQLDVAWVPGSFELPVAAQNLARSGRYQVLITLGAVIRGDTPHFDVVVAEASKGIAAVARDTGVPVIFGVLTTDTMQQALERAGIKSNLGWSYGLQALEMGSLMHALESEA</t>
  </si>
  <si>
    <t>YP_001225094.1</t>
  </si>
  <si>
    <t>pyridoxal phosphate biosynthetic protein PdxJ</t>
  </si>
  <si>
    <t>MASLGVNIDHIANVRQARRTVEPDPVPMALLAELGGADGITVHLREDRRHIQDRDVDLLRQTVRSRLNLEMAATEDMVLIALRVQPDMVTLVPERREEVTTEGGLDVSSQRVDLTSKISRLQDAGIPVSLFVDPERGQLEACRDCRARWVELHTGTYAEAKWTDQPSELARLTEATALARAMGLRVNAGHGLTYQNVEPVAAIEGMEELNIGHTIVARAVAVGLQQAVREMKALVQNPRRDPLFGSY</t>
  </si>
  <si>
    <t>YP_001224745.1</t>
  </si>
  <si>
    <t>naphthoate synthase</t>
  </si>
  <si>
    <t>Vit/Coenzyme (vit K)</t>
  </si>
  <si>
    <t>MADPTSQSVLPGDPGVVWQPWGDYSDVLLHRAQPGIARVAINRPHKRNAFRPRTVVELCDAFTRIRDDSSIGVVLFTGVGPADDGGYAFCAGGDQSVRGDGGYLDEDGLPRLNVLDLQRIIRSLPKVVIALVAGYAIGGGQVLHLLCDLSLAAENAVFGQTGPRVGSFDGGFGAGYLARVVGQRKAREIWFLCRRYGAEEALQMGLINAIVPLHKLEAEGVRWALEVLQHSPTAIRCLKASFNAETDGLAGIQELAGQATHLFYRTQEGQEGRNAFLEKRDPDFSASPWLP</t>
  </si>
  <si>
    <t>YP_001224744.1</t>
  </si>
  <si>
    <t>menaquinone biosynthesis protein MenD (2-succinyl-6-hydroxy-2,4-cyclohexadiene-1-carboxylate synthase / 2-oxoglutarate decarboxylase)</t>
  </si>
  <si>
    <t>MSLLAHLQHQGLRQIVLCPGSRSAPLALAAGGLARQGELTLVTAIDERSAAFHALGLAQASGRATAVITTSGTAVANLLPAAVEADRSCIPLLLLTADRPTRLKDCGANQTVNQEQFLAPVCRAFLSSPGEGLHHENDVQLQSLASSLWERALGSAGPVHLNLPFEEPLHPSEAEQQAFWSAWQPLPAAGGEHHPAEPRSTPWDGPVPDWSRPGVVVAGPWRGLEADRPAYQRALQELALTTGWPVLLDPLAAAPQDLPGVIRHWDLMLPAGLPTPERSLQVLRLGPLPASRRLEAWLRALGPGQWLISEGDCRSLDPLGLASQCSLGLASWWDCVSPNPLSLAPGPSSLLTAWRDLEAAVAGELARQLPQAGPVSEPALMHVLPQLLPPALPVMLAASSPVRDWQAFAAADAGQRRCFSFRGASGIDGTLSLAVGLSRELGPLVLLTGDLALLHDSNGWLLASASAPPLLVLLIDNGGGGIFGQLPIPTAPAAAFDHLFAMPQAVDPLALARAHAVPTRQLASLEDLPQALEWGLDQRRAVLLRVCTNRGADAALRQMLRREVEQALCVVQGSTKEG</t>
  </si>
  <si>
    <t>YP_001225928.1</t>
  </si>
  <si>
    <t>hypothetical protein SynWH7803_2205</t>
  </si>
  <si>
    <t>Vit/Coenzyme (Vit K)</t>
  </si>
  <si>
    <t>MAASRLTSRRRQDQGSKWVRIAMAVLATVGVIDTGSITLKRWGLLGNLTCPMGADGCDKVLNSPWGTLLQGDGFSVPLSFAGLLAYLAVLIMALVPLLPGLSENRGDLARRTWWGLFAVSLGMAVFSLVLVGLMVFKIQAFCFFCALSATLSVLLLILSVAGGGWDDPSKLFFRGFLLALAVLLGSLIWASVLDPERPDAPVTGAGAPPLVTTESTPAKVALAEHLTASGAVMYSAYWCPHCHEQKEAFGKEAAKKLTVIECAADGQNNQRALCESKKIEGFPTWEINGKLDSGVKPLKVLARLSGFKGETNF</t>
  </si>
  <si>
    <t>YP_001226204.1</t>
  </si>
  <si>
    <t>nitrate reductase</t>
  </si>
  <si>
    <t>MPPTTASVQSQCPYCGVGCGLDLLPPGEAGKAVKRDAEGNPMWSARGHREHPSSHGQVCIKGATVGETLGQGRLSQPLYRATLTDPFEAISWNSAFDLLTERIQSTLASKGADAIAMYGSGQFHTEDYYIAQKLLKGALGTNNFDANSRLCMSSAVAGYTRSLGSDGPPCCYEDLDHCSVVILIGTNTAECHPVLFQRLLKRKKRDPNGLTIVVVDPRSTDTAKIADYHLALAPGTDLALLHGLARLIIQDNGFDSDFIDTATEGFAGFTQTIKTWTPGKTSKFCGIAEKDLRAVARLWSRKERILSLWSMGVNQRREGTAVVGGLINLHLLTGEIGKAGAGPFSLTGQPNAMGGREAGGLAHLLPGYRLVTNADHRHAVEKAWGFAPGSIAAHPGLDAWKQVEAMERGELDLWWVAATNPLVSMPDLERVKAAMQRCKLVVVSEAYADTETSHYAHLLLPAAQWSEKNGAMTNSERRVTFCPAFRPRHGDSRPDWDVFAELGRRLGFVDQFSYNSSAEVYEEFTAITAARVCDMSGLSHALLQEHGPQQWPYPKGEGPTTTSKRLYEDKRFPTPSGRAKFQQDKPLGLAEPPCEMYPLVLTVGRYLGQWHTMTRTGKVPRLNAMHPEPSLEMHPNDAKRFGLDDKGLAAITSRRGTLTARVCISERIRIGSVFLPMHWGFTQAEACEANALMHDQACPISKQPELKASAVMVAPAVSVVKPSEQDTGILDNLRRLLTPALR</t>
  </si>
  <si>
    <t>YP_001223964.1</t>
  </si>
  <si>
    <t>selenophosphate synthase/FAD/NAD(P)-binding domain-containing protein</t>
  </si>
  <si>
    <t>Se</t>
  </si>
  <si>
    <t>MSSLVLAGGGHSHALLLRRWAMQPHQRPPGLITLVSRSSTALYSGMVPGLIAGLYELESVAIDLRALADQAGVALVVAEITGLDPVARRLQLKQRPDLSYEWLSLNLGAITRQAAGAESALMPIKPLEPALAYLGAQDRHTLDASAADAPFRVVGSGLAAVETVLALRQRWPHRALELQVRAGHLHPSLHEALQRAGVHQLSGEAPSSASTGLLCTGSSAPPWLACSGLPCDPASGRVLTDSTLQVTGHPQLFAAGDCAEITSDPRPASGVWAVRAASPLARNLEAAIRGQRLQPWRPQRRALQLLGGFRNGQPTAWALRGSQLIGPHPLLWRWKRRIDARFMALFRRPSAMQSNAAMACRGCAAKLPAAPLEQALRDAGLAGDQVQPEDAALLPIQTDAPDNALIQSVDGFPALVSDPWLNGRLTALHACSDLWACGARVLAAQTVVTLPQAVPAEQASLLSQTLAGIRSALDPQGTPLIGGHTLESREGMAAAPLSRSLQVSLSVTGQCAHGFWQKTTLQAGDHLLISRPLGTGVLFAAAMAGAARPTALDTALEQMATSQHPLLDALLKLTQEQPGAIHAATDITGFGLLGHLGEMLSNPSLRVTLTANAIPALPQALELLEAGHASSLAPANRNAWSLLDPTKQGEPPVALILGDTPSVSARSRALLELLVDPQTCGPLLISVAPEVSQRLENDPMQPWRRIGVVHSAKAPSP</t>
  </si>
  <si>
    <t>YP_001225578.1</t>
  </si>
  <si>
    <t>exopolyphosphatase</t>
  </si>
  <si>
    <t>Nucleotide transport and metabolism; Inorganic ion transport and metabolism</t>
  </si>
  <si>
    <t>MAGAEPFLETARDQNGRQPQQEMPANVRFGQRLRKVAAIDVGTNSTHLLVASVDVGLGTFSIELAEKSTTRLGEKDPDTGELTAEAMDRGMSSLRRFQELAISHQVEQIVIAATSAVREAPNGRDFLQTVQDQLGLDVDLVSGPEEARLIYLGVLSGMPFGDRPHLVLDIGGGSTELILADGRDARALTSTRVGAVRLQRDFVKDDPIPPHRRSFLQAFIQGSLEPAVDKVHRRIKPGETPVLVATSGTAMAIGALAATDDDRPPLKLHGYRVSKQRLDRVVERLVVMTPEQRRDLAPINDRRAEIIVPGALILQTTMQMLGVGELVLSERALREGLIVDWMLRHGLLEDRFSFQSSIRQRTVMHQAQRFAVNQVRAERVASHALSLYDNTQGCLHRDDGSGRDLLWAAALLHACGQHINLSAYHKHSWYLIRHGELLGYSESEHLMIAAIARYHRRSLPKKRHEAWQALQTRQNRRTVSEMALLLRLAAALDRRPDPVVKTLAAQFTSSSITLELVPERLNQNLSLEQWSLESCESIVREVTGLNLKVSVQE</t>
  </si>
  <si>
    <t>YP_001226137.1</t>
  </si>
  <si>
    <t>cystathionine beta-lyase family aluminum resistance protein</t>
  </si>
  <si>
    <t>MASERSGAHPSKPPLEPQEAHALARARVAAVRERLEPVARQRTAAVASRLRRVLDAFAAERVGPQHFASVSGYGHGDQGREVIDRVFARVLGAEAAAVRLQFVSGTHAIAAALFGVLRPGDRMVSATGRPYDTLEEVIGLRGEGQGSLRDFGVAYDECLLRPDGSVDEEGLDQLLDQPCQLVLIQRSCGYSWRPSLSVQSIGRLCERIHRRQPDCICFVDNCYGELVEDQEPPAVGADLVAGSLIKNLGGTIAPAGGYVAGRSDLVEQACCRLTAPGIGREGGTGFDLHRLLLQGLFLAPQMVAESLIGADLVAGVFADLGYRVQPAAGASRSDLIQAVQLGDAEALKVVCRAFQACSPVGSYLDPVPAAMPGYASDLVMAGGTFIDGSTSEFSADAPLREPFNLYVQGGTHRAHVELALIDALQALAAAGRLDLTHTG</t>
  </si>
  <si>
    <t>YP_001225968.1</t>
  </si>
  <si>
    <t>copper-transporting ATPase</t>
  </si>
  <si>
    <t>Cu</t>
  </si>
  <si>
    <t>MVLLDVEGMKCGGCVRAVERTLQDQPGVQEASVNLVTRSAWLRLDPAALDPQQALEGALEALRSRGFSAQPRQSGVLSANAEPDRAWGWWNQWRQLMVALVLLLLSVLGHLAEAGTLSLPLIGTLPFHAGLATVALFGPGRSILRSGWAAAISGVPSMDTLVSLGVGSAYIASVVALVWPAVGWPCFFNEPVMLLGFVLLGRFLEERARRRTGRALKELAALQPSSARLVMADGSVRDVPVEMLRPGERIELLAGDRIPVDGVIEEGYSAVDLSSLTGEPLPVDAGPGTELSSGCLNLEATLVMEVRRVGRETALARIISLVEQAQARRAPIQGLADRVAGRFCYGVVSLALFTFLFWWLIGSSLWPQVLEVPVVLMDHGHGHGVHQSLGAAAQTPFGLGLQLAIAVLVVACPCALGLATPTVITVSSGLAARQGWLFRGGDVIERSAEIERVVFDKTGTLTLGRPLVEAVLMSDDPSRTIQLAASLEQTSRHPLAHALLQEAQRLNLPLLPVQDSRTVPGAGMEGTLADAPDPLRVGSLEWLRSQGVEWPAHQRDAVEAAQTGGQSLVAVSLGHRPIGLVAIDDRLRPDAVTALQRLRSQGLSLGMLSGDRRQAVERVGQTLGIQTDEMAWQLLPDQKLERLECWRQSQPVAMVGDGINDAPALAAADLGIAVGTGTQIAQDTADLVLMGDRLEALPEALGLARRTMRKIRQNLIWAFGYNLIALPVAAGVLLPGFGILLSPPLAALLMALSSVSVVVNALSLRLP</t>
  </si>
  <si>
    <t>YP_001226223.1</t>
  </si>
  <si>
    <t>polyphosphate kinase</t>
  </si>
  <si>
    <t>MSDKVLAPDLYINRELSWIAFNERVLVQALDERTPLLEQAKFSAIFSNNLDEFFMVRVASLKAQVEAGIEKLSEDGRTPIEQLHAIREHLTPLLHKQQEHYRSRLKSQLQGHGAHLLDYEQLNERQRLWVDNYFQTAIFPVLTPLAVDPAHPFPFVSNLSLNVAALIHDPQSGQRQLARVKVPQKILPRFVTIPTDLAGGDCEPIHTAVPLEQVVAFNLDLLFPGMSIEGHYFFRVTRDADLELRDLEADDLMIAIEQGLRKRRMGGEVVRLEVADEMPQDVVEMLMEGMSVEEEDLYRVDGPLGLDDLFGLMGIPLPQLKDDSHSGLTPAILGRAQRSMLEDGSLKEEEFESIFSVVRRRDVLLHHPYDLFSTSVEEFINQAADDPLVMGIKMTLYRTSKDSPIIAALIRAAENGKQVMALVELKARFDEDNNIQWAKHLERSGVHVVYGVLGLKTHTKIVLVVRKEKERLRSYVHIGTGNYNSKTSRLYTDLGLLSARPELGQDLVELFNYLTGFSKQQGFRKLLVAPVSLRKGMENLIRREIEHAQQGRGGHIRAKMNSLVDPGIIALLYEASQAGVTIELIIRGMCCLYPGRKGLSESIRVVSIIGRFLEHSRIFWFGNGGNPEVYIGSADWMPRNLDRRVEAVTPVEETTLREQLERLLQVYLDDNRGAFDMQSTGDFTQRHPDGTERNSQLQLIDTWKKGVPAHNE</t>
  </si>
  <si>
    <t>YP_001225452.1</t>
  </si>
  <si>
    <t>PhoH-like hosphate starvation-inducible protein</t>
  </si>
  <si>
    <t>MSEAASDGCFVFDLPHTEAVLALTGGPAGQTLRQLEALTGASLVIRGLQLVIQGRPSQLERTAATVELLRKFWQEGESISQVDLQSALQALDTGRDREHDAMGQQVLAKNQRGALLRPRTLRQKTYVEAMERNDLTFALGPAGTGKTFLATVLAVRMLTERKVERLVLTRPAVEAGERLGFLPGDLQQKVDPYLRPLYDALHMLLGPEKTAAMLEKGVIEVAPLAYMRGRTLAESFVILDEAQNTTPAQMRMVLTRLGERSRMVVTGDITQVDLPPGQLSGLVEASEVLDGVEGVAVCRLTAADVVRHPLVQRVVEAYARRDKTHPRRDGAPARRSMGRSAPR</t>
  </si>
  <si>
    <t>YP_001224825.1</t>
  </si>
  <si>
    <t>magnesium-protoporphyrin IX monomethyl ester cyclase</t>
  </si>
  <si>
    <t>MVPPTAVNDAPAAGSAVSVKDPAKDTILTPRFYTTDFEAMAAMDLRPNEAELEAICEEFRKDYNRHHFVRNDEFEGAADKLDPETRRVFVEFLEQSCTSEFSGFLLYKELSRRIKTRNPLLAECFAHMARDEARHAGFLNKSMSDFGLQLDLGFLTANKSYTFFQPKFIFYATYLSEKIGYWRYITIFRHLEKNPDSKIFPIFNFFENWCQDENRHGDFFDALMKAQPNTVRGFRARLWCRFFLLAVFATMYVRDVARKEFYEALGLDARDYDRLVIDKTNETTARVFPVVLDVKNPKFYAGLENLVTNNAALDAVDASASSAPIKVLRKLPHWIANGAQMASLFLMAPVRSESFQPSVR</t>
  </si>
  <si>
    <t>YP_001225076.1</t>
  </si>
  <si>
    <t>hypothetical protein SynWH7803_1353</t>
  </si>
  <si>
    <t>Mg; Protoporphyrin</t>
  </si>
  <si>
    <t>MLSGRTPAQDLSIDKLLERLASGSARQRRTTAVALEKAADALASVGSEALKPYQASGDDWAAGWILQVLRRHQPDALAQIPGISAGGWFETPSARGIDYSAMQQALLDEDFEEADRLTSCVLRELAGEQAVKRGYVYFSEVPPMEGVDLCTLDRLWVAYSQGRFGFTVQARLLKALDGRYDRLWPRIGWKIDGAWTRYPGAFQWSMEAPEGHMPLVNQLRGVRLMDALLSHPGLQPRG</t>
  </si>
  <si>
    <t>YP_001226215.1</t>
  </si>
  <si>
    <t>ferredoxin-nitrite reductase</t>
  </si>
  <si>
    <t>MTISSPSRPYLDGKKLNKIEQNKAAKDGLLVGPEIEKFAEIGWEQVDETDLQLRLKWYGMFWRPKTPGQFMLRLRVPNGVLSAQQLRVVASIVERYGESGSCDITTRQNLQLRGVLLNDLPEILKRLKEAGLSSIQSGFDNPRNVTGNPLAGIDPHEIVDTRPYTTELQNFLTNNCQGNPDYSNLPRKWNTAVAGAKDNFLLHNDIVFHPVEHNGEMGFGVWIGGILSSQMNAYAIPLNAWVKPNEICRMTDAVISLWRDNGERDKRPKGRFRLYLDSVGIDAFRSDVEQIFGPLTPDPGSVFATEPRSHYGLHPQKQEGLSFAGLHVPVGRLTAQDLQDLATASLQYGSGEVRLTEDQNVIVVGLPAEAIEAFKADPLVQRFPLEPGTLAAGTVSCTGNTYCSFGLTNTKDQALTIAQELDQELNLPEEVKIHWTGCPNTCGQAFMGAIGLTGTKAKNSEGVMGEGYMLTTGGSQGENPTVGEVKQKAIPADQIKTVLKDLLVEQFGATAKT</t>
  </si>
  <si>
    <t>YP_001225632.1</t>
  </si>
  <si>
    <t>3'-phosphoadenosine 5'-phosphosulfate (PAPS) 3'-phosphatase</t>
  </si>
  <si>
    <t>MMPIAPTLPAGIDQAQLLEALRPLCWGAADILRAYARGEQPPHGFSRALSVEDGGEGPVSAADLAVNQWLLDGLRAAFPDAGWTLLSEETAKEQLTAGQPLAAEWLWILDPLDGTKDFLQGTGEYAVHLALVQGERPVLGVVLLPEADELWFGVVGQGSWCENRAAERSPVRFSDRSEDLVLVASRSHRDERLERLIDALPLGSSKAVGSVGCKVATILRGEADVYISLSGKSAPKDWDMAAPEAVLLAAGGAFTHADGRLLTYNTGDIRQAGCLIASHGKTHAALEDQAARAMAEIDPGFPV</t>
  </si>
  <si>
    <t>YP_001226025.1</t>
  </si>
  <si>
    <t>adenylylsulfate kinase</t>
  </si>
  <si>
    <t>MSSASPKATNIVWHQASVDRDARAEQRGHRSAILWFTGLSGAGKSTLANAVNQALFERGLATYVLDGDNIRHGLCRDLGFSDADREENIRRIGEVAKLFLDSGVIVLTAFVSPFRADRDKARALVGEGDFLEIFCSADLSVCEERDTKGLYAKARAGDIKEFTGISSPYEAPEHPELSVDTGAGELETCVNEVVSALESRGIIPAQA</t>
  </si>
  <si>
    <t>YP_001224077.1</t>
  </si>
  <si>
    <t>Sulfate adenylyltransferase</t>
  </si>
  <si>
    <t>MTASTTSTQPSGVIAPYGGTLVNLMVAEADRGAVKATATTSLECSDRNACDVELLCVGGFSPLRGFMHQEDYDAVVGGHRLAAGQLFGLPIVMDTDRDDIEVGSSVLLTYKGQDLAVLQVEAKWEPDKVAEAKGCYGTTSIEHPAVRMITMERKRFYLGGSLKGLELPQRVFPCKTPAEVRAGLPEGEDVVAFQCRNPIHRAHYELFTRALHAQNVSENAVVLVHPTCGPTQQDDIPGAVRFQTYERLAAEVNNDRIRWAYLPYAMHMAGPREALQHMIIRRNYGCTHFIIGRDMAGCKSSLTGDDFYGPYDAQNFAKECAPELTMETVPSLNLVYTEEEGYVTAEHAEARGLHVKKLSGTQFRKMLRGGEEIPEWFAFRSVVEVLRAS</t>
  </si>
  <si>
    <t>YP_001225758.1</t>
  </si>
  <si>
    <t>nitrogen regulatory protein P-II</t>
  </si>
  <si>
    <t>MKKVEAVIRPFKLEDVKLALVNAGIVGMTVSEVRGFGRQKGQVERYRGSEFTVEFLQKLKVEVVVDDARVDTVVTAIAEAAKTGEIGDGKIFISTVETLVRIRTGDRDGAAL</t>
  </si>
  <si>
    <t>YP_001224042.1</t>
  </si>
  <si>
    <t>global nitrogen regulator</t>
  </si>
  <si>
    <t>MPEVIRGFSRTVPQQGRIGNVSLANAPAPTSRTLLEVIRDLDGANTELIERNKTIFFPGDPAEKVYLIRRGAVRLSRVYESGEEITVALLRENSLFGVLSLLTGHRSDRFYHSVAFTRVEMVTAPATSVRQAIEADTSVGLLLLQGLSSRILQTETMIETLTHRDMSSRLVSFLLVLCRDFGIPGSQGITIDLRLSHQAIAEAIGSTRVTITRLLGDLRNSGLVEIDRKKITVLDPIALAKRFS</t>
  </si>
  <si>
    <t>YP_001224108.1</t>
  </si>
  <si>
    <t>ferredoxin-dependent glutamate synthase</t>
  </si>
  <si>
    <t>MSHPTGSLWPYSDSAAPEAVAGEKDACGVGFLAQLSGETSHWVLQQALRGLGCMEHRGGCGGDGDSGDGAGVLCQIPWTYLKAVWPEAASARGLGMMFMPQDPERRELARRFCKEEAEALGLTSAGWRVVPVDSSVLGPMARDTAPVIEQWSLAGGPDGDAFEALLLRLRRRIGARARQAWGFEGSRDLYVASLSSRTVVYKGMVRSEVLAQYYADLRDPRFEVSFAVYHRRFSTNTLPRWPLAQPMRLLGHNGEINTLLGNLNWAKASEASLADVWGEAANDLNPVVNPAFSDSANLDATLELMVRSGRSITDSLITLVPEAFRNQPDLEDRPAVTAMYEFNAGIQEPWDGPALLVFADGKRVGATLDRNGLRPARWCTTADGFVIMGSETGVVDLSGKTVVQKGRLGPGQMVAVDLENGQLLDNWTVKEDAAGRFPYGDWLQHHRRSVEAQPWTQDRQIGELDLLRLQTAMGFTAEDFDLVIEDMAGLGKEPTYCMGDDIPLAVLSDKPHLLYDYFKQRFAQVTNPPIDPLREKLVMSLEMHLGERRPALKPQAEAAAVIHLDTPVLNEAELAAISEQGLPVATLSTHVAVEACAGGLSSALQRLCESAEEAVRGGAQVLVLSDRVDGSGAAAQLTATSVAMPALLAVGAVHHHLLRQKLRLRCSLVIDTAQCWSTHHMACLIGYGASAVCPWLTWETTRHWLAHPKTQKRIEQGKLPALDADKVQANVRVSLENGLRKILSKIGISLLASYHGAQIFEAIGLGADVIDTAFSGTTSRVAGMTLAELANETLSLHAKAFPELNRSKLEFMGFVQYRTGGEYHLNSPDMAKALHAAVKTGPGYDHFSTYKTLLENRPVTALRDLLEFKLAPTPLPLDQVESAESLCKRFCTGGMSLGALSREAHEVLAVAMNRIGGKSNSGEGGEDPARFQVLHDVDAEGRSQAFPSIGGLRNGDTACSAIKQIASGRFGVTAEYLRSGKQLEIKVAQGAKPGEGGQLPGPKVDDYIAWLRNSKPGVALISPPPHHDIYSIEDLAQLIHDLHQVHPKAPVSVKLVAEIGIGTIAAGVAKANADVIQISGHDGGTGASPLSSIKHAGSPWELGLTEVHRSLLENGLRDRVLLRADGGLKTGWDVVIAALLGAEEYGFGSVAMIAEGCIMARVCHTNNCPVGVATQKEALRKRFTGVPEHVVNFFWYVAEEVRQLLSLLGVAKLEDLIGRSDLLQPRAVQLAKTQGVDLSSLLAPIQGSEERSWLRHSAEAHGNGPILEDQLLADAELMAAVESHGSLSRTIAIINTDRSVGARLAGEIAQRHGNRGFKGQLNLTFQGAAGQSFGAFLVQGMNVRLEGEANDYVGKGMNSGRISLVPSDGCANPGDQVILGNTCLYGATGGELFAHGRAGERFGVRNSGARTVVEGAGDHCCEYMTGGVVVVLGSTGRNVGAGMTGGVTFLLDEGDRVTARVNPEIVAVCSLTTSQQEETLKELLEAHVAATGSSKASALLADWAAAKGRFKVLIPPSERAAMGLVDQQAVAA</t>
  </si>
  <si>
    <t>YP_001224758.1</t>
  </si>
  <si>
    <t>nitrilase</t>
  </si>
  <si>
    <t>MAVRDFLAAAVQLTSTSDPEANFSAAEEQIDLAARRGAELIGLPENFAFIGEPEQRLAIAPALADQASQFLITMARRYQVVILGGGFPVPVGDGAHTWQRAQLVGRDGQILASYDKIHLFDVDLPDGSSYRESSSFTPGSTLPPVVDVPGLCRVGVSICYDVRFPELYRHLVGAGAELLMIPAAFTAFTGKDHWQVLLQARAIENTAYVLAPAQTGSDGGRRFSHGHSMVIDPWGTVLADAGVSQGAAVAPVDLDHLARIRSQMPCLQHRRTTVF</t>
  </si>
  <si>
    <t>YP_001226218.1</t>
  </si>
  <si>
    <t>cyanate hydratase</t>
  </si>
  <si>
    <t>MSFADLGSALGLDEVWVASLFYGQATASAEEAEKLSSLLSLDPAITAAIQEFPTKGSLEPVIPTDPLIYRFYEIMQVYGMPLKDVIQEKFGDGIMSAIDFTLEVDKVEDPKGDRVKITMCGKFLPYKKW</t>
  </si>
  <si>
    <t>YP_001225070.1</t>
  </si>
  <si>
    <t>glutamine synthetase, glutamate ammonia ligase</t>
  </si>
  <si>
    <t>MASTAQDVLRQIKDEGIELIDLKFTDLHGKWQHLTICSDLLEADSFEEGLAFDGSSIRGWKTIDASDMAMVPDPSTAWIDPFYSHKTLSMICSIQDPRTGTLYDRCPRALAQRALAYLSGSGLADKAFFGPEPEFFLFDDVRYNSSEGGSFYSVDTIEASWNSGRLEEGGNLGYKIQLKEGYFPVAPNDTAQDIRSEMLLMMAQLGIPIEKHHHEVAGAGQHELGMKFAELIKAADNTMTYKYVVRNVAKKYGKTATFMPKPVFNDNGSGMHVHQSLWKAGQPLFFGEGTDANLSQTARWYIGGILKHAPSFLAFTNPTTNSYKRLVPGFEAPVNLVYSEGNRSAAVRIPLTGPNPKAKRLEFRSGDALANPYLAFSAMMMAGIDGIKNQIDPGAPTNEDLFELSAERLSAIDTVPASLNGALEALNADHHYLMEGGVFSKDFINNWIDLKYEEVQQLRQRPHPHEFTMYYDA</t>
  </si>
  <si>
    <t>YP_001225181.1</t>
  </si>
  <si>
    <t>glutamate--ammonia ligase</t>
  </si>
  <si>
    <t>MPHPARLAALQAIQQRTPVDCAPAQPLEEIWASDVFTLARMKSALPKESYKAVRRVIRDGGRLDLAVADVVAQSMKDWAVSQGAHYYAHVFYPLTNSTAEKHDGFISPQGDGQAIHEFSGKLLVQGEPDGSSFPNGGIRSTFEARGYTAWDITSPAYLMRTPNGVTLCIPTVFVSWTGEALDKKTPLLRSNAAMNRQAKRLLHLLGNDEVAPVNSSCGAEQEYFLVDTQFATLRPDLLLAGRTLFGAASPKGQQFDDHYFGAIPERVQVFMQDVESQLYRLRIPAKTRHNEVAPGQFEIAPVHEAANVATDHQQLIMTTLRSTAKRHGFTCLLHEKPFAGINGSGKHVNWSVGNSTQGNLLDPGRTPHDNLQFLLFCAAVIRGVHCHGPLLRAVVATAGNDHRLGANEAPPAIISVYLGQQLEQVFQQIQRGEATGSSNGGVMRLGVDTLPEFPKDAGDRNRTSPFAFTGNRFEFRAVGSGQSVAGPLVAMNTVMADSLEWISDRLEAEMGTGQSLEQSAASVIRQIMNQHGAAVFGGDGYSDAWHREATDDRGLENLRNTAEALPVLRREEVRSLFQRHGVISPVEMESRYEVYGEQYTLAIEVEAKVALSMVRTQISPAVQNHLSALASSLQQQQSIGLQPETRVLHQIAELHGRMDDHATALAGELHQLHNGDTAAAMTHCADVLLPRLQQIRETVDALENLVDDDRWPLPSYREMLFVR</t>
  </si>
  <si>
    <t>YP_001224976.1</t>
  </si>
  <si>
    <t>N-acetyl-gamma-glutamyl-phosphate reductase</t>
  </si>
  <si>
    <t>MVNQRVAVVGASGYGGLQTLRLLKEHPSFQVSFLAGERSAGRSWSEICPFLPLEGDRVVEAADPERIAATSDFAVLSLPNGLASKLVPPLLERGVRVVDLSADYRYKSLDQWSSVYVQEARSSARTDHDLCREAIYGLPEWHQQDIADARLVAAPGCFPTASLLPLLPFLKQGLIESDGLIIDAKTGTSGGGRAAKEHLLLAEASESIAPYGVIGHRHTSEIEQLASNVAGCPIQLQFTPHLVPMVRGLLSTVYARLRDPGLTAEDCTTVLQTVYQAHPCVEVLPVGTYPATKWAKHTNRAMLSVQVDTRTGRLVLMSAVDNLLKGQAGQGVQCLNLMAGLKPTEGLPLTPFYP</t>
  </si>
  <si>
    <t>YP_001226183.1</t>
  </si>
  <si>
    <t>starvation-inducible DNA-binding protein</t>
  </si>
  <si>
    <t>Fe; Ferritin-like (iron regulation)</t>
  </si>
  <si>
    <t>MASTPSINIGISEAQRNEIAEGLSRLLADTYVLYGKTHGFHWNVTGPMFNTLHLMFMEQYTELWNALDVIAERIRALGVVAPHGGSTLAGLASIKEAEQKPAALDMVSELVAGHEAVARTARSVFPLVEAASDEPTADLLTQRLQIHEKTAWMLRSLLEG</t>
  </si>
  <si>
    <t>YP_001225323.1</t>
  </si>
  <si>
    <t>protoporphyrin IX Mg-chelatase subunit ChlI</t>
  </si>
  <si>
    <t>Mg</t>
  </si>
  <si>
    <t>MSSPRKRRVFPFTAVIGQEEMKLALLLNVIDPRIGGVMIMGDRGTGKSTTIRALADLLPGIEVVAGDPYNSSPSDPDLQSSDVRQRLEHGEALSTEERQVPMVDLPLGATEDRLCGTIDIEKALSEGVRAFEPGLLAKANRGLLYVDEVNLLDDHLVDVLLDSAASGWNTVEREGVSVRHPARFVLIGSGNPEEGELRPQLLDRFGMSVEVRTVRDPELRVQVVDQRTAFDTDPDGFSTAVEEGQQALQQSVVEAQQRLDQVEIDDDLRLRISAVCGELDVDGLRGDIVTNRAARALAAFEGRTEVSEDDVARVASCCLRHRLRKDPLEQIDSGDRVVKVFCKVFERSESDDRNAFELALAA</t>
  </si>
  <si>
    <t>YP_001225328.1</t>
  </si>
  <si>
    <t>hypothetical protein SynWH7803_1605</t>
  </si>
  <si>
    <t>MADQGNASTRYGSAALDQLTDRLSGTPDPRKRYEYVLWLAKKLPAMPVELQTEERKVKGCVSQVFIASDLVDGRLRWQGDSDALITKGLLALLIKGLTDLTPAEVMAVDPGVIAATGLQASLTPSRANGFLNILRTMQAQAEALTSNPGSTAA</t>
  </si>
  <si>
    <t>YP_001225042.1</t>
  </si>
  <si>
    <t>sulfite reductase subunit beta</t>
  </si>
  <si>
    <t>MESATESTTTRLPKAEQRKLDSHHLRDPLLDELANDLPFFSEDALQLLKFHGSYQQDDRDKREKGKDKTWQMMLRLRSPAGRIPAQLFLAMDDLSNRLGDGSLRATTRQAFQMHGIPKGDLKEVIGTIVENMGSTLAACGDINRNVMAPAAPYAKGAYPAARQLADEIADVLSPEAAESSYLDLWIDGDLSYRIRPSRSVKAARLRQRDAGVFSGSDDEPLYGDTYLPRKFKVAVTVPGDNSVDLLTQDIGLVAFTDAAGALLGCNVYVGGGMGRTHNKEETFARVADPLGYVAAGDVLDLVQSILALQRDHGDRQIRRHARMKYLLHDKGVSWFRTELTQNYFRGELKGLRNEPKAKLSDYLGWHRQQPGVWFVGIPLLCGRLEGSFKAGLRDIVDRYQLELRLTPNQDVLLCNIGSAQRNSVRDALSDLGMQMPEAPPPLARHAIACPALPTCGLAITESERILPKVLERLDAQLSRLEIEKSLLFRMTGCPNGCARPYMAELALVGSGVNQYQLWLGGSANLQRLAKPFLQRMPLDELESTLEPLLVSWKQAGGRRGFGDHVNRLGDERVAELLAAAHASPSTRP</t>
  </si>
  <si>
    <t>YP_001225868.1</t>
  </si>
  <si>
    <t>putative Na+/glutamate symporter</t>
  </si>
  <si>
    <t>MGLKLFDVLVAFAGLSLLLLAGMALRQRLRWLRALGIPEALVAGLLGLLVGPFGPWSVFPDAVYRVWSQTPGVLISLVFATLFLGQQLPSPKVIWNRAAGQTAFGMVLGFGQYLVGALLVLAVLQPLFGTDPLMAALIEVGFEGGHGTAAGMGPTFTELGLPSGETLGLAMATVGVLTAVLLGSTLVVIGRSRHWLSRGDSEAGSSASATPLMRTGDGDPMSADERLALETAAGTVESDQAESMTIDALTVNVALAGGAVGLGILLKAGLTQLGGLTGGEGTAKLLAAIPVFPLAMVGGLIVQILLQRSRQTRLVSPVAQASIGSLAMDLLITAAMASLNLPLLEENWLPFALLAAAGLTWNVCAFLWLAPRIFSDHWFERGIADFGQGTGVTATGLLLLRMADPFGRSRAMEAFSFKQLLFEPFLGGGLVTALSPLLIVSWGLPRFSVVALLLTLAALLLGLRLGRQRQRS</t>
  </si>
  <si>
    <t>YP_001224085.1</t>
  </si>
  <si>
    <t>ABC-type glycine betaine/L-proline transport ATP-binding protein ProV</t>
  </si>
  <si>
    <t>MTSEISIDSVWKIFGGSPDVIHQLREGADPEQLHRQLGVRAAVQDVSLDIRCGEIFVVMGLSGSGKSTLLRLLNGLIRPSAGDVLVQGRSLAALTRSELAALRRHQMAMVFQSFALFPHRSVLDNAAFGLEVAGVPRKVRQARATEALERVGLAQELRKRPAQLSGGMQQRVGLARALALDPPILLMDEAFSALDPLIRVDMQDLLLDLQAEQRRTVVFITHDLDEAIRIGDRIALMQGGRLLQCDTAETLLHQPASEEVRRFFRDVDVAAVLTVDRVAMPPSRELVLQNSDPRPERSQESLYVVDATRRFLGMVSAQRGWLEASETTTLQSGTLVKDAIQAVALCSDPVPLLDSQQRLIGVISAHQLLRSMEGLG</t>
  </si>
  <si>
    <t>YP_001225602.1</t>
  </si>
  <si>
    <t>hypothetical protein SynWH7803_1879</t>
  </si>
  <si>
    <t>spermidine and putrescine transporters</t>
  </si>
  <si>
    <t>MKAAPSSPPLLRRRTLLQIGALGLAAGLAGCAQGRSRPTLRAPADILPSLWRRQLPAPWRFEPLSGSTPFQTPWPNPTDLLALTDGWWSSLTPDQLQSVAAPALAARLGALGQRFLEDAPPEWRSKLLPVGVSPYVLVFRREGRALPPADDGWMTLLDPALKGKVLLPASPRLLISLADHMDRSDGLRRLRQAAISFDDRYGLNWLLQGDARVAVLPLQRCMQALKRDPRLTAVLPNSGSPLHWTLLARPADTAEPLPQAWVSEAWTPPLLTRLLAQGWIPPLPREELLEAGGRIATDLRDLVLPPQEVWLRAWTLYPPTAAEVLRLQQRWSTSAP</t>
  </si>
  <si>
    <t>YP_001224322.1</t>
  </si>
  <si>
    <t>ABC transporter substrate-binding protein</t>
  </si>
  <si>
    <t>MNKGIATATRRSLPGLISLLSSLLLLSCGQRSGPPHTATIRVGILHSRTGTMALSEATVAEAERLAIEEINAAGGLKLNGRAVLVKAIEEDGMSDPAEFARKAQQLLNEDKVVAIFGGWTSTSRKAMVPAMETNNRLLFYPVQYEGQECSSAVVYGGSVPNQQSEPALDWLLNNHSERLLLIGSDYVYPRTANRIIRAQAQRAQARVLNERYLALGSAAVEPLIADIQVALKAGPVAVVNTLNGDSNIAFFQALQKQGLNQRSDLKVLSLSVSEEEAVAIGRRKIAGTYASWSYFQNLQTPESTAFAQRFRQRYGYHRVVNDPAEAGYSLVHLWAQAVEAAGSTETNAVRSALMGRRVLAPQGSLHMMPSLHFKKRSLLARADSEGRFQVIKDFGMIEPQPWNPELPESAGLTCDHRGAAPLKE</t>
  </si>
  <si>
    <t>YP_001224087.1</t>
  </si>
  <si>
    <t>ABC-type proline/glycine betaine transport systems, periplasmic components</t>
  </si>
  <si>
    <t>MSDYNRIRRRAVLLGGLGLAGASMASLVNLSQPPTPKSQGTNSETDRSPQPTSASIGSPLRLGWSPWADAEVISLIAQKVIQQAYNIEVERVLADIGIQYASLARGDLDMMLMAWLPLTHRDYWRRVRERVIDFGSMYAGRLGWVVPDYVSKAELSSIQQLQNPALAARFNNRVQGIDPGSGLNQASAEALKSYQLNDLNLVASSSAAMTAVLDQAIRREQWVIVTSWMPHWMFARYKLRFLDDPKRVFGGIEWIHALGRPSLDVEAPDVAAFLTRFHLPDQEMSDLLLKANERSAERAVDDYLETHPARVRYWTTGQIASG</t>
  </si>
  <si>
    <t>YP_001226020.1</t>
  </si>
  <si>
    <t>branched-chain amino acid ABC transporter periplasmic protein</t>
  </si>
  <si>
    <t>MNEQPKPYIFAQSLPLTGPAAHLGKSYSRGIDAALREINQAGGINGRPVKIWRLDDGYEPNLTITNTALFTKQPEVLGLFGYVGTPTTKAILNAASKAKLPIIAPMTGASALRQPQQGNLVHYRSSYAQEANRIVNHLINDGYVRIAIAYQNDAYGKDVLASLRSALRRHGLKPASTVPLPRNSTRVSAAALSLDRSNPDALVVISTSQTMSAVVSNLHRMGSHPQLMTISFIGTKALFDDLPQSASYGIGVTQVVPFPWDRRQPDVKRYQKTLQAQSDQPDFDFVSLEGFLAAEWLINALKNLGPQPTRSALMKELKRTSPVQNRRGSQNVDLVFLGSGPWQP</t>
  </si>
  <si>
    <t>YP_001224416.1</t>
  </si>
  <si>
    <t>ABC transporter, ATPase component</t>
  </si>
  <si>
    <t>Fe3+/spermidine/putrescine transport systems</t>
  </si>
  <si>
    <t>MVELHNEMASSRFMPMGALPVQIDGLWHRYNESVDDWTLQGIDLKLHNGELVGLLGPSGCGKTTLLRLIAGFETPTRGAVRLHGREVATPGRSLAPERRGVGMVFQDYALFPHLNAWENTCFGLRRGQDTSRASWLLELLGLERLQQRYPHELSGGQRQRLALARALAPAPSVVLLDEPFSNLDVEVRLRLRSELPAVLSACGASGVLVTHDPEEALAICHRVAVLRDGALHQCASPRDLVESPATPFVGRFVLQSNVLPVWAETSAGCLRCPLGDLDDPEGFREGELPSDATVLVAPEAIGLHPDPSGEDCVMGREFLGHGWLYRVQSGERQLRLLRPLSDDYERGLRCRLQLQEGVTVLLHPQRKVLRSLSNRL</t>
  </si>
  <si>
    <t>YP_001225137.1</t>
  </si>
  <si>
    <t>ABC transporter for amino acids, ATP binding component</t>
  </si>
  <si>
    <t>MTVAVRAESVTKSFAAGTRALDDVSLSVRHGEVLVVMGPSGSGKSTLIRTFNGLESIDSGSLDVVGIPLDCDHDERQIRRIRRRVGMVFQQFNLFPHLTILQNITLAPIQVKSVPKPMAERRAHALLDQMGIADQALKYPAQLSGGQQQRVAIARALALDPELMLFDEPTSALDPERVKEVLDAMRQLADDGMTMVVVTHELGFAREVADRVLFMDGGRVVELTDAETFFTHAKEERSQRFLNQMAH</t>
  </si>
  <si>
    <t>YP_001225332.1</t>
  </si>
  <si>
    <t>peptide ABC transporter permease</t>
  </si>
  <si>
    <t>Amino acid transport and metabolism; Inorganic ion transport and metabolism</t>
  </si>
  <si>
    <t>MSRGRELLRYASTRLALAPVMLWLISTLVFLLLRVAPGDPVDAVLGSRAPEDVKAELRAQLGLDQSLGKQYLDFLRDLLHGDLGRSLIDENPVTAIIGRALPASLELSVTALLVAAVVGLAVGFTAIARSEGRLDLAGRFYGIGTYALPPFWVAMLAQLLFAVVLGWLPVGGRFPPGMVPPEGSGFLIADSLFSADWRALQGSLRHLVLPACTLGLLLSGVFTNALRLNLNRSLRSDYVEAARSRGLTETQVVLRHALPNALLPVLTIAGITVASLIGGALLIEVTFSWPGIALRLQESINQRDYPVVQGIVVVVASLVVLVSVAVDLLVALLDPRVRY</t>
  </si>
  <si>
    <t>YP_001225508.1</t>
  </si>
  <si>
    <t>ABC-type dipeptide/oligopeptide/nickel transport system, permease component</t>
  </si>
  <si>
    <t>MSFASSPLGTARPSLSGRMARWGLVIVAIYVLVALVTPLLLAAGVLPDPNAGLDNPIYAPPSWQHWCGTDRLGRDVCVRTLQGSGVALQVVLLAVALALVIGVPLGMVSGYLGGAVDRILVLLMDTLYTLPVLLLSVVLAFLLGRGIPNAAAALCVVYVPQYFRVVRNQTAQVKAELFVEAARTLGAGPLWILRRYLLRNVITSVPVLLTLNAADAVLVLGGLGFLGLGLPETVPEWGSDLNLALAAVPTGIWWTALYPGLAMFILVLGLSFLGEGLEAWVSSTGRDAAH</t>
  </si>
  <si>
    <t>YP_001224896.1</t>
  </si>
  <si>
    <t>hypothetical protein SynWH7803_1173</t>
  </si>
  <si>
    <t>Na+/glutamate symporter</t>
  </si>
  <si>
    <t>MVRVNVAFLLAGLTALVWPGPSLAQALRVGVSGSPPFLMKDGVALEGISVQIWDETADRLNRTYELIQFPTTEANIDAVVNGKVDLAIGPISITPDRLANPKIDFTQPYFHGTEDLLLPLRAPGLFARLRPFFGWAALSSAGGLMLLLFVVGNLIWLAERRRNAAQFPRHYLKGVGNGMWFALVTLTTVGYGDRAPLSKTGRTIAGVWMVMSLLALSSITAGLASAFTVSLTRLDPTGIRESSDLRGKSVAVVDGTTSETWAKIYGARAKTAPTLNAAIALLGKGAVEGVIFDGSPLRYYLQNNPEAPFKIAPFSLANQTYGFVLPIDSPLRTPIDVVLLDLQRKGEVKTITDALLQ</t>
  </si>
  <si>
    <t>YP_001225141.1</t>
  </si>
  <si>
    <t>ABC transporter, substrate binding protein for amino acids</t>
  </si>
  <si>
    <t>MLVGLQACATLGEGGASRLDLVRQRGELRCGVSGKIPGFSFLDREGRYAGLDVDMCKAFAAAFVGDANKVEYRPLTAPERFTALRTGEIDLLSRNTTFNLSRDASGGNGVAFAPVVFHDGQGLLVRRDSGIKRLEDLRNQTICVGSGTTTEQNLNDVFQAKGIPYKPVKYQDLNQLVAGYLQKRCAAMTSDRSQLASARSGFEQPGNHQILPEVLSKEPLAPLSSGGDQRLADAMRWVVYALVTAEEMGITQNNVDAKLQEAINDPSKTALRRFLGVEGELGSKLGLPNDFVVSVLKATGNYGEIYNRHLGPQSAVPIPRGLNQLHRDGGVLIAPPFQ</t>
  </si>
  <si>
    <t>YP_001224954.1</t>
  </si>
  <si>
    <t>ABC-type sugar transport system, ATPase component</t>
  </si>
  <si>
    <t>MTLELQSVGRQINAKWIVHDLSFSVKQDECLVLVGPSGCGKSSTLRLIAGLDRCQQGTIKFGNRDVTHLPPSERAVGMVFQSYALLPHLTVYENLELGLRIRGVRIEERSRRIQHILDLVQLADRANHRPSALSGGQRQRVALARALLRNAMVYLLDEPMSNLDAQLREQIRPELRRLILDQGKPTVYVTHDQNEALAMANKIAIINNGEIVQLDTPIHLYNNPNSLFVAQFLGRPQINCLKPRDHQIQAIRPEDLKFSESGLPCRLVSREWLGNTQLLYLESAEGGLRMVAEPSFQCPERLFVTWQQSKVFRFDAKTGLRTS</t>
  </si>
  <si>
    <t>YP_001225819.1</t>
  </si>
  <si>
    <t>MAGVCFEALSKSYPPRGGSDPVEVIRELSLSIEDGEFLVLVGPSGCGKSTLLRLMAGLETPTSGEILIGDQPVSRLRPAQRNVAMVFQSYALYPHLSVRDNLGFGLRRSRRRSVLQQIEDQLHRTTRRFPPRLSWTSPREARLEIRVNEVAEALELDQLLDRLPKELSGGQKQRVALGRAMARQPDVFLMDEPLSNLDAKLRGSTRTRIVDLQRQLGTTTLYVTHDQVEAMTMGHRIAVLNQGRLQQLGTPMELYRWPSNLFVAQFIGSPPMNVLPVTVASAGTLLLGERRLPVEGALADALPALEGQQLNGGIRPEQLRIAPATNRNLPADVSHSEVLGNEQLITCRLLDGGHLIQVRADPDLDARPGSRVHLEAEPSAWRLFDRLGEAIARPQPSRSNDNEPLLPNLN</t>
  </si>
  <si>
    <t>YP_001226157.1</t>
  </si>
  <si>
    <t>ABC transport system, substrate binding protein component</t>
  </si>
  <si>
    <t>glycerol-3-phosphate/sugar transport system</t>
  </si>
  <si>
    <t>MKRSLTLFAALGLLSACSGSDESRSTLLRVVRTLPANEVVTGEESARDRKLLRDFQTNLRAVIPGLRIQPSLYSATSVQAELQRQTNSGLGPDLVISDAQTIQALFAARLLDPVALTPEQRQAIPAELLTRVSTSNGTITGLPVSQYIQLACYDKRKLKSAPKTLRELAQQSSEGNIFGLTQNFENLYWSVGSYGAGKALISSLRGETPTTQDVNQLVQWLTWLRAASFQQNVLFMNDQATLRQQLIKGNLHWISCWSTQLPQLREALKDNLGVGLLPAGPAGKATPVSRLQVWGLGRNSSHQQRLKSEELMQFIVLPWAQKTWALRYRTSYPVNPAAAQIINREIPGTQDLYLSTDQEDVRIGDEIQAALNQDPKLEQAMQSTLNHVIFGTETPSQAAATLNTKLGPSS</t>
  </si>
  <si>
    <t>YP_001223898.1</t>
  </si>
  <si>
    <t>ABC-type sugar transport system, periplasmic component</t>
  </si>
  <si>
    <t>MTFKQRRRTRRWLVGLALAGVATLGWGCGRPAPPEGTLQLWTLALAPKFNTYMNSVIKAWEGDHPDVPVRWTDVLWGQVERKLLASVFARTAPDVVNLNPLFAASLASKGGLADLTPLLPDGAAERYLPSVWTAARDPEAGQIAIPWYLTVRLSLVNRDLLREAGLEQAPERWEDVPAYARAIRERTGRYGLFVTVVPDDSAELLESMVQMGVTLLDDRQRAAFNTPAGRKAFAFWTDLYREGLLPREVVSQGQGRAIELYQSGELALLATGAKSLGNIQTNAPGVAAVTLLQPPLTGADGTANVALMTLAVPRQSDHAQEAVELALFLTNGSNQARFAREGLVLPSSRQALAQIRAELEAEQPSSADAVQTRDALLMSAKILNRARVLVPSTPGVKRLQSIVYTQLQRAMLGQISSDQALLEAEQQWNRYASSRWP</t>
  </si>
  <si>
    <t>YP_001223859.1</t>
  </si>
  <si>
    <t>ABC-type polysaccharide/polyol phosphate transport system, ATPase component</t>
  </si>
  <si>
    <t>polysaccharide/polyol phosphate transport system</t>
  </si>
  <si>
    <t>Carbohydrate transport and metabolism; Cell wall/membrane/envelope biogenesis</t>
  </si>
  <si>
    <t>MALHLENVRLDIPVATTETRSLKATLLRSVTGGRLNRSRGGAVITALDNVSCTVHEGERVALIGHNGAGKSTFLRLISGVYQHSAGVFQAHVPVHPMIHKSFITSPELSGHQAIKAHYLMMHGNLRGFEAFCSDVVAFSGLGDFVHLPVKTYSQGMAARLIFAVLTGSRHECLAMDEGFGAGDSSFYEKAKDRLEAFLASAGTLLLASHSDDLLKRFCRRGLVFSEGSIVFDGPLEQALSHYHASQG</t>
  </si>
  <si>
    <t>YP_001223996.1</t>
  </si>
  <si>
    <t>choline-glycine betaine transporter</t>
  </si>
  <si>
    <t>MSDPTNLGDGPVSAGPWWRRPPLWIGAGPLLAFLVLAAVDLTLAQQFTSSGKAIVSGSLGGLWQWMVLLLFVIAVVMAISPVGRLRLGGVDAKPSLKFFDWCAVLICTLLAGGGVFWSAAEPLFHFRTPAPYFSAVKGSTAAAVDPSLAVSFLHWGFLAWALVATTVTITLSIQEQRGEPLRPRTLLVGLLPHRWVEGPLGDLADGLSVVAAIAGTVGPLGFLSLQLSNAAGMLPGLSDSAGLQSLVVVLLTAVFATSTVSGIQRGIKWLSEVNVWLTLGLAAALLLLGPGVWLIQHFASSFTLYVSNLVPMALAPNRGPDNWVNAWTVFYWGWFLGYAPLMGLFTAGVSRGRTLRELVLAVAILCPIVTNLWFTLLGGTGMQLELSNPGAISGPLAASGEAGALLAILGQLPLPWLLIPVGLILVVLFMATSADSMSYAAAMVVSAQRKPPALLRLFWALMIGSLTLVLLRIGTSLGDSTSINALQAFIVISAVPVTPLVLITLWTAPRLAWKEWQQRQQAPGSS</t>
  </si>
  <si>
    <t>YP_001225244.1</t>
  </si>
  <si>
    <t>Outer membrane efflux protein</t>
  </si>
  <si>
    <t>TolC</t>
  </si>
  <si>
    <t>MVYQRQDSSLIRIAIRGTLLIPLIGGVLPAVVRSAPLPAGAAAAPLNLGGSTRQLERSWERLNQQLDSLDTLLGPAPALESSDDLLTPELPANLMDANRPAEGPLREETSRPDSPLALPERASKATPVQSVTLEQAVAIAFRNNPSLQVQRDQIEAQAARVASLAGTYWPTISVFADAEGFQSGSTTYSPYANNAFGFGPLFAKQGQSPNLALTNNGTTVKGEQAGPFFVPAGGGLYAVSNGVDSQAGLELNYAVIDFARTPRVRAAQARLDQVQQQYANQLRTLQLEVSEAYYQLQLNEQLVRIRDAVVRTDLIVLEDTLNLKQAGLVPRVDLLRRSATLSTDQEDLIQALADRAVSRRALWSVLNLPADVIPSAADPINLSPAWPLNLEQTLLAAYDNNPELDAILATRRALALRQDETAAQLLPQLSLFASVGGLASVERIFNFSLIGNGCCGATFLPLEQVAGYDWSVGLAFNWMIFNAGVTSNAVKALSIQEQAATQAYAATRNAIRLRLERAFLNHEASLAKLLSARRAVGASKEAFRDSTLRYKTGLANEVDLSVTQTQLVNALVNRLIATVDVNVTYAQLLRELLPMPRNPQQAVPTTLTLEASSFRSAPRP</t>
  </si>
  <si>
    <t>YP_001224833.1</t>
  </si>
  <si>
    <t>chloride channel protein</t>
  </si>
  <si>
    <t>Cl</t>
  </si>
  <si>
    <t>MSPDRRQESALIPGTLPSQRQLGDIARHFISLVIVGVLIGVACLPLNLVDRIQERLYVLLPTNAASPWTLPGVLVALAPLVVMPVLLLLQRGPWHEGAGSGIPSTMNGLKDPSLLPRAMAAPGTVQRGLLWSIATVAMFPLGREGPVVQFGAAVARACHRRFKGWLPSLTERQMVAIGGGAGLAGGFNTPLLGAVFMLEELTADYAIVTIWPALVISVAAAGLSNIGGQPMFGLGVLNIVTPEWEQLMMAIPVGLVAGVVGGLFNKGLVWLTQRLSTSVRQRPLRTGLYLGGGLSLLALMSWGTSTSDGESLVRQLIEQGMPNPVENESQWLTGFTSLWITVVRVIAPMLALSPGVPGGLIDPSLTFGAVLGYTVCAIAGYSGQLGIGLGLAAGLSGATQLPLVSIIFAWRLAGDQQLFAGVVLAAVLASYTGRLVCRDPVYHGLSKLKRQSAPRR</t>
  </si>
  <si>
    <t>YP_001226203.1</t>
  </si>
  <si>
    <t>MFS family nitrate/nitrite transporter</t>
  </si>
  <si>
    <t>MLGELWSFQGRYRTLHLTWFAFFLTFVVWFNLAPLATTVKADLGLTVGQIRTVAICNVALTIPARVLIGMLLDKFGPRLTYSTLLVFSVIPCLMFASAQDFNQLVVARLLLSIVGAGFVIGIRMVAEWFPPKEIGLAEGIYGGWGNFGSAFSALTLVGLAGWLSFSGGFTLPTGDVLNWRGAIALTGIISAVYGVIYYFNVSDTPPGKVYQRPERTAGLEVTSMRDFWGLLGMNVPFAAILCVLCWRLQKVGFLNASTYPLALLAVLVWFVFQTWGIIRTNRDLIMGTKVYPKEDRYEFKQVAILELTYIVNFGSELAVVSMLPTFFETTFDLPKATAGILASCFAFVNLVARPAGGLISDKLGSRKNTMGFLTAGLGVGYLIMSLIKPGTFTGTTGIVIAVLITMLASFFVQSGEGATFALVPLVKRRVTGQVAGLVGAYGNVGAVTYLTIFSLLPLWMGGAGEPTAETIAASNSAFFQILGIAGLIVAFFCFFFLKEPKGSFAELHEGETAAEGTPSMAR</t>
  </si>
  <si>
    <t>YP_001225194.1</t>
  </si>
  <si>
    <t>ABC-type phosphate/phosphonate transport system periplasmic component</t>
  </si>
  <si>
    <t>MPSRERGAVALLALLLCQGVSVLPSIAKPALRVGAIPDQNPERLNRLYGQLADELSDRLKVTVRYVPVSNYPAAVSAFRTGGLDLVWFGGLTGVQARLQTSGAKVLAQRDIDARFRSVFIANTSADLQPIQSINGLTSLRGKRFTFGSESSTSGRLMPQHFLAKAGVSPSQFSGGRAGFSGSHDATIALVQSGAYQAGALNEQVWTSALKQGRVNTDKVRVIWRTPEYVDYHWVARPDLDQRFGSGFTTRLQKAILAIQPSTPRQATILELFAAKRFIPAEASQYKPIETVGRQLGKIR</t>
  </si>
  <si>
    <t>YP_001226156.1</t>
  </si>
  <si>
    <t>ABC-type anion transport system for nitrate/sulfonate/bicarbonate, ATPase component</t>
  </si>
  <si>
    <t>N/S/C</t>
  </si>
  <si>
    <t>MTTLLSLQNVYKTFPAADRSGSITVLDNIDLSIARGEVVALLGRSGSGKSTLLRLMAGLTAPSRGQVLHHDTPLRGVNPDVAIVFQSFALLPWLTVLANTGVGLEARGLKPEEIRDRCLEALKRVGLEGFAEAYPRELSGGMRQRVGFARAFVLNPELLVLDEPFSALDVLTAENLRQDIDQLWATGHFPAQSMVVVTHSIEEAVMLSDRIVLLGANPGTIRGVINNPLPRPRERDGKSFSDLVEEVYGYMTHPDEVIASEGDRQKPAPPIKEQITALPACRLPSLSDLVTLLPKHRSRKLAELASDLGLSDDSLLPLAEAGVILGLLDTKGSQVELTGLGRQLRKADSNGERQLLAKQLRERIPLVQTVERLLTRNRRSGVSGAIILDLMDEHLTTPQVDQTFRTLVSWLRFTGIAHYSDDTQRFQRPDDTSEQA</t>
  </si>
  <si>
    <t>YP_001224747.1</t>
  </si>
  <si>
    <t>phosphate ABC transporter periplasmic substrate-binding protein</t>
  </si>
  <si>
    <t>MNCTGLSMIRAIGLGLSIALLGSCSNSKKSSGPFTPAAQVNPSLDQRVIERAYRAGEANDFFAISGSQLNQDLILMGFERFMALQRGVLLTRQLRDNFTALGYFQQTTKAGLAELCNQDREFLALAAATSSLADRPKGYPVETIGCENGDTVVAVPLGFDAKIFAVSPLNTFANSIDLKVLAEASRKANGNLRWSDLNPEWPARLVRWAFPVHMPFTTHMQRLGVQLPDNLLLASNYTKIFEAANKDPDILIYSFFSPTLNARLQGSNFRILPVQNRLLGAPVMPSVKTIKKTYPEALETEIMLFVNTSRSKSCIALSFADFLLTFNELILYEQNMAPLLPETRRKTLKRLRQIEVSDDFQSIPFCQFAAQAQSSGKRSVGE</t>
  </si>
  <si>
    <t>YP_001224020.1</t>
  </si>
  <si>
    <t>ammonium transporter</t>
  </si>
  <si>
    <t>MTTALHSPSRRSKSRLQEVSLLNGPMLLLKSIRGLRSHRALAWLACAPIALLGLGVFNLSARAGVGLGNLDGAQAAKFLADNLWLLVAAALVIFMNAGFAMVEAGMCRQKNAVNILAKNLFVFGLAVTAYWVVGYSLMYGSSVVDGWLSFQGFFFDWNAADALTCAAGQGEEGCSQLVPSVDFLFQAAFAGTAATIVSGLVAERVKFGEFVIFSLVLTAVIYPIAGSWEWNGGWLNNVGNKEFIDFAGSSIVHSVGAWAGLIGAVLLGPRIGKYVNGRTQAIPGHNMAIATLGALILWIGWYGFNPGSQLGMDEWVPYIAVTTTLAAAGGAIGATIISTLTSGKPDLTMIINGILAGLVSITAGCANLTWVGAWVAGLIGGIIVVFAVSALDKAGIDDPVGAFSVHGVCGIWGTLVIGLWGFDIQGEGTALGLFNGGGIEQLGIQALGTAAYAIWTVVTCLITWSIIGTVFGGIRVSEEEETMGLDIGEHGMEAYPDFASSGN</t>
  </si>
  <si>
    <t>YP_001223875.1</t>
  </si>
  <si>
    <t>Mg/Co/Ni transporter MgtE</t>
  </si>
  <si>
    <t>MDQAPVLAEVVTRQLESMLSVGNYDGVKMLLAPVQPVDVAEAIGNLPRTLQALAFRLLRKDEAIEVYEYLDPAVQQSLLERLRSGEVLELVEEMSPDDRVRLFDELPAKVVRRLLAELSPAERKVTAQLLGYAPETAGRLMTTEYIDLKDFHSAAQALTIVRRRARQTETIYSLYVTDGERHLTGILSLRDLVTADPEDRLGDVMTREVVSVGTDTDQEDVARAIQRYDFLAVPVVDRERRLVGIVTVDDVIDVIEQEATRDLYAAGAVEAGDEDDYFQSNLFTVARRRVVWLSVLVVASFFTSEVIALNEQVLKEVVLLAAFIPLLAGTGGNVGAQSSTVVIRGLSTQSIASLGRIKAVVREATAGLLLGLLMMVLVVPFAWWRGESPLVGLSVGTSLLAITTLAATAGAGFPLLFDRMGLDPALMSTPFITTCTDVVGTLIYLKTAQWLLAHMPQLLQSTGISAHFWLAAFS</t>
  </si>
  <si>
    <t>YP_001225825.1</t>
  </si>
  <si>
    <t>MFS superfamily sulfate permease</t>
  </si>
  <si>
    <t>MNQRRHAVIHGFSWSHWRGDLSGGLTAAVVALPLALAFGNAALGPGGAIYGLYGAIVTGFLAALLGGTPAQVSGPTGPMSVTVAGVVGSLAAVGVSRELSSGELLPLVMAAVVIGGLFQILMGALRLGRYITLVPYSVVSGFMTGIGVIILCLQIGPLLGINSRGGVLQSLQMVLTEFSPQPAALLVGATTLLVVFGCPRRLSQVIPSPLMALVLITPLSLWLFPDQLPRIGSIPEGGLSFTLPNWQEHLPVVLRAGLVLALLGAIDSLLTSLVADNISHTRHRSDRELVGQGVANSVAGLFGGLPGAGATMRTVINIQSGGRTPLSGMTHSIVLLVLLLGAGPLAEGIPTALLAGILIKVGVDIIDWGFLRRAHRLSFKTALVMWGVLLMTVFWDLIGAVLVGMFVANLLTIESLTAHQLGTMNQHQEPLNAEEQTLLKRCGDDLMLFRLQGPLSFGAAKGISERMMLVRQYRILLLDITDVPHLGVTASLAIERMVQEAAQHDRQVLVAGAAGKVKRRLELFGIPALVDTRLEALRVAEQRLNS</t>
  </si>
  <si>
    <t>YP_001223933.1</t>
  </si>
  <si>
    <t>Na+/H+ antiporter</t>
  </si>
  <si>
    <t>Cation export</t>
  </si>
  <si>
    <t>MLAAAMPPLLMPLLGEISAHDLEMAETLIGVARFALIFVAARVLAEVLVRLQLPTILGELLAGVLIGASGLHLLVPPETQVELSNGVISLVSGLVNVPPDAVPEIYNESFPSLEAVAELGLYALLFLTGLESELEELIAVGAQAFTVAVAGVVLPFAFGTWGLMAIFHVDAIPAIFAGASMTATSIGITASVFGELGFLKTREGQIVIGAAVLDDILGIVILAVVVALASGGNLEIGPIVKLVAAAAVFVVAAIGLSRTAAPAFDWMIDKLKAPGEVLVASFVILALSCFTATAIGLEAALGAFAAGLILSSSKHNHAIQQAVLPIVTLFATIFFVLVGAGMDLSVINPSDPSSRTALVVAGFLFVVAVIGKIAAGWAFLSKQPTRRLVVGLGMMPRGEVGLIFLGLGTSAKLLSPSLEAAILLMVIGTTFLAPVLLRLVLGGNKPDDDDSVSDDVAAEPVGLL</t>
  </si>
  <si>
    <t>YP_001225212.1</t>
  </si>
  <si>
    <t>Co</t>
  </si>
  <si>
    <t>MQRVQNMLELTDLHYKPATSERAILQGASLRAQEGSPLLISGESGSGKTSLLEVISGMAGAQSGSITWKGASLNQRQRRWLCGVVFQFPERHFLGLSVSQELKLGHRRLSGSEQIEVLSQVGLHGVDNRQAPERLSGGQQRRLALAVQLLRKPEVLLLDEPTAGLDWSVRGEVLDLLYNLSRQRVLIVVTHEPELFLNWNCEHRQLRDGQLRPLSP</t>
  </si>
  <si>
    <t>YP_001225240.1</t>
  </si>
  <si>
    <t>MMEHPLGIFALLVAIAVLVPPLTRRLRLPDLVGLLAAGVLVGPHCLQWLDAQGETITLLSDIGAIYLLFTVGLEIDLEEFNRVKNRSVGFGLLVFGFGVATGVGIGRLFGFPLVPSLLLGALMATHTPLGYPIVRSYGAQRDESVIVSVGSTILTDIAALLLLAVALGLGGGNLTATGITGLFASIAIFSVGVVWAIRWLGRRLWMRSITDENRVFLTVLLALFIASLGAELAGVEKIVGAFLAGLAVNSVLPEGRVKEQVIFVGGALFIPIFFIHLGLLLNLGDLAASVNTLDFTVLMLVGALGCKALAALCAGRWFGYNNNQILLMWSLAMPKVAATLATAFVGFQAGLLNATVLNSVLAVMVVTATLGPTLTTRSVVALMEPDEDSSQPGLASTTAPASATSPTRAVVRRPLNIVVPIANPATEGRLLTIAARLLKGDDDQRGQLLPLALVSPNLEDARGGLNRALAAARERLKEASAIGNSLSVTTRCLLRLDEDIPGGMSRSALEQSADLLLIGAGRPDRLRNWLFGDLVDGVCRTAHCPVVVVNLNKESNTGFRRILVPIKDLSSNAREQFELALRLQDSASETSDTHITLLHIHDPRFNRHDRSWMRDELLSWSSRGDAKALDLRIELCEGPGVDRIIHRKSRDHDLVILRSQRRRVAGLPIPASDRTSNLVNQLACGSLVISDPLL</t>
  </si>
  <si>
    <t>YP_001225902.1</t>
  </si>
  <si>
    <t>K+ transport system, NAD-binding component</t>
  </si>
  <si>
    <t>MRDWWNWSQSTESDPQSFGIVGVGRFGSAVCRQLMQNGAEVLAVDRSSKAIEELRQLEPSIEARVVDCTDEESLREAGILDMDTVVVAISEPIEASITATLIAKDSPGTRVRQVIARATSDLHEKMLKRVGADRVVFPSRMQGERLGIELVRPNLMERLELDEHHSIEEIKVPERFVGRSLRDLNLRKNHRVNVLAAGPAGELLVNPPASHVLLDGHVLVVMGLTEDLQNLPRT</t>
  </si>
  <si>
    <t>YP_001224951.1</t>
  </si>
  <si>
    <t>ABC transporter, substrate binding protein, phosphate</t>
  </si>
  <si>
    <t>MGLSRSFFLASLALIAPFISTASAASLSIAGSSTVYPVTSLAIKKFNETGQGQNVKISLRSTGSSAGFREFCSNKIPLTNASRPISAQEIKQCKQNGVNFIELPIAFDAITVVANQSNNWLNTLTPSELSRLWSKSSQGKVSTWNQVNLDFPEQPIKLCGPGKDSGTFDIFNKAINQSKTNSRTDYKSSEDDNVIVNCVAKNVNALGYFGFSYYQNNRSLLKAIRIVNPKGNAILPSVTAVQKEIYQPLSRPLFLYINDLSLRKKTPLRNFITFYLRNVEQLVKQSNYIPLQSATYRLVDSKLYRHILGSSFGGNIPVGMTIGQILQMSFDVHKKPQFR</t>
  </si>
  <si>
    <t>YP_001224966.1</t>
  </si>
  <si>
    <t>ABC-type phosphate transport system ATPase component</t>
  </si>
  <si>
    <t>MPDSTLTPQPVSENTCISIQNATISYGSYEAVKNVYCDIPRGKVTAFIGPSGCGKSTVLRALNRMNDLIEGCSLRGRVLFDGADLYDPSVDPVEVRRRIGMVFQQPNPFPKSIYENIAFGARINGFTGDMDELVERSLRQAAVWDECKDKLNESGYSLSGGQQQRLCIARTIAIQPEVILMDEPCSALDPISTLKIEETMHELKKSFTIVIVTHNMQQAVRVSDMTAFYNAEAVEGGSGKVGYLVEFNETEKIFNAPTQQATQDYVSGRFG</t>
  </si>
  <si>
    <t>YP_001226236.1</t>
  </si>
  <si>
    <t>MRRSFQARALTAIAGLTAGVSLAACSSGGGGGDQLKGSLSGAGASFPAAIYTRWFQELAPQGIQVNYQSVGSGAGVRQFQAGTVDFGASDAPMKADDIAKVTRGVLQIPMTAGAIAVAYNLPGCDLKLTQQQLADIFLGKIKNYSDVGCDDKAITVVRRSDGSGTTYNFTKHLSAISDAWKDGPGTGKSVAWPTGVGAKGNEGVAAQLNQIDGGLGYVEVAYVKGKLQAAALANASGEQVKPTNESESTALASIDLGPDLIGGNPNPPKGYPIVTFTWILAYKEGNADKTELLKKTFEFMLSEKSQSQAPDLGYVSLPAEVVEKSKAAVAQISE</t>
  </si>
  <si>
    <t>YP_001225655.1</t>
  </si>
  <si>
    <t>ABC-type transport system, permease component</t>
  </si>
  <si>
    <t>MTSSPFRLRLKSPRWLNRLGSSLIIGGQAVTATARGRINTVDLLDQLQEAGPGSFLIVIITSLAAGTVFNIQVTKELSSMGADATVGGVLAVGLAREIAPLLTATLLTGKVATAYAAQLGTMKVTEQIDAITMLRTDPVEYLVVPRLIAMVVMAPVQCLLFFGVAIWSAQISSTELYAIPPEVFWMSVRSWLLPDDIPFMLIKALVFGLQIAVLSCGWGMTTQGGPKEVGTSTTGAVVMILVTVALMDTVLTQILFG</t>
  </si>
  <si>
    <t>YP_001225858.1</t>
  </si>
  <si>
    <t>ABC-type uncharacterized transport system permease and ATPase component</t>
  </si>
  <si>
    <t>Fatty acids (?)</t>
  </si>
  <si>
    <t>MTSLSPVRTGSFRSLRQQLSKLRHLAQPFFLPLNQANGWQFVWLLVSLLFCVGGIVLALLTGLLNVLERWQPVLTENYFGGVADTITDIWSSWWGGAFVALFVLGVASFTAFRNQLKQRRWLHWLLLAAIVLMLLAVNGINAGIGFIARDLTNALVKQQEDNFYRILIIYACCFVVALPIRVSQIFFTFKLGIIWRDWLTRALISDYMSNRAYYVLNPNDEQATDVDNPDQRITEDTRAFTAQSLAFTIGIFDALLTFFLNILILLGISRELTVGLFVYAAFSTTLLVIAGRKLVALQFDQLRYEADFRYGLVHIRNNAESIAFYAGEAPEAQETKRRLGEVVRNFNFIINWQVVIDVMRRSTNYSGVFFPYLILAPAIFSGQTDYGSFVQANFAFNMVEGSLLFVVNQIEELAKFTAGITRLEGFQSKVEQVAAAPAADERQLVRAGGGIVISNADLYTPKARIPVIRDLNLTVSEEDRVLVVGPSGCGKTSLMRMISGLWTPSTGSVERPATGDLLFIPQKPYLLLGSLREQLCYPSDQDFFSDSQLKSVMEKVNLPQLVARYPDLDVKQDWQRILSLGEQQRLAFARLLLNSPRYVVLDEATSALDVKTERLLYELLLERDVSFISVGHRPSLTRFHSSVLELYGNGDWRLVAASNYQPELA</t>
  </si>
  <si>
    <t>YP_001225034.1</t>
  </si>
  <si>
    <t>ABC transporter ATP-binding component</t>
  </si>
  <si>
    <t>MIGLLGPNGAGKTTSFNLVIGLLRPDCGEVLLDGHPVASLSMPQRARLGIGYLPQEPSVFRQLTVQDNLKLVLDQSGLSGIQYRERLQQLIRDFHLEPFLNRRGYQLSGGERRRCEVARALAVGLEGPRYLLLDEPFAGVDPLAVADLQQLIHSLRQRGMGILITDHNVRETLAITDRAYILTDGSILASGLSEQVAHDPLVRRHYLGEGFQL</t>
  </si>
  <si>
    <t>YP_001225033.1</t>
  </si>
  <si>
    <t>permease</t>
  </si>
  <si>
    <t>MIDTIKASIRRLIQRIPLLDRWLIGELLSPLLFAIAAFTVVSLSVGVMFELVRQIVESGLPVAIAVQVLLLRLPSFLVISFAMATLMATLLAYSRLSANSELTALRSVGVTATRMIVPALIVALLMSGLTFVFNDVVVPRANRSAEITLRRALGKAIATEKGSNIVYSRFGRIQDPDGSSSKGLAQLFYARQFKDGVMSGVTVLDFTRAGFTQMLVADRAVWNERQAKWQFFDGQILTLTPSGSTTSADFDQYLYPLSAAPIRIAQLPKDANNMTVAEALRARELLEQAGDIKEARRLQVRIQEKFTLPMACLVFGLIGASLGAKPNSRTSRSQGFGISVVLILVYYVLSFSFSSLGVKGTLPPLLAAWSPVLISLAGGGWLLRQASR</t>
  </si>
  <si>
    <t>YP_001226066.1</t>
  </si>
  <si>
    <t>ABC transporter ATP-binding protein</t>
  </si>
  <si>
    <t xml:space="preserve">nickel/oligopeptides </t>
  </si>
  <si>
    <t>MTDAPGAVLELRQLRLRYPGSSAWTLDGLDLRLEAGERLALVGPSGCGKSTVARAALQLLPQGSRCEGGLSLNGRDPRHLAIPDLRALRGDSVGLVFQDPMTRLNPLMTVGGHLLDTLRAHRPDMKASARRERAEALLEQVGIGAERFKAYPHEFSGGMRQRLAIALAIVLRPPLVIADEPTTSLDVAVAGQVMAALRDLCEDLGSALLLITHDLAMAHRWCERMAVLDGGQVAEINRSDVVLTYPSSRVGQRLLAAARAREGGTTPAAPAATTVLDVQELRCWHNLGGPPWAPNWLKAVDGVSFQLQAGETLGVVGGSGCGKSTLCRALMGLTPIRGGRVQLFERDLLQSRGREATAMRRSIQMVFQDPLACLNPAMTVADAIADPLLIHGLASRASARERARELLERVGLGPAERFQNRLPRQLSGGQQQRVAIARALALDPKVLICDESVSMLDAEIQADVLALLRQLQQELGLAMIFVTHDLSVASGFCHRLIVLDRGHIVESGPGDQLLSTPQADITKILVDACPRLPV</t>
  </si>
  <si>
    <t>YP_001224840.1</t>
  </si>
  <si>
    <t>hypothetical protein SynWH7803_1117</t>
  </si>
  <si>
    <t>MLLLPALVVLARLHVEVAWFQQFNLEEVYLTRLGLQAAGGAVALGLAVVTILWRRRWMAAYEPTPKGELPALRGRTYALCLASTLVVLLSVLVVDTRLAWLAFSQPFLLAHWWSVPFQSSWPLFAFSILLILTITFGLTRSHRLGLAHLYGSACFCLITARAWGLWALALTIPDSNRVEPLLGADVSFGLGRFSAIALALELLLLQLLLVLSTAIWSRLTRSPCLSDWGFPGWTSQERRLLRPLLSLLFLVLGALLWLSRHQLLWTQNGVVAGAGWLDVHLVLPLRDGGSVLLVLLATTVFPWPGVPSRRRQGLRRWLVTLAILFLLTELLLTPLLQWMVVRPREFQLEEPFLGRAISATRDAYQLTGMTTRPINPSKQLEADDLVQGESTLRNIRLWDSQPLLASNRQLQQLRVYYRFAKAAVDRYPLRPDRKERQQVILAARELDQTALPKRSRTWQNRHFVFTHGFGFTLNPVNTSAPDGLPVYFIKDLGRSTRIQGNPALGITQDDVKREVPIGRAALYFGLLPSPYAVAPTRIQEFDYPEGDKNTYTHYSGTAGIPLSSLWQRITSSIYLADPRLLNTGALTPQSKLLLRRDVKQRVKALAPFLTFMGDPYLVSVPLEDPPPGYAEGQHQYWIVDGYTTSRTYPYAATLPDGRPLRYLRNSVKIIVDAYNGNVHFYVSEKDDPIIRGWSRLFPALFESWDGMPSNLRDHLMVPPDQFELQVQQLLRYHVTEPRTFYSGDDVWQVPLELYGRQQIPVAPYHITAQVKGSERSEFLLLQPLTPLARPNLSAWLAARSDGEHYGELILLRFPSDVPIFGPEQVQALINQDPEISQQFGLWDRAGSQVVQGNLLVVPVGDSLLYVEPIYLKARLGGLPTLTRVVVSDGRRVKMANDLEAGLKALLNQSAATQP</t>
  </si>
  <si>
    <t>YP_001224139.1</t>
  </si>
  <si>
    <t>preprotein translocase subunit SecY</t>
  </si>
  <si>
    <t>Protein translocation</t>
  </si>
  <si>
    <t>MLVSRGRNPSAAEVITQLVQNPELRNRVLTTLGLLMLVRLGIYIPMPGIDRVAFQQFIQQGGQLIGFLDIFTGGGISTLGIFALGILPFINASIILQLLTASLPQLEDLQKNEGEAGRRKIAQITRYVALGWGLIQSVIFAVILRPYALEGLSDAVFITQTALALVTGSMIVMWISEVITERGIGQGASLVIFLNIVATLPQALGSTIEKAQTGDRNDVFGIIVLVLVFLVTIVGIIFVQEGARRLPIVSAKRQVGGSALLPNRQSYLPLKLNAGGVMPIIFASALIFLPITIANFSQNPLLITAASALNPSASNPWPYALLFFSLILGFSYFYASLTFNPTEVATNLKRGGVAIPGVRPGSATATYLEGVKNRLTLLGGLFLGAVAIIPSAVERATSVTTFQGLGATSLLILVGVAIDTAKQVQTYVISQRYEGMVRQ</t>
  </si>
  <si>
    <t>YP_001224351.1</t>
  </si>
  <si>
    <t>Signal peptidase I</t>
  </si>
  <si>
    <t>MPNVQHDPSSSGPAPSAPTRSHPFWDFWGPVLFTLALYFGIRHFVAEARFIPSGSMLPGLQIQDRLLVEKLTYGSRSPQRGEIVVFNSPHAFDPALRSAGSPSALRCALVSFPLLGLIPGLGHPACDAYIKRVVAVGGDRVVVNPRGEVSVNGQALNEPYVTKFCPLDDQGMSLCRTLNVTVPEGHVLALGDNRSNSWDGRYWPGGPFLPEDQIIGRAFWRFWPLNRVGSLGS</t>
  </si>
  <si>
    <t>YP_001226115.1</t>
  </si>
  <si>
    <t>hypothetical protein SynWH7803_2392</t>
  </si>
  <si>
    <t>MSEVWRLGANKANPSNLQQNQVIILLAQLVAPPIQPGPARVPEREIPTSQPATIQLDIDNEANDGRKGGKGTKNNNEDNINIEGKSPYSDDQTKEILENCDQSFDSSSADSCVTKFNSRLQKDGYINTRVVAETKNGTTNLIIIPGRLVEINVNAKDKSLGKEIENKLKPLLDETFNIITIKNSLLSLERSGIASKITGSIGKLGSNPTKATLNITVESVPSLWRGETSIRNDGNTGSGEWRGVAILQKKDLLTRGDQFQFYGELNADSDPELGAGIGSLSYTYPLSQTVDVTASFGANRRYLVEFPEPFRDLSFRQYQGLIQTNWTLQQTGSSNTYAFAGISANHNNSYYKNESFPIIVGGGLDGDLTTGYVRIGIGHQGVKNSMLWTGQIYGLQGISSFSSADELNALNVVGIQPSNARAIGAYATGLWAINQKLIAKAIAGGQYAFHPLTSSMGFSVGSDNGLRGLPGTLISGDNGWIGNLELEWSLKKTKNNEFKLVPFGGAGGIQTTRLGITLNDTVGSYGVLVRWLHKNQLSVDLGWAKQINVENNAGLWNEWTLGNGLYTKVSYRF</t>
  </si>
  <si>
    <t>YP_001225454.1</t>
  </si>
  <si>
    <t>Signal recognition particle protein</t>
  </si>
  <si>
    <t>MASRSAATLEITAEPGHFYDQWSATAASTMFDELSARFEDAVKGLRGQDKISDTNVEGALKDVRRALLEADVSLPVVKAFVADVREKAVGSDVVRGVSPDQKFIQVVHEQLVEVMGGGNAPLAQAETAPTVVLMAGLQGAGKTTATAKLGLHLKDQGRRALMVGADVYRPAAIEQLKTLGGQIGVEVFSLGADAKPEAIAAAGLAKAKEEGFDTLLVDTAGRLQIDSEMMEEMVRIRTAVQPDEVLLVVDSMIGQEAAELTRAFHEQVGITGAVLTKLDGDSRGGAALSIRKVSGQPIKFIGTGEKVEALQPFHPERMASRILGMGDVLTLVEKAQKEVELADVEKMQKKLQEATFDFSDFVQQMRLIKRMGSLGGLMKMIPGMNKIDDGMLKQGEQQLKKIEAMIGSMTQQERENPDLLAGQPSRRRRIARGSGHQPADVDKVLADFQKMRGFMQQMTQGGGMPGMGGFPGMGGGMPGMGGFPGMGGGMPGMPGMPAGRAGRGGGTPRRQRPAKKKKGFGQL</t>
  </si>
  <si>
    <t>YP_001223734.1</t>
  </si>
  <si>
    <t>Signal recognition particle GTPase, FtsY</t>
  </si>
  <si>
    <t>MVYDWFNRQSEAAPTPPPADDSASAQEPQQDAAASADDDPLEWARQAYARLKAQKEQANATPAAPQSDSPAEPETKPEPEPEREPEQEPAPADPEPTPVAGLSLLEQAAAQRQERQQQLEQEPQVAQEPVAEQPVPAASVEVDREQDEPSLGAFDDTFTWSAEVLAAQGREAEQVTLEEIDWLGRLRQGLEKTRQGFVSGLLENLGDDPLTPEVLDDLESLLLRADAGVKATDQVLDALRKRMNEQVVDPSEGIRFLKEQLRDLLEAPIKSSGVDLLAPQRGQLNVWLMVGVNGVGKTTTLGKLANLAVRSGYSAMIAAADTFRAAAVQQVQVWGDRSDVPVVANPSDNADPAAVVFDAIGAARSKGTDLVLVDTAGRLQTKHNLMEELNKIRRVVDRLAPDATVESLLVLDASQGQNGLKQAMAFARAAGLTGVVITKLDGTARGGVALAVASEAGLPIRFIGAGEGIRDLRPFNSFEFVEALLASR</t>
  </si>
  <si>
    <t>YP_001226099.1</t>
  </si>
  <si>
    <t>preprotein translocase subunit SecE</t>
  </si>
  <si>
    <t>MTTPTSEDTAAAKSPAPTGSDQPGKKGGFFAATYEELKLVVWPSRQQLFSESIAVILMVSLSAAAIAALSRFYGWAASQVFR</t>
  </si>
  <si>
    <t>YP_001225084.1</t>
  </si>
  <si>
    <t>preprotein translocase subunit SecF</t>
  </si>
  <si>
    <t>MANSNLNPDRSLRLPLTSRRRQVWWISVLVVLLSVSGIALSWTNPQIRSPLKPGLDFTGGTKIQLERRCADACPDLSVSSINNTLTSLQLPVEPGRRAPNLDTARVQLLDRGQSVVLRMPALTASQGQAVIQALEPVAGPLEAGGQSVDTIGPSLGVQLLRSSLISLLVAFTGIALYITIRYDRRFAFLALVALAHDIVIVCGVFAWLGLLTGLEVDSLFAVALLTIAGYSVNDTVVVFDRIRERQREDGDLPLTVQVDRAVSATLTRTLYTSGTTLLPLIALILFGGSTLYWFAVALALGVVVGSWSSIALAPSLLSLWPSRSGAQASA</t>
  </si>
  <si>
    <t>YP_001225624.1</t>
  </si>
  <si>
    <t>putative inner membrane protein translocase component YidC</t>
  </si>
  <si>
    <t>MIGYISDNLLLPILDFFYGLVPSYGLAIVALTVVIRLALFPLSAGSIRSARRMRIAQPVMQKRQAEIKARFASNPQKQQEELGKLMKEFGSPLAGCLPLLVQMPILFALFATLRGSPFADVPYTLNLKVLPAEQIAAVDPKPFNSASHSIFVTETDHVPVIASLPGGTKIGAGENVQIQLQTKSGEPFSNVLSDVENGQSFLPSWSVTKGESVVSVSEDGTIQALAPGDATVEGKIPGLAARSGFLFIKALGQVGFYTEGSINWDIAILVGAFGLSLFISQLLSGMGMPANPQQATANKITPVMITGMFLFFPLPAGVLLYMVIANIFQALQTFLLTREALPDNLQAILDDQMKQQAQTPATATAGGGSQAGRLPFEPKGGNK</t>
  </si>
  <si>
    <t>YP_001224279.1</t>
  </si>
  <si>
    <t>ABC-type multidrug transport system, ATPase and permease components</t>
  </si>
  <si>
    <t>bacteriocin/pantipeptide translocation</t>
  </si>
  <si>
    <t>MTQNNIDLNLDIQKAYEESLEELSSVLKVHRDTSSRIEDLVANDACSVSLLKCLDSIFKELSDNRSVYPQVSSKGHQLIIDFCEANDLQWRKIKLTPGWPTRDSGTILGFTSEQIDPCLFKWRRNQSPPCYEAESPLLSKNILINSKNKDQFIDHGYLFYTTLRNHDRVYLNQLWQIIKSSLLGNLFVLIAISLGISLIGLAPSFLLSQIIGSAIPNASISLLLQYAAVLVSALLTGNLLNLVRNESVLRIQSVIALRLGPALWDRILRLPVSHLNQFTSSELIERTQAIAEVQSVLSGQTLIAIIDGLLSIVNIGLMIYYSKDLTLIALIVTVLLAIIAITAIRATIKLQIKRFQYESKVTGLTQGILSSIESLRTTASEAFLIREWAKLFGAEQKVDYSIDTINERSSVISEGIGQSLSIIILLFTAYVLFSPGQASQTLSLANLLGFNSAMGVFLGAALSLIGTIVVVQQQVTFLWNRLSSVLSHDVETGTKFQVITKPVQSIQVRDLRFTYPNSNREILKGVNLNIEPGEHVALVGTSGSGKSTLIRLLLGFETIQSGFISYDHQDLKKISLPSLRKFIGAVLQDIELLSGTIGDNIKAGKNISEDEIWVALNNAAIGDKVKDLPLKLSTPVTSGGANMSGGERQRIMLARAFAQKPSILIMDEATSALDNVSQSIVENAIATMSCTRITIAHRLNTIKTADRILMMDKGVVVESGSYDELVSKQSAFWSLVRSQLDAEASIQKTKRSNSF</t>
  </si>
  <si>
    <t>YP_001226189.1</t>
  </si>
  <si>
    <t>MQGDAAVAASCRHHLWEAELAALLQSLLNQSPKQSRPLSSWLRELLPLAHILEASDRAAVQSALSAQKRLFLSSSPENPDLAASGDELRDADAIAALPADRHGWPLRLIALPATALQDLEADAAADDVLEAEVVSPSPGSALSRSDIPQAPLRPPVSRFNQPGTDNRDFFVAGEGVVEETLACFQMLTKLMKLPFRRDAIERVLRDQLRRGQTPTLRLCGQIAAGLGLHVSGAKVAARMGLRLQTPTLVPWGDAFALAVRSDQRGLVLASPSQGFVELDAEQLDTAFPEGIDLLLLDRTSTTPEQTFGPSWFWPALKRYRGVLIQVLTASFVVQLFTLANPLLIQVIIDKVISQRSLDTLQVLGFALVAVTLLEGVLGSLKTYLFSETTNRIDQRLGAEVIDHLLRLPLGYFDRRPVGELGSRISELEKIRNFLTGQALTTVLDAAFSLIYIVVMLIYSWLLTLIALAVLPIQVGLTLLGAPLFRRQYRKAAEANASTQSHLVEVLTGIQTVKSQNVEMISRWTWQERYGKYISRSFEKTITGTALSQTSQVLQKISQLLVLWVGATLVLSGDLTLGQLIAFRIISGYVTQPLLRLSSIWQTIQELRVSFERLADVIDTPQESDDQDKAKVPLPPIEGAVSFDNLSFGFSPGTPPVLHDVSLQIKAGTFVGIVGQSGSGKSTLMKLLPRLYSPDQGRILIDGYDIDKVELYSLRRQIGIVPQDPLLFSGNVNENIALTQPDASSEEIVLAAKVACAHDFIMELPAGYSTPVGERGASLSGGQRQRIAIARTLLANPKLLVMDEATSALDYETERKVCDNLIQALHDCTVFFITHRLSTVRRADLIVVMHQGAVVEQGTHDELMDRRGRYYALYRQQEAS</t>
  </si>
  <si>
    <t>YP_001223851.1</t>
  </si>
  <si>
    <t>MTSSQTNTLQGLLARFSAFRNLEPDDLTWLAERAKPYHCSIGQELLSAERMPEICYCILEGRGRVLHSDPGLQRPVTLAYAQPGDLVGWSGLVRRSPCEWITAVTPMKMIGFSAADFQALEQRSAAFAGWLDANNSPAELMAVLAPALRRRPQAEPPERDVLRRLLPGLQLIPAREQRQLPLHDGAIWLWNAQPDAIAVPVGSSVESHQLALIPPGSSLRLLRIDAELWERELNPVLEHPEEQQVSTLADPWSADDRYSELMAPPPQGERRDEAALSTLMETQDQLRWKGRRIPVVTGSGPLEQAMACLEMLSLYHSSPFRRDVIERAAKETLRGHACSLEQLGNLSTWMGFIGNIADVPEAQLHRLPFPCFALLLDQPAMIHDISRTEVKAVVPEYGSLTLPLSELTQGTGGARILTLAPGRDTQRRKLGFSWFFPQIRKYRRSLIEVLVASLVLQLLNLAQPLVLQQIFDKVIVQQNLDTLYTLGIVLLGVSLFQGLLGAVRTYLFADTTNRIDIALGSQVIQHMLRLPLRYFDKRPVGELQTRIAELGNIRQFLTGSLLTLALDALFSVIYIAVMIVYSGVLTAVTLSVVPLFLGLTIVASPLIKGQLRKAAERNAATQAFLVESLNGVQTIKAQSAENSVRWQWQKRYSSFMSESFRSLMIGVSSGTVGSFLNQLTGLLTLWVGAFLVIKGELTIGQLIAFRIISGYVVGPLLRLATSWQSFQGVSLSIERLSDVVDAQPEGSDDEIDQLPLPPIAGEVVFQDVDFRFADGAPLVANKVSFEIPAGSFTGIVGRSGSGKSTIMKLLPRLYEPESGRILIDGYDINKLQLSSVRRQIGIVPQDSLLFEGTIRDNISLTSPDSTSEEIIEAAKVACAHDFIMELAGGYATRIGERGAGLSGGQRQRIAIARAVLQNPKLLILDEATSALDYLTERQVCINLKRAFEGSTVFFITHRLSTIRGADKILMMEQGSLVEEGTHEQLLDLQGRYYALYSQQEANLD</t>
  </si>
  <si>
    <t>YP_001224940.1</t>
  </si>
  <si>
    <t>MASNLPIAETVGMALTTLRANRLRSLLTMLGIVIGNASVITLVGVGRGAQNLAESQLSTLGANVLFVVPGSNDTRRQGVAFPKTLVLEDAEAIAEQVPSVKRVAPQINANEVVQSGARSSTAAIFGITPEFLPVRSFEISRGRFITEQDVKAARTVVVIGPDLRDKLFPSGSAIGQNLRIRDQSFTVIGVMAPKGAVFGSNQDENAYIPLTTMVSRLTGRDPTYGVSLSFISAEALSEQSTGAAKFQISNLLRQRHKILRNDDFAVRSQQDALTIVGTITGGLTLMLGAIGGVSLLVGGIGIMNIMLVSVSERTEEIGLRKALGARSSDVLRQFLVESLVLASLGGVIGTAAGYGAIALVSAFTPLPAAIGVSTVLVTVGLSGSIGLFFGVVPARRAAQLDPITALRSL</t>
  </si>
  <si>
    <t>YP_001226190.1</t>
  </si>
  <si>
    <t>hypothetical protein SynWH7803_2467</t>
  </si>
  <si>
    <t>MNPNNGPDDQEQSSPAGKLVKQARSALESRITTISDQENVLQQSRFWMKTVTWTLIGTTALGIGWLAVARTEEVVVATGKLEPVGNVKDVRIPPGGVVEEILVKSGQRVSKGQALIRLDQESTAEQLKSLTQGLEEKTTQIGQKEQQLQLKKLERVRTEELNREQIATTQANLALEQEILSRLESLAKEGGIQDIQYLQQRNKVQELKGELTKRKLDGRRQINQIDQQVEQLNAELAGLRSERAQLNANLTDVRVTNKNQTLRAPVDGIVFDLKLNNPGFVSQAMSSEVALKVVPFNTLEADVEIPSNKIGFVRPGQPADISIDSFPATDFGVLAGTVQSVGSDALAPDPQQMRQEYTYPAVIKLDSQQLKLNDGKELPLQVGMSLTANIKLRSVSYLQLLLNTFQSKTDSLRQL</t>
  </si>
  <si>
    <t>YP_001224118.1</t>
  </si>
  <si>
    <t>RND family multidrug efflux protein</t>
  </si>
  <si>
    <t>Multidrug efflux pump</t>
  </si>
  <si>
    <t>MRSISQPFLRRPVFTIVCSLLVLLAGTVALVGLGLEDLPQLAPTRVSVSATFPAASPEVVEQSVTAVLEKQLNGLEGLESMTSSSRQGGASLSLRFQSGDPELNAIKVQNEVNLASRRLPQAVTRQGLNVNRSTDDLLLILGFSAPPGLYEPIFIGGWLDQNLREALRAVPGVGDIRVFGSSELAFRLWLDPNRLEQFNLSTNDVTAALAEQNVLAAVGSLGEAPAPAGQLFSLPIDAEGRLRNRADFEAMVVKRTEAGGLVRLKDVGRVQLGQRSYGSSTLNLEGNSSVAVGIFQRDGANALEVSGAVMEALKRLESSFPPSLSMQVIVDVAETVQANLDRTTGTLRDAVVLVLVVLVLFLGRWRLALIPGIAVPVALIGSLVVVRLSGSNLNSLILFGLVLATGIVVDDAIVVSEDIAGRIEDGAEPQGAAEDAMAELAGAVVATSLVLAAVFLPVLLIPGSIGRLYQPIALAISGAILFSTFNALTFTPMACARVLSSGSGRLPGPVKRISQRLRQGMRRLQSWYGQALALWLPRGRIVLGLILTGLMLTGIGLATIPTSFIPDEDQGQVRGYFTLPEGASLERTEAVMERIRQVIAEEPLIRSGNFYAGRSFGQSGEDRGAFYLRLAPLKERSGRENSSEAVKKRLNKALQRQITDARVIVTTPPTVRGFSSESGLQMQLLDRSGGQLSLQEFETQAQRFIRAAQGSGRFQRVSTRFDASSPRWRLEIDRTQMAALDLPVGPTLRDIGTAIGGRYIDDTFEGGQIRSIYVQLEGSDRSTPDDLTSLMVRNRSGELVSVANVARLKRDSGANSITHYNQNRSISIIAVPTDAVSSGQAIDLLQALSDRTGGSNLALTFTGLAKEETRAESVSWVLFALGLTVVYLLLAGLYESFLDPLIILLTVPMALLGALIGLKLRGLTLDVYAQMGLLVLVSLAAKNGILIVEFANQRLEQGIPLFDAIEEAAINRMRPILLTAVTSLAGFLPLLLASGSGSASRISIGTVVFSGLLVSTLLSLFVIPAIYLQLKRWRGVGPAMPELDG</t>
  </si>
  <si>
    <t>YP_001225983.1</t>
  </si>
  <si>
    <t>ABC transporter permease component</t>
  </si>
  <si>
    <t>export of glycolipids</t>
  </si>
  <si>
    <t>MRRGGGWTSRLNWHDLPLAWLQLKRQPVRYLVAVTGIGFAALLMYMQLGFQSGLLKSATTFYNALDTDLVLISPATVNSGSYQQFPQSQLFQALGLRGIKETIPLYIANINAQQLGGVKPTSLRMIGYDPDLTVLNVPEINAQSDQLKTPGFVLFDTLGIAIKTGPVGKTFKADGPLDMILSNFEKTFRIKGLFKLGSTFVADSNLIGSQATALQLASRQINLGEISLGLIRVDNPSEIPRIQRDLRSLYGNELQVLTKPELITQERDYWNNVSSFGVIFGFGTIMGLLVGGVVVYQVLYTDVSDHLKEYATLKAMGFSDQFILIVVIQEAVLLGASAFIPATILSAILYAALTAVSGIQLQMTADKSLLVGALTISVCAIASAIAIRKLRDADPASVF</t>
  </si>
  <si>
    <t>YP_001225984.1</t>
  </si>
  <si>
    <t>ABC-type transport system, involved in lipoprotein release, ATPase component</t>
  </si>
  <si>
    <t>export of lipoprotein</t>
  </si>
  <si>
    <t>MQNSSPNSPVIRTENLCHSYGKGELRTQILHDLTFDVRRGEITLLVGPSGSGKSTLLTLIGALRSVEEGSIQVLGQELNGANETVLMQTRRRIGFIFQSHNLVSSLTVLQNVQILLQLTEPNPQARREKAMALLEAVGLSHRLHHFPEELSGGQRQRVAIARALAPEPELVLADEPTASLDSRSGQDVVELLGNLCRDRGSAVLLVTHDLRLLNDADRIWAIEDGRVKAWTESNGNIVQTH</t>
  </si>
  <si>
    <t>YP_001225057.1</t>
  </si>
  <si>
    <t>DevB-like secretion protein</t>
  </si>
  <si>
    <t>MSKRGLWIGAGTLTILVIAGGVAFLQRPARVVAKAPQTESPRPPEAVAALGRLRPLGEIRRLAAPMSRFGGTPRVSKLLVDEGDTVTRGQVLSVFDSRPQIEADLKSLDAQIRTVDTEIPLRRREVARYAEAAKVGAASMVILEEKQKDLTLVERKRIELIAERRALEADLVDSELRSPIDGTVLRLHTRVGERPGADGVLEVGASQSMEALIEVYESDINRIAVGDPVTLVSENGGFDGRLMGRVERISPQVRQREVLSTNPTGDADARVVEVQVSLDRDSARRVESLAGLKVIARFKTS</t>
  </si>
  <si>
    <t>YP_001223852.1</t>
  </si>
  <si>
    <t>multidrug resistance efflux pump</t>
  </si>
  <si>
    <t>MVWITSGLFTAVFVWAFTAKVDQTISVRGRLQPTGSVQEVDSPSTGVVKKVFVSEGQLVQAGEPLLDVEAKGLASRREAIEQSQQILRLQARTLEAVIRSNGDITKMPPLPPIPQVADPELANKLATARNQTLQIRAQLQQIDTRLASRNVSLRLKQRIADDVKPLFESGAMARNAYLSQLNEVQELRADIATLQEEKVRVIGAASTQLNEVNREIINLRSELVGLKETISYRTILAPIAGRVFDTQVGPFSVVGTDQVLLKIVPENSLEANVEIPNSDVGFVKVGMPASVSVDSFPSGEFGYIKGTLSSIGSDALKPDQTAQQYQFPGVITLEQQSVQSGDQELNLQSGMGVTANIKLRSRPAISIITDLFTKQFEGLKTFR</t>
  </si>
  <si>
    <t>YP_001225239.1</t>
  </si>
  <si>
    <t>ABC-type multidrug transport system ATPase and permease components</t>
  </si>
  <si>
    <t>multidrug transport system</t>
  </si>
  <si>
    <t>MPSSVAPARPPAALSRLILHLRPYRRRVWLAASCSVINKIFDLAPPVLIGLAVDVVVQQDTSWLAQLGATTVPTQLTVLAGLSFIVWTAESLFEYLYGVLWRNLAQSTQHSLRLEAYDHLQKLEMDFFERDSTGRLLTVLNDDINQLERFLDHGANEILHLITTVLLVGGAMIVVAPAVALFSFLPIPVILWGSLRFQRQLAPRYREVRERAGNLAARLSNNLGGMLTIKSFANEAWELEQLRQESNAYRHCNRSAIRISAAFIPLIRFAILFAFLAILLIGGLQAWQGVIAVGTYSFLVFITQRLLWPLTTLGRTLDDYQRSMASTHRVLDLIDTPIHISGGTRTLNHAQIRGEVRYEAVNFGYRERPPLLNHFDLTIQAGSTLGIVGATGSGKSSLVKLLLRLYPLSGGQILLDGIPIDQLQLGDLRRAIALVSQDIYLFHGTVRDNIAYAAPEASEAAVRESARQAEALEFIDALPDGFDTVVGERGQRLSGGQRQRIALARAILKDAPILVLDEATAAVDNDTEAAIQRSLMHITANRTTLVIAHRLSTVRHADRIVVMDQGRIVEDGTHDQLLHQPGAYADLWRVQAGLRSDEALAL</t>
  </si>
  <si>
    <t>YP_001225591.1</t>
  </si>
  <si>
    <t>ABC-type multidrug transport system, ATPase component</t>
  </si>
  <si>
    <t>MSLIELDHLVKSYGTVPALTDLTLAVPEGCLYGFLGPNGAGKTTTLRILATLLSPDSGRVIVSGVDALENPRQVRQILGYVAQEVAIDKILTGRELLALQGDLYHLPRTQRNQRIDDLIQRLSMQEWIDRRCGTYSGGMRRRLDLAAGLLHSPRLLVLDEPTVGLDLESRAVIWDVLQDLRDQGTTILLSSHYLEEVEALAERMAIIDAGRVIAEGTPEELKCALGGDRVTLRVREFSDQVEAETIRDLLDAVEGVRRIVINRAQGHSLNLVVDGDHVLPRIKQRLGDNDLRVFSLAQSRPSLDDVYLQATGRTLMDAELAVAGQRDPKLERRQSMR</t>
  </si>
  <si>
    <t>YP_001223879.1</t>
  </si>
  <si>
    <t>MAFSDNFIKRPVLTTVCSILIVLMGLIAIPTLPIANLPNIAPPLIQVTANYSGANSLVTEQAVTNPLEQQINGAPGASYIYSTSNMEGQSIISVYFDETTDIDIDQVNVQNRVSLAMPQLPSQVSDTGVSVQQSTPSILLAYEVSSTEGQFDSAYLNGLVYQQLYYPLERVPGVANVNILGGTTPAYWLFIDPDKLAANNLTANQVVDAVKAQNTTAIGGLVGGPPAAGDQAYTYPLLVQDNGNLLSLEDFENLIISRTETGNLLLLKDVGEVQYGFNNYSSASVDRNSHDAVSVAVFQTPESNALDVADAVVKQMDAFAATAPPGVTVSQVYNIGQFIESSVEGVVDALGLAIVLVLLILFLFLQNWRATVVPSLAIPISLVGTFAFIKMFGFSINQLTLLGLVLATGLVVDDAIVVIEAVSKNIESGMKPRQAALACMGELFGALVATALVLMAVFVPVAFYPGSIGIIYQQFALTIAFSIAISAFNALTFSPMLSGLILKPGQTAPPKGWIWPVAGVIVGLAFGRFSAAAFGNWTYVLGVVVGGLAGANLALIFRVFNANFARLQNNYSRLIRTLIQARRWVMVTLAGGIVLTLLAFTALPSAFIPDEDQGYLAGFFQLQNGASLSETQRVSKEIAAIVNEEGDVLNTSVISGYGFNGSSPDQGTILIGLKPLRERPGAANSSFAIADRLNAKLSALSSALAVVGQPPAVPGFSAQGGFYFQFNDLTGNYSFNQLDEQAQTLIKAGKASGDFSNLYTQFIPSAPAFGLKVDRAVMGALNVDYEDAMSTIAVLAGGSYTGLTYEDGQVRNVYVQANAEQREDVENILSYYVKNRDGDLIQVSQFASSELSSAPPIISHYNLYRTVLIQGAQAVGKSSGQALSSIQALFKKENFNNIGYAFTGLAALQLSAGSASVLVFGFGILIVYLVLSAQYESYVTPVIILMTVPLAMLGALAFLAIRSIDLNIYAQVGLVTLIGLAAKNGILIVEVAEQHLAEGMSASDAVIASAESRLRPILMTAIAALAGFLPLVVANGAGAQSQQSLGTVIFGGLVVATVLSLGVVPPFYVVIKGLEERLFGRKPTGGDEDGSLANAS</t>
  </si>
  <si>
    <t>YP_001223946.1</t>
  </si>
  <si>
    <t>multidrug ABC transporter ATPase/permease</t>
  </si>
  <si>
    <t>MPLKSKTWNELKLLLEELSPQRLRFLCFVLAASLFQGIIDILLIGLLARLVGLLAGARLGDQIPGIRFFGGGLFDQAGWIVVLLIAAYWLASGIRFGVALLESLLTADIWADLVNKVYRNLMLQRYEFFMRKRTSVLSEKFNRILSRVTGAVITPLIAIASSLISVMALLLGVAFVLGAKALLIFSLLVLAYALSSKLITPYLRLALRQKTRYSRRLHVIFSESLRSMRDIQLYSSHSYFVERFSREGAIAKRNDRLASLLPNVPRFVIEPAGITILFAVGLAPALFSGSSEGLRESLPEIATVLVALLRISGPMQSVFKSINKLRGGLPEVTDAIQLLKMRPDRFVLGDPGVPSPDGILPRRSIDLCDVSFAYTDAKSSVLDNINLSIPVGSRIALVGRTGSGKTTLAHLLLGLYSPTCGDLLLDGLPVSQEEIPAWQASCAFVPQNIKLLDASIRENVAFCEYPDEVDDNQVWAALEAAQFSDFVAQMPYGLYTLCGEDGVKLSGGQRQRLALARAFYRQAQFLVLDEATSALDNKTEHDVMQALDLIGRRCTIVVIAHRLSTVRKCDRIYEIDQGHILASGDFETLKQVSPSFRDMTMLDIAND</t>
  </si>
  <si>
    <t>YP_001224278.1</t>
  </si>
  <si>
    <t>bacteriocin/lantipeptide translocation</t>
  </si>
  <si>
    <t>MSDPTGFLNSPAVHDGSDEAASITSSSDRLWIASLSGFTLIVLFWAFLGRIPETVPGKGLLIGPGNILRVFSEADGTVKSVNVKNGDRVKPGDTLVKLQIPDLELNVSNSQNLINKLDNTYMTLNKGSNQLLNIQKEDVSEQIEVINRQISIRQNQANNYKKFLENSQNLREEGGISEQDVLSAERNYSSQLESIESLQIEKLKLLENKKQLNLQNQEQRLSRNLDFIEKRSQATLELNRLKRVGDIQATAKGTVFGLSLLPGDLIQTNQLIATLVFDAQKGLMMEDSNSSERQKGLTSAYAPNTAVIFFRNADSHLLKPGDELSLTPEGFSQEEFGGIRGELVSISTLPSSRENLIATTGSSVQAEQLIQQGLIYSGVARLDINPNTQSGYDWTGGNGPKTPITFGSSLNVNATLRYRAPASYIFPFLREWTGLLRL</t>
  </si>
  <si>
    <t>YP_001225590.1</t>
  </si>
  <si>
    <t>ABC-type multidrug transport system, permease component</t>
  </si>
  <si>
    <t>MTHSVLDLSTPQQQQRSALSELAQETGALTRRLFVQLQRRPSTLVAGILQPLIWLVLFGALFSRAPEGLLPGGMSYGRFLGAGVIVFTAFSGALNAGLPVMFDREFGFLNRLLVAPLRSRSSIVLASVIYITTLSLVQSLAIMVTAAFLGYGWPGAAGLLLVMVTLLLLVFAVTALSLGLAFALPGHIELIAVIFVANLPLLFASTALAPLSFMPPWLGWLAALNPLTFAIEPIRAAYAGPLDLSSVLLEAPYGSVSGTTCLLVLTLLTAGLFLLIRPLLNRKLA</t>
  </si>
  <si>
    <t>YP_001225246.1</t>
  </si>
  <si>
    <t>MTTSSRVERLRGRWNGLSEHQQVGVSLAGVGGLFGLWLMFWPVPTQVEGQGVLIYPDNAGILNARSGGQVLRIDTKVGDRVRQGQVLMTLYLPVLERQLDQQQGNLEQLMLQNEELNQRDALRIATAKAALDTALAKLDDDQKRLAKLQSTYTSKLKNLDWLAQREVVAPLSRAVVSAEQGLTTTSVQLDDIKIQRKDEITQFQQIKLGIETEQLDRNFQIDDLKRKIKVTEAKIAFDGKVIAERSGTVLDLQVIAGQTVKTSDRLGTIGRNQAPGGDQRKTGGDLIAVSYFSPADARRLPLGLPVEVVPHWNQRGRFGGIEGKVRSVLTLPATQEDISTTVGNSQLAEELVKDGPVMRAEIELDRLPGSDDGYRWTLSQGSGVFPIRDGLTVDTFAYVEWRSPITYIIPGLRSLTGGFRTFRIDRLWDLPFLRQPGTPQ</t>
  </si>
  <si>
    <t>YP_001225128.1</t>
  </si>
  <si>
    <t>major facilitator superfamily sugar transporter</t>
  </si>
  <si>
    <t>sugar (?)</t>
  </si>
  <si>
    <t>MTTESTGKPSPIAAAIGNTVEWFDFAVYGYFAESIGSAFFPQDSPTLQFLSAFGVFAAGYLMRPIGGLLLGPIGDLFGRRILLLLSVAIMGSCSLLIALLPTTDQIGPIAAVLLVLLRMIQGLSVGAEYSSSIAWSVETSPQQARGFLASVTAAGATVGFISGSLVATVIDHFIPITAMNAGGWRIPFVIGSLLSLLALMLRRSIQDSRPAGASRSIAGQWRQVIADWPAMLRLMGTVGVATAVFYAVGVYYVDEASRLDPSNASLYNGINTVVQIAGLGMALLAGRCADRFSPLPLVRRSLLISVVLMIPGLLILAKGGTIHFAIGQAMVLLPIFFYSGVTPLLHPLFFPGGSRCAAFSFSYSLVVAVIGGTAPLISTWLKDLRGWPNGLIFYLLILAIPAFWAWSTGPRHLRFEEQD</t>
  </si>
  <si>
    <t>YP_001225085.1</t>
  </si>
  <si>
    <t>preprotein translocase subunit SecD</t>
  </si>
  <si>
    <t>MARQQGWFALILALTIAAASVLTSFPLQLGLDLRGGSQLTLEVQPAGAITAIKPEQLDAVKLVLERRVNGLGVAESTLQTVGDDQLLLQLPGVTDPSRAARVLGSTALLEFRAQKPGTEEEMRSLLQLRAQLRSVLAAKAESSETDDASIDSEELAKVQEALGLDGSASSEKEQLEQLLERTNAEIVDRFEPAALTGKDLVTAGRQQRQNSTGWEVTLGFNAEGGDRFAKLTQSIAGTDRLLGIVLDGRPISEASVGPEFKAAGIAGGAATITGNFTAEEARDLEVQLRGGSLPLPVEILEVRTIGPTLGAENVRRSLIAALSGLLLVGVFMVVTYRLAGLVAVMALGLYALFNLAAYALIPVTLTLPGIAGFILSIGMAVDANVLIFERIKDELRRGNTLIRSIDNGFKEAVSSILDGHITTLISCGALFFLGTGLVKGFAATLGIGVVLSLFTALTCTRTLLRFLMSYQGLRKPTNFLPAGQLPTSAA</t>
  </si>
  <si>
    <t>YP_001225872.1</t>
  </si>
  <si>
    <t>FeS assembly ATPase SufC</t>
  </si>
  <si>
    <t>S transport</t>
  </si>
  <si>
    <t>MIRPDAELLLDISDLHASVEDQPILKGVNLQVRAGEIHAVMGRNGSGKSTLSKVLAGHPAYRVTGGSVRYRGDDLLTLEPEQRARLGVFLGFQYPVEIPGVSNLEFLRVSTNARRETQGQEELDTFDFEDHVRERLKVVQMDPAFLDRSVNQGFSGGEKKRNEILQMALLEPVVSILDETDSGLDIDALRIVASGVNQLSSPETASILITHYQRLLDEITPDYVHVMAAGRILRTGGRELALELEQIGYDWVDEQLAAEGVV</t>
  </si>
  <si>
    <t>YP_001225331.1</t>
  </si>
  <si>
    <t>ABC-type oligopeptide transport system periplasmic component</t>
  </si>
  <si>
    <t>MSESSTTGRGPTAFPWIKGSLTLLGTLALCIGQTACQPSRTSDRLIVASAGRISALDPARANTFGALQLLSAIGDTLYKRSANGDLQPSLASALPEISADGRTITIPLREDVLFHDGTRFDAEAMAFSLRRFLRIGRLNYIVGGRITAVETPKPFQLRLQLSRPSTSLVNLLTSTNLTPVSPTAYSDYANRALNDRFVGTGPYRLTHFRAVEQRLEPFDQYWGEPPRNAGLEMIYLSNSTALFGAMRSGEVDVLLSDAIDEDQRLALNRLADKGTLREGKGPALVIGYITLLSNAPPFQDPRVRRAMALSLDRDLISQRVSHGLRPPLRSLVPPGLAGGEGDPWPSLNIAKARTLLQDAGYCNGRVLSVPFTYRSNVPADRLMALIWQTQLQRDLPDCLALDLDGVESTTVYRQLGDGAFAAVMLDWRGPYPDPEAYLSPLLSCDVSRGFICERGEAAKSGSFWTAPGLDQALQQSDRSRGRKRLQDLDVIETQAAQGAAYIPVWLVTARAWSQRGVATPEFDGNGQVKLAQLEEVPQ</t>
  </si>
  <si>
    <t>YP_001224768.1</t>
  </si>
  <si>
    <t>ABC-type phosphate transport system, substrate binding protein</t>
  </si>
  <si>
    <t>MSFAKKALIFSSLLALGAGVSASAADRLNGAGASFPAKIYQRWFAELAKAGGPQVNYQAVGSGSGRKAFIDQTVNFGASDDPMKPKDMAKVKRGVVQIPMVGGTIAFGYNKPGCNLKLTQKQAVQVAIGKITNWKQLGCAPGNITWVHRSDGSGTTKAFTNSMQAFSSEWTLGTGKSVKWPGKNAVGAKGNSGVAGTIQNKVGAIGYVNQSYIKGKVVAAALQNKSGEFLKPSVKAGATALNGIKLDSNLAGKNPNPSAKGAYPIATLTWVLAYKTGNGKNTAAIKEAFNFMLSNKAQDQAPSLGFVPLKGGILSKAKAAVNKIGK</t>
  </si>
  <si>
    <t>YP_001225982.1</t>
  </si>
  <si>
    <t>MTEQPARRGVIRGTLIALGVVAAGAIGWNVFKPKPVPKAVVSRPQQVTALGRLMPTGGLVPISIPAGTAGGNEVVKEWFAGEGEPIRKGQVLVRLSSFQELQAAVVQAQSKLQSTGALLPFLKISQSRGKELFQGGAISEEELAKTTASILEKQADVEAARASLVQAKSQLKAAEVRSPLDGRLIRIYSWPGMKESEEGLAVIGRTGSMQAWVQVFQTDVERLRIGQKASITAETGGFPGTVQGTLKSIIGKVSERDLFAVAANNDVNARVVLVKLDLAPNPDLQLDRLSGLNVTARFEP</t>
  </si>
  <si>
    <t>YP_001223980.1</t>
  </si>
  <si>
    <t>ABC-type transport system, periplasmic component</t>
  </si>
  <si>
    <t>MRRSVREALVGFSLVGAIAGFAGTMLWLRGVRLGSETWTVQADFQNAGGLANRSPVTFRGITVGTVRAIDVTPMAVRATLEINQDDLQLPLPVKAVVSSASLLGGDSQVELLTTGTPVPKNAPSPKARNCKNSGVLCEGATIPGQSGASLTSVTASLEQLLDQAQKSNLIPQLVESTKQFGTTSEDASKFLDTADVAAQNVDALVQQLRAEVSRAQPTIDNLNRATAEAAAAAASINNLAKAFDNPETVSDLKQTVTNAKQLTARIDAVGGDIEQLTDDRQFMQGLRSVMIGLGAFFDEVYPARTGTSNE</t>
  </si>
  <si>
    <t>YP_001225890.1</t>
  </si>
  <si>
    <t>hypothetical protein SynWH7803_2167</t>
  </si>
  <si>
    <t>MQQAAVKEASFTDDIDTVSTLEANDLVQLAAQATGRVLELKIAQGDKVAPGQLLMVLDQAQEQARLASAKAQEQKDLLELKRYEFLVPLGAAPASERDQRRAIYIASRAQVQAQEATLAYSNLQSPIGGTVADVSVKVGDVVRSGDPFTKLIRNNTLEARVEIPSTSATRVKVGLPVLLSRPGSDEVIAESTVLSVDPNITSDTQALLALAVFPNPDGKLRNGQRLRTRLQLEERKQPSVPFAAVTQSSGQSFVFRLGTFKELEAQPGKADLARIKKGIELGKIPSTTLFALQTPVTLGSLQNNRYPVTKGLKLGQKVITSNLLSLRHGVPVKVKG</t>
  </si>
  <si>
    <t>YP_001225795.1</t>
  </si>
  <si>
    <t>ABC-type amino acid transport system, periplasmic component</t>
  </si>
  <si>
    <t>MRLIQRAATGLLAFSTVALVACQNKDADNKPGSQSSGSTPAQSTSSVFDTGKLRAVVIGDALPMVKKNGDTYDGLSFVVLEAVRDQLNVSPLKKDKDIEIEPVAVGSAQEGLNKIRSGSADIACGVAFSWKRQRTLTYTLPFAMGGVRVLAPKGNDGTPDSLNGQTVGVVKDSVAANVLASSVDDASFQFFNTPDEALAALKDGTVKILGGDSLWLKANQEATAPEAALVPALPYARSGIGCVVAGTTPKLLNMSNLAIGRLLSAYVNDNDEVRTEINSWIGSGSTLGLSDDQIGSFFTIVLSTAAEFNKQS</t>
  </si>
  <si>
    <t>YP_001223864.1</t>
  </si>
  <si>
    <t>preprotein translocase subunit SecA</t>
  </si>
  <si>
    <t>MLKLLLGDPNARKLKRYQPIVSDINLLEEEVSPLSDDDLRRRTAEFRQRLDNAGSLDQQRPVLDELLPEAFAVVREAGKRVLGMRHFDVQLIGGMVLHEGQIAEMKTGEGKTLVATLPSFLNALTGRGVHVVTVNDYLARRDAEWMGQVHRFLGLSVGLIQQDMTPAERRRNYGCDITYATNSELGFDYLRDNMAADINEVVQREFQYCVIDEVDSILIDEARTPLIISGQVERPQEKYQKAAEVAAALTRAAEMGKDGIDPEGDYEVDEKQRSCTLTDEGFAKAEQMIGVADLYDPQDPWAHYITNALKAKDLFTRDVNYIVRDGEAVIVDEFTGRVMPGRRWSDGQHQAIEAKEALAIQPETQTLASITYQNFFLLYPRLAGMTGTAKTEETEFEKTYKLETTIVPTNRVRARQDWVDQVYKTEEAKWRAVAKETAEVHQQGRPVLVGTTSVEKSELLSALLAEEDIPHNLLNAKPENVEREAEIVAQAGRSGAVTIATNMAGRGTDIILGGNSDYMARLKLREVLLSRLVRPEEGHRPPVPLQRSGAEGGGGFAAKAAPASGPHGHAPSEARAIGSLYPCQLTEDTDQALADLAKDLVKAWGDRALTVIELEDHIATAAEKAPTDDPAIAALRAAIARVKGEYDDVVKQEEQRVREAGGLHVIGTERHESRRVDNQLRGRAGRQGDPGSTRFFLSLGDNLLRIFGGDRVAGLMNAFRVEEDMPIESGMLTRSLEGAQKKVETYYYDIRKQVFEYDEVMNNQRKAVYSERRRVLEGRELKKQVVGYGERTMNEIVEAYVNPDLPPEEWDVTQLVSKVQEFVYLLDDLQADQLQGLSMDELKAFLQEQLRNAYDLKEGQIEDQRPGLMREAERFFILQQIDTLWREHLQSMDALRESVGLRGYGQKDPLIEYKNEGYDMFLDMMTNMRRNVIYSMFMFQPAPPAGQSAGQRTTA</t>
  </si>
  <si>
    <t>YP_001224442.1</t>
  </si>
  <si>
    <t>MAFYDVFLNHISTRNIRGDVFGGVTAAVVALPMALAFGVASGAGAAAGLWGAVIIGLMASLFGGTPTLISEPTGPMTVVFTAVILSFTSQIPDRGTALAMAFTVVVLAGVFQILFGFFRLGRYITMMPYTVISGFMSGIGVILVILQLAPFLGQDSPSGGVIGTLSNLPELAKGIQLHELGLAVITLLILWFTPEQLKRFCPPQLLALVIGTVLSLTVFGDVGLRPIGPFTAEFPTFQAPTFSLDQIRLMVVNGAVLGMLGCIDALLTSVVADSLTRTEHDSNKELIGQGLGNVMSGLFGGLPGAGATMGTVVNIQAGGRSALSGIVRALILMLVILLAAPLASRIPLAVLAGIALKVGFDIIDWSFLKRAHHLSIKAACITYGVIALTVLVDLIWAVFIGVFVANVLTIERMTALQSKGVKTISTTDDDVELPEQEQVLLDQASGRLLLFQLTGPMIFGVAKTISREHNAIDDCEAVLFDLSEVSHLGVTASLALENAIKEAIEVGRAVYLVVLSGSTRNRLEKLKLLDLLPDHHVSEDREEILRRAVGELPVLQEV</t>
  </si>
  <si>
    <t>YP_001223979.1</t>
  </si>
  <si>
    <t>ABC-type transport system, ATPase component</t>
  </si>
  <si>
    <t>MSRPSATPATTQTPVVEMRDLTMQWGPRPVLDRVSLTMNPGERIAVVGPSGAGKSTVLRLLAGLQLPTGGELRLFGEPQTYLRLDQRRPPDVRLVFQNPALLASLTVEENVGFLLTRLGRLKPAQIRERVQQCLEAVGLHEVAEKYPGQLSGGMQKRVSFARALIDDPDREEGAMPLLLYDEPTAGLDPVASTRIEDLIVKTTTVARGCSVVVSHVHSTIERSAERIVMLYGGRFQWDGSVEDYRNSDNPYVVQFRTGNLRGPMQPSDQ</t>
  </si>
  <si>
    <t>YP_001225156.1</t>
  </si>
  <si>
    <t>MLNPSEAGFRRLLPLLRPHSIQLLWGAISMILFVGSWPLLMDLVGRLIPALGSGDLAVVLPVIGLVLVVFLLQKLAQFAQDSLLAGPALQVSQSLRRDLFRQLQQVELGALEKLSAGDLTYRLTEDADRVSEVIYKTLHDTIPSALQLVAVLGYMLWLDWKLTLAILLLAPLIVWLISLFGGRVMAATERSQKKVSELAGLLGEAIEGLPLVRAFAAEPWLQGRFEQEIDQHRRARYNTYRLVALQHPVVGIIEVLGIAVVLVLAAYRLSNGDLDSKGLTSYVTGLVVLIDPIAHLTTNYNEFQQGQASLRRLRAIEKEPSEPADPNPALALDRLRGDLVFKHVQFGYRPDQPVLHDLNLTIDAGTVVALVGPSGAGKSTLFSLVLRFNTAQRGEVLLDGKNLALVKARDLRQQVALVPQRSSVFSGTIAEAIRFGRAASQEQVMEAARLANAHDFIIKLPQGYATHLEERGTNVSGGQLQRIAIARAVLGDPAVMLLDEATSALDAEAEAAVQVGLRQAMRGRTVLVIAHRLATVQEADRIVVLENGSIIEQGTHDALMQQNGRYRELCERQMIRDRQR</t>
  </si>
  <si>
    <t>YP_001225531.1</t>
  </si>
  <si>
    <t>ABC-type Fe3+ transport system, periplasmic component</t>
  </si>
  <si>
    <t>MRKFPQLLKRGRVAGLPLLLTATTLLASCSQQGQQSEIGVYSGRHYNTDQRLYDRFTAETGIKVKLLEAKDDALIQRLRTEGDTSPADVLILADAARLDQAADLDLFQPVRSEELDAAVPAALRDPKQRWFGLTRRLRTPMINTASVQPEEVDRYQKLADPGLKGRLCLRNRRSVYNQSLVAFMLDRDGEEATAQWIRGMVANLSQPVFSSDTPMIRAVAQNKCGVALANSYYLGRLQAGDKGEADRKLSEAVTVVWPEPVHVNITGGGVTRSSRNPKAATRFLAFLVASENQGGYAAANHEYPIKGMGDDPVLKAWGPFRQADVSAARLGELNGKAVELMSANGWQ</t>
  </si>
  <si>
    <t>YP_001225959.1</t>
  </si>
  <si>
    <t>porin, P stress induced</t>
  </si>
  <si>
    <t>MKLFQRLLVAPAALGLLAPLASDAIRPASATELNIEGVSEYTAKSKKGRSAASRDQVTSITQFSDVYPTDWAYQALSNLIERYGCVAGYPNGTYRGNRAMTRFEAAALLNACLDRVTEVTDELKRLMKEFEKELAILKGRVDGLEARVGELEATQFTTTTKMSGVATFVTGANTFGGNAKVDQQFGRQLTKAESGVGSKRTMAFQANNNLGAAVFNYDLKIDFDTSFTGKDLLRTRLRTGNFTNSAFGFSASSGIYDALSGGTFATASGLEVAFEEGPKSNAVSIDRLFYQFPLGSDFTVTAGGFVRQDDMLAVWPSAYPADTVLDFFTYAGAPGAYSLNLGPGAGLWWSNNGFSVSANYVSFNGNETDPTSGGIATDAAAGTGTVQLAYADSGWGVAAAYTYSSGNWGTLYQSTGTPLATQVGLLGNSNNVAVSAWWEPEESGFIPSISLGWGLNSTNGNDYFGGGDGADPQLLGYDFESATSQSWYVGLQWSDVFLKGNNAGMAVGQQGFVTSLGLSGDDVDGVSSSTAEDRFTRDGQYAWEFWYQFQVTDNISVTPALFYLSRPLGSVTQGDSFNQFGGLVKTSFKF</t>
  </si>
  <si>
    <t>YP_001225922.1</t>
  </si>
  <si>
    <t>MRAQDGSSVDAAAADGAALIDQSTLPTATEIKGSRPKADPSVLPPAATTLPENQDDLKAPPSLALPNQPGQVRIRELRPLTLAEVERLVEVNNPSLKAVASQVQQAKSSLRAALSAWYPTLNLNANGLPQYLAGEQQTFDPNRTQTVNPLTGLEQSEGRVTNTEIWSANFGAQLNWNLIDPARVPQIAAARDAYESARDTYLISLRELRLQAATSYFQLQRQDEQVRIGQQSVRASLVSLRDARARYQAGVATKLEVLEAETQLARDQQLLTNALGDQVNARRSLASLMDLPQDITPTSAAPARVLGLWEPSLQESIIAAYTFREELDRVLLDISINNSNANAALASVQPVLSIFNNFTSQRFQGGTSEPPVSTEVYGWSFDNSVGLSATWNIFDGGRARAEYRRNKQAAEESQFNFASERDSIRREVEESFYDLRDAQQNIRTTTREVLSATESLRLARLRFQAGVTTQREVVDNQRDLTSAEVRYADAVLSYNASLAELRRRTGLDQVKACPPLNLPGKKPEVDRMESVPIEPDPNTPACEASQLGA</t>
  </si>
  <si>
    <t>YP_001224701.1</t>
  </si>
  <si>
    <t>ABC-type Mn2+ transport system, periplasmic component</t>
  </si>
  <si>
    <t>MPSRVLRSALMRCTIVSSLIGCCLLAACATPREPQRSLKDPDQRPRVLATFTVLADLARNVAGDRLKVESITKPGAEIHGYEFTPSDIERASGADLIVENGLGLELWARRFTAAAGDVPSVTLTEGIQPLLIEDDAYAGRPNPHAWMSPQRTEHYVDQLVKAFSSLDPDGAPTYRANGEAYKLKLQKLDGELRQALQSLPKQQRLLVTCEGALSYLARDYGLEEAYLWPVNAESQITPRRMARLIERVKRDQVPAVFCETTVSDRAQREVARAAGSRFGGSFYVDSLSDRNGPASSLLDLQRYNVKLIREGLGTSADPTP</t>
  </si>
  <si>
    <t>YP_001225991.1</t>
  </si>
  <si>
    <t>trafficking and secretion</t>
  </si>
  <si>
    <t>MRLLRLKLIAYLSAISAGVLLCEGLNTDIVRADDERPSAASIEAITKSWPVSRQLPQPQPASIPEETLKSLDMPTAVRLAEERNPVILENLQSFKAAQDSLGSDFATWWPVLSFNFNFGNYNQNSYYNYAGANSGIDTSIYSEYGASASELPSYLFARSYTSSFLQGVQTLDLNWKIYDPARQPQIWKGKYLVKEAGSDYIISRRDYALQTQQAYVRLQKFLASILTSEQLVENDLLLLNLAKSRKKLGVSSELDVAKQLTVLRTDQVNLVNSKSDSMVAQAELAALLNDPKASTIKPSEALSPLGSWQESLDKTIESALDYRQIIVKNLSIAQQNELQAQIDLAIYRPTIELVNSLYWTKNLGFPSSGSPWIIETGRSDLWNSESVIQVTLTGFDGGRARMDASASRKRAKSAQAAAQQSINSVIEEVREYFSESVEGREAVIVASQRVQAASTALKLQSLRFNAGYGTITDVVQSQQDLTQAVESYISQLSNYNLALVNLSRASGLSFAEDSNLIQQVGNPLSELGLTSILRRAQSSFDSDR</t>
  </si>
  <si>
    <t>YP_001225958.1</t>
  </si>
  <si>
    <t>MKLFQQLLVAPAALGLLAPMAANATELNINGVSDYAESGEQVTSITQFSDVYPTDWAYQALSNLIERYGCVAGYPNGTYRGNRAMTRFEAAALLNACLDRVTEVTDELKRLMKEFEKELAILKGRVDGLEARVGELEATQFTTTTKLKGQTTFVTGAVNAGGDDGSKYIYDTNATYFDDSADAVKQIGKVERKNRNTVFKKNGTRGGANAYNRNYGAWTFNYDQRLKLNTSFTGKDLLVARLRTGNFSKSGNGNAFGGSGVNLTALDIATDSGVQDEKANIVTLDRLFYKFPVGKEFTVVAGALARNTESIALWPSVYNKGATKILDWTALMGTSGVYNKETGQLIGAYWKQSVDKGQNAFSVSVNYVADDGNGSSTDPTTGGFLTDNSEASFLAQVGYAGPQWGVAFGYRYGQCDSGNGFRRGTEFAKQDKWNNNCFYVPTKTVNVDGTKYTVPNGDPKKRSGASTNSYALNAYWQPENPGFIPSISLGWGINQNTTSNKRGGTPVNSQSWMVGLKWDDVFLKGNDLGFAVGQPTFTTGLESCDGKRSDKREICGSTPFDGNYVFELFYNFQVTDNIKVTPAIFYLSRPMGQFTNNLVENGQGYDGQFNVFGGLIQTTFKF</t>
  </si>
  <si>
    <t>YP_001224429.1</t>
  </si>
  <si>
    <t>glutathione reductase</t>
  </si>
  <si>
    <t>MDQAFDLVVIGAGSGGLAAAKRASAHGARVALVEGDKVGGTCVIRGCVPKKLLVYGSQVSEHLADAPSYGVDVPAATINTAVLLQAVRAEVDRLNALHISLLEKAGVTLVRGWGRFDDDHRIAVSSKPGGDVEHFLKADRVLIAVGGRPHRPSIPGAELGWVSDDMFLLERFPEHVVVVGAGFIACEFACILRGLGIAVTQLVRRDGVLRGFDRELAAAVQEGMVEKGVDLRCSTSPAAIEGSPGDLVVVTDQGERIPAGGVLLATGRQPFLQGLNLEAAGLSSEDRKLAVDADQRTTVPHIFAVGDVTDRICLTPVAVDEGRAFADTEFGGRPRQVNHDLVASAVFSQPELATVGLSEEAAISRLGADAVVIHRARFRSMAQALPKRGPRTLLKLVVEARTDKVLGCHMVGEHAAEVVQMAAIAVGMGATKADFDRTMALHPTVSEEFVTMA</t>
  </si>
  <si>
    <t>YP_001225812.1</t>
  </si>
  <si>
    <t>glutathione S-transferase</t>
  </si>
  <si>
    <t>detoxification</t>
  </si>
  <si>
    <t>MALPPLVVATAREGWRWQWRQLMQGLGPADAEGRYLRPASDRMDVVIPDQSELQLRCEAQRPRLVIGRSCPWAHRTWLMHRLRRLEGTLTLLMATADHRAGRWSLVPAWLDCDSLLALYRHCGTPPHHRATVPALIDPGREAGLTPQLLGNDSAALTETLNQWPGGEGAMDLAPAALAPGIQRWMQLLQPAVNDGVYRCGFARTQKAYDEASAALFSALNAVEAALQHQGPWLCGVQPTIADVCLFPTLIRWELVYAPLFGCNAQPLWMFPALWRWRQAFYALPGVAETCAGEAWRADYFGALFPLNPGGIIPAGPDLCTLIGSSPALP</t>
  </si>
  <si>
    <t>YP_001224543.1</t>
  </si>
  <si>
    <t>glutathione S-transferase domain-containing protein</t>
  </si>
  <si>
    <t>MTDDSLKAEALSWAALEALAPAAAERVEGPTNAQASLRLFGHSEADVQVTLFRDHHAWCPYCQKVWLWLELRRVPYRIRKVTMRCYGPKEPWFTALVPSGMLPALELNGRLITESDRILEALERTFGPVGAGMHDRRVRRLRELERLLFRAWCVWLCTPGLREDQERRARDQFQRVASQMEEAIAAGGGCWLDPDHPSGATPGTADLVFIPYVERMNASLAYFKGFALREAHPGIDRWLTALEQLETYRGTQSDVHTHAHDLPPQMGGCWADGSAQQQFMAAAVDQGEGLGALECRWTPPEAGVTPQARALERVLRHRHTLLVRSPLGEGFDQPLRAALTKLIAGTAVMPSSGSAAALRYLRDRISVPRDMPLHSARLLRQALESTAALAGQDQPSALPFEHRFDQDPRPFVGSVT</t>
  </si>
  <si>
    <t>YP_001224729.1</t>
  </si>
  <si>
    <t>putative cytochrome P450</t>
  </si>
  <si>
    <t>degradation of toxins and mutagens</t>
  </si>
  <si>
    <t>MVTFVLPCVMAAKTLPSTGAVTGIKETLDFFGDPQFAQKRFKAHGDVFETRLLNQRLVFIRGEQTMADLFAQGDALEGWWPESVRQLLGSRSLANRSGDGHKARRRVVGQLFSAAALSRYTPSIAALVEELADELIQAKAPVQLVPCMRRFAFAVIATTVLGLDASDRQALFADFEIWTRALFSIPVAIPGTPFAKALEAKKRLLGRLKQVVAQTSAERGGLDLLSGGLDEAGIPLTDDDLVEQLLLLLFAGYETTASSLSCLMRALLLNPEIEQWLLPELLDQPWPNLESRSCPRLDATVLEVMRLTPPVGGFFRRTKQTIQLAGVAVPPDRVIQVALAPDLGDGSCDLAEIRPERHLDGSFTQTLLPFGGGGRVCLGKALAELEIRLMAIGLLQRVHLGLTPNQDLTLQQIPSPSPRGGLLVTASARHKS</t>
  </si>
  <si>
    <t>YP_001224539.1</t>
  </si>
  <si>
    <t>hypothetical protein SynWH7803_0816</t>
  </si>
  <si>
    <t>MTGMNAPDPLLERIADAPGMGRGCRRLVVLLTQLGDFDSMEYAQALVPALPQLDQAGIQLLAIAIGDPKGADRFCAFTGFPVERLQVEPNANLHQALGLSPGLQAPGGAWPSLLLMCAGIGSPGTLAEVLRGYTGDRTAPQRFGDDEVISTGVLPAIPAGLFRRAGGGGFQRPFELATVRLRNMNEVLRHWGTYVPDDRFITQRGGTFLLDADDSLLYVYRDRGILGFSETMNRPLAFLDPWMADAG</t>
  </si>
  <si>
    <t>YP_001224765.1</t>
  </si>
  <si>
    <t>peroxiredoxin</t>
  </si>
  <si>
    <t>MALKTGDAAPSFALEDQDGQMRRLEDLKGKILVLFFYPKDDTPGCTAEACTFRDQYSDLTALGAEVWGVSGDDAVSHRRFAERHQLPFPLLSDNTGNLRRSFGVPKTFGLLPARVTYVIDQQGVIQLVFNNLLDGPAHVKEAEAVVRTLAAG</t>
  </si>
  <si>
    <t>YP_001223874.1</t>
  </si>
  <si>
    <t>glutathione peroxidase</t>
  </si>
  <si>
    <t>MAPSVSNVSVRTPDGSEKTLGSYAGQVLLIVNVASRCGFTKQYAGLQSLQDTFGPRGLQVLGFPCNDFGAQEPGTLDEIKSFCSTTYGASFELFDKVHATGSTTEPYTTLNQTEPAGAVEWNFEKFLVGKDGTVLARFKSGVAPEDAGLNAAIEAALQA</t>
  </si>
  <si>
    <t>YP_001225939.1</t>
  </si>
  <si>
    <t>MLELHQFRHSAFCLKVRMTLHAKDLSFREVEVTPGLGQLSVFRMSGQRQVPVLVDGDQVFADSSAICRYLETLRPEPALLPSDPLQRAQVELIEDWADTTLAASTRAALLQAAADDGQLRLALLPDDLPAPLRQVMSGVPGGWLSTLGDLLGQEQRASMLSSLTALAEGLDQNGYLVGNKLTLADLAVAAQLSLLRFPSSSGDALAGRGVPGLSDHPRLQSLFHWRDQLEAQLNQRDPAATE</t>
  </si>
  <si>
    <t>YP_001226044.1</t>
  </si>
  <si>
    <t>glutathione synthetase</t>
  </si>
  <si>
    <t>MRHLFVLDPLERINPAKDSTAALMQAAFRASLEVWACTPADLIALGDEPLAMAAPVQPDPWVRAGEPERLPLNTFKVIWMRKDPPVDEAYLYATHLLDVAERAGVCVLNRPSSLRSWNEKLGALRFSRWMAPTLVSGRVGELQAFAEDQGDIVLKPLGGRAGLGVIRVSAQAPGLGALLELVTEQERLPVMAQRFLASVSEGDKRILLVDGEPLGAINRRPAAGEFRSNLAVGGQAEATELSERERQICSALAPALRAEGLFFVGIDVIGGMLSEINVTSPTGIREVERLMQQPLADQVIERLQQLG</t>
  </si>
  <si>
    <t>YP_001224244.1</t>
  </si>
  <si>
    <t>universal stress protein</t>
  </si>
  <si>
    <t>MFKNLLIADSGKGHVEEMVRMLRDLPAFQTARVNLLHVVSEQSKDDSDQHWTKAGSLLAKAVDNLGLNPGDVNSIIRQGDAKQTVLKVADELDADLIVMGSRGLGRLQSILANSASQYVFQLSTRPMLLVRDDLYVRHINRVLVTIDGTGVGDDALKLACDMVKDIPGGQLTGVHVSRTERTPSRGGAGSSDSLLDRAVQRARMLGVTLNPLHVTDADVGKGVCQAAETIQADLVVLASQDRRPLVARGLVDLDKLLGGSVSDYIRVHAPAPVLLVREPEQR</t>
  </si>
  <si>
    <t>YP_001225465.1</t>
  </si>
  <si>
    <t>superoxide dismutase</t>
  </si>
  <si>
    <t>MAHTLPALPYALDALEPHISRSTLEFHHGKHHNGYVTNLNKAIEGTDLDGKSLEEVISAVSGDASKAGVFNNAAQVWNHSFYWQCMKPGGGGQPSGALLDKINADFGSYDAFVEQFKAAGATQFGSGWAWLIVENGTLKITKTANADLPLAHGQKALLTMDVWEHAYYLDYQNRRPDYITTYLEKLVNWDFVAANLAAA</t>
  </si>
  <si>
    <t>YP_001225613.1</t>
  </si>
  <si>
    <t>thioredoxin</t>
  </si>
  <si>
    <t>MSAAVSDYTDAGFDQDVLKASGTVLVDFWAPWCGPCRLMVPLMDWAAETYAGRLQVGKLEVDGNPATRDAYQVQGIPTLILFRDGAEIARHEGAIARPQLQAFLDAHL</t>
  </si>
  <si>
    <t>YP_001224841.1</t>
  </si>
  <si>
    <t>AhpC/TSA family peroxiredoxin</t>
  </si>
  <si>
    <t>MTANGCLRVGQQAPDFTATAVVDQEFKEISLSQYRGKYVVLFFYPLDFTFVCPTEITAFSDRYADFSSKNTEVLGVSVDSQFSHLAWIQTPRNQGGLGDINYPLVADLKKEIASAYNVLDDEEGVALRGLFIIDPEGVIMHATINNLPVGRNVDETLRVLQAFQYVQSHPDEVCPANWTPGEKTMKPDPVGSKEFFAAVN</t>
  </si>
  <si>
    <t>YP_001226045.1</t>
  </si>
  <si>
    <t>glutaredoxin</t>
  </si>
  <si>
    <t>MPSVEIYTWRTCPFCVRAKQLLDRKGVTYTEYSVDGDEPARDAMAARGNGRRSVPQIFIADQHIGGCDELHALERAGKLDALLS</t>
  </si>
  <si>
    <t>YP_001224515.1</t>
  </si>
  <si>
    <t>catalase/peroxidase</t>
  </si>
  <si>
    <t>MSDLKCPFSGHTGAVTPAGNTNNGDWWPNQINLGILHQHHPASNPLGDAFDYPTAFASLDYSALKADLQTLMTDSQDWWPADWGHYGALFIRLAWHSAGTYRTGDGRGGAGHGNQRFAPLNSWPDNTNLDKARRLLWPIKRKYGNAISWADLIILSGNVALESMGFRTFGFAGGREDIWQPEEDVFWGKETGWLKDERRNDKGELNQPLAAVEMGLIYVNPEGPHGEPDPVASGRDVRETFARMGMTVEETVALVAGGHTFGKCHGAAPDSHLEAEPEGAALHEQGLGWRNTYESGKGEHTITSGIEGAWKPNPTRWDQGYFQMMFTYEWELTKSPAGAWQWTAKDVKPEHMIPDAHVAGKSSAPIMTTADLSLRHDAIMEPVARRFHLDQEAFADAFARAWFKLTHRDLGPRALYLGPDVPEEVQIWQDPVPPVTHPLIDEAEISTLKQQILASGQSVSALVAAAWGSASTFRGSDRRGGANGGRIRLLPQRTWEVNDPEQLNGVLTALETIQSQFNSSSSNGKSVSIADLIVLGGCAAVEKAAADGGHTVVVPFRPGRSDAGPEQTDTASFNVLKPLADGFRNWQRSGLPLRAEELLVDRAQLLTLSAPEMTVLLAGLRVMGANTAGNRQGVFTQNVGVLSNDFCVNLLDMTTRWTPTSEAQDAYIGRDSATGAERWSASRADLVFGSNSQLRAIVEVYAQNDGGSRFVADFVKAWVKVMELDRFDLRS</t>
  </si>
  <si>
    <t>YP_001225467.1</t>
  </si>
  <si>
    <t>dihydrolipoamide dehydrogenase</t>
  </si>
  <si>
    <t>MSDASFDFDVIVIGAGYGGFDAAKHAAEHGLKVAIIESRDMGGTCVNRGCVPSKALLAASGRVRELADADHLAGFGIHAAPVRFERQKIADHANQLVATIRGNLTKTLERAGVTIIRGQGRLESAQAVGVREISGVDRVITGKDVILATGSDPFVPPGIETDGRSVFTSDEAVSLEWLPRWLAIIGSGYIGLEFADVYTALGCEVTMIEALDRVMPTFDPDITRIAARHLIDGRDIDARSGVLAQSIKPGAPVQIDLVDMKTREPVETLEVDAVLVATGRVPSSRNLNLDKLGVETQRGFVPINDRMQVLANGQPVPHLWAVGDVTGKLMLAHTAAAQGTVAIDNILGHSREIDYRSIPAATFTHPEISSVGLSEADAKQLAADQGFELGVVRSYFKANSKALAELDSDGLMKLLFNKASGEVLGAHIYGLHAADLIQEVANAVARRQSVRQLSTEVHTHPTLSEVVEVAYKQAAASLLTPA</t>
  </si>
  <si>
    <t>YP_001225895.1</t>
  </si>
  <si>
    <t>MTLQIGDPAPDFTLPNEKEELVTLSSLKGQRVVIYFYPKDATPGCTKEACNFRDRWDQFEAHGIRVLGISKDNAASHSRFISKQELPFTLLTDVEPCAVASAYESYGLKKFMGREYMGMMRHTFVVDAQGNLELIYRKVKAEIMADQILNDLGLTAS</t>
  </si>
  <si>
    <t>YP_001225315.1</t>
  </si>
  <si>
    <t>MSSAAAVTDASFEQDVLQSDVPVLVDFWAPWCGPCRMVAPIVDEISKEFEGKIKVFKLNTDENPNVASQFGIRSIPTLMVFKGGQKVDTVVGAVPKATLSGTIAKYL</t>
  </si>
  <si>
    <t>YP_001225081.1</t>
  </si>
  <si>
    <t>flavin reductase-like domain-containing protein</t>
  </si>
  <si>
    <t xml:space="preserve">Antibiotic biosynthesis </t>
  </si>
  <si>
    <t>MTLDLEAKKTLLRKIPHGLFICGVAEGDVVNGFTASWVTQGSFEPPLVVMAVKADSTSNGMIQRTGRFSLNVLASDQKDLAAVFFKPQAAVGGRFEAAPYELGPLGLPILNDGLGGVECELVGQLAHGDHTVFIGEVKSSVLHRDAPALELGPTGWQYGG</t>
  </si>
  <si>
    <t>YP_001224253.1</t>
  </si>
  <si>
    <t>septum site-determining protein MinC</t>
  </si>
  <si>
    <t>Cell division and structure</t>
  </si>
  <si>
    <t>MNAASRARARRVLILPPQRSCDWRQWLPDQREFLAAGSVDLHLGDWSMGCRELTELMDALAREGYTVQQVITHCATTQIGAAALGFPSSHRPIQESGKDNGDTDSTDRRGDLRIHRGTLRAGDQFNSEGHALIIGDVNPGASVTAKGDVYVWGRLRGRAHAGAAGSPSARIIALQLRPLQLRIADLVARGPEEPPWPGQAEQACIRDGDIAIEPAQPPFLDDQTNQRKSFSAG</t>
  </si>
  <si>
    <t>YP_001224183.1</t>
  </si>
  <si>
    <t>ATPases involved in chromosome partitioning</t>
  </si>
  <si>
    <t>MISAEQATQALSDLRDAGSDRSLLDLGWLDQVRVSPPRAVIRLNLPGFAQGQRDRIVNDARTRLLRLEGIEDVQIEVGQPPSQGGIGQAGHGQAAERQAIPGVKQVIAVSSGKGGVGKSTVAVNLACAFANQGLRVGLLDADIYGPNAPTMLGVADCTPEVSGSGDNQCMQPIETCGVAMVSMGLLIEENQPVIWRGPMLNGIIRQFLYQVNWGERDVLVVDLPPGTGDAQLSLAQAVPMAGVVIVTTPQQVALQDARRGLAMFRQMGIPVLGVVENMSAFIPPDQPEKRYALFGSGGGKTLAEAFDVPLLAEIPMEMPVQAGGDQGLPITRAKPDSISAQQFIALAERLSPAVQASR</t>
  </si>
  <si>
    <t>YP_001223783.1</t>
  </si>
  <si>
    <t>SpoIID sporulation protein</t>
  </si>
  <si>
    <t>MSGVRSLAHLLVLPVVATVGCRAQDLKSMPPAPQAPALPTHRAVPAPPAAGQAILWVSLADHLGRGTQAQRSAPLLTLTSAGPAPLQLLDPSGTVVADGPTLVFSWRLVPLESPLAVARRVAGPLASFESAERLAQRWRDQGVEAKVAHPDEWEVWAPADAPDLPGVPLRDVTSTLAAEVRPVLEGPEGGRTLQGPLQLQAPNGLRWKGGVMRGPFRLQADAYGSWTLLEQVPVERYLEGVVPHEIGAGSPPAALQAQAVLARTWALANSHRFAIDGYHLCSDTQCQVYSDPRQASASVREAIRATSGEVLRWEGQPIHAVYHATNGGISASAEEAWAMDPLPYVRVQPDGSQAWRDATGLPLQSAESLRSLLQRRDGAYGAGHPRFRWTRSYSAGQLAQALAAAGKGNALPTKVSVQDRGPSGRVLALAIERDGGAPAVVLRLDAIRRTLRRLPSTLFVLRPEGARAWQFQGGGFGHGVGLSQAGAIDLAGRGWNAQRILEHYYPGTQLEPLRQAPPVPPVQAP</t>
  </si>
  <si>
    <t>YP_001225990.1</t>
  </si>
  <si>
    <t>septum formation inhibitor-activating ATPase</t>
  </si>
  <si>
    <t>MTQIIAVHSFRGGTGKSNLTANLAASLGLQGKRVAVFDTDLASPGVHVLFGYTHEGESLCLNDFLQEDAAIKDCVHEVTPAPVKAAKGHVFLAPASMDSDRIARLLREGYQVEKLNDAIFALADALSLDYVIVDTHPGINEETLLSAAIADYLVMVMRPDSQDYLGTAVAIEVAQRLDVANIQLVMNKLPSQFSRDEVRLRMQESYEVSIGSILPLSEDLLTLASGGLAVLEFPNHTWSTAVRELAQALLEASPSA</t>
  </si>
  <si>
    <t>YP_001224600.1</t>
  </si>
  <si>
    <t>glutathione-dependent formaldehyde dehydrogenase</t>
  </si>
  <si>
    <t>MIRARAAVAWAPGEPLDVTEIDVAPPQPGEVLLKVVATGVCHTDAYTLSGADPEGLFPAVLGHEGGAVVVEVGEGVSSVAAGDHVIPLYTPECGSCRFCRSGKTNLCQAIRSTQGRGLMPDGTSRFSKNGRMIHHYMGTSTFSEYTVLPEIAVARINPEAPLEKVCLLGCGVTTGIGAVRNTAKVEPGSSVAVFGLGGIGLAVIIGAVQAGAERIIGIDINPAKFAIAEQLGATECINPQDHNAPIQEVLIERTDGGVDYSFECIGNVEVMRAALESCHKGWGESTIIGVAGAGQEISTRPFQLVTGRVWRGSAFGGVRGRSELPGFVESFQNGEIPLDTFITHTMGLEAINNAFALMHKGESIRSVVHF</t>
  </si>
  <si>
    <t>YP_001224267.1</t>
  </si>
  <si>
    <t>aldehyde dehydrogenase</t>
  </si>
  <si>
    <t>MQRSQGTVMVQIAESSPFSATDLDALRAPVVTGTSRPEAWRRLQLDRLHALVCGHEQEVLDALHQDLLKPPLEGMAEVVSLLQELKLARRNLRRWMRPQSIRVPLVQQPGRAQLIREPLGCVLLIGPWNLPFSLTFWPLVSALAAGNTAVIKPSEQAPATAELIERLVPLYFPADVVRVVNGDSRVAADLVRLRFDHIFFTGGGRIGAKVLEGAAANLTPVTLELGGKNPAVVIPGADLAVTARRLIWGKGFNAGQACVAPDHILVEQSLREPLLQAMTDQRRALYGANPVQSEHLASLISERHYQRLAGLLDTARSEGRVLLGGECDATQRRIAPTLISIQDDSDPLMADELFGPLLPMIEIPDFKAAITRLQQQDKPLAIYLFGGDPSEQDQLLHSTSSGTVCFNDVILQAGVPGLPFGGVGASGMGTHHGEAGFRTFSHERSVLKRPFWLDLPQRYPPYTLKPETFRRLLS</t>
  </si>
  <si>
    <t>YP_001225987.1</t>
  </si>
  <si>
    <t>glyoxalase</t>
  </si>
  <si>
    <t>MASSLPIEALDHVALTVSDPQRSMRWYETMLGFKPAAMEGLQQGPPFLLRVAEGNYLNLFPADSAELKPVPDHSTVAMRHVAFRITYACLDDVQKKLESQGLAITAFDYGPRCRALFLSDPDGHQIELIGYAEGVFTA</t>
  </si>
  <si>
    <t>YP_001224828.1</t>
  </si>
  <si>
    <t>aromatic acid decarboxylase</t>
  </si>
  <si>
    <t>Lantibiotic (?)</t>
  </si>
  <si>
    <t>MSAPFVIGISGASAQQLAERSLQWLLRGGHSVHVIVSRGAHEVWRAERAIAVPVDPDQQQRFWRDHLDVQSGELVCHRWDDQAAVVASGSVMTRGMVVVPCSMGTVGRLAAGLAGDLLERSADVHLKEGRPLVIAPREMPWNLIHLRNLTTLAEAGARIAPPIPAWYTQPESLDDMIDFLVMRLFDGLGESLTDQNRWQGRRP</t>
  </si>
  <si>
    <t>YP_001226119.1</t>
  </si>
  <si>
    <t>hypothetical protein SynWH7803_2396</t>
  </si>
  <si>
    <t>Channel for omotic regulation</t>
  </si>
  <si>
    <t>MLFFRIALTAAVLSRLLLMFEQQGEVLVWLRLVESAALYVAFVEFSLDLLWIVLARVSSRKVAPPRLLKDLLLVVAVLLAVAVQLQSRGLLTTLGSAAVLGGLAFVVGPGTASQISNISSALTFQAERQFSVGDWVDIDGSVGRVETVTWNSTYLYDNIQDRIIILPNSLIDSSKVVNFSKPASNRYRVDVEMGLPYEAPPQKIISILLDVLENQPGVVRSAPCHVLVESFADSSINYKLKFFISNYAERHAVKSDIFSNAWYAVHRAGYSFPFPVEDVRTFAETERRDADLLQQVQKESFAVLRREPLFASLTDAQIRDIVVHDAALAFGDSEVIVREGDVGDSMYVVLEGTCSVQVKASGGPQEQILLAELRQGAVFGEMAALTDEPRKASVLAKGHVTVQTISQRMINDQFLKNGDAMEAFAAVMAKREARRREFSVDQTQTYELDLIERMRKTFARLFAAS</t>
  </si>
  <si>
    <t>YP_001226159.1</t>
  </si>
  <si>
    <t>small-conductance mechanosensitive channel protein</t>
  </si>
  <si>
    <t>MGFLQTNTGLVVGTLTLIAAWFLLNVLGRHGRNIGSLITRSLRRPLLIGLGVSLYSTWITHWIDKRIDVVDQLTLKRLSATLLIITISWATLNVGHAILQSGSMRRWIQMDDEQDEAMLINLLGRLFTILTLLITTAAMMVNLGIPSAAIATLLGGAGIGFTFATQQISQNFLSGFMLFFNRPFKEGDWINVDELQGTVESIGWYYTRIRTFDRRPLNIPNSIFATKPIENPGQMYNRRILANISLRYEDISKIAGITDKVREHLKQHPHIDQKQIILVNFNQWDASSINMMVYCFTKTTVWAEWLNIQQAIFLDIAGIVQGSGADFAFNCMTLYPASSSNPNQVTQLLSPDAS</t>
  </si>
  <si>
    <t>YP_001225522.1</t>
  </si>
  <si>
    <t>pili subunit superfamily protein</t>
  </si>
  <si>
    <t xml:space="preserve">Type II secretory pathway, pseudopilin PulG </t>
  </si>
  <si>
    <t>Cell motility; Intracellular trafficking, secretion, and vesicular transport</t>
  </si>
  <si>
    <t>MRNIINSPKNADGFTLTEMIVAMLIVGLTTTWAMPQFTKRLQQSEIDQYQNQVESGFYSLRAKIGQTKSSCEVNMPPETFNTYQPPEKTLEFTSSNGAIANSDRLICCNTEILSLSNSNNPCKDGPVIPQSAGGPFRFMVTERSGSENVRIRLDIYDEQAKTFKPVRFHELTPPGTTASGSVLLVRLQHAKDLERETPQLIERCLMVLPTGTIKRGNWSQSTSQCVLYGQ</t>
  </si>
  <si>
    <t>YP_001226087.1</t>
  </si>
  <si>
    <t>general secretory pathway protein D</t>
  </si>
  <si>
    <t>secretin of the pilus system</t>
  </si>
  <si>
    <t>MRFSPSRFTALVLIAGLSAADVGALDGLMNNVSRQVQAQGALALRIRRGPSGVEVVVEGVGAQPVLQQRINGGVWEGRLQTQGQPGVRNGSQQLSDPGASLAKVAISGSGQTYQLEVVPVPGQTLQEPVVSADGRNLILQFNGLATAPTLQTGRLDLNTPGSVPQARYAPPLRPRAVAPPLGDMAVGTMVLQNRSFVNVSGPPVTLTLNNAPAKDALMALARLGGYGFVFVGEDSAASGSAEPSSVATVSMAFQNESYARALNGVLLASGLQGKLDGRTLLVGKGAATKTFGPQMSKVIRLNQVSARSAAEYLGNLGATFNLTNTITTTTGEPASAGTSQLSNQTSQINSTILESESFGASTGPLRGLVVTTDSRLSTVTLVGDSQLVAIAEGYLKQIDLRQRQVALNVKILDIALSNDSQINNSFAFRSGNAFIVSENGQLLANFGAYKPPGSEQGGLPGRYNADQGTTPIPGTGALDGGEGFVDSPTSPFPLPGSVTRIGPDGVTERGPFRPDFGTFDNPLQPGIDEIDEDGRVTYRSPTRFQYPVNQFFDFLAAQIQSSSTKILASPTLIIQEGSESTQGSDASKISADGKVGRERTNEALVSVGTKLVTSFEVKQDENGNNFCQPVFSNAGLTFGARVEKIDDNGFVTFSLSPEISAAVGVPETIGNCGNINIINSRTLDTGKIRVRDGQTLILTGVISDTDVQAVTKWPILGDIPFIGQFFRSSSGDRTKNELVILVTPRIIDDTQGGSYGYGYRPSLPAARQIMSGS</t>
  </si>
  <si>
    <t>YP_001226173.1</t>
  </si>
  <si>
    <t>dienelactone hydrolase family protein</t>
  </si>
  <si>
    <t>chlorocatechol degradation</t>
  </si>
  <si>
    <t>MQIRRDTIGLTVDGSLMRLYVAQPQPEGCWPGLLFYSDIYQLGDPITRLADRLAGYGYVVAAPEIFHRREPIGAVIKPDATGRLRGNDNARNTPTAAFDADAAAVLDWLTDQAAVDAARLGAVGFCIGGHLAFRAALRPQVRATACIYPTGLQDGVLGSDRADSLQRAAEIQGALLTIFGSLDPHVPEPAREAILAAFAAVPGLRQTTRLYEANHTFMRDDGERWDPQCSDHAWGDVIAFLQTELG</t>
  </si>
  <si>
    <t>YP_001226196.1</t>
  </si>
  <si>
    <t>mannosyl-3-phosphoglycerate phosphatase</t>
  </si>
  <si>
    <t>response to thermal and osmotic stresses</t>
  </si>
  <si>
    <t>MTTTLRRQWWVVTDLDGTLMDHRYDWTPALGTIRLLQRRGIPLIPCTSKTAEEVRRFREQTGLRDPFIVENGGAIHGENADGSPWQQRLGPSWQELRPQLDGLARDLGQPLQALDDLSDQEADRLLGLGGEALQQAQRRACSVPFVSPPDGESRRRLQQLAQARELAVVQGNRLGHLLGADVSKGRALAVLKQRQGASDVAVLALGDSPNDLPLLHAGDRSIVVPGVDGPHPALQAGLAEGRFQLAPAPHAHGWSAAVEHWLPRLLDDLDQVD</t>
  </si>
  <si>
    <t>YP_001225410.1</t>
  </si>
  <si>
    <t>carboxylesterase</t>
  </si>
  <si>
    <t>MGASPDPIVLPGGSTTVVLIHGYTGSPAEMGLLADSLQREGYGVECPLLAGHGTCLEDLMPVDPVQWLNQLDAVVDRLQQQGQSVVVGGLSLGAILALQVARRRPSIQGVITCSPPIISADPRALIAPLLAKVLASVPRPPDDFVDPTTAERIWTYNRWPSRCSVKVLELIADTRRHLAEVRQPLLVMASRLDRVITVRGVNRLCERVSSRSVQLQWLENSGHLITTDAEWRTVAAVTAEFIKCLGV</t>
  </si>
  <si>
    <t>YP_001224373.1</t>
  </si>
  <si>
    <t>hypothetical protein SynWH7803_0650</t>
  </si>
  <si>
    <t>Laccase</t>
  </si>
  <si>
    <t>ring cleavage of aromatic compounds</t>
  </si>
  <si>
    <t>MAPTPAHRPSGEPFQRPDRYFNVLEQWTWVGCYGGYYLTADLLHAAGFEHGFFTRRWQGRGPEELAGYLSTGASVHRPQQVHGNVVLPASKATESPWPEADGLVSDRGGQSLWVCGADCTPVLIADPDSGHASACHAGWRGVASRILPEAVSQLEALGARRERLLVALGPAVSAPNYQVENAVAEMVGNALGSRQQSLQTLERDGVTQADPEHGRCRLDIRRAAFLQLVNLGLRADRVSLCPLCTVSEPDLFHSWRRDQVKAVQWSGIVGQAAA</t>
  </si>
  <si>
    <t>YP_001225321.1</t>
  </si>
  <si>
    <t>Beta-lactamase family protein</t>
  </si>
  <si>
    <t>MSSSRSSRQSSGWGRPLRLLLRLILMGVGLGVITGSLLKLAGPAVQRGELTLPTWISLPGSPRSAETKAGSPTPAPKQAKRTQSLGRFQTNNELKALSDRWKQLAAGQPDLTVSAFMLVLDDGRYAQLAPDTALPAASSIKTPILLVTLEELDAGKLSWNEPLQLSKAVVGGGAGWMASKPLGTRFPTHEVATEMIRVSDNTATNLLIERLGGKEALNARFNALGLSATAVNNWLPDLKGTNTTSARDLARSIALVDTGEALSIRSRDLFREVMGTSVTNTLLPKGLLRGLGGQQGAPDDSLMIKGYRVLNKTGDIGIAYADAGLIELPDGSRAVAAFLVKGPFNDPRSTELIRKLAAAMAPVLKPKPAVTRNTAAASINP</t>
  </si>
  <si>
    <t>YP_001226089.1</t>
  </si>
  <si>
    <t>hypothetical protein SynWH7803_2366</t>
  </si>
  <si>
    <t xml:space="preserve">fimbrial assembly protein </t>
  </si>
  <si>
    <t>MSRQQQRLPDLLRERRLELGLPQQAPPLMPKEPLLLRGALLGGAAVGVALAFVVGLGWIEAAQRRELETLLPFERQVRSLEGQIKANRGKLSSIKKDTLQIAEQLVAVPAGSPLLEQLRRVTPAGIQLEDVSVQNDRIKVSGKAAMGTTPGPLERINALAITLARLPISKADGVKVLKLTREDGDSPVVNFSLDWELDPKAGPSIQQLKALGAEGLAERYRLLEQQGVPL</t>
  </si>
  <si>
    <t>YP_001225689.1</t>
  </si>
  <si>
    <t>circadian clock protein KaiA</t>
  </si>
  <si>
    <t>circadian clock</t>
  </si>
  <si>
    <t>MARPALTIALLLTSKELVDACTQWLPVNRYKPVDLHQAASGEGLLEVLAHQREAVDAVVIEQSLLDETTREGLRRGGLLFPAVVVGELMGRVDYHPEEVHLPVDQLEQLGYNVDAAISRFLRQGQKEARPEDGSAPSSAESASSAWKLSSRLQERLGYLGVFYKRDPSRFLANLPPDEQRELLRSLQRTYRDLLISYFRDPAAANQALESFVNTAFFGDLPITRTVEIHMNLIDEFWKQLRLEGHKNDFLQDYRLALLDVMAHLCEMYRRSIPPEVALAVPSEQRRSLMDSEVSS</t>
  </si>
  <si>
    <t>YP_001224281.1</t>
  </si>
  <si>
    <t>hypothetical protein SynWH7803_0558</t>
  </si>
  <si>
    <t>adhesion (?)</t>
  </si>
  <si>
    <t>MKKAIAAFVSLGAFLSPAARSQSVGFGNVTPFNTANPTVINSTFTAITGWELSYSDYTYPTIPIDSIAIGSMYKPDHRGFDNTTGQFTGLVNGACPSFGLPDPRCAPTAATPPEPQAEGSIAIGQNAKVLTTGTSVPEQDVTAGEFGVAIGSSSEVSGYHGVAVGLLSQASGIAATAYGPEARAQGLQAIAVGDISTASGDQSIAIGALATADSPFATAQGYAASAKAQASVAIGAASTASGFLSTALGSLAEAADTGALAVGSEALASGSGSVAVGSQSISSGVRSVALGTQAVSSGTSSFAAGDLAAATGAGSTAIGPGSAALSDFSTAIGFEAVSDKEGLIVIGGTKTTEVQIGEPGSQLTLPGLAKDGQFAGNKYQSGEAELVTVDENGVAGTQSSKDLTNEIIDTYNNKMKTGNLPYAINSTGALVAAMSAVPTMSAGEDEPARCGIGTGGISNSYAFAAGCAIKINNRLHLNGAISFTDSVDYFNNSSSSIAGRIGFSFPLFVQKSSKEPSSEQASIENFKRLKAENNSIKEENRLIRAELAQIKTLVQAMLESKTNNIAKDQINK</t>
  </si>
  <si>
    <t>YP_001226030.1</t>
  </si>
  <si>
    <t>hypothetical protein SynWH7803_2307</t>
  </si>
  <si>
    <t>structural integrity of the cell envelope</t>
  </si>
  <si>
    <t>MQRSLTVVALSSLLLVAGCATGEKRVSKPETRTLRVAFCGVEKGTFIDANDDRKLSVGDTVSYKLVVASSPGDQGCEKVDGSFYGLEQIVEQRKVDGEETFLTKAQGTFIFENGNLQVRSLGHLRANEKQMQSMNRSGAMKLVISDIFPMKHQATVVGEGGVYNGYVGTAMFVPGTPPVAEFKLFNRFGS</t>
  </si>
  <si>
    <t>YP_001225121.1</t>
  </si>
  <si>
    <t>glucosylglycerol-phosphate phosphatase (Salt tolerance protein A)</t>
  </si>
  <si>
    <t>osmoprotectant</t>
  </si>
  <si>
    <t>MFRMDLAQLQEELLASSDLLIVQDLDGVCMPLVKDPLTRRMPADYVRAAATLKGRFQVLTNGEHEGRRGVNRLVEAALGDTETAAREGLYLPGLAAGGVQLQDCYGHLTHPGVSDAEMTFLANVPTRMQGLLAERLPSVMPELGNEAIAAEIERAILDTQVSPTINLNSLFSLIPNDVARQRQLQVMLQELMDQLMAMAAAEGLANSFFLHVAPNLGRDQEGVERLKPAEAGDVGSTDIQFMLRGAIKEVGLLVLINRHIADRTGTAPLGDDFNVRTAPHDHGALLALCHEHIAQDQMPHLVGVGDTVTSTPCPSGDGWLRGGSDRGFLTLLQELGESYGHCNRVVLVDSSAGEVDRPSLLDGSLEGISDPNDSLRFDVCIPEGPERYVNWFIALAEAHHGPEPSA</t>
  </si>
  <si>
    <t>YP_001225965.1</t>
  </si>
  <si>
    <t>Signalling</t>
  </si>
  <si>
    <t>MKPCILLIEDDRDMRELVSGHLEHSGFDVQSADDGIKGQALALQYNPDLILLDLMLPKVDGLTLCQRLRRDERTSAIPILMLTALGGTKDKVSGFNSGADDYLTKPFDLEELQVRIKALLRRSDRAPVGTSGNHHEILSYGPLTLVPERFEAIWFDKPVRLTHLEFELLHCLLQRHGQTVAPSLILKEVWGYEPDDDIETIRVHVRHLRTKLEPDPRKPRFIKTVYGAGYCLELPTGAQLEGLEDVLAQARQDREQNDQNSRASA</t>
  </si>
  <si>
    <t>YP_001225436.1</t>
  </si>
  <si>
    <t>5'-nucleotidase SurE</t>
  </si>
  <si>
    <t>Stress response</t>
  </si>
  <si>
    <t>MAPLRILISNDDGVFADGIRALAGAAAAAGHQVTVVCPDRERSATGHGLTLQTPIRAEKADSLFDAGISAWACSGTPADCMKLALFELMDEAPDLVLSGINHGPNLGTDVFCSGTVAAAMEGTLEGLPSMAISSACFQWRDFQGAAALAVEVATAALRDQWPENLLLNLNIPPCRPEVMGPLRWTRLSIRRYDEQFSPRKDPRGRTYYWLAGEVVEDLESGGDGPRDWPTDVAQIEANSPSLTPIQPELFWRGPLGGLPRLELNGQRVR</t>
  </si>
  <si>
    <t>YP_001224839.1</t>
  </si>
  <si>
    <t>MSSEQKSQSQPGLDAPKAEGANRPSNPFSRFRAEPPPSYSVLLKQITSGKVKELELVPARREVIVTYPDGRTATVAILANDQQILRTAESSGTPLRVKDVRQEQALAGLAGNLALIVLIVVGLSLLLRRSAQVANKAMGFGRSQARTSPQSEVTVRFDDVAGIAEAKDELQEVVTFLKQPETFIKLGARIPRGVLLVGPPGTGKTLLAKAIAGEAGVPFFSLAASEFVELFVGVGASRVRDLFRKAKEKSPCIVFIDEIDAVGRQRGAGIGGGNDEREQTLNQLLTEMDGFADNSGVILLAATNRADVLDTALMRPGRFDRRIAVGLPDRKGREAILSVHARTRPLAEEVSLADWARRTPGFSGADLANLLNEAAILTARHQSTTLGNRELEMALERITMGLTAAPLQDGAKKRLIAYHEIGHALVAALTPHADPVDKVTLLPRSGGVGGFTRFFPDEEVLDSGLVTRAYLQARLVMALGGRAAEVVVFGASEVTQGASGDLQMVAQLAREMVTRFGFSDLGPVALEGQDQEVFLGRDLIHTRPSYGERTGREIDLRVRVLASDALQQAIQLLESRREQMDRLVDALIEEETLQSDRFYSLLGIDPPDRRPSLGQLPAWT</t>
  </si>
  <si>
    <t>YP_001224078.1</t>
  </si>
  <si>
    <t>MNKRWRNVGLYVLLVVVVIVVGTAFLDRPDPASTAQNLRYSDFVEQVQEDQVSRVLLSPDRGTASVVATDGRRSEVNLAPDKDLLKMLTDHNVDIAVQPSRQPGAWQQAASSLIFPLLLLGGLFFLFRRAQSGGGGGGNPAMNFGKSKARVQMEPSTQITFGDVAGIEGAKLELTEVVDFLKNPDRFTAVGAKIPKGVLLVGPPGTGKTLLAKAVAGEAGVPFFSISGSEFVEMFVGVGASRVRDLFEQAKKNAPCIVFIDEIDAVGRQRGAGLGGGNDEREQTLNQLLTEMDGFEGNTGIIIVAATNRPDVLDAALMRPGRFDRQVVVDRPDYAGRLQILNVHARGKTLSKDVDLDKVARRTPGYTGADLSNLLNEAAILAARRDLSEVSNDEISDAIERVMAGPEKKDRVMSERRKRLVAYHEAGHALVGALMPDYDPVQKISIIPRGNAGGLTFFTPSEERMESGLYSRTYLQNQMAVALGGRVAEEIVYGEDEVTTGASNDLQQVAQVARQMVTRFGMSDKLGPVALGRSQGGMFLGRDIAAERDFSEDTAATIDEEVSELVDVAYKRATKVLVGNRSVLDELAEMLVEQETVDAEQLQELLIRSDVRVAEYV</t>
  </si>
  <si>
    <t>YP_001226053.1</t>
  </si>
  <si>
    <t>Zn-dependent hydrolase</t>
  </si>
  <si>
    <t>MTDLLHQRSAGRMASALAATALLSTLAIPAARAAGVTITSYGHSALLINGGGRSVLVNPFKAVGCAKGLREPRVNATVTLASSELPDEGARIGGGTYLVKPGSYRVGGLNLEGFSAPHDRVGGRRFGNATIWRWQQGGLSFAHLGGSAAPLSGEDKVLLGRPDVLIIGVGGGGKVYDGKEAAEVVRQLNPRRVIPVQYVSGDAPQGCDQGGVQPFLDAMGGTKVRRVGTTLSLPGTLGDNTVIDVMR</t>
  </si>
  <si>
    <t>YP_001224252.1</t>
  </si>
  <si>
    <t>septum site-determining protein MinD</t>
  </si>
  <si>
    <t>MTISRTILICSGKGGVGKTTLTANLGIALARQGARTVVLDADFGLRNLDLLLGLENRIVYTAQEVLAETCRLDQALVKHKQESNLALLPAGNPRMLEWLKPEDMQAIVSMLSERFDYVLIDCPAGIEDGFKNAAAAAKEAIVITTPEVSAVRDADRVIGLLNTRGVAPVQLVLNRVRPRMMANQEMLAVDDVTDILALPLLGLVLEDEQVIVSTNRGEPLTLNGSASPAAKAYTHIARRLQGEDVPLMDPAREGRTGLRAKVRRLMQTKIF</t>
  </si>
  <si>
    <t>YP_001225482.1</t>
  </si>
  <si>
    <t>cell division protein FtsZ</t>
  </si>
  <si>
    <t>MEMVNGQMSSSPAVEGILPSQSARIEVIGVGGGGSNAVNRMIMSDLEGVAYRVLNTDAQALIQSSAEHRVQLGQTLTRGLGAGGNPNIGQKAAEESRADLQQAIQGADLVFIAAGMGGGTGTGAAPVVAEVAKESGALTVGIVTKPFGFEGRRRMRQADEGIARLAEHVDTLIVIPNDRLRDAIAGAPLQEAFRSADDVLRMGVKGISDIITCPGLVNVDFADVRSVMTEAGTALLGIGVGSGRSRAIEAAQTAINSPLLEAARIDGAKGCVINISGGRDMTLEDMTSASEVIYDVVDPEANIIVGAVVDEALEGEIHVTVIATGFENGQPYRSERSIPQAAPSAYASPEPSDAGARIPEFLRQRQSRQDPTD</t>
  </si>
  <si>
    <t>YP_001223906.1</t>
  </si>
  <si>
    <t>serine/threonine protein kinase</t>
  </si>
  <si>
    <t>General function prediction only; Signal transduction mechanisms; Transcription; Replication, recombination and repair</t>
  </si>
  <si>
    <t>MSAGHCPYHSAHYRLHVVIGTLLADRYRLDRCLSADPDHPQGTLWCAADQMAASAPVAVRQLRDAQASERIRGLWPAMQSVLHPQIPRFGGLLEEQGCLWLVREWQEGSSLLQIQAQRLERQLVFGPGEVLLLLRQLLPPLAVLHGQQLVHGDLNPRNLLRRDQDGLPVLIDFGLLQRSGEQPIPGASAAYAPRAQGRQEPAAPWMDLHALGVTALTLLSGRPPEQLLASEADDWLLPADLDLESPYRTVLERLLSEQGDRRFATASEALKALQRVTMPESTGPQPRADRTLVLAPVVVAEPQAAPPSPDLPPLAAASDASERPRPRAEQRQQAAEGRLWPVVGALLVSALVGTAIGWFLLSRGKPPAGAPSTERDVIGRSPAASLPPAEVDQRQQLLSRLRALQVDRSWFLQLVDASLLARFPERNGRLPSDSLEDAPLRRVWNELAEEWLARVEQLPPMLRARLGRLKDADWQKQRQALVQQGVNVRVVEQLVSASAQTLLPGVATGVKPPEPFRQLWFAAALRSLEDVRIEAVKARAGVPTVLSSRVSAGGARLISISVPAGRRLVLGINGTPLMQMTVYGADGEVAADRGPLRVVTLTEDAGSPVQVLVTNDGVSSGLLTLSCRADLPEPKPLPAVDPDPIPDPATGAEGPVEALPEPPGPKPAGVEEPPAAEEIPSGVDEDGQPPAPDTN</t>
  </si>
  <si>
    <t>YP_001225172.1</t>
  </si>
  <si>
    <t>osmolarity response</t>
  </si>
  <si>
    <t>MGRSSMIWVVDDDPELRQMVGTYLIDQGYDVRSLSDVKQLEARLEFQRPDLIVLDLMMPGDDGLTALRRLRDAGDDLPVVMLTARGEGVDRIIGLEQGADDYLAKPFLPRELSARIEAVLRRRSSLPAGTPLAEGGDVVFGENVLDLAARTLTREGKPVVITSGEFSLLASFVQHPHRPLSRERLIELARGPGCDTDSRSMDVQVSRVRKLVEPDPTRPRYLQTVWGYGYVFVPDGQPRSR</t>
  </si>
  <si>
    <t>YP_001226032.1</t>
  </si>
  <si>
    <t>MTASVPEQPPVRLLLVDDEPGLRSAVQAYLEDEGFEVTTAVDGEEGFGKAQQLLPDVVITDVMMPRLDGYGLLTRLRADERLGGTPVIFLTAKGMTADRTQGYLAGVDDYIPKPFDPDELVARVRNVAQRQQRLLQEAARFADADMGQIAKQITEIRSLLAQAEALPAQEPVQHTFTPRESSVLQLVAEGLMNKEIARQLETSIRNVEKYVSRLFIKTGTSSRTELVRYALQHRLVE</t>
  </si>
  <si>
    <t>YP_001224584.1</t>
  </si>
  <si>
    <t>hypothetical protein SynWH7803_0861</t>
  </si>
  <si>
    <t>MASFDKNTPFMLLARIHVKPDCVEAYLELARATDAAVQASEPGMLHHTFDQDPDDPQAFVWSELYANDAAFAAHVSNPPVQEYLQKHAELGDDFRVEVYGTVGDECRTLMQSFGLPLKIFETQLGYSRV</t>
  </si>
  <si>
    <t>YP_001224939.1</t>
  </si>
  <si>
    <t>MNQRWRQILLWGLPITIALVLAWQVLGSGGLNGLKPGGPTVAPRNTAVARMSYGRFLDYVQAGRVTSVDIYDGGRDAVVEAVDPDLDNRVQRLRVDLPGLAPELINTLKAEGISFDIHPPKTAPPALGLLGNLLFPLLLIGSLIFLARRSNNMPGGPGQAMQFGKTKARFAMEAETGVMFDDVAGVNEAKQDLQEVVTFLKQPEKFTSVGAQIPKGVLLVGPPGTGKTLLAKAIAGEAGVPFFSLSGSEFVEMFVGVGASRVRDLFKRAKENSPCLIFIDEIDAVGRQRGAGIGGGNDEREQTLNQLLTEMDGFEGNSGIIIIAATNRPDVLDSALMRPGRFDRQVTVDAPDIKGRLSILEVHSRNKKLDPELSLDSIARRTPGFTGADLANLLNEAAILTARRRKETISLSEIDDAVDRIIAGMEGQPLTDGRSKRLIAYHEVGHALVGTLVKDHDPVQKVTLIPRGQAQGLTWFSPDEEQMLVSRSQLKARIMGALGGRAAEDVVFGRSEVTTGAGGDIQQVASMARQMVTRFGMSNLGPMSLEGGSQEVFLGRDLMTRSDVSEAISKQVDDQVRNIVMQCYQETLELVGAQRELMDDLVELLIEKETLDGDEFRDMVAKVTNIPEKERFSPVLN</t>
  </si>
  <si>
    <t>YP_001225463.1</t>
  </si>
  <si>
    <t>hypothetical protein SynWH7803_1740</t>
  </si>
  <si>
    <t>Secondary metabolism PHA synthesis</t>
  </si>
  <si>
    <t>METANPLQQILLRGLGTTTLVAERLRGVTQDWVSSGRLDASQASALVDDVLKALRGETPELEQQMGRNLERNRDHLLQDLGVASQKELDELRGRIDRLEQQLRQRERQD</t>
  </si>
  <si>
    <t>YP_001223895.1</t>
  </si>
  <si>
    <t>rod shape-determining protein MreB</t>
  </si>
  <si>
    <t>MLFRRFQLSRDIGIDLGTANTLIYVSGKGIVLQEPSVVALDLERGATLAVGDEAKLMLGRTPGNIRAVRPLRDGVIADFDAAEQMLKTFIQKGNEGRGIVAPRLVVGIPSGVTGVERRAVREAGLAGAREVHLIDEPVAAAIGAGLPVTEPVGTMIVDIGGGTTEVAVLSLGGTVLSESVRVAGDEISDSIGVYLKKVHNLVVGERTAEEIKIRIGSAFPDNEFDQTVMDVRGLHLLSGLPRTIQLQAGDLREAIAEPLNVIVEAVKRTLERTPPELAADIVDRGIMLAGGGALVRGISDLISHETGIFTHIAEEPLLCVVKGCGQVLEDYKRLQRVLDTPEFVRAAAAV</t>
  </si>
  <si>
    <t>YP_001225971.1</t>
  </si>
  <si>
    <t>MTASAPTKETILVVDDEASIRRILETRLSMIGYNVVTACDGTEALECFQECEPDLVVLDVMMPKLDGYGVCQELRKESDVPIVMLTALGDVADRITGLELGADDYVIKPFSPKELEARIRCVLRRVEKEHAAGIPNTGLIKVSDLKIDTNKRQVFRADERIRLTGMEFSLLELLVSRSGEPFSRGEILKEVWGYTPERHVDTRVVDVHISRLRSKLEDDPANPELILTARGTGYLFQRIVDSVASEGP</t>
  </si>
  <si>
    <t>YP_001225687.1</t>
  </si>
  <si>
    <t>circadian clock protein KaiC</t>
  </si>
  <si>
    <t>cellular processes</t>
  </si>
  <si>
    <t>MQISSSSGSPQMQVQKLPTGIEGFDDVCQGGLPIGRSTLISGTSGTGKTVFSLHFLHNGIAHFDEPGIFVTFEESPLDILRNAASFGWNLQEMVEQDKLFILDASPDPDGQDVAGSFDLSGLIERINYAIRKYKAKRVAIDSITAVFQQYDAVFVVRREIFRLIARLKEIGVTTVMTTERIDEYGPIARYGVEEFVSDNVVILRNVLEGERRRRTVEILKLRGTTHMKGEFPFTMGAHGISIFPLGAMRLTQRSSNVRVSSGVPRLDEMCGGGFFKDSIILATGATGTGKTLLVSKFIEDACRNEERAILFAYEESRAQLLRNATSWGIDFEQMEQDGMLKIICAYPESTGLEDHLQIIKTEISQFKPSRMAIDSLSALARGVSHNAFRQFVIGVTGYAKQEEIAGFFTNTSEEFMGSHSITDSHISTITDTILLLQYVEIRGEMARALNVFKMRGSWHDKGIREFVITGNGPQIKDSFSNFERIISGVPHRVTTDERSELLRIARGVDPDA</t>
  </si>
  <si>
    <t>YP_001225564.1</t>
  </si>
  <si>
    <t>twitching motility protein</t>
  </si>
  <si>
    <t>Motility</t>
  </si>
  <si>
    <t>MQVRWRDPKRDLASSQPILTCHGSSSGEAETRTRRKPMTQPIFPPGFPPQPGPTPTRSPTSRPPASKPQSSGAPGQGSPSLEDIVQIAHAKGHSDVHLGVGEIPRFRARGEMLQTEWPVTDPGTFQGWLREILSPQHIDLFQQTKEFDGSHAFPFVRVRINLLDSLLGPAMVLRLIPQTILTLEDLNLPDVLRELASRPKGLVLVTGPTGSGKSTTLAAMIDWINRHQTRHILTIEDPVEFVHQSQRSLIRHREVGLHTLQFHNALRAALREDPDVILVGEIRDRETLSTALEASQTGHLVFGTLHTNSAVKTVERVLGLFPPEDQDSVRRSLSESLLGVIAQGLIRTNDGKRAAYHDILINTEACKDYIQRGALDDVEEIMERSGFDGMVTSNQSLLALVEAERIEANDAIALSLKPNELAQAIRGRST</t>
  </si>
  <si>
    <t>YP_001225551.1</t>
  </si>
  <si>
    <t>Rossmann fold nucleotide-binding protein involved in DNA uptake</t>
  </si>
  <si>
    <t>Other</t>
  </si>
  <si>
    <t>DNA recombination-mediator protein A</t>
  </si>
  <si>
    <t>Replication, recombination and repair; Intracellular trafficking, secretion, and vesicular transport</t>
  </si>
  <si>
    <t>MSRSLDLPALDKVDTLAQELALLQDKGQRRIAILGSRHVPVVAIHLIELIARSLAQEGHSLVTSGAQGVNAAVIRGVLAVDASKLTVLLPQSLSRQGPEIQDQLEQVLHLIEKPEHDDLPLPMASSLCNQDIISRCDQLICLAFHDSETLLASCRNAEDMGKVVSLLYFD</t>
  </si>
  <si>
    <t>YP_001225688.1</t>
  </si>
  <si>
    <t>circadian clock protein KaiB</t>
  </si>
  <si>
    <t>MSPRKTYILKLYVAGNTPNSMRALKTLRNILETEFKGVYALKVIDVLKNPQLAEEDKILATPTLSKILPPPVRRIIGDLSDRERVLIGLDLLYDELADNSLTSTLMDALEDADTTDSDS</t>
  </si>
  <si>
    <t>YP_001223901.1</t>
  </si>
  <si>
    <t>hypothetical protein SynWH7803_0178</t>
  </si>
  <si>
    <t xml:space="preserve">pilus assembly protein </t>
  </si>
  <si>
    <t>MSGERVGFRFKHADAVVKRNPQGRSRRGWVMEPVEQTTSRGTKMPAYRIRWRDSERPEIVLQHMLIADPDPTPPPENVSLEPPAPKA</t>
  </si>
  <si>
    <t>YP_001225981.1</t>
  </si>
  <si>
    <t>cAMP-binding domain-containing protein</t>
  </si>
  <si>
    <t>Signal transduction</t>
  </si>
  <si>
    <t>MRRFAVQQGDYIYRADQDSASIYLVKSGSVEITTLYPETGEGVDETHGPGHVFGEVEIIDSRPRIANARAARSSQIVEIPKEELMEILYEKPEKSLILGKSTFEHLRSLYDDASIDSDLERLREEMHVNIRDAVVAHESRVLKSHNGMAAIAVPIILLVVLAVGAYWFFHRG</t>
  </si>
  <si>
    <t>YP_001223999.1</t>
  </si>
  <si>
    <t>SAM dependent carboxyl methyltransferase</t>
  </si>
  <si>
    <t>MAIAMTTGYSAQTEGALLCIEAASDWALTCVDQLPVSDSHVLIDYGAADGGTAVGLWSQILDRLHAKQPQAHLTLIGNDLPSNDNVALAENLALQIPRDPKPTVLVSARSFYEPSVGPNTISFGFSATAMHWLSESPGPLNTHTHVLASGDADALQRFTAQALKDWTYVLELRSRELIVGGRLLTVNLSRDHEGRYLGHNGGETRNVHDQLHQIWRELADEGVISEEQYRNGTVLNFYKSPDEFMAPLKDESSAPYRNGLRLVDERTVYVKCPYRRRWNEDGDTATFAAGLMATIRSWSRHSFASAAGDKAADLVYERLQQRIADAPSEWSLDYVEHHQMMEKVA</t>
  </si>
  <si>
    <t>YP_001225376.1</t>
  </si>
  <si>
    <t>hypothetical protein SynWH7803_1653</t>
  </si>
  <si>
    <t>Prophage Protein-like</t>
  </si>
  <si>
    <t>MGQLSRLATTGLACSLLTAVPAFAQSKGITYPKAGIVCDQVGQVCYDSYGPSIGITKIYFGEFAADRLSQNRRGSTSNDFRLSSGQACSIQKRKCWDDGWSQANVAKGLTKQLFGSSNNNASASSGNRQVATDTGYCSLSQRGQRVFDGPCQLKQVSKGDRNRYKIQLENGSKYVFKDNGSGTYTITDSFGGSWPVTFVDHGNTGVFRFADYKLVATQNSGSTNQEAAGAALGAAVGSMLNNLFK</t>
  </si>
  <si>
    <t>YP_001224193.1</t>
  </si>
  <si>
    <t>oxidoreductase</t>
  </si>
  <si>
    <t>MVGIGFGTWAWGNQLLWGYNPDLDDSVLESTFQQAVAGGLCLVDTADSYGTGFLNGRSEELLGRFLSAMQPEHRAQLTVATKLAPFPWRLGRRGLVNAFLASQRRLHGCMDRVQLHWSTARYAPWQERPLLDGLADLVEQGAVREIGLSNVGPRRLTLLHRHLKDRGIPLASVQVQFSLLAPGPRQHGGILDISRDLGVDVLAYSPLALGVLARGPGWTPQGLTPLRTGLFRRLLPASESLRQTMVSIAEARGVSQVQVALNWCRSHGTCPIPGLRRPSQVMDAQQALTWSLSADERTQLDQSSAEVMVRMPDNPLQSA</t>
  </si>
  <si>
    <t>YP_001225774.1</t>
  </si>
  <si>
    <t>methyltransferase gidB</t>
  </si>
  <si>
    <t>MPESTPFAAPGPELWSRLGWTPDAGQREQLITLQELLRDWNTRVNLTRLVEGEDFWVTQVLDSLWPLKPELDTADTPRRCIDVGTGGGFPGLAVAIALPGAELTLVDSVSRKTAAVAAMARSLGMADRVSVRTERVERTGQDPRCRGQFDLALARAVASAPVVAEYLVPLLHTNGQALLYRGRWQQEDQRDLDPALALLKAKTVAIERCELPSARGPRTVIRVMPEQPTPHLYPRAVGIPSKQPLGIQADDNRS</t>
  </si>
  <si>
    <t>YP_001226036.1</t>
  </si>
  <si>
    <t>S-adenosyl-methyltransferase MraW</t>
  </si>
  <si>
    <t>MPDQLPATDSTFRHVPVLADVLLNALDEEPSVHWQSGLVVDATLGGGGHSSLLLDRYPDLRLIGLDQDPTARAAAATRLSPWKERVSIVATNFADYSPPQSASLVLADLGVSSPQLDVAARGFSFRLDGPLDMRMNPESDGETAGELIERMEESDLADLIYAYGEERLSRRIARRIKADLAAQGPYAGTASFAYAVAGCYPPKARRGRIHPATRTFQALRIAVNDELGVLDQLLSSAPGWLQPGGLLAIISFHSLEDRRVKTAFLQDERLDRITRRPLVASAEEQERNPRSRSAKLRIARKRSES</t>
  </si>
  <si>
    <t>YP_001223759.1</t>
  </si>
  <si>
    <t>nucleoside-diphosphate-sugar epimerase</t>
  </si>
  <si>
    <t>MPESLVNRCRPLPAGSKLCILGAGFSGGRLAALAAALGIPVISTRREPAPGSGHLTFDSASGQGPDPHQLEGVTHLLNTIPPDRDGNDPVLTTLGDQIKRWPLRWVGYLSTTGVYGNTDGAWVCENDPPQPSQERSRRRLACEQEWQASGLPLQILRLPGIYGPGRSPLAAVKAGTLQPVDKPGQMFCRIHVDDVAAAALHLMHCSAQGQHPEIVNVCDDEPAASVSVHRYAASLLNCELPQPKAFAEAEAGMSAMARSFWADNRRVSNRRLREDLGYELIHPTYRSGLAQCLAVETLRESGTASSQA</t>
  </si>
  <si>
    <t>YP_001224920.1</t>
  </si>
  <si>
    <t>putative multicopper oxidase</t>
  </si>
  <si>
    <t>MTSRRQFLRLSVVGTGLTLLGRDLRTRSRAAALSLWETFRNRWPFNSSRNAATTVLKVVSKPLTVNGRTVTRGSIQQADGTFGYVVTRDQGVDVEIVNTLEVPTTIHWHGLYIPNLQDGVPFVTQPPIPPGQSLRIQYPLLQDGTFWIHSHYGLQIQDYVSAPFLVLTPEQERWADRDVTVMLRDFSFTPSDQILKNLIAGEDGGGTAMAKSLSNFAWNQPRDVLVQGWNPTSQRFEWRTDRQPVKQPDVVYDALLANDRTLDDPEVIEARPGDTVVLRMIAASAFVSWFVDLGDLVGTLLRTDANPVEPIEGSVFQLATAQRLAIRVTLPDEPGLFPVLAYGQRSNMRCGVVIRTSQESLPSLNPQTDQWIGRLSFLQEQRLRSRTPLASRPVDNEIPVALTGPAPRYKWSLNNKVYPYRDPFRVRRGERVEIVFSNPSPMAHPMHLHGHEFEIVEINGQRLQGATRDTVMVPSGETCRIAFDANQPGIWAFHCHITYHDAEGMFNVVAYDDADLRWWQPEQVDQEDLRFR</t>
  </si>
  <si>
    <t>YP_001225899.1</t>
  </si>
  <si>
    <t>GTP-binding protein; HflX</t>
  </si>
  <si>
    <t>MKQAHLAGRTRGLRPSQLRQLERLSHRRHPQNAGSDLLTLERLAELTSELKQSLHLLIDARGVCRLLWVGPLGESSRLDDQLPGGLRRRQRWRLVSSLPGTQGVDLKPEGREAVIALDVAPSTWLRLQAAATRSGTRPAALWRADAAAAIGWRCDAIDALSALCADETTPSAAEPAGVKDPGDHPGSQEERVLLLTLIGADPAINERELAELEGLTRSAGACPVAVCRQRLGQINPQTLWGTGKLQEAAVDVRRHGASLVITDRELTPVQARNLERLLDCPVMDRSELILDIFAQRATSAAGRLQVELAQLRYRLPRLTGRGLSLSRQGGGIGTRGPGETQLEKDRRAISRRIEHLSRELRQLGAHRARLRQQRSTLPRVALVGYTNAGKSSLLNALCDRGQGRAVEAKNRLFATLDPTTRRLCLPQSGAAPKELLITDTVGFIRELPEPLMQAFMATLEETREADQLLLVVDLADPDWQGQLTAVHSILNGLHCQQPRQVIANQIDRCDASALEVIRTVEPEALYLSATQGTGLKGLRSWLEQTFWETSPEQNCPSSSDQTSARAHG</t>
  </si>
  <si>
    <t>YP_001224054.1</t>
  </si>
  <si>
    <t>tRNA (guanine-N(7))-methyltransferase</t>
  </si>
  <si>
    <t>MRQHVNPLSRFFQLPLELPAPEQLFDDPGRPIHLDIGCARGICLQELAALRPDRNHLGVEIRRPLVRSAQRDRDQLERLNLHYLFCNANVSLEGWMAALPQDRLQLVSIQFPDPWFKRRHRKRRVLQPSLLLAIAATLQPGRELFVQSDVLAVIDPMVALVELSGCFDRPAEDARPWRADNPLPVPTERERYVQELGLPAYRVLYRRNRQPLPDPEELEIAWQRVDNPANDAVPPDG</t>
  </si>
  <si>
    <t>YP_001224380.1</t>
  </si>
  <si>
    <t>short chain dehydrogenase</t>
  </si>
  <si>
    <t>MPSVLITGASRGIGHAAAKAFAAAGWDLLLVSRSEAALQSLSAELSTSGSRVAYRAIDLTDSEAIAPGLNELLGQGLRPSVLINNAGAAYTGDLLAMPLDRWEWMMQLNLTSVFQVCAAVVPAMRPAGGLVINVSSHAARNAFPGWGAYCTVKAALASFTRCLAEEERGNGIRVCTLTLGAVDTSLWDSPTVDSTFDRRAMLPVNQAASALLHLAQQPATQVIEDLTLMPATGAF</t>
  </si>
  <si>
    <t>YP_001225729.1</t>
  </si>
  <si>
    <t>hypothetical protein SynWH7803_2006</t>
  </si>
  <si>
    <t>MTSDLLILLILVVVVLAGSALCSGVEAALLTVNPIRVHELAARPRPVAGARRLAQLRQRLGRTLSVLVIANNGFNIFGSLMLGGYAAWLFKRMDSSNVALPLFSVSLTVLVILLGEILPKAIGSRLALPVALASAPVLHWLGVMMRPLVLLLERLLPAITEESEISTDEEEIRLLARLGSQKGQIEADEAAMIAKVFQLNDLTARDLMIPRVAAPTLDGATRLDELRDALIDNEAQWWVVLGDAVDKVLGVANRDSLLSALVQNRGQLTPLDLSEPAEFVPEMIRADRLLTAFRRDNAGVRVVVDEFGGFVGVIGPDAVLAVLAGWWRKGGGSGSP</t>
  </si>
  <si>
    <t>YP_001224006.1</t>
  </si>
  <si>
    <t>hypothetical protein SynWH7803_0283</t>
  </si>
  <si>
    <t>MRPLLLIALLVLPALFSAAEVALLRLRPSQVQEFNEQDRPGAQALLRLQRRFPTALLMTQFGTSLSLVALGWTGRGFGQRWWPLDMASGRWWDLAWFLVLVVLATLIAGLLPRAWVLSGPERAALQLGPVLEGAIRALQPLLAVLNALAAVLLRVAGLSQRWGATVSVLSASELETLIESGGVTGLKPDERNILEGVFALRDTQVREVMVPRSGMVTLPVEVRFAGLMEAVHRTRHARFPVIGQSLDDVRGVLDLRRLAEPIARGELKEDSSLEPYLMPAETVLETSNLADLLAIIRSGHPLLLVVDEHGGTEGLVTAADLNGEIVGDEPAEESDEPDLQAVEGQPGAWLVAGDLEIFELNRQLGLDLPEASDHHTLAGFLLEKLQHIPSPGEALRHDGVQFEIFAMAGPRIVRVRLVLPDQEVSTQDSSKPEEP</t>
  </si>
  <si>
    <t>YP_001224579.1</t>
  </si>
  <si>
    <t>short-chain dehydrogenase/reductase family protein</t>
  </si>
  <si>
    <t>MATVLVTGSNRGIGLEYCRQLRDRGFDVIAVCRETSPELQALGVRIEAGLDQADPGMPAELTGRLDGLPLHWVILNAGILESIGFDLLDEASIRRQFEVNALAPLRLVRALAAQIPSGGKLALMSSRMASIDDNTSGGSYGYRMSKAALNSAGKSLAHDLRSRGIAVAILHPGLVSTRMIGFNPKGISPEQAVSGLLARMDALNLDSSGTFWHANGEVLPW</t>
  </si>
  <si>
    <t>YP_001224291.1</t>
  </si>
  <si>
    <t>GTP-binding protein EngA</t>
  </si>
  <si>
    <t>MARPVVAIIGRPNVGKSTLVNRLCHSREAIVHDEPGVTRDRTYQDGYWGDRDFKVVDTGGLVFDDDSEFLPEIREQAALALEEASVALVIVDGQQGVTASDEAIAEFLRGQRCPALLAVNKCESPEQGLAMAAEFWSLGLGEPYPISAIHGAGTAELLDQVLTYLPPKSEEGDSEEPIQLAIIGRPNVGKSSLLNAICGEQRAIVSPIRGTTRDTIDTSLVRENRPWRLVDTAGIRRRRSVNYGPEFFGINRSFKAIERSDVCVLVIDALDGVTEQDQRLAGRIEEDGRACVVVVNKWDAVEKDSHTMTAMEKELRAKLYFLDWAPMLFTSALTGQRVDSIFALAALAVEQHRRRVSTSVVNEVLKEALSWRSPPTTRGGRQGRLYYGTQVASRPPSFTLFVNDPKLFGDTYRRYVERQIREGLGFDGTPLKLFWRGKQQRDAERDLARQQNRQG</t>
  </si>
  <si>
    <t>YP_001224354.1</t>
  </si>
  <si>
    <t>metal-dependent membrane protease</t>
  </si>
  <si>
    <t>MFLAFVSLVLATLVWILGLVDSFGKPSVAPVLSLEQQELSLLAQPEVPEPLQPLVVGADPTAALLRTLRETPLDRLDDRQILLFTALEQDESFKQSLRQVSVSQPELIPLQQALNGTKAPGLDRSELLALAPDPLIRRVGCQALGGSAADCMDPAPAAAAARRLIVSEVFPLAALILGGLLLLRHGWQLLRRRLPPWPPLVSAPLGPLDMVLLVAGGFVVLGEVLVPLLIAPFTGWLSRGLSPALTQGVTVLLGYAALAVPPLLILRQQLSQCDQEALPPGGWLQWQVRPIHSAVLQGARGWLMVMPPVVLSGWLVSRWIGDQGGSNPLLEIVLNSRDPLALSLLAITAVVLAPLFEETVFRGVLLPVLGRSLGRSGSVLVSALVFAIAHLSIGELPPLLVLGLGLALLRLSTGRLFPCVVMHALWNGVTFLNLLLLGG</t>
  </si>
  <si>
    <t>YP_001225485.1</t>
  </si>
  <si>
    <t>MMHAAFKRGEQPGSNTMVEALILLLFLISGSATGWMGVHLLPQELLDDVNAQGVRLGLTAAGAGIGIVAGLVFRRLRQQLMRQVRTMPTDLLVSRAVGLILGLLVANLLLAPILLLPLAGASSLVKPLAAILSNGFFGVLGYNLAEVHGRTLLRFFNPTSTEALLVADGVLTPATAKILDTSVIIDGRIRGMIGCGLLEGKVIVAQTVIDEMQQLADSNNLEKRGKGRRGLKLLNELREAYERRLVINTTRYDGAGTDDRLLQLTEDTGGTLVTADFNLAQVARLKELKVMNLSELVIALRPEVQPGDELNLKIVREGKADDQGVAYLEDGTMVVVENARSAIGERRPVVITGALQNPSGRMVFARLDQDRAPTVVGKESKASKPPRKLKSNERPTSESR</t>
  </si>
  <si>
    <t>YP_001224481.1</t>
  </si>
  <si>
    <t>acyl esterase</t>
  </si>
  <si>
    <t>MFVDHTLISEDGIGLASRLWRPDGAGPWPWLLMRQPYGRAIASTVTLPHPDWWCRHGFMVMVQDVRGQGDSDGVFKGFGQEARDTATTLEWVRNHPDCNGRIGFYGFSYQGLTQLLAPEDCPPPDCMAPAMCGLDERSHWSCEGGAHWWHLGLGWGLQLAALQARRRGDQRGWAEIRESLENGRYLRDGPALLERHDPDGMALRWLKQRADQADGWIQHQSPRSWLRRPLLLLGGWWDPHLRGVLDLAARSRAAGGRPELHIGPATHLQWWPQSSALLLNFFQRHLQDHPAVADAGSLRLWDQGRDHWVEGPWTLAEPASEHAVGWHLASGGLACLDPNDGRLLPSPAGCGGTVTVVHDPWRPVQAVGGHLSPSAGPCDRSSIDQRSDVALFTSAPLPEAIVLNGRPVLRCQASADQPGFDLSVTLSRLPAGSTTTQQLSTGHRRILGDRAQQIEERCVELQPLLASFQAGDRLRLSIAGAAWPAVGVNPGTLEHSCGAPHPGCQVISIALHLETARLQMESLLMLHNDGTPAD</t>
  </si>
  <si>
    <t>YP_001223878.1</t>
  </si>
  <si>
    <t>MPAEPEHWTWEQPDGRGLDVVWRQQGQDPESSDSPAVVLVHGFGASSGHWRYTMPSLATQTPTFALDLIGFGGSSQPKAVLPSDPDAQRPTPSDEALVYGFDLWAAQVEAFCRQIVQRPVLLVGNSIGGVVVLRAAQQLGAHCQGVVLIDCAQRLMDDKQLASQPAWMAWIRPLLKTLVSQRWLSTALFRNAARPRVIRSVLGQAYPSGANVDDALVDLLYQPTQRPGAAEAFRGFINLFDDHLAPELLATLEQPVHLIWGERDPWEPVAEAQDWAERFACIQSLTVLPRVGHCPHDEAPEAVNARLLEILKAQAA</t>
  </si>
  <si>
    <t>YP_001225533.1</t>
  </si>
  <si>
    <t>phosphatase</t>
  </si>
  <si>
    <t>MALRRRSVLALLGLGAAGVVGARPRGQTAAAADSALPAPQAWPFKPVPTPLPVDSDGLTAAQQQQVYRRIAVEDRLVVPEGYRADLIAAWGDPMPQGRFGFNNDYLGFVSRGPEEALLTVNFEYISALPWTEGFREVVGRPLPWTQLVSALASRDGVIDCTALQGNQRLLALIRSVSDEAMADLGLGVIAISRKGDGQWVRRSDPVERRVDGLAGLVDPSQRLQSTGPAAAVFRRAERMGYDDGLGDQVIGTFANCAGGTTPWGTVLSAEENFQSQVPEPVYADGSAVSPSERPFVCRQTRLGGLGNVYGLAGNKYGWMVEIDPAAPDTPVRKHTALGRFRHEAVALRAEAGAPLRVYSGCDRRGGHLYRFVSADPVATPRDPVNSRLLENGELQVARFHADGTGEWLPLRADAPVQPFLPSRFTQAGLSCPVELPHSDRRRAGAEFFREDAAVQAYAKRFPTLGSLYAGEGELLQGAILVDAHLAARAAGGTPTARPEDTEIDPLTGDLLVAFTSGYPSTTGGPDPAIFRGPNGEAIWGHGWVMRLSDDPARSGEASGGAFRWRMAATGGEPWAGGLGFTNPDNLALDGQGNLWIVTDRSAKSSASDQFGNNSCWFVPRSGDSEAEQAACFATGPMECELCGLSLDDQERALFLAIQHPGEVHGARGPRDQEMQVHTLRDRDGGVIEQLRTVAVGSNWPAQAPGRPPRPGVVAVQRRNGQPLLEG</t>
  </si>
  <si>
    <t>YP_001224869.1</t>
  </si>
  <si>
    <t>MALRSSREPIGVAVAGLGFGAAVHLPALEANPDLKSVALWHPRRERLDQVVGDQGLRGYDDFDALLGDPDVEAVIIATPPGPRYDLAQRALAAGKHLLLEKPVALNADQVADLQRTALASGLSVAVDFEYRAVPLFQQAERLLSSGAIGTPWLAKLDWLMSSRANPQRPWNWYAKTDEGGGVLGALGTHAFDMLAWLIGPVQTLQSITQTAIAHRPDASGEFQAVTAEDIALINTTLTTHQGAPLAAQVALASVARNGRGCWLEVYGSEGSLKLGSENQKDYVHGFSLTLQRDGEPARSIQADEEFRFATTWSDGRVAPVARLQGWWAESIRSGRPMVPGLLEGLASQKACDRCLAMALEP</t>
  </si>
  <si>
    <t>YP_001224908.1</t>
  </si>
  <si>
    <t>hypothetical protein SynWH7803_1185</t>
  </si>
  <si>
    <t>MQPVDPHQPVVILGGFLITEEAYQPMADAIRQSGVADVVVVPVSRLDWLLTSWGFGWRRVLDRVAAAVEQQQTLSTSGRVTLVGHSSGGVMLRLYLSDDAFQGRRYGGSDRCNRLVTLGSPHQAIRATPLRAMVDRRYPGCHQAGVDYVAVAGELDLSAAMASAFSRRSAGGSYKSIVGDAAVTGDGLVPVCSALLKDARHLVLNATAHGGLFGAPWYGSPERVQSWWRFAQG</t>
  </si>
  <si>
    <t>YP_001223863.1</t>
  </si>
  <si>
    <t>MRLSILVVSRTAALLNRLCDSLDAACSLAPLDVEILCSWNGSEAEEAQIHNSSRYEFLIAQRTPYHFAGNMNGLAERAGGEVLMLANDDLILDRDCVDAALSVLKQQPEVSLVGAVLRDQEGRLTHAGINFDSRGSAYHPLDRLIPADRPEVPPTGPVAAVTGALQWIRRDDFQRVRLNEHYKVCGEDVELCLDVQQTLEQQVWLSGGSCAIHESESTRSTQEGQAGNSEDLTRLRARVRAFLSQASPAQLQLFLQQQQWESQQLREIVIHQLPELLARVHELEPLQAEVERLRNIEEDLRDRDLVLMDLREERLRLKQRNEAVSR</t>
  </si>
  <si>
    <t>YP_001224837.1</t>
  </si>
  <si>
    <t>kinase</t>
  </si>
  <si>
    <t>MAPDPRPDAPRGVNALLGRLGWPDPERWWQHWQDRGGLSLERDRWTVPVDDAWIASLALPLLTRVEQAHAADVPTLIGVSALPGCGKTTLCSWIKQAADSLGWSVEQLSLDDFYWPAEELERSMAGNPWRVPRALPGSHDLNGMERSLQTWLQGGCLQAPRFDKSLRGGRGDRCGSVTSKPRVVLLEGWFLGVVAGEHHEDVLQQPLTPAERQWRPKAMRSLSEYASIWTLLDELWHLRIDSVQASARWKRQQLTTQLDNTGVMFAENDLSDFNRMVEAALPSSCLNSISGAAVIVDLTSDRSIREVRLR</t>
  </si>
  <si>
    <t>YP_001225349.1</t>
  </si>
  <si>
    <t>MKAAHANHPNNPQLLRQLGVVPYQQRFPWIGGDLQTLRDTLRPVALPSDCGEPIAIAVPALASGAAAAGEVLAFLDRPDPSVDLQGAPPRGLVLLLHGLGGSSRREGLRRLGITLQNSGFAVLRLNLRGADPGRHLAGGTYAARCNSDLLPVIQRARQLCAALAPSARPLPLLGAGVSLGGTMLLNACMASLEERATHGWDGHALLLDGLFCASSPLDLSACSASIERPRNRVYQRWLLKRLVRQTLADPFGVSAQEQQRLTVEPPQSIRAFDEAVTAPRWGFASVDDYYAGASPLPRLLSASVPLPPTLILQALDDPWVPASAAIQLQTALATDGLSSRRGQLEVLLTAKGGHNGFHAPGDSVRKGCWSDRLACAWFKHGINPAGLE</t>
  </si>
  <si>
    <t>YP_001224673.1</t>
  </si>
  <si>
    <t>MTTPGTVLITGASSGIGRITALRLLQKGWTVHAAARRVDAMEDLRSRGAFVHALDITDPGSRQALSDAVSDQHEGLDALVNNAGYGSIGPMETMPLDAARAMFDVNVFGLMGLTQALLPAMRKRGQGRIVNISSIAGQFVTPGAGWYGASKFAVEAISDALRMELQSFGVKVVVIEPGLIRTGFEAVSKPSLEAGGDDPVWGSMMRNVAKAWGEGFRQGSDPEVVAACIERALTDADPSPRYRCGSSSESALIQRFIPTRLWDSLVRRQMIGG</t>
  </si>
  <si>
    <t>YP_001225529.1</t>
  </si>
  <si>
    <t>G3E family GTPase</t>
  </si>
  <si>
    <t>MTGTAQPASTVPVTILTGFLGAGKTTLLNHILTNQDGLKTAVLVNEFGEIGIDNDLVVSSGDDIVELSNGCICCSINGELLETVDRILEQSKDLDYLVVETTGLADPLPVAMTFLGSELRDQTRLDSIITLIDAENFGEETLASQVGRSQVIYGDILLLNKTDLVDEARLKSIESTLREVKTDARILRSQKGEVPLPLLLSVGLFESDRVVSAAEDHDHNHNHDHDHSHDHGHSHAHGHSHDHGHSHDHDHGHDHQSADHLAIEGFTSLSFRSDGPFGLRKFQNFLDNQLPDSVFRAKGILWFNESERRHVFHLAGKRFSIDDSDWTGERKNQLVLIGRDLDHDTLRNQLQACVAKDAGQGFG</t>
  </si>
  <si>
    <t>YP_001224100.1</t>
  </si>
  <si>
    <t>Lon protease domain-containing protein</t>
  </si>
  <si>
    <t>MADLSVRELPLFPLPDVVLFPSDVLPLHIFESRYRMMLQSVLETDRRFGIVRWDPRSQSMASIGCCAEVIQHQTGDDGRSNIVTLGQQRFRVLNVTRDTPFRSAMVSWIEDDPVEDMASLHTLKESVASALKDVVELTGKLTDSPTALPEDLPDLPRELSFWIGAHLGGPVADQQQELLELTSTRSRLEQEFSMLDETRRQLAARTVLRDTLSSSNSDND</t>
  </si>
  <si>
    <t>YP_001224254.1</t>
  </si>
  <si>
    <t>HD superfamily phosphohydrolase</t>
  </si>
  <si>
    <t>MASRTYHDPLHRGISLDASDPAEAMVLSLVDSAPFQRLRRIRQLGPAFLTFHGAESSRFTHSLGVFSIARRAMEKLKRQDPALEQQRGVLYGAALLHDLGHAPLSHTGEEMFGTHHEQWSARVIREHAQIRDSLEHYAPGTADAVADLLERGQAERGVIKSLVSSQLDCDRLDYLLRDSYSTGARYGQLDLDRILAAMTLAPDGELAIHPKGLMAVEHYLVVRNLMYRSVYNHRLNVMCNWLLERLIQEARHLGPDHVWADSTMRRWLWGCERLDLETYLANDDLRVGYHLQRWQAEAPAPLASLCDRFLNRRLLKALDVSSLQTSDRLELLAAAQTMSESAGLDPSYCCGLRQHQLHGYHPYRGGLRLWDGHNLQALEQESALVNSLATPAESAWLIHPPDIAAELKATMRREVRLSQG</t>
  </si>
  <si>
    <t>YP_001226009.1</t>
  </si>
  <si>
    <t>hypothetical protein SynWH7803_2286</t>
  </si>
  <si>
    <t>MPLEIERRFLVTGSGWRALAGAPQPLRQGYLAVSKDGVTVRMRLRADGQAWLTLKAPTSGLARHEFEYPLPTTDAEALWDLAPHRLIKTRYSLALPGGDWVVDCFEGDNAPLVLAEVELAREGASLDVPSWCGQEITGDGRWSNAALAATPMAAWPDELRSSYGLSTGE</t>
  </si>
  <si>
    <t>YP_001225441.1</t>
  </si>
  <si>
    <t>hypothetical protein SynWH7803_1718</t>
  </si>
  <si>
    <t>MAHSPNRLSNRALHRLLSGLMVPVLLVGLLLLSPLPSEAARGGRIGGGSFRAPSMPRSGGYGGGVRGGYNGGYGRGYGGGFGFPFIIPIFGFGGGGLLGFLVLMAIVGVVVNAVRGGGGRPALGGGIGGTDGPREIPMGPVSLLQLQIGLLASAKDLQSDLRALASSADTSSSSGLQRVLQDTTLALLRQPDLWVYANAESGSVPFNAAESTFNRLSMTERSKLREELTTNVGGVRSNVDTIASRGDADATNEFIVVTLLVASRRSVTLKSADNGEDLRETLRILGSTASSDLIALEVIWQPDGAGDVLSADELVTAYPNLQHL</t>
  </si>
  <si>
    <t>YP_001223732.1</t>
  </si>
  <si>
    <t>hypothetical protein SynWH7803_0009</t>
  </si>
  <si>
    <t>MHTLAAGPGRSLVQSNPRPDQPLGARLQQDLKNDLIAGLLVVIPLATTIWLATIVSRFVLAFLTSIPKQFNPFITLNPLLQDLINLALGLTVPLLGILLIGLMARNIVGRWLLEFGEGTLLRIPLAGSVYKTLKQLLETFLRDNSQRFRRVVLVEYPREGLYSVGFVTGEVGPSLQSELEERLLSVFIPTAPNPTTGWYTLVPESSVRDLDLSVEDAFKTIISAGIVNPDAREAPAGRSFSSLIAQLRASVAPSSS</t>
  </si>
  <si>
    <t>YP_001224426.1</t>
  </si>
  <si>
    <t>hypothetical protein SynWH7803_0703</t>
  </si>
  <si>
    <t>MCVGLSEVWSRQQDFQSESAKDRRRYLRGKPVPLVRNRLGQLWMVDRHHRLRALLELDRSVTSFGYVIAELDSESREAALEALQARGWLYLFDGRGHGPLPAAELPHSLLGLQDDPYRSLVWKLKKEGVIKPQPLIPYHEFRWGHWLRTRPLPPFSSARLGPALPAARCLARSEAARHLAGWRGLDH</t>
  </si>
  <si>
    <t>YP_001225804.1</t>
  </si>
  <si>
    <t>hypothetical protein SynWH7803_2081</t>
  </si>
  <si>
    <t>MDSESDSSRMLKRLHRSHMNDAALDEVFIVLSVGASLIATLGLLANSAAVVIGAMVVAPWIMPLRAAAFAILLGEVQLLGRSLRTLMVGVVSTTVLSLVLGALADLPRFGTEVLTRTTPNLLDLGIALVAGGLATYAKLRSDAVSSLAGTAIAVALVPPVCVMGLLLSQQQWNDAAGAGLLFATNLLGILTGGLVLMAWKDPEFRQVFRRSHLSAASFTLTGLLLLPLGSSFFNLLDRARKDSTRDMLQETIESFLTRETLTFGDRESVDVERVDIAWNQNPPVIRVIVRVSDPDLPSFKQVSAVQKAINRRQNRRFRLVVQRTAVDVVGPEVAPNPETPATEPELAPAPEPEQSIAPIEPNANSAGNNLEIEALLPGTANPQQTIPSEEGAFRSN</t>
  </si>
  <si>
    <t>YP_001224041.1</t>
  </si>
  <si>
    <t>hypothetical protein SynWH7803_0318</t>
  </si>
  <si>
    <t>MTGWLLLLSLLVLGGVLSTLGDRLGSKVGKARLSLFGLRPRQTAVVITVLTGSLISVLSLGLMLLVSRQLRVGLFELNDLQARLRSSRADLKSSRSAQRQSRRQLETARKDEIEVRRRLEEARKQATELRDTLKPLQEQTRRLEAERQRLSQDVRQRDDEIRRTDRELAAVRDRIRSGEAELKQLEDNLLALRRGNVAISSGQPLATVTLRLERPDQARQVIDQVLREANLQAYQQVLPGQTPDKQILLVPRQDIKRLEDAIRKPGTWVVLLRSAANVLQGETVVYAFPEVRPNLTITRDGEVLAATALASTETSAEEVRNRLNLLLASTLAEIQRRGSISKGLQFDSQALNALGQTLIERSTGRVELEAVALGDTETADPVAIELRVQRSFQSAPAGDSL</t>
  </si>
  <si>
    <t>YP_001226152.1</t>
  </si>
  <si>
    <t>hypothetical protein SynWH7803_2429</t>
  </si>
  <si>
    <t>MPTLITGAFEALTGEWQINLEQRVPRKELYKARIESSKPSLGFFVLLLCSAVIATLGLISNSTAVVIGAMIVAPLMDPILSLAFALAISNNTLAKRSLLTILLGVLTVVGTAAFLSMLLDVSEVNREMTARTAPNLIDLGIAVAAAIAGSFSMTRAGLSNSIAGVAIAVALVPPLCVCGIGLSLGQEVVAVFGRGTVAGITNQISEGSFLLFLANLIGITVASLFIFLIQRYGSVGQSWRNLLVWLGLLGLLSIPLSSSLRDFSIKQQLDGQFASFKAGRVRQFELTRKNPYLWQKVRMLYSNIRVVDNKATVDLVLSAPEGLVTDGLAQEVYEGLADRAKNDLGLDDIKTTISVIPNQIFKYSETSQPSS</t>
  </si>
  <si>
    <t>YP_001225460.1</t>
  </si>
  <si>
    <t>fused sugar kinase/uncharacterized domain-containing protein</t>
  </si>
  <si>
    <t>MPWPAVDADHLLVRSDQMLELEQQWLASGLPVAALMETVGQRMAEWCLQRPARLAQGVLVLVGPGHNGGDGLVLGRKLLERGITVRVWAPLPLRQSLTRDHWRHLLWLGVSVQESEPDPADPALWIDALFGLGQTRPLPDPVAHLLQQRQLCAPGQLISLDCPAGLDSDSGASLGAAVAVASDTLTVAFIKQGLVQDAALPLAGTVHRIDPGVPPGLMASLVSPPVLQVGGRDLETLPVPAESSTAMKYERGRLLLIAGSDAYRGAAHLALRGALASGAGSVRAALPRAVDQQLWQWAPEVISEPALESDGHGSLLWGPALERSDLNRLDAVLVGPGLGSVEGVWRGWAEPLLAFPGLLVLDADALNQLSGEVEGWRWFLKRRGPTWITPHPQEFARLFPCCDQGTPLERAVAAAERSGVVVLRKGAHSVIADPSGSVHQLVGTDRQVARTGLGDLLAGLAGGWGARLQAAAGPVDGAALAAVGLMHAQAAGRCSRGSGALVIADELAQLVRSVTK</t>
  </si>
  <si>
    <t>YP_001225299.1</t>
  </si>
  <si>
    <t>hypothetical protein SynWH7803_1576</t>
  </si>
  <si>
    <t>MRVSVDLCLVPLGVGVSLAPYVATCQEVLEASGLDYELGPNGTAIEGDWDAVFACVKACHARLHQDGVPRIHATLRVNTRIDREQSFRDKVESVQRLNR</t>
  </si>
  <si>
    <t>YP_001224485.1</t>
  </si>
  <si>
    <t>hypothetical protein SynWH7803_0762</t>
  </si>
  <si>
    <t>MLGSGPRGRTHTVIAKRLAVALIGGGVVWIAADRVVASVFERLRPDLEEQVGKPLGHPVSIGAYRGLSLRGITVGPIKVQRGRRDQSTASVQQLTVGLNPLASLQRLRPVVTVGVKGAQLDLRRNPQGAYWVLGPQPKGGKPPRLDLDVRLTDSARLQIAPAGLALRAAGRTSVRLDEHRADVSLQVALPDRGRITLQGRGRWVRPELQLSTRLERIRLERYQGLLPAQLPVQLRGQLGGDLRLGWRQGQANCSGGVSLVGVEVSGEPLDQTLRSKQLKVSCRGNALTIPTSAWVYGNYRADLGGQVRLNRAFDLRGGLRELGKDRTVAFRLLGDWYQPKLQLKGRWALPETVALDGPLQLAVQLGADWRNRKAWTAQLERFDLQAPGVAVQAQGTLHPQLDVTSQQLTLAGPAWKRLPLVPEFLGAEAPLQGLLKLRGETAKPVVSFDLAQASNPLLDAWSLKAGWSRATGLLRVEEFRSPDLQAQARLPLALGGQGLQLGDLQADLKLDRYPLKRLGPLLGTAMDGSISASGRVRGPLQALRPDLSIAVNEPRAGAIRLAENWTGRFEGLAGGGGVLTMASVGAVVQGDLEATLGANWLPRRVLLTRRGGRMEMTGTPAAYRWMAKGLAIDGVELALPPKQRWEGLYGRLSGEGTLGLQPLAMEADLSITRPGLMGLQLRQILLSGRYEDRRYAFSGELLPPDTGQITLDATGRLNGSLDAHVEARGLSARWLANSALSLPQLNEELPASMGTATDLGTLLVNTFGGTLDGQLQALRDAREALLNATQASPDRDPLHLKDLRGQVDAVIDVKGPRLSRLDLDLQARGHLWIEGQDQDYALQVKPFIARIEGPIQGGEGSFSLEHLPFSLLALVAPVPPALQGAVGFTGRYKLGAASPELSLDLALEDARVGDKPVALERGQVLFENGGLTLDLALLAEQAAEPVTVTGRIPLGSDQPLDVRVVSLGDGLRFLTGFTGGLVSWTKGDADLRLLLSGPLSAPEANGYVVLKNASFTAQDQALSQVNGSVVFDFDRLEVQSLTGRVGSGGELKGSGSLALLRPAPEAKPLRLQLEKARIKLPIADVQVGADLTITGALVKPDVGGSLEVSDGAIRPTRSMLVRPKNRAASKVLATTPVKGGGGQIVSADALLEQQWNFEEPLVLLGPNIEANSSRALKASLPNLPFLGFNDLRLRLGPKLRVEVQPLANFTTAGLLTLNGALDPSLQLRGVVQLLTGRVSMFTTTFNLDRRAPNVAVFTPSLGLIPYVDVAMTSRVSDSVNLGTGSNSVSSSVFDTNGLGTLGGGGQLRLIKVMLTAAGPADRLADAITLRSSPPLPQAELLGLIGGNSLAGLSGAGAGAALAAVLGQSLLSPVLGTLTDAFNQRLQFALYPTYVTPTVQSNQERTSGQVPPQLALVTDVGVALTDRFDFSVLAAPDRNDIPSQGTLTYQINSRTSVSASVDTQGTWQSQLQVFLRF</t>
  </si>
  <si>
    <t>YP_001225291.1</t>
  </si>
  <si>
    <t>hypothetical protein SynWH7803_1568</t>
  </si>
  <si>
    <t>MLFASLSAPLQLLDNASLAWGLAACGIAQLSKLFIELVTQRRWRPQVLIETGGMPSSHSALVTGTAAAVGWLDGFDSPAFALASTVAFVVMYDASGVRRAAGFTAERVNALPSNLWDPSPDKPLKERLGHSRLEVLVGSLLGPAIALPGLVFVGSPLHLAQVLSQAFG</t>
  </si>
  <si>
    <t>YP_001224516.1</t>
  </si>
  <si>
    <t>hypothetical protein SynWH7803_0793</t>
  </si>
  <si>
    <t>MSTDLHTLAIRQLKRVLSNLQEILRLAAADLEARGIDETVLLASRLYPDMFDLQQQVQAATDIARRGAARLIGEDPSSLPDNAPSFEGLIARIDTTLAQLEAFPAEAFIGKEQSSVVMPIPKSFGGGKLTFHALEFLTDFLLPNVYFHTTTAYAILRHNGVNIGKRDFLGMALSNS</t>
  </si>
  <si>
    <t>YP_001224575.1</t>
  </si>
  <si>
    <t>hypothetical protein SynWH7803_0852</t>
  </si>
  <si>
    <t>MTSQLLHLSTEAPFQCLSLTGELQRFVQVHGERDGAVVVSTQHTTTAVIVNELEERLLLDLQQWLRQLAPPTAAWKHNDLELRPGIPDDEPRNAHAHLQALLLGHQTTVAVSNGALQLGRYQDVILVELDGPRQRRVSLQWLSA</t>
  </si>
  <si>
    <t>YP_001225946.1</t>
  </si>
  <si>
    <t>hypothetical protein SynWH7803_2223</t>
  </si>
  <si>
    <t>MGRWLEHSVTTEVNAPVDRVWAVWSDLEAMPKWMRWIESVKTLDDPELTDWTLAAQGFRFHWKARITQRVEAQQLHWESVGGLPTKGAVRFYAEQPGRTAVKLSVTYELPGVLAPLMEPTILGGIVTKELQANLDRFRDLVEREQASGG</t>
  </si>
  <si>
    <t>YP_001224282.1</t>
  </si>
  <si>
    <t>hypothetical protein SynWH7803_0559</t>
  </si>
  <si>
    <t>MAHYAGVLKGAMGFSLDEFEAILGMPGLRPYLRLVANQVEDYDPKIVANDGHLCKPYVLSRFHEGASIVVNEVHRFSSQLMDLASSLSEELGVQCVVNAYLTPPQSVALSPHFDSHDIFALQVVGQKQWFVDSELSSLTTKSTFQPILSADQASSVDFREVVMDEGDVMYLPRGCVHHARTISCQSMHLTVGLYPLEWSEFIASAVEIAASAPEARGLRTSVPLGLKRQHPSFYRQELLDRLSGLFTDDVIEKALRSREKEFSAGQPSSFVGGLDADSWPAGSIASDDAFERCAEAVYFYPAVSGLRVVSSGYGFTLKHPNPDRILKVLSHKKFFTLGELTGGDECSLNDIACIQALLRRGILRRYRNAI</t>
  </si>
  <si>
    <t>YP_001225708.1</t>
  </si>
  <si>
    <t>hypothetical protein SynWH7803_1985</t>
  </si>
  <si>
    <t>MYGIDHLQQEHTTLWDGIRNYQARNFMRSMAIGDQAFFYHSNCKPLGIIGLMEVSETGLVDPTQFDPSSKYHDPASKPEAPRWDCVKLTYKGRFGSLLSLDDLRQAYQPEQLAVVKRGNRLSILPVDEAIAHDLLKRLGPLQ</t>
  </si>
  <si>
    <t>YP_001223857.1</t>
  </si>
  <si>
    <t>hypothetical protein SynWH7803_0134</t>
  </si>
  <si>
    <t>MVGCQRSSDLDRTVDNPRGYFESTLLRPLNDDLLAMAGYGWDRPPLAPVHWSRGECLLKAVQRKGDFEGYALSRNWVDKDPRLSLTRPFFDHLLLRRVPGLIAFRHPLDVARSLWLRDGFSLEKGMMIWFLYNRGCALSSRQGEDALVSYEDLLEGETESLQRVGRAARLSADFEESDSALEKTLRNVHAQFSDQSLQRNRTGSGALDPETAAHNQFDQVSEVASQLLHEGMRIHETLRASGFDLALFQQCFQVVPQVLIDQYDRLSSEGAPSLEFLRMHEVRPHQELSLGLSAQLSTGQYGQDQEVIADYAKLLETVHALRRELSEAQSGLLAESVQVELADRTQEVESLKQELANAQQDLHAVCSSTSWKMTAPLRRLIDVWR</t>
  </si>
  <si>
    <t>YP_001225950.1</t>
  </si>
  <si>
    <t>hypothetical protein SynWH7803_2227</t>
  </si>
  <si>
    <t>MGRLLLLSNGHGEDLSGSLLARALARLGHTVEALPLVGKGQPYRDAGIDLIGSTQEFSTGGLGYTSLRGRMTELIQGQVVYLLRRLLRLLRIGHRYDVVVVVGDVIPVMAAWLCRRPVATYLVAYSSHYEGRLRLPWPCATCLQSRRFHAVFSRDQCTADDLSGQLSREVRFLGNPFMDPVLADAGRLPAARQRLGLLPGSRRPELEQNLGLLLQMIEHLPSELFRQGVLTVDLALVSSLSDRSLRALVQPWGWTLTAEPGGSGLQLQRGPRRIHVRRGAFAAVLHSSNLLVCMAGTAAEQAVGLARPVLQLAGRGPQFTAGFAEAQRRLLGPTVFCAQGEPGETATLEASARLAIDLLERSHSDADLQRQCHQQALQRLGPSGGGARMAQAISDLVQQPL</t>
  </si>
  <si>
    <t>YP_001225428.1</t>
  </si>
  <si>
    <t>hypothetical protein SynWH7803_1705</t>
  </si>
  <si>
    <t>MPKPGDCPKPAVEIQSEEVVPVTKANYAAAETQTVMAAYVGKIAKATCSGGVGVLWNDSKAADPKDRTVIRINFDTLYSWLVLDLNSPAMITLPETGGRYQSAMVVNDEGYTYVHQDPGEYKLTKEAVGSRYAMVAFRTGVNIQDPADVAKAQALQAKLAVKQAQKGTFIQPNQWNKEQMLALRADYNKERNEKGIQSEALYGRKGVVSPEQNNMGVAVGIGGLPKEGAVYLFYTPTSTDPQTLTLKDVPNGDNAFWSLTVYDKEGFPTGEPFNLNSAFAKTNDQGEVVVHFGGDKNQDNYLAIYPGWNATLRIYKPKPAYFDGSWKRPELKLAQ</t>
  </si>
  <si>
    <t>YP_001223880.1</t>
  </si>
  <si>
    <t>hypothetical protein SynWH7803_0157</t>
  </si>
  <si>
    <t>MQRTLALTLTAATLLAGCGKPKPQAPKLLSVKTARIAEANFQPSIEAISVLESTTTVSLRPETDGRVVKVLASDGERVKAGQPILVLDNVQQSAALDSAKAQARTDKLNAERYEFLYQNGAASAKQRDQYVTQAIASRDQALADAATLGYKYVRSPIDGVVGDLDSVKLGDYVQTGQAITGIVNNSTLWTLMQIPATQSGAVKIGQTVKVSSQTDPPITGEGTVSFISPYFGISGSSGSPNALMVKATFPNLTNELKTGQFVKSQIIVGNKQSLAVPVQAVFMQAQQPFVYVTVPVSKALPKIKASASVPEKQKKKLESLPPSTQIVVQRAVELGELQNNFYPLKSGLNKGDTVVVSKTALLSNGIPVKSVN</t>
  </si>
  <si>
    <t>YP_001225889.1</t>
  </si>
  <si>
    <t>MSASNNFITRPVLTTVCSILIVIVGLIAIPILPIENLPDIAPPTVKVRATYTGADAVSVEEGVTTVLEQQINGVENMDFIKSNSSSDGVSAIDVAFASGTDGDINQVNVQNRVSLAEPQLPEEVRKAGVTVNKASNSILLVYNFGSANPEEILYSAETISGLLDLKLTDSIKRVTGVGDLTYFGNRKLAFRLWLDPSKLSTYGLTSTDVVNQLSSQNRLVPAGQVGGEPSPKGQEFTFTVQLQGRLRSVEEFENMIVRTADEGGLVRLRDVGSVQLGGESYAVSATDLQGVPSVGLAVYQLTGSNALEVSDGVKKVLAEFEKTMPIGMKMEKIYDNTDFITASIKGVVNSLRDAVILVVLILFLFLQNWKATLVPGIAIPVALIGTFGLVLAFGFSLNQLTLFGLVLATGLVVDDAITVIEDTSTKKSEGLSALEAAKSTMDELFSAIIATSLVKFAVFLPVLFFPGATGTIYKQFAATVIFSIAISTFNALTFSPMLSALLLARESKDPGRKVYAIAGTVIGFFYGLLVVGDGAALVMVPTLVGALVGLLLSRFLQRPAVLPFTVGGAIAGLVLVGVSRIVPVILYPALGLTLGWFTPVIFANFNRFYAVMEARYSSALNWALGSRRLVMGILGVGILLTAVAFRAIPGGFVPIEDQGYAIGVVQAPEGVSTQVTEAINQKVAAVLRTEKDITAASVFSGASLDGNSPNKGLFFFGTKNWSDRKERDQNVGAIVERLNQKLAASIDGARVIVVEPPAIPGYGTGGGFEFQLLDQSGGAYNLADLYATAGRLVQAGNADPDLNRVYTLFAPESPQIEIKVDRERMAAVDVDFGSAMQTFSVNFGGLYVNDTFQEGKVRRVYVQADAESRATPEKLSAIYVKDQSGEQIPLSEFFTVRETLGPTVVPHFNLYRAIKIEGTPAAGKSSGQAITAMKGTFETLNPQGLGFDWTGISREEVKAGALAVVIFALGILAVYLVLSAQYESYSDPLIILMTVPTAMLGALVFLALRGEVLNVYAQVGLVMLIGLAAGNGILIVDMANQRMQAGANALDAARFAAGSRLRPILMTAISSLFGFIPLVFASGAGARSQTSLGAVVFGGLLIATVLSLFVVPVFYVVMKSLLGEADGQSEAGASS</t>
  </si>
  <si>
    <t>YP_001225151.1</t>
  </si>
  <si>
    <t>hypothetical protein SynWH7803_1428</t>
  </si>
  <si>
    <t>MSELQRLKGLLPPEMQSWVFVEAAAAVDPALITLEEIGRDEVEIQVDLDAWDSLALDYRNLLFWHEVGRIQNDTIPRDGWEMAALAIGLGGAIGELWVQDGLLLVMALGLSGFAGYRLYLKNNAEKRLRDAIAADERAIDLACRFGYSVPNAYKSLGGALKDLVEKTRKKKKRGFYEDRLEALRKSASKARAEMAQQQGSRQSVTSENVYG</t>
  </si>
  <si>
    <t>YP_001225214.1</t>
  </si>
  <si>
    <t>DnaJ domain-containing chaperone</t>
  </si>
  <si>
    <t>MAAGLNPGDDTDGQDPYQQLQIRSDASFDEVQRARDRVLKTCGEDAVARAKVEAAYDAVLMDRLRDRQSGRLSAEAATASRMEREQGEGAASQTSNGPAALLTRFRNFSLPAPSLKGSAVVPDLTLVQGQGLVVRLSLGALALLLLLFAPQTIELLLALGTIGLFMSQIRRGRRPLGSLGWSVLLLILGLVVGALLSVAVAGSGLPFTVEQWQSLPALLLLLAGTLLLA</t>
  </si>
  <si>
    <t>YP_001224853.1</t>
  </si>
  <si>
    <t>hypothetical protein SynWH7803_1130</t>
  </si>
  <si>
    <t>MTTSIDAVDVLVWGGGTGGVAAAIQAARGGASTLLLTPGSWLGGMVSAAGVCCPDGNELSPWQTGLWGAFLRELERREPEGLDHNWVSCFGYRPTTAEQILQDWVAAEAKLLWRSGCRLLAVEREGALITAVRVDVDGEPRRVGCQVVIDGSDRGDLLPLAEVPFRFGWEAQEQWNEPSAPSRARLEAEPFFSEHPLQSPTWVVMGQLQSDHLEADPARTIGSSAFPQLPAPFERACEAFGLERTLTYGRLPGGLVMLNWPLHGNDWHWGLSRAFGADPKQEAALYEEMQAHSLRFAEALKEASDGWLQLGHAFPAESGSPAPWLAAMPYWREGRRLVGRATVIEQDLLPVGDGASCAALPRDSAGVMQSIAVGNYANDHHYPGPDWPLAPKSCRWGGRWTGTPFCIPYGALVSAEIDNLMAADKAISTSHMANGATRLQPLVLNVGQAAGAAAALAVAQAVPPAHCSVPQLQELLINDRRAPAAVVPNWTLAWRDPFWNDLQHKALRGFSAQTDATQAAAPAPPSHRDAVLRGWIHPCGDGGFRLETPDGDAWPVITLEPSVQVWMTTVKEPTAVALRGILNPWGPWLRVTGWG</t>
  </si>
  <si>
    <t>YP_001226061.1</t>
  </si>
  <si>
    <t>hypothetical protein SynWH7803_2338</t>
  </si>
  <si>
    <t>MIDPLAALKPSQRAQLKVLCWVASVDGDVAAEERALLSKLSARLLPLEDPQDALAALQAEQETDVEAWVAQLQGSDERMALVSLAFQMACSSQGEEDDSAINAAERVAYRRLLDALDLPDAQVQEAEWAARQALKETPALIDRLNQLLFGWGAWPSVAALEASGTSWL</t>
  </si>
  <si>
    <t>YP_001224194.1</t>
  </si>
  <si>
    <t>hypothetical protein SynWH7803_0471</t>
  </si>
  <si>
    <t>MPFERPQRTTRRRSSAGPTPPRRPIPTSHDRQAIHRQGGPRPTFLALKDHGKVFVADMPFLSDGQLANISKEASEMLISLERRIAELETLQGDRDTLIKACTKRDVTHRFLRAIEEEQQQRKDNPAIRSAAAESLPRTFLEIARHRLPGATFDSLLQEALSACEQSEQSQVAPPKPDLKVVTLPSSSASLPVVVSPDPEPTDQAL</t>
  </si>
  <si>
    <t>YP_001226021.1</t>
  </si>
  <si>
    <t>hypothetical protein SynWH7803_2298</t>
  </si>
  <si>
    <t>MKRIVNRLRPFLTRLPDQRQKRWNVLLLIVVAISMILLGRFLGYESTDIVQSREILRLTSTPHIVNEASGVASRGKPLQGLEVKRDAALLEKAPYKVYAGVYVANNFDVDLEIPAFSSKGYLWMQWDQAFQEYLSERELSIEEVISFENDINPETTAITPLREARKLGQGMFSQGFVYTGQFYIDTLDLRRFPFNSVSLPIVLEAEDPFGDLVFENLRLIPDLRDSGLGLYSSLPGWLSRGWSIGEYRHHFSSGLGFSSEDNEFSQLIFDSSYQRSSWSAFWTLIQPLIIVMASVILITRVMTEFRIEIPVAVLLTLIFLQEGYKADLPDLSYLTFMDSVYVIAYLTSFVSFGLVLYLEALKRRAANAQDPDLRRLLLRRELFLEQIWPSLSLSILVGVSLVTWTLT</t>
  </si>
  <si>
    <t>YP_001225854.1</t>
  </si>
  <si>
    <t>hypothetical protein SynWH7803_2131</t>
  </si>
  <si>
    <t>MVNASLNWASIVGIVLAVGGAMLYFMRSFKPALARDYDVFFAAIGLLCGGILFFQGWRLDPILQFGQFLLAGTTVFFAYESVRLRGISAEQAKRSAYFDDEPPSRVPAGGLRGGYDDAYDRFDEPQPLRRRFAGQEFDEAQADDQDFYRPRRNPRAAIPEEAASRRRGRNEASSDWTGDSERERRMARFGNRDDEPRRSGPSFGDRRSQREDQRRGSRPSPASSRSSETSAQTERSGAPSQRTQGSRPVGRSQAGIPQGSPLRQQAEDAAYTPSERSTPPARRPAGPTAARTEGADRTPPRSSRPRDNSSRFDD</t>
  </si>
  <si>
    <t>YP_001226093.1</t>
  </si>
  <si>
    <t>hypothetical protein SynWH7803_2370</t>
  </si>
  <si>
    <t>MFGTTRFLNTQEDWAMGRTYLRRTAMAATALGLAGLGAAVPGLSRALFDSRPLQQERFAILAQAVGNSRWKLLVLEQIKARPLCWEERRDGLMKPSLNDFDFSGICSRYLDSNGYSLRTGGTDSDKRFRLKLEQNRDGLLLQAMDPVRGDSTVVARATQVRRDKDAFVKLTLEPGWALERRAYKGRTLSHVYFANSKPMPTLMASSRGSTAQTRSFSASLPSAPGLPQAGRRGQGTRGPIRLQVIPFRP</t>
  </si>
  <si>
    <t>YP_001225047.1</t>
  </si>
  <si>
    <t>hypothetical protein SynWH7803_1324</t>
  </si>
  <si>
    <t>MKMPKFFQILLIGLGSLAAIIAILVAIIFQATSGLTAAADKLFSELKEGNTKAAMQLFSQQVDDQTLERELKTFARANSLDDFKNTSWSNRSISTNTGTLEGSINLENGTTIPVTISFQKSGSDWLIFSIKEKRSGVISSASEGVPSEKELLAITAETTDLFASSIKENNFQKLYNAISKTWQNEASPDQLEQAFKPFLKLSKNKQSLTYLNNLTRSTPAFTEEAIINDQNVLIIKGRYTIDPPYTFTYSYVMEGFSWKLIGLKVSI</t>
  </si>
  <si>
    <t>YP_001223772.1</t>
  </si>
  <si>
    <t>hypothetical protein SynWH7803_0049</t>
  </si>
  <si>
    <t>MAPGLKSVTAAQQQDLQLQRRLQQDSIQLAGKTIYINPFLYWRRFDSNTDRWLREPGQLSEEQIQQNRVRFYPELEWALLDERDQEIKDGAVEMFLKSLELISTFHPELTSGQLLEVERKMAITKKRSFERWVEKSYRRRSREETREKRRFARNRFWRGWGEWIALDTTHQALVPMVALLVLSAVAGWSLGSSRSSCPTLVLPPEQTGVR</t>
  </si>
  <si>
    <t>YP_001224176.1</t>
  </si>
  <si>
    <t>hypothetical protein SynWH7803_0453</t>
  </si>
  <si>
    <t>MALLPFRRQPAAPALKEGYSLKLDHIPDGASINRLLQACGDEIHPEERWSLALSRSFWVMTILDNDHALAGFVRATTDQALNANLWNLAARPGPDQVHLVEVLVHRSLAVLRRDLPGCSISISAPPQALNALKTHGYILDPGGIRTMGLRLRSPVEPEESRAWRDSNPRPSEPESDALSN</t>
  </si>
  <si>
    <t>YP_001224493.1</t>
  </si>
  <si>
    <t>hypothetical protein SynWH7803_0770</t>
  </si>
  <si>
    <t>MADDLLKLSDSWGHSQGDGTDIAPLVPFEQALESSSLRRNISRDDFLKSTLTQLNHQRLIPLLFMLPRRWRLQPAALPQSLRNLGGVLEHGLLSPLLLAALADDLQHLIAHEGKRQPAKKNAMDRWCQRSIDLDDGSSRLLPTNLIALQSISSPDSAPPSPGAGALARVAKGFSAELQWRNEGLPFLQPENARLRNRALAQVLNVLGSNRLPPPPGSSEPFRFESCDRSSALITHLIAGGWQCRARFRASVASFGLGASTRDGDQWSQIPLAVPYRTGLCDSQGEERRALLPHCSLEMELQPDHGEPFLLQYYQGTEGLNGWAALNDLNRPWQNDRSNGTVAYPGPELTGETLSAALDLCDLMGAVHNSAAQQNRLVIGGYGALGYCIDSTAMLEVAVRQTTHLFPLTLGGLWRQRLDDQLNQLLENGLKASAETVERYRQSLDTTPQDLFVNRNTVNDANRRLLASQPPHSPFALVRSLNGESTAKP</t>
  </si>
  <si>
    <t>YP_001224727.1</t>
  </si>
  <si>
    <t>hypothetical protein SynWH7803_1004</t>
  </si>
  <si>
    <t>MIALVRRLAGPAAAATGVLGLAVSGTVWNFYGRLPGLSGTIASLLVLAVGLVLLRPLPAPELPVSSSAEEPADASEPAASEDSVASGESLTTAEAIARELAAEESRKPEVVLVTYAPENLLPGTTLPVRKRRPGASFKPYREMTDELFKS</t>
  </si>
  <si>
    <t>YP_001224444.1</t>
  </si>
  <si>
    <t>hypothetical protein SynWH7803_0721</t>
  </si>
  <si>
    <t>MGDPQIQTPAAEQYWHLWTDAEGISRHQLCTISEFKLGRLGPRNSPQFSRDLIKDGNAFVTYLPVGWTADWHENPEPKWIYILRGAWAVTSMDGQRVVMKAGEYSYGGDQGCVMTSDGRLGHLSEQVGDEPCVQLVIQRNDNAWRNLPPGSFS</t>
  </si>
  <si>
    <t>YP_001225261.1</t>
  </si>
  <si>
    <t>hypothetical protein SynWH7803_1538</t>
  </si>
  <si>
    <t>MSSPSSGPVLQLLASGLQRWIRSQCDSVDDLNLSLQGSAFALLKGRLKGVTLQAKRVQFQQLPLVRADLQSGELKASLRPGQPNQPVQFEEPFLISGEVVLSGVELNQALASDRWRWLGDLLSEQLMGLTPLRSLSIDNDILKLTADVITGKDPVRRSFRLNAEQGTIRVDHCDAEGSMLIPMDPAIQIEEARLQAGQLLLKGKASVQP</t>
  </si>
  <si>
    <t>YP_001225275.1</t>
  </si>
  <si>
    <t>hypothetical protein SynWH7803_1552</t>
  </si>
  <si>
    <t>MANNLLVVIGAGRLGEGAMAPACRSLADAFGATLIERGSGASPHACLQQITSPSAGGSSQPTLLRVSGDVAVDECGEGSWLEALACWRVPVLLLAEPRKDGRFAGVVPGAVALSRALQVELLGLVQLGGTWSRSARRADGLPWCGCLQGPDEDLSGLISCLRSRWAQVAKEEGTDRA</t>
  </si>
  <si>
    <t>YP_001224427.1</t>
  </si>
  <si>
    <t>hypothetical protein SynWH7803_0704</t>
  </si>
  <si>
    <t>MRLIPSVLATSLMLAPLPARTLEVNGQTSFVAVPTKARLVNYQWYAFEGRAIYYVVLEFPQGADAGLGGISLEQIRGVQPAFSYGAVPVKAFIGTPRREGRTIPAIAEFSNQARSINVQFEEPVSPGNTVTVAFKAGTNPPADLYTFTLAAIPFGPNPIPQVVGVVQLDILNAN</t>
  </si>
  <si>
    <t>YP_001224764.1</t>
  </si>
  <si>
    <t>hypothetical protein SynWH7803_1041</t>
  </si>
  <si>
    <t>MNRWQRRGQCWCLWPKDSVRGLVDFIGGSYLATNPQISYRRLLEWLADEGYAIHAWSYVPGFDHQLQAREGWQQLRTCRLRLEERLNTTYTPLRLGHSLGCKLHLLAPDDGRGCSGLAALSFNNFTAERSIPLLGSLAPKLGVVTEFSPGPTETLNMIERFYRQNRNLVVRFGEDALDQSDDLIQALQRRPGDQSRFVQTTGDHLTPASAGLRQGLLGDWADDPGRSRRIRRLVDLLLAWA</t>
  </si>
  <si>
    <t>YP_001224773.1</t>
  </si>
  <si>
    <t>hypothetical protein SynWH7803_1050</t>
  </si>
  <si>
    <t>MSKSKTPFFVHYLPLPPGLRAFVIWLVFGLSVLTLILSIVVPALQDQFGPGWRQPTREISGLLLDGPGAPQLLIPRPEGSGESAYSRVLLASTVKLAPPASVLDKSGEWVKLRGALFSNGSLTVMNTNRATVLDAPLSAQPVPSEATPLGTFTLKGEIIDAKCFSGVMKPGAGKTHLGCAVRCISGGVPALFHTRNAQGQELDLLLLDEQGDAVNDRVLDRVALPLEIRGEVLKLNDLLLLRADPSTYRSLL</t>
  </si>
  <si>
    <t>YP_001224121.1</t>
  </si>
  <si>
    <t>hypothetical protein SynWH7803_0398</t>
  </si>
  <si>
    <t>MTQLLAGSAAFVLVAVLWLLGRRPSKTLLRSTDAGSVAAINRAQLGLVQSDDSALPESSLDATAEISEAAPAPVFSRPVGTAARLALTKELCRAMDQGGPDERLLAVERAGLWGHRSVLSVLRRGLRDSDRRVVLAAAAGLERQRGATRPSPSQQARPPRNVARMR</t>
  </si>
  <si>
    <t>YP_001224916.1</t>
  </si>
  <si>
    <t>hypothetical protein SynWH7803_1193</t>
  </si>
  <si>
    <t>MPQQRTLFNLQVGDVVQHLSRDWIVENTLVFDQEGFQWQEYYLRDGAEGVWLVVVDDDRIELSWMHQVPPEEVSVLFPLRDELVYQGIRYRLAEKGIANYRKTSRGSQQGGPCRFYDYAAPFDRVLSVEIYSASELLADSGEIEMCVGVRITPEALTLLPGDGRSVYS</t>
  </si>
  <si>
    <t>YP_001224913.1</t>
  </si>
  <si>
    <t>hypothetical protein SynWH7803_1190</t>
  </si>
  <si>
    <t>MQQTASASSTGSGLKAPVSSLTLRPLSVLLIPVGLLVATFFDRPSTITNLSVQVPRADQPVVSKPFELPNTNHRVTVRYQFSVPAKTFVFLSTELIDDKGVVQFQYDREGQSRSKNDGFLEFRPNKPGRFRFRFEVYLPKDELAQPTQLTAPVVVDSAITKDPFDSGALVYGFWSTLIVSLLYLSQVYFRGDLQCSGWCTSESELKRATRGEYRSGLLRVRLRGSYEVPDRWYAPEHQAIQMEIRNGLGCLIFQGTIPCRFTRDSEDSDTYTLCAEPQLFDLTRDSFLRFDVSLPTVLNNLDPERIGIQICDRVILPWNQDIRARLNP</t>
  </si>
  <si>
    <t>YP_001225539.1</t>
  </si>
  <si>
    <t>hypothetical protein SynWH7803_1816</t>
  </si>
  <si>
    <t>MRDHPIPAVTEPLQYRAIGVVRGEFRADSDEKSTRGQLIDADGQALECVVLGRMLTLMRRHLDMSQPHLWVVYPRCRDEEHLHLQIAGIWEPSTLSRSEDAAGSAPAEDALPEGDDYFSIRGELIYTKTETADVVVKVRQQPRADGFRPLPFKLQLKGELGLEHLRHFVSLDVRRQGQLLQIESSEVIAPMPTRGGKGRGGSARRGASSTRSVSS</t>
  </si>
  <si>
    <t>YP_001225475.1</t>
  </si>
  <si>
    <t>hypothetical protein SynWH7803_1752</t>
  </si>
  <si>
    <t>MATPAASVRIYQSAPQALRTSSVHRRWSPATAIAMALLLGGSVTALAVTNPTKEEYGAHAGTQLVGLATDELCSQRTLPLVLQLWIKDCPRLIADQEAALASLANQFTRRWNLGVASVFVTTVGGQDLLPTLRLPRYSVTTLGVAGRFLVLQTQSDSGDLE</t>
  </si>
  <si>
    <t>YP_001224935.1</t>
  </si>
  <si>
    <t>hypothetical protein SynWH7803_1212</t>
  </si>
  <si>
    <t>MVAVEFSSFDRRFIASGLKSCPATALGLSLVILGSILGLGSTASRKLSQRDATARSLARLAEGFTLIQSFQGDPRRPVPALWNARLGVKPARDLWKRQGGMLWWQAWSLDGEAYLLLPATLAPSQAQRSIGKRYGSLVVIGTDQLHREQLTQRIKAVTPQTPALREGGLFQSCLDSLSKRPSVYWTADALASLSGALAPLLQQGREGCMQLRLQGRALQWSGVIAQRPLRTSAAKAPLVRWPSDNDEAVAAEPSTLLRVDGSALQLIFGTLMSRQIIQVPLEQNYGINEALRSRISASPFSLRLVARPTGLYRAGLQLQIPVPKDQASWFKVLTAVSEKLKRRGFSPLQRADDSAPQGEQLWSKTDDPQATIVGGWRWLGDNDQRLLSVGFGIEPEGTPFIRNLAVPDAASLVVQADPLTLAGMDLLSGRWPKPMTKASTLTFEVKPLETRQPAKGLWRLVGQLTLPQS</t>
  </si>
  <si>
    <t>YP_001223994.1</t>
  </si>
  <si>
    <t>hypothetical protein SynWH7803_0271</t>
  </si>
  <si>
    <t>MRPWTSALRLFAVPMAVVALPALSTPLRAQVQGPRCNGTVLHLTVQERGDTRTDRFRFLLRLEAEGSKAAAALEQLNGRLARVRTELRPLVQGDLEVPAPNTFPIGQSQSPDRYRASTTIRGSVSRSKYDTLIQRAGRLPGVRLQGMTSLASVQGQTELEERLLKRALERGQSQAARTASALGLSKVKLLRIDQRSQPATRGLAMAATAAPRFRPGEAPLPTGSLSLTLDYCLS</t>
  </si>
  <si>
    <t>YP_001225705.1</t>
  </si>
  <si>
    <t>hypothetical protein SynWH7803_1982</t>
  </si>
  <si>
    <t>MPVCVLVLSERDAAENLVASLREAGTHLLRVALVAPDDEPASSGELTAERIDEVDLLNPSLTRTKRQRSMSRWLMPFGFLAGATFTQITTLDTFARFGTLGEMVLGGLLGLGSGLMGSYAAAASVPSDNEDGVRILRNRHKENAWLLLLETRPGVELPWTLVQKVRPQQVVRLSDV</t>
  </si>
  <si>
    <t>YP_001224374.1</t>
  </si>
  <si>
    <t>hypothetical protein SynWH7803_0651</t>
  </si>
  <si>
    <t>MITAPQTAGNNGERSSAPKQADWELDFYSRPILEADGKKRWELLITSTPTPSAPDCFRFEKRCPAGDVNSTWLASALREALDTAQAHGWMSPRRLRTWRSAMRTMVQRAASELELEMIPSRRTYALLDWLEERERDLYPLDKGYMAGPLAPPPAPIATPPLPLPEAVRGDAWCWAALPLGSLREASEWPMGFNDLLPIPEAMDPELPVPGLRLFSQTRALALAGWLGGLEPVRLRMNAQQLILDAGQDDSWLVSDLGQTEAVECRDALEDSVHRSRGLQFISVQATPDSQRFDGFWMLRDQPEV</t>
  </si>
  <si>
    <t>YP_001226166.1</t>
  </si>
  <si>
    <t>hypothetical protein SynWH7803_2443</t>
  </si>
  <si>
    <t>MAFFDRRPDLQRPGVAFGPGGSDEPAKVSTDISLVAIDRSDPDAYALSEVIVRGVTAALEQYLKERPLFRAVCPDQELFVMPIFNLQRYAPGEGFKQWHCDWTISDEATEPVHRVLAWILYCNDVDEAGTEFHWQGHHEAAKRGKLVIFPAGPSHIHRGRVNTTASKTIATGWINAGSYQAFLARLSRS</t>
  </si>
  <si>
    <t>YP_001226198.1</t>
  </si>
  <si>
    <t>MDFQQSLIATVHDYSLGNLNAIAFNQELKQRPTALLIPCLMEEFSRPALRLIRDTLSSLTELSSLVIALSADSADDVNAAEAFFAEMPFPVHVHWTNGPAVKDILTSMEQHGLDLTGPPGKGWAVWQGLGVACQHAEVIGLFDADIRTFGSGYPERMLRPLLDPSHGMAYVKAFYSRLSLETQALQGRATRLFVGPLLTSLEQIFGPLPYLRYLQTFRYPLAGEFAFTRDLAMNLRIPSDWGLEMGLLSEVYRHVAPSRIAQVDLGLFDHKHKSLGQQPNEGLQRMASEIFCTVLRSLMEHEGSVVSMDQLPTLEVLYRRVGEDRVRQFGLDSAINRLPYDRHGEELAVHRFSKLLRPGLTALMASPIAHQLPSWSRLHSCNPSFASELALAGRADRSASLHRTRARRPRRPNCSTVPSPARGRSTSSAAA</t>
  </si>
  <si>
    <t>YP_001223955.1</t>
  </si>
  <si>
    <t>hypothetical protein SynWH7803_0232</t>
  </si>
  <si>
    <t>MTTLAPIPIFIGYDPRERAATNVLIDSLYQHSSSPLAITPLVTPQLEAQGLYRRQRDPKQSTAFSFTRFLVPYLMGYEGWAVFMDCDMLCRGDIKQLWDQRDDRYGAMCVQHEHVPGETVKFLGEVQSAYPKKNWSSLMLLNCSRCTKLSVDYVNTASGLELHRFHWLEGDHEIGALDGGWNHLVDVQAPPTAAAQEGGPRLLHWTLGGPWFREQRTMGGPLAAEWFAARDDAMKLWD</t>
  </si>
  <si>
    <t>YP_001223779.1</t>
  </si>
  <si>
    <t>hypothetical protein SynWH7803_0056</t>
  </si>
  <si>
    <t>MNAPIEIPATFEPSLPLDSSVLDEPLVLDGTVQQFDPVLRAADLAASMPRQWCGSYKSFTSGSAVEVKLTLASVEPIGQMVNLRGDMEIAGVSTPVQGNLNATSDQLDLLPLAGELADDLEAGGDFLGLQGLSLSGWQAPRLTNLGGSLSLAPSCSSSETLPVRALW</t>
  </si>
  <si>
    <t>YP_001225082.1</t>
  </si>
  <si>
    <t>hypothetical protein SynWH7803_1359</t>
  </si>
  <si>
    <t>MLERPSSLVVFATVAGSAVIGLLLYAGLFYANARRSTSGPDAETVLPDYPSKEAAQAESERWIMEGGDIVVRTTQRTRRSVPLSKQERLKLEMLADERRRARIEADYAECLDSADNDLAKELCSFQQSSEPAQGLTSASDGGKIPKTKIIEDVDVVTNKEPRRTCTFVEDYRRFNCVELAIDRDEVIDASQKDSLEIKTYKQFRY</t>
  </si>
  <si>
    <t>YP_001224032.1</t>
  </si>
  <si>
    <t>hypothetical protein SynWH7803_0309</t>
  </si>
  <si>
    <t>MPAFRAPITITGLLAIASALVVPVRAAEGEDLVEFGIVPEVNAEVRAQEPPGDDPDPGPQSPEVRNRQPAEVRPPAELLLRANRQFYDARRNLFIATGDVQATLNGGVLQADRIEFDAGFNTLLARGSVRFRRGAQYFQASTLRLSLIQGSGEMEDVYGVLDLDTAAVDFNPFPSASATDPGRPRTPAGAPQRRLPVLESSGLGFPTAIDIDLEASTAERLSPQGDNGTFWDLERPPSPEWLVPEASTPEDPEDQAAEDQDGMACPPELPPIPDWHPHPWAITAWGGQMIDSNFGDTFLFNGRLRPEYLLGVSMQKRIWRAGPLAIELEADLFGHQAYKQQGGPFNQSVPNADTPDQTFAEGIIGIGARLWVQPWLSFGFVEGISYNTSVSNYERTYRENFAQLLNYLAFELEAAVSPELSLVGRIHHRSGAFGTYSGVKEGSNAYLIGIRYRWGQDKPAALSAQAPPPLGCPDPGRSARVAPQTLNEQLEDITLGNPTRRDQPSAAEAPSSPSFSQTQHSTLSLREQERLRAEAIAAIDQRISSIQLQQRLVFERSRGSDNLRNNEVLAANRYGGVRPSQLNQKGRTQFITGEISRWRIQAARVRLTPDGWSADRMGFTNDPFTPAQTRIDAENVVATEEDNGDILIKSERNRLIVEERLPIPVSRTQRIQKQEEVENRWVLGIDNDDRSGFFIGRNLRPIEFSEDLVLELQPQFLLQRAINGDNNSYVAPGSSIDSNKVTQDNTVGDLFGLEAELNSEFLGLSTKIEADISTFNPSNFSDGSRFWGTTRRTVTLPWIGDVSARVFGAYRYRTWNGSLGETDVYSAYGGFAEQKGNWSWGQLKNDYIWRFGVGNYQAESFTSTNLIDTLRANFYGSLNSRYQLWRGQPAELTPEAAYRYSPVAIVPGLELRTNVNTSLAAFGDGNRQNTISLTGGPTLTLGTFSKPFLDYTQLSIAGGGTLKQGSSPFEFDQAIDLGTLGIGLTQQIAGPLLLNAGVGVNIDPASEFYGNVINSNIELRWQRRSYDLGFYYNPYEGIGGFRFRLNDFNFTGTGRPFIPYSSDPLPNALDSRPF</t>
  </si>
  <si>
    <t>YP_001224700.1</t>
  </si>
  <si>
    <t>hypothetical protein SynWH7803_0977</t>
  </si>
  <si>
    <t>MTVTSSHGFTLESVDVAHGSVITVFARGRLSHQDYQEFIPQLEAAIAEQTGDRLRLVFDARELVGWEPQAAVDDLRLGLRHGRHVERVALITEARWLTLLSSVVGLLMPGELRHFEDRASADAWIRA</t>
  </si>
  <si>
    <t>YP_001225998.1</t>
  </si>
  <si>
    <t>hypothetical protein SynWH7803_2275</t>
  </si>
  <si>
    <t>MSRSPYDRPRGGNDRRSDDRRRMRDPRLDERRSDRGYGGPPPDQPGGPGLRLNSATIAVLAGVLVIGIGIGSAVTSTTQGDQGNIASSQQLDMAVPDPEFCRQWGASAFVMDIEMYTTLNPSSSFVTQPTLQPGCVIRRENWAVLRKEGAITSAQERECKQRMNTFAYIGSVRDKPVVRCVYQTDISQNKFLTRGVADDTVGITPEADQF</t>
  </si>
  <si>
    <t>YP_001224333.1</t>
  </si>
  <si>
    <t>hypothetical protein SynWH7803_0610</t>
  </si>
  <si>
    <t>MPGPVVNGVKVGRSASAEAGQQAAEALPFLPVLSEGTIRVVLLTSGLLVVTRLRQTTDSDGDRAYQLIRPLRLVGDLGGDEWSLQPFLAGLTPQRNIVMLKAAVAAVLEPEARILQVYTRSTNQECPPSETPVERLKKAFQEFTDSIEPS</t>
  </si>
  <si>
    <t>YP_001225018.1</t>
  </si>
  <si>
    <t>hypothetical protein SynWH7803_1295</t>
  </si>
  <si>
    <t>MTTPPSQPAPQIRVLASGASFNGWASLNDTIMGGSSRAGCRVTDEGLRLEGNVVSEGGGFVSCRSPVYKPPLDLSAFRGLRLSLDGQGRSFKFAVACRDGVLGLTELIPGGLRWVSTVPTQSQGTTVVDIPFDQLKPVVRASPIKLPLRFDPTCITRLQLLHSRFGDDGEANPGFRSGSIALLIRSIEAF</t>
  </si>
  <si>
    <t>YP_001225119.1</t>
  </si>
  <si>
    <t>hypothetical protein SynWH7803_1396</t>
  </si>
  <si>
    <t>MRSLLFGSIALAVCVPASVRANQPEPMECAAPRPGSYLVIRQGQRGEAPLGGLQLETWLEDGSVRGRRFLRVGRRYSETRYQGRWQKVSACGLTVTRDQQGSASSVLLSDQGTPRFGISTKVGDVVTEQWLPQPAGACKPSAMDGTVLSRQMGMTFANGAWTPNAVIQREIWSAWQMAGLAVSSYDGAGEVAAYQGRFLQDDNCVGRIRQQDARGVNYVYAAILRSDGKGYAYLQTQGDDLTVALLDRMAAQP</t>
  </si>
  <si>
    <t>YP_001225641.1</t>
  </si>
  <si>
    <t>hypothetical protein SynWH7803_1918</t>
  </si>
  <si>
    <t>MSLKDVVKPRIGFQGQTQAAGTPNEAGVGGFLPLVVNDNSVVFFDALANVNVADFKNYSSIINTTVAGTTISTSSRLGYRWLNRDRSWMLGLNAGYDSRPMATGYAEKGVKVSDQRSVFFQQVAVNAEAVSDTWNVNAFALLPIGETLAKLNNVYTASSLNTYGFDVGYFITPVLNASLGYYYQSGDLGTAEGSGVLGRLAYEMTSGVSAGLSVSYDDAFATRVSADFEVRLGGPKTTALRNDVRQQPVINALLKTPDHRDVRVGEPTDWCVAFAGEQCIIFVDYSRL</t>
  </si>
  <si>
    <t>YP_001225427.1</t>
  </si>
  <si>
    <t>hypothetical protein SynWH7803_1704</t>
  </si>
  <si>
    <t>MPSRTQESEIGSMPMAPLVLSQTTDEESAEKTAEEQELDDAWRVYLDLYAFLPLQTTSTTTINENSTTADVPLSSIFDTLTGALTFKASAEYGRLGVFTGINHAANSASTSKSFVRETNNPLRNQLDLPAVLRQRNIKVNVDVDINQTIVDLAMRYRAGAIQKPHMEQGSTSFVGFAGARLIDANLSTKVDFRRDRTVSVDGVVVNRERSRNLERSASDSWGNTWVQPLIGMMATYAFNKEWQAFAYLDAGGFGLSGETDLSGTAQAGIAYALGNSAQASLSYKYFGLDYAGGSGNGYTTSQSGINLGLRWLFD</t>
  </si>
  <si>
    <t>YP_001226175.1</t>
  </si>
  <si>
    <t>hypothetical protein SynWH7803_2452</t>
  </si>
  <si>
    <t>MALRTNWTPVVHGGNNFCTHRLQFKSGLTSSSVTFRTTPAMVAFCLVFLVGGVGVAVAILMTSFGIGMPVSPGILVALAVAGGGGLMLKRARAHEASFDRTSGQCRVRAKNYSIREVHALQLLRETVRGNDSNYHSYELNLVFRDGSRSNVTDHGALSAIRRDASALADYLQIPVWDAIDFRLPEHLRNGGADPKLDLLRNNLGL</t>
  </si>
  <si>
    <t>YP_001224637.1</t>
  </si>
  <si>
    <t>hypothetical protein SynWH7803_0914</t>
  </si>
  <si>
    <t>MHRITRQLIAPLAAAVLLGACRQPKPTPDLNSVFQGRWQANSTAGRAVLDVLSVEPERVRWGNDLNGVCDSDYSAETLPNGENGRFPDQLIAPTEPTELAYAVVRLTLQPEPCPTGVAVIQLAKPLDGSETLKVVTYDAQGAVRGQYPDLTALSEEQASKPQWPLQCTLNEIASTCRTEPAAKDGFTIYFSHAEQPIFTFTPVGAPTTDRREMVDSSGQRWAMSGHHSFELEEIGGYGNRITVSSP</t>
  </si>
  <si>
    <t>YP_001226139.1</t>
  </si>
  <si>
    <t>hypothetical protein SynWH7803_2416</t>
  </si>
  <si>
    <t>MSNTNDADHVTRGYRDQLAEGRQAMAHLIHVWHERNGWSHKVLPALADALDLGRVHNSQISNLRNGKLASPGPEVFLALGQANAVLHAGLAPIQEHLAEVHPDLLKVLKDGSVPLLDARSNPLGAGALFEIFVGLASLPPGFDWRIAPQESALLSAAIADRLCRGQSWRQCRDLVMEAYPVSKTQRRERFAEVMAGMRDYSAEELDGEFLDLYATHLKLEGRQGLSAEAFLAELRASTQPG</t>
  </si>
  <si>
    <t>YP_001224206.1</t>
  </si>
  <si>
    <t>hypothetical protein SynWH7803_0483</t>
  </si>
  <si>
    <t>MFEPPMSMAQFLAASRGTWLNRRAIHHLDHQDDEAADSNLVIEPFDASDPVVQKVCGALQVEASRSNGGGRFWWESNLKQGSRNDDYAAVIVDVPADNDPRRGFLLRDVGYVEKKAVISTYSFADDGVLTITTRYDTNVGTERCWFVTDQVRMRVSSVQCLNGVSMTTYCTELRCPSDDDIKALAQKARLFADSTAMEPTH</t>
  </si>
  <si>
    <t>YP_001224906.1</t>
  </si>
  <si>
    <t>hypothetical protein SynWH7803_1183</t>
  </si>
  <si>
    <t>METLIRLLQDHPNDPSIPELIKGAEAAFEVNLNQQSAQLSGVWDLRWSSASQPWLKQAPWLDNLQILDPERSRGMNVLRFNGPLARLAAITVEADLSIASATRVSVCFRKGGWVGPGLPGGGRLALMKTVNQAFPAWLDITALNETLRICRGNAGTTFALLRRHDLNLESFFT</t>
  </si>
  <si>
    <t>YP_001224008.1</t>
  </si>
  <si>
    <t>phosphorylase kinase alpha/beta</t>
  </si>
  <si>
    <t>MVLSHPVASNDQEKLDQLQQLDSAIEAVVLQRQNPLSGLLPASTAHTVHGNYGDAWVRDCVYSIQCVWGLAIAHRKLLGPCQRSWELEQRVVDLMRGLLSAMLRQSEKVERFKHSLDPLDALHAKYNSRTGEPVVPDDGWGHLQLDATSLFLLQLAQLSRSGLAVIHNRHEAAFIQNLVYYVARAYQTPDYGIWERGDKGNHGLPERNASSIGMAKAALEALDGVDLFAAHGDGSVTVLIPPGAVVRLRRALQGLLPRESASKEVDSACLSVIGYPAWAIEDPELVERTARRIRRELGGLYGYKRFRRDGHQTVVEDITRLHYECDELATFEGVESEWPLFLAYELITACFEERWDDARQWRHRLEAVRVERNGQMLYPELYLVPAEAVERERQRPGSQKRVANDNVPLLWTQSLAWLGEMLMDGLIEAADLDPCGRRLPSVLGAQSVLVCLAPDDPSVASRLKELGLPVSDLDTAGIEILSSDALRQHLSAVGVDEALGLSGCPPLRPETAASARLYRLGERQLAFLPAVLEEGTFYLSHDPRHLVDSVVNELHLLQRHWQGPGSPLLLIPVQASLLERGDTHLLALTERLCSGCVEDVHVEFATLETLAARAQWHELPHHALATSELPPTANARQLLKASTDLSDLTAAQEQELDDTSLEELRRRLWSSNSLREQAEVLELLTRKLGSSAILSGPNGAPVEIKTLLEEIYRRGLQQEDWNVARRCAGAMGLIHPQLDDALIDLLSRQKQVVVGRNYTKASRLSTPVSSQAIAALIEQTCGSDGREWMLQQELLLALDGIARREPDMIRGSLTFQLGQLMLLLTSELAAERQLSQDEAFEAVCDEPPHRLGQRLRTVLADVDHARDALQRRELLHVRGQVQWTVPEPLETGPGGSDWLQHRIRLGSLQQVPKEFYAGIWSLLHHCRGLVIGDKLERRNRLTSALLLEKTPGERNFAIQVEHLLSRITAPEYRQLCTESLLSLMAFATANPQIQIEDDIALDVVIGHAVRVGWHATHPDLKEADYAQHKASAWDQFYRSSPALCRHWQIAALRQLADRDTLN</t>
  </si>
  <si>
    <t>YP_001225169.1</t>
  </si>
  <si>
    <t>hypothetical protein SynWH7803_1446</t>
  </si>
  <si>
    <t>MLKQSFRYDQSAARLEVEGLPDFSADHGSNAIGILSSWRLTMIGHSEMQGKREHLEALMAAVIPYARLRLSGVSRAQGQDGDPVRILPLEQGHQLELVSSRSDVPPLTLQLDDADLADLVRCLDALRHDARVRIEWPAISHVPLPKRDLAERTPLVQRLAAPVLGTGTFLILGLVGLLVPLPNPEPTQTTSPVEQQDERREPPISNPSQAD</t>
  </si>
  <si>
    <t>YP_001224884.1</t>
  </si>
  <si>
    <t>hypothetical protein SynWH7803_1161</t>
  </si>
  <si>
    <t>MNVQAREILLFAPDLLGESLAAELSTAEHPLSIRRSSEALEGHPDLVIWSLPSRSQSLLLDREILQLQQRWTPAPILLLLPSDFSRDPRELLALNCEGILQDPDLEGLRTAIHRLLQGGRVLTFESRASAAEHPGQPVGVASWLLLSGLQQISADLQVIETLLNPPPDQSLLRLLLEGRRRELLSARNLLLWLWGPLQVGLDDAVSLSEPKESISLSLRERNSEAVWEAIQDRLQTAVSGGLGNGTGQLLAIEGLHPERRRDLLLALLKQLHAVLLRLRQDDPSAPSGQQDLKTRWNALQPEVREQALRSVAGSYVRLPLGDAMQPVADELLQRTDLLRGDEELPDPMTMLAALVQDQPVLVDGQLLPADDPRALLQLETLISNWLVRTAELIGGELLGVCGEWPELRRYLLDQALISTRELERLRNQLNSQSRWQEWIERPIRLYESRRLLYRLHAGQIEPLLLTETRDEELKTLQWWQQQVALLVEARDAIAPQVQSLVKRFGDLMVVILTQVVGRAIGLIGRGIAQGMGRSFGRS</t>
  </si>
  <si>
    <t>YP_001224652.1</t>
  </si>
  <si>
    <t>carotenoid binding protein</t>
  </si>
  <si>
    <t>MFTLDKARQIFPETMTADAVPAITARFKLLSAEDQLALIWFAYLEMGQTITVAAPGAARMALAKPTLDEIVAMSFDEQTKVMCDLAAKINSPISSRYAFWSVNVKLCFWYELGEFMRQGKVAPIPQGYKLSANANSVLEAVKKVEQGQQITLLRNFVVDMGYDPGVDDSKVVTEPIVAPTPEDQREEIFIPGVLNQTILSYMQLLNANDFDNLIDLFLDDGALQPPFQRPIVGREAILKFFKRDCQNLKLIPQGGFGEPADGGFTQIKVTGKVQTPWFGREVGMNVAWRFLLDDNNKIYFVAIDLLASPAELLKLGGK</t>
  </si>
  <si>
    <t>YP_001224329.1</t>
  </si>
  <si>
    <t>hypothetical protein SynWH7803_0606</t>
  </si>
  <si>
    <t>MPQQLRWTDAEARLFLQAIKTVGTAGGVLALEPITLEMMEAIQRHVLHSSVDLETLEIRHPPDYPALISDQSKRNQLIQILVLIPYVDMNVDPRMVGVVDDFASFLNIAPQTLQDLHQVRDNHLRRLLLDYGRRSMGEFLGLDTPSRFVRGVIAAVHQAIGDASVASRYATLDSYAEGTLGHTFFHWYRDRGWALPGEHKSTSELLVNHDCCHILGGFNTDCAGEMNVAAFQAGLFTDGFGFESLLEVILDFHLGKAFSTSNSIIPPETGQFIPDAAMAGYEKGLACSINLIQDLDFWAIADQPVVELRMKYNIPATPGPLLIKP</t>
  </si>
  <si>
    <t>YP_001225122.1</t>
  </si>
  <si>
    <t>hypothetical protein SynWH7803_1399</t>
  </si>
  <si>
    <t>MDTALNSNGFFPRSLDADLVRQRIRELEAGKVGFYSVGLYPASLAYNCAMQQEEPASLLLAARPGRQLLGAFSQEALEGMDPDHVATVERMGSHLQNGQRCPNTLKDLLLRCELVVLSANSNHVEEDLQEACRLRAELGRDHVVLACLAGSFSHDHIANESYVLCEKVPNLGFFSGFHRHGALRNPHDSFTANFCHPSALTALLAARMLDRLSPNIQVSPGVHNVEGQYIKAAKNMASVFAGFGYTYHYDNPGVLPTLLTLLLDQCLDQAATVSMARRNRQRLYNRQPFPLTELGYGVQRIEAALVRGGDMEKVRDHTFAQLTAMVADVRGSMMRPVSGKPTRNFQAGQVLAEHMRVEQRCPNSMEELESWCEDAGLRKGGLEGLKALRYWPQIARKYAIPVHDASMVNLLYMAIYGQSSTKDVAFSVMTESRELSNYCQESVRPTHSRRYAEALQNLDQQEAMDLVVNAVIADNARRLIRDDSGVEETEANAEPPAYLKAMNVIENAL</t>
  </si>
  <si>
    <t>YP_001223763.1</t>
  </si>
  <si>
    <t>hypothetical protein SynWH7803_0040</t>
  </si>
  <si>
    <t>MRLVSGLVLGGLLVSCMGCGRPSNPASSTQEAEIGASECLENLNLERLNAALDRCNAVVRAHSRNPAPLVDRSLIFNLMDRPDEACNDVAKAARLIKNVEFQPKPDPLLLHELSVRQQSCKLRATIAGND</t>
  </si>
  <si>
    <t>YP_001225701.1</t>
  </si>
  <si>
    <t>hypothetical protein SynWH7803_1978</t>
  </si>
  <si>
    <t>MSSATAATPLRPEVDGLLAHGTVHTSPGGQYSFRVIGPCCRLFDRDELPWPCCRLVWRSKEPSWRRVGRRFVPDLASRRCPSYAVELLQPGSRPTATVLTLFSMRFTPELQEWWYSRHPRSFDAANQQP</t>
  </si>
  <si>
    <t>YP_001223818.1</t>
  </si>
  <si>
    <t>hypothetical protein SynWH7803_0095</t>
  </si>
  <si>
    <t>MKPVLISHYNPYGRFGHTTLNRLTTFLMAHYFDWKFLPSRYDYFTEHWNQFIDWKQSEKAYKGEALYQLIEMVDILNDLDKDGINRTFDFEKSTNIRKVKRIIDDQYAKGKQLLVRLPFDQFPGKLLKKTDTIHRDLQNCLKLRELSSYDISIHIRRGDVNMVNNHSRWCISDEIYEILLRELSSEFPNETICCYSQLNTDGSIPLAKIQELPNVTLNISNSTWTNKDEIDAFSQMMGSKVIIGGRSAFSQLAHFCSKNEQQFFIGLIKDNDKGFYQSTKSSFHKLCADINISTINSILQEVKNSLP</t>
  </si>
  <si>
    <t>YP_001224987.1</t>
  </si>
  <si>
    <t>hypothetical protein SynWH7803_1264</t>
  </si>
  <si>
    <t>MSAVLPADLLEAEQRTVSALDAVFGGSRRGRWMVTWRFEGLRVMGPALRLARTLLDSSRPLLVAFPDAGAAALAKRDAPDLADSCVDFMQLQRDPAWADRGQLLLLVGAQPSDYETVEAICNLWKEPVVLVNGRLEDAGVGIGSVARSRRRGFLSTWSTAFHLEPLAQGALMLERQKEWELFRCDPDGYRWIQRFEQRPDPEQIDAALSPSADGLRQTLGAVDRLIDDLRG</t>
  </si>
  <si>
    <t>YP_001224905.1</t>
  </si>
  <si>
    <t>hypothetical protein SynWH7803_1182</t>
  </si>
  <si>
    <t>MQRLLWLAAMVTPFMLTPSALAQKEIPKAPGHDQCPLGYVNTLGSTCVSPIYYEVAPTYGKACRSGWINIGAGYCKKKTLGIF</t>
  </si>
  <si>
    <t>YP_001225073.1</t>
  </si>
  <si>
    <t>hypothetical protein SynWH7803_1350</t>
  </si>
  <si>
    <t>MTNPFRIRWLQGWTFQLVLMEGKVQVEAHGFGICLRTAVHPGESPRSAADRLVLAEDRRRRALHQAWIKGQMLPDSSASELPPLDGAQPEPPDSLVVVQQSPVAA</t>
  </si>
  <si>
    <t>YP_001225322.1</t>
  </si>
  <si>
    <t>hypothetical protein SynWH7803_1599</t>
  </si>
  <si>
    <t>MTCFHSRRALTALTLLVLPWLGAPAVADAPQAVIRSQQVRALPGQLDEVLVVNDNNPELITGEGILVSTFRQPPGLDLALNGRFDLFSHHVFAGKDDEETSTLWLAVLAQPIGDAAVTLELLGGSTSLSQATRKGQTAAPFLPLPALMSESGTPIAAGPGSRVAGDILRGESAPELPESWRIAPGSASALVVLPIPVAGLDPLLNGRNLQMRLQSSGPVHLATVAAYGEGERAPTLSRLQNLLASGQQSPKEHSPTPRGSKGNIIYSRVSGVQIGSTWTATLTDPGSTDLALSGKPVSWPISSLEKGDLQTGQVQTAELKVFDDGTAWAAHGNYGVEYDLTLPLKNRGATPRTVALALESPDKNGSNSKQLRFGGGNSSPVMFRGPIEVRGLDDAQGQAQGRRRFHLVLRRGQQGPELGRVTLAPGERRQVRIRLVYPADATPPQVLTLLPVKQSSTALNSRP</t>
  </si>
  <si>
    <t>YP_001224816.1</t>
  </si>
  <si>
    <t>hypothetical protein SynWH7803_1093</t>
  </si>
  <si>
    <t>MEAFDGDRSLGSALGEAPTATDAEDQAIARLLQRLDTPKATAASHKELVRRNSQNQDQTAQNARPASDQKPPKAIEPSQPAVDQASPPAVSTPEPDAPTNAVNEAPTDPDDWSEELTAIDLELQRIGWDRANESIYLERAFGHSSRHRLTRFSDLVAYLKRLRDLPASSDARTAAIPLRRSDLVNQCDEILKRLNWQQQQARDFLQSNFQVGSRQQLSDEQLLGFNMLLEEQLLPPS</t>
  </si>
  <si>
    <t>YP_001224123.1</t>
  </si>
  <si>
    <t>hypothetical protein SynWH7803_0400</t>
  </si>
  <si>
    <t>MDPLSLLAGTLIAQWDPGTPERNPFSTDGSSGEFLQGSQPVEELTLVRTIYRGDCPGESVTPIKGIRFLASTPPAAKQRIVIRNRRTGGFTNREYGEGRRSSESFSISLGTRQHGSFLSVRPGENRFRWKVTGASSEGSPAAGQAVLMVNTDDRERYRDFRSINEDAYCPGEKYSYSRTPLSQCRAGYYKVTREGVCPNGKTVQLGTRTIYRRYRSW</t>
  </si>
  <si>
    <t>YP_001224770.1</t>
  </si>
  <si>
    <t>hypothetical protein SynWH7803_1047</t>
  </si>
  <si>
    <t>MVLLALHAVQGYWYAGLLMAILFSLFGVQAIDPAAKGWSHPLFRLVIIPGVSLFWPLLLVRWVRRQGPPQERNAHRLAVRP</t>
  </si>
  <si>
    <t>YP_001224518.1</t>
  </si>
  <si>
    <t>hypothetical protein SynWH7803_0795</t>
  </si>
  <si>
    <t>MTDRGDTQRQANDPRWFELLMASRWPLAVVLAAWAVAIAAVQILRKPIPIGLPLSQPLPVKLVGGVSVEQFKVPVRVKSEGALSVEAIKALPVSGSVKVPEGVSLSRPIQVDTSTPLEVNSDVNVDTPIVVSEVSNPVSIQAVDGETLQVSTPDGETLNIIGGVRVNSVGGKINVRLRDAAKSVLPLP</t>
  </si>
  <si>
    <t>YP_001225168.1</t>
  </si>
  <si>
    <t>hypothetical protein SynWH7803_1445</t>
  </si>
  <si>
    <t>MTDVSVPAVSDPSQPEAVLGRRALERLDLLLLTLESLDLNGGESTLWATRQLGFETVFPNRVELWKRRCHNPLRRSPRRGSLAAVETEALIRILCTMADRLYPFLHQLLSSREPAELTDQRWALLNQRLKDLIEERMNLRRGAIQRLLDGQQAMPLQRQLVLTLALAAGPGGVDRLRASLLDPTP</t>
  </si>
  <si>
    <t>YP_001225448.1</t>
  </si>
  <si>
    <t>hypothetical protein SynWH7803_1725</t>
  </si>
  <si>
    <t>MDETAFPPADLEAFLQMCAGRWMSLRSRFDLEAAEDQWHTSDRGEVTVNAARQGSTWALTVEAADGASSELLFGADGALTLRSQASERLGHWQFRPDASVELEVMEGDTRLLERIWFIKPNLRLRSTTATAAEGTPVQARFCSEIRRVSPPQP</t>
  </si>
  <si>
    <t>YP_001224741.1</t>
  </si>
  <si>
    <t>hypothetical protein SynWH7803_1018</t>
  </si>
  <si>
    <t>MGSVVAGAGVNPADQRWGFWPLLPLYPYGRRRTVFNELIPGELWSFEQLQGVYYVAVPIRLTVVRVPGGLMLVNPLPPTRELLKKLADLEAVHGPVQTIVMPTASGLEHKLPLGPLARAFPQADLWVCPGQWSFPVQLPLSWLGVPKRRTRVLLDDGVPHPEICDWLSLGPLDLGVGRFQEISCFHRPSGALLVTDALVGISAEPPAVFDADPTPLLFHARERGDQPLLDSAEARCKGWARLVLFASYLRPEPLEVPSLLQVLRQAFRPGLRSPREHFGLYPFSWQDGWQQAAAALMGDPAPRLQVAPVLERLVLPRARQALLGWLDEVAGLESMRWLVPAHYSAPLAFTPEIANVFKEELLQRPWAPDQGSWDFLAGIDTTLLRYKLVPPDPFKD</t>
  </si>
  <si>
    <t>YP_001224222.1</t>
  </si>
  <si>
    <t>phycoerythrin linker gene region</t>
  </si>
  <si>
    <t>MNIEQFVAQSEGRWRSMRSGHSLAFQQFEDVLSEVEISKTDNNDADIAQLLAASEQHSDRSISCPFRMKWAAESDWEPDDPSEVSAGSCLIVPLPIDDTHGLLLRSVGYAEAAPAQSSYAFLSDGTFVLTTKYEQSIAEERIWFVSDNVRCRSSVLRTSAGSGVLQTSFASEVRRLTS</t>
  </si>
  <si>
    <t>YP_001225656.1</t>
  </si>
  <si>
    <t>hypothetical protein SynWH7803_1933</t>
  </si>
  <si>
    <t>MSDPSPAPASADASSVSIAPSPRLPLAILLLGAALLPLPLRPWPSLVVALFGLFLLVQTFSLRLEFCADTLVVWRGQTELRRFPYAEWQSWRLFAAWLPGLFYFREVNSIHFLPILFDPAQLREQLVQRVGALETPKP</t>
  </si>
  <si>
    <t>YP_001223789.1</t>
  </si>
  <si>
    <t>hypothetical protein SynWH7803_0066</t>
  </si>
  <si>
    <t>MKSPQLLRLQQQFLKSLHSGPTPWLLDQIVPARGFAKPDEVLNLYLHRAMARTVDPLHDVFRSLHWLLGDEVFDGLLERFYAFSPGEPLNAQLLASEFAGYLSRLDGAALAALKVDPALLPEGLTLPQALVAGAMFDWRCMWTSQANSRRSETVDALLHRLHHRCSCWSRPRLDRGTRLCDSGVDLAGWRELVETKEPRQPLPMVQSSCDGSVATFLIHSTQDHEVRVRRLAADEARLLNHCDGTHTVTSLIHEASFRGQSAEATMGLLRRLVEEDVIVELQEQFKVVTSPTEL</t>
  </si>
  <si>
    <t>YP_001225715.1</t>
  </si>
  <si>
    <t>hypothetical protein SynWH7803_1992</t>
  </si>
  <si>
    <t>MALRRPLPRFWLIATLGGVLALCGTAYWWEQQLPKRLENAAAAGDLDACLRYGEQLAALRWLGTEAPLEQAFCRRRQAQLTWEAGNTGKALELQTQLVNSAVGSQAEQTSDRQRLKEWRSQVREKALAQFRAGNLDAALATLSPLETRGQRTGSQLSDSLKETWNRNRVDHERLQERVQRQQWWEALSVLNQLDHPWWQRHALPLRRQIETAIKNLRDQQSHTSHGDLPDHSVDLERLNEAVEQRIGEGMDPWSAFVAGCSDLGGVLVEEGPESLCKAKKP</t>
  </si>
  <si>
    <t>YP_001224186.1</t>
  </si>
  <si>
    <t>hypothetical protein SynWH7803_0463</t>
  </si>
  <si>
    <t>MPSPQISTLLLTLLLGIGLIFFLRAASKDRTTIVEVHSPRPPLEVLEGLDQWLKQRGWNRHGGDADRCLLEYRGRVESSSALAILLSVLGTVGAGSLGLVIRQVNAGLGWWPLLIAGLGPLAGWVYTRRARREEGLQIRLVETEASEGSTLRLQAHRDELIALELALGGPLQLASDGALLSSPI</t>
  </si>
  <si>
    <t>YP_001224542.1</t>
  </si>
  <si>
    <t>hypothetical protein SynWH7803_0819</t>
  </si>
  <si>
    <t>MLFLMHWHFKTGYHEKAARKFMQTGAPMPACKSWTRYHAPGSVQGWILVETDDAGVCYEHAAEWAECLDWTVTPVFTDEQAGPLIGKVYS</t>
  </si>
  <si>
    <t>YP_001225735.1</t>
  </si>
  <si>
    <t>hypothetical protein SynWH7803_2012</t>
  </si>
  <si>
    <t>MAAVFPTLMIVPTGIGCEIGGYAGDALPAARLLAAASGCLVTHPNVMNGAALYWSDERIFYVEGWGLDRFAAGELALRGGRRQRIGLLLDAAIEPCLRDRHLQVADACRATLGLEIGPVVTTDVALGVTLRQGESGVSWGSLEHPDALLRAGETLRDAGASAIAVVARFPDDCGSEALEAYRHGSGVDGLAGAEAVISHLLVRHLQIPCAHAPALAPLPLDPQLDPRAAAEELAHTFLPCVLVGLSRAPDLIQSATAQPGDLLASGLRALVVPEGALGGEAVLACLERNVPVIAVSNPSVLQVSSQSLGLEDRVIAAASYAEAAGLVLAMREGVALPSLQRPLVPLKPCSIARD</t>
  </si>
  <si>
    <t>YP_001224807.1</t>
  </si>
  <si>
    <t>hypothetical protein SynWH7803_1084</t>
  </si>
  <si>
    <t>MADQMGADPCVTPEQIMGASQQSAGGHRKGTTSAFFLNADWALRQPQRTEHDRLQAAACERMLRRQMVDIVRSNGVGDLFEWRDQDIAEICRQELEQRGGEAVQAFDADNRAALAAGEVCGFTGEDLLPGDQDYGASAAATEVSTHRCDALLLKHLERQKGVRKGTFGAFCANYRLARQHPNPAGSAAAAMMRELLPHVRQLGYLQWWRCRDAWADALTADA</t>
  </si>
  <si>
    <t>YP_001224794.1</t>
  </si>
  <si>
    <t>hypothetical protein SynWH7803_1071</t>
  </si>
  <si>
    <t>MLPDLSSLSSMHVPFRRWLQSAVSVLLCFALSAGLSACVASDQPPRSVLLSALSQQIQLTQTSIARSLDLDAAGVPEVSRVRLEDQDAIRIGEQKGMHLTGRFDWRLPGDAVKVDSAFELYLERGERGESWRLAIPSGSDDGASQAWVTYPLAID</t>
  </si>
  <si>
    <t>YP_001225809.1</t>
  </si>
  <si>
    <t>hypothetical protein SynWH7803_2086</t>
  </si>
  <si>
    <t>MAEEGSQSHRDTPGAQVGHASTVRSLQGEVDQLTLVMRRFALFIGLTLGLSTGLMVRADQSLPFAQTKAANLARMRAESLNGGLGAYRAAGCMYETGGTSCLASKTSEGFLFRFEGGPPGWEQQTPPRPSLETSVLVSKDGDRILEVPYNGPLR</t>
  </si>
  <si>
    <t>YP_001224526.1</t>
  </si>
  <si>
    <t>hypothetical protein SynWH7803_0803</t>
  </si>
  <si>
    <t>MDGLETQAPHVPASGFMGWIRRTPPLVLPMVVLSAGLVVAGAVAVKGIRTAADTITVTGASTERIRSDYADWTVVVQGSGASQQAAYQALQPDLQRTLAFLRTQGVPDSSIQLAVLESSSNDIRNRMNGALIKTEWSARQPIRISTPDVILISKVSRSIGSLVGDGVSLTIQPPAYTYTKLADKRVDMLAKATADARKRAVAIAGQAGSGIGAITKADTGTFQITVPNSTDMGRYGSYDTRTINKDITAVMGVTFRVQ</t>
  </si>
  <si>
    <t>YP_001225845.1</t>
  </si>
  <si>
    <t>hypothetical protein SynWH7803_2122</t>
  </si>
  <si>
    <t>MWIDGHGFHPQDTTPTLQVATRIAMDSAPSPAESTAEPQDLAHRFRDRFETLLPEIQRRWPEVTHQALEATRGSFDDVVHLIATHSDRASMTVRHQLEELMHQAGDRSRHLADSLEPLEEQLEQLLDDLNRTLRPKIEKPLRERPLLSVAVAAGIGVLVGALLSGGRRSS</t>
  </si>
  <si>
    <t>YP_001224227.1</t>
  </si>
  <si>
    <t>hypothetical protein SynWH7803_0504</t>
  </si>
  <si>
    <t>MKLNEWRPPELSSPDSNLKPPVDARGSDWRGRTLQEVNLVGANLCRADLRGTDLSNCQMVDVDLRLALYDAQTRVPDGINLQTSGAVGPGAKLSGAFLNSTDLRGMDLRGAVLMGAYLSGSDLSGAILDGVRLVGSDLRDAILRGAMCRGTRFGTCQLDGADFRGADLTDASLEGAESIKGADFSLCIGLKEQKDLLLNRPYEELDCWNPLTRNTTRKSLENLL</t>
  </si>
  <si>
    <t>YP_001224338.1</t>
  </si>
  <si>
    <t>hypothetical protein SynWH7803_0615</t>
  </si>
  <si>
    <t>MKDLLSPGSLVTVGGGVLTVVGAVAYATGNANLSLPTIFYGIPILLGGLALKSSELPPARRVVPKNQLQREREAATPELGKLLGDVTRWRYGQKAHLESSLEALKLWDEDRPPQLLEIEELHGEAGYGLRLRFACEAVPLERWQERRDRLSRFFAKGLTATITPLDGDNLDLTLLPAGASSAGEHGES</t>
  </si>
  <si>
    <t>YP_001225498.1</t>
  </si>
  <si>
    <t>hypothetical protein SynWH7803_1775</t>
  </si>
  <si>
    <t>MSQQAVTIDIGSKVRVTRVRDRIPKALVELLKTDANGTVTDFRTVDGKGIGVVVELSDGSTNWFFEDEIAPA</t>
  </si>
  <si>
    <t>YP_001223925.1</t>
  </si>
  <si>
    <t>hypothetical protein SynWH7803_0202</t>
  </si>
  <si>
    <t>MASAAPILPGATVTVVDQRSIYNGYTGFVQRISGDRAAVLFEGGNWDKLVTLRLRDLSAD</t>
  </si>
  <si>
    <t>YP_001224806.1</t>
  </si>
  <si>
    <t>hypothetical protein SynWH7803_1083</t>
  </si>
  <si>
    <t>MAETPYLVALALIDQGGARALPLAGRSLKAEEASADQPTQAAHGLALELLLRVWQRSDDGVLKRACGDESLLLVELAMERLPEDLPALKAAWLNSGDREAFCTGLRAMCGRAWTMSIAKFQPVTLTPWKV</t>
  </si>
  <si>
    <t>YP_001224925.1</t>
  </si>
  <si>
    <t>hypothetical protein SynWH7803_1202</t>
  </si>
  <si>
    <t>MGFRRTLCRWAALLSLPLLLLLASPVQASDNPELLPDHPTPVIDLARVFSTKELQSLEGSLDAFEQRSGWKIRVLTQYERTPGLAVKEFWGLDERSLLMVGDPRGGNLLNFNVGDAFFALMPRTWWVELQTRYGNQYYVRDHGEDGALLAAIDAVEICLDRGGCQVVPGLPTEQWLWTLSTSVLGGLIAGFAAYPRKEGERVAWAWLLLLSPLWIMLFGVFGIAPVVTRTSELLPLIRNGMGFIGGAVGAYLIAQATVGRRLSESKE</t>
  </si>
  <si>
    <t>YP_001224547.1</t>
  </si>
  <si>
    <t>hypothetical protein SynWH7803_0824</t>
  </si>
  <si>
    <t>MDAERLRSLFTKPYGMAAPTEAQWRELYDENVHFQDPTQERSGIKAYIEAQDGLMRRCDDVYLTASAIAVDGDTAFIEWEMGLKIKGIEFIYPGASRLRFNSDGKVCDHRDYFDFVGPTFEPVPVVGGFVRWLYKRFVD</t>
  </si>
  <si>
    <t>YP_001224304.1</t>
  </si>
  <si>
    <t>hypothetical protein SynWH7803_0581</t>
  </si>
  <si>
    <t>MSDGTTLSIKRSITVRAVVTPAWKEEAERELSTAIATTDQQLAQLEQEGQQVVDDVRRQSANPLDPRVQEQVAQVQQQVAAKRAELEEQKRNLLQQQAQVRELEMEQIVEQGQLESFCDVQVGDNLVSKMQVAVVVRDGVIESIEQG</t>
  </si>
  <si>
    <t>YP_001225153.1</t>
  </si>
  <si>
    <t>hypothetical protein SynWH7803_1430</t>
  </si>
  <si>
    <t>MIISTPSQTSPGSDCREAFRAAYENRYTWDPGFSGYSGRCIWQQGDRSVEGRFEVGADLKAKVTGIDDAEVEKAMASQLWEVAIHRVRRSFDQVHGDNTFTAGSTTDEGLEVLIGGKGEGDRYRIKDRVVTMVHRHIHGTVVTIHTGSTTDTGSGYLSRTYTSQYADPSTGEARGGLSRFEDTFVPLENKGPWILEQRVISTDAQGDSPASTQTFRFLDCSSL</t>
  </si>
  <si>
    <t>YP_001224482.1</t>
  </si>
  <si>
    <t>hypothetical protein SynWH7803_0759</t>
  </si>
  <si>
    <t>MALAFTMAMPSAAQSTLLESVKRNPKEAKALCRQFKALNAKGESALSGQAIGQLASQRNLSTTDAEILATYVIGLHCPDVR</t>
  </si>
  <si>
    <t>YP_001225279.1</t>
  </si>
  <si>
    <t>hypothetical protein SynWH7803_1556</t>
  </si>
  <si>
    <t>MAAPLATLSLLLAGPAVLAQGAAKPQTKPASDSDIFLYRGMGSSYVCNARTAGVEFPKAVGIAAATYVQLLNGRHGGLVASTGNKKLTNEQLFAGAEFQIITGALQFCPDKVPADVKTKVEEAIKKQQAGGQ</t>
  </si>
  <si>
    <t>YP_001225952.1</t>
  </si>
  <si>
    <t>nucleoside-diphosphate sugar epimerase</t>
  </si>
  <si>
    <t>MRLLLIGCTGLVGRGLIPLLHEAGHQLTVVSRRSASAVGLPDRLASELQWIKADPAAASNWASSAALTQALAACDGVVNLAGEPIAEQRWTPQHLRLLESSRLETTRRLAEAMAALETPPSVLVNASAVGYFGTSANAQFEETSAPGSDFLAGLCQRWEQAAAAKPEATRLVVLRIGIVLSADGGALAKMLPVFRTGFGGPIGSGQQWMSWIERSDLCRMIQSALEQPSWSGAINAVAPEPVSMADFASGLGRCLGRPSLLPVPGPVLQLLLGDGAQVVLEGQRVGSTRLQELAFSFRYPSLDAALAAATSSSSR</t>
  </si>
  <si>
    <t>YP_001225558.1</t>
  </si>
  <si>
    <t>hypothetical protein SynWH7803_1835</t>
  </si>
  <si>
    <t>MELDLQPGDVVKVLESAALGWVRARVIRVKSGGRVVVQSDQGREFTARGNQVRLNEPAGFRP</t>
  </si>
  <si>
    <t>YP_001224164.1</t>
  </si>
  <si>
    <t>hypothetical protein SynWH7803_0441</t>
  </si>
  <si>
    <t>MGEARRRASQGLPPRQNKTDPKDSERFLAWLPLTRSQASQFVSITTRGAWVGIGALVVFWVVVRFVGPAAGWWTLADTP</t>
  </si>
  <si>
    <t>YP_001226083.1</t>
  </si>
  <si>
    <t>hypothetical protein SynWH7803_2360</t>
  </si>
  <si>
    <t>MASWMCGTALFSALPLRAQPGADLSSRLQQALNADDSSKQLEALMVPEQTSAFADRFRRFTERFPETRWAVRAGQPLNDGRQTVEFAVSGTRQQDGLSYSFQAQQTVALSVENGLIADQEILSDQSVLTSASKPLPISLLIPDTVLTGSRYDVDVVVDQPLGKALLAGGLISVTPQQVLQQKSPDIQLEPLGGGGLFKSVQAPFQPGSQVWAALLVHPDGIVTVSKRVQVVDESSKLKP</t>
  </si>
  <si>
    <t>YP_001225933.1</t>
  </si>
  <si>
    <t>hypothetical protein SynWH7803_2210</t>
  </si>
  <si>
    <t>MASLSARWHRSISEIPEEQWDQLLGDQICPFYRWTWLLALERSGSVAPDQGWQPLHLSLWRDDDQLVAVAPLYLKGHSYGEFVFDQSFARLAGDLGLRYYPKLIGMSPVSPVQGYRFHVASSEDPQELTTVMLGLIDDFAARHGILSCNFLYVDPAWQPLAQAAGCASWLNQQSLWSSDGQQTFNDYLAGFNANQRRNIKRERKAVRAAGLTVTPITGDALTPVLVSRMHDFYAQHCARWGPWGSKYLDASFFDRLCDPSLAEHVVLFNAHRGDLNEPVAMSLCVKDAQHLWGRYWGSDEEIDCLHFEVCYYAPIEWALQQGLVSFDPGAGGSHKRRRGFVATARTSLHRWYDPQMDTLIRAWLPRANALMQEEIEAINADLPFRAQPPDLGR</t>
  </si>
  <si>
    <t>YP_001225682.1</t>
  </si>
  <si>
    <t>outer membrane protein / surface antigene</t>
  </si>
  <si>
    <t>MVTFSSRRTRTTVRRSVLGVALSLPLMALPARAQAEAEAVQVEASETEVVQAGGASGEVEVEQSTSEEIDVTPAAPAQTAPAEQAPAAETLPQAPASPRVLITEVIIEGIADHPEQERLELAAYDAMSVRPGSRVTREELKLDLDAIYATGWFSDVRIEPINGPLGVQLVVQVVPNPVLTRVELEPDDNKIKPEVIEDTFSSDYGRTLNLNELQLRMKELQKWYADEGYSLARVSGPTRVSPDGVVQLKVLIGTVDGVQVEFITKEGETTDDKGEPLKGKTKPWVVTREISIEPGEPFNRKQLEEDIKRLYSTSLFSDIKVTLKPVAGEPGNITIVLGIVEQSTGSLSGGLGYSQSQGVFGQVQLSDSNLLGRAWNLALNITYGQFGGLANFTFTDPWIKGDKHRTSFRTSIFLSREVPQVFQSQNEGDIVTVTDYEDNNSRYAYDINNRNNPADRRFNNVANASRQFPEESWFDFEGDSVALQRIGGNVIFARPLNGGDPFKKVPWQVLAGVNLQNVRPINFNGDTRPYGVPSGNIRDGRIPNDEVICVAFDCADENNLASVRFAATYNTLNDGRNPTSGNFFSFGTEQYVSIGPNSPTFNRFRTTYTHFIPVKWLKLFKGCRPKPGEKENCPQALAFQVKAGTIVGQLPPYEAFCLGGSNSVRGWFDCDLAVGRSFGEATIEYRFPIISIFSGEVFFDAGTDFGTQASVPGKPGQLLKKPGSGVSPGVGVIVTTPVGPLRLEVASQDFTGEWRFNLGVGWKF</t>
  </si>
  <si>
    <t>YP_001225620.1</t>
  </si>
  <si>
    <t>hypothetical protein SynWH7803_1897</t>
  </si>
  <si>
    <t>MTRSLFRLTPRRAGVAAALVAGSIGTASLLLPAAPPAARAQNTPSLLEFRWDGSKDYKKLYFVQSSTQQLERAEYFFMLRPKDRKTAILKLSITVPSYFNARIQPKNLSLCKMKLGGVLSRSRCKEVLPAVFEVNEKQTAIEVFPDSPIPTGGTYAVVMNIFNPNSQGMYQFNALAQAPGDVPVAGYLGSWLIDID</t>
  </si>
  <si>
    <t>YP_001226079.1</t>
  </si>
  <si>
    <t>hypothetical protein SynWH7803_2356</t>
  </si>
  <si>
    <t>MRIRALALTGVMALASGLSSCASGPGTPLESKGAASAVIEDSQCASGNRAYFGDTHLHTALSPDAGLAGTKLGLEEAYRFAKGETVTSNSGQKAALKRPLDFLVVADHAENLGLAQGLADSDPELLKSSLGQQLNEMLKAGQGREAFYLLVQKMAKGSEAKISNESFMQNVWKYNTEVAERFNDPGKFTALIGYEWTSQPGGGNLHRVVVFRDNKALVDQILPFSNFDSENVEDLWRFMNFYEEKTGGRVLAIPHNGNLSSGTMFLPRHQKTGEPIDADYARMRHRFEPLVEVTQAKGTGETHPMLSPEDEFAGFNIVDNSNLGGIKPTTPDMLPYEYTRAALRRGLQLEQQLGVNPFKFGLIGSTDSHSSLPSTAEDNWWGKSPALEPSPERWKDVLIKSSKDPSLDLTALQLGASGLAGVWASGNTRTALWDAMNRKEVFGTSGTRLTVRVYGGYDYTGDELKAADWAKRVCAKGVPMGGDLMAASEGQIPSLLIQARKDPDGANLDRIQVVKGWLDADGETQEQVFDVSWSDPGQRKPRADGKVPSVGSSVNEREATYTNTIGAPTLTGYWKDPAFDPTQKAFYYVRVLEIPTPTWLAYDRKNYNLYDEMPETAPYTSQERAYTSPIWYNPS</t>
  </si>
  <si>
    <t>YP_001226035.1</t>
  </si>
  <si>
    <t>hypothetical protein SynWH7803_2312</t>
  </si>
  <si>
    <t>MTAAPENGRLHVLKAVEDGWNAFAKAPWTFLLYQALVVVIALCFAFLATINGLRLASFEGLSEIHPAGATLGLIIGLIGYVITMLWGAIGIIRGAWISLEGQKPTFRTFTRWDGNATRRLFIKGISLIAVILIIAIITLVAGLGLAQINRGLAVAPAAVFVIIYVYLIINQKFLPFIALFEKKTPFEAIARGRKVIDPSWWMVAWFFIVEAVLYAIAGLFQYGGLFVVFPVLTCISTAAYRQLFGKEDQTGLLSGN</t>
  </si>
  <si>
    <t>YP_001224552.1</t>
  </si>
  <si>
    <t>hypothetical protein SynWH7803_0829</t>
  </si>
  <si>
    <t>MQLYFVVGTIPDIDSQLDVYREFINYFEGGCQNDCFEGFELIQRAHLPGQGQVVALMKARGTEELFRHLAPWRAQFGVEMEITPAISDAEVVASHKVLFASMED</t>
  </si>
  <si>
    <t>YP_001225306.1</t>
  </si>
  <si>
    <t>hypothetical protein SynWH7803_1583</t>
  </si>
  <si>
    <t>MAIQRLTSVLLGAAGTLLVLDSSLVAKAACTFLPPVGGDGSSKIVKKRVGKGKLLGRTNWNTDFAVNRPYRSYKLFFTADSTATGTYPVEAFLKFTDGSNLRVVKESLTPPIGQGRMFGPFTVPQGKQMKQVNFKIGAGSDPNSTGFSYRISVQGCN</t>
  </si>
  <si>
    <t>YP_001225096.1</t>
  </si>
  <si>
    <t>hypothetical protein SynWH7803_1373</t>
  </si>
  <si>
    <t>MRSRLICSALALTAGLFVSPAMGQTATDANSTSVNKVLASSGAGFNVAAVESLIQRGDSAVSAGNLDQAKKDYDSARTAAKQLLAFYRDLSGAFRGLDARIPREMDAKGRQALSLVAQANLRLAALFRRQNQPEVAVPVLVEVVRLMTPAKPEGQKAYQSLVELGFVDTPFRGGQSTPGS</t>
  </si>
  <si>
    <t>YP_001224532.1</t>
  </si>
  <si>
    <t>NAD/FAD-dependent oxidoreductase</t>
  </si>
  <si>
    <t>MAEGDVLMADVDLAVIGAGLSACALASALRRKQAVDSLVILEAGRGPGGRCATRRRRDDALWRLDHGAPTLSFSGPPQGPLGALVDDLCDRGVLVPDAGCVVGLDGAGALVEPPAHPLLCGPRWRGQPTMAAVAETLLADAGEAVFTCFGERISTLRWHDGHWLLPGGWRARTLVLSGTLLAHPRSLAMLGWPDVPLRSAVAEGVDPSLDAALASIAVMTASVRWNLMLELPSVNAGLGTADSLPRQIWLTPEARDHCGVERLVVHPQSDGRLGLVVHGLDDGAAIRPDTQPDLLVHHERRLLAALPPLLGPWPALQAALPEARSLGVMRWGAAQPLDHALPRDLQWCPQARVGFCGDWIAGSGFGMAEGALQSALDLAEAMP</t>
  </si>
  <si>
    <t>YP_001226255.1</t>
  </si>
  <si>
    <t>hypothetical protein SynWH7803_2532</t>
  </si>
  <si>
    <t>MPARSRLRHHALATGSALALTLLNWFQPVRAAEDVALVSGAFIRSISVADLAYLAETGEARGLLSDLLRLGKQDPENVAKLLNQELDLPLVLTSRLMSTKIGDVILKRVAKIVYPLRVPEPSVSVPAIRAGVINGLQIGEGGLNMIKFLEAYPAEVMEINLPALMAAIEKAESIAGLVTFFSNSPLDGLKESGQ</t>
  </si>
  <si>
    <t>YP_001224007.1</t>
  </si>
  <si>
    <t>MTDTMVPVKVGVIGIGNMGWHHARVLSLLKDADLIGVADPDSARGALAKEQFGCRWFADYRDMLAEVEAVCIAVPTLLHHPVGLACLEAGVHVLIEKPIAASQEEAAALIDAASRGGRLLQVGHIERFNPAFRELTKVVANEEVVVLEARRHSPHADRANDVSVVLDLMIHDLDLVLELAGSSVVHLAAAGGRSSSGPIDYVNATLGFENGVVASLTASKMSHRKIRSLSAHCRSSLVETDFLNHNLHIHRRAHEWYSADHGELLYRNDGFIEEVSTTSIEPLYAELEHFLQCVRGQETPAVDGQQASRALRLADLIEQAVEQPGVGIPLEAPI</t>
  </si>
  <si>
    <t>YP_001226017.1</t>
  </si>
  <si>
    <t>hypothetical protein SynWH7803_2294</t>
  </si>
  <si>
    <t>MASVWLWAGHASWMHEDDHDVLHRLFMKGRSFLLALVASAMVLLTLALGVWWAMARQSPLRIVDRPLELTRAARFMPRDAELTFNWLVDPSRIPAYARAVAPVRQREAVSESTRQLRDGAFALAGLNFNDELRDWIGPQVSLAVLDDSTANAGDPGALGWVLALSSQDDDGARRFLQRFWQTRSLAGTDLQITRYRGMGVISGRGALLGRDPQPIATALIDDDLLLLASGRGVLEQALDVSQLESLQLQGDEGLANDLRSLGSGVAFLTASPAAMQRWLGVPAVIANRGDLTGLVAGLATQGTDLDLKALVRFRDEVIPAADERSDAEALLAGAGGDAHALALLSAPQALINPDSQNPLAQWIAPALRRALESSTAEGAAAVAALDSGPLLFQEGEAGWLLGSRADAPSPDAVSRQLEQGGLVGSTLDADGQSLQVWTRLVRQRRHGEESLTADLAVALEHGSGFNWWGQTLEGLRQRRSGSDPSALKQHLQELRSLVKAPITQQLALSADPSRDGLAQWRPWILLQGLGGRALSPAVQSLTLAAAPDSASSQSGESSSLRLHARLRFG</t>
  </si>
  <si>
    <t>YP_001225862.1</t>
  </si>
  <si>
    <t>hypothetical protein SynWH7803_2139</t>
  </si>
  <si>
    <t>MARLRIVTAVLTATVATGLTSPVRAQGSLFTAAEVDQTKFVMVSAPIGSGSSAQLNIYEQRTNARPCFEMSGSAPAVVNPMLATFDFTGICNRYIDGNGYSLRIGGDDLGTRYRLSVIKSADDVQLMAVPTRNPSQPTYLIAKAGGPGNDFIQLVLEPGWRLMRRQYGKRTLGHLYVYRDAAPAADAETP</t>
  </si>
  <si>
    <t>YP_001224531.1</t>
  </si>
  <si>
    <t>MSPRTIAISGASGKTGFRIAEEALASGDQPRLLLRSDSQIPKSLEGCEQQRLSLQDSPALDQALHGADALVIATGARPSVDLTGPMRVDAWGVQRQIESCQRVGLRRVVLVSSLCSGRWRHPLNLFGLILVWKRVGERSLERSGLDWTVIRPGGLSEREDALETEGIVWTGPDQQDSQSIPRRLVARCCLEALETPGSIGRILEVTSNTQQMVQPLSEALLSIDAYGAAAATAR</t>
  </si>
  <si>
    <t>YP_001225211.1</t>
  </si>
  <si>
    <t>hypothetical protein SynWH7803_1488</t>
  </si>
  <si>
    <t>MHVRFREVDPFNCWLWLRFSEVPSQGERNYVDGIFDSWYVLGRLGGFNAESMQVHEEGDELSWMSYDNDESTSVMPALMHNMGQLEYEQDWARCWVDLGTSDGVCLDVLINALRQLDSDLVQIEELLIGGVNDDWPVEDHPDSIFPGMS</t>
  </si>
  <si>
    <t>YP_001224890.1</t>
  </si>
  <si>
    <t>hypothetical protein SynWH7803_1167</t>
  </si>
  <si>
    <t>MSPTSALRSLLRCGPLRGVIGASLGLTALLAPGAHAGFSPEELAAFEVTEMRATVTTALPKEKVIEVIDPHGHKEILTVGMDLAPLGLKAGDEVSLSILDGLVVELEPSSSKDLSFNREDIILPMDMGRLKKGMRVALASGTGRVIRIDAKDNSIDLLGPLGGINNLDVVPTPGVNPFDRLKVGDTVDFRLIQPLAIDVQKLPASQAAAQSYRVNGQAPMVSTVIDDGAALKSELLEAFELAQLKATIQRIVPGQKVLEVKGAQGHTSLLTSAIDPTAAGLKPGDQVSIELLQGLVVDLRPSNQTTLSFQREDRRLGNAFGPLPSGTRVAMATGTAEVVRLSRTDHKVTLRGPLGKIHKLDIRPELEDEVFADLKVGDMVEFRLIKPIAIRIQPLAQR</t>
  </si>
  <si>
    <t>YP_001226234.1</t>
  </si>
  <si>
    <t>hypothetical protein SynWH7803_2511</t>
  </si>
  <si>
    <t>MLSALRRLAAFCLCLALCFGLAACDGGANAKPATISPDDMAVIRRQVEGFTAAKKRLPELAQLVNQRDWTFTRNLIHGPMQEVGREMLYINQRLLPQDRDQANALAADLKEAMADLDEAARLQDGARLQKAYVAVATGFSNYSEVIPAQALS</t>
  </si>
  <si>
    <t>YP_001224477.1</t>
  </si>
  <si>
    <t>MPARILITGASGCVGQYTAHWLLQNSDADLLLWLRDPSKLTAIQANNPRVRLLVGDLRETDRFASDLATVTRVIHTATAWGDPERAHQVNVVAVKRLLALLNPNLIEQITYFSTASILNRHLQPLPEALAYGTEYIQTKAQCLSDLEQHPLAEKIVAVFPTLVFGGRVDGTSPFPTSYLTEGLAEASKWLWLARFLRADASFHFIHAADIAAICGHLAVTPHQRNAEPGQGAVRRIVMGQPAISVNEAVATLCRWRGVARTPGIPLWPWLIETLIKILPIEVNAWDRFSIKQRHFIHNPVTQPERFGGTSHAADLEAVLQDSGLPHRGGV</t>
  </si>
  <si>
    <t>YP_001224504.1</t>
  </si>
  <si>
    <t>hypothetical protein SynWH7803_0781</t>
  </si>
  <si>
    <t>MTDSYSDSRQQGGPGEGGREGGRGARGGRGPGNREGGGFRIRLSDNEMRSARALQEALNLRSTVAVLGFAVRTLGQMLEDGKLDELVAQQRAQGNRGGGRRDDDRGGRRGESRGEGGRSSRPDPFARPAKPQPPAPEPEPTPETSADADVEPASAEQAAAESEQAAAEAAPTSDPGA</t>
  </si>
  <si>
    <t>YP_001226150.1</t>
  </si>
  <si>
    <t>hypothetical protein SynWH7803_2427</t>
  </si>
  <si>
    <t>MDLGLVREIGSKALLAGGGALLLYWTITAVKLVLSARGINPLIKQFFTQVAAGRVDAAYLLTTKTYRQHVNRQQFIRYLAGLKLNRFRNLKSGRPRLQEGNMILTVKLIAEDKEEMPLDFTFTKVDDNWKIERIATLNANAKS</t>
  </si>
  <si>
    <t>YP_001224572.1</t>
  </si>
  <si>
    <t>hypothetical protein SynWH7803_0849</t>
  </si>
  <si>
    <t>MADFLNCVRVVVKQGCEQRYLDAVEAWASPSGMRQRYLARTGERAFCFVALWDSKESLVAARPEMIEHLNSVRDLLEELTPELGVTDPVSGPVIHCTNG</t>
  </si>
  <si>
    <t>YP_001223935.1</t>
  </si>
  <si>
    <t>MVSNDQAAWWQFRGHAVHGLCAGDDPAQNPQVKERPALLLVHGFGASTDHWRHNIPVLAQTHEVHAVDLLGFGRSAKPAALSYGGALWRDQLVAYVQERIGRPTVIAGNSLGGFAALAAGAALGDQAAGVVLLNAAGPFSDEQTASPGGWGAIARRTIGSALLKSPVLQRLLFENLRRPATIRRTLRQVYIDKTNVDDWLVESIRRPSLDPGAFGVFRTVFDIPRGQPLDELFAHLQAPLLLLWGIRDPWINAAGRRSSFQRHAPENTTEVVLDAGHCPHDEVPDQVNRALLDWLAARVGENTLDPQPAR</t>
  </si>
  <si>
    <t>YP_001224530.1</t>
  </si>
  <si>
    <t>hypothetical protein SynWH7803_0807</t>
  </si>
  <si>
    <t>MMPLLGGRLLPMVSSVMLLGSAALLESSHRQLAAAPTVSAAPTAVADTKALTGYIRQWESPFTVAETVRRLRAGFQQQGFEIRAELNHQRTAREQGRRIPANTALLVSKPSLDAVVLAANPLANLFIPFTIAVWDQAGTTRIGYWNPKTDIAALLEIKQGEAAAALADLQEILADVIKETLP</t>
  </si>
  <si>
    <t>YP_001223843.1</t>
  </si>
  <si>
    <t>hypothetical protein SynWH7803_0120</t>
  </si>
  <si>
    <t>MLFKPDLDIPAQGWTLSQAGSSDSRDAVIRFWLAAPMDQIQALWSGGFGEITRQLVNQLSPSFEFTPQQVNLRNALNQRIGSLGLTQPLAHQLLVALFLLSPPGLLKIANPEQQLPPWLVEAFKSLYDNNQQTMTVLGGPESVQQQPPLDSLPRPDFGAFPTSLAELVGNRIQLNRLLGLSNLYYIDPEDQEITQELVEMRRALAELIQAAPASDLERIWSTEFGDRYWALVRSGIQKEGLGQADQEIKEAATHQLSPSGGGFGSPTALNAFLIVMMYFMPGGMRVEAPEQKLPSWLLESYRQVFEQAQPTSV</t>
  </si>
  <si>
    <t>YP_001225643.1</t>
  </si>
  <si>
    <t>hypothetical protein SynWH7803_1920</t>
  </si>
  <si>
    <t>MASKFFHVHHEFRAGKAAQWWQAAQTAMAPGGGWDEAVAKNLEAGFYNHSFCPVGPEGPAFCIWEVREGITAEQFQEFIDGPMGVNFGLDAWMNICREINVDLAGNPPYPRKF</t>
  </si>
  <si>
    <t>YP_001224847.1</t>
  </si>
  <si>
    <t>hypothetical protein SynWH7803_1124</t>
  </si>
  <si>
    <t>MNRLTQLTGGIFAAILCVLFCTPIALAVSPQDFPPQPPDELVLDSAEVLSRSGRNEISSRLGELDRFHVDARLVTLRRLDYGLSLPAFGEELLGRWSSSTADSNKPLLLFLEESQSKQATVVASPALLEQLPESLLRSTGRTTMSQPLRDGDRFRQATLDGITRLEVVLDGGEDPGPPVQVERVALPTNVPTAEQTEESNAFTWVVVLLVVGTIVPMATWWIFSR</t>
  </si>
  <si>
    <t>YP_001225426.1</t>
  </si>
  <si>
    <t>hypothetical protein SynWH7803_1703</t>
  </si>
  <si>
    <t>MAALKVLAFSPLCWLVAGALLGPSVSAQVTDQPLVADPADFDFTPLLLTEATIAQNGADQSQPGTGNEPVSVTPGESKAKEEGSLAKAAQNPIASLISLPIQWNSTPSTQWAPNVTIPSPDPALPPYRTNFKANQTQNVVNVQPVIPFKVSEGLTLVTRTIVPFISQPWARGTSIQSLGDINPSVFFVPTLKGNFTVGVGPTMVIPSATDNRLSSKRWSAGPTGVLVYTKGPIVAGGLINNIWSFSGEAGRDVNKMLIQPFLNYNLPKGWYLTSSPIITANWNQAENKGWTVPVGAGVGRVFVLGTQPVNASLSAYYNAVKPEVAGQTLIGDWTFRAQVQFLFPTGG</t>
  </si>
  <si>
    <t>YP_001225363.1</t>
  </si>
  <si>
    <t>MQVLVVGGTGTLGRQIARRALDEGHDVRCMVRSPRKAPFLQEWGCELTRGDLLEPASLDYALEGVDAVIDAATSRPNDPQSIYVTDWEGKLNLLRACERAGVKRFVFLSLLGAEKHRDVPLMDIKYCTETLLKESDLDYTILQGAAFMQGVISQFAIPVLESQTVWVSGSPTPIAYMNTQDMARFAVAALDHPETVRGSFPVVGPKAWNTGEVVQLCELASGKSARVFRVPPVLMRLTEGACSFFEPAVNVAERLAFAEVTGGGGALDAPMESTYSHFGIDASEVTGLEAYIREYYDTILKRLRAMEADLDKDAKKKLPF</t>
  </si>
  <si>
    <t>YP_001225093.1</t>
  </si>
  <si>
    <t>hypothetical protein SynWH7803_1370</t>
  </si>
  <si>
    <t>MTTYHFVAASERFLTEEEPLEEVLKERRRHYAEEGKDIDFWLIRSPAFLNSPELSAIKRELPEPFAAVVSTDSTFITFMKLRLEYVLQGRFEAPSESIPDPLASLN</t>
  </si>
  <si>
    <t>YP_001225001.1</t>
  </si>
  <si>
    <t>hypothetical protein SynWH7803_1278</t>
  </si>
  <si>
    <t>MDLSGPDAIDKAIDAGIDLDGSPLPESMLVLYREVMTLEGQRKRSGVLKSMRNRVVRTGAKHFDQETLNERLLQAGWEGLKAKEIAFFFG</t>
  </si>
  <si>
    <t>YP_001224740.1</t>
  </si>
  <si>
    <t>hypothetical protein SynWH7803_1017</t>
  </si>
  <si>
    <t>MKINRLTLTAAFFAGSIAVLPLQAQESPTYKAKVPEQLLTPDKMESSYLGELRFQDGFPTKETASKVSNFVDISRAVELFINGTPAASMYGMLNGHVKIGLVPNHSVGITEELMNARSLWLTPQTTTPYVHAEVDVKDGPVVIEIGTPVLGFVNDAFFRYVTDLGVVGADKGKGGKYLFVGPDYKGEIPEGYFVSRTSTYRHWALMRIAAKPGETKEAIEAFKKTFKIYPLADANNPKPTGFINLSSKQYNTIHANDASFYDELNEVIQYEPATAWDPELVGQAGAIGIKKGQAFNPDDRMKKILTEASTIANAYARTVVFSPRNEEVYFYPGKRQWYSPLAGGSHEFLNNGERVLDDRLIFYYYATGSTPMMVKPMVGKGSVYAMATTDSNGVPLNGAKTYKVTLPAPIPAKDFWSFMVYDNQTRSILETDQVTGGLDSNSKGVKLNPDGSATVYFGPKAPEGQEGNWVQTMPAKGYNAILRLYGPLEPWFEKSWMPGDFESVN</t>
  </si>
  <si>
    <t>YP_001225552.1</t>
  </si>
  <si>
    <t>phosphotransacetylase domain-containing protein</t>
  </si>
  <si>
    <t>Vit/cofact biotin</t>
  </si>
  <si>
    <t>MGSTLLIGSCEPFSGKSALVLGLARHLLSSGQRVRFGKPLATSFDWLPEQGVLPDPLIDDDVRFVGETLGLDDQELIPSLHLLSPSSAESRLAGGLLSAGDGLDHLRKHLLKFDGGVTLLEAAGNLHEGLLYGLSLVQLANDLDAPVVLVHLWQDSCSVDALLAAKAQLGERLRGVVLNAVTPDDVELLEREVVPALQRLGLTVFGVMPRSPLLRSVTVGELVRRLDARVICCPEKLDLLVETLSIGAMNVNSAMEFFRRRRNMAVVTGADRTDIQLAALEASTQCLILTGAGEPLPQLINRADELEVPLLKVDHDTLATVEVIEQAFGHVRLHEAVKATYAFRLVEEHCRLNELIQAVGLA</t>
  </si>
  <si>
    <t>YP_001224979.1</t>
  </si>
  <si>
    <t>protease</t>
  </si>
  <si>
    <t>MLGGVSTHLDLSNPAAQTIGVVLQWTPRQSVQTISLPVWTPGSYTVRDPSQHLHSLSAVQGERTLLLERRSPECWQFSCEPGEPLCIRYRLEARQLTVRTNHLDPEFASLSLPAVVMLVEGERWNEHRLQISVPEHWSVAVPLGQDGSGSVFVAEDFDHLVDAPVHAGSFDPEPLCVRGQTHSLILLGSPPCGWPSGFKHDLEAVCTAVCDLVQSDPSADQEYQLVIQTLEQGYGGLEHDNASVMQFPWPTLQEPGGYRKLLQLVGHEYLHQWNVRRLRPSEFIPYRYDRPVISDGLWFAEGVTSYFDLALPLLAGLSSRLDLLKDLGADLSHVLLNPGVAIQSLADSSREAWVRLYKQTPANAHSQISYYRLGTALAFCLDVHLRQSQHSLAEVLRCLWNRFGVHGRGYRRSDLLACFSEYSKDLETLLPDWLDGRSALPIEASLQRIGLSLNPVRDKTPSAGWLIRERQGRVWIDRTDVDGPAQRGGLVAGDEVVALRDWRCHSVQRCSELLQGDSNLKVTYSRRGVLKTTDLLLQDPGVDRHELAWDPGATQAERALRDQWFGFL</t>
  </si>
  <si>
    <t>YP_001223731.1</t>
  </si>
  <si>
    <t>hypothetical protein SynWH7803_0008</t>
  </si>
  <si>
    <t>MSASHQESSPRLAPLLRWLGLTLVLLLALQIGVVLSAADWSDEVYQQLLIERLVNQAPMGFIGLLLMLIASRLDQPGSARPPIRIVVCILSALMALAMIAVIPLGISGNQSLSGEADQSLNQKRGQLEMARQQSANPDNVKILGEQLAQAGQLPADATDEDKTKAAQEFIDKQLSQMDQQIQQAERQRNLAVNQRRFGGTFSAVVLAVALALLAVAAVL</t>
  </si>
  <si>
    <t>YP_001224719.1</t>
  </si>
  <si>
    <t>hypothetical protein SynWH7803_0996</t>
  </si>
  <si>
    <t>MRRIALALVGVLAVPLAAEAGLMDILESMKPAPPVRKEPQLPPLPPTPGRGKNWVGDRMPKKDMPILVLAGHADSQRMYGSGTPGRAVDIGGAAPMQAGMTDELYWNLRTAKAVVAEGQRQGLEITFYDPGVRTIRNGEDPRTNWSVGAEHAAKGGYVVEIHYDAYAPHGIGAGIIPAVAFGFSVMDEALAKEFGAYPYDYRGMLGAPRKVVSMLEIGMLEGALEAGLRDPSQREATLNQIAKRVVTALQEGLEQGQPLDMVCRMRGRVAADCS</t>
  </si>
  <si>
    <t>YP_001225985.1</t>
  </si>
  <si>
    <t>alpha/beta superfamily hydrolase</t>
  </si>
  <si>
    <t>MTASASAAVFPDHWIKQGSWNNHRISWIETDRRDGESTALLIHGFGACKEHWRHTVPALTGDHHVVALDLLGFGMSNKPQSILQGEPPNPEGVVYSIDLWANQVVDFIDNHGIVDVSLIGNSIGGVVALRAAEILEERQKPAAMVVLIDCAQRAIDDKRVSEQPPFRALGRPLLKQLVRQRWVTRSLFMSLARPGVIRKVLKLAYPTGACVDDTLVEVLHRAARSPGATESFRGFINLFNDHLAPEVLERIKTPVGMIWGEADPWEPLSQAQQWTRFASVHELATLPSLGHCPHDEGPDQVNPILQRMLNTNGRSSAELNS</t>
  </si>
  <si>
    <t>YP_001224484.1</t>
  </si>
  <si>
    <t>hypothetical protein SynWH7803_0761</t>
  </si>
  <si>
    <t>MPLPELLDQSSGWLAWGGAALSALTIVAFIARWGLRFRLVGVSSFTLLLAASCWAFSVSYTPTVKVDGALRVPVVFDNGDDLVVAQAGIDFPPEAVAPTLEQLASNVRPGGRSSAVVSVRLRQLQPAGDGASKPVVLGELERSFEAG</t>
  </si>
  <si>
    <t>YP_001224997.1</t>
  </si>
  <si>
    <t>hypothetical protein SynWH7803_1274</t>
  </si>
  <si>
    <t>MGFFDRLLNSGSSDSDSSREGSGPKQAKPKPEAYYLDSDSSSSLGNRDYMREAKTIRRTFPGTLDNPGGKELITEVDALDLKVDKRSEGLGDPKAEKPMESLIKDGIPKPVKKTFAETMTQSELDQKLKGNALKASGVNTPTAPDAAPVARKEELKPQEETVVPSRGGSAPSDKPGSIDPFRAMVRDMKN</t>
  </si>
  <si>
    <t>YP_001224023.1</t>
  </si>
  <si>
    <t>hypothetical protein SynWH7803_0300</t>
  </si>
  <si>
    <t>MLIIEVTNARDVVRQRIGRLGERLIGKVVDPEAQVEKALIQELDTAFREFGIEARIVSVQGPQLVGRQQLELPIQVRDDRTVTLSDE</t>
  </si>
  <si>
    <t>YP_001224590.1</t>
  </si>
  <si>
    <t>MRDAASSTANPSHVVVIGAGWAGWGAAKALCEAGVRVTLLDGMADPTGRTPITTSSGKPFEAGTRGFWKDYPNINALTAELGLSNVFTEFTTSAFWSPDGLEATAPVFGDALGWPSPIGQVLATATNFKRLPVADRLSIAGLLYAMLDLNRSDAVFERYDNLDALTLFRSLGISERMINDFLRPTLLVGLFKPPEELSAAVTMELLYYYSFAHQDSFDVRWIRSSTIAEQLIAPLAQRLIDRHGLQVLGGTLATGLNLHPDTKAVASVQTRALATGENAVIDGVDAVVLTVGAKGMGALMAQSPACAAAAPELVDAGSLGAIDVVSVRLWLDAYVEVADPANVFSRFEALQGAGGTFFMLDQLQQQTEAALWGGEQPRGSVIASDFYNATAIAALSDEAIVALLMRELLPVANPAFHTANVLEAEVRRYPGSVAWFSPGSFRQRPPLETAIPSLVCAGDWVRMGAREFGAKGLCQERAYVCGLEAANSLLRRGVVQGADPGGRAQHRVIAIRPDEPQVQLGRSLNAQVMNTADAFGLRWPWLS</t>
  </si>
  <si>
    <t>YP_001225342.1</t>
  </si>
  <si>
    <t>hypothetical protein SynWH7803_1619</t>
  </si>
  <si>
    <t>MLWLKRWNFIERARLERELWDAFEARENPEAKIKALQAWIEAADPADPTLGDQRFRLEVWTTTLTRIRKIEAMMANQQRKS</t>
  </si>
  <si>
    <t>YP_001225623.1</t>
  </si>
  <si>
    <t>hypothetical protein SynWH7803_1900</t>
  </si>
  <si>
    <t>MTKSIQEDTFYEGGPAKGDLIINLLLGFTLIGLPFTIGAVVRALWLRFNITSRRVSVSGGWMGRDRSQVVYSQISEVRCVPRGFGAWGDMVLVLTDGSRLEMRSLPRFREVETYILERIQSRPTGNKPSQAGLDDSSSKGFAA</t>
  </si>
  <si>
    <t>YP_001223780.1</t>
  </si>
  <si>
    <t>TPR repeat-containing protein</t>
  </si>
  <si>
    <t>MESLLPQTYLLGLIGLLAIVAVVVGRQLLRVRRDEQNLIRLEQADAAGSRDAGDLYELASVQLRKRLYPQATATLRQAVKRLGNEPQEARALIQNALGFSLAAQKDFSTAIRHYKLALQAKAEYPVALNNLAFAEERLLNRDAACELYRKVLNLEPENPTAKKRLKRLERAAKRQASSRSEATPTNESPESADGKGF</t>
  </si>
  <si>
    <t>YP_001225892.1</t>
  </si>
  <si>
    <t>hypothetical protein SynWH7803_2169</t>
  </si>
  <si>
    <t>MLTRFAAGALAAASISTLAVAAEAGTKRPVRWVSGGAVWTTKSKAFKKFFKNGEITDRALEAGINNSGWTADEIQEGMTKTYEVDLVGVSRFLYSKDGVKFLKDQTRSYFPYWQKKKTAVVALRSAIILDAADGKISSAGIMKQLPVAFRLNDNGSSDGAQNVCKDGLDGAQATSLLSWYVFLPACVQANQILPAAPAPRAAAPVRGLW</t>
  </si>
  <si>
    <t>YP_001224988.1</t>
  </si>
  <si>
    <t>hypothetical protein SynWH7803_1265</t>
  </si>
  <si>
    <t>MGIKERFRSLSVIDAAAVVVAVAAVAGVLWSPKLSNAVAKATGSVKPVLVSVDVRNSSAADPDRLIKQALDRGRTNLVIRNQPAGSAELIRVDDISRKLVAVQPDGRVVSAVDPNRQVQGILDARFVLRSDASVTASGVVMAGTKLKVGTPVELDGPLYRLNGIVSGIDVQ</t>
  </si>
  <si>
    <t>YP_001225963.1</t>
  </si>
  <si>
    <t>hypothetical protein SynWH7803_2240</t>
  </si>
  <si>
    <t>MYVIELALRMSPMPVSVQRKEHDSAEALYQQVRSALEQGQPRLLELCCEKVEGKRLSVLTSDLLAVQIYEKTAASGGTKRPGFSFEA</t>
  </si>
  <si>
    <t>YP_001224382.1</t>
  </si>
  <si>
    <t>hypothetical protein SynWH7803_0659</t>
  </si>
  <si>
    <t>MPPSLMIRLSPLLLVLMAGLPVGMSAQGLLPGCRLENGSLQCVPGLTASPQKQIQVLEGQINRDVQSEGHLEQAIEGLKRFELIGKAREGQLIKAELMLQGGGFDEVHIHWYRRNNQGNWQLVNTVSESSYRLQPSDRGHQLMAVLVVKNSDGKVQRISSNVLGPVTD</t>
  </si>
  <si>
    <t>YP_001225333.1</t>
  </si>
  <si>
    <t>fused dienelactone hydrolase/uncharacterized domain</t>
  </si>
  <si>
    <t>MAVGLFSSLLLWAASPRPVQAAGELEVRLDGMALPISIDDLGAWVRSGGARSSELGVWFNLLEAESRKGVIDLLQAPLINDSSMARQILNSWAGRQLLDQVGDLVQVDDETTGLTVQTTLEELLAQRPEVTTLELLEALPAKKVRLDLDALLEVAASWRLQLERQQLLVERLGRQPLSPQSLPQAREWPAAADGRLERLALPVPHRERDLQLQLWLPDAALEGQRRSWLVLMPGLGGSPDHFAWLGRALSRNGWPVVVLEHPGSDAVAVKALLEGRRPPPGAEVLPERLRDLQEVLSAQGRGDLPLSGDQLVLVGHSLGALTAFLASGAQPEQGLGRRCRTVMDDLPLSNLSRLLQCQIQDVALPGFPPPASLAGVVGLNSFGSLLWPRRVPVASDVPVLLSGGSLDLITPPLSEQLGLLRALPANPGTRAVLVEGASHFSPVRVEGQSGGQGDDLFQLGEEFVGVQPLQVQALLKQEILRFLEALESGRRVKRAEADAEHLQVGALHLYRLNQAGAARLLD</t>
  </si>
  <si>
    <t>YP_001225429.1</t>
  </si>
  <si>
    <t>hypothetical protein SynWH7803_1706</t>
  </si>
  <si>
    <t>MPVRPFVRRSSLALLASAITAGVLVTSCGKSEESKTASTGSDCPKAAVVQEGTTVTPVTKANYAVAETEVILADYVRKIAKGTCSAGVGVFLHQRAAMDPKERTILRPNFDTLYSFAVLDLESPATVVLPDTNRYQILEVIDEEHWIPLISDKPGRYELTKESVGSRYAFAFVRTQVNVQDPEDLKKAAAAQDGIKLEQAKKGEFVSKKKYDMKEILALREDYNKRREPEGVTSEMAFGKKGELTEELRNFGVAVGWGGLPKEGAVYPFPKVVDSTEPHTLTLKDVPSDPRAFWSVTVYDHKGFSTGESYNINSAFAKKNENGEYVIHLGGDKSQDNYLDIYPGWNVALRIYSPTEAYFDGSWTPPQFEPAK</t>
  </si>
  <si>
    <t>YP_001224107.1</t>
  </si>
  <si>
    <t>hypothetical protein SynWH7803_0384</t>
  </si>
  <si>
    <t>MPLPPPPPAPVAEVRQAGQSIGSTIRIGEISQKSAWLWITGKGGSSDQLWLPLDVLTGRLGFRRTTTAAGEQLEWFGRDRRLTDLETRTLKDEVAVDALPWMRAINVSVQRRETTLELSLPSARIVSIRQGRGSTAGRVVLDLSAPALVQRDQQGLVLGVTSNRSQNNRLRRLGLSPQARQSILRLTSQGGDLDFFTLKSPWRIVMDGTQRRSVSKTRARTSPFQAARFSPEIQNAIRQGLILDSRTVQVGVKPLRIYRAGWPLGNESLLLRPLAPIRAQTGLRFLNQLAQPAKALVAINGGFFNRVRQLPLGAVRLDGVWLSGPILNRGAVGWDGPGPLLFDRLRLDQELRVNGGRRWGLGFLNSGYVQRGLSRYTRAWGPTYRSLSGEEQAILVREGRVSDQFSQAELARGVPIPRGASLIVARARAPLPAKPGDEAEIRLKVSSPVGERRQVMAGGPLLLKEGRVVLRGRQEGFSPGFLGQAAPRTVVGQDTKHRWMLTLEGQSGGDPTLLETTLALQQLGLSDALNLDGGSSTTMLIANRTVMTGRGVPPRVQNGLGFIQP</t>
  </si>
  <si>
    <t>YP_001224705.1</t>
  </si>
  <si>
    <t>hypothetical protein SynWH7803_0982</t>
  </si>
  <si>
    <t>MSGRCWSVAAAAVLGASTLAPLPAAADSEVQVFSTMVTEAEVIKAQRGWCAALVAISDAYQTGGYAAAKAKASAVIDAAYGFDYGPIAFKPTYTTGADTFRSTRAGALAYFVGPDPSIPAFGKNKGFATYRHWKSCEIEDYVIQLFGNTANTMGLVRVTDAKGQVGVVEKTWTFVREMNGTLRIVLHHSSAPFDAR</t>
  </si>
  <si>
    <t>YP_001223729.1</t>
  </si>
  <si>
    <t>secreted tetratricopeptide protein</t>
  </si>
  <si>
    <t>MGPARTWKLWQKSLVLSLTLGLVGASTTPPARALVPYVYTPSTEELEGAGIGIGRTAAQLLRLGQPEEASRLAALAVRLQPNDERLWSVLAEAQLRSDQLKAAAGSLAKAKSLNPGKAGLWFAEASLALRDNRPDDAIDLLDEGLRLDPKNAGAYFDLGNARVMQDDLRQALRAFEQATTIKPSFWEALNNQALVLFEMGNTREAIKRWRSVLTIKRNAEPMLALAAALNKQKPGDTESIELARKALAEDPNYVLPGHQENQLWGLKLRQATETLLSEGALKGAVERAEANADPTTAE</t>
  </si>
  <si>
    <t>YP_001225880.1</t>
  </si>
  <si>
    <t>hypothetical protein SynWH7803_2157</t>
  </si>
  <si>
    <t>MTQAITNLARLTLRQLRQMASDLGVTLYSRKSKQDLVSAIAERQERRGGDLKAIEAELNPPARPQANTRVVFLPRDPQWAYVFWELSDDDRRRAQSEGASHLSLRLADVTGLQDGSSHPHTLQEVPVDSHSTEWYLPVPLCDRDYRVELGFRAGSQWMSLAFSSVARVPALHPSDQILDQFVPFSLDASAPAPQPVTTPIEPSDSGLHERLYQSATTHFRSRRVGSEVLHELDSQSGDQRGLSDSGAGLWASGRNESGLGGVAPRQRSFWLVADAELIVYGATDPSARLTIGGEEVPLSSDGTFRIQVPFRDGEQAYPIEATAADGEQKRNITLNFERVTPEDNSNPASEAKAEWF</t>
  </si>
  <si>
    <t>YP_001224826.1</t>
  </si>
  <si>
    <t>hypothetical protein SynWH7803_1103</t>
  </si>
  <si>
    <t>MSETPAKPKGETKPAGEGKAKPAAKPKLEDKPFASFMQEDFLPSLTKALDDRGQRAVSLSLIEGERPVVGGSCWMVKGELSGERRFWLCFESDAITSGKTIALAESGTAPSLLESFLIDEKRITLALLQSRLLQRLNGQKWLGGN</t>
  </si>
  <si>
    <t>YP_001225480.1</t>
  </si>
  <si>
    <t>hypothetical protein SynWH7803_1757</t>
  </si>
  <si>
    <t>MHGLLWLPLLLVFVLLAALGWLERRRQSLFRQWSQSSELAKLDGCGAARLKEGELSWSSFHAGSFREEGRFVIKTLELVELMSLASGDTPLSDESQGQCRLRLIGEGQQMDVPFSDAERARRWMEQLMAKARCDL</t>
  </si>
  <si>
    <t>YP_001225523.1</t>
  </si>
  <si>
    <t>hypothetical protein SynWH7803_1800</t>
  </si>
  <si>
    <t>MKSIHAFMPIQRRRLCWRQQKRATQGFGLNELMISLAAGTLIVGASGLALRSTGSMLDQSTNLTTLRQNKVNGLRLMRAEIERSDHLLLREGTKAGTVLDLNHPDYESTIKECKEQAGEVIKQDGSTEGDIKFTPFFGVMMNSSKPILYGISLDSSGRSYNLQRCGVPIGIDGSYSDASETFLASVITHIKPTGCDDNSSNNCETKTLQDTLNSMQVAFTGTLHSGNRSNKEPYFHIQSDENYKLIKIVDSSVRTPRYNDEVASDSPLYFTAFARADKQWFQTADSDTNSGNYGLWSINPNQEEGADGSDTAIQAGSFFPPITSKNVRFVVDGSGSMSACVMWAEGYDRRRTFYDPGQGYFTTSRICALTRMEALIAELTAILELLPDDTKVGVRAFSSGGYANHKRWTAFGDELTSLNQIKNGKTARQSVIAFVNTLDDDSPNRWGGTDPWDAMQAAFDDQETDTLYFLSDGKPNKDRNGGSWRRSDYERTADYYADLNRGRTHNGESRPLEVNTTSLGLTSDWMKMLSEKTSGIYNEVNEDSL</t>
  </si>
  <si>
    <t>SynWH7803_2125</t>
  </si>
  <si>
    <t>SynWH7803_0784</t>
  </si>
  <si>
    <t>SynWH7803_0482</t>
  </si>
  <si>
    <t>SynWH7803_1224</t>
  </si>
  <si>
    <t>SynWH7803_0519</t>
  </si>
  <si>
    <t>SynWH7803_2155</t>
  </si>
  <si>
    <t>SynWH7803_0797</t>
  </si>
  <si>
    <t>SynWH7803_2203</t>
  </si>
  <si>
    <t>SynWH7803_1646</t>
  </si>
  <si>
    <t>SynWH7803_0485</t>
  </si>
  <si>
    <t>SynWH7803_0391</t>
  </si>
  <si>
    <t>SynWH7803_1213</t>
  </si>
  <si>
    <t>SynWH7803_1560</t>
  </si>
  <si>
    <t>SynWH7803_1524</t>
  </si>
  <si>
    <t>SynWH7803_0481</t>
  </si>
  <si>
    <t>SynWH7803_0487</t>
  </si>
  <si>
    <t>SynWH7803_2156</t>
  </si>
  <si>
    <t>SynWH7803_0757</t>
  </si>
  <si>
    <t>SynWH7803_0533</t>
  </si>
  <si>
    <t>SynWH7803_2025</t>
  </si>
  <si>
    <t>SynWH7803_2026</t>
  </si>
  <si>
    <t>SynWH7803_0578</t>
  </si>
  <si>
    <t>SynWH7803_2028</t>
  </si>
  <si>
    <t>SynWH7803_0493</t>
  </si>
  <si>
    <t>SynWH7803_0501</t>
  </si>
  <si>
    <t>SynWH7803_1647</t>
  </si>
  <si>
    <t>SynWH7803_1648</t>
  </si>
  <si>
    <t>SynWH7803_0492</t>
  </si>
  <si>
    <t>SynWH7803_0486</t>
  </si>
  <si>
    <t>SynWH7803_0396</t>
  </si>
  <si>
    <t>SynWH7803_0392</t>
  </si>
  <si>
    <t>SynWH7803_2059</t>
  </si>
  <si>
    <t>SynWH7803_0505</t>
  </si>
  <si>
    <t>SynWH7803_0540</t>
  </si>
  <si>
    <t>SynWH7803_1288</t>
  </si>
  <si>
    <t>SynWH7803_0518</t>
  </si>
  <si>
    <t>SynWH7803_0480</t>
  </si>
  <si>
    <t>SynWH7803_0250</t>
  </si>
  <si>
    <t>SynWH7803_0198</t>
  </si>
  <si>
    <t>SynWH7803_1977</t>
  </si>
  <si>
    <t>SynWH7803_1850</t>
  </si>
  <si>
    <t>SynWH7803_0353</t>
  </si>
  <si>
    <t>SynWH7803_0479</t>
  </si>
  <si>
    <t>SynWH7803_1844</t>
  </si>
  <si>
    <t>SynWH7803_1851</t>
  </si>
  <si>
    <t>SynWH7803_0457</t>
  </si>
  <si>
    <t>SynWH7803_0503</t>
  </si>
  <si>
    <t>SynWH7803_1346</t>
  </si>
  <si>
    <t>SynWH7803_0502</t>
  </si>
  <si>
    <t>SynWH7803_2027</t>
  </si>
  <si>
    <t>SynWH7803_0682</t>
  </si>
  <si>
    <t>SynWH7803_0684</t>
  </si>
  <si>
    <t>SynWH7803_0438</t>
  </si>
  <si>
    <t>SynWH7803_0675</t>
  </si>
  <si>
    <t>SynWH7803_1123</t>
  </si>
  <si>
    <t>SynWH7803_0681</t>
  </si>
  <si>
    <t>SynWH7803_0677</t>
  </si>
  <si>
    <t>SynWH7803_0687</t>
  </si>
  <si>
    <t>SynWH7803_2351</t>
  </si>
  <si>
    <t>SynWH7803_1301</t>
  </si>
  <si>
    <t>SynWH7803_2066</t>
  </si>
  <si>
    <t>SynWH7803_0195</t>
  </si>
  <si>
    <t>SynWH7803_0029</t>
  </si>
  <si>
    <t>SynWH7803_1435</t>
  </si>
  <si>
    <t>SynWH7803_1151</t>
  </si>
  <si>
    <t>SynWH7803_0679</t>
  </si>
  <si>
    <t>SynWH7803_0678</t>
  </si>
  <si>
    <t>SynWH7803_0680</t>
  </si>
  <si>
    <t>SynWH7803_1300</t>
  </si>
  <si>
    <t>SynWH7803_1145</t>
  </si>
  <si>
    <t>SynWH7803_1550</t>
  </si>
  <si>
    <t>SynWH7803_2291</t>
  </si>
  <si>
    <t>SynWH7803_2289</t>
  </si>
  <si>
    <t>SynWH7803_1750</t>
  </si>
  <si>
    <t>SynWH7803_0254</t>
  </si>
  <si>
    <t>SynWH7803_2280</t>
  </si>
  <si>
    <t>SynWH7803_0251</t>
  </si>
  <si>
    <t>SynWH7803_0253</t>
  </si>
  <si>
    <t>SynWH7803_1421</t>
  </si>
  <si>
    <t>SynWH7803_0546</t>
  </si>
  <si>
    <t>SynWH7803_0715</t>
  </si>
  <si>
    <t>SynWH7803_2406</t>
  </si>
  <si>
    <t>SynWH7803_2278</t>
  </si>
  <si>
    <t>SynWH7803_1367</t>
  </si>
  <si>
    <t>SynWH7803_2244</t>
  </si>
  <si>
    <t>SynWH7803_0812</t>
  </si>
  <si>
    <t>SynWH7803_2265</t>
  </si>
  <si>
    <t>SynWH7803_1267</t>
  </si>
  <si>
    <t>SynWH7803_2208</t>
  </si>
  <si>
    <t>SynWH7803_0605</t>
  </si>
  <si>
    <t>SynWH7803_0639</t>
  </si>
  <si>
    <t>SynWH7803_2022</t>
  </si>
  <si>
    <t>SynWH7803_2151</t>
  </si>
  <si>
    <t>SynWH7803_1979</t>
  </si>
  <si>
    <t>SynWH7803_1627</t>
  </si>
  <si>
    <t>SynWH7803_2274</t>
  </si>
  <si>
    <t>SynWH7803_0415</t>
  </si>
  <si>
    <t>SynWH7803_2405</t>
  </si>
  <si>
    <t>SynWH7803_2314</t>
  </si>
  <si>
    <t>SynWH7803_2017</t>
  </si>
  <si>
    <t>SynWH7803_2019</t>
  </si>
  <si>
    <t>SynWH7803_1993</t>
  </si>
  <si>
    <t>SynWH7803_2085</t>
  </si>
  <si>
    <t>SynWH7803_1846</t>
  </si>
  <si>
    <t>SynWH7803_1634</t>
  </si>
  <si>
    <t>SynWH7803_2175</t>
  </si>
  <si>
    <t>SynWH7803_2290</t>
  </si>
  <si>
    <t>SynWH7803_0345</t>
  </si>
  <si>
    <t>SynWH7803_2020</t>
  </si>
  <si>
    <t>SynWH7803_2407</t>
  </si>
  <si>
    <t>SynWH7803_2016</t>
  </si>
  <si>
    <t>SynWH7803_1629</t>
  </si>
  <si>
    <t>SynWH7803_2000</t>
  </si>
  <si>
    <t>SynWH7803_0435</t>
  </si>
  <si>
    <t>SynWH7803_2388</t>
  </si>
  <si>
    <t>SynWH7803_0625</t>
  </si>
  <si>
    <t>SynWH7803_2021</t>
  </si>
  <si>
    <t>SynWH7803_2018</t>
  </si>
  <si>
    <t>SynWH7803_2142</t>
  </si>
  <si>
    <t>SynWH7803_1803</t>
  </si>
  <si>
    <t>SynWH7803_2005</t>
  </si>
  <si>
    <t>SynWH7803_1382</t>
  </si>
  <si>
    <t>SynWH7803_0584</t>
  </si>
  <si>
    <t>SynWH7803_1099</t>
  </si>
  <si>
    <t>SynWH7803_0378</t>
  </si>
  <si>
    <t>SynWH7803_1121</t>
  </si>
  <si>
    <t>SynWH7803_1946</t>
  </si>
  <si>
    <t>SynWH7803_0234</t>
  </si>
  <si>
    <t>SynWH7803_0335</t>
  </si>
  <si>
    <t>SynWH7803_1905</t>
  </si>
  <si>
    <t>SynWH7803_2206</t>
  </si>
  <si>
    <t>SynWH7803_1778</t>
  </si>
  <si>
    <t>SynWH7803_0320</t>
  </si>
  <si>
    <t>SynWH7803_0288</t>
  </si>
  <si>
    <t>SynWH7803_2336</t>
  </si>
  <si>
    <t>SynWH7803_1260</t>
  </si>
  <si>
    <t>SynWH7803_0315</t>
  </si>
  <si>
    <t>SynWH7803_1712</t>
  </si>
  <si>
    <t>SynWH7803_1618</t>
  </si>
  <si>
    <t>SynWH7803_1290</t>
  </si>
  <si>
    <t>SynWH7803_0780</t>
  </si>
  <si>
    <t>SynWH7803_2064</t>
  </si>
  <si>
    <t>SynWH7803_2440</t>
  </si>
  <si>
    <t>SynWH7803_1128</t>
  </si>
  <si>
    <t>SynWH7803_0382</t>
  </si>
  <si>
    <t>SynWH7803_0177</t>
  </si>
  <si>
    <t>SynWH7803_0145</t>
  </si>
  <si>
    <t>SynWH7803_2325</t>
  </si>
  <si>
    <t>SynWH7803_2398</t>
  </si>
  <si>
    <t>SynWH7803_1770</t>
  </si>
  <si>
    <t>SynWH7803_0413</t>
  </si>
  <si>
    <t>SynWH7803_1064</t>
  </si>
  <si>
    <t>SynWH7803_1237</t>
  </si>
  <si>
    <t>SynWH7803_1907</t>
  </si>
  <si>
    <t>SynWH7803_0405</t>
  </si>
  <si>
    <t>SynWH7803_1518</t>
  </si>
  <si>
    <t>SynWH7803_0153</t>
  </si>
  <si>
    <t>SynWH7803_1293</t>
  </si>
  <si>
    <t>SynWH7803_0143</t>
  </si>
  <si>
    <t>SynWH7803_2276</t>
  </si>
  <si>
    <t>SynWH7803_1891</t>
  </si>
  <si>
    <t>SynWH7803_1508</t>
  </si>
  <si>
    <t>SynWH7803_0062</t>
  </si>
  <si>
    <t>SynWH7803_2529</t>
  </si>
  <si>
    <t>SynWH7803_2419</t>
  </si>
  <si>
    <t>SynWH7803_0080</t>
  </si>
  <si>
    <t>SynWH7803_2369</t>
  </si>
  <si>
    <t>SynWH7803_0147</t>
  </si>
  <si>
    <t>SynWH7803_0702</t>
  </si>
  <si>
    <t>SynWH7803_1456</t>
  </si>
  <si>
    <t>SynWH7803_2428</t>
  </si>
  <si>
    <t>SynWH7803_1589</t>
  </si>
  <si>
    <t>SynWH7803_1617</t>
  </si>
  <si>
    <t>SynWH7803_0439</t>
  </si>
  <si>
    <t>SynWH7803_0240</t>
  </si>
  <si>
    <t>SynWH7803_1819</t>
  </si>
  <si>
    <t>SynWH7803_0005</t>
  </si>
  <si>
    <t>SynWH7803_2120</t>
  </si>
  <si>
    <t>SynWH7803_0262</t>
  </si>
  <si>
    <t>SynWH7803_2040</t>
  </si>
  <si>
    <t>SynWH7803_1511</t>
  </si>
  <si>
    <t>SynWH7803_1098</t>
  </si>
  <si>
    <t>SynWH7803_0261</t>
  </si>
  <si>
    <t>SynWH7803_1801</t>
  </si>
  <si>
    <t>SynWH7803_1476</t>
  </si>
  <si>
    <t>SynWH7803_0064</t>
  </si>
  <si>
    <t>SynWH7803_2067</t>
  </si>
  <si>
    <t>SynWH7803_2403</t>
  </si>
  <si>
    <t>SynWH7803_0125</t>
  </si>
  <si>
    <t>SynWH7803_1783</t>
  </si>
  <si>
    <t>SynWH7803_1238</t>
  </si>
  <si>
    <t>SynWH7803_1826</t>
  </si>
  <si>
    <t>SynWH7803_1991</t>
  </si>
  <si>
    <t>SynWH7803_1056</t>
  </si>
  <si>
    <t>SynWH7803_2150</t>
  </si>
  <si>
    <t>SynWH7803_1843</t>
  </si>
  <si>
    <t>SynWH7803_2100</t>
  </si>
  <si>
    <t>SynWH7803_2247</t>
  </si>
  <si>
    <t>SynWH7803_0749</t>
  </si>
  <si>
    <t>SynWH7803_1903</t>
  </si>
  <si>
    <t>SynWH7803_0023</t>
  </si>
  <si>
    <t>SynWH7803_1490</t>
  </si>
  <si>
    <t>SynWH7803_1954</t>
  </si>
  <si>
    <t>SynWH7803_0070</t>
  </si>
  <si>
    <t>SynWH7803_0298</t>
  </si>
  <si>
    <t>SynWH7803_1728</t>
  </si>
  <si>
    <t>SynWH7803_0025</t>
  </si>
  <si>
    <t>SynWH7803_0074</t>
  </si>
  <si>
    <t>SynWH7803_0187</t>
  </si>
  <si>
    <t>SynWH7803_1100</t>
  </si>
  <si>
    <t>SynWH7803_1726</t>
  </si>
  <si>
    <t>SynWH7803_2469</t>
  </si>
  <si>
    <t>SynWH7803_1175</t>
  </si>
  <si>
    <t>SynWH7803_1354</t>
  </si>
  <si>
    <t>SynWH7803_2095</t>
  </si>
  <si>
    <t>SynWH7803_1271</t>
  </si>
  <si>
    <t>SynWH7803_1548</t>
  </si>
  <si>
    <t>SynWH7803_1532</t>
  </si>
  <si>
    <t>SynWH7803_0332</t>
  </si>
  <si>
    <t>SynWH7803_2076</t>
  </si>
  <si>
    <t>SynWH7803_2272</t>
  </si>
  <si>
    <t>SynWH7803_2394</t>
  </si>
  <si>
    <t>SynWH7803_1450</t>
  </si>
  <si>
    <t>SynWH7803_1794</t>
  </si>
  <si>
    <t>SynWH7803_1386</t>
  </si>
  <si>
    <t>SynWH7803_1314</t>
  </si>
  <si>
    <t>SynWH7803_1786</t>
  </si>
  <si>
    <t>SynWH7803_1963</t>
  </si>
  <si>
    <t>SynWH7803_1558</t>
  </si>
  <si>
    <t>SynWH7803_0176</t>
  </si>
  <si>
    <t>SynWH7803_1886</t>
  </si>
  <si>
    <t>SynWH7803_0923</t>
  </si>
  <si>
    <t>SynWH7803_1709</t>
  </si>
  <si>
    <t>SynWH7803_1874</t>
  </si>
  <si>
    <t>SynWH7803_1170</t>
  </si>
  <si>
    <t>SynWH7803_1557</t>
  </si>
  <si>
    <t>SynWH7803_0516</t>
  </si>
  <si>
    <t>SynWH7803_1251</t>
  </si>
  <si>
    <t>SynWH7803_1741</t>
  </si>
  <si>
    <t>SynWH7803_2377</t>
  </si>
  <si>
    <t>SynWH7803_2375</t>
  </si>
  <si>
    <t>SynWH7803_1406</t>
  </si>
  <si>
    <t>SynWH7803_1535</t>
  </si>
  <si>
    <t>SynWH7803_0652</t>
  </si>
  <si>
    <t>SynWH7803_0748</t>
  </si>
  <si>
    <t>SynWH7803_1101</t>
  </si>
  <si>
    <t>SynWH7803_0465</t>
  </si>
  <si>
    <t>SynWH7803_1377</t>
  </si>
  <si>
    <t>SynWH7803_0426</t>
  </si>
  <si>
    <t>SynWH7803_1928</t>
  </si>
  <si>
    <t>SynWH7803_1908</t>
  </si>
  <si>
    <t>SynWH7803_1514</t>
  </si>
  <si>
    <t>SynWH7803_1733</t>
  </si>
  <si>
    <t>SynWH7803_1328</t>
  </si>
  <si>
    <t>SynWH7803_1689</t>
  </si>
  <si>
    <t>SynWH7803_1292</t>
  </si>
  <si>
    <t>SynWH7803_2514</t>
  </si>
  <si>
    <t>SynWH7803_2385</t>
  </si>
  <si>
    <t>SynWH7803_1999</t>
  </si>
  <si>
    <t>SynWH7803_1066</t>
  </si>
  <si>
    <t>SynWH7803_1106</t>
  </si>
  <si>
    <t>SynWH7803_1763</t>
  </si>
  <si>
    <t>SynWH7803_1635</t>
  </si>
  <si>
    <t>SynWH7803_1062</t>
  </si>
  <si>
    <t>SynWH7803_2464</t>
  </si>
  <si>
    <t>SynWH7803_1823</t>
  </si>
  <si>
    <t>SynWH7803_0771</t>
  </si>
  <si>
    <t>SynWH7803_1998</t>
  </si>
  <si>
    <t>SynWH7803_1214</t>
  </si>
  <si>
    <t>SynWH7803_0372</t>
  </si>
  <si>
    <t>SynWH7803_2187</t>
  </si>
  <si>
    <t>SynWH7803_1329</t>
  </si>
  <si>
    <t>SynWH7803_2060</t>
  </si>
  <si>
    <t>SynWH7803_1645</t>
  </si>
  <si>
    <t>SynWH7803_1832</t>
  </si>
  <si>
    <t>SynWH7803_1555</t>
  </si>
  <si>
    <t>SynWH7803_0776</t>
  </si>
  <si>
    <t>SynWH7803_0432</t>
  </si>
  <si>
    <t>SynWH7803_0411</t>
  </si>
  <si>
    <t>SynWH7803_0380</t>
  </si>
  <si>
    <t>SynWH7803_0243</t>
  </si>
  <si>
    <t>SynWH7803_1615</t>
  </si>
  <si>
    <t>SynWH7803_1246</t>
  </si>
  <si>
    <t>SynWH7803_2079</t>
  </si>
  <si>
    <t>SynWH7803_0515</t>
  </si>
  <si>
    <t>SynWH7803_2062</t>
  </si>
  <si>
    <t>SynWH7803_0446</t>
  </si>
  <si>
    <t>SynWH7803_2148</t>
  </si>
  <si>
    <t>SynWH7803_0010</t>
  </si>
  <si>
    <t>SynWH7803_0419</t>
  </si>
  <si>
    <t>SynWH7803_2373</t>
  </si>
  <si>
    <t>SynWH7803_0638</t>
  </si>
  <si>
    <t>SynWH7803_1318</t>
  </si>
  <si>
    <t>SynWH7803_2468</t>
  </si>
  <si>
    <t>SynWH7803_0408</t>
  </si>
  <si>
    <t>SynWH7803_0001</t>
  </si>
  <si>
    <t>SynWH7803_0532</t>
  </si>
  <si>
    <t>SynWH7803_0071</t>
  </si>
  <si>
    <t>SynWH7803_1895</t>
  </si>
  <si>
    <t>SynWH7803_0420</t>
  </si>
  <si>
    <t>SynWH7803_1968</t>
  </si>
  <si>
    <t>SynWH7803_0673</t>
  </si>
  <si>
    <t>SynWH7803_1951</t>
  </si>
  <si>
    <t>SynWH7803_0379</t>
  </si>
  <si>
    <t>SynWH7803_0407</t>
  </si>
  <si>
    <t>SynWH7803_0425</t>
  </si>
  <si>
    <t>SynWH7803_0427</t>
  </si>
  <si>
    <t>SynWH7803_1863</t>
  </si>
  <si>
    <t>SynWH7803_0834</t>
  </si>
  <si>
    <t>SynWH7803_0422</t>
  </si>
  <si>
    <t>SynWH7803_0031</t>
  </si>
  <si>
    <t>SynWH7803_0701</t>
  </si>
  <si>
    <t>SynWH7803_2138</t>
  </si>
  <si>
    <t>SynWH7803_2418</t>
  </si>
  <si>
    <t>SynWH7803_2458</t>
  </si>
  <si>
    <t>SynWH7803_0591</t>
  </si>
  <si>
    <t>SynWH7803_0428</t>
  </si>
  <si>
    <t>SynWH7803_0423</t>
  </si>
  <si>
    <t>SynWH7803_0424</t>
  </si>
  <si>
    <t>SynWH7803_0733</t>
  </si>
  <si>
    <t>SynWH7803_0381</t>
  </si>
  <si>
    <t>SynWH7803_2374</t>
  </si>
  <si>
    <t>SynWH7803_0412</t>
  </si>
  <si>
    <t>SynWH7803_0622</t>
  </si>
  <si>
    <t>SynWH7803_0305</t>
  </si>
  <si>
    <t>SynWH7803_2371</t>
  </si>
  <si>
    <t>SynWH7803_0433</t>
  </si>
  <si>
    <t>SynWH7803_0434</t>
  </si>
  <si>
    <t>SynWH7803_1836</t>
  </si>
  <si>
    <t>SynWH7803_0171</t>
  </si>
  <si>
    <t>SynWH7803_2077</t>
  </si>
  <si>
    <t>SynWH7803_2061</t>
  </si>
  <si>
    <t>SynWH7803_1764</t>
  </si>
  <si>
    <t>SynWH7803_0418</t>
  </si>
  <si>
    <t>SynWH7803_2372</t>
  </si>
  <si>
    <t>SynWH7803_0431</t>
  </si>
  <si>
    <t>SynWH7803_1590</t>
  </si>
  <si>
    <t>SynWH7803_0417</t>
  </si>
  <si>
    <t>SynWH7803_0032</t>
  </si>
  <si>
    <t>SynWH7803_0421</t>
  </si>
  <si>
    <t>SynWH7803_0410</t>
  </si>
  <si>
    <t>SynWH7803_1967</t>
  </si>
  <si>
    <t>SynWH7803_0430</t>
  </si>
  <si>
    <t>SynWH7803_0429</t>
  </si>
  <si>
    <t>SynWH7803_1834</t>
  </si>
  <si>
    <t>SynWH7803_1730</t>
  </si>
  <si>
    <t>SynWH7803_0537</t>
  </si>
  <si>
    <t>SynWH7803_0067</t>
  </si>
  <si>
    <t>SynWH7803_1408</t>
  </si>
  <si>
    <t>SynWH7803_1774</t>
  </si>
  <si>
    <t>SynWH7803_0573</t>
  </si>
  <si>
    <t>SynWH7803_1032</t>
  </si>
  <si>
    <t>SynWH7803_0587</t>
  </si>
  <si>
    <t>SynWH7803_2386</t>
  </si>
  <si>
    <t>SynWH7803_1222</t>
  </si>
  <si>
    <t>SynWH7803_2088</t>
  </si>
  <si>
    <t>SynWH7803_2065</t>
  </si>
  <si>
    <t>SynWH7803_1889</t>
  </si>
  <si>
    <t>SynWH7803_2147</t>
  </si>
  <si>
    <t>SynWH7803_1154</t>
  </si>
  <si>
    <t>SynWH7803_0375</t>
  </si>
  <si>
    <t>SynWH7803_2283</t>
  </si>
  <si>
    <t>SynWH7803_2383</t>
  </si>
  <si>
    <t>SynWH7803_0866</t>
  </si>
  <si>
    <t>SynWH7803_1424</t>
  </si>
  <si>
    <t>SynWH7803_0549</t>
  </si>
  <si>
    <t>SynWH7803_2234</t>
  </si>
  <si>
    <t>SynWH7803_1263</t>
  </si>
  <si>
    <t>SynWH7803_0732</t>
  </si>
  <si>
    <t>SynWH7803_2331</t>
  </si>
  <si>
    <t>SynWH7803_0358</t>
  </si>
  <si>
    <t>SynWH7803_0013</t>
  </si>
  <si>
    <t>SynWH7803_1425</t>
  </si>
  <si>
    <t>SynWH7803_0695</t>
  </si>
  <si>
    <t>SynWH7803_2389</t>
  </si>
  <si>
    <t>SynWH7803_0728</t>
  </si>
  <si>
    <t>SynWH7803_2387</t>
  </si>
  <si>
    <t>SynWH7803_1429</t>
  </si>
  <si>
    <t>SynWH7803_0456</t>
  </si>
  <si>
    <t>SynWH7803_2329</t>
  </si>
  <si>
    <t>SynWH7803_0869</t>
  </si>
  <si>
    <t>SynWH7803_2204</t>
  </si>
  <si>
    <t>SynWH7803_0822</t>
  </si>
  <si>
    <t>SynWH7803_0393</t>
  </si>
  <si>
    <t>SynWH7803_0339</t>
  </si>
  <si>
    <t>SynWH7803_0653</t>
  </si>
  <si>
    <t>SynWH7803_2299</t>
  </si>
  <si>
    <t>SynWH7803_1743</t>
  </si>
  <si>
    <t>SynWH7803_0773</t>
  </si>
  <si>
    <t>SynWH7803_1152</t>
  </si>
  <si>
    <t>SynWH7803_1060</t>
  </si>
  <si>
    <t>SynWH7803_0274</t>
  </si>
  <si>
    <t>SynWH7803_1533</t>
  </si>
  <si>
    <t>SynWH7803_1688</t>
  </si>
  <si>
    <t>SynWH7803_2533</t>
  </si>
  <si>
    <t>SynWH7803_2010</t>
  </si>
  <si>
    <t>SynWH7803_0614</t>
  </si>
  <si>
    <t>SynWH7803_0073</t>
  </si>
  <si>
    <t>SynWH7803_1747</t>
  </si>
  <si>
    <t>SynWH7803_2457</t>
  </si>
  <si>
    <t>SynWH7803_1277</t>
  </si>
  <si>
    <t>SynWH7803_1345</t>
  </si>
  <si>
    <t>SynWH7803_0303</t>
  </si>
  <si>
    <t>SynWH7803_1606</t>
  </si>
  <si>
    <t>SynWH7803_0764</t>
  </si>
  <si>
    <t>SynWH7803_0645</t>
  </si>
  <si>
    <t>SynWH7803_1131</t>
  </si>
  <si>
    <t>SynWH7803_1439</t>
  </si>
  <si>
    <t>SynWH7803_0370</t>
  </si>
  <si>
    <t>SynWH7803_2320</t>
  </si>
  <si>
    <t>SynWH7803_1765</t>
  </si>
  <si>
    <t>SynWH7803_0046</t>
  </si>
  <si>
    <t>SynWH7803_1204</t>
  </si>
  <si>
    <t>SynWH7803_0712</t>
  </si>
  <si>
    <t>SynWH7803_1586</t>
  </si>
  <si>
    <t>SynWH7803_1276</t>
  </si>
  <si>
    <t>SynWH7803_1472</t>
  </si>
  <si>
    <t>SynWH7803_1981</t>
  </si>
  <si>
    <t>SynWH7803_1407</t>
  </si>
  <si>
    <t>SynWH7803_0072</t>
  </si>
  <si>
    <t>SynWH7803_2504</t>
  </si>
  <si>
    <t>SynWH7803_2519</t>
  </si>
  <si>
    <t>SynWH7803_1644</t>
  </si>
  <si>
    <t>SynWH7803_0585</t>
  </si>
  <si>
    <t>SynWH7803_2412</t>
  </si>
  <si>
    <t>SynWH7803_1240</t>
  </si>
  <si>
    <t>SynWH7803_1201</t>
  </si>
  <si>
    <t>SynWH7803_0139</t>
  </si>
  <si>
    <t>SynWH7803_1341</t>
  </si>
  <si>
    <t>SynWH7803_0401</t>
  </si>
  <si>
    <t>SynWH7803_0135</t>
  </si>
  <si>
    <t>SynWH7803_1777</t>
  </si>
  <si>
    <t>SynWH7803_0543</t>
  </si>
  <si>
    <t>SynWH7803_0286</t>
  </si>
  <si>
    <t>SynWH7803_0092</t>
  </si>
  <si>
    <t>SynWH7803_0103</t>
  </si>
  <si>
    <t>SynWH7803_0225</t>
  </si>
  <si>
    <t>SynWH7803_0218</t>
  </si>
  <si>
    <t>SynWH7803_1028</t>
  </si>
  <si>
    <t>SynWH7803_0326</t>
  </si>
  <si>
    <t>SynWH7803_0594</t>
  </si>
  <si>
    <t>SynWH7803_0138</t>
  </si>
  <si>
    <t>SynWH7803_0061</t>
  </si>
  <si>
    <t>SynWH7803_0226</t>
  </si>
  <si>
    <t>SynWH7803_0263</t>
  </si>
  <si>
    <t>SynWH7803_0233</t>
  </si>
  <si>
    <t>SynWH7803_0028</t>
  </si>
  <si>
    <t>SynWH7803_1404</t>
  </si>
  <si>
    <t>SynWH7803_2361</t>
  </si>
  <si>
    <t>SynWH7803_0131</t>
  </si>
  <si>
    <t>SynWH7803_1616</t>
  </si>
  <si>
    <t>SynWH7803_1956</t>
  </si>
  <si>
    <t>SynWH7803_1984</t>
  </si>
  <si>
    <t>SynWH7803_1852</t>
  </si>
  <si>
    <t>SynWH7803_0107</t>
  </si>
  <si>
    <t>SynWH7803_0121</t>
  </si>
  <si>
    <t>SynWH7803_1859</t>
  </si>
  <si>
    <t>SynWH7803_1746</t>
  </si>
  <si>
    <t>SynWH7803_1153</t>
  </si>
  <si>
    <t>SynWH7803_0052</t>
  </si>
  <si>
    <t>SynWH7803_0113</t>
  </si>
  <si>
    <t>SynWH7803_1164</t>
  </si>
  <si>
    <t>SynWH7803_1249</t>
  </si>
  <si>
    <t>SynWH7803_2528</t>
  </si>
  <si>
    <t>SynWH7803_1330</t>
  </si>
  <si>
    <t>SynWH7803_1587</t>
  </si>
  <si>
    <t>SynWH7803_0745</t>
  </si>
  <si>
    <t>SynWH7803_1257</t>
  </si>
  <si>
    <t>SynWH7803_2201</t>
  </si>
  <si>
    <t>SynWH7803_0402</t>
  </si>
  <si>
    <t>SynWH7803_0841</t>
  </si>
  <si>
    <t>SynWH7803_0399</t>
  </si>
  <si>
    <t>SynWH7803_1643</t>
  </si>
  <si>
    <t>SynWH7803_0193</t>
  </si>
  <si>
    <t>SynWH7803_1036</t>
  </si>
  <si>
    <t>SynWH7803_0200</t>
  </si>
  <si>
    <t>SynWH7803_0222</t>
  </si>
  <si>
    <t>SynWH7803_1840</t>
  </si>
  <si>
    <t>SynWH7803_1756</t>
  </si>
  <si>
    <t>SynWH7803_0192</t>
  </si>
  <si>
    <t>SynWH7803_0114</t>
  </si>
  <si>
    <t>SynWH7803_2282</t>
  </si>
  <si>
    <t>SynWH7803_1955</t>
  </si>
  <si>
    <t>SynWH7803_0231</t>
  </si>
  <si>
    <t>SynWH7803_0199</t>
  </si>
  <si>
    <t>SynWH7803_0053</t>
  </si>
  <si>
    <t>SynWH7803_0130</t>
  </si>
  <si>
    <t>SynWH7803_0245</t>
  </si>
  <si>
    <t>SynWH7803_1030</t>
  </si>
  <si>
    <t>SynWH7803_1168</t>
  </si>
  <si>
    <t>SynWH7803_0547</t>
  </si>
  <si>
    <t>SynWH7803_2252</t>
  </si>
  <si>
    <t>SynWH7803_2249</t>
  </si>
  <si>
    <t>SynWH7803_2269</t>
  </si>
  <si>
    <t>SynWH7803_1365</t>
  </si>
  <si>
    <t>SynWH7803_1372</t>
  </si>
  <si>
    <t>SynWH7803_0296</t>
  </si>
  <si>
    <t>SynWH7803_0766</t>
  </si>
  <si>
    <t>SynWH7803_1537</t>
  </si>
  <si>
    <t>SynWH7803_1662</t>
  </si>
  <si>
    <t>SynWH7803_1139</t>
  </si>
  <si>
    <t>SynWH7803_1935</t>
  </si>
  <si>
    <t>SynWH7803_1861</t>
  </si>
  <si>
    <t>SynWH7803_0268</t>
  </si>
  <si>
    <t>SynWH7803_0033</t>
  </si>
  <si>
    <t>SynWH7803_0655</t>
  </si>
  <si>
    <t>SynWH7803_2250</t>
  </si>
  <si>
    <t>SynWH7803_1957</t>
  </si>
  <si>
    <t>SynWH7803_1148</t>
  </si>
  <si>
    <t>SynWH7803_2251</t>
  </si>
  <si>
    <t>SynWH7803_0196</t>
  </si>
  <si>
    <t>SynWH7803_0656</t>
  </si>
  <si>
    <t>SynWH7803_2128</t>
  </si>
  <si>
    <t>SynWH7803_0580</t>
  </si>
  <si>
    <t>SynWH7803_0376</t>
  </si>
  <si>
    <t>SynWH7803_1223</t>
  </si>
  <si>
    <t>SynWH7803_0772</t>
  </si>
  <si>
    <t>SynWH7803_0685</t>
  </si>
  <si>
    <t>SynWH7803_0472</t>
  </si>
  <si>
    <t>SynWH7803_2509</t>
  </si>
  <si>
    <t>SynWH7803_1206</t>
  </si>
  <si>
    <t>SynWH7803_1496</t>
  </si>
  <si>
    <t>SynWH7803_0629</t>
  </si>
  <si>
    <t>SynWH7803_0344</t>
  </si>
  <si>
    <t>SynWH7803_0322</t>
  </si>
  <si>
    <t>SynWH7803_0281</t>
  </si>
  <si>
    <t>SynWH7803_2368</t>
  </si>
  <si>
    <t>SynWH7803_0277</t>
  </si>
  <si>
    <t>SynWH7803_0323</t>
  </si>
  <si>
    <t>SynWH7803_1942</t>
  </si>
  <si>
    <t>SynWH7803_1960</t>
  </si>
  <si>
    <t>SynWH7803_0676</t>
  </si>
  <si>
    <t>SynWH7803_2304</t>
  </si>
  <si>
    <t>SynWH7803_2461</t>
  </si>
  <si>
    <t>SynWH7803_1553</t>
  </si>
  <si>
    <t>SynWH7803_1751</t>
  </si>
  <si>
    <t>SynWH7803_1133</t>
  </si>
  <si>
    <t>SynWH7803_1444</t>
  </si>
  <si>
    <t>SynWH7803_1962</t>
  </si>
  <si>
    <t>SynWH7803_0048</t>
  </si>
  <si>
    <t>SynWH7803_1591</t>
  </si>
  <si>
    <t>SynWH7803_0619</t>
  </si>
  <si>
    <t>SynWH7803_0720</t>
  </si>
  <si>
    <t>SynWH7803_0003</t>
  </si>
  <si>
    <t>SynWH7803_1250</t>
  </si>
  <si>
    <t>SynWH7803_2526</t>
  </si>
  <si>
    <t>SynWH7803_1994</t>
  </si>
  <si>
    <t>SynWH7803_0293</t>
  </si>
  <si>
    <t>SynWH7803_2038</t>
  </si>
  <si>
    <t>SynWH7803_0620</t>
  </si>
  <si>
    <t>SynWH7803_2497</t>
  </si>
  <si>
    <t>SynWH7803_1930</t>
  </si>
  <si>
    <t>SynWH7803_0794</t>
  </si>
  <si>
    <t>SynWH7803_2068</t>
  </si>
  <si>
    <t>SynWH7803_1974</t>
  </si>
  <si>
    <t>SynWH7803_0209</t>
  </si>
  <si>
    <t>SynWH7803_1565</t>
  </si>
  <si>
    <t>SynWH7803_0208</t>
  </si>
  <si>
    <t>SynWH7803_2474</t>
  </si>
  <si>
    <t>SynWH7803_0774</t>
  </si>
  <si>
    <t>SynWH7803_1549</t>
  </si>
  <si>
    <t>SynWH7803_0722</t>
  </si>
  <si>
    <t>SynWH7803_2198</t>
  </si>
  <si>
    <t>SynWH7803_1865</t>
  </si>
  <si>
    <t>SynWH7803_1561</t>
  </si>
  <si>
    <t>SynWH7803_2305</t>
  </si>
  <si>
    <t>SynWH7803_1026</t>
  </si>
  <si>
    <t>SynWH7803_0789</t>
  </si>
  <si>
    <t>SynWH7803_1995</t>
  </si>
  <si>
    <t>SynWH7803_2152</t>
  </si>
  <si>
    <t>SynWH7803_1562</t>
  </si>
  <si>
    <t>SynWH7803_0329</t>
  </si>
  <si>
    <t>SynWH7803_1235</t>
  </si>
  <si>
    <t>SynWH7803_2219</t>
  </si>
  <si>
    <t>SynWH7803_1460</t>
  </si>
  <si>
    <t>SynWH7803_1296</t>
  </si>
  <si>
    <t>SynWH7803_0244</t>
  </si>
  <si>
    <t>SynWH7803_0213</t>
  </si>
  <si>
    <t>SynWH7803_1695</t>
  </si>
  <si>
    <t>SynWH7803_1298</t>
  </si>
  <si>
    <t>SynWH7803_0729</t>
  </si>
  <si>
    <t>SynWH7803_0725</t>
  </si>
  <si>
    <t>SynWH7803_0278</t>
  </si>
  <si>
    <t>SynWH7803_0242</t>
  </si>
  <si>
    <t>SynWH7803_0634</t>
  </si>
  <si>
    <t>SynWH7803_0756</t>
  </si>
  <si>
    <t>SynWH7803_1297</t>
  </si>
  <si>
    <t>SynWH7803_0630</t>
  </si>
  <si>
    <t>SynWH7803_1943</t>
  </si>
  <si>
    <t>SynWH7803_2379</t>
  </si>
  <si>
    <t>SynWH7803_2164</t>
  </si>
  <si>
    <t>SynWH7803_1259</t>
  </si>
  <si>
    <t>SynWH7803_2039</t>
  </si>
  <si>
    <t>SynWH7803_0602</t>
  </si>
  <si>
    <t>SynWH7803_0307</t>
  </si>
  <si>
    <t>SynWH7803_0306</t>
  </si>
  <si>
    <t>SynWH7803_1363</t>
  </si>
  <si>
    <t>SynWH7803_2505</t>
  </si>
  <si>
    <t>SynWH7803_1734</t>
  </si>
  <si>
    <t>SynWH7803_0217</t>
  </si>
  <si>
    <t>SynWH7803_0582</t>
  </si>
  <si>
    <t>SynWH7803_2292</t>
  </si>
  <si>
    <t>SynWH7803_1218</t>
  </si>
  <si>
    <t>SynWH7803_1040</t>
  </si>
  <si>
    <t>SynWH7803_0454</t>
  </si>
  <si>
    <t>SynWH7803_0494</t>
  </si>
  <si>
    <t>SynWH7803_0658</t>
  </si>
  <si>
    <t>SynWH7803_2212</t>
  </si>
  <si>
    <t>SynWH7803_2099</t>
  </si>
  <si>
    <t>SynWH7803_1588</t>
  </si>
  <si>
    <t>SynWH7803_0444</t>
  </si>
  <si>
    <t>SynWH7803_0270</t>
  </si>
  <si>
    <t>SynWH7803_1380</t>
  </si>
  <si>
    <t>SynWH7803_2273</t>
  </si>
  <si>
    <t>SynWH7803_2224</t>
  </si>
  <si>
    <t>SynWH7803_0637</t>
  </si>
  <si>
    <t>SynWH7803_2306</t>
  </si>
  <si>
    <t>SynWH7803_2446</t>
  </si>
  <si>
    <t>SynWH7803_0868</t>
  </si>
  <si>
    <t>SynWH7803_1317</t>
  </si>
  <si>
    <t>SynWH7803_0669</t>
  </si>
  <si>
    <t>SynWH7803_0474</t>
  </si>
  <si>
    <t>SynWH7803_1268</t>
  </si>
  <si>
    <t>SynWH7803_1760</t>
  </si>
  <si>
    <t>SynWH7803_1034</t>
  </si>
  <si>
    <t>SynWH7803_0255</t>
  </si>
  <si>
    <t>SynWH7803_1159</t>
  </si>
  <si>
    <t>SynWH7803_1252</t>
  </si>
  <si>
    <t>SynWH7803_1715</t>
  </si>
  <si>
    <t>SynWH7803_1876</t>
  </si>
  <si>
    <t>SynWH7803_1570</t>
  </si>
  <si>
    <t>SynWH7803_1436</t>
  </si>
  <si>
    <t>SynWH7803_0455</t>
  </si>
  <si>
    <t>SynWH7803_0221</t>
  </si>
  <si>
    <t>SynWH7803_0644</t>
  </si>
  <si>
    <t>SynWH7803_0609</t>
  </si>
  <si>
    <t>SynWH7803_0755</t>
  </si>
  <si>
    <t>SynWH7803_1038</t>
  </si>
  <si>
    <t>SynWH7803_2485</t>
  </si>
  <si>
    <t>SynWH7803_0448</t>
  </si>
  <si>
    <t>SynWH7803_2337</t>
  </si>
  <si>
    <t>SynWH7803_2009</t>
  </si>
  <si>
    <t>SynWH7803_1198</t>
  </si>
  <si>
    <t>SynWH7803_1710</t>
  </si>
  <si>
    <t>SynWH7803_1275</t>
  </si>
  <si>
    <t>SynWH7803_1299</t>
  </si>
  <si>
    <t>SynWH7803_1821</t>
  </si>
  <si>
    <t>SynWH7803_0461</t>
  </si>
  <si>
    <t>SynWH7803_2453</t>
  </si>
  <si>
    <t>SynWH7803_1475</t>
  </si>
  <si>
    <t>SynWH7803_1349</t>
  </si>
  <si>
    <t>SynWH7803_2024</t>
  </si>
  <si>
    <t>SynWH7803_0642</t>
  </si>
  <si>
    <t>SynWH7803_0361</t>
  </si>
  <si>
    <t>SynWH7803_1638</t>
  </si>
  <si>
    <t>SynWH7803_0169</t>
  </si>
  <si>
    <t>SynWH7803_0513</t>
  </si>
  <si>
    <t>SynWH7803_1772</t>
  </si>
  <si>
    <t>SynWH7803_2422</t>
  </si>
  <si>
    <t>SynWH7803_1612</t>
  </si>
  <si>
    <t>SynWH7803_1307</t>
  </si>
  <si>
    <t>SynWH7803_0785</t>
  </si>
  <si>
    <t>SynWH7803_1711</t>
  </si>
  <si>
    <t>SynWH7803_2531</t>
  </si>
  <si>
    <t>SynWH7803_2390</t>
  </si>
  <si>
    <t>SynWH7803_0069</t>
  </si>
  <si>
    <t>SynWH7803_1033</t>
  </si>
  <si>
    <t>SynWH7803_1716</t>
  </si>
  <si>
    <t>SynWH7803_0190</t>
  </si>
  <si>
    <t>SynWH7803_0055</t>
  </si>
  <si>
    <t>SynWH7803_0367</t>
  </si>
  <si>
    <t>SynWH7803_0641</t>
  </si>
  <si>
    <t>SynWH7803_0258</t>
  </si>
  <si>
    <t>SynWH7803_0449</t>
  </si>
  <si>
    <t>SynWH7803_2489</t>
  </si>
  <si>
    <t>SynWH7803_1853</t>
  </si>
  <si>
    <t>SynWH7803_0088</t>
  </si>
  <si>
    <t>SynWH7803_1371</t>
  </si>
  <si>
    <t>SynWH7803_1022</t>
  </si>
  <si>
    <t>SynWH7803_1021</t>
  </si>
  <si>
    <t>SynWH7803_2205</t>
  </si>
  <si>
    <t>SynWH7803_2481</t>
  </si>
  <si>
    <t>SynWH7803_0241</t>
  </si>
  <si>
    <t>SynWH7803_1855</t>
  </si>
  <si>
    <t>SynWH7803_2414</t>
  </si>
  <si>
    <t>SynWH7803_2245</t>
  </si>
  <si>
    <t>SynWH7803_2500</t>
  </si>
  <si>
    <t>SynWH7803_1729</t>
  </si>
  <si>
    <t>SynWH7803_1102</t>
  </si>
  <si>
    <t>SynWH7803_1353</t>
  </si>
  <si>
    <t>SynWH7803_2492</t>
  </si>
  <si>
    <t>SynWH7803_1909</t>
  </si>
  <si>
    <t>SynWH7803_2302</t>
  </si>
  <si>
    <t>SynWH7803_0354</t>
  </si>
  <si>
    <t>SynWH7803_2035</t>
  </si>
  <si>
    <t>SynWH7803_0319</t>
  </si>
  <si>
    <t>SynWH7803_0385</t>
  </si>
  <si>
    <t>SynWH7803_1035</t>
  </si>
  <si>
    <t>SynWH7803_2495</t>
  </si>
  <si>
    <t>SynWH7803_1347</t>
  </si>
  <si>
    <t>SynWH7803_1458</t>
  </si>
  <si>
    <t>SynWH7803_1253</t>
  </si>
  <si>
    <t>SynWH7803_2460</t>
  </si>
  <si>
    <t>SynWH7803_1600</t>
  </si>
  <si>
    <t>SynWH7803_1605</t>
  </si>
  <si>
    <t>SynWH7803_1319</t>
  </si>
  <si>
    <t>SynWH7803_2145</t>
  </si>
  <si>
    <t>SynWH7803_0362</t>
  </si>
  <si>
    <t>SynWH7803_1879</t>
  </si>
  <si>
    <t>SynWH7803_0599</t>
  </si>
  <si>
    <t>SynWH7803_0364</t>
  </si>
  <si>
    <t>SynWH7803_2297</t>
  </si>
  <si>
    <t>SynWH7803_0693</t>
  </si>
  <si>
    <t>SynWH7803_1414</t>
  </si>
  <si>
    <t>SynWH7803_1609</t>
  </si>
  <si>
    <t>SynWH7803_1785</t>
  </si>
  <si>
    <t>SynWH7803_1173</t>
  </si>
  <si>
    <t>SynWH7803_1418</t>
  </si>
  <si>
    <t>SynWH7803_1231</t>
  </si>
  <si>
    <t>SynWH7803_2096</t>
  </si>
  <si>
    <t>SynWH7803_2434</t>
  </si>
  <si>
    <t>SynWH7803_0175</t>
  </si>
  <si>
    <t>SynWH7803_0136</t>
  </si>
  <si>
    <t>SynWH7803_0273</t>
  </si>
  <si>
    <t>SynWH7803_1521</t>
  </si>
  <si>
    <t>SynWH7803_1110</t>
  </si>
  <si>
    <t>SynWH7803_2480</t>
  </si>
  <si>
    <t>SynWH7803_1471</t>
  </si>
  <si>
    <t>SynWH7803_2433</t>
  </si>
  <si>
    <t>SynWH7803_1024</t>
  </si>
  <si>
    <t>SynWH7803_0297</t>
  </si>
  <si>
    <t>SynWH7803_0152</t>
  </si>
  <si>
    <t>SynWH7803_2102</t>
  </si>
  <si>
    <t>SynWH7803_0210</t>
  </si>
  <si>
    <t>SynWH7803_1489</t>
  </si>
  <si>
    <t>SynWH7803_1517</t>
  </si>
  <si>
    <t>SynWH7803_2179</t>
  </si>
  <si>
    <t>SynWH7803_1228</t>
  </si>
  <si>
    <t>SynWH7803_1243</t>
  </si>
  <si>
    <t>SynWH7803_2513</t>
  </si>
  <si>
    <t>SynWH7803_1932</t>
  </si>
  <si>
    <t>SynWH7803_2135</t>
  </si>
  <si>
    <t>SynWH7803_1311</t>
  </si>
  <si>
    <t>SynWH7803_1310</t>
  </si>
  <si>
    <t>SynWH7803_2343</t>
  </si>
  <si>
    <t>SynWH7803_1117</t>
  </si>
  <si>
    <t>SynWH7803_0416</t>
  </si>
  <si>
    <t>SynWH7803_0628</t>
  </si>
  <si>
    <t>SynWH7803_2392</t>
  </si>
  <si>
    <t>SynWH7803_1731</t>
  </si>
  <si>
    <t>SynWH7803_0011</t>
  </si>
  <si>
    <t>SynWH7803_2376</t>
  </si>
  <si>
    <t>SynWH7803_1361</t>
  </si>
  <si>
    <t>SynWH7803_1901</t>
  </si>
  <si>
    <t>SynWH7803_0556</t>
  </si>
  <si>
    <t>SynWH7803_2466</t>
  </si>
  <si>
    <t>SynWH7803_0128</t>
  </si>
  <si>
    <t>SynWH7803_1217</t>
  </si>
  <si>
    <t>SynWH7803_2467</t>
  </si>
  <si>
    <t>SynWH7803_0395</t>
  </si>
  <si>
    <t>SynWH7803_2260</t>
  </si>
  <si>
    <t>SynWH7803_2261</t>
  </si>
  <si>
    <t>SynWH7803_1334</t>
  </si>
  <si>
    <t>SynWH7803_0129</t>
  </si>
  <si>
    <t>SynWH7803_1516</t>
  </si>
  <si>
    <t>SynWH7803_1868</t>
  </si>
  <si>
    <t>SynWH7803_0156</t>
  </si>
  <si>
    <t>SynWH7803_0223</t>
  </si>
  <si>
    <t>SynWH7803_0555</t>
  </si>
  <si>
    <t>SynWH7803_1867</t>
  </si>
  <si>
    <t>SynWH7803_1523</t>
  </si>
  <si>
    <t>SynWH7803_1405</t>
  </si>
  <si>
    <t>SynWH7803_1362</t>
  </si>
  <si>
    <t>SynWH7803_2149</t>
  </si>
  <si>
    <t>SynWH7803_1608</t>
  </si>
  <si>
    <t>SynWH7803_1045</t>
  </si>
  <si>
    <t>SynWH7803_2259</t>
  </si>
  <si>
    <t>SynWH7803_0257</t>
  </si>
  <si>
    <t>SynWH7803_2167</t>
  </si>
  <si>
    <t>SynWH7803_2072</t>
  </si>
  <si>
    <t>SynWH7803_0141</t>
  </si>
  <si>
    <t>SynWH7803_0719</t>
  </si>
  <si>
    <t>SynWH7803_0256</t>
  </si>
  <si>
    <t>SynWH7803_1433</t>
  </si>
  <si>
    <t>SynWH7803_1808</t>
  </si>
  <si>
    <t>SynWH7803_2236</t>
  </si>
  <si>
    <t>SynWH7803_2199</t>
  </si>
  <si>
    <t>SynWH7803_0978</t>
  </si>
  <si>
    <t>SynWH7803_2268</t>
  </si>
  <si>
    <t>SynWH7803_2235</t>
  </si>
  <si>
    <t>SynWH7803_0706</t>
  </si>
  <si>
    <t>SynWH7803_2089</t>
  </si>
  <si>
    <t>SynWH7803_0820</t>
  </si>
  <si>
    <t>SynWH7803_1006</t>
  </si>
  <si>
    <t>SynWH7803_0816</t>
  </si>
  <si>
    <t>SynWH7803_1042</t>
  </si>
  <si>
    <t>SynWH7803_0151</t>
  </si>
  <si>
    <t>SynWH7803_2216</t>
  </si>
  <si>
    <t>SynWH7803_2321</t>
  </si>
  <si>
    <t>SynWH7803_0521</t>
  </si>
  <si>
    <t>SynWH7803_1742</t>
  </si>
  <si>
    <t>SynWH7803_1890</t>
  </si>
  <si>
    <t>SynWH7803_1118</t>
  </si>
  <si>
    <t>SynWH7803_2322</t>
  </si>
  <si>
    <t>SynWH7803_0792</t>
  </si>
  <si>
    <t>SynWH7803_1744</t>
  </si>
  <si>
    <t>SynWH7803_2172</t>
  </si>
  <si>
    <t>SynWH7803_1592</t>
  </si>
  <si>
    <t>SynWH7803_1358</t>
  </si>
  <si>
    <t>SynWH7803_0530</t>
  </si>
  <si>
    <t>SynWH7803_0460</t>
  </si>
  <si>
    <t>SynWH7803_0060</t>
  </si>
  <si>
    <t>SynWH7803_2267</t>
  </si>
  <si>
    <t>SynWH7803_0877</t>
  </si>
  <si>
    <t>SynWH7803_0544</t>
  </si>
  <si>
    <t>SynWH7803_2264</t>
  </si>
  <si>
    <t>SynWH7803_1105</t>
  </si>
  <si>
    <t>SynWH7803_2396</t>
  </si>
  <si>
    <t>SynWH7803_2436</t>
  </si>
  <si>
    <t>SynWH7803_1799</t>
  </si>
  <si>
    <t>SynWH7803_2364</t>
  </si>
  <si>
    <t>SynWH7803_2450</t>
  </si>
  <si>
    <t>SynWH7803_2473</t>
  </si>
  <si>
    <t>SynWH7803_1687</t>
  </si>
  <si>
    <t>SynWH7803_0650</t>
  </si>
  <si>
    <t>SynWH7803_1598</t>
  </si>
  <si>
    <t>SynWH7803_2366</t>
  </si>
  <si>
    <t>SynWH7803_1966</t>
  </si>
  <si>
    <t>SynWH7803_0558</t>
  </si>
  <si>
    <t>SynWH7803_2307</t>
  </si>
  <si>
    <t>SynWH7803_1398</t>
  </si>
  <si>
    <t>SynWH7803_2242</t>
  </si>
  <si>
    <t>SynWH7803_1713</t>
  </si>
  <si>
    <t>SynWH7803_1116</t>
  </si>
  <si>
    <t>SynWH7803_0355</t>
  </si>
  <si>
    <t>SynWH7803_2330</t>
  </si>
  <si>
    <t>SynWH7803_0529</t>
  </si>
  <si>
    <t>SynWH7803_1759</t>
  </si>
  <si>
    <t>SynWH7803_0183</t>
  </si>
  <si>
    <t>SynWH7803_1449</t>
  </si>
  <si>
    <t>SynWH7803_2309</t>
  </si>
  <si>
    <t>SynWH7803_0861</t>
  </si>
  <si>
    <t>SynWH7803_1216</t>
  </si>
  <si>
    <t>SynWH7803_1740</t>
  </si>
  <si>
    <t>SynWH7803_0172</t>
  </si>
  <si>
    <t>SynWH7803_2248</t>
  </si>
  <si>
    <t>SynWH7803_1964</t>
  </si>
  <si>
    <t>SynWH7803_1841</t>
  </si>
  <si>
    <t>SynWH7803_1828</t>
  </si>
  <si>
    <t>SynWH7803_1965</t>
  </si>
  <si>
    <t>SynWH7803_0178</t>
  </si>
  <si>
    <t>SynWH7803_2258</t>
  </si>
  <si>
    <t>SynWH7803_0276</t>
  </si>
  <si>
    <t>SynWH7803_1653</t>
  </si>
  <si>
    <t>SynWH7803_0470</t>
  </si>
  <si>
    <t>SynWH7803_2051</t>
  </si>
  <si>
    <t>SynWH7803_2313</t>
  </si>
  <si>
    <t>SynWH7803_0036</t>
  </si>
  <si>
    <t>SynWH7803_1197</t>
  </si>
  <si>
    <t>SynWH7803_2176</t>
  </si>
  <si>
    <t>SynWH7803_0331</t>
  </si>
  <si>
    <t>SynWH7803_0657</t>
  </si>
  <si>
    <t>SynWH7803_2006</t>
  </si>
  <si>
    <t>SynWH7803_0283</t>
  </si>
  <si>
    <t>SynWH7803_0856</t>
  </si>
  <si>
    <t>SynWH7803_0568</t>
  </si>
  <si>
    <t>SynWH7803_0631</t>
  </si>
  <si>
    <t>SynWH7803_1762</t>
  </si>
  <si>
    <t>SynWH7803_0758</t>
  </si>
  <si>
    <t>SynWH7803_0155</t>
  </si>
  <si>
    <t>SynWH7803_1810</t>
  </si>
  <si>
    <t>SynWH7803_1146</t>
  </si>
  <si>
    <t>SynWH7803_1185</t>
  </si>
  <si>
    <t>SynWH7803_0140</t>
  </si>
  <si>
    <t>SynWH7803_1114</t>
  </si>
  <si>
    <t>SynWH7803_1626</t>
  </si>
  <si>
    <t>SynWH7803_0950</t>
  </si>
  <si>
    <t>SynWH7803_1806</t>
  </si>
  <si>
    <t>SynWH7803_0377</t>
  </si>
  <si>
    <t>SynWH7803_0531</t>
  </si>
  <si>
    <t>SynWH7803_2286</t>
  </si>
  <si>
    <t>SynWH7803_1718</t>
  </si>
  <si>
    <t>SynWH7803_0009</t>
  </si>
  <si>
    <t>SynWH7803_0703</t>
  </si>
  <si>
    <t>SynWH7803_2081</t>
  </si>
  <si>
    <t>SynWH7803_0318</t>
  </si>
  <si>
    <t>SynWH7803_2429</t>
  </si>
  <si>
    <t>SynWH7803_1737</t>
  </si>
  <si>
    <t>SynWH7803_1576</t>
  </si>
  <si>
    <t>SynWH7803_0762</t>
  </si>
  <si>
    <t>SynWH7803_1568</t>
  </si>
  <si>
    <t>SynWH7803_0793</t>
  </si>
  <si>
    <t>SynWH7803_0852</t>
  </si>
  <si>
    <t>SynWH7803_2223</t>
  </si>
  <si>
    <t>SynWH7803_0559</t>
  </si>
  <si>
    <t>SynWH7803_1985</t>
  </si>
  <si>
    <t>SynWH7803_0134</t>
  </si>
  <si>
    <t>SynWH7803_2227</t>
  </si>
  <si>
    <t>SynWH7803_1705</t>
  </si>
  <si>
    <t>SynWH7803_0157</t>
  </si>
  <si>
    <t>SynWH7803_2166</t>
  </si>
  <si>
    <t>SynWH7803_1428</t>
  </si>
  <si>
    <t>SynWH7803_1491</t>
  </si>
  <si>
    <t>SynWH7803_1130</t>
  </si>
  <si>
    <t>SynWH7803_2338</t>
  </si>
  <si>
    <t>SynWH7803_0471</t>
  </si>
  <si>
    <t>SynWH7803_2298</t>
  </si>
  <si>
    <t>SynWH7803_2131</t>
  </si>
  <si>
    <t>SynWH7803_2370</t>
  </si>
  <si>
    <t>SynWH7803_1324</t>
  </si>
  <si>
    <t>SynWH7803_0049</t>
  </si>
  <si>
    <t>SynWH7803_0453</t>
  </si>
  <si>
    <t>SynWH7803_0770</t>
  </si>
  <si>
    <t>SynWH7803_1004</t>
  </si>
  <si>
    <t>SynWH7803_0721</t>
  </si>
  <si>
    <t>SynWH7803_1538</t>
  </si>
  <si>
    <t>SynWH7803_1552</t>
  </si>
  <si>
    <t>SynWH7803_0704</t>
  </si>
  <si>
    <t>SynWH7803_1041</t>
  </si>
  <si>
    <t>SynWH7803_1050</t>
  </si>
  <si>
    <t>SynWH7803_0398</t>
  </si>
  <si>
    <t>SynWH7803_1193</t>
  </si>
  <si>
    <t>SynWH7803_1190</t>
  </si>
  <si>
    <t>SynWH7803_1816</t>
  </si>
  <si>
    <t>SynWH7803_1752</t>
  </si>
  <si>
    <t>SynWH7803_1212</t>
  </si>
  <si>
    <t>SynWH7803_0271</t>
  </si>
  <si>
    <t>SynWH7803_1982</t>
  </si>
  <si>
    <t>SynWH7803_0651</t>
  </si>
  <si>
    <t>SynWH7803_2443</t>
  </si>
  <si>
    <t>SynWH7803_2475</t>
  </si>
  <si>
    <t>SynWH7803_0232</t>
  </si>
  <si>
    <t>SynWH7803_0056</t>
  </si>
  <si>
    <t>SynWH7803_1359</t>
  </si>
  <si>
    <t>SynWH7803_0309</t>
  </si>
  <si>
    <t>SynWH7803_0977</t>
  </si>
  <si>
    <t>SynWH7803_2275</t>
  </si>
  <si>
    <t>SynWH7803_0610</t>
  </si>
  <si>
    <t>SynWH7803_1295</t>
  </si>
  <si>
    <t>SynWH7803_1396</t>
  </si>
  <si>
    <t>SynWH7803_1918</t>
  </si>
  <si>
    <t>SynWH7803_1704</t>
  </si>
  <si>
    <t>SynWH7803_2452</t>
  </si>
  <si>
    <t>SynWH7803_0914</t>
  </si>
  <si>
    <t>SynWH7803_2416</t>
  </si>
  <si>
    <t>SynWH7803_0483</t>
  </si>
  <si>
    <t>SynWH7803_1183</t>
  </si>
  <si>
    <t>SynWH7803_0285</t>
  </si>
  <si>
    <t>SynWH7803_1446</t>
  </si>
  <si>
    <t>SynWH7803_1161</t>
  </si>
  <si>
    <t>SynWH7803_0929</t>
  </si>
  <si>
    <t>SynWH7803_0606</t>
  </si>
  <si>
    <t>SynWH7803_1399</t>
  </si>
  <si>
    <t>SynWH7803_0040</t>
  </si>
  <si>
    <t>SynWH7803_1978</t>
  </si>
  <si>
    <t>SynWH7803_0095</t>
  </si>
  <si>
    <t>SynWH7803_1264</t>
  </si>
  <si>
    <t>SynWH7803_1182</t>
  </si>
  <si>
    <t>SynWH7803_1350</t>
  </si>
  <si>
    <t>SynWH7803_1599</t>
  </si>
  <si>
    <t>SynWH7803_1093</t>
  </si>
  <si>
    <t>SynWH7803_0400</t>
  </si>
  <si>
    <t>SynWH7803_1047</t>
  </si>
  <si>
    <t>SynWH7803_0795</t>
  </si>
  <si>
    <t>SynWH7803_1445</t>
  </si>
  <si>
    <t>SynWH7803_1725</t>
  </si>
  <si>
    <t>SynWH7803_1018</t>
  </si>
  <si>
    <t>SynWH7803_0499</t>
  </si>
  <si>
    <t>SynWH7803_1933</t>
  </si>
  <si>
    <t>SynWH7803_0066</t>
  </si>
  <si>
    <t>SynWH7803_1992</t>
  </si>
  <si>
    <t>SynWH7803_0463</t>
  </si>
  <si>
    <t>SynWH7803_0819</t>
  </si>
  <si>
    <t>SynWH7803_2012</t>
  </si>
  <si>
    <t>SynWH7803_1084</t>
  </si>
  <si>
    <t>SynWH7803_1071</t>
  </si>
  <si>
    <t>SynWH7803_2086</t>
  </si>
  <si>
    <t>SynWH7803_0803</t>
  </si>
  <si>
    <t>SynWH7803_2122</t>
  </si>
  <si>
    <t>SynWH7803_0504</t>
  </si>
  <si>
    <t>SynWH7803_0615</t>
  </si>
  <si>
    <t>SynWH7803_1775</t>
  </si>
  <si>
    <t>SynWH7803_0202</t>
  </si>
  <si>
    <t>SynWH7803_1083</t>
  </si>
  <si>
    <t>SynWH7803_1202</t>
  </si>
  <si>
    <t>SynWH7803_0824</t>
  </si>
  <si>
    <t>SynWH7803_0581</t>
  </si>
  <si>
    <t>SynWH7803_1430</t>
  </si>
  <si>
    <t>SynWH7803_0759</t>
  </si>
  <si>
    <t>SynWH7803_1556</t>
  </si>
  <si>
    <t>SynWH7803_2229</t>
  </si>
  <si>
    <t>SynWH7803_1835</t>
  </si>
  <si>
    <t>SynWH7803_0441</t>
  </si>
  <si>
    <t>SynWH7803_2360</t>
  </si>
  <si>
    <t>SynWH7803_2210</t>
  </si>
  <si>
    <t>SynWH7803_1959</t>
  </si>
  <si>
    <t>SynWH7803_1897</t>
  </si>
  <si>
    <t>SynWH7803_2356</t>
  </si>
  <si>
    <t>SynWH7803_2312</t>
  </si>
  <si>
    <t>SynWH7803_0829</t>
  </si>
  <si>
    <t>SynWH7803_1583</t>
  </si>
  <si>
    <t>SynWH7803_1373</t>
  </si>
  <si>
    <t>SynWH7803_0809</t>
  </si>
  <si>
    <t>SynWH7803_2532</t>
  </si>
  <si>
    <t>SynWH7803_0284</t>
  </si>
  <si>
    <t>SynWH7803_2294</t>
  </si>
  <si>
    <t>SynWH7803_2139</t>
  </si>
  <si>
    <t>SynWH7803_0808</t>
  </si>
  <si>
    <t>SynWH7803_1488</t>
  </si>
  <si>
    <t>SynWH7803_1167</t>
  </si>
  <si>
    <t>SynWH7803_2511</t>
  </si>
  <si>
    <t>SynWH7803_0754</t>
  </si>
  <si>
    <t>SynWH7803_0781</t>
  </si>
  <si>
    <t>SynWH7803_2427</t>
  </si>
  <si>
    <t>SynWH7803_0849</t>
  </si>
  <si>
    <t>SynWH7803_0212</t>
  </si>
  <si>
    <t>SynWH7803_0807</t>
  </si>
  <si>
    <t>SynWH7803_0120</t>
  </si>
  <si>
    <t>SynWH7803_1920</t>
  </si>
  <si>
    <t>SynWH7803_1124</t>
  </si>
  <si>
    <t>SynWH7803_1703</t>
  </si>
  <si>
    <t>SynWH7803_1640</t>
  </si>
  <si>
    <t>SynWH7803_1370</t>
  </si>
  <si>
    <t>SynWH7803_1278</t>
  </si>
  <si>
    <t>SynWH7803_1017</t>
  </si>
  <si>
    <t>SynWH7803_1829</t>
  </si>
  <si>
    <t>SynWH7803_1256</t>
  </si>
  <si>
    <t>SynWH7803_0008</t>
  </si>
  <si>
    <t>SynWH7803_0996</t>
  </si>
  <si>
    <t>SynWH7803_2262</t>
  </si>
  <si>
    <t>SynWH7803_0761</t>
  </si>
  <si>
    <t>SynWH7803_1274</t>
  </si>
  <si>
    <t>SynWH7803_0300</t>
  </si>
  <si>
    <t>SynWH7803_0867</t>
  </si>
  <si>
    <t>SynWH7803_1619</t>
  </si>
  <si>
    <t>SynWH7803_1900</t>
  </si>
  <si>
    <t>SynWH7803_0057</t>
  </si>
  <si>
    <t>SynWH7803_2169</t>
  </si>
  <si>
    <t>SynWH7803_1265</t>
  </si>
  <si>
    <t>SynWH7803_2240</t>
  </si>
  <si>
    <t>SynWH7803_0659</t>
  </si>
  <si>
    <t>SynWH7803_1610</t>
  </si>
  <si>
    <t>SynWH7803_1706</t>
  </si>
  <si>
    <t>SynWH7803_0384</t>
  </si>
  <si>
    <t>SynWH7803_0982</t>
  </si>
  <si>
    <t>SynWH7803_0006</t>
  </si>
  <si>
    <t>SynWH7803_2157</t>
  </si>
  <si>
    <t>SynWH7803_1103</t>
  </si>
  <si>
    <t>SynWH7803_1757</t>
  </si>
  <si>
    <t>SynWH7803_1800</t>
  </si>
  <si>
    <t>Other reference</t>
  </si>
  <si>
    <t>Protein sequence</t>
  </si>
  <si>
    <t>Annotated function and designation</t>
  </si>
  <si>
    <t>Assigned function</t>
  </si>
  <si>
    <t>Additional information for category assignement</t>
  </si>
  <si>
    <t>Assigned category</t>
  </si>
  <si>
    <t>Fold change Axenic vs Co-culture</t>
  </si>
  <si>
    <t>Axenic</t>
  </si>
  <si>
    <t>Co-culture</t>
  </si>
  <si>
    <t>SC</t>
  </si>
  <si>
    <t>Peak area</t>
  </si>
  <si>
    <t>NAF</t>
  </si>
  <si>
    <t>Av=</t>
  </si>
  <si>
    <t>Dev=</t>
  </si>
  <si>
    <t>T-test</t>
  </si>
  <si>
    <t>Difference</t>
  </si>
  <si>
    <t>Old NCBI reference</t>
  </si>
  <si>
    <t>New NCBI reference</t>
  </si>
  <si>
    <t>Annotation reference</t>
  </si>
  <si>
    <t>CDS sequence</t>
  </si>
  <si>
    <t>AAV97399.1</t>
  </si>
  <si>
    <t>AAV97414.1</t>
  </si>
  <si>
    <t>AAV97434.1</t>
  </si>
  <si>
    <t>AAV93764.2</t>
  </si>
  <si>
    <t>AAV97145.1</t>
  </si>
  <si>
    <t>AAV97152.1</t>
  </si>
  <si>
    <t>AAV97156.1</t>
  </si>
  <si>
    <t>AAV97176.1</t>
  </si>
  <si>
    <t>AAV97197.1</t>
  </si>
  <si>
    <t>AAV97199.1</t>
  </si>
  <si>
    <t>AAV97273.1</t>
  </si>
  <si>
    <t>AAV97294.1</t>
  </si>
  <si>
    <t>AAV97336.1</t>
  </si>
  <si>
    <t>AAV97416.1</t>
  </si>
  <si>
    <t>AAV97426.1</t>
  </si>
  <si>
    <t>AAV97447.1</t>
  </si>
  <si>
    <t>AAV97451.1</t>
  </si>
  <si>
    <t>AAV97543.1</t>
  </si>
  <si>
    <t>AAV97545.1</t>
  </si>
  <si>
    <t>AAV97559.1</t>
  </si>
  <si>
    <t>AAV97561.1</t>
  </si>
  <si>
    <t>AAV97570.1</t>
  </si>
  <si>
    <t>AAV97571.1</t>
  </si>
  <si>
    <t>AAV97575.1</t>
  </si>
  <si>
    <t>AAV93661.2</t>
  </si>
  <si>
    <t>AAV93733.2</t>
  </si>
  <si>
    <t>AAV93990.2</t>
  </si>
  <si>
    <t>AAV94251.2</t>
  </si>
  <si>
    <t>AAV94565.2</t>
  </si>
  <si>
    <t>AAV94647.2</t>
  </si>
  <si>
    <t>AAV94849.2</t>
  </si>
  <si>
    <t>AAV95055.2</t>
  </si>
  <si>
    <t>AAV95183.2</t>
  </si>
  <si>
    <t>AAV95231.2</t>
  </si>
  <si>
    <t>AAV95409.2</t>
  </si>
  <si>
    <t>AAV95610.2</t>
  </si>
  <si>
    <t>AAV96094.2</t>
  </si>
  <si>
    <t>AAV96241.2</t>
  </si>
  <si>
    <t>AAV96455.2</t>
  </si>
  <si>
    <t>AAV96594.2</t>
  </si>
  <si>
    <t>AAV96967.2</t>
  </si>
  <si>
    <t>AAV97448.1</t>
  </si>
  <si>
    <t>AAV96386.2</t>
  </si>
  <si>
    <t>AAV97201.1</t>
  </si>
  <si>
    <t>AAV96752.2</t>
  </si>
  <si>
    <t>AAV97394.1</t>
  </si>
  <si>
    <t>AAV97438.1</t>
  </si>
  <si>
    <t>AAV97563.1</t>
  </si>
  <si>
    <t>AAV97565.1</t>
  </si>
  <si>
    <t>AAV95854.2</t>
  </si>
  <si>
    <t>AAV97168.1</t>
  </si>
  <si>
    <t>AAV97170.1</t>
  </si>
  <si>
    <t>AAV97173.1</t>
  </si>
  <si>
    <t>AAV97342.1</t>
  </si>
  <si>
    <t>AAV94468.2</t>
  </si>
  <si>
    <t>AAV96026.2</t>
  </si>
  <si>
    <t>AAV97178.1</t>
  </si>
  <si>
    <t>AAV97339.1</t>
  </si>
  <si>
    <t>AAV97340.1</t>
  </si>
  <si>
    <t>AAV97476.1</t>
  </si>
  <si>
    <t>AAV97560.1</t>
  </si>
  <si>
    <t>AAV93721.2</t>
  </si>
  <si>
    <t>AAV93822.2</t>
  </si>
  <si>
    <t>AAV94307.2</t>
  </si>
  <si>
    <t>AAV94308.2</t>
  </si>
  <si>
    <t>AAV95322.2</t>
  </si>
  <si>
    <t>AAV96158.2</t>
  </si>
  <si>
    <t>AAV96938.2</t>
  </si>
  <si>
    <t>AAV97146.1</t>
  </si>
  <si>
    <t>AAV97174.1</t>
  </si>
  <si>
    <t>AAV97179.1</t>
  </si>
  <si>
    <t>AAV97220.1</t>
  </si>
  <si>
    <t>AAV97260.1</t>
  </si>
  <si>
    <t>AAV97403.1</t>
  </si>
  <si>
    <t>AAV97473.1</t>
  </si>
  <si>
    <t>AAV97477.1</t>
  </si>
  <si>
    <t>AAV97527.2</t>
  </si>
  <si>
    <t>AAV97529.1</t>
  </si>
  <si>
    <t>AAV95197.2</t>
  </si>
  <si>
    <t>AAV96831.2</t>
  </si>
  <si>
    <t>NAF Average</t>
  </si>
  <si>
    <t>Replicates</t>
  </si>
  <si>
    <t>Average=</t>
  </si>
  <si>
    <t>Category NAF</t>
  </si>
  <si>
    <t>Mg; Ferritin-like</t>
  </si>
  <si>
    <t>Heme degradation</t>
  </si>
  <si>
    <t xml:space="preserve">glutamate synthase, small subunit </t>
  </si>
  <si>
    <r>
      <t xml:space="preserve">Table S5B: Protein categories of </t>
    </r>
    <r>
      <rPr>
        <b/>
        <i/>
        <sz val="11"/>
        <color theme="1"/>
        <rFont val="Calibri"/>
        <family val="2"/>
        <scheme val="minor"/>
      </rPr>
      <t xml:space="preserve">R. pomeroyi </t>
    </r>
    <r>
      <rPr>
        <b/>
        <sz val="11"/>
        <color theme="1"/>
        <rFont val="Calibri"/>
        <family val="2"/>
        <scheme val="minor"/>
      </rPr>
      <t xml:space="preserve">proteins detected in SW </t>
    </r>
    <r>
      <rPr>
        <b/>
        <sz val="11"/>
        <color indexed="8"/>
        <rFont val="Calibri"/>
        <family val="2"/>
      </rPr>
      <t xml:space="preserve">co-culture with </t>
    </r>
    <r>
      <rPr>
        <b/>
        <i/>
        <sz val="11"/>
        <color indexed="8"/>
        <rFont val="Calibri"/>
        <family val="2"/>
      </rPr>
      <t>Synechococcus</t>
    </r>
    <r>
      <rPr>
        <b/>
        <sz val="11"/>
        <color indexed="8"/>
        <rFont val="Calibri"/>
        <family val="2"/>
      </rPr>
      <t xml:space="preserve"> sp. WH7803</t>
    </r>
  </si>
  <si>
    <r>
      <t xml:space="preserve">Table S5A: Protein categories and comparative proteomic analysis of </t>
    </r>
    <r>
      <rPr>
        <b/>
        <i/>
        <sz val="11"/>
        <rFont val="Calibri"/>
        <family val="2"/>
        <scheme val="minor"/>
      </rPr>
      <t>Synechococcus</t>
    </r>
    <r>
      <rPr>
        <b/>
        <sz val="11"/>
        <rFont val="Calibri"/>
        <family val="2"/>
        <scheme val="minor"/>
      </rPr>
      <t xml:space="preserve"> sp. WH7803 proteins detected in SW axenic and </t>
    </r>
    <r>
      <rPr>
        <b/>
        <i/>
        <sz val="11"/>
        <rFont val="Calibri"/>
        <family val="2"/>
      </rPr>
      <t>R. pomeroyi</t>
    </r>
    <r>
      <rPr>
        <b/>
        <sz val="11"/>
        <rFont val="Calibri"/>
        <family val="2"/>
      </rPr>
      <t xml:space="preserve"> co-cultures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</si>
</sst>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0"/>
      <name val="Arial"/>
      <family val="2"/>
    </font>
    <font>
      <b/>
      <i/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A72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indexed="5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0" borderId="0" xfId="0" applyFont="1"/>
    <xf numFmtId="0" fontId="0" fillId="10" borderId="0" xfId="0" applyFill="1"/>
    <xf numFmtId="0" fontId="0" fillId="11" borderId="0" xfId="0" applyFill="1"/>
    <xf numFmtId="0" fontId="0" fillId="13" borderId="0" xfId="0" applyFill="1"/>
    <xf numFmtId="0" fontId="0" fillId="14" borderId="0" xfId="0" applyFill="1"/>
    <xf numFmtId="0" fontId="0" fillId="0" borderId="0" xfId="0" applyFill="1"/>
    <xf numFmtId="0" fontId="3" fillId="15" borderId="1" xfId="0" applyFont="1" applyFill="1" applyBorder="1" applyAlignment="1">
      <alignment horizontal="center"/>
    </xf>
    <xf numFmtId="2" fontId="3" fillId="15" borderId="1" xfId="0" applyNumberFormat="1" applyFont="1" applyFill="1" applyBorder="1" applyAlignment="1">
      <alignment horizontal="center"/>
    </xf>
    <xf numFmtId="0" fontId="0" fillId="0" borderId="1" xfId="0" applyBorder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3" fillId="15" borderId="2" xfId="0" applyNumberFormat="1" applyFont="1" applyFill="1" applyBorder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16" borderId="0" xfId="0" applyFill="1" applyAlignment="1">
      <alignment horizontal="center"/>
    </xf>
    <xf numFmtId="2" fontId="0" fillId="16" borderId="4" xfId="0" applyNumberFormat="1" applyFill="1" applyBorder="1" applyAlignment="1">
      <alignment horizontal="center"/>
    </xf>
    <xf numFmtId="0" fontId="0" fillId="12" borderId="0" xfId="0" applyFill="1" applyAlignment="1">
      <alignment horizontal="center"/>
    </xf>
    <xf numFmtId="2" fontId="0" fillId="12" borderId="4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3" fillId="15" borderId="1" xfId="0" applyNumberFormat="1" applyFont="1" applyFill="1" applyBorder="1" applyAlignment="1">
      <alignment horizontal="center"/>
    </xf>
    <xf numFmtId="1" fontId="0" fillId="16" borderId="0" xfId="0" applyNumberFormat="1" applyFill="1" applyAlignment="1">
      <alignment horizontal="center"/>
    </xf>
    <xf numFmtId="1" fontId="0" fillId="12" borderId="0" xfId="0" applyNumberFormat="1" applyFill="1" applyAlignment="1">
      <alignment horizontal="center"/>
    </xf>
    <xf numFmtId="0" fontId="0" fillId="13" borderId="1" xfId="0" applyFill="1" applyBorder="1"/>
    <xf numFmtId="2" fontId="0" fillId="0" borderId="1" xfId="0" applyNumberFormat="1" applyBorder="1" applyAlignment="1">
      <alignment horizontal="center"/>
    </xf>
    <xf numFmtId="0" fontId="0" fillId="16" borderId="1" xfId="0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2" fontId="0" fillId="16" borderId="2" xfId="0" applyNumberForma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" fontId="0" fillId="12" borderId="1" xfId="0" applyNumberFormat="1" applyFill="1" applyBorder="1" applyAlignment="1">
      <alignment horizontal="center"/>
    </xf>
    <xf numFmtId="2" fontId="0" fillId="12" borderId="2" xfId="0" applyNumberFormat="1" applyFill="1" applyBorder="1" applyAlignment="1">
      <alignment horizontal="center"/>
    </xf>
    <xf numFmtId="0" fontId="0" fillId="14" borderId="1" xfId="0" applyFill="1" applyBorder="1"/>
    <xf numFmtId="0" fontId="0" fillId="2" borderId="1" xfId="0" applyFill="1" applyBorder="1"/>
    <xf numFmtId="0" fontId="0" fillId="10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1" xfId="0" applyFill="1" applyBorder="1"/>
    <xf numFmtId="0" fontId="0" fillId="11" borderId="1" xfId="0" applyFill="1" applyBorder="1"/>
    <xf numFmtId="2" fontId="0" fillId="0" borderId="0" xfId="0" applyNumberFormat="1" applyBorder="1" applyAlignment="1">
      <alignment horizontal="center"/>
    </xf>
    <xf numFmtId="0" fontId="0" fillId="0" borderId="5" xfId="0" applyBorder="1"/>
    <xf numFmtId="0" fontId="0" fillId="5" borderId="5" xfId="0" applyFill="1" applyBorder="1"/>
    <xf numFmtId="2" fontId="0" fillId="0" borderId="5" xfId="0" applyNumberFormat="1" applyBorder="1" applyAlignment="1">
      <alignment horizontal="center"/>
    </xf>
    <xf numFmtId="0" fontId="0" fillId="16" borderId="5" xfId="0" applyFill="1" applyBorder="1" applyAlignment="1">
      <alignment horizontal="center"/>
    </xf>
    <xf numFmtId="1" fontId="0" fillId="16" borderId="5" xfId="0" applyNumberFormat="1" applyFill="1" applyBorder="1" applyAlignment="1">
      <alignment horizontal="center"/>
    </xf>
    <xf numFmtId="2" fontId="0" fillId="16" borderId="6" xfId="0" applyNumberFormat="1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1" fontId="0" fillId="12" borderId="5" xfId="0" applyNumberFormat="1" applyFill="1" applyBorder="1" applyAlignment="1">
      <alignment horizontal="center"/>
    </xf>
    <xf numFmtId="2" fontId="0" fillId="12" borderId="6" xfId="0" applyNumberForma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2" fontId="0" fillId="0" borderId="5" xfId="0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2" fontId="3" fillId="15" borderId="7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1" fillId="17" borderId="0" xfId="0" applyNumberFormat="1" applyFont="1" applyFill="1" applyAlignment="1">
      <alignment horizontal="center"/>
    </xf>
    <xf numFmtId="2" fontId="1" fillId="18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9" borderId="1" xfId="0" applyFill="1" applyBorder="1"/>
    <xf numFmtId="0" fontId="1" fillId="3" borderId="13" xfId="0" applyFont="1" applyFill="1" applyBorder="1"/>
    <xf numFmtId="2" fontId="1" fillId="0" borderId="14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4" xfId="0" applyNumberFormat="1" applyFill="1" applyBorder="1" applyAlignment="1">
      <alignment horizontal="center"/>
    </xf>
    <xf numFmtId="2" fontId="0" fillId="0" borderId="2" xfId="0" applyNumberFormat="1" applyFill="1" applyBorder="1" applyAlignment="1">
      <alignment horizontal="center"/>
    </xf>
    <xf numFmtId="0" fontId="0" fillId="0" borderId="0" xfId="0" applyBorder="1"/>
    <xf numFmtId="0" fontId="0" fillId="10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4" borderId="0" xfId="0" applyFill="1" applyBorder="1"/>
    <xf numFmtId="0" fontId="0" fillId="11" borderId="0" xfId="0" applyFill="1" applyBorder="1"/>
    <xf numFmtId="0" fontId="0" fillId="16" borderId="0" xfId="0" applyFill="1" applyBorder="1" applyAlignment="1">
      <alignment horizontal="center"/>
    </xf>
    <xf numFmtId="1" fontId="0" fillId="16" borderId="0" xfId="0" applyNumberForma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1" fontId="0" fillId="12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3" fillId="15" borderId="1" xfId="0" applyFont="1" applyFill="1" applyBorder="1" applyAlignment="1">
      <alignment horizontal="center"/>
    </xf>
    <xf numFmtId="0" fontId="1" fillId="16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2" fontId="1" fillId="16" borderId="0" xfId="0" applyNumberFormat="1" applyFont="1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0" fontId="1" fillId="16" borderId="0" xfId="0" applyFont="1" applyFill="1" applyBorder="1" applyAlignment="1">
      <alignment horizontal="center"/>
    </xf>
    <xf numFmtId="0" fontId="1" fillId="16" borderId="4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0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2" fontId="1" fillId="0" borderId="10" xfId="0" applyNumberFormat="1" applyFont="1" applyFill="1" applyBorder="1" applyAlignment="1">
      <alignment horizontal="center"/>
    </xf>
    <xf numFmtId="2" fontId="1" fillId="0" borderId="11" xfId="0" applyNumberFormat="1" applyFont="1" applyFill="1" applyBorder="1" applyAlignment="1">
      <alignment horizontal="center"/>
    </xf>
    <xf numFmtId="2" fontId="1" fillId="0" borderId="12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54"/>
  <sheetViews>
    <sheetView tabSelected="1"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6.42578125" bestFit="1" customWidth="1"/>
    <col min="3" max="3" width="18" customWidth="1"/>
    <col min="4" max="4" width="55.28515625" customWidth="1"/>
    <col min="5" max="5" width="22.85546875" customWidth="1"/>
    <col min="6" max="7" width="22.28515625" customWidth="1"/>
    <col min="8" max="8" width="18.42578125" customWidth="1"/>
    <col min="9" max="9" width="32.28515625" style="17" customWidth="1"/>
    <col min="10" max="10" width="12.42578125" style="17" customWidth="1"/>
    <col min="11" max="11" width="5.7109375" style="18" customWidth="1"/>
    <col min="12" max="12" width="11.28515625" style="25" customWidth="1"/>
    <col min="13" max="13" width="6.28515625" style="20" customWidth="1"/>
    <col min="14" max="14" width="5.7109375" style="18" customWidth="1"/>
    <col min="15" max="15" width="11.28515625" style="25" customWidth="1"/>
    <col min="16" max="16" width="6.28515625" style="20" customWidth="1"/>
    <col min="17" max="17" width="5.7109375" style="18" customWidth="1"/>
    <col min="18" max="18" width="11.28515625" style="25" customWidth="1"/>
    <col min="19" max="19" width="6.28515625" style="20" customWidth="1"/>
    <col min="20" max="20" width="5.7109375" style="18" customWidth="1"/>
    <col min="21" max="21" width="11.28515625" style="25" customWidth="1"/>
    <col min="22" max="22" width="6.28515625" style="20" customWidth="1"/>
    <col min="23" max="23" width="5.7109375" style="18" customWidth="1"/>
    <col min="24" max="24" width="11.28515625" style="25" customWidth="1"/>
    <col min="25" max="25" width="6.28515625" style="20" customWidth="1"/>
    <col min="26" max="26" width="5.7109375" style="18" customWidth="1"/>
    <col min="27" max="27" width="11.28515625" style="25" customWidth="1"/>
    <col min="28" max="28" width="6.28515625" style="20" customWidth="1"/>
    <col min="29" max="34" width="8" style="20" customWidth="1"/>
    <col min="35" max="35" width="10.7109375" style="17" customWidth="1"/>
    <col min="36" max="36" width="8" style="17" customWidth="1"/>
  </cols>
  <sheetData>
    <row r="1" spans="1:36" x14ac:dyDescent="0.25">
      <c r="A1" s="111" t="s">
        <v>8180</v>
      </c>
    </row>
    <row r="2" spans="1:36" x14ac:dyDescent="0.25">
      <c r="K2" s="94" t="s">
        <v>8079</v>
      </c>
      <c r="L2" s="94"/>
      <c r="M2" s="94"/>
      <c r="N2" s="94"/>
      <c r="O2" s="94"/>
      <c r="P2" s="94"/>
      <c r="Q2" s="94"/>
      <c r="R2" s="94"/>
      <c r="S2" s="94"/>
      <c r="T2" s="95" t="s">
        <v>8080</v>
      </c>
      <c r="U2" s="95"/>
      <c r="V2" s="95"/>
      <c r="W2" s="95"/>
      <c r="X2" s="95"/>
      <c r="Y2" s="95"/>
      <c r="Z2" s="95"/>
      <c r="AA2" s="95"/>
      <c r="AB2" s="95"/>
    </row>
    <row r="3" spans="1:36" x14ac:dyDescent="0.25">
      <c r="K3" s="98" t="s">
        <v>3840</v>
      </c>
      <c r="L3" s="98"/>
      <c r="M3" s="99"/>
      <c r="N3" s="100" t="s">
        <v>3841</v>
      </c>
      <c r="O3" s="98"/>
      <c r="P3" s="99"/>
      <c r="Q3" s="100" t="s">
        <v>2179</v>
      </c>
      <c r="R3" s="98"/>
      <c r="S3" s="99"/>
      <c r="T3" s="101" t="s">
        <v>3840</v>
      </c>
      <c r="U3" s="102"/>
      <c r="V3" s="103"/>
      <c r="W3" s="101" t="s">
        <v>3841</v>
      </c>
      <c r="X3" s="102"/>
      <c r="Y3" s="103"/>
      <c r="Z3" s="101" t="s">
        <v>2179</v>
      </c>
      <c r="AA3" s="102"/>
      <c r="AB3" s="103"/>
      <c r="AC3" s="96" t="s">
        <v>8079</v>
      </c>
      <c r="AD3" s="96"/>
      <c r="AE3" s="96"/>
      <c r="AF3" s="97" t="s">
        <v>8080</v>
      </c>
      <c r="AG3" s="97"/>
      <c r="AH3" s="97"/>
    </row>
    <row r="4" spans="1:36" x14ac:dyDescent="0.25">
      <c r="A4" s="14" t="s">
        <v>0</v>
      </c>
      <c r="B4" s="14" t="s">
        <v>8072</v>
      </c>
      <c r="C4" s="14" t="s">
        <v>8073</v>
      </c>
      <c r="D4" s="14" t="s">
        <v>8074</v>
      </c>
      <c r="E4" s="14" t="s">
        <v>8075</v>
      </c>
      <c r="F4" s="93" t="s">
        <v>8076</v>
      </c>
      <c r="G4" s="93"/>
      <c r="H4" s="14" t="s">
        <v>8077</v>
      </c>
      <c r="I4" s="15" t="s">
        <v>8078</v>
      </c>
      <c r="J4" s="15" t="s">
        <v>3839</v>
      </c>
      <c r="K4" s="15" t="s">
        <v>8081</v>
      </c>
      <c r="L4" s="26" t="s">
        <v>8082</v>
      </c>
      <c r="M4" s="19" t="s">
        <v>8083</v>
      </c>
      <c r="N4" s="15" t="s">
        <v>8081</v>
      </c>
      <c r="O4" s="26" t="s">
        <v>8082</v>
      </c>
      <c r="P4" s="19" t="s">
        <v>8083</v>
      </c>
      <c r="Q4" s="15" t="s">
        <v>8081</v>
      </c>
      <c r="R4" s="26" t="s">
        <v>8082</v>
      </c>
      <c r="S4" s="19" t="s">
        <v>8083</v>
      </c>
      <c r="T4" s="15" t="s">
        <v>8081</v>
      </c>
      <c r="U4" s="26" t="s">
        <v>8082</v>
      </c>
      <c r="V4" s="19" t="s">
        <v>8083</v>
      </c>
      <c r="W4" s="15" t="s">
        <v>8081</v>
      </c>
      <c r="X4" s="26" t="s">
        <v>8082</v>
      </c>
      <c r="Y4" s="19" t="s">
        <v>8083</v>
      </c>
      <c r="Z4" s="15" t="s">
        <v>8081</v>
      </c>
      <c r="AA4" s="26" t="s">
        <v>8082</v>
      </c>
      <c r="AB4" s="19" t="s">
        <v>8083</v>
      </c>
      <c r="AC4" s="57" t="s">
        <v>3840</v>
      </c>
      <c r="AD4" s="57" t="s">
        <v>3841</v>
      </c>
      <c r="AE4" s="57" t="s">
        <v>2179</v>
      </c>
      <c r="AF4" s="57" t="s">
        <v>3840</v>
      </c>
      <c r="AG4" s="57" t="s">
        <v>3841</v>
      </c>
      <c r="AH4" s="57" t="s">
        <v>2179</v>
      </c>
      <c r="AI4" s="30"/>
      <c r="AJ4" s="30"/>
    </row>
    <row r="5" spans="1:36" x14ac:dyDescent="0.25">
      <c r="A5" t="s">
        <v>3930</v>
      </c>
      <c r="B5" t="s">
        <v>7051</v>
      </c>
      <c r="C5" t="s">
        <v>3932</v>
      </c>
      <c r="D5" s="11" t="s">
        <v>3931</v>
      </c>
      <c r="E5" s="11" t="s">
        <v>3844</v>
      </c>
      <c r="I5" s="17">
        <v>1.6014397249163701</v>
      </c>
      <c r="J5" s="17">
        <v>0.473321395288199</v>
      </c>
      <c r="K5" s="21">
        <v>2</v>
      </c>
      <c r="L5" s="27">
        <v>1915122.5599056201</v>
      </c>
      <c r="M5" s="22">
        <v>7.4928234226222731E-3</v>
      </c>
      <c r="N5" s="21">
        <v>0</v>
      </c>
      <c r="O5" s="27">
        <v>284999.68980801723</v>
      </c>
      <c r="P5" s="22">
        <v>1.1248125298856594E-3</v>
      </c>
      <c r="Q5" s="21">
        <v>2</v>
      </c>
      <c r="R5" s="27">
        <v>2345937.2660862473</v>
      </c>
      <c r="S5" s="22">
        <v>9.3131281667275887E-3</v>
      </c>
      <c r="T5" s="23">
        <v>1</v>
      </c>
      <c r="U5" s="28">
        <v>1591469.4937145363</v>
      </c>
      <c r="V5" s="24">
        <v>6.2161328523471747E-3</v>
      </c>
      <c r="W5" s="23">
        <v>1</v>
      </c>
      <c r="X5" s="28">
        <v>1394963.059322821</v>
      </c>
      <c r="Y5" s="24">
        <v>5.3299497401376756E-3</v>
      </c>
      <c r="Z5" s="23">
        <v>2</v>
      </c>
      <c r="AA5" s="28">
        <v>4947982.0056178495</v>
      </c>
      <c r="AB5" s="24">
        <v>1.9188299345298709E-2</v>
      </c>
      <c r="AC5" s="20">
        <v>34.924282485117786</v>
      </c>
      <c r="AD5" s="20">
        <v>32.171467725941</v>
      </c>
      <c r="AE5" s="20">
        <v>33.606566847420368</v>
      </c>
      <c r="AF5" s="20">
        <v>34.550281846089597</v>
      </c>
      <c r="AG5" s="20">
        <v>33.121637265459498</v>
      </c>
      <c r="AH5" s="20">
        <v>35.755883570638709</v>
      </c>
    </row>
    <row r="6" spans="1:36" x14ac:dyDescent="0.25">
      <c r="A6" t="s">
        <v>3864</v>
      </c>
      <c r="B6" t="s">
        <v>7029</v>
      </c>
      <c r="C6" t="s">
        <v>3866</v>
      </c>
      <c r="D6" s="11" t="s">
        <v>3865</v>
      </c>
      <c r="E6" s="11" t="s">
        <v>3844</v>
      </c>
      <c r="H6" t="s">
        <v>2800</v>
      </c>
      <c r="I6" s="17">
        <v>1.35780598883836</v>
      </c>
      <c r="J6" s="17">
        <v>0.10524198003282099</v>
      </c>
      <c r="K6" s="21">
        <v>2</v>
      </c>
      <c r="L6" s="27">
        <v>2810594.4217015202</v>
      </c>
      <c r="M6" s="22">
        <v>1.4339192568935458E-2</v>
      </c>
      <c r="N6" s="21">
        <v>2</v>
      </c>
      <c r="O6" s="27">
        <v>3568139.5516347671</v>
      </c>
      <c r="P6" s="22">
        <v>1.8363488236450048E-2</v>
      </c>
      <c r="Q6" s="21">
        <v>2</v>
      </c>
      <c r="R6" s="27">
        <v>2445528.2369754082</v>
      </c>
      <c r="S6" s="22">
        <v>1.2659876194970542E-2</v>
      </c>
      <c r="T6" s="23">
        <v>2</v>
      </c>
      <c r="U6" s="28">
        <v>3669666.8660448827</v>
      </c>
      <c r="V6" s="24">
        <v>1.8690727316283219E-2</v>
      </c>
      <c r="W6" s="23">
        <v>2</v>
      </c>
      <c r="X6" s="28">
        <v>4176134.0265888446</v>
      </c>
      <c r="Y6" s="24">
        <v>2.0807141776719062E-2</v>
      </c>
      <c r="Z6" s="23">
        <v>3</v>
      </c>
      <c r="AA6" s="28">
        <v>5131663.6620755233</v>
      </c>
      <c r="AB6" s="24">
        <v>2.5950405535357591E-2</v>
      </c>
      <c r="AC6" s="17" t="s">
        <v>8084</v>
      </c>
      <c r="AD6" s="20">
        <v>33.567439019493051</v>
      </c>
      <c r="AF6" s="17" t="s">
        <v>8084</v>
      </c>
      <c r="AG6" s="20">
        <v>34.475934227395932</v>
      </c>
      <c r="AI6" s="47" t="s">
        <v>8087</v>
      </c>
      <c r="AJ6" s="20">
        <v>102.70647757005027</v>
      </c>
    </row>
    <row r="7" spans="1:36" x14ac:dyDescent="0.25">
      <c r="A7" t="s">
        <v>3888</v>
      </c>
      <c r="B7" t="s">
        <v>7037</v>
      </c>
      <c r="C7" t="s">
        <v>3890</v>
      </c>
      <c r="D7" s="11" t="s">
        <v>3889</v>
      </c>
      <c r="E7" s="11" t="s">
        <v>3844</v>
      </c>
      <c r="I7" s="17">
        <v>1.2281488149330899</v>
      </c>
      <c r="J7" s="17">
        <v>0.25124979717940199</v>
      </c>
      <c r="K7" s="21">
        <v>42</v>
      </c>
      <c r="L7" s="27">
        <v>255680384.86077899</v>
      </c>
      <c r="M7" s="22">
        <v>0.57012214236957504</v>
      </c>
      <c r="N7" s="21">
        <v>31</v>
      </c>
      <c r="O7" s="27">
        <v>173244903.56005001</v>
      </c>
      <c r="P7" s="22">
        <v>0.38968868615008484</v>
      </c>
      <c r="Q7" s="21">
        <v>35</v>
      </c>
      <c r="R7" s="27">
        <v>230523740.6452879</v>
      </c>
      <c r="S7" s="22">
        <v>0.52157457747059233</v>
      </c>
      <c r="T7" s="23">
        <v>37</v>
      </c>
      <c r="U7" s="28">
        <v>290793060.18144834</v>
      </c>
      <c r="V7" s="24">
        <v>0.64733274865309387</v>
      </c>
      <c r="W7" s="23">
        <v>35</v>
      </c>
      <c r="X7" s="28">
        <v>274758463.04756975</v>
      </c>
      <c r="Y7" s="24">
        <v>0.59831936099386596</v>
      </c>
      <c r="Z7" s="23">
        <v>39</v>
      </c>
      <c r="AA7" s="28">
        <v>317052084.85380727</v>
      </c>
      <c r="AB7" s="24">
        <v>0.70074588815058581</v>
      </c>
      <c r="AC7" s="17" t="s">
        <v>8085</v>
      </c>
      <c r="AD7" s="20">
        <v>1.3768244313543099</v>
      </c>
      <c r="AF7" s="17" t="s">
        <v>8085</v>
      </c>
      <c r="AG7" s="20">
        <v>1.3186959753452063</v>
      </c>
      <c r="AI7" s="17" t="s">
        <v>8086</v>
      </c>
      <c r="AJ7" s="20">
        <v>0.45553580969535074</v>
      </c>
    </row>
    <row r="8" spans="1:36" x14ac:dyDescent="0.25">
      <c r="A8" t="s">
        <v>3852</v>
      </c>
      <c r="B8" t="s">
        <v>7025</v>
      </c>
      <c r="C8" t="s">
        <v>3854</v>
      </c>
      <c r="D8" s="11" t="s">
        <v>3853</v>
      </c>
      <c r="E8" s="11" t="s">
        <v>3844</v>
      </c>
      <c r="I8" s="17">
        <v>1.19526685207146</v>
      </c>
      <c r="J8" s="17">
        <v>0.62404648645123195</v>
      </c>
      <c r="K8" s="21">
        <v>4</v>
      </c>
      <c r="L8" s="27">
        <v>1426917.00854889</v>
      </c>
      <c r="M8" s="22">
        <v>1.070573081261169E-2</v>
      </c>
      <c r="N8" s="21">
        <v>2</v>
      </c>
      <c r="O8" s="27">
        <v>437898.73771067645</v>
      </c>
      <c r="P8" s="22">
        <v>3.3141955526861965E-3</v>
      </c>
      <c r="Q8" s="21">
        <v>5</v>
      </c>
      <c r="R8" s="27">
        <v>2988481.4587321468</v>
      </c>
      <c r="S8" s="22">
        <v>2.2750892055862441E-2</v>
      </c>
      <c r="T8" s="23">
        <v>3</v>
      </c>
      <c r="U8" s="28">
        <v>945025.9820788051</v>
      </c>
      <c r="V8" s="24">
        <v>7.0783885289721626E-3</v>
      </c>
      <c r="W8" s="23">
        <v>3</v>
      </c>
      <c r="X8" s="28">
        <v>2345016.9599821088</v>
      </c>
      <c r="Y8" s="24">
        <v>1.7182053758085902E-2</v>
      </c>
      <c r="Z8" s="23">
        <v>5</v>
      </c>
      <c r="AA8" s="28">
        <v>3039915.8081438555</v>
      </c>
      <c r="AB8" s="24">
        <v>2.2606774794072495E-2</v>
      </c>
    </row>
    <row r="9" spans="1:36" x14ac:dyDescent="0.25">
      <c r="A9" t="s">
        <v>3882</v>
      </c>
      <c r="B9" t="s">
        <v>7035</v>
      </c>
      <c r="C9" t="s">
        <v>3884</v>
      </c>
      <c r="D9" s="11" t="s">
        <v>3883</v>
      </c>
      <c r="E9" s="11" t="s">
        <v>3844</v>
      </c>
      <c r="I9" s="17">
        <v>1.1642715278437901</v>
      </c>
      <c r="J9" s="17">
        <v>0.230648658223849</v>
      </c>
      <c r="K9" s="21">
        <v>2</v>
      </c>
      <c r="L9" s="27">
        <v>2932717.5280747698</v>
      </c>
      <c r="M9" s="22">
        <v>1.0164568385044068E-2</v>
      </c>
      <c r="N9" s="21">
        <v>1</v>
      </c>
      <c r="O9" s="27">
        <v>4142986.1843907302</v>
      </c>
      <c r="P9" s="22">
        <v>1.4485017514615882E-2</v>
      </c>
      <c r="Q9" s="21">
        <v>2</v>
      </c>
      <c r="R9" s="27">
        <v>2767625.6646300498</v>
      </c>
      <c r="S9" s="22">
        <v>9.7332149858309677E-3</v>
      </c>
      <c r="T9" s="23">
        <v>2</v>
      </c>
      <c r="U9" s="28">
        <v>3897076.8053802731</v>
      </c>
      <c r="V9" s="24">
        <v>1.348437171881311E-2</v>
      </c>
      <c r="W9" s="23">
        <v>2</v>
      </c>
      <c r="X9" s="28">
        <v>4335170.4025275884</v>
      </c>
      <c r="Y9" s="24">
        <v>1.4673589357854884E-2</v>
      </c>
      <c r="Z9" s="23">
        <v>2</v>
      </c>
      <c r="AA9" s="28">
        <v>4154019.7653628318</v>
      </c>
      <c r="AB9" s="24">
        <v>1.4270747220272001E-2</v>
      </c>
    </row>
    <row r="10" spans="1:36" x14ac:dyDescent="0.25">
      <c r="A10" t="s">
        <v>3944</v>
      </c>
      <c r="B10" t="s">
        <v>7056</v>
      </c>
      <c r="C10" t="s">
        <v>3945</v>
      </c>
      <c r="D10" s="11" t="s">
        <v>3904</v>
      </c>
      <c r="E10" s="11" t="s">
        <v>3844</v>
      </c>
      <c r="I10" s="17">
        <v>1.09133718678989</v>
      </c>
      <c r="J10" s="17">
        <v>0.581339088436024</v>
      </c>
      <c r="K10" s="21">
        <v>10</v>
      </c>
      <c r="L10" s="27">
        <v>31991298.675069802</v>
      </c>
      <c r="M10" s="22">
        <v>0.12440119511918961</v>
      </c>
      <c r="N10" s="21">
        <v>5</v>
      </c>
      <c r="O10" s="27">
        <v>17822505.416045748</v>
      </c>
      <c r="P10" s="22">
        <v>6.9911443595730885E-2</v>
      </c>
      <c r="Q10" s="21">
        <v>10</v>
      </c>
      <c r="R10" s="27">
        <v>29292553.266419593</v>
      </c>
      <c r="S10" s="22">
        <v>0.11557932935875213</v>
      </c>
      <c r="T10" s="23">
        <v>8</v>
      </c>
      <c r="U10" s="28">
        <v>30155163.711727872</v>
      </c>
      <c r="V10" s="24">
        <v>0.11706509353172034</v>
      </c>
      <c r="W10" s="23">
        <v>5</v>
      </c>
      <c r="X10" s="28">
        <v>31654046.153850026</v>
      </c>
      <c r="Y10" s="24">
        <v>0.1202080063354521</v>
      </c>
      <c r="Z10" s="23">
        <v>6</v>
      </c>
      <c r="AA10" s="28">
        <v>32714304.403991383</v>
      </c>
      <c r="AB10" s="24">
        <v>0.12609266398720373</v>
      </c>
    </row>
    <row r="11" spans="1:36" x14ac:dyDescent="0.25">
      <c r="A11" t="s">
        <v>3909</v>
      </c>
      <c r="B11" t="s">
        <v>7044</v>
      </c>
      <c r="C11" t="s">
        <v>3911</v>
      </c>
      <c r="D11" s="11" t="s">
        <v>3910</v>
      </c>
      <c r="E11" s="11" t="s">
        <v>3844</v>
      </c>
      <c r="I11" s="17">
        <v>1.087192439341</v>
      </c>
      <c r="J11" s="17">
        <v>0.35463330199968501</v>
      </c>
      <c r="K11" s="21">
        <v>5</v>
      </c>
      <c r="L11" s="27">
        <v>35316794.658900402</v>
      </c>
      <c r="M11" s="22">
        <v>0.34125095460593702</v>
      </c>
      <c r="N11" s="21">
        <v>5</v>
      </c>
      <c r="O11" s="27">
        <v>34090219.062192142</v>
      </c>
      <c r="P11" s="22">
        <v>0.33228383875666528</v>
      </c>
      <c r="Q11" s="21">
        <v>6</v>
      </c>
      <c r="R11" s="27">
        <v>33838438.272557691</v>
      </c>
      <c r="S11" s="22">
        <v>0.33176698451000652</v>
      </c>
      <c r="T11" s="23">
        <v>6</v>
      </c>
      <c r="U11" s="28">
        <v>40407149.535153247</v>
      </c>
      <c r="V11" s="24">
        <v>0.38978386101279772</v>
      </c>
      <c r="W11" s="23">
        <v>5</v>
      </c>
      <c r="X11" s="28">
        <v>38947122.921820186</v>
      </c>
      <c r="Y11" s="24">
        <v>0.36751871289497001</v>
      </c>
      <c r="Z11" s="23">
        <v>6</v>
      </c>
      <c r="AA11" s="28">
        <v>42287856.441956379</v>
      </c>
      <c r="AB11" s="24">
        <v>0.40501183471991242</v>
      </c>
    </row>
    <row r="12" spans="1:36" x14ac:dyDescent="0.25">
      <c r="A12" t="s">
        <v>3938</v>
      </c>
      <c r="B12" t="s">
        <v>7054</v>
      </c>
      <c r="C12" t="s">
        <v>3940</v>
      </c>
      <c r="D12" s="11" t="s">
        <v>3939</v>
      </c>
      <c r="E12" s="11" t="s">
        <v>3844</v>
      </c>
      <c r="I12" s="17">
        <v>1.0724547513323499</v>
      </c>
      <c r="J12" s="17">
        <v>0.53171079696397405</v>
      </c>
      <c r="K12" s="21">
        <v>15</v>
      </c>
      <c r="L12" s="27">
        <v>74531853.370502993</v>
      </c>
      <c r="M12" s="22">
        <v>0.19560149846148803</v>
      </c>
      <c r="N12" s="21">
        <v>10</v>
      </c>
      <c r="O12" s="27">
        <v>64047450.588584788</v>
      </c>
      <c r="P12" s="22">
        <v>0.16955825419399262</v>
      </c>
      <c r="Q12" s="21">
        <v>13</v>
      </c>
      <c r="R12" s="27">
        <v>62616876.94444102</v>
      </c>
      <c r="S12" s="22">
        <v>0.16674465419632598</v>
      </c>
      <c r="T12" s="23">
        <v>12</v>
      </c>
      <c r="U12" s="28">
        <v>71090227.347512797</v>
      </c>
      <c r="V12" s="24">
        <v>0.18625725725153863</v>
      </c>
      <c r="W12" s="23">
        <v>11</v>
      </c>
      <c r="X12" s="28">
        <v>78277097.421719134</v>
      </c>
      <c r="Y12" s="24">
        <v>0.20062102773474783</v>
      </c>
      <c r="Z12" s="23">
        <v>12</v>
      </c>
      <c r="AA12" s="28">
        <v>85964764.210962713</v>
      </c>
      <c r="AB12" s="24">
        <v>0.22361976182464399</v>
      </c>
    </row>
    <row r="13" spans="1:36" x14ac:dyDescent="0.25">
      <c r="A13" t="s">
        <v>3924</v>
      </c>
      <c r="B13" t="s">
        <v>7049</v>
      </c>
      <c r="C13" t="s">
        <v>3926</v>
      </c>
      <c r="D13" s="11" t="s">
        <v>3925</v>
      </c>
      <c r="E13" s="11" t="s">
        <v>3844</v>
      </c>
      <c r="I13" s="17">
        <v>1.06918334823987</v>
      </c>
      <c r="J13" s="17">
        <v>0.42011270613816998</v>
      </c>
      <c r="K13" s="21">
        <v>32</v>
      </c>
      <c r="L13" s="27">
        <v>1068985651.2326</v>
      </c>
      <c r="M13" s="22">
        <v>4.1316589171406077</v>
      </c>
      <c r="N13" s="21">
        <v>33</v>
      </c>
      <c r="O13" s="27">
        <v>1042162977.2037312</v>
      </c>
      <c r="P13" s="22">
        <v>4.0632641760802191</v>
      </c>
      <c r="Q13" s="21">
        <v>37</v>
      </c>
      <c r="R13" s="27">
        <v>1046791660.5571522</v>
      </c>
      <c r="S13" s="22">
        <v>4.1052829901421877</v>
      </c>
      <c r="T13" s="23">
        <v>35</v>
      </c>
      <c r="U13" s="28">
        <v>1181602728.4553928</v>
      </c>
      <c r="V13" s="24">
        <v>4.5592889276182653</v>
      </c>
      <c r="W13" s="23">
        <v>29</v>
      </c>
      <c r="X13" s="28">
        <v>1181342664.629143</v>
      </c>
      <c r="Y13" s="24">
        <v>4.4590254994078142</v>
      </c>
      <c r="Z13" s="23">
        <v>29</v>
      </c>
      <c r="AA13" s="28">
        <v>1296802291.1963573</v>
      </c>
      <c r="AB13" s="24">
        <v>4.9680482239371164</v>
      </c>
    </row>
    <row r="14" spans="1:36" x14ac:dyDescent="0.25">
      <c r="A14" t="s">
        <v>3956</v>
      </c>
      <c r="B14" t="s">
        <v>7060</v>
      </c>
      <c r="C14" t="s">
        <v>3958</v>
      </c>
      <c r="D14" s="11" t="s">
        <v>3957</v>
      </c>
      <c r="E14" s="11" t="s">
        <v>3844</v>
      </c>
      <c r="H14" t="s">
        <v>553</v>
      </c>
      <c r="I14" s="17">
        <v>1.0660385959936201</v>
      </c>
      <c r="J14" s="17">
        <v>0.68174360566479397</v>
      </c>
      <c r="K14" s="21">
        <v>6</v>
      </c>
      <c r="L14" s="27">
        <v>15931682.242807301</v>
      </c>
      <c r="M14" s="22">
        <v>0.12543338634882351</v>
      </c>
      <c r="N14" s="21">
        <v>4</v>
      </c>
      <c r="O14" s="27">
        <v>12230555.990935387</v>
      </c>
      <c r="P14" s="22">
        <v>9.7136968103512356E-2</v>
      </c>
      <c r="Q14" s="21">
        <v>5</v>
      </c>
      <c r="R14" s="27">
        <v>12883082.160578646</v>
      </c>
      <c r="S14" s="22">
        <v>0.10292041944640228</v>
      </c>
      <c r="T14" s="23">
        <v>6</v>
      </c>
      <c r="U14" s="28">
        <v>18075619.712096337</v>
      </c>
      <c r="V14" s="24">
        <v>0.14207502815707482</v>
      </c>
      <c r="W14" s="23">
        <v>4</v>
      </c>
      <c r="X14" s="28">
        <v>15207340.162658229</v>
      </c>
      <c r="Y14" s="24">
        <v>0.11692738922500773</v>
      </c>
      <c r="Z14" s="23">
        <v>4</v>
      </c>
      <c r="AA14" s="28">
        <v>14313502.790929135</v>
      </c>
      <c r="AB14" s="24">
        <v>0.11170095495623197</v>
      </c>
    </row>
    <row r="15" spans="1:36" x14ac:dyDescent="0.25">
      <c r="A15" t="s">
        <v>3959</v>
      </c>
      <c r="B15" t="s">
        <v>7061</v>
      </c>
      <c r="C15" t="s">
        <v>3961</v>
      </c>
      <c r="D15" s="11" t="s">
        <v>3960</v>
      </c>
      <c r="E15" s="11" t="s">
        <v>3844</v>
      </c>
      <c r="I15" s="17">
        <v>1.0494618426203</v>
      </c>
      <c r="J15" s="17">
        <v>0.71570969437545895</v>
      </c>
      <c r="K15" s="21">
        <v>4</v>
      </c>
      <c r="L15" s="27">
        <v>5893710.8524706103</v>
      </c>
      <c r="M15" s="22">
        <v>2.2109373388885727E-2</v>
      </c>
      <c r="N15" s="21">
        <v>4</v>
      </c>
      <c r="O15" s="27">
        <v>5695446.2999528171</v>
      </c>
      <c r="P15" s="22">
        <v>2.1552725747222983E-2</v>
      </c>
      <c r="Q15" s="21">
        <v>6</v>
      </c>
      <c r="R15" s="27">
        <v>4833704.6848349599</v>
      </c>
      <c r="S15" s="22">
        <v>1.8399159411424226E-2</v>
      </c>
      <c r="T15" s="23">
        <v>5</v>
      </c>
      <c r="U15" s="28">
        <v>6904645.5390829407</v>
      </c>
      <c r="V15" s="24">
        <v>2.5858423317078674E-2</v>
      </c>
      <c r="W15" s="23">
        <v>5</v>
      </c>
      <c r="X15" s="28">
        <v>5971342.9791393932</v>
      </c>
      <c r="Y15" s="24">
        <v>2.1876160775469333E-2</v>
      </c>
      <c r="Z15" s="23">
        <v>5</v>
      </c>
      <c r="AA15" s="28">
        <v>5807889.4114547931</v>
      </c>
      <c r="AB15" s="24">
        <v>2.1595605970713694E-2</v>
      </c>
    </row>
    <row r="16" spans="1:36" x14ac:dyDescent="0.25">
      <c r="A16" t="s">
        <v>3855</v>
      </c>
      <c r="B16" t="s">
        <v>7026</v>
      </c>
      <c r="C16" t="s">
        <v>3857</v>
      </c>
      <c r="D16" s="11" t="s">
        <v>3856</v>
      </c>
      <c r="E16" s="11" t="s">
        <v>3844</v>
      </c>
      <c r="I16" s="17">
        <v>1.0471657317104099</v>
      </c>
      <c r="J16" s="17">
        <v>0.92296568317677796</v>
      </c>
      <c r="K16" s="21">
        <v>2</v>
      </c>
      <c r="L16" s="27">
        <v>972151.13735836605</v>
      </c>
      <c r="M16" s="22">
        <v>3.8507421857742596E-3</v>
      </c>
      <c r="N16" s="21">
        <v>2</v>
      </c>
      <c r="O16" s="27">
        <v>1357391.0180058109</v>
      </c>
      <c r="P16" s="22">
        <v>5.4237849001835189E-3</v>
      </c>
      <c r="Q16" s="21">
        <v>2</v>
      </c>
      <c r="R16" s="27">
        <v>990304.34795066435</v>
      </c>
      <c r="S16" s="22">
        <v>3.9802431141879773E-3</v>
      </c>
      <c r="T16" s="23">
        <v>1</v>
      </c>
      <c r="U16" s="28">
        <v>1093223.0345873288</v>
      </c>
      <c r="V16" s="24">
        <v>4.3230720302509899E-3</v>
      </c>
      <c r="W16" s="23">
        <v>1</v>
      </c>
      <c r="X16" s="28">
        <v>1815334.2564833323</v>
      </c>
      <c r="Y16" s="24">
        <v>7.0222896392729594E-3</v>
      </c>
      <c r="Z16" s="23">
        <v>0</v>
      </c>
      <c r="AA16" s="28">
        <v>890831.82773950882</v>
      </c>
      <c r="AB16" s="24">
        <v>3.4975652631206479E-3</v>
      </c>
    </row>
    <row r="17" spans="1:28" x14ac:dyDescent="0.25">
      <c r="A17" t="s">
        <v>3949</v>
      </c>
      <c r="B17" t="s">
        <v>7058</v>
      </c>
      <c r="C17" t="s">
        <v>3951</v>
      </c>
      <c r="D17" s="11" t="s">
        <v>3950</v>
      </c>
      <c r="E17" s="11" t="s">
        <v>3844</v>
      </c>
      <c r="I17" s="17">
        <v>1.04325477920829</v>
      </c>
      <c r="J17" s="17">
        <v>0.661812703178558</v>
      </c>
      <c r="K17" s="21">
        <v>98</v>
      </c>
      <c r="L17" s="27">
        <v>1002512808.63402</v>
      </c>
      <c r="M17" s="22">
        <v>3.7170466650407237</v>
      </c>
      <c r="N17" s="21">
        <v>65</v>
      </c>
      <c r="O17" s="27">
        <v>810881445.61935771</v>
      </c>
      <c r="P17" s="22">
        <v>3.0328594102116955</v>
      </c>
      <c r="Q17" s="21">
        <v>92</v>
      </c>
      <c r="R17" s="27">
        <v>943499373.73638749</v>
      </c>
      <c r="S17" s="22">
        <v>3.5496044422261299</v>
      </c>
      <c r="T17" s="23">
        <v>74</v>
      </c>
      <c r="U17" s="28">
        <v>990400562.02714515</v>
      </c>
      <c r="V17" s="24">
        <v>3.6659961550349016</v>
      </c>
      <c r="W17" s="23">
        <v>66</v>
      </c>
      <c r="X17" s="28">
        <v>1041484536.4024734</v>
      </c>
      <c r="Y17" s="24">
        <v>3.771137697794452</v>
      </c>
      <c r="Z17" s="23">
        <v>81</v>
      </c>
      <c r="AA17" s="28">
        <v>1099771146.9011226</v>
      </c>
      <c r="AB17" s="24">
        <v>4.0417537738858975</v>
      </c>
    </row>
    <row r="18" spans="1:28" x14ac:dyDescent="0.25">
      <c r="A18" t="s">
        <v>3971</v>
      </c>
      <c r="B18" t="s">
        <v>7065</v>
      </c>
      <c r="C18" t="s">
        <v>3973</v>
      </c>
      <c r="D18" s="11" t="s">
        <v>3972</v>
      </c>
      <c r="E18" s="11" t="s">
        <v>3844</v>
      </c>
      <c r="I18" s="17">
        <v>1.01891761666421</v>
      </c>
      <c r="J18" s="17">
        <v>0.85852846762554202</v>
      </c>
      <c r="K18" s="21">
        <v>19</v>
      </c>
      <c r="L18" s="27">
        <v>152358165.105277</v>
      </c>
      <c r="M18" s="22">
        <v>0.61108994748469414</v>
      </c>
      <c r="N18" s="21">
        <v>10</v>
      </c>
      <c r="O18" s="27">
        <v>122403381.18352388</v>
      </c>
      <c r="P18" s="22">
        <v>0.49524449063623338</v>
      </c>
      <c r="Q18" s="21">
        <v>19</v>
      </c>
      <c r="R18" s="27">
        <v>150273092.96088806</v>
      </c>
      <c r="S18" s="22">
        <v>0.61157664316605398</v>
      </c>
      <c r="T18" s="23">
        <v>13</v>
      </c>
      <c r="U18" s="28">
        <v>151682054.11040777</v>
      </c>
      <c r="V18" s="24">
        <v>0.60736064963125491</v>
      </c>
      <c r="W18" s="23">
        <v>12</v>
      </c>
      <c r="X18" s="28">
        <v>146351342.95641214</v>
      </c>
      <c r="Y18" s="24">
        <v>0.57325466664253777</v>
      </c>
      <c r="Z18" s="23">
        <v>17</v>
      </c>
      <c r="AA18" s="28">
        <v>172218196.57210478</v>
      </c>
      <c r="AB18" s="24">
        <v>0.68466462682270379</v>
      </c>
    </row>
    <row r="19" spans="1:28" x14ac:dyDescent="0.25">
      <c r="A19" t="s">
        <v>3982</v>
      </c>
      <c r="B19" t="s">
        <v>7069</v>
      </c>
      <c r="C19" t="s">
        <v>3984</v>
      </c>
      <c r="D19" s="11" t="s">
        <v>3983</v>
      </c>
      <c r="E19" s="11" t="s">
        <v>3844</v>
      </c>
      <c r="I19" s="17">
        <v>1.0040543138562901</v>
      </c>
      <c r="J19" s="17">
        <v>0.95075617261224499</v>
      </c>
      <c r="K19" s="21">
        <v>9</v>
      </c>
      <c r="L19" s="27">
        <v>17819474.1478277</v>
      </c>
      <c r="M19" s="22">
        <v>6.5310373254800727E-2</v>
      </c>
      <c r="N19" s="21">
        <v>8</v>
      </c>
      <c r="O19" s="27">
        <v>19706374.507494692</v>
      </c>
      <c r="P19" s="22">
        <v>7.2858604106973049E-2</v>
      </c>
      <c r="Q19" s="21">
        <v>9</v>
      </c>
      <c r="R19" s="27">
        <v>17874894.437377062</v>
      </c>
      <c r="S19" s="22">
        <v>6.6475410412961386E-2</v>
      </c>
      <c r="T19" s="23">
        <v>10</v>
      </c>
      <c r="U19" s="28">
        <v>20501034.598051716</v>
      </c>
      <c r="V19" s="24">
        <v>7.5012925661762542E-2</v>
      </c>
      <c r="W19" s="23">
        <v>8</v>
      </c>
      <c r="X19" s="28">
        <v>20930105.708158959</v>
      </c>
      <c r="Y19" s="24">
        <v>7.4915241636054231E-2</v>
      </c>
      <c r="Z19" s="23">
        <v>9</v>
      </c>
      <c r="AA19" s="28">
        <v>18791093.474566724</v>
      </c>
      <c r="AB19" s="24">
        <v>6.8265108133684152E-2</v>
      </c>
    </row>
    <row r="20" spans="1:28" x14ac:dyDescent="0.25">
      <c r="A20" t="s">
        <v>3980</v>
      </c>
      <c r="B20" t="s">
        <v>7068</v>
      </c>
      <c r="C20" t="s">
        <v>3981</v>
      </c>
      <c r="D20" s="11" t="s">
        <v>3916</v>
      </c>
      <c r="E20" s="11" t="s">
        <v>3844</v>
      </c>
      <c r="I20" s="17">
        <v>-1.00122298781761</v>
      </c>
      <c r="J20" s="17">
        <v>0.93753500679355095</v>
      </c>
      <c r="K20" s="21">
        <v>44</v>
      </c>
      <c r="L20" s="27">
        <v>512663223.98963499</v>
      </c>
      <c r="M20" s="22">
        <v>1.1120424455407281</v>
      </c>
      <c r="N20" s="21">
        <v>38</v>
      </c>
      <c r="O20" s="27">
        <v>372850978.97584563</v>
      </c>
      <c r="P20" s="22">
        <v>0.81585188245294959</v>
      </c>
      <c r="Q20" s="21">
        <v>46</v>
      </c>
      <c r="R20" s="27">
        <v>505284223.14218867</v>
      </c>
      <c r="S20" s="22">
        <v>1.112129082017929</v>
      </c>
      <c r="T20" s="23">
        <v>44</v>
      </c>
      <c r="U20" s="28">
        <v>514915115.29329747</v>
      </c>
      <c r="V20" s="24">
        <v>1.1150590945171093</v>
      </c>
      <c r="W20" s="23">
        <v>38</v>
      </c>
      <c r="X20" s="28">
        <v>479676884.27852517</v>
      </c>
      <c r="Y20" s="24">
        <v>1.0161304619333302</v>
      </c>
      <c r="Z20" s="23">
        <v>41</v>
      </c>
      <c r="AA20" s="28">
        <v>515191385.09111768</v>
      </c>
      <c r="AB20" s="24">
        <v>1.107687461410827</v>
      </c>
    </row>
    <row r="21" spans="1:28" x14ac:dyDescent="0.25">
      <c r="A21" t="s">
        <v>3985</v>
      </c>
      <c r="B21" t="s">
        <v>7070</v>
      </c>
      <c r="C21" t="s">
        <v>3987</v>
      </c>
      <c r="D21" s="11" t="s">
        <v>3986</v>
      </c>
      <c r="E21" s="11" t="s">
        <v>3844</v>
      </c>
      <c r="I21" s="17">
        <v>-1.0027129588089401</v>
      </c>
      <c r="J21" s="17">
        <v>0.97972786612417895</v>
      </c>
      <c r="K21" s="21">
        <v>79</v>
      </c>
      <c r="L21" s="27">
        <v>1112076358.9260499</v>
      </c>
      <c r="M21" s="22">
        <v>1.2989083118496481</v>
      </c>
      <c r="N21" s="21">
        <v>60</v>
      </c>
      <c r="O21" s="27">
        <v>1017558339.0030814</v>
      </c>
      <c r="P21" s="22">
        <v>1.1989195379451489</v>
      </c>
      <c r="Q21" s="21">
        <v>80</v>
      </c>
      <c r="R21" s="27">
        <v>1101091745.6253822</v>
      </c>
      <c r="S21" s="22">
        <v>1.3049613652861134</v>
      </c>
      <c r="T21" s="23">
        <v>73</v>
      </c>
      <c r="U21" s="28">
        <v>1181721735.5887287</v>
      </c>
      <c r="V21" s="24">
        <v>1.3779458617014899</v>
      </c>
      <c r="W21" s="23">
        <v>60</v>
      </c>
      <c r="X21" s="28">
        <v>1100536166.1164114</v>
      </c>
      <c r="Y21" s="24">
        <v>1.2553351443465695</v>
      </c>
      <c r="Z21" s="23">
        <v>74</v>
      </c>
      <c r="AA21" s="28">
        <v>1207885877.0628464</v>
      </c>
      <c r="AB21" s="24">
        <v>1.3983929911058801</v>
      </c>
    </row>
    <row r="22" spans="1:28" x14ac:dyDescent="0.25">
      <c r="A22" t="s">
        <v>3988</v>
      </c>
      <c r="B22" t="s">
        <v>7071</v>
      </c>
      <c r="C22" t="s">
        <v>3989</v>
      </c>
      <c r="D22" s="11" t="s">
        <v>3983</v>
      </c>
      <c r="E22" s="11" t="s">
        <v>3844</v>
      </c>
      <c r="I22" s="17">
        <v>-1.0103147675714801</v>
      </c>
      <c r="J22" s="17">
        <v>0.98972448297641602</v>
      </c>
      <c r="K22" s="21">
        <v>62</v>
      </c>
      <c r="L22" s="27">
        <v>400415377.95951498</v>
      </c>
      <c r="M22" s="22">
        <v>1.5762760026889622</v>
      </c>
      <c r="N22" s="21">
        <v>38</v>
      </c>
      <c r="O22" s="27">
        <v>320005869.86641133</v>
      </c>
      <c r="P22" s="22">
        <v>1.2707680663572598</v>
      </c>
      <c r="Q22" s="21">
        <v>55</v>
      </c>
      <c r="R22" s="27">
        <v>376685083.07460785</v>
      </c>
      <c r="S22" s="22">
        <v>1.5046316660104351</v>
      </c>
      <c r="T22" s="23">
        <v>41</v>
      </c>
      <c r="U22" s="28">
        <v>376150681.69987434</v>
      </c>
      <c r="V22" s="24">
        <v>1.4782790174006872</v>
      </c>
      <c r="W22" s="23">
        <v>35</v>
      </c>
      <c r="X22" s="28">
        <v>389296612.81191283</v>
      </c>
      <c r="Y22" s="24">
        <v>1.4966271577855894</v>
      </c>
      <c r="Z22" s="23">
        <v>42</v>
      </c>
      <c r="AA22" s="28">
        <v>416712859.44925803</v>
      </c>
      <c r="AB22" s="24">
        <v>1.625989983825709</v>
      </c>
    </row>
    <row r="23" spans="1:28" x14ac:dyDescent="0.25">
      <c r="A23" t="s">
        <v>3977</v>
      </c>
      <c r="B23" t="s">
        <v>7067</v>
      </c>
      <c r="C23" t="s">
        <v>3979</v>
      </c>
      <c r="D23" s="11" t="s">
        <v>3978</v>
      </c>
      <c r="E23" s="11" t="s">
        <v>3844</v>
      </c>
      <c r="I23" s="17">
        <v>-1.0155845210232299</v>
      </c>
      <c r="J23" s="17">
        <v>0.93487041708530005</v>
      </c>
      <c r="K23" s="21">
        <v>21</v>
      </c>
      <c r="L23" s="27">
        <v>240592801.81673899</v>
      </c>
      <c r="M23" s="22">
        <v>1.0729589888966027</v>
      </c>
      <c r="N23" s="21">
        <v>14</v>
      </c>
      <c r="O23" s="27">
        <v>199829473.54099879</v>
      </c>
      <c r="P23" s="22">
        <v>0.89897345778213067</v>
      </c>
      <c r="Q23" s="21">
        <v>18</v>
      </c>
      <c r="R23" s="27">
        <v>248614433.21443745</v>
      </c>
      <c r="S23" s="22">
        <v>1.1250118325681575</v>
      </c>
      <c r="T23" s="23">
        <v>13</v>
      </c>
      <c r="U23" s="28">
        <v>243112747.95989755</v>
      </c>
      <c r="V23" s="24">
        <v>1.0823837630188902</v>
      </c>
      <c r="W23" s="23">
        <v>17</v>
      </c>
      <c r="X23" s="28">
        <v>238556577.83605108</v>
      </c>
      <c r="Y23" s="24">
        <v>1.0389708664736397</v>
      </c>
      <c r="Z23" s="23">
        <v>14</v>
      </c>
      <c r="AA23" s="28">
        <v>254584006.29943424</v>
      </c>
      <c r="AB23" s="24">
        <v>1.1253589181442603</v>
      </c>
    </row>
    <row r="24" spans="1:28" x14ac:dyDescent="0.25">
      <c r="A24" t="s">
        <v>3968</v>
      </c>
      <c r="B24" t="s">
        <v>7064</v>
      </c>
      <c r="C24" t="s">
        <v>3970</v>
      </c>
      <c r="D24" s="11" t="s">
        <v>3969</v>
      </c>
      <c r="E24" s="11" t="s">
        <v>3844</v>
      </c>
      <c r="I24" s="17">
        <v>-1.02581443162352</v>
      </c>
      <c r="J24" s="17">
        <v>0.85302041333078404</v>
      </c>
      <c r="K24" s="21">
        <v>38</v>
      </c>
      <c r="L24" s="27">
        <v>354336303.25389701</v>
      </c>
      <c r="M24" s="22">
        <v>1.3948810221697043</v>
      </c>
      <c r="N24" s="21">
        <v>25</v>
      </c>
      <c r="O24" s="27">
        <v>311075551.17168128</v>
      </c>
      <c r="P24" s="22">
        <v>1.235305079930187</v>
      </c>
      <c r="Q24" s="21">
        <v>43</v>
      </c>
      <c r="R24" s="27">
        <v>310380513.34361064</v>
      </c>
      <c r="S24" s="22">
        <v>1.2397845571094019</v>
      </c>
      <c r="T24" s="23">
        <v>34</v>
      </c>
      <c r="U24" s="28">
        <v>355418517.00021625</v>
      </c>
      <c r="V24" s="24">
        <v>1.3968012332257449</v>
      </c>
      <c r="W24" s="23">
        <v>30</v>
      </c>
      <c r="X24" s="28">
        <v>343623480.20207852</v>
      </c>
      <c r="Y24" s="24">
        <v>1.3210395765033287</v>
      </c>
      <c r="Z24" s="23">
        <v>31</v>
      </c>
      <c r="AA24" s="28">
        <v>335161468.57645613</v>
      </c>
      <c r="AB24" s="24">
        <v>1.3077810739747331</v>
      </c>
    </row>
    <row r="25" spans="1:28" x14ac:dyDescent="0.25">
      <c r="A25" t="s">
        <v>3974</v>
      </c>
      <c r="B25" t="s">
        <v>7066</v>
      </c>
      <c r="C25" t="s">
        <v>3976</v>
      </c>
      <c r="D25" s="11" t="s">
        <v>3975</v>
      </c>
      <c r="E25" s="11" t="s">
        <v>3844</v>
      </c>
      <c r="I25" s="17">
        <v>-1.0300443553959999</v>
      </c>
      <c r="J25" s="17">
        <v>0.85909761072921897</v>
      </c>
      <c r="K25" s="21">
        <v>7</v>
      </c>
      <c r="L25" s="27">
        <v>39595849.534285799</v>
      </c>
      <c r="M25" s="22">
        <v>8.1456266697070734E-2</v>
      </c>
      <c r="N25" s="21">
        <v>6</v>
      </c>
      <c r="O25" s="27">
        <v>31517735.762171734</v>
      </c>
      <c r="P25" s="22">
        <v>6.540586279025859E-2</v>
      </c>
      <c r="Q25" s="21">
        <v>9</v>
      </c>
      <c r="R25" s="27">
        <v>39060475.008510426</v>
      </c>
      <c r="S25" s="22">
        <v>8.1534726066182603E-2</v>
      </c>
      <c r="T25" s="23">
        <v>9</v>
      </c>
      <c r="U25" s="28">
        <v>41984795.663623564</v>
      </c>
      <c r="V25" s="24">
        <v>8.6226334378546529E-2</v>
      </c>
      <c r="W25" s="23">
        <v>9</v>
      </c>
      <c r="X25" s="28">
        <v>39107705.379175261</v>
      </c>
      <c r="Y25" s="24">
        <v>7.8568534416178643E-2</v>
      </c>
      <c r="Z25" s="23">
        <v>8</v>
      </c>
      <c r="AA25" s="28">
        <v>35073670.593865462</v>
      </c>
      <c r="AB25" s="24">
        <v>7.1518023376312675E-2</v>
      </c>
    </row>
    <row r="26" spans="1:28" x14ac:dyDescent="0.25">
      <c r="A26" t="s">
        <v>3965</v>
      </c>
      <c r="B26" t="s">
        <v>7063</v>
      </c>
      <c r="C26" t="s">
        <v>3967</v>
      </c>
      <c r="D26" s="11" t="s">
        <v>3966</v>
      </c>
      <c r="E26" s="11" t="s">
        <v>3844</v>
      </c>
      <c r="I26" s="17">
        <v>-1.0621972593372699</v>
      </c>
      <c r="J26" s="17">
        <v>0.74212921230904405</v>
      </c>
      <c r="K26" s="21">
        <v>35</v>
      </c>
      <c r="L26" s="27">
        <v>127112943.241574</v>
      </c>
      <c r="M26" s="22">
        <v>0.29693654971606537</v>
      </c>
      <c r="N26" s="21">
        <v>20</v>
      </c>
      <c r="O26" s="27">
        <v>94317786.265179038</v>
      </c>
      <c r="P26" s="22">
        <v>0.22225641989203987</v>
      </c>
      <c r="Q26" s="21">
        <v>30</v>
      </c>
      <c r="R26" s="27">
        <v>117125614.98433621</v>
      </c>
      <c r="S26" s="22">
        <v>0.27762337343310967</v>
      </c>
      <c r="T26" s="23">
        <v>25</v>
      </c>
      <c r="U26" s="28">
        <v>120789025.16608942</v>
      </c>
      <c r="V26" s="24">
        <v>0.28169192857174613</v>
      </c>
      <c r="W26" s="23">
        <v>25</v>
      </c>
      <c r="X26" s="28">
        <v>120134546.6500034</v>
      </c>
      <c r="Y26" s="24">
        <v>0.27406481150377676</v>
      </c>
      <c r="Z26" s="23">
        <v>25</v>
      </c>
      <c r="AA26" s="28">
        <v>106494258.86038333</v>
      </c>
      <c r="AB26" s="24">
        <v>0.24658095273950617</v>
      </c>
    </row>
    <row r="27" spans="1:28" x14ac:dyDescent="0.25">
      <c r="A27" t="s">
        <v>3915</v>
      </c>
      <c r="B27" t="s">
        <v>7046</v>
      </c>
      <c r="C27" t="s">
        <v>3917</v>
      </c>
      <c r="D27" s="11" t="s">
        <v>3916</v>
      </c>
      <c r="E27" s="11" t="s">
        <v>3844</v>
      </c>
      <c r="I27" s="17">
        <v>-1.06315080089851</v>
      </c>
      <c r="J27" s="17">
        <v>0.367679171545851</v>
      </c>
      <c r="K27" s="21">
        <v>44</v>
      </c>
      <c r="L27" s="27">
        <v>368340096.954171</v>
      </c>
      <c r="M27" s="22">
        <v>0.9587810547906358</v>
      </c>
      <c r="N27" s="21">
        <v>33</v>
      </c>
      <c r="O27" s="27">
        <v>363240339.45085859</v>
      </c>
      <c r="P27" s="22">
        <v>0.9537868953580938</v>
      </c>
      <c r="Q27" s="21">
        <v>47</v>
      </c>
      <c r="R27" s="27">
        <v>351541734.87551528</v>
      </c>
      <c r="S27" s="22">
        <v>0.92849078358359027</v>
      </c>
      <c r="T27" s="23">
        <v>30</v>
      </c>
      <c r="U27" s="28">
        <v>355815833.7020458</v>
      </c>
      <c r="V27" s="24">
        <v>0.92463165960857852</v>
      </c>
      <c r="W27" s="23">
        <v>30</v>
      </c>
      <c r="X27" s="28">
        <v>384806845.86762178</v>
      </c>
      <c r="Y27" s="24">
        <v>0.97819337356985869</v>
      </c>
      <c r="Z27" s="23">
        <v>38</v>
      </c>
      <c r="AA27" s="28">
        <v>366200642.45517814</v>
      </c>
      <c r="AB27" s="24">
        <v>0.94481982054831604</v>
      </c>
    </row>
    <row r="28" spans="1:28" x14ac:dyDescent="0.25">
      <c r="A28" t="s">
        <v>3952</v>
      </c>
      <c r="B28" t="s">
        <v>7059</v>
      </c>
      <c r="C28" t="s">
        <v>3955</v>
      </c>
      <c r="D28" s="11" t="s">
        <v>3953</v>
      </c>
      <c r="E28" s="11" t="s">
        <v>3844</v>
      </c>
      <c r="G28" t="s">
        <v>3954</v>
      </c>
      <c r="H28" t="s">
        <v>57</v>
      </c>
      <c r="I28" s="17">
        <v>-1.0647454214102801</v>
      </c>
      <c r="J28" s="17">
        <v>0.67102316615644897</v>
      </c>
      <c r="K28" s="21">
        <v>17</v>
      </c>
      <c r="L28" s="27">
        <v>50427581.907191902</v>
      </c>
      <c r="M28" s="22">
        <v>9.4864773793046572E-2</v>
      </c>
      <c r="N28" s="21">
        <v>12</v>
      </c>
      <c r="O28" s="27">
        <v>40064339.476125114</v>
      </c>
      <c r="P28" s="22">
        <v>7.6029415464540215E-2</v>
      </c>
      <c r="Q28" s="21">
        <v>14</v>
      </c>
      <c r="R28" s="27">
        <v>46053867.381614268</v>
      </c>
      <c r="S28" s="22">
        <v>8.7908971236388078E-2</v>
      </c>
      <c r="T28" s="23">
        <v>11</v>
      </c>
      <c r="U28" s="28">
        <v>48753827.973077357</v>
      </c>
      <c r="V28" s="24">
        <v>9.1562701189027235E-2</v>
      </c>
      <c r="W28" s="23">
        <v>10</v>
      </c>
      <c r="X28" s="28">
        <v>46834926.217933767</v>
      </c>
      <c r="Y28" s="24">
        <v>8.6043516930201708E-2</v>
      </c>
      <c r="Z28" s="23">
        <v>11</v>
      </c>
      <c r="AA28" s="28">
        <v>43952716.546485811</v>
      </c>
      <c r="AB28" s="24">
        <v>8.1956235544978773E-2</v>
      </c>
    </row>
    <row r="29" spans="1:28" x14ac:dyDescent="0.25">
      <c r="A29" t="s">
        <v>3891</v>
      </c>
      <c r="B29" t="s">
        <v>7038</v>
      </c>
      <c r="C29" t="s">
        <v>3893</v>
      </c>
      <c r="D29" s="11" t="s">
        <v>3892</v>
      </c>
      <c r="E29" s="11" t="s">
        <v>3844</v>
      </c>
      <c r="I29" s="17">
        <v>-1.07598395830932</v>
      </c>
      <c r="J29" s="17">
        <v>0.25682715349070301</v>
      </c>
      <c r="K29" s="21">
        <v>34</v>
      </c>
      <c r="L29" s="27">
        <v>526420298.49860197</v>
      </c>
      <c r="M29" s="22">
        <v>1.3321975067708736</v>
      </c>
      <c r="N29" s="21">
        <v>26</v>
      </c>
      <c r="O29" s="27">
        <v>525438259.57130104</v>
      </c>
      <c r="P29" s="22">
        <v>1.3413574151129919</v>
      </c>
      <c r="Q29" s="21">
        <v>37</v>
      </c>
      <c r="R29" s="27">
        <v>532700941.5355888</v>
      </c>
      <c r="S29" s="22">
        <v>1.367885397882767</v>
      </c>
      <c r="T29" s="23">
        <v>32</v>
      </c>
      <c r="U29" s="28">
        <v>529519927.01825815</v>
      </c>
      <c r="V29" s="24">
        <v>1.3378004612449479</v>
      </c>
      <c r="W29" s="23">
        <v>36</v>
      </c>
      <c r="X29" s="28">
        <v>537384923.49431539</v>
      </c>
      <c r="Y29" s="24">
        <v>1.3281066411935383</v>
      </c>
      <c r="Z29" s="23">
        <v>33</v>
      </c>
      <c r="AA29" s="28">
        <v>529045400.91690564</v>
      </c>
      <c r="AB29" s="24">
        <v>1.3270533431841498</v>
      </c>
    </row>
    <row r="30" spans="1:28" x14ac:dyDescent="0.25">
      <c r="A30" t="s">
        <v>3903</v>
      </c>
      <c r="B30" t="s">
        <v>7042</v>
      </c>
      <c r="C30" t="s">
        <v>3905</v>
      </c>
      <c r="D30" s="11" t="s">
        <v>3904</v>
      </c>
      <c r="E30" s="11" t="s">
        <v>3844</v>
      </c>
      <c r="I30" s="17">
        <v>-1.0803314786715601</v>
      </c>
      <c r="J30" s="17">
        <v>0.338780024396586</v>
      </c>
      <c r="K30" s="21">
        <v>44</v>
      </c>
      <c r="L30" s="27">
        <v>598519761.49960399</v>
      </c>
      <c r="M30" s="22">
        <v>2.3707685009645476</v>
      </c>
      <c r="N30" s="21">
        <v>25</v>
      </c>
      <c r="O30" s="27">
        <v>590629707.97230005</v>
      </c>
      <c r="P30" s="22">
        <v>2.3600041912803116</v>
      </c>
      <c r="Q30" s="21">
        <v>44</v>
      </c>
      <c r="R30" s="27">
        <v>592873062.18454874</v>
      </c>
      <c r="S30" s="22">
        <v>2.3828825231666575</v>
      </c>
      <c r="T30" s="23">
        <v>39</v>
      </c>
      <c r="U30" s="28">
        <v>579089793.90219891</v>
      </c>
      <c r="V30" s="24">
        <v>2.2899690290256376</v>
      </c>
      <c r="W30" s="23">
        <v>35</v>
      </c>
      <c r="X30" s="28">
        <v>576798613.61559272</v>
      </c>
      <c r="Y30" s="24">
        <v>2.2312402874974193</v>
      </c>
      <c r="Z30" s="23">
        <v>41</v>
      </c>
      <c r="AA30" s="28">
        <v>631289846.3232578</v>
      </c>
      <c r="AB30" s="24">
        <v>2.4785569719301055</v>
      </c>
    </row>
    <row r="31" spans="1:28" x14ac:dyDescent="0.25">
      <c r="A31" t="s">
        <v>3912</v>
      </c>
      <c r="B31" t="s">
        <v>7045</v>
      </c>
      <c r="C31" t="s">
        <v>3914</v>
      </c>
      <c r="D31" s="11" t="s">
        <v>3913</v>
      </c>
      <c r="E31" s="11" t="s">
        <v>3844</v>
      </c>
      <c r="I31" s="17">
        <v>-1.09206096921119</v>
      </c>
      <c r="J31" s="17">
        <v>0.36722044853433</v>
      </c>
      <c r="K31" s="21">
        <v>105</v>
      </c>
      <c r="L31" s="27">
        <v>1419699529.0074899</v>
      </c>
      <c r="M31" s="22">
        <v>5.0021233105338441</v>
      </c>
      <c r="N31" s="21">
        <v>66</v>
      </c>
      <c r="O31" s="27">
        <v>1320906388.3063688</v>
      </c>
      <c r="P31" s="22">
        <v>4.6947971072405972</v>
      </c>
      <c r="Q31" s="21">
        <v>108</v>
      </c>
      <c r="R31" s="27">
        <v>1301142986.7996609</v>
      </c>
      <c r="S31" s="22">
        <v>4.6517165165953767</v>
      </c>
      <c r="T31" s="23">
        <v>91</v>
      </c>
      <c r="U31" s="28">
        <v>1297883601.2764521</v>
      </c>
      <c r="V31" s="24">
        <v>4.5652729061219688</v>
      </c>
      <c r="W31" s="23">
        <v>88</v>
      </c>
      <c r="X31" s="28">
        <v>1320824866.5775969</v>
      </c>
      <c r="Y31" s="24">
        <v>4.5447989183281399</v>
      </c>
      <c r="Z31" s="23">
        <v>86</v>
      </c>
      <c r="AA31" s="28">
        <v>1401718743.7356603</v>
      </c>
      <c r="AB31" s="24">
        <v>4.8952884103679963</v>
      </c>
    </row>
    <row r="32" spans="1:28" x14ac:dyDescent="0.25">
      <c r="A32" t="s">
        <v>3867</v>
      </c>
      <c r="B32" t="s">
        <v>7030</v>
      </c>
      <c r="C32" t="s">
        <v>3869</v>
      </c>
      <c r="D32" s="11" t="s">
        <v>3868</v>
      </c>
      <c r="E32" s="11" t="s">
        <v>3844</v>
      </c>
      <c r="I32" s="17">
        <v>-1.10023898675857</v>
      </c>
      <c r="J32" s="17">
        <v>0.11809318270265801</v>
      </c>
      <c r="K32" s="21">
        <v>5</v>
      </c>
      <c r="L32" s="27">
        <v>16911660.9780805</v>
      </c>
      <c r="M32" s="22">
        <v>6.0590256609751494E-2</v>
      </c>
      <c r="N32" s="21">
        <v>3</v>
      </c>
      <c r="O32" s="27">
        <v>19073953.510398578</v>
      </c>
      <c r="P32" s="22">
        <v>6.8935682562744266E-2</v>
      </c>
      <c r="Q32" s="21">
        <v>4</v>
      </c>
      <c r="R32" s="27">
        <v>17297033.012168534</v>
      </c>
      <c r="S32" s="22">
        <v>6.2880849734837777E-2</v>
      </c>
      <c r="T32" s="23">
        <v>4</v>
      </c>
      <c r="U32" s="28">
        <v>17215292.603407819</v>
      </c>
      <c r="V32" s="24">
        <v>6.1574937583939324E-2</v>
      </c>
      <c r="W32" s="23">
        <v>4</v>
      </c>
      <c r="X32" s="28">
        <v>19090317.572943762</v>
      </c>
      <c r="Y32" s="24">
        <v>6.6794570549785506E-2</v>
      </c>
      <c r="Z32" s="23">
        <v>4</v>
      </c>
      <c r="AA32" s="28">
        <v>16196463.755655292</v>
      </c>
      <c r="AB32" s="24">
        <v>5.7516993805437226E-2</v>
      </c>
    </row>
    <row r="33" spans="1:28" x14ac:dyDescent="0.25">
      <c r="A33" t="s">
        <v>3946</v>
      </c>
      <c r="B33" t="s">
        <v>7057</v>
      </c>
      <c r="C33" t="s">
        <v>3948</v>
      </c>
      <c r="D33" s="11" t="s">
        <v>3947</v>
      </c>
      <c r="E33" s="11" t="s">
        <v>3844</v>
      </c>
      <c r="I33" s="17">
        <v>-1.1034478422152001</v>
      </c>
      <c r="J33" s="17">
        <v>0.594607918582433</v>
      </c>
      <c r="K33" s="21">
        <v>43</v>
      </c>
      <c r="L33" s="27">
        <v>196138898.197997</v>
      </c>
      <c r="M33" s="22">
        <v>0.24100880186545823</v>
      </c>
      <c r="N33" s="21">
        <v>27</v>
      </c>
      <c r="O33" s="27">
        <v>150360171.68437728</v>
      </c>
      <c r="P33" s="22">
        <v>0.18637549833930758</v>
      </c>
      <c r="Q33" s="21">
        <v>42</v>
      </c>
      <c r="R33" s="27">
        <v>198247462.47740757</v>
      </c>
      <c r="S33" s="22">
        <v>0.24717643786617413</v>
      </c>
      <c r="T33" s="23">
        <v>40</v>
      </c>
      <c r="U33" s="28">
        <v>167884136.334528</v>
      </c>
      <c r="V33" s="24">
        <v>0.20594529610252429</v>
      </c>
      <c r="W33" s="23">
        <v>28</v>
      </c>
      <c r="X33" s="28">
        <v>149839803.24373037</v>
      </c>
      <c r="Y33" s="24">
        <v>0.1798075184931619</v>
      </c>
      <c r="Z33" s="23">
        <v>36</v>
      </c>
      <c r="AA33" s="28">
        <v>217334001.24756646</v>
      </c>
      <c r="AB33" s="24">
        <v>0.26470143500363214</v>
      </c>
    </row>
    <row r="34" spans="1:28" x14ac:dyDescent="0.25">
      <c r="A34" t="s">
        <v>3927</v>
      </c>
      <c r="B34" t="s">
        <v>7050</v>
      </c>
      <c r="C34" t="s">
        <v>3929</v>
      </c>
      <c r="D34" s="11" t="s">
        <v>3928</v>
      </c>
      <c r="E34" s="11" t="s">
        <v>3844</v>
      </c>
      <c r="I34" s="17">
        <v>-1.1053482367563501</v>
      </c>
      <c r="J34" s="17">
        <v>0.45793256008936001</v>
      </c>
      <c r="K34" s="21">
        <v>40</v>
      </c>
      <c r="L34" s="27">
        <v>838483328.01801896</v>
      </c>
      <c r="M34" s="22">
        <v>3.2605218422796476</v>
      </c>
      <c r="N34" s="21">
        <v>37</v>
      </c>
      <c r="O34" s="27">
        <v>920642847.09950745</v>
      </c>
      <c r="P34" s="22">
        <v>3.6113592884007955</v>
      </c>
      <c r="Q34" s="21">
        <v>39</v>
      </c>
      <c r="R34" s="27">
        <v>720916491.47630215</v>
      </c>
      <c r="S34" s="22">
        <v>2.844512864776982</v>
      </c>
      <c r="T34" s="23">
        <v>36</v>
      </c>
      <c r="U34" s="28">
        <v>884457302.69856858</v>
      </c>
      <c r="V34" s="24">
        <v>3.4335438485765164</v>
      </c>
      <c r="W34" s="23">
        <v>34</v>
      </c>
      <c r="X34" s="28">
        <v>762819597.84897745</v>
      </c>
      <c r="Y34" s="24">
        <v>2.8968499826327556</v>
      </c>
      <c r="Z34" s="23">
        <v>34</v>
      </c>
      <c r="AA34" s="28">
        <v>777761446.61724174</v>
      </c>
      <c r="AB34" s="24">
        <v>2.9977716028876991</v>
      </c>
    </row>
    <row r="35" spans="1:28" x14ac:dyDescent="0.25">
      <c r="A35" t="s">
        <v>3933</v>
      </c>
      <c r="B35" t="s">
        <v>7052</v>
      </c>
      <c r="C35" t="s">
        <v>3935</v>
      </c>
      <c r="D35" s="11" t="s">
        <v>3934</v>
      </c>
      <c r="E35" s="11" t="s">
        <v>3844</v>
      </c>
      <c r="I35" s="17">
        <v>-1.10625668494963</v>
      </c>
      <c r="J35" s="17">
        <v>0.48133313047367199</v>
      </c>
      <c r="K35" s="21">
        <v>32</v>
      </c>
      <c r="L35" s="27">
        <v>191857102.07573399</v>
      </c>
      <c r="M35" s="22">
        <v>0.16578989203520136</v>
      </c>
      <c r="N35" s="21">
        <v>21</v>
      </c>
      <c r="O35" s="27">
        <v>152482657.5723097</v>
      </c>
      <c r="P35" s="22">
        <v>0.13291911877510076</v>
      </c>
      <c r="Q35" s="21">
        <v>33</v>
      </c>
      <c r="R35" s="27">
        <v>180272176.7234191</v>
      </c>
      <c r="S35" s="22">
        <v>0.1580662429664971</v>
      </c>
      <c r="T35" s="23">
        <v>26</v>
      </c>
      <c r="U35" s="28">
        <v>178734286.39710441</v>
      </c>
      <c r="V35" s="24">
        <v>0.1541917305840303</v>
      </c>
      <c r="W35" s="23">
        <v>23</v>
      </c>
      <c r="X35" s="28">
        <v>166063009.70758468</v>
      </c>
      <c r="Y35" s="24">
        <v>0.14014078766136312</v>
      </c>
      <c r="Z35" s="23">
        <v>27</v>
      </c>
      <c r="AA35" s="28">
        <v>170463527.52616376</v>
      </c>
      <c r="AB35" s="24">
        <v>0.1460061291911163</v>
      </c>
    </row>
    <row r="36" spans="1:28" x14ac:dyDescent="0.25">
      <c r="A36" t="s">
        <v>3900</v>
      </c>
      <c r="B36" t="s">
        <v>7041</v>
      </c>
      <c r="C36" t="s">
        <v>3902</v>
      </c>
      <c r="D36" s="11" t="s">
        <v>3901</v>
      </c>
      <c r="E36" s="11" t="s">
        <v>3844</v>
      </c>
      <c r="I36" s="17">
        <v>-1.1249092523601201</v>
      </c>
      <c r="J36" s="17">
        <v>0.32988042726160599</v>
      </c>
      <c r="K36" s="21">
        <v>116</v>
      </c>
      <c r="L36" s="27">
        <v>610643148.26036298</v>
      </c>
      <c r="M36" s="22">
        <v>0.39777851935243763</v>
      </c>
      <c r="N36" s="21">
        <v>95</v>
      </c>
      <c r="O36" s="27">
        <v>590951056.01573098</v>
      </c>
      <c r="P36" s="22">
        <v>0.38832216819472926</v>
      </c>
      <c r="Q36" s="21">
        <v>129</v>
      </c>
      <c r="R36" s="27">
        <v>639588640.32391346</v>
      </c>
      <c r="S36" s="22">
        <v>0.42275119097565633</v>
      </c>
      <c r="T36" s="23">
        <v>105</v>
      </c>
      <c r="U36" s="28">
        <v>598671009.09557843</v>
      </c>
      <c r="V36" s="24">
        <v>0.38932752584996916</v>
      </c>
      <c r="W36" s="23">
        <v>98</v>
      </c>
      <c r="X36" s="28">
        <v>513486511.08180654</v>
      </c>
      <c r="Y36" s="24">
        <v>0.32665879738882364</v>
      </c>
      <c r="Z36" s="23">
        <v>105</v>
      </c>
      <c r="AA36" s="28">
        <v>654228081.9950465</v>
      </c>
      <c r="AB36" s="24">
        <v>0.42241805043078373</v>
      </c>
    </row>
    <row r="37" spans="1:28" x14ac:dyDescent="0.25">
      <c r="A37" t="s">
        <v>3873</v>
      </c>
      <c r="B37" t="s">
        <v>7032</v>
      </c>
      <c r="C37" t="s">
        <v>3875</v>
      </c>
      <c r="D37" s="11" t="s">
        <v>3874</v>
      </c>
      <c r="E37" s="11" t="s">
        <v>3844</v>
      </c>
      <c r="I37" s="17">
        <v>-1.12788084613569</v>
      </c>
      <c r="J37" s="17">
        <v>0.19381851232323699</v>
      </c>
      <c r="K37" s="21">
        <v>18</v>
      </c>
      <c r="L37" s="27">
        <v>107646399.69496401</v>
      </c>
      <c r="M37" s="22">
        <v>8.9503635366130804E-2</v>
      </c>
      <c r="N37" s="21">
        <v>16</v>
      </c>
      <c r="O37" s="27">
        <v>107329753.31350653</v>
      </c>
      <c r="P37" s="22">
        <v>9.0021890660268916E-2</v>
      </c>
      <c r="Q37" s="21">
        <v>16</v>
      </c>
      <c r="R37" s="27">
        <v>107733146.2423988</v>
      </c>
      <c r="S37" s="22">
        <v>9.0890976452484964E-2</v>
      </c>
      <c r="T37" s="23">
        <v>16</v>
      </c>
      <c r="U37" s="28">
        <v>108218628.77438834</v>
      </c>
      <c r="V37" s="24">
        <v>8.9828932088728511E-2</v>
      </c>
      <c r="W37" s="23">
        <v>15</v>
      </c>
      <c r="X37" s="28">
        <v>98868852.865892321</v>
      </c>
      <c r="Y37" s="24">
        <v>8.0280883347328497E-2</v>
      </c>
      <c r="Z37" s="23">
        <v>16</v>
      </c>
      <c r="AA37" s="28">
        <v>102328042.69080073</v>
      </c>
      <c r="AB37" s="24">
        <v>8.4332559428164741E-2</v>
      </c>
    </row>
    <row r="38" spans="1:28" x14ac:dyDescent="0.25">
      <c r="A38" t="s">
        <v>3897</v>
      </c>
      <c r="B38" t="s">
        <v>7040</v>
      </c>
      <c r="C38" t="s">
        <v>3899</v>
      </c>
      <c r="D38" s="11" t="s">
        <v>3898</v>
      </c>
      <c r="E38" s="11" t="s">
        <v>3844</v>
      </c>
      <c r="H38" t="s">
        <v>553</v>
      </c>
      <c r="I38" s="17">
        <v>-1.1293246444427001</v>
      </c>
      <c r="J38" s="17">
        <v>0.29290540602669801</v>
      </c>
      <c r="K38" s="21">
        <v>13</v>
      </c>
      <c r="L38" s="27">
        <v>74538130.859555602</v>
      </c>
      <c r="M38" s="22">
        <v>0.2180512269096811</v>
      </c>
      <c r="N38" s="21">
        <v>12</v>
      </c>
      <c r="O38" s="27">
        <v>68684011.516481653</v>
      </c>
      <c r="P38" s="22">
        <v>0.20268542567650849</v>
      </c>
      <c r="Q38" s="21">
        <v>12</v>
      </c>
      <c r="R38" s="27">
        <v>79583540.130816147</v>
      </c>
      <c r="S38" s="22">
        <v>0.23622918430033199</v>
      </c>
      <c r="T38" s="23">
        <v>12</v>
      </c>
      <c r="U38" s="28">
        <v>65928314.606052913</v>
      </c>
      <c r="V38" s="24">
        <v>0.1925418116683838</v>
      </c>
      <c r="W38" s="23">
        <v>11</v>
      </c>
      <c r="X38" s="28">
        <v>66700059.985581391</v>
      </c>
      <c r="Y38" s="24">
        <v>0.19055385625998264</v>
      </c>
      <c r="Z38" s="23">
        <v>11</v>
      </c>
      <c r="AA38" s="28">
        <v>81073649.451775789</v>
      </c>
      <c r="AB38" s="24">
        <v>0.23508190807242277</v>
      </c>
    </row>
    <row r="39" spans="1:28" x14ac:dyDescent="0.25">
      <c r="A39" t="s">
        <v>3936</v>
      </c>
      <c r="B39" t="s">
        <v>7053</v>
      </c>
      <c r="C39" t="s">
        <v>3937</v>
      </c>
      <c r="D39" s="11" t="s">
        <v>3862</v>
      </c>
      <c r="E39" s="11" t="s">
        <v>3844</v>
      </c>
      <c r="I39" s="17">
        <v>-1.1353351241252101</v>
      </c>
      <c r="J39" s="17">
        <v>0.50002303630998102</v>
      </c>
      <c r="K39" s="21">
        <v>1</v>
      </c>
      <c r="L39" s="27">
        <v>528820.92080395296</v>
      </c>
      <c r="M39" s="22">
        <v>6.7448943890123948E-3</v>
      </c>
      <c r="N39" s="21">
        <v>1</v>
      </c>
      <c r="O39" s="27">
        <v>503316.98578352499</v>
      </c>
      <c r="P39" s="22">
        <v>6.4758226338195437E-3</v>
      </c>
      <c r="Q39" s="21">
        <v>3</v>
      </c>
      <c r="R39" s="27">
        <v>798743.26400018181</v>
      </c>
      <c r="S39" s="22">
        <v>1.0337225594985695E-2</v>
      </c>
      <c r="T39" s="23">
        <v>1</v>
      </c>
      <c r="U39" s="28">
        <v>575102.85928177717</v>
      </c>
      <c r="V39" s="24">
        <v>7.3229336027139996E-3</v>
      </c>
      <c r="W39" s="23">
        <v>1</v>
      </c>
      <c r="X39" s="28">
        <v>532507.46073185978</v>
      </c>
      <c r="Y39" s="24">
        <v>6.6329038783621199E-3</v>
      </c>
      <c r="Z39" s="23">
        <v>2</v>
      </c>
      <c r="AA39" s="28">
        <v>625549.99928210676</v>
      </c>
      <c r="AB39" s="24">
        <v>7.9083886011382248E-3</v>
      </c>
    </row>
    <row r="40" spans="1:28" x14ac:dyDescent="0.25">
      <c r="A40" t="s">
        <v>3941</v>
      </c>
      <c r="B40" t="s">
        <v>7055</v>
      </c>
      <c r="C40" t="s">
        <v>3943</v>
      </c>
      <c r="D40" s="11" t="s">
        <v>3942</v>
      </c>
      <c r="E40" s="11" t="s">
        <v>3844</v>
      </c>
      <c r="I40" s="17">
        <v>-1.1402759823166799</v>
      </c>
      <c r="J40" s="17">
        <v>0.54482622276109405</v>
      </c>
      <c r="K40" s="21">
        <v>2</v>
      </c>
      <c r="L40" s="27">
        <v>1327434.7877680501</v>
      </c>
      <c r="M40" s="22">
        <v>1.2268758967557188E-2</v>
      </c>
      <c r="N40" s="21">
        <v>2</v>
      </c>
      <c r="O40" s="27">
        <v>1155141.9525516068</v>
      </c>
      <c r="P40" s="22">
        <v>1.0769849359780582E-2</v>
      </c>
      <c r="Q40" s="21">
        <v>2</v>
      </c>
      <c r="R40" s="27">
        <v>1023332.2717533142</v>
      </c>
      <c r="S40" s="22">
        <v>9.5969751306621207E-3</v>
      </c>
      <c r="T40" s="23">
        <v>1</v>
      </c>
      <c r="U40" s="28">
        <v>1336509.5060551928</v>
      </c>
      <c r="V40" s="24">
        <v>1.233197214930911E-2</v>
      </c>
      <c r="W40" s="23">
        <v>1</v>
      </c>
      <c r="X40" s="28">
        <v>764996.95886176615</v>
      </c>
      <c r="Y40" s="24">
        <v>6.9049196484029414E-3</v>
      </c>
      <c r="Z40" s="23">
        <v>2</v>
      </c>
      <c r="AA40" s="28">
        <v>1210987.8341183758</v>
      </c>
      <c r="AB40" s="24">
        <v>1.1093961828894381E-2</v>
      </c>
    </row>
    <row r="41" spans="1:28" x14ac:dyDescent="0.25">
      <c r="A41" t="s">
        <v>3921</v>
      </c>
      <c r="B41" t="s">
        <v>7048</v>
      </c>
      <c r="C41" t="s">
        <v>3923</v>
      </c>
      <c r="D41" s="11" t="s">
        <v>3922</v>
      </c>
      <c r="E41" s="11" t="s">
        <v>3844</v>
      </c>
      <c r="I41" s="17">
        <v>-1.14619437002187</v>
      </c>
      <c r="J41" s="17">
        <v>0.39691702486526997</v>
      </c>
      <c r="K41" s="21">
        <v>18</v>
      </c>
      <c r="L41" s="27">
        <v>110936509.629198</v>
      </c>
      <c r="M41" s="22">
        <v>0.15313309221070112</v>
      </c>
      <c r="N41" s="21">
        <v>12</v>
      </c>
      <c r="O41" s="27">
        <v>95170767.291903108</v>
      </c>
      <c r="P41" s="22">
        <v>0.13252107731914228</v>
      </c>
      <c r="Q41" s="21">
        <v>16</v>
      </c>
      <c r="R41" s="27">
        <v>114533679.76880334</v>
      </c>
      <c r="S41" s="22">
        <v>0.16041982136943553</v>
      </c>
      <c r="T41" s="23">
        <v>17</v>
      </c>
      <c r="U41" s="28">
        <v>95274541.024446264</v>
      </c>
      <c r="V41" s="24">
        <v>0.13129387420632091</v>
      </c>
      <c r="W41" s="23">
        <v>13</v>
      </c>
      <c r="X41" s="28">
        <v>85036768.015125364</v>
      </c>
      <c r="Y41" s="24">
        <v>0.11463382432785447</v>
      </c>
      <c r="Z41" s="23">
        <v>15</v>
      </c>
      <c r="AA41" s="28">
        <v>122311627.1448984</v>
      </c>
      <c r="AB41" s="24">
        <v>0.16734846997144007</v>
      </c>
    </row>
    <row r="42" spans="1:28" x14ac:dyDescent="0.25">
      <c r="A42" t="s">
        <v>3962</v>
      </c>
      <c r="B42" t="s">
        <v>7062</v>
      </c>
      <c r="C42" t="s">
        <v>3964</v>
      </c>
      <c r="D42" s="11" t="s">
        <v>3963</v>
      </c>
      <c r="E42" s="11" t="s">
        <v>3844</v>
      </c>
      <c r="H42" t="s">
        <v>553</v>
      </c>
      <c r="I42" s="17">
        <v>-1.1489274582342199</v>
      </c>
      <c r="J42" s="17">
        <v>0.73276913624153495</v>
      </c>
      <c r="K42" s="21">
        <v>13</v>
      </c>
      <c r="L42" s="27">
        <v>33915854.937666297</v>
      </c>
      <c r="M42" s="22">
        <v>0.12151203577672183</v>
      </c>
      <c r="N42" s="21">
        <v>9</v>
      </c>
      <c r="O42" s="27">
        <v>17410026.384496622</v>
      </c>
      <c r="P42" s="22">
        <v>6.2922039292816867E-2</v>
      </c>
      <c r="Q42" s="21">
        <v>14</v>
      </c>
      <c r="R42" s="27">
        <v>31349910.678683456</v>
      </c>
      <c r="S42" s="22">
        <v>0.11396804418422839</v>
      </c>
      <c r="T42" s="23">
        <v>13</v>
      </c>
      <c r="U42" s="28">
        <v>28978729.701967202</v>
      </c>
      <c r="V42" s="24">
        <v>0.10364990672927971</v>
      </c>
      <c r="W42" s="23">
        <v>9</v>
      </c>
      <c r="X42" s="28">
        <v>24575995.934564173</v>
      </c>
      <c r="Y42" s="24">
        <v>8.5988254936576192E-2</v>
      </c>
      <c r="Z42" s="23">
        <v>10</v>
      </c>
      <c r="AA42" s="28">
        <v>24953801.206016835</v>
      </c>
      <c r="AB42" s="24">
        <v>8.8616110963569597E-2</v>
      </c>
    </row>
    <row r="43" spans="1:28" x14ac:dyDescent="0.25">
      <c r="A43" t="s">
        <v>3906</v>
      </c>
      <c r="B43" t="s">
        <v>7043</v>
      </c>
      <c r="C43" t="s">
        <v>3908</v>
      </c>
      <c r="D43" s="11" t="s">
        <v>3907</v>
      </c>
      <c r="E43" s="11" t="s">
        <v>3844</v>
      </c>
      <c r="H43" t="s">
        <v>2148</v>
      </c>
      <c r="I43" s="17">
        <v>-1.1570131446370799</v>
      </c>
      <c r="J43" s="17">
        <v>0.34037001339301698</v>
      </c>
      <c r="K43" s="21">
        <v>4</v>
      </c>
      <c r="L43" s="27">
        <v>6269823.32290571</v>
      </c>
      <c r="M43" s="22">
        <v>2.0504879521298366E-2</v>
      </c>
      <c r="N43" s="21">
        <v>5</v>
      </c>
      <c r="O43" s="27">
        <v>5049335.3582015503</v>
      </c>
      <c r="P43" s="22">
        <v>1.6658004196049309E-2</v>
      </c>
      <c r="Q43" s="21">
        <v>5</v>
      </c>
      <c r="R43" s="27">
        <v>5687558.4730946459</v>
      </c>
      <c r="S43" s="22">
        <v>1.8873743699477495E-2</v>
      </c>
      <c r="T43" s="23">
        <v>5</v>
      </c>
      <c r="U43" s="28">
        <v>5392688.4817650421</v>
      </c>
      <c r="V43" s="24">
        <v>1.7606794517438556E-2</v>
      </c>
      <c r="W43" s="23">
        <v>4</v>
      </c>
      <c r="X43" s="28">
        <v>4849349.8719877377</v>
      </c>
      <c r="Y43" s="24">
        <v>1.5488056299374267E-2</v>
      </c>
      <c r="Z43" s="23">
        <v>4</v>
      </c>
      <c r="AA43" s="28">
        <v>5718651.3692922611</v>
      </c>
      <c r="AB43" s="24">
        <v>1.8537663207022274E-2</v>
      </c>
    </row>
    <row r="44" spans="1:28" x14ac:dyDescent="0.25">
      <c r="A44" t="s">
        <v>3870</v>
      </c>
      <c r="B44" t="s">
        <v>7031</v>
      </c>
      <c r="C44" t="s">
        <v>3872</v>
      </c>
      <c r="D44" s="11" t="s">
        <v>3871</v>
      </c>
      <c r="E44" s="11" t="s">
        <v>3844</v>
      </c>
      <c r="I44" s="17">
        <v>-1.16310692771067</v>
      </c>
      <c r="J44" s="17">
        <v>0.147692800086483</v>
      </c>
      <c r="K44" s="21">
        <v>32</v>
      </c>
      <c r="L44" s="27">
        <v>727237526.38196099</v>
      </c>
      <c r="M44" s="22">
        <v>2.5205480917667407</v>
      </c>
      <c r="N44" s="21">
        <v>21</v>
      </c>
      <c r="O44" s="27">
        <v>708724977.530357</v>
      </c>
      <c r="P44" s="22">
        <v>2.4778971629814106</v>
      </c>
      <c r="Q44" s="21">
        <v>33</v>
      </c>
      <c r="R44" s="27">
        <v>678313758.94506919</v>
      </c>
      <c r="S44" s="22">
        <v>2.385500946907138</v>
      </c>
      <c r="T44" s="23">
        <v>26</v>
      </c>
      <c r="U44" s="28">
        <v>668498729.54057336</v>
      </c>
      <c r="V44" s="24">
        <v>2.3130889671546506</v>
      </c>
      <c r="W44" s="23">
        <v>21</v>
      </c>
      <c r="X44" s="28">
        <v>631502655.56796432</v>
      </c>
      <c r="Y44" s="24">
        <v>2.1374962886802482</v>
      </c>
      <c r="Z44" s="23">
        <v>25</v>
      </c>
      <c r="AA44" s="28">
        <v>669773509.96985602</v>
      </c>
      <c r="AB44" s="24">
        <v>2.3009443853186111</v>
      </c>
    </row>
    <row r="45" spans="1:28" x14ac:dyDescent="0.25">
      <c r="A45" t="s">
        <v>3885</v>
      </c>
      <c r="B45" t="s">
        <v>7036</v>
      </c>
      <c r="C45" t="s">
        <v>3887</v>
      </c>
      <c r="D45" s="11" t="s">
        <v>3886</v>
      </c>
      <c r="E45" s="11" t="s">
        <v>3844</v>
      </c>
      <c r="I45" s="17">
        <v>-1.18532329839714</v>
      </c>
      <c r="J45" s="17">
        <v>0.24145240203631699</v>
      </c>
      <c r="K45" s="21">
        <v>12</v>
      </c>
      <c r="L45" s="27">
        <v>21621378.971910901</v>
      </c>
      <c r="M45" s="22">
        <v>5.1642666436401037E-2</v>
      </c>
      <c r="N45" s="21">
        <v>12</v>
      </c>
      <c r="O45" s="27">
        <v>17584763.481632426</v>
      </c>
      <c r="P45" s="22">
        <v>4.2369040854583338E-2</v>
      </c>
      <c r="Q45" s="21">
        <v>10</v>
      </c>
      <c r="R45" s="27">
        <v>22435335.044226613</v>
      </c>
      <c r="S45" s="22">
        <v>5.4373600014687808E-2</v>
      </c>
      <c r="T45" s="23">
        <v>8</v>
      </c>
      <c r="U45" s="28">
        <v>19408179.710316207</v>
      </c>
      <c r="V45" s="24">
        <v>4.627890956455126E-2</v>
      </c>
      <c r="W45" s="23">
        <v>7</v>
      </c>
      <c r="X45" s="28">
        <v>17880272.705642004</v>
      </c>
      <c r="Y45" s="24">
        <v>4.1707185928957287E-2</v>
      </c>
      <c r="Z45" s="23">
        <v>9</v>
      </c>
      <c r="AA45" s="28">
        <v>19085446.058596134</v>
      </c>
      <c r="AB45" s="24">
        <v>4.5184245124412221E-2</v>
      </c>
    </row>
    <row r="46" spans="1:28" x14ac:dyDescent="0.25">
      <c r="A46" t="s">
        <v>3879</v>
      </c>
      <c r="B46" t="s">
        <v>7034</v>
      </c>
      <c r="C46" t="s">
        <v>3881</v>
      </c>
      <c r="D46" s="11" t="s">
        <v>3880</v>
      </c>
      <c r="E46" s="11" t="s">
        <v>3844</v>
      </c>
      <c r="H46" t="s">
        <v>23</v>
      </c>
      <c r="I46" s="17">
        <v>-1.18813198643023</v>
      </c>
      <c r="J46" s="17">
        <v>0.23044319034385699</v>
      </c>
      <c r="K46" s="21">
        <v>66</v>
      </c>
      <c r="L46" s="27">
        <v>392769485.07655102</v>
      </c>
      <c r="M46" s="22">
        <v>0.63898137941204902</v>
      </c>
      <c r="N46" s="21">
        <v>51</v>
      </c>
      <c r="O46" s="27">
        <v>316774650.79316139</v>
      </c>
      <c r="P46" s="22">
        <v>0.5198615728585475</v>
      </c>
      <c r="Q46" s="21">
        <v>63</v>
      </c>
      <c r="R46" s="27">
        <v>386471294.50730431</v>
      </c>
      <c r="S46" s="22">
        <v>0.6379666328891197</v>
      </c>
      <c r="T46" s="23">
        <v>57</v>
      </c>
      <c r="U46" s="28">
        <v>349818539.38503212</v>
      </c>
      <c r="V46" s="24">
        <v>0.56815434066708359</v>
      </c>
      <c r="W46" s="23">
        <v>51</v>
      </c>
      <c r="X46" s="28">
        <v>324479854.03503382</v>
      </c>
      <c r="Y46" s="24">
        <v>0.51552494206271193</v>
      </c>
      <c r="Z46" s="23">
        <v>53</v>
      </c>
      <c r="AA46" s="28">
        <v>327018144.01226199</v>
      </c>
      <c r="AB46" s="24">
        <v>0.52732912698863943</v>
      </c>
    </row>
    <row r="47" spans="1:28" x14ac:dyDescent="0.25">
      <c r="A47" t="s">
        <v>3894</v>
      </c>
      <c r="B47" t="s">
        <v>7039</v>
      </c>
      <c r="C47" t="s">
        <v>3896</v>
      </c>
      <c r="D47" s="11" t="s">
        <v>3895</v>
      </c>
      <c r="E47" s="11" t="s">
        <v>3844</v>
      </c>
      <c r="I47" s="17">
        <v>-1.2375021586749799</v>
      </c>
      <c r="J47" s="17">
        <v>0.29087467286263302</v>
      </c>
      <c r="K47" s="21">
        <v>20</v>
      </c>
      <c r="L47" s="27">
        <v>77588146.665004104</v>
      </c>
      <c r="M47" s="22">
        <v>0.1971324805774492</v>
      </c>
      <c r="N47" s="21">
        <v>16</v>
      </c>
      <c r="O47" s="27">
        <v>53146945.386560276</v>
      </c>
      <c r="P47" s="22">
        <v>0.13621594563733569</v>
      </c>
      <c r="Q47" s="21">
        <v>18</v>
      </c>
      <c r="R47" s="27">
        <v>77459329.336965516</v>
      </c>
      <c r="S47" s="22">
        <v>0.1996948205716769</v>
      </c>
      <c r="T47" s="23">
        <v>22</v>
      </c>
      <c r="U47" s="28">
        <v>61288329.358472086</v>
      </c>
      <c r="V47" s="24">
        <v>0.15545820028160223</v>
      </c>
      <c r="W47" s="23">
        <v>17</v>
      </c>
      <c r="X47" s="28">
        <v>61034928.436453342</v>
      </c>
      <c r="Y47" s="24">
        <v>0.15144422928757381</v>
      </c>
      <c r="Z47" s="23">
        <v>22</v>
      </c>
      <c r="AA47" s="28">
        <v>60920333.164147735</v>
      </c>
      <c r="AB47" s="24">
        <v>0.1534209000225748</v>
      </c>
    </row>
    <row r="48" spans="1:28" x14ac:dyDescent="0.25">
      <c r="A48" t="s">
        <v>3876</v>
      </c>
      <c r="B48" t="s">
        <v>7033</v>
      </c>
      <c r="C48" t="s">
        <v>3878</v>
      </c>
      <c r="D48" s="11" t="s">
        <v>3877</v>
      </c>
      <c r="E48" s="11" t="s">
        <v>3844</v>
      </c>
      <c r="I48" s="17">
        <v>-1.25372350825562</v>
      </c>
      <c r="J48" s="17">
        <v>0.21909440342794601</v>
      </c>
      <c r="K48" s="21">
        <v>20</v>
      </c>
      <c r="L48" s="27">
        <v>36232557.006609097</v>
      </c>
      <c r="M48" s="22">
        <v>0.10224146769623596</v>
      </c>
      <c r="N48" s="21">
        <v>11</v>
      </c>
      <c r="O48" s="27">
        <v>26506440.898351289</v>
      </c>
      <c r="P48" s="22">
        <v>7.5451232962967879E-2</v>
      </c>
      <c r="Q48" s="21">
        <v>21</v>
      </c>
      <c r="R48" s="27">
        <v>37518333.332663774</v>
      </c>
      <c r="S48" s="22">
        <v>0.10742414068449356</v>
      </c>
      <c r="T48" s="23">
        <v>17</v>
      </c>
      <c r="U48" s="28">
        <v>30127754.200304698</v>
      </c>
      <c r="V48" s="24">
        <v>8.4872675747501042E-2</v>
      </c>
      <c r="W48" s="23">
        <v>12</v>
      </c>
      <c r="X48" s="28">
        <v>28727673.534814332</v>
      </c>
      <c r="Y48" s="24">
        <v>7.9166241855152267E-2</v>
      </c>
      <c r="Z48" s="23">
        <v>15</v>
      </c>
      <c r="AA48" s="28">
        <v>28040436.26685584</v>
      </c>
      <c r="AB48" s="24">
        <v>7.8428210360099226E-2</v>
      </c>
    </row>
    <row r="49" spans="1:36" x14ac:dyDescent="0.25">
      <c r="A49" t="s">
        <v>3842</v>
      </c>
      <c r="B49" t="s">
        <v>7022</v>
      </c>
      <c r="C49" t="s">
        <v>3845</v>
      </c>
      <c r="D49" s="11" t="s">
        <v>3843</v>
      </c>
      <c r="E49" s="11" t="s">
        <v>3844</v>
      </c>
      <c r="H49" t="s">
        <v>41</v>
      </c>
      <c r="I49" s="17">
        <v>-1.2900554354320299</v>
      </c>
      <c r="J49" s="17">
        <v>2.7992881495284099E-2</v>
      </c>
      <c r="K49" s="21">
        <v>18</v>
      </c>
      <c r="L49" s="27">
        <v>11027951.760838199</v>
      </c>
      <c r="M49" s="22">
        <v>1.845892529816183E-2</v>
      </c>
      <c r="N49" s="21">
        <v>12</v>
      </c>
      <c r="O49" s="27">
        <v>14393431.235543558</v>
      </c>
      <c r="P49" s="22">
        <v>2.4303158778054362E-2</v>
      </c>
      <c r="Q49" s="21">
        <v>13</v>
      </c>
      <c r="R49" s="27">
        <v>12203964.947632393</v>
      </c>
      <c r="S49" s="22">
        <v>2.0727301552131889E-2</v>
      </c>
      <c r="T49" s="23">
        <v>8</v>
      </c>
      <c r="U49" s="28">
        <v>10201806.421900565</v>
      </c>
      <c r="V49" s="24">
        <v>1.7047538378171932E-2</v>
      </c>
      <c r="W49" s="23">
        <v>8</v>
      </c>
      <c r="X49" s="28">
        <v>12112072.637866868</v>
      </c>
      <c r="Y49" s="24">
        <v>1.9798920062283853E-2</v>
      </c>
      <c r="Z49" s="23">
        <v>10</v>
      </c>
      <c r="AA49" s="28">
        <v>9259800.075101465</v>
      </c>
      <c r="AB49" s="24">
        <v>1.5362879080433694E-2</v>
      </c>
    </row>
    <row r="50" spans="1:36" x14ac:dyDescent="0.25">
      <c r="A50" t="s">
        <v>3849</v>
      </c>
      <c r="B50" t="s">
        <v>7024</v>
      </c>
      <c r="C50" t="s">
        <v>3851</v>
      </c>
      <c r="D50" s="11" t="s">
        <v>3850</v>
      </c>
      <c r="E50" s="11" t="s">
        <v>3844</v>
      </c>
      <c r="I50" s="17">
        <v>-1.3360497091722701</v>
      </c>
      <c r="J50" s="17">
        <v>0.30043988058367099</v>
      </c>
      <c r="K50" s="21">
        <v>4</v>
      </c>
      <c r="L50" s="27">
        <v>4672234.5122947404</v>
      </c>
      <c r="M50" s="22">
        <v>1.2363576509405999E-2</v>
      </c>
      <c r="N50" s="21">
        <v>3</v>
      </c>
      <c r="O50" s="27">
        <v>2818342.1024393537</v>
      </c>
      <c r="P50" s="22">
        <v>7.5231553262938219E-3</v>
      </c>
      <c r="Q50" s="21">
        <v>3</v>
      </c>
      <c r="R50" s="27">
        <v>4578899.0813000537</v>
      </c>
      <c r="S50" s="22">
        <v>1.2294498523220881E-2</v>
      </c>
      <c r="T50" s="23">
        <v>4</v>
      </c>
      <c r="U50" s="28">
        <v>3370519.4583603954</v>
      </c>
      <c r="V50" s="24">
        <v>8.9040864935053914E-3</v>
      </c>
      <c r="W50" s="23">
        <v>2</v>
      </c>
      <c r="X50" s="28">
        <v>2761271.2105153622</v>
      </c>
      <c r="Y50" s="24">
        <v>7.135756692355652E-3</v>
      </c>
      <c r="Z50" s="23">
        <v>2</v>
      </c>
      <c r="AA50" s="28">
        <v>3681192.8125930447</v>
      </c>
      <c r="AB50" s="24">
        <v>9.6553384262057299E-3</v>
      </c>
    </row>
    <row r="51" spans="1:36" x14ac:dyDescent="0.25">
      <c r="A51" t="s">
        <v>3918</v>
      </c>
      <c r="B51" t="s">
        <v>7047</v>
      </c>
      <c r="C51" t="s">
        <v>3920</v>
      </c>
      <c r="D51" s="11" t="s">
        <v>3919</v>
      </c>
      <c r="E51" s="11" t="s">
        <v>3844</v>
      </c>
      <c r="I51" s="17">
        <v>-1.4236157896546799</v>
      </c>
      <c r="J51" s="17">
        <v>0.393903055604653</v>
      </c>
      <c r="K51" s="21">
        <v>11</v>
      </c>
      <c r="L51" s="27">
        <v>29482421.958136499</v>
      </c>
      <c r="M51" s="22">
        <v>5.3566413731407379E-2</v>
      </c>
      <c r="N51" s="21">
        <v>6</v>
      </c>
      <c r="O51" s="27">
        <v>14525029.419206074</v>
      </c>
      <c r="P51" s="22">
        <v>2.662154563678984E-2</v>
      </c>
      <c r="Q51" s="21">
        <v>10</v>
      </c>
      <c r="R51" s="27">
        <v>30264746.236182608</v>
      </c>
      <c r="S51" s="22">
        <v>5.579518349799803E-2</v>
      </c>
      <c r="T51" s="23">
        <v>9</v>
      </c>
      <c r="U51" s="28">
        <v>19687874.982366867</v>
      </c>
      <c r="V51" s="24">
        <v>3.5710941508189001E-2</v>
      </c>
      <c r="W51" s="23">
        <v>6</v>
      </c>
      <c r="X51" s="28">
        <v>11800219.117221128</v>
      </c>
      <c r="Y51" s="24">
        <v>2.0937796114370848E-2</v>
      </c>
      <c r="Z51" s="23">
        <v>9</v>
      </c>
      <c r="AA51" s="28">
        <v>24914101.101076487</v>
      </c>
      <c r="AB51" s="24">
        <v>4.486772856558012E-2</v>
      </c>
    </row>
    <row r="52" spans="1:36" x14ac:dyDescent="0.25">
      <c r="A52" t="s">
        <v>3846</v>
      </c>
      <c r="B52" t="s">
        <v>7023</v>
      </c>
      <c r="C52" t="s">
        <v>3848</v>
      </c>
      <c r="D52" s="11" t="s">
        <v>3847</v>
      </c>
      <c r="E52" s="11" t="s">
        <v>3844</v>
      </c>
      <c r="I52" s="17">
        <v>-1.4789188914748299</v>
      </c>
      <c r="J52" s="17">
        <v>0.20181005494434101</v>
      </c>
      <c r="K52" s="21">
        <v>6</v>
      </c>
      <c r="L52" s="27">
        <v>17132537.938555699</v>
      </c>
      <c r="M52" s="22">
        <v>3.0519344797862297E-2</v>
      </c>
      <c r="N52" s="21">
        <v>5</v>
      </c>
      <c r="O52" s="27">
        <v>12004107.55425705</v>
      </c>
      <c r="P52" s="22">
        <v>2.1570996776760873E-2</v>
      </c>
      <c r="Q52" s="21">
        <v>7</v>
      </c>
      <c r="R52" s="27">
        <v>18898762.720942467</v>
      </c>
      <c r="S52" s="22">
        <v>3.4159942864337517E-2</v>
      </c>
      <c r="T52" s="23">
        <v>5</v>
      </c>
      <c r="U52" s="28">
        <v>11972432.917544061</v>
      </c>
      <c r="V52" s="24">
        <v>2.1291632406431754E-2</v>
      </c>
      <c r="W52" s="23">
        <v>4</v>
      </c>
      <c r="X52" s="28">
        <v>7887533.2629306177</v>
      </c>
      <c r="Y52" s="24">
        <v>1.372164528445121E-2</v>
      </c>
      <c r="Z52" s="23">
        <v>6</v>
      </c>
      <c r="AA52" s="28">
        <v>15121296.898660518</v>
      </c>
      <c r="AB52" s="24">
        <v>2.6699430124960819E-2</v>
      </c>
    </row>
    <row r="53" spans="1:36" x14ac:dyDescent="0.25">
      <c r="A53" t="s">
        <v>3858</v>
      </c>
      <c r="B53" t="s">
        <v>7027</v>
      </c>
      <c r="C53" t="s">
        <v>3860</v>
      </c>
      <c r="D53" s="11" t="s">
        <v>3859</v>
      </c>
      <c r="E53" s="11" t="s">
        <v>3844</v>
      </c>
      <c r="I53" s="17">
        <v>-1.48419493304054</v>
      </c>
      <c r="J53" s="17">
        <v>6.3913830301495196E-3</v>
      </c>
      <c r="K53" s="21">
        <v>5</v>
      </c>
      <c r="L53" s="27">
        <v>1199473.6596445199</v>
      </c>
      <c r="M53" s="22">
        <v>3.902753970098741E-3</v>
      </c>
      <c r="N53" s="21">
        <v>3</v>
      </c>
      <c r="O53" s="27">
        <v>1253316.6853925758</v>
      </c>
      <c r="P53" s="22">
        <v>4.1136573379634304E-3</v>
      </c>
      <c r="Q53" s="21">
        <v>4</v>
      </c>
      <c r="R53" s="27">
        <v>1198192.3769609754</v>
      </c>
      <c r="S53" s="22">
        <v>3.9558268215377484E-3</v>
      </c>
      <c r="T53" s="23">
        <v>3</v>
      </c>
      <c r="U53" s="28">
        <v>908611.65840937803</v>
      </c>
      <c r="V53" s="24">
        <v>2.9514253796469529E-3</v>
      </c>
      <c r="W53" s="23">
        <v>2</v>
      </c>
      <c r="X53" s="28">
        <v>838119.77124873234</v>
      </c>
      <c r="Y53" s="24">
        <v>2.6631646996979094E-3</v>
      </c>
      <c r="Z53" s="23">
        <v>3</v>
      </c>
      <c r="AA53" s="28">
        <v>911802.19575829699</v>
      </c>
      <c r="AB53" s="24">
        <v>2.9406310608717677E-3</v>
      </c>
    </row>
    <row r="54" spans="1:36" x14ac:dyDescent="0.25">
      <c r="A54" s="16" t="s">
        <v>3861</v>
      </c>
      <c r="B54" s="16" t="s">
        <v>7028</v>
      </c>
      <c r="C54" s="16" t="s">
        <v>3863</v>
      </c>
      <c r="D54" s="29" t="s">
        <v>3862</v>
      </c>
      <c r="E54" s="29" t="s">
        <v>3844</v>
      </c>
      <c r="F54" s="16"/>
      <c r="G54" s="16"/>
      <c r="H54" s="16"/>
      <c r="I54" s="30">
        <v>-1.8586105499483501</v>
      </c>
      <c r="J54" s="30">
        <v>5.997126391055E-2</v>
      </c>
      <c r="K54" s="31">
        <v>2</v>
      </c>
      <c r="L54" s="32">
        <v>580393.00657211104</v>
      </c>
      <c r="M54" s="33">
        <v>4.7453046369294967E-3</v>
      </c>
      <c r="N54" s="31">
        <v>1</v>
      </c>
      <c r="O54" s="32">
        <v>612196.25761986175</v>
      </c>
      <c r="P54" s="33">
        <v>5.049163456569067E-3</v>
      </c>
      <c r="Q54" s="31">
        <v>2</v>
      </c>
      <c r="R54" s="32">
        <v>728976.40694926528</v>
      </c>
      <c r="S54" s="33">
        <v>6.0476362277469137E-3</v>
      </c>
      <c r="T54" s="34">
        <v>1</v>
      </c>
      <c r="U54" s="35">
        <v>479741.09310345922</v>
      </c>
      <c r="V54" s="36">
        <v>3.9158125285772751E-3</v>
      </c>
      <c r="W54" s="34">
        <v>0</v>
      </c>
      <c r="X54" s="35">
        <v>421894.55711463973</v>
      </c>
      <c r="Y54" s="36">
        <v>3.3686611739114965E-3</v>
      </c>
      <c r="Z54" s="34">
        <v>1</v>
      </c>
      <c r="AA54" s="35">
        <v>212363.49660597535</v>
      </c>
      <c r="AB54" s="36">
        <v>1.7210014754031058E-3</v>
      </c>
      <c r="AC54" s="58"/>
      <c r="AD54" s="58"/>
      <c r="AE54" s="58"/>
      <c r="AF54" s="58"/>
      <c r="AG54" s="58"/>
      <c r="AH54" s="58"/>
      <c r="AI54" s="30"/>
      <c r="AJ54" s="30"/>
    </row>
    <row r="55" spans="1:36" x14ac:dyDescent="0.25">
      <c r="A55" t="s">
        <v>4012</v>
      </c>
      <c r="B55" t="s">
        <v>7078</v>
      </c>
      <c r="C55" t="s">
        <v>4014</v>
      </c>
      <c r="D55" s="12" t="s">
        <v>4013</v>
      </c>
      <c r="E55" s="12" t="s">
        <v>3992</v>
      </c>
      <c r="H55" t="s">
        <v>3993</v>
      </c>
      <c r="I55" s="17">
        <v>1.1406518984068299</v>
      </c>
      <c r="J55" s="17">
        <v>3.2762204554536198E-2</v>
      </c>
      <c r="K55" s="21">
        <v>39</v>
      </c>
      <c r="L55" s="27">
        <v>357902582.07978898</v>
      </c>
      <c r="M55" s="22">
        <v>2.215971329375007</v>
      </c>
      <c r="N55" s="21">
        <v>37</v>
      </c>
      <c r="O55" s="27">
        <v>385129730.50603682</v>
      </c>
      <c r="P55" s="22">
        <v>2.4054325509551808</v>
      </c>
      <c r="Q55" s="21">
        <v>43</v>
      </c>
      <c r="R55" s="27">
        <v>367632512.9859466</v>
      </c>
      <c r="S55" s="22">
        <v>2.3096356696054006</v>
      </c>
      <c r="T55" s="23">
        <v>40</v>
      </c>
      <c r="U55" s="28">
        <v>433592666.80925524</v>
      </c>
      <c r="V55" s="24">
        <v>2.6801202352624487</v>
      </c>
      <c r="W55" s="23">
        <v>39</v>
      </c>
      <c r="X55" s="28">
        <v>513017442.42538816</v>
      </c>
      <c r="Y55" s="24">
        <v>3.1020080299334407</v>
      </c>
      <c r="Z55" s="23">
        <v>40</v>
      </c>
      <c r="AA55" s="28">
        <v>429676040.94785893</v>
      </c>
      <c r="AB55" s="24">
        <v>2.6369378312629821</v>
      </c>
      <c r="AC55" s="20">
        <v>9.4637097043764538</v>
      </c>
      <c r="AD55" s="20">
        <v>9.0138089590368615</v>
      </c>
      <c r="AE55" s="20">
        <v>9.4007452584693354</v>
      </c>
      <c r="AF55" s="20">
        <v>9.7272520071945259</v>
      </c>
      <c r="AG55" s="20">
        <v>9.9592241342260905</v>
      </c>
      <c r="AH55" s="20">
        <v>9.3991093658151197</v>
      </c>
    </row>
    <row r="56" spans="1:36" x14ac:dyDescent="0.25">
      <c r="A56" t="s">
        <v>3995</v>
      </c>
      <c r="B56" t="s">
        <v>7073</v>
      </c>
      <c r="C56" t="s">
        <v>3997</v>
      </c>
      <c r="D56" s="12" t="s">
        <v>3996</v>
      </c>
      <c r="E56" s="12" t="s">
        <v>3992</v>
      </c>
      <c r="H56" t="s">
        <v>3993</v>
      </c>
      <c r="I56" s="17">
        <v>1.0401151368285999</v>
      </c>
      <c r="J56" s="17">
        <v>0.61860832749134997</v>
      </c>
      <c r="K56" s="21">
        <v>14</v>
      </c>
      <c r="L56" s="27">
        <v>101209734.699349</v>
      </c>
      <c r="M56" s="22">
        <v>0.35270184129487708</v>
      </c>
      <c r="N56" s="21">
        <v>11</v>
      </c>
      <c r="O56" s="27">
        <v>93588426.341946691</v>
      </c>
      <c r="P56" s="22">
        <v>0.32899887864524208</v>
      </c>
      <c r="Q56" s="21">
        <v>14</v>
      </c>
      <c r="R56" s="27">
        <v>95160555.731169909</v>
      </c>
      <c r="S56" s="22">
        <v>0.33649039331964647</v>
      </c>
      <c r="T56" s="23">
        <v>13</v>
      </c>
      <c r="U56" s="28">
        <v>105700306.21441017</v>
      </c>
      <c r="V56" s="24">
        <v>0.36773479920362739</v>
      </c>
      <c r="W56" s="23">
        <v>13</v>
      </c>
      <c r="X56" s="28">
        <v>123391180.1636425</v>
      </c>
      <c r="Y56" s="24">
        <v>0.41993400068153847</v>
      </c>
      <c r="Z56" s="23">
        <v>13</v>
      </c>
      <c r="AA56" s="28">
        <v>99697587.861130983</v>
      </c>
      <c r="AB56" s="24">
        <v>0.34437335289504017</v>
      </c>
      <c r="AC56" s="17" t="s">
        <v>8084</v>
      </c>
      <c r="AD56" s="20">
        <v>9.2927546406275496</v>
      </c>
      <c r="AF56" s="17" t="s">
        <v>8084</v>
      </c>
      <c r="AG56" s="20">
        <v>9.6951951690785787</v>
      </c>
      <c r="AI56" s="47" t="s">
        <v>8087</v>
      </c>
      <c r="AJ56" s="20">
        <v>104.33069142589406</v>
      </c>
    </row>
    <row r="57" spans="1:36" x14ac:dyDescent="0.25">
      <c r="A57" t="s">
        <v>4051</v>
      </c>
      <c r="B57" t="s">
        <v>7091</v>
      </c>
      <c r="C57" t="s">
        <v>4053</v>
      </c>
      <c r="D57" s="12" t="s">
        <v>4052</v>
      </c>
      <c r="E57" s="12" t="s">
        <v>3992</v>
      </c>
      <c r="H57" t="s">
        <v>12</v>
      </c>
      <c r="I57" s="17">
        <v>1.0027909164244</v>
      </c>
      <c r="J57" s="17">
        <v>0.94860207676434205</v>
      </c>
      <c r="K57" s="21">
        <v>31</v>
      </c>
      <c r="L57" s="27">
        <v>184640204.11156601</v>
      </c>
      <c r="M57" s="22">
        <v>0.32983336511369238</v>
      </c>
      <c r="N57" s="21">
        <v>21</v>
      </c>
      <c r="O57" s="27">
        <v>152898752.26746953</v>
      </c>
      <c r="P57" s="22">
        <v>0.2755237798894965</v>
      </c>
      <c r="Q57" s="21">
        <v>33</v>
      </c>
      <c r="R57" s="27">
        <v>198899567.33184227</v>
      </c>
      <c r="S57" s="22">
        <v>0.36052253172181964</v>
      </c>
      <c r="T57" s="23">
        <v>28</v>
      </c>
      <c r="U57" s="28">
        <v>206399634.59633133</v>
      </c>
      <c r="V57" s="24">
        <v>0.36808683258607555</v>
      </c>
      <c r="W57" s="23">
        <v>29</v>
      </c>
      <c r="X57" s="28">
        <v>202887451.08125475</v>
      </c>
      <c r="Y57" s="24">
        <v>0.35394434756645077</v>
      </c>
      <c r="Z57" s="23">
        <v>27</v>
      </c>
      <c r="AA57" s="28">
        <v>174492162.49606001</v>
      </c>
      <c r="AB57" s="24">
        <v>0.30896101748790677</v>
      </c>
      <c r="AC57" s="17" t="s">
        <v>8085</v>
      </c>
      <c r="AD57" s="20">
        <v>0.24361681042298378</v>
      </c>
      <c r="AF57" s="17" t="s">
        <v>8085</v>
      </c>
      <c r="AG57" s="20">
        <v>0.28143004299561358</v>
      </c>
      <c r="AI57" s="17" t="s">
        <v>8086</v>
      </c>
      <c r="AJ57" s="20">
        <v>0.13441897779099807</v>
      </c>
    </row>
    <row r="58" spans="1:36" x14ac:dyDescent="0.25">
      <c r="A58" t="s">
        <v>4009</v>
      </c>
      <c r="B58" t="s">
        <v>7077</v>
      </c>
      <c r="C58" t="s">
        <v>4011</v>
      </c>
      <c r="D58" s="12" t="s">
        <v>4010</v>
      </c>
      <c r="E58" s="12" t="s">
        <v>3992</v>
      </c>
      <c r="I58" s="17">
        <v>-1.0268248141107501</v>
      </c>
      <c r="J58" s="17">
        <v>0.877436402225931</v>
      </c>
      <c r="K58" s="21">
        <v>41</v>
      </c>
      <c r="L58" s="27">
        <v>63083577.584709801</v>
      </c>
      <c r="M58" s="22">
        <v>6.9124159008476266E-2</v>
      </c>
      <c r="N58" s="21">
        <v>26</v>
      </c>
      <c r="O58" s="27">
        <v>52368379.548799299</v>
      </c>
      <c r="P58" s="22">
        <v>5.7885463293118278E-2</v>
      </c>
      <c r="Q58" s="21">
        <v>37</v>
      </c>
      <c r="R58" s="27">
        <v>54745761.590941444</v>
      </c>
      <c r="S58" s="22">
        <v>6.0868739328785323E-2</v>
      </c>
      <c r="T58" s="23">
        <v>38</v>
      </c>
      <c r="U58" s="28">
        <v>58647969.414242342</v>
      </c>
      <c r="V58" s="24">
        <v>6.4156338371854263E-2</v>
      </c>
      <c r="W58" s="23">
        <v>31</v>
      </c>
      <c r="X58" s="28">
        <v>60782382.200529516</v>
      </c>
      <c r="Y58" s="24">
        <v>6.5043326409122484E-2</v>
      </c>
      <c r="Z58" s="23">
        <v>36</v>
      </c>
      <c r="AA58" s="28">
        <v>61198141.215971597</v>
      </c>
      <c r="AB58" s="24">
        <v>6.6467787791233121E-2</v>
      </c>
    </row>
    <row r="59" spans="1:36" x14ac:dyDescent="0.25">
      <c r="A59" t="s">
        <v>4045</v>
      </c>
      <c r="B59" t="s">
        <v>7089</v>
      </c>
      <c r="C59" t="s">
        <v>4047</v>
      </c>
      <c r="D59" s="12" t="s">
        <v>4046</v>
      </c>
      <c r="E59" s="12" t="s">
        <v>3992</v>
      </c>
      <c r="I59" s="17">
        <v>-1.0380380845742601</v>
      </c>
      <c r="J59" s="17">
        <v>0.494508175771392</v>
      </c>
      <c r="K59" s="21">
        <v>78</v>
      </c>
      <c r="L59" s="27">
        <v>537323906.53136694</v>
      </c>
      <c r="M59" s="22">
        <v>0.43988103283323038</v>
      </c>
      <c r="N59" s="21">
        <v>58</v>
      </c>
      <c r="O59" s="27">
        <v>542737813.40613568</v>
      </c>
      <c r="P59" s="22">
        <v>0.44820426573285432</v>
      </c>
      <c r="Q59" s="21">
        <v>80</v>
      </c>
      <c r="R59" s="27">
        <v>538962954.34445727</v>
      </c>
      <c r="S59" s="22">
        <v>0.4477011883732207</v>
      </c>
      <c r="T59" s="23">
        <v>67</v>
      </c>
      <c r="U59" s="28">
        <v>542997356.43609762</v>
      </c>
      <c r="V59" s="24">
        <v>0.44378215165532564</v>
      </c>
      <c r="W59" s="23">
        <v>67</v>
      </c>
      <c r="X59" s="28">
        <v>619687455.7349174</v>
      </c>
      <c r="Y59" s="24">
        <v>0.49543109204613445</v>
      </c>
      <c r="Z59" s="23">
        <v>75</v>
      </c>
      <c r="AA59" s="28">
        <v>532472099.96769851</v>
      </c>
      <c r="AB59" s="24">
        <v>0.43207125771850169</v>
      </c>
    </row>
    <row r="60" spans="1:36" x14ac:dyDescent="0.25">
      <c r="A60" t="s">
        <v>4042</v>
      </c>
      <c r="B60" t="s">
        <v>7088</v>
      </c>
      <c r="C60" t="s">
        <v>4044</v>
      </c>
      <c r="D60" s="12" t="s">
        <v>4043</v>
      </c>
      <c r="E60" s="12" t="s">
        <v>3992</v>
      </c>
      <c r="H60" t="s">
        <v>12</v>
      </c>
      <c r="I60" s="17">
        <v>-1.0716965227088999</v>
      </c>
      <c r="J60" s="17">
        <v>0.46697094757634899</v>
      </c>
      <c r="K60" s="21">
        <v>183</v>
      </c>
      <c r="L60" s="27">
        <v>2020183001.7630401</v>
      </c>
      <c r="M60" s="22">
        <v>2.7353086295675038</v>
      </c>
      <c r="N60" s="21">
        <v>119</v>
      </c>
      <c r="O60" s="27">
        <v>1921132760.7426155</v>
      </c>
      <c r="P60" s="22">
        <v>2.6239758490981835</v>
      </c>
      <c r="Q60" s="21">
        <v>174</v>
      </c>
      <c r="R60" s="27">
        <v>1801441147.6903534</v>
      </c>
      <c r="S60" s="22">
        <v>2.474947331172431</v>
      </c>
      <c r="T60" s="23">
        <v>115</v>
      </c>
      <c r="U60" s="28">
        <v>1927573788.6377256</v>
      </c>
      <c r="V60" s="24">
        <v>2.6055516034075397</v>
      </c>
      <c r="W60" s="23">
        <v>105</v>
      </c>
      <c r="X60" s="28">
        <v>1977211422.8236969</v>
      </c>
      <c r="Y60" s="24">
        <v>2.6144492431546715</v>
      </c>
      <c r="Z60" s="23">
        <v>117</v>
      </c>
      <c r="AA60" s="28">
        <v>1919402745.6068382</v>
      </c>
      <c r="AB60" s="24">
        <v>2.5759722631804918</v>
      </c>
    </row>
    <row r="61" spans="1:36" x14ac:dyDescent="0.25">
      <c r="A61" t="s">
        <v>4048</v>
      </c>
      <c r="B61" t="s">
        <v>7090</v>
      </c>
      <c r="C61" t="s">
        <v>4050</v>
      </c>
      <c r="D61" s="12" t="s">
        <v>4049</v>
      </c>
      <c r="E61" s="12" t="s">
        <v>3992</v>
      </c>
      <c r="H61" t="s">
        <v>12</v>
      </c>
      <c r="I61" s="17">
        <v>-1.0822138616071999</v>
      </c>
      <c r="J61" s="17">
        <v>0.84109902483320997</v>
      </c>
      <c r="K61" s="21">
        <v>62</v>
      </c>
      <c r="L61" s="27">
        <v>253189360.637297</v>
      </c>
      <c r="M61" s="22">
        <v>0.48343213473115787</v>
      </c>
      <c r="N61" s="21">
        <v>40</v>
      </c>
      <c r="O61" s="27">
        <v>154064887.54833916</v>
      </c>
      <c r="P61" s="22">
        <v>0.29674305746781077</v>
      </c>
      <c r="Q61" s="21">
        <v>59</v>
      </c>
      <c r="R61" s="27">
        <v>282320231.21816367</v>
      </c>
      <c r="S61" s="22">
        <v>0.54696851026353854</v>
      </c>
      <c r="T61" s="23">
        <v>47</v>
      </c>
      <c r="U61" s="28">
        <v>252782578.91853219</v>
      </c>
      <c r="V61" s="24">
        <v>0.4818482070916521</v>
      </c>
      <c r="W61" s="23">
        <v>50</v>
      </c>
      <c r="X61" s="28">
        <v>210036336.82427207</v>
      </c>
      <c r="Y61" s="24">
        <v>0.39164806001645819</v>
      </c>
      <c r="Z61" s="23">
        <v>44</v>
      </c>
      <c r="AA61" s="28">
        <v>227946889.8380875</v>
      </c>
      <c r="AB61" s="24">
        <v>0.43140302098925321</v>
      </c>
    </row>
    <row r="62" spans="1:36" x14ac:dyDescent="0.25">
      <c r="A62" t="s">
        <v>3990</v>
      </c>
      <c r="B62" t="s">
        <v>7072</v>
      </c>
      <c r="C62" t="s">
        <v>3994</v>
      </c>
      <c r="D62" s="12" t="s">
        <v>3991</v>
      </c>
      <c r="E62" s="12" t="s">
        <v>3992</v>
      </c>
      <c r="H62" t="s">
        <v>3993</v>
      </c>
      <c r="I62" s="17">
        <v>-1.0852968992964001</v>
      </c>
      <c r="J62" s="17">
        <v>0.56349265835420503</v>
      </c>
      <c r="K62" s="21">
        <v>3</v>
      </c>
      <c r="L62" s="27">
        <v>1562036.0194133201</v>
      </c>
      <c r="M62" s="22">
        <v>8.7382149378915502E-3</v>
      </c>
      <c r="N62" s="21">
        <v>1</v>
      </c>
      <c r="O62" s="27">
        <v>1409156.3383898365</v>
      </c>
      <c r="P62" s="22">
        <v>7.9520241389574274E-3</v>
      </c>
      <c r="Q62" s="21">
        <v>0</v>
      </c>
      <c r="R62" s="27">
        <v>1303585.4219453055</v>
      </c>
      <c r="S62" s="22">
        <v>7.3994839693857905E-3</v>
      </c>
      <c r="T62" s="23">
        <v>0</v>
      </c>
      <c r="U62" s="28">
        <v>1440373.8192926932</v>
      </c>
      <c r="V62" s="24">
        <v>8.0441459461464762E-3</v>
      </c>
      <c r="W62" s="23">
        <v>0</v>
      </c>
      <c r="X62" s="28">
        <v>1678481.6711351613</v>
      </c>
      <c r="Y62" s="24">
        <v>9.1697978779943182E-3</v>
      </c>
      <c r="Z62" s="23">
        <v>0</v>
      </c>
      <c r="AA62" s="28">
        <v>1186930.8061884465</v>
      </c>
      <c r="AB62" s="24">
        <v>6.5813733519926197E-3</v>
      </c>
    </row>
    <row r="63" spans="1:36" x14ac:dyDescent="0.25">
      <c r="A63" t="s">
        <v>4018</v>
      </c>
      <c r="B63" t="s">
        <v>7080</v>
      </c>
      <c r="C63" t="s">
        <v>4020</v>
      </c>
      <c r="D63" s="12" t="s">
        <v>4019</v>
      </c>
      <c r="E63" s="12" t="s">
        <v>3992</v>
      </c>
      <c r="H63" t="s">
        <v>12</v>
      </c>
      <c r="I63" s="17">
        <v>-1.1057944433984701</v>
      </c>
      <c r="J63" s="17">
        <v>0.28874346724710598</v>
      </c>
      <c r="K63" s="21">
        <v>38</v>
      </c>
      <c r="L63" s="27">
        <v>161447244.241759</v>
      </c>
      <c r="M63" s="22">
        <v>0.25611859664985454</v>
      </c>
      <c r="N63" s="21">
        <v>30</v>
      </c>
      <c r="O63" s="27">
        <v>151403816.4076505</v>
      </c>
      <c r="P63" s="22">
        <v>0.24228924242769825</v>
      </c>
      <c r="Q63" s="21">
        <v>38</v>
      </c>
      <c r="R63" s="27">
        <v>170456407.99577084</v>
      </c>
      <c r="S63" s="22">
        <v>0.27438102186042151</v>
      </c>
      <c r="T63" s="23">
        <v>40</v>
      </c>
      <c r="U63" s="28">
        <v>166746076.36559302</v>
      </c>
      <c r="V63" s="24">
        <v>0.26408220911857688</v>
      </c>
      <c r="W63" s="23">
        <v>33</v>
      </c>
      <c r="X63" s="28">
        <v>157289643.74489069</v>
      </c>
      <c r="Y63" s="24">
        <v>0.24368123489997071</v>
      </c>
      <c r="Z63" s="23">
        <v>38</v>
      </c>
      <c r="AA63" s="28">
        <v>149076680.28934798</v>
      </c>
      <c r="AB63" s="24">
        <v>0.2344118907597732</v>
      </c>
    </row>
    <row r="64" spans="1:36" x14ac:dyDescent="0.25">
      <c r="A64" t="s">
        <v>4030</v>
      </c>
      <c r="B64" t="s">
        <v>7084</v>
      </c>
      <c r="C64" t="s">
        <v>4032</v>
      </c>
      <c r="D64" s="12" t="s">
        <v>4031</v>
      </c>
      <c r="E64" s="12" t="s">
        <v>3992</v>
      </c>
      <c r="H64" t="s">
        <v>12</v>
      </c>
      <c r="I64" s="17">
        <v>-1.10695738350046</v>
      </c>
      <c r="J64" s="17">
        <v>0.40720993623480201</v>
      </c>
      <c r="K64" s="21">
        <v>63</v>
      </c>
      <c r="L64" s="27">
        <v>497410239.77031702</v>
      </c>
      <c r="M64" s="22">
        <v>0.93024398964527522</v>
      </c>
      <c r="N64" s="21">
        <v>33</v>
      </c>
      <c r="O64" s="27">
        <v>432509286.78282183</v>
      </c>
      <c r="P64" s="22">
        <v>0.81595164185108193</v>
      </c>
      <c r="Q64" s="21">
        <v>65</v>
      </c>
      <c r="R64" s="27">
        <v>526586212.93405277</v>
      </c>
      <c r="S64" s="22">
        <v>0.99926780466005549</v>
      </c>
      <c r="T64" s="23">
        <v>53</v>
      </c>
      <c r="U64" s="28">
        <v>505499943.56800926</v>
      </c>
      <c r="V64" s="24">
        <v>0.94379203175549342</v>
      </c>
      <c r="W64" s="23">
        <v>36</v>
      </c>
      <c r="X64" s="28">
        <v>450400456.18737179</v>
      </c>
      <c r="Y64" s="24">
        <v>0.82260710052164887</v>
      </c>
      <c r="Z64" s="23">
        <v>42</v>
      </c>
      <c r="AA64" s="28">
        <v>467777114.04660714</v>
      </c>
      <c r="AB64" s="24">
        <v>0.86712272691995451</v>
      </c>
    </row>
    <row r="65" spans="1:36" x14ac:dyDescent="0.25">
      <c r="A65" t="s">
        <v>4036</v>
      </c>
      <c r="B65" t="s">
        <v>7086</v>
      </c>
      <c r="C65" t="s">
        <v>4038</v>
      </c>
      <c r="D65" s="12" t="s">
        <v>4037</v>
      </c>
      <c r="E65" s="12" t="s">
        <v>3992</v>
      </c>
      <c r="H65" t="s">
        <v>553</v>
      </c>
      <c r="I65" s="17">
        <v>-1.12507085818907</v>
      </c>
      <c r="J65" s="17">
        <v>0.43219328409268698</v>
      </c>
      <c r="K65" s="21">
        <v>31</v>
      </c>
      <c r="L65" s="27">
        <v>108409159.366459</v>
      </c>
      <c r="M65" s="22">
        <v>0.23045240898586938</v>
      </c>
      <c r="N65" s="21">
        <v>24</v>
      </c>
      <c r="O65" s="27">
        <v>87046734.190314665</v>
      </c>
      <c r="P65" s="22">
        <v>0.18666143053374537</v>
      </c>
      <c r="Q65" s="21">
        <v>30</v>
      </c>
      <c r="R65" s="27">
        <v>112618527.63643649</v>
      </c>
      <c r="S65" s="22">
        <v>0.24291558560855875</v>
      </c>
      <c r="T65" s="23">
        <v>27</v>
      </c>
      <c r="U65" s="28">
        <v>104091433.42492066</v>
      </c>
      <c r="V65" s="24">
        <v>0.22090386188596126</v>
      </c>
      <c r="W65" s="23">
        <v>27</v>
      </c>
      <c r="X65" s="28">
        <v>92238597.270254254</v>
      </c>
      <c r="Y65" s="24">
        <v>0.19148706659361511</v>
      </c>
      <c r="Z65" s="23">
        <v>28</v>
      </c>
      <c r="AA65" s="28">
        <v>100302475.27440201</v>
      </c>
      <c r="AB65" s="24">
        <v>0.21134227294283872</v>
      </c>
    </row>
    <row r="66" spans="1:36" x14ac:dyDescent="0.25">
      <c r="A66" t="s">
        <v>4039</v>
      </c>
      <c r="B66" t="s">
        <v>7087</v>
      </c>
      <c r="C66" t="s">
        <v>4041</v>
      </c>
      <c r="D66" s="12" t="s">
        <v>4040</v>
      </c>
      <c r="E66" s="12" t="s">
        <v>3992</v>
      </c>
      <c r="H66" t="s">
        <v>553</v>
      </c>
      <c r="I66" s="17">
        <v>-1.1285166348733799</v>
      </c>
      <c r="J66" s="17">
        <v>0.45662851554843298</v>
      </c>
      <c r="K66" s="21">
        <v>14</v>
      </c>
      <c r="L66" s="27">
        <v>96474083.920152307</v>
      </c>
      <c r="M66" s="22">
        <v>0.54446347426415442</v>
      </c>
      <c r="N66" s="21">
        <v>7</v>
      </c>
      <c r="O66" s="27">
        <v>108009950.14874989</v>
      </c>
      <c r="P66" s="22">
        <v>0.61490593491929546</v>
      </c>
      <c r="Q66" s="21">
        <v>12</v>
      </c>
      <c r="R66" s="27">
        <v>74525209.191692919</v>
      </c>
      <c r="S66" s="22">
        <v>0.42676770771050265</v>
      </c>
      <c r="T66" s="23">
        <v>14</v>
      </c>
      <c r="U66" s="28">
        <v>84974429.561268121</v>
      </c>
      <c r="V66" s="24">
        <v>0.47876168658528401</v>
      </c>
      <c r="W66" s="23">
        <v>9</v>
      </c>
      <c r="X66" s="28">
        <v>98782693.464973584</v>
      </c>
      <c r="Y66" s="24">
        <v>0.54444050907737473</v>
      </c>
      <c r="Z66" s="23">
        <v>9</v>
      </c>
      <c r="AA66" s="28">
        <v>85554634.421861723</v>
      </c>
      <c r="AB66" s="24">
        <v>0.47858719471139916</v>
      </c>
    </row>
    <row r="67" spans="1:36" x14ac:dyDescent="0.25">
      <c r="A67" t="s">
        <v>4027</v>
      </c>
      <c r="B67" t="s">
        <v>7083</v>
      </c>
      <c r="C67" t="s">
        <v>4029</v>
      </c>
      <c r="D67" s="12" t="s">
        <v>4028</v>
      </c>
      <c r="E67" s="12" t="s">
        <v>3992</v>
      </c>
      <c r="H67" t="s">
        <v>12</v>
      </c>
      <c r="I67" s="17">
        <v>-1.13080410432683</v>
      </c>
      <c r="J67" s="17">
        <v>0.39693073624085201</v>
      </c>
      <c r="K67" s="21">
        <v>98</v>
      </c>
      <c r="L67" s="27">
        <v>661470898.61486602</v>
      </c>
      <c r="M67" s="22">
        <v>0.63055235874341931</v>
      </c>
      <c r="N67" s="21">
        <v>84</v>
      </c>
      <c r="O67" s="27">
        <v>546391974.40027523</v>
      </c>
      <c r="P67" s="22">
        <v>0.52541389817573692</v>
      </c>
      <c r="Q67" s="21">
        <v>96</v>
      </c>
      <c r="R67" s="27">
        <v>692180162.70780122</v>
      </c>
      <c r="S67" s="22">
        <v>0.66951424343888444</v>
      </c>
      <c r="T67" s="23">
        <v>80</v>
      </c>
      <c r="U67" s="28">
        <v>623770749.19181561</v>
      </c>
      <c r="V67" s="24">
        <v>0.59361991368978806</v>
      </c>
      <c r="W67" s="23">
        <v>73</v>
      </c>
      <c r="X67" s="28">
        <v>551882590.58969915</v>
      </c>
      <c r="Y67" s="24">
        <v>0.51376981812393629</v>
      </c>
      <c r="Z67" s="23">
        <v>80</v>
      </c>
      <c r="AA67" s="28">
        <v>643249096.05694377</v>
      </c>
      <c r="AB67" s="24">
        <v>0.60778369441913105</v>
      </c>
    </row>
    <row r="68" spans="1:36" x14ac:dyDescent="0.25">
      <c r="A68" t="s">
        <v>4006</v>
      </c>
      <c r="B68" t="s">
        <v>7076</v>
      </c>
      <c r="C68" t="s">
        <v>4008</v>
      </c>
      <c r="D68" s="12" t="s">
        <v>4007</v>
      </c>
      <c r="E68" s="12" t="s">
        <v>3992</v>
      </c>
      <c r="I68" s="17">
        <v>-1.1513400065349499</v>
      </c>
      <c r="J68" s="17">
        <v>0.70089522842021101</v>
      </c>
      <c r="K68" s="21">
        <v>4</v>
      </c>
      <c r="L68" s="27">
        <v>852838.62645519804</v>
      </c>
      <c r="M68" s="22">
        <v>1.4237706280580602E-3</v>
      </c>
      <c r="N68" s="21">
        <v>0</v>
      </c>
      <c r="O68" s="27">
        <v>441318.03973722912</v>
      </c>
      <c r="P68" s="22">
        <v>7.4321023210715393E-4</v>
      </c>
      <c r="Q68" s="21">
        <v>3</v>
      </c>
      <c r="R68" s="27">
        <v>685468.91779134155</v>
      </c>
      <c r="S68" s="22">
        <v>1.1611576658983841E-3</v>
      </c>
      <c r="T68" s="23">
        <v>1</v>
      </c>
      <c r="U68" s="28">
        <v>591620.25784300559</v>
      </c>
      <c r="V68" s="24">
        <v>9.8602799934389388E-4</v>
      </c>
      <c r="W68" s="23">
        <v>1</v>
      </c>
      <c r="X68" s="28">
        <v>865555.08032334957</v>
      </c>
      <c r="Y68" s="24">
        <v>1.4111700741171202E-3</v>
      </c>
      <c r="Z68" s="23">
        <v>1</v>
      </c>
      <c r="AA68" s="28">
        <v>451344.49982553977</v>
      </c>
      <c r="AB68" s="24">
        <v>7.4686269835488297E-4</v>
      </c>
    </row>
    <row r="69" spans="1:36" x14ac:dyDescent="0.25">
      <c r="A69" t="s">
        <v>4021</v>
      </c>
      <c r="B69" t="s">
        <v>7081</v>
      </c>
      <c r="C69" t="s">
        <v>4023</v>
      </c>
      <c r="D69" s="12" t="s">
        <v>4022</v>
      </c>
      <c r="E69" s="12" t="s">
        <v>3992</v>
      </c>
      <c r="H69" t="s">
        <v>12</v>
      </c>
      <c r="I69" s="17">
        <v>-1.1642349465830999</v>
      </c>
      <c r="J69" s="17">
        <v>0.30166354059015899</v>
      </c>
      <c r="K69" s="21">
        <v>8</v>
      </c>
      <c r="L69" s="27">
        <v>23226836.042371102</v>
      </c>
      <c r="M69" s="22">
        <v>6.5253036687635685E-2</v>
      </c>
      <c r="N69" s="21">
        <v>6</v>
      </c>
      <c r="O69" s="27">
        <v>18832391.9630775</v>
      </c>
      <c r="P69" s="22">
        <v>5.3370711198890489E-2</v>
      </c>
      <c r="Q69" s="21">
        <v>7</v>
      </c>
      <c r="R69" s="27">
        <v>21623568.061774299</v>
      </c>
      <c r="S69" s="22">
        <v>6.164080337188959E-2</v>
      </c>
      <c r="T69" s="23">
        <v>6</v>
      </c>
      <c r="U69" s="28">
        <v>21348670.350084346</v>
      </c>
      <c r="V69" s="24">
        <v>5.9876243786002065E-2</v>
      </c>
      <c r="W69" s="23">
        <v>6</v>
      </c>
      <c r="X69" s="28">
        <v>18837233.393696476</v>
      </c>
      <c r="Y69" s="24">
        <v>5.1681995357469077E-2</v>
      </c>
      <c r="Z69" s="23">
        <v>5</v>
      </c>
      <c r="AA69" s="28">
        <v>19176614.806781519</v>
      </c>
      <c r="AB69" s="24">
        <v>5.3400099408701121E-2</v>
      </c>
    </row>
    <row r="70" spans="1:36" x14ac:dyDescent="0.25">
      <c r="A70" t="s">
        <v>4024</v>
      </c>
      <c r="B70" t="s">
        <v>7082</v>
      </c>
      <c r="C70" t="s">
        <v>4026</v>
      </c>
      <c r="D70" s="12" t="s">
        <v>4025</v>
      </c>
      <c r="E70" s="12" t="s">
        <v>3992</v>
      </c>
      <c r="H70" t="s">
        <v>12</v>
      </c>
      <c r="I70" s="17">
        <v>-1.1672387554476999</v>
      </c>
      <c r="J70" s="17">
        <v>0.38245651994308499</v>
      </c>
      <c r="K70" s="21">
        <v>20</v>
      </c>
      <c r="L70" s="27">
        <v>26501938.1437907</v>
      </c>
      <c r="M70" s="22">
        <v>7.1012893552042905E-2</v>
      </c>
      <c r="N70" s="21">
        <v>12</v>
      </c>
      <c r="O70" s="27">
        <v>19913034.439813185</v>
      </c>
      <c r="P70" s="22">
        <v>5.3824976691072252E-2</v>
      </c>
      <c r="Q70" s="21">
        <v>20</v>
      </c>
      <c r="R70" s="27">
        <v>29700399.009289555</v>
      </c>
      <c r="S70" s="22">
        <v>8.0751782326248536E-2</v>
      </c>
      <c r="T70" s="23">
        <v>16</v>
      </c>
      <c r="U70" s="28">
        <v>23202414.32951631</v>
      </c>
      <c r="V70" s="24">
        <v>6.206772033975224E-2</v>
      </c>
      <c r="W70" s="23">
        <v>13</v>
      </c>
      <c r="X70" s="28">
        <v>23681116.175746281</v>
      </c>
      <c r="Y70" s="24">
        <v>6.1968819435113807E-2</v>
      </c>
      <c r="Z70" s="23">
        <v>18</v>
      </c>
      <c r="AA70" s="28">
        <v>23939567.220826387</v>
      </c>
      <c r="AB70" s="24">
        <v>6.3582165590964621E-2</v>
      </c>
    </row>
    <row r="71" spans="1:36" x14ac:dyDescent="0.25">
      <c r="A71" t="s">
        <v>4002</v>
      </c>
      <c r="B71" t="s">
        <v>7075</v>
      </c>
      <c r="C71" t="s">
        <v>4005</v>
      </c>
      <c r="D71" s="12" t="s">
        <v>4003</v>
      </c>
      <c r="E71" s="12" t="s">
        <v>3992</v>
      </c>
      <c r="F71" t="s">
        <v>4004</v>
      </c>
      <c r="I71" s="17">
        <v>-1.1710545240388801</v>
      </c>
      <c r="J71" s="17">
        <v>8.5231118635175407E-2</v>
      </c>
      <c r="K71" s="21">
        <v>9</v>
      </c>
      <c r="L71" s="27">
        <v>10503343.878910299</v>
      </c>
      <c r="M71" s="22">
        <v>2.5663956315971796E-2</v>
      </c>
      <c r="N71" s="21">
        <v>3</v>
      </c>
      <c r="O71" s="27">
        <v>10079361.372860149</v>
      </c>
      <c r="P71" s="22">
        <v>2.484367683959457E-2</v>
      </c>
      <c r="Q71" s="21">
        <v>7</v>
      </c>
      <c r="R71" s="27">
        <v>10704933.63422328</v>
      </c>
      <c r="S71" s="22">
        <v>2.6540570976855454E-2</v>
      </c>
      <c r="T71" s="23">
        <v>7</v>
      </c>
      <c r="U71" s="28">
        <v>9893591.132941125</v>
      </c>
      <c r="V71" s="24">
        <v>2.4133650837105051E-2</v>
      </c>
      <c r="W71" s="23">
        <v>5</v>
      </c>
      <c r="X71" s="28">
        <v>10246600.715433743</v>
      </c>
      <c r="Y71" s="24">
        <v>2.4450475923640441E-2</v>
      </c>
      <c r="Z71" s="23">
        <v>6</v>
      </c>
      <c r="AA71" s="28">
        <v>8853018.3143549487</v>
      </c>
      <c r="AB71" s="24">
        <v>2.1441088685867853E-2</v>
      </c>
    </row>
    <row r="72" spans="1:36" x14ac:dyDescent="0.25">
      <c r="A72" t="s">
        <v>4015</v>
      </c>
      <c r="B72" t="s">
        <v>7079</v>
      </c>
      <c r="C72" t="s">
        <v>4017</v>
      </c>
      <c r="D72" s="12" t="s">
        <v>4016</v>
      </c>
      <c r="E72" s="12" t="s">
        <v>3992</v>
      </c>
      <c r="I72" s="17">
        <v>-1.1830180552021801</v>
      </c>
      <c r="J72" s="17">
        <v>0.21206683703335399</v>
      </c>
      <c r="K72" s="21">
        <v>19</v>
      </c>
      <c r="L72" s="27">
        <v>22419014.163745198</v>
      </c>
      <c r="M72" s="22">
        <v>3.7525636372166229E-2</v>
      </c>
      <c r="N72" s="21">
        <v>11</v>
      </c>
      <c r="O72" s="27">
        <v>18569735.184527583</v>
      </c>
      <c r="P72" s="22">
        <v>3.1354804512598436E-2</v>
      </c>
      <c r="Q72" s="21">
        <v>19</v>
      </c>
      <c r="R72" s="27">
        <v>23436963.137291722</v>
      </c>
      <c r="S72" s="22">
        <v>3.9805506202071503E-2</v>
      </c>
      <c r="T72" s="23">
        <v>13</v>
      </c>
      <c r="U72" s="28">
        <v>19604282.861202497</v>
      </c>
      <c r="V72" s="24">
        <v>3.2759371294816875E-2</v>
      </c>
      <c r="W72" s="23">
        <v>11</v>
      </c>
      <c r="X72" s="28">
        <v>19070440.757572778</v>
      </c>
      <c r="Y72" s="24">
        <v>3.1173370850771272E-2</v>
      </c>
      <c r="Z72" s="23">
        <v>14</v>
      </c>
      <c r="AA72" s="28">
        <v>20402442.883511085</v>
      </c>
      <c r="AB72" s="24">
        <v>3.3849571310685257E-2</v>
      </c>
    </row>
    <row r="73" spans="1:36" x14ac:dyDescent="0.25">
      <c r="A73" t="s">
        <v>4033</v>
      </c>
      <c r="B73" t="s">
        <v>7085</v>
      </c>
      <c r="C73" t="s">
        <v>4035</v>
      </c>
      <c r="D73" s="12" t="s">
        <v>4034</v>
      </c>
      <c r="E73" s="12" t="s">
        <v>3992</v>
      </c>
      <c r="H73" t="s">
        <v>12</v>
      </c>
      <c r="I73" s="17">
        <v>-1.31202538787766</v>
      </c>
      <c r="J73" s="17">
        <v>0.41816385259682998</v>
      </c>
      <c r="K73" s="21">
        <v>13</v>
      </c>
      <c r="L73" s="27">
        <v>12803775.7919786</v>
      </c>
      <c r="M73" s="22">
        <v>3.3602246792739827E-2</v>
      </c>
      <c r="N73" s="21">
        <v>5</v>
      </c>
      <c r="O73" s="27">
        <v>6652559.0254169004</v>
      </c>
      <c r="P73" s="22">
        <v>1.7611884374882859E-2</v>
      </c>
      <c r="Q73" s="21">
        <v>14</v>
      </c>
      <c r="R73" s="27">
        <v>11641235.496063903</v>
      </c>
      <c r="S73" s="22">
        <v>3.099984991157401E-2</v>
      </c>
      <c r="T73" s="23">
        <v>9</v>
      </c>
      <c r="U73" s="28">
        <v>9580815.7101030294</v>
      </c>
      <c r="V73" s="24">
        <v>2.510185327827167E-2</v>
      </c>
      <c r="W73" s="23">
        <v>2</v>
      </c>
      <c r="X73" s="28">
        <v>7635811.0117159393</v>
      </c>
      <c r="Y73" s="24">
        <v>1.9570274105918838E-2</v>
      </c>
      <c r="Z73" s="23">
        <v>5</v>
      </c>
      <c r="AA73" s="28">
        <v>8609119.4868857861</v>
      </c>
      <c r="AB73" s="24">
        <v>2.2394864533715454E-2</v>
      </c>
    </row>
    <row r="74" spans="1:36" x14ac:dyDescent="0.25">
      <c r="A74" s="16" t="s">
        <v>3998</v>
      </c>
      <c r="B74" s="16" t="s">
        <v>7074</v>
      </c>
      <c r="C74" s="16" t="s">
        <v>4001</v>
      </c>
      <c r="D74" s="37" t="s">
        <v>3999</v>
      </c>
      <c r="E74" s="37" t="s">
        <v>3992</v>
      </c>
      <c r="F74" s="16" t="s">
        <v>4000</v>
      </c>
      <c r="G74" s="16"/>
      <c r="H74" s="16" t="s">
        <v>57</v>
      </c>
      <c r="I74" s="30">
        <v>-1.51926934675785</v>
      </c>
      <c r="J74" s="30">
        <v>4.2766711113147303E-2</v>
      </c>
      <c r="K74" s="31">
        <v>2</v>
      </c>
      <c r="L74" s="32">
        <v>973626.30577394099</v>
      </c>
      <c r="M74" s="33">
        <v>2.4066288774265525E-3</v>
      </c>
      <c r="N74" s="31">
        <v>1</v>
      </c>
      <c r="O74" s="32">
        <v>850894.71972360392</v>
      </c>
      <c r="P74" s="33">
        <v>2.1216780593140503E-3</v>
      </c>
      <c r="Q74" s="31">
        <v>3</v>
      </c>
      <c r="R74" s="32">
        <v>982960.92277557834</v>
      </c>
      <c r="S74" s="33">
        <v>2.4653769821464276E-3</v>
      </c>
      <c r="T74" s="34">
        <v>1</v>
      </c>
      <c r="U74" s="35">
        <v>746903.46486757579</v>
      </c>
      <c r="V74" s="36">
        <v>1.8431230994607956E-3</v>
      </c>
      <c r="W74" s="34">
        <v>0</v>
      </c>
      <c r="X74" s="35">
        <v>561072.70985130977</v>
      </c>
      <c r="Y74" s="36">
        <v>1.3544015767036454E-3</v>
      </c>
      <c r="Z74" s="34">
        <v>2</v>
      </c>
      <c r="AA74" s="35">
        <v>685301.94721632882</v>
      </c>
      <c r="AB74" s="36">
        <v>1.6790291563340911E-3</v>
      </c>
      <c r="AC74" s="58"/>
      <c r="AD74" s="58"/>
      <c r="AE74" s="58"/>
      <c r="AF74" s="58"/>
      <c r="AG74" s="58"/>
      <c r="AH74" s="58"/>
      <c r="AI74" s="30"/>
      <c r="AJ74" s="30"/>
    </row>
    <row r="75" spans="1:36" x14ac:dyDescent="0.25">
      <c r="A75" t="s">
        <v>4121</v>
      </c>
      <c r="B75" t="s">
        <v>7114</v>
      </c>
      <c r="C75" t="s">
        <v>4123</v>
      </c>
      <c r="D75" s="1" t="s">
        <v>4122</v>
      </c>
      <c r="E75" s="1" t="s">
        <v>553</v>
      </c>
      <c r="H75" t="s">
        <v>553</v>
      </c>
      <c r="I75" s="17">
        <v>1.4064017476453601</v>
      </c>
      <c r="J75" s="17">
        <v>6.7408280433544299E-2</v>
      </c>
      <c r="K75" s="21">
        <v>1</v>
      </c>
      <c r="L75" s="27">
        <v>1072972.8467405101</v>
      </c>
      <c r="M75" s="22">
        <v>5.7501384341332382E-3</v>
      </c>
      <c r="N75" s="21">
        <v>0</v>
      </c>
      <c r="O75" s="27">
        <v>932684.76526003052</v>
      </c>
      <c r="P75" s="22">
        <v>5.0420980189607211E-3</v>
      </c>
      <c r="Q75" s="21">
        <v>2</v>
      </c>
      <c r="R75" s="27">
        <v>912033.46571391623</v>
      </c>
      <c r="S75" s="22">
        <v>4.9594167320478645E-3</v>
      </c>
      <c r="T75" s="23">
        <v>1</v>
      </c>
      <c r="U75" s="28">
        <v>1262004.3267218394</v>
      </c>
      <c r="V75" s="24">
        <v>6.7518604319450884E-3</v>
      </c>
      <c r="W75" s="23">
        <v>0</v>
      </c>
      <c r="X75" s="28">
        <v>1931438.9669903393</v>
      </c>
      <c r="Y75" s="24">
        <v>1.0108391150747372E-2</v>
      </c>
      <c r="Z75" s="23">
        <v>0</v>
      </c>
      <c r="AA75" s="28">
        <v>1320446.920326865</v>
      </c>
      <c r="AB75" s="24">
        <v>7.0140678791605843E-3</v>
      </c>
      <c r="AC75" s="20">
        <v>3.9679170208167713</v>
      </c>
      <c r="AD75" s="20">
        <v>3.7203787665723382</v>
      </c>
      <c r="AE75" s="20">
        <v>4.1527869295676378</v>
      </c>
      <c r="AF75" s="20">
        <v>3.9769021865473273</v>
      </c>
      <c r="AG75" s="20">
        <v>3.8057786359778176</v>
      </c>
      <c r="AH75" s="20">
        <v>3.8256164359973712</v>
      </c>
    </row>
    <row r="76" spans="1:36" x14ac:dyDescent="0.25">
      <c r="A76" t="s">
        <v>4129</v>
      </c>
      <c r="B76" t="s">
        <v>7117</v>
      </c>
      <c r="C76" t="s">
        <v>4132</v>
      </c>
      <c r="D76" s="1" t="s">
        <v>4130</v>
      </c>
      <c r="E76" s="1" t="s">
        <v>553</v>
      </c>
      <c r="G76" t="s">
        <v>4131</v>
      </c>
      <c r="I76" s="17">
        <v>1.2513777322140001</v>
      </c>
      <c r="J76" s="17">
        <v>0.119214841204435</v>
      </c>
      <c r="K76" s="21">
        <v>0</v>
      </c>
      <c r="L76" s="27">
        <v>359183.97798932297</v>
      </c>
      <c r="M76" s="22">
        <v>1.9918454864523488E-3</v>
      </c>
      <c r="N76" s="21">
        <v>1</v>
      </c>
      <c r="O76" s="27">
        <v>409058.74442975776</v>
      </c>
      <c r="P76" s="22">
        <v>2.2882907405854902E-3</v>
      </c>
      <c r="Q76" s="21">
        <v>2</v>
      </c>
      <c r="R76" s="27">
        <v>293999.64542684361</v>
      </c>
      <c r="S76" s="22">
        <v>1.6543056620802377E-3</v>
      </c>
      <c r="T76" s="23">
        <v>0</v>
      </c>
      <c r="U76" s="28">
        <v>415406.62633819628</v>
      </c>
      <c r="V76" s="24">
        <v>2.2997739664843996E-3</v>
      </c>
      <c r="W76" s="23">
        <v>0</v>
      </c>
      <c r="X76" s="28">
        <v>542038.90112883865</v>
      </c>
      <c r="Y76" s="24">
        <v>2.9354901469193138E-3</v>
      </c>
      <c r="Z76" s="23">
        <v>0</v>
      </c>
      <c r="AA76" s="28">
        <v>492006.31724788662</v>
      </c>
      <c r="AB76" s="24">
        <v>2.7043868564195985E-3</v>
      </c>
      <c r="AC76" s="17" t="s">
        <v>8084</v>
      </c>
      <c r="AD76" s="20">
        <v>3.9470275723189161</v>
      </c>
      <c r="AF76" s="17" t="s">
        <v>8084</v>
      </c>
      <c r="AG76" s="20">
        <v>3.8694324195075054</v>
      </c>
      <c r="AI76" s="47" t="s">
        <v>8087</v>
      </c>
      <c r="AJ76" s="20">
        <v>98.034086375387972</v>
      </c>
    </row>
    <row r="77" spans="1:36" x14ac:dyDescent="0.25">
      <c r="A77" t="s">
        <v>4147</v>
      </c>
      <c r="B77" t="s">
        <v>7123</v>
      </c>
      <c r="C77" t="s">
        <v>4149</v>
      </c>
      <c r="D77" s="1" t="s">
        <v>4148</v>
      </c>
      <c r="E77" s="1" t="s">
        <v>553</v>
      </c>
      <c r="I77" s="17">
        <v>1.1929907778087601</v>
      </c>
      <c r="J77" s="17">
        <v>0.20466313938528699</v>
      </c>
      <c r="K77" s="21">
        <v>2</v>
      </c>
      <c r="L77" s="27">
        <v>3407732.7495482201</v>
      </c>
      <c r="M77" s="22">
        <v>2.9770024914141883E-2</v>
      </c>
      <c r="N77" s="21">
        <v>1</v>
      </c>
      <c r="O77" s="27">
        <v>2728307.4999090326</v>
      </c>
      <c r="P77" s="22">
        <v>2.4043285826721765E-2</v>
      </c>
      <c r="Q77" s="21">
        <v>2</v>
      </c>
      <c r="R77" s="27">
        <v>3950945.0737638511</v>
      </c>
      <c r="S77" s="22">
        <v>3.5022320809484316E-2</v>
      </c>
      <c r="T77" s="23">
        <v>2</v>
      </c>
      <c r="U77" s="28">
        <v>4151728.1791156237</v>
      </c>
      <c r="V77" s="24">
        <v>3.6208924518385192E-2</v>
      </c>
      <c r="W77" s="23">
        <v>2</v>
      </c>
      <c r="X77" s="28">
        <v>4399286.6304636318</v>
      </c>
      <c r="Y77" s="24">
        <v>3.7532492795969215E-2</v>
      </c>
      <c r="Z77" s="23">
        <v>1</v>
      </c>
      <c r="AA77" s="28">
        <v>4509310.8744881423</v>
      </c>
      <c r="AB77" s="24">
        <v>3.9046606394281362E-2</v>
      </c>
      <c r="AC77" s="17" t="s">
        <v>8085</v>
      </c>
      <c r="AD77" s="20">
        <v>0.21695963138369964</v>
      </c>
      <c r="AF77" s="17" t="s">
        <v>8085</v>
      </c>
      <c r="AG77" s="20">
        <v>9.3598598804144215E-2</v>
      </c>
      <c r="AI77" s="17" t="s">
        <v>8086</v>
      </c>
      <c r="AJ77" s="20">
        <v>0.59991218087140274</v>
      </c>
    </row>
    <row r="78" spans="1:36" x14ac:dyDescent="0.25">
      <c r="A78" t="s">
        <v>4144</v>
      </c>
      <c r="B78" t="s">
        <v>7122</v>
      </c>
      <c r="C78" t="s">
        <v>4146</v>
      </c>
      <c r="D78" s="1" t="s">
        <v>4145</v>
      </c>
      <c r="E78" s="1" t="s">
        <v>553</v>
      </c>
      <c r="H78" t="s">
        <v>553</v>
      </c>
      <c r="I78" s="17">
        <v>1.16612133518098</v>
      </c>
      <c r="J78" s="17">
        <v>0.19434638147760699</v>
      </c>
      <c r="K78" s="21">
        <v>7</v>
      </c>
      <c r="L78" s="27">
        <v>11920651.7045306</v>
      </c>
      <c r="M78" s="22">
        <v>4.4457027238528825E-2</v>
      </c>
      <c r="N78" s="21">
        <v>7</v>
      </c>
      <c r="O78" s="27">
        <v>14764942.467467064</v>
      </c>
      <c r="P78" s="22">
        <v>5.5546795725909266E-2</v>
      </c>
      <c r="Q78" s="21">
        <v>7</v>
      </c>
      <c r="R78" s="27">
        <v>12314295.314126994</v>
      </c>
      <c r="S78" s="22">
        <v>4.6599391308109896E-2</v>
      </c>
      <c r="T78" s="23">
        <v>6</v>
      </c>
      <c r="U78" s="28">
        <v>14902814.708149316</v>
      </c>
      <c r="V78" s="24">
        <v>5.5485788904253402E-2</v>
      </c>
      <c r="W78" s="23">
        <v>6</v>
      </c>
      <c r="X78" s="28">
        <v>20360637.52831943</v>
      </c>
      <c r="Y78" s="24">
        <v>7.4155483896557267E-2</v>
      </c>
      <c r="Z78" s="23">
        <v>5</v>
      </c>
      <c r="AA78" s="28">
        <v>14222460.935487324</v>
      </c>
      <c r="AB78" s="24">
        <v>5.2574435349020163E-2</v>
      </c>
    </row>
    <row r="79" spans="1:36" x14ac:dyDescent="0.25">
      <c r="A79" t="s">
        <v>4082</v>
      </c>
      <c r="B79" t="s">
        <v>7102</v>
      </c>
      <c r="C79" t="s">
        <v>4084</v>
      </c>
      <c r="D79" s="1" t="s">
        <v>4083</v>
      </c>
      <c r="E79" s="1" t="s">
        <v>553</v>
      </c>
      <c r="H79" t="s">
        <v>553</v>
      </c>
      <c r="I79" s="17">
        <v>1.13439189744918</v>
      </c>
      <c r="J79" s="17">
        <v>0.57785309115597605</v>
      </c>
      <c r="K79" s="21">
        <v>1</v>
      </c>
      <c r="L79" s="27">
        <v>1681331.2921181901</v>
      </c>
      <c r="M79" s="22">
        <v>3.4476997479194345E-3</v>
      </c>
      <c r="N79" s="21">
        <v>0</v>
      </c>
      <c r="O79" s="27">
        <v>415715.18855545472</v>
      </c>
      <c r="P79" s="22">
        <v>8.5992161547234869E-4</v>
      </c>
      <c r="Q79" s="21">
        <v>2</v>
      </c>
      <c r="R79" s="27">
        <v>1726771.4045594011</v>
      </c>
      <c r="S79" s="22">
        <v>3.5928678941852224E-3</v>
      </c>
      <c r="T79" s="23">
        <v>1</v>
      </c>
      <c r="U79" s="28">
        <v>1675105.3393763972</v>
      </c>
      <c r="V79" s="24">
        <v>3.4291880988715226E-3</v>
      </c>
      <c r="W79" s="23">
        <v>1</v>
      </c>
      <c r="X79" s="28">
        <v>1316027.5202751884</v>
      </c>
      <c r="Y79" s="24">
        <v>2.6354367235303759E-3</v>
      </c>
      <c r="Z79" s="23">
        <v>1</v>
      </c>
      <c r="AA79" s="28">
        <v>1750269.2745427282</v>
      </c>
      <c r="AB79" s="24">
        <v>3.557463540277818E-3</v>
      </c>
    </row>
    <row r="80" spans="1:36" x14ac:dyDescent="0.25">
      <c r="A80" t="s">
        <v>4168</v>
      </c>
      <c r="B80" t="s">
        <v>7130</v>
      </c>
      <c r="C80" t="s">
        <v>4170</v>
      </c>
      <c r="D80" s="1" t="s">
        <v>4169</v>
      </c>
      <c r="E80" s="1" t="s">
        <v>553</v>
      </c>
      <c r="H80" t="s">
        <v>553</v>
      </c>
      <c r="I80" s="17">
        <v>1.0720488249967</v>
      </c>
      <c r="J80" s="17">
        <v>0.44101502556281902</v>
      </c>
      <c r="K80" s="21">
        <v>5</v>
      </c>
      <c r="L80" s="27">
        <v>5222273.9387640301</v>
      </c>
      <c r="M80" s="22">
        <v>2.1625963155518697E-2</v>
      </c>
      <c r="N80" s="21">
        <v>2</v>
      </c>
      <c r="O80" s="27">
        <v>5118971.3899056343</v>
      </c>
      <c r="P80" s="22">
        <v>2.1383822658763291E-2</v>
      </c>
      <c r="Q80" s="21">
        <v>4</v>
      </c>
      <c r="R80" s="27">
        <v>5303362.0665450487</v>
      </c>
      <c r="S80" s="22">
        <v>2.2284215361541054E-2</v>
      </c>
      <c r="T80" s="23">
        <v>5</v>
      </c>
      <c r="U80" s="28">
        <v>5362994.6219912348</v>
      </c>
      <c r="V80" s="24">
        <v>2.2171558121331345E-2</v>
      </c>
      <c r="W80" s="23">
        <v>5</v>
      </c>
      <c r="X80" s="28">
        <v>7381271.7693516118</v>
      </c>
      <c r="Y80" s="24">
        <v>2.9850972623048259E-2</v>
      </c>
      <c r="Z80" s="23">
        <v>4</v>
      </c>
      <c r="AA80" s="28">
        <v>5570521.5407125875</v>
      </c>
      <c r="AB80" s="24">
        <v>2.286499522265778E-2</v>
      </c>
    </row>
    <row r="81" spans="1:28" x14ac:dyDescent="0.25">
      <c r="A81" t="s">
        <v>4174</v>
      </c>
      <c r="B81" t="s">
        <v>7132</v>
      </c>
      <c r="C81" t="s">
        <v>4176</v>
      </c>
      <c r="D81" s="1" t="s">
        <v>4175</v>
      </c>
      <c r="E81" s="1" t="s">
        <v>553</v>
      </c>
      <c r="H81" t="s">
        <v>553</v>
      </c>
      <c r="I81" s="17">
        <v>1.06142995747153</v>
      </c>
      <c r="J81" s="17">
        <v>0.56317583874801502</v>
      </c>
      <c r="K81" s="21">
        <v>30</v>
      </c>
      <c r="L81" s="27">
        <v>113033910.41263901</v>
      </c>
      <c r="M81" s="22">
        <v>0.2281172880563434</v>
      </c>
      <c r="N81" s="21">
        <v>17</v>
      </c>
      <c r="O81" s="27">
        <v>93281016.41813454</v>
      </c>
      <c r="P81" s="22">
        <v>0.1899020048116575</v>
      </c>
      <c r="Q81" s="21">
        <v>26</v>
      </c>
      <c r="R81" s="27">
        <v>104343888.17944209</v>
      </c>
      <c r="S81" s="22">
        <v>0.2136715611599905</v>
      </c>
      <c r="T81" s="23">
        <v>29</v>
      </c>
      <c r="U81" s="28">
        <v>123048750.3466139</v>
      </c>
      <c r="V81" s="24">
        <v>0.24791322717935152</v>
      </c>
      <c r="W81" s="23">
        <v>19</v>
      </c>
      <c r="X81" s="28">
        <v>120648304.37961969</v>
      </c>
      <c r="Y81" s="24">
        <v>0.23778373866407426</v>
      </c>
      <c r="Z81" s="23">
        <v>23</v>
      </c>
      <c r="AA81" s="28">
        <v>114970130.98431624</v>
      </c>
      <c r="AB81" s="24">
        <v>0.22998203970156472</v>
      </c>
    </row>
    <row r="82" spans="1:28" x14ac:dyDescent="0.25">
      <c r="A82" t="s">
        <v>4180</v>
      </c>
      <c r="B82" t="s">
        <v>7134</v>
      </c>
      <c r="C82" t="s">
        <v>4182</v>
      </c>
      <c r="D82" s="1" t="s">
        <v>4181</v>
      </c>
      <c r="E82" s="1" t="s">
        <v>553</v>
      </c>
      <c r="H82" t="s">
        <v>553</v>
      </c>
      <c r="I82" s="17">
        <v>1.02818684686439</v>
      </c>
      <c r="J82" s="17">
        <v>0.73948566515319503</v>
      </c>
      <c r="K82" s="21">
        <v>68</v>
      </c>
      <c r="L82" s="27">
        <v>616897952.674263</v>
      </c>
      <c r="M82" s="22">
        <v>0.80783171242473628</v>
      </c>
      <c r="N82" s="21">
        <v>58</v>
      </c>
      <c r="O82" s="27">
        <v>572601893.97689044</v>
      </c>
      <c r="P82" s="22">
        <v>0.75639244364181402</v>
      </c>
      <c r="Q82" s="21">
        <v>74</v>
      </c>
      <c r="R82" s="27">
        <v>652106597.00144482</v>
      </c>
      <c r="S82" s="22">
        <v>0.86647576950351102</v>
      </c>
      <c r="T82" s="23">
        <v>64</v>
      </c>
      <c r="U82" s="28">
        <v>707321814.29167199</v>
      </c>
      <c r="V82" s="24">
        <v>0.92469320212038519</v>
      </c>
      <c r="W82" s="23">
        <v>58</v>
      </c>
      <c r="X82" s="28">
        <v>673376738.7895267</v>
      </c>
      <c r="Y82" s="24">
        <v>0.86114673625262417</v>
      </c>
      <c r="Z82" s="23">
        <v>61</v>
      </c>
      <c r="AA82" s="28">
        <v>669343563.59444356</v>
      </c>
      <c r="AB82" s="24">
        <v>0.8687925901839445</v>
      </c>
    </row>
    <row r="83" spans="1:28" x14ac:dyDescent="0.25">
      <c r="A83" t="s">
        <v>4196</v>
      </c>
      <c r="B83" t="s">
        <v>7139</v>
      </c>
      <c r="C83" t="s">
        <v>4198</v>
      </c>
      <c r="D83" s="1" t="s">
        <v>4197</v>
      </c>
      <c r="E83" s="1" t="s">
        <v>553</v>
      </c>
      <c r="H83" t="s">
        <v>553</v>
      </c>
      <c r="I83" s="17">
        <v>1.0147810540773601</v>
      </c>
      <c r="J83" s="17">
        <v>0.87992971695077804</v>
      </c>
      <c r="K83" s="21">
        <v>12</v>
      </c>
      <c r="L83" s="27">
        <v>29928851.2930515</v>
      </c>
      <c r="M83" s="22">
        <v>0.10487094720599598</v>
      </c>
      <c r="N83" s="21">
        <v>7</v>
      </c>
      <c r="O83" s="27">
        <v>29076691.918400057</v>
      </c>
      <c r="P83" s="22">
        <v>0.10277724442001573</v>
      </c>
      <c r="Q83" s="21">
        <v>15</v>
      </c>
      <c r="R83" s="27">
        <v>31485660.042547222</v>
      </c>
      <c r="S83" s="22">
        <v>0.11194590299844773</v>
      </c>
      <c r="T83" s="23">
        <v>14</v>
      </c>
      <c r="U83" s="28">
        <v>31166805.819863226</v>
      </c>
      <c r="V83" s="24">
        <v>0.10902610100644085</v>
      </c>
      <c r="W83" s="23">
        <v>13</v>
      </c>
      <c r="X83" s="28">
        <v>31788159.450166591</v>
      </c>
      <c r="Y83" s="24">
        <v>0.10877823453827043</v>
      </c>
      <c r="Z83" s="23">
        <v>15</v>
      </c>
      <c r="AA83" s="28">
        <v>36496884.30543571</v>
      </c>
      <c r="AB83" s="24">
        <v>0.1267594600924406</v>
      </c>
    </row>
    <row r="84" spans="1:28" x14ac:dyDescent="0.25">
      <c r="A84" t="s">
        <v>4096</v>
      </c>
      <c r="B84" t="s">
        <v>7106</v>
      </c>
      <c r="C84" t="s">
        <v>4098</v>
      </c>
      <c r="D84" s="1" t="s">
        <v>4097</v>
      </c>
      <c r="E84" s="1" t="s">
        <v>553</v>
      </c>
      <c r="G84" t="s">
        <v>4094</v>
      </c>
      <c r="H84" t="s">
        <v>716</v>
      </c>
      <c r="I84" s="17">
        <v>1.0120842189094199</v>
      </c>
      <c r="J84" s="17">
        <v>0.899533817868712</v>
      </c>
      <c r="K84" s="21">
        <v>1</v>
      </c>
      <c r="L84" s="27">
        <v>264698.10597360198</v>
      </c>
      <c r="M84" s="22">
        <v>7.9251549202671693E-4</v>
      </c>
      <c r="N84" s="21">
        <v>0</v>
      </c>
      <c r="O84" s="27">
        <v>292164.30152160913</v>
      </c>
      <c r="P84" s="22">
        <v>8.8241099159837993E-4</v>
      </c>
      <c r="Q84" s="21">
        <v>1</v>
      </c>
      <c r="R84" s="27">
        <v>424730.84269481001</v>
      </c>
      <c r="S84" s="22">
        <v>1.2903305677397323E-3</v>
      </c>
      <c r="T84" s="23">
        <v>1</v>
      </c>
      <c r="U84" s="28">
        <v>387819.07937131455</v>
      </c>
      <c r="V84" s="24">
        <v>1.1592020527944132E-3</v>
      </c>
      <c r="W84" s="23">
        <v>1</v>
      </c>
      <c r="X84" s="28">
        <v>331445.62233732169</v>
      </c>
      <c r="Y84" s="24">
        <v>9.6912700406769385E-4</v>
      </c>
      <c r="Z84" s="23">
        <v>0</v>
      </c>
      <c r="AA84" s="28">
        <v>344243.92581311672</v>
      </c>
      <c r="AB84" s="24">
        <v>1.0216041778205397E-3</v>
      </c>
    </row>
    <row r="85" spans="1:28" x14ac:dyDescent="0.25">
      <c r="A85" t="s">
        <v>4191</v>
      </c>
      <c r="B85" t="s">
        <v>7137</v>
      </c>
      <c r="C85" t="s">
        <v>4192</v>
      </c>
      <c r="D85" s="1" t="s">
        <v>3856</v>
      </c>
      <c r="E85" s="1" t="s">
        <v>553</v>
      </c>
      <c r="H85" t="s">
        <v>553</v>
      </c>
      <c r="I85" s="17">
        <v>-1.0226840926176199</v>
      </c>
      <c r="J85" s="17">
        <v>0.78082895383852802</v>
      </c>
      <c r="K85" s="21">
        <v>8</v>
      </c>
      <c r="L85" s="27">
        <v>23653648.110197999</v>
      </c>
      <c r="M85" s="22">
        <v>0.12676159654840352</v>
      </c>
      <c r="N85" s="21">
        <v>7</v>
      </c>
      <c r="O85" s="27">
        <v>25960413.059319086</v>
      </c>
      <c r="P85" s="22">
        <v>0.14034210928844917</v>
      </c>
      <c r="Q85" s="21">
        <v>8</v>
      </c>
      <c r="R85" s="27">
        <v>22280333.692457084</v>
      </c>
      <c r="S85" s="22">
        <v>0.12115504952823951</v>
      </c>
      <c r="T85" s="23">
        <v>6</v>
      </c>
      <c r="U85" s="28">
        <v>25554390.886146367</v>
      </c>
      <c r="V85" s="24">
        <v>0.13671877111136058</v>
      </c>
      <c r="W85" s="23">
        <v>7</v>
      </c>
      <c r="X85" s="28">
        <v>26354680.310754605</v>
      </c>
      <c r="Y85" s="24">
        <v>0.13793002097763951</v>
      </c>
      <c r="Z85" s="23">
        <v>8</v>
      </c>
      <c r="AA85" s="28">
        <v>24285916.757542498</v>
      </c>
      <c r="AB85" s="24">
        <v>0.12900410158318193</v>
      </c>
    </row>
    <row r="86" spans="1:28" x14ac:dyDescent="0.25">
      <c r="A86" t="s">
        <v>4183</v>
      </c>
      <c r="B86" t="s">
        <v>7135</v>
      </c>
      <c r="C86" t="s">
        <v>4186</v>
      </c>
      <c r="D86" s="1" t="s">
        <v>4184</v>
      </c>
      <c r="E86" s="1" t="s">
        <v>553</v>
      </c>
      <c r="G86" t="s">
        <v>4185</v>
      </c>
      <c r="I86" s="17">
        <v>-1.0234806935512299</v>
      </c>
      <c r="J86" s="17">
        <v>0.76586014104988398</v>
      </c>
      <c r="K86" s="21">
        <v>3</v>
      </c>
      <c r="L86" s="27">
        <v>8306689.7450190298</v>
      </c>
      <c r="M86" s="22">
        <v>3.4623669157299218E-2</v>
      </c>
      <c r="N86" s="21">
        <v>2</v>
      </c>
      <c r="O86" s="27">
        <v>7781344.4632620867</v>
      </c>
      <c r="P86" s="22">
        <v>3.2717986797189028E-2</v>
      </c>
      <c r="Q86" s="21">
        <v>3</v>
      </c>
      <c r="R86" s="27">
        <v>9014781.4130332917</v>
      </c>
      <c r="S86" s="22">
        <v>3.8126817855537252E-2</v>
      </c>
      <c r="T86" s="23">
        <v>3</v>
      </c>
      <c r="U86" s="28">
        <v>8709222.2264533788</v>
      </c>
      <c r="V86" s="24">
        <v>3.6240778250814433E-2</v>
      </c>
      <c r="W86" s="23">
        <v>2</v>
      </c>
      <c r="X86" s="28">
        <v>9417882.5814995505</v>
      </c>
      <c r="Y86" s="24">
        <v>3.833626971671613E-2</v>
      </c>
      <c r="Z86" s="23">
        <v>3</v>
      </c>
      <c r="AA86" s="28">
        <v>8491477.240610458</v>
      </c>
      <c r="AB86" s="24">
        <v>3.5082278911439252E-2</v>
      </c>
    </row>
    <row r="87" spans="1:28" x14ac:dyDescent="0.25">
      <c r="A87" t="s">
        <v>4187</v>
      </c>
      <c r="B87" t="s">
        <v>7136</v>
      </c>
      <c r="C87" t="s">
        <v>4190</v>
      </c>
      <c r="D87" s="1" t="s">
        <v>4188</v>
      </c>
      <c r="E87" s="1" t="s">
        <v>553</v>
      </c>
      <c r="G87" t="s">
        <v>4189</v>
      </c>
      <c r="H87" t="s">
        <v>716</v>
      </c>
      <c r="I87" s="17">
        <v>-1.02709861757377</v>
      </c>
      <c r="J87" s="17">
        <v>0.77746823768964402</v>
      </c>
      <c r="K87" s="21">
        <v>9</v>
      </c>
      <c r="L87" s="27">
        <v>18612754.3443387</v>
      </c>
      <c r="M87" s="22">
        <v>7.8091468134690908E-2</v>
      </c>
      <c r="N87" s="21">
        <v>10</v>
      </c>
      <c r="O87" s="27">
        <v>23442844.637671333</v>
      </c>
      <c r="P87" s="22">
        <v>9.9217912182263918E-2</v>
      </c>
      <c r="Q87" s="21">
        <v>10</v>
      </c>
      <c r="R87" s="27">
        <v>18327713.214790784</v>
      </c>
      <c r="S87" s="22">
        <v>7.802458771322919E-2</v>
      </c>
      <c r="T87" s="23">
        <v>10</v>
      </c>
      <c r="U87" s="28">
        <v>19879932.013645433</v>
      </c>
      <c r="V87" s="24">
        <v>8.326852674038572E-2</v>
      </c>
      <c r="W87" s="23">
        <v>8</v>
      </c>
      <c r="X87" s="28">
        <v>22817678.422744412</v>
      </c>
      <c r="Y87" s="24">
        <v>9.3492307413818809E-2</v>
      </c>
      <c r="Z87" s="23">
        <v>9</v>
      </c>
      <c r="AA87" s="28">
        <v>20982721.737353507</v>
      </c>
      <c r="AB87" s="24">
        <v>8.7259799586351966E-2</v>
      </c>
    </row>
    <row r="88" spans="1:28" x14ac:dyDescent="0.25">
      <c r="A88" t="s">
        <v>4085</v>
      </c>
      <c r="B88" t="s">
        <v>7103</v>
      </c>
      <c r="C88" t="s">
        <v>4087</v>
      </c>
      <c r="D88" s="1" t="s">
        <v>4086</v>
      </c>
      <c r="E88" s="1" t="s">
        <v>553</v>
      </c>
      <c r="H88" t="s">
        <v>553</v>
      </c>
      <c r="I88" s="17">
        <v>-1.0333895942606399</v>
      </c>
      <c r="J88" s="17">
        <v>0.83874251774306197</v>
      </c>
      <c r="K88" s="21">
        <v>14</v>
      </c>
      <c r="L88" s="27">
        <v>16757685.239212001</v>
      </c>
      <c r="M88" s="22">
        <v>1.7548227915144984E-2</v>
      </c>
      <c r="N88" s="21">
        <v>9</v>
      </c>
      <c r="O88" s="27">
        <v>13940844.937246261</v>
      </c>
      <c r="P88" s="22">
        <v>1.4726351644137598E-2</v>
      </c>
      <c r="Q88" s="21">
        <v>18</v>
      </c>
      <c r="R88" s="27">
        <v>18918611.657320134</v>
      </c>
      <c r="S88" s="22">
        <v>2.0101976446346474E-2</v>
      </c>
      <c r="T88" s="23">
        <v>9</v>
      </c>
      <c r="U88" s="28">
        <v>17488731.576157548</v>
      </c>
      <c r="V88" s="24">
        <v>1.8283131940298659E-2</v>
      </c>
      <c r="W88" s="23">
        <v>8</v>
      </c>
      <c r="X88" s="28">
        <v>16449765.035986423</v>
      </c>
      <c r="Y88" s="24">
        <v>1.6822495373212568E-2</v>
      </c>
      <c r="Z88" s="23">
        <v>9</v>
      </c>
      <c r="AA88" s="28">
        <v>18035933.535244733</v>
      </c>
      <c r="AB88" s="24">
        <v>1.8720494286171938E-2</v>
      </c>
    </row>
    <row r="89" spans="1:28" x14ac:dyDescent="0.25">
      <c r="A89" t="s">
        <v>4171</v>
      </c>
      <c r="B89" t="s">
        <v>7131</v>
      </c>
      <c r="C89" t="s">
        <v>4173</v>
      </c>
      <c r="D89" s="1" t="s">
        <v>4172</v>
      </c>
      <c r="E89" s="1" t="s">
        <v>553</v>
      </c>
      <c r="H89" t="s">
        <v>57</v>
      </c>
      <c r="I89" s="17">
        <v>-1.04789910888204</v>
      </c>
      <c r="J89" s="17">
        <v>0.55325509472869205</v>
      </c>
      <c r="K89" s="21">
        <v>5</v>
      </c>
      <c r="L89" s="27">
        <v>7853168.1249764599</v>
      </c>
      <c r="M89" s="22">
        <v>2.8618269997767658E-2</v>
      </c>
      <c r="N89" s="21">
        <v>5</v>
      </c>
      <c r="O89" s="27">
        <v>7725425.3451098921</v>
      </c>
      <c r="P89" s="22">
        <v>2.8399305134780915E-2</v>
      </c>
      <c r="Q89" s="21">
        <v>9</v>
      </c>
      <c r="R89" s="27">
        <v>7759588.6363973608</v>
      </c>
      <c r="S89" s="22">
        <v>2.8692437187250727E-2</v>
      </c>
      <c r="T89" s="23">
        <v>6</v>
      </c>
      <c r="U89" s="28">
        <v>8140701.0758313779</v>
      </c>
      <c r="V89" s="24">
        <v>2.9616472698617974E-2</v>
      </c>
      <c r="W89" s="23">
        <v>5</v>
      </c>
      <c r="X89" s="28">
        <v>8916285.6515392028</v>
      </c>
      <c r="Y89" s="24">
        <v>3.1731743571601925E-2</v>
      </c>
      <c r="Z89" s="23">
        <v>4</v>
      </c>
      <c r="AA89" s="28">
        <v>7149531.8962189369</v>
      </c>
      <c r="AB89" s="24">
        <v>2.5824714989743813E-2</v>
      </c>
    </row>
    <row r="90" spans="1:28" x14ac:dyDescent="0.25">
      <c r="A90" t="s">
        <v>4193</v>
      </c>
      <c r="B90" t="s">
        <v>7138</v>
      </c>
      <c r="C90" t="s">
        <v>4195</v>
      </c>
      <c r="D90" s="1" t="s">
        <v>4194</v>
      </c>
      <c r="E90" s="1" t="s">
        <v>553</v>
      </c>
      <c r="H90" t="s">
        <v>553</v>
      </c>
      <c r="I90" s="17">
        <v>-1.0694667467355199</v>
      </c>
      <c r="J90" s="17">
        <v>0.81154311471658702</v>
      </c>
      <c r="K90" s="21">
        <v>3</v>
      </c>
      <c r="L90" s="27">
        <v>1716664.5531939501</v>
      </c>
      <c r="M90" s="22">
        <v>1.3350825435698637E-2</v>
      </c>
      <c r="N90" s="21">
        <v>5</v>
      </c>
      <c r="O90" s="27">
        <v>1633029.4602734025</v>
      </c>
      <c r="P90" s="22">
        <v>1.2811604691592343E-2</v>
      </c>
      <c r="Q90" s="21">
        <v>5</v>
      </c>
      <c r="R90" s="27">
        <v>2832647.8420150536</v>
      </c>
      <c r="S90" s="22">
        <v>2.2353499533612604E-2</v>
      </c>
      <c r="T90" s="23">
        <v>6</v>
      </c>
      <c r="U90" s="28">
        <v>1820562.9722621294</v>
      </c>
      <c r="V90" s="24">
        <v>1.4135182727949518E-2</v>
      </c>
      <c r="W90" s="23">
        <v>4</v>
      </c>
      <c r="X90" s="28">
        <v>2117186.720539351</v>
      </c>
      <c r="Y90" s="24">
        <v>1.6080269389824885E-2</v>
      </c>
      <c r="Z90" s="23">
        <v>5</v>
      </c>
      <c r="AA90" s="28">
        <v>2294545.5100538032</v>
      </c>
      <c r="AB90" s="24">
        <v>1.768800292554968E-2</v>
      </c>
    </row>
    <row r="91" spans="1:28" x14ac:dyDescent="0.25">
      <c r="A91" t="s">
        <v>4071</v>
      </c>
      <c r="B91" t="s">
        <v>7098</v>
      </c>
      <c r="C91" t="s">
        <v>4073</v>
      </c>
      <c r="D91" s="1" t="s">
        <v>4072</v>
      </c>
      <c r="E91" s="1" t="s">
        <v>553</v>
      </c>
      <c r="H91" t="s">
        <v>553</v>
      </c>
      <c r="I91" s="17">
        <v>-1.0776472807779101</v>
      </c>
      <c r="J91" s="17">
        <v>0.21792176779160599</v>
      </c>
      <c r="K91" s="21">
        <v>6</v>
      </c>
      <c r="L91" s="27">
        <v>7166883.5812509302</v>
      </c>
      <c r="M91" s="22">
        <v>3.2186854417422951E-2</v>
      </c>
      <c r="N91" s="21">
        <v>4</v>
      </c>
      <c r="O91" s="27">
        <v>7528329.2471622163</v>
      </c>
      <c r="P91" s="22">
        <v>3.4106222636389537E-2</v>
      </c>
      <c r="Q91" s="21">
        <v>5</v>
      </c>
      <c r="R91" s="27">
        <v>7318733.1121054245</v>
      </c>
      <c r="S91" s="22">
        <v>3.3351422015039246E-2</v>
      </c>
      <c r="T91" s="23">
        <v>5</v>
      </c>
      <c r="U91" s="28">
        <v>7180214.2771672672</v>
      </c>
      <c r="V91" s="24">
        <v>3.2192791325875998E-2</v>
      </c>
      <c r="W91" s="23">
        <v>2</v>
      </c>
      <c r="X91" s="28">
        <v>8269796.8088304307</v>
      </c>
      <c r="Y91" s="24">
        <v>3.6270580445774477E-2</v>
      </c>
      <c r="Z91" s="23">
        <v>5</v>
      </c>
      <c r="AA91" s="28">
        <v>6742002.7490930948</v>
      </c>
      <c r="AB91" s="24">
        <v>3.0012112018021102E-2</v>
      </c>
    </row>
    <row r="92" spans="1:28" x14ac:dyDescent="0.25">
      <c r="A92" t="s">
        <v>4141</v>
      </c>
      <c r="B92" t="s">
        <v>7121</v>
      </c>
      <c r="C92" t="s">
        <v>4143</v>
      </c>
      <c r="D92" s="1" t="s">
        <v>4142</v>
      </c>
      <c r="E92" s="1" t="s">
        <v>553</v>
      </c>
      <c r="H92" t="s">
        <v>553</v>
      </c>
      <c r="I92" s="17">
        <v>-1.094973468846</v>
      </c>
      <c r="J92" s="17">
        <v>0.17862880162196301</v>
      </c>
      <c r="K92" s="21">
        <v>97</v>
      </c>
      <c r="L92" s="27">
        <v>717476229.74106896</v>
      </c>
      <c r="M92" s="22">
        <v>0.90426043819367363</v>
      </c>
      <c r="N92" s="21">
        <v>64</v>
      </c>
      <c r="O92" s="27">
        <v>772787781.86230564</v>
      </c>
      <c r="P92" s="22">
        <v>0.98250120759676396</v>
      </c>
      <c r="Q92" s="21">
        <v>94</v>
      </c>
      <c r="R92" s="27">
        <v>753901594.25564277</v>
      </c>
      <c r="S92" s="22">
        <v>0.96411965072093209</v>
      </c>
      <c r="T92" s="23">
        <v>86</v>
      </c>
      <c r="U92" s="28">
        <v>753729088.58893216</v>
      </c>
      <c r="V92" s="24">
        <v>0.94836241375807573</v>
      </c>
      <c r="W92" s="23">
        <v>77</v>
      </c>
      <c r="X92" s="28">
        <v>721927432.44782484</v>
      </c>
      <c r="Y92" s="24">
        <v>0.88856875750561493</v>
      </c>
      <c r="Z92" s="23">
        <v>80</v>
      </c>
      <c r="AA92" s="28">
        <v>738773700.67630982</v>
      </c>
      <c r="AB92" s="24">
        <v>0.92290476395857923</v>
      </c>
    </row>
    <row r="93" spans="1:28" x14ac:dyDescent="0.25">
      <c r="A93" t="s">
        <v>4177</v>
      </c>
      <c r="B93" t="s">
        <v>7133</v>
      </c>
      <c r="C93" t="s">
        <v>4179</v>
      </c>
      <c r="D93" s="1" t="s">
        <v>4178</v>
      </c>
      <c r="E93" s="1" t="s">
        <v>553</v>
      </c>
      <c r="H93" t="s">
        <v>553</v>
      </c>
      <c r="I93" s="17">
        <v>-1.09923253281963</v>
      </c>
      <c r="J93" s="17">
        <v>0.66477270603792804</v>
      </c>
      <c r="K93" s="21">
        <v>46</v>
      </c>
      <c r="L93" s="27">
        <v>184481973.00462201</v>
      </c>
      <c r="M93" s="22">
        <v>0.31626237283729958</v>
      </c>
      <c r="N93" s="21">
        <v>31</v>
      </c>
      <c r="O93" s="27">
        <v>132074946.38427503</v>
      </c>
      <c r="P93" s="22">
        <v>0.22840250661895417</v>
      </c>
      <c r="Q93" s="21">
        <v>51</v>
      </c>
      <c r="R93" s="27">
        <v>206412115.60189265</v>
      </c>
      <c r="S93" s="22">
        <v>0.35905339303295497</v>
      </c>
      <c r="T93" s="23">
        <v>45</v>
      </c>
      <c r="U93" s="28">
        <v>176366070.29631889</v>
      </c>
      <c r="V93" s="24">
        <v>0.30184339175702718</v>
      </c>
      <c r="W93" s="23">
        <v>37</v>
      </c>
      <c r="X93" s="28">
        <v>166655770.98849359</v>
      </c>
      <c r="Y93" s="24">
        <v>0.27901363579568622</v>
      </c>
      <c r="Z93" s="23">
        <v>37</v>
      </c>
      <c r="AA93" s="28">
        <v>173157740.46092743</v>
      </c>
      <c r="AB93" s="24">
        <v>0.2942354174415972</v>
      </c>
    </row>
    <row r="94" spans="1:28" x14ac:dyDescent="0.25">
      <c r="A94" t="s">
        <v>4162</v>
      </c>
      <c r="B94" t="s">
        <v>7128</v>
      </c>
      <c r="C94" t="s">
        <v>4164</v>
      </c>
      <c r="D94" s="1" t="s">
        <v>4163</v>
      </c>
      <c r="E94" s="1" t="s">
        <v>553</v>
      </c>
      <c r="H94" t="s">
        <v>553</v>
      </c>
      <c r="I94" s="17">
        <v>-1.14055215643394</v>
      </c>
      <c r="J94" s="17">
        <v>0.36999772417801602</v>
      </c>
      <c r="K94" s="21">
        <v>11</v>
      </c>
      <c r="L94" s="27">
        <v>25354037.2481598</v>
      </c>
      <c r="M94" s="22">
        <v>7.4169809000063772E-2</v>
      </c>
      <c r="N94" s="21">
        <v>11</v>
      </c>
      <c r="O94" s="27">
        <v>20125654.849809155</v>
      </c>
      <c r="P94" s="22">
        <v>5.9390487395646688E-2</v>
      </c>
      <c r="Q94" s="21">
        <v>14</v>
      </c>
      <c r="R94" s="27">
        <v>26600419.548943643</v>
      </c>
      <c r="S94" s="22">
        <v>7.8958480632609671E-2</v>
      </c>
      <c r="T94" s="23">
        <v>9</v>
      </c>
      <c r="U94" s="28">
        <v>23311360.34617665</v>
      </c>
      <c r="V94" s="24">
        <v>6.8080180425168821E-2</v>
      </c>
      <c r="W94" s="23">
        <v>10</v>
      </c>
      <c r="X94" s="28">
        <v>24943910.199714836</v>
      </c>
      <c r="Y94" s="24">
        <v>7.126167922166593E-2</v>
      </c>
      <c r="Z94" s="23">
        <v>10</v>
      </c>
      <c r="AA94" s="28">
        <v>20533972.064448748</v>
      </c>
      <c r="AB94" s="24">
        <v>5.9540496398743349E-2</v>
      </c>
    </row>
    <row r="95" spans="1:28" x14ac:dyDescent="0.25">
      <c r="A95" t="s">
        <v>4165</v>
      </c>
      <c r="B95" t="s">
        <v>7129</v>
      </c>
      <c r="C95" t="s">
        <v>4167</v>
      </c>
      <c r="D95" s="1" t="s">
        <v>4166</v>
      </c>
      <c r="E95" s="1" t="s">
        <v>553</v>
      </c>
      <c r="H95" t="s">
        <v>553</v>
      </c>
      <c r="I95" s="17">
        <v>-1.1429553975495399</v>
      </c>
      <c r="J95" s="17">
        <v>0.419918239030245</v>
      </c>
      <c r="K95" s="21">
        <v>36</v>
      </c>
      <c r="L95" s="27">
        <v>52732675.7986136</v>
      </c>
      <c r="M95" s="22">
        <v>6.7664355672622245E-2</v>
      </c>
      <c r="N95" s="21">
        <v>20</v>
      </c>
      <c r="O95" s="27">
        <v>41945317.931472585</v>
      </c>
      <c r="P95" s="22">
        <v>5.4293828207603041E-2</v>
      </c>
      <c r="Q95" s="21">
        <v>40</v>
      </c>
      <c r="R95" s="27">
        <v>59849788.352061279</v>
      </c>
      <c r="S95" s="22">
        <v>7.7924319815047202E-2</v>
      </c>
      <c r="T95" s="23">
        <v>31</v>
      </c>
      <c r="U95" s="28">
        <v>49518162.585129164</v>
      </c>
      <c r="V95" s="24">
        <v>6.3433358608137244E-2</v>
      </c>
      <c r="W95" s="23">
        <v>24</v>
      </c>
      <c r="X95" s="28">
        <v>45440687.455703124</v>
      </c>
      <c r="Y95" s="24">
        <v>5.6942498034827579E-2</v>
      </c>
      <c r="Z95" s="23">
        <v>27</v>
      </c>
      <c r="AA95" s="28">
        <v>51377953.097698487</v>
      </c>
      <c r="AB95" s="24">
        <v>6.5345605580401131E-2</v>
      </c>
    </row>
    <row r="96" spans="1:28" x14ac:dyDescent="0.25">
      <c r="A96" t="s">
        <v>4103</v>
      </c>
      <c r="B96" t="s">
        <v>7108</v>
      </c>
      <c r="C96" t="s">
        <v>4105</v>
      </c>
      <c r="D96" s="1" t="s">
        <v>4104</v>
      </c>
      <c r="E96" s="1" t="s">
        <v>553</v>
      </c>
      <c r="H96" t="s">
        <v>4101</v>
      </c>
      <c r="I96" s="17">
        <v>-1.14393844956922</v>
      </c>
      <c r="J96" s="17">
        <v>0.33851308742561198</v>
      </c>
      <c r="K96" s="21">
        <v>12</v>
      </c>
      <c r="L96" s="27">
        <v>26839551.560177598</v>
      </c>
      <c r="M96" s="22">
        <v>4.9044053616409969E-2</v>
      </c>
      <c r="N96" s="21">
        <v>9</v>
      </c>
      <c r="O96" s="27">
        <v>21900172.711796273</v>
      </c>
      <c r="P96" s="22">
        <v>4.0368766137660612E-2</v>
      </c>
      <c r="Q96" s="21">
        <v>17</v>
      </c>
      <c r="R96" s="27">
        <v>27899133.130739924</v>
      </c>
      <c r="S96" s="22">
        <v>5.17287605046476E-2</v>
      </c>
      <c r="T96" s="23">
        <v>10</v>
      </c>
      <c r="U96" s="28">
        <v>25465381.304993048</v>
      </c>
      <c r="V96" s="24">
        <v>4.6455199599344341E-2</v>
      </c>
      <c r="W96" s="23">
        <v>8</v>
      </c>
      <c r="X96" s="28">
        <v>23360970.707055919</v>
      </c>
      <c r="Y96" s="24">
        <v>4.1688231231452676E-2</v>
      </c>
      <c r="Z96" s="23">
        <v>8</v>
      </c>
      <c r="AA96" s="28">
        <v>23796447.356407341</v>
      </c>
      <c r="AB96" s="24">
        <v>4.3100536453301017E-2</v>
      </c>
    </row>
    <row r="97" spans="1:28" x14ac:dyDescent="0.25">
      <c r="A97" t="s">
        <v>4115</v>
      </c>
      <c r="B97" t="s">
        <v>7112</v>
      </c>
      <c r="C97" t="s">
        <v>4117</v>
      </c>
      <c r="D97" s="1" t="s">
        <v>4116</v>
      </c>
      <c r="E97" s="1" t="s">
        <v>553</v>
      </c>
      <c r="G97" t="s">
        <v>4094</v>
      </c>
      <c r="H97" t="s">
        <v>716</v>
      </c>
      <c r="I97" s="17">
        <v>-1.1882996861648201</v>
      </c>
      <c r="J97" s="17">
        <v>1.6578997357933799E-2</v>
      </c>
      <c r="K97" s="21">
        <v>11</v>
      </c>
      <c r="L97" s="27">
        <v>23015189.8988939</v>
      </c>
      <c r="M97" s="22">
        <v>6.2457303538799691E-2</v>
      </c>
      <c r="N97" s="21">
        <v>10</v>
      </c>
      <c r="O97" s="27">
        <v>22860030.476910055</v>
      </c>
      <c r="P97" s="22">
        <v>6.2579531200053884E-2</v>
      </c>
      <c r="Q97" s="21">
        <v>11</v>
      </c>
      <c r="R97" s="27">
        <v>24276481.576375417</v>
      </c>
      <c r="S97" s="22">
        <v>6.6847423312594453E-2</v>
      </c>
      <c r="T97" s="23">
        <v>12</v>
      </c>
      <c r="U97" s="28">
        <v>20362069.598675359</v>
      </c>
      <c r="V97" s="24">
        <v>5.5165000848406427E-2</v>
      </c>
      <c r="W97" s="23">
        <v>8</v>
      </c>
      <c r="X97" s="28">
        <v>22259459.86866108</v>
      </c>
      <c r="Y97" s="24">
        <v>5.8992224195307294E-2</v>
      </c>
      <c r="Z97" s="23">
        <v>10</v>
      </c>
      <c r="AA97" s="28">
        <v>21421754.889249124</v>
      </c>
      <c r="AB97" s="24">
        <v>5.7621314477960602E-2</v>
      </c>
    </row>
    <row r="98" spans="1:28" x14ac:dyDescent="0.25">
      <c r="A98" t="s">
        <v>4153</v>
      </c>
      <c r="B98" t="s">
        <v>7125</v>
      </c>
      <c r="C98" t="s">
        <v>4155</v>
      </c>
      <c r="D98" s="1" t="s">
        <v>4154</v>
      </c>
      <c r="E98" s="1" t="s">
        <v>553</v>
      </c>
      <c r="G98" t="s">
        <v>4094</v>
      </c>
      <c r="H98" t="s">
        <v>716</v>
      </c>
      <c r="I98" s="17">
        <v>-1.1985340606625601</v>
      </c>
      <c r="J98" s="17">
        <v>0.23450342533274299</v>
      </c>
      <c r="K98" s="21">
        <v>3</v>
      </c>
      <c r="L98" s="27">
        <v>1960766.5139285601</v>
      </c>
      <c r="M98" s="22">
        <v>6.5467995571796113E-3</v>
      </c>
      <c r="N98" s="21">
        <v>2</v>
      </c>
      <c r="O98" s="27">
        <v>1671843.1099914147</v>
      </c>
      <c r="P98" s="22">
        <v>5.6309998411272601E-3</v>
      </c>
      <c r="Q98" s="21">
        <v>5</v>
      </c>
      <c r="R98" s="27">
        <v>1861746.3629591865</v>
      </c>
      <c r="S98" s="22">
        <v>6.3074517463869786E-3</v>
      </c>
      <c r="T98" s="23">
        <v>4</v>
      </c>
      <c r="U98" s="28">
        <v>1858229.1231576796</v>
      </c>
      <c r="V98" s="24">
        <v>6.1940608704306446E-3</v>
      </c>
      <c r="W98" s="23">
        <v>0</v>
      </c>
      <c r="X98" s="28">
        <v>1737554.8954867944</v>
      </c>
      <c r="Y98" s="24">
        <v>5.6656948272562034E-3</v>
      </c>
      <c r="Z98" s="23">
        <v>1</v>
      </c>
      <c r="AA98" s="28">
        <v>1383286.1376712234</v>
      </c>
      <c r="AB98" s="24">
        <v>4.5779878464338106E-3</v>
      </c>
    </row>
    <row r="99" spans="1:28" x14ac:dyDescent="0.25">
      <c r="A99" t="s">
        <v>4099</v>
      </c>
      <c r="B99" t="s">
        <v>7107</v>
      </c>
      <c r="C99" t="s">
        <v>4102</v>
      </c>
      <c r="D99" s="1" t="s">
        <v>4100</v>
      </c>
      <c r="E99" s="1" t="s">
        <v>553</v>
      </c>
      <c r="H99" t="s">
        <v>4101</v>
      </c>
      <c r="I99" s="17">
        <v>-1.2035700711566799</v>
      </c>
      <c r="J99" s="17">
        <v>7.0885351351665002E-2</v>
      </c>
      <c r="K99" s="21">
        <v>5</v>
      </c>
      <c r="L99" s="27">
        <v>826901.03572247503</v>
      </c>
      <c r="M99" s="22">
        <v>1.1984982096916539E-3</v>
      </c>
      <c r="N99" s="21">
        <v>3</v>
      </c>
      <c r="O99" s="27">
        <v>991373.35461715446</v>
      </c>
      <c r="P99" s="22">
        <v>1.4494656516241141E-3</v>
      </c>
      <c r="Q99" s="21">
        <v>4</v>
      </c>
      <c r="R99" s="27">
        <v>1058823.9329905389</v>
      </c>
      <c r="S99" s="22">
        <v>1.5571765777685714E-3</v>
      </c>
      <c r="T99" s="23">
        <v>2</v>
      </c>
      <c r="U99" s="28">
        <v>925450.55111174972</v>
      </c>
      <c r="V99" s="24">
        <v>1.3390910759800193E-3</v>
      </c>
      <c r="W99" s="23">
        <v>2</v>
      </c>
      <c r="X99" s="28">
        <v>858258.97089907061</v>
      </c>
      <c r="Y99" s="24">
        <v>1.2148249035566243E-3</v>
      </c>
      <c r="Z99" s="23">
        <v>0</v>
      </c>
      <c r="AA99" s="28">
        <v>786807.23509577115</v>
      </c>
      <c r="AB99" s="24">
        <v>1.1303466361357278E-3</v>
      </c>
    </row>
    <row r="100" spans="1:28" x14ac:dyDescent="0.25">
      <c r="A100" t="s">
        <v>4159</v>
      </c>
      <c r="B100" t="s">
        <v>7127</v>
      </c>
      <c r="C100" t="s">
        <v>4161</v>
      </c>
      <c r="D100" s="1" t="s">
        <v>4160</v>
      </c>
      <c r="E100" s="1" t="s">
        <v>553</v>
      </c>
      <c r="H100" t="s">
        <v>553</v>
      </c>
      <c r="I100" s="17">
        <v>-1.2041883520200301</v>
      </c>
      <c r="J100" s="17">
        <v>0.27501167826391798</v>
      </c>
      <c r="K100" s="21">
        <v>19</v>
      </c>
      <c r="L100" s="27">
        <v>26763427.6262968</v>
      </c>
      <c r="M100" s="22">
        <v>4.3651734606748961E-2</v>
      </c>
      <c r="N100" s="21">
        <v>16</v>
      </c>
      <c r="O100" s="27">
        <v>21611411.385937389</v>
      </c>
      <c r="P100" s="22">
        <v>3.5557378579367215E-2</v>
      </c>
      <c r="Q100" s="21">
        <v>23</v>
      </c>
      <c r="R100" s="27">
        <v>31178161.249602046</v>
      </c>
      <c r="S100" s="22">
        <v>5.1598910457651442E-2</v>
      </c>
      <c r="T100" s="23">
        <v>18</v>
      </c>
      <c r="U100" s="28">
        <v>24892183.069260009</v>
      </c>
      <c r="V100" s="24">
        <v>4.0531791773077634E-2</v>
      </c>
      <c r="W100" s="23">
        <v>12</v>
      </c>
      <c r="X100" s="28">
        <v>22107933.848328948</v>
      </c>
      <c r="Y100" s="24">
        <v>3.5214328412352613E-2</v>
      </c>
      <c r="Z100" s="23">
        <v>16</v>
      </c>
      <c r="AA100" s="28">
        <v>24415810.803131927</v>
      </c>
      <c r="AB100" s="24">
        <v>3.9472112635945238E-2</v>
      </c>
    </row>
    <row r="101" spans="1:28" x14ac:dyDescent="0.25">
      <c r="A101" t="s">
        <v>4138</v>
      </c>
      <c r="B101" t="s">
        <v>7120</v>
      </c>
      <c r="C101" t="s">
        <v>4140</v>
      </c>
      <c r="D101" s="1" t="s">
        <v>4139</v>
      </c>
      <c r="E101" s="1" t="s">
        <v>553</v>
      </c>
      <c r="H101" t="s">
        <v>553</v>
      </c>
      <c r="I101" s="17">
        <v>-1.2129239965202401</v>
      </c>
      <c r="J101" s="17">
        <v>0.17164102332966</v>
      </c>
      <c r="K101" s="21">
        <v>34</v>
      </c>
      <c r="L101" s="27">
        <v>46951973.376235999</v>
      </c>
      <c r="M101" s="22">
        <v>7.5996599255472377E-2</v>
      </c>
      <c r="N101" s="21">
        <v>19</v>
      </c>
      <c r="O101" s="27">
        <v>39406651.98185017</v>
      </c>
      <c r="P101" s="22">
        <v>6.4342314515735077E-2</v>
      </c>
      <c r="Q101" s="21">
        <v>35</v>
      </c>
      <c r="R101" s="27">
        <v>46689771.038818866</v>
      </c>
      <c r="S101" s="22">
        <v>7.6681802380293207E-2</v>
      </c>
      <c r="T101" s="23">
        <v>28</v>
      </c>
      <c r="U101" s="28">
        <v>41890499.156741314</v>
      </c>
      <c r="V101" s="24">
        <v>6.769068163848603E-2</v>
      </c>
      <c r="W101" s="23">
        <v>22</v>
      </c>
      <c r="X101" s="28">
        <v>37355348.905685656</v>
      </c>
      <c r="Y101" s="24">
        <v>5.9047917631498664E-2</v>
      </c>
      <c r="Z101" s="23">
        <v>26</v>
      </c>
      <c r="AA101" s="28">
        <v>39621413.307902314</v>
      </c>
      <c r="AB101" s="24">
        <v>6.3566707738773182E-2</v>
      </c>
    </row>
    <row r="102" spans="1:28" x14ac:dyDescent="0.25">
      <c r="A102" t="s">
        <v>4156</v>
      </c>
      <c r="B102" t="s">
        <v>7126</v>
      </c>
      <c r="C102" t="s">
        <v>4158</v>
      </c>
      <c r="D102" s="1" t="s">
        <v>4157</v>
      </c>
      <c r="E102" s="1" t="s">
        <v>553</v>
      </c>
      <c r="H102" t="s">
        <v>1055</v>
      </c>
      <c r="I102" s="17">
        <v>-1.22737267119022</v>
      </c>
      <c r="J102" s="17">
        <v>0.250373858333304</v>
      </c>
      <c r="K102" s="21">
        <v>31</v>
      </c>
      <c r="L102" s="27">
        <v>82943346.1862064</v>
      </c>
      <c r="M102" s="22">
        <v>0.11676693492416987</v>
      </c>
      <c r="N102" s="21">
        <v>21</v>
      </c>
      <c r="O102" s="27">
        <v>67484543.717854366</v>
      </c>
      <c r="P102" s="22">
        <v>9.5836176005923382E-2</v>
      </c>
      <c r="Q102" s="21">
        <v>30</v>
      </c>
      <c r="R102" s="27">
        <v>90320299.272503272</v>
      </c>
      <c r="S102" s="22">
        <v>0.1290190844805946</v>
      </c>
      <c r="T102" s="23">
        <v>25</v>
      </c>
      <c r="U102" s="28">
        <v>77698319.473546788</v>
      </c>
      <c r="V102" s="24">
        <v>0.10920009030174599</v>
      </c>
      <c r="W102" s="23">
        <v>17</v>
      </c>
      <c r="X102" s="28">
        <v>61049831.494894035</v>
      </c>
      <c r="Y102" s="24">
        <v>8.3933296166248228E-2</v>
      </c>
      <c r="Z102" s="23">
        <v>22</v>
      </c>
      <c r="AA102" s="28">
        <v>72964624.441040024</v>
      </c>
      <c r="AB102" s="24">
        <v>0.10181461591998885</v>
      </c>
    </row>
    <row r="103" spans="1:28" x14ac:dyDescent="0.25">
      <c r="A103" t="s">
        <v>4068</v>
      </c>
      <c r="B103" t="s">
        <v>7097</v>
      </c>
      <c r="C103" t="s">
        <v>4070</v>
      </c>
      <c r="D103" s="1" t="s">
        <v>4069</v>
      </c>
      <c r="E103" s="1" t="s">
        <v>553</v>
      </c>
      <c r="H103" t="s">
        <v>553</v>
      </c>
      <c r="I103" s="17">
        <v>-1.23055761765911</v>
      </c>
      <c r="J103" s="17">
        <v>0.116493929554787</v>
      </c>
      <c r="K103" s="21">
        <v>6</v>
      </c>
      <c r="L103" s="27">
        <v>6838214.1862703403</v>
      </c>
      <c r="M103" s="22">
        <v>7.914575584641894E-3</v>
      </c>
      <c r="N103" s="21">
        <v>3</v>
      </c>
      <c r="O103" s="27">
        <v>5862611.4466657201</v>
      </c>
      <c r="P103" s="22">
        <v>6.844833294609047E-3</v>
      </c>
      <c r="Q103" s="21">
        <v>5</v>
      </c>
      <c r="R103" s="27">
        <v>7753517.015510058</v>
      </c>
      <c r="S103" s="22">
        <v>9.1057125292146671E-3</v>
      </c>
      <c r="T103" s="23">
        <v>2</v>
      </c>
      <c r="U103" s="28">
        <v>6038979.1226639431</v>
      </c>
      <c r="V103" s="24">
        <v>6.9778479741142308E-3</v>
      </c>
      <c r="W103" s="23">
        <v>3</v>
      </c>
      <c r="X103" s="28">
        <v>6198602.3021803824</v>
      </c>
      <c r="Y103" s="24">
        <v>7.0063234937417403E-3</v>
      </c>
      <c r="Z103" s="23">
        <v>3</v>
      </c>
      <c r="AA103" s="28">
        <v>5788470.3854307113</v>
      </c>
      <c r="AB103" s="24">
        <v>6.6406133588578567E-3</v>
      </c>
    </row>
    <row r="104" spans="1:28" x14ac:dyDescent="0.25">
      <c r="A104" t="s">
        <v>4074</v>
      </c>
      <c r="B104" t="s">
        <v>7099</v>
      </c>
      <c r="C104" t="s">
        <v>4076</v>
      </c>
      <c r="D104" s="1" t="s">
        <v>4075</v>
      </c>
      <c r="E104" s="1" t="s">
        <v>553</v>
      </c>
      <c r="H104" t="s">
        <v>553</v>
      </c>
      <c r="I104" s="17">
        <v>-1.2530160071184799</v>
      </c>
      <c r="J104" s="17">
        <v>0.22992289826224799</v>
      </c>
      <c r="K104" s="21">
        <v>7</v>
      </c>
      <c r="L104" s="27">
        <v>22218812.521525599</v>
      </c>
      <c r="M104" s="22">
        <v>5.7135455474899469E-2</v>
      </c>
      <c r="N104" s="21">
        <v>7</v>
      </c>
      <c r="O104" s="27">
        <v>15574042.625044648</v>
      </c>
      <c r="P104" s="22">
        <v>4.0399225641943766E-2</v>
      </c>
      <c r="Q104" s="21">
        <v>9</v>
      </c>
      <c r="R104" s="27">
        <v>21794523.555936463</v>
      </c>
      <c r="S104" s="22">
        <v>5.6867284239665271E-2</v>
      </c>
      <c r="T104" s="23">
        <v>8</v>
      </c>
      <c r="U104" s="28">
        <v>16814785.554946717</v>
      </c>
      <c r="V104" s="24">
        <v>4.316673747148278E-2</v>
      </c>
      <c r="W104" s="23">
        <v>9</v>
      </c>
      <c r="X104" s="28">
        <v>18534503.308592651</v>
      </c>
      <c r="Y104" s="24">
        <v>4.6545455267984613E-2</v>
      </c>
      <c r="Z104" s="23">
        <v>8</v>
      </c>
      <c r="AA104" s="28">
        <v>16577757.050149979</v>
      </c>
      <c r="AB104" s="24">
        <v>4.2254217913494714E-2</v>
      </c>
    </row>
    <row r="105" spans="1:28" x14ac:dyDescent="0.25">
      <c r="A105" t="s">
        <v>4118</v>
      </c>
      <c r="B105" t="s">
        <v>7113</v>
      </c>
      <c r="C105" t="s">
        <v>4120</v>
      </c>
      <c r="D105" s="1" t="s">
        <v>4119</v>
      </c>
      <c r="E105" s="1" t="s">
        <v>553</v>
      </c>
      <c r="H105" t="s">
        <v>553</v>
      </c>
      <c r="I105" s="17">
        <v>-1.25729478742058</v>
      </c>
      <c r="J105" s="17">
        <v>5.0199273879759101E-2</v>
      </c>
      <c r="K105" s="21">
        <v>4</v>
      </c>
      <c r="L105" s="27">
        <v>8677761.7700178791</v>
      </c>
      <c r="M105" s="22">
        <v>2.2868037068965428E-2</v>
      </c>
      <c r="N105" s="21">
        <v>3</v>
      </c>
      <c r="O105" s="27">
        <v>8870530.4427351095</v>
      </c>
      <c r="P105" s="22">
        <v>2.3580748552773347E-2</v>
      </c>
      <c r="Q105" s="21">
        <v>4</v>
      </c>
      <c r="R105" s="27">
        <v>7614772.6673888545</v>
      </c>
      <c r="S105" s="22">
        <v>2.0361434251782322E-2</v>
      </c>
      <c r="T105" s="23">
        <v>2</v>
      </c>
      <c r="U105" s="28">
        <v>6765484.357407501</v>
      </c>
      <c r="V105" s="24">
        <v>1.7798897504677232E-2</v>
      </c>
      <c r="W105" s="23">
        <v>2</v>
      </c>
      <c r="X105" s="28">
        <v>7480903.2179955384</v>
      </c>
      <c r="Y105" s="24">
        <v>1.9252480022641297E-2</v>
      </c>
      <c r="Z105" s="23">
        <v>2</v>
      </c>
      <c r="AA105" s="28">
        <v>7515839.6959538627</v>
      </c>
      <c r="AB105" s="24">
        <v>1.963170956588817E-2</v>
      </c>
    </row>
    <row r="106" spans="1:28" x14ac:dyDescent="0.25">
      <c r="A106" t="s">
        <v>4136</v>
      </c>
      <c r="B106" t="s">
        <v>7119</v>
      </c>
      <c r="C106" t="s">
        <v>4137</v>
      </c>
      <c r="D106" s="1" t="s">
        <v>4086</v>
      </c>
      <c r="E106" s="1" t="s">
        <v>553</v>
      </c>
      <c r="H106" t="s">
        <v>553</v>
      </c>
      <c r="I106" s="17">
        <v>-1.29557957999565</v>
      </c>
      <c r="J106" s="17">
        <v>0.13304416660625401</v>
      </c>
      <c r="K106" s="21">
        <v>24</v>
      </c>
      <c r="L106" s="27">
        <v>28072406.095104001</v>
      </c>
      <c r="M106" s="22">
        <v>3.0655141199157621E-2</v>
      </c>
      <c r="N106" s="21">
        <v>17</v>
      </c>
      <c r="O106" s="27">
        <v>23742889.821531013</v>
      </c>
      <c r="P106" s="22">
        <v>2.6154359724410953E-2</v>
      </c>
      <c r="Q106" s="21">
        <v>23</v>
      </c>
      <c r="R106" s="27">
        <v>33082165.26200448</v>
      </c>
      <c r="S106" s="22">
        <v>3.6656236142462668E-2</v>
      </c>
      <c r="T106" s="23">
        <v>14</v>
      </c>
      <c r="U106" s="28">
        <v>24568169.352729131</v>
      </c>
      <c r="V106" s="24">
        <v>2.6783635370288383E-2</v>
      </c>
      <c r="W106" s="23">
        <v>13</v>
      </c>
      <c r="X106" s="28">
        <v>21369807.350942031</v>
      </c>
      <c r="Y106" s="24">
        <v>2.2789551119960613E-2</v>
      </c>
      <c r="Z106" s="23">
        <v>12</v>
      </c>
      <c r="AA106" s="28">
        <v>24805901.880724981</v>
      </c>
      <c r="AB106" s="24">
        <v>2.6849620539351748E-2</v>
      </c>
    </row>
    <row r="107" spans="1:28" x14ac:dyDescent="0.25">
      <c r="A107" t="s">
        <v>4133</v>
      </c>
      <c r="B107" t="s">
        <v>7118</v>
      </c>
      <c r="C107" t="s">
        <v>4135</v>
      </c>
      <c r="D107" s="1" t="s">
        <v>4134</v>
      </c>
      <c r="E107" s="1" t="s">
        <v>553</v>
      </c>
      <c r="G107" t="s">
        <v>4094</v>
      </c>
      <c r="H107" t="s">
        <v>716</v>
      </c>
      <c r="I107" s="17">
        <v>-1.3146061048555</v>
      </c>
      <c r="J107" s="17">
        <v>0.128572514876962</v>
      </c>
      <c r="K107" s="21">
        <v>10</v>
      </c>
      <c r="L107" s="27">
        <v>11145963.119135501</v>
      </c>
      <c r="M107" s="22">
        <v>3.8842130421562794E-2</v>
      </c>
      <c r="N107" s="21">
        <v>7</v>
      </c>
      <c r="O107" s="27">
        <v>8588846.4384755883</v>
      </c>
      <c r="P107" s="22">
        <v>3.0193058667214178E-2</v>
      </c>
      <c r="Q107" s="21">
        <v>7</v>
      </c>
      <c r="R107" s="27">
        <v>9618733.8584125862</v>
      </c>
      <c r="S107" s="22">
        <v>3.4012112627817469E-2</v>
      </c>
      <c r="T107" s="23">
        <v>7</v>
      </c>
      <c r="U107" s="28">
        <v>8781094.8852194808</v>
      </c>
      <c r="V107" s="24">
        <v>3.0549714376929198E-2</v>
      </c>
      <c r="W107" s="23">
        <v>7</v>
      </c>
      <c r="X107" s="28">
        <v>8368200.0237546097</v>
      </c>
      <c r="Y107" s="24">
        <v>2.8479277933951181E-2</v>
      </c>
      <c r="Z107" s="23">
        <v>6</v>
      </c>
      <c r="AA107" s="28">
        <v>7183031.9563012812</v>
      </c>
      <c r="AB107" s="24">
        <v>2.4811480917564806E-2</v>
      </c>
    </row>
    <row r="108" spans="1:28" x14ac:dyDescent="0.25">
      <c r="A108" t="s">
        <v>4150</v>
      </c>
      <c r="B108" t="s">
        <v>7124</v>
      </c>
      <c r="C108" t="s">
        <v>4152</v>
      </c>
      <c r="D108" s="1" t="s">
        <v>4151</v>
      </c>
      <c r="E108" s="1" t="s">
        <v>553</v>
      </c>
      <c r="G108" t="s">
        <v>2639</v>
      </c>
      <c r="I108" s="17">
        <v>-1.33007911946432</v>
      </c>
      <c r="J108" s="17">
        <v>0.22002120750520501</v>
      </c>
      <c r="K108" s="21">
        <v>1</v>
      </c>
      <c r="L108" s="27">
        <v>1541919.13819467</v>
      </c>
      <c r="M108" s="22">
        <v>8.4769601175204348E-3</v>
      </c>
      <c r="N108" s="21">
        <v>2</v>
      </c>
      <c r="O108" s="27">
        <v>2608252.8223951687</v>
      </c>
      <c r="P108" s="22">
        <v>1.4464887470207534E-2</v>
      </c>
      <c r="Q108" s="21">
        <v>2</v>
      </c>
      <c r="R108" s="27">
        <v>1590653.5756146028</v>
      </c>
      <c r="S108" s="22">
        <v>8.8732845081356433E-3</v>
      </c>
      <c r="T108" s="23">
        <v>1</v>
      </c>
      <c r="U108" s="28">
        <v>1531805.7310911792</v>
      </c>
      <c r="V108" s="24">
        <v>8.4072754146898715E-3</v>
      </c>
      <c r="W108" s="23">
        <v>1</v>
      </c>
      <c r="X108" s="28">
        <v>1922737.0736865776</v>
      </c>
      <c r="Y108" s="24">
        <v>1.0323094958498895E-2</v>
      </c>
      <c r="Z108" s="23">
        <v>1</v>
      </c>
      <c r="AA108" s="28">
        <v>1211947.4944563112</v>
      </c>
      <c r="AB108" s="24">
        <v>6.6042239803701976E-3</v>
      </c>
    </row>
    <row r="109" spans="1:28" x14ac:dyDescent="0.25">
      <c r="A109" t="s">
        <v>4077</v>
      </c>
      <c r="B109" t="s">
        <v>7100</v>
      </c>
      <c r="C109" t="s">
        <v>4078</v>
      </c>
      <c r="D109" s="1" t="s">
        <v>4064</v>
      </c>
      <c r="E109" s="1" t="s">
        <v>553</v>
      </c>
      <c r="H109" t="s">
        <v>553</v>
      </c>
      <c r="I109" s="17">
        <v>-1.36206685991702</v>
      </c>
      <c r="J109" s="17">
        <v>0.25211289254774299</v>
      </c>
      <c r="K109" s="21">
        <v>10</v>
      </c>
      <c r="L109" s="27">
        <v>4814974.7916315701</v>
      </c>
      <c r="M109" s="22">
        <v>7.5077056983048921E-3</v>
      </c>
      <c r="N109" s="21">
        <v>4</v>
      </c>
      <c r="O109" s="27">
        <v>3133907.116213013</v>
      </c>
      <c r="P109" s="22">
        <v>4.9293104966332216E-3</v>
      </c>
      <c r="Q109" s="21">
        <v>10</v>
      </c>
      <c r="R109" s="27">
        <v>5034468.9400568958</v>
      </c>
      <c r="S109" s="22">
        <v>7.9652084853114227E-3</v>
      </c>
      <c r="T109" s="23">
        <v>6</v>
      </c>
      <c r="U109" s="28">
        <v>3923173.6757545117</v>
      </c>
      <c r="V109" s="24">
        <v>6.1069420699570139E-3</v>
      </c>
      <c r="W109" s="23">
        <v>1</v>
      </c>
      <c r="X109" s="28">
        <v>2795642.6719192755</v>
      </c>
      <c r="Y109" s="24">
        <v>4.2570266009894654E-3</v>
      </c>
      <c r="Z109" s="23">
        <v>7</v>
      </c>
      <c r="AA109" s="28">
        <v>3584960.1250158614</v>
      </c>
      <c r="AB109" s="24">
        <v>5.540602572083159E-3</v>
      </c>
    </row>
    <row r="110" spans="1:28" x14ac:dyDescent="0.25">
      <c r="A110" t="s">
        <v>4126</v>
      </c>
      <c r="B110" t="s">
        <v>7116</v>
      </c>
      <c r="C110" t="s">
        <v>4128</v>
      </c>
      <c r="D110" s="1" t="s">
        <v>4127</v>
      </c>
      <c r="E110" s="1" t="s">
        <v>553</v>
      </c>
      <c r="H110" t="s">
        <v>553</v>
      </c>
      <c r="I110" s="17">
        <v>-1.3666199050735</v>
      </c>
      <c r="J110" s="17">
        <v>8.0315142675384102E-2</v>
      </c>
      <c r="K110" s="21">
        <v>20</v>
      </c>
      <c r="L110" s="27">
        <v>32842070.819770999</v>
      </c>
      <c r="M110" s="22">
        <v>4.437364093859969E-2</v>
      </c>
      <c r="N110" s="21">
        <v>13</v>
      </c>
      <c r="O110" s="27">
        <v>27131519.882859509</v>
      </c>
      <c r="P110" s="22">
        <v>3.6979027637025132E-2</v>
      </c>
      <c r="Q110" s="21">
        <v>17</v>
      </c>
      <c r="R110" s="27">
        <v>36979820.780603245</v>
      </c>
      <c r="S110" s="22">
        <v>5.069785597706996E-2</v>
      </c>
      <c r="T110" s="23">
        <v>13</v>
      </c>
      <c r="U110" s="28">
        <v>24099916.036065787</v>
      </c>
      <c r="V110" s="24">
        <v>3.2507465086018227E-2</v>
      </c>
      <c r="W110" s="23">
        <v>9</v>
      </c>
      <c r="X110" s="28">
        <v>23863666.164451394</v>
      </c>
      <c r="Y110" s="24">
        <v>3.1487862295248047E-2</v>
      </c>
      <c r="Z110" s="23">
        <v>11</v>
      </c>
      <c r="AA110" s="28">
        <v>28895017.571720205</v>
      </c>
      <c r="AB110" s="24">
        <v>3.8696968338392167E-2</v>
      </c>
    </row>
    <row r="111" spans="1:28" x14ac:dyDescent="0.25">
      <c r="A111" t="s">
        <v>4112</v>
      </c>
      <c r="B111" t="s">
        <v>7111</v>
      </c>
      <c r="C111" t="s">
        <v>4114</v>
      </c>
      <c r="D111" s="1" t="s">
        <v>4113</v>
      </c>
      <c r="E111" s="1" t="s">
        <v>553</v>
      </c>
      <c r="H111" t="s">
        <v>553</v>
      </c>
      <c r="I111" s="17">
        <v>-1.3751797917699899</v>
      </c>
      <c r="J111" s="17">
        <v>4.51061530018542E-2</v>
      </c>
      <c r="K111" s="21">
        <v>21</v>
      </c>
      <c r="L111" s="27">
        <v>48208989.425404303</v>
      </c>
      <c r="M111" s="22">
        <v>0.15766305828747645</v>
      </c>
      <c r="N111" s="21">
        <v>16</v>
      </c>
      <c r="O111" s="27">
        <v>41263573.92940589</v>
      </c>
      <c r="P111" s="22">
        <v>0.13613054766575422</v>
      </c>
      <c r="Q111" s="21">
        <v>22</v>
      </c>
      <c r="R111" s="27">
        <v>40583736.49545674</v>
      </c>
      <c r="S111" s="22">
        <v>0.13467413910658449</v>
      </c>
      <c r="T111" s="23">
        <v>15</v>
      </c>
      <c r="U111" s="28">
        <v>35085337.234569602</v>
      </c>
      <c r="V111" s="24">
        <v>0.11455145709842947</v>
      </c>
      <c r="W111" s="23">
        <v>17</v>
      </c>
      <c r="X111" s="28">
        <v>35967266.168118879</v>
      </c>
      <c r="Y111" s="24">
        <v>0.11487375793697177</v>
      </c>
      <c r="Z111" s="23">
        <v>17</v>
      </c>
      <c r="AA111" s="28">
        <v>32031868.865785275</v>
      </c>
      <c r="AB111" s="24">
        <v>0.10383497062156424</v>
      </c>
    </row>
    <row r="112" spans="1:28" x14ac:dyDescent="0.25">
      <c r="A112" t="s">
        <v>4079</v>
      </c>
      <c r="B112" t="s">
        <v>7101</v>
      </c>
      <c r="C112" t="s">
        <v>4081</v>
      </c>
      <c r="D112" s="1" t="s">
        <v>4080</v>
      </c>
      <c r="E112" s="1" t="s">
        <v>553</v>
      </c>
      <c r="H112" t="s">
        <v>553</v>
      </c>
      <c r="I112" s="17">
        <v>-1.3780559896992099</v>
      </c>
      <c r="J112" s="17">
        <v>0.30365155811748501</v>
      </c>
      <c r="K112" s="21">
        <v>8</v>
      </c>
      <c r="L112" s="27">
        <v>2884998.2966394499</v>
      </c>
      <c r="M112" s="22">
        <v>3.5111614878184979E-3</v>
      </c>
      <c r="N112" s="21">
        <v>3</v>
      </c>
      <c r="O112" s="27">
        <v>1639395.6807210976</v>
      </c>
      <c r="P112" s="22">
        <v>2.0126852420710769E-3</v>
      </c>
      <c r="Q112" s="21">
        <v>12</v>
      </c>
      <c r="R112" s="27">
        <v>2926045.0830882532</v>
      </c>
      <c r="S112" s="22">
        <v>3.6134039597907675E-3</v>
      </c>
      <c r="T112" s="23">
        <v>2</v>
      </c>
      <c r="U112" s="28">
        <v>2191374.1659223591</v>
      </c>
      <c r="V112" s="24">
        <v>2.6625319281107507E-3</v>
      </c>
      <c r="W112" s="23">
        <v>1</v>
      </c>
      <c r="X112" s="28">
        <v>1656602.5263776102</v>
      </c>
      <c r="Y112" s="24">
        <v>1.9689516132316612E-3</v>
      </c>
      <c r="Z112" s="23">
        <v>2</v>
      </c>
      <c r="AA112" s="28">
        <v>2016488.4207885645</v>
      </c>
      <c r="AB112" s="24">
        <v>2.4325424251990745E-3</v>
      </c>
    </row>
    <row r="113" spans="1:36" x14ac:dyDescent="0.25">
      <c r="A113" t="s">
        <v>4124</v>
      </c>
      <c r="B113" t="s">
        <v>7115</v>
      </c>
      <c r="C113" t="s">
        <v>4125</v>
      </c>
      <c r="D113" s="1" t="s">
        <v>3856</v>
      </c>
      <c r="E113" s="1" t="s">
        <v>553</v>
      </c>
      <c r="H113" t="s">
        <v>553</v>
      </c>
      <c r="I113" s="17">
        <v>-1.38252231432067</v>
      </c>
      <c r="J113" s="17">
        <v>7.1005701827000695E-2</v>
      </c>
      <c r="K113" s="21">
        <v>2</v>
      </c>
      <c r="L113" s="27">
        <v>22201472.838783499</v>
      </c>
      <c r="M113" s="22">
        <v>0.14301550434321589</v>
      </c>
      <c r="N113" s="21">
        <v>2</v>
      </c>
      <c r="O113" s="27">
        <v>17189802.646337572</v>
      </c>
      <c r="P113" s="22">
        <v>0.11170151376604723</v>
      </c>
      <c r="Q113" s="21">
        <v>2</v>
      </c>
      <c r="R113" s="27">
        <v>18344521.694941949</v>
      </c>
      <c r="S113" s="22">
        <v>0.11990519176225295</v>
      </c>
      <c r="T113" s="23">
        <v>1</v>
      </c>
      <c r="U113" s="28">
        <v>15522783.574935092</v>
      </c>
      <c r="V113" s="24">
        <v>9.9826071790264481E-2</v>
      </c>
      <c r="W113" s="23">
        <v>1</v>
      </c>
      <c r="X113" s="28">
        <v>15634832.82415876</v>
      </c>
      <c r="Y113" s="24">
        <v>9.8357177711554805E-2</v>
      </c>
      <c r="Z113" s="23">
        <v>1</v>
      </c>
      <c r="AA113" s="28">
        <v>14424430.245844951</v>
      </c>
      <c r="AB113" s="24">
        <v>9.2099962025391127E-2</v>
      </c>
    </row>
    <row r="114" spans="1:36" x14ac:dyDescent="0.25">
      <c r="A114" t="s">
        <v>4106</v>
      </c>
      <c r="B114" t="s">
        <v>7109</v>
      </c>
      <c r="C114" t="s">
        <v>4108</v>
      </c>
      <c r="D114" s="1" t="s">
        <v>4107</v>
      </c>
      <c r="E114" s="1" t="s">
        <v>553</v>
      </c>
      <c r="I114" s="17">
        <v>-1.3887876468148299</v>
      </c>
      <c r="J114" s="17">
        <v>0.113507920097808</v>
      </c>
      <c r="K114" s="21">
        <v>5</v>
      </c>
      <c r="L114" s="27">
        <v>2096825.98862145</v>
      </c>
      <c r="M114" s="22">
        <v>4.3275335301880824E-3</v>
      </c>
      <c r="N114" s="21">
        <v>3</v>
      </c>
      <c r="O114" s="27">
        <v>1622246.7471629446</v>
      </c>
      <c r="P114" s="22">
        <v>3.3773945264103161E-3</v>
      </c>
      <c r="Q114" s="21">
        <v>9</v>
      </c>
      <c r="R114" s="27">
        <v>2506623.1835844489</v>
      </c>
      <c r="S114" s="22">
        <v>5.2492512772646582E-3</v>
      </c>
      <c r="T114" s="23">
        <v>3</v>
      </c>
      <c r="U114" s="28">
        <v>1753212.950641606</v>
      </c>
      <c r="V114" s="24">
        <v>3.6123162478097935E-3</v>
      </c>
      <c r="W114" s="23">
        <v>0</v>
      </c>
      <c r="X114" s="28">
        <v>1654628.7491462512</v>
      </c>
      <c r="Y114" s="24">
        <v>3.3349559176420389E-3</v>
      </c>
      <c r="Z114" s="23">
        <v>2</v>
      </c>
      <c r="AA114" s="28">
        <v>1447579.5958770714</v>
      </c>
      <c r="AB114" s="24">
        <v>2.9612832586708758E-3</v>
      </c>
    </row>
    <row r="115" spans="1:36" x14ac:dyDescent="0.25">
      <c r="A115" t="s">
        <v>4063</v>
      </c>
      <c r="B115" t="s">
        <v>7095</v>
      </c>
      <c r="C115" t="s">
        <v>4065</v>
      </c>
      <c r="D115" s="1" t="s">
        <v>4064</v>
      </c>
      <c r="E115" s="1" t="s">
        <v>553</v>
      </c>
      <c r="H115" t="s">
        <v>553</v>
      </c>
      <c r="I115" s="17">
        <v>-1.38935077406934</v>
      </c>
      <c r="J115" s="17">
        <v>6.5237299369455201E-2</v>
      </c>
      <c r="K115" s="21">
        <v>13</v>
      </c>
      <c r="L115" s="27">
        <v>9852596.9612942599</v>
      </c>
      <c r="M115" s="22">
        <v>1.4183503543736908E-2</v>
      </c>
      <c r="N115" s="21">
        <v>6</v>
      </c>
      <c r="O115" s="27">
        <v>8324005.7876279941</v>
      </c>
      <c r="P115" s="22">
        <v>1.2087932046195517E-2</v>
      </c>
      <c r="Q115" s="21">
        <v>10</v>
      </c>
      <c r="R115" s="27">
        <v>11168423.956122821</v>
      </c>
      <c r="S115" s="22">
        <v>1.631379329266636E-2</v>
      </c>
      <c r="T115" s="23">
        <v>9</v>
      </c>
      <c r="U115" s="28">
        <v>8069616.8605296118</v>
      </c>
      <c r="V115" s="24">
        <v>1.1597349969283912E-2</v>
      </c>
      <c r="W115" s="23">
        <v>5</v>
      </c>
      <c r="X115" s="28">
        <v>6965371.249650497</v>
      </c>
      <c r="Y115" s="24">
        <v>9.7923866676988928E-3</v>
      </c>
      <c r="Z115" s="23">
        <v>8</v>
      </c>
      <c r="AA115" s="28">
        <v>7781724.3614484165</v>
      </c>
      <c r="AB115" s="24">
        <v>1.1103709603793144E-2</v>
      </c>
    </row>
    <row r="116" spans="1:36" x14ac:dyDescent="0.25">
      <c r="A116" t="s">
        <v>4109</v>
      </c>
      <c r="B116" t="s">
        <v>7110</v>
      </c>
      <c r="C116" t="s">
        <v>4111</v>
      </c>
      <c r="D116" s="1" t="s">
        <v>4110</v>
      </c>
      <c r="E116" s="1" t="s">
        <v>553</v>
      </c>
      <c r="H116" t="s">
        <v>553</v>
      </c>
      <c r="I116" s="17">
        <v>-1.4003658847782201</v>
      </c>
      <c r="J116" s="17">
        <v>2.9204071874252901E-2</v>
      </c>
      <c r="K116" s="21">
        <v>40</v>
      </c>
      <c r="L116" s="27">
        <v>65769973.1785243</v>
      </c>
      <c r="M116" s="22">
        <v>8.0044760216421804E-2</v>
      </c>
      <c r="N116" s="21">
        <v>31</v>
      </c>
      <c r="O116" s="27">
        <v>61056291.232113346</v>
      </c>
      <c r="P116" s="22">
        <v>7.4958777642024535E-2</v>
      </c>
      <c r="Q116" s="21">
        <v>38</v>
      </c>
      <c r="R116" s="27">
        <v>73044392.33373484</v>
      </c>
      <c r="S116" s="22">
        <v>9.0203291133387875E-2</v>
      </c>
      <c r="T116" s="23">
        <v>32</v>
      </c>
      <c r="U116" s="28">
        <v>55853183.456425346</v>
      </c>
      <c r="V116" s="24">
        <v>6.7861931819738597E-2</v>
      </c>
      <c r="W116" s="23">
        <v>27</v>
      </c>
      <c r="X116" s="28">
        <v>48763030.725924566</v>
      </c>
      <c r="Y116" s="24">
        <v>5.7957202458104318E-2</v>
      </c>
      <c r="Z116" s="23">
        <v>30</v>
      </c>
      <c r="AA116" s="28">
        <v>49498010.105219878</v>
      </c>
      <c r="AB116" s="24">
        <v>5.9710736894186628E-2</v>
      </c>
    </row>
    <row r="117" spans="1:36" x14ac:dyDescent="0.25">
      <c r="A117" t="s">
        <v>4060</v>
      </c>
      <c r="B117" t="s">
        <v>7094</v>
      </c>
      <c r="C117" t="s">
        <v>4062</v>
      </c>
      <c r="D117" s="1" t="s">
        <v>4061</v>
      </c>
      <c r="E117" s="1" t="s">
        <v>553</v>
      </c>
      <c r="H117" t="s">
        <v>553</v>
      </c>
      <c r="I117" s="17">
        <v>-1.42017437291585</v>
      </c>
      <c r="J117" s="17">
        <v>3.5165375483271602E-2</v>
      </c>
      <c r="K117" s="21">
        <v>3</v>
      </c>
      <c r="L117" s="27">
        <v>5081408.5104243699</v>
      </c>
      <c r="M117" s="22">
        <v>1.6284242622929497E-2</v>
      </c>
      <c r="N117" s="21">
        <v>4</v>
      </c>
      <c r="O117" s="27">
        <v>4674978.0600152817</v>
      </c>
      <c r="P117" s="22">
        <v>1.5112971496225898E-2</v>
      </c>
      <c r="Q117" s="21">
        <v>3</v>
      </c>
      <c r="R117" s="27">
        <v>4580110.364339863</v>
      </c>
      <c r="S117" s="22">
        <v>1.4893256065483751E-2</v>
      </c>
      <c r="T117" s="23">
        <v>3</v>
      </c>
      <c r="U117" s="28">
        <v>4026375.8460522764</v>
      </c>
      <c r="V117" s="24">
        <v>1.2881629669832601E-2</v>
      </c>
      <c r="W117" s="23">
        <v>2</v>
      </c>
      <c r="X117" s="28">
        <v>3501436.4063322982</v>
      </c>
      <c r="Y117" s="24">
        <v>1.0958249335075025E-2</v>
      </c>
      <c r="Z117" s="23">
        <v>4</v>
      </c>
      <c r="AA117" s="28">
        <v>3410241.2088420196</v>
      </c>
      <c r="AB117" s="24">
        <v>1.0832482584808303E-2</v>
      </c>
    </row>
    <row r="118" spans="1:36" x14ac:dyDescent="0.25">
      <c r="A118" t="s">
        <v>4057</v>
      </c>
      <c r="B118" t="s">
        <v>7093</v>
      </c>
      <c r="C118" t="s">
        <v>4059</v>
      </c>
      <c r="D118" s="1" t="s">
        <v>4058</v>
      </c>
      <c r="E118" s="1" t="s">
        <v>553</v>
      </c>
      <c r="H118" t="s">
        <v>553</v>
      </c>
      <c r="I118" s="17">
        <v>-1.47822107356373</v>
      </c>
      <c r="J118" s="17">
        <v>1.8805567276728101E-2</v>
      </c>
      <c r="K118" s="21">
        <v>5</v>
      </c>
      <c r="L118" s="27">
        <v>10099855.043751299</v>
      </c>
      <c r="M118" s="22">
        <v>1.6773374613554947E-2</v>
      </c>
      <c r="N118" s="21">
        <v>6</v>
      </c>
      <c r="O118" s="27">
        <v>10314124.750222068</v>
      </c>
      <c r="P118" s="22">
        <v>1.7279235280264531E-2</v>
      </c>
      <c r="Q118" s="21">
        <v>4</v>
      </c>
      <c r="R118" s="27">
        <v>9022517.2304458302</v>
      </c>
      <c r="S118" s="22">
        <v>1.5204189912003356E-2</v>
      </c>
      <c r="T118" s="23">
        <v>4</v>
      </c>
      <c r="U118" s="28">
        <v>7606443.4490375156</v>
      </c>
      <c r="V118" s="24">
        <v>1.2611303875344272E-2</v>
      </c>
      <c r="W118" s="23">
        <v>4</v>
      </c>
      <c r="X118" s="28">
        <v>6738969.92840824</v>
      </c>
      <c r="Y118" s="24">
        <v>1.0929751935832437E-2</v>
      </c>
      <c r="Z118" s="23">
        <v>3</v>
      </c>
      <c r="AA118" s="28">
        <v>7201971.7975448407</v>
      </c>
      <c r="AB118" s="24">
        <v>1.1855398860416663E-2</v>
      </c>
    </row>
    <row r="119" spans="1:36" x14ac:dyDescent="0.25">
      <c r="A119" t="s">
        <v>4066</v>
      </c>
      <c r="B119" t="s">
        <v>7096</v>
      </c>
      <c r="C119" t="s">
        <v>4067</v>
      </c>
      <c r="D119" s="1" t="s">
        <v>4061</v>
      </c>
      <c r="E119" s="1" t="s">
        <v>553</v>
      </c>
      <c r="H119" t="s">
        <v>553</v>
      </c>
      <c r="I119" s="17">
        <v>-1.49003146400009</v>
      </c>
      <c r="J119" s="17">
        <v>0.114334701947043</v>
      </c>
      <c r="K119" s="21">
        <v>1</v>
      </c>
      <c r="L119" s="27">
        <v>2360621.3632000401</v>
      </c>
      <c r="M119" s="22">
        <v>8.2716371547134227E-3</v>
      </c>
      <c r="N119" s="21">
        <v>1</v>
      </c>
      <c r="O119" s="27">
        <v>1716748.6946078162</v>
      </c>
      <c r="P119" s="22">
        <v>6.0681834332672333E-3</v>
      </c>
      <c r="Q119" s="21">
        <v>2</v>
      </c>
      <c r="R119" s="27">
        <v>1844917.5320530082</v>
      </c>
      <c r="S119" s="22">
        <v>6.5595245201864006E-3</v>
      </c>
      <c r="T119" s="23">
        <v>0</v>
      </c>
      <c r="U119" s="28">
        <v>1735473.5779087462</v>
      </c>
      <c r="V119" s="24">
        <v>6.0709435125526961E-3</v>
      </c>
      <c r="W119" s="23">
        <v>0</v>
      </c>
      <c r="X119" s="28">
        <v>1466071.2385398722</v>
      </c>
      <c r="Y119" s="24">
        <v>5.0168567099869339E-3</v>
      </c>
      <c r="Z119" s="23">
        <v>0</v>
      </c>
      <c r="AA119" s="28">
        <v>1130051.2631797453</v>
      </c>
      <c r="AB119" s="24">
        <v>3.9248470307398451E-3</v>
      </c>
    </row>
    <row r="120" spans="1:36" x14ac:dyDescent="0.25">
      <c r="A120" t="s">
        <v>4088</v>
      </c>
      <c r="B120" t="s">
        <v>7104</v>
      </c>
      <c r="C120" t="s">
        <v>4091</v>
      </c>
      <c r="D120" s="1" t="s">
        <v>4089</v>
      </c>
      <c r="E120" s="1" t="s">
        <v>553</v>
      </c>
      <c r="H120" t="s">
        <v>4090</v>
      </c>
      <c r="I120" s="17">
        <v>-1.5143198344559801</v>
      </c>
      <c r="J120" s="17">
        <v>7.1928723101640293E-2</v>
      </c>
      <c r="K120" s="21">
        <v>4</v>
      </c>
      <c r="L120" s="27">
        <v>1867759.3477981701</v>
      </c>
      <c r="M120" s="22">
        <v>1.7777989532780753E-3</v>
      </c>
      <c r="N120" s="21">
        <v>5</v>
      </c>
      <c r="O120" s="27">
        <v>1261977.5342471974</v>
      </c>
      <c r="P120" s="22">
        <v>1.2117141614591863E-3</v>
      </c>
      <c r="Q120" s="21">
        <v>3</v>
      </c>
      <c r="R120" s="27">
        <v>1513468.0107038044</v>
      </c>
      <c r="S120" s="22">
        <v>1.4617235135223744E-3</v>
      </c>
      <c r="T120" s="23">
        <v>2</v>
      </c>
      <c r="U120" s="28">
        <v>1081959.2677639176</v>
      </c>
      <c r="V120" s="24">
        <v>1.0281244386738839E-3</v>
      </c>
      <c r="W120" s="23">
        <v>0</v>
      </c>
      <c r="X120" s="28">
        <v>1284544.3261202029</v>
      </c>
      <c r="Y120" s="24">
        <v>1.1940494245650793E-3</v>
      </c>
      <c r="Z120" s="23">
        <v>0</v>
      </c>
      <c r="AA120" s="28">
        <v>1002029.2689925859</v>
      </c>
      <c r="AB120" s="24">
        <v>9.4536949072900284E-4</v>
      </c>
    </row>
    <row r="121" spans="1:36" x14ac:dyDescent="0.25">
      <c r="A121" t="s">
        <v>4054</v>
      </c>
      <c r="B121" t="s">
        <v>7092</v>
      </c>
      <c r="C121" t="s">
        <v>4056</v>
      </c>
      <c r="D121" s="1" t="s">
        <v>4055</v>
      </c>
      <c r="E121" s="1" t="s">
        <v>553</v>
      </c>
      <c r="H121" t="s">
        <v>553</v>
      </c>
      <c r="I121" s="17">
        <v>-1.76158507295697</v>
      </c>
      <c r="J121" s="17">
        <v>3.0767955103165202E-2</v>
      </c>
      <c r="K121" s="21">
        <v>3</v>
      </c>
      <c r="L121" s="27">
        <v>3189314.0167471198</v>
      </c>
      <c r="M121" s="22">
        <v>5.0595018458277482E-3</v>
      </c>
      <c r="N121" s="21">
        <v>3</v>
      </c>
      <c r="O121" s="27">
        <v>2599380.7579916171</v>
      </c>
      <c r="P121" s="22">
        <v>4.1597497974502897E-3</v>
      </c>
      <c r="Q121" s="21">
        <v>4</v>
      </c>
      <c r="R121" s="27">
        <v>3628445.9334178572</v>
      </c>
      <c r="S121" s="22">
        <v>5.8406528371827684E-3</v>
      </c>
      <c r="T121" s="23">
        <v>3</v>
      </c>
      <c r="U121" s="28">
        <v>2242107.6727022678</v>
      </c>
      <c r="V121" s="24">
        <v>3.5509126223200425E-3</v>
      </c>
      <c r="W121" s="23">
        <v>3</v>
      </c>
      <c r="X121" s="28">
        <v>1608096.2350550385</v>
      </c>
      <c r="Y121" s="24">
        <v>2.4913456923570301E-3</v>
      </c>
      <c r="Z121" s="23">
        <v>3</v>
      </c>
      <c r="AA121" s="28">
        <v>1904458.2408254228</v>
      </c>
      <c r="AB121" s="24">
        <v>2.994617644009997E-3</v>
      </c>
    </row>
    <row r="122" spans="1:36" x14ac:dyDescent="0.25">
      <c r="A122" s="16" t="s">
        <v>4092</v>
      </c>
      <c r="B122" s="16" t="s">
        <v>7105</v>
      </c>
      <c r="C122" s="16" t="s">
        <v>4095</v>
      </c>
      <c r="D122" s="38" t="s">
        <v>4093</v>
      </c>
      <c r="E122" s="38" t="s">
        <v>553</v>
      </c>
      <c r="F122" s="16"/>
      <c r="G122" s="16" t="s">
        <v>4094</v>
      </c>
      <c r="H122" s="16" t="s">
        <v>716</v>
      </c>
      <c r="I122" s="30">
        <v>-2.1353872962375702</v>
      </c>
      <c r="J122" s="30">
        <v>1.4826073566064E-2</v>
      </c>
      <c r="K122" s="31">
        <v>2</v>
      </c>
      <c r="L122" s="32">
        <v>429474.51659758599</v>
      </c>
      <c r="M122" s="33">
        <v>1.376324539602186E-3</v>
      </c>
      <c r="N122" s="31">
        <v>0</v>
      </c>
      <c r="O122" s="32">
        <v>290817.85604046867</v>
      </c>
      <c r="P122" s="33">
        <v>9.4013745359026633E-4</v>
      </c>
      <c r="Q122" s="31">
        <v>4</v>
      </c>
      <c r="R122" s="32">
        <v>378586.06170457468</v>
      </c>
      <c r="S122" s="33">
        <v>1.2310574879786612E-3</v>
      </c>
      <c r="T122" s="34">
        <v>0</v>
      </c>
      <c r="U122" s="35">
        <v>143579.794178902</v>
      </c>
      <c r="V122" s="36">
        <v>4.5935645538327342E-4</v>
      </c>
      <c r="W122" s="34">
        <v>1</v>
      </c>
      <c r="X122" s="35">
        <v>210886.69454583328</v>
      </c>
      <c r="Y122" s="36">
        <v>6.6000027191804179E-4</v>
      </c>
      <c r="Z122" s="34">
        <v>0</v>
      </c>
      <c r="AA122" s="35">
        <v>211562.66508831474</v>
      </c>
      <c r="AB122" s="36">
        <v>6.7201958595268583E-4</v>
      </c>
      <c r="AC122" s="58"/>
      <c r="AD122" s="58"/>
      <c r="AE122" s="58"/>
      <c r="AF122" s="58"/>
      <c r="AG122" s="58"/>
      <c r="AH122" s="58"/>
      <c r="AI122" s="30"/>
      <c r="AJ122" s="30"/>
    </row>
    <row r="123" spans="1:36" x14ac:dyDescent="0.25">
      <c r="A123" t="s">
        <v>4409</v>
      </c>
      <c r="B123" t="s">
        <v>7209</v>
      </c>
      <c r="C123" t="s">
        <v>4411</v>
      </c>
      <c r="D123" s="9" t="s">
        <v>4410</v>
      </c>
      <c r="E123" s="9" t="s">
        <v>2736</v>
      </c>
      <c r="H123" t="s">
        <v>1055</v>
      </c>
      <c r="I123" s="17">
        <v>1.8794429922563201</v>
      </c>
      <c r="J123" s="17">
        <v>1.50816125513398E-3</v>
      </c>
      <c r="K123" s="21">
        <v>0</v>
      </c>
      <c r="L123" s="27">
        <v>188272.72645084001</v>
      </c>
      <c r="M123" s="22">
        <v>8.7640203010692387E-4</v>
      </c>
      <c r="N123" s="21">
        <v>0</v>
      </c>
      <c r="O123" s="27">
        <v>206075.7653661551</v>
      </c>
      <c r="P123" s="22">
        <v>9.676754362898366E-4</v>
      </c>
      <c r="Q123" s="21">
        <v>1</v>
      </c>
      <c r="R123" s="27">
        <v>259460.16782510871</v>
      </c>
      <c r="S123" s="22">
        <v>1.2255101637002593E-3</v>
      </c>
      <c r="T123" s="23">
        <v>3</v>
      </c>
      <c r="U123" s="28">
        <v>438263.22387084138</v>
      </c>
      <c r="V123" s="24">
        <v>2.0366858017970796E-3</v>
      </c>
      <c r="W123" s="23">
        <v>1</v>
      </c>
      <c r="X123" s="28">
        <v>487082.50737560116</v>
      </c>
      <c r="Y123" s="24">
        <v>2.2142669458288821E-3</v>
      </c>
      <c r="Z123" s="23">
        <v>1</v>
      </c>
      <c r="AA123" s="28">
        <v>401672.37024676154</v>
      </c>
      <c r="AB123" s="24">
        <v>1.8533070156056346E-3</v>
      </c>
      <c r="AC123" s="20">
        <v>15.38308103400597</v>
      </c>
      <c r="AD123" s="20">
        <v>17.396095590162094</v>
      </c>
      <c r="AE123" s="20">
        <v>15.879016302041839</v>
      </c>
      <c r="AF123" s="20">
        <v>15.82187372870057</v>
      </c>
      <c r="AG123" s="20">
        <v>17.10810837415217</v>
      </c>
      <c r="AH123" s="20">
        <v>15.869399083109176</v>
      </c>
    </row>
    <row r="124" spans="1:36" x14ac:dyDescent="0.25">
      <c r="A124" t="s">
        <v>4211</v>
      </c>
      <c r="B124" t="s">
        <v>7144</v>
      </c>
      <c r="C124" t="s">
        <v>4213</v>
      </c>
      <c r="D124" s="9" t="s">
        <v>4212</v>
      </c>
      <c r="E124" s="9" t="s">
        <v>2736</v>
      </c>
      <c r="H124" t="s">
        <v>2148</v>
      </c>
      <c r="I124" s="17">
        <v>1.69444062578613</v>
      </c>
      <c r="J124" s="17">
        <v>1.25254466604352E-3</v>
      </c>
      <c r="K124" s="21">
        <v>3</v>
      </c>
      <c r="L124" s="27">
        <v>843793.171976969</v>
      </c>
      <c r="M124" s="22">
        <v>1.4543562876972625E-3</v>
      </c>
      <c r="N124" s="21">
        <v>1</v>
      </c>
      <c r="O124" s="27">
        <v>915893.20590973517</v>
      </c>
      <c r="P124" s="22">
        <v>1.5924524597122301E-3</v>
      </c>
      <c r="Q124" s="21">
        <v>4</v>
      </c>
      <c r="R124" s="27">
        <v>885335.79168119258</v>
      </c>
      <c r="S124" s="22">
        <v>1.5483640800739238E-3</v>
      </c>
      <c r="T124" s="23">
        <v>2</v>
      </c>
      <c r="U124" s="28">
        <v>1701817.4527411335</v>
      </c>
      <c r="V124" s="24">
        <v>2.9283354365247111E-3</v>
      </c>
      <c r="W124" s="23">
        <v>0</v>
      </c>
      <c r="X124" s="28">
        <v>1682519.3526518247</v>
      </c>
      <c r="Y124" s="24">
        <v>2.8320854667782261E-3</v>
      </c>
      <c r="Z124" s="23">
        <v>0</v>
      </c>
      <c r="AA124" s="28">
        <v>1463305.5783835649</v>
      </c>
      <c r="AB124" s="24">
        <v>2.4999382531159086E-3</v>
      </c>
      <c r="AC124" s="17" t="s">
        <v>8084</v>
      </c>
      <c r="AD124" s="20">
        <v>16.219397642069968</v>
      </c>
      <c r="AF124" s="17" t="s">
        <v>8084</v>
      </c>
      <c r="AG124" s="20">
        <v>16.266460395320639</v>
      </c>
      <c r="AI124" s="47" t="s">
        <v>8087</v>
      </c>
      <c r="AJ124" s="20">
        <v>100.29016338515926</v>
      </c>
    </row>
    <row r="125" spans="1:36" x14ac:dyDescent="0.25">
      <c r="A125" t="s">
        <v>4542</v>
      </c>
      <c r="B125" t="s">
        <v>7255</v>
      </c>
      <c r="C125" t="s">
        <v>4544</v>
      </c>
      <c r="D125" s="9" t="s">
        <v>4543</v>
      </c>
      <c r="E125" s="9" t="s">
        <v>2736</v>
      </c>
      <c r="I125" s="17">
        <v>1.6167220055431</v>
      </c>
      <c r="J125" s="17">
        <v>1.64630080329006E-2</v>
      </c>
      <c r="K125" s="21">
        <v>3</v>
      </c>
      <c r="L125" s="27">
        <v>1172765.6505525999</v>
      </c>
      <c r="M125" s="22">
        <v>5.9832583355537879E-3</v>
      </c>
      <c r="N125" s="21">
        <v>3</v>
      </c>
      <c r="O125" s="27">
        <v>1758102.6470979138</v>
      </c>
      <c r="P125" s="22">
        <v>9.0481038679282293E-3</v>
      </c>
      <c r="Q125" s="21">
        <v>3</v>
      </c>
      <c r="R125" s="27">
        <v>1197937.7705136009</v>
      </c>
      <c r="S125" s="22">
        <v>6.2014184235050906E-3</v>
      </c>
      <c r="T125" s="23">
        <v>2</v>
      </c>
      <c r="U125" s="28">
        <v>2307252.8992938548</v>
      </c>
      <c r="V125" s="24">
        <v>1.1751539407958311E-2</v>
      </c>
      <c r="W125" s="23">
        <v>2</v>
      </c>
      <c r="X125" s="28">
        <v>2753169.6570801036</v>
      </c>
      <c r="Y125" s="24">
        <v>1.371737377811574E-2</v>
      </c>
      <c r="Z125" s="23">
        <v>2</v>
      </c>
      <c r="AA125" s="28">
        <v>2156948.2921600435</v>
      </c>
      <c r="AB125" s="24">
        <v>1.0907511985637677E-2</v>
      </c>
      <c r="AC125" s="17" t="s">
        <v>8085</v>
      </c>
      <c r="AD125" s="20">
        <v>1.0487857232550497</v>
      </c>
      <c r="AF125" s="17" t="s">
        <v>8085</v>
      </c>
      <c r="AG125" s="20">
        <v>0.72927577433459112</v>
      </c>
      <c r="AI125" s="17" t="s">
        <v>8086</v>
      </c>
      <c r="AJ125" s="20">
        <v>0.95218124357195122</v>
      </c>
    </row>
    <row r="126" spans="1:36" x14ac:dyDescent="0.25">
      <c r="A126" t="s">
        <v>4412</v>
      </c>
      <c r="B126" t="s">
        <v>7210</v>
      </c>
      <c r="C126" t="s">
        <v>4415</v>
      </c>
      <c r="D126" s="9" t="s">
        <v>4413</v>
      </c>
      <c r="E126" s="9" t="s">
        <v>2736</v>
      </c>
      <c r="G126" t="s">
        <v>4414</v>
      </c>
      <c r="H126" t="s">
        <v>1055</v>
      </c>
      <c r="I126" s="17">
        <v>1.3465057603855699</v>
      </c>
      <c r="J126" s="17">
        <v>1.65555990118438E-3</v>
      </c>
      <c r="K126" s="21">
        <v>4</v>
      </c>
      <c r="L126" s="27">
        <v>614805.85419039603</v>
      </c>
      <c r="M126" s="22">
        <v>5.4380007067881143E-4</v>
      </c>
      <c r="N126" s="21">
        <v>1</v>
      </c>
      <c r="O126" s="27">
        <v>731776.35415067826</v>
      </c>
      <c r="P126" s="22">
        <v>6.5292976917544221E-4</v>
      </c>
      <c r="Q126" s="21">
        <v>3</v>
      </c>
      <c r="R126" s="27">
        <v>801079.59970809973</v>
      </c>
      <c r="S126" s="22">
        <v>7.1896408673803266E-4</v>
      </c>
      <c r="T126" s="23">
        <v>0</v>
      </c>
      <c r="U126" s="28">
        <v>988716.35228951555</v>
      </c>
      <c r="V126" s="24">
        <v>8.7306389006137116E-4</v>
      </c>
      <c r="W126" s="23">
        <v>0</v>
      </c>
      <c r="X126" s="28">
        <v>1099760.6506672401</v>
      </c>
      <c r="Y126" s="24">
        <v>9.4997225860008752E-4</v>
      </c>
      <c r="Z126" s="23">
        <v>2</v>
      </c>
      <c r="AA126" s="28">
        <v>1032237.1755064384</v>
      </c>
      <c r="AB126" s="24">
        <v>9.0498255812994214E-4</v>
      </c>
    </row>
    <row r="127" spans="1:36" x14ac:dyDescent="0.25">
      <c r="A127" t="s">
        <v>4217</v>
      </c>
      <c r="B127" t="s">
        <v>7146</v>
      </c>
      <c r="C127" t="s">
        <v>4219</v>
      </c>
      <c r="D127" s="9" t="s">
        <v>4218</v>
      </c>
      <c r="E127" s="9" t="s">
        <v>2736</v>
      </c>
      <c r="H127" t="s">
        <v>2148</v>
      </c>
      <c r="I127" s="17">
        <v>1.3218043177377701</v>
      </c>
      <c r="J127" s="17">
        <v>3.4168640131999897E-2</v>
      </c>
      <c r="K127" s="21">
        <v>7</v>
      </c>
      <c r="L127" s="27">
        <v>28252132.862056401</v>
      </c>
      <c r="M127" s="22">
        <v>0.16997376912889864</v>
      </c>
      <c r="N127" s="21">
        <v>6</v>
      </c>
      <c r="O127" s="27">
        <v>30686394.746492352</v>
      </c>
      <c r="P127" s="22">
        <v>0.1862358840345657</v>
      </c>
      <c r="Q127" s="21">
        <v>7</v>
      </c>
      <c r="R127" s="27">
        <v>24088894.92417533</v>
      </c>
      <c r="S127" s="22">
        <v>0.14705432494632953</v>
      </c>
      <c r="T127" s="23">
        <v>7</v>
      </c>
      <c r="U127" s="28">
        <v>37012630.523179851</v>
      </c>
      <c r="V127" s="24">
        <v>0.22230726750401036</v>
      </c>
      <c r="W127" s="23">
        <v>6</v>
      </c>
      <c r="X127" s="28">
        <v>43468256.903800637</v>
      </c>
      <c r="Y127" s="24">
        <v>0.25539616464273107</v>
      </c>
      <c r="Z127" s="23">
        <v>6</v>
      </c>
      <c r="AA127" s="28">
        <v>38981326.840547659</v>
      </c>
      <c r="AB127" s="24">
        <v>0.23245919530195924</v>
      </c>
    </row>
    <row r="128" spans="1:36" x14ac:dyDescent="0.25">
      <c r="A128" t="s">
        <v>4268</v>
      </c>
      <c r="B128" t="s">
        <v>7163</v>
      </c>
      <c r="C128" t="s">
        <v>4270</v>
      </c>
      <c r="D128" s="9" t="s">
        <v>4269</v>
      </c>
      <c r="E128" s="9" t="s">
        <v>2736</v>
      </c>
      <c r="H128" t="s">
        <v>2148</v>
      </c>
      <c r="I128" s="17">
        <v>1.28454894766119</v>
      </c>
      <c r="J128" s="17">
        <v>0.26547359116619201</v>
      </c>
      <c r="K128" s="21">
        <v>8</v>
      </c>
      <c r="L128" s="27">
        <v>8595520.6737367604</v>
      </c>
      <c r="M128" s="22">
        <v>5.3741347006605718E-2</v>
      </c>
      <c r="N128" s="21">
        <v>5</v>
      </c>
      <c r="O128" s="27">
        <v>5413530.5200931095</v>
      </c>
      <c r="P128" s="22">
        <v>3.4143165281813173E-2</v>
      </c>
      <c r="Q128" s="21">
        <v>6</v>
      </c>
      <c r="R128" s="27">
        <v>7595895.1899783779</v>
      </c>
      <c r="S128" s="22">
        <v>4.818874120553026E-2</v>
      </c>
      <c r="T128" s="23">
        <v>5</v>
      </c>
      <c r="U128" s="28">
        <v>8517405.7093048058</v>
      </c>
      <c r="V128" s="24">
        <v>5.3163888271026076E-2</v>
      </c>
      <c r="W128" s="23">
        <v>4</v>
      </c>
      <c r="X128" s="28">
        <v>13451501.420915173</v>
      </c>
      <c r="Y128" s="24">
        <v>8.2133173052082037E-2</v>
      </c>
      <c r="Z128" s="23">
        <v>7</v>
      </c>
      <c r="AA128" s="28">
        <v>8713228.441032419</v>
      </c>
      <c r="AB128" s="24">
        <v>5.3997655836396402E-2</v>
      </c>
    </row>
    <row r="129" spans="1:28" x14ac:dyDescent="0.25">
      <c r="A129" t="s">
        <v>4585</v>
      </c>
      <c r="B129" t="s">
        <v>7270</v>
      </c>
      <c r="C129" t="s">
        <v>4587</v>
      </c>
      <c r="D129" s="9" t="s">
        <v>4586</v>
      </c>
      <c r="E129" s="9" t="s">
        <v>2736</v>
      </c>
      <c r="H129" t="s">
        <v>2148</v>
      </c>
      <c r="I129" s="17">
        <v>1.23396147825881</v>
      </c>
      <c r="J129" s="17">
        <v>3.0558249490685599E-2</v>
      </c>
      <c r="K129" s="21">
        <v>5</v>
      </c>
      <c r="L129" s="27">
        <v>9667549.3464278504</v>
      </c>
      <c r="M129" s="22">
        <v>8.9351909284912837E-2</v>
      </c>
      <c r="N129" s="21">
        <v>3</v>
      </c>
      <c r="O129" s="27">
        <v>12094874.082319874</v>
      </c>
      <c r="P129" s="22">
        <v>0.11276533728548829</v>
      </c>
      <c r="Q129" s="21">
        <v>5</v>
      </c>
      <c r="R129" s="27">
        <v>10091171.402466752</v>
      </c>
      <c r="S129" s="22">
        <v>9.4636633341773205E-2</v>
      </c>
      <c r="T129" s="23">
        <v>5</v>
      </c>
      <c r="U129" s="28">
        <v>12531402.838747008</v>
      </c>
      <c r="V129" s="24">
        <v>0.11562724402561746</v>
      </c>
      <c r="W129" s="23">
        <v>5</v>
      </c>
      <c r="X129" s="28">
        <v>16295714.098038092</v>
      </c>
      <c r="Y129" s="24">
        <v>0.14708633172570865</v>
      </c>
      <c r="Z129" s="23">
        <v>5</v>
      </c>
      <c r="AA129" s="28">
        <v>13843131.965835547</v>
      </c>
      <c r="AB129" s="24">
        <v>0.12681810113570063</v>
      </c>
    </row>
    <row r="130" spans="1:28" x14ac:dyDescent="0.25">
      <c r="A130" t="s">
        <v>4588</v>
      </c>
      <c r="B130" t="s">
        <v>7271</v>
      </c>
      <c r="C130" t="s">
        <v>4590</v>
      </c>
      <c r="D130" s="9" t="s">
        <v>4589</v>
      </c>
      <c r="E130" s="9" t="s">
        <v>2736</v>
      </c>
      <c r="H130" t="s">
        <v>2800</v>
      </c>
      <c r="I130" s="17">
        <v>1.2306058254358501</v>
      </c>
      <c r="J130" s="17">
        <v>5.6921806029713896E-3</v>
      </c>
      <c r="K130" s="21">
        <v>20</v>
      </c>
      <c r="L130" s="27">
        <v>94619337.859096497</v>
      </c>
      <c r="M130" s="22">
        <v>0.66309391484004998</v>
      </c>
      <c r="N130" s="21">
        <v>17</v>
      </c>
      <c r="O130" s="27">
        <v>116199378.74563417</v>
      </c>
      <c r="P130" s="22">
        <v>0.82145878109583581</v>
      </c>
      <c r="Q130" s="21">
        <v>30</v>
      </c>
      <c r="R130" s="27">
        <v>112506852.70899065</v>
      </c>
      <c r="S130" s="22">
        <v>0.80002650114381346</v>
      </c>
      <c r="T130" s="23">
        <v>31</v>
      </c>
      <c r="U130" s="28">
        <v>126256818.50045842</v>
      </c>
      <c r="V130" s="24">
        <v>0.88333008689712811</v>
      </c>
      <c r="W130" s="23">
        <v>30</v>
      </c>
      <c r="X130" s="28">
        <v>159830525.91487405</v>
      </c>
      <c r="Y130" s="24">
        <v>1.0938716009399005</v>
      </c>
      <c r="Z130" s="23">
        <v>27</v>
      </c>
      <c r="AA130" s="28">
        <v>144839690.08727136</v>
      </c>
      <c r="AB130" s="24">
        <v>1.0061023709185226</v>
      </c>
    </row>
    <row r="131" spans="1:28" x14ac:dyDescent="0.25">
      <c r="A131" t="s">
        <v>4277</v>
      </c>
      <c r="B131" t="s">
        <v>7166</v>
      </c>
      <c r="C131" t="s">
        <v>4279</v>
      </c>
      <c r="D131" s="9" t="s">
        <v>4278</v>
      </c>
      <c r="E131" s="9" t="s">
        <v>2736</v>
      </c>
      <c r="H131" t="s">
        <v>2148</v>
      </c>
      <c r="I131" s="17">
        <v>1.20231855628198</v>
      </c>
      <c r="J131" s="17">
        <v>0.31067475580824899</v>
      </c>
      <c r="K131" s="21">
        <v>2</v>
      </c>
      <c r="L131" s="27">
        <v>6038526.4336337997</v>
      </c>
      <c r="M131" s="22">
        <v>3.1056021364655528E-2</v>
      </c>
      <c r="N131" s="21">
        <v>4</v>
      </c>
      <c r="O131" s="27">
        <v>10111330.291250857</v>
      </c>
      <c r="P131" s="22">
        <v>5.2457788104364238E-2</v>
      </c>
      <c r="Q131" s="21">
        <v>3</v>
      </c>
      <c r="R131" s="27">
        <v>5561009.8014800828</v>
      </c>
      <c r="S131" s="22">
        <v>2.9020090687340953E-2</v>
      </c>
      <c r="T131" s="23">
        <v>2</v>
      </c>
      <c r="U131" s="28">
        <v>9473561.6731097195</v>
      </c>
      <c r="V131" s="24">
        <v>4.8640852222194671E-2</v>
      </c>
      <c r="W131" s="23">
        <v>3</v>
      </c>
      <c r="X131" s="28">
        <v>10368455.382290376</v>
      </c>
      <c r="Y131" s="24">
        <v>5.2076332250107195E-2</v>
      </c>
      <c r="Z131" s="23">
        <v>2</v>
      </c>
      <c r="AA131" s="28">
        <v>8304781.1442909846</v>
      </c>
      <c r="AB131" s="24">
        <v>4.2335284699033346E-2</v>
      </c>
    </row>
    <row r="132" spans="1:28" x14ac:dyDescent="0.25">
      <c r="A132" t="s">
        <v>4671</v>
      </c>
      <c r="B132" t="s">
        <v>7299</v>
      </c>
      <c r="C132" t="s">
        <v>4673</v>
      </c>
      <c r="D132" s="9" t="s">
        <v>4672</v>
      </c>
      <c r="E132" s="9" t="s">
        <v>2736</v>
      </c>
      <c r="H132" t="s">
        <v>2148</v>
      </c>
      <c r="I132" s="17">
        <v>1.1790796554634899</v>
      </c>
      <c r="J132" s="17">
        <v>0.23658021143407501</v>
      </c>
      <c r="K132" s="21">
        <v>6</v>
      </c>
      <c r="L132" s="27">
        <v>17835078.089289501</v>
      </c>
      <c r="M132" s="22">
        <v>0.11373956040654004</v>
      </c>
      <c r="N132" s="21">
        <v>7</v>
      </c>
      <c r="O132" s="27">
        <v>25264399.700921621</v>
      </c>
      <c r="P132" s="22">
        <v>0.16252955496663798</v>
      </c>
      <c r="Q132" s="21">
        <v>7</v>
      </c>
      <c r="R132" s="27">
        <v>18312999.702685054</v>
      </c>
      <c r="S132" s="22">
        <v>0.11850216319790978</v>
      </c>
      <c r="T132" s="23">
        <v>6</v>
      </c>
      <c r="U132" s="28">
        <v>21084675.761460561</v>
      </c>
      <c r="V132" s="24">
        <v>0.13423831767134228</v>
      </c>
      <c r="W132" s="23">
        <v>7</v>
      </c>
      <c r="X132" s="28">
        <v>31017133.651184473</v>
      </c>
      <c r="Y132" s="24">
        <v>0.19317444473722911</v>
      </c>
      <c r="Z132" s="23">
        <v>6</v>
      </c>
      <c r="AA132" s="28">
        <v>26549292.788153689</v>
      </c>
      <c r="AB132" s="24">
        <v>0.16782201638164215</v>
      </c>
    </row>
    <row r="133" spans="1:28" x14ac:dyDescent="0.25">
      <c r="A133" s="82" t="s">
        <v>4594</v>
      </c>
      <c r="B133" s="82" t="s">
        <v>7273</v>
      </c>
      <c r="C133" s="82" t="s">
        <v>4596</v>
      </c>
      <c r="D133" s="83" t="s">
        <v>4595</v>
      </c>
      <c r="E133" s="83" t="s">
        <v>2736</v>
      </c>
      <c r="F133" s="82"/>
      <c r="G133" s="82"/>
      <c r="H133" s="82" t="s">
        <v>57</v>
      </c>
      <c r="I133" s="47">
        <v>1.1532045887665701</v>
      </c>
      <c r="J133" s="47">
        <v>3.7079380316345299E-2</v>
      </c>
      <c r="K133" s="88">
        <v>2</v>
      </c>
      <c r="L133" s="89">
        <v>1280722.9891294399</v>
      </c>
      <c r="M133" s="22">
        <v>7.0409903032613843E-3</v>
      </c>
      <c r="N133" s="88">
        <v>1</v>
      </c>
      <c r="O133" s="89">
        <v>1413539.0971538152</v>
      </c>
      <c r="P133" s="22">
        <v>7.8392262435251266E-3</v>
      </c>
      <c r="Q133" s="88">
        <v>1</v>
      </c>
      <c r="R133" s="89">
        <v>1383373.091687215</v>
      </c>
      <c r="S133" s="22">
        <v>7.7169933237644078E-3</v>
      </c>
      <c r="T133" s="90">
        <v>1</v>
      </c>
      <c r="U133" s="91">
        <v>1647068.0555800335</v>
      </c>
      <c r="V133" s="24">
        <v>9.0398896471910496E-3</v>
      </c>
      <c r="W133" s="90">
        <v>1</v>
      </c>
      <c r="X133" s="91">
        <v>1917241.5487271193</v>
      </c>
      <c r="Y133" s="24">
        <v>1.0293589714760853E-2</v>
      </c>
      <c r="Z133" s="90">
        <v>1</v>
      </c>
      <c r="AA133" s="91">
        <v>1537666.5546747523</v>
      </c>
      <c r="AB133" s="24">
        <v>8.3791537014991507E-3</v>
      </c>
    </row>
    <row r="134" spans="1:28" x14ac:dyDescent="0.25">
      <c r="A134" t="s">
        <v>4629</v>
      </c>
      <c r="B134" t="s">
        <v>7285</v>
      </c>
      <c r="C134" t="s">
        <v>4631</v>
      </c>
      <c r="D134" s="9" t="s">
        <v>4630</v>
      </c>
      <c r="E134" s="9" t="s">
        <v>2736</v>
      </c>
      <c r="H134" t="s">
        <v>2127</v>
      </c>
      <c r="I134" s="17">
        <v>1.15128717383683</v>
      </c>
      <c r="J134" s="17">
        <v>0.14925569123707899</v>
      </c>
      <c r="K134" s="21">
        <v>3</v>
      </c>
      <c r="L134" s="27">
        <v>7961392.0784754399</v>
      </c>
      <c r="M134" s="22">
        <v>5.1284998596500202E-2</v>
      </c>
      <c r="N134" s="21">
        <v>2</v>
      </c>
      <c r="O134" s="27">
        <v>6961260.9404368</v>
      </c>
      <c r="P134" s="22">
        <v>4.5235154862753382E-2</v>
      </c>
      <c r="Q134" s="21">
        <v>3</v>
      </c>
      <c r="R134" s="27">
        <v>8518665.7692751344</v>
      </c>
      <c r="S134" s="22">
        <v>5.5680506126529861E-2</v>
      </c>
      <c r="T134" s="23">
        <v>3</v>
      </c>
      <c r="U134" s="28">
        <v>8865856.0374904349</v>
      </c>
      <c r="V134" s="24">
        <v>5.7015777937519219E-2</v>
      </c>
      <c r="W134" s="23">
        <v>3</v>
      </c>
      <c r="X134" s="28">
        <v>10703052.060890097</v>
      </c>
      <c r="Y134" s="24">
        <v>6.7331835616581487E-2</v>
      </c>
      <c r="Z134" s="23">
        <v>3</v>
      </c>
      <c r="AA134" s="28">
        <v>9818155.4734505583</v>
      </c>
      <c r="AB134" s="24">
        <v>6.2688905617236279E-2</v>
      </c>
    </row>
    <row r="135" spans="1:28" x14ac:dyDescent="0.25">
      <c r="A135" t="s">
        <v>4606</v>
      </c>
      <c r="B135" t="s">
        <v>7277</v>
      </c>
      <c r="C135" t="s">
        <v>4608</v>
      </c>
      <c r="D135" s="9" t="s">
        <v>4607</v>
      </c>
      <c r="E135" s="9" t="s">
        <v>2736</v>
      </c>
      <c r="H135" t="s">
        <v>2148</v>
      </c>
      <c r="I135" s="17">
        <v>1.13033753575479</v>
      </c>
      <c r="J135" s="17">
        <v>9.6030661650115298E-2</v>
      </c>
      <c r="K135" s="21">
        <v>10</v>
      </c>
      <c r="L135" s="27">
        <v>17902541.571886301</v>
      </c>
      <c r="M135" s="22">
        <v>0.15639697939698263</v>
      </c>
      <c r="N135" s="21">
        <v>7</v>
      </c>
      <c r="O135" s="27">
        <v>22900545.418081135</v>
      </c>
      <c r="P135" s="22">
        <v>0.20181169428046747</v>
      </c>
      <c r="Q135" s="21">
        <v>9</v>
      </c>
      <c r="R135" s="27">
        <v>19278422.534225896</v>
      </c>
      <c r="S135" s="22">
        <v>0.17088951784673845</v>
      </c>
      <c r="T135" s="23">
        <v>8</v>
      </c>
      <c r="U135" s="28">
        <v>21811724.813391447</v>
      </c>
      <c r="V135" s="24">
        <v>0.19022899942166116</v>
      </c>
      <c r="W135" s="23">
        <v>8</v>
      </c>
      <c r="X135" s="28">
        <v>26654005.305622287</v>
      </c>
      <c r="Y135" s="24">
        <v>0.22739851847561124</v>
      </c>
      <c r="Z135" s="23">
        <v>7</v>
      </c>
      <c r="AA135" s="28">
        <v>25075710.10956759</v>
      </c>
      <c r="AB135" s="24">
        <v>0.21713326269981978</v>
      </c>
    </row>
    <row r="136" spans="1:28" x14ac:dyDescent="0.25">
      <c r="A136" t="s">
        <v>4686</v>
      </c>
      <c r="B136" t="s">
        <v>7304</v>
      </c>
      <c r="C136" t="s">
        <v>4688</v>
      </c>
      <c r="D136" s="9" t="s">
        <v>4687</v>
      </c>
      <c r="E136" s="9" t="s">
        <v>2736</v>
      </c>
      <c r="H136" t="s">
        <v>1055</v>
      </c>
      <c r="I136" s="17">
        <v>1.1221469804358399</v>
      </c>
      <c r="J136" s="17">
        <v>0.26077357499716403</v>
      </c>
      <c r="K136" s="21">
        <v>20</v>
      </c>
      <c r="L136" s="27">
        <v>12737045.948625101</v>
      </c>
      <c r="M136" s="22">
        <v>1.2196381950034359E-2</v>
      </c>
      <c r="N136" s="21">
        <v>14</v>
      </c>
      <c r="O136" s="27">
        <v>11119364.19034701</v>
      </c>
      <c r="P136" s="22">
        <v>1.0740613486558293E-2</v>
      </c>
      <c r="Q136" s="21">
        <v>17</v>
      </c>
      <c r="R136" s="27">
        <v>13489591.253103381</v>
      </c>
      <c r="S136" s="22">
        <v>1.3106639403842E-2</v>
      </c>
      <c r="T136" s="23">
        <v>15</v>
      </c>
      <c r="U136" s="28">
        <v>15091263.643224573</v>
      </c>
      <c r="V136" s="24">
        <v>1.4426499033988826E-2</v>
      </c>
      <c r="W136" s="23">
        <v>13</v>
      </c>
      <c r="X136" s="28">
        <v>14925589.711671611</v>
      </c>
      <c r="Y136" s="24">
        <v>1.3957424303057141E-2</v>
      </c>
      <c r="Z136" s="23">
        <v>11</v>
      </c>
      <c r="AA136" s="28">
        <v>15422418.739809809</v>
      </c>
      <c r="AB136" s="24">
        <v>1.4637747095332507E-2</v>
      </c>
    </row>
    <row r="137" spans="1:28" x14ac:dyDescent="0.25">
      <c r="A137" t="s">
        <v>4741</v>
      </c>
      <c r="B137" t="s">
        <v>7322</v>
      </c>
      <c r="C137" t="s">
        <v>4743</v>
      </c>
      <c r="D137" s="9" t="s">
        <v>4742</v>
      </c>
      <c r="E137" s="9" t="s">
        <v>2736</v>
      </c>
      <c r="H137" t="s">
        <v>2148</v>
      </c>
      <c r="I137" s="17">
        <v>1.11232723382981</v>
      </c>
      <c r="J137" s="17">
        <v>0.44131669558124897</v>
      </c>
      <c r="K137" s="21">
        <v>4</v>
      </c>
      <c r="L137" s="27">
        <v>15828871.0129444</v>
      </c>
      <c r="M137" s="22">
        <v>0.11342178130936195</v>
      </c>
      <c r="N137" s="21">
        <v>4</v>
      </c>
      <c r="O137" s="27">
        <v>18353850.987652104</v>
      </c>
      <c r="P137" s="22">
        <v>0.13266628177518894</v>
      </c>
      <c r="Q137" s="21">
        <v>4</v>
      </c>
      <c r="R137" s="27">
        <v>12439056.563608726</v>
      </c>
      <c r="S137" s="22">
        <v>9.0440764733369261E-2</v>
      </c>
      <c r="T137" s="23">
        <v>4</v>
      </c>
      <c r="U137" s="28">
        <v>15764499.389255153</v>
      </c>
      <c r="V137" s="24">
        <v>0.1127716023535125</v>
      </c>
      <c r="W137" s="23">
        <v>4</v>
      </c>
      <c r="X137" s="28">
        <v>21610375.76525721</v>
      </c>
      <c r="Y137" s="24">
        <v>0.15122386132597629</v>
      </c>
      <c r="Z137" s="23">
        <v>4</v>
      </c>
      <c r="AA137" s="28">
        <v>19242699.513349157</v>
      </c>
      <c r="AB137" s="24">
        <v>0.13666961447961012</v>
      </c>
    </row>
    <row r="138" spans="1:28" x14ac:dyDescent="0.25">
      <c r="A138" t="s">
        <v>4723</v>
      </c>
      <c r="B138" t="s">
        <v>7316</v>
      </c>
      <c r="C138" t="s">
        <v>4725</v>
      </c>
      <c r="D138" s="9" t="s">
        <v>4724</v>
      </c>
      <c r="E138" s="9" t="s">
        <v>2736</v>
      </c>
      <c r="H138" t="s">
        <v>2148</v>
      </c>
      <c r="I138" s="17">
        <v>1.10271213124127</v>
      </c>
      <c r="J138" s="17">
        <v>0.35953928788193701</v>
      </c>
      <c r="K138" s="21">
        <v>16</v>
      </c>
      <c r="L138" s="27">
        <v>54795581.152022101</v>
      </c>
      <c r="M138" s="22">
        <v>0.23296506959486923</v>
      </c>
      <c r="N138" s="21">
        <v>11</v>
      </c>
      <c r="O138" s="27">
        <v>53250098.875359602</v>
      </c>
      <c r="P138" s="22">
        <v>0.22837708328967871</v>
      </c>
      <c r="Q138" s="21">
        <v>17</v>
      </c>
      <c r="R138" s="27">
        <v>49798552.635499783</v>
      </c>
      <c r="S138" s="22">
        <v>0.21482867570357522</v>
      </c>
      <c r="T138" s="23">
        <v>17</v>
      </c>
      <c r="U138" s="28">
        <v>56132093.14377071</v>
      </c>
      <c r="V138" s="24">
        <v>0.2382481582434004</v>
      </c>
      <c r="W138" s="23">
        <v>13</v>
      </c>
      <c r="X138" s="28">
        <v>76963299.907130122</v>
      </c>
      <c r="Y138" s="24">
        <v>0.31955118509447761</v>
      </c>
      <c r="Z138" s="23">
        <v>15</v>
      </c>
      <c r="AA138" s="28">
        <v>57318803.108114794</v>
      </c>
      <c r="AB138" s="24">
        <v>0.24154710236395507</v>
      </c>
    </row>
    <row r="139" spans="1:28" x14ac:dyDescent="0.25">
      <c r="A139" t="s">
        <v>4325</v>
      </c>
      <c r="B139" t="s">
        <v>7182</v>
      </c>
      <c r="C139" t="s">
        <v>4328</v>
      </c>
      <c r="D139" s="9" t="s">
        <v>4326</v>
      </c>
      <c r="E139" s="9" t="s">
        <v>2736</v>
      </c>
      <c r="H139" t="s">
        <v>4327</v>
      </c>
      <c r="I139" s="17">
        <v>1.1023307495122301</v>
      </c>
      <c r="J139" s="17">
        <v>0.54269354587763596</v>
      </c>
      <c r="K139" s="21">
        <v>14</v>
      </c>
      <c r="L139" s="27">
        <v>22430194.805241801</v>
      </c>
      <c r="M139" s="22">
        <v>5.6095677188580328E-2</v>
      </c>
      <c r="N139" s="21">
        <v>8</v>
      </c>
      <c r="O139" s="27">
        <v>17776299.83032839</v>
      </c>
      <c r="P139" s="22">
        <v>4.4846086372154099E-2</v>
      </c>
      <c r="Q139" s="21">
        <v>17</v>
      </c>
      <c r="R139" s="27">
        <v>26261186.165390506</v>
      </c>
      <c r="S139" s="22">
        <v>6.664091445305248E-2</v>
      </c>
      <c r="T139" s="23">
        <v>15</v>
      </c>
      <c r="U139" s="28">
        <v>28523720.225471221</v>
      </c>
      <c r="V139" s="24">
        <v>7.1215669507645449E-2</v>
      </c>
      <c r="W139" s="23">
        <v>14</v>
      </c>
      <c r="X139" s="28">
        <v>29199925.797741339</v>
      </c>
      <c r="Y139" s="24">
        <v>7.1316427322376238E-2</v>
      </c>
      <c r="Z139" s="23">
        <v>14</v>
      </c>
      <c r="AA139" s="28">
        <v>21822515.63174399</v>
      </c>
      <c r="AB139" s="24">
        <v>5.4095434157016987E-2</v>
      </c>
    </row>
    <row r="140" spans="1:28" x14ac:dyDescent="0.25">
      <c r="A140" t="s">
        <v>4692</v>
      </c>
      <c r="B140" t="s">
        <v>7306</v>
      </c>
      <c r="C140" t="s">
        <v>4693</v>
      </c>
      <c r="D140" s="9" t="s">
        <v>4574</v>
      </c>
      <c r="E140" s="9" t="s">
        <v>2736</v>
      </c>
      <c r="H140" t="s">
        <v>2148</v>
      </c>
      <c r="I140" s="17">
        <v>1.09311074836004</v>
      </c>
      <c r="J140" s="17">
        <v>0.27081644107215802</v>
      </c>
      <c r="K140" s="21">
        <v>35</v>
      </c>
      <c r="L140" s="27">
        <v>95441710.888393894</v>
      </c>
      <c r="M140" s="22">
        <v>0.16584740550212801</v>
      </c>
      <c r="N140" s="21">
        <v>25</v>
      </c>
      <c r="O140" s="27">
        <v>87231333.765257046</v>
      </c>
      <c r="P140" s="22">
        <v>0.15290786035280904</v>
      </c>
      <c r="Q140" s="21">
        <v>35</v>
      </c>
      <c r="R140" s="27">
        <v>98891743.535899788</v>
      </c>
      <c r="S140" s="22">
        <v>0.17436558031950497</v>
      </c>
      <c r="T140" s="23">
        <v>27</v>
      </c>
      <c r="U140" s="28">
        <v>110955539.62489924</v>
      </c>
      <c r="V140" s="24">
        <v>0.19248305350044811</v>
      </c>
      <c r="W140" s="23">
        <v>28</v>
      </c>
      <c r="X140" s="28">
        <v>119197180.13408235</v>
      </c>
      <c r="Y140" s="24">
        <v>0.20227766340917447</v>
      </c>
      <c r="Z140" s="23">
        <v>30</v>
      </c>
      <c r="AA140" s="28">
        <v>104236003.05596459</v>
      </c>
      <c r="AB140" s="24">
        <v>0.1795343954196659</v>
      </c>
    </row>
    <row r="141" spans="1:28" x14ac:dyDescent="0.25">
      <c r="A141" t="s">
        <v>4735</v>
      </c>
      <c r="B141" t="s">
        <v>7320</v>
      </c>
      <c r="C141" t="s">
        <v>4737</v>
      </c>
      <c r="D141" s="9" t="s">
        <v>4736</v>
      </c>
      <c r="E141" s="9" t="s">
        <v>2736</v>
      </c>
      <c r="H141" t="s">
        <v>3007</v>
      </c>
      <c r="I141" s="17">
        <v>1.0904474982430601</v>
      </c>
      <c r="J141" s="17">
        <v>0.42890773324315801</v>
      </c>
      <c r="K141" s="21">
        <v>14</v>
      </c>
      <c r="L141" s="27">
        <v>16546249.812125901</v>
      </c>
      <c r="M141" s="22">
        <v>3.9081600681162405E-2</v>
      </c>
      <c r="N141" s="21">
        <v>9</v>
      </c>
      <c r="O141" s="27">
        <v>23511130.556586441</v>
      </c>
      <c r="P141" s="22">
        <v>5.6018711021280101E-2</v>
      </c>
      <c r="Q141" s="21">
        <v>15</v>
      </c>
      <c r="R141" s="27">
        <v>18255532.404907424</v>
      </c>
      <c r="S141" s="22">
        <v>4.3751961578254929E-2</v>
      </c>
      <c r="T141" s="23">
        <v>8</v>
      </c>
      <c r="U141" s="28">
        <v>20778530.697909605</v>
      </c>
      <c r="V141" s="24">
        <v>4.8996002034595414E-2</v>
      </c>
      <c r="W141" s="23">
        <v>7</v>
      </c>
      <c r="X141" s="28">
        <v>22332947.358169187</v>
      </c>
      <c r="Y141" s="24">
        <v>5.1514594932960289E-2</v>
      </c>
      <c r="Z141" s="23">
        <v>9</v>
      </c>
      <c r="AA141" s="28">
        <v>25385909.174391739</v>
      </c>
      <c r="AB141" s="24">
        <v>5.9432628168600614E-2</v>
      </c>
    </row>
    <row r="142" spans="1:28" x14ac:dyDescent="0.25">
      <c r="A142" t="s">
        <v>4754</v>
      </c>
      <c r="B142" t="s">
        <v>7326</v>
      </c>
      <c r="C142" t="s">
        <v>4756</v>
      </c>
      <c r="D142" s="9" t="s">
        <v>4755</v>
      </c>
      <c r="E142" s="9" t="s">
        <v>2736</v>
      </c>
      <c r="H142" t="s">
        <v>2148</v>
      </c>
      <c r="I142" s="17">
        <v>1.0851147838055899</v>
      </c>
      <c r="J142" s="17">
        <v>0.54278733976532501</v>
      </c>
      <c r="K142" s="21">
        <v>21</v>
      </c>
      <c r="L142" s="27">
        <v>31057481.603455201</v>
      </c>
      <c r="M142" s="22">
        <v>0.14780800950391534</v>
      </c>
      <c r="N142" s="21">
        <v>21</v>
      </c>
      <c r="O142" s="27">
        <v>49734756.456823491</v>
      </c>
      <c r="P142" s="22">
        <v>0.23876934049941695</v>
      </c>
      <c r="Q142" s="21">
        <v>21</v>
      </c>
      <c r="R142" s="27">
        <v>31085279.284417335</v>
      </c>
      <c r="S142" s="22">
        <v>0.15011246796459485</v>
      </c>
      <c r="T142" s="23">
        <v>22</v>
      </c>
      <c r="U142" s="28">
        <v>36911651.12804725</v>
      </c>
      <c r="V142" s="24">
        <v>0.17537522773375983</v>
      </c>
      <c r="W142" s="23">
        <v>16</v>
      </c>
      <c r="X142" s="28">
        <v>49757608.569540054</v>
      </c>
      <c r="Y142" s="24">
        <v>0.23126116659455045</v>
      </c>
      <c r="Z142" s="23">
        <v>23</v>
      </c>
      <c r="AA142" s="28">
        <v>44708685.264977425</v>
      </c>
      <c r="AB142" s="24">
        <v>0.21090315586593764</v>
      </c>
    </row>
    <row r="143" spans="1:28" x14ac:dyDescent="0.25">
      <c r="A143" t="s">
        <v>4757</v>
      </c>
      <c r="B143" t="s">
        <v>7327</v>
      </c>
      <c r="C143" t="s">
        <v>4759</v>
      </c>
      <c r="D143" s="9" t="s">
        <v>4758</v>
      </c>
      <c r="E143" s="9" t="s">
        <v>2736</v>
      </c>
      <c r="H143" t="s">
        <v>2148</v>
      </c>
      <c r="I143" s="17">
        <v>1.05363104476965</v>
      </c>
      <c r="J143" s="17">
        <v>0.54436979690220999</v>
      </c>
      <c r="K143" s="21">
        <v>7</v>
      </c>
      <c r="L143" s="27">
        <v>13011719.3226454</v>
      </c>
      <c r="M143" s="22">
        <v>9.4294973881461269E-2</v>
      </c>
      <c r="N143" s="21">
        <v>6</v>
      </c>
      <c r="O143" s="27">
        <v>14983973.455449257</v>
      </c>
      <c r="P143" s="22">
        <v>0.10953872598738781</v>
      </c>
      <c r="Q143" s="21">
        <v>7</v>
      </c>
      <c r="R143" s="27">
        <v>11460619.821856737</v>
      </c>
      <c r="S143" s="22">
        <v>8.4273731435691848E-2</v>
      </c>
      <c r="T143" s="23">
        <v>6</v>
      </c>
      <c r="U143" s="28">
        <v>14416848.446909202</v>
      </c>
      <c r="V143" s="24">
        <v>0.1043031044490747</v>
      </c>
      <c r="W143" s="23">
        <v>5</v>
      </c>
      <c r="X143" s="28">
        <v>15591045.190731775</v>
      </c>
      <c r="Y143" s="24">
        <v>0.11034192832459801</v>
      </c>
      <c r="Z143" s="23">
        <v>5</v>
      </c>
      <c r="AA143" s="28">
        <v>15091166.677254604</v>
      </c>
      <c r="AB143" s="24">
        <v>0.10840170710251527</v>
      </c>
    </row>
    <row r="144" spans="1:28" x14ac:dyDescent="0.25">
      <c r="A144" t="s">
        <v>4791</v>
      </c>
      <c r="B144" t="s">
        <v>7339</v>
      </c>
      <c r="C144" t="s">
        <v>4793</v>
      </c>
      <c r="D144" s="9" t="s">
        <v>4792</v>
      </c>
      <c r="E144" s="9" t="s">
        <v>2736</v>
      </c>
      <c r="H144" t="s">
        <v>2148</v>
      </c>
      <c r="I144" s="17">
        <v>1.05189867195152</v>
      </c>
      <c r="J144" s="17">
        <v>0.69328401174675303</v>
      </c>
      <c r="K144" s="21">
        <v>3</v>
      </c>
      <c r="L144" s="27">
        <v>7970434.6699168896</v>
      </c>
      <c r="M144" s="22">
        <v>4.3076115158310169E-2</v>
      </c>
      <c r="N144" s="21">
        <v>4</v>
      </c>
      <c r="O144" s="27">
        <v>11028419.888029629</v>
      </c>
      <c r="P144" s="22">
        <v>6.0124938903965794E-2</v>
      </c>
      <c r="Q144" s="21">
        <v>5</v>
      </c>
      <c r="R144" s="27">
        <v>7949892.8297612621</v>
      </c>
      <c r="S144" s="22">
        <v>4.3595941052021817E-2</v>
      </c>
      <c r="T144" s="23">
        <v>3</v>
      </c>
      <c r="U144" s="28">
        <v>8183349.2841557534</v>
      </c>
      <c r="V144" s="24">
        <v>4.4152841154016235E-2</v>
      </c>
      <c r="W144" s="23">
        <v>4</v>
      </c>
      <c r="X144" s="28">
        <v>12352021.91256501</v>
      </c>
      <c r="Y144" s="24">
        <v>6.5193463966591605E-2</v>
      </c>
      <c r="Z144" s="23">
        <v>4</v>
      </c>
      <c r="AA144" s="28">
        <v>10297690.477889178</v>
      </c>
      <c r="AB144" s="24">
        <v>5.5163752905475989E-2</v>
      </c>
    </row>
    <row r="145" spans="1:28" x14ac:dyDescent="0.25">
      <c r="A145" t="s">
        <v>4504</v>
      </c>
      <c r="B145" t="s">
        <v>7241</v>
      </c>
      <c r="C145" t="s">
        <v>4506</v>
      </c>
      <c r="D145" s="9" t="s">
        <v>4505</v>
      </c>
      <c r="E145" s="9" t="s">
        <v>2736</v>
      </c>
      <c r="H145" t="s">
        <v>41</v>
      </c>
      <c r="I145" s="17">
        <v>1.0432064109688499</v>
      </c>
      <c r="J145" s="17">
        <v>0.60178796752285002</v>
      </c>
      <c r="K145" s="21">
        <v>2</v>
      </c>
      <c r="L145" s="27">
        <v>513655.10860036599</v>
      </c>
      <c r="M145" s="22">
        <v>2.1133744070946062E-3</v>
      </c>
      <c r="N145" s="21">
        <v>1</v>
      </c>
      <c r="O145" s="27">
        <v>504055.38899548928</v>
      </c>
      <c r="P145" s="22">
        <v>2.0920397239257596E-3</v>
      </c>
      <c r="Q145" s="21">
        <v>3</v>
      </c>
      <c r="R145" s="27">
        <v>540601.02977059712</v>
      </c>
      <c r="S145" s="22">
        <v>2.2568981490285658E-3</v>
      </c>
      <c r="T145" s="23">
        <v>1</v>
      </c>
      <c r="U145" s="28">
        <v>616096.25738204469</v>
      </c>
      <c r="V145" s="24">
        <v>2.5306171464553619E-3</v>
      </c>
      <c r="W145" s="23">
        <v>0</v>
      </c>
      <c r="X145" s="28">
        <v>610377.13686845545</v>
      </c>
      <c r="Y145" s="24">
        <v>2.4525313679198617E-3</v>
      </c>
      <c r="Z145" s="23">
        <v>0</v>
      </c>
      <c r="AA145" s="28">
        <v>534428.97384099488</v>
      </c>
      <c r="AB145" s="24">
        <v>2.179486959703849E-3</v>
      </c>
    </row>
    <row r="146" spans="1:28" x14ac:dyDescent="0.25">
      <c r="A146" t="s">
        <v>4301</v>
      </c>
      <c r="B146" t="s">
        <v>7174</v>
      </c>
      <c r="C146" t="s">
        <v>4303</v>
      </c>
      <c r="D146" s="9" t="s">
        <v>4302</v>
      </c>
      <c r="E146" s="9" t="s">
        <v>2736</v>
      </c>
      <c r="H146" t="s">
        <v>2148</v>
      </c>
      <c r="I146" s="17">
        <v>1.0412659469779399</v>
      </c>
      <c r="J146" s="17">
        <v>0.71636567365189796</v>
      </c>
      <c r="K146" s="21">
        <v>5</v>
      </c>
      <c r="L146" s="27">
        <v>4285100.2140372396</v>
      </c>
      <c r="M146" s="22">
        <v>3.5035063629513391E-2</v>
      </c>
      <c r="N146" s="21">
        <v>4</v>
      </c>
      <c r="O146" s="27">
        <v>7745703.5884689875</v>
      </c>
      <c r="P146" s="22">
        <v>6.3883637015955286E-2</v>
      </c>
      <c r="Q146" s="21">
        <v>4</v>
      </c>
      <c r="R146" s="27">
        <v>4171209.7753148405</v>
      </c>
      <c r="S146" s="22">
        <v>3.4604630698949007E-2</v>
      </c>
      <c r="T146" s="23">
        <v>4</v>
      </c>
      <c r="U146" s="28">
        <v>5652336.3263889505</v>
      </c>
      <c r="V146" s="24">
        <v>4.6136321696822143E-2</v>
      </c>
      <c r="W146" s="23">
        <v>4</v>
      </c>
      <c r="X146" s="28">
        <v>6998856.2162842676</v>
      </c>
      <c r="Y146" s="24">
        <v>5.588309875061867E-2</v>
      </c>
      <c r="Z146" s="23">
        <v>4</v>
      </c>
      <c r="AA146" s="28">
        <v>5554193.017715048</v>
      </c>
      <c r="AB146" s="24">
        <v>4.5011381574192197E-2</v>
      </c>
    </row>
    <row r="147" spans="1:28" x14ac:dyDescent="0.25">
      <c r="A147" t="s">
        <v>4794</v>
      </c>
      <c r="B147" t="s">
        <v>7340</v>
      </c>
      <c r="C147" t="s">
        <v>4796</v>
      </c>
      <c r="D147" s="9" t="s">
        <v>4795</v>
      </c>
      <c r="E147" s="9" t="s">
        <v>2736</v>
      </c>
      <c r="H147" t="s">
        <v>2148</v>
      </c>
      <c r="I147" s="17">
        <v>1.0351528719766001</v>
      </c>
      <c r="J147" s="17">
        <v>0.71166607862594</v>
      </c>
      <c r="K147" s="21">
        <v>7</v>
      </c>
      <c r="L147" s="27">
        <v>25021323.316988502</v>
      </c>
      <c r="M147" s="22">
        <v>0.1318746848074128</v>
      </c>
      <c r="N147" s="21">
        <v>6</v>
      </c>
      <c r="O147" s="27">
        <v>32106267.897491734</v>
      </c>
      <c r="P147" s="22">
        <v>0.17069775818847041</v>
      </c>
      <c r="Q147" s="21">
        <v>6</v>
      </c>
      <c r="R147" s="27">
        <v>22527850.018634263</v>
      </c>
      <c r="S147" s="22">
        <v>0.12047617362311226</v>
      </c>
      <c r="T147" s="23">
        <v>6</v>
      </c>
      <c r="U147" s="28">
        <v>26456695.430128992</v>
      </c>
      <c r="V147" s="24">
        <v>0.13920659198856675</v>
      </c>
      <c r="W147" s="23">
        <v>5</v>
      </c>
      <c r="X147" s="28">
        <v>34205548.0110019</v>
      </c>
      <c r="Y147" s="24">
        <v>0.17605939030494874</v>
      </c>
      <c r="Z147" s="23">
        <v>6</v>
      </c>
      <c r="AA147" s="28">
        <v>28971877.847861078</v>
      </c>
      <c r="AB147" s="24">
        <v>0.15135168244575326</v>
      </c>
    </row>
    <row r="148" spans="1:28" x14ac:dyDescent="0.25">
      <c r="A148" t="s">
        <v>4797</v>
      </c>
      <c r="B148" t="s">
        <v>7341</v>
      </c>
      <c r="C148" t="s">
        <v>4799</v>
      </c>
      <c r="D148" s="9" t="s">
        <v>4798</v>
      </c>
      <c r="E148" s="9" t="s">
        <v>2736</v>
      </c>
      <c r="G148" t="s">
        <v>4320</v>
      </c>
      <c r="I148" s="17">
        <v>1.03422240705206</v>
      </c>
      <c r="J148" s="17">
        <v>0.728667121868389</v>
      </c>
      <c r="K148" s="21">
        <v>12</v>
      </c>
      <c r="L148" s="27">
        <v>97145575.701193094</v>
      </c>
      <c r="M148" s="22">
        <v>0.50367969701243598</v>
      </c>
      <c r="N148" s="21">
        <v>13</v>
      </c>
      <c r="O148" s="27">
        <v>148039750.34906954</v>
      </c>
      <c r="P148" s="22">
        <v>0.77427742170953218</v>
      </c>
      <c r="Q148" s="21">
        <v>13</v>
      </c>
      <c r="R148" s="27">
        <v>101296130.29059184</v>
      </c>
      <c r="S148" s="22">
        <v>0.53291081407345953</v>
      </c>
      <c r="T148" s="23">
        <v>11</v>
      </c>
      <c r="U148" s="28">
        <v>117116649.80485062</v>
      </c>
      <c r="V148" s="24">
        <v>0.60621000965060423</v>
      </c>
      <c r="W148" s="23">
        <v>12</v>
      </c>
      <c r="X148" s="28">
        <v>149978118.44434428</v>
      </c>
      <c r="Y148" s="24">
        <v>0.75940036331160077</v>
      </c>
      <c r="Z148" s="23">
        <v>12</v>
      </c>
      <c r="AA148" s="28">
        <v>120677189.20700744</v>
      </c>
      <c r="AB148" s="24">
        <v>0.620177566432494</v>
      </c>
    </row>
    <row r="149" spans="1:28" x14ac:dyDescent="0.25">
      <c r="A149" t="s">
        <v>4809</v>
      </c>
      <c r="B149" t="s">
        <v>7345</v>
      </c>
      <c r="C149" t="s">
        <v>4811</v>
      </c>
      <c r="D149" s="9" t="s">
        <v>4810</v>
      </c>
      <c r="E149" s="9" t="s">
        <v>2736</v>
      </c>
      <c r="H149" t="s">
        <v>2148</v>
      </c>
      <c r="I149" s="17">
        <v>1.0324667966474801</v>
      </c>
      <c r="J149" s="17">
        <v>0.77735679956335801</v>
      </c>
      <c r="K149" s="21">
        <v>20</v>
      </c>
      <c r="L149" s="27">
        <v>15450034.2276207</v>
      </c>
      <c r="M149" s="22">
        <v>1.6587446346676658E-2</v>
      </c>
      <c r="N149" s="21">
        <v>14</v>
      </c>
      <c r="O149" s="27">
        <v>12417816.322940331</v>
      </c>
      <c r="P149" s="22">
        <v>1.3448757086580977E-2</v>
      </c>
      <c r="Q149" s="21">
        <v>16</v>
      </c>
      <c r="R149" s="27">
        <v>15948548.350720072</v>
      </c>
      <c r="S149" s="22">
        <v>1.737406749294829E-2</v>
      </c>
      <c r="T149" s="23">
        <v>15</v>
      </c>
      <c r="U149" s="28">
        <v>16317079.774729699</v>
      </c>
      <c r="V149" s="24">
        <v>1.7489023678607534E-2</v>
      </c>
      <c r="W149" s="23">
        <v>11</v>
      </c>
      <c r="X149" s="28">
        <v>15289354.006786061</v>
      </c>
      <c r="Y149" s="24">
        <v>1.6030634140803943E-2</v>
      </c>
      <c r="Z149" s="23">
        <v>15</v>
      </c>
      <c r="AA149" s="28">
        <v>17453554.636021007</v>
      </c>
      <c r="AB149" s="24">
        <v>1.8573485997811095E-2</v>
      </c>
    </row>
    <row r="150" spans="1:28" x14ac:dyDescent="0.25">
      <c r="A150" t="s">
        <v>4825</v>
      </c>
      <c r="B150" t="s">
        <v>7350</v>
      </c>
      <c r="C150" t="s">
        <v>4827</v>
      </c>
      <c r="D150" s="9" t="s">
        <v>4826</v>
      </c>
      <c r="E150" s="9" t="s">
        <v>2736</v>
      </c>
      <c r="H150" t="s">
        <v>2148</v>
      </c>
      <c r="I150" s="17">
        <v>1.02544669883378</v>
      </c>
      <c r="J150" s="17">
        <v>0.831293581803213</v>
      </c>
      <c r="K150" s="21">
        <v>13</v>
      </c>
      <c r="L150" s="27">
        <v>12202747.444144299</v>
      </c>
      <c r="M150" s="22">
        <v>1.6348849668878136E-2</v>
      </c>
      <c r="N150" s="21">
        <v>7</v>
      </c>
      <c r="O150" s="27">
        <v>10339103.937573237</v>
      </c>
      <c r="P150" s="22">
        <v>1.39733105501442E-2</v>
      </c>
      <c r="Q150" s="21">
        <v>11</v>
      </c>
      <c r="R150" s="27">
        <v>13615731.170300845</v>
      </c>
      <c r="S150" s="22">
        <v>1.8509760749896933E-2</v>
      </c>
      <c r="T150" s="23">
        <v>9</v>
      </c>
      <c r="U150" s="28">
        <v>13957862.97138718</v>
      </c>
      <c r="V150" s="24">
        <v>1.8669021317030819E-2</v>
      </c>
      <c r="W150" s="23">
        <v>8</v>
      </c>
      <c r="X150" s="28">
        <v>12319536.492024597</v>
      </c>
      <c r="Y150" s="24">
        <v>1.6118900957473748E-2</v>
      </c>
      <c r="Z150" s="23">
        <v>10</v>
      </c>
      <c r="AA150" s="28">
        <v>13803658.013717292</v>
      </c>
      <c r="AB150" s="24">
        <v>1.8330875856972191E-2</v>
      </c>
    </row>
    <row r="151" spans="1:28" x14ac:dyDescent="0.25">
      <c r="A151" t="s">
        <v>4816</v>
      </c>
      <c r="B151" t="s">
        <v>7347</v>
      </c>
      <c r="C151" t="s">
        <v>4818</v>
      </c>
      <c r="D151" s="9" t="s">
        <v>4817</v>
      </c>
      <c r="E151" s="9" t="s">
        <v>2736</v>
      </c>
      <c r="H151" t="s">
        <v>2148</v>
      </c>
      <c r="I151" s="17">
        <v>1.0225200684529501</v>
      </c>
      <c r="J151" s="17">
        <v>0.78361489192859302</v>
      </c>
      <c r="K151" s="21">
        <v>4</v>
      </c>
      <c r="L151" s="27">
        <v>5356870.7273583999</v>
      </c>
      <c r="M151" s="22">
        <v>2.6278728255634893E-2</v>
      </c>
      <c r="N151" s="21">
        <v>5</v>
      </c>
      <c r="O151" s="27">
        <v>8298513.4219409889</v>
      </c>
      <c r="P151" s="22">
        <v>4.106580220873892E-2</v>
      </c>
      <c r="Q151" s="21">
        <v>4</v>
      </c>
      <c r="R151" s="27">
        <v>4437830.2522591883</v>
      </c>
      <c r="S151" s="22">
        <v>2.2089919029180678E-2</v>
      </c>
      <c r="T151" s="23">
        <v>4</v>
      </c>
      <c r="U151" s="28">
        <v>6625452.4879233139</v>
      </c>
      <c r="V151" s="24">
        <v>3.2447539182275463E-2</v>
      </c>
      <c r="W151" s="23">
        <v>4</v>
      </c>
      <c r="X151" s="28">
        <v>6888122.9656863715</v>
      </c>
      <c r="Y151" s="24">
        <v>3.2999362524599812E-2</v>
      </c>
      <c r="Z151" s="23">
        <v>4</v>
      </c>
      <c r="AA151" s="28">
        <v>6451261.6871119831</v>
      </c>
      <c r="AB151" s="24">
        <v>3.136875515568862E-2</v>
      </c>
    </row>
    <row r="152" spans="1:28" x14ac:dyDescent="0.25">
      <c r="A152" t="s">
        <v>4528</v>
      </c>
      <c r="B152" t="s">
        <v>7250</v>
      </c>
      <c r="C152" t="s">
        <v>4530</v>
      </c>
      <c r="D152" s="9" t="s">
        <v>4529</v>
      </c>
      <c r="E152" s="9" t="s">
        <v>2736</v>
      </c>
      <c r="H152" t="s">
        <v>2127</v>
      </c>
      <c r="I152" s="17">
        <v>1.0126159971667399</v>
      </c>
      <c r="J152" s="17">
        <v>0.850958725980002</v>
      </c>
      <c r="K152" s="21">
        <v>15</v>
      </c>
      <c r="L152" s="27">
        <v>7519590.8931661304</v>
      </c>
      <c r="M152" s="22">
        <v>1.2619645255205416E-2</v>
      </c>
      <c r="N152" s="21">
        <v>9</v>
      </c>
      <c r="O152" s="27">
        <v>5632675.570504697</v>
      </c>
      <c r="P152" s="22">
        <v>9.5357422487449845E-3</v>
      </c>
      <c r="Q152" s="21">
        <v>13</v>
      </c>
      <c r="R152" s="27">
        <v>8759851.0711606704</v>
      </c>
      <c r="S152" s="22">
        <v>1.4916945944025728E-2</v>
      </c>
      <c r="T152" s="23">
        <v>10</v>
      </c>
      <c r="U152" s="28">
        <v>8021927.7195045548</v>
      </c>
      <c r="V152" s="24">
        <v>1.3440168756362229E-2</v>
      </c>
      <c r="W152" s="23">
        <v>9</v>
      </c>
      <c r="X152" s="28">
        <v>7901509.5088793412</v>
      </c>
      <c r="Y152" s="24">
        <v>1.2950140541922997E-2</v>
      </c>
      <c r="Z152" s="23">
        <v>11</v>
      </c>
      <c r="AA152" s="28">
        <v>8139922.7178014917</v>
      </c>
      <c r="AB152" s="24">
        <v>1.3540436438982929E-2</v>
      </c>
    </row>
    <row r="153" spans="1:28" x14ac:dyDescent="0.25">
      <c r="A153" t="s">
        <v>4839</v>
      </c>
      <c r="B153" t="s">
        <v>7355</v>
      </c>
      <c r="C153" t="s">
        <v>4841</v>
      </c>
      <c r="D153" s="9" t="s">
        <v>4840</v>
      </c>
      <c r="E153" s="9" t="s">
        <v>2736</v>
      </c>
      <c r="H153" t="s">
        <v>2148</v>
      </c>
      <c r="I153" s="17">
        <v>1.0098511244981001</v>
      </c>
      <c r="J153" s="17">
        <v>0.889809840117877</v>
      </c>
      <c r="K153" s="21">
        <v>9</v>
      </c>
      <c r="L153" s="27">
        <v>40137042.186200701</v>
      </c>
      <c r="M153" s="22">
        <v>0.11905384750632575</v>
      </c>
      <c r="N153" s="21">
        <v>8</v>
      </c>
      <c r="O153" s="27">
        <v>49286534.952873327</v>
      </c>
      <c r="P153" s="22">
        <v>0.14747322892744322</v>
      </c>
      <c r="Q153" s="21">
        <v>6</v>
      </c>
      <c r="R153" s="27">
        <v>35758338.908278666</v>
      </c>
      <c r="S153" s="22">
        <v>0.10762314182174915</v>
      </c>
      <c r="T153" s="23">
        <v>7</v>
      </c>
      <c r="U153" s="28">
        <v>39246567.955549352</v>
      </c>
      <c r="V153" s="24">
        <v>0.11621783972244269</v>
      </c>
      <c r="W153" s="23">
        <v>8</v>
      </c>
      <c r="X153" s="28">
        <v>53678976.698605783</v>
      </c>
      <c r="Y153" s="24">
        <v>0.15549405144804912</v>
      </c>
      <c r="Z153" s="23">
        <v>7</v>
      </c>
      <c r="AA153" s="28">
        <v>44780872.300401241</v>
      </c>
      <c r="AB153" s="24">
        <v>0.13165885293720792</v>
      </c>
    </row>
    <row r="154" spans="1:28" x14ac:dyDescent="0.25">
      <c r="A154" t="s">
        <v>4383</v>
      </c>
      <c r="B154" t="s">
        <v>7201</v>
      </c>
      <c r="C154" t="s">
        <v>4385</v>
      </c>
      <c r="D154" s="9" t="s">
        <v>4384</v>
      </c>
      <c r="E154" s="9" t="s">
        <v>2736</v>
      </c>
      <c r="H154" t="s">
        <v>2800</v>
      </c>
      <c r="I154" s="17">
        <v>1.00899851359299</v>
      </c>
      <c r="J154" s="17">
        <v>0.99420757913473601</v>
      </c>
      <c r="K154" s="21">
        <v>1</v>
      </c>
      <c r="L154" s="27">
        <v>876845.08117426804</v>
      </c>
      <c r="M154" s="22">
        <v>6.0518398820535177E-4</v>
      </c>
      <c r="N154" s="21">
        <v>0</v>
      </c>
      <c r="O154" s="27">
        <v>910831.85295941785</v>
      </c>
      <c r="P154" s="22">
        <v>6.3414650236324143E-4</v>
      </c>
      <c r="Q154" s="21">
        <v>1</v>
      </c>
      <c r="R154" s="27">
        <v>1087365.9451833109</v>
      </c>
      <c r="S154" s="22">
        <v>7.6150111932851174E-4</v>
      </c>
      <c r="T154" s="23">
        <v>2</v>
      </c>
      <c r="U154" s="28">
        <v>859137.04495119443</v>
      </c>
      <c r="V154" s="24">
        <v>5.919704775952132E-4</v>
      </c>
      <c r="W154" s="23">
        <v>0</v>
      </c>
      <c r="X154" s="28">
        <v>1360463.9489339185</v>
      </c>
      <c r="Y154" s="24">
        <v>9.1698678681397265E-4</v>
      </c>
      <c r="Z154" s="23">
        <v>1</v>
      </c>
      <c r="AA154" s="28">
        <v>946179.47130382096</v>
      </c>
      <c r="AB154" s="24">
        <v>6.4728795837822744E-4</v>
      </c>
    </row>
    <row r="155" spans="1:28" x14ac:dyDescent="0.25">
      <c r="A155" t="s">
        <v>4852</v>
      </c>
      <c r="B155" t="s">
        <v>7359</v>
      </c>
      <c r="C155" t="s">
        <v>4854</v>
      </c>
      <c r="D155" s="9" t="s">
        <v>4853</v>
      </c>
      <c r="E155" s="9" t="s">
        <v>2736</v>
      </c>
      <c r="H155" t="s">
        <v>2148</v>
      </c>
      <c r="I155" s="17">
        <v>1.00635855763926</v>
      </c>
      <c r="J155" s="17">
        <v>0.92012351593987296</v>
      </c>
      <c r="K155" s="21">
        <v>10</v>
      </c>
      <c r="L155" s="27">
        <v>49022737.814424299</v>
      </c>
      <c r="M155" s="22">
        <v>0.20842165164712256</v>
      </c>
      <c r="N155" s="21">
        <v>7</v>
      </c>
      <c r="O155" s="27">
        <v>49531094.227258228</v>
      </c>
      <c r="P155" s="22">
        <v>0.21242715169871293</v>
      </c>
      <c r="Q155" s="21">
        <v>12</v>
      </c>
      <c r="R155" s="27">
        <v>43236860.313047037</v>
      </c>
      <c r="S155" s="22">
        <v>0.18652183549629672</v>
      </c>
      <c r="T155" s="23">
        <v>11</v>
      </c>
      <c r="U155" s="28">
        <v>46408352.88647224</v>
      </c>
      <c r="V155" s="24">
        <v>0.1969765241782869</v>
      </c>
      <c r="W155" s="23">
        <v>10</v>
      </c>
      <c r="X155" s="28">
        <v>61085994.773735113</v>
      </c>
      <c r="Y155" s="24">
        <v>0.25362870415089511</v>
      </c>
      <c r="Z155" s="23">
        <v>10</v>
      </c>
      <c r="AA155" s="28">
        <v>48397746.49493368</v>
      </c>
      <c r="AB155" s="24">
        <v>0.20395288793358388</v>
      </c>
    </row>
    <row r="156" spans="1:28" x14ac:dyDescent="0.25">
      <c r="A156" t="s">
        <v>4842</v>
      </c>
      <c r="B156" t="s">
        <v>7356</v>
      </c>
      <c r="C156" t="s">
        <v>4844</v>
      </c>
      <c r="D156" s="9" t="s">
        <v>4843</v>
      </c>
      <c r="E156" s="9" t="s">
        <v>2736</v>
      </c>
      <c r="H156" t="s">
        <v>2148</v>
      </c>
      <c r="I156" s="17">
        <v>1.005853613929</v>
      </c>
      <c r="J156" s="17">
        <v>0.89581802624199602</v>
      </c>
      <c r="K156" s="21">
        <v>10</v>
      </c>
      <c r="L156" s="27">
        <v>25532324.811365601</v>
      </c>
      <c r="M156" s="22">
        <v>9.3044100609338889E-2</v>
      </c>
      <c r="N156" s="21">
        <v>9</v>
      </c>
      <c r="O156" s="27">
        <v>36194011.387729995</v>
      </c>
      <c r="P156" s="22">
        <v>0.13305219163143153</v>
      </c>
      <c r="Q156" s="21">
        <v>12</v>
      </c>
      <c r="R156" s="27">
        <v>25095282.524747033</v>
      </c>
      <c r="S156" s="22">
        <v>9.2794199702823307E-2</v>
      </c>
      <c r="T156" s="23">
        <v>12</v>
      </c>
      <c r="U156" s="28">
        <v>28518219.769995157</v>
      </c>
      <c r="V156" s="24">
        <v>0.10375139307580979</v>
      </c>
      <c r="W156" s="23">
        <v>9</v>
      </c>
      <c r="X156" s="28">
        <v>32349912.198204685</v>
      </c>
      <c r="Y156" s="24">
        <v>0.11512855897119693</v>
      </c>
      <c r="Z156" s="23">
        <v>9</v>
      </c>
      <c r="AA156" s="28">
        <v>33472939.487244885</v>
      </c>
      <c r="AB156" s="24">
        <v>0.12090709359366562</v>
      </c>
    </row>
    <row r="157" spans="1:28" x14ac:dyDescent="0.25">
      <c r="A157" t="s">
        <v>4864</v>
      </c>
      <c r="B157" t="s">
        <v>7363</v>
      </c>
      <c r="C157" t="s">
        <v>4866</v>
      </c>
      <c r="D157" s="9" t="s">
        <v>4865</v>
      </c>
      <c r="E157" s="9" t="s">
        <v>2736</v>
      </c>
      <c r="H157" t="s">
        <v>2148</v>
      </c>
      <c r="I157" s="17">
        <v>1.0025618422159699</v>
      </c>
      <c r="J157" s="17">
        <v>0.95631866764070605</v>
      </c>
      <c r="K157" s="21">
        <v>5</v>
      </c>
      <c r="L157" s="27">
        <v>25037112.621546298</v>
      </c>
      <c r="M157" s="22">
        <v>0.1287653723188425</v>
      </c>
      <c r="N157" s="21">
        <v>7</v>
      </c>
      <c r="O157" s="27">
        <v>32511738.572243415</v>
      </c>
      <c r="P157" s="22">
        <v>0.16867156385969925</v>
      </c>
      <c r="Q157" s="21">
        <v>5</v>
      </c>
      <c r="R157" s="27">
        <v>22013728.20998485</v>
      </c>
      <c r="S157" s="22">
        <v>0.11487848643068507</v>
      </c>
      <c r="T157" s="23">
        <v>6</v>
      </c>
      <c r="U157" s="28">
        <v>24871839.221010789</v>
      </c>
      <c r="V157" s="24">
        <v>0.12770143878170961</v>
      </c>
      <c r="W157" s="23">
        <v>6</v>
      </c>
      <c r="X157" s="28">
        <v>36291774.11620941</v>
      </c>
      <c r="Y157" s="24">
        <v>0.18227811348348361</v>
      </c>
      <c r="Z157" s="23">
        <v>4</v>
      </c>
      <c r="AA157" s="28">
        <v>25847555.753223073</v>
      </c>
      <c r="AB157" s="24">
        <v>0.13176309075153339</v>
      </c>
    </row>
    <row r="158" spans="1:28" x14ac:dyDescent="0.25">
      <c r="A158" t="s">
        <v>4380</v>
      </c>
      <c r="B158" t="s">
        <v>7200</v>
      </c>
      <c r="C158" t="s">
        <v>4382</v>
      </c>
      <c r="D158" s="9" t="s">
        <v>4381</v>
      </c>
      <c r="E158" s="9" t="s">
        <v>2736</v>
      </c>
      <c r="H158" t="s">
        <v>2800</v>
      </c>
      <c r="I158" s="17">
        <v>1.0013619776718099</v>
      </c>
      <c r="J158" s="17">
        <v>0.92917592111372405</v>
      </c>
      <c r="K158" s="21">
        <v>7</v>
      </c>
      <c r="L158" s="27">
        <v>5252353.7414320298</v>
      </c>
      <c r="M158" s="22">
        <v>6.8080916757955042E-3</v>
      </c>
      <c r="N158" s="21">
        <v>7</v>
      </c>
      <c r="O158" s="27">
        <v>4056181.56881605</v>
      </c>
      <c r="P158" s="22">
        <v>5.3036596584417903E-3</v>
      </c>
      <c r="Q158" s="21">
        <v>8</v>
      </c>
      <c r="R158" s="27">
        <v>5503335.9411552828</v>
      </c>
      <c r="S158" s="22">
        <v>7.2381522080542443E-3</v>
      </c>
      <c r="T158" s="23">
        <v>5</v>
      </c>
      <c r="U158" s="28">
        <v>5585477.2895536963</v>
      </c>
      <c r="V158" s="24">
        <v>7.2277772785627852E-3</v>
      </c>
      <c r="W158" s="23">
        <v>5</v>
      </c>
      <c r="X158" s="28">
        <v>5376944.4126928607</v>
      </c>
      <c r="Y158" s="24">
        <v>6.8064154672344834E-3</v>
      </c>
      <c r="Z158" s="23">
        <v>6</v>
      </c>
      <c r="AA158" s="28">
        <v>5144004.489263027</v>
      </c>
      <c r="AB158" s="24">
        <v>6.6089461621379082E-3</v>
      </c>
    </row>
    <row r="159" spans="1:28" x14ac:dyDescent="0.25">
      <c r="A159" t="s">
        <v>4867</v>
      </c>
      <c r="B159" t="s">
        <v>7364</v>
      </c>
      <c r="C159" t="s">
        <v>4869</v>
      </c>
      <c r="D159" s="9" t="s">
        <v>4868</v>
      </c>
      <c r="E159" s="9" t="s">
        <v>2736</v>
      </c>
      <c r="H159" t="s">
        <v>2148</v>
      </c>
      <c r="I159" s="17">
        <v>-1.00118713580489</v>
      </c>
      <c r="J159" s="17">
        <v>0.96705266833180004</v>
      </c>
      <c r="K159" s="21">
        <v>5</v>
      </c>
      <c r="L159" s="27">
        <v>11124439.741154199</v>
      </c>
      <c r="M159" s="22">
        <v>7.7960261245423684E-2</v>
      </c>
      <c r="N159" s="21">
        <v>5</v>
      </c>
      <c r="O159" s="27">
        <v>13774740.667760497</v>
      </c>
      <c r="P159" s="22">
        <v>9.737902044743002E-2</v>
      </c>
      <c r="Q159" s="21">
        <v>5</v>
      </c>
      <c r="R159" s="27">
        <v>10998355.202447979</v>
      </c>
      <c r="S159" s="22">
        <v>7.8208352816611801E-2</v>
      </c>
      <c r="T159" s="23">
        <v>5</v>
      </c>
      <c r="U159" s="28">
        <v>12159296.807543118</v>
      </c>
      <c r="V159" s="24">
        <v>8.5070040835664135E-2</v>
      </c>
      <c r="W159" s="23">
        <v>5</v>
      </c>
      <c r="X159" s="28">
        <v>13596493.74982458</v>
      </c>
      <c r="Y159" s="24">
        <v>9.305367857709014E-2</v>
      </c>
      <c r="Z159" s="23">
        <v>5</v>
      </c>
      <c r="AA159" s="28">
        <v>13062758.012686716</v>
      </c>
      <c r="AB159" s="24">
        <v>9.0738055289818681E-2</v>
      </c>
    </row>
    <row r="160" spans="1:28" x14ac:dyDescent="0.25">
      <c r="A160" t="s">
        <v>4304</v>
      </c>
      <c r="B160" t="s">
        <v>7175</v>
      </c>
      <c r="C160" t="s">
        <v>4306</v>
      </c>
      <c r="D160" s="9" t="s">
        <v>4305</v>
      </c>
      <c r="E160" s="9" t="s">
        <v>2736</v>
      </c>
      <c r="H160" t="s">
        <v>2148</v>
      </c>
      <c r="I160" s="17">
        <v>-1.0058446327074999</v>
      </c>
      <c r="J160" s="17">
        <v>0.97516444045536299</v>
      </c>
      <c r="K160" s="21">
        <v>9</v>
      </c>
      <c r="L160" s="27">
        <v>15695902.7347502</v>
      </c>
      <c r="M160" s="22">
        <v>0.10009740738429346</v>
      </c>
      <c r="N160" s="21">
        <v>6</v>
      </c>
      <c r="O160" s="27">
        <v>17172779.662197143</v>
      </c>
      <c r="P160" s="22">
        <v>0.11047498729745071</v>
      </c>
      <c r="Q160" s="21">
        <v>8</v>
      </c>
      <c r="R160" s="27">
        <v>14154928.048793955</v>
      </c>
      <c r="S160" s="22">
        <v>9.1595567134034994E-2</v>
      </c>
      <c r="T160" s="23">
        <v>8</v>
      </c>
      <c r="U160" s="28">
        <v>14992583.923185743</v>
      </c>
      <c r="V160" s="24">
        <v>9.5452226354532904E-2</v>
      </c>
      <c r="W160" s="23">
        <v>9</v>
      </c>
      <c r="X160" s="28">
        <v>19894606.306520075</v>
      </c>
      <c r="Y160" s="24">
        <v>0.12390343897496253</v>
      </c>
      <c r="Z160" s="23">
        <v>8</v>
      </c>
      <c r="AA160" s="28">
        <v>16107644.434183201</v>
      </c>
      <c r="AB160" s="24">
        <v>0.10181880887272964</v>
      </c>
    </row>
    <row r="161" spans="1:28" x14ac:dyDescent="0.25">
      <c r="A161" t="s">
        <v>4873</v>
      </c>
      <c r="B161" t="s">
        <v>7366</v>
      </c>
      <c r="C161" t="s">
        <v>4875</v>
      </c>
      <c r="D161" s="9" t="s">
        <v>4874</v>
      </c>
      <c r="E161" s="9" t="s">
        <v>2736</v>
      </c>
      <c r="H161" t="s">
        <v>2148</v>
      </c>
      <c r="I161" s="17">
        <v>-1.0064027593535601</v>
      </c>
      <c r="J161" s="17">
        <v>0.98760041282436695</v>
      </c>
      <c r="K161" s="21">
        <v>22</v>
      </c>
      <c r="L161" s="27">
        <v>81334596.731530398</v>
      </c>
      <c r="M161" s="22">
        <v>0.31627728341721145</v>
      </c>
      <c r="N161" s="21">
        <v>18</v>
      </c>
      <c r="O161" s="27">
        <v>115263879.45666505</v>
      </c>
      <c r="P161" s="22">
        <v>0.4521398097040184</v>
      </c>
      <c r="Q161" s="21">
        <v>17</v>
      </c>
      <c r="R161" s="27">
        <v>72996420.778252482</v>
      </c>
      <c r="S161" s="22">
        <v>0.28802123469419688</v>
      </c>
      <c r="T161" s="23">
        <v>18</v>
      </c>
      <c r="U161" s="28">
        <v>82122528.575035363</v>
      </c>
      <c r="V161" s="24">
        <v>0.31880713965280055</v>
      </c>
      <c r="W161" s="23">
        <v>20</v>
      </c>
      <c r="X161" s="28">
        <v>123045647.54253961</v>
      </c>
      <c r="Y161" s="24">
        <v>0.46727271159754702</v>
      </c>
      <c r="Z161" s="23">
        <v>16</v>
      </c>
      <c r="AA161" s="28">
        <v>86699661.018256113</v>
      </c>
      <c r="AB161" s="24">
        <v>0.334171593244869</v>
      </c>
    </row>
    <row r="162" spans="1:28" x14ac:dyDescent="0.25">
      <c r="A162" t="s">
        <v>4861</v>
      </c>
      <c r="B162" t="s">
        <v>7362</v>
      </c>
      <c r="C162" t="s">
        <v>4863</v>
      </c>
      <c r="D162" s="9" t="s">
        <v>4862</v>
      </c>
      <c r="E162" s="9" t="s">
        <v>2736</v>
      </c>
      <c r="H162" t="s">
        <v>2148</v>
      </c>
      <c r="I162" s="17">
        <v>-1.0129696508972801</v>
      </c>
      <c r="J162" s="17">
        <v>0.94666100618881999</v>
      </c>
      <c r="K162" s="21">
        <v>10</v>
      </c>
      <c r="L162" s="27">
        <v>13317148.5212174</v>
      </c>
      <c r="M162" s="22">
        <v>7.321326656962715E-2</v>
      </c>
      <c r="N162" s="21">
        <v>9</v>
      </c>
      <c r="O162" s="27">
        <v>16438332.819977459</v>
      </c>
      <c r="P162" s="22">
        <v>9.1163951744693258E-2</v>
      </c>
      <c r="Q162" s="21">
        <v>11</v>
      </c>
      <c r="R162" s="27">
        <v>11944215.780750424</v>
      </c>
      <c r="S162" s="22">
        <v>6.662948266923005E-2</v>
      </c>
      <c r="T162" s="23">
        <v>9</v>
      </c>
      <c r="U162" s="28">
        <v>12879077.950735958</v>
      </c>
      <c r="V162" s="24">
        <v>7.0686480159573004E-2</v>
      </c>
      <c r="W162" s="23">
        <v>10</v>
      </c>
      <c r="X162" s="28">
        <v>18133313.919747833</v>
      </c>
      <c r="Y162" s="24">
        <v>9.7357004276675499E-2</v>
      </c>
      <c r="Z162" s="23">
        <v>9</v>
      </c>
      <c r="AA162" s="28">
        <v>13870148.841564037</v>
      </c>
      <c r="AB162" s="24">
        <v>7.558212712164919E-2</v>
      </c>
    </row>
    <row r="163" spans="1:28" x14ac:dyDescent="0.25">
      <c r="A163" t="s">
        <v>4858</v>
      </c>
      <c r="B163" t="s">
        <v>7361</v>
      </c>
      <c r="C163" t="s">
        <v>4860</v>
      </c>
      <c r="D163" s="9" t="s">
        <v>4859</v>
      </c>
      <c r="E163" s="9" t="s">
        <v>2736</v>
      </c>
      <c r="H163" t="s">
        <v>2148</v>
      </c>
      <c r="I163" s="17">
        <v>-1.0157794052793401</v>
      </c>
      <c r="J163" s="17">
        <v>0.94329858671526901</v>
      </c>
      <c r="K163" s="21">
        <v>8</v>
      </c>
      <c r="L163" s="27">
        <v>20475356.730553299</v>
      </c>
      <c r="M163" s="22">
        <v>9.8178494048580658E-2</v>
      </c>
      <c r="N163" s="21">
        <v>4</v>
      </c>
      <c r="O163" s="27">
        <v>23854938.694050398</v>
      </c>
      <c r="P163" s="22">
        <v>0.11538517855008128</v>
      </c>
      <c r="Q163" s="21">
        <v>6</v>
      </c>
      <c r="R163" s="27">
        <v>17683306.685174394</v>
      </c>
      <c r="S163" s="22">
        <v>8.6035686416372117E-2</v>
      </c>
      <c r="T163" s="23">
        <v>8</v>
      </c>
      <c r="U163" s="28">
        <v>19893576.831535157</v>
      </c>
      <c r="V163" s="24">
        <v>9.5229347477307436E-2</v>
      </c>
      <c r="W163" s="23">
        <v>4</v>
      </c>
      <c r="X163" s="28">
        <v>25321826.097315356</v>
      </c>
      <c r="Y163" s="24">
        <v>0.11857452458740052</v>
      </c>
      <c r="Z163" s="23">
        <v>6</v>
      </c>
      <c r="AA163" s="28">
        <v>21276918.797047973</v>
      </c>
      <c r="AB163" s="24">
        <v>0.10112372827702497</v>
      </c>
    </row>
    <row r="164" spans="1:28" x14ac:dyDescent="0.25">
      <c r="A164" t="s">
        <v>4828</v>
      </c>
      <c r="B164" t="s">
        <v>7351</v>
      </c>
      <c r="C164" t="s">
        <v>4830</v>
      </c>
      <c r="D164" s="9" t="s">
        <v>4829</v>
      </c>
      <c r="E164" s="9" t="s">
        <v>2736</v>
      </c>
      <c r="H164" t="s">
        <v>2800</v>
      </c>
      <c r="I164" s="17">
        <v>-1.0186095570482201</v>
      </c>
      <c r="J164" s="17">
        <v>0.84459019824889503</v>
      </c>
      <c r="K164" s="21">
        <v>4</v>
      </c>
      <c r="L164" s="27">
        <v>2390738.5088536702</v>
      </c>
      <c r="M164" s="22">
        <v>1.1550337541092283E-2</v>
      </c>
      <c r="N164" s="21">
        <v>3</v>
      </c>
      <c r="O164" s="27">
        <v>2188278.376526061</v>
      </c>
      <c r="P164" s="22">
        <v>1.0664782439411014E-2</v>
      </c>
      <c r="Q164" s="21">
        <v>4</v>
      </c>
      <c r="R164" s="27">
        <v>2586819.8515581512</v>
      </c>
      <c r="S164" s="22">
        <v>1.268116180051476E-2</v>
      </c>
      <c r="T164" s="23">
        <v>2</v>
      </c>
      <c r="U164" s="28">
        <v>2318591.1507446319</v>
      </c>
      <c r="V164" s="24">
        <v>1.1183038413302432E-2</v>
      </c>
      <c r="W164" s="23">
        <v>1</v>
      </c>
      <c r="X164" s="28">
        <v>2789022.3152216873</v>
      </c>
      <c r="Y164" s="24">
        <v>1.3159096418792929E-2</v>
      </c>
      <c r="Z164" s="23">
        <v>2</v>
      </c>
      <c r="AA164" s="28">
        <v>2546151.9820492384</v>
      </c>
      <c r="AB164" s="24">
        <v>1.2192881981863298E-2</v>
      </c>
    </row>
    <row r="165" spans="1:28" x14ac:dyDescent="0.25">
      <c r="A165" t="s">
        <v>4876</v>
      </c>
      <c r="B165" t="s">
        <v>7367</v>
      </c>
      <c r="C165" t="s">
        <v>4878</v>
      </c>
      <c r="D165" s="9" t="s">
        <v>4877</v>
      </c>
      <c r="E165" s="9" t="s">
        <v>2736</v>
      </c>
      <c r="H165" t="s">
        <v>2148</v>
      </c>
      <c r="I165" s="17">
        <v>-1.0209882477949801</v>
      </c>
      <c r="J165" s="17">
        <v>0.99318470398619196</v>
      </c>
      <c r="K165" s="21">
        <v>8</v>
      </c>
      <c r="L165" s="27">
        <v>36431927.671241902</v>
      </c>
      <c r="M165" s="22">
        <v>0.16836026275666896</v>
      </c>
      <c r="N165" s="21">
        <v>7</v>
      </c>
      <c r="O165" s="27">
        <v>56518405.38571386</v>
      </c>
      <c r="P165" s="22">
        <v>0.2634718229714525</v>
      </c>
      <c r="Q165" s="21">
        <v>7</v>
      </c>
      <c r="R165" s="27">
        <v>34171382.209082238</v>
      </c>
      <c r="S165" s="22">
        <v>0.16023236747876471</v>
      </c>
      <c r="T165" s="23">
        <v>8</v>
      </c>
      <c r="U165" s="28">
        <v>39558893.263098188</v>
      </c>
      <c r="V165" s="24">
        <v>0.18250493833669479</v>
      </c>
      <c r="W165" s="23">
        <v>7</v>
      </c>
      <c r="X165" s="28">
        <v>52768103.968378171</v>
      </c>
      <c r="Y165" s="24">
        <v>0.23814442245780412</v>
      </c>
      <c r="Z165" s="23">
        <v>7</v>
      </c>
      <c r="AA165" s="28">
        <v>42631743.315364689</v>
      </c>
      <c r="AB165" s="24">
        <v>0.19527650060341034</v>
      </c>
    </row>
    <row r="166" spans="1:28" x14ac:dyDescent="0.25">
      <c r="A166" t="s">
        <v>4831</v>
      </c>
      <c r="B166" t="s">
        <v>7352</v>
      </c>
      <c r="C166" t="s">
        <v>4833</v>
      </c>
      <c r="D166" s="9" t="s">
        <v>4832</v>
      </c>
      <c r="E166" s="9" t="s">
        <v>2736</v>
      </c>
      <c r="H166" t="s">
        <v>2287</v>
      </c>
      <c r="I166" s="17">
        <v>-1.02737543040617</v>
      </c>
      <c r="J166" s="17">
        <v>0.85777413038255002</v>
      </c>
      <c r="K166" s="21">
        <v>26</v>
      </c>
      <c r="L166" s="27">
        <v>53393750.171588503</v>
      </c>
      <c r="M166" s="22">
        <v>7.2602924138978606E-2</v>
      </c>
      <c r="N166" s="21">
        <v>20</v>
      </c>
      <c r="O166" s="27">
        <v>43322149.455040284</v>
      </c>
      <c r="P166" s="22">
        <v>5.9423813108456874E-2</v>
      </c>
      <c r="Q166" s="21">
        <v>27</v>
      </c>
      <c r="R166" s="27">
        <v>54241799.425333992</v>
      </c>
      <c r="S166" s="22">
        <v>7.4839010306161205E-2</v>
      </c>
      <c r="T166" s="23">
        <v>23</v>
      </c>
      <c r="U166" s="28">
        <v>60018349.210988708</v>
      </c>
      <c r="V166" s="24">
        <v>8.1474326161503047E-2</v>
      </c>
      <c r="W166" s="23">
        <v>19</v>
      </c>
      <c r="X166" s="28">
        <v>50902674.311936818</v>
      </c>
      <c r="Y166" s="24">
        <v>6.7595186129511139E-2</v>
      </c>
      <c r="Z166" s="23">
        <v>17</v>
      </c>
      <c r="AA166" s="28">
        <v>48193444.882011823</v>
      </c>
      <c r="AB166" s="24">
        <v>6.4954778488640966E-2</v>
      </c>
    </row>
    <row r="167" spans="1:28" x14ac:dyDescent="0.25">
      <c r="A167" t="s">
        <v>4763</v>
      </c>
      <c r="B167" t="s">
        <v>7329</v>
      </c>
      <c r="C167" t="s">
        <v>4764</v>
      </c>
      <c r="D167" s="9" t="s">
        <v>4642</v>
      </c>
      <c r="E167" s="9" t="s">
        <v>2736</v>
      </c>
      <c r="H167" t="s">
        <v>1055</v>
      </c>
      <c r="I167" s="17">
        <v>-1.03138116309729</v>
      </c>
      <c r="J167" s="17">
        <v>0.559054230407113</v>
      </c>
      <c r="K167" s="21">
        <v>81</v>
      </c>
      <c r="L167" s="27">
        <v>218811464.68799701</v>
      </c>
      <c r="M167" s="22">
        <v>0.25233731181349461</v>
      </c>
      <c r="N167" s="21">
        <v>69</v>
      </c>
      <c r="O167" s="27">
        <v>231666111.34571573</v>
      </c>
      <c r="P167" s="22">
        <v>0.26950122286874689</v>
      </c>
      <c r="Q167" s="21">
        <v>78</v>
      </c>
      <c r="R167" s="27">
        <v>220035471.79970205</v>
      </c>
      <c r="S167" s="22">
        <v>0.2574745794360514</v>
      </c>
      <c r="T167" s="23">
        <v>61</v>
      </c>
      <c r="U167" s="28">
        <v>234586110.12631649</v>
      </c>
      <c r="V167" s="24">
        <v>0.2700764624893765</v>
      </c>
      <c r="W167" s="23">
        <v>61</v>
      </c>
      <c r="X167" s="28">
        <v>245929598.07002962</v>
      </c>
      <c r="Y167" s="24">
        <v>0.27697060513646166</v>
      </c>
      <c r="Z167" s="23">
        <v>63</v>
      </c>
      <c r="AA167" s="28">
        <v>224123354.06910717</v>
      </c>
      <c r="AB167" s="24">
        <v>0.25618751420675251</v>
      </c>
    </row>
    <row r="168" spans="1:28" x14ac:dyDescent="0.25">
      <c r="A168" t="s">
        <v>4848</v>
      </c>
      <c r="B168" t="s">
        <v>7358</v>
      </c>
      <c r="C168" t="s">
        <v>4851</v>
      </c>
      <c r="D168" s="9" t="s">
        <v>4849</v>
      </c>
      <c r="E168" s="9" t="s">
        <v>2736</v>
      </c>
      <c r="G168" t="s">
        <v>4850</v>
      </c>
      <c r="I168" s="17">
        <v>-1.0390305984271899</v>
      </c>
      <c r="J168" s="17">
        <v>0.90040762369187999</v>
      </c>
      <c r="K168" s="21">
        <v>7</v>
      </c>
      <c r="L168" s="27">
        <v>37896145.997413598</v>
      </c>
      <c r="M168" s="22">
        <v>0.13134506267066032</v>
      </c>
      <c r="N168" s="21">
        <v>4</v>
      </c>
      <c r="O168" s="27">
        <v>26391206.108536173</v>
      </c>
      <c r="P168" s="22">
        <v>9.2270904536024184E-2</v>
      </c>
      <c r="Q168" s="21">
        <v>8</v>
      </c>
      <c r="R168" s="27">
        <v>33603275.799332067</v>
      </c>
      <c r="S168" s="22">
        <v>0.11817635302452989</v>
      </c>
      <c r="T168" s="23">
        <v>6</v>
      </c>
      <c r="U168" s="28">
        <v>33946521.280986108</v>
      </c>
      <c r="V168" s="24">
        <v>0.1174591968219497</v>
      </c>
      <c r="W168" s="23">
        <v>6</v>
      </c>
      <c r="X168" s="28">
        <v>38287122.778858855</v>
      </c>
      <c r="Y168" s="24">
        <v>0.12959341045122191</v>
      </c>
      <c r="Z168" s="23">
        <v>6</v>
      </c>
      <c r="AA168" s="28">
        <v>30931013.388715427</v>
      </c>
      <c r="AB168" s="24">
        <v>0.10626060978760221</v>
      </c>
    </row>
    <row r="169" spans="1:28" x14ac:dyDescent="0.25">
      <c r="A169" t="s">
        <v>4456</v>
      </c>
      <c r="B169" t="s">
        <v>7225</v>
      </c>
      <c r="C169" t="s">
        <v>4458</v>
      </c>
      <c r="D169" s="9" t="s">
        <v>4457</v>
      </c>
      <c r="E169" s="9" t="s">
        <v>2736</v>
      </c>
      <c r="H169" t="s">
        <v>3007</v>
      </c>
      <c r="I169" s="17">
        <v>-1.0400283049789301</v>
      </c>
      <c r="J169" s="17">
        <v>0.90515908557027402</v>
      </c>
      <c r="K169" s="21">
        <v>1</v>
      </c>
      <c r="L169" s="27">
        <v>332901.50337135198</v>
      </c>
      <c r="M169" s="22">
        <v>9.2707912947034279E-4</v>
      </c>
      <c r="N169" s="21">
        <v>0</v>
      </c>
      <c r="O169" s="27">
        <v>301056.55838385643</v>
      </c>
      <c r="P169" s="22">
        <v>8.4573825013820796E-4</v>
      </c>
      <c r="Q169" s="21">
        <v>2</v>
      </c>
      <c r="R169" s="27">
        <v>514532.1965527336</v>
      </c>
      <c r="S169" s="22">
        <v>1.4539312235153515E-3</v>
      </c>
      <c r="T169" s="23">
        <v>2</v>
      </c>
      <c r="U169" s="28">
        <v>425535.00098999299</v>
      </c>
      <c r="V169" s="24">
        <v>1.1830671047195194E-3</v>
      </c>
      <c r="W169" s="23">
        <v>1</v>
      </c>
      <c r="X169" s="28">
        <v>360398.31986271072</v>
      </c>
      <c r="Y169" s="24">
        <v>9.8015618897705258E-4</v>
      </c>
      <c r="Z169" s="23">
        <v>2</v>
      </c>
      <c r="AA169" s="28">
        <v>399104.77147358615</v>
      </c>
      <c r="AB169" s="24">
        <v>1.101659580269376E-3</v>
      </c>
    </row>
    <row r="170" spans="1:28" x14ac:dyDescent="0.25">
      <c r="A170" t="s">
        <v>4870</v>
      </c>
      <c r="B170" t="s">
        <v>7365</v>
      </c>
      <c r="C170" t="s">
        <v>4872</v>
      </c>
      <c r="D170" s="9" t="s">
        <v>4871</v>
      </c>
      <c r="E170" s="9" t="s">
        <v>2736</v>
      </c>
      <c r="H170" t="s">
        <v>2148</v>
      </c>
      <c r="I170" s="17">
        <v>-1.0405221933506099</v>
      </c>
      <c r="J170" s="17">
        <v>0.98034333530492601</v>
      </c>
      <c r="K170" s="21">
        <v>7</v>
      </c>
      <c r="L170" s="27">
        <v>8468118.8940185793</v>
      </c>
      <c r="M170" s="22">
        <v>4.4631153033468075E-2</v>
      </c>
      <c r="N170" s="21">
        <v>2</v>
      </c>
      <c r="O170" s="27">
        <v>5074624.6685120529</v>
      </c>
      <c r="P170" s="22">
        <v>2.6979998339532643E-2</v>
      </c>
      <c r="Q170" s="21">
        <v>4</v>
      </c>
      <c r="R170" s="27">
        <v>8303768.1603716966</v>
      </c>
      <c r="S170" s="22">
        <v>4.4407531734608957E-2</v>
      </c>
      <c r="T170" s="23">
        <v>4</v>
      </c>
      <c r="U170" s="28">
        <v>6765381.9708485454</v>
      </c>
      <c r="V170" s="24">
        <v>3.5597256284328305E-2</v>
      </c>
      <c r="W170" s="23">
        <v>4</v>
      </c>
      <c r="X170" s="28">
        <v>8264985.6344229197</v>
      </c>
      <c r="Y170" s="24">
        <v>4.2540710974945668E-2</v>
      </c>
      <c r="Z170" s="23">
        <v>4</v>
      </c>
      <c r="AA170" s="28">
        <v>7980420.5785323111</v>
      </c>
      <c r="AB170" s="24">
        <v>4.1690431235707752E-2</v>
      </c>
    </row>
    <row r="171" spans="1:28" x14ac:dyDescent="0.25">
      <c r="A171" t="s">
        <v>4812</v>
      </c>
      <c r="B171" t="s">
        <v>7346</v>
      </c>
      <c r="C171" t="s">
        <v>4815</v>
      </c>
      <c r="D171" s="9" t="s">
        <v>4813</v>
      </c>
      <c r="E171" s="9" t="s">
        <v>2736</v>
      </c>
      <c r="G171" t="s">
        <v>4814</v>
      </c>
      <c r="H171" t="s">
        <v>57</v>
      </c>
      <c r="I171" s="17">
        <v>-1.0422133879276401</v>
      </c>
      <c r="J171" s="17">
        <v>0.78154045238894698</v>
      </c>
      <c r="K171" s="21">
        <v>10</v>
      </c>
      <c r="L171" s="27">
        <v>10293496.362594301</v>
      </c>
      <c r="M171" s="22">
        <v>1.5125499169711554E-2</v>
      </c>
      <c r="N171" s="21">
        <v>6</v>
      </c>
      <c r="O171" s="27">
        <v>8749434.270550454</v>
      </c>
      <c r="P171" s="22">
        <v>1.2969212493794258E-2</v>
      </c>
      <c r="Q171" s="21">
        <v>9</v>
      </c>
      <c r="R171" s="27">
        <v>11922394.001784023</v>
      </c>
      <c r="S171" s="22">
        <v>1.7776265590669006E-2</v>
      </c>
      <c r="T171" s="23">
        <v>5</v>
      </c>
      <c r="U171" s="28">
        <v>11241259.88787487</v>
      </c>
      <c r="V171" s="24">
        <v>1.6490538311159129E-2</v>
      </c>
      <c r="W171" s="23">
        <v>3</v>
      </c>
      <c r="X171" s="28">
        <v>10120908.885446852</v>
      </c>
      <c r="Y171" s="24">
        <v>1.4523717629472448E-2</v>
      </c>
      <c r="Z171" s="23">
        <v>6</v>
      </c>
      <c r="AA171" s="28">
        <v>10750775.452225421</v>
      </c>
      <c r="AB171" s="24">
        <v>1.5658351551528341E-2</v>
      </c>
    </row>
    <row r="172" spans="1:28" x14ac:dyDescent="0.25">
      <c r="A172" t="s">
        <v>4454</v>
      </c>
      <c r="B172" t="s">
        <v>7224</v>
      </c>
      <c r="C172" t="s">
        <v>4455</v>
      </c>
      <c r="D172" s="9" t="s">
        <v>4429</v>
      </c>
      <c r="E172" s="9" t="s">
        <v>2736</v>
      </c>
      <c r="H172" t="s">
        <v>1055</v>
      </c>
      <c r="I172" s="17">
        <v>-1.04534371539842</v>
      </c>
      <c r="J172" s="17">
        <v>0.82455008158454401</v>
      </c>
      <c r="K172" s="21">
        <v>4</v>
      </c>
      <c r="L172" s="27">
        <v>5556592.9875358697</v>
      </c>
      <c r="M172" s="22">
        <v>1.6794329180883489E-2</v>
      </c>
      <c r="N172" s="21">
        <v>1</v>
      </c>
      <c r="O172" s="27">
        <v>4228464.9086585864</v>
      </c>
      <c r="P172" s="22">
        <v>1.2892099186153291E-2</v>
      </c>
      <c r="Q172" s="21">
        <v>9</v>
      </c>
      <c r="R172" s="27">
        <v>5903477.1983685819</v>
      </c>
      <c r="S172" s="22">
        <v>1.8104737182115721E-2</v>
      </c>
      <c r="T172" s="23">
        <v>4</v>
      </c>
      <c r="U172" s="28">
        <v>5518744.1565798512</v>
      </c>
      <c r="V172" s="24">
        <v>1.6652037479037249E-2</v>
      </c>
      <c r="W172" s="23">
        <v>2</v>
      </c>
      <c r="X172" s="28">
        <v>6017377.2658331962</v>
      </c>
      <c r="Y172" s="24">
        <v>1.7761220125374559E-2</v>
      </c>
      <c r="Z172" s="23">
        <v>3</v>
      </c>
      <c r="AA172" s="28">
        <v>4813490.6516476171</v>
      </c>
      <c r="AB172" s="24">
        <v>1.4420278740438004E-2</v>
      </c>
    </row>
    <row r="173" spans="1:28" x14ac:dyDescent="0.25">
      <c r="A173" t="s">
        <v>4779</v>
      </c>
      <c r="B173" t="s">
        <v>7335</v>
      </c>
      <c r="C173" t="s">
        <v>4781</v>
      </c>
      <c r="D173" s="9" t="s">
        <v>4780</v>
      </c>
      <c r="E173" s="9" t="s">
        <v>2736</v>
      </c>
      <c r="H173" t="s">
        <v>2148</v>
      </c>
      <c r="I173" s="17">
        <v>-1.04564840608469</v>
      </c>
      <c r="J173" s="17">
        <v>0.63194994644598002</v>
      </c>
      <c r="K173" s="21">
        <v>11</v>
      </c>
      <c r="L173" s="27">
        <v>22876635.388000101</v>
      </c>
      <c r="M173" s="22">
        <v>9.5980960710112709E-2</v>
      </c>
      <c r="N173" s="21">
        <v>9</v>
      </c>
      <c r="O173" s="27">
        <v>20512623.884077251</v>
      </c>
      <c r="P173" s="22">
        <v>8.6816243788422454E-2</v>
      </c>
      <c r="Q173" s="21">
        <v>11</v>
      </c>
      <c r="R173" s="27">
        <v>21680580.212029044</v>
      </c>
      <c r="S173" s="22">
        <v>9.2298385106877157E-2</v>
      </c>
      <c r="T173" s="23">
        <v>9</v>
      </c>
      <c r="U173" s="28">
        <v>22058859.140240483</v>
      </c>
      <c r="V173" s="24">
        <v>9.2395119908898329E-2</v>
      </c>
      <c r="W173" s="23">
        <v>9</v>
      </c>
      <c r="X173" s="28">
        <v>23300489.994327769</v>
      </c>
      <c r="Y173" s="24">
        <v>9.5470561600643808E-2</v>
      </c>
      <c r="Z173" s="23">
        <v>11</v>
      </c>
      <c r="AA173" s="28">
        <v>22318654.522960819</v>
      </c>
      <c r="AB173" s="24">
        <v>9.2815476709277672E-2</v>
      </c>
    </row>
    <row r="174" spans="1:28" x14ac:dyDescent="0.25">
      <c r="A174" t="s">
        <v>4822</v>
      </c>
      <c r="B174" t="s">
        <v>7349</v>
      </c>
      <c r="C174" t="s">
        <v>4824</v>
      </c>
      <c r="D174" s="9" t="s">
        <v>4823</v>
      </c>
      <c r="E174" s="9" t="s">
        <v>2736</v>
      </c>
      <c r="H174" t="s">
        <v>2148</v>
      </c>
      <c r="I174" s="17">
        <v>-1.04662121846435</v>
      </c>
      <c r="J174" s="17">
        <v>0.81127577648465599</v>
      </c>
      <c r="K174" s="21">
        <v>17</v>
      </c>
      <c r="L174" s="27">
        <v>49318845.6546233</v>
      </c>
      <c r="M174" s="22">
        <v>0.14427561679836734</v>
      </c>
      <c r="N174" s="21">
        <v>15</v>
      </c>
      <c r="O174" s="27">
        <v>70199330.634312347</v>
      </c>
      <c r="P174" s="22">
        <v>0.20715710829451583</v>
      </c>
      <c r="Q174" s="21">
        <v>17</v>
      </c>
      <c r="R174" s="27">
        <v>46055387.573286906</v>
      </c>
      <c r="S174" s="22">
        <v>0.13670699520516089</v>
      </c>
      <c r="T174" s="23">
        <v>15</v>
      </c>
      <c r="U174" s="28">
        <v>50277406.712369539</v>
      </c>
      <c r="V174" s="24">
        <v>0.14683376986401864</v>
      </c>
      <c r="W174" s="23">
        <v>18</v>
      </c>
      <c r="X174" s="28">
        <v>70500831.520221427</v>
      </c>
      <c r="Y174" s="24">
        <v>0.20141219241208494</v>
      </c>
      <c r="Z174" s="23">
        <v>15</v>
      </c>
      <c r="AA174" s="28">
        <v>51234089.543363824</v>
      </c>
      <c r="AB174" s="24">
        <v>0.14855884260361885</v>
      </c>
    </row>
    <row r="175" spans="1:28" x14ac:dyDescent="0.25">
      <c r="A175" t="s">
        <v>4834</v>
      </c>
      <c r="B175" t="s">
        <v>7353</v>
      </c>
      <c r="C175" t="s">
        <v>4836</v>
      </c>
      <c r="D175" s="9" t="s">
        <v>4835</v>
      </c>
      <c r="E175" s="9" t="s">
        <v>2736</v>
      </c>
      <c r="H175" t="s">
        <v>2287</v>
      </c>
      <c r="I175" s="17">
        <v>-1.0477387039236601</v>
      </c>
      <c r="J175" s="17">
        <v>0.87806571369484598</v>
      </c>
      <c r="K175" s="21">
        <v>29</v>
      </c>
      <c r="L175" s="27">
        <v>18996353.395815302</v>
      </c>
      <c r="M175" s="22">
        <v>1.9108100316806438E-2</v>
      </c>
      <c r="N175" s="21">
        <v>13</v>
      </c>
      <c r="O175" s="27">
        <v>13886667.45206731</v>
      </c>
      <c r="P175" s="22">
        <v>1.4090686100472373E-2</v>
      </c>
      <c r="Q175" s="21">
        <v>25</v>
      </c>
      <c r="R175" s="27">
        <v>12490069.486725198</v>
      </c>
      <c r="S175" s="22">
        <v>1.2748009737259312E-2</v>
      </c>
      <c r="T175" s="23">
        <v>19</v>
      </c>
      <c r="U175" s="28">
        <v>18742279.247569486</v>
      </c>
      <c r="V175" s="24">
        <v>1.8821001110359472E-2</v>
      </c>
      <c r="W175" s="23">
        <v>10</v>
      </c>
      <c r="X175" s="28">
        <v>13384409.572641993</v>
      </c>
      <c r="Y175" s="24">
        <v>1.3147947800055505E-2</v>
      </c>
      <c r="Z175" s="23">
        <v>17</v>
      </c>
      <c r="AA175" s="28">
        <v>14996094.0538393</v>
      </c>
      <c r="AB175" s="24">
        <v>1.4951503801333851E-2</v>
      </c>
    </row>
    <row r="176" spans="1:28" x14ac:dyDescent="0.25">
      <c r="A176" t="s">
        <v>4800</v>
      </c>
      <c r="B176" t="s">
        <v>7342</v>
      </c>
      <c r="C176" t="s">
        <v>4802</v>
      </c>
      <c r="D176" s="9" t="s">
        <v>4801</v>
      </c>
      <c r="E176" s="9" t="s">
        <v>2736</v>
      </c>
      <c r="H176" t="s">
        <v>2148</v>
      </c>
      <c r="I176" s="17">
        <v>-1.0504509573937799</v>
      </c>
      <c r="J176" s="17">
        <v>0.73689184877155001</v>
      </c>
      <c r="K176" s="21">
        <v>15</v>
      </c>
      <c r="L176" s="27">
        <v>94021971.941993907</v>
      </c>
      <c r="M176" s="22">
        <v>0.38436274591307051</v>
      </c>
      <c r="N176" s="21">
        <v>13</v>
      </c>
      <c r="O176" s="27">
        <v>113972700.7529016</v>
      </c>
      <c r="P176" s="22">
        <v>0.47000188952916144</v>
      </c>
      <c r="Q176" s="21">
        <v>15</v>
      </c>
      <c r="R176" s="27">
        <v>80964680.969461024</v>
      </c>
      <c r="S176" s="22">
        <v>0.33584415979114224</v>
      </c>
      <c r="T176" s="23">
        <v>13</v>
      </c>
      <c r="U176" s="28">
        <v>92569102.030383557</v>
      </c>
      <c r="V176" s="24">
        <v>0.37779049439439227</v>
      </c>
      <c r="W176" s="23">
        <v>12</v>
      </c>
      <c r="X176" s="28">
        <v>111982836.90861715</v>
      </c>
      <c r="Y176" s="24">
        <v>0.44706933104142671</v>
      </c>
      <c r="Z176" s="23">
        <v>13</v>
      </c>
      <c r="AA176" s="28">
        <v>94540545.102096677</v>
      </c>
      <c r="AB176" s="24">
        <v>0.38308000246390783</v>
      </c>
    </row>
    <row r="177" spans="1:28" x14ac:dyDescent="0.25">
      <c r="A177" t="s">
        <v>4782</v>
      </c>
      <c r="B177" t="s">
        <v>7336</v>
      </c>
      <c r="C177" t="s">
        <v>4784</v>
      </c>
      <c r="D177" s="9" t="s">
        <v>4783</v>
      </c>
      <c r="E177" s="9" t="s">
        <v>2736</v>
      </c>
      <c r="H177" t="s">
        <v>2148</v>
      </c>
      <c r="I177" s="17">
        <v>-1.05252276833505</v>
      </c>
      <c r="J177" s="17">
        <v>0.64623458899779096</v>
      </c>
      <c r="K177" s="21">
        <v>44</v>
      </c>
      <c r="L177" s="27">
        <v>71943130.5465509</v>
      </c>
      <c r="M177" s="22">
        <v>7.509044046757625E-2</v>
      </c>
      <c r="N177" s="21">
        <v>22</v>
      </c>
      <c r="O177" s="27">
        <v>63749783.010607265</v>
      </c>
      <c r="P177" s="22">
        <v>6.7121377889044528E-2</v>
      </c>
      <c r="Q177" s="21">
        <v>45</v>
      </c>
      <c r="R177" s="27">
        <v>75366964.024315596</v>
      </c>
      <c r="S177" s="22">
        <v>7.9819058496980455E-2</v>
      </c>
      <c r="T177" s="23">
        <v>42</v>
      </c>
      <c r="U177" s="28">
        <v>73576866.085473582</v>
      </c>
      <c r="V177" s="24">
        <v>7.6667208272465953E-2</v>
      </c>
      <c r="W177" s="23">
        <v>35</v>
      </c>
      <c r="X177" s="28">
        <v>67668027.895036072</v>
      </c>
      <c r="Y177" s="24">
        <v>6.8974779469594308E-2</v>
      </c>
      <c r="Z177" s="23">
        <v>36</v>
      </c>
      <c r="AA177" s="28">
        <v>75805633.636823252</v>
      </c>
      <c r="AB177" s="24">
        <v>7.8425311047850596E-2</v>
      </c>
    </row>
    <row r="178" spans="1:28" x14ac:dyDescent="0.25">
      <c r="A178" t="s">
        <v>4768</v>
      </c>
      <c r="B178" t="s">
        <v>7331</v>
      </c>
      <c r="C178" t="s">
        <v>4770</v>
      </c>
      <c r="D178" s="9" t="s">
        <v>4769</v>
      </c>
      <c r="E178" s="9" t="s">
        <v>2736</v>
      </c>
      <c r="H178" t="s">
        <v>2148</v>
      </c>
      <c r="I178" s="17">
        <v>-1.05321525935661</v>
      </c>
      <c r="J178" s="17">
        <v>0.59191262556803403</v>
      </c>
      <c r="K178" s="21">
        <v>17</v>
      </c>
      <c r="L178" s="27">
        <v>58233520.145185903</v>
      </c>
      <c r="M178" s="22">
        <v>0.20747059034430643</v>
      </c>
      <c r="N178" s="21">
        <v>10</v>
      </c>
      <c r="O178" s="27">
        <v>70228672.711441025</v>
      </c>
      <c r="P178" s="22">
        <v>0.2523973507980532</v>
      </c>
      <c r="Q178" s="21">
        <v>14</v>
      </c>
      <c r="R178" s="27">
        <v>54410908.664054371</v>
      </c>
      <c r="S178" s="22">
        <v>0.19669790648264124</v>
      </c>
      <c r="T178" s="23">
        <v>11</v>
      </c>
      <c r="U178" s="28">
        <v>58989618.958631605</v>
      </c>
      <c r="V178" s="24">
        <v>0.20981287451144146</v>
      </c>
      <c r="W178" s="23">
        <v>13</v>
      </c>
      <c r="X178" s="28">
        <v>69317702.832249179</v>
      </c>
      <c r="Y178" s="24">
        <v>0.24117880672967737</v>
      </c>
      <c r="Z178" s="23">
        <v>11</v>
      </c>
      <c r="AA178" s="28">
        <v>60167547.40232528</v>
      </c>
      <c r="AB178" s="24">
        <v>0.21247373666751485</v>
      </c>
    </row>
    <row r="179" spans="1:28" x14ac:dyDescent="0.25">
      <c r="A179" t="s">
        <v>4289</v>
      </c>
      <c r="B179" t="s">
        <v>7170</v>
      </c>
      <c r="C179" t="s">
        <v>4291</v>
      </c>
      <c r="D179" s="9" t="s">
        <v>4290</v>
      </c>
      <c r="E179" s="9" t="s">
        <v>2736</v>
      </c>
      <c r="H179" t="s">
        <v>2148</v>
      </c>
      <c r="I179" s="17">
        <v>-1.05441877918164</v>
      </c>
      <c r="J179" s="17">
        <v>0.47673978609384798</v>
      </c>
      <c r="K179" s="21">
        <v>16</v>
      </c>
      <c r="L179" s="27">
        <v>12105456.512845701</v>
      </c>
      <c r="M179" s="22">
        <v>8.6644300135758114E-3</v>
      </c>
      <c r="N179" s="21">
        <v>14</v>
      </c>
      <c r="O179" s="27">
        <v>14742076.447951578</v>
      </c>
      <c r="P179" s="22">
        <v>1.0643986561686773E-2</v>
      </c>
      <c r="Q179" s="21">
        <v>16</v>
      </c>
      <c r="R179" s="27">
        <v>14743457.023446726</v>
      </c>
      <c r="S179" s="22">
        <v>1.0707508159854169E-2</v>
      </c>
      <c r="T179" s="23">
        <v>11</v>
      </c>
      <c r="U179" s="28">
        <v>14148030.55310371</v>
      </c>
      <c r="V179" s="24">
        <v>1.010945768748389E-2</v>
      </c>
      <c r="W179" s="23">
        <v>9</v>
      </c>
      <c r="X179" s="28">
        <v>13199137.423898395</v>
      </c>
      <c r="Y179" s="24">
        <v>9.2260511430718728E-3</v>
      </c>
      <c r="Z179" s="23">
        <v>8</v>
      </c>
      <c r="AA179" s="28">
        <v>15068696.840812832</v>
      </c>
      <c r="AB179" s="24">
        <v>1.0690400345935986E-2</v>
      </c>
    </row>
    <row r="180" spans="1:28" x14ac:dyDescent="0.25">
      <c r="A180" t="s">
        <v>4280</v>
      </c>
      <c r="B180" t="s">
        <v>7167</v>
      </c>
      <c r="C180" t="s">
        <v>4282</v>
      </c>
      <c r="D180" s="9" t="s">
        <v>4281</v>
      </c>
      <c r="E180" s="9" t="s">
        <v>2736</v>
      </c>
      <c r="H180" t="s">
        <v>2148</v>
      </c>
      <c r="I180" s="17">
        <v>-1.05518450708067</v>
      </c>
      <c r="J180" s="17">
        <v>0.38143098011104698</v>
      </c>
      <c r="K180" s="21">
        <v>19</v>
      </c>
      <c r="L180" s="27">
        <v>16488696.673085099</v>
      </c>
      <c r="M180" s="22">
        <v>2.1503739974165506E-2</v>
      </c>
      <c r="N180" s="21">
        <v>14</v>
      </c>
      <c r="O180" s="27">
        <v>17117608.672361996</v>
      </c>
      <c r="P180" s="22">
        <v>2.2519440552516898E-2</v>
      </c>
      <c r="Q180" s="21">
        <v>24</v>
      </c>
      <c r="R180" s="27">
        <v>17474577.843142495</v>
      </c>
      <c r="S180" s="22">
        <v>2.3124088534579635E-2</v>
      </c>
      <c r="T180" s="23">
        <v>15</v>
      </c>
      <c r="U180" s="28">
        <v>17382118.162945163</v>
      </c>
      <c r="V180" s="24">
        <v>2.2630982703470522E-2</v>
      </c>
      <c r="W180" s="23">
        <v>12</v>
      </c>
      <c r="X180" s="28">
        <v>17046445.839679033</v>
      </c>
      <c r="Y180" s="24">
        <v>2.1710658445099902E-2</v>
      </c>
      <c r="Z180" s="23">
        <v>12</v>
      </c>
      <c r="AA180" s="28">
        <v>17918679.460782006</v>
      </c>
      <c r="AB180" s="24">
        <v>2.3162909981992903E-2</v>
      </c>
    </row>
    <row r="181" spans="1:28" x14ac:dyDescent="0.25">
      <c r="A181" t="s">
        <v>4788</v>
      </c>
      <c r="B181" t="s">
        <v>7338</v>
      </c>
      <c r="C181" t="s">
        <v>4790</v>
      </c>
      <c r="D181" s="9" t="s">
        <v>4789</v>
      </c>
      <c r="E181" s="9" t="s">
        <v>2736</v>
      </c>
      <c r="H181" t="s">
        <v>2148</v>
      </c>
      <c r="I181" s="17">
        <v>-1.0587927319927499</v>
      </c>
      <c r="J181" s="17">
        <v>0.68307814532343403</v>
      </c>
      <c r="K181" s="21">
        <v>18</v>
      </c>
      <c r="L181" s="27">
        <v>92348342.991848499</v>
      </c>
      <c r="M181" s="22">
        <v>0.24235911832013948</v>
      </c>
      <c r="N181" s="21">
        <v>20</v>
      </c>
      <c r="O181" s="27">
        <v>111423552.31197011</v>
      </c>
      <c r="P181" s="22">
        <v>0.29498103097764727</v>
      </c>
      <c r="Q181" s="21">
        <v>17</v>
      </c>
      <c r="R181" s="27">
        <v>79470537.346815765</v>
      </c>
      <c r="S181" s="22">
        <v>0.21162485124335828</v>
      </c>
      <c r="T181" s="23">
        <v>20</v>
      </c>
      <c r="U181" s="28">
        <v>88006394.686271295</v>
      </c>
      <c r="V181" s="24">
        <v>0.23057782070005953</v>
      </c>
      <c r="W181" s="23">
        <v>17</v>
      </c>
      <c r="X181" s="28">
        <v>108036032.00922827</v>
      </c>
      <c r="Y181" s="24">
        <v>0.27689197080603078</v>
      </c>
      <c r="Z181" s="23">
        <v>15</v>
      </c>
      <c r="AA181" s="28">
        <v>94880793.252847329</v>
      </c>
      <c r="AB181" s="24">
        <v>0.24681298882954728</v>
      </c>
    </row>
    <row r="182" spans="1:28" x14ac:dyDescent="0.25">
      <c r="A182" t="s">
        <v>4845</v>
      </c>
      <c r="B182" t="s">
        <v>7357</v>
      </c>
      <c r="C182" t="s">
        <v>4847</v>
      </c>
      <c r="D182" s="9" t="s">
        <v>4846</v>
      </c>
      <c r="E182" s="9" t="s">
        <v>2736</v>
      </c>
      <c r="H182" t="s">
        <v>2148</v>
      </c>
      <c r="I182" s="17">
        <v>-1.06285503258489</v>
      </c>
      <c r="J182" s="17">
        <v>0.89980106957914396</v>
      </c>
      <c r="K182" s="21">
        <v>13</v>
      </c>
      <c r="L182" s="27">
        <v>15257757.2698406</v>
      </c>
      <c r="M182" s="22">
        <v>3.3903562492060002E-2</v>
      </c>
      <c r="N182" s="21">
        <v>13</v>
      </c>
      <c r="O182" s="27">
        <v>24376609.623194624</v>
      </c>
      <c r="P182" s="22">
        <v>5.4640513022141825E-2</v>
      </c>
      <c r="Q182" s="21">
        <v>12</v>
      </c>
      <c r="R182" s="27">
        <v>12360743.954906221</v>
      </c>
      <c r="S182" s="22">
        <v>2.7869520941079837E-2</v>
      </c>
      <c r="T182" s="23">
        <v>12</v>
      </c>
      <c r="U182" s="28">
        <v>18744085.43315918</v>
      </c>
      <c r="V182" s="24">
        <v>4.1580713015347985E-2</v>
      </c>
      <c r="W182" s="23">
        <v>9</v>
      </c>
      <c r="X182" s="28">
        <v>18572682.653785706</v>
      </c>
      <c r="Y182" s="24">
        <v>4.0303313484997834E-2</v>
      </c>
      <c r="Z182" s="23">
        <v>9</v>
      </c>
      <c r="AA182" s="28">
        <v>15423366.739119699</v>
      </c>
      <c r="AB182" s="24">
        <v>3.3969821637323844E-2</v>
      </c>
    </row>
    <row r="183" spans="1:28" x14ac:dyDescent="0.25">
      <c r="A183" t="s">
        <v>4520</v>
      </c>
      <c r="B183" t="s">
        <v>7247</v>
      </c>
      <c r="C183" t="s">
        <v>4522</v>
      </c>
      <c r="D183" s="9" t="s">
        <v>4521</v>
      </c>
      <c r="E183" s="9" t="s">
        <v>2736</v>
      </c>
      <c r="H183" t="s">
        <v>2127</v>
      </c>
      <c r="I183" s="17">
        <v>-1.0631994964723599</v>
      </c>
      <c r="J183" s="17">
        <v>0.37246610296883198</v>
      </c>
      <c r="K183" s="21">
        <v>26</v>
      </c>
      <c r="L183" s="27">
        <v>39527176.547822997</v>
      </c>
      <c r="M183" s="22">
        <v>4.1873169243237932E-2</v>
      </c>
      <c r="N183" s="21">
        <v>17</v>
      </c>
      <c r="O183" s="27">
        <v>39892464.039794356</v>
      </c>
      <c r="P183" s="22">
        <v>4.2630235675101928E-2</v>
      </c>
      <c r="Q183" s="21">
        <v>28</v>
      </c>
      <c r="R183" s="27">
        <v>42867116.360640906</v>
      </c>
      <c r="S183" s="22">
        <v>4.6078100585596922E-2</v>
      </c>
      <c r="T183" s="23">
        <v>18</v>
      </c>
      <c r="U183" s="28">
        <v>42131535.295814</v>
      </c>
      <c r="V183" s="24">
        <v>4.455745405937743E-2</v>
      </c>
      <c r="W183" s="23">
        <v>14</v>
      </c>
      <c r="X183" s="28">
        <v>40454528.447985567</v>
      </c>
      <c r="Y183" s="24">
        <v>4.1852235766586553E-2</v>
      </c>
      <c r="Z183" s="23">
        <v>18</v>
      </c>
      <c r="AA183" s="28">
        <v>41748906.449213937</v>
      </c>
      <c r="AB183" s="24">
        <v>4.3837380082518099E-2</v>
      </c>
    </row>
    <row r="184" spans="1:28" x14ac:dyDescent="0.25">
      <c r="A184" t="s">
        <v>4286</v>
      </c>
      <c r="B184" t="s">
        <v>7169</v>
      </c>
      <c r="C184" t="s">
        <v>4288</v>
      </c>
      <c r="D184" s="9" t="s">
        <v>4287</v>
      </c>
      <c r="E184" s="9" t="s">
        <v>2736</v>
      </c>
      <c r="H184" t="s">
        <v>2148</v>
      </c>
      <c r="I184" s="17">
        <v>-1.0638741945661301</v>
      </c>
      <c r="J184" s="17">
        <v>0.45007188943646598</v>
      </c>
      <c r="K184" s="21">
        <v>9</v>
      </c>
      <c r="L184" s="27">
        <v>4581507.5895162299</v>
      </c>
      <c r="M184" s="22">
        <v>8.2071985971131911E-3</v>
      </c>
      <c r="N184" s="21">
        <v>4</v>
      </c>
      <c r="O184" s="27">
        <v>4392101.8692655712</v>
      </c>
      <c r="P184" s="22">
        <v>7.9368060763560164E-3</v>
      </c>
      <c r="Q184" s="21">
        <v>10</v>
      </c>
      <c r="R184" s="27">
        <v>4921080.9487165939</v>
      </c>
      <c r="S184" s="22">
        <v>8.9449373037424253E-3</v>
      </c>
      <c r="T184" s="23">
        <v>6</v>
      </c>
      <c r="U184" s="28">
        <v>4795638.6880535427</v>
      </c>
      <c r="V184" s="24">
        <v>8.5764198057710558E-3</v>
      </c>
      <c r="W184" s="23">
        <v>5</v>
      </c>
      <c r="X184" s="28">
        <v>5181550.2719943952</v>
      </c>
      <c r="Y184" s="24">
        <v>9.0647896211665992E-3</v>
      </c>
      <c r="Z184" s="23">
        <v>4</v>
      </c>
      <c r="AA184" s="28">
        <v>4200253.4307111735</v>
      </c>
      <c r="AB184" s="24">
        <v>7.4579844773562639E-3</v>
      </c>
    </row>
    <row r="185" spans="1:28" x14ac:dyDescent="0.25">
      <c r="A185" t="s">
        <v>4548</v>
      </c>
      <c r="B185" t="s">
        <v>7257</v>
      </c>
      <c r="C185" t="s">
        <v>4550</v>
      </c>
      <c r="D185" s="9" t="s">
        <v>4549</v>
      </c>
      <c r="E185" s="9" t="s">
        <v>2736</v>
      </c>
      <c r="I185" s="17">
        <v>-1.06563054799131</v>
      </c>
      <c r="J185" s="17">
        <v>0.82532979120161098</v>
      </c>
      <c r="K185" s="21">
        <v>9</v>
      </c>
      <c r="L185" s="27">
        <v>5052313.7513271496</v>
      </c>
      <c r="M185" s="22">
        <v>1.6957945762099625E-2</v>
      </c>
      <c r="N185" s="21">
        <v>5</v>
      </c>
      <c r="O185" s="27">
        <v>3513802.80494426</v>
      </c>
      <c r="P185" s="22">
        <v>1.1897265319636847E-2</v>
      </c>
      <c r="Q185" s="21">
        <v>12</v>
      </c>
      <c r="R185" s="27">
        <v>5714854.9575943518</v>
      </c>
      <c r="S185" s="22">
        <v>1.9463386258023931E-2</v>
      </c>
      <c r="T185" s="23">
        <v>7</v>
      </c>
      <c r="U185" s="28">
        <v>4800287.5038063098</v>
      </c>
      <c r="V185" s="24">
        <v>1.6085079892541893E-2</v>
      </c>
      <c r="W185" s="23">
        <v>3</v>
      </c>
      <c r="X185" s="28">
        <v>5000075.6305877985</v>
      </c>
      <c r="Y185" s="24">
        <v>1.63896992248358E-2</v>
      </c>
      <c r="Z185" s="23">
        <v>7</v>
      </c>
      <c r="AA185" s="28">
        <v>4774670.0837353226</v>
      </c>
      <c r="AB185" s="24">
        <v>1.5884946092803453E-2</v>
      </c>
    </row>
    <row r="186" spans="1:28" x14ac:dyDescent="0.25">
      <c r="A186" t="s">
        <v>4773</v>
      </c>
      <c r="B186" t="s">
        <v>7333</v>
      </c>
      <c r="C186" t="s">
        <v>4775</v>
      </c>
      <c r="D186" s="9" t="s">
        <v>4774</v>
      </c>
      <c r="E186" s="9" t="s">
        <v>2736</v>
      </c>
      <c r="H186" t="s">
        <v>1055</v>
      </c>
      <c r="I186" s="17">
        <v>-1.0684183113516501</v>
      </c>
      <c r="J186" s="17">
        <v>0.59667756001852101</v>
      </c>
      <c r="K186" s="21">
        <v>20</v>
      </c>
      <c r="L186" s="27">
        <v>62935895.990647897</v>
      </c>
      <c r="M186" s="22">
        <v>0.10452104069988497</v>
      </c>
      <c r="N186" s="21">
        <v>19</v>
      </c>
      <c r="O186" s="27">
        <v>53620818.932779007</v>
      </c>
      <c r="P186" s="22">
        <v>8.9830864828351301E-2</v>
      </c>
      <c r="Q186" s="21">
        <v>23</v>
      </c>
      <c r="R186" s="27">
        <v>63459959.848264426</v>
      </c>
      <c r="S186" s="22">
        <v>0.10693881282767506</v>
      </c>
      <c r="T186" s="23">
        <v>25</v>
      </c>
      <c r="U186" s="28">
        <v>66174962.641524345</v>
      </c>
      <c r="V186" s="24">
        <v>0.10971652762598515</v>
      </c>
      <c r="W186" s="23">
        <v>20</v>
      </c>
      <c r="X186" s="28">
        <v>61647493.884249039</v>
      </c>
      <c r="Y186" s="24">
        <v>9.9984392685921991E-2</v>
      </c>
      <c r="Z186" s="23">
        <v>21</v>
      </c>
      <c r="AA186" s="28">
        <v>54929160.762376092</v>
      </c>
      <c r="AB186" s="24">
        <v>9.0420669257260125E-2</v>
      </c>
    </row>
    <row r="187" spans="1:28" x14ac:dyDescent="0.25">
      <c r="A187" t="s">
        <v>4803</v>
      </c>
      <c r="B187" t="s">
        <v>7343</v>
      </c>
      <c r="C187" t="s">
        <v>4805</v>
      </c>
      <c r="D187" s="9" t="s">
        <v>4804</v>
      </c>
      <c r="E187" s="9" t="s">
        <v>2736</v>
      </c>
      <c r="H187" t="s">
        <v>2148</v>
      </c>
      <c r="I187" s="17">
        <v>-1.0691825485058499</v>
      </c>
      <c r="J187" s="17">
        <v>0.74330184503033403</v>
      </c>
      <c r="K187" s="21">
        <v>8</v>
      </c>
      <c r="L187" s="27">
        <v>29914365.557918798</v>
      </c>
      <c r="M187" s="22">
        <v>0.13529981851328998</v>
      </c>
      <c r="N187" s="21">
        <v>7</v>
      </c>
      <c r="O187" s="27">
        <v>49189026.03758955</v>
      </c>
      <c r="P187" s="22">
        <v>0.22442564054677461</v>
      </c>
      <c r="Q187" s="21">
        <v>10</v>
      </c>
      <c r="R187" s="27">
        <v>31728399.397832494</v>
      </c>
      <c r="S187" s="22">
        <v>0.14561155542695986</v>
      </c>
      <c r="T187" s="23">
        <v>9</v>
      </c>
      <c r="U187" s="28">
        <v>32757454.207754534</v>
      </c>
      <c r="V187" s="24">
        <v>0.14791104447129896</v>
      </c>
      <c r="W187" s="23">
        <v>6</v>
      </c>
      <c r="X187" s="28">
        <v>41458486.829108007</v>
      </c>
      <c r="Y187" s="24">
        <v>0.18312276849570341</v>
      </c>
      <c r="Z187" s="23">
        <v>9</v>
      </c>
      <c r="AA187" s="28">
        <v>37702707.23312179</v>
      </c>
      <c r="AB187" s="24">
        <v>0.16902439921331924</v>
      </c>
    </row>
    <row r="188" spans="1:28" x14ac:dyDescent="0.25">
      <c r="A188" t="s">
        <v>4525</v>
      </c>
      <c r="B188" t="s">
        <v>7249</v>
      </c>
      <c r="C188" t="s">
        <v>4527</v>
      </c>
      <c r="D188" s="9" t="s">
        <v>4526</v>
      </c>
      <c r="E188" s="9" t="s">
        <v>2736</v>
      </c>
      <c r="H188" t="s">
        <v>2127</v>
      </c>
      <c r="I188" s="17">
        <v>-1.06953958933914</v>
      </c>
      <c r="J188" s="17">
        <v>0.83593760983604304</v>
      </c>
      <c r="K188" s="21">
        <v>2</v>
      </c>
      <c r="L188" s="27">
        <v>658092.61610417999</v>
      </c>
      <c r="M188" s="22">
        <v>6.1627767616405881E-4</v>
      </c>
      <c r="N188" s="21">
        <v>0</v>
      </c>
      <c r="O188" s="27">
        <v>410748.39730950951</v>
      </c>
      <c r="P188" s="22">
        <v>3.8801822822423488E-4</v>
      </c>
      <c r="Q188" s="21">
        <v>1</v>
      </c>
      <c r="R188" s="27">
        <v>645441.83763471595</v>
      </c>
      <c r="S188" s="22">
        <v>6.1330540343716743E-4</v>
      </c>
      <c r="T188" s="23">
        <v>1</v>
      </c>
      <c r="U188" s="28">
        <v>504168.01112070016</v>
      </c>
      <c r="V188" s="24">
        <v>4.7134374565935717E-4</v>
      </c>
      <c r="W188" s="23">
        <v>1</v>
      </c>
      <c r="X188" s="28">
        <v>556016.15753095446</v>
      </c>
      <c r="Y188" s="24">
        <v>5.0849690205938183E-4</v>
      </c>
      <c r="Z188" s="23">
        <v>3</v>
      </c>
      <c r="AA188" s="28">
        <v>690203.41663026367</v>
      </c>
      <c r="AB188" s="24">
        <v>6.4065758271453514E-4</v>
      </c>
    </row>
    <row r="189" spans="1:28" x14ac:dyDescent="0.25">
      <c r="A189" t="s">
        <v>4765</v>
      </c>
      <c r="B189" t="s">
        <v>7330</v>
      </c>
      <c r="C189" t="s">
        <v>4767</v>
      </c>
      <c r="D189" s="9" t="s">
        <v>4766</v>
      </c>
      <c r="E189" s="9" t="s">
        <v>2736</v>
      </c>
      <c r="H189" t="s">
        <v>1055</v>
      </c>
      <c r="I189" s="17">
        <v>-1.07055315117991</v>
      </c>
      <c r="J189" s="17">
        <v>0.55915692700141195</v>
      </c>
      <c r="K189" s="21">
        <v>22</v>
      </c>
      <c r="L189" s="27">
        <v>56274157.4904036</v>
      </c>
      <c r="M189" s="22">
        <v>0.13697592457499555</v>
      </c>
      <c r="N189" s="21">
        <v>19</v>
      </c>
      <c r="O189" s="27">
        <v>68337918.668913707</v>
      </c>
      <c r="P189" s="22">
        <v>0.16779685587347304</v>
      </c>
      <c r="Q189" s="21">
        <v>17</v>
      </c>
      <c r="R189" s="27">
        <v>50421500.436907366</v>
      </c>
      <c r="S189" s="22">
        <v>0.1245320862554993</v>
      </c>
      <c r="T189" s="23">
        <v>16</v>
      </c>
      <c r="U189" s="28">
        <v>54890140.682205871</v>
      </c>
      <c r="V189" s="24">
        <v>0.13338365887265091</v>
      </c>
      <c r="W189" s="23">
        <v>16</v>
      </c>
      <c r="X189" s="28">
        <v>65571571.054262884</v>
      </c>
      <c r="Y189" s="24">
        <v>0.15586991876891096</v>
      </c>
      <c r="Z189" s="23">
        <v>20</v>
      </c>
      <c r="AA189" s="28">
        <v>57142615.713675059</v>
      </c>
      <c r="AB189" s="24">
        <v>0.13786524690878618</v>
      </c>
    </row>
    <row r="190" spans="1:28" x14ac:dyDescent="0.25">
      <c r="A190" t="s">
        <v>4760</v>
      </c>
      <c r="B190" t="s">
        <v>7328</v>
      </c>
      <c r="C190" t="s">
        <v>4762</v>
      </c>
      <c r="D190" s="9" t="s">
        <v>4761</v>
      </c>
      <c r="E190" s="9" t="s">
        <v>2736</v>
      </c>
      <c r="H190" t="s">
        <v>2148</v>
      </c>
      <c r="I190" s="17">
        <v>-1.0706175739322601</v>
      </c>
      <c r="J190" s="17">
        <v>0.54757635078754097</v>
      </c>
      <c r="K190" s="21">
        <v>7</v>
      </c>
      <c r="L190" s="27">
        <v>45346263.734122403</v>
      </c>
      <c r="M190" s="22">
        <v>0.18419523340559901</v>
      </c>
      <c r="N190" s="21">
        <v>6</v>
      </c>
      <c r="O190" s="27">
        <v>55116560.99783168</v>
      </c>
      <c r="P190" s="22">
        <v>0.22584257772131147</v>
      </c>
      <c r="Q190" s="21">
        <v>8</v>
      </c>
      <c r="R190" s="27">
        <v>40956269.420213275</v>
      </c>
      <c r="S190" s="22">
        <v>0.16880586383789978</v>
      </c>
      <c r="T190" s="23">
        <v>7</v>
      </c>
      <c r="U190" s="28">
        <v>44984386.084625661</v>
      </c>
      <c r="V190" s="24">
        <v>0.18241969254095655</v>
      </c>
      <c r="W190" s="23">
        <v>9</v>
      </c>
      <c r="X190" s="28">
        <v>52855444.488702923</v>
      </c>
      <c r="Y190" s="24">
        <v>0.20967086561144399</v>
      </c>
      <c r="Z190" s="23">
        <v>9</v>
      </c>
      <c r="AA190" s="28">
        <v>45589304.95270177</v>
      </c>
      <c r="AB190" s="24">
        <v>0.18355207419281039</v>
      </c>
    </row>
    <row r="191" spans="1:28" x14ac:dyDescent="0.25">
      <c r="A191" t="s">
        <v>4837</v>
      </c>
      <c r="B191" t="s">
        <v>7354</v>
      </c>
      <c r="C191" t="s">
        <v>4838</v>
      </c>
      <c r="D191" s="9" t="s">
        <v>4645</v>
      </c>
      <c r="E191" s="9" t="s">
        <v>2736</v>
      </c>
      <c r="H191" t="s">
        <v>3007</v>
      </c>
      <c r="I191" s="17">
        <v>-1.07064691241248</v>
      </c>
      <c r="J191" s="17">
        <v>0.88328858848720804</v>
      </c>
      <c r="K191" s="21">
        <v>12</v>
      </c>
      <c r="L191" s="27">
        <v>31903210.134243101</v>
      </c>
      <c r="M191" s="22">
        <v>0.10172809667722736</v>
      </c>
      <c r="N191" s="21">
        <v>8</v>
      </c>
      <c r="O191" s="27">
        <v>19165271.652490944</v>
      </c>
      <c r="P191" s="22">
        <v>6.1646488920543127E-2</v>
      </c>
      <c r="Q191" s="21">
        <v>15</v>
      </c>
      <c r="R191" s="27">
        <v>33218340.93114996</v>
      </c>
      <c r="S191" s="22">
        <v>0.10747680123671317</v>
      </c>
      <c r="T191" s="23">
        <v>10</v>
      </c>
      <c r="U191" s="28">
        <v>28516230.808352377</v>
      </c>
      <c r="V191" s="24">
        <v>9.0776137450447464E-2</v>
      </c>
      <c r="W191" s="23">
        <v>9</v>
      </c>
      <c r="X191" s="28">
        <v>29717521.20054869</v>
      </c>
      <c r="Y191" s="24">
        <v>9.2540234720618758E-2</v>
      </c>
      <c r="Z191" s="23">
        <v>10</v>
      </c>
      <c r="AA191" s="28">
        <v>27680979.085125964</v>
      </c>
      <c r="AB191" s="24">
        <v>8.748778663431514E-2</v>
      </c>
    </row>
    <row r="192" spans="1:28" x14ac:dyDescent="0.25">
      <c r="A192" t="s">
        <v>4298</v>
      </c>
      <c r="B192" t="s">
        <v>7173</v>
      </c>
      <c r="C192" t="s">
        <v>4300</v>
      </c>
      <c r="D192" s="9" t="s">
        <v>4299</v>
      </c>
      <c r="E192" s="9" t="s">
        <v>2736</v>
      </c>
      <c r="H192" t="s">
        <v>2148</v>
      </c>
      <c r="I192" s="17">
        <v>-1.07095957137356</v>
      </c>
      <c r="J192" s="17">
        <v>0.67453754673462796</v>
      </c>
      <c r="K192" s="21">
        <v>4</v>
      </c>
      <c r="L192" s="27">
        <v>2763780.0547480299</v>
      </c>
      <c r="M192" s="22">
        <v>3.8652284357239999E-3</v>
      </c>
      <c r="N192" s="21">
        <v>1</v>
      </c>
      <c r="O192" s="27">
        <v>2207754.0760549787</v>
      </c>
      <c r="P192" s="22">
        <v>3.114649742435823E-3</v>
      </c>
      <c r="Q192" s="21">
        <v>3</v>
      </c>
      <c r="R192" s="27">
        <v>2687839.7549463711</v>
      </c>
      <c r="S192" s="22">
        <v>3.8142163229556983E-3</v>
      </c>
      <c r="T192" s="23">
        <v>1</v>
      </c>
      <c r="U192" s="28">
        <v>3028874.9946850492</v>
      </c>
      <c r="V192" s="24">
        <v>4.2288870055005338E-3</v>
      </c>
      <c r="W192" s="23">
        <v>0</v>
      </c>
      <c r="X192" s="28">
        <v>2222313.0686464668</v>
      </c>
      <c r="Y192" s="24">
        <v>3.0352076539703308E-3</v>
      </c>
      <c r="Z192" s="23">
        <v>2</v>
      </c>
      <c r="AA192" s="28">
        <v>2475005.1266088537</v>
      </c>
      <c r="AB192" s="24">
        <v>3.4308935073091517E-3</v>
      </c>
    </row>
    <row r="193" spans="1:28" x14ac:dyDescent="0.25">
      <c r="A193" t="s">
        <v>4707</v>
      </c>
      <c r="B193" t="s">
        <v>7311</v>
      </c>
      <c r="C193" t="s">
        <v>4709</v>
      </c>
      <c r="D193" s="9" t="s">
        <v>4708</v>
      </c>
      <c r="E193" s="9" t="s">
        <v>2736</v>
      </c>
      <c r="H193" t="s">
        <v>2148</v>
      </c>
      <c r="I193" s="17">
        <v>-1.07154658866112</v>
      </c>
      <c r="J193" s="17">
        <v>0.31504167222852297</v>
      </c>
      <c r="K193" s="21">
        <v>9</v>
      </c>
      <c r="L193" s="27">
        <v>24709784.4504852</v>
      </c>
      <c r="M193" s="22">
        <v>0.12916524037299512</v>
      </c>
      <c r="N193" s="21">
        <v>7</v>
      </c>
      <c r="O193" s="27">
        <v>27124084.13803722</v>
      </c>
      <c r="P193" s="22">
        <v>0.14302719280301271</v>
      </c>
      <c r="Q193" s="21">
        <v>8</v>
      </c>
      <c r="R193" s="27">
        <v>23382637.923843078</v>
      </c>
      <c r="S193" s="22">
        <v>0.12402249500421413</v>
      </c>
      <c r="T193" s="23">
        <v>7</v>
      </c>
      <c r="U193" s="28">
        <v>23894894.011560149</v>
      </c>
      <c r="V193" s="24">
        <v>0.12469666880872898</v>
      </c>
      <c r="W193" s="23">
        <v>6</v>
      </c>
      <c r="X193" s="28">
        <v>27386598.870475173</v>
      </c>
      <c r="Y193" s="24">
        <v>0.13980615162469864</v>
      </c>
      <c r="Z193" s="23">
        <v>8</v>
      </c>
      <c r="AA193" s="28">
        <v>24962234.405137628</v>
      </c>
      <c r="AB193" s="24">
        <v>0.12933605329282921</v>
      </c>
    </row>
    <row r="194" spans="1:28" x14ac:dyDescent="0.25">
      <c r="A194" t="s">
        <v>4390</v>
      </c>
      <c r="B194" t="s">
        <v>7203</v>
      </c>
      <c r="C194" t="s">
        <v>4392</v>
      </c>
      <c r="D194" s="9" t="s">
        <v>4391</v>
      </c>
      <c r="E194" s="9" t="s">
        <v>2736</v>
      </c>
      <c r="H194" t="s">
        <v>4388</v>
      </c>
      <c r="I194" s="17">
        <v>-1.0753929399909701</v>
      </c>
      <c r="J194" s="17">
        <v>0.549634791368944</v>
      </c>
      <c r="K194" s="21">
        <v>2</v>
      </c>
      <c r="L194" s="27">
        <v>245527.70988224601</v>
      </c>
      <c r="M194" s="22">
        <v>3.92431759482941E-4</v>
      </c>
      <c r="N194" s="21">
        <v>0</v>
      </c>
      <c r="O194" s="27">
        <v>248685.23882390789</v>
      </c>
      <c r="P194" s="22">
        <v>4.0095946940640382E-4</v>
      </c>
      <c r="Q194" s="21">
        <v>1</v>
      </c>
      <c r="R194" s="27">
        <v>226202.7463337316</v>
      </c>
      <c r="S194" s="22">
        <v>3.6685274039475026E-4</v>
      </c>
      <c r="T194" s="23">
        <v>0</v>
      </c>
      <c r="U194" s="28">
        <v>213953.65129226074</v>
      </c>
      <c r="V194" s="24">
        <v>3.4139439035169033E-4</v>
      </c>
      <c r="W194" s="23">
        <v>0</v>
      </c>
      <c r="X194" s="28">
        <v>221539.42624879436</v>
      </c>
      <c r="Y194" s="24">
        <v>3.4580091819946227E-4</v>
      </c>
      <c r="Z194" s="23">
        <v>1</v>
      </c>
      <c r="AA194" s="28">
        <v>290862.17215875949</v>
      </c>
      <c r="AB194" s="24">
        <v>4.6079772395629182E-4</v>
      </c>
    </row>
    <row r="195" spans="1:28" x14ac:dyDescent="0.25">
      <c r="A195" t="s">
        <v>4451</v>
      </c>
      <c r="B195" t="s">
        <v>7223</v>
      </c>
      <c r="C195" t="s">
        <v>4453</v>
      </c>
      <c r="D195" s="9" t="s">
        <v>4452</v>
      </c>
      <c r="E195" s="9" t="s">
        <v>2736</v>
      </c>
      <c r="H195" t="s">
        <v>1055</v>
      </c>
      <c r="I195" s="17">
        <v>-1.0760565798816899</v>
      </c>
      <c r="J195" s="17">
        <v>0.70494092848797196</v>
      </c>
      <c r="K195" s="21">
        <v>2</v>
      </c>
      <c r="L195" s="27">
        <v>1521532.1668134199</v>
      </c>
      <c r="M195" s="22">
        <v>3.2129999995746438E-3</v>
      </c>
      <c r="N195" s="21">
        <v>1</v>
      </c>
      <c r="O195" s="27">
        <v>1109852.2391124177</v>
      </c>
      <c r="P195" s="22">
        <v>2.3641856787127934E-3</v>
      </c>
      <c r="Q195" s="21">
        <v>1</v>
      </c>
      <c r="R195" s="27">
        <v>1343649.9281656726</v>
      </c>
      <c r="S195" s="22">
        <v>2.8790286069245953E-3</v>
      </c>
      <c r="T195" s="23">
        <v>1</v>
      </c>
      <c r="U195" s="28">
        <v>1412144.4489067451</v>
      </c>
      <c r="V195" s="24">
        <v>2.9770200124899812E-3</v>
      </c>
      <c r="W195" s="23">
        <v>0</v>
      </c>
      <c r="X195" s="28">
        <v>1207799.238031311</v>
      </c>
      <c r="Y195" s="24">
        <v>2.4907825789051408E-3</v>
      </c>
      <c r="Z195" s="23">
        <v>1</v>
      </c>
      <c r="AA195" s="28">
        <v>1395101.3273656704</v>
      </c>
      <c r="AB195" s="24">
        <v>2.920080249230521E-3</v>
      </c>
    </row>
    <row r="196" spans="1:28" x14ac:dyDescent="0.25">
      <c r="A196" t="s">
        <v>4819</v>
      </c>
      <c r="B196" t="s">
        <v>7348</v>
      </c>
      <c r="C196" t="s">
        <v>4821</v>
      </c>
      <c r="D196" s="9" t="s">
        <v>4820</v>
      </c>
      <c r="E196" s="9" t="s">
        <v>2736</v>
      </c>
      <c r="H196" t="s">
        <v>2148</v>
      </c>
      <c r="I196" s="17">
        <v>-1.07929489692611</v>
      </c>
      <c r="J196" s="17">
        <v>0.80060224496034504</v>
      </c>
      <c r="K196" s="21">
        <v>12</v>
      </c>
      <c r="L196" s="27">
        <v>46538117.368923202</v>
      </c>
      <c r="M196" s="22">
        <v>0.14065749719395698</v>
      </c>
      <c r="N196" s="21">
        <v>11</v>
      </c>
      <c r="O196" s="27">
        <v>81651723.635019839</v>
      </c>
      <c r="P196" s="22">
        <v>0.24894663726959798</v>
      </c>
      <c r="Q196" s="21">
        <v>15</v>
      </c>
      <c r="R196" s="27">
        <v>46046145.271931835</v>
      </c>
      <c r="S196" s="22">
        <v>0.14121395414692636</v>
      </c>
      <c r="T196" s="23">
        <v>13</v>
      </c>
      <c r="U196" s="28">
        <v>49487867.337676384</v>
      </c>
      <c r="V196" s="24">
        <v>0.14932270789942118</v>
      </c>
      <c r="W196" s="23">
        <v>12</v>
      </c>
      <c r="X196" s="28">
        <v>68844050.779097542</v>
      </c>
      <c r="Y196" s="24">
        <v>0.20320386876070443</v>
      </c>
      <c r="Z196" s="23">
        <v>12</v>
      </c>
      <c r="AA196" s="28">
        <v>56319717.332850359</v>
      </c>
      <c r="AB196" s="24">
        <v>0.16872288351580969</v>
      </c>
    </row>
    <row r="197" spans="1:28" x14ac:dyDescent="0.25">
      <c r="A197" t="s">
        <v>4397</v>
      </c>
      <c r="B197" t="s">
        <v>7205</v>
      </c>
      <c r="C197" t="s">
        <v>4399</v>
      </c>
      <c r="D197" s="9" t="s">
        <v>4398</v>
      </c>
      <c r="E197" s="9" t="s">
        <v>2736</v>
      </c>
      <c r="H197" t="s">
        <v>172</v>
      </c>
      <c r="I197" s="17">
        <v>-1.0816219715236099</v>
      </c>
      <c r="J197" s="17">
        <v>8.15092816969374E-2</v>
      </c>
      <c r="K197" s="21">
        <v>12</v>
      </c>
      <c r="L197" s="27">
        <v>9803179.2469574604</v>
      </c>
      <c r="M197" s="22">
        <v>1.0350624062805933E-2</v>
      </c>
      <c r="N197" s="21">
        <v>9</v>
      </c>
      <c r="O197" s="27">
        <v>11029169.255076066</v>
      </c>
      <c r="P197" s="22">
        <v>1.1747061042019093E-2</v>
      </c>
      <c r="Q197" s="21">
        <v>14</v>
      </c>
      <c r="R197" s="27">
        <v>10717949.72189521</v>
      </c>
      <c r="S197" s="22">
        <v>1.1482635175310002E-2</v>
      </c>
      <c r="T197" s="23">
        <v>8</v>
      </c>
      <c r="U197" s="28">
        <v>9330023.3499896005</v>
      </c>
      <c r="V197" s="24">
        <v>9.8345697748630622E-3</v>
      </c>
      <c r="W197" s="23">
        <v>6</v>
      </c>
      <c r="X197" s="28">
        <v>11374887.913493922</v>
      </c>
      <c r="Y197" s="24">
        <v>1.1728924708592514E-2</v>
      </c>
      <c r="Z197" s="23">
        <v>7</v>
      </c>
      <c r="AA197" s="28">
        <v>10932371.26883583</v>
      </c>
      <c r="AB197" s="24">
        <v>1.1441248314078648E-2</v>
      </c>
    </row>
    <row r="198" spans="1:28" x14ac:dyDescent="0.25">
      <c r="A198" t="s">
        <v>4697</v>
      </c>
      <c r="B198" t="s">
        <v>7308</v>
      </c>
      <c r="C198" t="s">
        <v>4700</v>
      </c>
      <c r="D198" s="9" t="s">
        <v>4698</v>
      </c>
      <c r="E198" s="9" t="s">
        <v>2736</v>
      </c>
      <c r="G198" t="s">
        <v>4699</v>
      </c>
      <c r="I198" s="17">
        <v>-1.0820968291625099</v>
      </c>
      <c r="J198" s="17">
        <v>0.28774388375780902</v>
      </c>
      <c r="K198" s="21">
        <v>4</v>
      </c>
      <c r="L198" s="27">
        <v>25055214.9580222</v>
      </c>
      <c r="M198" s="22">
        <v>0.12885847227535083</v>
      </c>
      <c r="N198" s="21">
        <v>4</v>
      </c>
      <c r="O198" s="27">
        <v>27277605.073174048</v>
      </c>
      <c r="P198" s="22">
        <v>0.14151677234411436</v>
      </c>
      <c r="Q198" s="21">
        <v>4</v>
      </c>
      <c r="R198" s="27">
        <v>25614197.301796164</v>
      </c>
      <c r="S198" s="22">
        <v>0.13366750916060779</v>
      </c>
      <c r="T198" s="23">
        <v>5</v>
      </c>
      <c r="U198" s="28">
        <v>26559276.709643617</v>
      </c>
      <c r="V198" s="24">
        <v>0.13636538169472789</v>
      </c>
      <c r="W198" s="23">
        <v>4</v>
      </c>
      <c r="X198" s="28">
        <v>28599661.085950337</v>
      </c>
      <c r="Y198" s="24">
        <v>0.14364390818484793</v>
      </c>
      <c r="Z198" s="23">
        <v>5</v>
      </c>
      <c r="AA198" s="28">
        <v>22944509.030643947</v>
      </c>
      <c r="AB198" s="24">
        <v>0.1169642288237305</v>
      </c>
    </row>
    <row r="199" spans="1:28" x14ac:dyDescent="0.25">
      <c r="A199" t="s">
        <v>4731</v>
      </c>
      <c r="B199" t="s">
        <v>7319</v>
      </c>
      <c r="C199" t="s">
        <v>4734</v>
      </c>
      <c r="D199" s="9" t="s">
        <v>4732</v>
      </c>
      <c r="E199" s="9" t="s">
        <v>2736</v>
      </c>
      <c r="G199" t="s">
        <v>4733</v>
      </c>
      <c r="H199" t="s">
        <v>1055</v>
      </c>
      <c r="I199" s="17">
        <v>-1.08238632268517</v>
      </c>
      <c r="J199" s="17">
        <v>0.395981422580577</v>
      </c>
      <c r="K199" s="21">
        <v>37</v>
      </c>
      <c r="L199" s="27">
        <v>89705037.864721403</v>
      </c>
      <c r="M199" s="22">
        <v>0.11893461955211453</v>
      </c>
      <c r="N199" s="21">
        <v>24</v>
      </c>
      <c r="O199" s="27">
        <v>94285753.496866241</v>
      </c>
      <c r="P199" s="22">
        <v>0.12610269331629334</v>
      </c>
      <c r="Q199" s="21">
        <v>40</v>
      </c>
      <c r="R199" s="27">
        <v>83495274.455177471</v>
      </c>
      <c r="S199" s="22">
        <v>0.11232685777537639</v>
      </c>
      <c r="T199" s="23">
        <v>32</v>
      </c>
      <c r="U199" s="28">
        <v>90058268.637324616</v>
      </c>
      <c r="V199" s="24">
        <v>0.11920324852973284</v>
      </c>
      <c r="W199" s="23">
        <v>27</v>
      </c>
      <c r="X199" s="28">
        <v>85388428.940132111</v>
      </c>
      <c r="Y199" s="24">
        <v>0.11056099992651749</v>
      </c>
      <c r="Z199" s="23">
        <v>33</v>
      </c>
      <c r="AA199" s="28">
        <v>92037847.360807836</v>
      </c>
      <c r="AB199" s="24">
        <v>0.12095319757313464</v>
      </c>
    </row>
    <row r="200" spans="1:28" x14ac:dyDescent="0.25">
      <c r="A200" t="s">
        <v>4377</v>
      </c>
      <c r="B200" t="s">
        <v>7199</v>
      </c>
      <c r="C200" t="s">
        <v>4379</v>
      </c>
      <c r="D200" s="9" t="s">
        <v>4378</v>
      </c>
      <c r="E200" s="9" t="s">
        <v>2736</v>
      </c>
      <c r="H200" t="s">
        <v>2800</v>
      </c>
      <c r="I200" s="17">
        <v>-1.08283648513593</v>
      </c>
      <c r="J200" s="17">
        <v>0.84702925311511901</v>
      </c>
      <c r="K200" s="21">
        <v>2</v>
      </c>
      <c r="L200" s="27">
        <v>568391.25599191699</v>
      </c>
      <c r="M200" s="22">
        <v>9.2943561762697132E-4</v>
      </c>
      <c r="N200" s="21">
        <v>1</v>
      </c>
      <c r="O200" s="27">
        <v>423499.60993657674</v>
      </c>
      <c r="P200" s="22">
        <v>6.985729585072992E-4</v>
      </c>
      <c r="Q200" s="21">
        <v>3</v>
      </c>
      <c r="R200" s="27">
        <v>898100.07316032297</v>
      </c>
      <c r="S200" s="22">
        <v>1.4901394576860513E-3</v>
      </c>
      <c r="T200" s="23">
        <v>2</v>
      </c>
      <c r="U200" s="28">
        <v>676581.36356374412</v>
      </c>
      <c r="V200" s="24">
        <v>1.1044981629178274E-3</v>
      </c>
      <c r="W200" s="23">
        <v>1</v>
      </c>
      <c r="X200" s="28">
        <v>493196.15840991458</v>
      </c>
      <c r="Y200" s="24">
        <v>7.8759525191330454E-4</v>
      </c>
      <c r="Z200" s="23">
        <v>0</v>
      </c>
      <c r="AA200" s="28">
        <v>699676.40970605228</v>
      </c>
      <c r="AB200" s="24">
        <v>1.1340405979875757E-3</v>
      </c>
    </row>
    <row r="201" spans="1:28" x14ac:dyDescent="0.25">
      <c r="A201" t="s">
        <v>4539</v>
      </c>
      <c r="B201" t="s">
        <v>7254</v>
      </c>
      <c r="C201" t="s">
        <v>4541</v>
      </c>
      <c r="D201" s="9" t="s">
        <v>4540</v>
      </c>
      <c r="E201" s="9" t="s">
        <v>2736</v>
      </c>
      <c r="H201" t="s">
        <v>2737</v>
      </c>
      <c r="I201" s="17">
        <v>-1.0849244711078301</v>
      </c>
      <c r="J201" s="17">
        <v>0.63684230516847995</v>
      </c>
      <c r="K201" s="21">
        <v>6</v>
      </c>
      <c r="L201" s="27">
        <v>2972949.98562221</v>
      </c>
      <c r="M201" s="22">
        <v>8.2075238495923752E-3</v>
      </c>
      <c r="N201" s="21">
        <v>2</v>
      </c>
      <c r="O201" s="27">
        <v>2255096.8834246276</v>
      </c>
      <c r="P201" s="22">
        <v>6.2802450154438791E-3</v>
      </c>
      <c r="Q201" s="21">
        <v>4</v>
      </c>
      <c r="R201" s="27">
        <v>3164955.3427522229</v>
      </c>
      <c r="S201" s="22">
        <v>8.8658911815534848E-3</v>
      </c>
      <c r="T201" s="23">
        <v>2</v>
      </c>
      <c r="U201" s="28">
        <v>2687205.2016629726</v>
      </c>
      <c r="V201" s="24">
        <v>7.4062509862562742E-3</v>
      </c>
      <c r="W201" s="23">
        <v>0</v>
      </c>
      <c r="X201" s="28">
        <v>2775896.7460640245</v>
      </c>
      <c r="Y201" s="24">
        <v>7.4840958180340637E-3</v>
      </c>
      <c r="Z201" s="23">
        <v>1</v>
      </c>
      <c r="AA201" s="28">
        <v>2946288.5023116609</v>
      </c>
      <c r="AB201" s="24">
        <v>8.0623058406735851E-3</v>
      </c>
    </row>
    <row r="202" spans="1:28" x14ac:dyDescent="0.25">
      <c r="A202" t="s">
        <v>4806</v>
      </c>
      <c r="B202" t="s">
        <v>7344</v>
      </c>
      <c r="C202" t="s">
        <v>4808</v>
      </c>
      <c r="D202" s="9" t="s">
        <v>4807</v>
      </c>
      <c r="E202" s="9" t="s">
        <v>2736</v>
      </c>
      <c r="H202" t="s">
        <v>2148</v>
      </c>
      <c r="I202" s="17">
        <v>-1.0909159512162401</v>
      </c>
      <c r="J202" s="17">
        <v>0.77615336104292898</v>
      </c>
      <c r="K202" s="21">
        <v>4</v>
      </c>
      <c r="L202" s="27">
        <v>28113476.7500505</v>
      </c>
      <c r="M202" s="22">
        <v>0.13791380330732747</v>
      </c>
      <c r="N202" s="21">
        <v>4</v>
      </c>
      <c r="O202" s="27">
        <v>48032030.764964879</v>
      </c>
      <c r="P202" s="22">
        <v>0.23769002648871498</v>
      </c>
      <c r="Q202" s="21">
        <v>4</v>
      </c>
      <c r="R202" s="27">
        <v>26126037.772831015</v>
      </c>
      <c r="S202" s="22">
        <v>0.1300459968385124</v>
      </c>
      <c r="T202" s="23">
        <v>4</v>
      </c>
      <c r="U202" s="28">
        <v>30287819.360730045</v>
      </c>
      <c r="V202" s="24">
        <v>0.14833178673371003</v>
      </c>
      <c r="W202" s="23">
        <v>4</v>
      </c>
      <c r="X202" s="28">
        <v>37817209.724652961</v>
      </c>
      <c r="Y202" s="24">
        <v>0.18117327747912701</v>
      </c>
      <c r="Z202" s="23">
        <v>4</v>
      </c>
      <c r="AA202" s="28">
        <v>33173128.079423781</v>
      </c>
      <c r="AB202" s="24">
        <v>0.16130173955748892</v>
      </c>
    </row>
    <row r="203" spans="1:28" x14ac:dyDescent="0.25">
      <c r="A203" t="s">
        <v>4674</v>
      </c>
      <c r="B203" t="s">
        <v>7300</v>
      </c>
      <c r="C203" t="s">
        <v>4676</v>
      </c>
      <c r="D203" s="9" t="s">
        <v>4675</v>
      </c>
      <c r="E203" s="9" t="s">
        <v>2736</v>
      </c>
      <c r="H203" t="s">
        <v>2287</v>
      </c>
      <c r="I203" s="17">
        <v>-1.0909997261774</v>
      </c>
      <c r="J203" s="17">
        <v>0.239393210805737</v>
      </c>
      <c r="K203" s="21">
        <v>33</v>
      </c>
      <c r="L203" s="27">
        <v>81945610.394245505</v>
      </c>
      <c r="M203" s="22">
        <v>0.16749723057333116</v>
      </c>
      <c r="N203" s="21">
        <v>18</v>
      </c>
      <c r="O203" s="27">
        <v>103143285.95363821</v>
      </c>
      <c r="P203" s="22">
        <v>0.21267171423601805</v>
      </c>
      <c r="Q203" s="21">
        <v>33</v>
      </c>
      <c r="R203" s="27">
        <v>86006619.612700686</v>
      </c>
      <c r="S203" s="22">
        <v>0.17837914356260395</v>
      </c>
      <c r="T203" s="23">
        <v>32</v>
      </c>
      <c r="U203" s="28">
        <v>89618060.307908237</v>
      </c>
      <c r="V203" s="24">
        <v>0.18287339170298111</v>
      </c>
      <c r="W203" s="23">
        <v>19</v>
      </c>
      <c r="X203" s="28">
        <v>94418021.517590046</v>
      </c>
      <c r="Y203" s="24">
        <v>0.1884726395731979</v>
      </c>
      <c r="Z203" s="23">
        <v>26</v>
      </c>
      <c r="AA203" s="28">
        <v>84454377.047238335</v>
      </c>
      <c r="AB203" s="24">
        <v>0.17110533333822697</v>
      </c>
    </row>
    <row r="204" spans="1:28" x14ac:dyDescent="0.25">
      <c r="A204" t="s">
        <v>4647</v>
      </c>
      <c r="B204" t="s">
        <v>7291</v>
      </c>
      <c r="C204" t="s">
        <v>4649</v>
      </c>
      <c r="D204" s="9" t="s">
        <v>4648</v>
      </c>
      <c r="E204" s="9" t="s">
        <v>2736</v>
      </c>
      <c r="H204" t="s">
        <v>2148</v>
      </c>
      <c r="I204" s="17">
        <v>-1.0923507196748099</v>
      </c>
      <c r="J204" s="17">
        <v>0.17722393778936199</v>
      </c>
      <c r="K204" s="21">
        <v>28</v>
      </c>
      <c r="L204" s="27">
        <v>38681020.906391501</v>
      </c>
      <c r="M204" s="22">
        <v>3.818580408891125E-2</v>
      </c>
      <c r="N204" s="21">
        <v>23</v>
      </c>
      <c r="O204" s="27">
        <v>47706345.308804572</v>
      </c>
      <c r="P204" s="22">
        <v>4.7508026712660113E-2</v>
      </c>
      <c r="Q204" s="21">
        <v>29</v>
      </c>
      <c r="R204" s="27">
        <v>42212510.106887884</v>
      </c>
      <c r="S204" s="22">
        <v>4.2283940157998086E-2</v>
      </c>
      <c r="T204" s="23">
        <v>28</v>
      </c>
      <c r="U204" s="28">
        <v>42005276.986283392</v>
      </c>
      <c r="V204" s="24">
        <v>4.1398147610764595E-2</v>
      </c>
      <c r="W204" s="23">
        <v>24</v>
      </c>
      <c r="X204" s="28">
        <v>41994645.658389039</v>
      </c>
      <c r="Y204" s="24">
        <v>4.0486423561983106E-2</v>
      </c>
      <c r="Z204" s="23">
        <v>25</v>
      </c>
      <c r="AA204" s="28">
        <v>42983784.733409271</v>
      </c>
      <c r="AB204" s="24">
        <v>4.2059888055116595E-2</v>
      </c>
    </row>
    <row r="205" spans="1:28" x14ac:dyDescent="0.25">
      <c r="A205" t="s">
        <v>4748</v>
      </c>
      <c r="B205" t="s">
        <v>7324</v>
      </c>
      <c r="C205" t="s">
        <v>4750</v>
      </c>
      <c r="D205" s="9" t="s">
        <v>4749</v>
      </c>
      <c r="E205" s="9" t="s">
        <v>2736</v>
      </c>
      <c r="H205" t="s">
        <v>17</v>
      </c>
      <c r="I205" s="17">
        <v>-1.1007525137767</v>
      </c>
      <c r="J205" s="17">
        <v>0.479602670164748</v>
      </c>
      <c r="K205" s="21">
        <v>27</v>
      </c>
      <c r="L205" s="27">
        <v>68704630.012125403</v>
      </c>
      <c r="M205" s="22">
        <v>8.8874181924265577E-2</v>
      </c>
      <c r="N205" s="21">
        <v>21</v>
      </c>
      <c r="O205" s="27">
        <v>56551894.332264058</v>
      </c>
      <c r="P205" s="22">
        <v>7.3794433054914982E-2</v>
      </c>
      <c r="Q205" s="21">
        <v>29</v>
      </c>
      <c r="R205" s="27">
        <v>72650658.365682408</v>
      </c>
      <c r="S205" s="22">
        <v>9.5358503058087837E-2</v>
      </c>
      <c r="T205" s="23">
        <v>19</v>
      </c>
      <c r="U205" s="28">
        <v>68436035.858750075</v>
      </c>
      <c r="V205" s="24">
        <v>8.8378677772785019E-2</v>
      </c>
      <c r="W205" s="23">
        <v>19</v>
      </c>
      <c r="X205" s="28">
        <v>63690868.710623689</v>
      </c>
      <c r="Y205" s="24">
        <v>8.0459673217876754E-2</v>
      </c>
      <c r="Z205" s="23">
        <v>22</v>
      </c>
      <c r="AA205" s="28">
        <v>62762366.461919114</v>
      </c>
      <c r="AB205" s="24">
        <v>8.0472662203714448E-2</v>
      </c>
    </row>
    <row r="206" spans="1:28" x14ac:dyDescent="0.25">
      <c r="A206" t="s">
        <v>4274</v>
      </c>
      <c r="B206" t="s">
        <v>7165</v>
      </c>
      <c r="C206" t="s">
        <v>4276</v>
      </c>
      <c r="D206" s="9" t="s">
        <v>4275</v>
      </c>
      <c r="E206" s="9" t="s">
        <v>2736</v>
      </c>
      <c r="H206" t="s">
        <v>2148</v>
      </c>
      <c r="I206" s="17">
        <v>-1.1010354839333401</v>
      </c>
      <c r="J206" s="17">
        <v>0.30972934617145398</v>
      </c>
      <c r="K206" s="21">
        <v>10</v>
      </c>
      <c r="L206" s="27">
        <v>9542369.9676242992</v>
      </c>
      <c r="M206" s="22">
        <v>1.1839399131779624E-2</v>
      </c>
      <c r="N206" s="21">
        <v>3</v>
      </c>
      <c r="O206" s="27">
        <v>9554681.2033905648</v>
      </c>
      <c r="P206" s="22">
        <v>1.195849275662551E-2</v>
      </c>
      <c r="Q206" s="21">
        <v>9</v>
      </c>
      <c r="R206" s="27">
        <v>10684630.80509714</v>
      </c>
      <c r="S206" s="22">
        <v>1.3451266933243675E-2</v>
      </c>
      <c r="T206" s="23">
        <v>7</v>
      </c>
      <c r="U206" s="28">
        <v>10317468.567409333</v>
      </c>
      <c r="V206" s="24">
        <v>1.2779669113388525E-2</v>
      </c>
      <c r="W206" s="23">
        <v>3</v>
      </c>
      <c r="X206" s="28">
        <v>9076434.5399609543</v>
      </c>
      <c r="Y206" s="24">
        <v>1.099765703621507E-2</v>
      </c>
      <c r="Z206" s="23">
        <v>5</v>
      </c>
      <c r="AA206" s="28">
        <v>9779061.9625842776</v>
      </c>
      <c r="AB206" s="24">
        <v>1.2026245268907158E-2</v>
      </c>
    </row>
    <row r="207" spans="1:28" x14ac:dyDescent="0.25">
      <c r="A207" t="s">
        <v>4785</v>
      </c>
      <c r="B207" t="s">
        <v>7337</v>
      </c>
      <c r="C207" t="s">
        <v>4787</v>
      </c>
      <c r="D207" s="9" t="s">
        <v>4786</v>
      </c>
      <c r="E207" s="9" t="s">
        <v>2736</v>
      </c>
      <c r="H207" t="s">
        <v>2148</v>
      </c>
      <c r="I207" s="17">
        <v>-1.1032742409985701</v>
      </c>
      <c r="J207" s="17">
        <v>0.64743339254676802</v>
      </c>
      <c r="K207" s="21">
        <v>18</v>
      </c>
      <c r="L207" s="27">
        <v>62120718.129688002</v>
      </c>
      <c r="M207" s="22">
        <v>0.19611988431322327</v>
      </c>
      <c r="N207" s="21">
        <v>8</v>
      </c>
      <c r="O207" s="27">
        <v>77070547.874298468</v>
      </c>
      <c r="P207" s="22">
        <v>0.24544853226983429</v>
      </c>
      <c r="Q207" s="21">
        <v>12</v>
      </c>
      <c r="R207" s="27">
        <v>47094654.186170839</v>
      </c>
      <c r="S207" s="22">
        <v>0.15086449129424273</v>
      </c>
      <c r="T207" s="23">
        <v>15</v>
      </c>
      <c r="U207" s="28">
        <v>62361872.742393799</v>
      </c>
      <c r="V207" s="24">
        <v>0.19655194833267786</v>
      </c>
      <c r="W207" s="23">
        <v>11</v>
      </c>
      <c r="X207" s="28">
        <v>63436550.883214809</v>
      </c>
      <c r="Y207" s="24">
        <v>0.19558529687955664</v>
      </c>
      <c r="Z207" s="23">
        <v>11</v>
      </c>
      <c r="AA207" s="28">
        <v>57282508.126835316</v>
      </c>
      <c r="AB207" s="24">
        <v>0.17925308296412337</v>
      </c>
    </row>
    <row r="208" spans="1:28" x14ac:dyDescent="0.25">
      <c r="A208" t="s">
        <v>4855</v>
      </c>
      <c r="B208" t="s">
        <v>7360</v>
      </c>
      <c r="C208" t="s">
        <v>4857</v>
      </c>
      <c r="D208" s="9" t="s">
        <v>4856</v>
      </c>
      <c r="E208" s="9" t="s">
        <v>2736</v>
      </c>
      <c r="H208" t="s">
        <v>2148</v>
      </c>
      <c r="I208" s="17">
        <v>-1.1062614734187799</v>
      </c>
      <c r="J208" s="17">
        <v>0.93192433460354396</v>
      </c>
      <c r="K208" s="21">
        <v>12</v>
      </c>
      <c r="L208" s="27">
        <v>21548255.556569699</v>
      </c>
      <c r="M208" s="22">
        <v>7.3486411641289731E-2</v>
      </c>
      <c r="N208" s="21">
        <v>3</v>
      </c>
      <c r="O208" s="27">
        <v>9830684.852992177</v>
      </c>
      <c r="P208" s="22">
        <v>3.3819371314824036E-2</v>
      </c>
      <c r="Q208" s="21">
        <v>15</v>
      </c>
      <c r="R208" s="27">
        <v>22650886.456670709</v>
      </c>
      <c r="S208" s="22">
        <v>7.8380925360110959E-2</v>
      </c>
      <c r="T208" s="23">
        <v>8</v>
      </c>
      <c r="U208" s="28">
        <v>18254771.600108147</v>
      </c>
      <c r="V208" s="24">
        <v>6.2150463365604161E-2</v>
      </c>
      <c r="W208" s="23">
        <v>5</v>
      </c>
      <c r="X208" s="28">
        <v>17563552.473895546</v>
      </c>
      <c r="Y208" s="24">
        <v>5.8495002951383643E-2</v>
      </c>
      <c r="Z208" s="23">
        <v>8</v>
      </c>
      <c r="AA208" s="28">
        <v>17527700.432968136</v>
      </c>
      <c r="AB208" s="24">
        <v>5.9248766526025634E-2</v>
      </c>
    </row>
    <row r="209" spans="1:28" x14ac:dyDescent="0.25">
      <c r="A209" t="s">
        <v>4400</v>
      </c>
      <c r="B209" t="s">
        <v>7206</v>
      </c>
      <c r="C209" t="s">
        <v>4402</v>
      </c>
      <c r="D209" s="9" t="s">
        <v>4401</v>
      </c>
      <c r="E209" s="9" t="s">
        <v>2736</v>
      </c>
      <c r="H209" t="s">
        <v>172</v>
      </c>
      <c r="I209" s="17">
        <v>-1.1089116825662999</v>
      </c>
      <c r="J209" s="17">
        <v>0.68018685618781405</v>
      </c>
      <c r="K209" s="21">
        <v>17</v>
      </c>
      <c r="L209" s="27">
        <v>34178695.874353699</v>
      </c>
      <c r="M209" s="22">
        <v>4.8437252880787839E-2</v>
      </c>
      <c r="N209" s="21">
        <v>8</v>
      </c>
      <c r="O209" s="27">
        <v>23068314.264073145</v>
      </c>
      <c r="P209" s="22">
        <v>3.2978181820656996E-2</v>
      </c>
      <c r="Q209" s="21">
        <v>17</v>
      </c>
      <c r="R209" s="27">
        <v>37784487.431566343</v>
      </c>
      <c r="S209" s="22">
        <v>5.4333516186541371E-2</v>
      </c>
      <c r="T209" s="23">
        <v>15</v>
      </c>
      <c r="U209" s="28">
        <v>32355112.637666237</v>
      </c>
      <c r="V209" s="24">
        <v>4.5776225114439191E-2</v>
      </c>
      <c r="W209" s="23">
        <v>12</v>
      </c>
      <c r="X209" s="28">
        <v>31124185.998789594</v>
      </c>
      <c r="Y209" s="24">
        <v>4.3075814632928928E-2</v>
      </c>
      <c r="Z209" s="23">
        <v>13</v>
      </c>
      <c r="AA209" s="28">
        <v>29644884.735034809</v>
      </c>
      <c r="AB209" s="24">
        <v>4.164215824113135E-2</v>
      </c>
    </row>
    <row r="210" spans="1:28" x14ac:dyDescent="0.25">
      <c r="A210" t="s">
        <v>4738</v>
      </c>
      <c r="B210" t="s">
        <v>7321</v>
      </c>
      <c r="C210" t="s">
        <v>4740</v>
      </c>
      <c r="D210" s="9" t="s">
        <v>4739</v>
      </c>
      <c r="E210" s="9" t="s">
        <v>2736</v>
      </c>
      <c r="H210" t="s">
        <v>2148</v>
      </c>
      <c r="I210" s="17">
        <v>-1.11150215881871</v>
      </c>
      <c r="J210" s="17">
        <v>0.430888176636614</v>
      </c>
      <c r="K210" s="21">
        <v>15</v>
      </c>
      <c r="L210" s="27">
        <v>68512300.436077401</v>
      </c>
      <c r="M210" s="22">
        <v>0.2440911588700265</v>
      </c>
      <c r="N210" s="21">
        <v>13</v>
      </c>
      <c r="O210" s="27">
        <v>79312649.873482943</v>
      </c>
      <c r="P210" s="22">
        <v>0.28504458278875378</v>
      </c>
      <c r="Q210" s="21">
        <v>13</v>
      </c>
      <c r="R210" s="27">
        <v>57889501.084145211</v>
      </c>
      <c r="S210" s="22">
        <v>0.20927317609930693</v>
      </c>
      <c r="T210" s="23">
        <v>14</v>
      </c>
      <c r="U210" s="28">
        <v>60855665.835625932</v>
      </c>
      <c r="V210" s="24">
        <v>0.21644998568705096</v>
      </c>
      <c r="W210" s="23">
        <v>12</v>
      </c>
      <c r="X210" s="28">
        <v>78110394.76707831</v>
      </c>
      <c r="Y210" s="24">
        <v>0.27177143836831785</v>
      </c>
      <c r="Z210" s="23">
        <v>11</v>
      </c>
      <c r="AA210" s="28">
        <v>62767744.684999287</v>
      </c>
      <c r="AB210" s="24">
        <v>0.22165598950272206</v>
      </c>
    </row>
    <row r="211" spans="1:28" x14ac:dyDescent="0.25">
      <c r="A211" t="s">
        <v>4611</v>
      </c>
      <c r="B211" t="s">
        <v>7279</v>
      </c>
      <c r="C211" t="s">
        <v>4613</v>
      </c>
      <c r="D211" s="9" t="s">
        <v>4612</v>
      </c>
      <c r="E211" s="9" t="s">
        <v>2736</v>
      </c>
      <c r="H211" t="s">
        <v>2148</v>
      </c>
      <c r="I211" s="17">
        <v>-1.1147911885786299</v>
      </c>
      <c r="J211" s="17">
        <v>0.10456335253192001</v>
      </c>
      <c r="K211" s="21">
        <v>24</v>
      </c>
      <c r="L211" s="27">
        <v>39930888.262745596</v>
      </c>
      <c r="M211" s="22">
        <v>5.1548799126114528E-2</v>
      </c>
      <c r="N211" s="21">
        <v>20</v>
      </c>
      <c r="O211" s="27">
        <v>42727380.562349975</v>
      </c>
      <c r="P211" s="22">
        <v>5.56419936748705E-2</v>
      </c>
      <c r="Q211" s="21">
        <v>23</v>
      </c>
      <c r="R211" s="27">
        <v>42033071.085952535</v>
      </c>
      <c r="S211" s="22">
        <v>5.5059335190577298E-2</v>
      </c>
      <c r="T211" s="23">
        <v>16</v>
      </c>
      <c r="U211" s="28">
        <v>41210572.362083033</v>
      </c>
      <c r="V211" s="24">
        <v>5.3111830708526743E-2</v>
      </c>
      <c r="W211" s="23">
        <v>14</v>
      </c>
      <c r="X211" s="28">
        <v>40103726.032729954</v>
      </c>
      <c r="Y211" s="24">
        <v>5.055985118510576E-2</v>
      </c>
      <c r="Z211" s="23">
        <v>17</v>
      </c>
      <c r="AA211" s="28">
        <v>39598973.178536132</v>
      </c>
      <c r="AB211" s="24">
        <v>5.0670239090217062E-2</v>
      </c>
    </row>
    <row r="212" spans="1:28" x14ac:dyDescent="0.25">
      <c r="A212" t="s">
        <v>4751</v>
      </c>
      <c r="B212" t="s">
        <v>7325</v>
      </c>
      <c r="C212" t="s">
        <v>4753</v>
      </c>
      <c r="D212" s="9" t="s">
        <v>4752</v>
      </c>
      <c r="E212" s="9" t="s">
        <v>2736</v>
      </c>
      <c r="H212" t="s">
        <v>2148</v>
      </c>
      <c r="I212" s="17">
        <v>-1.11856746410403</v>
      </c>
      <c r="J212" s="17">
        <v>0.50574140419585301</v>
      </c>
      <c r="K212" s="21">
        <v>112</v>
      </c>
      <c r="L212" s="27">
        <v>888711569.47463906</v>
      </c>
      <c r="M212" s="22">
        <v>1.4204451507695064</v>
      </c>
      <c r="N212" s="21">
        <v>70</v>
      </c>
      <c r="O212" s="27">
        <v>722360375.6264323</v>
      </c>
      <c r="P212" s="22">
        <v>1.1646740043805928</v>
      </c>
      <c r="Q212" s="21">
        <v>121</v>
      </c>
      <c r="R212" s="27">
        <v>1036593678.9072828</v>
      </c>
      <c r="S212" s="22">
        <v>1.6811344598883198</v>
      </c>
      <c r="T212" s="23">
        <v>87</v>
      </c>
      <c r="U212" s="28">
        <v>908441899.30810797</v>
      </c>
      <c r="V212" s="24">
        <v>1.4495521179985658</v>
      </c>
      <c r="W212" s="23">
        <v>82</v>
      </c>
      <c r="X212" s="28">
        <v>774661456.52447259</v>
      </c>
      <c r="Y212" s="24">
        <v>1.2091691645850025</v>
      </c>
      <c r="Z212" s="23">
        <v>90</v>
      </c>
      <c r="AA212" s="28">
        <v>873179993.46902025</v>
      </c>
      <c r="AB212" s="24">
        <v>1.3833333864228896</v>
      </c>
    </row>
    <row r="213" spans="1:28" x14ac:dyDescent="0.25">
      <c r="A213" t="s">
        <v>4523</v>
      </c>
      <c r="B213" t="s">
        <v>7248</v>
      </c>
      <c r="C213" t="s">
        <v>4524</v>
      </c>
      <c r="D213" s="9" t="s">
        <v>4514</v>
      </c>
      <c r="E213" s="9" t="s">
        <v>2736</v>
      </c>
      <c r="H213" t="s">
        <v>2127</v>
      </c>
      <c r="I213" s="17">
        <v>-1.12460062707191</v>
      </c>
      <c r="J213" s="17">
        <v>0.48326031278877202</v>
      </c>
      <c r="K213" s="21">
        <v>3</v>
      </c>
      <c r="L213" s="27">
        <v>1119505.83563407</v>
      </c>
      <c r="M213" s="22">
        <v>1.5222642537091175E-3</v>
      </c>
      <c r="N213" s="21">
        <v>1</v>
      </c>
      <c r="O213" s="27">
        <v>977758.53684265038</v>
      </c>
      <c r="P213" s="22">
        <v>1.3411647688172602E-3</v>
      </c>
      <c r="Q213" s="21">
        <v>2</v>
      </c>
      <c r="R213" s="27">
        <v>1193075.5700432609</v>
      </c>
      <c r="S213" s="22">
        <v>1.6461215488510128E-3</v>
      </c>
      <c r="T213" s="23">
        <v>1</v>
      </c>
      <c r="U213" s="28">
        <v>1184327.1624318426</v>
      </c>
      <c r="V213" s="24">
        <v>1.607712620930145E-3</v>
      </c>
      <c r="W213" s="23">
        <v>0</v>
      </c>
      <c r="X213" s="28">
        <v>823835.66625703464</v>
      </c>
      <c r="Y213" s="24">
        <v>1.0939960611797413E-3</v>
      </c>
      <c r="Z213" s="23">
        <v>1</v>
      </c>
      <c r="AA213" s="28">
        <v>1139700.1138824683</v>
      </c>
      <c r="AB213" s="24">
        <v>1.5360796187521735E-3</v>
      </c>
    </row>
    <row r="214" spans="1:28" x14ac:dyDescent="0.25">
      <c r="A214" t="s">
        <v>4641</v>
      </c>
      <c r="B214" t="s">
        <v>7289</v>
      </c>
      <c r="C214" t="s">
        <v>4643</v>
      </c>
      <c r="D214" s="9" t="s">
        <v>4642</v>
      </c>
      <c r="E214" s="9" t="s">
        <v>2736</v>
      </c>
      <c r="H214" t="s">
        <v>1055</v>
      </c>
      <c r="I214" s="17">
        <v>-1.1248717121948499</v>
      </c>
      <c r="J214" s="17">
        <v>0.16514459154740699</v>
      </c>
      <c r="K214" s="21">
        <v>177</v>
      </c>
      <c r="L214" s="27">
        <v>834603248.89796603</v>
      </c>
      <c r="M214" s="22">
        <v>0.97840283287560759</v>
      </c>
      <c r="N214" s="21">
        <v>122</v>
      </c>
      <c r="O214" s="27">
        <v>976218271.07763219</v>
      </c>
      <c r="P214" s="22">
        <v>1.1544400757791959</v>
      </c>
      <c r="Q214" s="21">
        <v>166</v>
      </c>
      <c r="R214" s="27">
        <v>853636378.10470963</v>
      </c>
      <c r="S214" s="22">
        <v>1.0154085235993542</v>
      </c>
      <c r="T214" s="23">
        <v>146</v>
      </c>
      <c r="U214" s="28">
        <v>894582202.00326896</v>
      </c>
      <c r="V214" s="24">
        <v>1.0469620209134101</v>
      </c>
      <c r="W214" s="23">
        <v>117</v>
      </c>
      <c r="X214" s="28">
        <v>845190535.75417972</v>
      </c>
      <c r="Y214" s="24">
        <v>0.96761755011894834</v>
      </c>
      <c r="Z214" s="23">
        <v>122</v>
      </c>
      <c r="AA214" s="28">
        <v>816959269.21957862</v>
      </c>
      <c r="AB214" s="24">
        <v>0.9492868892587617</v>
      </c>
    </row>
    <row r="215" spans="1:28" x14ac:dyDescent="0.25">
      <c r="A215" t="s">
        <v>4653</v>
      </c>
      <c r="B215" t="s">
        <v>7293</v>
      </c>
      <c r="C215" t="s">
        <v>4655</v>
      </c>
      <c r="D215" s="9" t="s">
        <v>4654</v>
      </c>
      <c r="E215" s="9" t="s">
        <v>2736</v>
      </c>
      <c r="H215" t="s">
        <v>2148</v>
      </c>
      <c r="I215" s="17">
        <v>-1.12608882350296</v>
      </c>
      <c r="J215" s="17">
        <v>0.200805277303479</v>
      </c>
      <c r="K215" s="21">
        <v>17</v>
      </c>
      <c r="L215" s="27">
        <v>39393448.717109203</v>
      </c>
      <c r="M215" s="22">
        <v>0.10511450082531763</v>
      </c>
      <c r="N215" s="21">
        <v>13</v>
      </c>
      <c r="O215" s="27">
        <v>46180370.562112615</v>
      </c>
      <c r="P215" s="22">
        <v>0.12430336202823217</v>
      </c>
      <c r="Q215" s="21">
        <v>19</v>
      </c>
      <c r="R215" s="27">
        <v>36574994.840989135</v>
      </c>
      <c r="S215" s="22">
        <v>9.9026895131003101E-2</v>
      </c>
      <c r="T215" s="23">
        <v>19</v>
      </c>
      <c r="U215" s="28">
        <v>37368059.188450254</v>
      </c>
      <c r="V215" s="24">
        <v>9.9543341490524073E-2</v>
      </c>
      <c r="W215" s="23">
        <v>15</v>
      </c>
      <c r="X215" s="28">
        <v>41933625.226904437</v>
      </c>
      <c r="Y215" s="24">
        <v>0.10927291275388783</v>
      </c>
      <c r="Z215" s="23">
        <v>16</v>
      </c>
      <c r="AA215" s="28">
        <v>38370005.809743308</v>
      </c>
      <c r="AB215" s="24">
        <v>0.10148221595777998</v>
      </c>
    </row>
    <row r="216" spans="1:28" x14ac:dyDescent="0.25">
      <c r="A216" t="s">
        <v>4716</v>
      </c>
      <c r="B216" t="s">
        <v>7314</v>
      </c>
      <c r="C216" t="s">
        <v>4718</v>
      </c>
      <c r="D216" s="9" t="s">
        <v>4717</v>
      </c>
      <c r="E216" s="9" t="s">
        <v>2736</v>
      </c>
      <c r="H216" t="s">
        <v>2148</v>
      </c>
      <c r="I216" s="17">
        <v>-1.1300217035116999</v>
      </c>
      <c r="J216" s="17">
        <v>0.34782027840216301</v>
      </c>
      <c r="K216" s="21">
        <v>26</v>
      </c>
      <c r="L216" s="27">
        <v>25794651.966957498</v>
      </c>
      <c r="M216" s="22">
        <v>2.2879014438600385E-2</v>
      </c>
      <c r="N216" s="21">
        <v>17</v>
      </c>
      <c r="O216" s="27">
        <v>26017576.06675541</v>
      </c>
      <c r="P216" s="22">
        <v>2.3278838384927277E-2</v>
      </c>
      <c r="Q216" s="21">
        <v>26</v>
      </c>
      <c r="R216" s="27">
        <v>29842952.662238598</v>
      </c>
      <c r="S216" s="22">
        <v>2.68583722994464E-2</v>
      </c>
      <c r="T216" s="23">
        <v>21</v>
      </c>
      <c r="U216" s="28">
        <v>27390582.0863427</v>
      </c>
      <c r="V216" s="24">
        <v>2.4253920249745924E-2</v>
      </c>
      <c r="W216" s="23">
        <v>15</v>
      </c>
      <c r="X216" s="28">
        <v>21847120.0905056</v>
      </c>
      <c r="Y216" s="24">
        <v>1.8924016443040915E-2</v>
      </c>
      <c r="Z216" s="23">
        <v>19</v>
      </c>
      <c r="AA216" s="28">
        <v>28465071.476549804</v>
      </c>
      <c r="AB216" s="24">
        <v>2.5025304247319396E-2</v>
      </c>
    </row>
    <row r="217" spans="1:28" x14ac:dyDescent="0.25">
      <c r="A217" t="s">
        <v>4744</v>
      </c>
      <c r="B217" t="s">
        <v>7323</v>
      </c>
      <c r="C217" t="s">
        <v>4747</v>
      </c>
      <c r="D217" s="9" t="s">
        <v>4745</v>
      </c>
      <c r="E217" s="9" t="s">
        <v>2736</v>
      </c>
      <c r="G217" t="s">
        <v>4746</v>
      </c>
      <c r="I217" s="17">
        <v>-1.1303113419850801</v>
      </c>
      <c r="J217" s="17">
        <v>0.46621116228187298</v>
      </c>
      <c r="K217" s="21">
        <v>9</v>
      </c>
      <c r="L217" s="27">
        <v>16440014.6918566</v>
      </c>
      <c r="M217" s="22">
        <v>6.0602791388200301E-2</v>
      </c>
      <c r="N217" s="21">
        <v>8</v>
      </c>
      <c r="O217" s="27">
        <v>22066907.034355819</v>
      </c>
      <c r="P217" s="22">
        <v>8.2057583785584892E-2</v>
      </c>
      <c r="Q217" s="21">
        <v>7</v>
      </c>
      <c r="R217" s="27">
        <v>15012968.264965137</v>
      </c>
      <c r="S217" s="22">
        <v>5.6154847650898294E-2</v>
      </c>
      <c r="T217" s="23">
        <v>8</v>
      </c>
      <c r="U217" s="28">
        <v>15987973.963895136</v>
      </c>
      <c r="V217" s="24">
        <v>5.883786468388285E-2</v>
      </c>
      <c r="W217" s="23">
        <v>10</v>
      </c>
      <c r="X217" s="28">
        <v>21491080.252613738</v>
      </c>
      <c r="Y217" s="24">
        <v>7.736778331871362E-2</v>
      </c>
      <c r="Z217" s="23">
        <v>8</v>
      </c>
      <c r="AA217" s="28">
        <v>14053311.758792792</v>
      </c>
      <c r="AB217" s="24">
        <v>5.1348593884329309E-2</v>
      </c>
    </row>
    <row r="218" spans="1:28" x14ac:dyDescent="0.25">
      <c r="A218" t="s">
        <v>4771</v>
      </c>
      <c r="B218" t="s">
        <v>7332</v>
      </c>
      <c r="C218" t="s">
        <v>4772</v>
      </c>
      <c r="D218" s="9" t="s">
        <v>4554</v>
      </c>
      <c r="E218" s="9" t="s">
        <v>2736</v>
      </c>
      <c r="G218" t="s">
        <v>4733</v>
      </c>
      <c r="H218" t="s">
        <v>1055</v>
      </c>
      <c r="I218" s="17">
        <v>-1.13061525135703</v>
      </c>
      <c r="J218" s="17">
        <v>0.59416906159645</v>
      </c>
      <c r="K218" s="21">
        <v>4</v>
      </c>
      <c r="L218" s="27">
        <v>7309230.0098552899</v>
      </c>
      <c r="M218" s="22">
        <v>1.2530408195886529E-2</v>
      </c>
      <c r="N218" s="21">
        <v>4</v>
      </c>
      <c r="O218" s="27">
        <v>5046645.2629934167</v>
      </c>
      <c r="P218" s="22">
        <v>8.7273662389432925E-3</v>
      </c>
      <c r="Q218" s="21">
        <v>3</v>
      </c>
      <c r="R218" s="27">
        <v>5249925.5069630239</v>
      </c>
      <c r="S218" s="22">
        <v>9.1322331586433589E-3</v>
      </c>
      <c r="T218" s="23">
        <v>4</v>
      </c>
      <c r="U218" s="28">
        <v>5448644.2880791547</v>
      </c>
      <c r="V218" s="24">
        <v>9.3251341917872932E-3</v>
      </c>
      <c r="W218" s="23">
        <v>4</v>
      </c>
      <c r="X218" s="28">
        <v>6600567.9846462738</v>
      </c>
      <c r="Y218" s="24">
        <v>1.1050613253830343E-2</v>
      </c>
      <c r="Z218" s="23">
        <v>4</v>
      </c>
      <c r="AA218" s="28">
        <v>5095968.1947185202</v>
      </c>
      <c r="AB218" s="24">
        <v>8.6592394024709793E-3</v>
      </c>
    </row>
    <row r="219" spans="1:28" x14ac:dyDescent="0.25">
      <c r="A219" t="s">
        <v>4719</v>
      </c>
      <c r="B219" t="s">
        <v>7315</v>
      </c>
      <c r="C219" t="s">
        <v>4722</v>
      </c>
      <c r="D219" s="9" t="s">
        <v>4720</v>
      </c>
      <c r="E219" s="9" t="s">
        <v>2736</v>
      </c>
      <c r="G219" t="s">
        <v>4721</v>
      </c>
      <c r="H219" t="s">
        <v>57</v>
      </c>
      <c r="I219" s="17">
        <v>-1.1307055521626701</v>
      </c>
      <c r="J219" s="17">
        <v>0.35764038664483599</v>
      </c>
      <c r="K219" s="21">
        <v>3</v>
      </c>
      <c r="L219" s="27">
        <v>13844618.7160741</v>
      </c>
      <c r="M219" s="22">
        <v>5.5529070715083777E-2</v>
      </c>
      <c r="N219" s="21">
        <v>3</v>
      </c>
      <c r="O219" s="27">
        <v>11966141.324940536</v>
      </c>
      <c r="P219" s="22">
        <v>4.8415047918211031E-2</v>
      </c>
      <c r="Q219" s="21">
        <v>4</v>
      </c>
      <c r="R219" s="27">
        <v>13196699.561865831</v>
      </c>
      <c r="S219" s="22">
        <v>5.3707507178397181E-2</v>
      </c>
      <c r="T219" s="23">
        <v>4</v>
      </c>
      <c r="U219" s="28">
        <v>13631760.539243007</v>
      </c>
      <c r="V219" s="24">
        <v>5.4583879321055691E-2</v>
      </c>
      <c r="W219" s="23">
        <v>4</v>
      </c>
      <c r="X219" s="28">
        <v>11541189.065835662</v>
      </c>
      <c r="Y219" s="24">
        <v>4.5206558115182996E-2</v>
      </c>
      <c r="Z219" s="23">
        <v>3</v>
      </c>
      <c r="AA219" s="28">
        <v>12181484.728406936</v>
      </c>
      <c r="AB219" s="24">
        <v>4.8428283780275742E-2</v>
      </c>
    </row>
    <row r="220" spans="1:28" x14ac:dyDescent="0.25">
      <c r="A220" t="s">
        <v>4292</v>
      </c>
      <c r="B220" t="s">
        <v>7171</v>
      </c>
      <c r="C220" t="s">
        <v>4294</v>
      </c>
      <c r="D220" s="9" t="s">
        <v>4293</v>
      </c>
      <c r="E220" s="9" t="s">
        <v>2736</v>
      </c>
      <c r="H220" t="s">
        <v>2148</v>
      </c>
      <c r="I220" s="17">
        <v>-1.13124725316129</v>
      </c>
      <c r="J220" s="17">
        <v>0.523056817124396</v>
      </c>
      <c r="K220" s="21">
        <v>8</v>
      </c>
      <c r="L220" s="27">
        <v>7345854.7205306804</v>
      </c>
      <c r="M220" s="22">
        <v>1.5826582799140634E-2</v>
      </c>
      <c r="N220" s="21">
        <v>4</v>
      </c>
      <c r="O220" s="27">
        <v>5172383.8015675833</v>
      </c>
      <c r="P220" s="22">
        <v>1.1241451588234842E-2</v>
      </c>
      <c r="Q220" s="21">
        <v>10</v>
      </c>
      <c r="R220" s="27">
        <v>7502722.5946048023</v>
      </c>
      <c r="S220" s="22">
        <v>1.6401892758375492E-2</v>
      </c>
      <c r="T220" s="23">
        <v>7</v>
      </c>
      <c r="U220" s="28">
        <v>6239109.0200305264</v>
      </c>
      <c r="V220" s="24">
        <v>1.3419626768920162E-2</v>
      </c>
      <c r="W220" s="23">
        <v>5</v>
      </c>
      <c r="X220" s="28">
        <v>6623745.2722019237</v>
      </c>
      <c r="Y220" s="24">
        <v>1.3936699072344925E-2</v>
      </c>
      <c r="Z220" s="23">
        <v>6</v>
      </c>
      <c r="AA220" s="28">
        <v>6425822.0395278595</v>
      </c>
      <c r="AB220" s="24">
        <v>1.3722491188474278E-2</v>
      </c>
    </row>
    <row r="221" spans="1:28" x14ac:dyDescent="0.25">
      <c r="A221" t="s">
        <v>4489</v>
      </c>
      <c r="B221" t="s">
        <v>7236</v>
      </c>
      <c r="C221" t="s">
        <v>4491</v>
      </c>
      <c r="D221" s="9" t="s">
        <v>4490</v>
      </c>
      <c r="E221" s="9" t="s">
        <v>2736</v>
      </c>
      <c r="H221" t="s">
        <v>57</v>
      </c>
      <c r="I221" s="17">
        <v>-1.1341283227441501</v>
      </c>
      <c r="J221" s="17">
        <v>0.27146564432797499</v>
      </c>
      <c r="K221" s="21">
        <v>3</v>
      </c>
      <c r="L221" s="27">
        <v>1374758.9509721501</v>
      </c>
      <c r="M221" s="22">
        <v>2.6648157608316881E-3</v>
      </c>
      <c r="N221" s="21">
        <v>2</v>
      </c>
      <c r="O221" s="27">
        <v>1180008.1768114392</v>
      </c>
      <c r="P221" s="22">
        <v>2.307344709038186E-3</v>
      </c>
      <c r="Q221" s="21">
        <v>5</v>
      </c>
      <c r="R221" s="27">
        <v>1386381.9967171513</v>
      </c>
      <c r="S221" s="22">
        <v>2.7268032441764766E-3</v>
      </c>
      <c r="T221" s="23">
        <v>3</v>
      </c>
      <c r="U221" s="28">
        <v>1286368.9047068632</v>
      </c>
      <c r="V221" s="24">
        <v>2.4893112929420978E-3</v>
      </c>
      <c r="W221" s="23">
        <v>1</v>
      </c>
      <c r="X221" s="28">
        <v>1248594.1606982418</v>
      </c>
      <c r="Y221" s="24">
        <v>2.3635969057479189E-3</v>
      </c>
      <c r="Z221" s="23">
        <v>2</v>
      </c>
      <c r="AA221" s="28">
        <v>1235977.2836522912</v>
      </c>
      <c r="AB221" s="24">
        <v>2.3747099324677133E-3</v>
      </c>
    </row>
    <row r="222" spans="1:28" x14ac:dyDescent="0.25">
      <c r="A222" t="s">
        <v>4710</v>
      </c>
      <c r="B222" t="s">
        <v>7312</v>
      </c>
      <c r="C222" t="s">
        <v>4712</v>
      </c>
      <c r="D222" s="9" t="s">
        <v>4711</v>
      </c>
      <c r="E222" s="9" t="s">
        <v>2736</v>
      </c>
      <c r="H222" t="s">
        <v>2148</v>
      </c>
      <c r="I222" s="17">
        <v>-1.1357580345335201</v>
      </c>
      <c r="J222" s="17">
        <v>0.31680452067501302</v>
      </c>
      <c r="K222" s="21">
        <v>16</v>
      </c>
      <c r="L222" s="27">
        <v>75327105.601029903</v>
      </c>
      <c r="M222" s="22">
        <v>0.20441838281112121</v>
      </c>
      <c r="N222" s="21">
        <v>16</v>
      </c>
      <c r="O222" s="27">
        <v>86578341.651703432</v>
      </c>
      <c r="P222" s="22">
        <v>0.23700895928875612</v>
      </c>
      <c r="Q222" s="21">
        <v>14</v>
      </c>
      <c r="R222" s="27">
        <v>65495331.649431691</v>
      </c>
      <c r="S222" s="22">
        <v>0.18034714569301311</v>
      </c>
      <c r="T222" s="23">
        <v>14</v>
      </c>
      <c r="U222" s="28">
        <v>65797323.601438709</v>
      </c>
      <c r="V222" s="24">
        <v>0.17825837372308989</v>
      </c>
      <c r="W222" s="23">
        <v>14</v>
      </c>
      <c r="X222" s="28">
        <v>86228418.194751397</v>
      </c>
      <c r="Y222" s="24">
        <v>0.22852334280191422</v>
      </c>
      <c r="Z222" s="23">
        <v>13</v>
      </c>
      <c r="AA222" s="28">
        <v>66300275.00489191</v>
      </c>
      <c r="AB222" s="24">
        <v>0.17833781666269716</v>
      </c>
    </row>
    <row r="223" spans="1:28" x14ac:dyDescent="0.25">
      <c r="A223" t="s">
        <v>4776</v>
      </c>
      <c r="B223" t="s">
        <v>7334</v>
      </c>
      <c r="C223" t="s">
        <v>4778</v>
      </c>
      <c r="D223" s="9" t="s">
        <v>4777</v>
      </c>
      <c r="E223" s="9" t="s">
        <v>2736</v>
      </c>
      <c r="H223" t="s">
        <v>2148</v>
      </c>
      <c r="I223" s="17">
        <v>-1.1364608541644099</v>
      </c>
      <c r="J223" s="17">
        <v>0.62036717800716301</v>
      </c>
      <c r="K223" s="21">
        <v>6</v>
      </c>
      <c r="L223" s="27">
        <v>10730460.9614335</v>
      </c>
      <c r="M223" s="22">
        <v>0.12219878338739323</v>
      </c>
      <c r="N223" s="21">
        <v>5</v>
      </c>
      <c r="O223" s="27">
        <v>16260033.662551146</v>
      </c>
      <c r="P223" s="22">
        <v>0.18679135648534906</v>
      </c>
      <c r="Q223" s="21">
        <v>6</v>
      </c>
      <c r="R223" s="27">
        <v>8762125.576173</v>
      </c>
      <c r="S223" s="22">
        <v>0.10124841563036073</v>
      </c>
      <c r="T223" s="23">
        <v>6</v>
      </c>
      <c r="U223" s="28">
        <v>11185243.681556446</v>
      </c>
      <c r="V223" s="24">
        <v>0.12716482471703711</v>
      </c>
      <c r="W223" s="23">
        <v>7</v>
      </c>
      <c r="X223" s="28">
        <v>12439658.830292057</v>
      </c>
      <c r="Y223" s="24">
        <v>0.13834658832013869</v>
      </c>
      <c r="Z223" s="23">
        <v>4</v>
      </c>
      <c r="AA223" s="28">
        <v>10405529.48819609</v>
      </c>
      <c r="AB223" s="24">
        <v>0.11745516929059044</v>
      </c>
    </row>
    <row r="224" spans="1:28" x14ac:dyDescent="0.25">
      <c r="A224" t="s">
        <v>4483</v>
      </c>
      <c r="B224" t="s">
        <v>7234</v>
      </c>
      <c r="C224" t="s">
        <v>4485</v>
      </c>
      <c r="D224" s="9" t="s">
        <v>4484</v>
      </c>
      <c r="E224" s="9" t="s">
        <v>2736</v>
      </c>
      <c r="H224" t="s">
        <v>57</v>
      </c>
      <c r="I224" s="17">
        <v>-1.1370631047217099</v>
      </c>
      <c r="J224" s="17">
        <v>0.17889324985142999</v>
      </c>
      <c r="K224" s="21">
        <v>2</v>
      </c>
      <c r="L224" s="27">
        <v>2416674.26801361</v>
      </c>
      <c r="M224" s="22">
        <v>7.7837603789392661E-3</v>
      </c>
      <c r="N224" s="21">
        <v>2</v>
      </c>
      <c r="O224" s="27">
        <v>2243791.3700291398</v>
      </c>
      <c r="P224" s="22">
        <v>7.2902201893762794E-3</v>
      </c>
      <c r="Q224" s="21">
        <v>2</v>
      </c>
      <c r="R224" s="27">
        <v>2253455.9425758501</v>
      </c>
      <c r="S224" s="22">
        <v>7.3646255654855001E-3</v>
      </c>
      <c r="T224" s="23">
        <v>3</v>
      </c>
      <c r="U224" s="28">
        <v>2173998.9213289684</v>
      </c>
      <c r="V224" s="24">
        <v>6.9904270501771329E-3</v>
      </c>
      <c r="W224" s="23">
        <v>3</v>
      </c>
      <c r="X224" s="28">
        <v>2212293.0846907105</v>
      </c>
      <c r="Y224" s="24">
        <v>6.9586578420187152E-3</v>
      </c>
      <c r="Z224" s="23">
        <v>2</v>
      </c>
      <c r="AA224" s="28">
        <v>2218723.5957664223</v>
      </c>
      <c r="AB224" s="24">
        <v>7.0832731495162329E-3</v>
      </c>
    </row>
    <row r="225" spans="1:28" x14ac:dyDescent="0.25">
      <c r="A225" t="s">
        <v>4668</v>
      </c>
      <c r="B225" t="s">
        <v>7298</v>
      </c>
      <c r="C225" t="s">
        <v>4670</v>
      </c>
      <c r="D225" s="9" t="s">
        <v>4669</v>
      </c>
      <c r="E225" s="9" t="s">
        <v>2736</v>
      </c>
      <c r="H225" t="s">
        <v>2148</v>
      </c>
      <c r="I225" s="17">
        <v>-1.13751393347861</v>
      </c>
      <c r="J225" s="17">
        <v>0.223817006156635</v>
      </c>
      <c r="K225" s="21">
        <v>29</v>
      </c>
      <c r="L225" s="27">
        <v>33316968.8236943</v>
      </c>
      <c r="M225" s="22">
        <v>3.4831500009524022E-2</v>
      </c>
      <c r="N225" s="21">
        <v>21</v>
      </c>
      <c r="O225" s="27">
        <v>34978951.618395656</v>
      </c>
      <c r="P225" s="22">
        <v>3.6889291684180398E-2</v>
      </c>
      <c r="Q225" s="21">
        <v>32</v>
      </c>
      <c r="R225" s="27">
        <v>34369407.443085521</v>
      </c>
      <c r="S225" s="22">
        <v>3.6459356525906407E-2</v>
      </c>
      <c r="T225" s="23">
        <v>21</v>
      </c>
      <c r="U225" s="28">
        <v>33329642.65182694</v>
      </c>
      <c r="V225" s="24">
        <v>3.4786472869538294E-2</v>
      </c>
      <c r="W225" s="23">
        <v>13</v>
      </c>
      <c r="X225" s="28">
        <v>29123325.280123439</v>
      </c>
      <c r="Y225" s="24">
        <v>2.9734397098267439E-2</v>
      </c>
      <c r="Z225" s="23">
        <v>17</v>
      </c>
      <c r="AA225" s="28">
        <v>34905504.429005556</v>
      </c>
      <c r="AB225" s="24">
        <v>3.6170962164458996E-2</v>
      </c>
    </row>
    <row r="226" spans="1:28" x14ac:dyDescent="0.25">
      <c r="A226" t="s">
        <v>4307</v>
      </c>
      <c r="B226" t="s">
        <v>7176</v>
      </c>
      <c r="C226" t="s">
        <v>4309</v>
      </c>
      <c r="D226" s="9" t="s">
        <v>4308</v>
      </c>
      <c r="E226" s="9" t="s">
        <v>2736</v>
      </c>
      <c r="H226" t="s">
        <v>2148</v>
      </c>
      <c r="I226" s="17">
        <v>-1.13923282424508</v>
      </c>
      <c r="J226" s="17">
        <v>0.99238244209706195</v>
      </c>
      <c r="K226" s="21">
        <v>1</v>
      </c>
      <c r="L226" s="27">
        <v>466137.27957139403</v>
      </c>
      <c r="M226" s="22">
        <v>8.1443701405812716E-4</v>
      </c>
      <c r="N226" s="21">
        <v>0</v>
      </c>
      <c r="O226" s="27">
        <v>165125.63041219531</v>
      </c>
      <c r="P226" s="22">
        <v>2.9103484335621296E-4</v>
      </c>
      <c r="Q226" s="21">
        <v>2</v>
      </c>
      <c r="R226" s="27">
        <v>546820.04620072932</v>
      </c>
      <c r="S226" s="22">
        <v>9.6943423538181184E-4</v>
      </c>
      <c r="T226" s="23">
        <v>0</v>
      </c>
      <c r="U226" s="28">
        <v>400315.17918264266</v>
      </c>
      <c r="V226" s="24">
        <v>6.9826257795498482E-4</v>
      </c>
      <c r="W226" s="23">
        <v>1</v>
      </c>
      <c r="X226" s="28">
        <v>404605.6621452652</v>
      </c>
      <c r="Y226" s="24">
        <v>6.9037825335218554E-4</v>
      </c>
      <c r="Z226" s="23">
        <v>0</v>
      </c>
      <c r="AA226" s="28">
        <v>326034.91715665575</v>
      </c>
      <c r="AB226" s="24">
        <v>5.6463426165769199E-4</v>
      </c>
    </row>
    <row r="227" spans="1:28" x14ac:dyDescent="0.25">
      <c r="A227" t="s">
        <v>4694</v>
      </c>
      <c r="B227" t="s">
        <v>7307</v>
      </c>
      <c r="C227" t="s">
        <v>4696</v>
      </c>
      <c r="D227" s="9" t="s">
        <v>4695</v>
      </c>
      <c r="E227" s="9" t="s">
        <v>2736</v>
      </c>
      <c r="H227" t="s">
        <v>2287</v>
      </c>
      <c r="I227" s="17">
        <v>-1.1405004357136399</v>
      </c>
      <c r="J227" s="17">
        <v>0.28551658000663699</v>
      </c>
      <c r="K227" s="21">
        <v>67</v>
      </c>
      <c r="L227" s="27">
        <v>112445389.76806501</v>
      </c>
      <c r="M227" s="22">
        <v>6.536895718261411E-2</v>
      </c>
      <c r="N227" s="21">
        <v>38</v>
      </c>
      <c r="O227" s="27">
        <v>101989719.78135978</v>
      </c>
      <c r="P227" s="22">
        <v>5.9809907892582871E-2</v>
      </c>
      <c r="Q227" s="21">
        <v>73</v>
      </c>
      <c r="R227" s="27">
        <v>119949396.83772457</v>
      </c>
      <c r="S227" s="22">
        <v>7.0755178476438724E-2</v>
      </c>
      <c r="T227" s="23">
        <v>50</v>
      </c>
      <c r="U227" s="28">
        <v>107430567.46936786</v>
      </c>
      <c r="V227" s="24">
        <v>6.234919004618731E-2</v>
      </c>
      <c r="W227" s="23">
        <v>36</v>
      </c>
      <c r="X227" s="28">
        <v>95669499.228178471</v>
      </c>
      <c r="Y227" s="24">
        <v>5.4314387239060562E-2</v>
      </c>
      <c r="Z227" s="23">
        <v>53</v>
      </c>
      <c r="AA227" s="28">
        <v>113797841.48514341</v>
      </c>
      <c r="AB227" s="24">
        <v>6.5572746554995232E-2</v>
      </c>
    </row>
    <row r="228" spans="1:28" x14ac:dyDescent="0.25">
      <c r="A228" t="s">
        <v>4729</v>
      </c>
      <c r="B228" t="s">
        <v>7318</v>
      </c>
      <c r="C228" t="s">
        <v>4730</v>
      </c>
      <c r="D228" s="9" t="s">
        <v>4401</v>
      </c>
      <c r="E228" s="9" t="s">
        <v>2736</v>
      </c>
      <c r="H228" t="s">
        <v>172</v>
      </c>
      <c r="I228" s="17">
        <v>-1.1412389550744799</v>
      </c>
      <c r="J228" s="17">
        <v>0.37582886578992403</v>
      </c>
      <c r="K228" s="21">
        <v>11</v>
      </c>
      <c r="L228" s="27">
        <v>8424469.3633679096</v>
      </c>
      <c r="M228" s="22">
        <v>1.2791745052866127E-2</v>
      </c>
      <c r="N228" s="21">
        <v>8</v>
      </c>
      <c r="O228" s="27">
        <v>6693119.3376301387</v>
      </c>
      <c r="P228" s="22">
        <v>1.0251859384306668E-2</v>
      </c>
      <c r="Q228" s="21">
        <v>10</v>
      </c>
      <c r="R228" s="27">
        <v>8150455.9043439887</v>
      </c>
      <c r="S228" s="22">
        <v>1.2557390552569192E-2</v>
      </c>
      <c r="T228" s="23">
        <v>5</v>
      </c>
      <c r="U228" s="28">
        <v>7842556.8624438783</v>
      </c>
      <c r="V228" s="24">
        <v>1.1888250831650444E-2</v>
      </c>
      <c r="W228" s="23">
        <v>4</v>
      </c>
      <c r="X228" s="28">
        <v>7916871.618598856</v>
      </c>
      <c r="Y228" s="24">
        <v>1.1739573606681958E-2</v>
      </c>
      <c r="Z228" s="23">
        <v>5</v>
      </c>
      <c r="AA228" s="28">
        <v>6436911.0263885194</v>
      </c>
      <c r="AB228" s="24">
        <v>9.6877783447808143E-3</v>
      </c>
    </row>
    <row r="229" spans="1:28" x14ac:dyDescent="0.25">
      <c r="A229" t="s">
        <v>4603</v>
      </c>
      <c r="B229" t="s">
        <v>7276</v>
      </c>
      <c r="C229" t="s">
        <v>4605</v>
      </c>
      <c r="D229" s="9" t="s">
        <v>4604</v>
      </c>
      <c r="E229" s="9" t="s">
        <v>2736</v>
      </c>
      <c r="H229" t="s">
        <v>1055</v>
      </c>
      <c r="I229" s="17">
        <v>-1.14536166124548</v>
      </c>
      <c r="J229" s="17">
        <v>9.1635559316958395E-2</v>
      </c>
      <c r="K229" s="21">
        <v>84</v>
      </c>
      <c r="L229" s="27">
        <v>318567838.213947</v>
      </c>
      <c r="M229" s="22">
        <v>0.3250561904733173</v>
      </c>
      <c r="N229" s="21">
        <v>57</v>
      </c>
      <c r="O229" s="27">
        <v>336340518.34398723</v>
      </c>
      <c r="P229" s="22">
        <v>0.34619638961270838</v>
      </c>
      <c r="Q229" s="21">
        <v>85</v>
      </c>
      <c r="R229" s="27">
        <v>345329360.68679076</v>
      </c>
      <c r="S229" s="22">
        <v>0.35753641169893885</v>
      </c>
      <c r="T229" s="23">
        <v>76</v>
      </c>
      <c r="U229" s="28">
        <v>330195369.75521815</v>
      </c>
      <c r="V229" s="24">
        <v>0.33635705051590975</v>
      </c>
      <c r="W229" s="23">
        <v>67</v>
      </c>
      <c r="X229" s="28">
        <v>309443110.90039748</v>
      </c>
      <c r="Y229" s="24">
        <v>0.30835345031264616</v>
      </c>
      <c r="Z229" s="23">
        <v>68</v>
      </c>
      <c r="AA229" s="28">
        <v>303459606.99015403</v>
      </c>
      <c r="AB229" s="24">
        <v>0.30691410753173548</v>
      </c>
    </row>
    <row r="230" spans="1:28" x14ac:dyDescent="0.25">
      <c r="A230" t="s">
        <v>4516</v>
      </c>
      <c r="B230" t="s">
        <v>7245</v>
      </c>
      <c r="C230" t="s">
        <v>4517</v>
      </c>
      <c r="D230" s="9" t="s">
        <v>4514</v>
      </c>
      <c r="E230" s="9" t="s">
        <v>2736</v>
      </c>
      <c r="H230" t="s">
        <v>2127</v>
      </c>
      <c r="I230" s="17">
        <v>-1.14769670589095</v>
      </c>
      <c r="J230" s="17">
        <v>0.31264128944196501</v>
      </c>
      <c r="K230" s="21">
        <v>1</v>
      </c>
      <c r="L230" s="27">
        <v>401577.98442265199</v>
      </c>
      <c r="M230" s="22">
        <v>5.9836014232172584E-4</v>
      </c>
      <c r="N230" s="21">
        <v>0</v>
      </c>
      <c r="O230" s="27">
        <v>385447.69024202827</v>
      </c>
      <c r="P230" s="22">
        <v>5.7935537585858691E-4</v>
      </c>
      <c r="Q230" s="21">
        <v>1</v>
      </c>
      <c r="R230" s="27">
        <v>410568.82880621095</v>
      </c>
      <c r="S230" s="22">
        <v>6.2073894630115096E-4</v>
      </c>
      <c r="T230" s="23">
        <v>1</v>
      </c>
      <c r="U230" s="28">
        <v>331833.05445730302</v>
      </c>
      <c r="V230" s="24">
        <v>4.9361170499543565E-4</v>
      </c>
      <c r="W230" s="23">
        <v>0</v>
      </c>
      <c r="X230" s="28">
        <v>502472.67718498461</v>
      </c>
      <c r="Y230" s="24">
        <v>7.3116718751018621E-4</v>
      </c>
      <c r="Z230" s="23">
        <v>1</v>
      </c>
      <c r="AA230" s="28">
        <v>308965.2321980609</v>
      </c>
      <c r="AB230" s="24">
        <v>4.563119264892281E-4</v>
      </c>
    </row>
    <row r="231" spans="1:28" x14ac:dyDescent="0.25">
      <c r="A231" t="s">
        <v>4617</v>
      </c>
      <c r="B231" t="s">
        <v>7281</v>
      </c>
      <c r="C231" t="s">
        <v>4619</v>
      </c>
      <c r="D231" s="9" t="s">
        <v>4618</v>
      </c>
      <c r="E231" s="9" t="s">
        <v>2736</v>
      </c>
      <c r="H231" t="s">
        <v>2148</v>
      </c>
      <c r="I231" s="17">
        <v>-1.15022612697281</v>
      </c>
      <c r="J231" s="17">
        <v>0.12095762700483501</v>
      </c>
      <c r="K231" s="21">
        <v>22</v>
      </c>
      <c r="L231" s="27">
        <v>34548038.694997102</v>
      </c>
      <c r="M231" s="22">
        <v>4.5240871912298579E-2</v>
      </c>
      <c r="N231" s="21">
        <v>18</v>
      </c>
      <c r="O231" s="27">
        <v>34077128.229673743</v>
      </c>
      <c r="P231" s="22">
        <v>4.50150140351765E-2</v>
      </c>
      <c r="Q231" s="21">
        <v>24</v>
      </c>
      <c r="R231" s="27">
        <v>37487615.47161667</v>
      </c>
      <c r="S231" s="22">
        <v>4.9811044102270913E-2</v>
      </c>
      <c r="T231" s="23">
        <v>23</v>
      </c>
      <c r="U231" s="28">
        <v>34712214.408335663</v>
      </c>
      <c r="V231" s="24">
        <v>4.5379837077521905E-2</v>
      </c>
      <c r="W231" s="23">
        <v>19</v>
      </c>
      <c r="X231" s="28">
        <v>32478940.779568676</v>
      </c>
      <c r="Y231" s="24">
        <v>4.153564006316228E-2</v>
      </c>
      <c r="Z231" s="23">
        <v>18</v>
      </c>
      <c r="AA231" s="28">
        <v>32523431.249961358</v>
      </c>
      <c r="AB231" s="24">
        <v>4.2214667644796838E-2</v>
      </c>
    </row>
    <row r="232" spans="1:28" x14ac:dyDescent="0.25">
      <c r="A232" t="s">
        <v>4609</v>
      </c>
      <c r="B232" t="s">
        <v>7278</v>
      </c>
      <c r="C232" t="s">
        <v>4610</v>
      </c>
      <c r="D232" s="9" t="s">
        <v>4426</v>
      </c>
      <c r="E232" s="9" t="s">
        <v>2736</v>
      </c>
      <c r="H232" t="s">
        <v>1055</v>
      </c>
      <c r="I232" s="17">
        <v>-1.1527492469430101</v>
      </c>
      <c r="J232" s="17">
        <v>9.9539202951884606E-2</v>
      </c>
      <c r="K232" s="21">
        <v>97</v>
      </c>
      <c r="L232" s="27">
        <v>421926660.75604999</v>
      </c>
      <c r="M232" s="22">
        <v>0.42174779434404625</v>
      </c>
      <c r="N232" s="21">
        <v>76</v>
      </c>
      <c r="O232" s="27">
        <v>459838220.52437747</v>
      </c>
      <c r="P232" s="22">
        <v>0.46366866790003403</v>
      </c>
      <c r="Q232" s="21">
        <v>108</v>
      </c>
      <c r="R232" s="27">
        <v>529821524.21867532</v>
      </c>
      <c r="S232" s="22">
        <v>0.53737283557796733</v>
      </c>
      <c r="T232" s="23">
        <v>90</v>
      </c>
      <c r="U232" s="28">
        <v>453428269.15759099</v>
      </c>
      <c r="V232" s="24">
        <v>0.4524780207543867</v>
      </c>
      <c r="W232" s="23">
        <v>68</v>
      </c>
      <c r="X232" s="28">
        <v>431727505.32171148</v>
      </c>
      <c r="Y232" s="24">
        <v>0.42144125917015562</v>
      </c>
      <c r="Z232" s="23">
        <v>84</v>
      </c>
      <c r="AA232" s="28">
        <v>434068845.51831406</v>
      </c>
      <c r="AB232" s="24">
        <v>0.43006481743661745</v>
      </c>
    </row>
    <row r="233" spans="1:28" x14ac:dyDescent="0.25">
      <c r="A233" t="s">
        <v>4449</v>
      </c>
      <c r="B233" t="s">
        <v>7222</v>
      </c>
      <c r="C233" t="s">
        <v>4450</v>
      </c>
      <c r="D233" s="9" t="s">
        <v>4438</v>
      </c>
      <c r="E233" s="9" t="s">
        <v>2736</v>
      </c>
      <c r="H233" t="s">
        <v>1055</v>
      </c>
      <c r="I233" s="17">
        <v>-1.1528326259074899</v>
      </c>
      <c r="J233" s="17">
        <v>0.215954438865678</v>
      </c>
      <c r="K233" s="21">
        <v>15</v>
      </c>
      <c r="L233" s="27">
        <v>12287598.5987886</v>
      </c>
      <c r="M233" s="22">
        <v>2.084086311091965E-2</v>
      </c>
      <c r="N233" s="21">
        <v>10</v>
      </c>
      <c r="O233" s="27">
        <v>10999455.37632405</v>
      </c>
      <c r="P233" s="22">
        <v>1.8819440157831782E-2</v>
      </c>
      <c r="Q233" s="21">
        <v>12</v>
      </c>
      <c r="R233" s="27">
        <v>12953224.157369314</v>
      </c>
      <c r="S233" s="22">
        <v>2.2292399945458657E-2</v>
      </c>
      <c r="T233" s="23">
        <v>12</v>
      </c>
      <c r="U233" s="28">
        <v>12125816.921536868</v>
      </c>
      <c r="V233" s="24">
        <v>2.0532069981964118E-2</v>
      </c>
      <c r="W233" s="23">
        <v>12</v>
      </c>
      <c r="X233" s="28">
        <v>11408428.131800458</v>
      </c>
      <c r="Y233" s="24">
        <v>1.8896700381495633E-2</v>
      </c>
      <c r="Z233" s="23">
        <v>13</v>
      </c>
      <c r="AA233" s="28">
        <v>10517958.504585968</v>
      </c>
      <c r="AB233" s="24">
        <v>1.7682333852671692E-2</v>
      </c>
    </row>
    <row r="234" spans="1:28" x14ac:dyDescent="0.25">
      <c r="A234" s="82" t="s">
        <v>4319</v>
      </c>
      <c r="B234" s="82" t="s">
        <v>7180</v>
      </c>
      <c r="C234" s="82" t="s">
        <v>4321</v>
      </c>
      <c r="D234" s="83" t="s">
        <v>4320</v>
      </c>
      <c r="E234" s="83" t="s">
        <v>2736</v>
      </c>
      <c r="F234" s="82"/>
      <c r="G234" s="82"/>
      <c r="H234" s="82" t="s">
        <v>2287</v>
      </c>
      <c r="I234" s="47">
        <v>-1.15714515593541</v>
      </c>
      <c r="J234" s="47">
        <v>0.34352775671195201</v>
      </c>
      <c r="K234" s="88">
        <v>12</v>
      </c>
      <c r="L234" s="89">
        <v>17115783.3535075</v>
      </c>
      <c r="M234" s="22">
        <v>3.3177022929841184E-2</v>
      </c>
      <c r="N234" s="88">
        <v>8</v>
      </c>
      <c r="O234" s="89">
        <v>14031267.185085976</v>
      </c>
      <c r="P234" s="22">
        <v>2.7436225220143242E-2</v>
      </c>
      <c r="Q234" s="88">
        <v>16</v>
      </c>
      <c r="R234" s="89">
        <v>19871623.711519822</v>
      </c>
      <c r="S234" s="22">
        <v>3.9084471763146715E-2</v>
      </c>
      <c r="T234" s="90">
        <v>13</v>
      </c>
      <c r="U234" s="91">
        <v>16520526.183034737</v>
      </c>
      <c r="V234" s="24">
        <v>3.1969625697805142E-2</v>
      </c>
      <c r="W234" s="90">
        <v>6</v>
      </c>
      <c r="X234" s="91">
        <v>15394673.785562947</v>
      </c>
      <c r="Y234" s="24">
        <v>2.9142218080058031E-2</v>
      </c>
      <c r="Z234" s="90">
        <v>9</v>
      </c>
      <c r="AA234" s="91">
        <v>15797064.925697591</v>
      </c>
      <c r="AB234" s="24">
        <v>3.0351243084371125E-2</v>
      </c>
    </row>
    <row r="235" spans="1:28" x14ac:dyDescent="0.25">
      <c r="A235" t="s">
        <v>4713</v>
      </c>
      <c r="B235" t="s">
        <v>7313</v>
      </c>
      <c r="C235" t="s">
        <v>4715</v>
      </c>
      <c r="D235" s="9" t="s">
        <v>4714</v>
      </c>
      <c r="E235" s="9" t="s">
        <v>2736</v>
      </c>
      <c r="H235" t="s">
        <v>2148</v>
      </c>
      <c r="I235" s="17">
        <v>-1.1636130553338</v>
      </c>
      <c r="J235" s="17">
        <v>0.32480005281426</v>
      </c>
      <c r="K235" s="21">
        <v>7</v>
      </c>
      <c r="L235" s="27">
        <v>10868391.237286899</v>
      </c>
      <c r="M235" s="22">
        <v>3.8082934506886441E-2</v>
      </c>
      <c r="N235" s="21">
        <v>5</v>
      </c>
      <c r="O235" s="27">
        <v>9273956.5266845003</v>
      </c>
      <c r="P235" s="22">
        <v>3.2780609959294854E-2</v>
      </c>
      <c r="Q235" s="21">
        <v>8</v>
      </c>
      <c r="R235" s="27">
        <v>10108018.273940774</v>
      </c>
      <c r="S235" s="22">
        <v>3.5938621952724591E-2</v>
      </c>
      <c r="T235" s="23">
        <v>6</v>
      </c>
      <c r="U235" s="28">
        <v>9408879.1443051677</v>
      </c>
      <c r="V235" s="24">
        <v>3.2913652232229675E-2</v>
      </c>
      <c r="W235" s="23">
        <v>6</v>
      </c>
      <c r="X235" s="28">
        <v>11567196.270882629</v>
      </c>
      <c r="Y235" s="24">
        <v>3.9582637392920325E-2</v>
      </c>
      <c r="Z235" s="23">
        <v>5</v>
      </c>
      <c r="AA235" s="28">
        <v>7463815.1649009222</v>
      </c>
      <c r="AB235" s="24">
        <v>2.5923012293728905E-2</v>
      </c>
    </row>
    <row r="236" spans="1:28" x14ac:dyDescent="0.25">
      <c r="A236" t="s">
        <v>4644</v>
      </c>
      <c r="B236" t="s">
        <v>7290</v>
      </c>
      <c r="C236" t="s">
        <v>4646</v>
      </c>
      <c r="D236" s="9" t="s">
        <v>4645</v>
      </c>
      <c r="E236" s="9" t="s">
        <v>2736</v>
      </c>
      <c r="H236" t="s">
        <v>3007</v>
      </c>
      <c r="I236" s="17">
        <v>-1.16492454864359</v>
      </c>
      <c r="J236" s="17">
        <v>0.17274999550414299</v>
      </c>
      <c r="K236" s="21">
        <v>14</v>
      </c>
      <c r="L236" s="27">
        <v>36471647.973152101</v>
      </c>
      <c r="M236" s="22">
        <v>0.11866860750026589</v>
      </c>
      <c r="N236" s="21">
        <v>10</v>
      </c>
      <c r="O236" s="27">
        <v>31926257.544266555</v>
      </c>
      <c r="P236" s="22">
        <v>0.10478890543098841</v>
      </c>
      <c r="Q236" s="21">
        <v>15</v>
      </c>
      <c r="R236" s="27">
        <v>36667652.99860245</v>
      </c>
      <c r="S236" s="22">
        <v>0.12105809384517131</v>
      </c>
      <c r="T236" s="23">
        <v>12</v>
      </c>
      <c r="U236" s="28">
        <v>33681732.772885576</v>
      </c>
      <c r="V236" s="24">
        <v>0.10940771012162372</v>
      </c>
      <c r="W236" s="23">
        <v>11</v>
      </c>
      <c r="X236" s="28">
        <v>33277417.934964705</v>
      </c>
      <c r="Y236" s="24">
        <v>0.10574054900226307</v>
      </c>
      <c r="Z236" s="23">
        <v>12</v>
      </c>
      <c r="AA236" s="28">
        <v>30944223.748124659</v>
      </c>
      <c r="AB236" s="24">
        <v>9.9797462576436388E-2</v>
      </c>
    </row>
    <row r="237" spans="1:28" x14ac:dyDescent="0.25">
      <c r="A237" t="s">
        <v>4492</v>
      </c>
      <c r="B237" t="s">
        <v>7237</v>
      </c>
      <c r="C237" t="s">
        <v>4494</v>
      </c>
      <c r="D237" s="9" t="s">
        <v>4493</v>
      </c>
      <c r="E237" s="9" t="s">
        <v>2736</v>
      </c>
      <c r="H237" t="s">
        <v>57</v>
      </c>
      <c r="I237" s="17">
        <v>-1.1662349452425</v>
      </c>
      <c r="J237" s="17">
        <v>0.36130175853032098</v>
      </c>
      <c r="K237" s="21">
        <v>4</v>
      </c>
      <c r="L237" s="27">
        <v>3239428.2738725301</v>
      </c>
      <c r="M237" s="22">
        <v>4.1734930987302778E-3</v>
      </c>
      <c r="N237" s="21">
        <v>3</v>
      </c>
      <c r="O237" s="27">
        <v>2567450.1277615051</v>
      </c>
      <c r="P237" s="22">
        <v>3.3367231921175543E-3</v>
      </c>
      <c r="Q237" s="21">
        <v>5</v>
      </c>
      <c r="R237" s="27">
        <v>2822512.0762215396</v>
      </c>
      <c r="S237" s="22">
        <v>3.6897538935990164E-3</v>
      </c>
      <c r="T237" s="23">
        <v>2</v>
      </c>
      <c r="U237" s="28">
        <v>2849655.8353881552</v>
      </c>
      <c r="V237" s="24">
        <v>3.6651924782400832E-3</v>
      </c>
      <c r="W237" s="23">
        <v>0</v>
      </c>
      <c r="X237" s="28">
        <v>2369990.6486305771</v>
      </c>
      <c r="Y237" s="24">
        <v>2.9818750737377717E-3</v>
      </c>
      <c r="Z237" s="23">
        <v>2</v>
      </c>
      <c r="AA237" s="28">
        <v>2809667.4849227099</v>
      </c>
      <c r="AB237" s="24">
        <v>3.5879444006448459E-3</v>
      </c>
    </row>
    <row r="238" spans="1:28" x14ac:dyDescent="0.25">
      <c r="A238" t="s">
        <v>4677</v>
      </c>
      <c r="B238" t="s">
        <v>7301</v>
      </c>
      <c r="C238" t="s">
        <v>4679</v>
      </c>
      <c r="D238" s="9" t="s">
        <v>4678</v>
      </c>
      <c r="E238" s="9" t="s">
        <v>2736</v>
      </c>
      <c r="H238" t="s">
        <v>2148</v>
      </c>
      <c r="I238" s="17">
        <v>-1.16729456423873</v>
      </c>
      <c r="J238" s="17">
        <v>0.246762117450467</v>
      </c>
      <c r="K238" s="21">
        <v>78</v>
      </c>
      <c r="L238" s="27">
        <v>228496202.588983</v>
      </c>
      <c r="M238" s="22">
        <v>0.21088100842606633</v>
      </c>
      <c r="N238" s="21">
        <v>47</v>
      </c>
      <c r="O238" s="27">
        <v>208047127.73561063</v>
      </c>
      <c r="P238" s="22">
        <v>0.19368992884791292</v>
      </c>
      <c r="Q238" s="21">
        <v>75</v>
      </c>
      <c r="R238" s="27">
        <v>252254098.90137783</v>
      </c>
      <c r="S238" s="22">
        <v>0.23622560741422935</v>
      </c>
      <c r="T238" s="23">
        <v>59</v>
      </c>
      <c r="U238" s="28">
        <v>208805275.66274148</v>
      </c>
      <c r="V238" s="24">
        <v>0.19238579125827018</v>
      </c>
      <c r="W238" s="23">
        <v>52</v>
      </c>
      <c r="X238" s="28">
        <v>190063625.73957554</v>
      </c>
      <c r="Y238" s="24">
        <v>0.17130457967950896</v>
      </c>
      <c r="Z238" s="23">
        <v>67</v>
      </c>
      <c r="AA238" s="28">
        <v>238707612.88483089</v>
      </c>
      <c r="AB238" s="24">
        <v>0.21836558843092518</v>
      </c>
    </row>
    <row r="239" spans="1:28" x14ac:dyDescent="0.25">
      <c r="A239" t="s">
        <v>4295</v>
      </c>
      <c r="B239" t="s">
        <v>7172</v>
      </c>
      <c r="C239" t="s">
        <v>4297</v>
      </c>
      <c r="D239" s="9" t="s">
        <v>4296</v>
      </c>
      <c r="E239" s="9" t="s">
        <v>2736</v>
      </c>
      <c r="H239" t="s">
        <v>2148</v>
      </c>
      <c r="I239" s="17">
        <v>-1.1678145342050299</v>
      </c>
      <c r="J239" s="17">
        <v>0.619669589445355</v>
      </c>
      <c r="K239" s="21">
        <v>16</v>
      </c>
      <c r="L239" s="27">
        <v>27421299.142597299</v>
      </c>
      <c r="M239" s="22">
        <v>0.14452373823827916</v>
      </c>
      <c r="N239" s="21">
        <v>11</v>
      </c>
      <c r="O239" s="27">
        <v>51215095.799672715</v>
      </c>
      <c r="P239" s="22">
        <v>0.27229268958709657</v>
      </c>
      <c r="Q239" s="21">
        <v>17</v>
      </c>
      <c r="R239" s="27">
        <v>25603014.984992918</v>
      </c>
      <c r="S239" s="22">
        <v>0.13692177797951047</v>
      </c>
      <c r="T239" s="23">
        <v>13</v>
      </c>
      <c r="U239" s="28">
        <v>27458821.941563424</v>
      </c>
      <c r="V239" s="24">
        <v>0.14447945823773983</v>
      </c>
      <c r="W239" s="23">
        <v>12</v>
      </c>
      <c r="X239" s="28">
        <v>37109439.801479809</v>
      </c>
      <c r="Y239" s="24">
        <v>0.19100601293992733</v>
      </c>
      <c r="Z239" s="23">
        <v>13</v>
      </c>
      <c r="AA239" s="28">
        <v>31865939.010541257</v>
      </c>
      <c r="AB239" s="24">
        <v>0.16647051693665926</v>
      </c>
    </row>
    <row r="240" spans="1:28" x14ac:dyDescent="0.25">
      <c r="A240" t="s">
        <v>4683</v>
      </c>
      <c r="B240" t="s">
        <v>7303</v>
      </c>
      <c r="C240" t="s">
        <v>4685</v>
      </c>
      <c r="D240" s="9" t="s">
        <v>4684</v>
      </c>
      <c r="E240" s="9" t="s">
        <v>2736</v>
      </c>
      <c r="H240" t="s">
        <v>2148</v>
      </c>
      <c r="I240" s="17">
        <v>-1.1711517710923001</v>
      </c>
      <c r="J240" s="17">
        <v>0.25296699972262698</v>
      </c>
      <c r="K240" s="21">
        <v>14</v>
      </c>
      <c r="L240" s="27">
        <v>19916698.915749598</v>
      </c>
      <c r="M240" s="22">
        <v>3.4990267549589345E-2</v>
      </c>
      <c r="N240" s="21">
        <v>10</v>
      </c>
      <c r="O240" s="27">
        <v>16672859.593408993</v>
      </c>
      <c r="P240" s="22">
        <v>2.9547914281335592E-2</v>
      </c>
      <c r="Q240" s="21">
        <v>14</v>
      </c>
      <c r="R240" s="27">
        <v>21454427.58657578</v>
      </c>
      <c r="S240" s="22">
        <v>3.8245214120400294E-2</v>
      </c>
      <c r="T240" s="23">
        <v>11</v>
      </c>
      <c r="U240" s="28">
        <v>18493093.916524429</v>
      </c>
      <c r="V240" s="24">
        <v>3.2434897072244458E-2</v>
      </c>
      <c r="W240" s="23">
        <v>10</v>
      </c>
      <c r="X240" s="28">
        <v>17009577.546603408</v>
      </c>
      <c r="Y240" s="24">
        <v>2.9183334540121252E-2</v>
      </c>
      <c r="Z240" s="23">
        <v>10</v>
      </c>
      <c r="AA240" s="28">
        <v>18166051.022890881</v>
      </c>
      <c r="AB240" s="24">
        <v>3.1633692048407304E-2</v>
      </c>
    </row>
    <row r="241" spans="1:28" x14ac:dyDescent="0.25">
      <c r="A241" t="s">
        <v>4283</v>
      </c>
      <c r="B241" t="s">
        <v>7168</v>
      </c>
      <c r="C241" t="s">
        <v>4285</v>
      </c>
      <c r="D241" s="9" t="s">
        <v>4284</v>
      </c>
      <c r="E241" s="9" t="s">
        <v>2736</v>
      </c>
      <c r="H241" t="s">
        <v>2148</v>
      </c>
      <c r="I241" s="17">
        <v>-1.17273623788104</v>
      </c>
      <c r="J241" s="17">
        <v>0.41653441158566001</v>
      </c>
      <c r="K241" s="21">
        <v>13</v>
      </c>
      <c r="L241" s="27">
        <v>14726008.314437</v>
      </c>
      <c r="M241" s="22">
        <v>4.2687320098315981E-2</v>
      </c>
      <c r="N241" s="21">
        <v>11</v>
      </c>
      <c r="O241" s="27">
        <v>18775683.575208418</v>
      </c>
      <c r="P241" s="22">
        <v>5.4903045964024996E-2</v>
      </c>
      <c r="Q241" s="21">
        <v>9</v>
      </c>
      <c r="R241" s="27">
        <v>11391953.577799924</v>
      </c>
      <c r="S241" s="22">
        <v>3.3507522324838557E-2</v>
      </c>
      <c r="T241" s="23">
        <v>10</v>
      </c>
      <c r="U241" s="28">
        <v>13166144.60111047</v>
      </c>
      <c r="V241" s="24">
        <v>3.8101801807194788E-2</v>
      </c>
      <c r="W241" s="23">
        <v>8</v>
      </c>
      <c r="X241" s="28">
        <v>14915222.972331867</v>
      </c>
      <c r="Y241" s="24">
        <v>4.2223582679031285E-2</v>
      </c>
      <c r="Z241" s="23">
        <v>8</v>
      </c>
      <c r="AA241" s="28">
        <v>13488105.293048637</v>
      </c>
      <c r="AB241" s="24">
        <v>3.8754687973824337E-2</v>
      </c>
    </row>
    <row r="242" spans="1:28" x14ac:dyDescent="0.25">
      <c r="A242" t="s">
        <v>4635</v>
      </c>
      <c r="B242" t="s">
        <v>7287</v>
      </c>
      <c r="C242" t="s">
        <v>4637</v>
      </c>
      <c r="D242" s="9" t="s">
        <v>4636</v>
      </c>
      <c r="E242" s="9" t="s">
        <v>2736</v>
      </c>
      <c r="H242" t="s">
        <v>41</v>
      </c>
      <c r="I242" s="17">
        <v>-1.1786270174972699</v>
      </c>
      <c r="J242" s="17">
        <v>0.16051440175013301</v>
      </c>
      <c r="K242" s="21">
        <v>15</v>
      </c>
      <c r="L242" s="27">
        <v>28090890.583313599</v>
      </c>
      <c r="M242" s="22">
        <v>0.10923408880708643</v>
      </c>
      <c r="N242" s="21">
        <v>15</v>
      </c>
      <c r="O242" s="27">
        <v>23630423.335469194</v>
      </c>
      <c r="P242" s="22">
        <v>9.2693870451769092E-2</v>
      </c>
      <c r="Q242" s="21">
        <v>17</v>
      </c>
      <c r="R242" s="27">
        <v>27008921.981249582</v>
      </c>
      <c r="S242" s="22">
        <v>0.10656882863380539</v>
      </c>
      <c r="T242" s="23">
        <v>16</v>
      </c>
      <c r="U242" s="28">
        <v>23112242.358357344</v>
      </c>
      <c r="V242" s="24">
        <v>8.9723831025219122E-2</v>
      </c>
      <c r="W242" s="23">
        <v>14</v>
      </c>
      <c r="X242" s="28">
        <v>26819995.619801138</v>
      </c>
      <c r="Y242" s="24">
        <v>0.10185042972744027</v>
      </c>
      <c r="Z242" s="23">
        <v>13</v>
      </c>
      <c r="AA242" s="28">
        <v>22939542.861311026</v>
      </c>
      <c r="AB242" s="24">
        <v>8.8417226737012411E-2</v>
      </c>
    </row>
    <row r="243" spans="1:28" x14ac:dyDescent="0.25">
      <c r="A243" t="s">
        <v>4386</v>
      </c>
      <c r="B243" t="s">
        <v>7202</v>
      </c>
      <c r="C243" t="s">
        <v>4389</v>
      </c>
      <c r="D243" s="9" t="s">
        <v>4387</v>
      </c>
      <c r="E243" s="9" t="s">
        <v>2736</v>
      </c>
      <c r="H243" t="s">
        <v>4388</v>
      </c>
      <c r="I243" s="17">
        <v>-1.1799082093318101</v>
      </c>
      <c r="J243" s="17">
        <v>0.12914568482813399</v>
      </c>
      <c r="K243" s="21">
        <v>14</v>
      </c>
      <c r="L243" s="27">
        <v>7735075.0419545202</v>
      </c>
      <c r="M243" s="22">
        <v>8.1400755821657376E-3</v>
      </c>
      <c r="N243" s="21">
        <v>11</v>
      </c>
      <c r="O243" s="27">
        <v>8875459.134260051</v>
      </c>
      <c r="P243" s="22">
        <v>9.4219667469605927E-3</v>
      </c>
      <c r="Q243" s="21">
        <v>19</v>
      </c>
      <c r="R243" s="27">
        <v>8195746.4422181724</v>
      </c>
      <c r="S243" s="22">
        <v>8.751503676645336E-3</v>
      </c>
      <c r="T243" s="23">
        <v>5</v>
      </c>
      <c r="U243" s="28">
        <v>8400216.0000288878</v>
      </c>
      <c r="V243" s="24">
        <v>8.825257851814549E-3</v>
      </c>
      <c r="W243" s="23">
        <v>3</v>
      </c>
      <c r="X243" s="28">
        <v>7244664.831616112</v>
      </c>
      <c r="Y243" s="24">
        <v>7.4454968634359922E-3</v>
      </c>
      <c r="Z243" s="23">
        <v>5</v>
      </c>
      <c r="AA243" s="28">
        <v>6999884.0107139489</v>
      </c>
      <c r="AB243" s="24">
        <v>7.3015354386687025E-3</v>
      </c>
    </row>
    <row r="244" spans="1:28" x14ac:dyDescent="0.25">
      <c r="A244" t="s">
        <v>4623</v>
      </c>
      <c r="B244" t="s">
        <v>7283</v>
      </c>
      <c r="C244" t="s">
        <v>4625</v>
      </c>
      <c r="D244" s="9" t="s">
        <v>4624</v>
      </c>
      <c r="E244" s="9" t="s">
        <v>2736</v>
      </c>
      <c r="H244" t="s">
        <v>3007</v>
      </c>
      <c r="I244" s="17">
        <v>-1.1825318199105701</v>
      </c>
      <c r="J244" s="17">
        <v>0.132469601084622</v>
      </c>
      <c r="K244" s="21">
        <v>14</v>
      </c>
      <c r="L244" s="27">
        <v>52717212.244984403</v>
      </c>
      <c r="M244" s="22">
        <v>0.15075929688090431</v>
      </c>
      <c r="N244" s="21">
        <v>13</v>
      </c>
      <c r="O244" s="27">
        <v>46614916.721754231</v>
      </c>
      <c r="P244" s="22">
        <v>0.1344755757153846</v>
      </c>
      <c r="Q244" s="21">
        <v>14</v>
      </c>
      <c r="R244" s="27">
        <v>55740643.909322597</v>
      </c>
      <c r="S244" s="22">
        <v>0.16174613365003523</v>
      </c>
      <c r="T244" s="23">
        <v>13</v>
      </c>
      <c r="U244" s="28">
        <v>48494224.854302965</v>
      </c>
      <c r="V244" s="24">
        <v>0.13845056509829465</v>
      </c>
      <c r="W244" s="23">
        <v>14</v>
      </c>
      <c r="X244" s="28">
        <v>48256026.282549217</v>
      </c>
      <c r="Y244" s="24">
        <v>0.13477045807919683</v>
      </c>
      <c r="Z244" s="23">
        <v>14</v>
      </c>
      <c r="AA244" s="28">
        <v>45476198.262071013</v>
      </c>
      <c r="AB244" s="24">
        <v>0.12890663332737079</v>
      </c>
    </row>
    <row r="245" spans="1:28" x14ac:dyDescent="0.25">
      <c r="A245" t="s">
        <v>4659</v>
      </c>
      <c r="B245" t="s">
        <v>7295</v>
      </c>
      <c r="C245" t="s">
        <v>4661</v>
      </c>
      <c r="D245" s="9" t="s">
        <v>4554</v>
      </c>
      <c r="E245" s="9" t="s">
        <v>2736</v>
      </c>
      <c r="G245" t="s">
        <v>4660</v>
      </c>
      <c r="H245" t="s">
        <v>1055</v>
      </c>
      <c r="I245" s="17">
        <v>-1.1827812137268701</v>
      </c>
      <c r="J245" s="17">
        <v>0.20920324309600699</v>
      </c>
      <c r="K245" s="21">
        <v>5</v>
      </c>
      <c r="L245" s="27">
        <v>12950251.5915542</v>
      </c>
      <c r="M245" s="22">
        <v>3.6064445039550891E-2</v>
      </c>
      <c r="N245" s="21">
        <v>6</v>
      </c>
      <c r="O245" s="27">
        <v>10846587.466770036</v>
      </c>
      <c r="P245" s="22">
        <v>3.0470599788165957E-2</v>
      </c>
      <c r="Q245" s="21">
        <v>5</v>
      </c>
      <c r="R245" s="27">
        <v>11785156.955121847</v>
      </c>
      <c r="S245" s="22">
        <v>3.3301721031027146E-2</v>
      </c>
      <c r="T245" s="23">
        <v>3</v>
      </c>
      <c r="U245" s="28">
        <v>11315163.889730735</v>
      </c>
      <c r="V245" s="24">
        <v>3.145827758305926E-2</v>
      </c>
      <c r="W245" s="23">
        <v>4</v>
      </c>
      <c r="X245" s="28">
        <v>11678069.126380062</v>
      </c>
      <c r="Y245" s="24">
        <v>3.1760225002945633E-2</v>
      </c>
      <c r="Z245" s="23">
        <v>4</v>
      </c>
      <c r="AA245" s="28">
        <v>9778841.5836951975</v>
      </c>
      <c r="AB245" s="24">
        <v>2.699279809368893E-2</v>
      </c>
    </row>
    <row r="246" spans="1:28" x14ac:dyDescent="0.25">
      <c r="A246" t="s">
        <v>4247</v>
      </c>
      <c r="B246" t="s">
        <v>7156</v>
      </c>
      <c r="C246" t="s">
        <v>4249</v>
      </c>
      <c r="D246" s="9" t="s">
        <v>4248</v>
      </c>
      <c r="E246" s="9" t="s">
        <v>2736</v>
      </c>
      <c r="H246" t="s">
        <v>2148</v>
      </c>
      <c r="I246" s="17">
        <v>-1.1834397223464199</v>
      </c>
      <c r="J246" s="17">
        <v>0.12488924451639501</v>
      </c>
      <c r="K246" s="21">
        <v>21</v>
      </c>
      <c r="L246" s="27">
        <v>18224301.4563976</v>
      </c>
      <c r="M246" s="22">
        <v>1.9467630280106556E-2</v>
      </c>
      <c r="N246" s="21">
        <v>16</v>
      </c>
      <c r="O246" s="27">
        <v>22516042.92148146</v>
      </c>
      <c r="P246" s="22">
        <v>2.4262810114595201E-2</v>
      </c>
      <c r="Q246" s="21">
        <v>21</v>
      </c>
      <c r="R246" s="27">
        <v>19532020.517063938</v>
      </c>
      <c r="S246" s="22">
        <v>2.1170915101507072E-2</v>
      </c>
      <c r="T246" s="23">
        <v>16</v>
      </c>
      <c r="U246" s="28">
        <v>18475599.264432795</v>
      </c>
      <c r="V246" s="24">
        <v>1.9703064389447699E-2</v>
      </c>
      <c r="W246" s="23">
        <v>9</v>
      </c>
      <c r="X246" s="28">
        <v>16730254.646505589</v>
      </c>
      <c r="Y246" s="24">
        <v>1.7453246856456609E-2</v>
      </c>
      <c r="Z246" s="23">
        <v>17</v>
      </c>
      <c r="AA246" s="28">
        <v>19609206.311621703</v>
      </c>
      <c r="AB246" s="24">
        <v>2.0762596432749421E-2</v>
      </c>
    </row>
    <row r="247" spans="1:28" x14ac:dyDescent="0.25">
      <c r="A247" t="s">
        <v>4680</v>
      </c>
      <c r="B247" t="s">
        <v>7302</v>
      </c>
      <c r="C247" t="s">
        <v>4682</v>
      </c>
      <c r="D247" s="9" t="s">
        <v>4681</v>
      </c>
      <c r="E247" s="9" t="s">
        <v>2736</v>
      </c>
      <c r="H247" t="s">
        <v>2148</v>
      </c>
      <c r="I247" s="17">
        <v>-1.18476208290041</v>
      </c>
      <c r="J247" s="17">
        <v>0.24932372111467799</v>
      </c>
      <c r="K247" s="21">
        <v>14</v>
      </c>
      <c r="L247" s="27">
        <v>10403123.4389937</v>
      </c>
      <c r="M247" s="22">
        <v>1.5043943455810825E-2</v>
      </c>
      <c r="N247" s="21">
        <v>8</v>
      </c>
      <c r="O247" s="27">
        <v>8652694.7474451065</v>
      </c>
      <c r="P247" s="22">
        <v>1.262223193009445E-2</v>
      </c>
      <c r="Q247" s="21">
        <v>12</v>
      </c>
      <c r="R247" s="27">
        <v>10913268.467081644</v>
      </c>
      <c r="S247" s="22">
        <v>1.6013381098180242E-2</v>
      </c>
      <c r="T247" s="23">
        <v>9</v>
      </c>
      <c r="U247" s="28">
        <v>9580877.876378227</v>
      </c>
      <c r="V247" s="24">
        <v>1.3831723187265013E-2</v>
      </c>
      <c r="W247" s="23">
        <v>6</v>
      </c>
      <c r="X247" s="28">
        <v>8383609.41755048</v>
      </c>
      <c r="Y247" s="24">
        <v>1.1839693467735401E-2</v>
      </c>
      <c r="Z247" s="23">
        <v>10</v>
      </c>
      <c r="AA247" s="28">
        <v>9410900.7310452759</v>
      </c>
      <c r="AB247" s="24">
        <v>1.3489274137761667E-2</v>
      </c>
    </row>
    <row r="248" spans="1:28" x14ac:dyDescent="0.25">
      <c r="A248" t="s">
        <v>4232</v>
      </c>
      <c r="B248" t="s">
        <v>7151</v>
      </c>
      <c r="C248" t="s">
        <v>4234</v>
      </c>
      <c r="D248" s="9" t="s">
        <v>4233</v>
      </c>
      <c r="E248" s="9" t="s">
        <v>2736</v>
      </c>
      <c r="H248" t="s">
        <v>2148</v>
      </c>
      <c r="I248" s="17">
        <v>-1.18477968187613</v>
      </c>
      <c r="J248" s="17">
        <v>9.6273082751546404E-2</v>
      </c>
      <c r="K248" s="21">
        <v>16</v>
      </c>
      <c r="L248" s="27">
        <v>19353437.603039101</v>
      </c>
      <c r="M248" s="22">
        <v>2.9040608814035928E-2</v>
      </c>
      <c r="N248" s="21">
        <v>10</v>
      </c>
      <c r="O248" s="27">
        <v>18962007.324531194</v>
      </c>
      <c r="P248" s="22">
        <v>2.8702435030304119E-2</v>
      </c>
      <c r="Q248" s="21">
        <v>16</v>
      </c>
      <c r="R248" s="27">
        <v>20369277.714851744</v>
      </c>
      <c r="S248" s="22">
        <v>3.1013693405551889E-2</v>
      </c>
      <c r="T248" s="23">
        <v>15</v>
      </c>
      <c r="U248" s="28">
        <v>18732264.308542628</v>
      </c>
      <c r="V248" s="24">
        <v>2.8061502502098584E-2</v>
      </c>
      <c r="W248" s="23">
        <v>9</v>
      </c>
      <c r="X248" s="28">
        <v>17039477.195796154</v>
      </c>
      <c r="Y248" s="24">
        <v>2.4969816268627935E-2</v>
      </c>
      <c r="Z248" s="23">
        <v>10</v>
      </c>
      <c r="AA248" s="28">
        <v>17759806.509153392</v>
      </c>
      <c r="AB248" s="24">
        <v>2.6414675371149894E-2</v>
      </c>
    </row>
    <row r="249" spans="1:28" x14ac:dyDescent="0.25">
      <c r="A249" t="s">
        <v>4656</v>
      </c>
      <c r="B249" t="s">
        <v>7294</v>
      </c>
      <c r="C249" t="s">
        <v>4658</v>
      </c>
      <c r="D249" s="9" t="s">
        <v>4657</v>
      </c>
      <c r="E249" s="9" t="s">
        <v>2736</v>
      </c>
      <c r="H249" t="s">
        <v>2287</v>
      </c>
      <c r="I249" s="17">
        <v>-1.18561041102119</v>
      </c>
      <c r="J249" s="17">
        <v>0.202443506514009</v>
      </c>
      <c r="K249" s="21">
        <v>72</v>
      </c>
      <c r="L249" s="27">
        <v>105863396.29242299</v>
      </c>
      <c r="M249" s="22">
        <v>4.9532072191201544E-2</v>
      </c>
      <c r="N249" s="21">
        <v>49</v>
      </c>
      <c r="O249" s="27">
        <v>98052539.229748979</v>
      </c>
      <c r="P249" s="22">
        <v>4.6279254211318586E-2</v>
      </c>
      <c r="Q249" s="21">
        <v>76</v>
      </c>
      <c r="R249" s="27">
        <v>114132443.83479802</v>
      </c>
      <c r="S249" s="22">
        <v>5.4185121390889553E-2</v>
      </c>
      <c r="T249" s="23">
        <v>48</v>
      </c>
      <c r="U249" s="28">
        <v>98756929.989308819</v>
      </c>
      <c r="V249" s="24">
        <v>4.6129771018146394E-2</v>
      </c>
      <c r="W249" s="23">
        <v>44</v>
      </c>
      <c r="X249" s="28">
        <v>85188057.941505656</v>
      </c>
      <c r="Y249" s="24">
        <v>3.8925201817332049E-2</v>
      </c>
      <c r="Z249" s="23">
        <v>50</v>
      </c>
      <c r="AA249" s="28">
        <v>105657327.01263963</v>
      </c>
      <c r="AB249" s="24">
        <v>4.9000413108653371E-2</v>
      </c>
    </row>
    <row r="250" spans="1:28" x14ac:dyDescent="0.25">
      <c r="A250" t="s">
        <v>4365</v>
      </c>
      <c r="B250" t="s">
        <v>7195</v>
      </c>
      <c r="C250" t="s">
        <v>4367</v>
      </c>
      <c r="D250" s="9" t="s">
        <v>4366</v>
      </c>
      <c r="E250" s="9" t="s">
        <v>2736</v>
      </c>
      <c r="H250" t="s">
        <v>2800</v>
      </c>
      <c r="I250" s="17">
        <v>-1.1864141464023401</v>
      </c>
      <c r="J250" s="17">
        <v>0.184011220305829</v>
      </c>
      <c r="K250" s="21">
        <v>16</v>
      </c>
      <c r="L250" s="27">
        <v>10081470.0467482</v>
      </c>
      <c r="M250" s="22">
        <v>1.6830500513172107E-2</v>
      </c>
      <c r="N250" s="21">
        <v>8</v>
      </c>
      <c r="O250" s="27">
        <v>13020915.822700443</v>
      </c>
      <c r="P250" s="22">
        <v>2.1928126655776377E-2</v>
      </c>
      <c r="Q250" s="21">
        <v>9</v>
      </c>
      <c r="R250" s="27">
        <v>9729537.1707209796</v>
      </c>
      <c r="S250" s="22">
        <v>1.6481457259692897E-2</v>
      </c>
      <c r="T250" s="23">
        <v>7</v>
      </c>
      <c r="U250" s="28">
        <v>9784285.8308282122</v>
      </c>
      <c r="V250" s="24">
        <v>1.6307047730168268E-2</v>
      </c>
      <c r="W250" s="23">
        <v>8</v>
      </c>
      <c r="X250" s="28">
        <v>11527700.299682047</v>
      </c>
      <c r="Y250" s="24">
        <v>1.8794350649787787E-2</v>
      </c>
      <c r="Z250" s="23">
        <v>8</v>
      </c>
      <c r="AA250" s="28">
        <v>8700060.7575760894</v>
      </c>
      <c r="AB250" s="24">
        <v>1.4396433003540109E-2</v>
      </c>
    </row>
    <row r="251" spans="1:28" x14ac:dyDescent="0.25">
      <c r="A251" t="s">
        <v>4250</v>
      </c>
      <c r="B251" t="s">
        <v>7157</v>
      </c>
      <c r="C251" t="s">
        <v>4252</v>
      </c>
      <c r="D251" s="9" t="s">
        <v>4251</v>
      </c>
      <c r="E251" s="9" t="s">
        <v>2736</v>
      </c>
      <c r="H251" t="s">
        <v>2148</v>
      </c>
      <c r="I251" s="17">
        <v>-1.18816451749804</v>
      </c>
      <c r="J251" s="17">
        <v>0.129527953389278</v>
      </c>
      <c r="K251" s="21">
        <v>15</v>
      </c>
      <c r="L251" s="27">
        <v>9041205.5541322306</v>
      </c>
      <c r="M251" s="22">
        <v>6.5670202799625937E-3</v>
      </c>
      <c r="N251" s="21">
        <v>14</v>
      </c>
      <c r="O251" s="27">
        <v>10368921.26395612</v>
      </c>
      <c r="P251" s="22">
        <v>7.5973550583915373E-3</v>
      </c>
      <c r="Q251" s="21">
        <v>16</v>
      </c>
      <c r="R251" s="27">
        <v>10069000.10084546</v>
      </c>
      <c r="S251" s="22">
        <v>7.4209348560282749E-3</v>
      </c>
      <c r="T251" s="23">
        <v>11</v>
      </c>
      <c r="U251" s="28">
        <v>9066024.0201118533</v>
      </c>
      <c r="V251" s="24">
        <v>6.5740336596222517E-3</v>
      </c>
      <c r="W251" s="23">
        <v>11</v>
      </c>
      <c r="X251" s="28">
        <v>7890434.5659835292</v>
      </c>
      <c r="Y251" s="24">
        <v>5.5969885431763223E-3</v>
      </c>
      <c r="Z251" s="23">
        <v>13</v>
      </c>
      <c r="AA251" s="28">
        <v>9738284.6864533853</v>
      </c>
      <c r="AB251" s="24">
        <v>7.0110639491343099E-3</v>
      </c>
    </row>
    <row r="252" spans="1:28" x14ac:dyDescent="0.25">
      <c r="A252" t="s">
        <v>4626</v>
      </c>
      <c r="B252" t="s">
        <v>7284</v>
      </c>
      <c r="C252" t="s">
        <v>4628</v>
      </c>
      <c r="D252" s="9" t="s">
        <v>4627</v>
      </c>
      <c r="E252" s="9" t="s">
        <v>2736</v>
      </c>
      <c r="H252" t="s">
        <v>2148</v>
      </c>
      <c r="I252" s="17">
        <v>-1.1917926173661599</v>
      </c>
      <c r="J252" s="17">
        <v>0.13881634420921299</v>
      </c>
      <c r="K252" s="21">
        <v>2</v>
      </c>
      <c r="L252" s="27">
        <v>5598311.6427026996</v>
      </c>
      <c r="M252" s="22">
        <v>4.0114704221230917E-2</v>
      </c>
      <c r="N252" s="21">
        <v>3</v>
      </c>
      <c r="O252" s="27">
        <v>8333519.6722982135</v>
      </c>
      <c r="P252" s="22">
        <v>6.0236790075717229E-2</v>
      </c>
      <c r="Q252" s="21">
        <v>2</v>
      </c>
      <c r="R252" s="27">
        <v>6387190.0511548333</v>
      </c>
      <c r="S252" s="22">
        <v>4.6439402359002048E-2</v>
      </c>
      <c r="T252" s="23">
        <v>2</v>
      </c>
      <c r="U252" s="28">
        <v>5975447.8968037572</v>
      </c>
      <c r="V252" s="24">
        <v>4.2745463554762754E-2</v>
      </c>
      <c r="W252" s="23">
        <v>3</v>
      </c>
      <c r="X252" s="28">
        <v>6559593.1621183231</v>
      </c>
      <c r="Y252" s="24">
        <v>4.5902348829018481E-2</v>
      </c>
      <c r="Z252" s="23">
        <v>3</v>
      </c>
      <c r="AA252" s="28">
        <v>5835664.946262476</v>
      </c>
      <c r="AB252" s="24">
        <v>4.1447307218229992E-2</v>
      </c>
    </row>
    <row r="253" spans="1:28" x14ac:dyDescent="0.25">
      <c r="A253" t="s">
        <v>4597</v>
      </c>
      <c r="B253" t="s">
        <v>7274</v>
      </c>
      <c r="C253" t="s">
        <v>4599</v>
      </c>
      <c r="D253" s="9" t="s">
        <v>4598</v>
      </c>
      <c r="E253" s="9" t="s">
        <v>2736</v>
      </c>
      <c r="I253" s="17">
        <v>-1.19350507253474</v>
      </c>
      <c r="J253" s="17">
        <v>7.7699076761910804E-2</v>
      </c>
      <c r="K253" s="21">
        <v>33</v>
      </c>
      <c r="L253" s="27">
        <v>33380317.486706</v>
      </c>
      <c r="M253" s="22">
        <v>2.9940385821601186E-2</v>
      </c>
      <c r="N253" s="21">
        <v>24</v>
      </c>
      <c r="O253" s="27">
        <v>34191111.200567923</v>
      </c>
      <c r="P253" s="22">
        <v>3.0936200755033248E-2</v>
      </c>
      <c r="Q253" s="21">
        <v>33</v>
      </c>
      <c r="R253" s="27">
        <v>37244722.474024728</v>
      </c>
      <c r="S253" s="22">
        <v>3.389705216236396E-2</v>
      </c>
      <c r="T253" s="23">
        <v>25</v>
      </c>
      <c r="U253" s="28">
        <v>32877476.354482152</v>
      </c>
      <c r="V253" s="24">
        <v>2.9440043493485314E-2</v>
      </c>
      <c r="W253" s="23">
        <v>20</v>
      </c>
      <c r="X253" s="28">
        <v>29739476.559541419</v>
      </c>
      <c r="Y253" s="24">
        <v>2.6050240116796911E-2</v>
      </c>
      <c r="Z253" s="23">
        <v>25</v>
      </c>
      <c r="AA253" s="28">
        <v>32130202.193080783</v>
      </c>
      <c r="AB253" s="24">
        <v>2.856536881216927E-2</v>
      </c>
    </row>
    <row r="254" spans="1:28" x14ac:dyDescent="0.25">
      <c r="A254" t="s">
        <v>4350</v>
      </c>
      <c r="B254" t="s">
        <v>7190</v>
      </c>
      <c r="C254" t="s">
        <v>4352</v>
      </c>
      <c r="D254" s="9" t="s">
        <v>4351</v>
      </c>
      <c r="E254" s="9" t="s">
        <v>2736</v>
      </c>
      <c r="H254" t="s">
        <v>2800</v>
      </c>
      <c r="I254" s="17">
        <v>-1.2004427662847199</v>
      </c>
      <c r="J254" s="17">
        <v>6.9753142883661398E-2</v>
      </c>
      <c r="K254" s="21">
        <v>8</v>
      </c>
      <c r="L254" s="27">
        <v>4723765.2791038798</v>
      </c>
      <c r="M254" s="22">
        <v>6.4924237730091426E-3</v>
      </c>
      <c r="N254" s="21">
        <v>6</v>
      </c>
      <c r="O254" s="27">
        <v>4460422.4563400736</v>
      </c>
      <c r="P254" s="22">
        <v>6.1841693744720391E-3</v>
      </c>
      <c r="Q254" s="21">
        <v>9</v>
      </c>
      <c r="R254" s="27">
        <v>5015492.4623623341</v>
      </c>
      <c r="S254" s="22">
        <v>6.9945920735373195E-3</v>
      </c>
      <c r="T254" s="23">
        <v>3</v>
      </c>
      <c r="U254" s="28">
        <v>4326295.2092538355</v>
      </c>
      <c r="V254" s="24">
        <v>5.9361893305394159E-3</v>
      </c>
      <c r="W254" s="23">
        <v>4</v>
      </c>
      <c r="X254" s="28">
        <v>4181944.9016745947</v>
      </c>
      <c r="Y254" s="24">
        <v>5.6131718322286759E-3</v>
      </c>
      <c r="Z254" s="23">
        <v>3</v>
      </c>
      <c r="AA254" s="28">
        <v>4296984.0311438991</v>
      </c>
      <c r="AB254" s="24">
        <v>5.8538519844209573E-3</v>
      </c>
    </row>
    <row r="255" spans="1:28" x14ac:dyDescent="0.25">
      <c r="A255" s="82" t="s">
        <v>4591</v>
      </c>
      <c r="B255" s="82" t="s">
        <v>7272</v>
      </c>
      <c r="C255" s="82" t="s">
        <v>4593</v>
      </c>
      <c r="D255" s="83" t="s">
        <v>4592</v>
      </c>
      <c r="E255" s="83" t="s">
        <v>2736</v>
      </c>
      <c r="F255" s="82"/>
      <c r="G255" s="82"/>
      <c r="H255" s="82" t="s">
        <v>2148</v>
      </c>
      <c r="I255" s="47">
        <v>-1.2036412354469599</v>
      </c>
      <c r="J255" s="47">
        <v>2.68189204826913E-2</v>
      </c>
      <c r="K255" s="88">
        <v>70</v>
      </c>
      <c r="L255" s="89">
        <v>332229737.25320601</v>
      </c>
      <c r="M255" s="22">
        <v>0.29385952226789741</v>
      </c>
      <c r="N255" s="88">
        <v>56</v>
      </c>
      <c r="O255" s="89">
        <v>369334369.69882196</v>
      </c>
      <c r="P255" s="22">
        <v>0.32953976086846171</v>
      </c>
      <c r="Q255" s="88">
        <v>78</v>
      </c>
      <c r="R255" s="89">
        <v>380537783.71688735</v>
      </c>
      <c r="S255" s="22">
        <v>0.34153035508458801</v>
      </c>
      <c r="T255" s="90">
        <v>70</v>
      </c>
      <c r="U255" s="91">
        <v>320871930.98853916</v>
      </c>
      <c r="V255" s="24">
        <v>0.28333879138506129</v>
      </c>
      <c r="W255" s="90">
        <v>57</v>
      </c>
      <c r="X255" s="91">
        <v>311608287.6659323</v>
      </c>
      <c r="Y255" s="24">
        <v>0.2691669579675473</v>
      </c>
      <c r="Z255" s="90">
        <v>62</v>
      </c>
      <c r="AA255" s="91">
        <v>337304690.31907123</v>
      </c>
      <c r="AB255" s="24">
        <v>0.29572163138226082</v>
      </c>
    </row>
    <row r="256" spans="1:28" x14ac:dyDescent="0.25">
      <c r="A256" t="s">
        <v>4600</v>
      </c>
      <c r="B256" t="s">
        <v>7275</v>
      </c>
      <c r="C256" t="s">
        <v>4602</v>
      </c>
      <c r="D256" s="9" t="s">
        <v>4601</v>
      </c>
      <c r="E256" s="9" t="s">
        <v>2736</v>
      </c>
      <c r="H256" t="s">
        <v>2148</v>
      </c>
      <c r="I256" s="17">
        <v>-1.2044829370002099</v>
      </c>
      <c r="J256" s="17">
        <v>7.8359607487975297E-2</v>
      </c>
      <c r="K256" s="21">
        <v>40</v>
      </c>
      <c r="L256" s="27">
        <v>64523133.790183097</v>
      </c>
      <c r="M256" s="22">
        <v>0.18789181758525692</v>
      </c>
      <c r="N256" s="21">
        <v>22</v>
      </c>
      <c r="O256" s="27">
        <v>57285720.791184865</v>
      </c>
      <c r="P256" s="22">
        <v>0.16827733662941327</v>
      </c>
      <c r="Q256" s="21">
        <v>37</v>
      </c>
      <c r="R256" s="27">
        <v>62572704.30524756</v>
      </c>
      <c r="S256" s="22">
        <v>0.18488752127076211</v>
      </c>
      <c r="T256" s="23">
        <v>28</v>
      </c>
      <c r="U256" s="28">
        <v>53359110.241383612</v>
      </c>
      <c r="V256" s="24">
        <v>0.15512222956674179</v>
      </c>
      <c r="W256" s="23">
        <v>22</v>
      </c>
      <c r="X256" s="28">
        <v>60923388.884422541</v>
      </c>
      <c r="Y256" s="24">
        <v>0.17325586672595289</v>
      </c>
      <c r="Z256" s="23">
        <v>28</v>
      </c>
      <c r="AA256" s="28">
        <v>52499466.194830693</v>
      </c>
      <c r="AB256" s="24">
        <v>0.15153283576115714</v>
      </c>
    </row>
    <row r="257" spans="1:28" x14ac:dyDescent="0.25">
      <c r="A257" t="s">
        <v>4486</v>
      </c>
      <c r="B257" t="s">
        <v>7235</v>
      </c>
      <c r="C257" t="s">
        <v>4488</v>
      </c>
      <c r="D257" s="9" t="s">
        <v>4487</v>
      </c>
      <c r="E257" s="9" t="s">
        <v>2736</v>
      </c>
      <c r="H257" t="s">
        <v>57</v>
      </c>
      <c r="I257" s="17">
        <v>-1.20639550786545</v>
      </c>
      <c r="J257" s="17">
        <v>0.25226896250361602</v>
      </c>
      <c r="K257" s="21">
        <v>3</v>
      </c>
      <c r="L257" s="27">
        <v>4751966.5498676198</v>
      </c>
      <c r="M257" s="22">
        <v>8.6338159941357333E-3</v>
      </c>
      <c r="N257" s="21">
        <v>1</v>
      </c>
      <c r="O257" s="27">
        <v>4220667.0496916473</v>
      </c>
      <c r="P257" s="22">
        <v>7.7356594081998669E-3</v>
      </c>
      <c r="Q257" s="21">
        <v>2</v>
      </c>
      <c r="R257" s="27">
        <v>5850566.3530367957</v>
      </c>
      <c r="S257" s="22">
        <v>1.0785929632036303E-2</v>
      </c>
      <c r="T257" s="23">
        <v>2</v>
      </c>
      <c r="U257" s="28">
        <v>4593918.526482095</v>
      </c>
      <c r="V257" s="24">
        <v>8.3326999962931234E-3</v>
      </c>
      <c r="W257" s="23">
        <v>1</v>
      </c>
      <c r="X257" s="28">
        <v>3867514.3693085439</v>
      </c>
      <c r="Y257" s="24">
        <v>6.8623494639861778E-3</v>
      </c>
      <c r="Z257" s="23">
        <v>2</v>
      </c>
      <c r="AA257" s="28">
        <v>4775041.3164230734</v>
      </c>
      <c r="AB257" s="24">
        <v>8.5993573199975356E-3</v>
      </c>
    </row>
    <row r="258" spans="1:28" x14ac:dyDescent="0.25">
      <c r="A258" t="s">
        <v>4262</v>
      </c>
      <c r="B258" t="s">
        <v>7161</v>
      </c>
      <c r="C258" t="s">
        <v>4264</v>
      </c>
      <c r="D258" s="9" t="s">
        <v>4263</v>
      </c>
      <c r="E258" s="9" t="s">
        <v>2736</v>
      </c>
      <c r="H258" t="s">
        <v>2148</v>
      </c>
      <c r="I258" s="17">
        <v>-1.2125332165728899</v>
      </c>
      <c r="J258" s="17">
        <v>0.25625868873486901</v>
      </c>
      <c r="K258" s="21">
        <v>30</v>
      </c>
      <c r="L258" s="27">
        <v>16639147.443762001</v>
      </c>
      <c r="M258" s="22">
        <v>1.2972219739922778E-2</v>
      </c>
      <c r="N258" s="21">
        <v>11</v>
      </c>
      <c r="O258" s="27">
        <v>16083018.379339855</v>
      </c>
      <c r="P258" s="22">
        <v>1.2648458996229614E-2</v>
      </c>
      <c r="Q258" s="21">
        <v>30</v>
      </c>
      <c r="R258" s="27">
        <v>21189099.54276979</v>
      </c>
      <c r="S258" s="22">
        <v>1.6762005832562644E-2</v>
      </c>
      <c r="T258" s="23">
        <v>23</v>
      </c>
      <c r="U258" s="28">
        <v>16677956.971083077</v>
      </c>
      <c r="V258" s="24">
        <v>1.2980730077932616E-2</v>
      </c>
      <c r="W258" s="23">
        <v>7</v>
      </c>
      <c r="X258" s="28">
        <v>13065617.477948647</v>
      </c>
      <c r="Y258" s="24">
        <v>9.9477450606724627E-3</v>
      </c>
      <c r="Z258" s="23">
        <v>16</v>
      </c>
      <c r="AA258" s="28">
        <v>17998473.082578368</v>
      </c>
      <c r="AB258" s="24">
        <v>1.3908437301581145E-2</v>
      </c>
    </row>
    <row r="259" spans="1:28" x14ac:dyDescent="0.25">
      <c r="A259" t="s">
        <v>4498</v>
      </c>
      <c r="B259" t="s">
        <v>7239</v>
      </c>
      <c r="C259" t="s">
        <v>4500</v>
      </c>
      <c r="D259" s="9" t="s">
        <v>4499</v>
      </c>
      <c r="E259" s="9" t="s">
        <v>2736</v>
      </c>
      <c r="H259" t="s">
        <v>41</v>
      </c>
      <c r="I259" s="17">
        <v>-1.2168175885500401</v>
      </c>
      <c r="J259" s="17">
        <v>2.77090587450083E-2</v>
      </c>
      <c r="K259" s="21">
        <v>6</v>
      </c>
      <c r="L259" s="27">
        <v>5624636.8330281004</v>
      </c>
      <c r="M259" s="22">
        <v>1.2242310672529221E-2</v>
      </c>
      <c r="N259" s="21">
        <v>6</v>
      </c>
      <c r="O259" s="27">
        <v>6474512.807083888</v>
      </c>
      <c r="P259" s="22">
        <v>1.4215522809851071E-2</v>
      </c>
      <c r="Q259" s="21">
        <v>8</v>
      </c>
      <c r="R259" s="27">
        <v>5493837.7300190087</v>
      </c>
      <c r="S259" s="22">
        <v>1.2133189963062967E-2</v>
      </c>
      <c r="T259" s="23">
        <v>5</v>
      </c>
      <c r="U259" s="28">
        <v>4800438.7597271614</v>
      </c>
      <c r="V259" s="24">
        <v>1.0430926548201352E-2</v>
      </c>
      <c r="W259" s="23">
        <v>5</v>
      </c>
      <c r="X259" s="28">
        <v>5509166.4818455009</v>
      </c>
      <c r="Y259" s="24">
        <v>1.1710253249693768E-2</v>
      </c>
      <c r="Z259" s="23">
        <v>5</v>
      </c>
      <c r="AA259" s="28">
        <v>5371598.4552558018</v>
      </c>
      <c r="AB259" s="24">
        <v>1.1588624683913196E-2</v>
      </c>
    </row>
    <row r="260" spans="1:28" x14ac:dyDescent="0.25">
      <c r="A260" t="s">
        <v>4256</v>
      </c>
      <c r="B260" t="s">
        <v>7159</v>
      </c>
      <c r="C260" t="s">
        <v>4258</v>
      </c>
      <c r="D260" s="9" t="s">
        <v>4257</v>
      </c>
      <c r="E260" s="9" t="s">
        <v>2736</v>
      </c>
      <c r="H260" t="s">
        <v>2148</v>
      </c>
      <c r="I260" s="17">
        <v>-1.2196971107535799</v>
      </c>
      <c r="J260" s="17">
        <v>0.195273762103367</v>
      </c>
      <c r="K260" s="21">
        <v>10</v>
      </c>
      <c r="L260" s="27">
        <v>4673508.4823990101</v>
      </c>
      <c r="M260" s="22">
        <v>8.8968190660534581E-3</v>
      </c>
      <c r="N260" s="21">
        <v>5</v>
      </c>
      <c r="O260" s="27">
        <v>4361163.5247020898</v>
      </c>
      <c r="P260" s="22">
        <v>8.3749250044662885E-3</v>
      </c>
      <c r="Q260" s="21">
        <v>7</v>
      </c>
      <c r="R260" s="27">
        <v>5078721.1927287849</v>
      </c>
      <c r="S260" s="22">
        <v>9.8101659678738046E-3</v>
      </c>
      <c r="T260" s="23">
        <v>9</v>
      </c>
      <c r="U260" s="28">
        <v>4773798.6871814821</v>
      </c>
      <c r="V260" s="24">
        <v>9.072539497247541E-3</v>
      </c>
      <c r="W260" s="23">
        <v>3</v>
      </c>
      <c r="X260" s="28">
        <v>3594854.9709557891</v>
      </c>
      <c r="Y260" s="24">
        <v>6.6832018517094041E-3</v>
      </c>
      <c r="Z260" s="23">
        <v>7</v>
      </c>
      <c r="AA260" s="28">
        <v>4088036.484810147</v>
      </c>
      <c r="AB260" s="24">
        <v>7.7137566522623132E-3</v>
      </c>
    </row>
    <row r="261" spans="1:28" x14ac:dyDescent="0.25">
      <c r="A261" t="s">
        <v>4620</v>
      </c>
      <c r="B261" t="s">
        <v>7282</v>
      </c>
      <c r="C261" t="s">
        <v>4622</v>
      </c>
      <c r="D261" s="9" t="s">
        <v>4621</v>
      </c>
      <c r="E261" s="9" t="s">
        <v>2736</v>
      </c>
      <c r="H261" t="s">
        <v>2287</v>
      </c>
      <c r="I261" s="17">
        <v>-1.2260133319233499</v>
      </c>
      <c r="J261" s="17">
        <v>0.12401768720773</v>
      </c>
      <c r="K261" s="21">
        <v>27</v>
      </c>
      <c r="L261" s="27">
        <v>26478634.499658</v>
      </c>
      <c r="M261" s="22">
        <v>2.1320968741503105E-2</v>
      </c>
      <c r="N261" s="21">
        <v>16</v>
      </c>
      <c r="O261" s="27">
        <v>25167830.382750046</v>
      </c>
      <c r="P261" s="22">
        <v>2.0442968498530601E-2</v>
      </c>
      <c r="Q261" s="21">
        <v>23</v>
      </c>
      <c r="R261" s="27">
        <v>29949026.394633289</v>
      </c>
      <c r="S261" s="22">
        <v>2.4469456145124118E-2</v>
      </c>
      <c r="T261" s="23">
        <v>15</v>
      </c>
      <c r="U261" s="28">
        <v>24161346.614990607</v>
      </c>
      <c r="V261" s="24">
        <v>1.9422517795327193E-2</v>
      </c>
      <c r="W261" s="23">
        <v>12</v>
      </c>
      <c r="X261" s="28">
        <v>21489204.173175294</v>
      </c>
      <c r="Y261" s="24">
        <v>1.6898305673557878E-2</v>
      </c>
      <c r="Z261" s="23">
        <v>14</v>
      </c>
      <c r="AA261" s="28">
        <v>26163261.620532591</v>
      </c>
      <c r="AB261" s="24">
        <v>2.0881547491325831E-2</v>
      </c>
    </row>
    <row r="262" spans="1:28" x14ac:dyDescent="0.25">
      <c r="A262" t="s">
        <v>4359</v>
      </c>
      <c r="B262" t="s">
        <v>7193</v>
      </c>
      <c r="C262" t="s">
        <v>4361</v>
      </c>
      <c r="D262" s="9" t="s">
        <v>4360</v>
      </c>
      <c r="E262" s="9" t="s">
        <v>2736</v>
      </c>
      <c r="H262" t="s">
        <v>2800</v>
      </c>
      <c r="I262" s="17">
        <v>-1.2264314532743199</v>
      </c>
      <c r="J262" s="17">
        <v>0.13680959810857199</v>
      </c>
      <c r="K262" s="21">
        <v>15</v>
      </c>
      <c r="L262" s="27">
        <v>18800663.9583367</v>
      </c>
      <c r="M262" s="22">
        <v>1.3655738800754312E-2</v>
      </c>
      <c r="N262" s="21">
        <v>15</v>
      </c>
      <c r="O262" s="27">
        <v>21094111.73473151</v>
      </c>
      <c r="P262" s="22">
        <v>1.5455750160551793E-2</v>
      </c>
      <c r="Q262" s="21">
        <v>19</v>
      </c>
      <c r="R262" s="27">
        <v>21896396.022074711</v>
      </c>
      <c r="S262" s="22">
        <v>1.6137821713594899E-2</v>
      </c>
      <c r="T262" s="23">
        <v>13</v>
      </c>
      <c r="U262" s="28">
        <v>18248736.778364111</v>
      </c>
      <c r="V262" s="24">
        <v>1.3232681665128886E-2</v>
      </c>
      <c r="W262" s="23">
        <v>9</v>
      </c>
      <c r="X262" s="28">
        <v>15315785.735037804</v>
      </c>
      <c r="Y262" s="24">
        <v>1.0864075555268837E-2</v>
      </c>
      <c r="Z262" s="23">
        <v>12</v>
      </c>
      <c r="AA262" s="28">
        <v>20577736.428833503</v>
      </c>
      <c r="AB262" s="24">
        <v>1.4814911524580329E-2</v>
      </c>
    </row>
    <row r="263" spans="1:28" x14ac:dyDescent="0.25">
      <c r="A263" t="s">
        <v>4271</v>
      </c>
      <c r="B263" t="s">
        <v>7164</v>
      </c>
      <c r="C263" t="s">
        <v>4273</v>
      </c>
      <c r="D263" s="9" t="s">
        <v>4272</v>
      </c>
      <c r="E263" s="9" t="s">
        <v>2736</v>
      </c>
      <c r="H263" t="s">
        <v>2148</v>
      </c>
      <c r="I263" s="17">
        <v>-1.23084186414902</v>
      </c>
      <c r="J263" s="17">
        <v>0.27027787571168399</v>
      </c>
      <c r="K263" s="21">
        <v>15</v>
      </c>
      <c r="L263" s="27">
        <v>5169379.10685487</v>
      </c>
      <c r="M263" s="22">
        <v>3.6068552838509345E-3</v>
      </c>
      <c r="N263" s="21">
        <v>5</v>
      </c>
      <c r="O263" s="27">
        <v>4695350.5458786022</v>
      </c>
      <c r="P263" s="22">
        <v>3.3048000481175135E-3</v>
      </c>
      <c r="Q263" s="21">
        <v>13</v>
      </c>
      <c r="R263" s="27">
        <v>5909197.837865972</v>
      </c>
      <c r="S263" s="22">
        <v>4.1835900787214565E-3</v>
      </c>
      <c r="T263" s="23">
        <v>7</v>
      </c>
      <c r="U263" s="28">
        <v>4867452.0857891552</v>
      </c>
      <c r="V263" s="24">
        <v>3.3905102627524385E-3</v>
      </c>
      <c r="W263" s="23">
        <v>2</v>
      </c>
      <c r="X263" s="28">
        <v>3538741.3527454771</v>
      </c>
      <c r="Y263" s="24">
        <v>2.4112966155330953E-3</v>
      </c>
      <c r="Z263" s="23">
        <v>6</v>
      </c>
      <c r="AA263" s="28">
        <v>5369265.9559138371</v>
      </c>
      <c r="AB263" s="24">
        <v>3.7133398522612147E-3</v>
      </c>
    </row>
    <row r="264" spans="1:28" x14ac:dyDescent="0.25">
      <c r="A264" t="s">
        <v>4726</v>
      </c>
      <c r="B264" t="s">
        <v>7317</v>
      </c>
      <c r="C264" t="s">
        <v>4728</v>
      </c>
      <c r="D264" s="9" t="s">
        <v>4727</v>
      </c>
      <c r="E264" s="9" t="s">
        <v>2736</v>
      </c>
      <c r="H264" t="s">
        <v>2800</v>
      </c>
      <c r="I264" s="17">
        <v>-1.23136980297941</v>
      </c>
      <c r="J264" s="17">
        <v>0.363399534558843</v>
      </c>
      <c r="K264" s="21">
        <v>20</v>
      </c>
      <c r="L264" s="27">
        <v>29947346.576584</v>
      </c>
      <c r="M264" s="22">
        <v>4.9095905861289556E-2</v>
      </c>
      <c r="N264" s="21">
        <v>14</v>
      </c>
      <c r="O264" s="27">
        <v>20624827.356619511</v>
      </c>
      <c r="P264" s="22">
        <v>3.4108614859605535E-2</v>
      </c>
      <c r="Q264" s="21">
        <v>18</v>
      </c>
      <c r="R264" s="27">
        <v>33143110.983803306</v>
      </c>
      <c r="S264" s="22">
        <v>5.5132852095506328E-2</v>
      </c>
      <c r="T264" s="23">
        <v>15</v>
      </c>
      <c r="U264" s="28">
        <v>26716567.927785441</v>
      </c>
      <c r="V264" s="24">
        <v>4.3726089512415203E-2</v>
      </c>
      <c r="W264" s="23">
        <v>17</v>
      </c>
      <c r="X264" s="28">
        <v>22443946.953614101</v>
      </c>
      <c r="Y264" s="24">
        <v>3.5933344693043406E-2</v>
      </c>
      <c r="Z264" s="23">
        <v>19</v>
      </c>
      <c r="AA264" s="28">
        <v>24463729.806203533</v>
      </c>
      <c r="AB264" s="24">
        <v>3.9752921216010387E-2</v>
      </c>
    </row>
    <row r="265" spans="1:28" x14ac:dyDescent="0.25">
      <c r="A265" t="s">
        <v>4341</v>
      </c>
      <c r="B265" t="s">
        <v>7187</v>
      </c>
      <c r="C265" t="s">
        <v>4343</v>
      </c>
      <c r="D265" s="9" t="s">
        <v>4342</v>
      </c>
      <c r="E265" s="9" t="s">
        <v>2736</v>
      </c>
      <c r="H265" t="s">
        <v>2800</v>
      </c>
      <c r="I265" s="17">
        <v>-1.23546225982255</v>
      </c>
      <c r="J265" s="17">
        <v>1.08188033039558E-2</v>
      </c>
      <c r="K265" s="21">
        <v>6</v>
      </c>
      <c r="L265" s="27">
        <v>1438308.45185607</v>
      </c>
      <c r="M265" s="22">
        <v>1.3528787299485158E-3</v>
      </c>
      <c r="N265" s="21">
        <v>3</v>
      </c>
      <c r="O265" s="27">
        <v>1565623.9047104304</v>
      </c>
      <c r="P265" s="22">
        <v>1.4855289250853454E-3</v>
      </c>
      <c r="Q265" s="21">
        <v>7</v>
      </c>
      <c r="R265" s="27">
        <v>1484440.4581077474</v>
      </c>
      <c r="S265" s="22">
        <v>1.4167717170482568E-3</v>
      </c>
      <c r="T265" s="23">
        <v>2</v>
      </c>
      <c r="U265" s="28">
        <v>1282161.9183188956</v>
      </c>
      <c r="V265" s="24">
        <v>1.2039896504928002E-3</v>
      </c>
      <c r="W265" s="23">
        <v>0</v>
      </c>
      <c r="X265" s="28">
        <v>1457317.6008204219</v>
      </c>
      <c r="Y265" s="24">
        <v>1.33866690720715E-3</v>
      </c>
      <c r="Z265" s="23">
        <v>1</v>
      </c>
      <c r="AA265" s="28">
        <v>1203184.6285124889</v>
      </c>
      <c r="AB265" s="24">
        <v>1.1217564074131323E-3</v>
      </c>
    </row>
    <row r="266" spans="1:28" x14ac:dyDescent="0.25">
      <c r="A266" t="s">
        <v>4265</v>
      </c>
      <c r="B266" t="s">
        <v>7162</v>
      </c>
      <c r="C266" t="s">
        <v>4267</v>
      </c>
      <c r="D266" s="9" t="s">
        <v>4266</v>
      </c>
      <c r="E266" s="9" t="s">
        <v>2736</v>
      </c>
      <c r="H266" t="s">
        <v>2148</v>
      </c>
      <c r="I266" s="17">
        <v>-1.23692337009299</v>
      </c>
      <c r="J266" s="17">
        <v>0.26213704464620902</v>
      </c>
      <c r="K266" s="21">
        <v>8</v>
      </c>
      <c r="L266" s="27">
        <v>6336236.5845098495</v>
      </c>
      <c r="M266" s="22">
        <v>1.199051989624496E-2</v>
      </c>
      <c r="N266" s="21">
        <v>5</v>
      </c>
      <c r="O266" s="27">
        <v>4757381.4003080474</v>
      </c>
      <c r="P266" s="22">
        <v>9.0815803980179768E-3</v>
      </c>
      <c r="Q266" s="21">
        <v>9</v>
      </c>
      <c r="R266" s="27">
        <v>5915642.0199410524</v>
      </c>
      <c r="S266" s="22">
        <v>1.1358965335040293E-2</v>
      </c>
      <c r="T266" s="23">
        <v>7</v>
      </c>
      <c r="U266" s="28">
        <v>5537040.4936777307</v>
      </c>
      <c r="V266" s="24">
        <v>1.0460618717918261E-2</v>
      </c>
      <c r="W266" s="23">
        <v>4</v>
      </c>
      <c r="X266" s="28">
        <v>4403544.4643028397</v>
      </c>
      <c r="Y266" s="24">
        <v>8.1380526688477669E-3</v>
      </c>
      <c r="Z266" s="23">
        <v>5</v>
      </c>
      <c r="AA266" s="28">
        <v>4963326.0263110735</v>
      </c>
      <c r="AB266" s="24">
        <v>9.3097684756126599E-3</v>
      </c>
    </row>
    <row r="267" spans="1:28" x14ac:dyDescent="0.25">
      <c r="A267" t="s">
        <v>4422</v>
      </c>
      <c r="B267" t="s">
        <v>7213</v>
      </c>
      <c r="C267" t="s">
        <v>4424</v>
      </c>
      <c r="D267" s="9" t="s">
        <v>4423</v>
      </c>
      <c r="E267" s="9" t="s">
        <v>2736</v>
      </c>
      <c r="H267" t="s">
        <v>1055</v>
      </c>
      <c r="I267" s="17">
        <v>-1.23984648002052</v>
      </c>
      <c r="J267" s="17">
        <v>3.7303287742821899E-2</v>
      </c>
      <c r="K267" s="21">
        <v>21</v>
      </c>
      <c r="L267" s="27">
        <v>25346406.512242701</v>
      </c>
      <c r="M267" s="22">
        <v>5.3171552685370368E-2</v>
      </c>
      <c r="N267" s="21">
        <v>15</v>
      </c>
      <c r="O267" s="27">
        <v>26588021.776194774</v>
      </c>
      <c r="P267" s="22">
        <v>5.6264673730155673E-2</v>
      </c>
      <c r="Q267" s="21">
        <v>17</v>
      </c>
      <c r="R267" s="27">
        <v>26377362.736406598</v>
      </c>
      <c r="S267" s="22">
        <v>5.6146744232376769E-2</v>
      </c>
      <c r="T267" s="23">
        <v>17</v>
      </c>
      <c r="U267" s="28">
        <v>22796127.243307233</v>
      </c>
      <c r="V267" s="24">
        <v>4.7741610223658054E-2</v>
      </c>
      <c r="W267" s="23">
        <v>14</v>
      </c>
      <c r="X267" s="28">
        <v>26067916.646682274</v>
      </c>
      <c r="Y267" s="24">
        <v>5.3404856349016198E-2</v>
      </c>
      <c r="Z267" s="23">
        <v>12</v>
      </c>
      <c r="AA267" s="28">
        <v>19745791.738323174</v>
      </c>
      <c r="AB267" s="24">
        <v>4.1057920209955648E-2</v>
      </c>
    </row>
    <row r="268" spans="1:28" x14ac:dyDescent="0.25">
      <c r="A268" t="s">
        <v>4689</v>
      </c>
      <c r="B268" t="s">
        <v>7305</v>
      </c>
      <c r="C268" t="s">
        <v>4691</v>
      </c>
      <c r="D268" s="9" t="s">
        <v>4690</v>
      </c>
      <c r="E268" s="9" t="s">
        <v>2736</v>
      </c>
      <c r="H268" t="s">
        <v>2148</v>
      </c>
      <c r="I268" s="17">
        <v>-1.2434973548608801</v>
      </c>
      <c r="J268" s="17">
        <v>0.264820806675933</v>
      </c>
      <c r="K268" s="21">
        <v>17</v>
      </c>
      <c r="L268" s="27">
        <v>11515978.788588099</v>
      </c>
      <c r="M268" s="22">
        <v>6.5396970504349797E-3</v>
      </c>
      <c r="N268" s="21">
        <v>14</v>
      </c>
      <c r="O268" s="27">
        <v>14372756.204269176</v>
      </c>
      <c r="P268" s="22">
        <v>8.2334843689656385E-3</v>
      </c>
      <c r="Q268" s="21">
        <v>14</v>
      </c>
      <c r="R268" s="27">
        <v>9209771.291028766</v>
      </c>
      <c r="S268" s="22">
        <v>5.3068385953758592E-3</v>
      </c>
      <c r="T268" s="23">
        <v>16</v>
      </c>
      <c r="U268" s="28">
        <v>11283008.600220868</v>
      </c>
      <c r="V268" s="24">
        <v>6.3966816430989495E-3</v>
      </c>
      <c r="W268" s="23">
        <v>7</v>
      </c>
      <c r="X268" s="28">
        <v>9943225.6040018145</v>
      </c>
      <c r="Y268" s="24">
        <v>5.5143654982510943E-3</v>
      </c>
      <c r="Z268" s="23">
        <v>10</v>
      </c>
      <c r="AA268" s="28">
        <v>9260028.622492481</v>
      </c>
      <c r="AB268" s="24">
        <v>5.2122897576491059E-3</v>
      </c>
    </row>
    <row r="269" spans="1:28" x14ac:dyDescent="0.25">
      <c r="A269" t="s">
        <v>4474</v>
      </c>
      <c r="B269" t="s">
        <v>7231</v>
      </c>
      <c r="C269" t="s">
        <v>4476</v>
      </c>
      <c r="D269" s="9" t="s">
        <v>4475</v>
      </c>
      <c r="E269" s="9" t="s">
        <v>2736</v>
      </c>
      <c r="H269" t="s">
        <v>57</v>
      </c>
      <c r="I269" s="17">
        <v>-1.24607903066418</v>
      </c>
      <c r="J269" s="17">
        <v>4.8231905287374997E-2</v>
      </c>
      <c r="K269" s="21">
        <v>19</v>
      </c>
      <c r="L269" s="27">
        <v>19515629.6715074</v>
      </c>
      <c r="M269" s="22">
        <v>2.7353172347748339E-2</v>
      </c>
      <c r="N269" s="21">
        <v>12</v>
      </c>
      <c r="O269" s="27">
        <v>19357266.16989034</v>
      </c>
      <c r="P269" s="22">
        <v>2.7368814609713583E-2</v>
      </c>
      <c r="Q269" s="21">
        <v>21</v>
      </c>
      <c r="R269" s="27">
        <v>22942718.429727264</v>
      </c>
      <c r="S269" s="22">
        <v>3.2628737379293206E-2</v>
      </c>
      <c r="T269" s="23">
        <v>17</v>
      </c>
      <c r="U269" s="28">
        <v>18863539.116648469</v>
      </c>
      <c r="V269" s="24">
        <v>2.6394981031517068E-2</v>
      </c>
      <c r="W269" s="23">
        <v>14</v>
      </c>
      <c r="X269" s="28">
        <v>17983585.8805402</v>
      </c>
      <c r="Y269" s="24">
        <v>2.4615740660534263E-2</v>
      </c>
      <c r="Z269" s="23">
        <v>12</v>
      </c>
      <c r="AA269" s="28">
        <v>16733003.629278833</v>
      </c>
      <c r="AB269" s="24">
        <v>2.3246548806976713E-2</v>
      </c>
    </row>
    <row r="270" spans="1:28" x14ac:dyDescent="0.25">
      <c r="A270" t="s">
        <v>4241</v>
      </c>
      <c r="B270" t="s">
        <v>7154</v>
      </c>
      <c r="C270" t="s">
        <v>4243</v>
      </c>
      <c r="D270" s="9" t="s">
        <v>4242</v>
      </c>
      <c r="E270" s="9" t="s">
        <v>2736</v>
      </c>
      <c r="H270" t="s">
        <v>2148</v>
      </c>
      <c r="I270" s="17">
        <v>-1.2471590759047599</v>
      </c>
      <c r="J270" s="17">
        <v>0.11784727589547001</v>
      </c>
      <c r="K270" s="21">
        <v>4</v>
      </c>
      <c r="L270" s="27">
        <v>6243435.57522575</v>
      </c>
      <c r="M270" s="22">
        <v>1.6521258342817816E-2</v>
      </c>
      <c r="N270" s="21">
        <v>2</v>
      </c>
      <c r="O270" s="27">
        <v>5140202.3267194303</v>
      </c>
      <c r="P270" s="22">
        <v>1.3721024313910205E-2</v>
      </c>
      <c r="Q270" s="21">
        <v>3</v>
      </c>
      <c r="R270" s="27">
        <v>6099586.0780959185</v>
      </c>
      <c r="S270" s="22">
        <v>1.6377594416891399E-2</v>
      </c>
      <c r="T270" s="23">
        <v>5</v>
      </c>
      <c r="U270" s="28">
        <v>5253094.5250514774</v>
      </c>
      <c r="V270" s="24">
        <v>1.3877388511612812E-2</v>
      </c>
      <c r="W270" s="23">
        <v>3</v>
      </c>
      <c r="X270" s="28">
        <v>5010932.4150828859</v>
      </c>
      <c r="Y270" s="24">
        <v>1.2949396053419878E-2</v>
      </c>
      <c r="Z270" s="23">
        <v>3</v>
      </c>
      <c r="AA270" s="28">
        <v>4959681.8810429256</v>
      </c>
      <c r="AB270" s="24">
        <v>1.3008665800925006E-2</v>
      </c>
    </row>
    <row r="271" spans="1:28" x14ac:dyDescent="0.25">
      <c r="A271" t="s">
        <v>4471</v>
      </c>
      <c r="B271" t="s">
        <v>7230</v>
      </c>
      <c r="C271" t="s">
        <v>4473</v>
      </c>
      <c r="D271" s="9" t="s">
        <v>4472</v>
      </c>
      <c r="E271" s="9" t="s">
        <v>2736</v>
      </c>
      <c r="H271" t="s">
        <v>57</v>
      </c>
      <c r="I271" s="17">
        <v>-1.2494323297226899</v>
      </c>
      <c r="J271" s="17">
        <v>3.8601813156210599E-2</v>
      </c>
      <c r="K271" s="21">
        <v>6</v>
      </c>
      <c r="L271" s="27">
        <v>4498961.8865474705</v>
      </c>
      <c r="M271" s="22">
        <v>7.3567201740396175E-3</v>
      </c>
      <c r="N271" s="21">
        <v>6</v>
      </c>
      <c r="O271" s="27">
        <v>4889735.0607759599</v>
      </c>
      <c r="P271" s="22">
        <v>8.0657375061920032E-3</v>
      </c>
      <c r="Q271" s="21">
        <v>7</v>
      </c>
      <c r="R271" s="27">
        <v>5184311.069142607</v>
      </c>
      <c r="S271" s="22">
        <v>8.6018771358777925E-3</v>
      </c>
      <c r="T271" s="23">
        <v>5</v>
      </c>
      <c r="U271" s="28">
        <v>4426745.5436436124</v>
      </c>
      <c r="V271" s="24">
        <v>7.2265252694894856E-3</v>
      </c>
      <c r="W271" s="23">
        <v>5</v>
      </c>
      <c r="X271" s="28">
        <v>3935636.2480710074</v>
      </c>
      <c r="Y271" s="24">
        <v>6.2848997693577841E-3</v>
      </c>
      <c r="Z271" s="23">
        <v>5</v>
      </c>
      <c r="AA271" s="28">
        <v>4200299.9078593273</v>
      </c>
      <c r="AB271" s="24">
        <v>6.8078765457264892E-3</v>
      </c>
    </row>
    <row r="272" spans="1:28" x14ac:dyDescent="0.25">
      <c r="A272" t="s">
        <v>4374</v>
      </c>
      <c r="B272" t="s">
        <v>7198</v>
      </c>
      <c r="C272" t="s">
        <v>4376</v>
      </c>
      <c r="D272" s="9" t="s">
        <v>4375</v>
      </c>
      <c r="E272" s="9" t="s">
        <v>2736</v>
      </c>
      <c r="H272" t="s">
        <v>2800</v>
      </c>
      <c r="I272" s="17">
        <v>-1.2503521651715801</v>
      </c>
      <c r="J272" s="17">
        <v>0.39791691345508101</v>
      </c>
      <c r="K272" s="21">
        <v>7</v>
      </c>
      <c r="L272" s="27">
        <v>3046338.2023072899</v>
      </c>
      <c r="M272" s="22">
        <v>2.3663091869566347E-3</v>
      </c>
      <c r="N272" s="21">
        <v>3</v>
      </c>
      <c r="O272" s="27">
        <v>1919303.5256354697</v>
      </c>
      <c r="P272" s="22">
        <v>1.5039169931747049E-3</v>
      </c>
      <c r="Q272" s="21">
        <v>9</v>
      </c>
      <c r="R272" s="27">
        <v>3307493.5788256219</v>
      </c>
      <c r="S272" s="22">
        <v>2.6068896180747024E-3</v>
      </c>
      <c r="T272" s="23">
        <v>2</v>
      </c>
      <c r="U272" s="28">
        <v>2456053.2948562726</v>
      </c>
      <c r="V272" s="24">
        <v>1.9046018563558744E-3</v>
      </c>
      <c r="W272" s="23">
        <v>1</v>
      </c>
      <c r="X272" s="28">
        <v>2175670.2913424443</v>
      </c>
      <c r="Y272" s="24">
        <v>1.6504331402574807E-3</v>
      </c>
      <c r="Z272" s="23">
        <v>2</v>
      </c>
      <c r="AA272" s="28">
        <v>2550401.6426974409</v>
      </c>
      <c r="AB272" s="24">
        <v>1.9636378746829102E-3</v>
      </c>
    </row>
    <row r="273" spans="1:28" x14ac:dyDescent="0.25">
      <c r="A273" t="s">
        <v>4434</v>
      </c>
      <c r="B273" t="s">
        <v>7217</v>
      </c>
      <c r="C273" t="s">
        <v>4436</v>
      </c>
      <c r="D273" s="9" t="s">
        <v>4435</v>
      </c>
      <c r="E273" s="9" t="s">
        <v>2736</v>
      </c>
      <c r="H273" t="s">
        <v>1055</v>
      </c>
      <c r="I273" s="17">
        <v>-1.25201764331121</v>
      </c>
      <c r="J273" s="17">
        <v>0.119533824315719</v>
      </c>
      <c r="K273" s="21">
        <v>1</v>
      </c>
      <c r="L273" s="27">
        <v>1345358.5802658901</v>
      </c>
      <c r="M273" s="22">
        <v>2.4100418556194767E-3</v>
      </c>
      <c r="N273" s="21">
        <v>1</v>
      </c>
      <c r="O273" s="27">
        <v>1128649.7739827561</v>
      </c>
      <c r="P273" s="22">
        <v>2.0395415796041361E-3</v>
      </c>
      <c r="Q273" s="21">
        <v>2</v>
      </c>
      <c r="R273" s="27">
        <v>1427672.4964996735</v>
      </c>
      <c r="S273" s="22">
        <v>2.595047938562666E-3</v>
      </c>
      <c r="T273" s="23">
        <v>2</v>
      </c>
      <c r="U273" s="28">
        <v>1194852.1510911204</v>
      </c>
      <c r="V273" s="24">
        <v>2.1368485659926393E-3</v>
      </c>
      <c r="W273" s="23">
        <v>1</v>
      </c>
      <c r="X273" s="28">
        <v>1118912.2457855335</v>
      </c>
      <c r="Y273" s="24">
        <v>1.9574651562125935E-3</v>
      </c>
      <c r="Z273" s="23">
        <v>1</v>
      </c>
      <c r="AA273" s="28">
        <v>1063920.5665957737</v>
      </c>
      <c r="AB273" s="24">
        <v>1.8891010272844141E-3</v>
      </c>
    </row>
    <row r="274" spans="1:28" x14ac:dyDescent="0.25">
      <c r="A274" t="s">
        <v>4583</v>
      </c>
      <c r="B274" t="s">
        <v>7269</v>
      </c>
      <c r="C274" t="s">
        <v>4584</v>
      </c>
      <c r="D274" s="9" t="s">
        <v>4537</v>
      </c>
      <c r="E274" s="9" t="s">
        <v>2736</v>
      </c>
      <c r="H274" t="s">
        <v>2737</v>
      </c>
      <c r="I274" s="17">
        <v>-1.2557355372090799</v>
      </c>
      <c r="J274" s="17">
        <v>5.5389345331470202E-3</v>
      </c>
      <c r="K274" s="21">
        <v>19</v>
      </c>
      <c r="L274" s="27">
        <v>32799048.478257298</v>
      </c>
      <c r="M274" s="22">
        <v>8.4342427037134293E-2</v>
      </c>
      <c r="N274" s="21">
        <v>18</v>
      </c>
      <c r="O274" s="27">
        <v>33894092.454770051</v>
      </c>
      <c r="P274" s="22">
        <v>8.792162202042475E-2</v>
      </c>
      <c r="Q274" s="21">
        <v>18</v>
      </c>
      <c r="R274" s="27">
        <v>36324079.680042244</v>
      </c>
      <c r="S274" s="22">
        <v>9.4778477657822588E-2</v>
      </c>
      <c r="T274" s="23">
        <v>16</v>
      </c>
      <c r="U274" s="28">
        <v>29434944.529373817</v>
      </c>
      <c r="V274" s="24">
        <v>7.5565074489655853E-2</v>
      </c>
      <c r="W274" s="23">
        <v>14</v>
      </c>
      <c r="X274" s="28">
        <v>30393018.917183403</v>
      </c>
      <c r="Y274" s="24">
        <v>7.6325590112411107E-2</v>
      </c>
      <c r="Z274" s="23">
        <v>16</v>
      </c>
      <c r="AA274" s="28">
        <v>28951700.730320968</v>
      </c>
      <c r="AB274" s="24">
        <v>7.3793545648215372E-2</v>
      </c>
    </row>
    <row r="275" spans="1:28" x14ac:dyDescent="0.25">
      <c r="A275" t="s">
        <v>4701</v>
      </c>
      <c r="B275" t="s">
        <v>7309</v>
      </c>
      <c r="C275" t="s">
        <v>4703</v>
      </c>
      <c r="D275" s="9" t="s">
        <v>4702</v>
      </c>
      <c r="E275" s="9" t="s">
        <v>2736</v>
      </c>
      <c r="H275" t="s">
        <v>1055</v>
      </c>
      <c r="I275" s="17">
        <v>-1.2655993686096501</v>
      </c>
      <c r="J275" s="17">
        <v>0.29427634963886101</v>
      </c>
      <c r="K275" s="21">
        <v>18</v>
      </c>
      <c r="L275" s="27">
        <v>14711529.397183601</v>
      </c>
      <c r="M275" s="22">
        <v>2.3572806001193776E-2</v>
      </c>
      <c r="N275" s="21">
        <v>8</v>
      </c>
      <c r="O275" s="27">
        <v>11037408.918172877</v>
      </c>
      <c r="P275" s="22">
        <v>1.7840516493460398E-2</v>
      </c>
      <c r="Q275" s="21">
        <v>21</v>
      </c>
      <c r="R275" s="27">
        <v>18756057.149132438</v>
      </c>
      <c r="S275" s="22">
        <v>3.0494763191272794E-2</v>
      </c>
      <c r="T275" s="23">
        <v>10</v>
      </c>
      <c r="U275" s="28">
        <v>13497146.809164733</v>
      </c>
      <c r="V275" s="24">
        <v>2.1590787030660804E-2</v>
      </c>
      <c r="W275" s="23">
        <v>6</v>
      </c>
      <c r="X275" s="28">
        <v>11739414.886575194</v>
      </c>
      <c r="Y275" s="24">
        <v>1.8370094504976963E-2</v>
      </c>
      <c r="Z275" s="23">
        <v>6</v>
      </c>
      <c r="AA275" s="28">
        <v>12732556.062484398</v>
      </c>
      <c r="AB275" s="24">
        <v>2.0222204729880594E-2</v>
      </c>
    </row>
    <row r="276" spans="1:28" x14ac:dyDescent="0.25">
      <c r="A276" s="82" t="s">
        <v>4580</v>
      </c>
      <c r="B276" s="82" t="s">
        <v>7268</v>
      </c>
      <c r="C276" s="82" t="s">
        <v>4582</v>
      </c>
      <c r="D276" s="83" t="s">
        <v>4581</v>
      </c>
      <c r="E276" s="83" t="s">
        <v>2736</v>
      </c>
      <c r="F276" s="82"/>
      <c r="G276" s="82"/>
      <c r="H276" s="82" t="s">
        <v>2148</v>
      </c>
      <c r="I276" s="47">
        <v>-1.27467170977302</v>
      </c>
      <c r="J276" s="47">
        <v>1.8687593648237601E-2</v>
      </c>
      <c r="K276" s="88">
        <v>13</v>
      </c>
      <c r="L276" s="89">
        <v>25949155.975411899</v>
      </c>
      <c r="M276" s="22">
        <v>7.7329640891042287E-2</v>
      </c>
      <c r="N276" s="88">
        <v>7</v>
      </c>
      <c r="O276" s="89">
        <v>24880571.354770057</v>
      </c>
      <c r="P276" s="22">
        <v>7.4794547398989469E-2</v>
      </c>
      <c r="Q276" s="88">
        <v>14</v>
      </c>
      <c r="R276" s="89">
        <v>26177306.030740447</v>
      </c>
      <c r="S276" s="22">
        <v>7.9154929563316989E-2</v>
      </c>
      <c r="T276" s="90">
        <v>11</v>
      </c>
      <c r="U276" s="91">
        <v>21308863.012457412</v>
      </c>
      <c r="V276" s="24">
        <v>6.3395156460802002E-2</v>
      </c>
      <c r="W276" s="90">
        <v>9</v>
      </c>
      <c r="X276" s="91">
        <v>21856281.705443345</v>
      </c>
      <c r="Y276" s="24">
        <v>6.3607820881039126E-2</v>
      </c>
      <c r="Z276" s="90">
        <v>9</v>
      </c>
      <c r="AA276" s="91">
        <v>22353311.055124097</v>
      </c>
      <c r="AB276" s="24">
        <v>6.6027380222755408E-2</v>
      </c>
    </row>
    <row r="277" spans="1:28" x14ac:dyDescent="0.25">
      <c r="A277" t="s">
        <v>4220</v>
      </c>
      <c r="B277" t="s">
        <v>7147</v>
      </c>
      <c r="C277" t="s">
        <v>4222</v>
      </c>
      <c r="D277" s="9" t="s">
        <v>4221</v>
      </c>
      <c r="E277" s="9" t="s">
        <v>2736</v>
      </c>
      <c r="H277" t="s">
        <v>2148</v>
      </c>
      <c r="I277" s="17">
        <v>-1.28123758232802</v>
      </c>
      <c r="J277" s="17">
        <v>1.5248037450927499E-2</v>
      </c>
      <c r="K277" s="21">
        <v>1</v>
      </c>
      <c r="L277" s="27">
        <v>642625.18650439801</v>
      </c>
      <c r="M277" s="22">
        <v>2.4837640048194793E-3</v>
      </c>
      <c r="N277" s="21">
        <v>2</v>
      </c>
      <c r="O277" s="27">
        <v>638792.61885162513</v>
      </c>
      <c r="P277" s="22">
        <v>2.4905731837534528E-3</v>
      </c>
      <c r="Q277" s="21">
        <v>1</v>
      </c>
      <c r="R277" s="27">
        <v>703972.19093061402</v>
      </c>
      <c r="S277" s="22">
        <v>2.7608216322839072E-3</v>
      </c>
      <c r="T277" s="23">
        <v>1</v>
      </c>
      <c r="U277" s="28">
        <v>572473.65816104983</v>
      </c>
      <c r="V277" s="24">
        <v>2.2089258497386185E-3</v>
      </c>
      <c r="W277" s="23">
        <v>1</v>
      </c>
      <c r="X277" s="28">
        <v>561096.47090623633</v>
      </c>
      <c r="Y277" s="24">
        <v>2.1178812433597098E-3</v>
      </c>
      <c r="Z277" s="23">
        <v>1</v>
      </c>
      <c r="AA277" s="28">
        <v>542689.67372042744</v>
      </c>
      <c r="AB277" s="24">
        <v>2.0790435735492906E-3</v>
      </c>
    </row>
    <row r="278" spans="1:28" x14ac:dyDescent="0.25">
      <c r="A278" t="s">
        <v>4371</v>
      </c>
      <c r="B278" t="s">
        <v>7197</v>
      </c>
      <c r="C278" t="s">
        <v>4373</v>
      </c>
      <c r="D278" s="9" t="s">
        <v>4372</v>
      </c>
      <c r="E278" s="9" t="s">
        <v>2736</v>
      </c>
      <c r="H278" t="s">
        <v>2800</v>
      </c>
      <c r="I278" s="17">
        <v>-1.2849486124059799</v>
      </c>
      <c r="J278" s="17">
        <v>0.28821799211142302</v>
      </c>
      <c r="K278" s="21">
        <v>2</v>
      </c>
      <c r="L278" s="27">
        <v>323495.41688082798</v>
      </c>
      <c r="M278" s="22">
        <v>7.4747312135265039E-4</v>
      </c>
      <c r="N278" s="21">
        <v>1</v>
      </c>
      <c r="O278" s="27">
        <v>221830.87595377525</v>
      </c>
      <c r="P278" s="22">
        <v>5.1705444341560228E-4</v>
      </c>
      <c r="Q278" s="21">
        <v>1</v>
      </c>
      <c r="R278" s="27">
        <v>379505.23558530363</v>
      </c>
      <c r="S278" s="22">
        <v>8.8976533047962906E-4</v>
      </c>
      <c r="T278" s="23">
        <v>0</v>
      </c>
      <c r="U278" s="28">
        <v>256845.02793960727</v>
      </c>
      <c r="V278" s="24">
        <v>5.9247721712593561E-4</v>
      </c>
      <c r="W278" s="23">
        <v>0</v>
      </c>
      <c r="X278" s="28">
        <v>248594.77254748865</v>
      </c>
      <c r="Y278" s="24">
        <v>5.6095874289729974E-4</v>
      </c>
      <c r="Z278" s="23">
        <v>0</v>
      </c>
      <c r="AA278" s="28">
        <v>275359.12489038182</v>
      </c>
      <c r="AB278" s="24">
        <v>6.3064705001673958E-4</v>
      </c>
    </row>
    <row r="279" spans="1:28" x14ac:dyDescent="0.25">
      <c r="A279" t="s">
        <v>4578</v>
      </c>
      <c r="B279" t="s">
        <v>7267</v>
      </c>
      <c r="C279" t="s">
        <v>4579</v>
      </c>
      <c r="D279" s="9" t="s">
        <v>4475</v>
      </c>
      <c r="E279" s="9" t="s">
        <v>2736</v>
      </c>
      <c r="H279" t="s">
        <v>57</v>
      </c>
      <c r="I279" s="17">
        <v>-1.29038989385143</v>
      </c>
      <c r="J279" s="17">
        <v>4.1114530446586299E-2</v>
      </c>
      <c r="K279" s="21">
        <v>22</v>
      </c>
      <c r="L279" s="27">
        <v>15493959.6121666</v>
      </c>
      <c r="M279" s="22">
        <v>2.0542527328373986E-2</v>
      </c>
      <c r="N279" s="21">
        <v>16</v>
      </c>
      <c r="O279" s="27">
        <v>16707755.945926081</v>
      </c>
      <c r="P279" s="22">
        <v>2.2345825810498713E-2</v>
      </c>
      <c r="Q279" s="21">
        <v>25</v>
      </c>
      <c r="R279" s="27">
        <v>20176581.720206119</v>
      </c>
      <c r="S279" s="22">
        <v>2.7143716097316403E-2</v>
      </c>
      <c r="T279" s="23">
        <v>18</v>
      </c>
      <c r="U279" s="28">
        <v>15586028.768835703</v>
      </c>
      <c r="V279" s="24">
        <v>2.0630035298647521E-2</v>
      </c>
      <c r="W279" s="23">
        <v>13</v>
      </c>
      <c r="X279" s="28">
        <v>14394063.300068589</v>
      </c>
      <c r="Y279" s="24">
        <v>1.8637443635096691E-2</v>
      </c>
      <c r="Z279" s="23">
        <v>12</v>
      </c>
      <c r="AA279" s="28">
        <v>13709826.136766402</v>
      </c>
      <c r="AB279" s="24">
        <v>1.8017015357964111E-2</v>
      </c>
    </row>
    <row r="280" spans="1:28" x14ac:dyDescent="0.25">
      <c r="A280" t="s">
        <v>4253</v>
      </c>
      <c r="B280" t="s">
        <v>7158</v>
      </c>
      <c r="C280" t="s">
        <v>4255</v>
      </c>
      <c r="D280" s="9" t="s">
        <v>4254</v>
      </c>
      <c r="E280" s="9" t="s">
        <v>2736</v>
      </c>
      <c r="H280" t="s">
        <v>2148</v>
      </c>
      <c r="I280" s="17">
        <v>-1.2987209443341901</v>
      </c>
      <c r="J280" s="17">
        <v>0.15953473185421599</v>
      </c>
      <c r="K280" s="21">
        <v>1</v>
      </c>
      <c r="L280" s="27">
        <v>1497642.3494448899</v>
      </c>
      <c r="M280" s="22">
        <v>4.5698122381396923E-3</v>
      </c>
      <c r="N280" s="21">
        <v>2</v>
      </c>
      <c r="O280" s="27">
        <v>1755865.4156959527</v>
      </c>
      <c r="P280" s="22">
        <v>5.4046590431403186E-3</v>
      </c>
      <c r="Q280" s="21">
        <v>5</v>
      </c>
      <c r="R280" s="27">
        <v>1439353.475227708</v>
      </c>
      <c r="S280" s="22">
        <v>4.4564389819580991E-3</v>
      </c>
      <c r="T280" s="23">
        <v>0</v>
      </c>
      <c r="U280" s="28">
        <v>1611769.6741127998</v>
      </c>
      <c r="V280" s="24">
        <v>4.9098278831165541E-3</v>
      </c>
      <c r="W280" s="23">
        <v>1</v>
      </c>
      <c r="X280" s="28">
        <v>1126300.1530330745</v>
      </c>
      <c r="Y280" s="24">
        <v>3.3562620955301871E-3</v>
      </c>
      <c r="Z280" s="23">
        <v>2</v>
      </c>
      <c r="AA280" s="28">
        <v>1139793.8597573249</v>
      </c>
      <c r="AB280" s="24">
        <v>3.4472755949871221E-3</v>
      </c>
    </row>
    <row r="281" spans="1:28" x14ac:dyDescent="0.25">
      <c r="A281" t="s">
        <v>4437</v>
      </c>
      <c r="B281" t="s">
        <v>7218</v>
      </c>
      <c r="C281" t="s">
        <v>4439</v>
      </c>
      <c r="D281" s="9" t="s">
        <v>4438</v>
      </c>
      <c r="E281" s="9" t="s">
        <v>2736</v>
      </c>
      <c r="H281" t="s">
        <v>1055</v>
      </c>
      <c r="I281" s="17">
        <v>-1.29915370482634</v>
      </c>
      <c r="J281" s="17">
        <v>0.12945145642608299</v>
      </c>
      <c r="K281" s="21">
        <v>14</v>
      </c>
      <c r="L281" s="27">
        <v>15243345.526302001</v>
      </c>
      <c r="M281" s="22">
        <v>3.0096382788633656E-2</v>
      </c>
      <c r="N281" s="21">
        <v>9</v>
      </c>
      <c r="O281" s="27">
        <v>23429399.229238778</v>
      </c>
      <c r="P281" s="22">
        <v>4.666400317354958E-2</v>
      </c>
      <c r="Q281" s="21">
        <v>10</v>
      </c>
      <c r="R281" s="27">
        <v>15469378.714755634</v>
      </c>
      <c r="S281" s="22">
        <v>3.0991110559398124E-2</v>
      </c>
      <c r="T281" s="23">
        <v>9</v>
      </c>
      <c r="U281" s="28">
        <v>15249640.64332138</v>
      </c>
      <c r="V281" s="24">
        <v>3.0058455492127031E-2</v>
      </c>
      <c r="W281" s="23">
        <v>7</v>
      </c>
      <c r="X281" s="28">
        <v>15505454.790994439</v>
      </c>
      <c r="Y281" s="24">
        <v>2.9897164285941625E-2</v>
      </c>
      <c r="Z281" s="23">
        <v>9</v>
      </c>
      <c r="AA281" s="28">
        <v>14112149.158256548</v>
      </c>
      <c r="AB281" s="24">
        <v>2.7617643141230216E-2</v>
      </c>
    </row>
    <row r="282" spans="1:28" x14ac:dyDescent="0.25">
      <c r="A282" t="s">
        <v>4614</v>
      </c>
      <c r="B282" t="s">
        <v>7280</v>
      </c>
      <c r="C282" t="s">
        <v>4616</v>
      </c>
      <c r="D282" s="9" t="s">
        <v>4615</v>
      </c>
      <c r="E282" s="9" t="s">
        <v>2736</v>
      </c>
      <c r="H282" t="s">
        <v>1055</v>
      </c>
      <c r="I282" s="17">
        <v>-1.30645713521537</v>
      </c>
      <c r="J282" s="17">
        <v>0.116592870469255</v>
      </c>
      <c r="K282" s="21">
        <v>5</v>
      </c>
      <c r="L282" s="27">
        <v>6739848.3324490702</v>
      </c>
      <c r="M282" s="22">
        <v>4.1730100359302483E-2</v>
      </c>
      <c r="N282" s="21">
        <v>6</v>
      </c>
      <c r="O282" s="27">
        <v>8782317.243954204</v>
      </c>
      <c r="P282" s="22">
        <v>5.4852352592112602E-2</v>
      </c>
      <c r="Q282" s="21">
        <v>6</v>
      </c>
      <c r="R282" s="27">
        <v>5838444.3839259809</v>
      </c>
      <c r="S282" s="22">
        <v>3.6679779202875469E-2</v>
      </c>
      <c r="T282" s="23">
        <v>5</v>
      </c>
      <c r="U282" s="28">
        <v>6035673.9428323302</v>
      </c>
      <c r="V282" s="24">
        <v>3.7307669400108788E-2</v>
      </c>
      <c r="W282" s="23">
        <v>5</v>
      </c>
      <c r="X282" s="28">
        <v>6033034.7433651481</v>
      </c>
      <c r="Y282" s="24">
        <v>3.6479309807303309E-2</v>
      </c>
      <c r="Z282" s="23">
        <v>5</v>
      </c>
      <c r="AA282" s="28">
        <v>5608036.0259976778</v>
      </c>
      <c r="AB282" s="24">
        <v>3.4416725501884599E-2</v>
      </c>
    </row>
    <row r="283" spans="1:28" x14ac:dyDescent="0.25">
      <c r="A283" t="s">
        <v>4665</v>
      </c>
      <c r="B283" t="s">
        <v>7297</v>
      </c>
      <c r="C283" t="s">
        <v>4667</v>
      </c>
      <c r="D283" s="9" t="s">
        <v>4666</v>
      </c>
      <c r="E283" s="9" t="s">
        <v>2736</v>
      </c>
      <c r="H283" t="s">
        <v>17</v>
      </c>
      <c r="I283" s="17">
        <v>-1.31047876443107</v>
      </c>
      <c r="J283" s="17">
        <v>0.215648823685158</v>
      </c>
      <c r="K283" s="21">
        <v>53</v>
      </c>
      <c r="L283" s="27">
        <v>85794875.474799901</v>
      </c>
      <c r="M283" s="22">
        <v>6.2530201103265903E-2</v>
      </c>
      <c r="N283" s="21">
        <v>36</v>
      </c>
      <c r="O283" s="27">
        <v>69798784.130378187</v>
      </c>
      <c r="P283" s="22">
        <v>5.1317225395493528E-2</v>
      </c>
      <c r="Q283" s="21">
        <v>55</v>
      </c>
      <c r="R283" s="27">
        <v>106841382.85169195</v>
      </c>
      <c r="S283" s="22">
        <v>7.9012942827712943E-2</v>
      </c>
      <c r="T283" s="23">
        <v>43</v>
      </c>
      <c r="U283" s="28">
        <v>75998773.034168825</v>
      </c>
      <c r="V283" s="24">
        <v>5.5297831617409136E-2</v>
      </c>
      <c r="W283" s="23">
        <v>30</v>
      </c>
      <c r="X283" s="28">
        <v>58981267.908245265</v>
      </c>
      <c r="Y283" s="24">
        <v>4.1981124022631676E-2</v>
      </c>
      <c r="Z283" s="23">
        <v>37</v>
      </c>
      <c r="AA283" s="28">
        <v>80552740.008478865</v>
      </c>
      <c r="AB283" s="24">
        <v>5.8192664430577648E-2</v>
      </c>
    </row>
    <row r="284" spans="1:28" x14ac:dyDescent="0.25">
      <c r="A284" t="s">
        <v>4419</v>
      </c>
      <c r="B284" t="s">
        <v>7212</v>
      </c>
      <c r="C284" t="s">
        <v>4421</v>
      </c>
      <c r="D284" s="9" t="s">
        <v>4420</v>
      </c>
      <c r="E284" s="9" t="s">
        <v>2736</v>
      </c>
      <c r="H284" t="s">
        <v>1055</v>
      </c>
      <c r="I284" s="17">
        <v>-1.31443788552864</v>
      </c>
      <c r="J284" s="17">
        <v>2.3995369666123999E-2</v>
      </c>
      <c r="K284" s="21">
        <v>8</v>
      </c>
      <c r="L284" s="27">
        <v>8539733.2631114591</v>
      </c>
      <c r="M284" s="22">
        <v>8.6035388867087594E-3</v>
      </c>
      <c r="N284" s="21">
        <v>4</v>
      </c>
      <c r="O284" s="27">
        <v>9752229.5943178236</v>
      </c>
      <c r="P284" s="22">
        <v>9.9111390644104676E-3</v>
      </c>
      <c r="Q284" s="21">
        <v>10</v>
      </c>
      <c r="R284" s="27">
        <v>9572479.5967013203</v>
      </c>
      <c r="S284" s="22">
        <v>9.7856015732183353E-3</v>
      </c>
      <c r="T284" s="23">
        <v>7</v>
      </c>
      <c r="U284" s="28">
        <v>8170514.5164204175</v>
      </c>
      <c r="V284" s="24">
        <v>8.2177943683217104E-3</v>
      </c>
      <c r="W284" s="23">
        <v>4</v>
      </c>
      <c r="X284" s="28">
        <v>7106765.7046685265</v>
      </c>
      <c r="Y284" s="24">
        <v>6.9922395579653249E-3</v>
      </c>
      <c r="Z284" s="23">
        <v>5</v>
      </c>
      <c r="AA284" s="28">
        <v>7538461.8659086553</v>
      </c>
      <c r="AB284" s="24">
        <v>7.5279202590989962E-3</v>
      </c>
    </row>
    <row r="285" spans="1:28" x14ac:dyDescent="0.25">
      <c r="A285" t="s">
        <v>4223</v>
      </c>
      <c r="B285" t="s">
        <v>7148</v>
      </c>
      <c r="C285" t="s">
        <v>4225</v>
      </c>
      <c r="D285" s="9" t="s">
        <v>4224</v>
      </c>
      <c r="E285" s="9" t="s">
        <v>2736</v>
      </c>
      <c r="H285" t="s">
        <v>2148</v>
      </c>
      <c r="I285" s="17">
        <v>-1.3145925622621799</v>
      </c>
      <c r="J285" s="17">
        <v>5.4174046763307698E-2</v>
      </c>
      <c r="K285" s="21">
        <v>15</v>
      </c>
      <c r="L285" s="27">
        <v>10666006.394087199</v>
      </c>
      <c r="M285" s="22">
        <v>1.6430017605046286E-2</v>
      </c>
      <c r="N285" s="21">
        <v>11</v>
      </c>
      <c r="O285" s="27">
        <v>10287493.622791443</v>
      </c>
      <c r="P285" s="22">
        <v>1.5985734677086135E-2</v>
      </c>
      <c r="Q285" s="21">
        <v>19</v>
      </c>
      <c r="R285" s="27">
        <v>11949245.603741203</v>
      </c>
      <c r="S285" s="22">
        <v>1.867699215830752E-2</v>
      </c>
      <c r="T285" s="23">
        <v>12</v>
      </c>
      <c r="U285" s="28">
        <v>9947781.079273738</v>
      </c>
      <c r="V285" s="24">
        <v>1.5298028017662529E-2</v>
      </c>
      <c r="W285" s="23">
        <v>9</v>
      </c>
      <c r="X285" s="28">
        <v>8393583.6330185924</v>
      </c>
      <c r="Y285" s="24">
        <v>1.2626852058422403E-2</v>
      </c>
      <c r="Z285" s="23">
        <v>10</v>
      </c>
      <c r="AA285" s="28">
        <v>8646050.3928251043</v>
      </c>
      <c r="AB285" s="24">
        <v>1.3201199649613599E-2</v>
      </c>
    </row>
    <row r="286" spans="1:28" x14ac:dyDescent="0.25">
      <c r="A286" t="s">
        <v>4443</v>
      </c>
      <c r="B286" t="s">
        <v>7220</v>
      </c>
      <c r="C286" t="s">
        <v>4445</v>
      </c>
      <c r="D286" s="9" t="s">
        <v>4444</v>
      </c>
      <c r="E286" s="9" t="s">
        <v>2736</v>
      </c>
      <c r="H286" t="s">
        <v>1055</v>
      </c>
      <c r="I286" s="17">
        <v>-1.3146463293353701</v>
      </c>
      <c r="J286" s="17">
        <v>0.16286103206763899</v>
      </c>
      <c r="K286" s="21">
        <v>6</v>
      </c>
      <c r="L286" s="27">
        <v>16148030.7327276</v>
      </c>
      <c r="M286" s="22">
        <v>6.3568371086027434E-2</v>
      </c>
      <c r="N286" s="21">
        <v>7</v>
      </c>
      <c r="O286" s="27">
        <v>14031985.720907524</v>
      </c>
      <c r="P286" s="22">
        <v>5.5722100876318847E-2</v>
      </c>
      <c r="Q286" s="21">
        <v>11</v>
      </c>
      <c r="R286" s="27">
        <v>19762444.689681355</v>
      </c>
      <c r="S286" s="22">
        <v>7.8939149475119652E-2</v>
      </c>
      <c r="T286" s="23">
        <v>8</v>
      </c>
      <c r="U286" s="28">
        <v>15512130.624763874</v>
      </c>
      <c r="V286" s="24">
        <v>6.096295536176536E-2</v>
      </c>
      <c r="W286" s="23">
        <v>6</v>
      </c>
      <c r="X286" s="28">
        <v>11531289.236190723</v>
      </c>
      <c r="Y286" s="24">
        <v>4.4331340338431967E-2</v>
      </c>
      <c r="Z286" s="23">
        <v>8</v>
      </c>
      <c r="AA286" s="28">
        <v>13795747.464088997</v>
      </c>
      <c r="AB286" s="24">
        <v>5.383022550742541E-2</v>
      </c>
    </row>
    <row r="287" spans="1:28" x14ac:dyDescent="0.25">
      <c r="A287" t="s">
        <v>4347</v>
      </c>
      <c r="B287" t="s">
        <v>7189</v>
      </c>
      <c r="C287" t="s">
        <v>4349</v>
      </c>
      <c r="D287" s="9" t="s">
        <v>4348</v>
      </c>
      <c r="E287" s="9" t="s">
        <v>2736</v>
      </c>
      <c r="H287" t="s">
        <v>2800</v>
      </c>
      <c r="I287" s="17">
        <v>-1.32133779995116</v>
      </c>
      <c r="J287" s="17">
        <v>5.9105479522338598E-2</v>
      </c>
      <c r="K287" s="21">
        <v>26</v>
      </c>
      <c r="L287" s="27">
        <v>17871525.421073601</v>
      </c>
      <c r="M287" s="22">
        <v>1.7400304703163574E-2</v>
      </c>
      <c r="N287" s="21">
        <v>16</v>
      </c>
      <c r="O287" s="27">
        <v>19696114.939080529</v>
      </c>
      <c r="P287" s="22">
        <v>1.9344728221602363E-2</v>
      </c>
      <c r="Q287" s="21">
        <v>27</v>
      </c>
      <c r="R287" s="27">
        <v>22467146.223003685</v>
      </c>
      <c r="S287" s="22">
        <v>2.2195932823213065E-2</v>
      </c>
      <c r="T287" s="23">
        <v>17</v>
      </c>
      <c r="U287" s="28">
        <v>16645856.202912152</v>
      </c>
      <c r="V287" s="24">
        <v>1.617984707503E-2</v>
      </c>
      <c r="W287" s="23">
        <v>14</v>
      </c>
      <c r="X287" s="28">
        <v>14182552.272537112</v>
      </c>
      <c r="Y287" s="24">
        <v>1.3485315267659599E-2</v>
      </c>
      <c r="Z287" s="23">
        <v>14</v>
      </c>
      <c r="AA287" s="28">
        <v>17973104.97581305</v>
      </c>
      <c r="AB287" s="24">
        <v>1.7345139169854345E-2</v>
      </c>
    </row>
    <row r="288" spans="1:28" x14ac:dyDescent="0.25">
      <c r="A288" t="s">
        <v>4416</v>
      </c>
      <c r="B288" t="s">
        <v>7211</v>
      </c>
      <c r="C288" t="s">
        <v>4418</v>
      </c>
      <c r="D288" s="9" t="s">
        <v>4417</v>
      </c>
      <c r="E288" s="9" t="s">
        <v>2736</v>
      </c>
      <c r="H288" t="s">
        <v>1055</v>
      </c>
      <c r="I288" s="17">
        <v>-1.32182249020696</v>
      </c>
      <c r="J288" s="17">
        <v>4.5514947263944602E-2</v>
      </c>
      <c r="K288" s="21">
        <v>3</v>
      </c>
      <c r="L288" s="27">
        <v>698468.45762698201</v>
      </c>
      <c r="M288" s="22">
        <v>1.8637404354446027E-3</v>
      </c>
      <c r="N288" s="21">
        <v>0</v>
      </c>
      <c r="O288" s="27">
        <v>635239.78581373964</v>
      </c>
      <c r="P288" s="22">
        <v>1.7098702351150998E-3</v>
      </c>
      <c r="Q288" s="21">
        <v>3</v>
      </c>
      <c r="R288" s="27">
        <v>791869.24883575435</v>
      </c>
      <c r="S288" s="22">
        <v>2.1439880826461316E-3</v>
      </c>
      <c r="T288" s="23">
        <v>2</v>
      </c>
      <c r="U288" s="28">
        <v>596924.688044279</v>
      </c>
      <c r="V288" s="24">
        <v>1.5901248113116282E-3</v>
      </c>
      <c r="W288" s="23">
        <v>0</v>
      </c>
      <c r="X288" s="28">
        <v>553956.67568740307</v>
      </c>
      <c r="Y288" s="24">
        <v>1.4435303211749501E-3</v>
      </c>
      <c r="Z288" s="23">
        <v>1</v>
      </c>
      <c r="AA288" s="28">
        <v>587366.1245774983</v>
      </c>
      <c r="AB288" s="24">
        <v>1.5534846722781025E-3</v>
      </c>
    </row>
    <row r="289" spans="1:28" x14ac:dyDescent="0.25">
      <c r="A289" t="s">
        <v>4501</v>
      </c>
      <c r="B289" t="s">
        <v>7240</v>
      </c>
      <c r="C289" t="s">
        <v>4503</v>
      </c>
      <c r="D289" s="9" t="s">
        <v>4502</v>
      </c>
      <c r="E289" s="9" t="s">
        <v>2736</v>
      </c>
      <c r="G289" t="s">
        <v>2127</v>
      </c>
      <c r="H289" t="s">
        <v>41</v>
      </c>
      <c r="I289" s="17">
        <v>-1.3248958678412599</v>
      </c>
      <c r="J289" s="17">
        <v>0.51780872608746198</v>
      </c>
      <c r="K289" s="21">
        <v>2</v>
      </c>
      <c r="L289" s="27">
        <v>584504.45731574402</v>
      </c>
      <c r="M289" s="22">
        <v>8.4525114568649411E-4</v>
      </c>
      <c r="N289" s="21">
        <v>0</v>
      </c>
      <c r="O289" s="27">
        <v>419811.12795679586</v>
      </c>
      <c r="P289" s="22">
        <v>6.1240498810730202E-4</v>
      </c>
      <c r="Q289" s="21">
        <v>3</v>
      </c>
      <c r="R289" s="27">
        <v>1120008.7108809762</v>
      </c>
      <c r="S289" s="22">
        <v>1.6434239086775386E-3</v>
      </c>
      <c r="T289" s="23">
        <v>2</v>
      </c>
      <c r="U289" s="28">
        <v>620251.00826699857</v>
      </c>
      <c r="V289" s="24">
        <v>8.9544406720005521E-4</v>
      </c>
      <c r="W289" s="23">
        <v>1</v>
      </c>
      <c r="X289" s="28">
        <v>549182.02300814423</v>
      </c>
      <c r="Y289" s="24">
        <v>7.7557845154325338E-4</v>
      </c>
      <c r="Z289" s="23">
        <v>0</v>
      </c>
      <c r="AA289" s="28">
        <v>549698.49039679649</v>
      </c>
      <c r="AB289" s="24">
        <v>7.8791965211310266E-4</v>
      </c>
    </row>
    <row r="290" spans="1:28" x14ac:dyDescent="0.25">
      <c r="A290" t="s">
        <v>4238</v>
      </c>
      <c r="B290" t="s">
        <v>7153</v>
      </c>
      <c r="C290" t="s">
        <v>4240</v>
      </c>
      <c r="D290" s="9" t="s">
        <v>4239</v>
      </c>
      <c r="E290" s="9" t="s">
        <v>2736</v>
      </c>
      <c r="H290" t="s">
        <v>2148</v>
      </c>
      <c r="I290" s="17">
        <v>-1.32668415059864</v>
      </c>
      <c r="J290" s="17">
        <v>0.102582069074932</v>
      </c>
      <c r="K290" s="21">
        <v>5</v>
      </c>
      <c r="L290" s="27">
        <v>1253023.1592049999</v>
      </c>
      <c r="M290" s="22">
        <v>1.7876730996549206E-3</v>
      </c>
      <c r="N290" s="21">
        <v>2</v>
      </c>
      <c r="O290" s="27">
        <v>1011220.2665681024</v>
      </c>
      <c r="P290" s="22">
        <v>1.4553304107584705E-3</v>
      </c>
      <c r="Q290" s="21">
        <v>5</v>
      </c>
      <c r="R290" s="27">
        <v>1115734.1790995661</v>
      </c>
      <c r="S290" s="22">
        <v>1.615176562800509E-3</v>
      </c>
      <c r="T290" s="23">
        <v>2</v>
      </c>
      <c r="U290" s="28">
        <v>915751.1511499976</v>
      </c>
      <c r="V290" s="24">
        <v>1.304306095941139E-3</v>
      </c>
      <c r="W290" s="23">
        <v>2</v>
      </c>
      <c r="X290" s="28">
        <v>841611.11098576756</v>
      </c>
      <c r="Y290" s="24">
        <v>1.1726055583029394E-3</v>
      </c>
      <c r="Z290" s="23">
        <v>2</v>
      </c>
      <c r="AA290" s="28">
        <v>1010851.470724632</v>
      </c>
      <c r="AB290" s="24">
        <v>1.429472490641666E-3</v>
      </c>
    </row>
    <row r="291" spans="1:28" x14ac:dyDescent="0.25">
      <c r="A291" t="s">
        <v>4518</v>
      </c>
      <c r="B291" t="s">
        <v>7246</v>
      </c>
      <c r="C291" t="s">
        <v>4519</v>
      </c>
      <c r="D291" s="9" t="s">
        <v>4514</v>
      </c>
      <c r="E291" s="9" t="s">
        <v>2736</v>
      </c>
      <c r="H291" t="s">
        <v>2127</v>
      </c>
      <c r="I291" s="17">
        <v>-1.32997884334275</v>
      </c>
      <c r="J291" s="17">
        <v>0.33308911638001099</v>
      </c>
      <c r="K291" s="21">
        <v>5</v>
      </c>
      <c r="L291" s="27">
        <v>610547.28972739703</v>
      </c>
      <c r="M291" s="22">
        <v>1.0087151259804865E-3</v>
      </c>
      <c r="N291" s="21">
        <v>2</v>
      </c>
      <c r="O291" s="27">
        <v>456470.63408140512</v>
      </c>
      <c r="P291" s="22">
        <v>7.6076215756507395E-4</v>
      </c>
      <c r="Q291" s="21">
        <v>6</v>
      </c>
      <c r="R291" s="27">
        <v>829843.24403636076</v>
      </c>
      <c r="S291" s="22">
        <v>1.3911550860415268E-3</v>
      </c>
      <c r="T291" s="23">
        <v>2</v>
      </c>
      <c r="U291" s="28">
        <v>597487.82291660539</v>
      </c>
      <c r="V291" s="24">
        <v>9.8548797152796046E-4</v>
      </c>
      <c r="W291" s="23">
        <v>1</v>
      </c>
      <c r="X291" s="28">
        <v>362296.11847444338</v>
      </c>
      <c r="Y291" s="24">
        <v>5.8455366486534575E-4</v>
      </c>
      <c r="Z291" s="23">
        <v>0</v>
      </c>
      <c r="AA291" s="28">
        <v>566691.17437992222</v>
      </c>
      <c r="AB291" s="24">
        <v>9.2801526966632001E-4</v>
      </c>
    </row>
    <row r="292" spans="1:28" x14ac:dyDescent="0.25">
      <c r="A292" t="s">
        <v>4202</v>
      </c>
      <c r="B292" t="s">
        <v>7141</v>
      </c>
      <c r="C292" t="s">
        <v>4204</v>
      </c>
      <c r="D292" s="9" t="s">
        <v>4203</v>
      </c>
      <c r="E292" s="9" t="s">
        <v>2736</v>
      </c>
      <c r="H292" t="s">
        <v>17</v>
      </c>
      <c r="I292" s="17">
        <v>-1.3354844631515299</v>
      </c>
      <c r="J292" s="17">
        <v>0.14824004876000299</v>
      </c>
      <c r="K292" s="21">
        <v>5</v>
      </c>
      <c r="L292" s="27">
        <v>2133126.0338300699</v>
      </c>
      <c r="M292" s="22">
        <v>2.6673675916609667E-3</v>
      </c>
      <c r="N292" s="21">
        <v>3</v>
      </c>
      <c r="O292" s="27">
        <v>1810182.4958011988</v>
      </c>
      <c r="P292" s="22">
        <v>2.2833660922381722E-3</v>
      </c>
      <c r="Q292" s="21">
        <v>6</v>
      </c>
      <c r="R292" s="27">
        <v>2212850.6806204291</v>
      </c>
      <c r="S292" s="22">
        <v>2.8076872075746191E-3</v>
      </c>
      <c r="T292" s="23">
        <v>2</v>
      </c>
      <c r="U292" s="28">
        <v>1841004.3740213388</v>
      </c>
      <c r="V292" s="24">
        <v>2.29823385634942E-3</v>
      </c>
      <c r="W292" s="23">
        <v>2</v>
      </c>
      <c r="X292" s="28">
        <v>1323280.6159489662</v>
      </c>
      <c r="Y292" s="24">
        <v>1.6159569467421985E-3</v>
      </c>
      <c r="Z292" s="23">
        <v>3</v>
      </c>
      <c r="AA292" s="28">
        <v>1802790.1234983411</v>
      </c>
      <c r="AB292" s="24">
        <v>2.2344517027808701E-3</v>
      </c>
    </row>
    <row r="293" spans="1:28" x14ac:dyDescent="0.25">
      <c r="A293" t="s">
        <v>4205</v>
      </c>
      <c r="B293" t="s">
        <v>7142</v>
      </c>
      <c r="C293" t="s">
        <v>4207</v>
      </c>
      <c r="D293" s="9" t="s">
        <v>4206</v>
      </c>
      <c r="E293" s="9" t="s">
        <v>2736</v>
      </c>
      <c r="H293" t="s">
        <v>17</v>
      </c>
      <c r="I293" s="17">
        <v>-1.3369613754321501</v>
      </c>
      <c r="J293" s="17">
        <v>0.43084385408895398</v>
      </c>
      <c r="K293" s="21">
        <v>7</v>
      </c>
      <c r="L293" s="27">
        <v>5983361.8224221496</v>
      </c>
      <c r="M293" s="22">
        <v>8.8738756916512951E-3</v>
      </c>
      <c r="N293" s="21">
        <v>1</v>
      </c>
      <c r="O293" s="27">
        <v>2996529.837877492</v>
      </c>
      <c r="P293" s="22">
        <v>4.4830492871102022E-3</v>
      </c>
      <c r="Q293" s="21">
        <v>7</v>
      </c>
      <c r="R293" s="27">
        <v>5776897.6463873992</v>
      </c>
      <c r="S293" s="22">
        <v>8.693466946012687E-3</v>
      </c>
      <c r="T293" s="23">
        <v>4</v>
      </c>
      <c r="U293" s="28">
        <v>4850605.7082985081</v>
      </c>
      <c r="V293" s="24">
        <v>7.1818625949952941E-3</v>
      </c>
      <c r="W293" s="23">
        <v>1</v>
      </c>
      <c r="X293" s="28">
        <v>3406739.9293541792</v>
      </c>
      <c r="Y293" s="24">
        <v>4.9342203076952534E-3</v>
      </c>
      <c r="Z293" s="23">
        <v>1</v>
      </c>
      <c r="AA293" s="28">
        <v>3727474.9887197954</v>
      </c>
      <c r="AB293" s="24">
        <v>5.479516768620238E-3</v>
      </c>
    </row>
    <row r="294" spans="1:28" x14ac:dyDescent="0.25">
      <c r="A294" t="s">
        <v>4650</v>
      </c>
      <c r="B294" t="s">
        <v>7292</v>
      </c>
      <c r="C294" t="s">
        <v>4652</v>
      </c>
      <c r="D294" s="9" t="s">
        <v>4651</v>
      </c>
      <c r="E294" s="9" t="s">
        <v>2736</v>
      </c>
      <c r="H294" t="s">
        <v>1055</v>
      </c>
      <c r="I294" s="17">
        <v>-1.35234891791076</v>
      </c>
      <c r="J294" s="17">
        <v>0.18723330948564901</v>
      </c>
      <c r="K294" s="21">
        <v>17</v>
      </c>
      <c r="L294" s="27">
        <v>41946897.245264098</v>
      </c>
      <c r="M294" s="22">
        <v>6.772348161387011E-2</v>
      </c>
      <c r="N294" s="21">
        <v>15</v>
      </c>
      <c r="O294" s="27">
        <v>32068423.13493662</v>
      </c>
      <c r="P294" s="22">
        <v>5.2228057354564497E-2</v>
      </c>
      <c r="Q294" s="21">
        <v>18</v>
      </c>
      <c r="R294" s="27">
        <v>53561383.239621453</v>
      </c>
      <c r="S294" s="22">
        <v>8.774481821123685E-2</v>
      </c>
      <c r="T294" s="23">
        <v>17</v>
      </c>
      <c r="U294" s="28">
        <v>37999125.344453536</v>
      </c>
      <c r="V294" s="24">
        <v>6.1247177351088956E-2</v>
      </c>
      <c r="W294" s="23">
        <v>14</v>
      </c>
      <c r="X294" s="28">
        <v>31915778.159592733</v>
      </c>
      <c r="Y294" s="24">
        <v>5.0321821543598155E-2</v>
      </c>
      <c r="Z294" s="23">
        <v>14</v>
      </c>
      <c r="AA294" s="28">
        <v>31863673.956207301</v>
      </c>
      <c r="AB294" s="24">
        <v>5.099114120229261E-2</v>
      </c>
    </row>
    <row r="295" spans="1:28" x14ac:dyDescent="0.25">
      <c r="A295" t="s">
        <v>4576</v>
      </c>
      <c r="B295" t="s">
        <v>7266</v>
      </c>
      <c r="C295" t="s">
        <v>4577</v>
      </c>
      <c r="D295" s="9" t="s">
        <v>4560</v>
      </c>
      <c r="E295" s="9" t="s">
        <v>2736</v>
      </c>
      <c r="H295" t="s">
        <v>1055</v>
      </c>
      <c r="I295" s="17">
        <v>-1.3542335271103101</v>
      </c>
      <c r="J295" s="17">
        <v>2.1063564786497398E-2</v>
      </c>
      <c r="K295" s="21">
        <v>42</v>
      </c>
      <c r="L295" s="27">
        <v>63460861.451128803</v>
      </c>
      <c r="M295" s="22">
        <v>5.6053830481012271E-2</v>
      </c>
      <c r="N295" s="21">
        <v>29</v>
      </c>
      <c r="O295" s="27">
        <v>78072097.192289948</v>
      </c>
      <c r="P295" s="22">
        <v>6.9563593837046717E-2</v>
      </c>
      <c r="Q295" s="21">
        <v>47</v>
      </c>
      <c r="R295" s="27">
        <v>81868405.961182773</v>
      </c>
      <c r="S295" s="22">
        <v>7.3374630418394135E-2</v>
      </c>
      <c r="T295" s="23">
        <v>33</v>
      </c>
      <c r="U295" s="28">
        <v>61125864.023332976</v>
      </c>
      <c r="V295" s="24">
        <v>5.3901070099630244E-2</v>
      </c>
      <c r="W295" s="23">
        <v>19</v>
      </c>
      <c r="X295" s="28">
        <v>54598230.244727992</v>
      </c>
      <c r="Y295" s="24">
        <v>4.70965808704982E-2</v>
      </c>
      <c r="Z295" s="23">
        <v>27</v>
      </c>
      <c r="AA295" s="28">
        <v>61352300.438055471</v>
      </c>
      <c r="AB295" s="24">
        <v>5.3714264300019632E-2</v>
      </c>
    </row>
    <row r="296" spans="1:28" x14ac:dyDescent="0.25">
      <c r="A296" t="s">
        <v>4468</v>
      </c>
      <c r="B296" t="s">
        <v>7229</v>
      </c>
      <c r="C296" t="s">
        <v>4470</v>
      </c>
      <c r="D296" s="9" t="s">
        <v>4469</v>
      </c>
      <c r="E296" s="9" t="s">
        <v>2736</v>
      </c>
      <c r="H296" t="s">
        <v>57</v>
      </c>
      <c r="I296" s="17">
        <v>-1.3545345066401</v>
      </c>
      <c r="J296" s="17">
        <v>2.6786673996885901E-2</v>
      </c>
      <c r="K296" s="21">
        <v>24</v>
      </c>
      <c r="L296" s="27">
        <v>13461569.5215951</v>
      </c>
      <c r="M296" s="22">
        <v>1.2624765381416122E-2</v>
      </c>
      <c r="N296" s="21">
        <v>14</v>
      </c>
      <c r="O296" s="27">
        <v>12583844.016216772</v>
      </c>
      <c r="P296" s="22">
        <v>1.1904955496182975E-2</v>
      </c>
      <c r="Q296" s="21">
        <v>27</v>
      </c>
      <c r="R296" s="27">
        <v>14807955.319789028</v>
      </c>
      <c r="S296" s="22">
        <v>1.4091362022013365E-2</v>
      </c>
      <c r="T296" s="23">
        <v>14</v>
      </c>
      <c r="U296" s="28">
        <v>11291483.246320015</v>
      </c>
      <c r="V296" s="24">
        <v>1.0571866144624161E-2</v>
      </c>
      <c r="W296" s="23">
        <v>10</v>
      </c>
      <c r="X296" s="28">
        <v>10355940.559649466</v>
      </c>
      <c r="Y296" s="24">
        <v>9.4848102619264681E-3</v>
      </c>
      <c r="Z296" s="23">
        <v>15</v>
      </c>
      <c r="AA296" s="28">
        <v>10951172.688005054</v>
      </c>
      <c r="AB296" s="24">
        <v>1.017999799638745E-2</v>
      </c>
    </row>
    <row r="297" spans="1:28" x14ac:dyDescent="0.25">
      <c r="A297" t="s">
        <v>4428</v>
      </c>
      <c r="B297" t="s">
        <v>7215</v>
      </c>
      <c r="C297" t="s">
        <v>4430</v>
      </c>
      <c r="D297" s="9" t="s">
        <v>4429</v>
      </c>
      <c r="E297" s="9" t="s">
        <v>2736</v>
      </c>
      <c r="H297" t="s">
        <v>1055</v>
      </c>
      <c r="I297" s="17">
        <v>-1.36466119410723</v>
      </c>
      <c r="J297" s="17">
        <v>8.47657606638519E-2</v>
      </c>
      <c r="K297" s="21">
        <v>5</v>
      </c>
      <c r="L297" s="27">
        <v>9383174.6581753101</v>
      </c>
      <c r="M297" s="22">
        <v>2.4933031680032164E-2</v>
      </c>
      <c r="N297" s="21">
        <v>2</v>
      </c>
      <c r="O297" s="27">
        <v>7425908.6294873608</v>
      </c>
      <c r="P297" s="22">
        <v>1.9904978927216665E-2</v>
      </c>
      <c r="Q297" s="21">
        <v>8</v>
      </c>
      <c r="R297" s="27">
        <v>8843745.6953397561</v>
      </c>
      <c r="S297" s="22">
        <v>2.384469622409597E-2</v>
      </c>
      <c r="T297" s="23">
        <v>4</v>
      </c>
      <c r="U297" s="28">
        <v>7497814.1801912514</v>
      </c>
      <c r="V297" s="24">
        <v>1.9889918574594177E-2</v>
      </c>
      <c r="W297" s="23">
        <v>3</v>
      </c>
      <c r="X297" s="28">
        <v>6506096.6557726404</v>
      </c>
      <c r="Y297" s="24">
        <v>1.688329777959174E-2</v>
      </c>
      <c r="Z297" s="23">
        <v>2</v>
      </c>
      <c r="AA297" s="28">
        <v>6393927.4657474533</v>
      </c>
      <c r="AB297" s="24">
        <v>1.6840401494901788E-2</v>
      </c>
    </row>
    <row r="298" spans="1:28" x14ac:dyDescent="0.25">
      <c r="A298" s="82" t="s">
        <v>4495</v>
      </c>
      <c r="B298" s="82" t="s">
        <v>7238</v>
      </c>
      <c r="C298" s="82" t="s">
        <v>4497</v>
      </c>
      <c r="D298" s="83" t="s">
        <v>4496</v>
      </c>
      <c r="E298" s="83" t="s">
        <v>2736</v>
      </c>
      <c r="F298" s="82"/>
      <c r="G298" s="82"/>
      <c r="H298" s="82" t="s">
        <v>41</v>
      </c>
      <c r="I298" s="47">
        <v>-1.36748194405325</v>
      </c>
      <c r="J298" s="47">
        <v>3.7139746476964101E-2</v>
      </c>
      <c r="K298" s="88">
        <v>5</v>
      </c>
      <c r="L298" s="89">
        <v>4389971.0069514196</v>
      </c>
      <c r="M298" s="22">
        <v>9.7547531881835934E-3</v>
      </c>
      <c r="N298" s="88">
        <v>5</v>
      </c>
      <c r="O298" s="89">
        <v>3723610.4392906488</v>
      </c>
      <c r="P298" s="22">
        <v>8.3465251256208094E-3</v>
      </c>
      <c r="Q298" s="88">
        <v>6</v>
      </c>
      <c r="R298" s="89">
        <v>4730727.8464157041</v>
      </c>
      <c r="S298" s="22">
        <v>1.0666276986499738E-2</v>
      </c>
      <c r="T298" s="90">
        <v>3</v>
      </c>
      <c r="U298" s="91">
        <v>3450344.9532964998</v>
      </c>
      <c r="V298" s="24">
        <v>7.6540305910671215E-3</v>
      </c>
      <c r="W298" s="90">
        <v>3</v>
      </c>
      <c r="X298" s="91">
        <v>3431079.2645305102</v>
      </c>
      <c r="Y298" s="24">
        <v>7.4455513922250909E-3</v>
      </c>
      <c r="Z298" s="90">
        <v>4</v>
      </c>
      <c r="AA298" s="91">
        <v>3307211.4913375624</v>
      </c>
      <c r="AB298" s="24">
        <v>7.2841025165207868E-3</v>
      </c>
    </row>
    <row r="299" spans="1:28" x14ac:dyDescent="0.25">
      <c r="A299" t="s">
        <v>4322</v>
      </c>
      <c r="B299" t="s">
        <v>7181</v>
      </c>
      <c r="C299" t="s">
        <v>4324</v>
      </c>
      <c r="D299" s="9" t="s">
        <v>4323</v>
      </c>
      <c r="E299" s="9" t="s">
        <v>2736</v>
      </c>
      <c r="H299" t="s">
        <v>2287</v>
      </c>
      <c r="I299" s="17">
        <v>-1.36859018650202</v>
      </c>
      <c r="J299" s="17">
        <v>0.36336067162795199</v>
      </c>
      <c r="K299" s="21">
        <v>3</v>
      </c>
      <c r="L299" s="27">
        <v>783525.44733155402</v>
      </c>
      <c r="M299" s="22">
        <v>1.4827220133179398E-3</v>
      </c>
      <c r="N299" s="21">
        <v>2</v>
      </c>
      <c r="O299" s="27">
        <v>1756413.5881940739</v>
      </c>
      <c r="P299" s="22">
        <v>3.3528972918427076E-3</v>
      </c>
      <c r="Q299" s="21">
        <v>3</v>
      </c>
      <c r="R299" s="27">
        <v>806603.58780375065</v>
      </c>
      <c r="S299" s="22">
        <v>1.5488060572457075E-3</v>
      </c>
      <c r="T299" s="23">
        <v>1</v>
      </c>
      <c r="U299" s="28">
        <v>848754.03627236572</v>
      </c>
      <c r="V299" s="24">
        <v>1.6034725353511446E-3</v>
      </c>
      <c r="W299" s="23">
        <v>0</v>
      </c>
      <c r="X299" s="28">
        <v>889378.14992072794</v>
      </c>
      <c r="Y299" s="24">
        <v>1.6436319163460849E-3</v>
      </c>
      <c r="Z299" s="23">
        <v>3</v>
      </c>
      <c r="AA299" s="28">
        <v>878244.45716622251</v>
      </c>
      <c r="AB299" s="24">
        <v>1.6473333643336223E-3</v>
      </c>
    </row>
    <row r="300" spans="1:28" x14ac:dyDescent="0.25">
      <c r="A300" t="s">
        <v>4573</v>
      </c>
      <c r="B300" t="s">
        <v>7265</v>
      </c>
      <c r="C300" t="s">
        <v>4575</v>
      </c>
      <c r="D300" s="9" t="s">
        <v>4574</v>
      </c>
      <c r="E300" s="9" t="s">
        <v>2736</v>
      </c>
      <c r="H300" t="s">
        <v>2148</v>
      </c>
      <c r="I300" s="17">
        <v>-1.37990545725091</v>
      </c>
      <c r="J300" s="17">
        <v>2.7182326260859899E-2</v>
      </c>
      <c r="K300" s="21">
        <v>9</v>
      </c>
      <c r="L300" s="27">
        <v>13909897.9774982</v>
      </c>
      <c r="M300" s="22">
        <v>2.2011793440876413E-2</v>
      </c>
      <c r="N300" s="21">
        <v>8</v>
      </c>
      <c r="O300" s="27">
        <v>18379736.894767158</v>
      </c>
      <c r="P300" s="22">
        <v>2.933983091374788E-2</v>
      </c>
      <c r="Q300" s="21">
        <v>10</v>
      </c>
      <c r="R300" s="27">
        <v>14971193.439428922</v>
      </c>
      <c r="S300" s="22">
        <v>2.403909786834408E-2</v>
      </c>
      <c r="T300" s="23">
        <v>9</v>
      </c>
      <c r="U300" s="28">
        <v>13308246.062420284</v>
      </c>
      <c r="V300" s="24">
        <v>2.102448419961744E-2</v>
      </c>
      <c r="W300" s="23">
        <v>8</v>
      </c>
      <c r="X300" s="28">
        <v>12569626.574421871</v>
      </c>
      <c r="Y300" s="24">
        <v>1.9425192919356349E-2</v>
      </c>
      <c r="Z300" s="23">
        <v>10</v>
      </c>
      <c r="AA300" s="28">
        <v>11005397.096736064</v>
      </c>
      <c r="AB300" s="24">
        <v>1.726222007525887E-2</v>
      </c>
    </row>
    <row r="301" spans="1:28" x14ac:dyDescent="0.25">
      <c r="A301" t="s">
        <v>4353</v>
      </c>
      <c r="B301" t="s">
        <v>7191</v>
      </c>
      <c r="C301" t="s">
        <v>4355</v>
      </c>
      <c r="D301" s="9" t="s">
        <v>4354</v>
      </c>
      <c r="E301" s="9" t="s">
        <v>2736</v>
      </c>
      <c r="H301" t="s">
        <v>2800</v>
      </c>
      <c r="I301" s="17">
        <v>-1.3845413437540699</v>
      </c>
      <c r="J301" s="17">
        <v>0.100666508190699</v>
      </c>
      <c r="K301" s="21">
        <v>3</v>
      </c>
      <c r="L301" s="27">
        <v>1214093.3769221299</v>
      </c>
      <c r="M301" s="22">
        <v>4.277697257610979E-3</v>
      </c>
      <c r="N301" s="21">
        <v>2</v>
      </c>
      <c r="O301" s="27">
        <v>925332.86732264352</v>
      </c>
      <c r="P301" s="22">
        <v>3.2888402291028937E-3</v>
      </c>
      <c r="Q301" s="21">
        <v>1</v>
      </c>
      <c r="R301" s="27">
        <v>942359.39183137484</v>
      </c>
      <c r="S301" s="22">
        <v>3.3690292243228519E-3</v>
      </c>
      <c r="T301" s="23">
        <v>0</v>
      </c>
      <c r="U301" s="28">
        <v>857822.58746688743</v>
      </c>
      <c r="V301" s="24">
        <v>3.0173693642253411E-3</v>
      </c>
      <c r="W301" s="23">
        <v>0</v>
      </c>
      <c r="X301" s="28">
        <v>789441.24218085082</v>
      </c>
      <c r="Y301" s="24">
        <v>2.7163720144394877E-3</v>
      </c>
      <c r="Z301" s="23">
        <v>0</v>
      </c>
      <c r="AA301" s="28">
        <v>780235.20876777289</v>
      </c>
      <c r="AB301" s="24">
        <v>2.7248521801619134E-3</v>
      </c>
    </row>
    <row r="302" spans="1:28" x14ac:dyDescent="0.25">
      <c r="A302" t="s">
        <v>4259</v>
      </c>
      <c r="B302" t="s">
        <v>7160</v>
      </c>
      <c r="C302" t="s">
        <v>4261</v>
      </c>
      <c r="D302" s="9" t="s">
        <v>4260</v>
      </c>
      <c r="E302" s="9" t="s">
        <v>2736</v>
      </c>
      <c r="H302" t="s">
        <v>2148</v>
      </c>
      <c r="I302" s="17">
        <v>-1.38621318238518</v>
      </c>
      <c r="J302" s="17">
        <v>0.21072154204563801</v>
      </c>
      <c r="K302" s="21">
        <v>7</v>
      </c>
      <c r="L302" s="27">
        <v>4016586.6195012098</v>
      </c>
      <c r="M302" s="22">
        <v>5.133258343801691E-3</v>
      </c>
      <c r="N302" s="21">
        <v>4</v>
      </c>
      <c r="O302" s="27">
        <v>2749524.5487953527</v>
      </c>
      <c r="P302" s="22">
        <v>3.5447076177313095E-3</v>
      </c>
      <c r="Q302" s="21">
        <v>9</v>
      </c>
      <c r="R302" s="27">
        <v>3942157.725534196</v>
      </c>
      <c r="S302" s="22">
        <v>5.1121105940104914E-3</v>
      </c>
      <c r="T302" s="23">
        <v>5</v>
      </c>
      <c r="U302" s="28">
        <v>3164624.4240313568</v>
      </c>
      <c r="V302" s="24">
        <v>4.0376735591059164E-3</v>
      </c>
      <c r="W302" s="23">
        <v>2</v>
      </c>
      <c r="X302" s="28">
        <v>2148763.0614630533</v>
      </c>
      <c r="Y302" s="24">
        <v>2.6818593351770888E-3</v>
      </c>
      <c r="Z302" s="23">
        <v>7</v>
      </c>
      <c r="AA302" s="28">
        <v>3032979.862237311</v>
      </c>
      <c r="AB302" s="24">
        <v>3.8420672209299278E-3</v>
      </c>
    </row>
    <row r="303" spans="1:28" x14ac:dyDescent="0.25">
      <c r="A303" t="s">
        <v>4638</v>
      </c>
      <c r="B303" t="s">
        <v>7288</v>
      </c>
      <c r="C303" t="s">
        <v>4640</v>
      </c>
      <c r="D303" s="9" t="s">
        <v>4639</v>
      </c>
      <c r="E303" s="9" t="s">
        <v>2736</v>
      </c>
      <c r="H303" t="s">
        <v>17</v>
      </c>
      <c r="I303" s="17">
        <v>-1.3922649975245001</v>
      </c>
      <c r="J303" s="17">
        <v>0.16310301987280301</v>
      </c>
      <c r="K303" s="21">
        <v>18</v>
      </c>
      <c r="L303" s="27">
        <v>9210910.8902436402</v>
      </c>
      <c r="M303" s="22">
        <v>8.3320140577887204E-3</v>
      </c>
      <c r="N303" s="21">
        <v>9</v>
      </c>
      <c r="O303" s="27">
        <v>6920419.323419746</v>
      </c>
      <c r="P303" s="22">
        <v>6.3149025895486597E-3</v>
      </c>
      <c r="Q303" s="21">
        <v>15</v>
      </c>
      <c r="R303" s="27">
        <v>11323599.749850564</v>
      </c>
      <c r="S303" s="22">
        <v>1.0393508679298297E-2</v>
      </c>
      <c r="T303" s="23">
        <v>9</v>
      </c>
      <c r="U303" s="28">
        <v>7706599.675593257</v>
      </c>
      <c r="V303" s="24">
        <v>6.9595836117773207E-3</v>
      </c>
      <c r="W303" s="23">
        <v>4</v>
      </c>
      <c r="X303" s="28">
        <v>6148970.0448472304</v>
      </c>
      <c r="Y303" s="24">
        <v>5.4320188898886587E-3</v>
      </c>
      <c r="Z303" s="23">
        <v>10</v>
      </c>
      <c r="AA303" s="28">
        <v>7408806.9483389184</v>
      </c>
      <c r="AB303" s="24">
        <v>6.6428606072634145E-3</v>
      </c>
    </row>
    <row r="304" spans="1:28" x14ac:dyDescent="0.25">
      <c r="A304" t="s">
        <v>4545</v>
      </c>
      <c r="B304" t="s">
        <v>7256</v>
      </c>
      <c r="C304" t="s">
        <v>4547</v>
      </c>
      <c r="D304" s="9" t="s">
        <v>4546</v>
      </c>
      <c r="E304" s="9" t="s">
        <v>2736</v>
      </c>
      <c r="I304" s="17">
        <v>-1.39234793858105</v>
      </c>
      <c r="J304" s="17">
        <v>3.2395372874385299E-2</v>
      </c>
      <c r="K304" s="21">
        <v>1</v>
      </c>
      <c r="L304" s="27">
        <v>188483.59234801799</v>
      </c>
      <c r="M304" s="22">
        <v>2.6074089703907819E-4</v>
      </c>
      <c r="N304" s="21">
        <v>0</v>
      </c>
      <c r="O304" s="27">
        <v>277019.65286671004</v>
      </c>
      <c r="P304" s="22">
        <v>3.865743354287554E-4</v>
      </c>
      <c r="Q304" s="21">
        <v>1</v>
      </c>
      <c r="R304" s="27">
        <v>222342.62192591085</v>
      </c>
      <c r="S304" s="22">
        <v>3.1209627641544109E-4</v>
      </c>
      <c r="T304" s="23">
        <v>0</v>
      </c>
      <c r="U304" s="28">
        <v>163521.85399021284</v>
      </c>
      <c r="V304" s="24">
        <v>2.2583146453892698E-4</v>
      </c>
      <c r="W304" s="23">
        <v>0</v>
      </c>
      <c r="X304" s="28">
        <v>213679.86227545084</v>
      </c>
      <c r="Y304" s="24">
        <v>2.8867600130050574E-4</v>
      </c>
      <c r="Z304" s="23">
        <v>0</v>
      </c>
      <c r="AA304" s="28">
        <v>157384.76171746885</v>
      </c>
      <c r="AB304" s="24">
        <v>2.158031269988149E-4</v>
      </c>
    </row>
    <row r="305" spans="1:28" x14ac:dyDescent="0.25">
      <c r="A305" t="s">
        <v>4338</v>
      </c>
      <c r="B305" t="s">
        <v>7186</v>
      </c>
      <c r="C305" t="s">
        <v>4340</v>
      </c>
      <c r="D305" s="9" t="s">
        <v>4339</v>
      </c>
      <c r="E305" s="9" t="s">
        <v>2736</v>
      </c>
      <c r="H305" t="s">
        <v>2800</v>
      </c>
      <c r="I305" s="17">
        <v>-1.39480293368818</v>
      </c>
      <c r="J305" s="17">
        <v>4.6971576130423499E-2</v>
      </c>
      <c r="K305" s="21">
        <v>2</v>
      </c>
      <c r="L305" s="27">
        <v>767751.69263315503</v>
      </c>
      <c r="M305" s="22">
        <v>1.0373261212991722E-3</v>
      </c>
      <c r="N305" s="21">
        <v>2</v>
      </c>
      <c r="O305" s="27">
        <v>900229.71967877157</v>
      </c>
      <c r="P305" s="22">
        <v>1.2269721647515807E-3</v>
      </c>
      <c r="Q305" s="21">
        <v>2</v>
      </c>
      <c r="R305" s="27">
        <v>968420.40296575241</v>
      </c>
      <c r="S305" s="22">
        <v>1.3276656586871879E-3</v>
      </c>
      <c r="T305" s="23">
        <v>2</v>
      </c>
      <c r="U305" s="28">
        <v>785920.02515606408</v>
      </c>
      <c r="V305" s="24">
        <v>1.0600977920391943E-3</v>
      </c>
      <c r="W305" s="23">
        <v>1</v>
      </c>
      <c r="X305" s="28">
        <v>598576.29817805369</v>
      </c>
      <c r="Y305" s="24">
        <v>7.8981527483428838E-4</v>
      </c>
      <c r="Z305" s="23">
        <v>1</v>
      </c>
      <c r="AA305" s="28">
        <v>639909.84639843809</v>
      </c>
      <c r="AB305" s="24">
        <v>8.5698411513482114E-4</v>
      </c>
    </row>
    <row r="306" spans="1:28" x14ac:dyDescent="0.25">
      <c r="A306" t="s">
        <v>4344</v>
      </c>
      <c r="B306" t="s">
        <v>7188</v>
      </c>
      <c r="C306" t="s">
        <v>4346</v>
      </c>
      <c r="D306" s="9" t="s">
        <v>4345</v>
      </c>
      <c r="E306" s="9" t="s">
        <v>2736</v>
      </c>
      <c r="H306" t="s">
        <v>2800</v>
      </c>
      <c r="I306" s="17">
        <v>-1.39694088006064</v>
      </c>
      <c r="J306" s="17">
        <v>5.3378304631542903E-2</v>
      </c>
      <c r="K306" s="21">
        <v>2</v>
      </c>
      <c r="L306" s="27">
        <v>332394.10614649003</v>
      </c>
      <c r="M306" s="22">
        <v>8.8323974355370761E-4</v>
      </c>
      <c r="N306" s="21">
        <v>0</v>
      </c>
      <c r="O306" s="27">
        <v>327652.76965776074</v>
      </c>
      <c r="P306" s="22">
        <v>8.7826578549379981E-4</v>
      </c>
      <c r="Q306" s="21">
        <v>2</v>
      </c>
      <c r="R306" s="27">
        <v>367495.91726971557</v>
      </c>
      <c r="S306" s="22">
        <v>9.9085034924844976E-4</v>
      </c>
      <c r="T306" s="23">
        <v>1</v>
      </c>
      <c r="U306" s="28">
        <v>199897.62992375068</v>
      </c>
      <c r="V306" s="24">
        <v>5.302808907884062E-4</v>
      </c>
      <c r="W306" s="23">
        <v>0</v>
      </c>
      <c r="X306" s="28">
        <v>282875.2556589634</v>
      </c>
      <c r="Y306" s="24">
        <v>7.3406028659764148E-4</v>
      </c>
      <c r="Z306" s="23">
        <v>0</v>
      </c>
      <c r="AA306" s="28">
        <v>317859.80981367733</v>
      </c>
      <c r="AB306" s="24">
        <v>8.3718291222900101E-4</v>
      </c>
    </row>
    <row r="307" spans="1:28" x14ac:dyDescent="0.25">
      <c r="A307" t="s">
        <v>4570</v>
      </c>
      <c r="B307" t="s">
        <v>7264</v>
      </c>
      <c r="C307" t="s">
        <v>4572</v>
      </c>
      <c r="D307" s="9" t="s">
        <v>4571</v>
      </c>
      <c r="E307" s="9" t="s">
        <v>2736</v>
      </c>
      <c r="H307" t="s">
        <v>1055</v>
      </c>
      <c r="I307" s="17">
        <v>-1.39723344647172</v>
      </c>
      <c r="J307" s="17">
        <v>2.1037841369739001E-2</v>
      </c>
      <c r="K307" s="21">
        <v>61</v>
      </c>
      <c r="L307" s="27">
        <v>136855526.78235799</v>
      </c>
      <c r="M307" s="22">
        <v>0.10340854423572714</v>
      </c>
      <c r="N307" s="21">
        <v>47</v>
      </c>
      <c r="O307" s="27">
        <v>163784785.64408588</v>
      </c>
      <c r="P307" s="22">
        <v>0.12484020485677037</v>
      </c>
      <c r="Q307" s="21">
        <v>58</v>
      </c>
      <c r="R307" s="27">
        <v>146424462.56489494</v>
      </c>
      <c r="S307" s="22">
        <v>0.11226334593544963</v>
      </c>
      <c r="T307" s="23">
        <v>48</v>
      </c>
      <c r="U307" s="28">
        <v>123358812.19849762</v>
      </c>
      <c r="V307" s="24">
        <v>9.3054484218559108E-2</v>
      </c>
      <c r="W307" s="23">
        <v>45</v>
      </c>
      <c r="X307" s="28">
        <v>104770987.61953162</v>
      </c>
      <c r="Y307" s="24">
        <v>7.7311945539354887E-2</v>
      </c>
      <c r="Z307" s="23">
        <v>44</v>
      </c>
      <c r="AA307" s="28">
        <v>116022931.91430362</v>
      </c>
      <c r="AB307" s="24">
        <v>8.6895516142450391E-2</v>
      </c>
    </row>
    <row r="308" spans="1:28" x14ac:dyDescent="0.25">
      <c r="A308" t="s">
        <v>4632</v>
      </c>
      <c r="B308" t="s">
        <v>7286</v>
      </c>
      <c r="C308" t="s">
        <v>4634</v>
      </c>
      <c r="D308" s="9" t="s">
        <v>4633</v>
      </c>
      <c r="E308" s="9" t="s">
        <v>2736</v>
      </c>
      <c r="H308" t="s">
        <v>1055</v>
      </c>
      <c r="I308" s="17">
        <v>-1.4011828102114501</v>
      </c>
      <c r="J308" s="17">
        <v>0.15066407431102</v>
      </c>
      <c r="K308" s="21">
        <v>14</v>
      </c>
      <c r="L308" s="27">
        <v>8289525.6284519704</v>
      </c>
      <c r="M308" s="22">
        <v>2.1402734076943732E-2</v>
      </c>
      <c r="N308" s="21">
        <v>8</v>
      </c>
      <c r="O308" s="27">
        <v>5530010.1059864573</v>
      </c>
      <c r="P308" s="22">
        <v>1.4402979227348406E-2</v>
      </c>
      <c r="Q308" s="21">
        <v>16</v>
      </c>
      <c r="R308" s="27">
        <v>7860298.6962631568</v>
      </c>
      <c r="S308" s="22">
        <v>2.0592491075925552E-2</v>
      </c>
      <c r="T308" s="23">
        <v>10</v>
      </c>
      <c r="U308" s="28">
        <v>6102394.5703951949</v>
      </c>
      <c r="V308" s="24">
        <v>1.5729427123301422E-2</v>
      </c>
      <c r="W308" s="23">
        <v>5</v>
      </c>
      <c r="X308" s="28">
        <v>5127223.3984679589</v>
      </c>
      <c r="Y308" s="24">
        <v>1.2928058196276565E-2</v>
      </c>
      <c r="Z308" s="23">
        <v>5</v>
      </c>
      <c r="AA308" s="28">
        <v>5582276.819508017</v>
      </c>
      <c r="AB308" s="24">
        <v>1.4285991701702201E-2</v>
      </c>
    </row>
    <row r="309" spans="1:28" x14ac:dyDescent="0.25">
      <c r="A309" t="s">
        <v>4565</v>
      </c>
      <c r="B309" t="s">
        <v>7263</v>
      </c>
      <c r="C309" t="s">
        <v>4569</v>
      </c>
      <c r="D309" s="9" t="s">
        <v>4566</v>
      </c>
      <c r="E309" s="9" t="s">
        <v>2736</v>
      </c>
      <c r="G309" t="s">
        <v>4567</v>
      </c>
      <c r="H309" t="s">
        <v>4568</v>
      </c>
      <c r="I309" s="17">
        <v>-1.4026344028059501</v>
      </c>
      <c r="J309" s="17">
        <v>3.3204694309380403E-2</v>
      </c>
      <c r="K309" s="21">
        <v>8</v>
      </c>
      <c r="L309" s="27">
        <v>12077291.272660799</v>
      </c>
      <c r="M309" s="22">
        <v>3.423131260708847E-2</v>
      </c>
      <c r="N309" s="21">
        <v>7</v>
      </c>
      <c r="O309" s="27">
        <v>9881871.3184320759</v>
      </c>
      <c r="P309" s="22">
        <v>2.8254006368824906E-2</v>
      </c>
      <c r="Q309" s="21">
        <v>7</v>
      </c>
      <c r="R309" s="27">
        <v>12095526.247913441</v>
      </c>
      <c r="S309" s="22">
        <v>3.4786364238288001E-2</v>
      </c>
      <c r="T309" s="23">
        <v>6</v>
      </c>
      <c r="U309" s="28">
        <v>8858910.1188039109</v>
      </c>
      <c r="V309" s="24">
        <v>2.5067288030075085E-2</v>
      </c>
      <c r="W309" s="23">
        <v>6</v>
      </c>
      <c r="X309" s="28">
        <v>8941459.5946920067</v>
      </c>
      <c r="Y309" s="24">
        <v>2.474992637968141E-2</v>
      </c>
      <c r="Z309" s="23">
        <v>6</v>
      </c>
      <c r="AA309" s="28">
        <v>8590611.7174610309</v>
      </c>
      <c r="AB309" s="24">
        <v>2.4134457983157977E-2</v>
      </c>
    </row>
    <row r="310" spans="1:28" x14ac:dyDescent="0.25">
      <c r="A310" t="s">
        <v>4562</v>
      </c>
      <c r="B310" t="s">
        <v>7262</v>
      </c>
      <c r="C310" t="s">
        <v>4564</v>
      </c>
      <c r="D310" s="9" t="s">
        <v>4563</v>
      </c>
      <c r="E310" s="9" t="s">
        <v>2736</v>
      </c>
      <c r="H310" t="s">
        <v>2287</v>
      </c>
      <c r="I310" s="17">
        <v>-1.4042795466469</v>
      </c>
      <c r="J310" s="17">
        <v>4.6692256516439899E-2</v>
      </c>
      <c r="K310" s="21">
        <v>10</v>
      </c>
      <c r="L310" s="27">
        <v>27000627.752742801</v>
      </c>
      <c r="M310" s="22">
        <v>7.7563503411565315E-2</v>
      </c>
      <c r="N310" s="21">
        <v>10</v>
      </c>
      <c r="O310" s="27">
        <v>36706898.792763531</v>
      </c>
      <c r="P310" s="22">
        <v>0.10636973629271404</v>
      </c>
      <c r="Q310" s="21">
        <v>11</v>
      </c>
      <c r="R310" s="27">
        <v>25848533.140093759</v>
      </c>
      <c r="S310" s="22">
        <v>7.5344181294046547E-2</v>
      </c>
      <c r="T310" s="23">
        <v>7</v>
      </c>
      <c r="U310" s="28">
        <v>21687767.005152017</v>
      </c>
      <c r="V310" s="24">
        <v>6.2197286551879581E-2</v>
      </c>
      <c r="W310" s="23">
        <v>11</v>
      </c>
      <c r="X310" s="28">
        <v>27132248.637784805</v>
      </c>
      <c r="Y310" s="24">
        <v>7.6116853105804835E-2</v>
      </c>
      <c r="Z310" s="23">
        <v>9</v>
      </c>
      <c r="AA310" s="28">
        <v>20380825.80853695</v>
      </c>
      <c r="AB310" s="24">
        <v>5.803163151237363E-2</v>
      </c>
    </row>
    <row r="311" spans="1:28" x14ac:dyDescent="0.25">
      <c r="A311" t="s">
        <v>4704</v>
      </c>
      <c r="B311" t="s">
        <v>7310</v>
      </c>
      <c r="C311" t="s">
        <v>4706</v>
      </c>
      <c r="D311" s="9" t="s">
        <v>4705</v>
      </c>
      <c r="E311" s="9" t="s">
        <v>2736</v>
      </c>
      <c r="H311" t="s">
        <v>2287</v>
      </c>
      <c r="I311" s="17">
        <v>-1.41116728230374</v>
      </c>
      <c r="J311" s="17">
        <v>0.30078534288436098</v>
      </c>
      <c r="K311" s="21">
        <v>2</v>
      </c>
      <c r="L311" s="27">
        <v>4067887.0364954402</v>
      </c>
      <c r="M311" s="22">
        <v>1.2353389069458555E-2</v>
      </c>
      <c r="N311" s="21">
        <v>2</v>
      </c>
      <c r="O311" s="27">
        <v>8202387.3423764082</v>
      </c>
      <c r="P311" s="22">
        <v>2.5127214205457101E-2</v>
      </c>
      <c r="Q311" s="21">
        <v>2</v>
      </c>
      <c r="R311" s="27">
        <v>3781273.7561687799</v>
      </c>
      <c r="S311" s="22">
        <v>1.1651601309095958E-2</v>
      </c>
      <c r="T311" s="23">
        <v>3</v>
      </c>
      <c r="U311" s="28">
        <v>4191478.5812638239</v>
      </c>
      <c r="V311" s="24">
        <v>1.2707424275920897E-2</v>
      </c>
      <c r="W311" s="23">
        <v>2</v>
      </c>
      <c r="X311" s="28">
        <v>4754183.415355158</v>
      </c>
      <c r="Y311" s="24">
        <v>1.4099530428941385E-2</v>
      </c>
      <c r="Z311" s="23">
        <v>1</v>
      </c>
      <c r="AA311" s="28">
        <v>3294298.5041288193</v>
      </c>
      <c r="AB311" s="24">
        <v>9.9160711026477708E-3</v>
      </c>
    </row>
    <row r="312" spans="1:28" x14ac:dyDescent="0.25">
      <c r="A312" s="82" t="s">
        <v>4446</v>
      </c>
      <c r="B312" s="82" t="s">
        <v>7221</v>
      </c>
      <c r="C312" s="82" t="s">
        <v>4448</v>
      </c>
      <c r="D312" s="83" t="s">
        <v>4447</v>
      </c>
      <c r="E312" s="83" t="s">
        <v>2736</v>
      </c>
      <c r="F312" s="82"/>
      <c r="G312" s="82"/>
      <c r="H312" s="82" t="s">
        <v>1055</v>
      </c>
      <c r="I312" s="47">
        <v>-1.4133416672491701</v>
      </c>
      <c r="J312" s="47">
        <v>0.168935428107757</v>
      </c>
      <c r="K312" s="88">
        <v>3</v>
      </c>
      <c r="L312" s="89">
        <v>1490351.2511940501</v>
      </c>
      <c r="M312" s="22">
        <v>1.9046914009630369E-3</v>
      </c>
      <c r="N312" s="88">
        <v>0</v>
      </c>
      <c r="O312" s="89">
        <v>1016432.8000148213</v>
      </c>
      <c r="P312" s="22">
        <v>1.3103927697983506E-3</v>
      </c>
      <c r="Q312" s="88">
        <v>3</v>
      </c>
      <c r="R312" s="89">
        <v>1608778.3965717461</v>
      </c>
      <c r="S312" s="22">
        <v>2.0862313629054952E-3</v>
      </c>
      <c r="T312" s="90">
        <v>2</v>
      </c>
      <c r="U312" s="91">
        <v>1173094.1278243372</v>
      </c>
      <c r="V312" s="24">
        <v>1.4967245737884159E-3</v>
      </c>
      <c r="W312" s="90">
        <v>0</v>
      </c>
      <c r="X312" s="91">
        <v>908114.47656607733</v>
      </c>
      <c r="Y312" s="24">
        <v>1.1334126735825152E-3</v>
      </c>
      <c r="Z312" s="90">
        <v>1</v>
      </c>
      <c r="AA312" s="91">
        <v>1068388.043042942</v>
      </c>
      <c r="AB312" s="24">
        <v>1.353394636910248E-3</v>
      </c>
    </row>
    <row r="313" spans="1:28" x14ac:dyDescent="0.25">
      <c r="A313" t="s">
        <v>4477</v>
      </c>
      <c r="B313" t="s">
        <v>7232</v>
      </c>
      <c r="C313" t="s">
        <v>4479</v>
      </c>
      <c r="D313" s="9" t="s">
        <v>4478</v>
      </c>
      <c r="E313" s="9" t="s">
        <v>2736</v>
      </c>
      <c r="H313" t="s">
        <v>57</v>
      </c>
      <c r="I313" s="17">
        <v>-1.4178662412704599</v>
      </c>
      <c r="J313" s="17">
        <v>6.2633851561357895E-2</v>
      </c>
      <c r="K313" s="21">
        <v>3</v>
      </c>
      <c r="L313" s="27">
        <v>356939.08293818001</v>
      </c>
      <c r="M313" s="22">
        <v>7.2958524059914872E-4</v>
      </c>
      <c r="N313" s="21">
        <v>0</v>
      </c>
      <c r="O313" s="27">
        <v>357335.95205420844</v>
      </c>
      <c r="P313" s="22">
        <v>7.3679298442835242E-4</v>
      </c>
      <c r="Q313" s="21">
        <v>1</v>
      </c>
      <c r="R313" s="27">
        <v>389513.81954448012</v>
      </c>
      <c r="S313" s="22">
        <v>8.078580677746192E-4</v>
      </c>
      <c r="T313" s="23">
        <v>1</v>
      </c>
      <c r="U313" s="28">
        <v>305964.0679114408</v>
      </c>
      <c r="V313" s="24">
        <v>6.2434610441204717E-4</v>
      </c>
      <c r="W313" s="23">
        <v>0</v>
      </c>
      <c r="X313" s="28">
        <v>225878.62795047995</v>
      </c>
      <c r="Y313" s="24">
        <v>4.5088787658051208E-4</v>
      </c>
      <c r="Z313" s="23">
        <v>0</v>
      </c>
      <c r="AA313" s="28">
        <v>304821.03748627327</v>
      </c>
      <c r="AB313" s="24">
        <v>6.1757018465034667E-4</v>
      </c>
    </row>
    <row r="314" spans="1:28" x14ac:dyDescent="0.25">
      <c r="A314" t="s">
        <v>4226</v>
      </c>
      <c r="B314" t="s">
        <v>7149</v>
      </c>
      <c r="C314" t="s">
        <v>4228</v>
      </c>
      <c r="D314" s="9" t="s">
        <v>4227</v>
      </c>
      <c r="E314" s="9" t="s">
        <v>2736</v>
      </c>
      <c r="H314" t="s">
        <v>2148</v>
      </c>
      <c r="I314" s="17">
        <v>-1.4258370438977199</v>
      </c>
      <c r="J314" s="17">
        <v>6.3340173179801701E-2</v>
      </c>
      <c r="K314" s="21">
        <v>1</v>
      </c>
      <c r="L314" s="27">
        <v>169242.599423971</v>
      </c>
      <c r="M314" s="22">
        <v>2.6007470863083441E-4</v>
      </c>
      <c r="N314" s="21">
        <v>0</v>
      </c>
      <c r="O314" s="27">
        <v>181936.51074871916</v>
      </c>
      <c r="P314" s="22">
        <v>2.8202988303386081E-4</v>
      </c>
      <c r="Q314" s="21">
        <v>2</v>
      </c>
      <c r="R314" s="27">
        <v>191909.91127129528</v>
      </c>
      <c r="S314" s="22">
        <v>2.9923755517653571E-4</v>
      </c>
      <c r="T314" s="23">
        <v>2</v>
      </c>
      <c r="U314" s="28">
        <v>168073.70963884483</v>
      </c>
      <c r="V314" s="24">
        <v>2.578465131938604E-4</v>
      </c>
      <c r="W314" s="23">
        <v>0</v>
      </c>
      <c r="X314" s="28">
        <v>132979.70278327126</v>
      </c>
      <c r="Y314" s="24">
        <v>1.9956541171586446E-4</v>
      </c>
      <c r="Z314" s="23">
        <v>0</v>
      </c>
      <c r="AA314" s="28">
        <v>108526.71884392331</v>
      </c>
      <c r="AB314" s="24">
        <v>1.653044534706682E-4</v>
      </c>
    </row>
    <row r="315" spans="1:28" x14ac:dyDescent="0.25">
      <c r="A315" t="s">
        <v>4534</v>
      </c>
      <c r="B315" t="s">
        <v>7252</v>
      </c>
      <c r="C315" t="s">
        <v>4535</v>
      </c>
      <c r="D315" s="9" t="s">
        <v>4532</v>
      </c>
      <c r="E315" s="9" t="s">
        <v>2736</v>
      </c>
      <c r="H315" t="s">
        <v>2737</v>
      </c>
      <c r="I315" s="17">
        <v>-1.4460224976556899</v>
      </c>
      <c r="J315" s="17">
        <v>5.1547759212269999E-2</v>
      </c>
      <c r="K315" s="21">
        <v>2</v>
      </c>
      <c r="L315" s="27">
        <v>770864.61971537198</v>
      </c>
      <c r="M315" s="22">
        <v>1.9983867267929357E-3</v>
      </c>
      <c r="N315" s="21">
        <v>1</v>
      </c>
      <c r="O315" s="27">
        <v>633619.4882529421</v>
      </c>
      <c r="P315" s="22">
        <v>1.6569781513161162E-3</v>
      </c>
      <c r="Q315" s="21">
        <v>4</v>
      </c>
      <c r="R315" s="27">
        <v>790339.98129290179</v>
      </c>
      <c r="S315" s="22">
        <v>2.0789576147546155E-3</v>
      </c>
      <c r="T315" s="23">
        <v>3</v>
      </c>
      <c r="U315" s="28">
        <v>569768.17091473518</v>
      </c>
      <c r="V315" s="24">
        <v>1.474594641173399E-3</v>
      </c>
      <c r="W315" s="23">
        <v>0</v>
      </c>
      <c r="X315" s="28">
        <v>487770.66155728936</v>
      </c>
      <c r="Y315" s="24">
        <v>1.2348908675527991E-3</v>
      </c>
      <c r="Z315" s="23">
        <v>1</v>
      </c>
      <c r="AA315" s="28">
        <v>585039.4300939251</v>
      </c>
      <c r="AB315" s="24">
        <v>1.5033012137874483E-3</v>
      </c>
    </row>
    <row r="316" spans="1:28" x14ac:dyDescent="0.25">
      <c r="A316" t="s">
        <v>4559</v>
      </c>
      <c r="B316" t="s">
        <v>7261</v>
      </c>
      <c r="C316" t="s">
        <v>4561</v>
      </c>
      <c r="D316" s="9" t="s">
        <v>4560</v>
      </c>
      <c r="E316" s="9" t="s">
        <v>2736</v>
      </c>
      <c r="H316" t="s">
        <v>1055</v>
      </c>
      <c r="I316" s="17">
        <v>-1.4505367474277799</v>
      </c>
      <c r="J316" s="17">
        <v>1.65586738390134E-2</v>
      </c>
      <c r="K316" s="21">
        <v>26</v>
      </c>
      <c r="L316" s="27">
        <v>18578172.2362165</v>
      </c>
      <c r="M316" s="22">
        <v>1.2864114141988915E-2</v>
      </c>
      <c r="N316" s="21">
        <v>17</v>
      </c>
      <c r="O316" s="27">
        <v>22135891.277762454</v>
      </c>
      <c r="P316" s="22">
        <v>1.5461824713617681E-2</v>
      </c>
      <c r="Q316" s="21">
        <v>32</v>
      </c>
      <c r="R316" s="27">
        <v>23750471.431451824</v>
      </c>
      <c r="S316" s="22">
        <v>1.6687043351491102E-2</v>
      </c>
      <c r="T316" s="23">
        <v>16</v>
      </c>
      <c r="U316" s="28">
        <v>15565204.142081428</v>
      </c>
      <c r="V316" s="24">
        <v>1.075981401786006E-2</v>
      </c>
      <c r="W316" s="23">
        <v>14</v>
      </c>
      <c r="X316" s="28">
        <v>14345432.56012</v>
      </c>
      <c r="Y316" s="24">
        <v>9.7006766612129664E-3</v>
      </c>
      <c r="Z316" s="23">
        <v>18</v>
      </c>
      <c r="AA316" s="28">
        <v>17837082.128674105</v>
      </c>
      <c r="AB316" s="24">
        <v>1.2242219432858586E-2</v>
      </c>
    </row>
    <row r="317" spans="1:28" x14ac:dyDescent="0.25">
      <c r="A317" t="s">
        <v>4229</v>
      </c>
      <c r="B317" t="s">
        <v>7150</v>
      </c>
      <c r="C317" t="s">
        <v>4231</v>
      </c>
      <c r="D317" s="9" t="s">
        <v>4230</v>
      </c>
      <c r="E317" s="9" t="s">
        <v>2736</v>
      </c>
      <c r="H317" t="s">
        <v>2148</v>
      </c>
      <c r="I317" s="17">
        <v>-1.4541227977609801</v>
      </c>
      <c r="J317" s="17">
        <v>6.8841387266351806E-2</v>
      </c>
      <c r="K317" s="21">
        <v>13</v>
      </c>
      <c r="L317" s="27">
        <v>6105945.9579245104</v>
      </c>
      <c r="M317" s="22">
        <v>4.0226674287530493E-3</v>
      </c>
      <c r="N317" s="21">
        <v>5</v>
      </c>
      <c r="O317" s="27">
        <v>5361628.5154958079</v>
      </c>
      <c r="P317" s="22">
        <v>3.5632371331534114E-3</v>
      </c>
      <c r="Q317" s="21">
        <v>12</v>
      </c>
      <c r="R317" s="27">
        <v>6561099.585620991</v>
      </c>
      <c r="S317" s="22">
        <v>4.3859942925199595E-3</v>
      </c>
      <c r="T317" s="23">
        <v>4</v>
      </c>
      <c r="U317" s="28">
        <v>4572938.0841129944</v>
      </c>
      <c r="V317" s="24">
        <v>3.0076655252792481E-3</v>
      </c>
      <c r="W317" s="23">
        <v>2</v>
      </c>
      <c r="X317" s="28">
        <v>3637008.0171945184</v>
      </c>
      <c r="Y317" s="24">
        <v>2.3400056835645544E-3</v>
      </c>
      <c r="Z317" s="23">
        <v>5</v>
      </c>
      <c r="AA317" s="28">
        <v>5160868.6893347716</v>
      </c>
      <c r="AB317" s="24">
        <v>3.3701049821236147E-3</v>
      </c>
    </row>
    <row r="318" spans="1:28" x14ac:dyDescent="0.25">
      <c r="A318" t="s">
        <v>4465</v>
      </c>
      <c r="B318" t="s">
        <v>7228</v>
      </c>
      <c r="C318" t="s">
        <v>4467</v>
      </c>
      <c r="D318" s="9" t="s">
        <v>4466</v>
      </c>
      <c r="E318" s="9" t="s">
        <v>2736</v>
      </c>
      <c r="H318" t="s">
        <v>57</v>
      </c>
      <c r="I318" s="17">
        <v>-1.45801614627208</v>
      </c>
      <c r="J318" s="17">
        <v>5.6998562896563004E-3</v>
      </c>
      <c r="K318" s="21">
        <v>3</v>
      </c>
      <c r="L318" s="27">
        <v>511187.44398074999</v>
      </c>
      <c r="M318" s="22">
        <v>1.0794679817598099E-3</v>
      </c>
      <c r="N318" s="21">
        <v>1</v>
      </c>
      <c r="O318" s="27">
        <v>653703.31466432707</v>
      </c>
      <c r="P318" s="22">
        <v>1.3925061014360334E-3</v>
      </c>
      <c r="Q318" s="21">
        <v>2</v>
      </c>
      <c r="R318" s="27">
        <v>709782.57545565662</v>
      </c>
      <c r="S318" s="22">
        <v>1.5208457921946827E-3</v>
      </c>
      <c r="T318" s="23">
        <v>0</v>
      </c>
      <c r="U318" s="28">
        <v>426012.818404057</v>
      </c>
      <c r="V318" s="24">
        <v>8.9810124378422599E-4</v>
      </c>
      <c r="W318" s="23">
        <v>1</v>
      </c>
      <c r="X318" s="28">
        <v>534693.96947769681</v>
      </c>
      <c r="Y318" s="24">
        <v>1.1026720188957086E-3</v>
      </c>
      <c r="Z318" s="23">
        <v>1</v>
      </c>
      <c r="AA318" s="28">
        <v>428637.77772556373</v>
      </c>
      <c r="AB318" s="24">
        <v>8.9717978490777312E-4</v>
      </c>
    </row>
    <row r="319" spans="1:28" x14ac:dyDescent="0.25">
      <c r="A319" t="s">
        <v>4368</v>
      </c>
      <c r="B319" t="s">
        <v>7196</v>
      </c>
      <c r="C319" t="s">
        <v>4370</v>
      </c>
      <c r="D319" s="9" t="s">
        <v>4369</v>
      </c>
      <c r="E319" s="9" t="s">
        <v>2736</v>
      </c>
      <c r="H319" t="s">
        <v>2800</v>
      </c>
      <c r="I319" s="17">
        <v>-1.4643392348028601</v>
      </c>
      <c r="J319" s="17">
        <v>0.19113711036903799</v>
      </c>
      <c r="K319" s="21">
        <v>13</v>
      </c>
      <c r="L319" s="27">
        <v>3506423.1352234902</v>
      </c>
      <c r="M319" s="22">
        <v>2.8127667829055845E-3</v>
      </c>
      <c r="N319" s="21">
        <v>7</v>
      </c>
      <c r="O319" s="27">
        <v>2457312.8626862112</v>
      </c>
      <c r="P319" s="22">
        <v>1.988459216155555E-3</v>
      </c>
      <c r="Q319" s="21">
        <v>12</v>
      </c>
      <c r="R319" s="27">
        <v>4276754.9676523134</v>
      </c>
      <c r="S319" s="22">
        <v>3.4810802056776812E-3</v>
      </c>
      <c r="T319" s="23">
        <v>7</v>
      </c>
      <c r="U319" s="28">
        <v>2740358.2841243814</v>
      </c>
      <c r="V319" s="24">
        <v>2.1945717935184165E-3</v>
      </c>
      <c r="W319" s="23">
        <v>2</v>
      </c>
      <c r="X319" s="28">
        <v>1904454.8151012941</v>
      </c>
      <c r="Y319" s="24">
        <v>1.4919406793442551E-3</v>
      </c>
      <c r="Z319" s="23">
        <v>5</v>
      </c>
      <c r="AA319" s="28">
        <v>2880747.4074175316</v>
      </c>
      <c r="AB319" s="24">
        <v>2.2905196871507226E-3</v>
      </c>
    </row>
    <row r="320" spans="1:28" x14ac:dyDescent="0.25">
      <c r="A320" t="s">
        <v>4556</v>
      </c>
      <c r="B320" t="s">
        <v>7260</v>
      </c>
      <c r="C320" t="s">
        <v>4558</v>
      </c>
      <c r="D320" s="9" t="s">
        <v>4557</v>
      </c>
      <c r="E320" s="9" t="s">
        <v>2736</v>
      </c>
      <c r="H320" t="s">
        <v>1055</v>
      </c>
      <c r="I320" s="17">
        <v>-1.4774521291579601</v>
      </c>
      <c r="J320" s="17">
        <v>2.9554507368855901E-2</v>
      </c>
      <c r="K320" s="21">
        <v>4</v>
      </c>
      <c r="L320" s="27">
        <v>2428858.2275629402</v>
      </c>
      <c r="M320" s="22">
        <v>7.7062419197858403E-3</v>
      </c>
      <c r="N320" s="21">
        <v>1</v>
      </c>
      <c r="O320" s="27">
        <v>2360356.8965437901</v>
      </c>
      <c r="P320" s="22">
        <v>7.5544870385934335E-3</v>
      </c>
      <c r="Q320" s="21">
        <v>3</v>
      </c>
      <c r="R320" s="27">
        <v>2378361.9287736621</v>
      </c>
      <c r="S320" s="22">
        <v>7.6568242173334009E-3</v>
      </c>
      <c r="T320" s="23">
        <v>1</v>
      </c>
      <c r="U320" s="28">
        <v>2015938.739228924</v>
      </c>
      <c r="V320" s="24">
        <v>6.3854402731019187E-3</v>
      </c>
      <c r="W320" s="23">
        <v>0</v>
      </c>
      <c r="X320" s="28">
        <v>1754391.7068263104</v>
      </c>
      <c r="Y320" s="24">
        <v>5.4359883770998723E-3</v>
      </c>
      <c r="Z320" s="23">
        <v>1</v>
      </c>
      <c r="AA320" s="28">
        <v>1476830.0990971553</v>
      </c>
      <c r="AB320" s="24">
        <v>4.6444089738030417E-3</v>
      </c>
    </row>
    <row r="321" spans="1:28" x14ac:dyDescent="0.25">
      <c r="A321" t="s">
        <v>4440</v>
      </c>
      <c r="B321" t="s">
        <v>7219</v>
      </c>
      <c r="C321" t="s">
        <v>4442</v>
      </c>
      <c r="D321" s="9" t="s">
        <v>4441</v>
      </c>
      <c r="E321" s="9" t="s">
        <v>2736</v>
      </c>
      <c r="H321" t="s">
        <v>1055</v>
      </c>
      <c r="I321" s="17">
        <v>-1.4843183023984099</v>
      </c>
      <c r="J321" s="17">
        <v>0.134992203127138</v>
      </c>
      <c r="K321" s="21">
        <v>4</v>
      </c>
      <c r="L321" s="27">
        <v>952947.29759050801</v>
      </c>
      <c r="M321" s="22">
        <v>1.3097470606065174E-3</v>
      </c>
      <c r="N321" s="21">
        <v>1</v>
      </c>
      <c r="O321" s="27">
        <v>703951.3115793881</v>
      </c>
      <c r="P321" s="22">
        <v>9.7599592522918744E-4</v>
      </c>
      <c r="Q321" s="21">
        <v>2</v>
      </c>
      <c r="R321" s="27">
        <v>1180060.5500077307</v>
      </c>
      <c r="S321" s="22">
        <v>1.6457092162571905E-3</v>
      </c>
      <c r="T321" s="23">
        <v>2</v>
      </c>
      <c r="U321" s="28">
        <v>764281.08305572311</v>
      </c>
      <c r="V321" s="24">
        <v>1.0486841492148159E-3</v>
      </c>
      <c r="W321" s="23">
        <v>0</v>
      </c>
      <c r="X321" s="28">
        <v>566128.40357014386</v>
      </c>
      <c r="Y321" s="24">
        <v>7.5987993219901804E-4</v>
      </c>
      <c r="Z321" s="23">
        <v>1</v>
      </c>
      <c r="AA321" s="28">
        <v>727441.40306839254</v>
      </c>
      <c r="AB321" s="24">
        <v>9.9100538192325224E-4</v>
      </c>
    </row>
    <row r="322" spans="1:28" x14ac:dyDescent="0.25">
      <c r="A322" t="s">
        <v>4335</v>
      </c>
      <c r="B322" t="s">
        <v>7185</v>
      </c>
      <c r="C322" t="s">
        <v>4337</v>
      </c>
      <c r="D322" s="9" t="s">
        <v>4336</v>
      </c>
      <c r="E322" s="9" t="s">
        <v>2736</v>
      </c>
      <c r="H322" t="s">
        <v>2800</v>
      </c>
      <c r="I322" s="17">
        <v>-1.5052463745390099</v>
      </c>
      <c r="J322" s="17">
        <v>2.5439599030535099E-2</v>
      </c>
      <c r="K322" s="21">
        <v>23</v>
      </c>
      <c r="L322" s="27">
        <v>10260069.876693601</v>
      </c>
      <c r="M322" s="22">
        <v>6.5892745039018213E-3</v>
      </c>
      <c r="N322" s="21">
        <v>15</v>
      </c>
      <c r="O322" s="27">
        <v>11205692.630010752</v>
      </c>
      <c r="P322" s="22">
        <v>7.2596021368579906E-3</v>
      </c>
      <c r="Q322" s="21">
        <v>27</v>
      </c>
      <c r="R322" s="27">
        <v>11213349.125546228</v>
      </c>
      <c r="S322" s="22">
        <v>7.307231819943953E-3</v>
      </c>
      <c r="T322" s="23">
        <v>11</v>
      </c>
      <c r="U322" s="28">
        <v>8049750.0693498459</v>
      </c>
      <c r="V322" s="24">
        <v>5.1611053238773737E-3</v>
      </c>
      <c r="W322" s="23">
        <v>7</v>
      </c>
      <c r="X322" s="28">
        <v>6527775.4138416676</v>
      </c>
      <c r="Y322" s="24">
        <v>4.0941520435052291E-3</v>
      </c>
      <c r="Z322" s="23">
        <v>12</v>
      </c>
      <c r="AA322" s="28">
        <v>8768093.0256691426</v>
      </c>
      <c r="AB322" s="24">
        <v>5.5815121981678513E-3</v>
      </c>
    </row>
    <row r="323" spans="1:28" x14ac:dyDescent="0.25">
      <c r="A323" t="s">
        <v>4507</v>
      </c>
      <c r="B323" t="s">
        <v>7242</v>
      </c>
      <c r="C323" t="s">
        <v>4509</v>
      </c>
      <c r="D323" s="9" t="s">
        <v>4508</v>
      </c>
      <c r="E323" s="9" t="s">
        <v>2736</v>
      </c>
      <c r="H323" t="s">
        <v>2127</v>
      </c>
      <c r="I323" s="17">
        <v>-1.5091561924910299</v>
      </c>
      <c r="J323" s="17">
        <v>4.0240547599554199E-2</v>
      </c>
      <c r="K323" s="21">
        <v>3</v>
      </c>
      <c r="L323" s="27">
        <v>1162545.98140725</v>
      </c>
      <c r="M323" s="22">
        <v>8.3208743782427208E-4</v>
      </c>
      <c r="N323" s="21">
        <v>1</v>
      </c>
      <c r="O323" s="27">
        <v>1157643.1098288666</v>
      </c>
      <c r="P323" s="22">
        <v>8.3583460903568173E-4</v>
      </c>
      <c r="Q323" s="21">
        <v>4</v>
      </c>
      <c r="R323" s="27">
        <v>1385635.4831342937</v>
      </c>
      <c r="S323" s="22">
        <v>1.0063245830776938E-3</v>
      </c>
      <c r="T323" s="23">
        <v>0</v>
      </c>
      <c r="U323" s="28">
        <v>1021660.5782415411</v>
      </c>
      <c r="V323" s="24">
        <v>7.3002629927438158E-4</v>
      </c>
      <c r="W323" s="23">
        <v>0</v>
      </c>
      <c r="X323" s="28">
        <v>740347.58003353048</v>
      </c>
      <c r="Y323" s="24">
        <v>5.1749477391390395E-4</v>
      </c>
      <c r="Z323" s="23">
        <v>0</v>
      </c>
      <c r="AA323" s="28">
        <v>872971.28007295704</v>
      </c>
      <c r="AB323" s="24">
        <v>6.1932445606097358E-4</v>
      </c>
    </row>
    <row r="324" spans="1:28" x14ac:dyDescent="0.25">
      <c r="A324" t="s">
        <v>4462</v>
      </c>
      <c r="B324" t="s">
        <v>7227</v>
      </c>
      <c r="C324" t="s">
        <v>4464</v>
      </c>
      <c r="D324" s="9" t="s">
        <v>4463</v>
      </c>
      <c r="E324" s="9" t="s">
        <v>2736</v>
      </c>
      <c r="H324" t="s">
        <v>57</v>
      </c>
      <c r="I324" s="17">
        <v>-1.5191816389727799</v>
      </c>
      <c r="J324" s="17">
        <v>7.3833782744101599E-3</v>
      </c>
      <c r="K324" s="21">
        <v>2</v>
      </c>
      <c r="L324" s="27">
        <v>7572984.1700723497</v>
      </c>
      <c r="M324" s="22">
        <v>1.9793096994196461E-2</v>
      </c>
      <c r="N324" s="21">
        <v>2</v>
      </c>
      <c r="O324" s="27">
        <v>8001646.9904302228</v>
      </c>
      <c r="P324" s="22">
        <v>2.1096622120357535E-2</v>
      </c>
      <c r="Q324" s="21">
        <v>2</v>
      </c>
      <c r="R324" s="27">
        <v>8602204.3788366895</v>
      </c>
      <c r="S324" s="22">
        <v>2.2813226913795451E-2</v>
      </c>
      <c r="T324" s="23">
        <v>2</v>
      </c>
      <c r="U324" s="28">
        <v>6014802.8012518408</v>
      </c>
      <c r="V324" s="24">
        <v>1.5694270761248404E-2</v>
      </c>
      <c r="W324" s="23">
        <v>2</v>
      </c>
      <c r="X324" s="28">
        <v>5246677.3836000133</v>
      </c>
      <c r="Y324" s="24">
        <v>1.3391910716745633E-2</v>
      </c>
      <c r="Z324" s="23">
        <v>2</v>
      </c>
      <c r="AA324" s="28">
        <v>5881340.3224172201</v>
      </c>
      <c r="AB324" s="24">
        <v>1.5236403380958177E-2</v>
      </c>
    </row>
    <row r="325" spans="1:28" x14ac:dyDescent="0.25">
      <c r="A325" t="s">
        <v>4313</v>
      </c>
      <c r="B325" t="s">
        <v>7178</v>
      </c>
      <c r="C325" t="s">
        <v>4315</v>
      </c>
      <c r="D325" s="9" t="s">
        <v>4314</v>
      </c>
      <c r="E325" s="9" t="s">
        <v>2736</v>
      </c>
      <c r="H325" t="s">
        <v>2287</v>
      </c>
      <c r="I325" s="17">
        <v>-1.5215048656816299</v>
      </c>
      <c r="J325" s="17">
        <v>4.4429745123945701E-2</v>
      </c>
      <c r="K325" s="21">
        <v>3</v>
      </c>
      <c r="L325" s="27">
        <v>1835744.38713685</v>
      </c>
      <c r="M325" s="22">
        <v>3.2977701767585802E-3</v>
      </c>
      <c r="N325" s="21">
        <v>1</v>
      </c>
      <c r="O325" s="27">
        <v>1821648.1938635546</v>
      </c>
      <c r="P325" s="22">
        <v>3.3011063584131549E-3</v>
      </c>
      <c r="Q325" s="21">
        <v>2</v>
      </c>
      <c r="R325" s="27">
        <v>1982258.2943056445</v>
      </c>
      <c r="S325" s="22">
        <v>3.6132555677894271E-3</v>
      </c>
      <c r="T325" s="23">
        <v>2</v>
      </c>
      <c r="U325" s="28">
        <v>1605064.9717899053</v>
      </c>
      <c r="V325" s="24">
        <v>2.8785504001248765E-3</v>
      </c>
      <c r="W325" s="23">
        <v>0</v>
      </c>
      <c r="X325" s="28">
        <v>1379674.6681544718</v>
      </c>
      <c r="Y325" s="24">
        <v>2.4204512975148267E-3</v>
      </c>
      <c r="Z325" s="23">
        <v>0</v>
      </c>
      <c r="AA325" s="28">
        <v>1016983.025761627</v>
      </c>
      <c r="AB325" s="24">
        <v>1.8108452117548989E-3</v>
      </c>
    </row>
    <row r="326" spans="1:28" x14ac:dyDescent="0.25">
      <c r="A326" t="s">
        <v>4480</v>
      </c>
      <c r="B326" t="s">
        <v>7233</v>
      </c>
      <c r="C326" t="s">
        <v>4482</v>
      </c>
      <c r="D326" s="9" t="s">
        <v>4481</v>
      </c>
      <c r="E326" s="9" t="s">
        <v>2736</v>
      </c>
      <c r="H326" t="s">
        <v>57</v>
      </c>
      <c r="I326" s="17">
        <v>-1.53224096146929</v>
      </c>
      <c r="J326" s="17">
        <v>0.10385830204369</v>
      </c>
      <c r="K326" s="21">
        <v>1</v>
      </c>
      <c r="L326" s="27">
        <v>485953.76084594399</v>
      </c>
      <c r="M326" s="22">
        <v>1.3533059628912042E-3</v>
      </c>
      <c r="N326" s="21">
        <v>2</v>
      </c>
      <c r="O326" s="27">
        <v>488489.38774956053</v>
      </c>
      <c r="P326" s="22">
        <v>1.372280883778785E-3</v>
      </c>
      <c r="Q326" s="21">
        <v>2</v>
      </c>
      <c r="R326" s="27">
        <v>798750.80762608012</v>
      </c>
      <c r="S326" s="22">
        <v>2.2570574723920879E-3</v>
      </c>
      <c r="T326" s="23">
        <v>1</v>
      </c>
      <c r="U326" s="28">
        <v>497809.36766184965</v>
      </c>
      <c r="V326" s="24">
        <v>1.3840033979151084E-3</v>
      </c>
      <c r="W326" s="23">
        <v>1</v>
      </c>
      <c r="X326" s="28">
        <v>415058.58035861474</v>
      </c>
      <c r="Y326" s="24">
        <v>1.128812799353503E-3</v>
      </c>
      <c r="Z326" s="23">
        <v>0</v>
      </c>
      <c r="AA326" s="28">
        <v>326727.24952993944</v>
      </c>
      <c r="AB326" s="24">
        <v>9.018739697115916E-4</v>
      </c>
    </row>
    <row r="327" spans="1:28" x14ac:dyDescent="0.25">
      <c r="A327" t="s">
        <v>4214</v>
      </c>
      <c r="B327" t="s">
        <v>7145</v>
      </c>
      <c r="C327" t="s">
        <v>4216</v>
      </c>
      <c r="D327" s="9" t="s">
        <v>4215</v>
      </c>
      <c r="E327" s="9" t="s">
        <v>2736</v>
      </c>
      <c r="H327" t="s">
        <v>2148</v>
      </c>
      <c r="I327" s="17">
        <v>-1.55983160451414</v>
      </c>
      <c r="J327" s="17">
        <v>1.4681343328822099E-2</v>
      </c>
      <c r="K327" s="21">
        <v>2</v>
      </c>
      <c r="L327" s="27">
        <v>561631.14565557498</v>
      </c>
      <c r="M327" s="22">
        <v>1.0534375554682586E-3</v>
      </c>
      <c r="N327" s="21">
        <v>0</v>
      </c>
      <c r="O327" s="27">
        <v>468196.27445721807</v>
      </c>
      <c r="P327" s="22">
        <v>8.8587490495095687E-4</v>
      </c>
      <c r="Q327" s="21">
        <v>0</v>
      </c>
      <c r="R327" s="27">
        <v>549771.1508008237</v>
      </c>
      <c r="S327" s="22">
        <v>1.0463327512665243E-3</v>
      </c>
      <c r="T327" s="23">
        <v>1</v>
      </c>
      <c r="U327" s="28">
        <v>366197.16294664249</v>
      </c>
      <c r="V327" s="24">
        <v>6.8571813016234931E-4</v>
      </c>
      <c r="W327" s="23">
        <v>0</v>
      </c>
      <c r="X327" s="28">
        <v>352009.61285225517</v>
      </c>
      <c r="Y327" s="24">
        <v>6.447979049410158E-4</v>
      </c>
      <c r="Z327" s="23">
        <v>0</v>
      </c>
      <c r="AA327" s="28">
        <v>381173.13096570788</v>
      </c>
      <c r="AB327" s="24">
        <v>7.0866231773658703E-4</v>
      </c>
    </row>
    <row r="328" spans="1:28" x14ac:dyDescent="0.25">
      <c r="A328" t="s">
        <v>4513</v>
      </c>
      <c r="B328" t="s">
        <v>7244</v>
      </c>
      <c r="C328" t="s">
        <v>4515</v>
      </c>
      <c r="D328" s="9" t="s">
        <v>4514</v>
      </c>
      <c r="E328" s="9" t="s">
        <v>2736</v>
      </c>
      <c r="H328" t="s">
        <v>2127</v>
      </c>
      <c r="I328" s="17">
        <v>-1.5788378793772999</v>
      </c>
      <c r="J328" s="17">
        <v>0.13978121093254001</v>
      </c>
      <c r="K328" s="21">
        <v>1</v>
      </c>
      <c r="L328" s="27">
        <v>501224.343905674</v>
      </c>
      <c r="M328" s="22">
        <v>7.1190549514992809E-4</v>
      </c>
      <c r="N328" s="21">
        <v>2</v>
      </c>
      <c r="O328" s="27">
        <v>295455.35197334463</v>
      </c>
      <c r="P328" s="22">
        <v>4.2332009308484E-4</v>
      </c>
      <c r="Q328" s="21">
        <v>1</v>
      </c>
      <c r="R328" s="27">
        <v>458012.0675856793</v>
      </c>
      <c r="S328" s="22">
        <v>6.6008120925234828E-4</v>
      </c>
      <c r="T328" s="23">
        <v>0</v>
      </c>
      <c r="U328" s="28">
        <v>344305.90057993279</v>
      </c>
      <c r="V328" s="24">
        <v>4.8821115519927488E-4</v>
      </c>
      <c r="W328" s="23">
        <v>0</v>
      </c>
      <c r="X328" s="28">
        <v>242605.14745787508</v>
      </c>
      <c r="Y328" s="24">
        <v>3.3651287221594928E-4</v>
      </c>
      <c r="Z328" s="23">
        <v>0</v>
      </c>
      <c r="AA328" s="28">
        <v>275330.12100553815</v>
      </c>
      <c r="AB328" s="24">
        <v>3.8761748779275615E-4</v>
      </c>
    </row>
    <row r="329" spans="1:28" x14ac:dyDescent="0.25">
      <c r="A329" t="s">
        <v>4362</v>
      </c>
      <c r="B329" t="s">
        <v>7194</v>
      </c>
      <c r="C329" t="s">
        <v>4364</v>
      </c>
      <c r="D329" s="9" t="s">
        <v>4363</v>
      </c>
      <c r="E329" s="9" t="s">
        <v>2736</v>
      </c>
      <c r="H329" t="s">
        <v>2800</v>
      </c>
      <c r="I329" s="17">
        <v>-1.6790124848463499</v>
      </c>
      <c r="J329" s="17">
        <v>0.15708226213743301</v>
      </c>
      <c r="K329" s="21">
        <v>1</v>
      </c>
      <c r="L329" s="27">
        <v>1615525.98580208</v>
      </c>
      <c r="M329" s="22">
        <v>1.0344062593013734E-3</v>
      </c>
      <c r="N329" s="21">
        <v>1</v>
      </c>
      <c r="O329" s="27">
        <v>1035789.2789225731</v>
      </c>
      <c r="P329" s="22">
        <v>6.6901435373455966E-4</v>
      </c>
      <c r="Q329" s="21">
        <v>3</v>
      </c>
      <c r="R329" s="27">
        <v>1989198.1786393998</v>
      </c>
      <c r="S329" s="22">
        <v>1.2923659418164033E-3</v>
      </c>
      <c r="T329" s="23">
        <v>2</v>
      </c>
      <c r="U329" s="28">
        <v>1210817.4867389931</v>
      </c>
      <c r="V329" s="24">
        <v>7.739785412718272E-4</v>
      </c>
      <c r="W329" s="23">
        <v>0</v>
      </c>
      <c r="X329" s="28">
        <v>669918.67804988485</v>
      </c>
      <c r="Y329" s="24">
        <v>4.1890038480491373E-4</v>
      </c>
      <c r="Z329" s="23">
        <v>1</v>
      </c>
      <c r="AA329" s="28">
        <v>1082671.7746473025</v>
      </c>
      <c r="AB329" s="24">
        <v>6.8712136783252839E-4</v>
      </c>
    </row>
    <row r="330" spans="1:28" x14ac:dyDescent="0.25">
      <c r="A330" t="s">
        <v>4356</v>
      </c>
      <c r="B330" t="s">
        <v>7192</v>
      </c>
      <c r="C330" t="s">
        <v>4358</v>
      </c>
      <c r="D330" s="9" t="s">
        <v>4357</v>
      </c>
      <c r="E330" s="9" t="s">
        <v>2736</v>
      </c>
      <c r="H330" t="s">
        <v>2800</v>
      </c>
      <c r="I330" s="17">
        <v>-1.6916981758402301</v>
      </c>
      <c r="J330" s="17">
        <v>0.110775531124117</v>
      </c>
      <c r="K330" s="21">
        <v>3</v>
      </c>
      <c r="L330" s="27">
        <v>567294.96308899403</v>
      </c>
      <c r="M330" s="22">
        <v>5.1831053368523263E-4</v>
      </c>
      <c r="N330" s="21">
        <v>1</v>
      </c>
      <c r="O330" s="27">
        <v>547563.39733970852</v>
      </c>
      <c r="P330" s="22">
        <v>5.0466402762301774E-4</v>
      </c>
      <c r="Q330" s="21">
        <v>3</v>
      </c>
      <c r="R330" s="27">
        <v>688680.57633371698</v>
      </c>
      <c r="S330" s="22">
        <v>6.3845339621175382E-4</v>
      </c>
      <c r="T330" s="23">
        <v>0</v>
      </c>
      <c r="U330" s="28">
        <v>516220.48643860832</v>
      </c>
      <c r="V330" s="24">
        <v>4.708573857104224E-4</v>
      </c>
      <c r="W330" s="23">
        <v>0</v>
      </c>
      <c r="X330" s="28">
        <v>224321.38127029841</v>
      </c>
      <c r="Y330" s="24">
        <v>2.0015353235579641E-4</v>
      </c>
      <c r="Z330" s="23">
        <v>0</v>
      </c>
      <c r="AA330" s="28">
        <v>392124.02802916971</v>
      </c>
      <c r="AB330" s="24">
        <v>3.5511090607682295E-4</v>
      </c>
    </row>
    <row r="331" spans="1:28" x14ac:dyDescent="0.25">
      <c r="A331" t="s">
        <v>4553</v>
      </c>
      <c r="B331" t="s">
        <v>7259</v>
      </c>
      <c r="C331" t="s">
        <v>4555</v>
      </c>
      <c r="D331" s="9" t="s">
        <v>4554</v>
      </c>
      <c r="E331" s="9" t="s">
        <v>2736</v>
      </c>
      <c r="H331" t="s">
        <v>1055</v>
      </c>
      <c r="I331" s="17">
        <v>-1.70683249784026</v>
      </c>
      <c r="J331" s="17">
        <v>3.0991750877951401E-2</v>
      </c>
      <c r="K331" s="21">
        <v>8</v>
      </c>
      <c r="L331" s="27">
        <v>5155461.1323456904</v>
      </c>
      <c r="M331" s="22">
        <v>2.3153449479157002E-2</v>
      </c>
      <c r="N331" s="21">
        <v>4</v>
      </c>
      <c r="O331" s="27">
        <v>4116525.2175757899</v>
      </c>
      <c r="P331" s="22">
        <v>1.8649440128017097E-2</v>
      </c>
      <c r="Q331" s="21">
        <v>7</v>
      </c>
      <c r="R331" s="27">
        <v>3916321.8553051641</v>
      </c>
      <c r="S331" s="22">
        <v>1.7846654734131873E-2</v>
      </c>
      <c r="T331" s="23">
        <v>3</v>
      </c>
      <c r="U331" s="28">
        <v>3150658.7918976014</v>
      </c>
      <c r="V331" s="24">
        <v>1.4126110602177121E-2</v>
      </c>
      <c r="W331" s="23">
        <v>2</v>
      </c>
      <c r="X331" s="28">
        <v>2573375.1320086503</v>
      </c>
      <c r="Y331" s="24">
        <v>1.1286590456854977E-2</v>
      </c>
      <c r="Z331" s="23">
        <v>1</v>
      </c>
      <c r="AA331" s="28">
        <v>2677162.7078568474</v>
      </c>
      <c r="AB331" s="24">
        <v>1.1917424253420303E-2</v>
      </c>
    </row>
    <row r="332" spans="1:28" x14ac:dyDescent="0.25">
      <c r="A332" t="s">
        <v>4332</v>
      </c>
      <c r="B332" t="s">
        <v>7184</v>
      </c>
      <c r="C332" t="s">
        <v>4334</v>
      </c>
      <c r="D332" s="9" t="s">
        <v>4333</v>
      </c>
      <c r="E332" s="9" t="s">
        <v>2736</v>
      </c>
      <c r="H332" t="s">
        <v>2800</v>
      </c>
      <c r="I332" s="17">
        <v>-1.71121432864598</v>
      </c>
      <c r="J332" s="17">
        <v>4.8105468282079802E-2</v>
      </c>
      <c r="K332" s="21">
        <v>3</v>
      </c>
      <c r="L332" s="27">
        <v>461237.58309272898</v>
      </c>
      <c r="M332" s="22">
        <v>4.7366317065798555E-4</v>
      </c>
      <c r="N332" s="21">
        <v>2</v>
      </c>
      <c r="O332" s="27">
        <v>637694.4218466233</v>
      </c>
      <c r="P332" s="22">
        <v>6.6060883933307247E-4</v>
      </c>
      <c r="Q332" s="21">
        <v>2</v>
      </c>
      <c r="R332" s="27">
        <v>667946.67957790184</v>
      </c>
      <c r="S332" s="22">
        <v>6.9601241285269287E-4</v>
      </c>
      <c r="T332" s="23">
        <v>0</v>
      </c>
      <c r="U332" s="28">
        <v>382794.6065429459</v>
      </c>
      <c r="V332" s="24">
        <v>3.9244950334402424E-4</v>
      </c>
      <c r="W332" s="23">
        <v>0</v>
      </c>
      <c r="X332" s="28">
        <v>266052.49740941398</v>
      </c>
      <c r="Y332" s="24">
        <v>2.6682329991108009E-4</v>
      </c>
      <c r="Z332" s="23">
        <v>0</v>
      </c>
      <c r="AA332" s="28">
        <v>449932.86020213051</v>
      </c>
      <c r="AB332" s="24">
        <v>4.5798588153646134E-4</v>
      </c>
    </row>
    <row r="333" spans="1:28" x14ac:dyDescent="0.25">
      <c r="A333" t="s">
        <v>4551</v>
      </c>
      <c r="B333" t="s">
        <v>7258</v>
      </c>
      <c r="C333" t="s">
        <v>4552</v>
      </c>
      <c r="D333" s="9" t="s">
        <v>4320</v>
      </c>
      <c r="E333" s="9" t="s">
        <v>2736</v>
      </c>
      <c r="H333" t="s">
        <v>2287</v>
      </c>
      <c r="I333" s="17">
        <v>-1.7908757023280599</v>
      </c>
      <c r="J333" s="17">
        <v>3.38621838928121E-3</v>
      </c>
      <c r="K333" s="21">
        <v>4</v>
      </c>
      <c r="L333" s="27">
        <v>1999463.75124227</v>
      </c>
      <c r="M333" s="22">
        <v>8.7336786749631946E-3</v>
      </c>
      <c r="N333" s="21">
        <v>3</v>
      </c>
      <c r="O333" s="27">
        <v>1739315.7030834437</v>
      </c>
      <c r="P333" s="22">
        <v>7.6638840368131334E-3</v>
      </c>
      <c r="Q333" s="21">
        <v>4</v>
      </c>
      <c r="R333" s="27">
        <v>1740870.4664118649</v>
      </c>
      <c r="S333" s="22">
        <v>7.7157898710485924E-3</v>
      </c>
      <c r="T333" s="23">
        <v>2</v>
      </c>
      <c r="U333" s="28">
        <v>1078608.8173873865</v>
      </c>
      <c r="V333" s="24">
        <v>4.7034949747076071E-3</v>
      </c>
      <c r="W333" s="23">
        <v>2</v>
      </c>
      <c r="X333" s="28">
        <v>1190310.3300634315</v>
      </c>
      <c r="Y333" s="24">
        <v>5.0775634370708459E-3</v>
      </c>
      <c r="Z333" s="23">
        <v>2</v>
      </c>
      <c r="AA333" s="28">
        <v>1068591.9543468312</v>
      </c>
      <c r="AB333" s="24">
        <v>4.6265261587462459E-3</v>
      </c>
    </row>
    <row r="334" spans="1:28" x14ac:dyDescent="0.25">
      <c r="A334" t="s">
        <v>4459</v>
      </c>
      <c r="B334" t="s">
        <v>7226</v>
      </c>
      <c r="C334" t="s">
        <v>4461</v>
      </c>
      <c r="D334" s="9" t="s">
        <v>4460</v>
      </c>
      <c r="E334" s="9" t="s">
        <v>2736</v>
      </c>
      <c r="H334" t="s">
        <v>57</v>
      </c>
      <c r="I334" s="17">
        <v>-1.8170964394539</v>
      </c>
      <c r="J334" s="17">
        <v>1.54428449737809E-2</v>
      </c>
      <c r="K334" s="21">
        <v>2</v>
      </c>
      <c r="L334" s="27">
        <v>1357250.04063563</v>
      </c>
      <c r="M334" s="22">
        <v>3.3943468081646506E-3</v>
      </c>
      <c r="N334" s="21">
        <v>1</v>
      </c>
      <c r="O334" s="27">
        <v>1022756.0164149405</v>
      </c>
      <c r="P334" s="22">
        <v>2.580211016216717E-3</v>
      </c>
      <c r="Q334" s="21">
        <v>4</v>
      </c>
      <c r="R334" s="27">
        <v>1188546.6326200156</v>
      </c>
      <c r="S334" s="22">
        <v>3.0160798514226694E-3</v>
      </c>
      <c r="T334" s="23">
        <v>1</v>
      </c>
      <c r="U334" s="28">
        <v>704320.62851513817</v>
      </c>
      <c r="V334" s="24">
        <v>1.7584895908129236E-3</v>
      </c>
      <c r="W334" s="23">
        <v>1</v>
      </c>
      <c r="X334" s="28">
        <v>847223.30634388758</v>
      </c>
      <c r="Y334" s="24">
        <v>2.0692155100397827E-3</v>
      </c>
      <c r="Z334" s="23">
        <v>1</v>
      </c>
      <c r="AA334" s="28">
        <v>601094.53000272252</v>
      </c>
      <c r="AB334" s="24">
        <v>1.4900422168838069E-3</v>
      </c>
    </row>
    <row r="335" spans="1:28" x14ac:dyDescent="0.25">
      <c r="A335" t="s">
        <v>4662</v>
      </c>
      <c r="B335" t="s">
        <v>7296</v>
      </c>
      <c r="C335" t="s">
        <v>4664</v>
      </c>
      <c r="D335" s="9" t="s">
        <v>4663</v>
      </c>
      <c r="E335" s="9" t="s">
        <v>2736</v>
      </c>
      <c r="H335" t="s">
        <v>2148</v>
      </c>
      <c r="I335" s="17">
        <v>-1.8849648375575201</v>
      </c>
      <c r="J335" s="17">
        <v>0.21070578320612299</v>
      </c>
      <c r="K335" s="21">
        <v>4</v>
      </c>
      <c r="L335" s="27">
        <v>2483158.4495163201</v>
      </c>
      <c r="M335" s="22">
        <v>5.675926455645945E-3</v>
      </c>
      <c r="N335" s="21">
        <v>1</v>
      </c>
      <c r="O335" s="27">
        <v>1109648.7218814297</v>
      </c>
      <c r="P335" s="22">
        <v>2.558613438633838E-3</v>
      </c>
      <c r="Q335" s="21">
        <v>3</v>
      </c>
      <c r="R335" s="27">
        <v>3225288.4723309185</v>
      </c>
      <c r="S335" s="22">
        <v>7.4805090203395258E-3</v>
      </c>
      <c r="T335" s="23">
        <v>1</v>
      </c>
      <c r="U335" s="28">
        <v>1720410.034446795</v>
      </c>
      <c r="V335" s="24">
        <v>3.9258828650186482E-3</v>
      </c>
      <c r="W335" s="23">
        <v>0</v>
      </c>
      <c r="X335" s="28">
        <v>1110247.563425109</v>
      </c>
      <c r="Y335" s="24">
        <v>2.4783556946326138E-3</v>
      </c>
      <c r="Z335" s="23">
        <v>0</v>
      </c>
      <c r="AA335" s="28">
        <v>1067946.8985466259</v>
      </c>
      <c r="AB335" s="24">
        <v>2.4195880639458923E-3</v>
      </c>
    </row>
    <row r="336" spans="1:28" x14ac:dyDescent="0.25">
      <c r="A336" t="s">
        <v>4510</v>
      </c>
      <c r="B336" t="s">
        <v>7243</v>
      </c>
      <c r="C336" t="s">
        <v>4512</v>
      </c>
      <c r="D336" s="9" t="s">
        <v>4511</v>
      </c>
      <c r="E336" s="9" t="s">
        <v>2736</v>
      </c>
      <c r="H336" t="s">
        <v>2127</v>
      </c>
      <c r="I336" s="17">
        <v>-1.94054699993196</v>
      </c>
      <c r="J336" s="17">
        <v>0.10929215869211301</v>
      </c>
      <c r="K336" s="21">
        <v>0</v>
      </c>
      <c r="L336" s="27">
        <v>71710.901226493501</v>
      </c>
      <c r="M336" s="22">
        <v>7.3761547789681902E-5</v>
      </c>
      <c r="N336" s="21">
        <v>0</v>
      </c>
      <c r="O336" s="27">
        <v>93827.656948751115</v>
      </c>
      <c r="P336" s="22">
        <v>9.7355960190628348E-5</v>
      </c>
      <c r="Q336" s="21">
        <v>2</v>
      </c>
      <c r="R336" s="27">
        <v>152517.47420827189</v>
      </c>
      <c r="S336" s="22">
        <v>1.5918227411684192E-4</v>
      </c>
      <c r="T336" s="23">
        <v>1</v>
      </c>
      <c r="U336" s="28">
        <v>62311.444503965104</v>
      </c>
      <c r="V336" s="24">
        <v>6.3986109310331993E-5</v>
      </c>
      <c r="W336" s="23">
        <v>0</v>
      </c>
      <c r="X336" s="28">
        <v>33433.865121974741</v>
      </c>
      <c r="Y336" s="24">
        <v>3.3584810934733815E-5</v>
      </c>
      <c r="Z336" s="23">
        <v>1</v>
      </c>
      <c r="AA336" s="28">
        <v>77033.186448332635</v>
      </c>
      <c r="AB336" s="24">
        <v>7.8538418361711186E-5</v>
      </c>
    </row>
    <row r="337" spans="1:36" x14ac:dyDescent="0.25">
      <c r="A337" t="s">
        <v>4316</v>
      </c>
      <c r="B337" t="s">
        <v>7179</v>
      </c>
      <c r="C337" t="s">
        <v>4318</v>
      </c>
      <c r="D337" s="9" t="s">
        <v>4317</v>
      </c>
      <c r="E337" s="9" t="s">
        <v>2736</v>
      </c>
      <c r="H337" t="s">
        <v>2287</v>
      </c>
      <c r="I337" s="17">
        <v>-1.95308528788669</v>
      </c>
      <c r="J337" s="17">
        <v>0.205899928234832</v>
      </c>
      <c r="K337" s="21">
        <v>2</v>
      </c>
      <c r="L337" s="27">
        <v>1479040.89749391</v>
      </c>
      <c r="M337" s="22">
        <v>1.4533560284819319E-3</v>
      </c>
      <c r="N337" s="21">
        <v>1</v>
      </c>
      <c r="O337" s="27">
        <v>3933175.5559324608</v>
      </c>
      <c r="P337" s="22">
        <v>3.8987195627295293E-3</v>
      </c>
      <c r="Q337" s="21">
        <v>1</v>
      </c>
      <c r="R337" s="27">
        <v>1191086.4632659871</v>
      </c>
      <c r="S337" s="22">
        <v>1.1875868552823907E-3</v>
      </c>
      <c r="T337" s="23">
        <v>1</v>
      </c>
      <c r="U337" s="28">
        <v>1174839.3000625551</v>
      </c>
      <c r="V337" s="24">
        <v>1.1525063926307243E-3</v>
      </c>
      <c r="W337" s="23">
        <v>1</v>
      </c>
      <c r="X337" s="28">
        <v>1155222.1312404042</v>
      </c>
      <c r="Y337" s="24">
        <v>1.1085845322187354E-3</v>
      </c>
      <c r="Z337" s="23">
        <v>1</v>
      </c>
      <c r="AA337" s="28">
        <v>1276511.9930177031</v>
      </c>
      <c r="AB337" s="24">
        <v>1.243300706642602E-3</v>
      </c>
    </row>
    <row r="338" spans="1:36" x14ac:dyDescent="0.25">
      <c r="A338" t="s">
        <v>4406</v>
      </c>
      <c r="B338" t="s">
        <v>7208</v>
      </c>
      <c r="C338" t="s">
        <v>4408</v>
      </c>
      <c r="D338" s="9" t="s">
        <v>4407</v>
      </c>
      <c r="E338" s="9" t="s">
        <v>2736</v>
      </c>
      <c r="H338" t="s">
        <v>1055</v>
      </c>
      <c r="I338" s="17">
        <v>-2.01231606272983</v>
      </c>
      <c r="J338" s="17">
        <v>3.6573621039865299E-2</v>
      </c>
      <c r="K338" s="21">
        <v>5</v>
      </c>
      <c r="L338" s="27">
        <v>1540310.0867007801</v>
      </c>
      <c r="M338" s="22">
        <v>2.57146919888172E-3</v>
      </c>
      <c r="N338" s="21">
        <v>2</v>
      </c>
      <c r="O338" s="27">
        <v>1037626.4753240061</v>
      </c>
      <c r="P338" s="22">
        <v>1.7474350561904465E-3</v>
      </c>
      <c r="Q338" s="21">
        <v>4</v>
      </c>
      <c r="R338" s="27">
        <v>1563258.2369971748</v>
      </c>
      <c r="S338" s="22">
        <v>2.6480986060123742E-3</v>
      </c>
      <c r="T338" s="23">
        <v>2</v>
      </c>
      <c r="U338" s="28">
        <v>885483.49838948587</v>
      </c>
      <c r="V338" s="24">
        <v>1.4757972040245937E-3</v>
      </c>
      <c r="W338" s="23">
        <v>1</v>
      </c>
      <c r="X338" s="28">
        <v>583144.36931820621</v>
      </c>
      <c r="Y338" s="24">
        <v>9.5073774226399755E-4</v>
      </c>
      <c r="Z338" s="23">
        <v>1</v>
      </c>
      <c r="AA338" s="28">
        <v>752645.02001279441</v>
      </c>
      <c r="AB338" s="24">
        <v>1.2454399926605957E-3</v>
      </c>
    </row>
    <row r="339" spans="1:36" x14ac:dyDescent="0.25">
      <c r="A339" t="s">
        <v>4536</v>
      </c>
      <c r="B339" t="s">
        <v>7253</v>
      </c>
      <c r="C339" t="s">
        <v>4538</v>
      </c>
      <c r="D339" s="9" t="s">
        <v>4537</v>
      </c>
      <c r="E339" s="9" t="s">
        <v>2736</v>
      </c>
      <c r="H339" t="s">
        <v>2737</v>
      </c>
      <c r="I339" s="17">
        <v>-2.0446339330991199</v>
      </c>
      <c r="J339" s="17">
        <v>0.22012827942480101</v>
      </c>
      <c r="K339" s="21">
        <v>2</v>
      </c>
      <c r="L339" s="27">
        <v>2190045.08030061</v>
      </c>
      <c r="M339" s="22">
        <v>5.9432188456791301E-3</v>
      </c>
      <c r="N339" s="21">
        <v>1</v>
      </c>
      <c r="O339" s="27">
        <v>7461863.0072115278</v>
      </c>
      <c r="P339" s="22">
        <v>2.0426914537230292E-2</v>
      </c>
      <c r="Q339" s="21">
        <v>1</v>
      </c>
      <c r="R339" s="27">
        <v>2258836.8124153614</v>
      </c>
      <c r="S339" s="22">
        <v>6.2199054718268506E-3</v>
      </c>
      <c r="T339" s="23">
        <v>2</v>
      </c>
      <c r="U339" s="28">
        <v>2121060.8130763085</v>
      </c>
      <c r="V339" s="24">
        <v>5.746386485217009E-3</v>
      </c>
      <c r="W339" s="23">
        <v>0</v>
      </c>
      <c r="X339" s="28">
        <v>2028490.6416071826</v>
      </c>
      <c r="Y339" s="24">
        <v>5.3759244570102671E-3</v>
      </c>
      <c r="Z339" s="23">
        <v>0</v>
      </c>
      <c r="AA339" s="28">
        <v>2028656.3655340094</v>
      </c>
      <c r="AB339" s="24">
        <v>5.4567819961760886E-3</v>
      </c>
    </row>
    <row r="340" spans="1:36" x14ac:dyDescent="0.25">
      <c r="A340" t="s">
        <v>4531</v>
      </c>
      <c r="B340" t="s">
        <v>7251</v>
      </c>
      <c r="C340" t="s">
        <v>4533</v>
      </c>
      <c r="D340" s="9" t="s">
        <v>4532</v>
      </c>
      <c r="E340" s="9" t="s">
        <v>2736</v>
      </c>
      <c r="H340" t="s">
        <v>2737</v>
      </c>
      <c r="I340" s="17">
        <v>-2.1952758392085201</v>
      </c>
      <c r="J340" s="17">
        <v>2.2970671067296999E-2</v>
      </c>
      <c r="K340" s="21">
        <v>1</v>
      </c>
      <c r="L340" s="27">
        <v>83392.3149384266</v>
      </c>
      <c r="M340" s="22">
        <v>1.977016436945397E-4</v>
      </c>
      <c r="N340" s="21">
        <v>1</v>
      </c>
      <c r="O340" s="27">
        <v>130307.96807017236</v>
      </c>
      <c r="P340" s="22">
        <v>3.1163200607132026E-4</v>
      </c>
      <c r="Q340" s="21">
        <v>2</v>
      </c>
      <c r="R340" s="27">
        <v>142062.65536481043</v>
      </c>
      <c r="S340" s="22">
        <v>3.417389163219452E-4</v>
      </c>
      <c r="T340" s="23">
        <v>1</v>
      </c>
      <c r="U340" s="28">
        <v>65696.083625898973</v>
      </c>
      <c r="V340" s="24">
        <v>1.5548796313730629E-4</v>
      </c>
      <c r="W340" s="23">
        <v>0</v>
      </c>
      <c r="X340" s="28">
        <v>70129.171285400502</v>
      </c>
      <c r="Y340" s="24">
        <v>1.623657556412465E-4</v>
      </c>
      <c r="Z340" s="23">
        <v>0</v>
      </c>
      <c r="AA340" s="28">
        <v>37996.659511519407</v>
      </c>
      <c r="AB340" s="24">
        <v>8.9287181720853305E-5</v>
      </c>
    </row>
    <row r="341" spans="1:36" x14ac:dyDescent="0.25">
      <c r="A341" t="s">
        <v>4425</v>
      </c>
      <c r="B341" t="s">
        <v>7214</v>
      </c>
      <c r="C341" t="s">
        <v>4427</v>
      </c>
      <c r="D341" s="9" t="s">
        <v>4426</v>
      </c>
      <c r="E341" s="9" t="s">
        <v>2736</v>
      </c>
      <c r="H341" t="s">
        <v>1055</v>
      </c>
      <c r="I341" s="17">
        <v>-2.2517782157303099</v>
      </c>
      <c r="J341" s="17">
        <v>8.4657429007199497E-2</v>
      </c>
      <c r="K341" s="21">
        <v>1</v>
      </c>
      <c r="L341" s="27">
        <v>167828.84073684199</v>
      </c>
      <c r="M341" s="22">
        <v>1.9747123323415688E-4</v>
      </c>
      <c r="N341" s="21">
        <v>0</v>
      </c>
      <c r="O341" s="27">
        <v>113201.85463385358</v>
      </c>
      <c r="P341" s="22">
        <v>1.343623584048191E-4</v>
      </c>
      <c r="Q341" s="21">
        <v>0</v>
      </c>
      <c r="R341" s="27">
        <v>152938.19563741668</v>
      </c>
      <c r="S341" s="22">
        <v>1.8259272306162742E-4</v>
      </c>
      <c r="T341" s="23">
        <v>0</v>
      </c>
      <c r="U341" s="28">
        <v>90775.732206927467</v>
      </c>
      <c r="V341" s="24">
        <v>1.0663015684878079E-4</v>
      </c>
      <c r="W341" s="23">
        <v>0</v>
      </c>
      <c r="X341" s="28">
        <v>32490.50044073605</v>
      </c>
      <c r="Y341" s="24">
        <v>3.7334051767360667E-5</v>
      </c>
      <c r="Z341" s="23">
        <v>1</v>
      </c>
      <c r="AA341" s="28">
        <v>82996.657537227948</v>
      </c>
      <c r="AB341" s="24">
        <v>9.6795973956681822E-5</v>
      </c>
    </row>
    <row r="342" spans="1:36" x14ac:dyDescent="0.25">
      <c r="A342" t="s">
        <v>4208</v>
      </c>
      <c r="B342" t="s">
        <v>7143</v>
      </c>
      <c r="C342" t="s">
        <v>4210</v>
      </c>
      <c r="D342" s="9" t="s">
        <v>4209</v>
      </c>
      <c r="E342" s="9" t="s">
        <v>2736</v>
      </c>
      <c r="H342" t="s">
        <v>2148</v>
      </c>
      <c r="I342" s="17">
        <v>-2.2993947390330001</v>
      </c>
      <c r="J342" s="17">
        <v>1.97676966228768E-2</v>
      </c>
      <c r="K342" s="21">
        <v>2</v>
      </c>
      <c r="L342" s="27">
        <v>612348.78488444805</v>
      </c>
      <c r="M342" s="22">
        <v>8.6588227338286246E-4</v>
      </c>
      <c r="N342" s="21">
        <v>1</v>
      </c>
      <c r="O342" s="27">
        <v>446858.2713128074</v>
      </c>
      <c r="P342" s="22">
        <v>6.3740669657211875E-4</v>
      </c>
      <c r="Q342" s="21">
        <v>3</v>
      </c>
      <c r="R342" s="27">
        <v>737327.89414011117</v>
      </c>
      <c r="S342" s="22">
        <v>1.0579153342815868E-3</v>
      </c>
      <c r="T342" s="23">
        <v>2</v>
      </c>
      <c r="U342" s="28">
        <v>349606.76519810077</v>
      </c>
      <c r="V342" s="24">
        <v>4.9352920790231758E-4</v>
      </c>
      <c r="W342" s="23">
        <v>0</v>
      </c>
      <c r="X342" s="28">
        <v>275397.63928365509</v>
      </c>
      <c r="Y342" s="24">
        <v>3.8030469104387272E-4</v>
      </c>
      <c r="Z342" s="23">
        <v>0</v>
      </c>
      <c r="AA342" s="28">
        <v>218433.40755516573</v>
      </c>
      <c r="AB342" s="24">
        <v>3.0615298402585588E-4</v>
      </c>
    </row>
    <row r="343" spans="1:36" x14ac:dyDescent="0.25">
      <c r="A343" t="s">
        <v>4393</v>
      </c>
      <c r="B343" t="s">
        <v>7204</v>
      </c>
      <c r="C343" t="s">
        <v>4396</v>
      </c>
      <c r="D343" s="9" t="s">
        <v>4394</v>
      </c>
      <c r="E343" s="9" t="s">
        <v>2736</v>
      </c>
      <c r="H343" t="s">
        <v>4395</v>
      </c>
      <c r="I343" s="17">
        <v>-2.3543201745198901</v>
      </c>
      <c r="J343" s="17">
        <v>0.57647056296597499</v>
      </c>
      <c r="K343" s="21">
        <v>4</v>
      </c>
      <c r="L343" s="27">
        <v>701004.05069420103</v>
      </c>
      <c r="M343" s="22">
        <v>2.4034999282618488E-3</v>
      </c>
      <c r="N343" s="21">
        <v>0</v>
      </c>
      <c r="O343" s="27">
        <v>60910.427629396487</v>
      </c>
      <c r="P343" s="22">
        <v>2.1066969520940038E-4</v>
      </c>
      <c r="Q343" s="21">
        <v>3</v>
      </c>
      <c r="R343" s="27">
        <v>534960.96278769325</v>
      </c>
      <c r="S343" s="22">
        <v>1.8611266908339986E-3</v>
      </c>
      <c r="T343" s="23">
        <v>0</v>
      </c>
      <c r="U343" s="28">
        <v>322100.50782658451</v>
      </c>
      <c r="V343" s="24">
        <v>1.1025239674013012E-3</v>
      </c>
      <c r="W343" s="23">
        <v>0</v>
      </c>
      <c r="X343" s="28">
        <v>186018.38201619015</v>
      </c>
      <c r="Y343" s="24">
        <v>6.2286070003242247E-4</v>
      </c>
      <c r="Z343" s="23">
        <v>0</v>
      </c>
      <c r="AA343" s="28">
        <v>98083.316590390445</v>
      </c>
      <c r="AB343" s="24">
        <v>3.3333289663180785E-4</v>
      </c>
    </row>
    <row r="344" spans="1:36" x14ac:dyDescent="0.25">
      <c r="A344" t="s">
        <v>4431</v>
      </c>
      <c r="B344" t="s">
        <v>7216</v>
      </c>
      <c r="C344" t="s">
        <v>4433</v>
      </c>
      <c r="D344" s="9" t="s">
        <v>4432</v>
      </c>
      <c r="E344" s="9" t="s">
        <v>2736</v>
      </c>
      <c r="H344" t="s">
        <v>1055</v>
      </c>
      <c r="I344" s="17">
        <v>-2.3605593684898398</v>
      </c>
      <c r="J344" s="17">
        <v>0.11386256048033599</v>
      </c>
      <c r="K344" s="21">
        <v>4</v>
      </c>
      <c r="L344" s="27">
        <v>628590.37237388699</v>
      </c>
      <c r="M344" s="22">
        <v>8.3689070003857525E-4</v>
      </c>
      <c r="N344" s="21">
        <v>0</v>
      </c>
      <c r="O344" s="27">
        <v>344722.48690682603</v>
      </c>
      <c r="P344" s="22">
        <v>4.6297491795423173E-4</v>
      </c>
      <c r="Q344" s="21">
        <v>5</v>
      </c>
      <c r="R344" s="27">
        <v>952284.8609263089</v>
      </c>
      <c r="S344" s="22">
        <v>1.2864655375323291E-3</v>
      </c>
      <c r="T344" s="23">
        <v>1</v>
      </c>
      <c r="U344" s="28">
        <v>467356.89709277626</v>
      </c>
      <c r="V344" s="24">
        <v>6.2118751257610953E-4</v>
      </c>
      <c r="W344" s="23">
        <v>0</v>
      </c>
      <c r="X344" s="28">
        <v>198799.95237540433</v>
      </c>
      <c r="Y344" s="24">
        <v>2.5848108843747357E-4</v>
      </c>
      <c r="Z344" s="23">
        <v>0</v>
      </c>
      <c r="AA344" s="28">
        <v>200423.09627259764</v>
      </c>
      <c r="AB344" s="24">
        <v>2.6448937574367442E-4</v>
      </c>
    </row>
    <row r="345" spans="1:36" x14ac:dyDescent="0.25">
      <c r="A345" t="s">
        <v>4244</v>
      </c>
      <c r="B345" t="s">
        <v>7155</v>
      </c>
      <c r="C345" t="s">
        <v>4246</v>
      </c>
      <c r="D345" s="9" t="s">
        <v>4245</v>
      </c>
      <c r="E345" s="9" t="s">
        <v>2736</v>
      </c>
      <c r="H345" t="s">
        <v>2148</v>
      </c>
      <c r="I345" s="17">
        <v>-2.3878603807314902</v>
      </c>
      <c r="J345" s="17">
        <v>0.123228184405418</v>
      </c>
      <c r="K345" s="21">
        <v>2</v>
      </c>
      <c r="L345" s="27">
        <v>152612.00039576899</v>
      </c>
      <c r="M345" s="22">
        <v>2.6022775377436332E-4</v>
      </c>
      <c r="N345" s="21">
        <v>0</v>
      </c>
      <c r="O345" s="27">
        <v>66142.002355888049</v>
      </c>
      <c r="P345" s="22">
        <v>1.1377035123340883E-4</v>
      </c>
      <c r="Q345" s="21">
        <v>3</v>
      </c>
      <c r="R345" s="27">
        <v>182458.03851965821</v>
      </c>
      <c r="S345" s="22">
        <v>3.1568808412683229E-4</v>
      </c>
      <c r="T345" s="23">
        <v>0</v>
      </c>
      <c r="U345" s="28">
        <v>83521.603069567849</v>
      </c>
      <c r="V345" s="24">
        <v>1.4217943794434974E-4</v>
      </c>
      <c r="W345" s="23">
        <v>0</v>
      </c>
      <c r="X345" s="28">
        <v>35775.819728780509</v>
      </c>
      <c r="Y345" s="24">
        <v>5.9575267695232637E-5</v>
      </c>
      <c r="Z345" s="23">
        <v>0</v>
      </c>
      <c r="AA345" s="28">
        <v>60746.541194076417</v>
      </c>
      <c r="AB345" s="24">
        <v>1.0267055995838788E-4</v>
      </c>
    </row>
    <row r="346" spans="1:36" x14ac:dyDescent="0.25">
      <c r="A346" t="s">
        <v>4403</v>
      </c>
      <c r="B346" t="s">
        <v>7207</v>
      </c>
      <c r="C346" t="s">
        <v>4405</v>
      </c>
      <c r="D346" s="9" t="s">
        <v>4404</v>
      </c>
      <c r="E346" s="9" t="s">
        <v>2736</v>
      </c>
      <c r="H346" t="s">
        <v>1055</v>
      </c>
      <c r="I346" s="17">
        <v>-2.42877012199166</v>
      </c>
      <c r="J346" s="17">
        <v>7.2573069808790102E-4</v>
      </c>
      <c r="K346" s="21">
        <v>2</v>
      </c>
      <c r="L346" s="27">
        <v>412007.46260114701</v>
      </c>
      <c r="M346" s="22">
        <v>5.8259274317839236E-4</v>
      </c>
      <c r="N346" s="21">
        <v>2</v>
      </c>
      <c r="O346" s="27">
        <v>477036.04596575402</v>
      </c>
      <c r="P346" s="22">
        <v>6.8045281854479988E-4</v>
      </c>
      <c r="Q346" s="21">
        <v>2</v>
      </c>
      <c r="R346" s="27">
        <v>468020.79133647529</v>
      </c>
      <c r="S346" s="22">
        <v>6.7151449965810364E-4</v>
      </c>
      <c r="T346" s="23">
        <v>0</v>
      </c>
      <c r="U346" s="28">
        <v>219685.59694650621</v>
      </c>
      <c r="V346" s="24">
        <v>3.1012345709935358E-4</v>
      </c>
      <c r="W346" s="23">
        <v>0</v>
      </c>
      <c r="X346" s="28">
        <v>180391.92980129685</v>
      </c>
      <c r="Y346" s="24">
        <v>2.4910851562975558E-4</v>
      </c>
      <c r="Z346" s="23">
        <v>0</v>
      </c>
      <c r="AA346" s="28">
        <v>200278.73545928826</v>
      </c>
      <c r="AB346" s="24">
        <v>2.8070766822744668E-4</v>
      </c>
    </row>
    <row r="347" spans="1:36" x14ac:dyDescent="0.25">
      <c r="A347" t="s">
        <v>4235</v>
      </c>
      <c r="B347" t="s">
        <v>7152</v>
      </c>
      <c r="C347" t="s">
        <v>4237</v>
      </c>
      <c r="D347" s="9" t="s">
        <v>4236</v>
      </c>
      <c r="E347" s="9" t="s">
        <v>2736</v>
      </c>
      <c r="H347" t="s">
        <v>2148</v>
      </c>
      <c r="I347" s="17">
        <v>-2.5530543328875601</v>
      </c>
      <c r="J347" s="17">
        <v>9.6413525829695104E-2</v>
      </c>
      <c r="K347" s="21">
        <v>4</v>
      </c>
      <c r="L347" s="27">
        <v>1268026.7417731299</v>
      </c>
      <c r="M347" s="22">
        <v>1.7279019300574078E-3</v>
      </c>
      <c r="N347" s="21">
        <v>0</v>
      </c>
      <c r="O347" s="27">
        <v>591433.52178155526</v>
      </c>
      <c r="P347" s="22">
        <v>8.1298670919123755E-4</v>
      </c>
      <c r="Q347" s="21">
        <v>6</v>
      </c>
      <c r="R347" s="27">
        <v>1808937.2161164363</v>
      </c>
      <c r="S347" s="22">
        <v>2.5011770242990379E-3</v>
      </c>
      <c r="T347" s="23">
        <v>1</v>
      </c>
      <c r="U347" s="28">
        <v>596500.80299865676</v>
      </c>
      <c r="V347" s="24">
        <v>8.1147426923491904E-4</v>
      </c>
      <c r="W347" s="23">
        <v>0</v>
      </c>
      <c r="X347" s="28">
        <v>345881.98264262988</v>
      </c>
      <c r="Y347" s="24">
        <v>4.6028847178164846E-4</v>
      </c>
      <c r="Z347" s="23">
        <v>0</v>
      </c>
      <c r="AA347" s="28">
        <v>599173.53050233389</v>
      </c>
      <c r="AB347" s="24">
        <v>8.0928733554922838E-4</v>
      </c>
    </row>
    <row r="348" spans="1:36" x14ac:dyDescent="0.25">
      <c r="A348" t="s">
        <v>4310</v>
      </c>
      <c r="B348" t="s">
        <v>7177</v>
      </c>
      <c r="C348" t="s">
        <v>4312</v>
      </c>
      <c r="D348" s="9" t="s">
        <v>4311</v>
      </c>
      <c r="E348" s="9" t="s">
        <v>2736</v>
      </c>
      <c r="H348" t="s">
        <v>2287</v>
      </c>
      <c r="I348" s="17">
        <v>-2.5996421483344201</v>
      </c>
      <c r="J348" s="17">
        <v>9.50669966691098E-3</v>
      </c>
      <c r="K348" s="21">
        <v>0</v>
      </c>
      <c r="L348" s="27">
        <v>188542.09219036001</v>
      </c>
      <c r="M348" s="22">
        <v>3.9946465319673486E-4</v>
      </c>
      <c r="N348" s="21">
        <v>1</v>
      </c>
      <c r="O348" s="27">
        <v>109292.0663326573</v>
      </c>
      <c r="P348" s="22">
        <v>2.3358529774106538E-4</v>
      </c>
      <c r="Q348" s="21">
        <v>1</v>
      </c>
      <c r="R348" s="27">
        <v>148414.32403290184</v>
      </c>
      <c r="S348" s="22">
        <v>3.1906275633741653E-4</v>
      </c>
      <c r="T348" s="23">
        <v>0</v>
      </c>
      <c r="U348" s="28">
        <v>59859.086611572806</v>
      </c>
      <c r="V348" s="24">
        <v>1.2661150290416533E-4</v>
      </c>
      <c r="W348" s="23">
        <v>0</v>
      </c>
      <c r="X348" s="28">
        <v>66572.699436219729</v>
      </c>
      <c r="Y348" s="24">
        <v>1.3774558346441493E-4</v>
      </c>
      <c r="Z348" s="23">
        <v>0</v>
      </c>
      <c r="AA348" s="28">
        <v>62264.891255664843</v>
      </c>
      <c r="AB348" s="24">
        <v>1.3075933891066647E-4</v>
      </c>
    </row>
    <row r="349" spans="1:36" x14ac:dyDescent="0.25">
      <c r="A349" t="s">
        <v>4199</v>
      </c>
      <c r="B349" t="s">
        <v>7140</v>
      </c>
      <c r="C349" t="s">
        <v>4201</v>
      </c>
      <c r="D349" s="9" t="s">
        <v>4200</v>
      </c>
      <c r="E349" s="9" t="s">
        <v>2736</v>
      </c>
      <c r="H349" t="s">
        <v>17</v>
      </c>
      <c r="I349" s="17">
        <v>-2.79707970125542</v>
      </c>
      <c r="J349" s="17">
        <v>5.0257967330645803E-3</v>
      </c>
      <c r="K349" s="21">
        <v>2</v>
      </c>
      <c r="L349" s="27">
        <v>1269984.98550538</v>
      </c>
      <c r="M349" s="22">
        <v>1.2615372790185416E-3</v>
      </c>
      <c r="N349" s="21">
        <v>0</v>
      </c>
      <c r="O349" s="27">
        <v>974710.14669176529</v>
      </c>
      <c r="P349" s="22">
        <v>9.7670592350278945E-4</v>
      </c>
      <c r="Q349" s="21">
        <v>2</v>
      </c>
      <c r="R349" s="27">
        <v>798127.64199401182</v>
      </c>
      <c r="S349" s="22">
        <v>8.0445936912407982E-4</v>
      </c>
      <c r="T349" s="23">
        <v>0</v>
      </c>
      <c r="U349" s="28">
        <v>374350.07403124467</v>
      </c>
      <c r="V349" s="24">
        <v>3.7123803837632526E-4</v>
      </c>
      <c r="W349" s="23">
        <v>0</v>
      </c>
      <c r="X349" s="28">
        <v>404166.45501131919</v>
      </c>
      <c r="Y349" s="24">
        <v>3.9207869882219252E-4</v>
      </c>
      <c r="Z349" s="23">
        <v>1</v>
      </c>
      <c r="AA349" s="28">
        <v>415354.83357179444</v>
      </c>
      <c r="AB349" s="24">
        <v>4.0895942225253347E-4</v>
      </c>
    </row>
    <row r="350" spans="1:36" x14ac:dyDescent="0.25">
      <c r="A350" s="16" t="s">
        <v>4329</v>
      </c>
      <c r="B350" s="16" t="s">
        <v>7183</v>
      </c>
      <c r="C350" s="16" t="s">
        <v>4331</v>
      </c>
      <c r="D350" s="39" t="s">
        <v>4330</v>
      </c>
      <c r="E350" s="39" t="s">
        <v>2736</v>
      </c>
      <c r="F350" s="16"/>
      <c r="G350" s="16"/>
      <c r="H350" s="16" t="s">
        <v>2800</v>
      </c>
      <c r="I350" s="30">
        <v>-4.5325251483687996</v>
      </c>
      <c r="J350" s="30">
        <v>3.3684377586329399E-4</v>
      </c>
      <c r="K350" s="31">
        <v>0</v>
      </c>
      <c r="L350" s="32">
        <v>115622.83500466601</v>
      </c>
      <c r="M350" s="33">
        <v>5.9996824003024755E-5</v>
      </c>
      <c r="N350" s="31">
        <v>1</v>
      </c>
      <c r="O350" s="32">
        <v>145988.27519014178</v>
      </c>
      <c r="P350" s="33">
        <v>7.6416907311896426E-5</v>
      </c>
      <c r="Q350" s="31">
        <v>2</v>
      </c>
      <c r="R350" s="32">
        <v>127614.2930275681</v>
      </c>
      <c r="S350" s="33">
        <v>6.719148288419689E-5</v>
      </c>
      <c r="T350" s="34">
        <v>0</v>
      </c>
      <c r="U350" s="35">
        <v>36411.569974291626</v>
      </c>
      <c r="V350" s="36">
        <v>1.8862406327238498E-5</v>
      </c>
      <c r="W350" s="34">
        <v>0</v>
      </c>
      <c r="X350" s="35">
        <v>31123.422171886632</v>
      </c>
      <c r="Y350" s="36">
        <v>1.5771880288097721E-5</v>
      </c>
      <c r="Z350" s="34">
        <v>0</v>
      </c>
      <c r="AA350" s="35">
        <v>24791.704640009037</v>
      </c>
      <c r="AB350" s="36">
        <v>1.2751183164045134E-5</v>
      </c>
      <c r="AC350" s="58"/>
      <c r="AD350" s="58"/>
      <c r="AE350" s="58"/>
      <c r="AF350" s="58"/>
      <c r="AG350" s="58"/>
      <c r="AH350" s="58"/>
      <c r="AI350" s="30"/>
      <c r="AJ350" s="30"/>
    </row>
    <row r="351" spans="1:36" x14ac:dyDescent="0.25">
      <c r="A351" t="s">
        <v>4897</v>
      </c>
      <c r="B351" t="s">
        <v>7374</v>
      </c>
      <c r="C351" t="s">
        <v>4899</v>
      </c>
      <c r="D351" s="3" t="s">
        <v>4898</v>
      </c>
      <c r="E351" s="3" t="s">
        <v>495</v>
      </c>
      <c r="G351" t="s">
        <v>507</v>
      </c>
      <c r="H351" t="s">
        <v>17</v>
      </c>
      <c r="I351" s="17">
        <v>1.27260193468931</v>
      </c>
      <c r="J351" s="17">
        <v>1.4984654139750301E-3</v>
      </c>
      <c r="K351" s="21">
        <v>2</v>
      </c>
      <c r="L351" s="27">
        <v>1794628.2769025201</v>
      </c>
      <c r="M351" s="22">
        <v>2.9121818191482005E-3</v>
      </c>
      <c r="N351" s="21">
        <v>1</v>
      </c>
      <c r="O351" s="27">
        <v>1958139.6109415581</v>
      </c>
      <c r="P351" s="22">
        <v>3.2053426704352021E-3</v>
      </c>
      <c r="Q351" s="21">
        <v>3</v>
      </c>
      <c r="R351" s="27">
        <v>1993130.9916583227</v>
      </c>
      <c r="S351" s="22">
        <v>3.2817846675320282E-3</v>
      </c>
      <c r="T351" s="23">
        <v>0</v>
      </c>
      <c r="U351" s="28">
        <v>2612746.4108417435</v>
      </c>
      <c r="V351" s="24">
        <v>4.232668765320826E-3</v>
      </c>
      <c r="W351" s="23">
        <v>1</v>
      </c>
      <c r="X351" s="28">
        <v>2711099.0500943824</v>
      </c>
      <c r="Y351" s="24">
        <v>4.296361791331629E-3</v>
      </c>
      <c r="Z351" s="23">
        <v>0</v>
      </c>
      <c r="AA351" s="28">
        <v>2583638.1137686139</v>
      </c>
      <c r="AB351" s="24">
        <v>4.1556131330826029E-3</v>
      </c>
      <c r="AC351" s="20">
        <v>10.945687797258179</v>
      </c>
      <c r="AD351" s="20">
        <v>9.4326734167604211</v>
      </c>
      <c r="AE351" s="20">
        <v>11.957308025099685</v>
      </c>
      <c r="AF351" s="20">
        <v>10.450683628774398</v>
      </c>
      <c r="AG351" s="20">
        <v>9.4805695117045978</v>
      </c>
      <c r="AH351" s="20">
        <v>9.9896138296188717</v>
      </c>
    </row>
    <row r="352" spans="1:36" x14ac:dyDescent="0.25">
      <c r="A352" t="s">
        <v>5070</v>
      </c>
      <c r="B352" t="s">
        <v>7431</v>
      </c>
      <c r="C352" t="s">
        <v>5072</v>
      </c>
      <c r="D352" s="3" t="s">
        <v>5071</v>
      </c>
      <c r="E352" s="3" t="s">
        <v>495</v>
      </c>
      <c r="G352" t="s">
        <v>507</v>
      </c>
      <c r="H352" t="s">
        <v>17</v>
      </c>
      <c r="I352" s="17">
        <v>1.15056989991554</v>
      </c>
      <c r="J352" s="17">
        <v>0.42431110668626398</v>
      </c>
      <c r="K352" s="21">
        <v>26</v>
      </c>
      <c r="L352" s="27">
        <v>19820614.391470801</v>
      </c>
      <c r="M352" s="22">
        <v>1.8781859110843492E-2</v>
      </c>
      <c r="N352" s="21">
        <v>9</v>
      </c>
      <c r="O352" s="27">
        <v>13235666.467820527</v>
      </c>
      <c r="P352" s="22">
        <v>1.2651852293456969E-2</v>
      </c>
      <c r="Q352" s="21">
        <v>25</v>
      </c>
      <c r="R352" s="27">
        <v>21058489.329888321</v>
      </c>
      <c r="S352" s="22">
        <v>2.0247851113539963E-2</v>
      </c>
      <c r="T352" s="23">
        <v>15</v>
      </c>
      <c r="U352" s="28">
        <v>24033236.497531988</v>
      </c>
      <c r="V352" s="24">
        <v>2.2735618319789912E-2</v>
      </c>
      <c r="W352" s="23">
        <v>12</v>
      </c>
      <c r="X352" s="28">
        <v>21541627.566123076</v>
      </c>
      <c r="Y352" s="24">
        <v>1.9934780591421085E-2</v>
      </c>
      <c r="Z352" s="23">
        <v>12</v>
      </c>
      <c r="AA352" s="28">
        <v>22030858.253453515</v>
      </c>
      <c r="AB352" s="24">
        <v>2.0692469792686668E-2</v>
      </c>
      <c r="AC352" s="17" t="s">
        <v>8084</v>
      </c>
      <c r="AD352" s="20">
        <v>10.77855641303943</v>
      </c>
      <c r="AF352" s="17" t="s">
        <v>8084</v>
      </c>
      <c r="AG352" s="20">
        <v>9.9736223233659551</v>
      </c>
      <c r="AI352" s="47" t="s">
        <v>8087</v>
      </c>
      <c r="AJ352" s="20">
        <v>92.532078890456049</v>
      </c>
    </row>
    <row r="353" spans="1:36" x14ac:dyDescent="0.25">
      <c r="A353" t="s">
        <v>4924</v>
      </c>
      <c r="B353" t="s">
        <v>7383</v>
      </c>
      <c r="C353" t="s">
        <v>4926</v>
      </c>
      <c r="D353" s="3" t="s">
        <v>4925</v>
      </c>
      <c r="E353" s="3" t="s">
        <v>495</v>
      </c>
      <c r="G353" t="s">
        <v>507</v>
      </c>
      <c r="H353" t="s">
        <v>17</v>
      </c>
      <c r="I353" s="17">
        <v>1.0881514259935601</v>
      </c>
      <c r="J353" s="17">
        <v>0.14653285818063</v>
      </c>
      <c r="K353" s="21">
        <v>7</v>
      </c>
      <c r="L353" s="27">
        <v>4286336.5007090103</v>
      </c>
      <c r="M353" s="22">
        <v>9.2037824229806598E-3</v>
      </c>
      <c r="N353" s="21">
        <v>6</v>
      </c>
      <c r="O353" s="27">
        <v>4338256.9090555804</v>
      </c>
      <c r="P353" s="22">
        <v>9.3968475345035871E-3</v>
      </c>
      <c r="Q353" s="21">
        <v>8</v>
      </c>
      <c r="R353" s="27">
        <v>5015250.6851833528</v>
      </c>
      <c r="S353" s="22">
        <v>1.0927051413365352E-2</v>
      </c>
      <c r="T353" s="23">
        <v>7</v>
      </c>
      <c r="U353" s="28">
        <v>5125036.4346086653</v>
      </c>
      <c r="V353" s="24">
        <v>1.0986265287176004E-2</v>
      </c>
      <c r="W353" s="23">
        <v>5</v>
      </c>
      <c r="X353" s="28">
        <v>5562304.2168180104</v>
      </c>
      <c r="Y353" s="24">
        <v>1.1663967469140205E-2</v>
      </c>
      <c r="Z353" s="23">
        <v>6</v>
      </c>
      <c r="AA353" s="28">
        <v>5380939.7024667552</v>
      </c>
      <c r="AB353" s="24">
        <v>1.1452430212991457E-2</v>
      </c>
      <c r="AC353" s="17" t="s">
        <v>8085</v>
      </c>
      <c r="AD353" s="20">
        <v>1.2705883090518519</v>
      </c>
      <c r="AF353" s="17" t="s">
        <v>8085</v>
      </c>
      <c r="AG353" s="20">
        <v>0.48525472304626477</v>
      </c>
      <c r="AI353" s="17" t="s">
        <v>8086</v>
      </c>
      <c r="AJ353" s="20">
        <v>0.36327501192169287</v>
      </c>
    </row>
    <row r="354" spans="1:36" x14ac:dyDescent="0.25">
      <c r="A354" t="s">
        <v>5100</v>
      </c>
      <c r="B354" t="s">
        <v>7441</v>
      </c>
      <c r="C354" t="s">
        <v>5102</v>
      </c>
      <c r="D354" s="3" t="s">
        <v>5101</v>
      </c>
      <c r="E354" s="3" t="s">
        <v>495</v>
      </c>
      <c r="G354" t="s">
        <v>507</v>
      </c>
      <c r="H354" t="s">
        <v>17</v>
      </c>
      <c r="I354" s="17">
        <v>1.0592483670783499</v>
      </c>
      <c r="J354" s="17">
        <v>0.70249068375575296</v>
      </c>
      <c r="K354" s="21">
        <v>31</v>
      </c>
      <c r="L354" s="27">
        <v>48677371.542997599</v>
      </c>
      <c r="M354" s="22">
        <v>9.0768998466944389E-2</v>
      </c>
      <c r="N354" s="21">
        <v>17</v>
      </c>
      <c r="O354" s="27">
        <v>36552015.432243042</v>
      </c>
      <c r="P354" s="22">
        <v>6.8755680526989355E-2</v>
      </c>
      <c r="Q354" s="21">
        <v>29</v>
      </c>
      <c r="R354" s="27">
        <v>58767018.717517622</v>
      </c>
      <c r="S354" s="22">
        <v>0.11119220513117785</v>
      </c>
      <c r="T354" s="23">
        <v>25</v>
      </c>
      <c r="U354" s="28">
        <v>57250832.104810588</v>
      </c>
      <c r="V354" s="24">
        <v>0.1065774367785472</v>
      </c>
      <c r="W354" s="23">
        <v>18</v>
      </c>
      <c r="X354" s="28">
        <v>49450098.219778113</v>
      </c>
      <c r="Y354" s="24">
        <v>9.0051108594206314E-2</v>
      </c>
      <c r="Z354" s="23">
        <v>24</v>
      </c>
      <c r="AA354" s="28">
        <v>58103267.085621648</v>
      </c>
      <c r="AB354" s="24">
        <v>0.10739162768019225</v>
      </c>
    </row>
    <row r="355" spans="1:36" x14ac:dyDescent="0.25">
      <c r="A355" t="s">
        <v>4998</v>
      </c>
      <c r="B355" t="s">
        <v>7407</v>
      </c>
      <c r="C355" t="s">
        <v>5000</v>
      </c>
      <c r="D355" s="3" t="s">
        <v>4999</v>
      </c>
      <c r="E355" s="3" t="s">
        <v>495</v>
      </c>
      <c r="G355" s="13" t="s">
        <v>507</v>
      </c>
      <c r="H355" t="s">
        <v>57</v>
      </c>
      <c r="I355" s="17">
        <v>1.0475233270176401</v>
      </c>
      <c r="J355" s="17">
        <v>0.50757960444945804</v>
      </c>
      <c r="K355" s="21">
        <v>2</v>
      </c>
      <c r="L355" s="27">
        <v>1636226.1897557401</v>
      </c>
      <c r="M355" s="22">
        <v>3.7134155362543294E-3</v>
      </c>
      <c r="N355" s="21">
        <v>1</v>
      </c>
      <c r="O355" s="27">
        <v>1590772.1020749628</v>
      </c>
      <c r="P355" s="22">
        <v>3.641874775988446E-3</v>
      </c>
      <c r="Q355" s="21">
        <v>2</v>
      </c>
      <c r="R355" s="27">
        <v>1664899.4875473946</v>
      </c>
      <c r="S355" s="22">
        <v>3.8339680518762113E-3</v>
      </c>
      <c r="T355" s="23">
        <v>1</v>
      </c>
      <c r="U355" s="28">
        <v>1895418.4119427882</v>
      </c>
      <c r="V355" s="24">
        <v>4.2944578945800609E-3</v>
      </c>
      <c r="W355" s="23">
        <v>1</v>
      </c>
      <c r="X355" s="28">
        <v>1931507.664810556</v>
      </c>
      <c r="Y355" s="24">
        <v>4.2809300067009814E-3</v>
      </c>
      <c r="Z355" s="23">
        <v>1</v>
      </c>
      <c r="AA355" s="28">
        <v>1730413.7799135759</v>
      </c>
      <c r="AB355" s="24">
        <v>3.8925986066143518E-3</v>
      </c>
    </row>
    <row r="356" spans="1:36" x14ac:dyDescent="0.25">
      <c r="A356" s="82" t="s">
        <v>5106</v>
      </c>
      <c r="B356" s="82" t="s">
        <v>7443</v>
      </c>
      <c r="C356" s="82" t="s">
        <v>5108</v>
      </c>
      <c r="D356" s="84" t="s">
        <v>5107</v>
      </c>
      <c r="E356" s="84" t="s">
        <v>495</v>
      </c>
      <c r="F356" s="82"/>
      <c r="G356" s="82" t="s">
        <v>507</v>
      </c>
      <c r="H356" s="82" t="s">
        <v>17</v>
      </c>
      <c r="I356" s="47">
        <v>1.0199562020683399</v>
      </c>
      <c r="J356" s="47">
        <v>0.87131476318442302</v>
      </c>
      <c r="K356" s="88">
        <v>21</v>
      </c>
      <c r="L356" s="89">
        <v>17496072.713066701</v>
      </c>
      <c r="M356" s="22">
        <v>2.7824843640936382E-2</v>
      </c>
      <c r="N356" s="88">
        <v>14</v>
      </c>
      <c r="O356" s="89">
        <v>19229924.486057136</v>
      </c>
      <c r="P356" s="22">
        <v>3.0850099480162915E-2</v>
      </c>
      <c r="Q356" s="88">
        <v>19</v>
      </c>
      <c r="R356" s="89">
        <v>23913719.919842903</v>
      </c>
      <c r="S356" s="22">
        <v>3.8589535915821829E-2</v>
      </c>
      <c r="T356" s="90">
        <v>19</v>
      </c>
      <c r="U356" s="91">
        <v>23082318.522833023</v>
      </c>
      <c r="V356" s="24">
        <v>3.6647523418657901E-2</v>
      </c>
      <c r="W356" s="90">
        <v>16</v>
      </c>
      <c r="X356" s="91">
        <v>20284699.062907964</v>
      </c>
      <c r="Y356" s="24">
        <v>3.1504472156109534E-2</v>
      </c>
      <c r="Z356" s="90">
        <v>17</v>
      </c>
      <c r="AA356" s="91">
        <v>23040223.588085745</v>
      </c>
      <c r="AB356" s="24">
        <v>3.6319368990361249E-2</v>
      </c>
      <c r="AC356" s="92">
        <v>3.0590195515255316</v>
      </c>
      <c r="AD356" s="92">
        <v>2.5678159930456932</v>
      </c>
      <c r="AE356" s="92">
        <v>3.3575705472664503</v>
      </c>
      <c r="AF356" s="92">
        <v>2.925309608526375</v>
      </c>
      <c r="AG356" s="92">
        <v>2.6512234263405365</v>
      </c>
      <c r="AH356" s="92">
        <v>2.7500792317021472</v>
      </c>
      <c r="AI356" s="47"/>
      <c r="AJ356" s="47"/>
    </row>
    <row r="357" spans="1:36" x14ac:dyDescent="0.25">
      <c r="A357" t="s">
        <v>5109</v>
      </c>
      <c r="B357" t="s">
        <v>7444</v>
      </c>
      <c r="C357" t="s">
        <v>5111</v>
      </c>
      <c r="D357" s="3" t="s">
        <v>5110</v>
      </c>
      <c r="E357" s="3" t="s">
        <v>495</v>
      </c>
      <c r="G357" t="s">
        <v>507</v>
      </c>
      <c r="H357" t="s">
        <v>17</v>
      </c>
      <c r="I357" s="17">
        <v>-1.00688787581021</v>
      </c>
      <c r="J357" s="17">
        <v>0.90591134307367804</v>
      </c>
      <c r="K357" s="21">
        <v>3</v>
      </c>
      <c r="L357" s="27">
        <v>2895205.5047622998</v>
      </c>
      <c r="M357" s="22">
        <v>1.0490670782372822E-2</v>
      </c>
      <c r="N357" s="21">
        <v>3</v>
      </c>
      <c r="O357" s="27">
        <v>2903389.2265376197</v>
      </c>
      <c r="P357" s="22">
        <v>1.0612457298660595E-2</v>
      </c>
      <c r="Q357" s="21">
        <v>4</v>
      </c>
      <c r="R357" s="27">
        <v>3058538.719868083</v>
      </c>
      <c r="S357" s="22">
        <v>1.1245223847852441E-2</v>
      </c>
      <c r="T357" s="23">
        <v>2</v>
      </c>
      <c r="U357" s="28">
        <v>3186077.1490572388</v>
      </c>
      <c r="V357" s="24">
        <v>1.1525325347100121E-2</v>
      </c>
      <c r="W357" s="23">
        <v>1</v>
      </c>
      <c r="X357" s="28">
        <v>3046287.3044263003</v>
      </c>
      <c r="Y357" s="24">
        <v>1.0779688317527193E-2</v>
      </c>
      <c r="Z357" s="23">
        <v>2</v>
      </c>
      <c r="AA357" s="28">
        <v>3279442.0877317879</v>
      </c>
      <c r="AB357" s="24">
        <v>1.1778318013999787E-2</v>
      </c>
      <c r="AC357" s="17" t="s">
        <v>8084</v>
      </c>
      <c r="AD357" s="20">
        <v>2.9948020306125582</v>
      </c>
      <c r="AF357" s="17" t="s">
        <v>8084</v>
      </c>
      <c r="AG357" s="20">
        <v>2.7755374221896862</v>
      </c>
      <c r="AI357" s="47" t="s">
        <v>8087</v>
      </c>
      <c r="AJ357" s="20">
        <v>92.678494064663653</v>
      </c>
    </row>
    <row r="358" spans="1:36" x14ac:dyDescent="0.25">
      <c r="A358" t="s">
        <v>5112</v>
      </c>
      <c r="B358" t="s">
        <v>7445</v>
      </c>
      <c r="C358" t="s">
        <v>5113</v>
      </c>
      <c r="D358" s="3" t="s">
        <v>4940</v>
      </c>
      <c r="E358" s="3" t="s">
        <v>495</v>
      </c>
      <c r="G358" t="s">
        <v>507</v>
      </c>
      <c r="H358" t="s">
        <v>17</v>
      </c>
      <c r="I358" s="17">
        <v>-1.01374100115796</v>
      </c>
      <c r="J358" s="17">
        <v>0.94909152310234801</v>
      </c>
      <c r="K358" s="21">
        <v>29</v>
      </c>
      <c r="L358" s="27">
        <v>119620110.41065</v>
      </c>
      <c r="M358" s="22">
        <v>0.23257706488437527</v>
      </c>
      <c r="N358" s="21">
        <v>26</v>
      </c>
      <c r="O358" s="27">
        <v>100283026.89248</v>
      </c>
      <c r="P358" s="22">
        <v>0.19668758725388796</v>
      </c>
      <c r="Q358" s="21">
        <v>32</v>
      </c>
      <c r="R358" s="27">
        <v>124984049.70306346</v>
      </c>
      <c r="S358" s="22">
        <v>0.24657414657296428</v>
      </c>
      <c r="T358" s="23">
        <v>32</v>
      </c>
      <c r="U358" s="28">
        <v>120955501.92409346</v>
      </c>
      <c r="V358" s="24">
        <v>0.23478014049735099</v>
      </c>
      <c r="W358" s="23">
        <v>26</v>
      </c>
      <c r="X358" s="28">
        <v>136401035.43027154</v>
      </c>
      <c r="Y358" s="24">
        <v>0.25899527111749709</v>
      </c>
      <c r="Z358" s="23">
        <v>23</v>
      </c>
      <c r="AA358" s="28">
        <v>113114272.26680215</v>
      </c>
      <c r="AB358" s="24">
        <v>0.21799149003692078</v>
      </c>
      <c r="AC358" s="17" t="s">
        <v>8085</v>
      </c>
      <c r="AD358" s="20">
        <v>0.39877434906505915</v>
      </c>
      <c r="AF358" s="17" t="s">
        <v>8085</v>
      </c>
      <c r="AG358" s="20">
        <v>0.13880525355143092</v>
      </c>
      <c r="AI358" s="17" t="s">
        <v>8086</v>
      </c>
      <c r="AJ358" s="20">
        <v>0.41927432527194514</v>
      </c>
    </row>
    <row r="359" spans="1:36" x14ac:dyDescent="0.25">
      <c r="A359" t="s">
        <v>4969</v>
      </c>
      <c r="B359" t="s">
        <v>7398</v>
      </c>
      <c r="C359" t="s">
        <v>4971</v>
      </c>
      <c r="D359" s="3" t="s">
        <v>4970</v>
      </c>
      <c r="E359" s="3" t="s">
        <v>495</v>
      </c>
      <c r="G359" t="s">
        <v>507</v>
      </c>
      <c r="H359" t="s">
        <v>17</v>
      </c>
      <c r="I359" s="17">
        <v>-1.03921466574289</v>
      </c>
      <c r="J359" s="17">
        <v>0.91479461522463901</v>
      </c>
      <c r="K359" s="21">
        <v>1</v>
      </c>
      <c r="L359" s="27">
        <v>436332.773736562</v>
      </c>
      <c r="M359" s="22">
        <v>6.2112119756889243E-4</v>
      </c>
      <c r="N359" s="21">
        <v>3</v>
      </c>
      <c r="O359" s="27">
        <v>875362.25133107556</v>
      </c>
      <c r="P359" s="22">
        <v>1.2569938794067853E-3</v>
      </c>
      <c r="Q359" s="21">
        <v>2</v>
      </c>
      <c r="R359" s="27">
        <v>671773.30467328569</v>
      </c>
      <c r="S359" s="22">
        <v>9.7031225713511255E-4</v>
      </c>
      <c r="T359" s="23">
        <v>2</v>
      </c>
      <c r="U359" s="28">
        <v>524441.03232795536</v>
      </c>
      <c r="V359" s="24">
        <v>7.4529502719254052E-4</v>
      </c>
      <c r="W359" s="23">
        <v>0</v>
      </c>
      <c r="X359" s="28">
        <v>762841.49846889963</v>
      </c>
      <c r="Y359" s="24">
        <v>1.0604844572304557E-3</v>
      </c>
      <c r="Z359" s="23">
        <v>1</v>
      </c>
      <c r="AA359" s="28">
        <v>763427.31633651746</v>
      </c>
      <c r="AB359" s="24">
        <v>1.077173496830287E-3</v>
      </c>
    </row>
    <row r="360" spans="1:36" x14ac:dyDescent="0.25">
      <c r="A360" t="s">
        <v>4960</v>
      </c>
      <c r="B360" t="s">
        <v>7395</v>
      </c>
      <c r="C360" t="s">
        <v>4962</v>
      </c>
      <c r="D360" s="3" t="s">
        <v>4961</v>
      </c>
      <c r="E360" s="3" t="s">
        <v>495</v>
      </c>
      <c r="G360" t="s">
        <v>507</v>
      </c>
      <c r="H360" t="s">
        <v>17</v>
      </c>
      <c r="I360" s="17">
        <v>-1.0423975847623701</v>
      </c>
      <c r="J360" s="17">
        <v>0.47806114246047599</v>
      </c>
      <c r="K360" s="21">
        <v>4</v>
      </c>
      <c r="L360" s="27">
        <v>2932116.9932955801</v>
      </c>
      <c r="M360" s="22">
        <v>8.6170396501528152E-3</v>
      </c>
      <c r="N360" s="21">
        <v>1</v>
      </c>
      <c r="O360" s="27">
        <v>2978990.062207066</v>
      </c>
      <c r="P360" s="22">
        <v>8.8314635984422709E-3</v>
      </c>
      <c r="Q360" s="21">
        <v>2</v>
      </c>
      <c r="R360" s="27">
        <v>3034939.1332075256</v>
      </c>
      <c r="S360" s="22">
        <v>9.050176344673545E-3</v>
      </c>
      <c r="T360" s="23">
        <v>3</v>
      </c>
      <c r="U360" s="28">
        <v>2827985.7934492445</v>
      </c>
      <c r="V360" s="24">
        <v>8.2971141198488474E-3</v>
      </c>
      <c r="W360" s="23">
        <v>1</v>
      </c>
      <c r="X360" s="28">
        <v>3597515.6718723956</v>
      </c>
      <c r="Y360" s="24">
        <v>1.0325021670930624E-2</v>
      </c>
      <c r="Z360" s="23">
        <v>1</v>
      </c>
      <c r="AA360" s="28">
        <v>2920028.2198454761</v>
      </c>
      <c r="AB360" s="24">
        <v>8.5059591486973674E-3</v>
      </c>
    </row>
    <row r="361" spans="1:36" x14ac:dyDescent="0.25">
      <c r="A361" t="s">
        <v>5085</v>
      </c>
      <c r="B361" t="s">
        <v>7436</v>
      </c>
      <c r="C361" t="s">
        <v>5087</v>
      </c>
      <c r="D361" s="3" t="s">
        <v>5086</v>
      </c>
      <c r="E361" s="3" t="s">
        <v>495</v>
      </c>
      <c r="G361" t="s">
        <v>507</v>
      </c>
      <c r="H361" t="s">
        <v>17</v>
      </c>
      <c r="I361" s="17">
        <v>-1.04595247329866</v>
      </c>
      <c r="J361" s="17">
        <v>0.56425092215529804</v>
      </c>
      <c r="K361" s="21">
        <v>17</v>
      </c>
      <c r="L361" s="27">
        <v>16001616.107016001</v>
      </c>
      <c r="M361" s="22">
        <v>1.8897598490546032E-2</v>
      </c>
      <c r="N361" s="21">
        <v>15</v>
      </c>
      <c r="O361" s="27">
        <v>18479760.951362435</v>
      </c>
      <c r="P361" s="22">
        <v>2.2015368125007127E-2</v>
      </c>
      <c r="Q361" s="21">
        <v>22</v>
      </c>
      <c r="R361" s="27">
        <v>19700588.309081726</v>
      </c>
      <c r="S361" s="22">
        <v>2.3607621066593944E-2</v>
      </c>
      <c r="T361" s="23">
        <v>16</v>
      </c>
      <c r="U361" s="28">
        <v>20140885.325182896</v>
      </c>
      <c r="V361" s="24">
        <v>2.3746213645185508E-2</v>
      </c>
      <c r="W361" s="23">
        <v>12</v>
      </c>
      <c r="X361" s="28">
        <v>17707347.273776356</v>
      </c>
      <c r="Y361" s="24">
        <v>2.0422445983426768E-2</v>
      </c>
      <c r="Z361" s="23">
        <v>12</v>
      </c>
      <c r="AA361" s="28">
        <v>17838842.857210439</v>
      </c>
      <c r="AB361" s="24">
        <v>2.0881846444959724E-2</v>
      </c>
    </row>
    <row r="362" spans="1:36" x14ac:dyDescent="0.25">
      <c r="A362" t="s">
        <v>5091</v>
      </c>
      <c r="B362" t="s">
        <v>7438</v>
      </c>
      <c r="C362" t="s">
        <v>5093</v>
      </c>
      <c r="D362" s="3" t="s">
        <v>5092</v>
      </c>
      <c r="E362" s="3" t="s">
        <v>495</v>
      </c>
      <c r="G362" t="s">
        <v>507</v>
      </c>
      <c r="H362" t="s">
        <v>17</v>
      </c>
      <c r="I362" s="17">
        <v>-1.08011967610065</v>
      </c>
      <c r="J362" s="17">
        <v>0.56980437209899604</v>
      </c>
      <c r="K362" s="21">
        <v>30</v>
      </c>
      <c r="L362" s="27">
        <v>56425532.038013399</v>
      </c>
      <c r="M362" s="22">
        <v>9.1796500659111657E-2</v>
      </c>
      <c r="N362" s="21">
        <v>19</v>
      </c>
      <c r="O362" s="27">
        <v>46981832.163344704</v>
      </c>
      <c r="P362" s="22">
        <v>7.710228423599591E-2</v>
      </c>
      <c r="Q362" s="21">
        <v>33</v>
      </c>
      <c r="R362" s="27">
        <v>60960891.364941142</v>
      </c>
      <c r="S362" s="22">
        <v>0.10063105631581618</v>
      </c>
      <c r="T362" s="23">
        <v>26</v>
      </c>
      <c r="U362" s="28">
        <v>57012101.547063403</v>
      </c>
      <c r="V362" s="24">
        <v>9.2595644077240635E-2</v>
      </c>
      <c r="W362" s="23">
        <v>17</v>
      </c>
      <c r="X362" s="28">
        <v>52437741.306570165</v>
      </c>
      <c r="Y362" s="24">
        <v>8.331168549542782E-2</v>
      </c>
      <c r="Z362" s="23">
        <v>23</v>
      </c>
      <c r="AA362" s="28">
        <v>55346002.533381127</v>
      </c>
      <c r="AB362" s="24">
        <v>8.9247522599677373E-2</v>
      </c>
    </row>
    <row r="363" spans="1:36" x14ac:dyDescent="0.25">
      <c r="A363" t="s">
        <v>5094</v>
      </c>
      <c r="B363" t="s">
        <v>7439</v>
      </c>
      <c r="C363" t="s">
        <v>5096</v>
      </c>
      <c r="D363" s="3" t="s">
        <v>5095</v>
      </c>
      <c r="E363" s="3" t="s">
        <v>495</v>
      </c>
      <c r="G363" t="s">
        <v>507</v>
      </c>
      <c r="H363" t="s">
        <v>808</v>
      </c>
      <c r="I363" s="17">
        <v>-1.0809610882315701</v>
      </c>
      <c r="J363" s="17">
        <v>0.57516771439719905</v>
      </c>
      <c r="K363" s="21">
        <v>39</v>
      </c>
      <c r="L363" s="27">
        <v>116531731.817849</v>
      </c>
      <c r="M363" s="22">
        <v>0.14074948303208415</v>
      </c>
      <c r="N363" s="21">
        <v>32</v>
      </c>
      <c r="O363" s="27">
        <v>103256387.00777735</v>
      </c>
      <c r="P363" s="22">
        <v>0.12580745150278383</v>
      </c>
      <c r="Q363" s="21">
        <v>46</v>
      </c>
      <c r="R363" s="27">
        <v>140280156.60838383</v>
      </c>
      <c r="S363" s="22">
        <v>0.1719210715698804</v>
      </c>
      <c r="T363" s="23">
        <v>35</v>
      </c>
      <c r="U363" s="28">
        <v>129905943.73866087</v>
      </c>
      <c r="V363" s="24">
        <v>0.1566407210774515</v>
      </c>
      <c r="W363" s="23">
        <v>34</v>
      </c>
      <c r="X363" s="28">
        <v>112345855.69806258</v>
      </c>
      <c r="Y363" s="24">
        <v>0.1325168625681194</v>
      </c>
      <c r="Z363" s="23">
        <v>38</v>
      </c>
      <c r="AA363" s="28">
        <v>117063344.74752474</v>
      </c>
      <c r="AB363" s="24">
        <v>0.14014673485437129</v>
      </c>
    </row>
    <row r="364" spans="1:36" x14ac:dyDescent="0.25">
      <c r="A364" t="s">
        <v>4963</v>
      </c>
      <c r="B364" t="s">
        <v>7396</v>
      </c>
      <c r="C364" t="s">
        <v>4965</v>
      </c>
      <c r="D364" s="3" t="s">
        <v>4964</v>
      </c>
      <c r="E364" s="3" t="s">
        <v>495</v>
      </c>
      <c r="G364" t="s">
        <v>507</v>
      </c>
      <c r="H364" t="s">
        <v>17</v>
      </c>
      <c r="I364" s="17">
        <v>-1.08572192566377</v>
      </c>
      <c r="J364" s="17">
        <v>0.49935969776484401</v>
      </c>
      <c r="K364" s="21">
        <v>21</v>
      </c>
      <c r="L364" s="27">
        <v>13392660.772853499</v>
      </c>
      <c r="M364" s="22">
        <v>1.342908068416989E-2</v>
      </c>
      <c r="N364" s="21">
        <v>11</v>
      </c>
      <c r="O364" s="27">
        <v>11106958.144322842</v>
      </c>
      <c r="P364" s="22">
        <v>1.1234697472236876E-2</v>
      </c>
      <c r="Q364" s="21">
        <v>22</v>
      </c>
      <c r="R364" s="27">
        <v>14262979.172112636</v>
      </c>
      <c r="S364" s="22">
        <v>1.4511754486044821E-2</v>
      </c>
      <c r="T364" s="23">
        <v>17</v>
      </c>
      <c r="U364" s="28">
        <v>12583745.430716639</v>
      </c>
      <c r="V364" s="24">
        <v>1.2596862305858589E-2</v>
      </c>
      <c r="W364" s="23">
        <v>11</v>
      </c>
      <c r="X364" s="28">
        <v>13456127.345022786</v>
      </c>
      <c r="Y364" s="24">
        <v>1.3176831246721072E-2</v>
      </c>
      <c r="Z364" s="23">
        <v>12</v>
      </c>
      <c r="AA364" s="28">
        <v>12767260.330697363</v>
      </c>
      <c r="AB364" s="24">
        <v>1.2689268183988606E-2</v>
      </c>
    </row>
    <row r="365" spans="1:36" x14ac:dyDescent="0.25">
      <c r="A365" t="s">
        <v>5088</v>
      </c>
      <c r="B365" t="s">
        <v>7437</v>
      </c>
      <c r="C365" t="s">
        <v>5090</v>
      </c>
      <c r="D365" s="3" t="s">
        <v>5089</v>
      </c>
      <c r="E365" s="3" t="s">
        <v>495</v>
      </c>
      <c r="G365" t="s">
        <v>507</v>
      </c>
      <c r="H365" t="s">
        <v>693</v>
      </c>
      <c r="I365" s="17">
        <v>-1.0871139438741499</v>
      </c>
      <c r="J365" s="17">
        <v>0.56667224550166795</v>
      </c>
      <c r="K365" s="21">
        <v>31</v>
      </c>
      <c r="L365" s="27">
        <v>46786633.1537112</v>
      </c>
      <c r="M365" s="22">
        <v>9.7826943487134901E-2</v>
      </c>
      <c r="N365" s="21">
        <v>17</v>
      </c>
      <c r="O365" s="27">
        <v>36966769.66742973</v>
      </c>
      <c r="P365" s="22">
        <v>7.7971344811064075E-2</v>
      </c>
      <c r="Q365" s="21">
        <v>31</v>
      </c>
      <c r="R365" s="27">
        <v>49395235.403305143</v>
      </c>
      <c r="S365" s="22">
        <v>0.10479776244222025</v>
      </c>
      <c r="T365" s="23">
        <v>24</v>
      </c>
      <c r="U365" s="28">
        <v>44009287.343602344</v>
      </c>
      <c r="V365" s="24">
        <v>9.186584423832829E-2</v>
      </c>
      <c r="W365" s="23">
        <v>23</v>
      </c>
      <c r="X365" s="28">
        <v>45373794.937921695</v>
      </c>
      <c r="Y365" s="24">
        <v>9.2651675147845766E-2</v>
      </c>
      <c r="Z365" s="23">
        <v>25</v>
      </c>
      <c r="AA365" s="28">
        <v>43746947.931328975</v>
      </c>
      <c r="AB365" s="24">
        <v>9.0665883465631925E-2</v>
      </c>
    </row>
    <row r="366" spans="1:36" x14ac:dyDescent="0.25">
      <c r="A366" t="s">
        <v>5118</v>
      </c>
      <c r="B366" t="s">
        <v>7447</v>
      </c>
      <c r="C366" t="s">
        <v>5121</v>
      </c>
      <c r="D366" s="3" t="s">
        <v>5119</v>
      </c>
      <c r="E366" s="3" t="s">
        <v>495</v>
      </c>
      <c r="F366" t="s">
        <v>5120</v>
      </c>
      <c r="G366" t="s">
        <v>507</v>
      </c>
      <c r="H366" t="s">
        <v>2148</v>
      </c>
      <c r="I366" s="17">
        <v>-1.09194143554788</v>
      </c>
      <c r="J366" s="17">
        <v>0.33616329175523701</v>
      </c>
      <c r="K366" s="21">
        <v>18</v>
      </c>
      <c r="L366" s="27">
        <v>19090490.593210701</v>
      </c>
      <c r="M366" s="22">
        <v>3.1057575693603155E-2</v>
      </c>
      <c r="N366" s="21">
        <v>15</v>
      </c>
      <c r="O366" s="27">
        <v>17912953.01240376</v>
      </c>
      <c r="P366" s="22">
        <v>2.9397099497238278E-2</v>
      </c>
      <c r="Q366" s="21">
        <v>19</v>
      </c>
      <c r="R366" s="27">
        <v>20421549.399620745</v>
      </c>
      <c r="S366" s="22">
        <v>3.3710827412069641E-2</v>
      </c>
      <c r="T366" s="23">
        <v>17</v>
      </c>
      <c r="U366" s="28">
        <v>19490977.810445271</v>
      </c>
      <c r="V366" s="24">
        <v>3.1656079938809881E-2</v>
      </c>
      <c r="W366" s="23">
        <v>10</v>
      </c>
      <c r="X366" s="28">
        <v>18381849.657606982</v>
      </c>
      <c r="Y366" s="24">
        <v>2.9204592710153805E-2</v>
      </c>
      <c r="Z366" s="23">
        <v>12</v>
      </c>
      <c r="AA366" s="28">
        <v>19026902.421596296</v>
      </c>
      <c r="AB366" s="24">
        <v>3.0681599865303461E-2</v>
      </c>
    </row>
    <row r="367" spans="1:36" x14ac:dyDescent="0.25">
      <c r="A367" t="s">
        <v>5061</v>
      </c>
      <c r="B367" t="s">
        <v>7428</v>
      </c>
      <c r="C367" t="s">
        <v>5063</v>
      </c>
      <c r="D367" s="3" t="s">
        <v>5062</v>
      </c>
      <c r="E367" s="3" t="s">
        <v>495</v>
      </c>
      <c r="G367" t="s">
        <v>507</v>
      </c>
      <c r="H367" t="s">
        <v>1708</v>
      </c>
      <c r="I367" s="17">
        <v>-1.0954316576249301</v>
      </c>
      <c r="J367" s="17">
        <v>0.36299208173872799</v>
      </c>
      <c r="K367" s="21">
        <v>23</v>
      </c>
      <c r="L367" s="27">
        <v>33369426.117582198</v>
      </c>
      <c r="M367" s="22">
        <v>3.827458376151318E-2</v>
      </c>
      <c r="N367" s="21">
        <v>17</v>
      </c>
      <c r="O367" s="27">
        <v>30695479.861203738</v>
      </c>
      <c r="P367" s="22">
        <v>3.5515914197827916E-2</v>
      </c>
      <c r="Q367" s="21">
        <v>25</v>
      </c>
      <c r="R367" s="27">
        <v>36897673.859180771</v>
      </c>
      <c r="S367" s="22">
        <v>4.2942862072973022E-2</v>
      </c>
      <c r="T367" s="23">
        <v>15</v>
      </c>
      <c r="U367" s="28">
        <v>34521560.908767849</v>
      </c>
      <c r="V367" s="24">
        <v>3.9529853665865845E-2</v>
      </c>
      <c r="W367" s="23">
        <v>14</v>
      </c>
      <c r="X367" s="28">
        <v>32490693.922714155</v>
      </c>
      <c r="Y367" s="24">
        <v>3.6394202443023355E-2</v>
      </c>
      <c r="Z367" s="23">
        <v>17</v>
      </c>
      <c r="AA367" s="28">
        <v>32685782.941474412</v>
      </c>
      <c r="AB367" s="24">
        <v>3.7160374198803574E-2</v>
      </c>
    </row>
    <row r="368" spans="1:36" x14ac:dyDescent="0.25">
      <c r="A368" t="s">
        <v>4942</v>
      </c>
      <c r="B368" t="s">
        <v>7389</v>
      </c>
      <c r="C368" t="s">
        <v>4944</v>
      </c>
      <c r="D368" s="3" t="s">
        <v>4943</v>
      </c>
      <c r="E368" s="3" t="s">
        <v>495</v>
      </c>
      <c r="G368" t="s">
        <v>507</v>
      </c>
      <c r="H368" t="s">
        <v>17</v>
      </c>
      <c r="I368" s="17">
        <v>-1.1055668484716601</v>
      </c>
      <c r="J368" s="17">
        <v>0.279630453571374</v>
      </c>
      <c r="K368" s="21">
        <v>2</v>
      </c>
      <c r="L368" s="27">
        <v>283183.38834921003</v>
      </c>
      <c r="M368" s="22">
        <v>4.5952776162578457E-4</v>
      </c>
      <c r="N368" s="21">
        <v>1</v>
      </c>
      <c r="O368" s="27">
        <v>372847.92658875987</v>
      </c>
      <c r="P368" s="22">
        <v>6.1032694604629611E-4</v>
      </c>
      <c r="Q368" s="21">
        <v>2</v>
      </c>
      <c r="R368" s="27">
        <v>323070.44055702136</v>
      </c>
      <c r="S368" s="22">
        <v>5.3195079640536039E-4</v>
      </c>
      <c r="T368" s="23">
        <v>1</v>
      </c>
      <c r="U368" s="28">
        <v>306560.39336223726</v>
      </c>
      <c r="V368" s="24">
        <v>4.9663013459112261E-4</v>
      </c>
      <c r="W368" s="23">
        <v>0</v>
      </c>
      <c r="X368" s="28">
        <v>376459.47200595791</v>
      </c>
      <c r="Y368" s="24">
        <v>5.9658686813931388E-4</v>
      </c>
      <c r="Z368" s="23">
        <v>0</v>
      </c>
      <c r="AA368" s="28">
        <v>276068.09101135324</v>
      </c>
      <c r="AB368" s="24">
        <v>4.4403749059051341E-4</v>
      </c>
    </row>
    <row r="369" spans="1:28" x14ac:dyDescent="0.25">
      <c r="A369" t="s">
        <v>5103</v>
      </c>
      <c r="B369" t="s">
        <v>7442</v>
      </c>
      <c r="C369" t="s">
        <v>5105</v>
      </c>
      <c r="D369" s="3" t="s">
        <v>5104</v>
      </c>
      <c r="E369" s="3" t="s">
        <v>495</v>
      </c>
      <c r="G369" t="s">
        <v>507</v>
      </c>
      <c r="H369" t="s">
        <v>17</v>
      </c>
      <c r="I369" s="17">
        <v>-1.1166278136132499</v>
      </c>
      <c r="J369" s="17">
        <v>0.78643365134256105</v>
      </c>
      <c r="K369" s="21">
        <v>13</v>
      </c>
      <c r="L369" s="27">
        <v>14500378.222609701</v>
      </c>
      <c r="M369" s="22">
        <v>2.6726356786959112E-2</v>
      </c>
      <c r="N369" s="21">
        <v>9</v>
      </c>
      <c r="O369" s="27">
        <v>8390502.5890392978</v>
      </c>
      <c r="P369" s="22">
        <v>1.560038224050455E-2</v>
      </c>
      <c r="Q369" s="21">
        <v>17</v>
      </c>
      <c r="R369" s="27">
        <v>16899727.599928603</v>
      </c>
      <c r="S369" s="22">
        <v>3.1606062570927421E-2</v>
      </c>
      <c r="T369" s="23">
        <v>13</v>
      </c>
      <c r="U369" s="28">
        <v>13660367.378372861</v>
      </c>
      <c r="V369" s="24">
        <v>2.5135981868493539E-2</v>
      </c>
      <c r="W369" s="23">
        <v>10</v>
      </c>
      <c r="X369" s="28">
        <v>10959218.175341373</v>
      </c>
      <c r="Y369" s="24">
        <v>1.9726565793015436E-2</v>
      </c>
      <c r="Z369" s="23">
        <v>12</v>
      </c>
      <c r="AA369" s="28">
        <v>13957782.528533978</v>
      </c>
      <c r="AB369" s="24">
        <v>2.5499772540627297E-2</v>
      </c>
    </row>
    <row r="370" spans="1:28" x14ac:dyDescent="0.25">
      <c r="A370" t="s">
        <v>5097</v>
      </c>
      <c r="B370" t="s">
        <v>7440</v>
      </c>
      <c r="C370" t="s">
        <v>5099</v>
      </c>
      <c r="D370" s="3" t="s">
        <v>5098</v>
      </c>
      <c r="E370" s="3" t="s">
        <v>495</v>
      </c>
      <c r="G370" t="s">
        <v>507</v>
      </c>
      <c r="H370" t="s">
        <v>17</v>
      </c>
      <c r="I370" s="17">
        <v>-1.11762410182461</v>
      </c>
      <c r="J370" s="17">
        <v>0.67694159778421303</v>
      </c>
      <c r="K370" s="21">
        <v>39</v>
      </c>
      <c r="L370" s="27">
        <v>165773004.72900799</v>
      </c>
      <c r="M370" s="22">
        <v>0.23918176713446962</v>
      </c>
      <c r="N370" s="21">
        <v>24</v>
      </c>
      <c r="O370" s="27">
        <v>107721805.64297092</v>
      </c>
      <c r="P370" s="22">
        <v>0.15678507488165408</v>
      </c>
      <c r="Q370" s="21">
        <v>44</v>
      </c>
      <c r="R370" s="27">
        <v>178237407.8351194</v>
      </c>
      <c r="S370" s="22">
        <v>0.26094163424891259</v>
      </c>
      <c r="T370" s="23">
        <v>37</v>
      </c>
      <c r="U370" s="28">
        <v>156634313.96343178</v>
      </c>
      <c r="V370" s="24">
        <v>0.22561824351670093</v>
      </c>
      <c r="W370" s="23">
        <v>34</v>
      </c>
      <c r="X370" s="28">
        <v>138943569.5824154</v>
      </c>
      <c r="Y370" s="24">
        <v>0.195778138089066</v>
      </c>
      <c r="Z370" s="23">
        <v>37</v>
      </c>
      <c r="AA370" s="28">
        <v>143233705.91534892</v>
      </c>
      <c r="AB370" s="24">
        <v>0.20484196684468675</v>
      </c>
    </row>
    <row r="371" spans="1:28" x14ac:dyDescent="0.25">
      <c r="A371" t="s">
        <v>5067</v>
      </c>
      <c r="B371" t="s">
        <v>7430</v>
      </c>
      <c r="C371" t="s">
        <v>5069</v>
      </c>
      <c r="D371" s="3" t="s">
        <v>5068</v>
      </c>
      <c r="E371" s="3" t="s">
        <v>495</v>
      </c>
      <c r="G371" t="s">
        <v>507</v>
      </c>
      <c r="H371" t="s">
        <v>17</v>
      </c>
      <c r="I371" s="17">
        <v>-1.1197638704509301</v>
      </c>
      <c r="J371" s="17">
        <v>0.41315723339069199</v>
      </c>
      <c r="K371" s="21">
        <v>23</v>
      </c>
      <c r="L371" s="27">
        <v>88657347.918482095</v>
      </c>
      <c r="M371" s="22">
        <v>0.13591204130592008</v>
      </c>
      <c r="N371" s="21">
        <v>21</v>
      </c>
      <c r="O371" s="27">
        <v>73751275.036167488</v>
      </c>
      <c r="P371" s="22">
        <v>0.11405112274649609</v>
      </c>
      <c r="Q371" s="21">
        <v>29</v>
      </c>
      <c r="R371" s="27">
        <v>95449246.448098481</v>
      </c>
      <c r="S371" s="22">
        <v>0.14847248018622383</v>
      </c>
      <c r="T371" s="23">
        <v>26</v>
      </c>
      <c r="U371" s="28">
        <v>88381161.184425846</v>
      </c>
      <c r="V371" s="24">
        <v>0.13526204416480969</v>
      </c>
      <c r="W371" s="23">
        <v>20</v>
      </c>
      <c r="X371" s="28">
        <v>79633815.775179759</v>
      </c>
      <c r="Y371" s="24">
        <v>0.11922084802135281</v>
      </c>
      <c r="Z371" s="23">
        <v>26</v>
      </c>
      <c r="AA371" s="28">
        <v>81294916.684461206</v>
      </c>
      <c r="AB371" s="24">
        <v>0.12352817850593258</v>
      </c>
    </row>
    <row r="372" spans="1:28" x14ac:dyDescent="0.25">
      <c r="A372" t="s">
        <v>5082</v>
      </c>
      <c r="B372" t="s">
        <v>7435</v>
      </c>
      <c r="C372" t="s">
        <v>5084</v>
      </c>
      <c r="D372" s="3" t="s">
        <v>5083</v>
      </c>
      <c r="E372" s="3" t="s">
        <v>495</v>
      </c>
      <c r="G372" t="s">
        <v>507</v>
      </c>
      <c r="H372" t="s">
        <v>17</v>
      </c>
      <c r="I372" s="17">
        <v>-1.1266509979050401</v>
      </c>
      <c r="J372" s="17">
        <v>0.52742520212046196</v>
      </c>
      <c r="K372" s="21">
        <v>20</v>
      </c>
      <c r="L372" s="27">
        <v>39165532.234684698</v>
      </c>
      <c r="M372" s="22">
        <v>4.9361692934978073E-2</v>
      </c>
      <c r="N372" s="21">
        <v>14</v>
      </c>
      <c r="O372" s="27">
        <v>29396000.017805312</v>
      </c>
      <c r="P372" s="22">
        <v>3.7373268824731888E-2</v>
      </c>
      <c r="Q372" s="21">
        <v>21</v>
      </c>
      <c r="R372" s="27">
        <v>41717010.515018314</v>
      </c>
      <c r="S372" s="22">
        <v>5.3349389248303562E-2</v>
      </c>
      <c r="T372" s="23">
        <v>21</v>
      </c>
      <c r="U372" s="28">
        <v>36416775.66068317</v>
      </c>
      <c r="V372" s="24">
        <v>4.5820576371157141E-2</v>
      </c>
      <c r="W372" s="23">
        <v>14</v>
      </c>
      <c r="X372" s="28">
        <v>31118333.972720817</v>
      </c>
      <c r="Y372" s="24">
        <v>3.8301327960388432E-2</v>
      </c>
      <c r="Z372" s="23">
        <v>16</v>
      </c>
      <c r="AA372" s="28">
        <v>38436096.997005217</v>
      </c>
      <c r="AB372" s="24">
        <v>4.8015863307040503E-2</v>
      </c>
    </row>
    <row r="373" spans="1:28" x14ac:dyDescent="0.25">
      <c r="A373" t="s">
        <v>4966</v>
      </c>
      <c r="B373" t="s">
        <v>7397</v>
      </c>
      <c r="C373" t="s">
        <v>4968</v>
      </c>
      <c r="D373" s="3" t="s">
        <v>4967</v>
      </c>
      <c r="E373" s="3" t="s">
        <v>495</v>
      </c>
      <c r="G373" t="s">
        <v>507</v>
      </c>
      <c r="H373" t="s">
        <v>17</v>
      </c>
      <c r="I373" s="17">
        <v>-1.1316480917371901</v>
      </c>
      <c r="J373" s="17">
        <v>0.59118750327425695</v>
      </c>
      <c r="K373" s="21">
        <v>30</v>
      </c>
      <c r="L373" s="27">
        <v>37349664.3186827</v>
      </c>
      <c r="M373" s="22">
        <v>4.4772526362831098E-2</v>
      </c>
      <c r="N373" s="21">
        <v>13</v>
      </c>
      <c r="O373" s="27">
        <v>25561576.007984087</v>
      </c>
      <c r="P373" s="22">
        <v>3.0910025063681335E-2</v>
      </c>
      <c r="Q373" s="21">
        <v>34</v>
      </c>
      <c r="R373" s="27">
        <v>40587413.230354682</v>
      </c>
      <c r="S373" s="22">
        <v>4.9368113375341686E-2</v>
      </c>
      <c r="T373" s="23">
        <v>20</v>
      </c>
      <c r="U373" s="28">
        <v>33972712.385394916</v>
      </c>
      <c r="V373" s="24">
        <v>4.0656329174638212E-2</v>
      </c>
      <c r="W373" s="23">
        <v>14</v>
      </c>
      <c r="X373" s="28">
        <v>30943992.625648167</v>
      </c>
      <c r="Y373" s="24">
        <v>3.6225361475917282E-2</v>
      </c>
      <c r="Z373" s="23">
        <v>18</v>
      </c>
      <c r="AA373" s="28">
        <v>34328939.944466382</v>
      </c>
      <c r="AB373" s="24">
        <v>4.0789157820447307E-2</v>
      </c>
    </row>
    <row r="374" spans="1:28" x14ac:dyDescent="0.25">
      <c r="A374" t="s">
        <v>4951</v>
      </c>
      <c r="B374" t="s">
        <v>7392</v>
      </c>
      <c r="C374" t="s">
        <v>4953</v>
      </c>
      <c r="D374" s="3" t="s">
        <v>4952</v>
      </c>
      <c r="E374" s="3" t="s">
        <v>495</v>
      </c>
      <c r="G374" t="s">
        <v>507</v>
      </c>
      <c r="H374" t="s">
        <v>17</v>
      </c>
      <c r="I374" s="17">
        <v>-1.1366159075789399</v>
      </c>
      <c r="J374" s="17">
        <v>0.32022758553571301</v>
      </c>
      <c r="K374" s="21">
        <v>18</v>
      </c>
      <c r="L374" s="27">
        <v>9877061.0161643997</v>
      </c>
      <c r="M374" s="22">
        <v>1.7400258343066757E-2</v>
      </c>
      <c r="N374" s="21">
        <v>8</v>
      </c>
      <c r="O374" s="27">
        <v>8853121.5969772693</v>
      </c>
      <c r="P374" s="22">
        <v>1.573298835992076E-2</v>
      </c>
      <c r="Q374" s="21">
        <v>17</v>
      </c>
      <c r="R374" s="27">
        <v>10107037.707452856</v>
      </c>
      <c r="S374" s="22">
        <v>1.8066836125847599E-2</v>
      </c>
      <c r="T374" s="23">
        <v>11</v>
      </c>
      <c r="U374" s="28">
        <v>10147327.175304342</v>
      </c>
      <c r="V374" s="24">
        <v>1.7846483990325374E-2</v>
      </c>
      <c r="W374" s="23">
        <v>7</v>
      </c>
      <c r="X374" s="28">
        <v>8416864.39678495</v>
      </c>
      <c r="Y374" s="24">
        <v>1.4480707160420332E-2</v>
      </c>
      <c r="Z374" s="23">
        <v>10</v>
      </c>
      <c r="AA374" s="28">
        <v>8849585.752896782</v>
      </c>
      <c r="AB374" s="24">
        <v>1.5452912635404905E-2</v>
      </c>
    </row>
    <row r="375" spans="1:28" x14ac:dyDescent="0.25">
      <c r="A375" t="s">
        <v>5076</v>
      </c>
      <c r="B375" t="s">
        <v>7433</v>
      </c>
      <c r="C375" t="s">
        <v>5078</v>
      </c>
      <c r="D375" s="3" t="s">
        <v>5077</v>
      </c>
      <c r="E375" s="3" t="s">
        <v>495</v>
      </c>
      <c r="G375" t="s">
        <v>507</v>
      </c>
      <c r="H375" t="s">
        <v>17</v>
      </c>
      <c r="I375" s="17">
        <v>-1.1407281067052499</v>
      </c>
      <c r="J375" s="17">
        <v>0.46141810992478699</v>
      </c>
      <c r="K375" s="21">
        <v>22</v>
      </c>
      <c r="L375" s="27">
        <v>68012093.134953007</v>
      </c>
      <c r="M375" s="22">
        <v>0.11535457571444548</v>
      </c>
      <c r="N375" s="21">
        <v>17</v>
      </c>
      <c r="O375" s="27">
        <v>52204256.457449391</v>
      </c>
      <c r="P375" s="22">
        <v>8.9318502305102535E-2</v>
      </c>
      <c r="Q375" s="21">
        <v>22</v>
      </c>
      <c r="R375" s="27">
        <v>75142933.252592206</v>
      </c>
      <c r="S375" s="22">
        <v>0.12932041480874762</v>
      </c>
      <c r="T375" s="23">
        <v>17</v>
      </c>
      <c r="U375" s="28">
        <v>66030216.581541777</v>
      </c>
      <c r="V375" s="24">
        <v>0.11180583020089276</v>
      </c>
      <c r="W375" s="23">
        <v>16</v>
      </c>
      <c r="X375" s="28">
        <v>57158602.662287176</v>
      </c>
      <c r="Y375" s="24">
        <v>9.4676407324112116E-2</v>
      </c>
      <c r="Z375" s="23">
        <v>22</v>
      </c>
      <c r="AA375" s="28">
        <v>62149083.31957151</v>
      </c>
      <c r="AB375" s="24">
        <v>0.10448233270886365</v>
      </c>
    </row>
    <row r="376" spans="1:28" x14ac:dyDescent="0.25">
      <c r="A376" t="s">
        <v>5025</v>
      </c>
      <c r="B376" t="s">
        <v>7416</v>
      </c>
      <c r="C376" t="s">
        <v>5027</v>
      </c>
      <c r="D376" s="3" t="s">
        <v>5026</v>
      </c>
      <c r="E376" s="3" t="s">
        <v>495</v>
      </c>
      <c r="G376" t="s">
        <v>507</v>
      </c>
      <c r="H376" t="s">
        <v>17</v>
      </c>
      <c r="I376" s="17">
        <v>-1.1480163765743501</v>
      </c>
      <c r="J376" s="17">
        <v>0.11269741071860399</v>
      </c>
      <c r="K376" s="21">
        <v>21</v>
      </c>
      <c r="L376" s="27">
        <v>88269421.518334195</v>
      </c>
      <c r="M376" s="22">
        <v>0.15296743766529461</v>
      </c>
      <c r="N376" s="21">
        <v>17</v>
      </c>
      <c r="O376" s="27">
        <v>93665581.5826502</v>
      </c>
      <c r="P376" s="22">
        <v>0.16374029858621106</v>
      </c>
      <c r="Q376" s="21">
        <v>21</v>
      </c>
      <c r="R376" s="27">
        <v>88031346.103138447</v>
      </c>
      <c r="S376" s="22">
        <v>0.15479478096769136</v>
      </c>
      <c r="T376" s="23">
        <v>15</v>
      </c>
      <c r="U376" s="28">
        <v>85666342.296059996</v>
      </c>
      <c r="V376" s="24">
        <v>0.14820811354248323</v>
      </c>
      <c r="W376" s="23">
        <v>16</v>
      </c>
      <c r="X376" s="28">
        <v>81438110.760049388</v>
      </c>
      <c r="Y376" s="24">
        <v>0.13782496239083686</v>
      </c>
      <c r="Z376" s="23">
        <v>17</v>
      </c>
      <c r="AA376" s="28">
        <v>87154883.392040551</v>
      </c>
      <c r="AB376" s="24">
        <v>0.14970623397978183</v>
      </c>
    </row>
    <row r="377" spans="1:28" x14ac:dyDescent="0.25">
      <c r="A377" t="s">
        <v>5073</v>
      </c>
      <c r="B377" t="s">
        <v>7432</v>
      </c>
      <c r="C377" t="s">
        <v>5075</v>
      </c>
      <c r="D377" s="3" t="s">
        <v>5074</v>
      </c>
      <c r="E377" s="3" t="s">
        <v>495</v>
      </c>
      <c r="G377" t="s">
        <v>507</v>
      </c>
      <c r="H377" t="s">
        <v>693</v>
      </c>
      <c r="I377" s="17">
        <v>-1.1536875811282099</v>
      </c>
      <c r="J377" s="17">
        <v>0.42996170483534402</v>
      </c>
      <c r="K377" s="21">
        <v>37</v>
      </c>
      <c r="L377" s="27">
        <v>82837096.874038801</v>
      </c>
      <c r="M377" s="22">
        <v>0.15960019092538086</v>
      </c>
      <c r="N377" s="21">
        <v>23</v>
      </c>
      <c r="O377" s="27">
        <v>61385101.608204812</v>
      </c>
      <c r="P377" s="22">
        <v>0.1193049183624826</v>
      </c>
      <c r="Q377" s="21">
        <v>35</v>
      </c>
      <c r="R377" s="27">
        <v>85164029.162619084</v>
      </c>
      <c r="S377" s="22">
        <v>0.16649262325935399</v>
      </c>
      <c r="T377" s="23">
        <v>30</v>
      </c>
      <c r="U377" s="28">
        <v>76730001.028133422</v>
      </c>
      <c r="V377" s="24">
        <v>0.14758655115837671</v>
      </c>
      <c r="W377" s="23">
        <v>21</v>
      </c>
      <c r="X377" s="28">
        <v>67315819.259482741</v>
      </c>
      <c r="Y377" s="24">
        <v>0.12665932029327229</v>
      </c>
      <c r="Z377" s="23">
        <v>28</v>
      </c>
      <c r="AA377" s="28">
        <v>71578968.11356245</v>
      </c>
      <c r="AB377" s="24">
        <v>0.13669524803916877</v>
      </c>
    </row>
    <row r="378" spans="1:28" x14ac:dyDescent="0.25">
      <c r="A378" t="s">
        <v>4930</v>
      </c>
      <c r="B378" t="s">
        <v>7385</v>
      </c>
      <c r="C378" t="s">
        <v>4932</v>
      </c>
      <c r="D378" s="3" t="s">
        <v>4931</v>
      </c>
      <c r="E378" s="3" t="s">
        <v>495</v>
      </c>
      <c r="G378" t="s">
        <v>507</v>
      </c>
      <c r="H378" t="s">
        <v>17</v>
      </c>
      <c r="I378" s="17">
        <v>-1.1569998979249201</v>
      </c>
      <c r="J378" s="17">
        <v>0.19213621549266099</v>
      </c>
      <c r="K378" s="21">
        <v>13</v>
      </c>
      <c r="L378" s="27">
        <v>9123379.6487518307</v>
      </c>
      <c r="M378" s="22">
        <v>9.5225018868815414E-3</v>
      </c>
      <c r="N378" s="21">
        <v>8</v>
      </c>
      <c r="O378" s="27">
        <v>8651117.0741917063</v>
      </c>
      <c r="P378" s="22">
        <v>9.108656859311488E-3</v>
      </c>
      <c r="Q378" s="21">
        <v>13</v>
      </c>
      <c r="R378" s="27">
        <v>9704976.2862066627</v>
      </c>
      <c r="S378" s="22">
        <v>1.0278270856852019E-2</v>
      </c>
      <c r="T378" s="23">
        <v>11</v>
      </c>
      <c r="U378" s="28">
        <v>9328747.8059146944</v>
      </c>
      <c r="V378" s="24">
        <v>9.7205696438133118E-3</v>
      </c>
      <c r="W378" s="23">
        <v>7</v>
      </c>
      <c r="X378" s="28">
        <v>8857965.6819571033</v>
      </c>
      <c r="Y378" s="24">
        <v>9.0290237275711307E-3</v>
      </c>
      <c r="Z378" s="23">
        <v>6</v>
      </c>
      <c r="AA378" s="28">
        <v>7526963.6652645441</v>
      </c>
      <c r="AB378" s="24">
        <v>7.7870791176593507E-3</v>
      </c>
    </row>
    <row r="379" spans="1:28" x14ac:dyDescent="0.25">
      <c r="A379" t="s">
        <v>5046</v>
      </c>
      <c r="B379" t="s">
        <v>7423</v>
      </c>
      <c r="C379" t="s">
        <v>5048</v>
      </c>
      <c r="D379" s="3" t="s">
        <v>5047</v>
      </c>
      <c r="E379" s="3" t="s">
        <v>495</v>
      </c>
      <c r="G379" t="s">
        <v>507</v>
      </c>
      <c r="H379" t="s">
        <v>17</v>
      </c>
      <c r="I379" s="17">
        <v>-1.17208308685864</v>
      </c>
      <c r="J379" s="17">
        <v>0.20771528568022901</v>
      </c>
      <c r="K379" s="21">
        <v>19</v>
      </c>
      <c r="L379" s="27">
        <v>32443747.563451901</v>
      </c>
      <c r="M379" s="22">
        <v>5.1985768890307739E-2</v>
      </c>
      <c r="N379" s="21">
        <v>10</v>
      </c>
      <c r="O379" s="27">
        <v>28863973.102668785</v>
      </c>
      <c r="P379" s="22">
        <v>4.6654807484491009E-2</v>
      </c>
      <c r="Q379" s="21">
        <v>19</v>
      </c>
      <c r="R379" s="27">
        <v>33242161.125508748</v>
      </c>
      <c r="S379" s="22">
        <v>5.4047171184665149E-2</v>
      </c>
      <c r="T379" s="23">
        <v>19</v>
      </c>
      <c r="U379" s="28">
        <v>31928039.97905137</v>
      </c>
      <c r="V379" s="24">
        <v>5.1073869258504594E-2</v>
      </c>
      <c r="W379" s="23">
        <v>15</v>
      </c>
      <c r="X379" s="28">
        <v>28560669.610909246</v>
      </c>
      <c r="Y379" s="24">
        <v>4.4692363712080137E-2</v>
      </c>
      <c r="Z379" s="23">
        <v>17</v>
      </c>
      <c r="AA379" s="28">
        <v>26843032.852602556</v>
      </c>
      <c r="AB379" s="24">
        <v>4.2632862031186117E-2</v>
      </c>
    </row>
    <row r="380" spans="1:28" x14ac:dyDescent="0.25">
      <c r="A380" t="s">
        <v>4975</v>
      </c>
      <c r="B380" t="s">
        <v>7400</v>
      </c>
      <c r="C380" t="s">
        <v>4977</v>
      </c>
      <c r="D380" s="3" t="s">
        <v>4976</v>
      </c>
      <c r="E380" s="3" t="s">
        <v>495</v>
      </c>
      <c r="G380" t="s">
        <v>507</v>
      </c>
      <c r="H380" t="s">
        <v>693</v>
      </c>
      <c r="I380" s="17">
        <v>-1.1732411188684599</v>
      </c>
      <c r="J380" s="17">
        <v>0.448909052331398</v>
      </c>
      <c r="K380" s="21">
        <v>21</v>
      </c>
      <c r="L380" s="27">
        <v>23569421.745826799</v>
      </c>
      <c r="M380" s="22">
        <v>2.9472384998333337E-2</v>
      </c>
      <c r="N380" s="21">
        <v>10</v>
      </c>
      <c r="O380" s="27">
        <v>16890253.155453946</v>
      </c>
      <c r="P380" s="22">
        <v>2.1305382984278878E-2</v>
      </c>
      <c r="Q380" s="21">
        <v>18</v>
      </c>
      <c r="R380" s="27">
        <v>24286493.018633217</v>
      </c>
      <c r="S380" s="22">
        <v>3.0814946694075303E-2</v>
      </c>
      <c r="T380" s="23">
        <v>13</v>
      </c>
      <c r="U380" s="28">
        <v>21513279.406582221</v>
      </c>
      <c r="V380" s="24">
        <v>2.6856289855147809E-2</v>
      </c>
      <c r="W380" s="23">
        <v>9</v>
      </c>
      <c r="X380" s="28">
        <v>16879042.106067482</v>
      </c>
      <c r="Y380" s="24">
        <v>2.0612260934611725E-2</v>
      </c>
      <c r="Z380" s="23">
        <v>12</v>
      </c>
      <c r="AA380" s="28">
        <v>21322623.8581197</v>
      </c>
      <c r="AB380" s="24">
        <v>2.6428130799317318E-2</v>
      </c>
    </row>
    <row r="381" spans="1:28" x14ac:dyDescent="0.25">
      <c r="A381" t="s">
        <v>5037</v>
      </c>
      <c r="B381" t="s">
        <v>7420</v>
      </c>
      <c r="C381" t="s">
        <v>5039</v>
      </c>
      <c r="D381" s="3" t="s">
        <v>5038</v>
      </c>
      <c r="E381" s="3" t="s">
        <v>495</v>
      </c>
      <c r="G381" t="s">
        <v>507</v>
      </c>
      <c r="H381" t="s">
        <v>17</v>
      </c>
      <c r="I381" s="17">
        <v>-1.17584077300339</v>
      </c>
      <c r="J381" s="17">
        <v>0.13519142242204699</v>
      </c>
      <c r="K381" s="21">
        <v>15</v>
      </c>
      <c r="L381" s="27">
        <v>17346723.9627661</v>
      </c>
      <c r="M381" s="22">
        <v>2.7247581751395925E-2</v>
      </c>
      <c r="N381" s="21">
        <v>6</v>
      </c>
      <c r="O381" s="27">
        <v>15379650.507827872</v>
      </c>
      <c r="P381" s="22">
        <v>2.4369341588876881E-2</v>
      </c>
      <c r="Q381" s="21">
        <v>17</v>
      </c>
      <c r="R381" s="27">
        <v>17025154.332903564</v>
      </c>
      <c r="S381" s="22">
        <v>2.7135124204239844E-2</v>
      </c>
      <c r="T381" s="23">
        <v>11</v>
      </c>
      <c r="U381" s="28">
        <v>14893516.232937761</v>
      </c>
      <c r="V381" s="24">
        <v>2.3355049034517347E-2</v>
      </c>
      <c r="W381" s="23">
        <v>7</v>
      </c>
      <c r="X381" s="28">
        <v>15140469.215472005</v>
      </c>
      <c r="Y381" s="24">
        <v>2.3225298911718328E-2</v>
      </c>
      <c r="Z381" s="23">
        <v>12</v>
      </c>
      <c r="AA381" s="28">
        <v>15913204.585713098</v>
      </c>
      <c r="AB381" s="24">
        <v>2.4775794522034274E-2</v>
      </c>
    </row>
    <row r="382" spans="1:28" x14ac:dyDescent="0.25">
      <c r="A382" t="s">
        <v>5052</v>
      </c>
      <c r="B382" t="s">
        <v>7425</v>
      </c>
      <c r="C382" t="s">
        <v>5054</v>
      </c>
      <c r="D382" s="3" t="s">
        <v>5053</v>
      </c>
      <c r="E382" s="3" t="s">
        <v>495</v>
      </c>
      <c r="G382" t="s">
        <v>507</v>
      </c>
      <c r="H382" t="s">
        <v>17</v>
      </c>
      <c r="I382" s="17">
        <v>-1.1809360445287</v>
      </c>
      <c r="J382" s="17">
        <v>0.243588283110274</v>
      </c>
      <c r="K382" s="21">
        <v>32</v>
      </c>
      <c r="L382" s="27">
        <v>37721287.837155603</v>
      </c>
      <c r="M382" s="22">
        <v>5.4922327210788276E-2</v>
      </c>
      <c r="N382" s="21">
        <v>23</v>
      </c>
      <c r="O382" s="27">
        <v>34072765.624328002</v>
      </c>
      <c r="P382" s="22">
        <v>5.0044532666004643E-2</v>
      </c>
      <c r="Q382" s="21">
        <v>27</v>
      </c>
      <c r="R382" s="27">
        <v>43932890.705665663</v>
      </c>
      <c r="S382" s="22">
        <v>6.4905643403274121E-2</v>
      </c>
      <c r="T382" s="23">
        <v>25</v>
      </c>
      <c r="U382" s="28">
        <v>38025646.216274045</v>
      </c>
      <c r="V382" s="24">
        <v>5.5272876506941689E-2</v>
      </c>
      <c r="W382" s="23">
        <v>21</v>
      </c>
      <c r="X382" s="28">
        <v>31735415.717944562</v>
      </c>
      <c r="Y382" s="24">
        <v>4.5125091174358339E-2</v>
      </c>
      <c r="Z382" s="23">
        <v>23</v>
      </c>
      <c r="AA382" s="28">
        <v>35884405.345119968</v>
      </c>
      <c r="AB382" s="24">
        <v>5.1787818959617038E-2</v>
      </c>
    </row>
    <row r="383" spans="1:28" x14ac:dyDescent="0.25">
      <c r="A383" t="s">
        <v>4915</v>
      </c>
      <c r="B383" t="s">
        <v>7380</v>
      </c>
      <c r="C383" t="s">
        <v>4917</v>
      </c>
      <c r="D383" s="3" t="s">
        <v>4916</v>
      </c>
      <c r="E383" s="3" t="s">
        <v>495</v>
      </c>
      <c r="G383" t="s">
        <v>507</v>
      </c>
      <c r="H383" t="s">
        <v>17</v>
      </c>
      <c r="I383" s="17">
        <v>-1.1832424387195799</v>
      </c>
      <c r="J383" s="17">
        <v>0.10981852199589801</v>
      </c>
      <c r="K383" s="21">
        <v>9</v>
      </c>
      <c r="L383" s="27">
        <v>11031247.948202001</v>
      </c>
      <c r="M383" s="22">
        <v>1.6670503826141006E-2</v>
      </c>
      <c r="N383" s="21">
        <v>6</v>
      </c>
      <c r="O383" s="27">
        <v>10749839.678413436</v>
      </c>
      <c r="P383" s="22">
        <v>1.6387507329854736E-2</v>
      </c>
      <c r="Q383" s="21">
        <v>9</v>
      </c>
      <c r="R383" s="27">
        <v>12405908.707112614</v>
      </c>
      <c r="S383" s="22">
        <v>1.9023171353119178E-2</v>
      </c>
      <c r="T383" s="23">
        <v>8</v>
      </c>
      <c r="U383" s="28">
        <v>11141768.587230422</v>
      </c>
      <c r="V383" s="24">
        <v>1.6809363039244598E-2</v>
      </c>
      <c r="W383" s="23">
        <v>8</v>
      </c>
      <c r="X383" s="28">
        <v>10304452.606999079</v>
      </c>
      <c r="Y383" s="24">
        <v>1.5207593187117421E-2</v>
      </c>
      <c r="Z383" s="23">
        <v>6</v>
      </c>
      <c r="AA383" s="28">
        <v>9767711.7750991322</v>
      </c>
      <c r="AB383" s="24">
        <v>1.4631079256898017E-2</v>
      </c>
    </row>
    <row r="384" spans="1:28" x14ac:dyDescent="0.25">
      <c r="A384" t="s">
        <v>5064</v>
      </c>
      <c r="B384" t="s">
        <v>7429</v>
      </c>
      <c r="C384" t="s">
        <v>5066</v>
      </c>
      <c r="D384" s="3" t="s">
        <v>5065</v>
      </c>
      <c r="E384" s="3" t="s">
        <v>495</v>
      </c>
      <c r="G384" t="s">
        <v>507</v>
      </c>
      <c r="H384" t="s">
        <v>17</v>
      </c>
      <c r="I384" s="17">
        <v>-1.1856203140641299</v>
      </c>
      <c r="J384" s="17">
        <v>0.38830680813030799</v>
      </c>
      <c r="K384" s="21">
        <v>22</v>
      </c>
      <c r="L384" s="27">
        <v>35534291.889605999</v>
      </c>
      <c r="M384" s="22">
        <v>8.0075149864308845E-2</v>
      </c>
      <c r="N384" s="21">
        <v>15</v>
      </c>
      <c r="O384" s="27">
        <v>25849857.60473514</v>
      </c>
      <c r="P384" s="22">
        <v>5.8761798850467978E-2</v>
      </c>
      <c r="Q384" s="21">
        <v>24</v>
      </c>
      <c r="R384" s="27">
        <v>39017612.691193841</v>
      </c>
      <c r="S384" s="22">
        <v>8.9215650775238603E-2</v>
      </c>
      <c r="T384" s="23">
        <v>18</v>
      </c>
      <c r="U384" s="28">
        <v>33121777.116060998</v>
      </c>
      <c r="V384" s="24">
        <v>7.4513809774661613E-2</v>
      </c>
      <c r="W384" s="23">
        <v>14</v>
      </c>
      <c r="X384" s="28">
        <v>29967157.508390561</v>
      </c>
      <c r="Y384" s="24">
        <v>6.5948834715404428E-2</v>
      </c>
      <c r="Z384" s="23">
        <v>13</v>
      </c>
      <c r="AA384" s="28">
        <v>28740184.209979571</v>
      </c>
      <c r="AB384" s="24">
        <v>6.4194687603998504E-2</v>
      </c>
    </row>
    <row r="385" spans="1:28" x14ac:dyDescent="0.25">
      <c r="A385" t="s">
        <v>4957</v>
      </c>
      <c r="B385" t="s">
        <v>7394</v>
      </c>
      <c r="C385" t="s">
        <v>4959</v>
      </c>
      <c r="D385" s="3" t="s">
        <v>4958</v>
      </c>
      <c r="E385" s="3" t="s">
        <v>495</v>
      </c>
      <c r="G385" t="s">
        <v>507</v>
      </c>
      <c r="H385" t="s">
        <v>17</v>
      </c>
      <c r="I385" s="17">
        <v>-1.1905841493636</v>
      </c>
      <c r="J385" s="17">
        <v>0.409473545710203</v>
      </c>
      <c r="K385" s="21">
        <v>11</v>
      </c>
      <c r="L385" s="27">
        <v>4395769.6770344703</v>
      </c>
      <c r="M385" s="22">
        <v>8.7059383483826039E-3</v>
      </c>
      <c r="N385" s="21">
        <v>5</v>
      </c>
      <c r="O385" s="27">
        <v>3010477.1334684533</v>
      </c>
      <c r="P385" s="22">
        <v>6.0145456254905253E-3</v>
      </c>
      <c r="Q385" s="21">
        <v>10</v>
      </c>
      <c r="R385" s="27">
        <v>4592878.0450723069</v>
      </c>
      <c r="S385" s="22">
        <v>9.2298752656364766E-3</v>
      </c>
      <c r="T385" s="23">
        <v>3</v>
      </c>
      <c r="U385" s="28">
        <v>3804451.3466335884</v>
      </c>
      <c r="V385" s="24">
        <v>7.5222149034258074E-3</v>
      </c>
      <c r="W385" s="23">
        <v>2</v>
      </c>
      <c r="X385" s="28">
        <v>3587301.9886426129</v>
      </c>
      <c r="Y385" s="24">
        <v>6.9384118924160224E-3</v>
      </c>
      <c r="Z385" s="23">
        <v>3</v>
      </c>
      <c r="AA385" s="28">
        <v>3563956.6462661228</v>
      </c>
      <c r="AB385" s="24">
        <v>6.9963659677937202E-3</v>
      </c>
    </row>
    <row r="386" spans="1:28" x14ac:dyDescent="0.25">
      <c r="A386" t="s">
        <v>5013</v>
      </c>
      <c r="B386" t="s">
        <v>7412</v>
      </c>
      <c r="C386" t="s">
        <v>5015</v>
      </c>
      <c r="D386" s="3" t="s">
        <v>5014</v>
      </c>
      <c r="E386" s="3" t="s">
        <v>495</v>
      </c>
      <c r="G386" t="s">
        <v>507</v>
      </c>
      <c r="H386" t="s">
        <v>17</v>
      </c>
      <c r="I386" s="17">
        <v>-1.19070702191083</v>
      </c>
      <c r="J386" s="17">
        <v>6.8528629415635006E-2</v>
      </c>
      <c r="K386" s="21">
        <v>13</v>
      </c>
      <c r="L386" s="27">
        <v>29083714.655877698</v>
      </c>
      <c r="M386" s="22">
        <v>5.329753964830234E-2</v>
      </c>
      <c r="N386" s="21">
        <v>11</v>
      </c>
      <c r="O386" s="27">
        <v>27349163.458282162</v>
      </c>
      <c r="P386" s="22">
        <v>5.0557799769461509E-2</v>
      </c>
      <c r="Q386" s="21">
        <v>12</v>
      </c>
      <c r="R386" s="27">
        <v>31390469.011884276</v>
      </c>
      <c r="S386" s="22">
        <v>5.8369416332244156E-2</v>
      </c>
      <c r="T386" s="23">
        <v>17</v>
      </c>
      <c r="U386" s="28">
        <v>26069146.978741437</v>
      </c>
      <c r="V386" s="24">
        <v>4.7693275552242939E-2</v>
      </c>
      <c r="W386" s="23">
        <v>9</v>
      </c>
      <c r="X386" s="28">
        <v>26466170.537554972</v>
      </c>
      <c r="Y386" s="24">
        <v>4.7365254352944995E-2</v>
      </c>
      <c r="Z386" s="23">
        <v>10</v>
      </c>
      <c r="AA386" s="28">
        <v>27371956.517106261</v>
      </c>
      <c r="AB386" s="24">
        <v>4.9719021780179923E-2</v>
      </c>
    </row>
    <row r="387" spans="1:28" x14ac:dyDescent="0.25">
      <c r="A387" t="s">
        <v>4981</v>
      </c>
      <c r="B387" t="s">
        <v>7402</v>
      </c>
      <c r="C387" t="s">
        <v>4984</v>
      </c>
      <c r="D387" s="3" t="s">
        <v>4982</v>
      </c>
      <c r="E387" s="3" t="s">
        <v>495</v>
      </c>
      <c r="G387" t="s">
        <v>507</v>
      </c>
      <c r="H387" t="s">
        <v>4983</v>
      </c>
      <c r="I387" s="17">
        <v>-1.19223669630489</v>
      </c>
      <c r="J387" s="17">
        <v>0.351879556755467</v>
      </c>
      <c r="K387" s="21">
        <v>11</v>
      </c>
      <c r="L387" s="27">
        <v>18976819.1655767</v>
      </c>
      <c r="M387" s="22">
        <v>2.1533946699832864E-2</v>
      </c>
      <c r="N387" s="21">
        <v>8</v>
      </c>
      <c r="O387" s="27">
        <v>13976920.430755429</v>
      </c>
      <c r="P387" s="22">
        <v>1.5999210036550877E-2</v>
      </c>
      <c r="Q387" s="21">
        <v>17</v>
      </c>
      <c r="R387" s="27">
        <v>18928273.871739496</v>
      </c>
      <c r="S387" s="22">
        <v>2.1794227772968369E-2</v>
      </c>
      <c r="T387" s="23">
        <v>8</v>
      </c>
      <c r="U387" s="28">
        <v>16152524.567027848</v>
      </c>
      <c r="V387" s="24">
        <v>1.8298423241855925E-2</v>
      </c>
      <c r="W387" s="23">
        <v>7</v>
      </c>
      <c r="X387" s="28">
        <v>14001173.735809632</v>
      </c>
      <c r="Y387" s="24">
        <v>1.551587028792348E-2</v>
      </c>
      <c r="Z387" s="23">
        <v>8</v>
      </c>
      <c r="AA387" s="28">
        <v>17042006.799334116</v>
      </c>
      <c r="AB387" s="24">
        <v>1.916815870603893E-2</v>
      </c>
    </row>
    <row r="388" spans="1:28" x14ac:dyDescent="0.25">
      <c r="A388" s="82" t="s">
        <v>4954</v>
      </c>
      <c r="B388" s="82" t="s">
        <v>7393</v>
      </c>
      <c r="C388" s="82" t="s">
        <v>4956</v>
      </c>
      <c r="D388" s="84" t="s">
        <v>4955</v>
      </c>
      <c r="E388" s="84" t="s">
        <v>495</v>
      </c>
      <c r="F388" s="82"/>
      <c r="G388" s="82" t="s">
        <v>507</v>
      </c>
      <c r="H388" s="82" t="s">
        <v>17</v>
      </c>
      <c r="I388" s="47">
        <v>-1.19284052665215</v>
      </c>
      <c r="J388" s="47">
        <v>0.34472406957768797</v>
      </c>
      <c r="K388" s="88">
        <v>7</v>
      </c>
      <c r="L388" s="89">
        <v>3190890.0597316101</v>
      </c>
      <c r="M388" s="22">
        <v>4.3296273003850787E-3</v>
      </c>
      <c r="N388" s="88">
        <v>3</v>
      </c>
      <c r="O388" s="89">
        <v>2511953.9644724526</v>
      </c>
      <c r="P388" s="22">
        <v>3.4382478547345069E-3</v>
      </c>
      <c r="Q388" s="88">
        <v>8</v>
      </c>
      <c r="R388" s="89">
        <v>3348461.9685100527</v>
      </c>
      <c r="S388" s="22">
        <v>4.6101420000034142E-3</v>
      </c>
      <c r="T388" s="90">
        <v>4</v>
      </c>
      <c r="U388" s="91">
        <v>3086468.2478480292</v>
      </c>
      <c r="V388" s="24">
        <v>4.1809360950763215E-3</v>
      </c>
      <c r="W388" s="90">
        <v>1</v>
      </c>
      <c r="X388" s="91">
        <v>2311412.2420300459</v>
      </c>
      <c r="Y388" s="24">
        <v>3.0628629354476833E-3</v>
      </c>
      <c r="Z388" s="90">
        <v>4</v>
      </c>
      <c r="AA388" s="91">
        <v>2792967.9652624126</v>
      </c>
      <c r="AB388" s="24">
        <v>3.7563329028198092E-3</v>
      </c>
    </row>
    <row r="389" spans="1:28" x14ac:dyDescent="0.25">
      <c r="A389" t="s">
        <v>5079</v>
      </c>
      <c r="B389" t="s">
        <v>7434</v>
      </c>
      <c r="C389" t="s">
        <v>5081</v>
      </c>
      <c r="D389" s="3" t="s">
        <v>5080</v>
      </c>
      <c r="E389" s="3" t="s">
        <v>495</v>
      </c>
      <c r="G389" t="s">
        <v>507</v>
      </c>
      <c r="H389" t="s">
        <v>17</v>
      </c>
      <c r="I389" s="17">
        <v>-1.1967130793834599</v>
      </c>
      <c r="J389" s="17">
        <v>0.48651972008363598</v>
      </c>
      <c r="K389" s="21">
        <v>16</v>
      </c>
      <c r="L389" s="27">
        <v>20181423.159542602</v>
      </c>
      <c r="M389" s="22">
        <v>3.5068908962294316E-2</v>
      </c>
      <c r="N389" s="21">
        <v>8</v>
      </c>
      <c r="O389" s="27">
        <v>12980124.924121147</v>
      </c>
      <c r="P389" s="22">
        <v>2.275286922243569E-2</v>
      </c>
      <c r="Q389" s="21">
        <v>17</v>
      </c>
      <c r="R389" s="27">
        <v>21839481.910917528</v>
      </c>
      <c r="S389" s="22">
        <v>3.8507299003096872E-2</v>
      </c>
      <c r="T389" s="23">
        <v>14</v>
      </c>
      <c r="U389" s="28">
        <v>18304525.665074758</v>
      </c>
      <c r="V389" s="24">
        <v>3.1754259452046803E-2</v>
      </c>
      <c r="W389" s="23">
        <v>13</v>
      </c>
      <c r="X389" s="28">
        <v>15254450.899812132</v>
      </c>
      <c r="Y389" s="24">
        <v>2.5886809412211029E-2</v>
      </c>
      <c r="Z389" s="23">
        <v>13</v>
      </c>
      <c r="AA389" s="28">
        <v>16268906.349772496</v>
      </c>
      <c r="AB389" s="24">
        <v>2.8021299551148064E-2</v>
      </c>
    </row>
    <row r="390" spans="1:28" x14ac:dyDescent="0.25">
      <c r="A390" t="s">
        <v>5007</v>
      </c>
      <c r="B390" t="s">
        <v>7410</v>
      </c>
      <c r="C390" t="s">
        <v>5009</v>
      </c>
      <c r="D390" s="3" t="s">
        <v>5008</v>
      </c>
      <c r="E390" s="3" t="s">
        <v>495</v>
      </c>
      <c r="G390" t="s">
        <v>507</v>
      </c>
      <c r="H390" t="s">
        <v>17</v>
      </c>
      <c r="I390" s="17">
        <v>-1.21161015267984</v>
      </c>
      <c r="J390" s="17">
        <v>1.8881829383652501E-2</v>
      </c>
      <c r="K390" s="21">
        <v>9</v>
      </c>
      <c r="L390" s="27">
        <v>10858499.243942</v>
      </c>
      <c r="M390" s="22">
        <v>2.1983446552209823E-2</v>
      </c>
      <c r="N390" s="21">
        <v>8</v>
      </c>
      <c r="O390" s="27">
        <v>11270826.976527769</v>
      </c>
      <c r="P390" s="22">
        <v>2.3018053313066066E-2</v>
      </c>
      <c r="Q390" s="21">
        <v>9</v>
      </c>
      <c r="R390" s="27">
        <v>10882112.100149238</v>
      </c>
      <c r="S390" s="22">
        <v>2.2354730137338109E-2</v>
      </c>
      <c r="T390" s="23">
        <v>8</v>
      </c>
      <c r="U390" s="28">
        <v>9710951.8316308632</v>
      </c>
      <c r="V390" s="24">
        <v>1.9627311723866881E-2</v>
      </c>
      <c r="W390" s="23">
        <v>8</v>
      </c>
      <c r="X390" s="28">
        <v>9967882.131822044</v>
      </c>
      <c r="Y390" s="24">
        <v>1.9707900060649621E-2</v>
      </c>
      <c r="Z390" s="23">
        <v>9</v>
      </c>
      <c r="AA390" s="28">
        <v>9841470.3544591311</v>
      </c>
      <c r="AB390" s="24">
        <v>1.9749013771744674E-2</v>
      </c>
    </row>
    <row r="391" spans="1:28" x14ac:dyDescent="0.25">
      <c r="A391" t="s">
        <v>5016</v>
      </c>
      <c r="B391" t="s">
        <v>7413</v>
      </c>
      <c r="C391" t="s">
        <v>5018</v>
      </c>
      <c r="D391" s="3" t="s">
        <v>5017</v>
      </c>
      <c r="E391" s="3" t="s">
        <v>495</v>
      </c>
      <c r="G391" t="s">
        <v>507</v>
      </c>
      <c r="H391" t="s">
        <v>17</v>
      </c>
      <c r="I391" s="17">
        <v>-1.2128261716728299</v>
      </c>
      <c r="J391" s="17">
        <v>7.4091066741241093E-2</v>
      </c>
      <c r="K391" s="21">
        <v>15</v>
      </c>
      <c r="L391" s="27">
        <v>9985838.9136196598</v>
      </c>
      <c r="M391" s="22">
        <v>1.6328883071937195E-2</v>
      </c>
      <c r="N391" s="21">
        <v>5</v>
      </c>
      <c r="O391" s="27">
        <v>10033216.880772956</v>
      </c>
      <c r="P391" s="22">
        <v>1.6550036494240448E-2</v>
      </c>
      <c r="Q391" s="21">
        <v>12</v>
      </c>
      <c r="R391" s="27">
        <v>10504202.847377956</v>
      </c>
      <c r="S391" s="22">
        <v>1.7428711568117018E-2</v>
      </c>
      <c r="T391" s="23">
        <v>9</v>
      </c>
      <c r="U391" s="28">
        <v>9815268.971449893</v>
      </c>
      <c r="V391" s="24">
        <v>1.6023123206362719E-2</v>
      </c>
      <c r="W391" s="23">
        <v>5</v>
      </c>
      <c r="X391" s="28">
        <v>8815698.8052523118</v>
      </c>
      <c r="Y391" s="24">
        <v>1.4077973647847727E-2</v>
      </c>
      <c r="Z391" s="23">
        <v>6</v>
      </c>
      <c r="AA391" s="28">
        <v>8556169.726812128</v>
      </c>
      <c r="AB391" s="24">
        <v>1.3867901931342314E-2</v>
      </c>
    </row>
    <row r="392" spans="1:28" x14ac:dyDescent="0.25">
      <c r="A392" t="s">
        <v>5055</v>
      </c>
      <c r="B392" t="s">
        <v>7426</v>
      </c>
      <c r="C392" t="s">
        <v>5057</v>
      </c>
      <c r="D392" s="3" t="s">
        <v>5056</v>
      </c>
      <c r="E392" s="3" t="s">
        <v>495</v>
      </c>
      <c r="G392" t="s">
        <v>507</v>
      </c>
      <c r="H392" t="s">
        <v>17</v>
      </c>
      <c r="I392" s="17">
        <v>-1.22302451122308</v>
      </c>
      <c r="J392" s="17">
        <v>0.26859082156047798</v>
      </c>
      <c r="K392" s="21">
        <v>16</v>
      </c>
      <c r="L392" s="27">
        <v>15326961.393524401</v>
      </c>
      <c r="M392" s="22">
        <v>2.247001367534807E-2</v>
      </c>
      <c r="N392" s="21">
        <v>9</v>
      </c>
      <c r="O392" s="27">
        <v>12044882.176532978</v>
      </c>
      <c r="P392" s="22">
        <v>1.7812983340621997E-2</v>
      </c>
      <c r="Q392" s="21">
        <v>17</v>
      </c>
      <c r="R392" s="27">
        <v>15772928.482369052</v>
      </c>
      <c r="S392" s="22">
        <v>2.3463341793779634E-2</v>
      </c>
      <c r="T392" s="23">
        <v>12</v>
      </c>
      <c r="U392" s="28">
        <v>14452877.625210004</v>
      </c>
      <c r="V392" s="24">
        <v>2.1153130193760267E-2</v>
      </c>
      <c r="W392" s="23">
        <v>7</v>
      </c>
      <c r="X392" s="28">
        <v>11256300.899497526</v>
      </c>
      <c r="Y392" s="24">
        <v>1.6115895706829027E-2</v>
      </c>
      <c r="Z392" s="23">
        <v>9</v>
      </c>
      <c r="AA392" s="28">
        <v>12420203.386696778</v>
      </c>
      <c r="AB392" s="24">
        <v>1.8048263734790567E-2</v>
      </c>
    </row>
    <row r="393" spans="1:28" x14ac:dyDescent="0.25">
      <c r="A393" t="s">
        <v>4948</v>
      </c>
      <c r="B393" t="s">
        <v>7391</v>
      </c>
      <c r="C393" t="s">
        <v>4950</v>
      </c>
      <c r="D393" s="3" t="s">
        <v>4949</v>
      </c>
      <c r="E393" s="3" t="s">
        <v>495</v>
      </c>
      <c r="G393" t="s">
        <v>507</v>
      </c>
      <c r="H393" t="s">
        <v>17</v>
      </c>
      <c r="I393" s="17">
        <v>-1.2275578340300799</v>
      </c>
      <c r="J393" s="17">
        <v>0.31570384749258201</v>
      </c>
      <c r="K393" s="21">
        <v>4</v>
      </c>
      <c r="L393" s="27">
        <v>1868577.26226359</v>
      </c>
      <c r="M393" s="22">
        <v>3.2206673159656282E-3</v>
      </c>
      <c r="N393" s="21">
        <v>2</v>
      </c>
      <c r="O393" s="27">
        <v>1476119.7084477271</v>
      </c>
      <c r="P393" s="22">
        <v>2.566511516167911E-3</v>
      </c>
      <c r="Q393" s="21">
        <v>5</v>
      </c>
      <c r="R393" s="27">
        <v>2097790.3934533247</v>
      </c>
      <c r="S393" s="22">
        <v>3.6688263631353565E-3</v>
      </c>
      <c r="T393" s="23">
        <v>3</v>
      </c>
      <c r="U393" s="28">
        <v>1915150.7364277616</v>
      </c>
      <c r="V393" s="24">
        <v>3.2954202924259731E-3</v>
      </c>
      <c r="W393" s="23">
        <v>0</v>
      </c>
      <c r="X393" s="28">
        <v>1354469.4468218707</v>
      </c>
      <c r="Y393" s="24">
        <v>2.2798984329621369E-3</v>
      </c>
      <c r="Z393" s="23">
        <v>3</v>
      </c>
      <c r="AA393" s="28">
        <v>1504900.5722699189</v>
      </c>
      <c r="AB393" s="24">
        <v>2.5709999082416174E-3</v>
      </c>
    </row>
    <row r="394" spans="1:28" x14ac:dyDescent="0.25">
      <c r="A394" t="s">
        <v>5058</v>
      </c>
      <c r="B394" t="s">
        <v>7427</v>
      </c>
      <c r="C394" t="s">
        <v>5060</v>
      </c>
      <c r="D394" s="3" t="s">
        <v>5059</v>
      </c>
      <c r="E394" s="3" t="s">
        <v>495</v>
      </c>
      <c r="G394" t="s">
        <v>507</v>
      </c>
      <c r="H394" t="s">
        <v>693</v>
      </c>
      <c r="I394" s="17">
        <v>-1.24311122793921</v>
      </c>
      <c r="J394" s="17">
        <v>0.34624014098408101</v>
      </c>
      <c r="K394" s="21">
        <v>12</v>
      </c>
      <c r="L394" s="27">
        <v>11398641.588820999</v>
      </c>
      <c r="M394" s="22">
        <v>1.1781605170012201E-2</v>
      </c>
      <c r="N394" s="21">
        <v>6</v>
      </c>
      <c r="O394" s="27">
        <v>21292297.301850419</v>
      </c>
      <c r="P394" s="22">
        <v>2.2200395942520258E-2</v>
      </c>
      <c r="Q394" s="21">
        <v>14</v>
      </c>
      <c r="R394" s="27">
        <v>12533781.26564434</v>
      </c>
      <c r="S394" s="22">
        <v>1.3145095243621951E-2</v>
      </c>
      <c r="T394" s="23">
        <v>9</v>
      </c>
      <c r="U394" s="28">
        <v>11800150.570833372</v>
      </c>
      <c r="V394" s="24">
        <v>1.2176205211108633E-2</v>
      </c>
      <c r="W394" s="23">
        <v>7</v>
      </c>
      <c r="X394" s="28">
        <v>13099742.792468339</v>
      </c>
      <c r="Y394" s="24">
        <v>1.3222866574565289E-2</v>
      </c>
      <c r="Z394" s="23">
        <v>7</v>
      </c>
      <c r="AA394" s="28">
        <v>14152255.118886607</v>
      </c>
      <c r="AB394" s="24">
        <v>1.449894701298789E-2</v>
      </c>
    </row>
    <row r="395" spans="1:28" x14ac:dyDescent="0.25">
      <c r="A395" t="s">
        <v>4985</v>
      </c>
      <c r="B395" t="s">
        <v>7403</v>
      </c>
      <c r="C395" t="s">
        <v>4988</v>
      </c>
      <c r="D395" s="3" t="s">
        <v>4986</v>
      </c>
      <c r="E395" s="3" t="s">
        <v>495</v>
      </c>
      <c r="F395" t="s">
        <v>4987</v>
      </c>
      <c r="G395" t="s">
        <v>507</v>
      </c>
      <c r="H395" t="s">
        <v>243</v>
      </c>
      <c r="I395" s="17">
        <v>-1.24620256254076</v>
      </c>
      <c r="J395" s="17">
        <v>0.13429563373598399</v>
      </c>
      <c r="K395" s="21">
        <v>2</v>
      </c>
      <c r="L395" s="27">
        <v>597782.80983735202</v>
      </c>
      <c r="M395" s="22">
        <v>6.8075670145547229E-4</v>
      </c>
      <c r="N395" s="21">
        <v>1</v>
      </c>
      <c r="O395" s="27">
        <v>504363.65387450956</v>
      </c>
      <c r="P395" s="22">
        <v>5.7940083658071203E-4</v>
      </c>
      <c r="Q395" s="21">
        <v>2</v>
      </c>
      <c r="R395" s="27">
        <v>650236.37875572243</v>
      </c>
      <c r="S395" s="22">
        <v>7.5136338279911674E-4</v>
      </c>
      <c r="T395" s="23">
        <v>2</v>
      </c>
      <c r="U395" s="28">
        <v>503933.80391521531</v>
      </c>
      <c r="V395" s="24">
        <v>5.7292139240144738E-4</v>
      </c>
      <c r="W395" s="23">
        <v>1</v>
      </c>
      <c r="X395" s="28">
        <v>477017.60848538636</v>
      </c>
      <c r="Y395" s="24">
        <v>5.305110019728365E-4</v>
      </c>
      <c r="Z395" s="23">
        <v>1</v>
      </c>
      <c r="AA395" s="28">
        <v>541948.94790436816</v>
      </c>
      <c r="AB395" s="24">
        <v>6.1173922475712646E-4</v>
      </c>
    </row>
    <row r="396" spans="1:28" x14ac:dyDescent="0.25">
      <c r="A396" t="s">
        <v>4903</v>
      </c>
      <c r="B396" t="s">
        <v>7376</v>
      </c>
      <c r="C396" t="s">
        <v>4905</v>
      </c>
      <c r="D396" s="3" t="s">
        <v>4904</v>
      </c>
      <c r="E396" s="3" t="s">
        <v>495</v>
      </c>
      <c r="G396" t="s">
        <v>507</v>
      </c>
      <c r="H396" t="s">
        <v>17</v>
      </c>
      <c r="I396" s="17">
        <v>-1.2477328198604301</v>
      </c>
      <c r="J396" s="17">
        <v>1.42059776475131E-2</v>
      </c>
      <c r="K396" s="21">
        <v>8</v>
      </c>
      <c r="L396" s="27">
        <v>9450201.5983036496</v>
      </c>
      <c r="M396" s="22">
        <v>1.1817005220604743E-2</v>
      </c>
      <c r="N396" s="21">
        <v>4</v>
      </c>
      <c r="O396" s="27">
        <v>10268129.41277883</v>
      </c>
      <c r="P396" s="22">
        <v>1.2952229173708436E-2</v>
      </c>
      <c r="Q396" s="21">
        <v>7</v>
      </c>
      <c r="R396" s="27">
        <v>10087246.189579653</v>
      </c>
      <c r="S396" s="22">
        <v>1.2798799455459807E-2</v>
      </c>
      <c r="T396" s="23">
        <v>3</v>
      </c>
      <c r="U396" s="28">
        <v>8522462.6170556191</v>
      </c>
      <c r="V396" s="24">
        <v>1.0639090489071528E-2</v>
      </c>
      <c r="W396" s="23">
        <v>6</v>
      </c>
      <c r="X396" s="28">
        <v>8369113.182331576</v>
      </c>
      <c r="Y396" s="24">
        <v>1.0220150149605147E-2</v>
      </c>
      <c r="Z396" s="23">
        <v>5</v>
      </c>
      <c r="AA396" s="28">
        <v>8918755.8977885153</v>
      </c>
      <c r="AB396" s="24">
        <v>1.1054270290669703E-2</v>
      </c>
    </row>
    <row r="397" spans="1:28" x14ac:dyDescent="0.25">
      <c r="A397" t="s">
        <v>5004</v>
      </c>
      <c r="B397" t="s">
        <v>7409</v>
      </c>
      <c r="C397" t="s">
        <v>5006</v>
      </c>
      <c r="D397" s="3" t="s">
        <v>5005</v>
      </c>
      <c r="E397" s="3" t="s">
        <v>495</v>
      </c>
      <c r="G397" t="s">
        <v>507</v>
      </c>
      <c r="H397" t="s">
        <v>17</v>
      </c>
      <c r="I397" s="17">
        <v>-1.2485894229386201</v>
      </c>
      <c r="J397" s="17">
        <v>1.0220838978837601E-2</v>
      </c>
      <c r="K397" s="21">
        <v>13</v>
      </c>
      <c r="L397" s="27">
        <v>23460125.175223202</v>
      </c>
      <c r="M397" s="22">
        <v>5.0888485367685102E-2</v>
      </c>
      <c r="N397" s="21">
        <v>15</v>
      </c>
      <c r="O397" s="27">
        <v>24366669.051616441</v>
      </c>
      <c r="P397" s="22">
        <v>5.331779701765825E-2</v>
      </c>
      <c r="Q397" s="21">
        <v>18</v>
      </c>
      <c r="R397" s="27">
        <v>23943673.338756818</v>
      </c>
      <c r="S397" s="22">
        <v>5.2699954264899818E-2</v>
      </c>
      <c r="T397" s="23">
        <v>12</v>
      </c>
      <c r="U397" s="28">
        <v>20857628.542669237</v>
      </c>
      <c r="V397" s="24">
        <v>4.5167616381421291E-2</v>
      </c>
      <c r="W397" s="23">
        <v>12</v>
      </c>
      <c r="X397" s="28">
        <v>21350325.118008696</v>
      </c>
      <c r="Y397" s="24">
        <v>4.5227769850155808E-2</v>
      </c>
      <c r="Z397" s="23">
        <v>13</v>
      </c>
      <c r="AA397" s="28">
        <v>20061401.077441204</v>
      </c>
      <c r="AB397" s="24">
        <v>4.3133024104984E-2</v>
      </c>
    </row>
    <row r="398" spans="1:28" x14ac:dyDescent="0.25">
      <c r="A398" t="s">
        <v>4912</v>
      </c>
      <c r="B398" t="s">
        <v>7379</v>
      </c>
      <c r="C398" t="s">
        <v>4914</v>
      </c>
      <c r="D398" s="3" t="s">
        <v>4913</v>
      </c>
      <c r="E398" s="3" t="s">
        <v>495</v>
      </c>
      <c r="G398" t="s">
        <v>507</v>
      </c>
      <c r="H398" t="s">
        <v>17</v>
      </c>
      <c r="I398" s="17">
        <v>-1.25287217359627</v>
      </c>
      <c r="J398" s="17">
        <v>8.5483218381919496E-2</v>
      </c>
      <c r="K398" s="21">
        <v>4</v>
      </c>
      <c r="L398" s="27">
        <v>2625356.0248455601</v>
      </c>
      <c r="M398" s="22">
        <v>4.2172974171061839E-3</v>
      </c>
      <c r="N398" s="21">
        <v>2</v>
      </c>
      <c r="O398" s="27">
        <v>2724026.2577186283</v>
      </c>
      <c r="P398" s="22">
        <v>4.4141201008313551E-3</v>
      </c>
      <c r="Q398" s="21">
        <v>4</v>
      </c>
      <c r="R398" s="27">
        <v>2743339.2429351206</v>
      </c>
      <c r="S398" s="22">
        <v>4.4715263998287118E-3</v>
      </c>
      <c r="T398" s="23">
        <v>5</v>
      </c>
      <c r="U398" s="28">
        <v>2395166.2104027187</v>
      </c>
      <c r="V398" s="24">
        <v>3.8410921248372013E-3</v>
      </c>
      <c r="W398" s="23">
        <v>2</v>
      </c>
      <c r="X398" s="28">
        <v>2042523.8410323719</v>
      </c>
      <c r="Y398" s="24">
        <v>3.2042370581142317E-3</v>
      </c>
      <c r="Z398" s="23">
        <v>3</v>
      </c>
      <c r="AA398" s="28">
        <v>2526128.9715084978</v>
      </c>
      <c r="AB398" s="24">
        <v>4.0221752638453017E-3</v>
      </c>
    </row>
    <row r="399" spans="1:28" x14ac:dyDescent="0.25">
      <c r="A399" t="s">
        <v>5028</v>
      </c>
      <c r="B399" t="s">
        <v>7417</v>
      </c>
      <c r="C399" t="s">
        <v>5030</v>
      </c>
      <c r="D399" s="3" t="s">
        <v>5029</v>
      </c>
      <c r="E399" s="3" t="s">
        <v>495</v>
      </c>
      <c r="G399" t="s">
        <v>507</v>
      </c>
      <c r="H399" t="s">
        <v>17</v>
      </c>
      <c r="I399" s="17">
        <v>-1.2541001721420799</v>
      </c>
      <c r="J399" s="17">
        <v>0.113198362406724</v>
      </c>
      <c r="K399" s="21">
        <v>14</v>
      </c>
      <c r="L399" s="27">
        <v>29484328.238892999</v>
      </c>
      <c r="M399" s="22">
        <v>4.9612208209136442E-2</v>
      </c>
      <c r="N399" s="21">
        <v>11</v>
      </c>
      <c r="O399" s="27">
        <v>26533480.053972058</v>
      </c>
      <c r="P399" s="22">
        <v>4.5037924357264579E-2</v>
      </c>
      <c r="Q399" s="21">
        <v>17</v>
      </c>
      <c r="R399" s="27">
        <v>31959377.557159733</v>
      </c>
      <c r="S399" s="22">
        <v>5.4566474130780279E-2</v>
      </c>
      <c r="T399" s="23">
        <v>12</v>
      </c>
      <c r="U399" s="28">
        <v>26788143.261786297</v>
      </c>
      <c r="V399" s="24">
        <v>4.5000047976971644E-2</v>
      </c>
      <c r="W399" s="23">
        <v>10</v>
      </c>
      <c r="X399" s="28">
        <v>22888490.344836932</v>
      </c>
      <c r="Y399" s="24">
        <v>3.7611958659077301E-2</v>
      </c>
      <c r="Z399" s="23">
        <v>12</v>
      </c>
      <c r="AA399" s="28">
        <v>26080697.686321929</v>
      </c>
      <c r="AB399" s="24">
        <v>4.349866946194348E-2</v>
      </c>
    </row>
    <row r="400" spans="1:28" x14ac:dyDescent="0.25">
      <c r="A400" t="s">
        <v>5049</v>
      </c>
      <c r="B400" t="s">
        <v>7424</v>
      </c>
      <c r="C400" t="s">
        <v>5051</v>
      </c>
      <c r="D400" s="3" t="s">
        <v>5050</v>
      </c>
      <c r="E400" s="3" t="s">
        <v>495</v>
      </c>
      <c r="G400" t="s">
        <v>507</v>
      </c>
      <c r="H400" t="s">
        <v>17</v>
      </c>
      <c r="I400" s="17">
        <v>-1.25672034146764</v>
      </c>
      <c r="J400" s="17">
        <v>0.210838304992359</v>
      </c>
      <c r="K400" s="21">
        <v>29</v>
      </c>
      <c r="L400" s="27">
        <v>55022780.482681803</v>
      </c>
      <c r="M400" s="22">
        <v>8.1794060984898692E-2</v>
      </c>
      <c r="N400" s="21">
        <v>19</v>
      </c>
      <c r="O400" s="27">
        <v>45393401.774222657</v>
      </c>
      <c r="P400" s="22">
        <v>6.8070478010332197E-2</v>
      </c>
      <c r="Q400" s="21">
        <v>28</v>
      </c>
      <c r="R400" s="27">
        <v>64966630.313091576</v>
      </c>
      <c r="S400" s="22">
        <v>9.7994079801028519E-2</v>
      </c>
      <c r="T400" s="23">
        <v>22</v>
      </c>
      <c r="U400" s="28">
        <v>54142305.433763251</v>
      </c>
      <c r="V400" s="24">
        <v>8.0350581894868434E-2</v>
      </c>
      <c r="W400" s="23">
        <v>22</v>
      </c>
      <c r="X400" s="28">
        <v>45320369.929448783</v>
      </c>
      <c r="Y400" s="24">
        <v>6.5793678019176516E-2</v>
      </c>
      <c r="Z400" s="23">
        <v>20</v>
      </c>
      <c r="AA400" s="28">
        <v>42599186.66069746</v>
      </c>
      <c r="AB400" s="24">
        <v>6.2768246011918244E-2</v>
      </c>
    </row>
    <row r="401" spans="1:28" x14ac:dyDescent="0.25">
      <c r="A401" t="s">
        <v>5022</v>
      </c>
      <c r="B401" t="s">
        <v>7415</v>
      </c>
      <c r="C401" t="s">
        <v>5024</v>
      </c>
      <c r="D401" s="3" t="s">
        <v>5023</v>
      </c>
      <c r="E401" s="3" t="s">
        <v>495</v>
      </c>
      <c r="G401" t="s">
        <v>507</v>
      </c>
      <c r="H401" t="s">
        <v>17</v>
      </c>
      <c r="I401" s="17">
        <v>-1.25730233950887</v>
      </c>
      <c r="J401" s="17">
        <v>0.109103474177103</v>
      </c>
      <c r="K401" s="21">
        <v>19</v>
      </c>
      <c r="L401" s="27">
        <v>48896933.684847198</v>
      </c>
      <c r="M401" s="22">
        <v>9.8059807352592371E-2</v>
      </c>
      <c r="N401" s="21">
        <v>13</v>
      </c>
      <c r="O401" s="27">
        <v>40656502.178644307</v>
      </c>
      <c r="P401" s="22">
        <v>8.2248172059579822E-2</v>
      </c>
      <c r="Q401" s="21">
        <v>17</v>
      </c>
      <c r="R401" s="27">
        <v>52778384.438946813</v>
      </c>
      <c r="S401" s="22">
        <v>0.1073978932319563</v>
      </c>
      <c r="T401" s="23">
        <v>12</v>
      </c>
      <c r="U401" s="28">
        <v>41774030.695517942</v>
      </c>
      <c r="V401" s="24">
        <v>8.3635149094426889E-2</v>
      </c>
      <c r="W401" s="23">
        <v>12</v>
      </c>
      <c r="X401" s="28">
        <v>40729080.010060765</v>
      </c>
      <c r="Y401" s="24">
        <v>7.9767410097420194E-2</v>
      </c>
      <c r="Z401" s="23">
        <v>12</v>
      </c>
      <c r="AA401" s="28">
        <v>40263579.767394401</v>
      </c>
      <c r="AB401" s="24">
        <v>8.0035238333387743E-2</v>
      </c>
    </row>
    <row r="402" spans="1:28" x14ac:dyDescent="0.25">
      <c r="A402" t="s">
        <v>4978</v>
      </c>
      <c r="B402" t="s">
        <v>7401</v>
      </c>
      <c r="C402" t="s">
        <v>4980</v>
      </c>
      <c r="D402" s="3" t="s">
        <v>4979</v>
      </c>
      <c r="E402" s="3" t="s">
        <v>495</v>
      </c>
      <c r="G402" t="s">
        <v>507</v>
      </c>
      <c r="H402" t="s">
        <v>693</v>
      </c>
      <c r="I402" s="17">
        <v>-1.25742082045023</v>
      </c>
      <c r="J402" s="17">
        <v>0.95841984850220996</v>
      </c>
      <c r="K402" s="21">
        <v>3</v>
      </c>
      <c r="L402" s="27">
        <v>3143658.9518995499</v>
      </c>
      <c r="M402" s="22">
        <v>9.9247730633062626E-3</v>
      </c>
      <c r="N402" s="21">
        <v>1</v>
      </c>
      <c r="O402" s="27">
        <v>682259.69410767721</v>
      </c>
      <c r="P402" s="22">
        <v>2.1728097848573878E-3</v>
      </c>
      <c r="Q402" s="21">
        <v>4</v>
      </c>
      <c r="R402" s="27">
        <v>2998238.7984712319</v>
      </c>
      <c r="S402" s="22">
        <v>9.6046521399630151E-3</v>
      </c>
      <c r="T402" s="23">
        <v>2</v>
      </c>
      <c r="U402" s="28">
        <v>2310252.9447622346</v>
      </c>
      <c r="V402" s="24">
        <v>7.2814477414761053E-3</v>
      </c>
      <c r="W402" s="23">
        <v>1</v>
      </c>
      <c r="X402" s="28">
        <v>1581228.0230693344</v>
      </c>
      <c r="Y402" s="24">
        <v>4.8751854888144808E-3</v>
      </c>
      <c r="Z402" s="23">
        <v>3</v>
      </c>
      <c r="AA402" s="28">
        <v>2041216.3360217458</v>
      </c>
      <c r="AB402" s="24">
        <v>6.3875401617971101E-3</v>
      </c>
    </row>
    <row r="403" spans="1:28" x14ac:dyDescent="0.25">
      <c r="A403" t="s">
        <v>5034</v>
      </c>
      <c r="B403" t="s">
        <v>7419</v>
      </c>
      <c r="C403" t="s">
        <v>5036</v>
      </c>
      <c r="D403" s="3" t="s">
        <v>5035</v>
      </c>
      <c r="E403" s="3" t="s">
        <v>495</v>
      </c>
      <c r="G403" t="s">
        <v>507</v>
      </c>
      <c r="H403" t="s">
        <v>1891</v>
      </c>
      <c r="I403" s="17">
        <v>-1.26462148696629</v>
      </c>
      <c r="J403" s="17">
        <v>0.128741332281916</v>
      </c>
      <c r="K403" s="21">
        <v>22</v>
      </c>
      <c r="L403" s="27">
        <v>73341442.883160293</v>
      </c>
      <c r="M403" s="22">
        <v>0.15487418609487355</v>
      </c>
      <c r="N403" s="21">
        <v>16</v>
      </c>
      <c r="O403" s="27">
        <v>58070984.603521436</v>
      </c>
      <c r="P403" s="22">
        <v>0.12370168326027971</v>
      </c>
      <c r="Q403" s="21">
        <v>25</v>
      </c>
      <c r="R403" s="27">
        <v>76145964.871351272</v>
      </c>
      <c r="S403" s="22">
        <v>0.16315738688408199</v>
      </c>
      <c r="T403" s="23">
        <v>18</v>
      </c>
      <c r="U403" s="28">
        <v>60020419.189083822</v>
      </c>
      <c r="V403" s="24">
        <v>0.12653237366918973</v>
      </c>
      <c r="W403" s="23">
        <v>18</v>
      </c>
      <c r="X403" s="28">
        <v>59155617.618938394</v>
      </c>
      <c r="Y403" s="24">
        <v>0.12199360387889731</v>
      </c>
      <c r="Z403" s="23">
        <v>17</v>
      </c>
      <c r="AA403" s="28">
        <v>59085680.628122434</v>
      </c>
      <c r="AB403" s="24">
        <v>0.12367196964848097</v>
      </c>
    </row>
    <row r="404" spans="1:28" x14ac:dyDescent="0.25">
      <c r="A404" t="s">
        <v>4900</v>
      </c>
      <c r="B404" t="s">
        <v>7375</v>
      </c>
      <c r="C404" t="s">
        <v>4902</v>
      </c>
      <c r="D404" s="3" t="s">
        <v>4901</v>
      </c>
      <c r="E404" s="3" t="s">
        <v>495</v>
      </c>
      <c r="G404" t="s">
        <v>507</v>
      </c>
      <c r="H404" t="s">
        <v>17</v>
      </c>
      <c r="I404" s="17">
        <v>-1.2672883102044801</v>
      </c>
      <c r="J404" s="17">
        <v>3.5236593747229102E-2</v>
      </c>
      <c r="K404" s="21">
        <v>3</v>
      </c>
      <c r="L404" s="27">
        <v>930755.97332665802</v>
      </c>
      <c r="M404" s="22">
        <v>1.5828548619664263E-3</v>
      </c>
      <c r="N404" s="21">
        <v>0</v>
      </c>
      <c r="O404" s="27">
        <v>946316.24868028995</v>
      </c>
      <c r="P404" s="22">
        <v>1.6234106550606882E-3</v>
      </c>
      <c r="Q404" s="21">
        <v>5</v>
      </c>
      <c r="R404" s="27">
        <v>1025603.6844761017</v>
      </c>
      <c r="S404" s="22">
        <v>1.769762932231431E-3</v>
      </c>
      <c r="T404" s="23">
        <v>1</v>
      </c>
      <c r="U404" s="28">
        <v>771327.30694603547</v>
      </c>
      <c r="V404" s="24">
        <v>1.309534706372364E-3</v>
      </c>
      <c r="W404" s="23">
        <v>0</v>
      </c>
      <c r="X404" s="28">
        <v>998736.85612881789</v>
      </c>
      <c r="Y404" s="24">
        <v>1.6586999068834349E-3</v>
      </c>
      <c r="Z404" s="23">
        <v>0</v>
      </c>
      <c r="AA404" s="28">
        <v>724011.34747349983</v>
      </c>
      <c r="AB404" s="24">
        <v>1.2204221552287637E-3</v>
      </c>
    </row>
    <row r="405" spans="1:28" x14ac:dyDescent="0.25">
      <c r="A405" t="s">
        <v>4989</v>
      </c>
      <c r="B405" t="s">
        <v>7404</v>
      </c>
      <c r="C405" t="s">
        <v>4991</v>
      </c>
      <c r="D405" s="3" t="s">
        <v>4990</v>
      </c>
      <c r="E405" s="3" t="s">
        <v>495</v>
      </c>
      <c r="G405" t="s">
        <v>507</v>
      </c>
      <c r="H405" t="s">
        <v>547</v>
      </c>
      <c r="I405" s="17">
        <v>-1.2692980661923301</v>
      </c>
      <c r="J405" s="17">
        <v>0.72733026231556397</v>
      </c>
      <c r="K405" s="21">
        <v>2</v>
      </c>
      <c r="L405" s="27">
        <v>589509.44557962602</v>
      </c>
      <c r="M405" s="22">
        <v>1.3053735558384825E-3</v>
      </c>
      <c r="N405" s="21">
        <v>1</v>
      </c>
      <c r="O405" s="27">
        <v>207516.14523504768</v>
      </c>
      <c r="P405" s="22">
        <v>4.6353525025866188E-4</v>
      </c>
      <c r="Q405" s="21">
        <v>1</v>
      </c>
      <c r="R405" s="27">
        <v>487280.0145413148</v>
      </c>
      <c r="S405" s="22">
        <v>1.0948456610918281E-3</v>
      </c>
      <c r="T405" s="23">
        <v>1</v>
      </c>
      <c r="U405" s="28">
        <v>380785.20887110312</v>
      </c>
      <c r="V405" s="24">
        <v>8.4177719630893009E-4</v>
      </c>
      <c r="W405" s="23">
        <v>0</v>
      </c>
      <c r="X405" s="28">
        <v>333849.15325308911</v>
      </c>
      <c r="Y405" s="24">
        <v>7.2194780860341287E-4</v>
      </c>
      <c r="Z405" s="23">
        <v>0</v>
      </c>
      <c r="AA405" s="28">
        <v>396879.41684763093</v>
      </c>
      <c r="AB405" s="24">
        <v>8.7108807022769866E-4</v>
      </c>
    </row>
    <row r="406" spans="1:28" x14ac:dyDescent="0.25">
      <c r="A406" t="s">
        <v>5010</v>
      </c>
      <c r="B406" t="s">
        <v>7411</v>
      </c>
      <c r="C406" t="s">
        <v>5012</v>
      </c>
      <c r="D406" s="3" t="s">
        <v>5011</v>
      </c>
      <c r="E406" s="3" t="s">
        <v>495</v>
      </c>
      <c r="G406" t="s">
        <v>507</v>
      </c>
      <c r="H406" t="s">
        <v>675</v>
      </c>
      <c r="I406" s="17">
        <v>-1.2720504169210201</v>
      </c>
      <c r="J406" s="17">
        <v>6.29545922664171E-2</v>
      </c>
      <c r="K406" s="21">
        <v>11</v>
      </c>
      <c r="L406" s="27">
        <v>14036756.0008076</v>
      </c>
      <c r="M406" s="22">
        <v>2.5074660685647343E-2</v>
      </c>
      <c r="N406" s="21">
        <v>6</v>
      </c>
      <c r="O406" s="27">
        <v>13589762.604966532</v>
      </c>
      <c r="P406" s="22">
        <v>2.4488772505947654E-2</v>
      </c>
      <c r="Q406" s="21">
        <v>12</v>
      </c>
      <c r="R406" s="27">
        <v>14670907.606309814</v>
      </c>
      <c r="S406" s="22">
        <v>2.6592278826123701E-2</v>
      </c>
      <c r="T406" s="23">
        <v>11</v>
      </c>
      <c r="U406" s="28">
        <v>13223846.151016323</v>
      </c>
      <c r="V406" s="24">
        <v>2.3583005143651949E-2</v>
      </c>
      <c r="W406" s="23">
        <v>8</v>
      </c>
      <c r="X406" s="28">
        <v>11476157.638313806</v>
      </c>
      <c r="Y406" s="24">
        <v>2.0020563648542038E-2</v>
      </c>
      <c r="Z406" s="23">
        <v>8</v>
      </c>
      <c r="AA406" s="28">
        <v>11216444.41233461</v>
      </c>
      <c r="AB406" s="24">
        <v>1.9860170386218328E-2</v>
      </c>
    </row>
    <row r="407" spans="1:28" x14ac:dyDescent="0.25">
      <c r="A407" t="s">
        <v>4995</v>
      </c>
      <c r="B407" t="s">
        <v>7406</v>
      </c>
      <c r="C407" t="s">
        <v>4997</v>
      </c>
      <c r="D407" s="3" t="s">
        <v>4996</v>
      </c>
      <c r="E407" s="3" t="s">
        <v>495</v>
      </c>
      <c r="G407" s="13" t="s">
        <v>507</v>
      </c>
      <c r="H407" t="s">
        <v>57</v>
      </c>
      <c r="I407" s="17">
        <v>-1.2750284236215199</v>
      </c>
      <c r="J407" s="17">
        <v>0.111665351458415</v>
      </c>
      <c r="K407" s="21">
        <v>7</v>
      </c>
      <c r="L407" s="27">
        <v>7850440.4676188398</v>
      </c>
      <c r="M407" s="22">
        <v>1.9108617335700229E-2</v>
      </c>
      <c r="N407" s="21">
        <v>4</v>
      </c>
      <c r="O407" s="27">
        <v>6447762.3626704551</v>
      </c>
      <c r="P407" s="22">
        <v>1.5831829135989933E-2</v>
      </c>
      <c r="Q407" s="21">
        <v>5</v>
      </c>
      <c r="R407" s="27">
        <v>8965692.2600291837</v>
      </c>
      <c r="S407" s="22">
        <v>2.2143656023551273E-2</v>
      </c>
      <c r="T407" s="23">
        <v>5</v>
      </c>
      <c r="U407" s="28">
        <v>6560799.7894406347</v>
      </c>
      <c r="V407" s="24">
        <v>1.5942817237671943E-2</v>
      </c>
      <c r="W407" s="23">
        <v>1</v>
      </c>
      <c r="X407" s="28">
        <v>6728151.7739829477</v>
      </c>
      <c r="Y407" s="24">
        <v>1.5993462618240074E-2</v>
      </c>
      <c r="Z407" s="23">
        <v>3</v>
      </c>
      <c r="AA407" s="28">
        <v>6503681.1200635759</v>
      </c>
      <c r="AB407" s="24">
        <v>1.5691119355234536E-2</v>
      </c>
    </row>
    <row r="408" spans="1:28" x14ac:dyDescent="0.25">
      <c r="A408" t="s">
        <v>4945</v>
      </c>
      <c r="B408" t="s">
        <v>7390</v>
      </c>
      <c r="C408" t="s">
        <v>4947</v>
      </c>
      <c r="D408" s="3" t="s">
        <v>4946</v>
      </c>
      <c r="E408" s="3" t="s">
        <v>495</v>
      </c>
      <c r="G408" t="s">
        <v>507</v>
      </c>
      <c r="H408" t="s">
        <v>17</v>
      </c>
      <c r="I408" s="17">
        <v>-1.2752570369213201</v>
      </c>
      <c r="J408" s="17">
        <v>0.28744694658758302</v>
      </c>
      <c r="K408" s="21">
        <v>5</v>
      </c>
      <c r="L408" s="27">
        <v>2569509.2685245802</v>
      </c>
      <c r="M408" s="22">
        <v>6.1372732161092134E-3</v>
      </c>
      <c r="N408" s="21">
        <v>2</v>
      </c>
      <c r="O408" s="27">
        <v>1794824.264541545</v>
      </c>
      <c r="P408" s="22">
        <v>4.324481399513188E-3</v>
      </c>
      <c r="Q408" s="21">
        <v>4</v>
      </c>
      <c r="R408" s="27">
        <v>3102028.4699100619</v>
      </c>
      <c r="S408" s="22">
        <v>7.5179824560038357E-3</v>
      </c>
      <c r="T408" s="23">
        <v>4</v>
      </c>
      <c r="U408" s="28">
        <v>2093983.8348824526</v>
      </c>
      <c r="V408" s="24">
        <v>4.9931157878060689E-3</v>
      </c>
      <c r="W408" s="23">
        <v>2</v>
      </c>
      <c r="X408" s="28">
        <v>2255896.8928097347</v>
      </c>
      <c r="Y408" s="24">
        <v>5.2620624245447922E-3</v>
      </c>
      <c r="Z408" s="23">
        <v>0</v>
      </c>
      <c r="AA408" s="28">
        <v>2015293.8129228617</v>
      </c>
      <c r="AB408" s="24">
        <v>4.7711501927304696E-3</v>
      </c>
    </row>
    <row r="409" spans="1:28" x14ac:dyDescent="0.25">
      <c r="A409" t="s">
        <v>4909</v>
      </c>
      <c r="B409" t="s">
        <v>7378</v>
      </c>
      <c r="C409" t="s">
        <v>4911</v>
      </c>
      <c r="D409" s="3" t="s">
        <v>4910</v>
      </c>
      <c r="E409" s="3" t="s">
        <v>495</v>
      </c>
      <c r="G409" t="s">
        <v>507</v>
      </c>
      <c r="H409" t="s">
        <v>17</v>
      </c>
      <c r="I409" s="17">
        <v>-1.2820804961536501</v>
      </c>
      <c r="J409" s="17">
        <v>8.0156523984794198E-2</v>
      </c>
      <c r="K409" s="21">
        <v>18</v>
      </c>
      <c r="L409" s="27">
        <v>23866528.726906002</v>
      </c>
      <c r="M409" s="22">
        <v>3.4050090035288007E-2</v>
      </c>
      <c r="N409" s="21">
        <v>11</v>
      </c>
      <c r="O409" s="27">
        <v>23403811.206008252</v>
      </c>
      <c r="P409" s="22">
        <v>3.3682353194272957E-2</v>
      </c>
      <c r="Q409" s="21">
        <v>23</v>
      </c>
      <c r="R409" s="27">
        <v>26257570.845531709</v>
      </c>
      <c r="S409" s="22">
        <v>3.8011395384520273E-2</v>
      </c>
      <c r="T409" s="23">
        <v>16</v>
      </c>
      <c r="U409" s="28">
        <v>23160890.751494627</v>
      </c>
      <c r="V409" s="24">
        <v>3.2988100486322017E-2</v>
      </c>
      <c r="W409" s="23">
        <v>14</v>
      </c>
      <c r="X409" s="28">
        <v>18741818.811369203</v>
      </c>
      <c r="Y409" s="24">
        <v>2.6112726678687786E-2</v>
      </c>
      <c r="Z409" s="23">
        <v>13</v>
      </c>
      <c r="AA409" s="28">
        <v>19881194.882218208</v>
      </c>
      <c r="AB409" s="24">
        <v>2.8114537089058311E-2</v>
      </c>
    </row>
    <row r="410" spans="1:28" x14ac:dyDescent="0.25">
      <c r="A410" t="s">
        <v>4906</v>
      </c>
      <c r="B410" t="s">
        <v>7377</v>
      </c>
      <c r="C410" t="s">
        <v>4908</v>
      </c>
      <c r="D410" s="3" t="s">
        <v>4907</v>
      </c>
      <c r="E410" s="3" t="s">
        <v>495</v>
      </c>
      <c r="G410" t="s">
        <v>507</v>
      </c>
      <c r="H410" t="s">
        <v>17</v>
      </c>
      <c r="I410" s="17">
        <v>-1.2860497585663899</v>
      </c>
      <c r="J410" s="17">
        <v>7.7616851496962999E-2</v>
      </c>
      <c r="K410" s="21">
        <v>9</v>
      </c>
      <c r="L410" s="27">
        <v>11157762.5384495</v>
      </c>
      <c r="M410" s="22">
        <v>2.3718782351092826E-2</v>
      </c>
      <c r="N410" s="21">
        <v>6</v>
      </c>
      <c r="O410" s="27">
        <v>9397978.8338806573</v>
      </c>
      <c r="P410" s="22">
        <v>2.0152854550782338E-2</v>
      </c>
      <c r="Q410" s="21">
        <v>12</v>
      </c>
      <c r="R410" s="27">
        <v>12077658.14915364</v>
      </c>
      <c r="S410" s="22">
        <v>2.6051232098797426E-2</v>
      </c>
      <c r="T410" s="23">
        <v>8</v>
      </c>
      <c r="U410" s="28">
        <v>9412149.9080189709</v>
      </c>
      <c r="V410" s="24">
        <v>1.9974556934415376E-2</v>
      </c>
      <c r="W410" s="23">
        <v>7</v>
      </c>
      <c r="X410" s="28">
        <v>9290278.6950450074</v>
      </c>
      <c r="Y410" s="24">
        <v>1.9286592248785435E-2</v>
      </c>
      <c r="Z410" s="23">
        <v>8</v>
      </c>
      <c r="AA410" s="28">
        <v>8820395.4173394423</v>
      </c>
      <c r="AB410" s="24">
        <v>1.858500910027746E-2</v>
      </c>
    </row>
    <row r="411" spans="1:28" x14ac:dyDescent="0.25">
      <c r="A411" t="s">
        <v>5031</v>
      </c>
      <c r="B411" t="s">
        <v>7418</v>
      </c>
      <c r="C411" t="s">
        <v>5033</v>
      </c>
      <c r="D411" s="3" t="s">
        <v>5032</v>
      </c>
      <c r="E411" s="3" t="s">
        <v>495</v>
      </c>
      <c r="G411" t="s">
        <v>507</v>
      </c>
      <c r="H411" t="s">
        <v>17</v>
      </c>
      <c r="I411" s="17">
        <v>-1.2908072990036801</v>
      </c>
      <c r="J411" s="17">
        <v>0.125485958379565</v>
      </c>
      <c r="K411" s="21">
        <v>16</v>
      </c>
      <c r="L411" s="27">
        <v>17016257.624924999</v>
      </c>
      <c r="M411" s="22">
        <v>3.7036757840945796E-2</v>
      </c>
      <c r="N411" s="21">
        <v>7</v>
      </c>
      <c r="O411" s="27">
        <v>13200814.598691998</v>
      </c>
      <c r="P411" s="22">
        <v>2.8983876722122253E-2</v>
      </c>
      <c r="Q411" s="21">
        <v>12</v>
      </c>
      <c r="R411" s="27">
        <v>16243834.634475783</v>
      </c>
      <c r="S411" s="22">
        <v>3.5874654664762778E-2</v>
      </c>
      <c r="T411" s="23">
        <v>9</v>
      </c>
      <c r="U411" s="28">
        <v>13682159.514831942</v>
      </c>
      <c r="V411" s="24">
        <v>2.9730115946338571E-2</v>
      </c>
      <c r="W411" s="23">
        <v>5</v>
      </c>
      <c r="X411" s="28">
        <v>12625573.805119921</v>
      </c>
      <c r="Y411" s="24">
        <v>2.6836848580972014E-2</v>
      </c>
      <c r="Z411" s="23">
        <v>5</v>
      </c>
      <c r="AA411" s="28">
        <v>12799373.636140453</v>
      </c>
      <c r="AB411" s="24">
        <v>2.7613221370498282E-2</v>
      </c>
    </row>
    <row r="412" spans="1:28" x14ac:dyDescent="0.25">
      <c r="A412" s="82" t="s">
        <v>5040</v>
      </c>
      <c r="B412" s="82" t="s">
        <v>7421</v>
      </c>
      <c r="C412" s="82" t="s">
        <v>5042</v>
      </c>
      <c r="D412" s="84" t="s">
        <v>5041</v>
      </c>
      <c r="E412" s="84" t="s">
        <v>495</v>
      </c>
      <c r="F412" s="82"/>
      <c r="G412" s="82" t="s">
        <v>507</v>
      </c>
      <c r="H412" s="82" t="s">
        <v>17</v>
      </c>
      <c r="I412" s="47">
        <v>-1.2915173041008099</v>
      </c>
      <c r="J412" s="47">
        <v>0.14746864243601199</v>
      </c>
      <c r="K412" s="88">
        <v>14</v>
      </c>
      <c r="L412" s="89">
        <v>18830887.428295702</v>
      </c>
      <c r="M412" s="22">
        <v>3.2544750857664916E-2</v>
      </c>
      <c r="N412" s="88">
        <v>11</v>
      </c>
      <c r="O412" s="89">
        <v>15336173.177672962</v>
      </c>
      <c r="P412" s="22">
        <v>2.6737081535871732E-2</v>
      </c>
      <c r="Q412" s="88">
        <v>14</v>
      </c>
      <c r="R412" s="89">
        <v>20349390.274851568</v>
      </c>
      <c r="S412" s="22">
        <v>3.5685503174898991E-2</v>
      </c>
      <c r="T412" s="90">
        <v>13</v>
      </c>
      <c r="U412" s="91">
        <v>16384332.000954775</v>
      </c>
      <c r="V412" s="24">
        <v>2.8269097738501423E-2</v>
      </c>
      <c r="W412" s="90">
        <v>10</v>
      </c>
      <c r="X412" s="91">
        <v>13565316.599988468</v>
      </c>
      <c r="Y412" s="24">
        <v>2.2895576282107099E-2</v>
      </c>
      <c r="Z412" s="90">
        <v>11</v>
      </c>
      <c r="AA412" s="91">
        <v>15667617.493500017</v>
      </c>
      <c r="AB412" s="24">
        <v>2.6839385727505233E-2</v>
      </c>
    </row>
    <row r="413" spans="1:28" x14ac:dyDescent="0.25">
      <c r="A413" t="s">
        <v>4921</v>
      </c>
      <c r="B413" t="s">
        <v>7382</v>
      </c>
      <c r="C413" t="s">
        <v>4923</v>
      </c>
      <c r="D413" s="3" t="s">
        <v>4922</v>
      </c>
      <c r="E413" s="3" t="s">
        <v>495</v>
      </c>
      <c r="G413" t="s">
        <v>507</v>
      </c>
      <c r="H413" t="s">
        <v>17</v>
      </c>
      <c r="I413" s="17">
        <v>-1.29675821733678</v>
      </c>
      <c r="J413" s="17">
        <v>0.120129253102013</v>
      </c>
      <c r="K413" s="21">
        <v>6</v>
      </c>
      <c r="L413" s="27">
        <v>3434317.9711724701</v>
      </c>
      <c r="M413" s="22">
        <v>7.9067364611297309E-3</v>
      </c>
      <c r="N413" s="21">
        <v>3</v>
      </c>
      <c r="O413" s="27">
        <v>2795885.7276909519</v>
      </c>
      <c r="P413" s="22">
        <v>6.493263254156321E-3</v>
      </c>
      <c r="Q413" s="21">
        <v>7</v>
      </c>
      <c r="R413" s="27">
        <v>3828991.7235631719</v>
      </c>
      <c r="S413" s="22">
        <v>8.9448167647914502E-3</v>
      </c>
      <c r="T413" s="23">
        <v>4</v>
      </c>
      <c r="U413" s="28">
        <v>3006007.8548636152</v>
      </c>
      <c r="V413" s="24">
        <v>6.9090751405166814E-3</v>
      </c>
      <c r="W413" s="23">
        <v>3</v>
      </c>
      <c r="X413" s="28">
        <v>2876266.0108463238</v>
      </c>
      <c r="Y413" s="24">
        <v>6.4669170641136241E-3</v>
      </c>
      <c r="Z413" s="23">
        <v>3</v>
      </c>
      <c r="AA413" s="28">
        <v>2527356.1911595957</v>
      </c>
      <c r="AB413" s="24">
        <v>5.7674343808121762E-3</v>
      </c>
    </row>
    <row r="414" spans="1:28" x14ac:dyDescent="0.25">
      <c r="A414" t="s">
        <v>4894</v>
      </c>
      <c r="B414" t="s">
        <v>7373</v>
      </c>
      <c r="C414" t="s">
        <v>4896</v>
      </c>
      <c r="D414" s="3" t="s">
        <v>4895</v>
      </c>
      <c r="E414" s="3" t="s">
        <v>495</v>
      </c>
      <c r="G414" t="s">
        <v>507</v>
      </c>
      <c r="H414" t="s">
        <v>17</v>
      </c>
      <c r="I414" s="17">
        <v>-1.3236009664925601</v>
      </c>
      <c r="J414" s="17">
        <v>1.1216993768784701E-2</v>
      </c>
      <c r="K414" s="21">
        <v>13</v>
      </c>
      <c r="L414" s="27">
        <v>6981425.7701450801</v>
      </c>
      <c r="M414" s="22">
        <v>1.0141825521186613E-2</v>
      </c>
      <c r="N414" s="21">
        <v>4</v>
      </c>
      <c r="O414" s="27">
        <v>7509856.0548557574</v>
      </c>
      <c r="P414" s="22">
        <v>1.1005010344611708E-2</v>
      </c>
      <c r="Q414" s="21">
        <v>14</v>
      </c>
      <c r="R414" s="27">
        <v>7689269.08288291</v>
      </c>
      <c r="S414" s="22">
        <v>1.1334107534621057E-2</v>
      </c>
      <c r="T414" s="23">
        <v>9</v>
      </c>
      <c r="U414" s="28">
        <v>6231798.8039481109</v>
      </c>
      <c r="V414" s="24">
        <v>9.0377115715259537E-3</v>
      </c>
      <c r="W414" s="23">
        <v>5</v>
      </c>
      <c r="X414" s="28">
        <v>5773323.4165706551</v>
      </c>
      <c r="Y414" s="24">
        <v>8.1904804477824708E-3</v>
      </c>
      <c r="Z414" s="23">
        <v>11</v>
      </c>
      <c r="AA414" s="28">
        <v>6075005.1323396852</v>
      </c>
      <c r="AB414" s="24">
        <v>8.7473822845621652E-3</v>
      </c>
    </row>
    <row r="415" spans="1:28" x14ac:dyDescent="0.25">
      <c r="A415" t="s">
        <v>5043</v>
      </c>
      <c r="B415" t="s">
        <v>7422</v>
      </c>
      <c r="C415" t="s">
        <v>5045</v>
      </c>
      <c r="D415" s="3" t="s">
        <v>5044</v>
      </c>
      <c r="E415" s="3" t="s">
        <v>495</v>
      </c>
      <c r="G415" t="s">
        <v>507</v>
      </c>
      <c r="H415" t="s">
        <v>17</v>
      </c>
      <c r="I415" s="17">
        <v>-1.33335016367862</v>
      </c>
      <c r="J415" s="17">
        <v>0.15521448921900999</v>
      </c>
      <c r="K415" s="21">
        <v>19</v>
      </c>
      <c r="L415" s="27">
        <v>14067697.784714</v>
      </c>
      <c r="M415" s="22">
        <v>7.4451339039096976E-3</v>
      </c>
      <c r="N415" s="21">
        <v>13</v>
      </c>
      <c r="O415" s="27">
        <v>15598241.78641521</v>
      </c>
      <c r="P415" s="22">
        <v>8.3274486567631728E-3</v>
      </c>
      <c r="Q415" s="21">
        <v>19</v>
      </c>
      <c r="R415" s="27">
        <v>17774925.56380016</v>
      </c>
      <c r="S415" s="22">
        <v>9.5452549713087587E-3</v>
      </c>
      <c r="T415" s="23">
        <v>11</v>
      </c>
      <c r="U415" s="28">
        <v>12348506.580882262</v>
      </c>
      <c r="V415" s="24">
        <v>6.5243456992402551E-3</v>
      </c>
      <c r="W415" s="23">
        <v>10</v>
      </c>
      <c r="X415" s="28">
        <v>9609939.6643229444</v>
      </c>
      <c r="Y415" s="24">
        <v>4.9668566428161774E-3</v>
      </c>
      <c r="Z415" s="23">
        <v>12</v>
      </c>
      <c r="AA415" s="28">
        <v>16166724.683691945</v>
      </c>
      <c r="AB415" s="24">
        <v>8.4806858000130401E-3</v>
      </c>
    </row>
    <row r="416" spans="1:28" x14ac:dyDescent="0.25">
      <c r="A416" t="s">
        <v>4891</v>
      </c>
      <c r="B416" t="s">
        <v>7372</v>
      </c>
      <c r="C416" t="s">
        <v>4893</v>
      </c>
      <c r="D416" s="3" t="s">
        <v>4892</v>
      </c>
      <c r="E416" s="3" t="s">
        <v>495</v>
      </c>
      <c r="G416" t="s">
        <v>507</v>
      </c>
      <c r="H416" t="s">
        <v>17</v>
      </c>
      <c r="I416" s="17">
        <v>-1.3359217095813301</v>
      </c>
      <c r="J416" s="17">
        <v>4.7248727019445401E-2</v>
      </c>
      <c r="K416" s="21">
        <v>10</v>
      </c>
      <c r="L416" s="27">
        <v>6568142.5189821701</v>
      </c>
      <c r="M416" s="22">
        <v>1.5399626722729249E-2</v>
      </c>
      <c r="N416" s="21">
        <v>5</v>
      </c>
      <c r="O416" s="27">
        <v>5424315.9640513351</v>
      </c>
      <c r="P416" s="22">
        <v>1.2829195924958767E-2</v>
      </c>
      <c r="Q416" s="21">
        <v>11</v>
      </c>
      <c r="R416" s="27">
        <v>6743256.5872664601</v>
      </c>
      <c r="S416" s="22">
        <v>1.6042334631357437E-2</v>
      </c>
      <c r="T416" s="23">
        <v>4</v>
      </c>
      <c r="U416" s="28">
        <v>5054303.7288158676</v>
      </c>
      <c r="V416" s="24">
        <v>1.183047021141587E-2</v>
      </c>
      <c r="W416" s="23">
        <v>2</v>
      </c>
      <c r="X416" s="28">
        <v>5299752.24884992</v>
      </c>
      <c r="Y416" s="24">
        <v>1.2134857337685673E-2</v>
      </c>
      <c r="Z416" s="23">
        <v>3</v>
      </c>
      <c r="AA416" s="28">
        <v>4896081.909057756</v>
      </c>
      <c r="AB416" s="24">
        <v>1.1378257252519954E-2</v>
      </c>
    </row>
    <row r="417" spans="1:36" x14ac:dyDescent="0.25">
      <c r="A417" t="s">
        <v>4939</v>
      </c>
      <c r="B417" t="s">
        <v>7388</v>
      </c>
      <c r="C417" t="s">
        <v>4941</v>
      </c>
      <c r="D417" s="3" t="s">
        <v>4940</v>
      </c>
      <c r="E417" s="3" t="s">
        <v>495</v>
      </c>
      <c r="G417" t="s">
        <v>507</v>
      </c>
      <c r="H417" t="s">
        <v>17</v>
      </c>
      <c r="I417" s="17">
        <v>-1.3442933030238799</v>
      </c>
      <c r="J417" s="17">
        <v>0.23169213260718499</v>
      </c>
      <c r="K417" s="21">
        <v>8</v>
      </c>
      <c r="L417" s="27">
        <v>9531524.9731921405</v>
      </c>
      <c r="M417" s="22">
        <v>1.887743782760282E-2</v>
      </c>
      <c r="N417" s="21">
        <v>2</v>
      </c>
      <c r="O417" s="27">
        <v>6037779.2060826663</v>
      </c>
      <c r="P417" s="22">
        <v>1.206270531269016E-2</v>
      </c>
      <c r="Q417" s="21">
        <v>10</v>
      </c>
      <c r="R417" s="27">
        <v>9881666.4623864461</v>
      </c>
      <c r="S417" s="22">
        <v>1.9858256189124276E-2</v>
      </c>
      <c r="T417" s="23">
        <v>4</v>
      </c>
      <c r="U417" s="28">
        <v>7172251.9491838282</v>
      </c>
      <c r="V417" s="24">
        <v>1.4181077792206419E-2</v>
      </c>
      <c r="W417" s="23">
        <v>2</v>
      </c>
      <c r="X417" s="28">
        <v>7003771.8053982994</v>
      </c>
      <c r="Y417" s="24">
        <v>1.3546407227547441E-2</v>
      </c>
      <c r="Z417" s="23">
        <v>3</v>
      </c>
      <c r="AA417" s="28">
        <v>6447219.4174851682</v>
      </c>
      <c r="AB417" s="24">
        <v>1.265646891823159E-2</v>
      </c>
    </row>
    <row r="418" spans="1:36" x14ac:dyDescent="0.25">
      <c r="A418" t="s">
        <v>5019</v>
      </c>
      <c r="B418" t="s">
        <v>7414</v>
      </c>
      <c r="C418" t="s">
        <v>5021</v>
      </c>
      <c r="D418" s="3" t="s">
        <v>5020</v>
      </c>
      <c r="E418" s="3" t="s">
        <v>495</v>
      </c>
      <c r="G418" t="s">
        <v>507</v>
      </c>
      <c r="H418" t="s">
        <v>17</v>
      </c>
      <c r="I418" s="17">
        <v>-1.3471382912707099</v>
      </c>
      <c r="J418" s="17">
        <v>8.1247856735155097E-2</v>
      </c>
      <c r="K418" s="21">
        <v>24</v>
      </c>
      <c r="L418" s="27">
        <v>52511000.235649198</v>
      </c>
      <c r="M418" s="22">
        <v>7.3924538003975596E-2</v>
      </c>
      <c r="N418" s="21">
        <v>18</v>
      </c>
      <c r="O418" s="27">
        <v>43290941.762187481</v>
      </c>
      <c r="P418" s="22">
        <v>6.1478348753886893E-2</v>
      </c>
      <c r="Q418" s="21">
        <v>25</v>
      </c>
      <c r="R418" s="27">
        <v>56970384.743536115</v>
      </c>
      <c r="S418" s="22">
        <v>8.1380010267038019E-2</v>
      </c>
      <c r="T418" s="23">
        <v>22</v>
      </c>
      <c r="U418" s="28">
        <v>44157120.79328873</v>
      </c>
      <c r="V418" s="24">
        <v>6.2060049828155196E-2</v>
      </c>
      <c r="W418" s="23">
        <v>17</v>
      </c>
      <c r="X418" s="28">
        <v>38760239.430780813</v>
      </c>
      <c r="Y418" s="24">
        <v>5.3288839231120724E-2</v>
      </c>
      <c r="Z418" s="23">
        <v>19</v>
      </c>
      <c r="AA418" s="28">
        <v>39789548.321441166</v>
      </c>
      <c r="AB418" s="24">
        <v>5.5522215196913097E-2</v>
      </c>
    </row>
    <row r="419" spans="1:36" x14ac:dyDescent="0.25">
      <c r="A419" t="s">
        <v>5114</v>
      </c>
      <c r="B419" t="s">
        <v>7446</v>
      </c>
      <c r="C419" t="s">
        <v>5117</v>
      </c>
      <c r="D419" s="3" t="s">
        <v>5115</v>
      </c>
      <c r="E419" s="3" t="s">
        <v>495</v>
      </c>
      <c r="F419" t="s">
        <v>5116</v>
      </c>
      <c r="G419" t="s">
        <v>507</v>
      </c>
      <c r="H419" t="s">
        <v>17</v>
      </c>
      <c r="I419" s="17">
        <v>-1.3864224190248799</v>
      </c>
      <c r="J419" s="17">
        <v>2.5937294571627599E-2</v>
      </c>
      <c r="K419" s="21">
        <v>27</v>
      </c>
      <c r="L419" s="27">
        <v>17294276.268513899</v>
      </c>
      <c r="M419" s="22">
        <v>1.1277168453421551E-2</v>
      </c>
      <c r="N419" s="21">
        <v>15</v>
      </c>
      <c r="O419" s="27">
        <v>19130326.57648237</v>
      </c>
      <c r="P419" s="22">
        <v>1.2583657575514716E-2</v>
      </c>
      <c r="Q419" s="21">
        <v>27</v>
      </c>
      <c r="R419" s="27">
        <v>21876905.487157755</v>
      </c>
      <c r="S419" s="22">
        <v>1.4474841792707152E-2</v>
      </c>
      <c r="T419" s="23">
        <v>13</v>
      </c>
      <c r="U419" s="28">
        <v>15471924.118888054</v>
      </c>
      <c r="V419" s="24">
        <v>1.0071984433703694E-2</v>
      </c>
      <c r="W419" s="23">
        <v>4</v>
      </c>
      <c r="X419" s="28">
        <v>13560498.491136525</v>
      </c>
      <c r="Y419" s="24">
        <v>8.6354467627810533E-3</v>
      </c>
      <c r="Z419" s="23">
        <v>13</v>
      </c>
      <c r="AA419" s="28">
        <v>16160418.861400384</v>
      </c>
      <c r="AB419" s="24">
        <v>1.0445031068756589E-2</v>
      </c>
    </row>
    <row r="420" spans="1:36" x14ac:dyDescent="0.25">
      <c r="A420" t="s">
        <v>4972</v>
      </c>
      <c r="B420" t="s">
        <v>7399</v>
      </c>
      <c r="C420" t="s">
        <v>4974</v>
      </c>
      <c r="D420" s="3" t="s">
        <v>4973</v>
      </c>
      <c r="E420" s="3" t="s">
        <v>495</v>
      </c>
      <c r="G420" t="s">
        <v>507</v>
      </c>
      <c r="H420" t="s">
        <v>973</v>
      </c>
      <c r="I420" s="17">
        <v>-1.4108944257445399</v>
      </c>
      <c r="J420" s="17">
        <v>0.18579155045800599</v>
      </c>
      <c r="K420" s="21">
        <v>14</v>
      </c>
      <c r="L420" s="27">
        <v>6548076.8528655702</v>
      </c>
      <c r="M420" s="22">
        <v>3.7722691966379941E-3</v>
      </c>
      <c r="N420" s="21">
        <v>5</v>
      </c>
      <c r="O420" s="27">
        <v>5510632.7980476599</v>
      </c>
      <c r="P420" s="22">
        <v>3.202412073483677E-3</v>
      </c>
      <c r="Q420" s="21">
        <v>15</v>
      </c>
      <c r="R420" s="27">
        <v>8618811.8155524004</v>
      </c>
      <c r="S420" s="22">
        <v>5.0380974933984931E-3</v>
      </c>
      <c r="T420" s="23">
        <v>6</v>
      </c>
      <c r="U420" s="28">
        <v>5235532.8717888854</v>
      </c>
      <c r="V420" s="24">
        <v>3.0110838097663932E-3</v>
      </c>
      <c r="W420" s="23">
        <v>0</v>
      </c>
      <c r="X420" s="28">
        <v>3886091.8227060894</v>
      </c>
      <c r="Y420" s="24">
        <v>2.1863185944394768E-3</v>
      </c>
      <c r="Z420" s="23">
        <v>8</v>
      </c>
      <c r="AA420" s="28">
        <v>6611803.4463968659</v>
      </c>
      <c r="AB420" s="24">
        <v>3.7754462482019568E-3</v>
      </c>
    </row>
    <row r="421" spans="1:36" x14ac:dyDescent="0.25">
      <c r="A421" t="s">
        <v>4879</v>
      </c>
      <c r="B421" t="s">
        <v>7368</v>
      </c>
      <c r="C421" t="s">
        <v>4881</v>
      </c>
      <c r="D421" s="3" t="s">
        <v>4880</v>
      </c>
      <c r="E421" s="3" t="s">
        <v>495</v>
      </c>
      <c r="G421" t="s">
        <v>507</v>
      </c>
      <c r="H421" t="s">
        <v>553</v>
      </c>
      <c r="I421" s="17">
        <v>-1.4153000740035599</v>
      </c>
      <c r="J421" s="17">
        <v>0.90843471290922595</v>
      </c>
      <c r="K421" s="21">
        <v>1</v>
      </c>
      <c r="L421" s="27">
        <v>246441.919292868</v>
      </c>
      <c r="M421" s="22">
        <v>6.4943508419506657E-4</v>
      </c>
      <c r="N421" s="21">
        <v>0</v>
      </c>
      <c r="O421" s="27">
        <v>37175.451452780871</v>
      </c>
      <c r="P421" s="22">
        <v>9.8824414019322475E-5</v>
      </c>
      <c r="Q421" s="21">
        <v>1</v>
      </c>
      <c r="R421" s="27">
        <v>211032.36193221944</v>
      </c>
      <c r="S421" s="22">
        <v>5.6428756972395E-4</v>
      </c>
      <c r="T421" s="23">
        <v>0</v>
      </c>
      <c r="U421" s="28">
        <v>169892.14911489867</v>
      </c>
      <c r="V421" s="24">
        <v>4.4695882647848766E-4</v>
      </c>
      <c r="W421" s="23">
        <v>0</v>
      </c>
      <c r="X421" s="28">
        <v>102871.96657510803</v>
      </c>
      <c r="Y421" s="24">
        <v>2.6474617083841438E-4</v>
      </c>
      <c r="Z421" s="23">
        <v>0</v>
      </c>
      <c r="AA421" s="28">
        <v>110226.87959549919</v>
      </c>
      <c r="AB421" s="24">
        <v>2.8791754136772219E-4</v>
      </c>
    </row>
    <row r="422" spans="1:36" x14ac:dyDescent="0.25">
      <c r="A422" t="s">
        <v>4927</v>
      </c>
      <c r="B422" t="s">
        <v>7384</v>
      </c>
      <c r="C422" t="s">
        <v>4929</v>
      </c>
      <c r="D422" s="3" t="s">
        <v>4928</v>
      </c>
      <c r="E422" s="3" t="s">
        <v>495</v>
      </c>
      <c r="G422" t="s">
        <v>507</v>
      </c>
      <c r="H422" t="s">
        <v>17</v>
      </c>
      <c r="I422" s="17">
        <v>-1.45493588500277</v>
      </c>
      <c r="J422" s="17">
        <v>0.185989270749082</v>
      </c>
      <c r="K422" s="21">
        <v>2</v>
      </c>
      <c r="L422" s="27">
        <v>435739.59287151799</v>
      </c>
      <c r="M422" s="22">
        <v>6.4624187803292521E-4</v>
      </c>
      <c r="N422" s="21">
        <v>1</v>
      </c>
      <c r="O422" s="27">
        <v>275404.64479392499</v>
      </c>
      <c r="P422" s="22">
        <v>4.1202746620563446E-4</v>
      </c>
      <c r="Q422" s="21">
        <v>2</v>
      </c>
      <c r="R422" s="27">
        <v>471898.65286207438</v>
      </c>
      <c r="S422" s="22">
        <v>7.1014506256482303E-4</v>
      </c>
      <c r="T422" s="23">
        <v>1</v>
      </c>
      <c r="U422" s="28">
        <v>347512.68009871035</v>
      </c>
      <c r="V422" s="24">
        <v>5.1453127064474678E-4</v>
      </c>
      <c r="W422" s="23">
        <v>0</v>
      </c>
      <c r="X422" s="28">
        <v>283234.93051350611</v>
      </c>
      <c r="Y422" s="24">
        <v>4.1022900924912411E-4</v>
      </c>
      <c r="Z422" s="23">
        <v>0</v>
      </c>
      <c r="AA422" s="28">
        <v>250846.3414903123</v>
      </c>
      <c r="AB422" s="24">
        <v>3.6875277197105584E-4</v>
      </c>
    </row>
    <row r="423" spans="1:36" x14ac:dyDescent="0.25">
      <c r="A423" t="s">
        <v>5001</v>
      </c>
      <c r="B423" t="s">
        <v>7408</v>
      </c>
      <c r="C423" t="s">
        <v>5003</v>
      </c>
      <c r="D423" s="3" t="s">
        <v>5002</v>
      </c>
      <c r="E423" s="3" t="s">
        <v>495</v>
      </c>
      <c r="G423" t="s">
        <v>507</v>
      </c>
      <c r="H423" t="s">
        <v>17</v>
      </c>
      <c r="I423" s="17">
        <v>-1.46123357664941</v>
      </c>
      <c r="J423" s="17">
        <v>3.3525327183969902E-2</v>
      </c>
      <c r="K423" s="21">
        <v>8</v>
      </c>
      <c r="L423" s="27">
        <v>5285435.1053299801</v>
      </c>
      <c r="M423" s="22">
        <v>8.1025915078790142E-3</v>
      </c>
      <c r="N423" s="21">
        <v>4</v>
      </c>
      <c r="O423" s="27">
        <v>4782630.224384727</v>
      </c>
      <c r="P423" s="22">
        <v>7.3959988692386654E-3</v>
      </c>
      <c r="Q423" s="21">
        <v>12</v>
      </c>
      <c r="R423" s="27">
        <v>6044752.5133508537</v>
      </c>
      <c r="S423" s="22">
        <v>9.4026870946238971E-3</v>
      </c>
      <c r="T423" s="23">
        <v>8</v>
      </c>
      <c r="U423" s="28">
        <v>4464834.3752768636</v>
      </c>
      <c r="V423" s="24">
        <v>6.8331601029437512E-3</v>
      </c>
      <c r="W423" s="23">
        <v>4</v>
      </c>
      <c r="X423" s="28">
        <v>3860305.3488909448</v>
      </c>
      <c r="Y423" s="24">
        <v>5.7793146395929288E-3</v>
      </c>
      <c r="Z423" s="23">
        <v>4</v>
      </c>
      <c r="AA423" s="28">
        <v>3579654.7680349285</v>
      </c>
      <c r="AB423" s="24">
        <v>5.4393097528071099E-3</v>
      </c>
    </row>
    <row r="424" spans="1:36" x14ac:dyDescent="0.25">
      <c r="A424" t="s">
        <v>4888</v>
      </c>
      <c r="B424" t="s">
        <v>7371</v>
      </c>
      <c r="C424" t="s">
        <v>4890</v>
      </c>
      <c r="D424" s="3" t="s">
        <v>4889</v>
      </c>
      <c r="E424" s="3" t="s">
        <v>495</v>
      </c>
      <c r="G424" t="s">
        <v>507</v>
      </c>
      <c r="H424" t="s">
        <v>17</v>
      </c>
      <c r="I424" s="17">
        <v>-1.49594394988867</v>
      </c>
      <c r="J424" s="17">
        <v>1.2013148044592499E-2</v>
      </c>
      <c r="K424" s="21">
        <v>1</v>
      </c>
      <c r="L424" s="27">
        <v>475476.60228882998</v>
      </c>
      <c r="M424" s="22">
        <v>1.1529485629531812E-3</v>
      </c>
      <c r="N424" s="21">
        <v>0</v>
      </c>
      <c r="O424" s="27">
        <v>408641.37277115625</v>
      </c>
      <c r="P424" s="22">
        <v>9.99562486363746E-4</v>
      </c>
      <c r="Q424" s="21">
        <v>3</v>
      </c>
      <c r="R424" s="27">
        <v>472633.22715185932</v>
      </c>
      <c r="S424" s="22">
        <v>1.162881045171751E-3</v>
      </c>
      <c r="T424" s="23">
        <v>0</v>
      </c>
      <c r="U424" s="28">
        <v>329644.24075312039</v>
      </c>
      <c r="V424" s="24">
        <v>7.9799343406398678E-4</v>
      </c>
      <c r="W424" s="23">
        <v>0</v>
      </c>
      <c r="X424" s="28">
        <v>328668.12563578156</v>
      </c>
      <c r="Y424" s="24">
        <v>7.7830505430244218E-4</v>
      </c>
      <c r="Z424" s="23">
        <v>0</v>
      </c>
      <c r="AA424" s="28">
        <v>326614.42957673216</v>
      </c>
      <c r="AB424" s="24">
        <v>7.8501073725727763E-4</v>
      </c>
    </row>
    <row r="425" spans="1:36" x14ac:dyDescent="0.25">
      <c r="A425" t="s">
        <v>4936</v>
      </c>
      <c r="B425" t="s">
        <v>7387</v>
      </c>
      <c r="C425" t="s">
        <v>4938</v>
      </c>
      <c r="D425" s="3" t="s">
        <v>4937</v>
      </c>
      <c r="E425" s="3" t="s">
        <v>495</v>
      </c>
      <c r="G425" t="s">
        <v>507</v>
      </c>
      <c r="H425" t="s">
        <v>17</v>
      </c>
      <c r="I425" s="17">
        <v>-1.5962102704540799</v>
      </c>
      <c r="J425" s="17">
        <v>0.22821422352836701</v>
      </c>
      <c r="K425" s="21">
        <v>1</v>
      </c>
      <c r="L425" s="27">
        <v>710699.52541041502</v>
      </c>
      <c r="M425" s="22">
        <v>3.083225015172969E-3</v>
      </c>
      <c r="N425" s="21">
        <v>0</v>
      </c>
      <c r="O425" s="27">
        <v>347703.50526069419</v>
      </c>
      <c r="P425" s="22">
        <v>1.5216511437445021E-3</v>
      </c>
      <c r="Q425" s="21">
        <v>3</v>
      </c>
      <c r="R425" s="27">
        <v>786416.15227625589</v>
      </c>
      <c r="S425" s="22">
        <v>3.461799254590817E-3</v>
      </c>
      <c r="T425" s="23">
        <v>0</v>
      </c>
      <c r="U425" s="28">
        <v>360944.82534660597</v>
      </c>
      <c r="V425" s="24">
        <v>1.5632666362585667E-3</v>
      </c>
      <c r="W425" s="23">
        <v>0</v>
      </c>
      <c r="X425" s="28">
        <v>496064.053293893</v>
      </c>
      <c r="Y425" s="24">
        <v>2.1016889166139471E-3</v>
      </c>
      <c r="Z425" s="23">
        <v>0</v>
      </c>
      <c r="AA425" s="28">
        <v>413132.43493717833</v>
      </c>
      <c r="AB425" s="24">
        <v>1.7765111425576377E-3</v>
      </c>
    </row>
    <row r="426" spans="1:36" x14ac:dyDescent="0.25">
      <c r="A426" t="s">
        <v>4918</v>
      </c>
      <c r="B426" t="s">
        <v>7381</v>
      </c>
      <c r="C426" t="s">
        <v>4920</v>
      </c>
      <c r="D426" s="3" t="s">
        <v>4919</v>
      </c>
      <c r="E426" s="3" t="s">
        <v>495</v>
      </c>
      <c r="G426" t="s">
        <v>507</v>
      </c>
      <c r="H426" t="s">
        <v>17</v>
      </c>
      <c r="I426" s="17">
        <v>-1.6526784019762699</v>
      </c>
      <c r="J426" s="17">
        <v>0.11770116892222</v>
      </c>
      <c r="K426" s="21">
        <v>2</v>
      </c>
      <c r="L426" s="27">
        <v>787117.16418230103</v>
      </c>
      <c r="M426" s="22">
        <v>1.3530131062049022E-3</v>
      </c>
      <c r="N426" s="21">
        <v>0</v>
      </c>
      <c r="O426" s="27">
        <v>483196.48466608953</v>
      </c>
      <c r="P426" s="22">
        <v>8.3786339867833351E-4</v>
      </c>
      <c r="Q426" s="21">
        <v>4</v>
      </c>
      <c r="R426" s="27">
        <v>956408.88956398354</v>
      </c>
      <c r="S426" s="22">
        <v>1.6681553182814367E-3</v>
      </c>
      <c r="T426" s="23">
        <v>0</v>
      </c>
      <c r="U426" s="28">
        <v>533463.72627476125</v>
      </c>
      <c r="V426" s="24">
        <v>9.1546249887688265E-4</v>
      </c>
      <c r="W426" s="23">
        <v>0</v>
      </c>
      <c r="X426" s="28">
        <v>452123.69246104424</v>
      </c>
      <c r="Y426" s="24">
        <v>7.5898180960752798E-4</v>
      </c>
      <c r="Z426" s="23">
        <v>0</v>
      </c>
      <c r="AA426" s="28">
        <v>473047.6868441939</v>
      </c>
      <c r="AB426" s="24">
        <v>8.059850595576643E-4</v>
      </c>
    </row>
    <row r="427" spans="1:36" x14ac:dyDescent="0.25">
      <c r="A427" t="s">
        <v>4933</v>
      </c>
      <c r="B427" t="s">
        <v>7386</v>
      </c>
      <c r="C427" t="s">
        <v>4935</v>
      </c>
      <c r="D427" s="3" t="s">
        <v>4934</v>
      </c>
      <c r="E427" s="3" t="s">
        <v>495</v>
      </c>
      <c r="G427" t="s">
        <v>507</v>
      </c>
      <c r="H427" t="s">
        <v>17</v>
      </c>
      <c r="I427" s="17">
        <v>-1.65344126525621</v>
      </c>
      <c r="J427" s="17">
        <v>0.22372641484376601</v>
      </c>
      <c r="K427" s="21">
        <v>2</v>
      </c>
      <c r="L427" s="27">
        <v>106730.147118906</v>
      </c>
      <c r="M427" s="22">
        <v>1.2308312296088248E-4</v>
      </c>
      <c r="N427" s="21">
        <v>0</v>
      </c>
      <c r="O427" s="27">
        <v>57098.05602517708</v>
      </c>
      <c r="P427" s="22">
        <v>6.6423163201673066E-5</v>
      </c>
      <c r="Q427" s="21">
        <v>0</v>
      </c>
      <c r="R427" s="27">
        <v>99656.375125062041</v>
      </c>
      <c r="S427" s="22">
        <v>1.1661294001179979E-4</v>
      </c>
      <c r="T427" s="23">
        <v>0</v>
      </c>
      <c r="U427" s="28">
        <v>66199.555034945559</v>
      </c>
      <c r="V427" s="24">
        <v>7.6214834853528633E-5</v>
      </c>
      <c r="W427" s="23">
        <v>0</v>
      </c>
      <c r="X427" s="28">
        <v>32528.445363208597</v>
      </c>
      <c r="Y427" s="24">
        <v>3.6634155738467643E-5</v>
      </c>
      <c r="Z427" s="23">
        <v>0</v>
      </c>
      <c r="AA427" s="28">
        <v>73150.518586966908</v>
      </c>
      <c r="AB427" s="24">
        <v>8.3615782021321375E-5</v>
      </c>
    </row>
    <row r="428" spans="1:36" x14ac:dyDescent="0.25">
      <c r="A428" t="s">
        <v>4885</v>
      </c>
      <c r="B428" t="s">
        <v>7370</v>
      </c>
      <c r="C428" t="s">
        <v>4887</v>
      </c>
      <c r="D428" s="3" t="s">
        <v>4886</v>
      </c>
      <c r="E428" s="3" t="s">
        <v>495</v>
      </c>
      <c r="G428" t="s">
        <v>507</v>
      </c>
      <c r="H428" t="s">
        <v>17</v>
      </c>
      <c r="I428" s="17">
        <v>-1.8256323745610901</v>
      </c>
      <c r="J428" s="17">
        <v>3.7639135040888998E-2</v>
      </c>
      <c r="K428" s="21">
        <v>1</v>
      </c>
      <c r="L428" s="27">
        <v>500233.44821696798</v>
      </c>
      <c r="M428" s="22">
        <v>1.0741200130518858E-3</v>
      </c>
      <c r="N428" s="21">
        <v>0</v>
      </c>
      <c r="O428" s="27">
        <v>451700.10200530902</v>
      </c>
      <c r="P428" s="22">
        <v>9.7840148217216293E-4</v>
      </c>
      <c r="Q428" s="21">
        <v>2</v>
      </c>
      <c r="R428" s="27">
        <v>640625.89019131486</v>
      </c>
      <c r="S428" s="22">
        <v>1.3957731085176106E-3</v>
      </c>
      <c r="T428" s="23">
        <v>0</v>
      </c>
      <c r="U428" s="28">
        <v>352264.42215506185</v>
      </c>
      <c r="V428" s="24">
        <v>7.5513031807836856E-4</v>
      </c>
      <c r="W428" s="23">
        <v>0</v>
      </c>
      <c r="X428" s="28">
        <v>232189.3499931689</v>
      </c>
      <c r="Y428" s="24">
        <v>4.8689336638807961E-4</v>
      </c>
      <c r="Z428" s="23">
        <v>1</v>
      </c>
      <c r="AA428" s="28">
        <v>349726.99982063356</v>
      </c>
      <c r="AB428" s="24">
        <v>7.4433542847703515E-4</v>
      </c>
    </row>
    <row r="429" spans="1:36" x14ac:dyDescent="0.25">
      <c r="A429" t="s">
        <v>4882</v>
      </c>
      <c r="B429" t="s">
        <v>7369</v>
      </c>
      <c r="C429" t="s">
        <v>4884</v>
      </c>
      <c r="D429" s="3" t="s">
        <v>4883</v>
      </c>
      <c r="E429" s="3" t="s">
        <v>495</v>
      </c>
      <c r="G429" t="s">
        <v>507</v>
      </c>
      <c r="H429" t="s">
        <v>17</v>
      </c>
      <c r="I429" s="17">
        <v>-2.3944231331082899</v>
      </c>
      <c r="J429" s="17">
        <v>4.4369053933944703E-3</v>
      </c>
      <c r="K429" s="21">
        <v>3</v>
      </c>
      <c r="L429" s="27">
        <v>724316.191765739</v>
      </c>
      <c r="M429" s="22">
        <v>8.5540338429871267E-4</v>
      </c>
      <c r="N429" s="21">
        <v>2</v>
      </c>
      <c r="O429" s="27">
        <v>765583.11775546789</v>
      </c>
      <c r="P429" s="22">
        <v>9.1205693688557635E-4</v>
      </c>
      <c r="Q429" s="21">
        <v>2</v>
      </c>
      <c r="R429" s="27">
        <v>594703.03187252767</v>
      </c>
      <c r="S429" s="22">
        <v>7.126449019357016E-4</v>
      </c>
      <c r="T429" s="23">
        <v>1</v>
      </c>
      <c r="U429" s="28">
        <v>346082.07496121747</v>
      </c>
      <c r="V429" s="24">
        <v>4.0803265388352774E-4</v>
      </c>
      <c r="W429" s="23">
        <v>1</v>
      </c>
      <c r="X429" s="28">
        <v>269208.50344457949</v>
      </c>
      <c r="Y429" s="24">
        <v>3.1048671689057436E-4</v>
      </c>
      <c r="Z429" s="23">
        <v>1</v>
      </c>
      <c r="AA429" s="28">
        <v>324582.33774641616</v>
      </c>
      <c r="AB429" s="24">
        <v>3.7995057133580304E-4</v>
      </c>
    </row>
    <row r="430" spans="1:36" x14ac:dyDescent="0.25">
      <c r="A430" s="48" t="s">
        <v>4992</v>
      </c>
      <c r="B430" s="48" t="s">
        <v>7405</v>
      </c>
      <c r="C430" s="48" t="s">
        <v>4994</v>
      </c>
      <c r="D430" s="49" t="s">
        <v>4993</v>
      </c>
      <c r="E430" s="49" t="s">
        <v>495</v>
      </c>
      <c r="F430" s="48"/>
      <c r="G430" s="48" t="s">
        <v>507</v>
      </c>
      <c r="H430" s="48" t="s">
        <v>7</v>
      </c>
      <c r="I430" s="50">
        <v>-2.93840698026542</v>
      </c>
      <c r="J430" s="50">
        <v>3.32808273291288E-2</v>
      </c>
      <c r="K430" s="51">
        <v>5</v>
      </c>
      <c r="L430" s="52">
        <v>1405954.2481786299</v>
      </c>
      <c r="M430" s="53">
        <v>2.9110991807385057E-3</v>
      </c>
      <c r="N430" s="51">
        <v>1</v>
      </c>
      <c r="O430" s="52">
        <v>921338.17481596547</v>
      </c>
      <c r="P430" s="53">
        <v>1.9243838887109354E-3</v>
      </c>
      <c r="Q430" s="51">
        <v>5</v>
      </c>
      <c r="R430" s="52">
        <v>2191035.6810868122</v>
      </c>
      <c r="S430" s="53">
        <v>4.603260193204891E-3</v>
      </c>
      <c r="T430" s="54">
        <v>3</v>
      </c>
      <c r="U430" s="55">
        <v>727904.36857271951</v>
      </c>
      <c r="V430" s="56">
        <v>1.5046420099325826E-3</v>
      </c>
      <c r="W430" s="54">
        <v>0</v>
      </c>
      <c r="X430" s="55">
        <v>391786.61465073726</v>
      </c>
      <c r="Y430" s="56">
        <v>7.9222198243509808E-4</v>
      </c>
      <c r="Z430" s="54">
        <v>1</v>
      </c>
      <c r="AA430" s="55">
        <v>519512.16618935537</v>
      </c>
      <c r="AB430" s="56">
        <v>1.0662056605666296E-3</v>
      </c>
      <c r="AC430" s="59"/>
      <c r="AD430" s="59"/>
      <c r="AE430" s="59"/>
      <c r="AF430" s="59"/>
      <c r="AG430" s="59"/>
      <c r="AH430" s="59"/>
      <c r="AI430" s="50"/>
      <c r="AJ430" s="50"/>
    </row>
    <row r="431" spans="1:36" x14ac:dyDescent="0.25">
      <c r="A431" t="s">
        <v>5126</v>
      </c>
      <c r="B431" t="s">
        <v>7449</v>
      </c>
      <c r="C431" t="s">
        <v>5127</v>
      </c>
      <c r="D431" s="3" t="s">
        <v>4413</v>
      </c>
      <c r="E431" s="3" t="s">
        <v>495</v>
      </c>
      <c r="G431" t="s">
        <v>496</v>
      </c>
      <c r="H431" t="s">
        <v>172</v>
      </c>
      <c r="I431" s="17">
        <v>2.3944257845608199</v>
      </c>
      <c r="J431" s="17">
        <v>6.2274884919610903E-5</v>
      </c>
      <c r="K431" s="21">
        <v>9</v>
      </c>
      <c r="L431" s="27">
        <v>5567552.7842749702</v>
      </c>
      <c r="M431" s="22">
        <v>6.6866155239825916E-3</v>
      </c>
      <c r="N431" s="21">
        <v>9</v>
      </c>
      <c r="O431" s="27">
        <v>5478940.8633024013</v>
      </c>
      <c r="P431" s="22">
        <v>6.6378197422673939E-3</v>
      </c>
      <c r="Q431" s="21">
        <v>9</v>
      </c>
      <c r="R431" s="27">
        <v>5800784.5609889179</v>
      </c>
      <c r="S431" s="22">
        <v>7.0690166575335823E-3</v>
      </c>
      <c r="T431" s="23">
        <v>5</v>
      </c>
      <c r="U431" s="28">
        <v>13836707.623805394</v>
      </c>
      <c r="V431" s="24">
        <v>1.6590054663839067E-2</v>
      </c>
      <c r="W431" s="23">
        <v>6</v>
      </c>
      <c r="X431" s="28">
        <v>16268988.929019008</v>
      </c>
      <c r="Y431" s="24">
        <v>1.9081567752400982E-2</v>
      </c>
      <c r="Z431" s="23">
        <v>5</v>
      </c>
      <c r="AA431" s="28">
        <v>13758851.74829275</v>
      </c>
      <c r="AB431" s="24">
        <v>1.6378859139674143E-2</v>
      </c>
    </row>
    <row r="432" spans="1:36" x14ac:dyDescent="0.25">
      <c r="A432" t="s">
        <v>5180</v>
      </c>
      <c r="B432" t="s">
        <v>7470</v>
      </c>
      <c r="C432" t="s">
        <v>5182</v>
      </c>
      <c r="D432" s="3" t="s">
        <v>5181</v>
      </c>
      <c r="E432" s="3" t="s">
        <v>495</v>
      </c>
      <c r="G432" t="s">
        <v>496</v>
      </c>
      <c r="H432" t="s">
        <v>172</v>
      </c>
      <c r="I432" s="17">
        <v>1.5269975492460399</v>
      </c>
      <c r="J432" s="17">
        <v>0.15513866442178501</v>
      </c>
      <c r="K432" s="21">
        <v>3</v>
      </c>
      <c r="L432" s="27">
        <v>7637057.0779990098</v>
      </c>
      <c r="M432" s="22">
        <v>1.3604404615376871E-2</v>
      </c>
      <c r="N432" s="21">
        <v>1</v>
      </c>
      <c r="O432" s="27">
        <v>3893522.1716189897</v>
      </c>
      <c r="P432" s="22">
        <v>6.9965346307194346E-3</v>
      </c>
      <c r="Q432" s="21">
        <v>5</v>
      </c>
      <c r="R432" s="27">
        <v>9248496.690514639</v>
      </c>
      <c r="S432" s="22">
        <v>1.6716867828543199E-2</v>
      </c>
      <c r="T432" s="23">
        <v>1</v>
      </c>
      <c r="U432" s="28">
        <v>10467875.631056011</v>
      </c>
      <c r="V432" s="24">
        <v>1.8615945610026358E-2</v>
      </c>
      <c r="W432" s="23">
        <v>1</v>
      </c>
      <c r="X432" s="28">
        <v>13245872.754349692</v>
      </c>
      <c r="Y432" s="24">
        <v>2.3043347185915004E-2</v>
      </c>
      <c r="Z432" s="23">
        <v>1</v>
      </c>
      <c r="AA432" s="28">
        <v>11016179.591786388</v>
      </c>
      <c r="AB432" s="24">
        <v>1.9451090685282061E-2</v>
      </c>
      <c r="AC432" s="20">
        <v>1.4976416457841695</v>
      </c>
      <c r="AD432" s="20">
        <v>1.3289298140859296</v>
      </c>
      <c r="AE432" s="20">
        <v>1.6223032189494271</v>
      </c>
      <c r="AF432" s="20">
        <v>1.4586425368711613</v>
      </c>
      <c r="AG432" s="20">
        <v>1.3554245309708361</v>
      </c>
      <c r="AH432" s="20">
        <v>1.4517056766027063</v>
      </c>
    </row>
    <row r="433" spans="1:36" x14ac:dyDescent="0.25">
      <c r="A433" t="s">
        <v>5196</v>
      </c>
      <c r="B433" t="s">
        <v>7475</v>
      </c>
      <c r="C433" t="s">
        <v>5198</v>
      </c>
      <c r="D433" s="3" t="s">
        <v>5197</v>
      </c>
      <c r="E433" s="3" t="s">
        <v>495</v>
      </c>
      <c r="G433" t="s">
        <v>496</v>
      </c>
      <c r="H433" t="s">
        <v>172</v>
      </c>
      <c r="I433" s="17">
        <v>1.14459481695193</v>
      </c>
      <c r="J433" s="17">
        <v>0.29154055367903697</v>
      </c>
      <c r="K433" s="21">
        <v>4</v>
      </c>
      <c r="L433" s="27">
        <v>3945122.1199319302</v>
      </c>
      <c r="M433" s="22">
        <v>8.6457762595927821E-3</v>
      </c>
      <c r="N433" s="21">
        <v>4</v>
      </c>
      <c r="O433" s="27">
        <v>4462475.7239201041</v>
      </c>
      <c r="P433" s="22">
        <v>9.8652078578334076E-3</v>
      </c>
      <c r="Q433" s="21">
        <v>4</v>
      </c>
      <c r="R433" s="27">
        <v>3220436.5992112323</v>
      </c>
      <c r="S433" s="22">
        <v>7.1612453708088941E-3</v>
      </c>
      <c r="T433" s="23">
        <v>1</v>
      </c>
      <c r="U433" s="28">
        <v>4948160.4900012249</v>
      </c>
      <c r="V433" s="24">
        <v>1.0825809039440209E-2</v>
      </c>
      <c r="W433" s="23">
        <v>0</v>
      </c>
      <c r="X433" s="28">
        <v>4913344.4358280553</v>
      </c>
      <c r="Y433" s="24">
        <v>1.0515555801866085E-2</v>
      </c>
      <c r="Z433" s="23">
        <v>1</v>
      </c>
      <c r="AA433" s="28">
        <v>4572325.029619379</v>
      </c>
      <c r="AB433" s="24">
        <v>9.9320771429563925E-3</v>
      </c>
      <c r="AC433" s="17" t="s">
        <v>8084</v>
      </c>
      <c r="AD433" s="20">
        <v>1.4829582262731753</v>
      </c>
      <c r="AF433" s="17" t="s">
        <v>8084</v>
      </c>
      <c r="AG433" s="20">
        <v>1.4219242481482344</v>
      </c>
      <c r="AI433" s="47" t="s">
        <v>8087</v>
      </c>
      <c r="AJ433" s="20">
        <v>95.884309008600624</v>
      </c>
    </row>
    <row r="434" spans="1:36" x14ac:dyDescent="0.25">
      <c r="A434" t="s">
        <v>5199</v>
      </c>
      <c r="B434" t="s">
        <v>7476</v>
      </c>
      <c r="C434" t="s">
        <v>5201</v>
      </c>
      <c r="D434" s="3" t="s">
        <v>5200</v>
      </c>
      <c r="E434" s="3" t="s">
        <v>495</v>
      </c>
      <c r="G434" t="s">
        <v>496</v>
      </c>
      <c r="H434" t="s">
        <v>172</v>
      </c>
      <c r="I434" s="17">
        <v>1.1007358642324401</v>
      </c>
      <c r="J434" s="17">
        <v>0.48757271466615998</v>
      </c>
      <c r="K434" s="21">
        <v>17</v>
      </c>
      <c r="L434" s="27">
        <v>11962299.2565179</v>
      </c>
      <c r="M434" s="22">
        <v>2.2241141491877579E-2</v>
      </c>
      <c r="N434" s="21">
        <v>7</v>
      </c>
      <c r="O434" s="27">
        <v>8965565.8943697456</v>
      </c>
      <c r="P434" s="22">
        <v>1.6815390195229516E-2</v>
      </c>
      <c r="Q434" s="21">
        <v>13</v>
      </c>
      <c r="R434" s="27">
        <v>12826391.730796203</v>
      </c>
      <c r="S434" s="22">
        <v>2.4197871683498524E-2</v>
      </c>
      <c r="T434" s="23">
        <v>8</v>
      </c>
      <c r="U434" s="28">
        <v>13490342.959204631</v>
      </c>
      <c r="V434" s="24">
        <v>2.5040237548248589E-2</v>
      </c>
      <c r="W434" s="23">
        <v>5</v>
      </c>
      <c r="X434" s="28">
        <v>12888949.676446594</v>
      </c>
      <c r="Y434" s="24">
        <v>2.3402993886356721E-2</v>
      </c>
      <c r="Z434" s="23">
        <v>10</v>
      </c>
      <c r="AA434" s="28">
        <v>13945084.500248121</v>
      </c>
      <c r="AB434" s="24">
        <v>2.5699401420099497E-2</v>
      </c>
      <c r="AC434" s="17" t="s">
        <v>8085</v>
      </c>
      <c r="AD434" s="20">
        <v>0.1472368526446497</v>
      </c>
      <c r="AF434" s="17" t="s">
        <v>8085</v>
      </c>
      <c r="AG434" s="20">
        <v>5.7694794358776454E-2</v>
      </c>
      <c r="AI434" s="17" t="s">
        <v>8086</v>
      </c>
      <c r="AJ434" s="20">
        <v>0.54041670821838295</v>
      </c>
    </row>
    <row r="435" spans="1:36" x14ac:dyDescent="0.25">
      <c r="A435" t="s">
        <v>5289</v>
      </c>
      <c r="B435" t="s">
        <v>7508</v>
      </c>
      <c r="C435" t="s">
        <v>5290</v>
      </c>
      <c r="D435" s="3" t="s">
        <v>5184</v>
      </c>
      <c r="E435" s="3" t="s">
        <v>495</v>
      </c>
      <c r="G435" t="s">
        <v>496</v>
      </c>
      <c r="H435" t="s">
        <v>172</v>
      </c>
      <c r="I435" s="17">
        <v>1.01292449953638</v>
      </c>
      <c r="J435" s="17">
        <v>0.84777400862438201</v>
      </c>
      <c r="K435" s="21">
        <v>23</v>
      </c>
      <c r="L435" s="27">
        <v>27524295.724655099</v>
      </c>
      <c r="M435" s="22">
        <v>4.655983100562909E-2</v>
      </c>
      <c r="N435" s="21">
        <v>9</v>
      </c>
      <c r="O435" s="27">
        <v>18278100.00065833</v>
      </c>
      <c r="P435" s="22">
        <v>3.1189833865159174E-2</v>
      </c>
      <c r="Q435" s="21">
        <v>19</v>
      </c>
      <c r="R435" s="27">
        <v>27633365.791466985</v>
      </c>
      <c r="S435" s="22">
        <v>4.7430666303378541E-2</v>
      </c>
      <c r="T435" s="23">
        <v>17</v>
      </c>
      <c r="U435" s="28">
        <v>27456323.975551601</v>
      </c>
      <c r="V435" s="24">
        <v>4.6367172637582582E-2</v>
      </c>
      <c r="W435" s="23">
        <v>14</v>
      </c>
      <c r="X435" s="28">
        <v>26080772.232579552</v>
      </c>
      <c r="Y435" s="24">
        <v>4.3085100207083935E-2</v>
      </c>
      <c r="Z435" s="23">
        <v>14</v>
      </c>
      <c r="AA435" s="28">
        <v>27414818.372809753</v>
      </c>
      <c r="AB435" s="24">
        <v>4.5966347994797013E-2</v>
      </c>
    </row>
    <row r="436" spans="1:36" x14ac:dyDescent="0.25">
      <c r="A436" t="s">
        <v>5293</v>
      </c>
      <c r="B436" t="s">
        <v>7510</v>
      </c>
      <c r="C436" t="s">
        <v>5295</v>
      </c>
      <c r="D436" s="3" t="s">
        <v>5294</v>
      </c>
      <c r="E436" s="3" t="s">
        <v>495</v>
      </c>
      <c r="G436" t="s">
        <v>496</v>
      </c>
      <c r="H436" t="s">
        <v>172</v>
      </c>
      <c r="I436" s="17">
        <v>-1.00683884259621</v>
      </c>
      <c r="J436" s="17">
        <v>0.99975589127852404</v>
      </c>
      <c r="K436" s="21">
        <v>11</v>
      </c>
      <c r="L436" s="27">
        <v>14900837.3211719</v>
      </c>
      <c r="M436" s="22">
        <v>2.0703058916433648E-2</v>
      </c>
      <c r="N436" s="21">
        <v>13</v>
      </c>
      <c r="O436" s="27">
        <v>12182561.806142787</v>
      </c>
      <c r="P436" s="22">
        <v>1.7074551328551214E-2</v>
      </c>
      <c r="Q436" s="21">
        <v>11</v>
      </c>
      <c r="R436" s="27">
        <v>15908726.0793464</v>
      </c>
      <c r="S436" s="22">
        <v>2.2427946345393194E-2</v>
      </c>
      <c r="T436" s="23">
        <v>11</v>
      </c>
      <c r="U436" s="28">
        <v>15777234.421000334</v>
      </c>
      <c r="V436" s="24">
        <v>2.1884053447232377E-2</v>
      </c>
      <c r="W436" s="23">
        <v>7</v>
      </c>
      <c r="X436" s="28">
        <v>14854836.950346813</v>
      </c>
      <c r="Y436" s="24">
        <v>2.0155947333817145E-2</v>
      </c>
      <c r="Z436" s="23">
        <v>9</v>
      </c>
      <c r="AA436" s="28">
        <v>15652162.928974859</v>
      </c>
      <c r="AB436" s="24">
        <v>2.1555477721255715E-2</v>
      </c>
    </row>
    <row r="437" spans="1:36" x14ac:dyDescent="0.25">
      <c r="A437" t="s">
        <v>5218</v>
      </c>
      <c r="B437" t="s">
        <v>7483</v>
      </c>
      <c r="C437" t="s">
        <v>5220</v>
      </c>
      <c r="D437" s="3" t="s">
        <v>5219</v>
      </c>
      <c r="E437" s="3" t="s">
        <v>495</v>
      </c>
      <c r="G437" t="s">
        <v>496</v>
      </c>
      <c r="H437" t="s">
        <v>1991</v>
      </c>
      <c r="I437" s="17">
        <v>-1.02354666008448</v>
      </c>
      <c r="J437" s="17">
        <v>0.85853250695168704</v>
      </c>
      <c r="K437" s="21">
        <v>13</v>
      </c>
      <c r="L437" s="27">
        <v>18375319.111706</v>
      </c>
      <c r="M437" s="22">
        <v>3.817095666509919E-2</v>
      </c>
      <c r="N437" s="21">
        <v>12</v>
      </c>
      <c r="O437" s="27">
        <v>15880668.114883957</v>
      </c>
      <c r="P437" s="22">
        <v>3.3277734830692567E-2</v>
      </c>
      <c r="Q437" s="21">
        <v>13</v>
      </c>
      <c r="R437" s="27">
        <v>19811450.112057555</v>
      </c>
      <c r="S437" s="22">
        <v>4.1758479762807686E-2</v>
      </c>
      <c r="T437" s="23">
        <v>12</v>
      </c>
      <c r="U437" s="28">
        <v>19475468.526677098</v>
      </c>
      <c r="V437" s="24">
        <v>4.0388629152224652E-2</v>
      </c>
      <c r="W437" s="23">
        <v>9</v>
      </c>
      <c r="X437" s="28">
        <v>20201688.560056299</v>
      </c>
      <c r="Y437" s="24">
        <v>4.0982392390820702E-2</v>
      </c>
      <c r="Z437" s="23">
        <v>9</v>
      </c>
      <c r="AA437" s="28">
        <v>17677257.025399193</v>
      </c>
      <c r="AB437" s="24">
        <v>3.6397577459390956E-2</v>
      </c>
    </row>
    <row r="438" spans="1:36" x14ac:dyDescent="0.25">
      <c r="A438" t="s">
        <v>5291</v>
      </c>
      <c r="B438" t="s">
        <v>7509</v>
      </c>
      <c r="C438" t="s">
        <v>5292</v>
      </c>
      <c r="D438" s="3" t="s">
        <v>5219</v>
      </c>
      <c r="E438" s="3" t="s">
        <v>495</v>
      </c>
      <c r="G438" t="s">
        <v>496</v>
      </c>
      <c r="H438" t="s">
        <v>1991</v>
      </c>
      <c r="I438" s="17">
        <v>-1.0430363605331401</v>
      </c>
      <c r="J438" s="17">
        <v>0.932525044459385</v>
      </c>
      <c r="K438" s="21">
        <v>13</v>
      </c>
      <c r="L438" s="27">
        <v>13217717.4072857</v>
      </c>
      <c r="M438" s="22">
        <v>2.457530251928074E-2</v>
      </c>
      <c r="N438" s="21">
        <v>10</v>
      </c>
      <c r="O438" s="27">
        <v>8546977.5702142362</v>
      </c>
      <c r="P438" s="22">
        <v>1.6030305786194906E-2</v>
      </c>
      <c r="Q438" s="21">
        <v>12</v>
      </c>
      <c r="R438" s="27">
        <v>14651778.352768162</v>
      </c>
      <c r="S438" s="22">
        <v>2.7641589307154039E-2</v>
      </c>
      <c r="T438" s="23">
        <v>10</v>
      </c>
      <c r="U438" s="28">
        <v>13688181.508635467</v>
      </c>
      <c r="V438" s="24">
        <v>2.5407457587719041E-2</v>
      </c>
      <c r="W438" s="23">
        <v>10</v>
      </c>
      <c r="X438" s="28">
        <v>11409847.829080403</v>
      </c>
      <c r="Y438" s="24">
        <v>2.0717328074931724E-2</v>
      </c>
      <c r="Z438" s="23">
        <v>10</v>
      </c>
      <c r="AA438" s="28">
        <v>12730498.152716922</v>
      </c>
      <c r="AB438" s="24">
        <v>2.3461039787796633E-2</v>
      </c>
    </row>
    <row r="439" spans="1:36" x14ac:dyDescent="0.25">
      <c r="A439" t="s">
        <v>5267</v>
      </c>
      <c r="B439" t="s">
        <v>7501</v>
      </c>
      <c r="C439" t="s">
        <v>5269</v>
      </c>
      <c r="D439" s="3" t="s">
        <v>5268</v>
      </c>
      <c r="E439" s="3" t="s">
        <v>495</v>
      </c>
      <c r="G439" t="s">
        <v>496</v>
      </c>
      <c r="H439" t="s">
        <v>1991</v>
      </c>
      <c r="I439" s="17">
        <v>-1.04325817005562</v>
      </c>
      <c r="J439" s="17">
        <v>0.50660962844643997</v>
      </c>
      <c r="K439" s="21">
        <v>25</v>
      </c>
      <c r="L439" s="27">
        <v>79962938.102943197</v>
      </c>
      <c r="M439" s="22">
        <v>0.16292245131712202</v>
      </c>
      <c r="N439" s="21">
        <v>19</v>
      </c>
      <c r="O439" s="27">
        <v>77444643.466955706</v>
      </c>
      <c r="P439" s="22">
        <v>0.15917336948887215</v>
      </c>
      <c r="Q439" s="21">
        <v>26</v>
      </c>
      <c r="R439" s="27">
        <v>85391388.559209734</v>
      </c>
      <c r="S439" s="22">
        <v>0.17653731949744461</v>
      </c>
      <c r="T439" s="23">
        <v>25</v>
      </c>
      <c r="U439" s="28">
        <v>81469221.789346427</v>
      </c>
      <c r="V439" s="24">
        <v>0.16571384882050311</v>
      </c>
      <c r="W439" s="23">
        <v>23</v>
      </c>
      <c r="X439" s="28">
        <v>85211191.547573701</v>
      </c>
      <c r="Y439" s="24">
        <v>0.16955098296236246</v>
      </c>
      <c r="Z439" s="23">
        <v>19</v>
      </c>
      <c r="AA439" s="28">
        <v>85571326.513660118</v>
      </c>
      <c r="AB439" s="24">
        <v>0.17281439080230143</v>
      </c>
    </row>
    <row r="440" spans="1:36" x14ac:dyDescent="0.25">
      <c r="A440" t="s">
        <v>5283</v>
      </c>
      <c r="B440" t="s">
        <v>7506</v>
      </c>
      <c r="C440" t="s">
        <v>5285</v>
      </c>
      <c r="D440" s="3" t="s">
        <v>5284</v>
      </c>
      <c r="E440" s="3" t="s">
        <v>495</v>
      </c>
      <c r="G440" t="s">
        <v>496</v>
      </c>
      <c r="H440" t="s">
        <v>172</v>
      </c>
      <c r="I440" s="17">
        <v>-1.0557720260972601</v>
      </c>
      <c r="J440" s="17">
        <v>0.78629650351529201</v>
      </c>
      <c r="K440" s="21">
        <v>30</v>
      </c>
      <c r="L440" s="27">
        <v>25676450.4202962</v>
      </c>
      <c r="M440" s="22">
        <v>2.6074252809029586E-2</v>
      </c>
      <c r="N440" s="21">
        <v>15</v>
      </c>
      <c r="O440" s="27">
        <v>19408288.468783733</v>
      </c>
      <c r="P440" s="22">
        <v>1.9881582856382137E-2</v>
      </c>
      <c r="Q440" s="21">
        <v>32</v>
      </c>
      <c r="R440" s="27">
        <v>28283803.73019873</v>
      </c>
      <c r="S440" s="22">
        <v>2.9143718342065653E-2</v>
      </c>
      <c r="T440" s="23">
        <v>19</v>
      </c>
      <c r="U440" s="28">
        <v>25426928.857137278</v>
      </c>
      <c r="V440" s="24">
        <v>2.5777680591516486E-2</v>
      </c>
      <c r="W440" s="23">
        <v>12</v>
      </c>
      <c r="X440" s="28">
        <v>20837111.547511477</v>
      </c>
      <c r="Y440" s="24">
        <v>2.066454675233477E-2</v>
      </c>
      <c r="Z440" s="23">
        <v>22</v>
      </c>
      <c r="AA440" s="28">
        <v>28840149.480514284</v>
      </c>
      <c r="AB440" s="24">
        <v>2.9029118028182282E-2</v>
      </c>
    </row>
    <row r="441" spans="1:36" x14ac:dyDescent="0.25">
      <c r="A441" t="s">
        <v>5286</v>
      </c>
      <c r="B441" t="s">
        <v>7507</v>
      </c>
      <c r="C441" t="s">
        <v>5288</v>
      </c>
      <c r="D441" s="3" t="s">
        <v>5287</v>
      </c>
      <c r="E441" s="3" t="s">
        <v>495</v>
      </c>
      <c r="G441" t="s">
        <v>496</v>
      </c>
      <c r="H441" t="s">
        <v>1991</v>
      </c>
      <c r="I441" s="17">
        <v>-1.0568556807121099</v>
      </c>
      <c r="J441" s="17">
        <v>0.79658938460589201</v>
      </c>
      <c r="K441" s="21">
        <v>48</v>
      </c>
      <c r="L441" s="27">
        <v>155468033.563954</v>
      </c>
      <c r="M441" s="22">
        <v>0.24973943731323467</v>
      </c>
      <c r="N441" s="21">
        <v>31</v>
      </c>
      <c r="O441" s="27">
        <v>115309497.68571125</v>
      </c>
      <c r="P441" s="22">
        <v>0.18685207975107546</v>
      </c>
      <c r="Q441" s="21">
        <v>49</v>
      </c>
      <c r="R441" s="27">
        <v>169924678.97065908</v>
      </c>
      <c r="S441" s="22">
        <v>0.27697000651905535</v>
      </c>
      <c r="T441" s="23">
        <v>42</v>
      </c>
      <c r="U441" s="28">
        <v>158189749.22322223</v>
      </c>
      <c r="V441" s="24">
        <v>0.25368652802977143</v>
      </c>
      <c r="W441" s="23">
        <v>32</v>
      </c>
      <c r="X441" s="28">
        <v>136322211.11331716</v>
      </c>
      <c r="Y441" s="24">
        <v>0.21385732294443244</v>
      </c>
      <c r="Z441" s="23">
        <v>40</v>
      </c>
      <c r="AA441" s="28">
        <v>156946726.76842493</v>
      </c>
      <c r="AB441" s="24">
        <v>0.2498950961211136</v>
      </c>
    </row>
    <row r="442" spans="1:36" x14ac:dyDescent="0.25">
      <c r="A442" t="s">
        <v>5238</v>
      </c>
      <c r="B442" t="s">
        <v>7490</v>
      </c>
      <c r="C442" t="s">
        <v>5240</v>
      </c>
      <c r="D442" s="3" t="s">
        <v>5239</v>
      </c>
      <c r="E442" s="3" t="s">
        <v>495</v>
      </c>
      <c r="G442" t="s">
        <v>496</v>
      </c>
      <c r="H442" t="s">
        <v>104</v>
      </c>
      <c r="I442" s="17">
        <v>-1.07105536227014</v>
      </c>
      <c r="J442" s="17">
        <v>0.62371849536740198</v>
      </c>
      <c r="K442" s="21">
        <v>2</v>
      </c>
      <c r="L442" s="27">
        <v>2007646.13524517</v>
      </c>
      <c r="M442" s="22">
        <v>4.4766966240653312E-3</v>
      </c>
      <c r="N442" s="21">
        <v>4</v>
      </c>
      <c r="O442" s="27">
        <v>3055273.1522061741</v>
      </c>
      <c r="P442" s="22">
        <v>6.8723832912069797E-3</v>
      </c>
      <c r="Q442" s="21">
        <v>3</v>
      </c>
      <c r="R442" s="27">
        <v>3027915.6528706108</v>
      </c>
      <c r="S442" s="22">
        <v>6.8508511220658225E-3</v>
      </c>
      <c r="T442" s="23">
        <v>4</v>
      </c>
      <c r="U442" s="28">
        <v>2671436.2630044073</v>
      </c>
      <c r="V442" s="24">
        <v>5.9468688073337885E-3</v>
      </c>
      <c r="W442" s="23">
        <v>2</v>
      </c>
      <c r="X442" s="28">
        <v>2444093.3894448676</v>
      </c>
      <c r="Y442" s="24">
        <v>5.3223051940307457E-3</v>
      </c>
      <c r="Z442" s="23">
        <v>4</v>
      </c>
      <c r="AA442" s="28">
        <v>2955538.3250180539</v>
      </c>
      <c r="AB442" s="24">
        <v>6.5323062911976952E-3</v>
      </c>
    </row>
    <row r="443" spans="1:36" x14ac:dyDescent="0.25">
      <c r="A443" t="s">
        <v>5277</v>
      </c>
      <c r="B443" t="s">
        <v>7504</v>
      </c>
      <c r="C443" t="s">
        <v>5279</v>
      </c>
      <c r="D443" s="3" t="s">
        <v>5278</v>
      </c>
      <c r="E443" s="3" t="s">
        <v>495</v>
      </c>
      <c r="G443" t="s">
        <v>496</v>
      </c>
      <c r="H443" t="s">
        <v>172</v>
      </c>
      <c r="I443" s="17">
        <v>-1.0721697786886799</v>
      </c>
      <c r="J443" s="17">
        <v>0.59969586205520198</v>
      </c>
      <c r="K443" s="21">
        <v>14</v>
      </c>
      <c r="L443" s="27">
        <v>12290084.4811019</v>
      </c>
      <c r="M443" s="22">
        <v>1.9742442947796715E-2</v>
      </c>
      <c r="N443" s="21">
        <v>8</v>
      </c>
      <c r="O443" s="27">
        <v>10354635.267902883</v>
      </c>
      <c r="P443" s="22">
        <v>1.6779061341026375E-2</v>
      </c>
      <c r="Q443" s="21">
        <v>14</v>
      </c>
      <c r="R443" s="27">
        <v>13063478.005723855</v>
      </c>
      <c r="S443" s="22">
        <v>2.1292914074191815E-2</v>
      </c>
      <c r="T443" s="23">
        <v>12</v>
      </c>
      <c r="U443" s="28">
        <v>12892353.470767478</v>
      </c>
      <c r="V443" s="24">
        <v>2.0675273879576062E-2</v>
      </c>
      <c r="W443" s="23">
        <v>9</v>
      </c>
      <c r="X443" s="28">
        <v>11433505.003902964</v>
      </c>
      <c r="Y443" s="24">
        <v>1.7936466493885951E-2</v>
      </c>
      <c r="Z443" s="23">
        <v>10</v>
      </c>
      <c r="AA443" s="28">
        <v>11720658.587981747</v>
      </c>
      <c r="AB443" s="24">
        <v>1.8661969986593613E-2</v>
      </c>
    </row>
    <row r="444" spans="1:36" x14ac:dyDescent="0.25">
      <c r="A444" t="s">
        <v>5209</v>
      </c>
      <c r="B444" t="s">
        <v>7480</v>
      </c>
      <c r="C444" t="s">
        <v>5211</v>
      </c>
      <c r="D444" s="3" t="s">
        <v>5210</v>
      </c>
      <c r="E444" s="3" t="s">
        <v>495</v>
      </c>
      <c r="G444" t="s">
        <v>496</v>
      </c>
      <c r="H444" t="s">
        <v>172</v>
      </c>
      <c r="I444" s="17">
        <v>-1.0803081191402799</v>
      </c>
      <c r="J444" s="17">
        <v>0.67734397078392095</v>
      </c>
      <c r="K444" s="21">
        <v>8</v>
      </c>
      <c r="L444" s="27">
        <v>7334443.4390777797</v>
      </c>
      <c r="M444" s="22">
        <v>1.3065338540058938E-2</v>
      </c>
      <c r="N444" s="21">
        <v>1</v>
      </c>
      <c r="O444" s="27">
        <v>5504785.4232721878</v>
      </c>
      <c r="P444" s="22">
        <v>9.8919230842824443E-3</v>
      </c>
      <c r="Q444" s="21">
        <v>8</v>
      </c>
      <c r="R444" s="27">
        <v>7944816.7110720212</v>
      </c>
      <c r="S444" s="22">
        <v>1.4360436655311361E-2</v>
      </c>
      <c r="T444" s="23">
        <v>6</v>
      </c>
      <c r="U444" s="28">
        <v>7072177.1052060071</v>
      </c>
      <c r="V444" s="24">
        <v>1.257707571003183E-2</v>
      </c>
      <c r="W444" s="23">
        <v>5</v>
      </c>
      <c r="X444" s="28">
        <v>6859531.5057107387</v>
      </c>
      <c r="Y444" s="24">
        <v>1.1933269249239075E-2</v>
      </c>
      <c r="Z444" s="23">
        <v>6</v>
      </c>
      <c r="AA444" s="28">
        <v>6954960.289697485</v>
      </c>
      <c r="AB444" s="24">
        <v>1.2280261244860849E-2</v>
      </c>
    </row>
    <row r="445" spans="1:36" x14ac:dyDescent="0.25">
      <c r="A445" t="s">
        <v>5296</v>
      </c>
      <c r="B445" t="s">
        <v>7511</v>
      </c>
      <c r="C445" t="s">
        <v>5300</v>
      </c>
      <c r="D445" s="3" t="s">
        <v>5297</v>
      </c>
      <c r="E445" s="3" t="s">
        <v>495</v>
      </c>
      <c r="F445" t="s">
        <v>5298</v>
      </c>
      <c r="G445" t="s">
        <v>5299</v>
      </c>
      <c r="H445" t="s">
        <v>41</v>
      </c>
      <c r="I445" s="17">
        <v>-1.0824619514563001</v>
      </c>
      <c r="J445" s="17">
        <v>0.474142599451225</v>
      </c>
      <c r="K445" s="21">
        <v>2</v>
      </c>
      <c r="L445" s="27">
        <v>7665029.82690717</v>
      </c>
      <c r="M445" s="22">
        <v>3.1135133123782344E-2</v>
      </c>
      <c r="N445" s="21">
        <v>0</v>
      </c>
      <c r="O445" s="27">
        <v>6750546.0585628469</v>
      </c>
      <c r="P445" s="22">
        <v>2.7660664876247441E-2</v>
      </c>
      <c r="Q445" s="21">
        <v>2</v>
      </c>
      <c r="R445" s="27">
        <v>8681144.0050681885</v>
      </c>
      <c r="S445" s="22">
        <v>3.5780309916447206E-2</v>
      </c>
      <c r="T445" s="23">
        <v>1</v>
      </c>
      <c r="U445" s="28">
        <v>7032250.5782538792</v>
      </c>
      <c r="V445" s="24">
        <v>2.8517027795883759E-2</v>
      </c>
      <c r="W445" s="23">
        <v>1</v>
      </c>
      <c r="X445" s="28">
        <v>7919574.2078980803</v>
      </c>
      <c r="Y445" s="24">
        <v>3.1415949586782205E-2</v>
      </c>
      <c r="Z445" s="23">
        <v>0</v>
      </c>
      <c r="AA445" s="28">
        <v>8213483.0935065513</v>
      </c>
      <c r="AB445" s="24">
        <v>3.3069200325050424E-2</v>
      </c>
    </row>
    <row r="446" spans="1:36" x14ac:dyDescent="0.25">
      <c r="A446" t="s">
        <v>5273</v>
      </c>
      <c r="B446" t="s">
        <v>7503</v>
      </c>
      <c r="C446" t="s">
        <v>5276</v>
      </c>
      <c r="D446" s="3" t="s">
        <v>5274</v>
      </c>
      <c r="E446" s="3" t="s">
        <v>495</v>
      </c>
      <c r="G446" t="s">
        <v>496</v>
      </c>
      <c r="H446" t="s">
        <v>5275</v>
      </c>
      <c r="I446" s="17">
        <v>-1.0998622394166</v>
      </c>
      <c r="J446" s="17">
        <v>0.53262065874042697</v>
      </c>
      <c r="K446" s="21">
        <v>18</v>
      </c>
      <c r="L446" s="27">
        <v>19680161.274530299</v>
      </c>
      <c r="M446" s="22">
        <v>3.2016887961140959E-2</v>
      </c>
      <c r="N446" s="21">
        <v>11</v>
      </c>
      <c r="O446" s="27">
        <v>15876215.302038452</v>
      </c>
      <c r="P446" s="22">
        <v>2.6054591922974751E-2</v>
      </c>
      <c r="Q446" s="21">
        <v>17</v>
      </c>
      <c r="R446" s="27">
        <v>20446701.123642795</v>
      </c>
      <c r="S446" s="22">
        <v>3.3752346564756411E-2</v>
      </c>
      <c r="T446" s="23">
        <v>15</v>
      </c>
      <c r="U446" s="28">
        <v>19721061.810240395</v>
      </c>
      <c r="V446" s="24">
        <v>3.2029768604457651E-2</v>
      </c>
      <c r="W446" s="23">
        <v>14</v>
      </c>
      <c r="X446" s="28">
        <v>16773372.815163603</v>
      </c>
      <c r="Y446" s="24">
        <v>2.6649087581874543E-2</v>
      </c>
      <c r="Z446" s="23">
        <v>13</v>
      </c>
      <c r="AA446" s="28">
        <v>18612180.62465357</v>
      </c>
      <c r="AB446" s="24">
        <v>3.001284528049129E-2</v>
      </c>
    </row>
    <row r="447" spans="1:36" x14ac:dyDescent="0.25">
      <c r="A447" t="s">
        <v>5264</v>
      </c>
      <c r="B447" t="s">
        <v>7500</v>
      </c>
      <c r="C447" t="s">
        <v>5266</v>
      </c>
      <c r="D447" s="3" t="s">
        <v>5265</v>
      </c>
      <c r="E447" s="3" t="s">
        <v>495</v>
      </c>
      <c r="G447" t="s">
        <v>496</v>
      </c>
      <c r="H447" t="s">
        <v>172</v>
      </c>
      <c r="I447" s="17">
        <v>-1.1062272852495001</v>
      </c>
      <c r="J447" s="17">
        <v>0.35129999784388799</v>
      </c>
      <c r="K447" s="21">
        <v>19</v>
      </c>
      <c r="L447" s="27">
        <v>24749063.899973601</v>
      </c>
      <c r="M447" s="22">
        <v>4.4711640199795032E-2</v>
      </c>
      <c r="N447" s="21">
        <v>8</v>
      </c>
      <c r="O447" s="27">
        <v>21958894.854594707</v>
      </c>
      <c r="P447" s="22">
        <v>4.0018346147077243E-2</v>
      </c>
      <c r="Q447" s="21">
        <v>17</v>
      </c>
      <c r="R447" s="27">
        <v>27492502.583232008</v>
      </c>
      <c r="S447" s="22">
        <v>5.0397194282952106E-2</v>
      </c>
      <c r="T447" s="23">
        <v>13</v>
      </c>
      <c r="U447" s="28">
        <v>24446124.505798656</v>
      </c>
      <c r="V447" s="24">
        <v>4.4090486188570185E-2</v>
      </c>
      <c r="W447" s="23">
        <v>12</v>
      </c>
      <c r="X447" s="28">
        <v>23926520.135989841</v>
      </c>
      <c r="Y447" s="24">
        <v>4.2213644202283324E-2</v>
      </c>
      <c r="Z447" s="23">
        <v>11</v>
      </c>
      <c r="AA447" s="28">
        <v>24269754.5680562</v>
      </c>
      <c r="AB447" s="24">
        <v>4.3459693282649148E-2</v>
      </c>
    </row>
    <row r="448" spans="1:36" x14ac:dyDescent="0.25">
      <c r="A448" t="s">
        <v>5232</v>
      </c>
      <c r="B448" t="s">
        <v>7488</v>
      </c>
      <c r="C448" t="s">
        <v>5234</v>
      </c>
      <c r="D448" s="3" t="s">
        <v>5233</v>
      </c>
      <c r="E448" s="3" t="s">
        <v>495</v>
      </c>
      <c r="G448" t="s">
        <v>496</v>
      </c>
      <c r="H448" t="s">
        <v>41</v>
      </c>
      <c r="I448" s="17">
        <v>-1.1165975040859999</v>
      </c>
      <c r="J448" s="17">
        <v>0.47474025177547602</v>
      </c>
      <c r="K448" s="21">
        <v>4</v>
      </c>
      <c r="L448" s="27">
        <v>2442910.6526758499</v>
      </c>
      <c r="M448" s="22">
        <v>6.9240723217657372E-3</v>
      </c>
      <c r="N448" s="21">
        <v>1</v>
      </c>
      <c r="O448" s="27">
        <v>1913901.5432022172</v>
      </c>
      <c r="P448" s="22">
        <v>5.4721807892879172E-3</v>
      </c>
      <c r="Q448" s="21">
        <v>3</v>
      </c>
      <c r="R448" s="27">
        <v>2194116.6206067661</v>
      </c>
      <c r="S448" s="22">
        <v>6.3102124191475473E-3</v>
      </c>
      <c r="T448" s="23">
        <v>3</v>
      </c>
      <c r="U448" s="28">
        <v>2205094.7922638995</v>
      </c>
      <c r="V448" s="24">
        <v>6.2395650875799648E-3</v>
      </c>
      <c r="W448" s="23">
        <v>2</v>
      </c>
      <c r="X448" s="28">
        <v>2365973.2490055733</v>
      </c>
      <c r="Y448" s="24">
        <v>6.5490050152377417E-3</v>
      </c>
      <c r="Z448" s="23">
        <v>3</v>
      </c>
      <c r="AA448" s="28">
        <v>1834998.2775491353</v>
      </c>
      <c r="AB448" s="24">
        <v>5.1552427563058174E-3</v>
      </c>
    </row>
    <row r="449" spans="1:28" x14ac:dyDescent="0.25">
      <c r="A449" t="s">
        <v>5227</v>
      </c>
      <c r="B449" t="s">
        <v>7486</v>
      </c>
      <c r="C449" t="s">
        <v>5228</v>
      </c>
      <c r="D449" s="3" t="s">
        <v>4413</v>
      </c>
      <c r="E449" s="3" t="s">
        <v>495</v>
      </c>
      <c r="G449" s="13" t="s">
        <v>496</v>
      </c>
      <c r="H449" t="s">
        <v>57</v>
      </c>
      <c r="I449" s="17">
        <v>-1.1313717452201</v>
      </c>
      <c r="J449" s="17">
        <v>0.39437548872735601</v>
      </c>
      <c r="K449" s="21">
        <v>8</v>
      </c>
      <c r="L449" s="27">
        <v>4957155.8038560702</v>
      </c>
      <c r="M449" s="22">
        <v>1.0197821488037318E-2</v>
      </c>
      <c r="N449" s="21">
        <v>5</v>
      </c>
      <c r="O449" s="27">
        <v>4082777.4377203998</v>
      </c>
      <c r="P449" s="22">
        <v>8.4726130998029458E-3</v>
      </c>
      <c r="Q449" s="21">
        <v>6</v>
      </c>
      <c r="R449" s="27">
        <v>5270544.2672448251</v>
      </c>
      <c r="S449" s="22">
        <v>1.1001719332800398E-2</v>
      </c>
      <c r="T449" s="23">
        <v>5</v>
      </c>
      <c r="U449" s="28">
        <v>4825855.6215645596</v>
      </c>
      <c r="V449" s="24">
        <v>9.9111079120517177E-3</v>
      </c>
      <c r="W449" s="23">
        <v>5</v>
      </c>
      <c r="X449" s="28">
        <v>4239321.0280842036</v>
      </c>
      <c r="Y449" s="24">
        <v>8.5169210739126158E-3</v>
      </c>
      <c r="Z449" s="23">
        <v>5</v>
      </c>
      <c r="AA449" s="28">
        <v>4624331.4078593664</v>
      </c>
      <c r="AB449" s="24">
        <v>9.4293821013688821E-3</v>
      </c>
    </row>
    <row r="450" spans="1:28" x14ac:dyDescent="0.25">
      <c r="A450" t="s">
        <v>5270</v>
      </c>
      <c r="B450" t="s">
        <v>7502</v>
      </c>
      <c r="C450" t="s">
        <v>5272</v>
      </c>
      <c r="D450" s="3" t="s">
        <v>5271</v>
      </c>
      <c r="E450" s="3" t="s">
        <v>495</v>
      </c>
      <c r="G450" t="s">
        <v>496</v>
      </c>
      <c r="H450" t="s">
        <v>172</v>
      </c>
      <c r="I450" s="17">
        <v>-1.1392168002087399</v>
      </c>
      <c r="J450" s="17">
        <v>0.512416654732466</v>
      </c>
      <c r="K450" s="21">
        <v>14</v>
      </c>
      <c r="L450" s="27">
        <v>22176778.832431599</v>
      </c>
      <c r="M450" s="22">
        <v>3.8960845269455452E-2</v>
      </c>
      <c r="N450" s="21">
        <v>7</v>
      </c>
      <c r="O450" s="27">
        <v>15826764.257334204</v>
      </c>
      <c r="P450" s="22">
        <v>2.804845029772125E-2</v>
      </c>
      <c r="Q450" s="21">
        <v>16</v>
      </c>
      <c r="R450" s="27">
        <v>23181053.619632613</v>
      </c>
      <c r="S450" s="22">
        <v>4.1323142071339178E-2</v>
      </c>
      <c r="T450" s="23">
        <v>9</v>
      </c>
      <c r="U450" s="28">
        <v>20290895.400242008</v>
      </c>
      <c r="V450" s="24">
        <v>3.5588047450646199E-2</v>
      </c>
      <c r="W450" s="23">
        <v>8</v>
      </c>
      <c r="X450" s="28">
        <v>18225414.868265666</v>
      </c>
      <c r="Y450" s="24">
        <v>3.12693468004034E-2</v>
      </c>
      <c r="Z450" s="23">
        <v>9</v>
      </c>
      <c r="AA450" s="28">
        <v>19763948.832632393</v>
      </c>
      <c r="AB450" s="24">
        <v>3.4416212430767402E-2</v>
      </c>
    </row>
    <row r="451" spans="1:28" x14ac:dyDescent="0.25">
      <c r="A451" t="s">
        <v>5212</v>
      </c>
      <c r="B451" t="s">
        <v>7481</v>
      </c>
      <c r="C451" t="s">
        <v>5214</v>
      </c>
      <c r="D451" s="3" t="s">
        <v>5213</v>
      </c>
      <c r="E451" s="3" t="s">
        <v>495</v>
      </c>
      <c r="G451" t="s">
        <v>496</v>
      </c>
      <c r="H451" t="s">
        <v>172</v>
      </c>
      <c r="I451" s="17">
        <v>-1.14531160511514</v>
      </c>
      <c r="J451" s="17">
        <v>0.79786426053907</v>
      </c>
      <c r="K451" s="21">
        <v>4</v>
      </c>
      <c r="L451" s="27">
        <v>1202985.25141079</v>
      </c>
      <c r="M451" s="22">
        <v>2.0083225757079387E-3</v>
      </c>
      <c r="N451" s="21">
        <v>2</v>
      </c>
      <c r="O451" s="27">
        <v>583637.14157931821</v>
      </c>
      <c r="P451" s="22">
        <v>9.8288548484851135E-4</v>
      </c>
      <c r="Q451" s="21">
        <v>3</v>
      </c>
      <c r="R451" s="27">
        <v>1277088.5169409851</v>
      </c>
      <c r="S451" s="22">
        <v>2.1633382389604165E-3</v>
      </c>
      <c r="T451" s="23">
        <v>2</v>
      </c>
      <c r="U451" s="28">
        <v>1112202.7700239555</v>
      </c>
      <c r="V451" s="24">
        <v>1.8536604479870128E-3</v>
      </c>
      <c r="W451" s="23">
        <v>1</v>
      </c>
      <c r="X451" s="28">
        <v>861145.64554398193</v>
      </c>
      <c r="Y451" s="24">
        <v>1.4039810892149806E-3</v>
      </c>
      <c r="Z451" s="23">
        <v>1</v>
      </c>
      <c r="AA451" s="28">
        <v>932273.78028205794</v>
      </c>
      <c r="AB451" s="24">
        <v>1.5426808378436016E-3</v>
      </c>
    </row>
    <row r="452" spans="1:28" x14ac:dyDescent="0.25">
      <c r="A452" t="s">
        <v>5177</v>
      </c>
      <c r="B452" t="s">
        <v>7469</v>
      </c>
      <c r="C452" t="s">
        <v>5179</v>
      </c>
      <c r="D452" s="3" t="s">
        <v>5178</v>
      </c>
      <c r="E452" s="3" t="s">
        <v>495</v>
      </c>
      <c r="G452" t="s">
        <v>496</v>
      </c>
      <c r="H452" t="s">
        <v>172</v>
      </c>
      <c r="I452" s="17">
        <v>-1.14896194571885</v>
      </c>
      <c r="J452" s="17">
        <v>0.149685686480166</v>
      </c>
      <c r="K452" s="21">
        <v>5</v>
      </c>
      <c r="L452" s="27">
        <v>3131538.7707269602</v>
      </c>
      <c r="M452" s="22">
        <v>5.9260378673453122E-3</v>
      </c>
      <c r="N452" s="21">
        <v>3</v>
      </c>
      <c r="O452" s="27">
        <v>3050839.873273246</v>
      </c>
      <c r="P452" s="22">
        <v>5.8238861380371819E-3</v>
      </c>
      <c r="Q452" s="21">
        <v>7</v>
      </c>
      <c r="R452" s="27">
        <v>3076048.8232766921</v>
      </c>
      <c r="S452" s="22">
        <v>5.9064987087977328E-3</v>
      </c>
      <c r="T452" s="23">
        <v>5</v>
      </c>
      <c r="U452" s="28">
        <v>3002332.1936294571</v>
      </c>
      <c r="V452" s="24">
        <v>5.6720286546484517E-3</v>
      </c>
      <c r="W452" s="23">
        <v>4</v>
      </c>
      <c r="X452" s="28">
        <v>3174372.7215055753</v>
      </c>
      <c r="Y452" s="24">
        <v>5.8664588509510732E-3</v>
      </c>
      <c r="Z452" s="23">
        <v>3</v>
      </c>
      <c r="AA452" s="28">
        <v>2576546.1185164419</v>
      </c>
      <c r="AB452" s="24">
        <v>4.8328575844038572E-3</v>
      </c>
    </row>
    <row r="453" spans="1:28" x14ac:dyDescent="0.25">
      <c r="A453" t="s">
        <v>5261</v>
      </c>
      <c r="B453" t="s">
        <v>7499</v>
      </c>
      <c r="C453" t="s">
        <v>5263</v>
      </c>
      <c r="D453" s="3" t="s">
        <v>5262</v>
      </c>
      <c r="E453" s="3" t="s">
        <v>495</v>
      </c>
      <c r="G453" t="s">
        <v>496</v>
      </c>
      <c r="H453" t="s">
        <v>172</v>
      </c>
      <c r="I453" s="17">
        <v>-1.1551891448777101</v>
      </c>
      <c r="J453" s="17">
        <v>0.23315652162872499</v>
      </c>
      <c r="K453" s="21">
        <v>37</v>
      </c>
      <c r="L453" s="27">
        <v>78516822.5334557</v>
      </c>
      <c r="M453" s="22">
        <v>0.13533107203747108</v>
      </c>
      <c r="N453" s="21">
        <v>26</v>
      </c>
      <c r="O453" s="27">
        <v>71716823.834943384</v>
      </c>
      <c r="P453" s="22">
        <v>0.12469317577835562</v>
      </c>
      <c r="Q453" s="21">
        <v>39</v>
      </c>
      <c r="R453" s="27">
        <v>84600593.887675881</v>
      </c>
      <c r="S453" s="22">
        <v>0.1479580086555102</v>
      </c>
      <c r="T453" s="23">
        <v>36</v>
      </c>
      <c r="U453" s="28">
        <v>77452269.072687179</v>
      </c>
      <c r="V453" s="24">
        <v>0.13327294522657399</v>
      </c>
      <c r="W453" s="23">
        <v>26</v>
      </c>
      <c r="X453" s="28">
        <v>67511525.885071874</v>
      </c>
      <c r="Y453" s="24">
        <v>0.11363816469497696</v>
      </c>
      <c r="Z453" s="23">
        <v>33</v>
      </c>
      <c r="AA453" s="28">
        <v>74647706.708068028</v>
      </c>
      <c r="AB453" s="24">
        <v>0.12752951964621048</v>
      </c>
    </row>
    <row r="454" spans="1:28" x14ac:dyDescent="0.25">
      <c r="A454" t="s">
        <v>5204</v>
      </c>
      <c r="B454" t="s">
        <v>7478</v>
      </c>
      <c r="C454" t="s">
        <v>5205</v>
      </c>
      <c r="D454" s="3" t="s">
        <v>5184</v>
      </c>
      <c r="E454" s="3" t="s">
        <v>495</v>
      </c>
      <c r="G454" t="s">
        <v>496</v>
      </c>
      <c r="H454" t="s">
        <v>172</v>
      </c>
      <c r="I454" s="17">
        <v>-1.1587547708282899</v>
      </c>
      <c r="J454" s="17">
        <v>0.55284171687675199</v>
      </c>
      <c r="K454" s="21">
        <v>9</v>
      </c>
      <c r="L454" s="27">
        <v>13076748.3212924</v>
      </c>
      <c r="M454" s="22">
        <v>3.0325194962106266E-2</v>
      </c>
      <c r="N454" s="21">
        <v>4</v>
      </c>
      <c r="O454" s="27">
        <v>9159157.8659129646</v>
      </c>
      <c r="P454" s="22">
        <v>2.142625223905963E-2</v>
      </c>
      <c r="Q454" s="21">
        <v>8</v>
      </c>
      <c r="R454" s="27">
        <v>15554093.905701138</v>
      </c>
      <c r="S454" s="22">
        <v>3.6599808468571318E-2</v>
      </c>
      <c r="T454" s="23">
        <v>4</v>
      </c>
      <c r="U454" s="28">
        <v>12343606.90304569</v>
      </c>
      <c r="V454" s="24">
        <v>2.8577153179138001E-2</v>
      </c>
      <c r="W454" s="23">
        <v>5</v>
      </c>
      <c r="X454" s="28">
        <v>9967974.5375368074</v>
      </c>
      <c r="Y454" s="24">
        <v>2.2574712979291787E-2</v>
      </c>
      <c r="Z454" s="23">
        <v>4</v>
      </c>
      <c r="AA454" s="28">
        <v>12910000.264433356</v>
      </c>
      <c r="AB454" s="24">
        <v>2.9674918522349075E-2</v>
      </c>
    </row>
    <row r="455" spans="1:28" x14ac:dyDescent="0.25">
      <c r="A455" t="s">
        <v>5252</v>
      </c>
      <c r="B455" t="s">
        <v>7495</v>
      </c>
      <c r="C455" t="s">
        <v>5253</v>
      </c>
      <c r="D455" s="3" t="s">
        <v>4413</v>
      </c>
      <c r="E455" s="3" t="s">
        <v>495</v>
      </c>
      <c r="G455" t="s">
        <v>496</v>
      </c>
      <c r="H455" t="s">
        <v>172</v>
      </c>
      <c r="I455" s="17">
        <v>-1.1613475060684699</v>
      </c>
      <c r="J455" s="17">
        <v>3.8545982887819699E-2</v>
      </c>
      <c r="K455" s="21">
        <v>10</v>
      </c>
      <c r="L455" s="27">
        <v>36526993.627173699</v>
      </c>
      <c r="M455" s="22">
        <v>0.1012797505574182</v>
      </c>
      <c r="N455" s="21">
        <v>8</v>
      </c>
      <c r="O455" s="27">
        <v>42588472.594059624</v>
      </c>
      <c r="P455" s="22">
        <v>0.11912079722011684</v>
      </c>
      <c r="Q455" s="21">
        <v>10</v>
      </c>
      <c r="R455" s="27">
        <v>37200521.154828385</v>
      </c>
      <c r="S455" s="22">
        <v>0.10466174659738087</v>
      </c>
      <c r="T455" s="23">
        <v>8</v>
      </c>
      <c r="U455" s="28">
        <v>33100052.758906163</v>
      </c>
      <c r="V455" s="24">
        <v>9.1624248143575046E-2</v>
      </c>
      <c r="W455" s="23">
        <v>9</v>
      </c>
      <c r="X455" s="28">
        <v>37923878.466198757</v>
      </c>
      <c r="Y455" s="24">
        <v>0.10269112727762579</v>
      </c>
      <c r="Z455" s="23">
        <v>9</v>
      </c>
      <c r="AA455" s="28">
        <v>37509782.327977315</v>
      </c>
      <c r="AB455" s="24">
        <v>0.10308908519952313</v>
      </c>
    </row>
    <row r="456" spans="1:28" x14ac:dyDescent="0.25">
      <c r="A456" t="s">
        <v>5254</v>
      </c>
      <c r="B456" t="s">
        <v>7496</v>
      </c>
      <c r="C456" t="s">
        <v>5255</v>
      </c>
      <c r="D456" s="3" t="s">
        <v>5236</v>
      </c>
      <c r="E456" s="3" t="s">
        <v>495</v>
      </c>
      <c r="G456" t="s">
        <v>496</v>
      </c>
      <c r="H456" t="s">
        <v>172</v>
      </c>
      <c r="I456" s="17">
        <v>-1.16420915451325</v>
      </c>
      <c r="J456" s="17">
        <v>6.01089997236922E-2</v>
      </c>
      <c r="K456" s="21">
        <v>15</v>
      </c>
      <c r="L456" s="27">
        <v>27778390.606568899</v>
      </c>
      <c r="M456" s="22">
        <v>4.880192864954315E-2</v>
      </c>
      <c r="N456" s="21">
        <v>16</v>
      </c>
      <c r="O456" s="27">
        <v>32789078.563131586</v>
      </c>
      <c r="P456" s="22">
        <v>5.8109340951350036E-2</v>
      </c>
      <c r="Q456" s="21">
        <v>16</v>
      </c>
      <c r="R456" s="27">
        <v>28862059.684005711</v>
      </c>
      <c r="S456" s="22">
        <v>5.1450249516852661E-2</v>
      </c>
      <c r="T456" s="23">
        <v>16</v>
      </c>
      <c r="U456" s="28">
        <v>28412180.455133107</v>
      </c>
      <c r="V456" s="24">
        <v>4.9831907674293172E-2</v>
      </c>
      <c r="W456" s="23">
        <v>15</v>
      </c>
      <c r="X456" s="28">
        <v>28725655.156475224</v>
      </c>
      <c r="Y456" s="24">
        <v>4.9284610509505285E-2</v>
      </c>
      <c r="Z456" s="23">
        <v>15</v>
      </c>
      <c r="AA456" s="28">
        <v>25883081.394336116</v>
      </c>
      <c r="AB456" s="24">
        <v>4.5071844456483962E-2</v>
      </c>
    </row>
    <row r="457" spans="1:28" x14ac:dyDescent="0.25">
      <c r="A457" t="s">
        <v>5206</v>
      </c>
      <c r="B457" t="s">
        <v>7479</v>
      </c>
      <c r="C457" t="s">
        <v>5208</v>
      </c>
      <c r="D457" s="3" t="s">
        <v>5207</v>
      </c>
      <c r="E457" s="3" t="s">
        <v>495</v>
      </c>
      <c r="G457" t="s">
        <v>496</v>
      </c>
      <c r="H457" t="s">
        <v>172</v>
      </c>
      <c r="I457" s="17">
        <v>-1.1645927078481699</v>
      </c>
      <c r="J457" s="17">
        <v>0.59126133961827798</v>
      </c>
      <c r="K457" s="21">
        <v>16</v>
      </c>
      <c r="L457" s="27">
        <v>8716559.5696226507</v>
      </c>
      <c r="M457" s="22">
        <v>1.2867609892027737E-2</v>
      </c>
      <c r="N457" s="21">
        <v>9</v>
      </c>
      <c r="O457" s="27">
        <v>5597845.0613119109</v>
      </c>
      <c r="P457" s="22">
        <v>8.3360534300126431E-3</v>
      </c>
      <c r="Q457" s="21">
        <v>13</v>
      </c>
      <c r="R457" s="27">
        <v>10207256.912961613</v>
      </c>
      <c r="S457" s="22">
        <v>1.5289457956154381E-2</v>
      </c>
      <c r="T457" s="23">
        <v>9</v>
      </c>
      <c r="U457" s="28">
        <v>7385891.4288535528</v>
      </c>
      <c r="V457" s="24">
        <v>1.0885007845857209E-2</v>
      </c>
      <c r="W457" s="23">
        <v>8</v>
      </c>
      <c r="X457" s="28">
        <v>7124863.2433809284</v>
      </c>
      <c r="Y457" s="24">
        <v>1.0271663823887544E-2</v>
      </c>
      <c r="Z457" s="23">
        <v>11</v>
      </c>
      <c r="AA457" s="28">
        <v>8343443.4532476747</v>
      </c>
      <c r="AB457" s="24">
        <v>1.220836648483202E-2</v>
      </c>
    </row>
    <row r="458" spans="1:28" x14ac:dyDescent="0.25">
      <c r="A458" t="s">
        <v>5202</v>
      </c>
      <c r="B458" t="s">
        <v>7477</v>
      </c>
      <c r="C458" t="s">
        <v>5203</v>
      </c>
      <c r="D458" s="3" t="s">
        <v>4413</v>
      </c>
      <c r="E458" s="3" t="s">
        <v>495</v>
      </c>
      <c r="G458" t="s">
        <v>496</v>
      </c>
      <c r="H458" t="s">
        <v>172</v>
      </c>
      <c r="I458" s="17">
        <v>-1.1658161404368601</v>
      </c>
      <c r="J458" s="17">
        <v>0.54498486171583704</v>
      </c>
      <c r="K458" s="21">
        <v>5</v>
      </c>
      <c r="L458" s="27">
        <v>4413226.3125499999</v>
      </c>
      <c r="M458" s="22">
        <v>6.9492463215150681E-3</v>
      </c>
      <c r="N458" s="21">
        <v>3</v>
      </c>
      <c r="O458" s="27">
        <v>3024049.2962824218</v>
      </c>
      <c r="P458" s="22">
        <v>4.8034934839289991E-3</v>
      </c>
      <c r="Q458" s="21">
        <v>6</v>
      </c>
      <c r="R458" s="27">
        <v>5247430.4851916423</v>
      </c>
      <c r="S458" s="22">
        <v>8.3841388236167991E-3</v>
      </c>
      <c r="T458" s="23">
        <v>4</v>
      </c>
      <c r="U458" s="28">
        <v>4055413.5811297093</v>
      </c>
      <c r="V458" s="24">
        <v>6.3751396400756081E-3</v>
      </c>
      <c r="W458" s="23">
        <v>1</v>
      </c>
      <c r="X458" s="28">
        <v>3486389.6981837749</v>
      </c>
      <c r="Y458" s="24">
        <v>5.3612852855174633E-3</v>
      </c>
      <c r="Z458" s="23">
        <v>3</v>
      </c>
      <c r="AA458" s="28">
        <v>4228230.2662164494</v>
      </c>
      <c r="AB458" s="24">
        <v>6.5993260407302724E-3</v>
      </c>
    </row>
    <row r="459" spans="1:28" x14ac:dyDescent="0.25">
      <c r="A459" t="s">
        <v>5190</v>
      </c>
      <c r="B459" t="s">
        <v>7473</v>
      </c>
      <c r="C459" t="s">
        <v>5192</v>
      </c>
      <c r="D459" s="3" t="s">
        <v>5191</v>
      </c>
      <c r="E459" s="3" t="s">
        <v>495</v>
      </c>
      <c r="G459" t="s">
        <v>496</v>
      </c>
      <c r="H459" t="s">
        <v>172</v>
      </c>
      <c r="I459" s="17">
        <v>-1.1715681973811201</v>
      </c>
      <c r="J459" s="17">
        <v>0.23894480519365399</v>
      </c>
      <c r="K459" s="21">
        <v>5</v>
      </c>
      <c r="L459" s="27">
        <v>4091565.2824121099</v>
      </c>
      <c r="M459" s="22">
        <v>9.4884073502662473E-3</v>
      </c>
      <c r="N459" s="21">
        <v>3</v>
      </c>
      <c r="O459" s="27">
        <v>3269444.0165233058</v>
      </c>
      <c r="P459" s="22">
        <v>7.6482940031223027E-3</v>
      </c>
      <c r="Q459" s="21">
        <v>5</v>
      </c>
      <c r="R459" s="27">
        <v>4119429.2776126554</v>
      </c>
      <c r="S459" s="22">
        <v>9.6932886913576807E-3</v>
      </c>
      <c r="T459" s="23">
        <v>3</v>
      </c>
      <c r="U459" s="28">
        <v>3390282.3073919974</v>
      </c>
      <c r="V459" s="24">
        <v>7.8489713403751531E-3</v>
      </c>
      <c r="W459" s="23">
        <v>3</v>
      </c>
      <c r="X459" s="28">
        <v>3650765.6582545</v>
      </c>
      <c r="Y459" s="24">
        <v>8.2679772685410775E-3</v>
      </c>
      <c r="Z459" s="23">
        <v>1</v>
      </c>
      <c r="AA459" s="28">
        <v>3625750.1048388989</v>
      </c>
      <c r="AB459" s="24">
        <v>8.3341469201910524E-3</v>
      </c>
    </row>
    <row r="460" spans="1:28" x14ac:dyDescent="0.25">
      <c r="A460" t="s">
        <v>5224</v>
      </c>
      <c r="B460" t="s">
        <v>7485</v>
      </c>
      <c r="C460" t="s">
        <v>5226</v>
      </c>
      <c r="D460" s="3" t="s">
        <v>5225</v>
      </c>
      <c r="E460" s="3" t="s">
        <v>495</v>
      </c>
      <c r="G460" s="13" t="s">
        <v>496</v>
      </c>
      <c r="H460" t="s">
        <v>57</v>
      </c>
      <c r="I460" s="17">
        <v>-1.1793258138850999</v>
      </c>
      <c r="J460" s="17">
        <v>0.36186830509448997</v>
      </c>
      <c r="K460" s="21">
        <v>15</v>
      </c>
      <c r="L460" s="27">
        <v>12104549.7109256</v>
      </c>
      <c r="M460" s="22">
        <v>1.5255788236620584E-2</v>
      </c>
      <c r="N460" s="21">
        <v>9</v>
      </c>
      <c r="O460" s="27">
        <v>9553970.506592704</v>
      </c>
      <c r="P460" s="22">
        <v>1.2146656275349506E-2</v>
      </c>
      <c r="Q460" s="21">
        <v>14</v>
      </c>
      <c r="R460" s="27">
        <v>12312379.126861298</v>
      </c>
      <c r="S460" s="22">
        <v>1.5745565142428877E-2</v>
      </c>
      <c r="T460" s="23">
        <v>14</v>
      </c>
      <c r="U460" s="28">
        <v>11995470.447115187</v>
      </c>
      <c r="V460" s="24">
        <v>1.5093026764678948E-2</v>
      </c>
      <c r="W460" s="23">
        <v>8</v>
      </c>
      <c r="X460" s="28">
        <v>8988716.7295973133</v>
      </c>
      <c r="Y460" s="24">
        <v>1.1063567468140868E-2</v>
      </c>
      <c r="Z460" s="23">
        <v>10</v>
      </c>
      <c r="AA460" s="28">
        <v>10128638.371267997</v>
      </c>
      <c r="AB460" s="24">
        <v>1.2653087943844635E-2</v>
      </c>
    </row>
    <row r="461" spans="1:28" x14ac:dyDescent="0.25">
      <c r="A461" t="s">
        <v>5259</v>
      </c>
      <c r="B461" t="s">
        <v>7498</v>
      </c>
      <c r="C461" t="s">
        <v>5260</v>
      </c>
      <c r="D461" s="3" t="s">
        <v>4413</v>
      </c>
      <c r="E461" s="3" t="s">
        <v>495</v>
      </c>
      <c r="G461" t="s">
        <v>496</v>
      </c>
      <c r="H461" t="s">
        <v>172</v>
      </c>
      <c r="I461" s="17">
        <v>-1.1935093211307899</v>
      </c>
      <c r="J461" s="17">
        <v>0.16218925844372101</v>
      </c>
      <c r="K461" s="21">
        <v>17</v>
      </c>
      <c r="L461" s="27">
        <v>20198331.097470101</v>
      </c>
      <c r="M461" s="22">
        <v>3.6284710649406297E-2</v>
      </c>
      <c r="N461" s="21">
        <v>13</v>
      </c>
      <c r="O461" s="27">
        <v>19363313.089201391</v>
      </c>
      <c r="P461" s="22">
        <v>3.5089297798571062E-2</v>
      </c>
      <c r="Q461" s="21">
        <v>19</v>
      </c>
      <c r="R461" s="27">
        <v>21393667.539932918</v>
      </c>
      <c r="S461" s="22">
        <v>3.8996324836252413E-2</v>
      </c>
      <c r="T461" s="23">
        <v>13</v>
      </c>
      <c r="U461" s="28">
        <v>19361634.168003362</v>
      </c>
      <c r="V461" s="24">
        <v>3.4723478962490742E-2</v>
      </c>
      <c r="W461" s="23">
        <v>10</v>
      </c>
      <c r="X461" s="28">
        <v>16338598.881465703</v>
      </c>
      <c r="Y461" s="24">
        <v>2.8663846466876065E-2</v>
      </c>
      <c r="Z461" s="23">
        <v>12</v>
      </c>
      <c r="AA461" s="28">
        <v>19406294.450955901</v>
      </c>
      <c r="AB461" s="24">
        <v>3.455494781547723E-2</v>
      </c>
    </row>
    <row r="462" spans="1:28" x14ac:dyDescent="0.25">
      <c r="A462" t="s">
        <v>5166</v>
      </c>
      <c r="B462" t="s">
        <v>7465</v>
      </c>
      <c r="C462" t="s">
        <v>5167</v>
      </c>
      <c r="D462" s="3" t="s">
        <v>4413</v>
      </c>
      <c r="E462" s="3" t="s">
        <v>495</v>
      </c>
      <c r="G462" t="s">
        <v>496</v>
      </c>
      <c r="H462" t="s">
        <v>172</v>
      </c>
      <c r="I462" s="17">
        <v>-1.1984608285021101</v>
      </c>
      <c r="J462" s="17">
        <v>0.10132025296096001</v>
      </c>
      <c r="K462" s="21">
        <v>5</v>
      </c>
      <c r="L462" s="27">
        <v>2110167.5023684101</v>
      </c>
      <c r="M462" s="22">
        <v>3.1515600425626594E-3</v>
      </c>
      <c r="N462" s="21">
        <v>3</v>
      </c>
      <c r="O462" s="27">
        <v>1991036.8433193767</v>
      </c>
      <c r="P462" s="22">
        <v>2.9996790097591773E-3</v>
      </c>
      <c r="Q462" s="21">
        <v>8</v>
      </c>
      <c r="R462" s="27">
        <v>2207285.9494179166</v>
      </c>
      <c r="S462" s="22">
        <v>3.3450107178566255E-3</v>
      </c>
      <c r="T462" s="23">
        <v>5</v>
      </c>
      <c r="U462" s="28">
        <v>1942404.9244158301</v>
      </c>
      <c r="V462" s="24">
        <v>2.8961527863908044E-3</v>
      </c>
      <c r="W462" s="23">
        <v>3</v>
      </c>
      <c r="X462" s="28">
        <v>1790283.0222993069</v>
      </c>
      <c r="Y462" s="24">
        <v>2.6112101746286159E-3</v>
      </c>
      <c r="Z462" s="23">
        <v>5</v>
      </c>
      <c r="AA462" s="28">
        <v>1960555.4593135007</v>
      </c>
      <c r="AB462" s="24">
        <v>2.9023329660302407E-3</v>
      </c>
    </row>
    <row r="463" spans="1:28" x14ac:dyDescent="0.25">
      <c r="A463" t="s">
        <v>5256</v>
      </c>
      <c r="B463" t="s">
        <v>7497</v>
      </c>
      <c r="C463" t="s">
        <v>5258</v>
      </c>
      <c r="D463" s="3" t="s">
        <v>5257</v>
      </c>
      <c r="E463" s="3" t="s">
        <v>495</v>
      </c>
      <c r="G463" t="s">
        <v>496</v>
      </c>
      <c r="H463" t="s">
        <v>172</v>
      </c>
      <c r="I463" s="17">
        <v>-1.2014112657531</v>
      </c>
      <c r="J463" s="17">
        <v>0.126501482301871</v>
      </c>
      <c r="K463" s="21">
        <v>19</v>
      </c>
      <c r="L463" s="27">
        <v>29326414.1664217</v>
      </c>
      <c r="M463" s="22">
        <v>3.8324427138107721E-2</v>
      </c>
      <c r="N463" s="21">
        <v>14</v>
      </c>
      <c r="O463" s="27">
        <v>27152886.798192177</v>
      </c>
      <c r="P463" s="22">
        <v>3.5794767811139445E-2</v>
      </c>
      <c r="Q463" s="21">
        <v>20</v>
      </c>
      <c r="R463" s="27">
        <v>32138568.018071011</v>
      </c>
      <c r="S463" s="22">
        <v>4.2616079122957007E-2</v>
      </c>
      <c r="T463" s="23">
        <v>19</v>
      </c>
      <c r="U463" s="28">
        <v>26695876.328950133</v>
      </c>
      <c r="V463" s="24">
        <v>3.4828432881302961E-2</v>
      </c>
      <c r="W463" s="23">
        <v>10</v>
      </c>
      <c r="X463" s="28">
        <v>24750920.604559839</v>
      </c>
      <c r="Y463" s="24">
        <v>3.1587812119876532E-2</v>
      </c>
      <c r="Z463" s="23">
        <v>15</v>
      </c>
      <c r="AA463" s="28">
        <v>28292951.461908761</v>
      </c>
      <c r="AB463" s="24">
        <v>3.6648348648385821E-2</v>
      </c>
    </row>
    <row r="464" spans="1:28" x14ac:dyDescent="0.25">
      <c r="A464" t="s">
        <v>5151</v>
      </c>
      <c r="B464" t="s">
        <v>7459</v>
      </c>
      <c r="C464" t="s">
        <v>5152</v>
      </c>
      <c r="D464" s="3" t="s">
        <v>4413</v>
      </c>
      <c r="E464" s="3" t="s">
        <v>495</v>
      </c>
      <c r="G464" t="s">
        <v>496</v>
      </c>
      <c r="H464" t="s">
        <v>172</v>
      </c>
      <c r="I464" s="17">
        <v>-1.2056490216746301</v>
      </c>
      <c r="J464" s="17">
        <v>5.5999986049438698E-2</v>
      </c>
      <c r="K464" s="21">
        <v>3</v>
      </c>
      <c r="L464" s="27">
        <v>1129408.36989336</v>
      </c>
      <c r="M464" s="22">
        <v>2.264959350783764E-3</v>
      </c>
      <c r="N464" s="21">
        <v>1</v>
      </c>
      <c r="O464" s="27">
        <v>1314428.2764083878</v>
      </c>
      <c r="P464" s="22">
        <v>2.6590906065401946E-3</v>
      </c>
      <c r="Q464" s="21">
        <v>2</v>
      </c>
      <c r="R464" s="27">
        <v>1202274.7288511037</v>
      </c>
      <c r="S464" s="22">
        <v>2.4464896820401171E-3</v>
      </c>
      <c r="T464" s="23">
        <v>1</v>
      </c>
      <c r="U464" s="28">
        <v>896034.96234825032</v>
      </c>
      <c r="V464" s="24">
        <v>1.793937918417234E-3</v>
      </c>
      <c r="W464" s="23">
        <v>2</v>
      </c>
      <c r="X464" s="28">
        <v>1262802.9254425298</v>
      </c>
      <c r="Y464" s="24">
        <v>2.4731842408695233E-3</v>
      </c>
      <c r="Z464" s="23">
        <v>1</v>
      </c>
      <c r="AA464" s="28">
        <v>1131101.7047297962</v>
      </c>
      <c r="AB464" s="24">
        <v>2.248384148660828E-3</v>
      </c>
    </row>
    <row r="465" spans="1:28" x14ac:dyDescent="0.25">
      <c r="A465" t="s">
        <v>5244</v>
      </c>
      <c r="B465" t="s">
        <v>7492</v>
      </c>
      <c r="C465" t="s">
        <v>5246</v>
      </c>
      <c r="D465" s="3" t="s">
        <v>5245</v>
      </c>
      <c r="E465" s="3" t="s">
        <v>495</v>
      </c>
      <c r="G465" t="s">
        <v>496</v>
      </c>
      <c r="I465" s="17">
        <v>-1.2075567660722299</v>
      </c>
      <c r="J465" s="17">
        <v>0.84297685371048403</v>
      </c>
      <c r="K465" s="21">
        <v>2</v>
      </c>
      <c r="L465" s="27">
        <v>508776.25798354298</v>
      </c>
      <c r="M465" s="22">
        <v>6.648804220672483E-4</v>
      </c>
      <c r="N465" s="21">
        <v>1</v>
      </c>
      <c r="O465" s="27">
        <v>184301.98930779568</v>
      </c>
      <c r="P465" s="22">
        <v>2.4295932006916033E-4</v>
      </c>
      <c r="Q465" s="21">
        <v>2</v>
      </c>
      <c r="R465" s="27">
        <v>553922.98475052742</v>
      </c>
      <c r="S465" s="22">
        <v>7.3450770217514639E-4</v>
      </c>
      <c r="T465" s="23">
        <v>1</v>
      </c>
      <c r="U465" s="28">
        <v>423217.80507144105</v>
      </c>
      <c r="V465" s="24">
        <v>5.5214568484190766E-4</v>
      </c>
      <c r="W465" s="23">
        <v>0</v>
      </c>
      <c r="X465" s="28">
        <v>316948.66725759214</v>
      </c>
      <c r="Y465" s="24">
        <v>4.0449868968242075E-4</v>
      </c>
      <c r="Z465" s="23">
        <v>1</v>
      </c>
      <c r="AA465" s="28">
        <v>382895.55069523962</v>
      </c>
      <c r="AB465" s="24">
        <v>4.9597121942852038E-4</v>
      </c>
    </row>
    <row r="466" spans="1:28" x14ac:dyDescent="0.25">
      <c r="A466" t="s">
        <v>5221</v>
      </c>
      <c r="B466" t="s">
        <v>7484</v>
      </c>
      <c r="C466" t="s">
        <v>5223</v>
      </c>
      <c r="D466" s="3" t="s">
        <v>5222</v>
      </c>
      <c r="E466" s="3" t="s">
        <v>495</v>
      </c>
      <c r="G466" s="13" t="s">
        <v>496</v>
      </c>
      <c r="H466" t="s">
        <v>57</v>
      </c>
      <c r="I466" s="17">
        <v>-1.2150169266374899</v>
      </c>
      <c r="J466" s="17">
        <v>8.5220307834604797E-2</v>
      </c>
      <c r="K466" s="21">
        <v>10</v>
      </c>
      <c r="L466" s="27">
        <v>6418694.7474492397</v>
      </c>
      <c r="M466" s="22">
        <v>1.2953769654649529E-2</v>
      </c>
      <c r="N466" s="21">
        <v>6</v>
      </c>
      <c r="O466" s="27">
        <v>5740562.3937408356</v>
      </c>
      <c r="P466" s="22">
        <v>1.1686668404546458E-2</v>
      </c>
      <c r="Q466" s="21">
        <v>9</v>
      </c>
      <c r="R466" s="27">
        <v>6793794.1950260773</v>
      </c>
      <c r="S466" s="22">
        <v>1.3912080881579664E-2</v>
      </c>
      <c r="T466" s="23">
        <v>6</v>
      </c>
      <c r="U466" s="28">
        <v>5729590.5449843723</v>
      </c>
      <c r="V466" s="24">
        <v>1.1543727818626021E-2</v>
      </c>
      <c r="W466" s="23">
        <v>7</v>
      </c>
      <c r="X466" s="28">
        <v>5638146.2062916327</v>
      </c>
      <c r="Y466" s="24">
        <v>1.1112128686436474E-2</v>
      </c>
      <c r="Z466" s="23">
        <v>7</v>
      </c>
      <c r="AA466" s="28">
        <v>5541321.9244725052</v>
      </c>
      <c r="AB466" s="24">
        <v>1.1084657449046794E-2</v>
      </c>
    </row>
    <row r="467" spans="1:28" x14ac:dyDescent="0.25">
      <c r="A467" t="s">
        <v>5186</v>
      </c>
      <c r="B467" t="s">
        <v>7472</v>
      </c>
      <c r="C467" t="s">
        <v>5189</v>
      </c>
      <c r="D467" s="3" t="s">
        <v>5187</v>
      </c>
      <c r="E467" s="3" t="s">
        <v>495</v>
      </c>
      <c r="F467" t="s">
        <v>5188</v>
      </c>
      <c r="G467" t="s">
        <v>496</v>
      </c>
      <c r="H467" t="s">
        <v>172</v>
      </c>
      <c r="I467" s="17">
        <v>-1.24279880118187</v>
      </c>
      <c r="J467" s="17">
        <v>0.20657338203275</v>
      </c>
      <c r="K467" s="21">
        <v>10</v>
      </c>
      <c r="L467" s="27">
        <v>7539236.1330219097</v>
      </c>
      <c r="M467" s="22">
        <v>1.2328188581124911E-2</v>
      </c>
      <c r="N467" s="21">
        <v>10</v>
      </c>
      <c r="O467" s="27">
        <v>9811487.2275814563</v>
      </c>
      <c r="P467" s="22">
        <v>1.6184288011397735E-2</v>
      </c>
      <c r="Q467" s="21">
        <v>10</v>
      </c>
      <c r="R467" s="27">
        <v>7261609.3007308375</v>
      </c>
      <c r="S467" s="22">
        <v>1.2048557692732059E-2</v>
      </c>
      <c r="T467" s="23">
        <v>9</v>
      </c>
      <c r="U467" s="28">
        <v>7187816.596314773</v>
      </c>
      <c r="V467" s="24">
        <v>1.1733888418391193E-2</v>
      </c>
      <c r="W467" s="23">
        <v>7</v>
      </c>
      <c r="X467" s="28">
        <v>8834930.1982314475</v>
      </c>
      <c r="Y467" s="24">
        <v>1.4108684661183438E-2</v>
      </c>
      <c r="Z467" s="23">
        <v>4</v>
      </c>
      <c r="AA467" s="28">
        <v>5490423.28434161</v>
      </c>
      <c r="AB467" s="24">
        <v>8.8989178686122716E-3</v>
      </c>
    </row>
    <row r="468" spans="1:28" x14ac:dyDescent="0.25">
      <c r="A468" t="s">
        <v>5193</v>
      </c>
      <c r="B468" t="s">
        <v>7474</v>
      </c>
      <c r="C468" t="s">
        <v>5195</v>
      </c>
      <c r="D468" s="3" t="s">
        <v>5194</v>
      </c>
      <c r="E468" s="3" t="s">
        <v>495</v>
      </c>
      <c r="G468" t="s">
        <v>496</v>
      </c>
      <c r="H468" t="s">
        <v>172</v>
      </c>
      <c r="I468" s="17">
        <v>-1.24652924447228</v>
      </c>
      <c r="J468" s="17">
        <v>0.27319557218326501</v>
      </c>
      <c r="K468" s="21">
        <v>2</v>
      </c>
      <c r="L468" s="27">
        <v>1909162.76635022</v>
      </c>
      <c r="M468" s="22">
        <v>2.629653307818506E-3</v>
      </c>
      <c r="N468" s="21">
        <v>1</v>
      </c>
      <c r="O468" s="27">
        <v>1425990.8579976254</v>
      </c>
      <c r="P468" s="22">
        <v>1.9813404815592593E-3</v>
      </c>
      <c r="Q468" s="21">
        <v>2</v>
      </c>
      <c r="R468" s="27">
        <v>1857746.9358695552</v>
      </c>
      <c r="S468" s="22">
        <v>2.5964044962448478E-3</v>
      </c>
      <c r="T468" s="23">
        <v>1</v>
      </c>
      <c r="U468" s="28">
        <v>1738931.8117889729</v>
      </c>
      <c r="V468" s="24">
        <v>2.3911737551872143E-3</v>
      </c>
      <c r="W468" s="23">
        <v>1</v>
      </c>
      <c r="X468" s="28">
        <v>1304829.5413530334</v>
      </c>
      <c r="Y468" s="24">
        <v>1.7551765210872398E-3</v>
      </c>
      <c r="Z468" s="23">
        <v>1</v>
      </c>
      <c r="AA468" s="28">
        <v>1462898.2361090505</v>
      </c>
      <c r="AB468" s="24">
        <v>1.9972347009960876E-3</v>
      </c>
    </row>
    <row r="469" spans="1:28" x14ac:dyDescent="0.25">
      <c r="A469" t="s">
        <v>5280</v>
      </c>
      <c r="B469" t="s">
        <v>7505</v>
      </c>
      <c r="C469" t="s">
        <v>5282</v>
      </c>
      <c r="D469" s="3" t="s">
        <v>5281</v>
      </c>
      <c r="E469" s="3" t="s">
        <v>495</v>
      </c>
      <c r="G469" t="s">
        <v>496</v>
      </c>
      <c r="H469" t="s">
        <v>172</v>
      </c>
      <c r="I469" s="17">
        <v>-1.2535535487257601</v>
      </c>
      <c r="J469" s="17">
        <v>0.63389997690737898</v>
      </c>
      <c r="K469" s="21">
        <v>13</v>
      </c>
      <c r="L469" s="27">
        <v>10152779.6828957</v>
      </c>
      <c r="M469" s="22">
        <v>2.2878895608019315E-2</v>
      </c>
      <c r="N469" s="21">
        <v>4</v>
      </c>
      <c r="O469" s="27">
        <v>4641796.1773412945</v>
      </c>
      <c r="P469" s="22">
        <v>1.0551713570284293E-2</v>
      </c>
      <c r="Q469" s="21">
        <v>15</v>
      </c>
      <c r="R469" s="27">
        <v>10664050.398081694</v>
      </c>
      <c r="S469" s="22">
        <v>2.4383864889292131E-2</v>
      </c>
      <c r="T469" s="23">
        <v>9</v>
      </c>
      <c r="U469" s="28">
        <v>7762418.7629222106</v>
      </c>
      <c r="V469" s="24">
        <v>1.7463054384578167E-2</v>
      </c>
      <c r="W469" s="23">
        <v>7</v>
      </c>
      <c r="X469" s="28">
        <v>7402912.5783345401</v>
      </c>
      <c r="Y469" s="24">
        <v>1.6291617178054916E-2</v>
      </c>
      <c r="Z469" s="23">
        <v>8</v>
      </c>
      <c r="AA469" s="28">
        <v>7016814.7865220122</v>
      </c>
      <c r="AB469" s="24">
        <v>1.5672906962074695E-2</v>
      </c>
    </row>
    <row r="470" spans="1:28" x14ac:dyDescent="0.25">
      <c r="A470" t="s">
        <v>5164</v>
      </c>
      <c r="B470" t="s">
        <v>7464</v>
      </c>
      <c r="C470" t="s">
        <v>5165</v>
      </c>
      <c r="D470" s="3" t="s">
        <v>4413</v>
      </c>
      <c r="E470" s="3" t="s">
        <v>495</v>
      </c>
      <c r="G470" t="s">
        <v>496</v>
      </c>
      <c r="H470" t="s">
        <v>172</v>
      </c>
      <c r="I470" s="17">
        <v>-1.2585260519557999</v>
      </c>
      <c r="J470" s="17">
        <v>9.6807901851826E-2</v>
      </c>
      <c r="K470" s="21">
        <v>13</v>
      </c>
      <c r="L470" s="27">
        <v>10210332.173340499</v>
      </c>
      <c r="M470" s="22">
        <v>1.4665383738710715E-2</v>
      </c>
      <c r="N470" s="21">
        <v>5</v>
      </c>
      <c r="O470" s="27">
        <v>10233274.299928572</v>
      </c>
      <c r="P470" s="22">
        <v>1.482705873410642E-2</v>
      </c>
      <c r="Q470" s="21">
        <v>10</v>
      </c>
      <c r="R470" s="27">
        <v>10484767.559369514</v>
      </c>
      <c r="S470" s="22">
        <v>1.5280678086017869E-2</v>
      </c>
      <c r="T470" s="23">
        <v>6</v>
      </c>
      <c r="U470" s="28">
        <v>9187207.8404188603</v>
      </c>
      <c r="V470" s="24">
        <v>1.3173772074517023E-2</v>
      </c>
      <c r="W470" s="23">
        <v>5</v>
      </c>
      <c r="X470" s="28">
        <v>7697147.5235030968</v>
      </c>
      <c r="Y470" s="24">
        <v>1.0796794898972825E-2</v>
      </c>
      <c r="Z470" s="23">
        <v>6</v>
      </c>
      <c r="AA470" s="28">
        <v>9620848.0519496426</v>
      </c>
      <c r="AB470" s="24">
        <v>1.3697028624655081E-2</v>
      </c>
    </row>
    <row r="471" spans="1:28" x14ac:dyDescent="0.25">
      <c r="A471" t="s">
        <v>5229</v>
      </c>
      <c r="B471" t="s">
        <v>7487</v>
      </c>
      <c r="C471" t="s">
        <v>5231</v>
      </c>
      <c r="D471" s="3" t="s">
        <v>5230</v>
      </c>
      <c r="E471" s="3" t="s">
        <v>495</v>
      </c>
      <c r="G471" t="s">
        <v>496</v>
      </c>
      <c r="H471" t="s">
        <v>41</v>
      </c>
      <c r="I471" s="17">
        <v>-1.2715323890692101</v>
      </c>
      <c r="J471" s="17">
        <v>0.24686538140428399</v>
      </c>
      <c r="K471" s="21">
        <v>6</v>
      </c>
      <c r="L471" s="27">
        <v>4661899.8164653704</v>
      </c>
      <c r="M471" s="22">
        <v>5.6845720803258863E-3</v>
      </c>
      <c r="N471" s="21">
        <v>2</v>
      </c>
      <c r="O471" s="27">
        <v>3667696.2806118103</v>
      </c>
      <c r="P471" s="22">
        <v>4.5114384706906293E-3</v>
      </c>
      <c r="Q471" s="21">
        <v>6</v>
      </c>
      <c r="R471" s="27">
        <v>4589107.4994013719</v>
      </c>
      <c r="S471" s="22">
        <v>5.6779731191783965E-3</v>
      </c>
      <c r="T471" s="23">
        <v>3</v>
      </c>
      <c r="U471" s="28">
        <v>3825560.5433584047</v>
      </c>
      <c r="V471" s="24">
        <v>4.6569648991567703E-3</v>
      </c>
      <c r="W471" s="23">
        <v>2</v>
      </c>
      <c r="X471" s="28">
        <v>2887109.2604603991</v>
      </c>
      <c r="Y471" s="24">
        <v>3.4380290504827395E-3</v>
      </c>
      <c r="Z471" s="23">
        <v>3</v>
      </c>
      <c r="AA471" s="28">
        <v>4265616.1284530163</v>
      </c>
      <c r="AB471" s="24">
        <v>5.1555625322455305E-3</v>
      </c>
    </row>
    <row r="472" spans="1:28" x14ac:dyDescent="0.25">
      <c r="A472" t="s">
        <v>5249</v>
      </c>
      <c r="B472" t="s">
        <v>7494</v>
      </c>
      <c r="C472" t="s">
        <v>5251</v>
      </c>
      <c r="D472" s="3" t="s">
        <v>5250</v>
      </c>
      <c r="E472" s="3" t="s">
        <v>495</v>
      </c>
      <c r="G472" t="s">
        <v>496</v>
      </c>
      <c r="H472" t="s">
        <v>547</v>
      </c>
      <c r="I472" s="17">
        <v>-1.27351179149507</v>
      </c>
      <c r="J472" s="17">
        <v>1.9642378377756401E-2</v>
      </c>
      <c r="K472" s="21">
        <v>5</v>
      </c>
      <c r="L472" s="27">
        <v>2302653.9642530498</v>
      </c>
      <c r="M472" s="22">
        <v>5.1525278590665042E-3</v>
      </c>
      <c r="N472" s="21">
        <v>4</v>
      </c>
      <c r="O472" s="27">
        <v>2613415.6207974381</v>
      </c>
      <c r="P472" s="22">
        <v>5.8991166659211136E-3</v>
      </c>
      <c r="Q472" s="21">
        <v>4</v>
      </c>
      <c r="R472" s="27">
        <v>2173921.6239740443</v>
      </c>
      <c r="S472" s="22">
        <v>4.9358938621122386E-3</v>
      </c>
      <c r="T472" s="23">
        <v>2</v>
      </c>
      <c r="U472" s="28">
        <v>1918940.4713899463</v>
      </c>
      <c r="V472" s="24">
        <v>4.2867308491924506E-3</v>
      </c>
      <c r="W472" s="23">
        <v>1</v>
      </c>
      <c r="X472" s="28">
        <v>2125982.1768391905</v>
      </c>
      <c r="Y472" s="24">
        <v>4.6458241848180209E-3</v>
      </c>
      <c r="Z472" s="23">
        <v>2</v>
      </c>
      <c r="AA472" s="28">
        <v>1994210.3553747577</v>
      </c>
      <c r="AB472" s="24">
        <v>4.4230524046394637E-3</v>
      </c>
    </row>
    <row r="473" spans="1:28" x14ac:dyDescent="0.25">
      <c r="A473" t="s">
        <v>5146</v>
      </c>
      <c r="B473" t="s">
        <v>7457</v>
      </c>
      <c r="C473" t="s">
        <v>5148</v>
      </c>
      <c r="D473" s="3" t="s">
        <v>5147</v>
      </c>
      <c r="E473" s="3" t="s">
        <v>495</v>
      </c>
      <c r="G473" t="s">
        <v>496</v>
      </c>
      <c r="H473" t="s">
        <v>172</v>
      </c>
      <c r="I473" s="17">
        <v>-1.28458481421898</v>
      </c>
      <c r="J473" s="17">
        <v>1.56316659725214E-2</v>
      </c>
      <c r="K473" s="21">
        <v>4</v>
      </c>
      <c r="L473" s="27">
        <v>2634131.3273772001</v>
      </c>
      <c r="M473" s="22">
        <v>8.1944553374941973E-3</v>
      </c>
      <c r="N473" s="21">
        <v>5</v>
      </c>
      <c r="O473" s="27">
        <v>2790727.8791725077</v>
      </c>
      <c r="P473" s="22">
        <v>8.7576380609271191E-3</v>
      </c>
      <c r="Q473" s="21">
        <v>4</v>
      </c>
      <c r="R473" s="27">
        <v>2566326.6438150085</v>
      </c>
      <c r="S473" s="22">
        <v>8.1007431400025795E-3</v>
      </c>
      <c r="T473" s="23">
        <v>3</v>
      </c>
      <c r="U473" s="28">
        <v>2277758.6640585065</v>
      </c>
      <c r="V473" s="24">
        <v>7.0739733625652217E-3</v>
      </c>
      <c r="W473" s="23">
        <v>3</v>
      </c>
      <c r="X473" s="28">
        <v>2255059.489339096</v>
      </c>
      <c r="Y473" s="24">
        <v>6.8509713813840476E-3</v>
      </c>
      <c r="Z473" s="23">
        <v>3</v>
      </c>
      <c r="AA473" s="28">
        <v>2203216.5461496171</v>
      </c>
      <c r="AB473" s="24">
        <v>6.7935895005194471E-3</v>
      </c>
    </row>
    <row r="474" spans="1:28" x14ac:dyDescent="0.25">
      <c r="A474" t="s">
        <v>5162</v>
      </c>
      <c r="B474" t="s">
        <v>7463</v>
      </c>
      <c r="C474" t="s">
        <v>5163</v>
      </c>
      <c r="D474" s="3" t="s">
        <v>4413</v>
      </c>
      <c r="E474" s="3" t="s">
        <v>495</v>
      </c>
      <c r="G474" t="s">
        <v>496</v>
      </c>
      <c r="H474" t="s">
        <v>172</v>
      </c>
      <c r="I474" s="17">
        <v>-1.2967831967907499</v>
      </c>
      <c r="J474" s="17">
        <v>8.3977050941889106E-2</v>
      </c>
      <c r="K474" s="21">
        <v>5</v>
      </c>
      <c r="L474" s="27">
        <v>4448395.2521190997</v>
      </c>
      <c r="M474" s="22">
        <v>7.7510192121859568E-3</v>
      </c>
      <c r="N474" s="21">
        <v>4</v>
      </c>
      <c r="O474" s="27">
        <v>4079751.4918600479</v>
      </c>
      <c r="P474" s="22">
        <v>7.170938322378943E-3</v>
      </c>
      <c r="Q474" s="21">
        <v>7</v>
      </c>
      <c r="R474" s="27">
        <v>5094404.5500428248</v>
      </c>
      <c r="S474" s="22">
        <v>9.0069786667492813E-3</v>
      </c>
      <c r="T474" s="23">
        <v>4</v>
      </c>
      <c r="U474" s="28">
        <v>3990172.4149440452</v>
      </c>
      <c r="V474" s="24">
        <v>6.9409697301201388E-3</v>
      </c>
      <c r="W474" s="23">
        <v>4</v>
      </c>
      <c r="X474" s="28">
        <v>3411652.0684992732</v>
      </c>
      <c r="Y474" s="24">
        <v>5.8053934655553485E-3</v>
      </c>
      <c r="Z474" s="23">
        <v>4</v>
      </c>
      <c r="AA474" s="28">
        <v>3929114.6805588673</v>
      </c>
      <c r="AB474" s="24">
        <v>6.7859334688111705E-3</v>
      </c>
    </row>
    <row r="475" spans="1:28" x14ac:dyDescent="0.25">
      <c r="A475" t="s">
        <v>5183</v>
      </c>
      <c r="B475" t="s">
        <v>7471</v>
      </c>
      <c r="C475" t="s">
        <v>5185</v>
      </c>
      <c r="D475" s="3" t="s">
        <v>5184</v>
      </c>
      <c r="E475" s="3" t="s">
        <v>495</v>
      </c>
      <c r="G475" t="s">
        <v>496</v>
      </c>
      <c r="H475" t="s">
        <v>172</v>
      </c>
      <c r="I475" s="17">
        <v>-1.30018683985565</v>
      </c>
      <c r="J475" s="17">
        <v>0.19143477823329699</v>
      </c>
      <c r="K475" s="21">
        <v>2</v>
      </c>
      <c r="L475" s="27">
        <v>2408261.0015226202</v>
      </c>
      <c r="M475" s="22">
        <v>4.095517777360942E-3</v>
      </c>
      <c r="N475" s="21">
        <v>1</v>
      </c>
      <c r="O475" s="27">
        <v>1896363.3553108757</v>
      </c>
      <c r="P475" s="22">
        <v>3.2532216171619402E-3</v>
      </c>
      <c r="Q475" s="21">
        <v>3</v>
      </c>
      <c r="R475" s="27">
        <v>2360968.6233212044</v>
      </c>
      <c r="S475" s="22">
        <v>4.0740442111903332E-3</v>
      </c>
      <c r="T475" s="23">
        <v>2</v>
      </c>
      <c r="U475" s="28">
        <v>1935594.1229576576</v>
      </c>
      <c r="V475" s="24">
        <v>3.2861894796637442E-3</v>
      </c>
      <c r="W475" s="23">
        <v>2</v>
      </c>
      <c r="X475" s="28">
        <v>1512612.0924599986</v>
      </c>
      <c r="Y475" s="24">
        <v>2.5121427346129184E-3</v>
      </c>
      <c r="Z475" s="23">
        <v>1</v>
      </c>
      <c r="AA475" s="28">
        <v>2095904.8986833966</v>
      </c>
      <c r="AB475" s="24">
        <v>3.5329401708021403E-3</v>
      </c>
    </row>
    <row r="476" spans="1:28" x14ac:dyDescent="0.25">
      <c r="A476" t="s">
        <v>5143</v>
      </c>
      <c r="B476" t="s">
        <v>7456</v>
      </c>
      <c r="C476" t="s">
        <v>5145</v>
      </c>
      <c r="D476" s="3" t="s">
        <v>5144</v>
      </c>
      <c r="E476" s="3" t="s">
        <v>495</v>
      </c>
      <c r="G476" t="s">
        <v>496</v>
      </c>
      <c r="H476" t="s">
        <v>172</v>
      </c>
      <c r="I476" s="17">
        <v>-1.30326185523681</v>
      </c>
      <c r="J476" s="17">
        <v>2.7103094843161299E-2</v>
      </c>
      <c r="K476" s="21">
        <v>7</v>
      </c>
      <c r="L476" s="27">
        <v>2854230.7928125798</v>
      </c>
      <c r="M476" s="22">
        <v>5.1858326887057873E-3</v>
      </c>
      <c r="N476" s="21">
        <v>1</v>
      </c>
      <c r="O476" s="27">
        <v>2836278.9911842262</v>
      </c>
      <c r="P476" s="22">
        <v>5.1983461391575071E-3</v>
      </c>
      <c r="Q476" s="21">
        <v>6</v>
      </c>
      <c r="R476" s="27">
        <v>3206005.9443393261</v>
      </c>
      <c r="S476" s="22">
        <v>5.9104969380588427E-3</v>
      </c>
      <c r="T476" s="23">
        <v>2</v>
      </c>
      <c r="U476" s="28">
        <v>2522504.9998501283</v>
      </c>
      <c r="V476" s="24">
        <v>4.5754571574861107E-3</v>
      </c>
      <c r="W476" s="23">
        <v>1</v>
      </c>
      <c r="X476" s="28">
        <v>2324391.7334005595</v>
      </c>
      <c r="Y476" s="24">
        <v>4.1242997032864296E-3</v>
      </c>
      <c r="Z476" s="23">
        <v>1</v>
      </c>
      <c r="AA476" s="28">
        <v>2522760.2094254009</v>
      </c>
      <c r="AB476" s="24">
        <v>4.5432311546513794E-3</v>
      </c>
    </row>
    <row r="477" spans="1:28" x14ac:dyDescent="0.25">
      <c r="A477" t="s">
        <v>5141</v>
      </c>
      <c r="B477" t="s">
        <v>7455</v>
      </c>
      <c r="C477" t="s">
        <v>5142</v>
      </c>
      <c r="D477" s="3" t="s">
        <v>4413</v>
      </c>
      <c r="E477" s="3" t="s">
        <v>495</v>
      </c>
      <c r="G477" t="s">
        <v>496</v>
      </c>
      <c r="H477" t="s">
        <v>172</v>
      </c>
      <c r="I477" s="17">
        <v>-1.3049063428191201</v>
      </c>
      <c r="J477" s="17">
        <v>1.43730076807302E-2</v>
      </c>
      <c r="K477" s="21">
        <v>5</v>
      </c>
      <c r="L477" s="27">
        <v>4042113.33436576</v>
      </c>
      <c r="M477" s="22">
        <v>1.0394254248124634E-2</v>
      </c>
      <c r="N477" s="21">
        <v>4</v>
      </c>
      <c r="O477" s="27">
        <v>4246369.5018861098</v>
      </c>
      <c r="P477" s="22">
        <v>1.1015125860121596E-2</v>
      </c>
      <c r="Q477" s="21">
        <v>5</v>
      </c>
      <c r="R477" s="27">
        <v>4176484.9700383223</v>
      </c>
      <c r="S477" s="22">
        <v>1.0897478777376929E-2</v>
      </c>
      <c r="T477" s="23">
        <v>4</v>
      </c>
      <c r="U477" s="28">
        <v>3422891.9720337885</v>
      </c>
      <c r="V477" s="24">
        <v>8.7872116279568407E-3</v>
      </c>
      <c r="W477" s="23">
        <v>4</v>
      </c>
      <c r="X477" s="28">
        <v>3300215.5660338355</v>
      </c>
      <c r="Y477" s="24">
        <v>8.287788102329146E-3</v>
      </c>
      <c r="Z477" s="23">
        <v>4</v>
      </c>
      <c r="AA477" s="28">
        <v>3603640.2010186776</v>
      </c>
      <c r="AB477" s="24">
        <v>9.1851387298678977E-3</v>
      </c>
    </row>
    <row r="478" spans="1:28" x14ac:dyDescent="0.25">
      <c r="A478" t="s">
        <v>5215</v>
      </c>
      <c r="B478" t="s">
        <v>7482</v>
      </c>
      <c r="C478" t="s">
        <v>5217</v>
      </c>
      <c r="D478" s="3" t="s">
        <v>5216</v>
      </c>
      <c r="E478" s="3" t="s">
        <v>495</v>
      </c>
      <c r="G478" t="s">
        <v>496</v>
      </c>
      <c r="H478" t="s">
        <v>1991</v>
      </c>
      <c r="I478" s="17">
        <v>-1.3190564068963899</v>
      </c>
      <c r="J478" s="17">
        <v>9.6691875365210497E-2</v>
      </c>
      <c r="K478" s="21">
        <v>4</v>
      </c>
      <c r="L478" s="27">
        <v>2065531.71818074</v>
      </c>
      <c r="M478" s="22">
        <v>3.840380700640608E-3</v>
      </c>
      <c r="N478" s="21">
        <v>1</v>
      </c>
      <c r="O478" s="27">
        <v>1790623.2265959003</v>
      </c>
      <c r="P478" s="22">
        <v>3.3584080026403717E-3</v>
      </c>
      <c r="Q478" s="21">
        <v>3</v>
      </c>
      <c r="R478" s="27">
        <v>2289846.7947298787</v>
      </c>
      <c r="S478" s="22">
        <v>4.3199537388762125E-3</v>
      </c>
      <c r="T478" s="23">
        <v>1</v>
      </c>
      <c r="U478" s="28">
        <v>1826569.4152393786</v>
      </c>
      <c r="V478" s="24">
        <v>3.3904054325581191E-3</v>
      </c>
      <c r="W478" s="23">
        <v>1</v>
      </c>
      <c r="X478" s="28">
        <v>1507978.7719778495</v>
      </c>
      <c r="Y478" s="24">
        <v>2.7380988263027263E-3</v>
      </c>
      <c r="Z478" s="23">
        <v>1</v>
      </c>
      <c r="AA478" s="28">
        <v>1694421.9864024878</v>
      </c>
      <c r="AB478" s="24">
        <v>3.1226509099191984E-3</v>
      </c>
    </row>
    <row r="479" spans="1:28" x14ac:dyDescent="0.25">
      <c r="A479" t="s">
        <v>5235</v>
      </c>
      <c r="B479" t="s">
        <v>7489</v>
      </c>
      <c r="C479" t="s">
        <v>5237</v>
      </c>
      <c r="D479" s="3" t="s">
        <v>5236</v>
      </c>
      <c r="E479" s="3" t="s">
        <v>495</v>
      </c>
      <c r="G479" t="s">
        <v>496</v>
      </c>
      <c r="H479" t="s">
        <v>104</v>
      </c>
      <c r="I479" s="17">
        <v>-1.3327277210442401</v>
      </c>
      <c r="J479" s="17">
        <v>7.8130581926255702E-2</v>
      </c>
      <c r="K479" s="21">
        <v>3</v>
      </c>
      <c r="L479" s="27">
        <v>758226.75522709801</v>
      </c>
      <c r="M479" s="22">
        <v>1.6011377329762952E-3</v>
      </c>
      <c r="N479" s="21">
        <v>2</v>
      </c>
      <c r="O479" s="27">
        <v>637998.50395515305</v>
      </c>
      <c r="P479" s="22">
        <v>1.3590520187599306E-3</v>
      </c>
      <c r="Q479" s="21">
        <v>4</v>
      </c>
      <c r="R479" s="27">
        <v>790277.79833028046</v>
      </c>
      <c r="S479" s="22">
        <v>1.6933223015286217E-3</v>
      </c>
      <c r="T479" s="23">
        <v>2</v>
      </c>
      <c r="U479" s="28">
        <v>651373.28538760508</v>
      </c>
      <c r="V479" s="24">
        <v>1.3731961398860449E-3</v>
      </c>
      <c r="W479" s="23">
        <v>2</v>
      </c>
      <c r="X479" s="28">
        <v>570807.43982186844</v>
      </c>
      <c r="Y479" s="24">
        <v>1.1771469812608846E-3</v>
      </c>
      <c r="Z479" s="23">
        <v>2</v>
      </c>
      <c r="AA479" s="28">
        <v>553919.0713051249</v>
      </c>
      <c r="AB479" s="24">
        <v>1.1594054912444705E-3</v>
      </c>
    </row>
    <row r="480" spans="1:28" x14ac:dyDescent="0.25">
      <c r="A480" t="s">
        <v>5247</v>
      </c>
      <c r="B480" t="s">
        <v>7493</v>
      </c>
      <c r="C480" t="s">
        <v>5248</v>
      </c>
      <c r="D480" s="3" t="s">
        <v>4413</v>
      </c>
      <c r="E480" s="3" t="s">
        <v>495</v>
      </c>
      <c r="G480" t="s">
        <v>496</v>
      </c>
      <c r="H480" t="s">
        <v>172</v>
      </c>
      <c r="I480" s="17">
        <v>-1.3407211997080699</v>
      </c>
      <c r="J480" s="17">
        <v>4.7139252989978897E-2</v>
      </c>
      <c r="K480" s="21">
        <v>9</v>
      </c>
      <c r="L480" s="27">
        <v>10859646.694582401</v>
      </c>
      <c r="M480" s="22">
        <v>2.1710085978396264E-2</v>
      </c>
      <c r="N480" s="21">
        <v>6</v>
      </c>
      <c r="O480" s="27">
        <v>9799115.7584122308</v>
      </c>
      <c r="P480" s="22">
        <v>1.9761484572204512E-2</v>
      </c>
      <c r="Q480" s="21">
        <v>11</v>
      </c>
      <c r="R480" s="27">
        <v>10214621.192715779</v>
      </c>
      <c r="S480" s="22">
        <v>2.0720411322583242E-2</v>
      </c>
      <c r="T480" s="23">
        <v>5</v>
      </c>
      <c r="U480" s="28">
        <v>8703535.7408278845</v>
      </c>
      <c r="V480" s="24">
        <v>1.7370591528805372E-2</v>
      </c>
      <c r="W480" s="23">
        <v>5</v>
      </c>
      <c r="X480" s="28">
        <v>7755675.6733294716</v>
      </c>
      <c r="Y480" s="24">
        <v>1.5141781244851079E-2</v>
      </c>
      <c r="Z480" s="23">
        <v>5</v>
      </c>
      <c r="AA480" s="28">
        <v>8488216.571601456</v>
      </c>
      <c r="AB480" s="24">
        <v>1.6819835599439403E-2</v>
      </c>
    </row>
    <row r="481" spans="1:36" x14ac:dyDescent="0.25">
      <c r="A481" t="s">
        <v>5174</v>
      </c>
      <c r="B481" t="s">
        <v>7468</v>
      </c>
      <c r="C481" t="s">
        <v>5176</v>
      </c>
      <c r="D481" s="3" t="s">
        <v>5175</v>
      </c>
      <c r="E481" s="3" t="s">
        <v>495</v>
      </c>
      <c r="G481" t="s">
        <v>496</v>
      </c>
      <c r="H481" t="s">
        <v>172</v>
      </c>
      <c r="I481" s="17">
        <v>-1.34898198534064</v>
      </c>
      <c r="J481" s="17">
        <v>0.143333610980339</v>
      </c>
      <c r="K481" s="21">
        <v>8</v>
      </c>
      <c r="L481" s="27">
        <v>6104601.4679188998</v>
      </c>
      <c r="M481" s="22">
        <v>8.0104622428972452E-3</v>
      </c>
      <c r="N481" s="21">
        <v>5</v>
      </c>
      <c r="O481" s="27">
        <v>4819280.1729513779</v>
      </c>
      <c r="P481" s="22">
        <v>6.3792448027821993E-3</v>
      </c>
      <c r="Q481" s="21">
        <v>7</v>
      </c>
      <c r="R481" s="27">
        <v>7041341.4123711735</v>
      </c>
      <c r="S481" s="22">
        <v>9.3753161781436872E-3</v>
      </c>
      <c r="T481" s="23">
        <v>8</v>
      </c>
      <c r="U481" s="28">
        <v>5187930.4353979649</v>
      </c>
      <c r="V481" s="24">
        <v>6.7962203087736546E-3</v>
      </c>
      <c r="W481" s="23">
        <v>5</v>
      </c>
      <c r="X481" s="28">
        <v>4192984.7494413941</v>
      </c>
      <c r="Y481" s="24">
        <v>5.3732249752253391E-3</v>
      </c>
      <c r="Z481" s="23">
        <v>5</v>
      </c>
      <c r="AA481" s="28">
        <v>4992453.179174101</v>
      </c>
      <c r="AB481" s="24">
        <v>6.4934232129565238E-3</v>
      </c>
    </row>
    <row r="482" spans="1:36" x14ac:dyDescent="0.25">
      <c r="A482" t="s">
        <v>5241</v>
      </c>
      <c r="B482" t="s">
        <v>7491</v>
      </c>
      <c r="C482" t="s">
        <v>5243</v>
      </c>
      <c r="D482" s="3" t="s">
        <v>5242</v>
      </c>
      <c r="E482" s="3" t="s">
        <v>495</v>
      </c>
      <c r="G482" t="s">
        <v>496</v>
      </c>
      <c r="I482" s="17">
        <v>-1.36942422476792</v>
      </c>
      <c r="J482" s="17">
        <v>0.23683234055268901</v>
      </c>
      <c r="K482" s="21">
        <v>7</v>
      </c>
      <c r="L482" s="27">
        <v>2420893.4324203702</v>
      </c>
      <c r="M482" s="22">
        <v>5.163462343750572E-3</v>
      </c>
      <c r="N482" s="21">
        <v>3</v>
      </c>
      <c r="O482" s="27">
        <v>1656061.4072939064</v>
      </c>
      <c r="P482" s="22">
        <v>3.5631049195770986E-3</v>
      </c>
      <c r="Q482" s="21">
        <v>8</v>
      </c>
      <c r="R482" s="27">
        <v>2882639.8454699176</v>
      </c>
      <c r="S482" s="22">
        <v>6.2385834241077279E-3</v>
      </c>
      <c r="T482" s="23">
        <v>8</v>
      </c>
      <c r="U482" s="28">
        <v>2055997.4015878045</v>
      </c>
      <c r="V482" s="24">
        <v>4.3778507051784252E-3</v>
      </c>
      <c r="W482" s="23">
        <v>3</v>
      </c>
      <c r="X482" s="28">
        <v>1557941.1455093424</v>
      </c>
      <c r="Y482" s="24">
        <v>3.2450983986279632E-3</v>
      </c>
      <c r="Z482" s="23">
        <v>3</v>
      </c>
      <c r="AA482" s="28">
        <v>1869776.5423780864</v>
      </c>
      <c r="AB482" s="24">
        <v>3.9528878831145654E-3</v>
      </c>
    </row>
    <row r="483" spans="1:36" x14ac:dyDescent="0.25">
      <c r="A483" t="s">
        <v>5138</v>
      </c>
      <c r="B483" t="s">
        <v>7454</v>
      </c>
      <c r="C483" t="s">
        <v>5140</v>
      </c>
      <c r="D483" s="3" t="s">
        <v>5139</v>
      </c>
      <c r="E483" s="3" t="s">
        <v>495</v>
      </c>
      <c r="G483" t="s">
        <v>496</v>
      </c>
      <c r="H483" t="s">
        <v>172</v>
      </c>
      <c r="I483" s="17">
        <v>-1.37231128207561</v>
      </c>
      <c r="J483" s="17">
        <v>1.2534184633711299E-3</v>
      </c>
      <c r="K483" s="21">
        <v>10</v>
      </c>
      <c r="L483" s="27">
        <v>9605469.7672178391</v>
      </c>
      <c r="M483" s="22">
        <v>1.7452113275019356E-2</v>
      </c>
      <c r="N483" s="21">
        <v>8</v>
      </c>
      <c r="O483" s="27">
        <v>11549889.340187654</v>
      </c>
      <c r="P483" s="22">
        <v>2.1168694210223805E-2</v>
      </c>
      <c r="Q483" s="21">
        <v>10</v>
      </c>
      <c r="R483" s="27">
        <v>11216805.897091962</v>
      </c>
      <c r="S483" s="22">
        <v>2.067896880435275E-2</v>
      </c>
      <c r="T483" s="23">
        <v>8</v>
      </c>
      <c r="U483" s="28">
        <v>7509499.9799697399</v>
      </c>
      <c r="V483" s="24">
        <v>1.362114066554309E-2</v>
      </c>
      <c r="W483" s="23">
        <v>6</v>
      </c>
      <c r="X483" s="28">
        <v>9721902.5758919902</v>
      </c>
      <c r="Y483" s="24">
        <v>1.7250121540602303E-2</v>
      </c>
      <c r="Z483" s="23">
        <v>7</v>
      </c>
      <c r="AA483" s="28">
        <v>8349561.4777825279</v>
      </c>
      <c r="AB483" s="24">
        <v>1.5036699759181102E-2</v>
      </c>
    </row>
    <row r="484" spans="1:36" x14ac:dyDescent="0.25">
      <c r="A484" t="s">
        <v>5156</v>
      </c>
      <c r="B484" t="s">
        <v>7461</v>
      </c>
      <c r="C484" t="s">
        <v>5158</v>
      </c>
      <c r="D484" s="3" t="s">
        <v>5157</v>
      </c>
      <c r="E484" s="3" t="s">
        <v>495</v>
      </c>
      <c r="G484" t="s">
        <v>496</v>
      </c>
      <c r="H484" t="s">
        <v>172</v>
      </c>
      <c r="I484" s="17">
        <v>-1.3743215825305499</v>
      </c>
      <c r="J484" s="17">
        <v>8.3147770797386403E-2</v>
      </c>
      <c r="K484" s="21">
        <v>11</v>
      </c>
      <c r="L484" s="27">
        <v>5444916.4928084398</v>
      </c>
      <c r="M484" s="22">
        <v>5.0691738076104097E-3</v>
      </c>
      <c r="N484" s="21">
        <v>6</v>
      </c>
      <c r="O484" s="27">
        <v>6485715.8240578882</v>
      </c>
      <c r="P484" s="22">
        <v>6.0910295575472501E-3</v>
      </c>
      <c r="Q484" s="21">
        <v>8</v>
      </c>
      <c r="R484" s="27">
        <v>4524688.4039685093</v>
      </c>
      <c r="S484" s="22">
        <v>4.2742989593514795E-3</v>
      </c>
      <c r="T484" s="23">
        <v>6</v>
      </c>
      <c r="U484" s="28">
        <v>4445093.4898184706</v>
      </c>
      <c r="V484" s="24">
        <v>4.1314252737947987E-3</v>
      </c>
      <c r="W484" s="23">
        <v>5</v>
      </c>
      <c r="X484" s="28">
        <v>4006819.6239884272</v>
      </c>
      <c r="Y484" s="24">
        <v>3.6429837314829049E-3</v>
      </c>
      <c r="Z484" s="23">
        <v>5</v>
      </c>
      <c r="AA484" s="28">
        <v>4485574.9165271735</v>
      </c>
      <c r="AB484" s="24">
        <v>4.1392677602979811E-3</v>
      </c>
    </row>
    <row r="485" spans="1:36" x14ac:dyDescent="0.25">
      <c r="A485" t="s">
        <v>5136</v>
      </c>
      <c r="B485" t="s">
        <v>7453</v>
      </c>
      <c r="C485" t="s">
        <v>5137</v>
      </c>
      <c r="D485" s="3" t="s">
        <v>5129</v>
      </c>
      <c r="E485" s="3" t="s">
        <v>495</v>
      </c>
      <c r="G485" t="s">
        <v>496</v>
      </c>
      <c r="H485" t="s">
        <v>172</v>
      </c>
      <c r="I485" s="17">
        <v>-1.3860675256064099</v>
      </c>
      <c r="J485" s="17">
        <v>7.5472164299379401E-3</v>
      </c>
      <c r="K485" s="21">
        <v>20</v>
      </c>
      <c r="L485" s="27">
        <v>21248669.442851</v>
      </c>
      <c r="M485" s="22">
        <v>1.9957148842701427E-2</v>
      </c>
      <c r="N485" s="21">
        <v>17</v>
      </c>
      <c r="O485" s="27">
        <v>24353979.793218441</v>
      </c>
      <c r="P485" s="22">
        <v>2.3074034077835537E-2</v>
      </c>
      <c r="Q485" s="21">
        <v>22</v>
      </c>
      <c r="R485" s="27">
        <v>21244522.327658016</v>
      </c>
      <c r="S485" s="22">
        <v>2.024622161185707E-2</v>
      </c>
      <c r="T485" s="23">
        <v>21</v>
      </c>
      <c r="U485" s="28">
        <v>17147921.047024723</v>
      </c>
      <c r="V485" s="24">
        <v>1.6078712689892787E-2</v>
      </c>
      <c r="W485" s="23">
        <v>14</v>
      </c>
      <c r="X485" s="28">
        <v>16977818.060915511</v>
      </c>
      <c r="Y485" s="24">
        <v>1.5572563560195606E-2</v>
      </c>
      <c r="Z485" s="23">
        <v>18</v>
      </c>
      <c r="AA485" s="28">
        <v>17999048.646368235</v>
      </c>
      <c r="AB485" s="24">
        <v>1.675620844639069E-2</v>
      </c>
    </row>
    <row r="486" spans="1:36" x14ac:dyDescent="0.25">
      <c r="A486" t="s">
        <v>5153</v>
      </c>
      <c r="B486" t="s">
        <v>7460</v>
      </c>
      <c r="C486" t="s">
        <v>5155</v>
      </c>
      <c r="D486" s="3" t="s">
        <v>5154</v>
      </c>
      <c r="E486" s="3" t="s">
        <v>495</v>
      </c>
      <c r="G486" t="s">
        <v>496</v>
      </c>
      <c r="H486" t="s">
        <v>172</v>
      </c>
      <c r="I486" s="17">
        <v>-1.4440902980183601</v>
      </c>
      <c r="J486" s="17">
        <v>6.8647561459126205E-2</v>
      </c>
      <c r="K486" s="21">
        <v>2</v>
      </c>
      <c r="L486" s="27">
        <v>1552161.8678451199</v>
      </c>
      <c r="M486" s="22">
        <v>2.1016124518903213E-3</v>
      </c>
      <c r="N486" s="21">
        <v>1</v>
      </c>
      <c r="O486" s="27">
        <v>1196772.0832117891</v>
      </c>
      <c r="P486" s="22">
        <v>1.6346090740802168E-3</v>
      </c>
      <c r="Q486" s="21">
        <v>3</v>
      </c>
      <c r="R486" s="27">
        <v>1587467.3067409485</v>
      </c>
      <c r="S486" s="22">
        <v>2.1809749262024346E-3</v>
      </c>
      <c r="T486" s="23">
        <v>2</v>
      </c>
      <c r="U486" s="28">
        <v>1135947.7538806817</v>
      </c>
      <c r="V486" s="24">
        <v>1.5354901114331726E-3</v>
      </c>
      <c r="W486" s="23">
        <v>1</v>
      </c>
      <c r="X486" s="28">
        <v>977786.01054421545</v>
      </c>
      <c r="Y486" s="24">
        <v>1.292917826452642E-3</v>
      </c>
      <c r="Z486" s="23">
        <v>2</v>
      </c>
      <c r="AA486" s="28">
        <v>1139436.9527924208</v>
      </c>
      <c r="AB486" s="24">
        <v>1.5292038071500183E-3</v>
      </c>
    </row>
    <row r="487" spans="1:36" x14ac:dyDescent="0.25">
      <c r="A487" t="s">
        <v>5159</v>
      </c>
      <c r="B487" t="s">
        <v>7462</v>
      </c>
      <c r="C487" t="s">
        <v>5161</v>
      </c>
      <c r="D487" s="3" t="s">
        <v>5160</v>
      </c>
      <c r="E487" s="3" t="s">
        <v>495</v>
      </c>
      <c r="G487" t="s">
        <v>496</v>
      </c>
      <c r="H487" t="s">
        <v>172</v>
      </c>
      <c r="I487" s="17">
        <v>-1.4514802341027999</v>
      </c>
      <c r="J487" s="17">
        <v>8.3322779785017106E-2</v>
      </c>
      <c r="K487" s="21">
        <v>4</v>
      </c>
      <c r="L487" s="27">
        <v>8805754.7074319907</v>
      </c>
      <c r="M487" s="22">
        <v>1.1253887469009599E-2</v>
      </c>
      <c r="N487" s="21">
        <v>3</v>
      </c>
      <c r="O487" s="27">
        <v>6612716.8295335853</v>
      </c>
      <c r="P487" s="22">
        <v>8.5251640069253249E-3</v>
      </c>
      <c r="Q487" s="21">
        <v>8</v>
      </c>
      <c r="R487" s="27">
        <v>8351897.9211581852</v>
      </c>
      <c r="S487" s="22">
        <v>1.0830572700401353E-2</v>
      </c>
      <c r="T487" s="23">
        <v>4</v>
      </c>
      <c r="U487" s="28">
        <v>6434399.0998900356</v>
      </c>
      <c r="V487" s="24">
        <v>8.2095059739396986E-3</v>
      </c>
      <c r="W487" s="23">
        <v>2</v>
      </c>
      <c r="X487" s="28">
        <v>5166108.9494807124</v>
      </c>
      <c r="Y487" s="24">
        <v>6.4477921094163301E-3</v>
      </c>
      <c r="Z487" s="23">
        <v>2</v>
      </c>
      <c r="AA487" s="28">
        <v>6145694.4661273751</v>
      </c>
      <c r="AB487" s="24">
        <v>7.7851394769039642E-3</v>
      </c>
    </row>
    <row r="488" spans="1:36" x14ac:dyDescent="0.25">
      <c r="A488" t="s">
        <v>5134</v>
      </c>
      <c r="B488" t="s">
        <v>7452</v>
      </c>
      <c r="C488" t="s">
        <v>5135</v>
      </c>
      <c r="D488" s="3" t="s">
        <v>4413</v>
      </c>
      <c r="E488" s="3" t="s">
        <v>495</v>
      </c>
      <c r="G488" t="s">
        <v>496</v>
      </c>
      <c r="H488" t="s">
        <v>172</v>
      </c>
      <c r="I488" s="17">
        <v>-1.5345516117975699</v>
      </c>
      <c r="J488" s="17">
        <v>6.2908488282730204E-3</v>
      </c>
      <c r="K488" s="21">
        <v>2</v>
      </c>
      <c r="L488" s="27">
        <v>415403.21369770798</v>
      </c>
      <c r="M488" s="22">
        <v>6.9531469275120714E-4</v>
      </c>
      <c r="N488" s="21">
        <v>1</v>
      </c>
      <c r="O488" s="27">
        <v>385634.59680472588</v>
      </c>
      <c r="P488" s="22">
        <v>6.511400015107166E-4</v>
      </c>
      <c r="Q488" s="21">
        <v>2</v>
      </c>
      <c r="R488" s="27">
        <v>452601.5142338812</v>
      </c>
      <c r="S488" s="22">
        <v>7.6870165628402203E-4</v>
      </c>
      <c r="T488" s="23">
        <v>0</v>
      </c>
      <c r="U488" s="28">
        <v>298230.94719929417</v>
      </c>
      <c r="V488" s="24">
        <v>4.9835326291080336E-4</v>
      </c>
      <c r="W488" s="23">
        <v>0</v>
      </c>
      <c r="X488" s="28">
        <v>286549.86876349617</v>
      </c>
      <c r="Y488" s="24">
        <v>4.6840686273373958E-4</v>
      </c>
      <c r="Z488" s="23">
        <v>0</v>
      </c>
      <c r="AA488" s="28">
        <v>299292.38051243545</v>
      </c>
      <c r="AB488" s="24">
        <v>4.9655420356981234E-4</v>
      </c>
    </row>
    <row r="489" spans="1:36" x14ac:dyDescent="0.25">
      <c r="A489" t="s">
        <v>5171</v>
      </c>
      <c r="B489" t="s">
        <v>7467</v>
      </c>
      <c r="C489" t="s">
        <v>5173</v>
      </c>
      <c r="D489" s="3" t="s">
        <v>5172</v>
      </c>
      <c r="E489" s="3" t="s">
        <v>495</v>
      </c>
      <c r="G489" t="s">
        <v>496</v>
      </c>
      <c r="H489" t="s">
        <v>172</v>
      </c>
      <c r="I489" s="17">
        <v>-1.5480626897446601</v>
      </c>
      <c r="J489" s="17">
        <v>0.12827904454234501</v>
      </c>
      <c r="K489" s="21">
        <v>2</v>
      </c>
      <c r="L489" s="27">
        <v>610831.47447860695</v>
      </c>
      <c r="M489" s="22">
        <v>1.4427602653239162E-3</v>
      </c>
      <c r="N489" s="21">
        <v>1</v>
      </c>
      <c r="O489" s="27">
        <v>377981.61771363392</v>
      </c>
      <c r="P489" s="22">
        <v>9.005965477965627E-4</v>
      </c>
      <c r="Q489" s="21">
        <v>1</v>
      </c>
      <c r="R489" s="27">
        <v>505255.35137402161</v>
      </c>
      <c r="S489" s="22">
        <v>1.2109158051496437E-3</v>
      </c>
      <c r="T489" s="23">
        <v>0</v>
      </c>
      <c r="U489" s="28">
        <v>330931.48557812913</v>
      </c>
      <c r="V489" s="24">
        <v>7.8034005274150195E-4</v>
      </c>
      <c r="W489" s="23">
        <v>0</v>
      </c>
      <c r="X489" s="28">
        <v>294100.01519398956</v>
      </c>
      <c r="Y489" s="24">
        <v>6.7838977585526529E-4</v>
      </c>
      <c r="Z489" s="23">
        <v>0</v>
      </c>
      <c r="AA489" s="28">
        <v>427809.34087477438</v>
      </c>
      <c r="AB489" s="24">
        <v>1.0015726956477539E-3</v>
      </c>
    </row>
    <row r="490" spans="1:36" x14ac:dyDescent="0.25">
      <c r="A490" t="s">
        <v>5168</v>
      </c>
      <c r="B490" t="s">
        <v>7466</v>
      </c>
      <c r="C490" t="s">
        <v>5170</v>
      </c>
      <c r="D490" s="3" t="s">
        <v>5169</v>
      </c>
      <c r="E490" s="3" t="s">
        <v>495</v>
      </c>
      <c r="G490" t="s">
        <v>496</v>
      </c>
      <c r="H490" t="s">
        <v>172</v>
      </c>
      <c r="I490" s="17">
        <v>-1.6487496367154899</v>
      </c>
      <c r="J490" s="17">
        <v>0.12700324361245299</v>
      </c>
      <c r="K490" s="21">
        <v>9</v>
      </c>
      <c r="L490" s="27">
        <v>8064040.79193475</v>
      </c>
      <c r="M490" s="22">
        <v>1.2635569968709244E-2</v>
      </c>
      <c r="N490" s="21">
        <v>4</v>
      </c>
      <c r="O490" s="27">
        <v>5102628.5617692061</v>
      </c>
      <c r="P490" s="22">
        <v>8.0653442520836963E-3</v>
      </c>
      <c r="Q490" s="21">
        <v>10</v>
      </c>
      <c r="R490" s="27">
        <v>8962193.12594367</v>
      </c>
      <c r="S490" s="22">
        <v>1.4249075215082188E-2</v>
      </c>
      <c r="T490" s="23">
        <v>7</v>
      </c>
      <c r="U490" s="28">
        <v>6272718.8011540128</v>
      </c>
      <c r="V490" s="24">
        <v>9.8123037489808215E-3</v>
      </c>
      <c r="W490" s="23">
        <v>2</v>
      </c>
      <c r="X490" s="28">
        <v>4172678.7376360344</v>
      </c>
      <c r="Y490" s="24">
        <v>6.3851124596241565E-3</v>
      </c>
      <c r="Z490" s="23">
        <v>2</v>
      </c>
      <c r="AA490" s="28">
        <v>4031260.2473935648</v>
      </c>
      <c r="AB490" s="24">
        <v>6.2609812702013211E-3</v>
      </c>
    </row>
    <row r="491" spans="1:36" x14ac:dyDescent="0.25">
      <c r="A491" t="s">
        <v>5131</v>
      </c>
      <c r="B491" t="s">
        <v>7451</v>
      </c>
      <c r="C491" t="s">
        <v>5133</v>
      </c>
      <c r="D491" s="3" t="s">
        <v>5132</v>
      </c>
      <c r="E491" s="3" t="s">
        <v>495</v>
      </c>
      <c r="G491" t="s">
        <v>496</v>
      </c>
      <c r="H491" t="s">
        <v>172</v>
      </c>
      <c r="I491" s="17">
        <v>-1.7021986669839799</v>
      </c>
      <c r="J491" s="17">
        <v>1.9376993240755799E-2</v>
      </c>
      <c r="K491" s="21">
        <v>4</v>
      </c>
      <c r="L491" s="27">
        <v>1059454.0092247201</v>
      </c>
      <c r="M491" s="22">
        <v>2.7465248443546146E-3</v>
      </c>
      <c r="N491" s="21">
        <v>1</v>
      </c>
      <c r="O491" s="27">
        <v>842767.29525778058</v>
      </c>
      <c r="P491" s="22">
        <v>2.2039205245032749E-3</v>
      </c>
      <c r="Q491" s="21">
        <v>3</v>
      </c>
      <c r="R491" s="27">
        <v>948697.06032380124</v>
      </c>
      <c r="S491" s="22">
        <v>2.4955095583410023E-3</v>
      </c>
      <c r="T491" s="23">
        <v>1</v>
      </c>
      <c r="U491" s="28">
        <v>641599.01785511081</v>
      </c>
      <c r="V491" s="24">
        <v>1.6604972369592831E-3</v>
      </c>
      <c r="W491" s="23">
        <v>1</v>
      </c>
      <c r="X491" s="28">
        <v>544263.57871108036</v>
      </c>
      <c r="Y491" s="24">
        <v>1.3779142040771905E-3</v>
      </c>
      <c r="Z491" s="23">
        <v>2</v>
      </c>
      <c r="AA491" s="28">
        <v>631449.58773683268</v>
      </c>
      <c r="AB491" s="24">
        <v>1.6225554772230748E-3</v>
      </c>
    </row>
    <row r="492" spans="1:36" x14ac:dyDescent="0.25">
      <c r="A492" t="s">
        <v>5149</v>
      </c>
      <c r="B492" t="s">
        <v>7458</v>
      </c>
      <c r="C492" t="s">
        <v>5150</v>
      </c>
      <c r="D492" s="3" t="s">
        <v>4413</v>
      </c>
      <c r="E492" s="3" t="s">
        <v>495</v>
      </c>
      <c r="G492" t="s">
        <v>496</v>
      </c>
      <c r="H492" t="s">
        <v>172</v>
      </c>
      <c r="I492" s="17">
        <v>-1.72808425753496</v>
      </c>
      <c r="J492" s="17">
        <v>5.50975810265723E-2</v>
      </c>
      <c r="K492" s="21">
        <v>2</v>
      </c>
      <c r="L492" s="27">
        <v>174512.446759432</v>
      </c>
      <c r="M492" s="22">
        <v>2.9133963708863255E-4</v>
      </c>
      <c r="N492" s="21">
        <v>0</v>
      </c>
      <c r="O492" s="27">
        <v>121376.12595427157</v>
      </c>
      <c r="P492" s="22">
        <v>2.0440582668329902E-4</v>
      </c>
      <c r="Q492" s="21">
        <v>2</v>
      </c>
      <c r="R492" s="27">
        <v>175316.85584805626</v>
      </c>
      <c r="S492" s="22">
        <v>2.9697992986334046E-4</v>
      </c>
      <c r="T492" s="23">
        <v>0</v>
      </c>
      <c r="U492" s="28">
        <v>100675.73302482103</v>
      </c>
      <c r="V492" s="24">
        <v>1.6779190756393376E-4</v>
      </c>
      <c r="W492" s="23">
        <v>0</v>
      </c>
      <c r="X492" s="28">
        <v>79725.70421126725</v>
      </c>
      <c r="Y492" s="24">
        <v>1.2998193931092634E-4</v>
      </c>
      <c r="Z492" s="23">
        <v>0</v>
      </c>
      <c r="AA492" s="28">
        <v>114893.04910387806</v>
      </c>
      <c r="AB492" s="24">
        <v>1.9011937158669418E-4</v>
      </c>
    </row>
    <row r="493" spans="1:36" x14ac:dyDescent="0.25">
      <c r="A493" t="s">
        <v>5128</v>
      </c>
      <c r="B493" t="s">
        <v>7450</v>
      </c>
      <c r="C493" t="s">
        <v>5130</v>
      </c>
      <c r="D493" s="3" t="s">
        <v>5129</v>
      </c>
      <c r="E493" s="3" t="s">
        <v>495</v>
      </c>
      <c r="G493" t="s">
        <v>496</v>
      </c>
      <c r="H493" t="s">
        <v>172</v>
      </c>
      <c r="I493" s="17">
        <v>-2.1117948897518901</v>
      </c>
      <c r="J493" s="17">
        <v>3.2395170243237898E-4</v>
      </c>
      <c r="K493" s="21">
        <v>6</v>
      </c>
      <c r="L493" s="27">
        <v>1230924.0780466299</v>
      </c>
      <c r="M493" s="22">
        <v>1.0948349216379604E-3</v>
      </c>
      <c r="N493" s="21">
        <v>0</v>
      </c>
      <c r="O493" s="27">
        <v>1152329.7888157212</v>
      </c>
      <c r="P493" s="22">
        <v>1.0339058577743625E-3</v>
      </c>
      <c r="Q493" s="21">
        <v>5</v>
      </c>
      <c r="R493" s="27">
        <v>1295341.9977995828</v>
      </c>
      <c r="S493" s="22">
        <v>1.1690472933995569E-3</v>
      </c>
      <c r="T493" s="23">
        <v>0</v>
      </c>
      <c r="U493" s="28">
        <v>627949.83600715466</v>
      </c>
      <c r="V493" s="24">
        <v>5.5759050485107767E-4</v>
      </c>
      <c r="W493" s="23">
        <v>0</v>
      </c>
      <c r="X493" s="28">
        <v>660186.62843535806</v>
      </c>
      <c r="Y493" s="24">
        <v>5.7345002934157006E-4</v>
      </c>
      <c r="Z493" s="23">
        <v>0</v>
      </c>
      <c r="AA493" s="28">
        <v>602116.88249322434</v>
      </c>
      <c r="AB493" s="24">
        <v>5.3083264919640612E-4</v>
      </c>
    </row>
    <row r="494" spans="1:36" x14ac:dyDescent="0.25">
      <c r="A494" s="48" t="s">
        <v>5122</v>
      </c>
      <c r="B494" s="48" t="s">
        <v>7448</v>
      </c>
      <c r="C494" s="48" t="s">
        <v>5125</v>
      </c>
      <c r="D494" s="49" t="s">
        <v>5123</v>
      </c>
      <c r="E494" s="49" t="s">
        <v>495</v>
      </c>
      <c r="F494" s="48" t="s">
        <v>5124</v>
      </c>
      <c r="G494" s="48" t="s">
        <v>496</v>
      </c>
      <c r="H494" s="48" t="s">
        <v>12</v>
      </c>
      <c r="I494" s="50">
        <v>-2.9214249068853699</v>
      </c>
      <c r="J494" s="50">
        <v>0.62309176987099302</v>
      </c>
      <c r="K494" s="51">
        <v>2</v>
      </c>
      <c r="L494" s="52">
        <v>226098.35238478499</v>
      </c>
      <c r="M494" s="53">
        <v>5.8376355031914567E-4</v>
      </c>
      <c r="N494" s="51">
        <v>0</v>
      </c>
      <c r="O494" s="52">
        <v>2679014.7301426618</v>
      </c>
      <c r="P494" s="53">
        <v>6.9775267618832175E-3</v>
      </c>
      <c r="Q494" s="51">
        <v>0</v>
      </c>
      <c r="R494" s="52">
        <v>234674.95260616881</v>
      </c>
      <c r="S494" s="53">
        <v>6.1480384576011193E-4</v>
      </c>
      <c r="T494" s="54">
        <v>0</v>
      </c>
      <c r="U494" s="55">
        <v>258820.80754871736</v>
      </c>
      <c r="V494" s="56">
        <v>6.6713205502670809E-4</v>
      </c>
      <c r="W494" s="54">
        <v>0</v>
      </c>
      <c r="X494" s="55">
        <v>465411.81599312567</v>
      </c>
      <c r="Y494" s="56">
        <v>1.1735145077142069E-3</v>
      </c>
      <c r="Z494" s="54">
        <v>1</v>
      </c>
      <c r="AA494" s="55">
        <v>412140.20793021395</v>
      </c>
      <c r="AB494" s="56">
        <v>1.0547365852322189E-3</v>
      </c>
      <c r="AC494" s="59"/>
      <c r="AD494" s="59"/>
      <c r="AE494" s="59"/>
      <c r="AF494" s="59"/>
      <c r="AG494" s="59"/>
      <c r="AH494" s="59"/>
      <c r="AI494" s="50"/>
      <c r="AJ494" s="50"/>
    </row>
    <row r="495" spans="1:36" x14ac:dyDescent="0.25">
      <c r="A495" t="s">
        <v>5334</v>
      </c>
      <c r="B495" t="s">
        <v>7522</v>
      </c>
      <c r="C495" t="s">
        <v>5336</v>
      </c>
      <c r="D495" s="3" t="s">
        <v>5335</v>
      </c>
      <c r="E495" s="3" t="s">
        <v>495</v>
      </c>
      <c r="G495" s="13" t="s">
        <v>5303</v>
      </c>
      <c r="H495" t="s">
        <v>57</v>
      </c>
      <c r="I495" s="17">
        <v>1.3105965941269</v>
      </c>
      <c r="J495" s="17">
        <v>0.224106967524309</v>
      </c>
      <c r="K495" s="21">
        <v>4</v>
      </c>
      <c r="L495" s="27">
        <v>1304822.3275957899</v>
      </c>
      <c r="M495" s="22">
        <v>3.5560843379092541E-3</v>
      </c>
      <c r="N495" s="21">
        <v>2</v>
      </c>
      <c r="O495" s="27">
        <v>805938.07483269554</v>
      </c>
      <c r="P495" s="22">
        <v>2.2156909243036022E-3</v>
      </c>
      <c r="Q495" s="21">
        <v>3</v>
      </c>
      <c r="R495" s="27">
        <v>1116207.5485741803</v>
      </c>
      <c r="S495" s="22">
        <v>3.0867104175529209E-3</v>
      </c>
      <c r="T495" s="23">
        <v>1</v>
      </c>
      <c r="U495" s="28">
        <v>1425091.3189096299</v>
      </c>
      <c r="V495" s="24">
        <v>3.8773625476840241E-3</v>
      </c>
      <c r="W495" s="23">
        <v>1</v>
      </c>
      <c r="X495" s="28">
        <v>1393282.6059919922</v>
      </c>
      <c r="Y495" s="24">
        <v>3.7082701826340525E-3</v>
      </c>
      <c r="Z495" s="23">
        <v>2</v>
      </c>
      <c r="AA495" s="28">
        <v>1802162.7377816257</v>
      </c>
      <c r="AB495" s="24">
        <v>4.8682640538631524E-3</v>
      </c>
    </row>
    <row r="496" spans="1:36" x14ac:dyDescent="0.25">
      <c r="A496" t="s">
        <v>5355</v>
      </c>
      <c r="B496" t="s">
        <v>7529</v>
      </c>
      <c r="C496" t="s">
        <v>5357</v>
      </c>
      <c r="D496" s="3" t="s">
        <v>5356</v>
      </c>
      <c r="E496" s="3" t="s">
        <v>495</v>
      </c>
      <c r="G496" t="s">
        <v>5303</v>
      </c>
      <c r="H496" t="s">
        <v>547</v>
      </c>
      <c r="I496" s="17">
        <v>1.1751513560051201</v>
      </c>
      <c r="J496" s="17">
        <v>0.163718909018536</v>
      </c>
      <c r="K496" s="21">
        <v>5</v>
      </c>
      <c r="L496" s="27">
        <v>5757983.3964604801</v>
      </c>
      <c r="M496" s="22">
        <v>2.4979837202881855E-2</v>
      </c>
      <c r="N496" s="21">
        <v>6</v>
      </c>
      <c r="O496" s="27">
        <v>7654737.9636925962</v>
      </c>
      <c r="P496" s="22">
        <v>3.3499348155216942E-2</v>
      </c>
      <c r="Q496" s="21">
        <v>5</v>
      </c>
      <c r="R496" s="27">
        <v>6148737.3574324902</v>
      </c>
      <c r="S496" s="22">
        <v>2.7066705508303399E-2</v>
      </c>
      <c r="T496" s="23">
        <v>7</v>
      </c>
      <c r="U496" s="28">
        <v>7410777.5415132288</v>
      </c>
      <c r="V496" s="24">
        <v>3.2096377246181938E-2</v>
      </c>
      <c r="W496" s="23">
        <v>7</v>
      </c>
      <c r="X496" s="28">
        <v>10123748.643459933</v>
      </c>
      <c r="Y496" s="24">
        <v>4.2891578571889966E-2</v>
      </c>
      <c r="Z496" s="23">
        <v>5</v>
      </c>
      <c r="AA496" s="28">
        <v>7433526.9386622235</v>
      </c>
      <c r="AB496" s="24">
        <v>3.1964915649975285E-2</v>
      </c>
      <c r="AC496" s="20">
        <v>0.64698315319516875</v>
      </c>
      <c r="AD496" s="20">
        <v>0.56238433393905329</v>
      </c>
      <c r="AE496" s="20">
        <v>0.66942722236300278</v>
      </c>
      <c r="AF496" s="20">
        <v>0.57424767940816646</v>
      </c>
      <c r="AG496" s="20">
        <v>0.54622126978274177</v>
      </c>
      <c r="AH496" s="20">
        <v>0.56067442466199091</v>
      </c>
    </row>
    <row r="497" spans="1:36" x14ac:dyDescent="0.25">
      <c r="A497" t="s">
        <v>5319</v>
      </c>
      <c r="B497" t="s">
        <v>7517</v>
      </c>
      <c r="C497" t="s">
        <v>5320</v>
      </c>
      <c r="D497" s="3" t="s">
        <v>5306</v>
      </c>
      <c r="E497" s="3" t="s">
        <v>495</v>
      </c>
      <c r="G497" t="s">
        <v>5303</v>
      </c>
      <c r="H497" t="s">
        <v>547</v>
      </c>
      <c r="I497" s="17">
        <v>-1.03098491947813</v>
      </c>
      <c r="J497" s="17">
        <v>0.958394954515848</v>
      </c>
      <c r="K497" s="21">
        <v>7</v>
      </c>
      <c r="L497" s="27">
        <v>4680608.12856095</v>
      </c>
      <c r="M497" s="22">
        <v>1.4350779044072552E-2</v>
      </c>
      <c r="N497" s="21">
        <v>3</v>
      </c>
      <c r="O497" s="27">
        <v>2597992.6613504984</v>
      </c>
      <c r="P497" s="22">
        <v>8.0352232491946712E-3</v>
      </c>
      <c r="Q497" s="21">
        <v>8</v>
      </c>
      <c r="R497" s="27">
        <v>4863982.7265899638</v>
      </c>
      <c r="S497" s="22">
        <v>1.5131970253792407E-2</v>
      </c>
      <c r="T497" s="23">
        <v>3</v>
      </c>
      <c r="U497" s="28">
        <v>4174932.0088076917</v>
      </c>
      <c r="V497" s="24">
        <v>1.2778963982653227E-2</v>
      </c>
      <c r="W497" s="23">
        <v>2</v>
      </c>
      <c r="X497" s="28">
        <v>4081506.7145018452</v>
      </c>
      <c r="Y497" s="24">
        <v>1.2220956310357267E-2</v>
      </c>
      <c r="Z497" s="23">
        <v>5</v>
      </c>
      <c r="AA497" s="28">
        <v>4584086.7287102491</v>
      </c>
      <c r="AB497" s="24">
        <v>1.3931101889400976E-2</v>
      </c>
      <c r="AC497" s="17" t="s">
        <v>8084</v>
      </c>
      <c r="AD497" s="20">
        <v>0.62626490316574168</v>
      </c>
      <c r="AF497" s="17" t="s">
        <v>8084</v>
      </c>
      <c r="AG497" s="20">
        <v>0.56038112461763312</v>
      </c>
      <c r="AI497" s="47" t="s">
        <v>8087</v>
      </c>
      <c r="AJ497" s="20">
        <v>89.479886512070379</v>
      </c>
    </row>
    <row r="498" spans="1:36" x14ac:dyDescent="0.25">
      <c r="A498" t="s">
        <v>5386</v>
      </c>
      <c r="B498" t="s">
        <v>7539</v>
      </c>
      <c r="C498" t="s">
        <v>5387</v>
      </c>
      <c r="D498" s="3" t="s">
        <v>4089</v>
      </c>
      <c r="E498" s="3" t="s">
        <v>495</v>
      </c>
      <c r="F498" t="s">
        <v>5378</v>
      </c>
      <c r="G498" t="s">
        <v>5303</v>
      </c>
      <c r="H498" t="s">
        <v>4090</v>
      </c>
      <c r="I498" s="17">
        <v>-1.1288494269738101</v>
      </c>
      <c r="J498" s="17">
        <v>0.75603534853993204</v>
      </c>
      <c r="K498" s="21">
        <v>5</v>
      </c>
      <c r="L498" s="27">
        <v>1383258.1000737599</v>
      </c>
      <c r="M498" s="22">
        <v>1.436717497899846E-3</v>
      </c>
      <c r="N498" s="21">
        <v>3</v>
      </c>
      <c r="O498" s="27">
        <v>747826.36763039301</v>
      </c>
      <c r="P498" s="22">
        <v>7.8353024511859702E-4</v>
      </c>
      <c r="Q498" s="21">
        <v>6</v>
      </c>
      <c r="R498" s="27">
        <v>1362508.5199003753</v>
      </c>
      <c r="S498" s="22">
        <v>1.4359444698165964E-3</v>
      </c>
      <c r="T498" s="23">
        <v>3</v>
      </c>
      <c r="U498" s="28">
        <v>1202120.8424231412</v>
      </c>
      <c r="V498" s="24">
        <v>1.246491524306144E-3</v>
      </c>
      <c r="W498" s="23">
        <v>2</v>
      </c>
      <c r="X498" s="28">
        <v>966633.8379553376</v>
      </c>
      <c r="Y498" s="24">
        <v>9.8048653526069994E-4</v>
      </c>
      <c r="Z498" s="23">
        <v>3</v>
      </c>
      <c r="AA498" s="28">
        <v>1196279.6724901162</v>
      </c>
      <c r="AB498" s="24">
        <v>1.231573483940181E-3</v>
      </c>
      <c r="AC498" s="17" t="s">
        <v>8085</v>
      </c>
      <c r="AD498" s="20">
        <v>5.6448909677219786E-2</v>
      </c>
      <c r="AF498" s="17" t="s">
        <v>8085</v>
      </c>
      <c r="AG498" s="20">
        <v>1.4015506691163172E-2</v>
      </c>
      <c r="AI498" s="17" t="s">
        <v>8086</v>
      </c>
      <c r="AJ498" s="20">
        <v>0.12127958563591743</v>
      </c>
    </row>
    <row r="499" spans="1:36" x14ac:dyDescent="0.25">
      <c r="A499" t="s">
        <v>5308</v>
      </c>
      <c r="B499" t="s">
        <v>7514</v>
      </c>
      <c r="C499" t="s">
        <v>5310</v>
      </c>
      <c r="D499" s="3" t="s">
        <v>5309</v>
      </c>
      <c r="E499" s="3" t="s">
        <v>495</v>
      </c>
      <c r="G499" t="s">
        <v>5303</v>
      </c>
      <c r="H499" t="s">
        <v>547</v>
      </c>
      <c r="I499" s="17">
        <v>-1.1457975840153001</v>
      </c>
      <c r="J499" s="17">
        <v>0.17598276295965901</v>
      </c>
      <c r="K499" s="21">
        <v>7</v>
      </c>
      <c r="L499" s="27">
        <v>7131387.4869361399</v>
      </c>
      <c r="M499" s="22">
        <v>1.0454934297894371E-2</v>
      </c>
      <c r="N499" s="21">
        <v>6</v>
      </c>
      <c r="O499" s="27">
        <v>6545500.0125930915</v>
      </c>
      <c r="P499" s="22">
        <v>9.6800351362110789E-3</v>
      </c>
      <c r="Q499" s="21">
        <v>7</v>
      </c>
      <c r="R499" s="27">
        <v>6498641.0038543418</v>
      </c>
      <c r="S499" s="22">
        <v>9.6671861055445275E-3</v>
      </c>
      <c r="T499" s="23">
        <v>4</v>
      </c>
      <c r="U499" s="28">
        <v>6311340.5352136837</v>
      </c>
      <c r="V499" s="24">
        <v>9.2372336845681843E-3</v>
      </c>
      <c r="W499" s="23">
        <v>3</v>
      </c>
      <c r="X499" s="28">
        <v>6887194.1532459836</v>
      </c>
      <c r="Y499" s="24">
        <v>9.8605486542519133E-3</v>
      </c>
      <c r="Z499" s="23">
        <v>4</v>
      </c>
      <c r="AA499" s="28">
        <v>5976556.4505445883</v>
      </c>
      <c r="AB499" s="24">
        <v>8.6847585089329382E-3</v>
      </c>
    </row>
    <row r="500" spans="1:36" x14ac:dyDescent="0.25">
      <c r="A500" t="s">
        <v>5301</v>
      </c>
      <c r="B500" t="s">
        <v>7512</v>
      </c>
      <c r="C500" t="s">
        <v>5304</v>
      </c>
      <c r="D500" s="3" t="s">
        <v>5302</v>
      </c>
      <c r="E500" s="3" t="s">
        <v>495</v>
      </c>
      <c r="G500" t="s">
        <v>5303</v>
      </c>
      <c r="H500" t="s">
        <v>553</v>
      </c>
      <c r="I500" s="17">
        <v>-1.1600318246922501</v>
      </c>
      <c r="J500" s="17">
        <v>0.550961512677836</v>
      </c>
      <c r="K500" s="21">
        <v>6</v>
      </c>
      <c r="L500" s="27">
        <v>2217400.6039705202</v>
      </c>
      <c r="M500" s="22">
        <v>2.8225585910177141E-3</v>
      </c>
      <c r="N500" s="21">
        <v>5</v>
      </c>
      <c r="O500" s="27">
        <v>1693266.987408282</v>
      </c>
      <c r="P500" s="22">
        <v>2.1742580066908064E-3</v>
      </c>
      <c r="Q500" s="21">
        <v>10</v>
      </c>
      <c r="R500" s="27">
        <v>3044192.0675760549</v>
      </c>
      <c r="S500" s="22">
        <v>3.9318877785783227E-3</v>
      </c>
      <c r="T500" s="23">
        <v>6</v>
      </c>
      <c r="U500" s="28">
        <v>2257607.3162814807</v>
      </c>
      <c r="V500" s="24">
        <v>2.8689319818404526E-3</v>
      </c>
      <c r="W500" s="23">
        <v>3</v>
      </c>
      <c r="X500" s="28">
        <v>1909420.3688336746</v>
      </c>
      <c r="Y500" s="24">
        <v>2.3736235184082665E-3</v>
      </c>
      <c r="Z500" s="23">
        <v>7</v>
      </c>
      <c r="AA500" s="28">
        <v>2290970.4501421</v>
      </c>
      <c r="AB500" s="24">
        <v>2.8905317195902693E-3</v>
      </c>
    </row>
    <row r="501" spans="1:36" x14ac:dyDescent="0.25">
      <c r="A501" t="s">
        <v>5358</v>
      </c>
      <c r="B501" t="s">
        <v>7530</v>
      </c>
      <c r="C501" t="s">
        <v>5360</v>
      </c>
      <c r="D501" s="3" t="s">
        <v>5359</v>
      </c>
      <c r="E501" s="3" t="s">
        <v>495</v>
      </c>
      <c r="G501" t="s">
        <v>5303</v>
      </c>
      <c r="H501" t="s">
        <v>547</v>
      </c>
      <c r="I501" s="17">
        <v>-1.1640394995474199</v>
      </c>
      <c r="J501" s="17">
        <v>0.28421642587795998</v>
      </c>
      <c r="K501" s="21">
        <v>23</v>
      </c>
      <c r="L501" s="27">
        <v>32394308.882690199</v>
      </c>
      <c r="M501" s="22">
        <v>7.074934079278572E-2</v>
      </c>
      <c r="N501" s="21">
        <v>15</v>
      </c>
      <c r="O501" s="27">
        <v>26670463.943683472</v>
      </c>
      <c r="P501" s="22">
        <v>5.8758551570033728E-2</v>
      </c>
      <c r="Q501" s="21">
        <v>21</v>
      </c>
      <c r="R501" s="27">
        <v>32918978.258379694</v>
      </c>
      <c r="S501" s="22">
        <v>7.2950838075503052E-2</v>
      </c>
      <c r="T501" s="23">
        <v>19</v>
      </c>
      <c r="U501" s="28">
        <v>29942478.554783069</v>
      </c>
      <c r="V501" s="24">
        <v>6.5285159523283995E-2</v>
      </c>
      <c r="W501" s="23">
        <v>12</v>
      </c>
      <c r="X501" s="28">
        <v>26767534.784958772</v>
      </c>
      <c r="Y501" s="24">
        <v>5.7091773671066881E-2</v>
      </c>
      <c r="Z501" s="23">
        <v>15</v>
      </c>
      <c r="AA501" s="28">
        <v>28912699.97967764</v>
      </c>
      <c r="AB501" s="24">
        <v>6.2589542356101549E-2</v>
      </c>
    </row>
    <row r="502" spans="1:36" x14ac:dyDescent="0.25">
      <c r="A502" t="s">
        <v>5340</v>
      </c>
      <c r="B502" t="s">
        <v>7524</v>
      </c>
      <c r="C502" t="s">
        <v>5342</v>
      </c>
      <c r="D502" s="3" t="s">
        <v>5341</v>
      </c>
      <c r="E502" s="3" t="s">
        <v>495</v>
      </c>
      <c r="G502" t="s">
        <v>5303</v>
      </c>
      <c r="H502" t="s">
        <v>653</v>
      </c>
      <c r="I502" s="17">
        <v>-1.1781657654184301</v>
      </c>
      <c r="J502" s="17">
        <v>6.2870246533378998E-2</v>
      </c>
      <c r="K502" s="21">
        <v>11</v>
      </c>
      <c r="L502" s="27">
        <v>19061063.375454299</v>
      </c>
      <c r="M502" s="22">
        <v>4.8623212264090263E-2</v>
      </c>
      <c r="N502" s="21">
        <v>8</v>
      </c>
      <c r="O502" s="27">
        <v>17873452.793743521</v>
      </c>
      <c r="P502" s="22">
        <v>4.5993007752776753E-2</v>
      </c>
      <c r="Q502" s="21">
        <v>10</v>
      </c>
      <c r="R502" s="27">
        <v>18675292.91167625</v>
      </c>
      <c r="S502" s="22">
        <v>4.833861506727917E-2</v>
      </c>
      <c r="T502" s="23">
        <v>5</v>
      </c>
      <c r="U502" s="28">
        <v>15961130.01926739</v>
      </c>
      <c r="V502" s="24">
        <v>4.064744018186587E-2</v>
      </c>
      <c r="W502" s="23">
        <v>5</v>
      </c>
      <c r="X502" s="28">
        <v>19050353.394915469</v>
      </c>
      <c r="Y502" s="24">
        <v>4.7458175607019717E-2</v>
      </c>
      <c r="Z502" s="23">
        <v>7</v>
      </c>
      <c r="AA502" s="28">
        <v>16410684.979999444</v>
      </c>
      <c r="AB502" s="24">
        <v>4.1493749238794113E-2</v>
      </c>
    </row>
    <row r="503" spans="1:36" x14ac:dyDescent="0.25">
      <c r="A503" t="s">
        <v>5366</v>
      </c>
      <c r="B503" t="s">
        <v>7533</v>
      </c>
      <c r="C503" t="s">
        <v>5368</v>
      </c>
      <c r="D503" s="3" t="s">
        <v>5367</v>
      </c>
      <c r="E503" s="3" t="s">
        <v>495</v>
      </c>
      <c r="G503" t="s">
        <v>5303</v>
      </c>
      <c r="H503" t="s">
        <v>547</v>
      </c>
      <c r="I503" s="17">
        <v>-1.1925400743162899</v>
      </c>
      <c r="J503" s="17">
        <v>0.37618136569640798</v>
      </c>
      <c r="K503" s="21">
        <v>16</v>
      </c>
      <c r="L503" s="27">
        <v>30483958.227764498</v>
      </c>
      <c r="M503" s="22">
        <v>5.9089727897707132E-2</v>
      </c>
      <c r="N503" s="21">
        <v>8</v>
      </c>
      <c r="O503" s="27">
        <v>24055919.038112078</v>
      </c>
      <c r="P503" s="22">
        <v>4.7038061773116355E-2</v>
      </c>
      <c r="Q503" s="21">
        <v>19</v>
      </c>
      <c r="R503" s="27">
        <v>37069989.524076506</v>
      </c>
      <c r="S503" s="22">
        <v>7.2911050442948461E-2</v>
      </c>
      <c r="T503" s="23">
        <v>14</v>
      </c>
      <c r="U503" s="28">
        <v>29953348.985015612</v>
      </c>
      <c r="V503" s="24">
        <v>5.7964095382752191E-2</v>
      </c>
      <c r="W503" s="23">
        <v>9</v>
      </c>
      <c r="X503" s="28">
        <v>24194761.427596007</v>
      </c>
      <c r="Y503" s="24">
        <v>4.58008414948817E-2</v>
      </c>
      <c r="Z503" s="23">
        <v>14</v>
      </c>
      <c r="AA503" s="28">
        <v>28681070.327280782</v>
      </c>
      <c r="AB503" s="24">
        <v>5.5105561793771095E-2</v>
      </c>
    </row>
    <row r="504" spans="1:36" x14ac:dyDescent="0.25">
      <c r="A504" t="s">
        <v>5369</v>
      </c>
      <c r="B504" t="s">
        <v>7534</v>
      </c>
      <c r="C504" t="s">
        <v>5371</v>
      </c>
      <c r="D504" s="3" t="s">
        <v>5370</v>
      </c>
      <c r="E504" s="3" t="s">
        <v>495</v>
      </c>
      <c r="G504" t="s">
        <v>5303</v>
      </c>
      <c r="H504" t="s">
        <v>547</v>
      </c>
      <c r="I504" s="17">
        <v>-1.20082903329974</v>
      </c>
      <c r="J504" s="17">
        <v>0.46248212573222902</v>
      </c>
      <c r="K504" s="21">
        <v>23</v>
      </c>
      <c r="L504" s="27">
        <v>26973243.396942001</v>
      </c>
      <c r="M504" s="22">
        <v>3.8482402561299374E-2</v>
      </c>
      <c r="N504" s="21">
        <v>11</v>
      </c>
      <c r="O504" s="27">
        <v>16711101.511278873</v>
      </c>
      <c r="P504" s="22">
        <v>2.4050323189401871E-2</v>
      </c>
      <c r="Q504" s="21">
        <v>23</v>
      </c>
      <c r="R504" s="27">
        <v>23677027.440453753</v>
      </c>
      <c r="S504" s="22">
        <v>3.4275708779907092E-2</v>
      </c>
      <c r="T504" s="23">
        <v>21</v>
      </c>
      <c r="U504" s="28">
        <v>21566842.993032679</v>
      </c>
      <c r="V504" s="24">
        <v>3.0717695250169968E-2</v>
      </c>
      <c r="W504" s="23">
        <v>12</v>
      </c>
      <c r="X504" s="28">
        <v>18576820.439923938</v>
      </c>
      <c r="Y504" s="24">
        <v>2.5882836644036233E-2</v>
      </c>
      <c r="Z504" s="23">
        <v>15</v>
      </c>
      <c r="AA504" s="28">
        <v>20982927.923944697</v>
      </c>
      <c r="AB504" s="24">
        <v>2.967252767500464E-2</v>
      </c>
    </row>
    <row r="505" spans="1:36" x14ac:dyDescent="0.25">
      <c r="A505" t="s">
        <v>5343</v>
      </c>
      <c r="B505" t="s">
        <v>7525</v>
      </c>
      <c r="C505" t="s">
        <v>5345</v>
      </c>
      <c r="D505" s="3" t="s">
        <v>5344</v>
      </c>
      <c r="E505" s="3" t="s">
        <v>495</v>
      </c>
      <c r="G505" t="s">
        <v>5303</v>
      </c>
      <c r="H505" t="s">
        <v>547</v>
      </c>
      <c r="I505" s="17">
        <v>-1.2010846377919999</v>
      </c>
      <c r="J505" s="17">
        <v>7.3850208336053297E-2</v>
      </c>
      <c r="K505" s="21">
        <v>26</v>
      </c>
      <c r="L505" s="27">
        <v>70500275.274369299</v>
      </c>
      <c r="M505" s="22">
        <v>0.17292349117375433</v>
      </c>
      <c r="N505" s="21">
        <v>21</v>
      </c>
      <c r="O505" s="27">
        <v>63970053.503929116</v>
      </c>
      <c r="P505" s="22">
        <v>0.15828025038371021</v>
      </c>
      <c r="Q505" s="21">
        <v>25</v>
      </c>
      <c r="R505" s="27">
        <v>70903935.419606477</v>
      </c>
      <c r="S505" s="22">
        <v>0.1764671137964344</v>
      </c>
      <c r="T505" s="23">
        <v>25</v>
      </c>
      <c r="U505" s="28">
        <v>59571345.852604784</v>
      </c>
      <c r="V505" s="24">
        <v>0.14587257113507276</v>
      </c>
      <c r="W505" s="23">
        <v>26</v>
      </c>
      <c r="X505" s="28">
        <v>62187091.386177145</v>
      </c>
      <c r="Y505" s="24">
        <v>0.1489617986805489</v>
      </c>
      <c r="Z505" s="23">
        <v>25</v>
      </c>
      <c r="AA505" s="28">
        <v>63902293.692742102</v>
      </c>
      <c r="AB505" s="24">
        <v>0.15535995142927589</v>
      </c>
    </row>
    <row r="506" spans="1:36" x14ac:dyDescent="0.25">
      <c r="A506" t="s">
        <v>5352</v>
      </c>
      <c r="B506" t="s">
        <v>7528</v>
      </c>
      <c r="C506" t="s">
        <v>5354</v>
      </c>
      <c r="D506" s="3" t="s">
        <v>5353</v>
      </c>
      <c r="E506" s="3" t="s">
        <v>495</v>
      </c>
      <c r="G506" t="s">
        <v>5303</v>
      </c>
      <c r="H506" t="s">
        <v>547</v>
      </c>
      <c r="I506" s="17">
        <v>-1.2053946840851899</v>
      </c>
      <c r="J506" s="17">
        <v>0.109646639934995</v>
      </c>
      <c r="K506" s="21">
        <v>10</v>
      </c>
      <c r="L506" s="27">
        <v>10334535.470538899</v>
      </c>
      <c r="M506" s="22">
        <v>1.9556790774019325E-2</v>
      </c>
      <c r="N506" s="21">
        <v>4</v>
      </c>
      <c r="O506" s="27">
        <v>9572508.3709623627</v>
      </c>
      <c r="P506" s="22">
        <v>1.8273393925482977E-2</v>
      </c>
      <c r="Q506" s="21">
        <v>8</v>
      </c>
      <c r="R506" s="27">
        <v>10415873.235448057</v>
      </c>
      <c r="S506" s="22">
        <v>2.0000118772705487E-2</v>
      </c>
      <c r="T506" s="23">
        <v>6</v>
      </c>
      <c r="U506" s="28">
        <v>9778451.3882437441</v>
      </c>
      <c r="V506" s="24">
        <v>1.8473524212241344E-2</v>
      </c>
      <c r="W506" s="23">
        <v>4</v>
      </c>
      <c r="X506" s="28">
        <v>9182870.5289608873</v>
      </c>
      <c r="Y506" s="24">
        <v>1.6970575549241074E-2</v>
      </c>
      <c r="Z506" s="23">
        <v>5</v>
      </c>
      <c r="AA506" s="28">
        <v>8295396.5588602358</v>
      </c>
      <c r="AB506" s="24">
        <v>1.5559772009130257E-2</v>
      </c>
    </row>
    <row r="507" spans="1:36" x14ac:dyDescent="0.25">
      <c r="A507" t="s">
        <v>5372</v>
      </c>
      <c r="B507" t="s">
        <v>7535</v>
      </c>
      <c r="C507" t="s">
        <v>5375</v>
      </c>
      <c r="D507" s="3" t="s">
        <v>5373</v>
      </c>
      <c r="E507" s="3" t="s">
        <v>495</v>
      </c>
      <c r="F507" t="s">
        <v>5374</v>
      </c>
      <c r="G507" t="s">
        <v>5303</v>
      </c>
      <c r="H507" t="s">
        <v>547</v>
      </c>
      <c r="I507" s="17">
        <v>-1.2105626166688199</v>
      </c>
      <c r="J507" s="17">
        <v>0.25659081962762798</v>
      </c>
      <c r="K507" s="21">
        <v>34</v>
      </c>
      <c r="L507" s="27">
        <v>27692043.942593701</v>
      </c>
      <c r="M507" s="22">
        <v>2.7295261641415016E-2</v>
      </c>
      <c r="N507" s="21">
        <v>21</v>
      </c>
      <c r="O507" s="27">
        <v>23246813.049381949</v>
      </c>
      <c r="P507" s="22">
        <v>2.311439363526821E-2</v>
      </c>
      <c r="Q507" s="21">
        <v>35</v>
      </c>
      <c r="R507" s="27">
        <v>28471528.870601237</v>
      </c>
      <c r="S507" s="22">
        <v>2.8475627152597424E-2</v>
      </c>
      <c r="T507" s="23">
        <v>28</v>
      </c>
      <c r="U507" s="28">
        <v>25908795.514346488</v>
      </c>
      <c r="V507" s="24">
        <v>2.5494853255958246E-2</v>
      </c>
      <c r="W507" s="23">
        <v>22</v>
      </c>
      <c r="X507" s="28">
        <v>20032720.250493973</v>
      </c>
      <c r="Y507" s="24">
        <v>1.9283402077910058E-2</v>
      </c>
      <c r="Z507" s="23">
        <v>27</v>
      </c>
      <c r="AA507" s="28">
        <v>24874632.623854421</v>
      </c>
      <c r="AB507" s="24">
        <v>2.4302355667445291E-2</v>
      </c>
    </row>
    <row r="508" spans="1:36" x14ac:dyDescent="0.25">
      <c r="A508" t="s">
        <v>5305</v>
      </c>
      <c r="B508" t="s">
        <v>7513</v>
      </c>
      <c r="C508" t="s">
        <v>5307</v>
      </c>
      <c r="D508" s="3" t="s">
        <v>5306</v>
      </c>
      <c r="E508" s="3" t="s">
        <v>495</v>
      </c>
      <c r="G508" t="s">
        <v>5303</v>
      </c>
      <c r="H508" t="s">
        <v>547</v>
      </c>
      <c r="I508" s="17">
        <v>-1.2400548141438501</v>
      </c>
      <c r="J508" s="17">
        <v>4.2364374455546097E-2</v>
      </c>
      <c r="K508" s="21">
        <v>2</v>
      </c>
      <c r="L508" s="27">
        <v>1211532.73067618</v>
      </c>
      <c r="M508" s="22">
        <v>3.4960642709961241E-3</v>
      </c>
      <c r="N508" s="21">
        <v>2</v>
      </c>
      <c r="O508" s="27">
        <v>1432758.2494049734</v>
      </c>
      <c r="P508" s="22">
        <v>4.1706525077158194E-3</v>
      </c>
      <c r="Q508" s="21">
        <v>2</v>
      </c>
      <c r="R508" s="27">
        <v>1189918.1306102634</v>
      </c>
      <c r="S508" s="22">
        <v>3.4841079142161236E-3</v>
      </c>
      <c r="T508" s="23">
        <v>3</v>
      </c>
      <c r="U508" s="28">
        <v>1116379.4969845214</v>
      </c>
      <c r="V508" s="24">
        <v>3.2160970969172102E-3</v>
      </c>
      <c r="W508" s="23">
        <v>2</v>
      </c>
      <c r="X508" s="28">
        <v>1096816.0748524356</v>
      </c>
      <c r="Y508" s="24">
        <v>3.0909326657740316E-3</v>
      </c>
      <c r="Z508" s="23">
        <v>2</v>
      </c>
      <c r="AA508" s="28">
        <v>1127570.268149755</v>
      </c>
      <c r="AB508" s="24">
        <v>3.2251307051971699E-3</v>
      </c>
    </row>
    <row r="509" spans="1:36" x14ac:dyDescent="0.25">
      <c r="A509" t="s">
        <v>5364</v>
      </c>
      <c r="B509" t="s">
        <v>7532</v>
      </c>
      <c r="C509" t="s">
        <v>5365</v>
      </c>
      <c r="D509" s="3" t="s">
        <v>5341</v>
      </c>
      <c r="E509" s="3" t="s">
        <v>495</v>
      </c>
      <c r="G509" t="s">
        <v>5303</v>
      </c>
      <c r="H509" t="s">
        <v>542</v>
      </c>
      <c r="I509" s="17">
        <v>-1.2454178247426499</v>
      </c>
      <c r="J509" s="17">
        <v>0.33474296027754002</v>
      </c>
      <c r="K509" s="21">
        <v>21</v>
      </c>
      <c r="L509" s="27">
        <v>40762638.552552298</v>
      </c>
      <c r="M509" s="22">
        <v>6.2639851790633264E-2</v>
      </c>
      <c r="N509" s="21">
        <v>10</v>
      </c>
      <c r="O509" s="27">
        <v>27135577.376764771</v>
      </c>
      <c r="P509" s="22">
        <v>4.2064364552946799E-2</v>
      </c>
      <c r="Q509" s="21">
        <v>20</v>
      </c>
      <c r="R509" s="27">
        <v>41294022.994798362</v>
      </c>
      <c r="S509" s="22">
        <v>6.438814130292056E-2</v>
      </c>
      <c r="T509" s="23">
        <v>17</v>
      </c>
      <c r="U509" s="28">
        <v>34077135.871837161</v>
      </c>
      <c r="V509" s="24">
        <v>5.2278673940542808E-2</v>
      </c>
      <c r="W509" s="23">
        <v>10</v>
      </c>
      <c r="X509" s="28">
        <v>29305893.626280189</v>
      </c>
      <c r="Y509" s="24">
        <v>4.3979965399393743E-2</v>
      </c>
      <c r="Z509" s="23">
        <v>17</v>
      </c>
      <c r="AA509" s="28">
        <v>31811459.375461765</v>
      </c>
      <c r="AB509" s="24">
        <v>4.8454205214917105E-2</v>
      </c>
    </row>
    <row r="510" spans="1:36" x14ac:dyDescent="0.25">
      <c r="A510" t="s">
        <v>5361</v>
      </c>
      <c r="B510" t="s">
        <v>7531</v>
      </c>
      <c r="C510" t="s">
        <v>5363</v>
      </c>
      <c r="D510" s="3" t="s">
        <v>5362</v>
      </c>
      <c r="E510" s="3" t="s">
        <v>495</v>
      </c>
      <c r="G510" t="s">
        <v>5303</v>
      </c>
      <c r="H510" t="s">
        <v>547</v>
      </c>
      <c r="I510" s="17">
        <v>-1.25066573615058</v>
      </c>
      <c r="J510" s="17">
        <v>0.31453150639306299</v>
      </c>
      <c r="K510" s="21">
        <v>4</v>
      </c>
      <c r="L510" s="27">
        <v>2752099.3073419998</v>
      </c>
      <c r="M510" s="22">
        <v>5.88958056741231E-3</v>
      </c>
      <c r="N510" s="21">
        <v>2</v>
      </c>
      <c r="O510" s="27">
        <v>1863836.6021542163</v>
      </c>
      <c r="P510" s="22">
        <v>4.0236012530763827E-3</v>
      </c>
      <c r="Q510" s="21">
        <v>4</v>
      </c>
      <c r="R510" s="27">
        <v>2430543.7091153776</v>
      </c>
      <c r="S510" s="22">
        <v>5.2778125480483044E-3</v>
      </c>
      <c r="T510" s="23">
        <v>4</v>
      </c>
      <c r="U510" s="28">
        <v>2249921.0424511507</v>
      </c>
      <c r="V510" s="24">
        <v>4.8068501918398362E-3</v>
      </c>
      <c r="W510" s="23">
        <v>1</v>
      </c>
      <c r="X510" s="28">
        <v>2264965.7006292432</v>
      </c>
      <c r="Y510" s="24">
        <v>4.7336198428022114E-3</v>
      </c>
      <c r="Z510" s="23">
        <v>1</v>
      </c>
      <c r="AA510" s="28">
        <v>1644328.1037704705</v>
      </c>
      <c r="AB510" s="24">
        <v>3.487933476879472E-3</v>
      </c>
    </row>
    <row r="511" spans="1:36" x14ac:dyDescent="0.25">
      <c r="A511" t="s">
        <v>5376</v>
      </c>
      <c r="B511" t="s">
        <v>7536</v>
      </c>
      <c r="C511" t="s">
        <v>5379</v>
      </c>
      <c r="D511" s="3" t="s">
        <v>5377</v>
      </c>
      <c r="E511" s="3" t="s">
        <v>495</v>
      </c>
      <c r="F511" t="s">
        <v>5378</v>
      </c>
      <c r="G511" t="s">
        <v>5303</v>
      </c>
      <c r="H511" t="s">
        <v>243</v>
      </c>
      <c r="I511" s="17">
        <v>-1.31663288225381</v>
      </c>
      <c r="J511" s="17">
        <v>3.26191487802273E-2</v>
      </c>
      <c r="K511" s="21">
        <v>14</v>
      </c>
      <c r="L511" s="27">
        <v>12832655.6492458</v>
      </c>
      <c r="M511" s="22">
        <v>2.5494590369332968E-2</v>
      </c>
      <c r="N511" s="21">
        <v>9</v>
      </c>
      <c r="O511" s="27">
        <v>11627932.762648657</v>
      </c>
      <c r="P511" s="22">
        <v>2.3303483288683917E-2</v>
      </c>
      <c r="Q511" s="21">
        <v>13</v>
      </c>
      <c r="R511" s="27">
        <v>12583243.254186656</v>
      </c>
      <c r="S511" s="22">
        <v>2.5366137938807987E-2</v>
      </c>
      <c r="T511" s="23">
        <v>9</v>
      </c>
      <c r="U511" s="28">
        <v>10598947.578920597</v>
      </c>
      <c r="V511" s="24">
        <v>2.1021673460246609E-2</v>
      </c>
      <c r="W511" s="23">
        <v>6</v>
      </c>
      <c r="X511" s="28">
        <v>10417032.345616385</v>
      </c>
      <c r="Y511" s="24">
        <v>2.0210962275647434E-2</v>
      </c>
      <c r="Z511" s="23">
        <v>8</v>
      </c>
      <c r="AA511" s="28">
        <v>9520619.6462865155</v>
      </c>
      <c r="AB511" s="24">
        <v>1.8748052485867844E-2</v>
      </c>
    </row>
    <row r="512" spans="1:36" x14ac:dyDescent="0.25">
      <c r="A512" t="s">
        <v>5346</v>
      </c>
      <c r="B512" t="s">
        <v>7526</v>
      </c>
      <c r="C512" t="s">
        <v>5348</v>
      </c>
      <c r="D512" s="3" t="s">
        <v>5347</v>
      </c>
      <c r="E512" s="3" t="s">
        <v>495</v>
      </c>
      <c r="G512" t="s">
        <v>5303</v>
      </c>
      <c r="H512" t="s">
        <v>547</v>
      </c>
      <c r="I512" s="17">
        <v>-1.31837561900692</v>
      </c>
      <c r="J512" s="17">
        <v>9.4969458257089107E-2</v>
      </c>
      <c r="K512" s="21">
        <v>5</v>
      </c>
      <c r="L512" s="27">
        <v>5720371.0736800097</v>
      </c>
      <c r="M512" s="22">
        <v>2.2943708048680136E-2</v>
      </c>
      <c r="N512" s="21">
        <v>4</v>
      </c>
      <c r="O512" s="27">
        <v>7133438.7358524231</v>
      </c>
      <c r="P512" s="22">
        <v>2.8861917040716053E-2</v>
      </c>
      <c r="Q512" s="21">
        <v>5</v>
      </c>
      <c r="R512" s="27">
        <v>5188884.5793961138</v>
      </c>
      <c r="S512" s="22">
        <v>2.1117557044421292E-2</v>
      </c>
      <c r="T512" s="23">
        <v>5</v>
      </c>
      <c r="U512" s="28">
        <v>5272682.13970639</v>
      </c>
      <c r="V512" s="24">
        <v>2.1112712828507588E-2</v>
      </c>
      <c r="W512" s="23">
        <v>3</v>
      </c>
      <c r="X512" s="28">
        <v>5375046.791867936</v>
      </c>
      <c r="Y512" s="24">
        <v>2.1053928133601012E-2</v>
      </c>
      <c r="Z512" s="23">
        <v>4</v>
      </c>
      <c r="AA512" s="28">
        <v>4166286.6627117847</v>
      </c>
      <c r="AB512" s="24">
        <v>1.6563343246761241E-2</v>
      </c>
    </row>
    <row r="513" spans="1:36" x14ac:dyDescent="0.25">
      <c r="A513" t="s">
        <v>5349</v>
      </c>
      <c r="B513" t="s">
        <v>7527</v>
      </c>
      <c r="C513" t="s">
        <v>5351</v>
      </c>
      <c r="D513" s="3" t="s">
        <v>5350</v>
      </c>
      <c r="E513" s="3" t="s">
        <v>495</v>
      </c>
      <c r="G513" t="s">
        <v>5303</v>
      </c>
      <c r="H513" t="s">
        <v>57</v>
      </c>
      <c r="I513" s="17">
        <v>-1.3362588917770799</v>
      </c>
      <c r="J513" s="17">
        <v>0.102400304023596</v>
      </c>
      <c r="K513" s="21">
        <v>4</v>
      </c>
      <c r="L513" s="27">
        <v>2923987.2416530298</v>
      </c>
      <c r="M513" s="22">
        <v>5.3893439923576513E-3</v>
      </c>
      <c r="N513" s="21">
        <v>1</v>
      </c>
      <c r="O513" s="27">
        <v>2668253.6489721956</v>
      </c>
      <c r="P513" s="22">
        <v>4.9610588158287431E-3</v>
      </c>
      <c r="Q513" s="21">
        <v>4</v>
      </c>
      <c r="R513" s="27">
        <v>3057334.8697626702</v>
      </c>
      <c r="S513" s="22">
        <v>5.71786241065835E-3</v>
      </c>
      <c r="T513" s="23">
        <v>1</v>
      </c>
      <c r="U513" s="28">
        <v>2525657.4689740837</v>
      </c>
      <c r="V513" s="24">
        <v>4.6473772328163975E-3</v>
      </c>
      <c r="W513" s="23">
        <v>1</v>
      </c>
      <c r="X513" s="28">
        <v>1927708.5499468264</v>
      </c>
      <c r="Y513" s="24">
        <v>3.469870654263157E-3</v>
      </c>
      <c r="Z513" s="23">
        <v>1</v>
      </c>
      <c r="AA513" s="28">
        <v>2522098.1956377854</v>
      </c>
      <c r="AB513" s="24">
        <v>4.6076753368534534E-3</v>
      </c>
    </row>
    <row r="514" spans="1:36" x14ac:dyDescent="0.25">
      <c r="A514" t="s">
        <v>5337</v>
      </c>
      <c r="B514" t="s">
        <v>7523</v>
      </c>
      <c r="C514" t="s">
        <v>5339</v>
      </c>
      <c r="D514" s="3" t="s">
        <v>5338</v>
      </c>
      <c r="E514" s="3" t="s">
        <v>495</v>
      </c>
      <c r="G514" t="s">
        <v>5303</v>
      </c>
      <c r="H514" t="s">
        <v>41</v>
      </c>
      <c r="I514" s="17">
        <v>-1.36425330125634</v>
      </c>
      <c r="J514" s="17">
        <v>0.215819804051881</v>
      </c>
      <c r="K514" s="21">
        <v>2</v>
      </c>
      <c r="L514" s="27">
        <v>449010.740542838</v>
      </c>
      <c r="M514" s="22">
        <v>1.4105783762347829E-3</v>
      </c>
      <c r="N514" s="21">
        <v>1</v>
      </c>
      <c r="O514" s="27">
        <v>891646.79200486233</v>
      </c>
      <c r="P514" s="22">
        <v>2.8256617716941337E-3</v>
      </c>
      <c r="Q514" s="21">
        <v>1</v>
      </c>
      <c r="R514" s="27">
        <v>509322.40652927529</v>
      </c>
      <c r="S514" s="22">
        <v>1.6235420238704164E-3</v>
      </c>
      <c r="T514" s="23">
        <v>0</v>
      </c>
      <c r="U514" s="28">
        <v>475054.84541650978</v>
      </c>
      <c r="V514" s="24">
        <v>1.4899005762320455E-3</v>
      </c>
      <c r="W514" s="23">
        <v>0</v>
      </c>
      <c r="X514" s="28">
        <v>522194.30778708623</v>
      </c>
      <c r="Y514" s="24">
        <v>1.602079660247151E-3</v>
      </c>
      <c r="Z514" s="23">
        <v>0</v>
      </c>
      <c r="AA514" s="28">
        <v>457482.25406608183</v>
      </c>
      <c r="AB514" s="24">
        <v>1.4245385036266605E-3</v>
      </c>
    </row>
    <row r="515" spans="1:36" x14ac:dyDescent="0.25">
      <c r="A515" t="s">
        <v>5331</v>
      </c>
      <c r="B515" t="s">
        <v>7521</v>
      </c>
      <c r="C515" t="s">
        <v>5333</v>
      </c>
      <c r="D515" s="3" t="s">
        <v>5332</v>
      </c>
      <c r="E515" s="3" t="s">
        <v>495</v>
      </c>
      <c r="G515" s="13" t="s">
        <v>5303</v>
      </c>
      <c r="H515" t="s">
        <v>57</v>
      </c>
      <c r="I515" s="17">
        <v>-1.392787993612</v>
      </c>
      <c r="J515" s="17">
        <v>8.8306011714763502E-2</v>
      </c>
      <c r="K515" s="21">
        <v>5</v>
      </c>
      <c r="L515" s="27">
        <v>3095368.1909035798</v>
      </c>
      <c r="M515" s="22">
        <v>4.4260262651932888E-3</v>
      </c>
      <c r="N515" s="21">
        <v>3</v>
      </c>
      <c r="O515" s="27">
        <v>2452647.6727003925</v>
      </c>
      <c r="P515" s="22">
        <v>3.5377217316733141E-3</v>
      </c>
      <c r="Q515" s="21">
        <v>4</v>
      </c>
      <c r="R515" s="27">
        <v>2695434.3841198748</v>
      </c>
      <c r="S515" s="22">
        <v>3.910755774978022E-3</v>
      </c>
      <c r="T515" s="23">
        <v>3</v>
      </c>
      <c r="U515" s="28">
        <v>2317811.3495561783</v>
      </c>
      <c r="V515" s="24">
        <v>3.3086650224992691E-3</v>
      </c>
      <c r="W515" s="23">
        <v>0</v>
      </c>
      <c r="X515" s="28">
        <v>1907064.9489374019</v>
      </c>
      <c r="Y515" s="24">
        <v>2.6630458054108181E-3</v>
      </c>
      <c r="Z515" s="23">
        <v>0</v>
      </c>
      <c r="AA515" s="28">
        <v>2196742.6388029661</v>
      </c>
      <c r="AB515" s="24">
        <v>3.113438553316296E-3</v>
      </c>
    </row>
    <row r="516" spans="1:36" x14ac:dyDescent="0.25">
      <c r="A516" t="s">
        <v>5315</v>
      </c>
      <c r="B516" t="s">
        <v>7516</v>
      </c>
      <c r="C516" t="s">
        <v>5318</v>
      </c>
      <c r="D516" s="3" t="s">
        <v>5316</v>
      </c>
      <c r="E516" s="3" t="s">
        <v>495</v>
      </c>
      <c r="F516" t="s">
        <v>5317</v>
      </c>
      <c r="G516" t="s">
        <v>5303</v>
      </c>
      <c r="H516" t="s">
        <v>547</v>
      </c>
      <c r="I516" s="17">
        <v>-1.4439812954492699</v>
      </c>
      <c r="J516" s="17">
        <v>0.228568838031636</v>
      </c>
      <c r="K516" s="21">
        <v>2</v>
      </c>
      <c r="L516" s="27">
        <v>972587.14938526205</v>
      </c>
      <c r="M516" s="22">
        <v>2.0072736234836032E-3</v>
      </c>
      <c r="N516" s="21">
        <v>1</v>
      </c>
      <c r="O516" s="27">
        <v>665867.01901736041</v>
      </c>
      <c r="P516" s="22">
        <v>1.3862845644655186E-3</v>
      </c>
      <c r="Q516" s="21">
        <v>2</v>
      </c>
      <c r="R516" s="27">
        <v>945206.36634019366</v>
      </c>
      <c r="S516" s="22">
        <v>1.979406301786002E-3</v>
      </c>
      <c r="T516" s="23">
        <v>1</v>
      </c>
      <c r="U516" s="28">
        <v>905805.3031765566</v>
      </c>
      <c r="V516" s="24">
        <v>1.8663193269360177E-3</v>
      </c>
      <c r="W516" s="23">
        <v>0</v>
      </c>
      <c r="X516" s="28">
        <v>451908.49313943268</v>
      </c>
      <c r="Y516" s="24">
        <v>9.1083568093789768E-4</v>
      </c>
      <c r="Z516" s="23">
        <v>0</v>
      </c>
      <c r="AA516" s="28">
        <v>563452.00149974588</v>
      </c>
      <c r="AB516" s="24">
        <v>1.1526419575531841E-3</v>
      </c>
    </row>
    <row r="517" spans="1:36" x14ac:dyDescent="0.25">
      <c r="A517" t="s">
        <v>5328</v>
      </c>
      <c r="B517" t="s">
        <v>7520</v>
      </c>
      <c r="C517" t="s">
        <v>5330</v>
      </c>
      <c r="D517" s="3" t="s">
        <v>5329</v>
      </c>
      <c r="E517" s="3" t="s">
        <v>495</v>
      </c>
      <c r="G517" s="13" t="s">
        <v>5303</v>
      </c>
      <c r="H517" t="s">
        <v>57</v>
      </c>
      <c r="I517" s="17">
        <v>-1.4538920900638099</v>
      </c>
      <c r="J517" s="17">
        <v>1.0294697204359399E-3</v>
      </c>
      <c r="K517" s="21">
        <v>1</v>
      </c>
      <c r="L517" s="27">
        <v>2125293.05795353</v>
      </c>
      <c r="M517" s="22">
        <v>4.7061185822592768E-3</v>
      </c>
      <c r="N517" s="21">
        <v>1</v>
      </c>
      <c r="O517" s="27">
        <v>2700717.9234917779</v>
      </c>
      <c r="P517" s="22">
        <v>6.0326773954183094E-3</v>
      </c>
      <c r="Q517" s="21">
        <v>2</v>
      </c>
      <c r="R517" s="27">
        <v>2762401.8272391874</v>
      </c>
      <c r="S517" s="22">
        <v>6.2067057225646451E-3</v>
      </c>
      <c r="T517" s="23">
        <v>1</v>
      </c>
      <c r="U517" s="28">
        <v>1776220.3720650694</v>
      </c>
      <c r="V517" s="24">
        <v>3.9265753238063982E-3</v>
      </c>
      <c r="W517" s="23">
        <v>1</v>
      </c>
      <c r="X517" s="28">
        <v>2068510.5755467745</v>
      </c>
      <c r="Y517" s="24">
        <v>4.473148014716914E-3</v>
      </c>
      <c r="Z517" s="23">
        <v>1</v>
      </c>
      <c r="AA517" s="28">
        <v>1790166.8431260325</v>
      </c>
      <c r="AB517" s="24">
        <v>3.929135436527174E-3</v>
      </c>
    </row>
    <row r="518" spans="1:36" x14ac:dyDescent="0.25">
      <c r="A518" t="s">
        <v>5311</v>
      </c>
      <c r="B518" t="s">
        <v>7515</v>
      </c>
      <c r="C518" t="s">
        <v>5314</v>
      </c>
      <c r="D518" s="3" t="s">
        <v>5312</v>
      </c>
      <c r="E518" s="3" t="s">
        <v>495</v>
      </c>
      <c r="F518" t="s">
        <v>5313</v>
      </c>
      <c r="G518" t="s">
        <v>5303</v>
      </c>
      <c r="H518" t="s">
        <v>547</v>
      </c>
      <c r="I518" s="17">
        <v>-1.51006732088244</v>
      </c>
      <c r="J518" s="17">
        <v>0.18306023103769301</v>
      </c>
      <c r="K518" s="21">
        <v>2</v>
      </c>
      <c r="L518" s="27">
        <v>808681.55963873502</v>
      </c>
      <c r="M518" s="22">
        <v>1.6476680967085014E-3</v>
      </c>
      <c r="N518" s="21">
        <v>1</v>
      </c>
      <c r="O518" s="27">
        <v>571307.29750170757</v>
      </c>
      <c r="P518" s="22">
        <v>1.1742181703726161E-3</v>
      </c>
      <c r="Q518" s="21">
        <v>2</v>
      </c>
      <c r="R518" s="27">
        <v>580186.10591217328</v>
      </c>
      <c r="S518" s="22">
        <v>1.1994710669961202E-3</v>
      </c>
      <c r="T518" s="23">
        <v>2</v>
      </c>
      <c r="U518" s="28">
        <v>649579.52871703333</v>
      </c>
      <c r="V518" s="24">
        <v>1.3212882295235643E-3</v>
      </c>
      <c r="W518" s="23">
        <v>1</v>
      </c>
      <c r="X518" s="28">
        <v>352910.05763833522</v>
      </c>
      <c r="Y518" s="24">
        <v>7.0221113075829883E-4</v>
      </c>
      <c r="Z518" s="23">
        <v>1</v>
      </c>
      <c r="AA518" s="28">
        <v>400520.35712121165</v>
      </c>
      <c r="AB518" s="24">
        <v>8.0886535642021645E-4</v>
      </c>
    </row>
    <row r="519" spans="1:36" x14ac:dyDescent="0.25">
      <c r="A519" t="s">
        <v>5380</v>
      </c>
      <c r="B519" t="s">
        <v>7537</v>
      </c>
      <c r="C519" t="s">
        <v>5383</v>
      </c>
      <c r="D519" s="3" t="s">
        <v>5381</v>
      </c>
      <c r="E519" s="3" t="s">
        <v>495</v>
      </c>
      <c r="F519" t="s">
        <v>5378</v>
      </c>
      <c r="G519" t="s">
        <v>5303</v>
      </c>
      <c r="H519" t="s">
        <v>5382</v>
      </c>
      <c r="I519" s="17">
        <v>-1.5872032297683101</v>
      </c>
      <c r="J519" s="17">
        <v>0.11280314435563001</v>
      </c>
      <c r="K519" s="21">
        <v>16</v>
      </c>
      <c r="L519" s="27">
        <v>7309606.24977645</v>
      </c>
      <c r="M519" s="22">
        <v>7.2048713882216725E-3</v>
      </c>
      <c r="N519" s="21">
        <v>5</v>
      </c>
      <c r="O519" s="27">
        <v>5013329.6277483087</v>
      </c>
      <c r="P519" s="22">
        <v>4.984772501631483E-3</v>
      </c>
      <c r="Q519" s="21">
        <v>15</v>
      </c>
      <c r="R519" s="27">
        <v>8801256.6886773799</v>
      </c>
      <c r="S519" s="22">
        <v>8.8025235694267397E-3</v>
      </c>
      <c r="T519" s="23">
        <v>7</v>
      </c>
      <c r="U519" s="28">
        <v>5345020.1682042088</v>
      </c>
      <c r="V519" s="24">
        <v>5.2596233106647688E-3</v>
      </c>
      <c r="W519" s="23">
        <v>1</v>
      </c>
      <c r="X519" s="28">
        <v>3968331.0561813149</v>
      </c>
      <c r="Y519" s="24">
        <v>3.8198967677749544E-3</v>
      </c>
      <c r="Z519" s="23">
        <v>4</v>
      </c>
      <c r="AA519" s="28">
        <v>5036861.6930234088</v>
      </c>
      <c r="AB519" s="24">
        <v>4.9209813934778818E-3</v>
      </c>
    </row>
    <row r="520" spans="1:36" x14ac:dyDescent="0.25">
      <c r="A520" t="s">
        <v>5384</v>
      </c>
      <c r="B520" t="s">
        <v>7538</v>
      </c>
      <c r="C520" t="s">
        <v>5385</v>
      </c>
      <c r="D520" s="3" t="s">
        <v>4069</v>
      </c>
      <c r="E520" s="3" t="s">
        <v>495</v>
      </c>
      <c r="F520" t="s">
        <v>5378</v>
      </c>
      <c r="G520" t="s">
        <v>5303</v>
      </c>
      <c r="H520" t="s">
        <v>553</v>
      </c>
      <c r="I520" s="17">
        <v>-1.61676197471881</v>
      </c>
      <c r="J520" s="17">
        <v>0.65724162830215205</v>
      </c>
      <c r="K520" s="21">
        <v>1</v>
      </c>
      <c r="L520" s="27">
        <v>1188776.5498743199</v>
      </c>
      <c r="M520" s="22">
        <v>1.4495562434212361E-3</v>
      </c>
      <c r="N520" s="21">
        <v>0</v>
      </c>
      <c r="O520" s="27">
        <v>243363.39557764406</v>
      </c>
      <c r="P520" s="22">
        <v>2.9934839233300436E-4</v>
      </c>
      <c r="Q520" s="21">
        <v>1</v>
      </c>
      <c r="R520" s="27">
        <v>1197388.4212466246</v>
      </c>
      <c r="S520" s="22">
        <v>1.4814948810723341E-3</v>
      </c>
      <c r="T520" s="23">
        <v>0</v>
      </c>
      <c r="U520" s="28">
        <v>790155.67208968312</v>
      </c>
      <c r="V520" s="24">
        <v>9.6187923000714073E-4</v>
      </c>
      <c r="W520" s="23">
        <v>0</v>
      </c>
      <c r="X520" s="28">
        <v>466527.95071911963</v>
      </c>
      <c r="Y520" s="24">
        <v>5.5555107297142539E-4</v>
      </c>
      <c r="Z520" s="23">
        <v>0</v>
      </c>
      <c r="AA520" s="28">
        <v>513679.93581248604</v>
      </c>
      <c r="AB520" s="24">
        <v>6.2085029475017169E-4</v>
      </c>
    </row>
    <row r="521" spans="1:36" x14ac:dyDescent="0.25">
      <c r="A521" t="s">
        <v>5325</v>
      </c>
      <c r="B521" t="s">
        <v>7519</v>
      </c>
      <c r="C521" t="s">
        <v>5327</v>
      </c>
      <c r="D521" s="3" t="s">
        <v>5326</v>
      </c>
      <c r="E521" s="3" t="s">
        <v>495</v>
      </c>
      <c r="G521" s="13" t="s">
        <v>5303</v>
      </c>
      <c r="H521" t="s">
        <v>57</v>
      </c>
      <c r="I521" s="17">
        <v>-1.8685470127572801</v>
      </c>
      <c r="J521" s="17">
        <v>4.5702641784833402E-2</v>
      </c>
      <c r="K521" s="21">
        <v>3</v>
      </c>
      <c r="L521" s="27">
        <v>912536.09071420901</v>
      </c>
      <c r="M521" s="22">
        <v>2.8250059028518391E-3</v>
      </c>
      <c r="N521" s="21">
        <v>1</v>
      </c>
      <c r="O521" s="27">
        <v>685024.63259875227</v>
      </c>
      <c r="P521" s="22">
        <v>2.1392538915316534E-3</v>
      </c>
      <c r="Q521" s="21">
        <v>2</v>
      </c>
      <c r="R521" s="27">
        <v>1003613.5686903351</v>
      </c>
      <c r="S521" s="22">
        <v>3.1525798383830331E-3</v>
      </c>
      <c r="T521" s="23">
        <v>0</v>
      </c>
      <c r="U521" s="28">
        <v>584148.87791339774</v>
      </c>
      <c r="V521" s="24">
        <v>1.8053686650451126E-3</v>
      </c>
      <c r="W521" s="23">
        <v>1</v>
      </c>
      <c r="X521" s="28">
        <v>371741.16652205522</v>
      </c>
      <c r="Y521" s="24">
        <v>1.1238838957955603E-3</v>
      </c>
      <c r="Z521" s="23">
        <v>0</v>
      </c>
      <c r="AA521" s="28">
        <v>541327.13151605404</v>
      </c>
      <c r="AB521" s="24">
        <v>1.6610723616737278E-3</v>
      </c>
    </row>
    <row r="522" spans="1:36" x14ac:dyDescent="0.25">
      <c r="A522" s="48" t="s">
        <v>5321</v>
      </c>
      <c r="B522" s="48" t="s">
        <v>7518</v>
      </c>
      <c r="C522" s="48" t="s">
        <v>5324</v>
      </c>
      <c r="D522" s="49" t="s">
        <v>5322</v>
      </c>
      <c r="E522" s="49" t="s">
        <v>495</v>
      </c>
      <c r="F522" s="48" t="s">
        <v>5313</v>
      </c>
      <c r="G522" s="48" t="s">
        <v>5303</v>
      </c>
      <c r="H522" s="48" t="s">
        <v>5323</v>
      </c>
      <c r="I522" s="50">
        <v>-3.05078342876803</v>
      </c>
      <c r="J522" s="50">
        <v>4.7854322147147202E-2</v>
      </c>
      <c r="K522" s="51">
        <v>2</v>
      </c>
      <c r="L522" s="52">
        <v>708104.67212469201</v>
      </c>
      <c r="M522" s="53">
        <v>1.1317776006352003E-3</v>
      </c>
      <c r="N522" s="51">
        <v>0</v>
      </c>
      <c r="O522" s="52">
        <v>448578.07624579757</v>
      </c>
      <c r="P522" s="53">
        <v>7.2325011443971946E-4</v>
      </c>
      <c r="Q522" s="51">
        <v>2</v>
      </c>
      <c r="R522" s="52">
        <v>1220657.855929896</v>
      </c>
      <c r="S522" s="53">
        <v>1.9796474038895695E-3</v>
      </c>
      <c r="T522" s="54">
        <v>0</v>
      </c>
      <c r="U522" s="55">
        <v>416116.64785756683</v>
      </c>
      <c r="V522" s="56">
        <v>6.639750640033209E-4</v>
      </c>
      <c r="W522" s="54">
        <v>0</v>
      </c>
      <c r="X522" s="55">
        <v>221968.9008385526</v>
      </c>
      <c r="Y522" s="56">
        <v>3.4647128514044619E-4</v>
      </c>
      <c r="Z522" s="54">
        <v>0</v>
      </c>
      <c r="AA522" s="55">
        <v>190598.26636219447</v>
      </c>
      <c r="AB522" s="56">
        <v>3.019548629437315E-4</v>
      </c>
      <c r="AC522" s="59"/>
      <c r="AD522" s="59"/>
      <c r="AE522" s="59"/>
      <c r="AF522" s="59"/>
      <c r="AG522" s="59"/>
      <c r="AH522" s="59"/>
      <c r="AI522" s="50"/>
      <c r="AJ522" s="50"/>
    </row>
    <row r="523" spans="1:36" x14ac:dyDescent="0.25">
      <c r="A523" t="s">
        <v>5472</v>
      </c>
      <c r="B523" t="s">
        <v>7568</v>
      </c>
      <c r="C523" t="s">
        <v>5474</v>
      </c>
      <c r="D523" s="3" t="s">
        <v>5473</v>
      </c>
      <c r="E523" s="3" t="s">
        <v>495</v>
      </c>
      <c r="G523" t="s">
        <v>4094</v>
      </c>
      <c r="H523" t="s">
        <v>716</v>
      </c>
      <c r="I523" s="17">
        <v>1.0670078703841801</v>
      </c>
      <c r="J523" s="17">
        <v>0.50848971726829595</v>
      </c>
      <c r="K523" s="21">
        <v>10</v>
      </c>
      <c r="L523" s="27">
        <v>6108504.0519536203</v>
      </c>
      <c r="M523" s="22">
        <v>2.0943943242722252E-2</v>
      </c>
      <c r="N523" s="21">
        <v>5</v>
      </c>
      <c r="O523" s="27">
        <v>6480414.4691517595</v>
      </c>
      <c r="P523" s="22">
        <v>2.2413681764859358E-2</v>
      </c>
      <c r="Q523" s="21">
        <v>11</v>
      </c>
      <c r="R523" s="27">
        <v>7095862.2089792723</v>
      </c>
      <c r="S523" s="22">
        <v>2.4686471481570004E-2</v>
      </c>
      <c r="T523" s="23">
        <v>6</v>
      </c>
      <c r="U523" s="28">
        <v>8206131.715291705</v>
      </c>
      <c r="V523" s="24">
        <v>2.8088924655257329E-2</v>
      </c>
      <c r="W523" s="23">
        <v>5</v>
      </c>
      <c r="X523" s="28">
        <v>7214207.3306051884</v>
      </c>
      <c r="Y523" s="24">
        <v>2.415592577151162E-2</v>
      </c>
      <c r="Z523" s="23">
        <v>6</v>
      </c>
      <c r="AA523" s="28">
        <v>7205557.3368469542</v>
      </c>
      <c r="AB523" s="24">
        <v>2.4487847499776408E-2</v>
      </c>
    </row>
    <row r="524" spans="1:36" x14ac:dyDescent="0.25">
      <c r="A524" t="s">
        <v>5433</v>
      </c>
      <c r="B524" t="s">
        <v>7555</v>
      </c>
      <c r="C524" t="s">
        <v>5435</v>
      </c>
      <c r="D524" s="3" t="s">
        <v>5434</v>
      </c>
      <c r="E524" s="3" t="s">
        <v>495</v>
      </c>
      <c r="G524" t="s">
        <v>4094</v>
      </c>
      <c r="H524" t="s">
        <v>716</v>
      </c>
      <c r="I524" s="17">
        <v>-1.0022412919761501</v>
      </c>
      <c r="J524" s="17">
        <v>0.97142687942921602</v>
      </c>
      <c r="K524" s="21">
        <v>14</v>
      </c>
      <c r="L524" s="27">
        <v>15692841.447295999</v>
      </c>
      <c r="M524" s="22">
        <v>1.8430549659313827E-2</v>
      </c>
      <c r="N524" s="21">
        <v>11</v>
      </c>
      <c r="O524" s="27">
        <v>15476662.799159005</v>
      </c>
      <c r="P524" s="22">
        <v>1.8335841808439918E-2</v>
      </c>
      <c r="Q524" s="21">
        <v>16</v>
      </c>
      <c r="R524" s="27">
        <v>17520228.667731136</v>
      </c>
      <c r="S524" s="22">
        <v>2.0878857510931218E-2</v>
      </c>
      <c r="T524" s="23">
        <v>15</v>
      </c>
      <c r="U524" s="28">
        <v>17081231.890188981</v>
      </c>
      <c r="V524" s="24">
        <v>2.0027601107622049E-2</v>
      </c>
      <c r="W524" s="23">
        <v>7</v>
      </c>
      <c r="X524" s="28">
        <v>17077772.976342268</v>
      </c>
      <c r="Y524" s="24">
        <v>1.9587518404677689E-2</v>
      </c>
      <c r="Z524" s="23">
        <v>12</v>
      </c>
      <c r="AA524" s="28">
        <v>18385900.610558614</v>
      </c>
      <c r="AB524" s="24">
        <v>2.140331564975222E-2</v>
      </c>
      <c r="AC524" s="20">
        <v>0.90711907247759882</v>
      </c>
      <c r="AD524" s="20">
        <v>0.80127801144156641</v>
      </c>
      <c r="AE524" s="20">
        <v>0.98543726657276554</v>
      </c>
      <c r="AF524" s="20">
        <v>0.86623158926231603</v>
      </c>
      <c r="AG524" s="20">
        <v>0.77850943182223697</v>
      </c>
      <c r="AH524" s="20">
        <v>0.80670987807175154</v>
      </c>
    </row>
    <row r="525" spans="1:36" x14ac:dyDescent="0.25">
      <c r="A525" t="s">
        <v>5436</v>
      </c>
      <c r="B525" t="s">
        <v>7556</v>
      </c>
      <c r="C525" t="s">
        <v>5438</v>
      </c>
      <c r="D525" s="3" t="s">
        <v>5437</v>
      </c>
      <c r="E525" s="3" t="s">
        <v>495</v>
      </c>
      <c r="G525" t="s">
        <v>4094</v>
      </c>
      <c r="H525" t="s">
        <v>1763</v>
      </c>
      <c r="I525" s="17">
        <v>-1.0514368183904099</v>
      </c>
      <c r="J525" s="17">
        <v>0.62670141595787499</v>
      </c>
      <c r="K525" s="21">
        <v>9</v>
      </c>
      <c r="L525" s="27">
        <v>9229810.3401203994</v>
      </c>
      <c r="M525" s="22">
        <v>1.7782847879473842E-2</v>
      </c>
      <c r="N525" s="21">
        <v>4</v>
      </c>
      <c r="O525" s="27">
        <v>8721432.2544960175</v>
      </c>
      <c r="P525" s="22">
        <v>1.6950526037534393E-2</v>
      </c>
      <c r="Q525" s="21">
        <v>7</v>
      </c>
      <c r="R525" s="27">
        <v>11435548.48728974</v>
      </c>
      <c r="S525" s="22">
        <v>2.235608724456754E-2</v>
      </c>
      <c r="T525" s="23">
        <v>5</v>
      </c>
      <c r="U525" s="28">
        <v>9709663.6574922148</v>
      </c>
      <c r="V525" s="24">
        <v>1.8676081753103112E-2</v>
      </c>
      <c r="W525" s="23">
        <v>8</v>
      </c>
      <c r="X525" s="28">
        <v>10255007.764199739</v>
      </c>
      <c r="Y525" s="24">
        <v>1.9295498848627538E-2</v>
      </c>
      <c r="Z525" s="23">
        <v>5</v>
      </c>
      <c r="AA525" s="28">
        <v>10271877.096249562</v>
      </c>
      <c r="AB525" s="24">
        <v>1.9616331787181005E-2</v>
      </c>
      <c r="AC525" s="17" t="s">
        <v>8084</v>
      </c>
      <c r="AD525" s="20">
        <v>0.89794478349731011</v>
      </c>
      <c r="AF525" s="17" t="s">
        <v>8084</v>
      </c>
      <c r="AG525" s="20">
        <v>0.81715029971876818</v>
      </c>
      <c r="AI525" s="47" t="s">
        <v>8087</v>
      </c>
      <c r="AJ525" s="20">
        <v>91.002288195955202</v>
      </c>
    </row>
    <row r="526" spans="1:36" x14ac:dyDescent="0.25">
      <c r="A526" t="s">
        <v>5481</v>
      </c>
      <c r="B526" t="s">
        <v>7571</v>
      </c>
      <c r="C526" t="s">
        <v>5483</v>
      </c>
      <c r="D526" s="3" t="s">
        <v>5482</v>
      </c>
      <c r="E526" s="3" t="s">
        <v>495</v>
      </c>
      <c r="G526" t="s">
        <v>4094</v>
      </c>
      <c r="H526" t="s">
        <v>716</v>
      </c>
      <c r="I526" s="17">
        <v>-1.05317830449426</v>
      </c>
      <c r="J526" s="17">
        <v>0.85620451106023998</v>
      </c>
      <c r="K526" s="21">
        <v>42</v>
      </c>
      <c r="L526" s="27">
        <v>63272237.023654103</v>
      </c>
      <c r="M526" s="22">
        <v>9.2335410157977388E-2</v>
      </c>
      <c r="N526" s="21">
        <v>30</v>
      </c>
      <c r="O526" s="27">
        <v>44645696.217944466</v>
      </c>
      <c r="P526" s="22">
        <v>6.5723627495716988E-2</v>
      </c>
      <c r="Q526" s="21">
        <v>40</v>
      </c>
      <c r="R526" s="27">
        <v>72448503.545409292</v>
      </c>
      <c r="S526" s="22">
        <v>0.10727901375742314</v>
      </c>
      <c r="T526" s="23">
        <v>38</v>
      </c>
      <c r="U526" s="28">
        <v>66843742.670705087</v>
      </c>
      <c r="V526" s="24">
        <v>9.7384288492888174E-2</v>
      </c>
      <c r="W526" s="23">
        <v>33</v>
      </c>
      <c r="X526" s="28">
        <v>55644698.268314287</v>
      </c>
      <c r="Y526" s="24">
        <v>7.9303136805726593E-2</v>
      </c>
      <c r="Z526" s="23">
        <v>36</v>
      </c>
      <c r="AA526" s="28">
        <v>62753286.565436997</v>
      </c>
      <c r="AB526" s="24">
        <v>9.0771814483364466E-2</v>
      </c>
      <c r="AC526" s="17" t="s">
        <v>8085</v>
      </c>
      <c r="AD526" s="20">
        <v>9.242176960186331E-2</v>
      </c>
      <c r="AF526" s="17" t="s">
        <v>8085</v>
      </c>
      <c r="AG526" s="20">
        <v>4.4783323119339018E-2</v>
      </c>
      <c r="AI526" s="17" t="s">
        <v>8086</v>
      </c>
      <c r="AJ526" s="20">
        <v>0.24467878741675023</v>
      </c>
    </row>
    <row r="527" spans="1:36" x14ac:dyDescent="0.25">
      <c r="A527" t="s">
        <v>5406</v>
      </c>
      <c r="B527" t="s">
        <v>7546</v>
      </c>
      <c r="C527" t="s">
        <v>5408</v>
      </c>
      <c r="D527" s="3" t="s">
        <v>5407</v>
      </c>
      <c r="E527" s="3" t="s">
        <v>495</v>
      </c>
      <c r="G527" t="s">
        <v>4094</v>
      </c>
      <c r="H527" t="s">
        <v>716</v>
      </c>
      <c r="I527" s="17">
        <v>-1.0900443260491</v>
      </c>
      <c r="J527" s="17">
        <v>0.21230990175716699</v>
      </c>
      <c r="K527" s="21">
        <v>3</v>
      </c>
      <c r="L527" s="27">
        <v>3756363.10965103</v>
      </c>
      <c r="M527" s="22">
        <v>1.2160120283535344E-2</v>
      </c>
      <c r="N527" s="21">
        <v>2</v>
      </c>
      <c r="O527" s="27">
        <v>3616385.4360899017</v>
      </c>
      <c r="P527" s="22">
        <v>1.1809509178612305E-2</v>
      </c>
      <c r="Q527" s="21">
        <v>4</v>
      </c>
      <c r="R527" s="27">
        <v>3785733.6393021592</v>
      </c>
      <c r="S527" s="22">
        <v>1.2435138246963663E-2</v>
      </c>
      <c r="T527" s="23">
        <v>2</v>
      </c>
      <c r="U527" s="28">
        <v>3549224.4311131616</v>
      </c>
      <c r="V527" s="24">
        <v>1.1470353701495826E-2</v>
      </c>
      <c r="W527" s="23">
        <v>2</v>
      </c>
      <c r="X527" s="28">
        <v>4102209.4876678316</v>
      </c>
      <c r="Y527" s="24">
        <v>1.2968794832918528E-2</v>
      </c>
      <c r="Z527" s="23">
        <v>2</v>
      </c>
      <c r="AA527" s="28">
        <v>3484982.4162632385</v>
      </c>
      <c r="AB527" s="24">
        <v>1.1182279491538782E-2</v>
      </c>
    </row>
    <row r="528" spans="1:36" x14ac:dyDescent="0.25">
      <c r="A528" t="s">
        <v>5458</v>
      </c>
      <c r="B528" t="s">
        <v>7563</v>
      </c>
      <c r="C528" t="s">
        <v>5460</v>
      </c>
      <c r="D528" s="3" t="s">
        <v>5459</v>
      </c>
      <c r="E528" s="3" t="s">
        <v>495</v>
      </c>
      <c r="G528" t="s">
        <v>4094</v>
      </c>
      <c r="H528" t="s">
        <v>12</v>
      </c>
      <c r="I528" s="17">
        <v>-1.09363713290646</v>
      </c>
      <c r="J528" s="17">
        <v>0.21754112367381201</v>
      </c>
      <c r="K528" s="21">
        <v>6</v>
      </c>
      <c r="L528" s="27">
        <v>7527154.8712237403</v>
      </c>
      <c r="M528" s="22">
        <v>1.424418091745026E-2</v>
      </c>
      <c r="N528" s="21">
        <v>3</v>
      </c>
      <c r="O528" s="27">
        <v>9066892.3215896934</v>
      </c>
      <c r="P528" s="22">
        <v>1.7308200593998395E-2</v>
      </c>
      <c r="Q528" s="21">
        <v>7</v>
      </c>
      <c r="R528" s="27">
        <v>7798827.3495299257</v>
      </c>
      <c r="S528" s="22">
        <v>1.497497806977802E-2</v>
      </c>
      <c r="T528" s="23">
        <v>7</v>
      </c>
      <c r="U528" s="28">
        <v>8073038.8428969076</v>
      </c>
      <c r="V528" s="24">
        <v>1.5251645951824551E-2</v>
      </c>
      <c r="W528" s="23">
        <v>3</v>
      </c>
      <c r="X528" s="28">
        <v>8729098.246794153</v>
      </c>
      <c r="Y528" s="24">
        <v>1.6131973200185248E-2</v>
      </c>
      <c r="Z528" s="23">
        <v>6</v>
      </c>
      <c r="AA528" s="28">
        <v>7337494.1870587189</v>
      </c>
      <c r="AB528" s="24">
        <v>1.3763023365894255E-2</v>
      </c>
    </row>
    <row r="529" spans="1:28" x14ac:dyDescent="0.25">
      <c r="A529" t="s">
        <v>5424</v>
      </c>
      <c r="B529" t="s">
        <v>7552</v>
      </c>
      <c r="C529" t="s">
        <v>5426</v>
      </c>
      <c r="D529" s="3" t="s">
        <v>5425</v>
      </c>
      <c r="E529" s="3" t="s">
        <v>495</v>
      </c>
      <c r="G529" t="s">
        <v>4094</v>
      </c>
      <c r="H529" t="s">
        <v>716</v>
      </c>
      <c r="I529" s="17">
        <v>-1.1241016117893201</v>
      </c>
      <c r="J529" s="17">
        <v>0.56483710109200602</v>
      </c>
      <c r="K529" s="21">
        <v>5</v>
      </c>
      <c r="L529" s="27">
        <v>3703703.8545284802</v>
      </c>
      <c r="M529" s="22">
        <v>9.4478453344828388E-3</v>
      </c>
      <c r="N529" s="21">
        <v>2</v>
      </c>
      <c r="O529" s="27">
        <v>2638990.6872043787</v>
      </c>
      <c r="P529" s="22">
        <v>6.790804246764405E-3</v>
      </c>
      <c r="Q529" s="21">
        <v>5</v>
      </c>
      <c r="R529" s="27">
        <v>4067246.9834350701</v>
      </c>
      <c r="S529" s="22">
        <v>1.0527550343957278E-2</v>
      </c>
      <c r="T529" s="23">
        <v>3</v>
      </c>
      <c r="U529" s="28">
        <v>3135660.3747126097</v>
      </c>
      <c r="V529" s="24">
        <v>7.985435076208228E-3</v>
      </c>
      <c r="W529" s="23">
        <v>3</v>
      </c>
      <c r="X529" s="28">
        <v>3472975.9698756603</v>
      </c>
      <c r="Y529" s="24">
        <v>8.6518659281832229E-3</v>
      </c>
      <c r="Z529" s="23">
        <v>3</v>
      </c>
      <c r="AA529" s="28">
        <v>3476350.9337020302</v>
      </c>
      <c r="AB529" s="24">
        <v>8.7898118868822931E-3</v>
      </c>
    </row>
    <row r="530" spans="1:28" x14ac:dyDescent="0.25">
      <c r="A530" t="s">
        <v>5478</v>
      </c>
      <c r="B530" t="s">
        <v>7570</v>
      </c>
      <c r="C530" t="s">
        <v>5480</v>
      </c>
      <c r="D530" s="3" t="s">
        <v>5479</v>
      </c>
      <c r="E530" s="3" t="s">
        <v>495</v>
      </c>
      <c r="G530" t="s">
        <v>4094</v>
      </c>
      <c r="H530" t="s">
        <v>716</v>
      </c>
      <c r="I530" s="17">
        <v>-1.12468241984841</v>
      </c>
      <c r="J530" s="17">
        <v>0.57356793262248196</v>
      </c>
      <c r="K530" s="21">
        <v>16</v>
      </c>
      <c r="L530" s="27">
        <v>20898292.517072499</v>
      </c>
      <c r="M530" s="22">
        <v>3.0922177147460598E-2</v>
      </c>
      <c r="N530" s="21">
        <v>9</v>
      </c>
      <c r="O530" s="27">
        <v>14964882.377129592</v>
      </c>
      <c r="P530" s="22">
        <v>2.2336719997112026E-2</v>
      </c>
      <c r="Q530" s="21">
        <v>19</v>
      </c>
      <c r="R530" s="27">
        <v>22213019.692259569</v>
      </c>
      <c r="S530" s="22">
        <v>3.3350098530619945E-2</v>
      </c>
      <c r="T530" s="23">
        <v>15</v>
      </c>
      <c r="U530" s="28">
        <v>19700371.393660739</v>
      </c>
      <c r="V530" s="24">
        <v>2.910091988722063E-2</v>
      </c>
      <c r="W530" s="23">
        <v>12</v>
      </c>
      <c r="X530" s="28">
        <v>16543416.919975068</v>
      </c>
      <c r="Y530" s="24">
        <v>2.390539674253242E-2</v>
      </c>
      <c r="Z530" s="23">
        <v>16</v>
      </c>
      <c r="AA530" s="28">
        <v>19682454.932756372</v>
      </c>
      <c r="AB530" s="24">
        <v>2.886675547536946E-2</v>
      </c>
    </row>
    <row r="531" spans="1:28" x14ac:dyDescent="0.25">
      <c r="A531" t="s">
        <v>5403</v>
      </c>
      <c r="B531" t="s">
        <v>7545</v>
      </c>
      <c r="C531" t="s">
        <v>5405</v>
      </c>
      <c r="D531" s="3" t="s">
        <v>5404</v>
      </c>
      <c r="E531" s="3" t="s">
        <v>495</v>
      </c>
      <c r="G531" t="s">
        <v>4094</v>
      </c>
      <c r="H531" t="s">
        <v>716</v>
      </c>
      <c r="I531" s="17">
        <v>-1.1277243692377501</v>
      </c>
      <c r="J531" s="17">
        <v>0.17823034417272501</v>
      </c>
      <c r="K531" s="21">
        <v>2</v>
      </c>
      <c r="L531" s="27">
        <v>1927704.67103054</v>
      </c>
      <c r="M531" s="22">
        <v>3.5946029291029679E-3</v>
      </c>
      <c r="N531" s="21">
        <v>3</v>
      </c>
      <c r="O531" s="27">
        <v>1724911.5099167861</v>
      </c>
      <c r="P531" s="22">
        <v>3.2446217619110799E-3</v>
      </c>
      <c r="Q531" s="21">
        <v>2</v>
      </c>
      <c r="R531" s="27">
        <v>1957293.2772828888</v>
      </c>
      <c r="S531" s="22">
        <v>3.7033656009614821E-3</v>
      </c>
      <c r="T531" s="23">
        <v>1</v>
      </c>
      <c r="U531" s="28">
        <v>1697865.1080247941</v>
      </c>
      <c r="V531" s="24">
        <v>3.1607245616576598E-3</v>
      </c>
      <c r="W531" s="23">
        <v>3</v>
      </c>
      <c r="X531" s="28">
        <v>1918494.4634157782</v>
      </c>
      <c r="Y531" s="24">
        <v>3.4936746231444202E-3</v>
      </c>
      <c r="Z531" s="23">
        <v>2</v>
      </c>
      <c r="AA531" s="28">
        <v>1795775.746362532</v>
      </c>
      <c r="AB531" s="24">
        <v>3.3191125047460153E-3</v>
      </c>
    </row>
    <row r="532" spans="1:28" x14ac:dyDescent="0.25">
      <c r="A532" t="s">
        <v>5469</v>
      </c>
      <c r="B532" t="s">
        <v>7567</v>
      </c>
      <c r="C532" t="s">
        <v>5471</v>
      </c>
      <c r="D532" s="3" t="s">
        <v>5470</v>
      </c>
      <c r="E532" s="3" t="s">
        <v>495</v>
      </c>
      <c r="G532" t="s">
        <v>4094</v>
      </c>
      <c r="H532" t="s">
        <v>716</v>
      </c>
      <c r="I532" s="17">
        <v>-1.1303142889098601</v>
      </c>
      <c r="J532" s="17">
        <v>0.41913244723807003</v>
      </c>
      <c r="K532" s="21">
        <v>10</v>
      </c>
      <c r="L532" s="27">
        <v>8144069.3368147602</v>
      </c>
      <c r="M532" s="22">
        <v>1.3351448698987904E-2</v>
      </c>
      <c r="N532" s="21">
        <v>5</v>
      </c>
      <c r="O532" s="27">
        <v>6373457.120542435</v>
      </c>
      <c r="P532" s="22">
        <v>1.0540199463973764E-2</v>
      </c>
      <c r="Q532" s="21">
        <v>11</v>
      </c>
      <c r="R532" s="27">
        <v>8228144.3631879911</v>
      </c>
      <c r="S532" s="22">
        <v>1.3687341131549397E-2</v>
      </c>
      <c r="T532" s="23">
        <v>5</v>
      </c>
      <c r="U532" s="28">
        <v>7703859.6987111168</v>
      </c>
      <c r="V532" s="24">
        <v>1.2608642685222816E-2</v>
      </c>
      <c r="W532" s="23">
        <v>3</v>
      </c>
      <c r="X532" s="28">
        <v>7189186.4097804213</v>
      </c>
      <c r="Y532" s="24">
        <v>1.1510075026424199E-2</v>
      </c>
      <c r="Z532" s="23">
        <v>4</v>
      </c>
      <c r="AA532" s="28">
        <v>6954557.4101944324</v>
      </c>
      <c r="AB532" s="24">
        <v>1.1300973932011566E-2</v>
      </c>
    </row>
    <row r="533" spans="1:28" x14ac:dyDescent="0.25">
      <c r="A533" t="s">
        <v>5397</v>
      </c>
      <c r="B533" t="s">
        <v>7543</v>
      </c>
      <c r="C533" t="s">
        <v>5399</v>
      </c>
      <c r="D533" s="3" t="s">
        <v>5398</v>
      </c>
      <c r="E533" s="3" t="s">
        <v>495</v>
      </c>
      <c r="G533" t="s">
        <v>4094</v>
      </c>
      <c r="H533" t="s">
        <v>716</v>
      </c>
      <c r="I533" s="17">
        <v>-1.13188586045273</v>
      </c>
      <c r="J533" s="17">
        <v>0.13862729567496601</v>
      </c>
      <c r="K533" s="21">
        <v>23</v>
      </c>
      <c r="L533" s="27">
        <v>20336925.046057701</v>
      </c>
      <c r="M533" s="22">
        <v>1.6713218730415116E-2</v>
      </c>
      <c r="N533" s="21">
        <v>17</v>
      </c>
      <c r="O533" s="27">
        <v>25463873.621280838</v>
      </c>
      <c r="P533" s="22">
        <v>2.1109896866749387E-2</v>
      </c>
      <c r="Q533" s="21">
        <v>25</v>
      </c>
      <c r="R533" s="27">
        <v>21721211.649880178</v>
      </c>
      <c r="S533" s="22">
        <v>1.8112946985297324E-2</v>
      </c>
      <c r="T533" s="23">
        <v>19</v>
      </c>
      <c r="U533" s="28">
        <v>20916234.162347239</v>
      </c>
      <c r="V533" s="24">
        <v>1.7160555724951645E-2</v>
      </c>
      <c r="W533" s="23">
        <v>20</v>
      </c>
      <c r="X533" s="28">
        <v>24473964.822765917</v>
      </c>
      <c r="Y533" s="24">
        <v>1.9642222279649447E-2</v>
      </c>
      <c r="Z533" s="23">
        <v>20</v>
      </c>
      <c r="AA533" s="28">
        <v>19233226.902976677</v>
      </c>
      <c r="AB533" s="24">
        <v>1.5667020504138117E-2</v>
      </c>
    </row>
    <row r="534" spans="1:28" x14ac:dyDescent="0.25">
      <c r="A534" t="s">
        <v>5463</v>
      </c>
      <c r="B534" t="s">
        <v>7565</v>
      </c>
      <c r="C534" t="s">
        <v>5465</v>
      </c>
      <c r="D534" s="3" t="s">
        <v>5464</v>
      </c>
      <c r="E534" s="3" t="s">
        <v>495</v>
      </c>
      <c r="G534" t="s">
        <v>4094</v>
      </c>
      <c r="H534" t="s">
        <v>716</v>
      </c>
      <c r="I534" s="17">
        <v>-1.13234137149771</v>
      </c>
      <c r="J534" s="17">
        <v>0.27486294256570298</v>
      </c>
      <c r="K534" s="21">
        <v>19</v>
      </c>
      <c r="L534" s="27">
        <v>12923525.7303624</v>
      </c>
      <c r="M534" s="22">
        <v>1.0773482409216583E-2</v>
      </c>
      <c r="N534" s="21">
        <v>7</v>
      </c>
      <c r="O534" s="27">
        <v>12249060.854893168</v>
      </c>
      <c r="P534" s="22">
        <v>1.0300652110197197E-2</v>
      </c>
      <c r="Q534" s="21">
        <v>27</v>
      </c>
      <c r="R534" s="27">
        <v>16040925.881380968</v>
      </c>
      <c r="S534" s="22">
        <v>1.3568592099845447E-2</v>
      </c>
      <c r="T534" s="23">
        <v>16</v>
      </c>
      <c r="U534" s="28">
        <v>12685434.262071479</v>
      </c>
      <c r="V534" s="24">
        <v>1.0557314950826104E-2</v>
      </c>
      <c r="W534" s="23">
        <v>6</v>
      </c>
      <c r="X534" s="28">
        <v>12705131.865307178</v>
      </c>
      <c r="Y534" s="24">
        <v>1.0343457943118847E-2</v>
      </c>
      <c r="Z534" s="23">
        <v>11</v>
      </c>
      <c r="AA534" s="28">
        <v>13927965.553740554</v>
      </c>
      <c r="AB534" s="24">
        <v>1.1508592872118844E-2</v>
      </c>
    </row>
    <row r="535" spans="1:28" x14ac:dyDescent="0.25">
      <c r="A535" t="s">
        <v>5412</v>
      </c>
      <c r="B535" t="s">
        <v>7548</v>
      </c>
      <c r="C535" t="s">
        <v>5414</v>
      </c>
      <c r="D535" s="3" t="s">
        <v>5413</v>
      </c>
      <c r="E535" s="3" t="s">
        <v>495</v>
      </c>
      <c r="G535" t="s">
        <v>4094</v>
      </c>
      <c r="H535" t="s">
        <v>716</v>
      </c>
      <c r="I535" s="17">
        <v>-1.1324452967074701</v>
      </c>
      <c r="J535" s="17">
        <v>0.21765760869492001</v>
      </c>
      <c r="K535" s="21">
        <v>9</v>
      </c>
      <c r="L535" s="27">
        <v>11460033.647167699</v>
      </c>
      <c r="M535" s="22">
        <v>1.8643882445573648E-2</v>
      </c>
      <c r="N535" s="21">
        <v>8</v>
      </c>
      <c r="O535" s="27">
        <v>11127080.976403214</v>
      </c>
      <c r="P535" s="22">
        <v>1.8260747200679342E-2</v>
      </c>
      <c r="Q535" s="21">
        <v>11</v>
      </c>
      <c r="R535" s="27">
        <v>12610669.668501999</v>
      </c>
      <c r="S535" s="22">
        <v>2.0817035006824081E-2</v>
      </c>
      <c r="T535" s="23">
        <v>10</v>
      </c>
      <c r="U535" s="28">
        <v>12024157.429430464</v>
      </c>
      <c r="V535" s="24">
        <v>1.9528917044833977E-2</v>
      </c>
      <c r="W535" s="23">
        <v>8</v>
      </c>
      <c r="X535" s="28">
        <v>10741996.941191759</v>
      </c>
      <c r="Y535" s="24">
        <v>1.706659837854772E-2</v>
      </c>
      <c r="Z535" s="23">
        <v>11</v>
      </c>
      <c r="AA535" s="28">
        <v>10795941.82366713</v>
      </c>
      <c r="AB535" s="24">
        <v>1.7408864557316616E-2</v>
      </c>
    </row>
    <row r="536" spans="1:28" x14ac:dyDescent="0.25">
      <c r="A536" t="s">
        <v>5475</v>
      </c>
      <c r="B536" t="s">
        <v>7569</v>
      </c>
      <c r="C536" t="s">
        <v>5477</v>
      </c>
      <c r="D536" s="3" t="s">
        <v>5476</v>
      </c>
      <c r="E536" s="3" t="s">
        <v>495</v>
      </c>
      <c r="G536" t="s">
        <v>4094</v>
      </c>
      <c r="H536" t="s">
        <v>716</v>
      </c>
      <c r="I536" s="17">
        <v>-1.1434234083235699</v>
      </c>
      <c r="J536" s="17">
        <v>0.50902467451816702</v>
      </c>
      <c r="K536" s="21">
        <v>27</v>
      </c>
      <c r="L536" s="27">
        <v>18233306.148998398</v>
      </c>
      <c r="M536" s="22">
        <v>2.2022571658410425E-2</v>
      </c>
      <c r="N536" s="21">
        <v>10</v>
      </c>
      <c r="O536" s="27">
        <v>13779100.084088972</v>
      </c>
      <c r="P536" s="22">
        <v>1.6788438137492239E-2</v>
      </c>
      <c r="Q536" s="21">
        <v>25</v>
      </c>
      <c r="R536" s="27">
        <v>19695939.952624001</v>
      </c>
      <c r="S536" s="22">
        <v>2.4138461091714841E-2</v>
      </c>
      <c r="T536" s="23">
        <v>15</v>
      </c>
      <c r="U536" s="28">
        <v>16692607.394645942</v>
      </c>
      <c r="V536" s="24">
        <v>2.0127963230230354E-2</v>
      </c>
      <c r="W536" s="23">
        <v>7</v>
      </c>
      <c r="X536" s="28">
        <v>13267282.407693058</v>
      </c>
      <c r="Y536" s="24">
        <v>1.5649341300117126E-2</v>
      </c>
      <c r="Z536" s="23">
        <v>15</v>
      </c>
      <c r="AA536" s="28">
        <v>18900776.7374359</v>
      </c>
      <c r="AB536" s="24">
        <v>2.2627767484997542E-2</v>
      </c>
    </row>
    <row r="537" spans="1:28" x14ac:dyDescent="0.25">
      <c r="A537" t="s">
        <v>5400</v>
      </c>
      <c r="B537" t="s">
        <v>7544</v>
      </c>
      <c r="C537" t="s">
        <v>5402</v>
      </c>
      <c r="D537" s="3" t="s">
        <v>5401</v>
      </c>
      <c r="E537" s="3" t="s">
        <v>495</v>
      </c>
      <c r="G537" t="s">
        <v>4094</v>
      </c>
      <c r="H537" t="s">
        <v>716</v>
      </c>
      <c r="I537" s="17">
        <v>-1.17807822874608</v>
      </c>
      <c r="J537" s="17">
        <v>0.17474847657352199</v>
      </c>
      <c r="K537" s="21">
        <v>3</v>
      </c>
      <c r="L537" s="27">
        <v>2173371.0527353501</v>
      </c>
      <c r="M537" s="22">
        <v>3.2844144760751327E-3</v>
      </c>
      <c r="N537" s="21">
        <v>3</v>
      </c>
      <c r="O537" s="27">
        <v>1869933.7877619166</v>
      </c>
      <c r="P537" s="22">
        <v>2.8506056434335686E-3</v>
      </c>
      <c r="Q537" s="21">
        <v>2</v>
      </c>
      <c r="R537" s="27">
        <v>2178219.1913024387</v>
      </c>
      <c r="S537" s="22">
        <v>3.340072694315598E-3</v>
      </c>
      <c r="T537" s="23">
        <v>1</v>
      </c>
      <c r="U537" s="28">
        <v>1906819.5856575009</v>
      </c>
      <c r="V537" s="24">
        <v>2.876780505241705E-3</v>
      </c>
      <c r="W537" s="23">
        <v>1</v>
      </c>
      <c r="X537" s="28">
        <v>1850046.1858491988</v>
      </c>
      <c r="Y537" s="24">
        <v>2.730348796273071E-3</v>
      </c>
      <c r="Z537" s="23">
        <v>2</v>
      </c>
      <c r="AA537" s="28">
        <v>1972898.4215418759</v>
      </c>
      <c r="AB537" s="24">
        <v>2.9552093505641171E-3</v>
      </c>
    </row>
    <row r="538" spans="1:28" x14ac:dyDescent="0.25">
      <c r="A538" t="s">
        <v>5409</v>
      </c>
      <c r="B538" t="s">
        <v>7547</v>
      </c>
      <c r="C538" t="s">
        <v>5411</v>
      </c>
      <c r="D538" s="3" t="s">
        <v>5410</v>
      </c>
      <c r="E538" s="3" t="s">
        <v>495</v>
      </c>
      <c r="G538" t="s">
        <v>4094</v>
      </c>
      <c r="H538" t="s">
        <v>716</v>
      </c>
      <c r="I538" s="17">
        <v>-1.18557975572735</v>
      </c>
      <c r="J538" s="17">
        <v>0.21391095687018699</v>
      </c>
      <c r="K538" s="21">
        <v>2</v>
      </c>
      <c r="L538" s="27">
        <v>12498319.1667501</v>
      </c>
      <c r="M538" s="22">
        <v>4.1298172328180047E-2</v>
      </c>
      <c r="N538" s="21">
        <v>1</v>
      </c>
      <c r="O538" s="27">
        <v>16549234.889712067</v>
      </c>
      <c r="P538" s="22">
        <v>5.5162504225861303E-2</v>
      </c>
      <c r="Q538" s="21">
        <v>2</v>
      </c>
      <c r="R538" s="27">
        <v>13846280.348682653</v>
      </c>
      <c r="S538" s="22">
        <v>4.6424004697886552E-2</v>
      </c>
      <c r="T538" s="23">
        <v>2</v>
      </c>
      <c r="U538" s="28">
        <v>14988627.319335084</v>
      </c>
      <c r="V538" s="24">
        <v>4.9444060167839733E-2</v>
      </c>
      <c r="W538" s="23">
        <v>1</v>
      </c>
      <c r="X538" s="28">
        <v>12099123.800734023</v>
      </c>
      <c r="Y538" s="24">
        <v>3.9043129631969875E-2</v>
      </c>
      <c r="Z538" s="23">
        <v>2</v>
      </c>
      <c r="AA538" s="28">
        <v>11717011.435672922</v>
      </c>
      <c r="AB538" s="24">
        <v>3.8375630391834843E-2</v>
      </c>
    </row>
    <row r="539" spans="1:28" x14ac:dyDescent="0.25">
      <c r="A539" t="s">
        <v>5452</v>
      </c>
      <c r="B539" t="s">
        <v>7561</v>
      </c>
      <c r="C539" t="s">
        <v>5454</v>
      </c>
      <c r="D539" s="3" t="s">
        <v>5453</v>
      </c>
      <c r="E539" s="3" t="s">
        <v>495</v>
      </c>
      <c r="G539" t="s">
        <v>4094</v>
      </c>
      <c r="H539" t="s">
        <v>716</v>
      </c>
      <c r="I539" s="17">
        <v>-1.1895207781741099</v>
      </c>
      <c r="J539" s="17">
        <v>0.10266238981279099</v>
      </c>
      <c r="K539" s="21">
        <v>18</v>
      </c>
      <c r="L539" s="27">
        <v>17577910.0817976</v>
      </c>
      <c r="M539" s="22">
        <v>2.0797685356305811E-2</v>
      </c>
      <c r="N539" s="21">
        <v>8</v>
      </c>
      <c r="O539" s="27">
        <v>16681751.897157038</v>
      </c>
      <c r="P539" s="22">
        <v>1.9910229002520093E-2</v>
      </c>
      <c r="Q539" s="21">
        <v>18</v>
      </c>
      <c r="R539" s="27">
        <v>18357701.39995252</v>
      </c>
      <c r="S539" s="22">
        <v>2.2039225382276428E-2</v>
      </c>
      <c r="T539" s="23">
        <v>11</v>
      </c>
      <c r="U539" s="28">
        <v>16019059.955896921</v>
      </c>
      <c r="V539" s="24">
        <v>1.8921599052934102E-2</v>
      </c>
      <c r="W539" s="23">
        <v>12</v>
      </c>
      <c r="X539" s="28">
        <v>15099361.83093798</v>
      </c>
      <c r="Y539" s="24">
        <v>1.7446882586290707E-2</v>
      </c>
      <c r="Z539" s="23">
        <v>13</v>
      </c>
      <c r="AA539" s="28">
        <v>16741247.609637775</v>
      </c>
      <c r="AB539" s="24">
        <v>1.9633378199256261E-2</v>
      </c>
    </row>
    <row r="540" spans="1:28" x14ac:dyDescent="0.25">
      <c r="A540" t="s">
        <v>5439</v>
      </c>
      <c r="B540" t="s">
        <v>7557</v>
      </c>
      <c r="C540" t="s">
        <v>5442</v>
      </c>
      <c r="D540" s="3" t="s">
        <v>5440</v>
      </c>
      <c r="E540" s="3" t="s">
        <v>495</v>
      </c>
      <c r="G540" t="s">
        <v>4094</v>
      </c>
      <c r="H540" t="s">
        <v>5441</v>
      </c>
      <c r="I540" s="17">
        <v>-1.1993293094444599</v>
      </c>
      <c r="J540" s="17">
        <v>0.19842034337877201</v>
      </c>
      <c r="K540" s="21">
        <v>10</v>
      </c>
      <c r="L540" s="27">
        <v>18133439.395730801</v>
      </c>
      <c r="M540" s="22">
        <v>2.8274400629844806E-2</v>
      </c>
      <c r="N540" s="21">
        <v>5</v>
      </c>
      <c r="O540" s="27">
        <v>16126797.583824087</v>
      </c>
      <c r="P540" s="22">
        <v>2.5365778135467917E-2</v>
      </c>
      <c r="Q540" s="21">
        <v>9</v>
      </c>
      <c r="R540" s="27">
        <v>21446573.366794217</v>
      </c>
      <c r="S540" s="22">
        <v>3.3931369960962098E-2</v>
      </c>
      <c r="T540" s="23">
        <v>7</v>
      </c>
      <c r="U540" s="28">
        <v>17204516.257724348</v>
      </c>
      <c r="V540" s="24">
        <v>2.6781119779855162E-2</v>
      </c>
      <c r="W540" s="23">
        <v>7</v>
      </c>
      <c r="X540" s="28">
        <v>15489889.023013471</v>
      </c>
      <c r="Y540" s="24">
        <v>2.3587016423695192E-2</v>
      </c>
      <c r="Z540" s="23">
        <v>8</v>
      </c>
      <c r="AA540" s="28">
        <v>17453984.97377684</v>
      </c>
      <c r="AB540" s="24">
        <v>2.6975361138328116E-2</v>
      </c>
    </row>
    <row r="541" spans="1:28" x14ac:dyDescent="0.25">
      <c r="A541" t="s">
        <v>5455</v>
      </c>
      <c r="B541" t="s">
        <v>7562</v>
      </c>
      <c r="C541" t="s">
        <v>5457</v>
      </c>
      <c r="D541" s="3" t="s">
        <v>5456</v>
      </c>
      <c r="E541" s="3" t="s">
        <v>495</v>
      </c>
      <c r="G541" t="s">
        <v>4094</v>
      </c>
      <c r="H541" t="s">
        <v>716</v>
      </c>
      <c r="I541" s="17">
        <v>-1.1995091730558001</v>
      </c>
      <c r="J541" s="17">
        <v>0.114820475785333</v>
      </c>
      <c r="K541" s="21">
        <v>39</v>
      </c>
      <c r="L541" s="27">
        <v>148590253.50232899</v>
      </c>
      <c r="M541" s="22">
        <v>0.2448588969998966</v>
      </c>
      <c r="N541" s="21">
        <v>33</v>
      </c>
      <c r="O541" s="27">
        <v>133665236.49988258</v>
      </c>
      <c r="P541" s="22">
        <v>0.22219325376073504</v>
      </c>
      <c r="Q541" s="21">
        <v>38</v>
      </c>
      <c r="R541" s="27">
        <v>155589878.94715768</v>
      </c>
      <c r="S541" s="22">
        <v>0.26015798954865071</v>
      </c>
      <c r="T541" s="23">
        <v>33</v>
      </c>
      <c r="U541" s="28">
        <v>138619928.04173535</v>
      </c>
      <c r="V541" s="24">
        <v>0.22804695513952317</v>
      </c>
      <c r="W541" s="23">
        <v>29</v>
      </c>
      <c r="X541" s="28">
        <v>132221345.89343069</v>
      </c>
      <c r="Y541" s="24">
        <v>0.21278382903278126</v>
      </c>
      <c r="Z541" s="23">
        <v>33</v>
      </c>
      <c r="AA541" s="28">
        <v>124665881.04572786</v>
      </c>
      <c r="AB541" s="24">
        <v>0.20362571557067674</v>
      </c>
    </row>
    <row r="542" spans="1:28" x14ac:dyDescent="0.25">
      <c r="A542" t="s">
        <v>5466</v>
      </c>
      <c r="B542" t="s">
        <v>7566</v>
      </c>
      <c r="C542" t="s">
        <v>5468</v>
      </c>
      <c r="D542" s="3" t="s">
        <v>5467</v>
      </c>
      <c r="E542" s="3" t="s">
        <v>495</v>
      </c>
      <c r="G542" t="s">
        <v>4094</v>
      </c>
      <c r="H542" t="s">
        <v>716</v>
      </c>
      <c r="I542" s="17">
        <v>-1.19961641499853</v>
      </c>
      <c r="J542" s="17">
        <v>0.32959486161635998</v>
      </c>
      <c r="K542" s="21">
        <v>18</v>
      </c>
      <c r="L542" s="27">
        <v>32376804.8480694</v>
      </c>
      <c r="M542" s="22">
        <v>6.7697195644753128E-2</v>
      </c>
      <c r="N542" s="21">
        <v>7</v>
      </c>
      <c r="O542" s="27">
        <v>23547769.864512958</v>
      </c>
      <c r="P542" s="22">
        <v>4.9667615000052623E-2</v>
      </c>
      <c r="Q542" s="21">
        <v>16</v>
      </c>
      <c r="R542" s="27">
        <v>31360092.880957868</v>
      </c>
      <c r="S542" s="22">
        <v>6.6534100649000658E-2</v>
      </c>
      <c r="T542" s="23">
        <v>15</v>
      </c>
      <c r="U542" s="28">
        <v>26625215.733942598</v>
      </c>
      <c r="V542" s="24">
        <v>5.557799430673642E-2</v>
      </c>
      <c r="W542" s="23">
        <v>9</v>
      </c>
      <c r="X542" s="28">
        <v>24060484.150782283</v>
      </c>
      <c r="Y542" s="24">
        <v>4.9130652714592639E-2</v>
      </c>
      <c r="Z542" s="23">
        <v>11</v>
      </c>
      <c r="AA542" s="28">
        <v>28352788.536136374</v>
      </c>
      <c r="AB542" s="24">
        <v>5.8761370630432297E-2</v>
      </c>
    </row>
    <row r="543" spans="1:28" x14ac:dyDescent="0.25">
      <c r="A543" t="s">
        <v>5418</v>
      </c>
      <c r="B543" t="s">
        <v>7550</v>
      </c>
      <c r="C543" t="s">
        <v>5420</v>
      </c>
      <c r="D543" s="3" t="s">
        <v>5419</v>
      </c>
      <c r="E543" s="3" t="s">
        <v>495</v>
      </c>
      <c r="G543" t="s">
        <v>4094</v>
      </c>
      <c r="H543" t="s">
        <v>716</v>
      </c>
      <c r="I543" s="17">
        <v>-1.20248088103402</v>
      </c>
      <c r="J543" s="17">
        <v>0.38203743937166401</v>
      </c>
      <c r="K543" s="21">
        <v>14</v>
      </c>
      <c r="L543" s="27">
        <v>14598626.767715</v>
      </c>
      <c r="M543" s="22">
        <v>3.863060351528879E-2</v>
      </c>
      <c r="N543" s="21">
        <v>8</v>
      </c>
      <c r="O543" s="27">
        <v>10356886.168214342</v>
      </c>
      <c r="P543" s="22">
        <v>2.7646204934731546E-2</v>
      </c>
      <c r="Q543" s="21">
        <v>16</v>
      </c>
      <c r="R543" s="27">
        <v>16674798.411576625</v>
      </c>
      <c r="S543" s="22">
        <v>4.4772396335043971E-2</v>
      </c>
      <c r="T543" s="23">
        <v>11</v>
      </c>
      <c r="U543" s="28">
        <v>12895294.794964883</v>
      </c>
      <c r="V543" s="24">
        <v>3.4066208972272874E-2</v>
      </c>
      <c r="W543" s="23">
        <v>5</v>
      </c>
      <c r="X543" s="28">
        <v>12422330.081498936</v>
      </c>
      <c r="Y543" s="24">
        <v>3.210214363447577E-2</v>
      </c>
      <c r="Z543" s="23">
        <v>7</v>
      </c>
      <c r="AA543" s="28">
        <v>12254160.303332366</v>
      </c>
      <c r="AB543" s="24">
        <v>3.2141229998302157E-2</v>
      </c>
    </row>
    <row r="544" spans="1:28" x14ac:dyDescent="0.25">
      <c r="A544" t="s">
        <v>5421</v>
      </c>
      <c r="B544" t="s">
        <v>7551</v>
      </c>
      <c r="C544" t="s">
        <v>5423</v>
      </c>
      <c r="D544" s="3" t="s">
        <v>5422</v>
      </c>
      <c r="E544" s="3" t="s">
        <v>495</v>
      </c>
      <c r="G544" t="s">
        <v>4094</v>
      </c>
      <c r="H544" t="s">
        <v>716</v>
      </c>
      <c r="I544" s="17">
        <v>-1.2109986568742199</v>
      </c>
      <c r="J544" s="17">
        <v>0.54444762809647296</v>
      </c>
      <c r="K544" s="21">
        <v>4</v>
      </c>
      <c r="L544" s="27">
        <v>2252057.4026861298</v>
      </c>
      <c r="M544" s="22">
        <v>5.9103025440264967E-3</v>
      </c>
      <c r="N544" s="21">
        <v>2</v>
      </c>
      <c r="O544" s="27">
        <v>1319907.3752160841</v>
      </c>
      <c r="P544" s="22">
        <v>3.4943028673697519E-3</v>
      </c>
      <c r="Q544" s="21">
        <v>5</v>
      </c>
      <c r="R544" s="27">
        <v>2511376.1566267745</v>
      </c>
      <c r="S544" s="22">
        <v>6.6876307032237908E-3</v>
      </c>
      <c r="T544" s="23">
        <v>2</v>
      </c>
      <c r="U544" s="28">
        <v>1926079.0422647274</v>
      </c>
      <c r="V544" s="24">
        <v>5.0463504344729002E-3</v>
      </c>
      <c r="W544" s="23">
        <v>0</v>
      </c>
      <c r="X544" s="28">
        <v>1677505.5536815489</v>
      </c>
      <c r="Y544" s="24">
        <v>4.2993787365058931E-3</v>
      </c>
      <c r="Z544" s="23">
        <v>0</v>
      </c>
      <c r="AA544" s="28">
        <v>1849538.3992005121</v>
      </c>
      <c r="AB544" s="24">
        <v>4.8111960767991974E-3</v>
      </c>
    </row>
    <row r="545" spans="1:36" x14ac:dyDescent="0.25">
      <c r="A545" t="s">
        <v>5446</v>
      </c>
      <c r="B545" t="s">
        <v>7559</v>
      </c>
      <c r="C545" t="s">
        <v>5448</v>
      </c>
      <c r="D545" s="3" t="s">
        <v>5447</v>
      </c>
      <c r="E545" s="3" t="s">
        <v>495</v>
      </c>
      <c r="G545" t="s">
        <v>4094</v>
      </c>
      <c r="H545" t="s">
        <v>716</v>
      </c>
      <c r="I545" s="17">
        <v>-1.2401647042110999</v>
      </c>
      <c r="J545" s="17">
        <v>4.87955109843543E-2</v>
      </c>
      <c r="K545" s="21">
        <v>12</v>
      </c>
      <c r="L545" s="27">
        <v>16212812.608794499</v>
      </c>
      <c r="M545" s="22">
        <v>6.0112729253367428E-2</v>
      </c>
      <c r="N545" s="21">
        <v>9</v>
      </c>
      <c r="O545" s="27">
        <v>15704398.88569428</v>
      </c>
      <c r="P545" s="22">
        <v>5.8737604861357234E-2</v>
      </c>
      <c r="Q545" s="21">
        <v>10</v>
      </c>
      <c r="R545" s="27">
        <v>15882727.253070962</v>
      </c>
      <c r="S545" s="22">
        <v>5.9753509945538637E-2</v>
      </c>
      <c r="T545" s="23">
        <v>8</v>
      </c>
      <c r="U545" s="28">
        <v>14609939.563107958</v>
      </c>
      <c r="V545" s="24">
        <v>5.4079111338567756E-2</v>
      </c>
      <c r="W545" s="23">
        <v>10</v>
      </c>
      <c r="X545" s="28">
        <v>13947696.501975257</v>
      </c>
      <c r="Y545" s="24">
        <v>5.0503567011837371E-2</v>
      </c>
      <c r="Z545" s="23">
        <v>7</v>
      </c>
      <c r="AA545" s="28">
        <v>13204149.161742613</v>
      </c>
      <c r="AB545" s="24">
        <v>4.8526386472133635E-2</v>
      </c>
    </row>
    <row r="546" spans="1:36" x14ac:dyDescent="0.25">
      <c r="A546" t="s">
        <v>5461</v>
      </c>
      <c r="B546" t="s">
        <v>7564</v>
      </c>
      <c r="C546" t="s">
        <v>5462</v>
      </c>
      <c r="D546" s="3" t="s">
        <v>5401</v>
      </c>
      <c r="E546" s="3" t="s">
        <v>495</v>
      </c>
      <c r="G546" t="s">
        <v>4094</v>
      </c>
      <c r="H546" t="s">
        <v>716</v>
      </c>
      <c r="I546" s="17">
        <v>-1.26817346745252</v>
      </c>
      <c r="J546" s="17">
        <v>0.21909698307091999</v>
      </c>
      <c r="K546" s="21">
        <v>20</v>
      </c>
      <c r="L546" s="27">
        <v>28045429.841368102</v>
      </c>
      <c r="M546" s="22">
        <v>4.9271071367991977E-2</v>
      </c>
      <c r="N546" s="21">
        <v>12</v>
      </c>
      <c r="O546" s="27">
        <v>21133029.481546193</v>
      </c>
      <c r="P546" s="22">
        <v>3.7452300256430711E-2</v>
      </c>
      <c r="Q546" s="21">
        <v>23</v>
      </c>
      <c r="R546" s="27">
        <v>29728879.929547746</v>
      </c>
      <c r="S546" s="22">
        <v>5.299546556891814E-2</v>
      </c>
      <c r="T546" s="23">
        <v>15</v>
      </c>
      <c r="U546" s="28">
        <v>24826669.255673531</v>
      </c>
      <c r="V546" s="24">
        <v>4.3543306792753526E-2</v>
      </c>
      <c r="W546" s="23">
        <v>12</v>
      </c>
      <c r="X546" s="28">
        <v>20538154.648507599</v>
      </c>
      <c r="Y546" s="24">
        <v>3.5237314759991221E-2</v>
      </c>
      <c r="Z546" s="23">
        <v>12</v>
      </c>
      <c r="AA546" s="28">
        <v>21977254.199353412</v>
      </c>
      <c r="AB546" s="24">
        <v>3.8270380862404779E-2</v>
      </c>
    </row>
    <row r="547" spans="1:36" x14ac:dyDescent="0.25">
      <c r="A547" t="s">
        <v>5430</v>
      </c>
      <c r="B547" t="s">
        <v>7554</v>
      </c>
      <c r="C547" t="s">
        <v>5432</v>
      </c>
      <c r="D547" s="3" t="s">
        <v>5431</v>
      </c>
      <c r="E547" s="3" t="s">
        <v>495</v>
      </c>
      <c r="G547" t="s">
        <v>4094</v>
      </c>
      <c r="H547" t="s">
        <v>716</v>
      </c>
      <c r="I547" s="17">
        <v>-1.27865402396243</v>
      </c>
      <c r="J547" s="17">
        <v>0.84315264212238406</v>
      </c>
      <c r="K547" s="21">
        <v>1</v>
      </c>
      <c r="L547" s="27">
        <v>280636.41950257198</v>
      </c>
      <c r="M547" s="22">
        <v>1.0345094396704074E-3</v>
      </c>
      <c r="N547" s="21">
        <v>0</v>
      </c>
      <c r="O547" s="27">
        <v>83819.948872187349</v>
      </c>
      <c r="P547" s="22">
        <v>3.1169127901678944E-4</v>
      </c>
      <c r="Q547" s="21">
        <v>2</v>
      </c>
      <c r="R547" s="27">
        <v>292490.55297731055</v>
      </c>
      <c r="S547" s="22">
        <v>1.0940383108713652E-3</v>
      </c>
      <c r="T547" s="23">
        <v>0</v>
      </c>
      <c r="U547" s="28">
        <v>190613.58768340474</v>
      </c>
      <c r="V547" s="24">
        <v>7.0148328389529305E-4</v>
      </c>
      <c r="W547" s="23">
        <v>0</v>
      </c>
      <c r="X547" s="28">
        <v>195158.85474200372</v>
      </c>
      <c r="Y547" s="24">
        <v>7.0257091821018694E-4</v>
      </c>
      <c r="Z547" s="23">
        <v>0</v>
      </c>
      <c r="AA547" s="28">
        <v>178435.89791065032</v>
      </c>
      <c r="AB547" s="24">
        <v>6.5197674494532805E-4</v>
      </c>
    </row>
    <row r="548" spans="1:36" x14ac:dyDescent="0.25">
      <c r="A548" t="s">
        <v>5449</v>
      </c>
      <c r="B548" t="s">
        <v>7560</v>
      </c>
      <c r="C548" t="s">
        <v>5451</v>
      </c>
      <c r="D548" s="3" t="s">
        <v>5450</v>
      </c>
      <c r="E548" s="3" t="s">
        <v>495</v>
      </c>
      <c r="G548" t="s">
        <v>4094</v>
      </c>
      <c r="H548" t="s">
        <v>716</v>
      </c>
      <c r="I548" s="17">
        <v>-1.3056273846072199</v>
      </c>
      <c r="J548" s="17">
        <v>7.1658359660879897E-2</v>
      </c>
      <c r="K548" s="21">
        <v>14</v>
      </c>
      <c r="L548" s="27">
        <v>12194241.0544923</v>
      </c>
      <c r="M548" s="22">
        <v>1.7754857686018918E-2</v>
      </c>
      <c r="N548" s="21">
        <v>13</v>
      </c>
      <c r="O548" s="27">
        <v>11588969.129281174</v>
      </c>
      <c r="P548" s="22">
        <v>1.7021352201053372E-2</v>
      </c>
      <c r="Q548" s="21">
        <v>17</v>
      </c>
      <c r="R548" s="27">
        <v>13764978.820331585</v>
      </c>
      <c r="S548" s="22">
        <v>2.0336126132734653E-2</v>
      </c>
      <c r="T548" s="23">
        <v>12</v>
      </c>
      <c r="U548" s="28">
        <v>11558966.364892123</v>
      </c>
      <c r="V548" s="24">
        <v>1.6801747873022146E-2</v>
      </c>
      <c r="W548" s="23">
        <v>10</v>
      </c>
      <c r="X548" s="28">
        <v>9542080.6924631</v>
      </c>
      <c r="Y548" s="24">
        <v>1.356803594657212E-2</v>
      </c>
      <c r="Z548" s="23">
        <v>10</v>
      </c>
      <c r="AA548" s="28">
        <v>9895862.8658790477</v>
      </c>
      <c r="AB548" s="24">
        <v>1.4281556281022099E-2</v>
      </c>
    </row>
    <row r="549" spans="1:36" x14ac:dyDescent="0.25">
      <c r="A549" t="s">
        <v>5391</v>
      </c>
      <c r="B549" t="s">
        <v>7541</v>
      </c>
      <c r="C549" t="s">
        <v>5393</v>
      </c>
      <c r="D549" s="3" t="s">
        <v>5392</v>
      </c>
      <c r="E549" s="3" t="s">
        <v>495</v>
      </c>
      <c r="G549" t="s">
        <v>4094</v>
      </c>
      <c r="H549" t="s">
        <v>716</v>
      </c>
      <c r="I549" s="17">
        <v>-1.3906277684252999</v>
      </c>
      <c r="J549" s="17">
        <v>5.3746778389521903E-2</v>
      </c>
      <c r="K549" s="21">
        <v>7</v>
      </c>
      <c r="L549" s="27">
        <v>3785458.7938377699</v>
      </c>
      <c r="M549" s="22">
        <v>8.5003481442866621E-3</v>
      </c>
      <c r="N549" s="21">
        <v>3</v>
      </c>
      <c r="O549" s="27">
        <v>3098827.2890685666</v>
      </c>
      <c r="P549" s="22">
        <v>7.019438839801757E-3</v>
      </c>
      <c r="Q549" s="21">
        <v>7</v>
      </c>
      <c r="R549" s="27">
        <v>3843858.5021853712</v>
      </c>
      <c r="S549" s="22">
        <v>8.7582198386519268E-3</v>
      </c>
      <c r="T549" s="23">
        <v>4</v>
      </c>
      <c r="U549" s="28">
        <v>2774265.3199831895</v>
      </c>
      <c r="V549" s="24">
        <v>6.2192673561873475E-3</v>
      </c>
      <c r="W549" s="23">
        <v>3</v>
      </c>
      <c r="X549" s="28">
        <v>2602802.302456934</v>
      </c>
      <c r="Y549" s="24">
        <v>5.7078276817458268E-3</v>
      </c>
      <c r="Z549" s="23">
        <v>4</v>
      </c>
      <c r="AA549" s="28">
        <v>2989477.6832205914</v>
      </c>
      <c r="AB549" s="24">
        <v>6.6538491931243584E-3</v>
      </c>
    </row>
    <row r="550" spans="1:36" x14ac:dyDescent="0.25">
      <c r="A550" t="s">
        <v>5427</v>
      </c>
      <c r="B550" t="s">
        <v>7553</v>
      </c>
      <c r="C550" t="s">
        <v>5429</v>
      </c>
      <c r="D550" s="3" t="s">
        <v>5428</v>
      </c>
      <c r="E550" s="3" t="s">
        <v>495</v>
      </c>
      <c r="G550" t="s">
        <v>4094</v>
      </c>
      <c r="H550" t="s">
        <v>716</v>
      </c>
      <c r="I550" s="17">
        <v>-1.4144032296301701</v>
      </c>
      <c r="J550" s="17">
        <v>0.71008071707619103</v>
      </c>
      <c r="K550" s="21">
        <v>4</v>
      </c>
      <c r="L550" s="27">
        <v>915373.52121868299</v>
      </c>
      <c r="M550" s="22">
        <v>3.0404204646935396E-3</v>
      </c>
      <c r="N550" s="21">
        <v>0</v>
      </c>
      <c r="O550" s="27">
        <v>244513.33595513098</v>
      </c>
      <c r="P550" s="22">
        <v>8.1926553409975131E-4</v>
      </c>
      <c r="Q550" s="21">
        <v>2</v>
      </c>
      <c r="R550" s="27">
        <v>885755.12545582152</v>
      </c>
      <c r="S550" s="22">
        <v>2.9852398835031567E-3</v>
      </c>
      <c r="T550" s="23">
        <v>2</v>
      </c>
      <c r="U550" s="28">
        <v>637366.36140101892</v>
      </c>
      <c r="V550" s="24">
        <v>2.1134767956679781E-3</v>
      </c>
      <c r="W550" s="23">
        <v>0</v>
      </c>
      <c r="X550" s="28">
        <v>480121.88943261857</v>
      </c>
      <c r="Y550" s="24">
        <v>1.5573932533339519E-3</v>
      </c>
      <c r="Z550" s="23">
        <v>0</v>
      </c>
      <c r="AA550" s="28">
        <v>464385.70856877667</v>
      </c>
      <c r="AB550" s="24">
        <v>1.5288806884905832E-3</v>
      </c>
    </row>
    <row r="551" spans="1:36" x14ac:dyDescent="0.25">
      <c r="A551" t="s">
        <v>5415</v>
      </c>
      <c r="B551" t="s">
        <v>7549</v>
      </c>
      <c r="C551" t="s">
        <v>5417</v>
      </c>
      <c r="D551" s="3" t="s">
        <v>5416</v>
      </c>
      <c r="E551" s="3" t="s">
        <v>495</v>
      </c>
      <c r="G551" t="s">
        <v>4094</v>
      </c>
      <c r="H551" t="s">
        <v>716</v>
      </c>
      <c r="I551" s="17">
        <v>-1.45720257648729</v>
      </c>
      <c r="J551" s="17">
        <v>0.239950600248589</v>
      </c>
      <c r="K551" s="21">
        <v>2</v>
      </c>
      <c r="L551" s="27">
        <v>951870.73588948604</v>
      </c>
      <c r="M551" s="22">
        <v>3.0814014260375291E-3</v>
      </c>
      <c r="N551" s="21">
        <v>1</v>
      </c>
      <c r="O551" s="27">
        <v>526583.53187508602</v>
      </c>
      <c r="P551" s="22">
        <v>1.7195880148518326E-3</v>
      </c>
      <c r="Q551" s="21">
        <v>2</v>
      </c>
      <c r="R551" s="27">
        <v>960802.80328685348</v>
      </c>
      <c r="S551" s="22">
        <v>3.1559842358969102E-3</v>
      </c>
      <c r="T551" s="23">
        <v>0</v>
      </c>
      <c r="U551" s="28">
        <v>701820.39402065624</v>
      </c>
      <c r="V551" s="24">
        <v>2.2681372538099231E-3</v>
      </c>
      <c r="W551" s="23">
        <v>0</v>
      </c>
      <c r="X551" s="28">
        <v>576269.88598559098</v>
      </c>
      <c r="Y551" s="24">
        <v>1.8218294170991483E-3</v>
      </c>
      <c r="Z551" s="23">
        <v>0</v>
      </c>
      <c r="AA551" s="28">
        <v>542280.81747202296</v>
      </c>
      <c r="AB551" s="24">
        <v>1.7400190128862465E-3</v>
      </c>
    </row>
    <row r="552" spans="1:36" x14ac:dyDescent="0.25">
      <c r="A552" t="s">
        <v>5394</v>
      </c>
      <c r="B552" t="s">
        <v>7542</v>
      </c>
      <c r="C552" t="s">
        <v>5396</v>
      </c>
      <c r="D552" s="3" t="s">
        <v>5395</v>
      </c>
      <c r="E552" s="3" t="s">
        <v>495</v>
      </c>
      <c r="G552" t="s">
        <v>4094</v>
      </c>
      <c r="H552" t="s">
        <v>716</v>
      </c>
      <c r="I552" s="17">
        <v>-1.4599223024154999</v>
      </c>
      <c r="J552" s="17">
        <v>5.9608474684842899E-2</v>
      </c>
      <c r="K552" s="21">
        <v>2</v>
      </c>
      <c r="L552" s="27">
        <v>981686.07673681399</v>
      </c>
      <c r="M552" s="22">
        <v>1.523236506951866E-3</v>
      </c>
      <c r="N552" s="21">
        <v>1</v>
      </c>
      <c r="O552" s="27">
        <v>865250.74678222416</v>
      </c>
      <c r="P552" s="22">
        <v>1.354326958994773E-3</v>
      </c>
      <c r="Q552" s="21">
        <v>3</v>
      </c>
      <c r="R552" s="27">
        <v>860716.07274584437</v>
      </c>
      <c r="S552" s="22">
        <v>1.3551422350645253E-3</v>
      </c>
      <c r="T552" s="23">
        <v>2</v>
      </c>
      <c r="U552" s="28">
        <v>741059.68623462715</v>
      </c>
      <c r="V552" s="24">
        <v>1.1479446285786346E-3</v>
      </c>
      <c r="W552" s="23">
        <v>1</v>
      </c>
      <c r="X552" s="28">
        <v>568243.71120442811</v>
      </c>
      <c r="Y552" s="24">
        <v>8.6107469668366787E-4</v>
      </c>
      <c r="Z552" s="23">
        <v>0</v>
      </c>
      <c r="AA552" s="28">
        <v>696361.19936656242</v>
      </c>
      <c r="AB552" s="24">
        <v>1.0709981498841629E-3</v>
      </c>
    </row>
    <row r="553" spans="1:36" x14ac:dyDescent="0.25">
      <c r="A553" t="s">
        <v>5443</v>
      </c>
      <c r="B553" t="s">
        <v>7558</v>
      </c>
      <c r="C553" t="s">
        <v>5445</v>
      </c>
      <c r="D553" s="3" t="s">
        <v>5444</v>
      </c>
      <c r="E553" s="3" t="s">
        <v>495</v>
      </c>
      <c r="G553" t="s">
        <v>4094</v>
      </c>
      <c r="H553" t="s">
        <v>716</v>
      </c>
      <c r="I553" s="17">
        <v>-1.6430288233827799</v>
      </c>
      <c r="J553" s="17">
        <v>3.03509928402209E-2</v>
      </c>
      <c r="K553" s="21">
        <v>5</v>
      </c>
      <c r="L553" s="27">
        <v>2284821.0676247501</v>
      </c>
      <c r="M553" s="22">
        <v>7.1077945120751234E-3</v>
      </c>
      <c r="N553" s="21">
        <v>0</v>
      </c>
      <c r="O553" s="27">
        <v>1869081.0855762681</v>
      </c>
      <c r="P553" s="22">
        <v>5.8654001259539771E-3</v>
      </c>
      <c r="Q553" s="21">
        <v>6</v>
      </c>
      <c r="R553" s="27">
        <v>2376237.6861745249</v>
      </c>
      <c r="S553" s="22">
        <v>7.5007174872636587E-3</v>
      </c>
      <c r="T553" s="23">
        <v>1</v>
      </c>
      <c r="U553" s="28">
        <v>1669237.843518564</v>
      </c>
      <c r="V553" s="24">
        <v>5.1841067392962544E-3</v>
      </c>
      <c r="W553" s="23">
        <v>0</v>
      </c>
      <c r="X553" s="28">
        <v>1292490.0086935449</v>
      </c>
      <c r="Y553" s="24">
        <v>3.926642335666022E-3</v>
      </c>
      <c r="Z553" s="23">
        <v>0</v>
      </c>
      <c r="AA553" s="28">
        <v>1330857.1968490591</v>
      </c>
      <c r="AB553" s="24">
        <v>4.1036808183949301E-3</v>
      </c>
    </row>
    <row r="554" spans="1:36" x14ac:dyDescent="0.25">
      <c r="A554" s="48" t="s">
        <v>5388</v>
      </c>
      <c r="B554" s="48" t="s">
        <v>7540</v>
      </c>
      <c r="C554" s="48" t="s">
        <v>5390</v>
      </c>
      <c r="D554" s="49" t="s">
        <v>5389</v>
      </c>
      <c r="E554" s="49" t="s">
        <v>495</v>
      </c>
      <c r="F554" s="48"/>
      <c r="G554" s="48" t="s">
        <v>4094</v>
      </c>
      <c r="H554" s="48" t="s">
        <v>716</v>
      </c>
      <c r="I554" s="50">
        <v>-1.6883230286086399</v>
      </c>
      <c r="J554" s="50">
        <v>2.9541495808266999E-2</v>
      </c>
      <c r="K554" s="51">
        <v>3</v>
      </c>
      <c r="L554" s="52">
        <v>1933874.66222635</v>
      </c>
      <c r="M554" s="53">
        <v>3.5747506880114974E-3</v>
      </c>
      <c r="N554" s="51">
        <v>2</v>
      </c>
      <c r="O554" s="52">
        <v>1487163.172416816</v>
      </c>
      <c r="P554" s="53">
        <v>2.7730831357935561E-3</v>
      </c>
      <c r="Q554" s="51">
        <v>3</v>
      </c>
      <c r="R554" s="52">
        <v>1652827.1131561841</v>
      </c>
      <c r="S554" s="53">
        <v>3.1000958609595608E-3</v>
      </c>
      <c r="T554" s="54">
        <v>1</v>
      </c>
      <c r="U554" s="55">
        <v>1236897.2662212148</v>
      </c>
      <c r="V554" s="56">
        <v>2.2825700183185514E-3</v>
      </c>
      <c r="W554" s="54">
        <v>0</v>
      </c>
      <c r="X554" s="55">
        <v>993961.51214342506</v>
      </c>
      <c r="Y554" s="56">
        <v>1.7943141591483395E-3</v>
      </c>
      <c r="Z554" s="54">
        <v>0</v>
      </c>
      <c r="AA554" s="55">
        <v>1031290.0210388779</v>
      </c>
      <c r="AB554" s="56">
        <v>1.8895469971842197E-3</v>
      </c>
      <c r="AC554" s="59"/>
      <c r="AD554" s="59"/>
      <c r="AE554" s="59"/>
      <c r="AF554" s="59"/>
      <c r="AG554" s="59"/>
      <c r="AH554" s="59"/>
      <c r="AI554" s="50"/>
      <c r="AJ554" s="50"/>
    </row>
    <row r="555" spans="1:36" x14ac:dyDescent="0.25">
      <c r="A555" t="s">
        <v>5487</v>
      </c>
      <c r="B555" t="s">
        <v>7573</v>
      </c>
      <c r="C555" t="s">
        <v>5489</v>
      </c>
      <c r="D555" s="3" t="s">
        <v>5488</v>
      </c>
      <c r="E555" s="3" t="s">
        <v>495</v>
      </c>
      <c r="G555" t="s">
        <v>558</v>
      </c>
      <c r="H555" t="s">
        <v>12</v>
      </c>
      <c r="I555" s="17">
        <v>1.9821647772633999</v>
      </c>
      <c r="J555" s="17">
        <v>3.5149223729722401E-3</v>
      </c>
      <c r="K555" s="21">
        <v>16</v>
      </c>
      <c r="L555" s="27">
        <v>5036243.5586007601</v>
      </c>
      <c r="M555" s="22">
        <v>4.8663049367856214E-3</v>
      </c>
      <c r="N555" s="21">
        <v>6</v>
      </c>
      <c r="O555" s="27">
        <v>4557321.9679708406</v>
      </c>
      <c r="P555" s="22">
        <v>4.4421082633842529E-3</v>
      </c>
      <c r="Q555" s="21">
        <v>16</v>
      </c>
      <c r="R555" s="27">
        <v>6218892.8821506891</v>
      </c>
      <c r="S555" s="22">
        <v>6.0972770725506885E-3</v>
      </c>
      <c r="T555" s="23">
        <v>5</v>
      </c>
      <c r="U555" s="28">
        <v>10562912.654995099</v>
      </c>
      <c r="V555" s="24">
        <v>1.0189416787796479E-2</v>
      </c>
      <c r="W555" s="23">
        <v>2</v>
      </c>
      <c r="X555" s="28">
        <v>10915528.556466529</v>
      </c>
      <c r="Y555" s="24">
        <v>1.0300275616490608E-2</v>
      </c>
      <c r="Z555" s="23">
        <v>4</v>
      </c>
      <c r="AA555" s="28">
        <v>12419218.3117745</v>
      </c>
      <c r="AB555" s="24">
        <v>1.1894503097225851E-2</v>
      </c>
    </row>
    <row r="556" spans="1:36" x14ac:dyDescent="0.25">
      <c r="A556" t="s">
        <v>5548</v>
      </c>
      <c r="B556" t="s">
        <v>7593</v>
      </c>
      <c r="C556" t="s">
        <v>5550</v>
      </c>
      <c r="D556" s="3" t="s">
        <v>5549</v>
      </c>
      <c r="E556" s="3" t="s">
        <v>495</v>
      </c>
      <c r="G556" t="s">
        <v>558</v>
      </c>
      <c r="H556" t="s">
        <v>12</v>
      </c>
      <c r="I556" s="17">
        <v>1.07259120911835</v>
      </c>
      <c r="J556" s="17">
        <v>0.64594005463426996</v>
      </c>
      <c r="K556" s="21">
        <v>1</v>
      </c>
      <c r="L556" s="27">
        <v>488016.95960441302</v>
      </c>
      <c r="M556" s="22">
        <v>9.6653052262452E-4</v>
      </c>
      <c r="N556" s="21">
        <v>1</v>
      </c>
      <c r="O556" s="27">
        <v>339983.70427356561</v>
      </c>
      <c r="P556" s="22">
        <v>6.7924365827044624E-4</v>
      </c>
      <c r="Q556" s="21">
        <v>1</v>
      </c>
      <c r="R556" s="27">
        <v>460410.55602628225</v>
      </c>
      <c r="S556" s="22">
        <v>9.2524381475015142E-4</v>
      </c>
      <c r="T556" s="23">
        <v>2</v>
      </c>
      <c r="U556" s="28">
        <v>479064.45220316586</v>
      </c>
      <c r="V556" s="24">
        <v>9.4721299702068282E-4</v>
      </c>
      <c r="W556" s="23">
        <v>0</v>
      </c>
      <c r="X556" s="28">
        <v>458700.66204584966</v>
      </c>
      <c r="Y556" s="24">
        <v>8.8719994543930202E-4</v>
      </c>
      <c r="Z556" s="23">
        <v>0</v>
      </c>
      <c r="AA556" s="28">
        <v>566474.26844785002</v>
      </c>
      <c r="AB556" s="24">
        <v>1.1120397038363533E-3</v>
      </c>
      <c r="AC556" s="20">
        <v>2.320039120109628</v>
      </c>
      <c r="AD556" s="20">
        <v>2.0944239588483375</v>
      </c>
      <c r="AE556" s="20">
        <v>2.6395478539992823</v>
      </c>
      <c r="AF556" s="20">
        <v>2.2031658434329575</v>
      </c>
      <c r="AG556" s="20">
        <v>1.962347953382291</v>
      </c>
      <c r="AH556" s="20">
        <v>2.1330602135204719</v>
      </c>
    </row>
    <row r="557" spans="1:36" x14ac:dyDescent="0.25">
      <c r="A557" t="s">
        <v>5557</v>
      </c>
      <c r="B557" t="s">
        <v>7596</v>
      </c>
      <c r="C557" t="s">
        <v>5558</v>
      </c>
      <c r="D557" s="3" t="s">
        <v>4031</v>
      </c>
      <c r="E557" s="3" t="s">
        <v>495</v>
      </c>
      <c r="G557" t="s">
        <v>558</v>
      </c>
      <c r="H557" t="s">
        <v>12</v>
      </c>
      <c r="I557" s="17">
        <v>1.0241261179099099</v>
      </c>
      <c r="J557" s="17">
        <v>0.80482469358513498</v>
      </c>
      <c r="K557" s="21">
        <v>6</v>
      </c>
      <c r="L557" s="27">
        <v>3666749.7574172998</v>
      </c>
      <c r="M557" s="22">
        <v>6.8776312190783296E-3</v>
      </c>
      <c r="N557" s="21">
        <v>4</v>
      </c>
      <c r="O557" s="27">
        <v>2565673.9001014601</v>
      </c>
      <c r="P557" s="22">
        <v>4.8545156089131111E-3</v>
      </c>
      <c r="Q557" s="21">
        <v>6</v>
      </c>
      <c r="R557" s="27">
        <v>4384172.7298521977</v>
      </c>
      <c r="S557" s="22">
        <v>8.3440237047211849E-3</v>
      </c>
      <c r="T557" s="23">
        <v>8</v>
      </c>
      <c r="U557" s="28">
        <v>4152221.1661158805</v>
      </c>
      <c r="V557" s="24">
        <v>7.7751922246988465E-3</v>
      </c>
      <c r="W557" s="23">
        <v>2</v>
      </c>
      <c r="X557" s="28">
        <v>3924268.8528655833</v>
      </c>
      <c r="Y557" s="24">
        <v>7.1883273705228333E-3</v>
      </c>
      <c r="Z557" s="23">
        <v>2</v>
      </c>
      <c r="AA557" s="28">
        <v>3711415.2343554711</v>
      </c>
      <c r="AB557" s="24">
        <v>6.900119416596147E-3</v>
      </c>
      <c r="AC557" s="17" t="s">
        <v>8084</v>
      </c>
      <c r="AD557" s="20">
        <v>2.3513369776524158</v>
      </c>
      <c r="AF557" s="17" t="s">
        <v>8084</v>
      </c>
      <c r="AG557" s="20">
        <v>2.0995246701119066</v>
      </c>
      <c r="AI557" s="47" t="s">
        <v>8087</v>
      </c>
      <c r="AJ557" s="20">
        <v>89.290675478088232</v>
      </c>
    </row>
    <row r="558" spans="1:36" x14ac:dyDescent="0.25">
      <c r="A558" t="s">
        <v>5607</v>
      </c>
      <c r="B558" t="s">
        <v>7613</v>
      </c>
      <c r="C558" t="s">
        <v>5609</v>
      </c>
      <c r="D558" s="3" t="s">
        <v>5608</v>
      </c>
      <c r="E558" s="3" t="s">
        <v>495</v>
      </c>
      <c r="G558" t="s">
        <v>558</v>
      </c>
      <c r="H558" t="s">
        <v>12</v>
      </c>
      <c r="I558" s="17">
        <v>1.0052872971957501</v>
      </c>
      <c r="J558" s="17">
        <v>0.95188197938950403</v>
      </c>
      <c r="K558" s="21">
        <v>56</v>
      </c>
      <c r="L558" s="27">
        <v>134921150.99617201</v>
      </c>
      <c r="M558" s="22">
        <v>0.16052836336947843</v>
      </c>
      <c r="N558" s="21">
        <v>41</v>
      </c>
      <c r="O558" s="27">
        <v>114450210.96978413</v>
      </c>
      <c r="P558" s="22">
        <v>0.13736470900887093</v>
      </c>
      <c r="Q558" s="21">
        <v>60</v>
      </c>
      <c r="R558" s="27">
        <v>148076281.46425945</v>
      </c>
      <c r="S558" s="22">
        <v>0.1787670608830805</v>
      </c>
      <c r="T558" s="23">
        <v>55</v>
      </c>
      <c r="U558" s="28">
        <v>155442121.97013268</v>
      </c>
      <c r="V558" s="24">
        <v>0.18463477456862462</v>
      </c>
      <c r="W558" s="23">
        <v>49</v>
      </c>
      <c r="X558" s="28">
        <v>136160129.7858693</v>
      </c>
      <c r="Y558" s="24">
        <v>0.15820972592532195</v>
      </c>
      <c r="Z558" s="23">
        <v>55</v>
      </c>
      <c r="AA558" s="28">
        <v>140446149.34287989</v>
      </c>
      <c r="AB558" s="24">
        <v>0.16563077146016761</v>
      </c>
      <c r="AC558" s="17" t="s">
        <v>8085</v>
      </c>
      <c r="AD558" s="20">
        <v>0.27390633833705097</v>
      </c>
      <c r="AF558" s="17" t="s">
        <v>8085</v>
      </c>
      <c r="AG558" s="20">
        <v>0.12386197376876629</v>
      </c>
      <c r="AI558" s="17" t="s">
        <v>8086</v>
      </c>
      <c r="AJ558" s="20">
        <v>0.2204313178056643</v>
      </c>
    </row>
    <row r="559" spans="1:36" x14ac:dyDescent="0.25">
      <c r="A559" t="s">
        <v>5554</v>
      </c>
      <c r="B559" t="s">
        <v>7595</v>
      </c>
      <c r="C559" t="s">
        <v>5556</v>
      </c>
      <c r="D559" s="3" t="s">
        <v>5493</v>
      </c>
      <c r="E559" s="3" t="s">
        <v>495</v>
      </c>
      <c r="F559" t="s">
        <v>5555</v>
      </c>
      <c r="G559" t="s">
        <v>558</v>
      </c>
      <c r="H559" t="s">
        <v>12</v>
      </c>
      <c r="I559" s="17">
        <v>-1.04455638228631</v>
      </c>
      <c r="J559" s="17">
        <v>0.80385830781128897</v>
      </c>
      <c r="K559" s="21">
        <v>1</v>
      </c>
      <c r="L559" s="27">
        <v>796829.38626852003</v>
      </c>
      <c r="M559" s="22">
        <v>9.3930061602257313E-4</v>
      </c>
      <c r="N559" s="21">
        <v>2</v>
      </c>
      <c r="O559" s="27">
        <v>1268476.3870089566</v>
      </c>
      <c r="P559" s="22">
        <v>1.5083720787569647E-3</v>
      </c>
      <c r="Q559" s="21">
        <v>1</v>
      </c>
      <c r="R559" s="27">
        <v>870994.99050915369</v>
      </c>
      <c r="S559" s="22">
        <v>1.0418019883412506E-3</v>
      </c>
      <c r="T559" s="23">
        <v>2</v>
      </c>
      <c r="U559" s="28">
        <v>787942.41496663122</v>
      </c>
      <c r="V559" s="24">
        <v>9.2727123566630431E-4</v>
      </c>
      <c r="W559" s="23">
        <v>2</v>
      </c>
      <c r="X559" s="28">
        <v>968241.55251108401</v>
      </c>
      <c r="Y559" s="24">
        <v>1.1146395857834534E-3</v>
      </c>
      <c r="Z559" s="23">
        <v>1</v>
      </c>
      <c r="AA559" s="28">
        <v>1271948.5073865983</v>
      </c>
      <c r="AB559" s="24">
        <v>1.486169152823139E-3</v>
      </c>
    </row>
    <row r="560" spans="1:36" x14ac:dyDescent="0.25">
      <c r="A560" t="s">
        <v>5551</v>
      </c>
      <c r="B560" t="s">
        <v>7594</v>
      </c>
      <c r="C560" t="s">
        <v>5553</v>
      </c>
      <c r="D560" s="3" t="s">
        <v>5552</v>
      </c>
      <c r="E560" s="3" t="s">
        <v>495</v>
      </c>
      <c r="G560" t="s">
        <v>558</v>
      </c>
      <c r="H560" t="s">
        <v>12</v>
      </c>
      <c r="I560" s="17">
        <v>-1.04686512257232</v>
      </c>
      <c r="J560" s="17">
        <v>0.652955454774933</v>
      </c>
      <c r="K560" s="21">
        <v>24</v>
      </c>
      <c r="L560" s="27">
        <v>34731295.841485001</v>
      </c>
      <c r="M560" s="22">
        <v>4.4655590959558483E-2</v>
      </c>
      <c r="N560" s="21">
        <v>14</v>
      </c>
      <c r="O560" s="27">
        <v>31243812.057143778</v>
      </c>
      <c r="P560" s="22">
        <v>4.0523383799568102E-2</v>
      </c>
      <c r="Q560" s="21">
        <v>18</v>
      </c>
      <c r="R560" s="27">
        <v>34901518.20143988</v>
      </c>
      <c r="S560" s="22">
        <v>4.5533332051585933E-2</v>
      </c>
      <c r="T560" s="23">
        <v>22</v>
      </c>
      <c r="U560" s="28">
        <v>34279713.57728336</v>
      </c>
      <c r="V560" s="24">
        <v>4.4001256862680929E-2</v>
      </c>
      <c r="W560" s="23">
        <v>14</v>
      </c>
      <c r="X560" s="28">
        <v>33127911.92146869</v>
      </c>
      <c r="Y560" s="24">
        <v>4.1596845536928974E-2</v>
      </c>
      <c r="Z560" s="23">
        <v>14</v>
      </c>
      <c r="AA560" s="28">
        <v>37044740.286391266</v>
      </c>
      <c r="AB560" s="24">
        <v>4.7210745213443463E-2</v>
      </c>
    </row>
    <row r="561" spans="1:28" x14ac:dyDescent="0.25">
      <c r="A561" t="s">
        <v>5601</v>
      </c>
      <c r="B561" t="s">
        <v>7611</v>
      </c>
      <c r="C561" t="s">
        <v>5603</v>
      </c>
      <c r="D561" s="3" t="s">
        <v>5602</v>
      </c>
      <c r="E561" s="3" t="s">
        <v>495</v>
      </c>
      <c r="G561" t="s">
        <v>558</v>
      </c>
      <c r="H561" t="s">
        <v>12</v>
      </c>
      <c r="I561" s="17">
        <v>-1.06135941352526</v>
      </c>
      <c r="J561" s="17">
        <v>0.64234431071492204</v>
      </c>
      <c r="K561" s="21">
        <v>39</v>
      </c>
      <c r="L561" s="27">
        <v>69018457.328063205</v>
      </c>
      <c r="M561" s="22">
        <v>0.10236071775964223</v>
      </c>
      <c r="N561" s="21">
        <v>27</v>
      </c>
      <c r="O561" s="27">
        <v>58710972.004991017</v>
      </c>
      <c r="P561" s="22">
        <v>8.7836329164990151E-2</v>
      </c>
      <c r="Q561" s="21">
        <v>42</v>
      </c>
      <c r="R561" s="27">
        <v>72756395.741826952</v>
      </c>
      <c r="S561" s="22">
        <v>0.10948875334291752</v>
      </c>
      <c r="T561" s="23">
        <v>41</v>
      </c>
      <c r="U561" s="28">
        <v>74100679.403628394</v>
      </c>
      <c r="V561" s="24">
        <v>0.10971431810303441</v>
      </c>
      <c r="W561" s="23">
        <v>35</v>
      </c>
      <c r="X561" s="28">
        <v>66897253.249925472</v>
      </c>
      <c r="Y561" s="24">
        <v>9.6891982469994253E-2</v>
      </c>
      <c r="Z561" s="23">
        <v>31</v>
      </c>
      <c r="AA561" s="28">
        <v>63566121.85648603</v>
      </c>
      <c r="AB561" s="24">
        <v>9.3444391091246609E-2</v>
      </c>
    </row>
    <row r="562" spans="1:28" x14ac:dyDescent="0.25">
      <c r="A562" t="s">
        <v>5533</v>
      </c>
      <c r="B562" t="s">
        <v>7588</v>
      </c>
      <c r="C562" t="s">
        <v>5536</v>
      </c>
      <c r="D562" s="3" t="s">
        <v>5534</v>
      </c>
      <c r="E562" s="3" t="s">
        <v>495</v>
      </c>
      <c r="F562" t="s">
        <v>5535</v>
      </c>
      <c r="G562" t="s">
        <v>558</v>
      </c>
      <c r="H562" t="s">
        <v>12</v>
      </c>
      <c r="I562" s="17">
        <v>-1.0632951805439199</v>
      </c>
      <c r="J562" s="17">
        <v>0.45231271802279899</v>
      </c>
      <c r="K562" s="21">
        <v>17</v>
      </c>
      <c r="L562" s="27">
        <v>14380845.340869499</v>
      </c>
      <c r="M562" s="22">
        <v>1.7502079769666303E-2</v>
      </c>
      <c r="N562" s="21">
        <v>11</v>
      </c>
      <c r="O562" s="27">
        <v>13080730.522888938</v>
      </c>
      <c r="P562" s="22">
        <v>1.6059206199291062E-2</v>
      </c>
      <c r="Q562" s="21">
        <v>18</v>
      </c>
      <c r="R562" s="27">
        <v>14539185.117282871</v>
      </c>
      <c r="S562" s="22">
        <v>1.7954593173756771E-2</v>
      </c>
      <c r="T562" s="23">
        <v>13</v>
      </c>
      <c r="U562" s="28">
        <v>13825176.244143991</v>
      </c>
      <c r="V562" s="24">
        <v>1.679766684038559E-2</v>
      </c>
      <c r="W562" s="23">
        <v>13</v>
      </c>
      <c r="X562" s="28">
        <v>14744340.858835548</v>
      </c>
      <c r="Y562" s="24">
        <v>1.7524356783109468E-2</v>
      </c>
      <c r="Z562" s="23">
        <v>11</v>
      </c>
      <c r="AA562" s="28">
        <v>14342082.754026666</v>
      </c>
      <c r="AB562" s="24">
        <v>1.7301227423484392E-2</v>
      </c>
    </row>
    <row r="563" spans="1:28" x14ac:dyDescent="0.25">
      <c r="A563" t="s">
        <v>5604</v>
      </c>
      <c r="B563" t="s">
        <v>7612</v>
      </c>
      <c r="C563" t="s">
        <v>5606</v>
      </c>
      <c r="D563" s="3" t="s">
        <v>5605</v>
      </c>
      <c r="E563" s="3" t="s">
        <v>495</v>
      </c>
      <c r="G563" t="s">
        <v>558</v>
      </c>
      <c r="H563" t="s">
        <v>12</v>
      </c>
      <c r="I563" s="17">
        <v>-1.08144956150768</v>
      </c>
      <c r="J563" s="17">
        <v>0.64847558642891201</v>
      </c>
      <c r="K563" s="21">
        <v>40</v>
      </c>
      <c r="L563" s="27">
        <v>89475088.869303003</v>
      </c>
      <c r="M563" s="22">
        <v>0.10337120786023626</v>
      </c>
      <c r="N563" s="21">
        <v>22</v>
      </c>
      <c r="O563" s="27">
        <v>69317149.032525346</v>
      </c>
      <c r="P563" s="22">
        <v>8.078393000539108E-2</v>
      </c>
      <c r="Q563" s="21">
        <v>36</v>
      </c>
      <c r="R563" s="27">
        <v>97880123.11101152</v>
      </c>
      <c r="S563" s="22">
        <v>0.11474194809583878</v>
      </c>
      <c r="T563" s="23">
        <v>39</v>
      </c>
      <c r="U563" s="28">
        <v>84884109.105670944</v>
      </c>
      <c r="V563" s="24">
        <v>9.7903200900130896E-2</v>
      </c>
      <c r="W563" s="23">
        <v>28</v>
      </c>
      <c r="X563" s="28">
        <v>81553117.306762084</v>
      </c>
      <c r="Y563" s="24">
        <v>9.2013065469866456E-2</v>
      </c>
      <c r="Z563" s="23">
        <v>33</v>
      </c>
      <c r="AA563" s="28">
        <v>90954700.502527356</v>
      </c>
      <c r="AB563" s="24">
        <v>0.10415546167193404</v>
      </c>
    </row>
    <row r="564" spans="1:28" x14ac:dyDescent="0.25">
      <c r="A564" t="s">
        <v>5595</v>
      </c>
      <c r="B564" t="s">
        <v>7609</v>
      </c>
      <c r="C564" t="s">
        <v>5597</v>
      </c>
      <c r="D564" s="3" t="s">
        <v>5596</v>
      </c>
      <c r="E564" s="3" t="s">
        <v>495</v>
      </c>
      <c r="G564" t="s">
        <v>558</v>
      </c>
      <c r="H564" t="s">
        <v>12</v>
      </c>
      <c r="I564" s="17">
        <v>-1.1140209218186301</v>
      </c>
      <c r="J564" s="17">
        <v>0.51883403836905095</v>
      </c>
      <c r="K564" s="21">
        <v>20</v>
      </c>
      <c r="L564" s="27">
        <v>21145388.303599901</v>
      </c>
      <c r="M564" s="22">
        <v>3.050913717506238E-2</v>
      </c>
      <c r="N564" s="21">
        <v>13</v>
      </c>
      <c r="O564" s="27">
        <v>16804514.991135459</v>
      </c>
      <c r="P564" s="22">
        <v>2.4458345508683657E-2</v>
      </c>
      <c r="Q564" s="21">
        <v>19</v>
      </c>
      <c r="R564" s="27">
        <v>21509350.056305572</v>
      </c>
      <c r="S564" s="22">
        <v>3.1489938186917511E-2</v>
      </c>
      <c r="T564" s="23">
        <v>16</v>
      </c>
      <c r="U564" s="28">
        <v>21257281.751679208</v>
      </c>
      <c r="V564" s="24">
        <v>3.061928417468714E-2</v>
      </c>
      <c r="W564" s="23">
        <v>15</v>
      </c>
      <c r="X564" s="28">
        <v>16672147.418286392</v>
      </c>
      <c r="Y564" s="24">
        <v>2.3491853486335312E-2</v>
      </c>
      <c r="Z564" s="23">
        <v>16</v>
      </c>
      <c r="AA564" s="28">
        <v>19764592.139377635</v>
      </c>
      <c r="AB564" s="24">
        <v>2.8265818452717282E-2</v>
      </c>
    </row>
    <row r="565" spans="1:28" x14ac:dyDescent="0.25">
      <c r="A565" t="s">
        <v>5592</v>
      </c>
      <c r="B565" t="s">
        <v>7608</v>
      </c>
      <c r="C565" t="s">
        <v>5594</v>
      </c>
      <c r="D565" s="3" t="s">
        <v>5593</v>
      </c>
      <c r="E565" s="3" t="s">
        <v>495</v>
      </c>
      <c r="G565" t="s">
        <v>558</v>
      </c>
      <c r="H565" t="s">
        <v>12</v>
      </c>
      <c r="I565" s="17">
        <v>-1.1288986468131601</v>
      </c>
      <c r="J565" s="17">
        <v>0.49449325119111298</v>
      </c>
      <c r="K565" s="21">
        <v>39</v>
      </c>
      <c r="L565" s="27">
        <v>132999828.79086401</v>
      </c>
      <c r="M565" s="22">
        <v>0.17969898061690448</v>
      </c>
      <c r="N565" s="21">
        <v>27</v>
      </c>
      <c r="O565" s="27">
        <v>111000296.96611774</v>
      </c>
      <c r="P565" s="22">
        <v>0.15128835638217311</v>
      </c>
      <c r="Q565" s="21">
        <v>40</v>
      </c>
      <c r="R565" s="27">
        <v>171250230.38829139</v>
      </c>
      <c r="S565" s="22">
        <v>0.23477721992691655</v>
      </c>
      <c r="T565" s="23">
        <v>38</v>
      </c>
      <c r="U565" s="28">
        <v>136726542.91720811</v>
      </c>
      <c r="V565" s="24">
        <v>0.18442526163002698</v>
      </c>
      <c r="W565" s="23">
        <v>28</v>
      </c>
      <c r="X565" s="28">
        <v>124544648.27510834</v>
      </c>
      <c r="Y565" s="24">
        <v>0.16433538365276859</v>
      </c>
      <c r="Z565" s="23">
        <v>30</v>
      </c>
      <c r="AA565" s="28">
        <v>135711618.46218246</v>
      </c>
      <c r="AB565" s="24">
        <v>0.18174857273396661</v>
      </c>
    </row>
    <row r="566" spans="1:28" x14ac:dyDescent="0.25">
      <c r="A566" t="s">
        <v>5586</v>
      </c>
      <c r="B566" t="s">
        <v>7606</v>
      </c>
      <c r="C566" t="s">
        <v>5588</v>
      </c>
      <c r="D566" s="3" t="s">
        <v>5587</v>
      </c>
      <c r="E566" s="3" t="s">
        <v>495</v>
      </c>
      <c r="G566" t="s">
        <v>558</v>
      </c>
      <c r="H566" t="s">
        <v>12</v>
      </c>
      <c r="I566" s="17">
        <v>-1.1445112257211301</v>
      </c>
      <c r="J566" s="17">
        <v>0.24410379772917401</v>
      </c>
      <c r="K566" s="21">
        <v>41</v>
      </c>
      <c r="L566" s="27">
        <v>130135589.253942</v>
      </c>
      <c r="M566" s="22">
        <v>0.21279822745057761</v>
      </c>
      <c r="N566" s="21">
        <v>27</v>
      </c>
      <c r="O566" s="27">
        <v>115864103.26494782</v>
      </c>
      <c r="P566" s="22">
        <v>0.19112067048824752</v>
      </c>
      <c r="Q566" s="21">
        <v>37</v>
      </c>
      <c r="R566" s="27">
        <v>141014703.97671568</v>
      </c>
      <c r="S566" s="22">
        <v>0.23397345216796439</v>
      </c>
      <c r="T566" s="23">
        <v>36</v>
      </c>
      <c r="U566" s="28">
        <v>128249905.99035735</v>
      </c>
      <c r="V566" s="24">
        <v>0.20936400733034385</v>
      </c>
      <c r="W566" s="23">
        <v>28</v>
      </c>
      <c r="X566" s="28">
        <v>118502939.17791408</v>
      </c>
      <c r="Y566" s="24">
        <v>0.18923981998400738</v>
      </c>
      <c r="Z566" s="23">
        <v>33</v>
      </c>
      <c r="AA566" s="28">
        <v>119172014.7468829</v>
      </c>
      <c r="AB566" s="24">
        <v>0.19315486558095724</v>
      </c>
    </row>
    <row r="567" spans="1:28" x14ac:dyDescent="0.25">
      <c r="A567" t="s">
        <v>5571</v>
      </c>
      <c r="B567" t="s">
        <v>7601</v>
      </c>
      <c r="C567" t="s">
        <v>5573</v>
      </c>
      <c r="D567" s="3" t="s">
        <v>5572</v>
      </c>
      <c r="E567" s="3" t="s">
        <v>495</v>
      </c>
      <c r="G567" t="s">
        <v>558</v>
      </c>
      <c r="H567" t="s">
        <v>12</v>
      </c>
      <c r="I567" s="17">
        <v>-1.1456511047445701</v>
      </c>
      <c r="J567" s="17">
        <v>0.13504776906114399</v>
      </c>
      <c r="K567" s="21">
        <v>51</v>
      </c>
      <c r="L567" s="27">
        <v>173632315.13861099</v>
      </c>
      <c r="M567" s="22">
        <v>0.25691520983609784</v>
      </c>
      <c r="N567" s="21">
        <v>34</v>
      </c>
      <c r="O567" s="27">
        <v>163298983.72169557</v>
      </c>
      <c r="P567" s="22">
        <v>0.24374155327668576</v>
      </c>
      <c r="Q567" s="21">
        <v>54</v>
      </c>
      <c r="R567" s="27">
        <v>185187900.48711652</v>
      </c>
      <c r="S567" s="22">
        <v>0.27803670160505467</v>
      </c>
      <c r="T567" s="23">
        <v>49</v>
      </c>
      <c r="U567" s="28">
        <v>168312776.39821079</v>
      </c>
      <c r="V567" s="24">
        <v>0.24862762859060245</v>
      </c>
      <c r="W567" s="23">
        <v>38</v>
      </c>
      <c r="X567" s="28">
        <v>165354003.30425462</v>
      </c>
      <c r="Y567" s="24">
        <v>0.23893812693443145</v>
      </c>
      <c r="Z567" s="23">
        <v>47</v>
      </c>
      <c r="AA567" s="28">
        <v>159946944.27944386</v>
      </c>
      <c r="AB567" s="24">
        <v>0.23458198407268779</v>
      </c>
    </row>
    <row r="568" spans="1:28" x14ac:dyDescent="0.25">
      <c r="A568" t="s">
        <v>5527</v>
      </c>
      <c r="B568" t="s">
        <v>7586</v>
      </c>
      <c r="C568" t="s">
        <v>5529</v>
      </c>
      <c r="D568" s="3" t="s">
        <v>5528</v>
      </c>
      <c r="E568" s="3" t="s">
        <v>495</v>
      </c>
      <c r="G568" t="s">
        <v>558</v>
      </c>
      <c r="H568" t="s">
        <v>12</v>
      </c>
      <c r="I568" s="17">
        <v>-1.1748399563459699</v>
      </c>
      <c r="J568" s="17">
        <v>0.28491505939677397</v>
      </c>
      <c r="K568" s="21">
        <v>29</v>
      </c>
      <c r="L568" s="27">
        <v>39816277.426879197</v>
      </c>
      <c r="M568" s="22">
        <v>5.0481145235268032E-2</v>
      </c>
      <c r="N568" s="21">
        <v>24</v>
      </c>
      <c r="O568" s="27">
        <v>34366630.665818401</v>
      </c>
      <c r="P568" s="22">
        <v>4.3953385605684625E-2</v>
      </c>
      <c r="Q568" s="21">
        <v>33</v>
      </c>
      <c r="R568" s="27">
        <v>44309666.572141908</v>
      </c>
      <c r="S568" s="22">
        <v>5.7002944107044498E-2</v>
      </c>
      <c r="T568" s="23">
        <v>25</v>
      </c>
      <c r="U568" s="28">
        <v>38276041.200937264</v>
      </c>
      <c r="V568" s="24">
        <v>4.8447191090295709E-2</v>
      </c>
      <c r="W568" s="23">
        <v>17</v>
      </c>
      <c r="X568" s="28">
        <v>32084927.189095978</v>
      </c>
      <c r="Y568" s="24">
        <v>3.9726571335031831E-2</v>
      </c>
      <c r="Z568" s="23">
        <v>21</v>
      </c>
      <c r="AA568" s="28">
        <v>38515699.585938819</v>
      </c>
      <c r="AB568" s="24">
        <v>4.8402275964525267E-2</v>
      </c>
    </row>
    <row r="569" spans="1:28" x14ac:dyDescent="0.25">
      <c r="A569" t="s">
        <v>5542</v>
      </c>
      <c r="B569" t="s">
        <v>7591</v>
      </c>
      <c r="C569" t="s">
        <v>5544</v>
      </c>
      <c r="D569" s="3" t="s">
        <v>5543</v>
      </c>
      <c r="E569" s="3" t="s">
        <v>495</v>
      </c>
      <c r="G569" t="s">
        <v>558</v>
      </c>
      <c r="H569" t="s">
        <v>12</v>
      </c>
      <c r="I569" s="17">
        <v>-1.17856446826621</v>
      </c>
      <c r="J569" s="17">
        <v>0.56043145959414697</v>
      </c>
      <c r="K569" s="21">
        <v>19</v>
      </c>
      <c r="L569" s="27">
        <v>54616217.551229201</v>
      </c>
      <c r="M569" s="22">
        <v>9.7564075556473048E-2</v>
      </c>
      <c r="N569" s="21">
        <v>15</v>
      </c>
      <c r="O569" s="27">
        <v>34178220.270853989</v>
      </c>
      <c r="P569" s="22">
        <v>6.1589203961901984E-2</v>
      </c>
      <c r="Q569" s="21">
        <v>18</v>
      </c>
      <c r="R569" s="27">
        <v>58472351.063062474</v>
      </c>
      <c r="S569" s="22">
        <v>0.10598615333240835</v>
      </c>
      <c r="T569" s="23">
        <v>16</v>
      </c>
      <c r="U569" s="28">
        <v>48844259.094398178</v>
      </c>
      <c r="V569" s="24">
        <v>8.7107366518517124E-2</v>
      </c>
      <c r="W569" s="23">
        <v>14</v>
      </c>
      <c r="X569" s="28">
        <v>36935666.160598323</v>
      </c>
      <c r="Y569" s="24">
        <v>6.4435578403069946E-2</v>
      </c>
      <c r="Z569" s="23">
        <v>18</v>
      </c>
      <c r="AA569" s="28">
        <v>49443864.315118916</v>
      </c>
      <c r="AB569" s="24">
        <v>8.7546778083388579E-2</v>
      </c>
    </row>
    <row r="570" spans="1:28" x14ac:dyDescent="0.25">
      <c r="A570" t="s">
        <v>5562</v>
      </c>
      <c r="B570" t="s">
        <v>7598</v>
      </c>
      <c r="C570" t="s">
        <v>5564</v>
      </c>
      <c r="D570" s="3" t="s">
        <v>5563</v>
      </c>
      <c r="E570" s="3" t="s">
        <v>495</v>
      </c>
      <c r="G570" t="s">
        <v>558</v>
      </c>
      <c r="H570" t="s">
        <v>172</v>
      </c>
      <c r="I570" s="17">
        <v>-1.18471281565631</v>
      </c>
      <c r="J570" s="17">
        <v>3.9779993557181599E-2</v>
      </c>
      <c r="K570" s="21">
        <v>28</v>
      </c>
      <c r="L570" s="27">
        <v>68889326.509150103</v>
      </c>
      <c r="M570" s="22">
        <v>9.1526579374295383E-2</v>
      </c>
      <c r="N570" s="21">
        <v>21</v>
      </c>
      <c r="O570" s="27">
        <v>80473339.280846447</v>
      </c>
      <c r="P570" s="22">
        <v>0.10785347642357036</v>
      </c>
      <c r="Q570" s="21">
        <v>34</v>
      </c>
      <c r="R570" s="27">
        <v>74026779.120379061</v>
      </c>
      <c r="S570" s="22">
        <v>9.979629228279592E-2</v>
      </c>
      <c r="T570" s="23">
        <v>29</v>
      </c>
      <c r="U570" s="28">
        <v>68170065.04804568</v>
      </c>
      <c r="V570" s="24">
        <v>9.0419488296509851E-2</v>
      </c>
      <c r="W570" s="23">
        <v>26</v>
      </c>
      <c r="X570" s="28">
        <v>65876818.707028829</v>
      </c>
      <c r="Y570" s="24">
        <v>8.5475055616958409E-2</v>
      </c>
      <c r="Z570" s="23">
        <v>26</v>
      </c>
      <c r="AA570" s="28">
        <v>69390492.050227687</v>
      </c>
      <c r="AB570" s="24">
        <v>9.1380747773154442E-2</v>
      </c>
    </row>
    <row r="571" spans="1:28" x14ac:dyDescent="0.25">
      <c r="A571" t="s">
        <v>5589</v>
      </c>
      <c r="B571" t="s">
        <v>7607</v>
      </c>
      <c r="C571" t="s">
        <v>5591</v>
      </c>
      <c r="D571" s="3" t="s">
        <v>5590</v>
      </c>
      <c r="E571" s="3" t="s">
        <v>495</v>
      </c>
      <c r="G571" t="s">
        <v>558</v>
      </c>
      <c r="H571" t="s">
        <v>12</v>
      </c>
      <c r="I571" s="17">
        <v>-1.1940809590266199</v>
      </c>
      <c r="J571" s="17">
        <v>0.316079182309842</v>
      </c>
      <c r="K571" s="21">
        <v>44</v>
      </c>
      <c r="L571" s="27">
        <v>72066333.575076297</v>
      </c>
      <c r="M571" s="22">
        <v>6.0392679810343276E-2</v>
      </c>
      <c r="N571" s="21">
        <v>21</v>
      </c>
      <c r="O571" s="27">
        <v>57416428.781319134</v>
      </c>
      <c r="P571" s="22">
        <v>4.8537218227965924E-2</v>
      </c>
      <c r="Q571" s="21">
        <v>44</v>
      </c>
      <c r="R571" s="27">
        <v>77070991.849134788</v>
      </c>
      <c r="S571" s="22">
        <v>6.5534966415922769E-2</v>
      </c>
      <c r="T571" s="23">
        <v>27</v>
      </c>
      <c r="U571" s="28">
        <v>63250375.227753915</v>
      </c>
      <c r="V571" s="24">
        <v>5.2916123748060866E-2</v>
      </c>
      <c r="W571" s="23">
        <v>19</v>
      </c>
      <c r="X571" s="28">
        <v>53869442.025526814</v>
      </c>
      <c r="Y571" s="24">
        <v>4.4086521294406662E-2</v>
      </c>
      <c r="Z571" s="23">
        <v>32</v>
      </c>
      <c r="AA571" s="28">
        <v>69965944.640455216</v>
      </c>
      <c r="AB571" s="24">
        <v>5.8116308864750117E-2</v>
      </c>
    </row>
    <row r="572" spans="1:28" x14ac:dyDescent="0.25">
      <c r="A572" t="s">
        <v>5515</v>
      </c>
      <c r="B572" t="s">
        <v>7582</v>
      </c>
      <c r="C572" t="s">
        <v>5517</v>
      </c>
      <c r="D572" s="3" t="s">
        <v>5488</v>
      </c>
      <c r="E572" s="3" t="s">
        <v>495</v>
      </c>
      <c r="F572" t="s">
        <v>5516</v>
      </c>
      <c r="G572" t="s">
        <v>558</v>
      </c>
      <c r="H572" t="s">
        <v>12</v>
      </c>
      <c r="I572" s="17">
        <v>-1.2011734352224499</v>
      </c>
      <c r="J572" s="17">
        <v>0.168304128617312</v>
      </c>
      <c r="K572" s="21">
        <v>6</v>
      </c>
      <c r="L572" s="27">
        <v>4019178.8867591298</v>
      </c>
      <c r="M572" s="22">
        <v>5.167639272072015E-3</v>
      </c>
      <c r="N572" s="21">
        <v>4</v>
      </c>
      <c r="O572" s="27">
        <v>3737583.1191233806</v>
      </c>
      <c r="P572" s="22">
        <v>4.847664393256808E-3</v>
      </c>
      <c r="Q572" s="21">
        <v>4</v>
      </c>
      <c r="R572" s="27">
        <v>4578286.4441268602</v>
      </c>
      <c r="S572" s="22">
        <v>5.9729389330433948E-3</v>
      </c>
      <c r="T572" s="23">
        <v>5</v>
      </c>
      <c r="U572" s="28">
        <v>3897640.0615450856</v>
      </c>
      <c r="V572" s="24">
        <v>5.0029899205450753E-3</v>
      </c>
      <c r="W572" s="23">
        <v>3</v>
      </c>
      <c r="X572" s="28">
        <v>3336132.5281686112</v>
      </c>
      <c r="Y572" s="24">
        <v>4.1889929493268748E-3</v>
      </c>
      <c r="Z572" s="23">
        <v>4</v>
      </c>
      <c r="AA572" s="28">
        <v>3842091.7917689099</v>
      </c>
      <c r="AB572" s="24">
        <v>4.8964580468255862E-3</v>
      </c>
    </row>
    <row r="573" spans="1:28" x14ac:dyDescent="0.25">
      <c r="A573" t="s">
        <v>5580</v>
      </c>
      <c r="B573" t="s">
        <v>7604</v>
      </c>
      <c r="C573" t="s">
        <v>5582</v>
      </c>
      <c r="D573" s="3" t="s">
        <v>5581</v>
      </c>
      <c r="E573" s="3" t="s">
        <v>495</v>
      </c>
      <c r="G573" t="s">
        <v>558</v>
      </c>
      <c r="H573" t="s">
        <v>12</v>
      </c>
      <c r="I573" s="17">
        <v>-1.2017996550556</v>
      </c>
      <c r="J573" s="17">
        <v>0.2298338935724</v>
      </c>
      <c r="K573" s="21">
        <v>28</v>
      </c>
      <c r="L573" s="27">
        <v>43109134.953197502</v>
      </c>
      <c r="M573" s="22">
        <v>5.6451680799756196E-2</v>
      </c>
      <c r="N573" s="21">
        <v>22</v>
      </c>
      <c r="O573" s="27">
        <v>35892390.734147958</v>
      </c>
      <c r="P573" s="22">
        <v>4.7412929333839525E-2</v>
      </c>
      <c r="Q573" s="21">
        <v>27</v>
      </c>
      <c r="R573" s="27">
        <v>45457801.255413331</v>
      </c>
      <c r="S573" s="22">
        <v>6.040129559160811E-2</v>
      </c>
      <c r="T573" s="23">
        <v>27</v>
      </c>
      <c r="U573" s="28">
        <v>39744467.860267572</v>
      </c>
      <c r="V573" s="24">
        <v>5.1958583080157474E-2</v>
      </c>
      <c r="W573" s="23">
        <v>20</v>
      </c>
      <c r="X573" s="28">
        <v>33855605.702391185</v>
      </c>
      <c r="Y573" s="24">
        <v>4.329618573828193E-2</v>
      </c>
      <c r="Z573" s="23">
        <v>25</v>
      </c>
      <c r="AA573" s="28">
        <v>38400849.674071066</v>
      </c>
      <c r="AB573" s="24">
        <v>4.9843421925865869E-2</v>
      </c>
    </row>
    <row r="574" spans="1:28" x14ac:dyDescent="0.25">
      <c r="A574" t="s">
        <v>5537</v>
      </c>
      <c r="B574" t="s">
        <v>7589</v>
      </c>
      <c r="C574" t="s">
        <v>5538</v>
      </c>
      <c r="D574" s="3" t="s">
        <v>4031</v>
      </c>
      <c r="E574" s="3" t="s">
        <v>495</v>
      </c>
      <c r="G574" t="s">
        <v>558</v>
      </c>
      <c r="H574" t="s">
        <v>12</v>
      </c>
      <c r="I574" s="17">
        <v>-1.2150747945451501</v>
      </c>
      <c r="J574" s="17">
        <v>0.48006490816783298</v>
      </c>
      <c r="K574" s="21">
        <v>13</v>
      </c>
      <c r="L574" s="27">
        <v>18888297.3179846</v>
      </c>
      <c r="M574" s="22">
        <v>3.4914855213573397E-2</v>
      </c>
      <c r="N574" s="21">
        <v>8</v>
      </c>
      <c r="O574" s="27">
        <v>13139029.647922141</v>
      </c>
      <c r="P574" s="22">
        <v>2.4500083254571349E-2</v>
      </c>
      <c r="Q574" s="21">
        <v>12</v>
      </c>
      <c r="R574" s="27">
        <v>24843297.496014189</v>
      </c>
      <c r="S574" s="22">
        <v>4.6596890338344125E-2</v>
      </c>
      <c r="T574" s="23">
        <v>10</v>
      </c>
      <c r="U574" s="28">
        <v>18919587.038241901</v>
      </c>
      <c r="V574" s="24">
        <v>3.4914202910636641E-2</v>
      </c>
      <c r="W574" s="23">
        <v>9</v>
      </c>
      <c r="X574" s="28">
        <v>15099250.897434773</v>
      </c>
      <c r="Y574" s="24">
        <v>2.7257393115128075E-2</v>
      </c>
      <c r="Z574" s="23">
        <v>10</v>
      </c>
      <c r="AA574" s="28">
        <v>16437459.056113536</v>
      </c>
      <c r="AB574" s="24">
        <v>3.0116990145536381E-2</v>
      </c>
    </row>
    <row r="575" spans="1:28" x14ac:dyDescent="0.25">
      <c r="A575" t="s">
        <v>5583</v>
      </c>
      <c r="B575" t="s">
        <v>7605</v>
      </c>
      <c r="C575" t="s">
        <v>5585</v>
      </c>
      <c r="D575" s="3" t="s">
        <v>5584</v>
      </c>
      <c r="E575" s="3" t="s">
        <v>495</v>
      </c>
      <c r="G575" t="s">
        <v>558</v>
      </c>
      <c r="H575" t="s">
        <v>172</v>
      </c>
      <c r="I575" s="17">
        <v>-1.2371309482612101</v>
      </c>
      <c r="J575" s="17">
        <v>0.23546913812362899</v>
      </c>
      <c r="K575" s="21">
        <v>12</v>
      </c>
      <c r="L575" s="27">
        <v>15576994.4990659</v>
      </c>
      <c r="M575" s="22">
        <v>2.774835040414762E-2</v>
      </c>
      <c r="N575" s="21">
        <v>6</v>
      </c>
      <c r="O575" s="27">
        <v>11847654.857786538</v>
      </c>
      <c r="P575" s="22">
        <v>2.1289856292470218E-2</v>
      </c>
      <c r="Q575" s="21">
        <v>14</v>
      </c>
      <c r="R575" s="27">
        <v>16040150.69987666</v>
      </c>
      <c r="S575" s="22">
        <v>2.8992936708812499E-2</v>
      </c>
      <c r="T575" s="23">
        <v>9</v>
      </c>
      <c r="U575" s="28">
        <v>13227975.455549572</v>
      </c>
      <c r="V575" s="24">
        <v>2.3524474333712766E-2</v>
      </c>
      <c r="W575" s="23">
        <v>4</v>
      </c>
      <c r="X575" s="28">
        <v>11586364.705511501</v>
      </c>
      <c r="Y575" s="24">
        <v>2.0156363380741324E-2</v>
      </c>
      <c r="Z575" s="23">
        <v>8</v>
      </c>
      <c r="AA575" s="28">
        <v>13265009.386792667</v>
      </c>
      <c r="AB575" s="24">
        <v>2.3421813195202409E-2</v>
      </c>
    </row>
    <row r="576" spans="1:28" x14ac:dyDescent="0.25">
      <c r="A576" t="s">
        <v>5574</v>
      </c>
      <c r="B576" t="s">
        <v>7602</v>
      </c>
      <c r="C576" t="s">
        <v>5576</v>
      </c>
      <c r="D576" s="3" t="s">
        <v>5575</v>
      </c>
      <c r="E576" s="3" t="s">
        <v>495</v>
      </c>
      <c r="G576" t="s">
        <v>558</v>
      </c>
      <c r="H576" t="s">
        <v>12</v>
      </c>
      <c r="I576" s="17">
        <v>-1.2435784722988601</v>
      </c>
      <c r="J576" s="17">
        <v>0.151274116629982</v>
      </c>
      <c r="K576" s="21">
        <v>38</v>
      </c>
      <c r="L576" s="27">
        <v>35402671.664737299</v>
      </c>
      <c r="M576" s="22">
        <v>2.5141792101241379E-2</v>
      </c>
      <c r="N576" s="21">
        <v>29</v>
      </c>
      <c r="O576" s="27">
        <v>36263832.923926525</v>
      </c>
      <c r="P576" s="22">
        <v>2.5978898379127376E-2</v>
      </c>
      <c r="Q576" s="21">
        <v>40</v>
      </c>
      <c r="R576" s="27">
        <v>43283338.633242756</v>
      </c>
      <c r="S576" s="22">
        <v>3.1189700585962335E-2</v>
      </c>
      <c r="T576" s="23">
        <v>26</v>
      </c>
      <c r="U576" s="28">
        <v>33475116.408510502</v>
      </c>
      <c r="V576" s="24">
        <v>2.3733147216910683E-2</v>
      </c>
      <c r="W576" s="23">
        <v>22</v>
      </c>
      <c r="X576" s="28">
        <v>27986372.343595814</v>
      </c>
      <c r="Y576" s="24">
        <v>1.9409675843509663E-2</v>
      </c>
      <c r="Z576" s="23">
        <v>29</v>
      </c>
      <c r="AA576" s="28">
        <v>37911202.608862698</v>
      </c>
      <c r="AB576" s="24">
        <v>2.668622862762254E-2</v>
      </c>
    </row>
    <row r="577" spans="1:28" x14ac:dyDescent="0.25">
      <c r="A577" t="s">
        <v>5545</v>
      </c>
      <c r="B577" t="s">
        <v>7592</v>
      </c>
      <c r="C577" t="s">
        <v>5547</v>
      </c>
      <c r="D577" s="3" t="s">
        <v>5546</v>
      </c>
      <c r="E577" s="3" t="s">
        <v>495</v>
      </c>
      <c r="G577" t="s">
        <v>558</v>
      </c>
      <c r="H577" t="s">
        <v>12</v>
      </c>
      <c r="I577" s="17">
        <v>-1.25182092380889</v>
      </c>
      <c r="J577" s="17">
        <v>0.60767301940289997</v>
      </c>
      <c r="K577" s="21">
        <v>3</v>
      </c>
      <c r="L577" s="27">
        <v>1179625.9456909699</v>
      </c>
      <c r="M577" s="22">
        <v>1.7617852570647689E-3</v>
      </c>
      <c r="N577" s="21">
        <v>1</v>
      </c>
      <c r="O577" s="27">
        <v>567152.20094376768</v>
      </c>
      <c r="P577" s="22">
        <v>8.5446663542068971E-4</v>
      </c>
      <c r="Q577" s="21">
        <v>2</v>
      </c>
      <c r="R577" s="27">
        <v>1292935.662527567</v>
      </c>
      <c r="S577" s="22">
        <v>1.9593671811277027E-3</v>
      </c>
      <c r="T577" s="23">
        <v>2</v>
      </c>
      <c r="U577" s="28">
        <v>1109082.7925686035</v>
      </c>
      <c r="V577" s="24">
        <v>1.653657885469824E-3</v>
      </c>
      <c r="W577" s="23">
        <v>1</v>
      </c>
      <c r="X577" s="28">
        <v>829261.8363749237</v>
      </c>
      <c r="Y577" s="24">
        <v>1.2095165499544096E-3</v>
      </c>
      <c r="Z577" s="23">
        <v>1</v>
      </c>
      <c r="AA577" s="28">
        <v>696401.20787125581</v>
      </c>
      <c r="AB577" s="24">
        <v>1.0309262987621649E-3</v>
      </c>
    </row>
    <row r="578" spans="1:28" x14ac:dyDescent="0.25">
      <c r="A578" t="s">
        <v>5505</v>
      </c>
      <c r="B578" t="s">
        <v>7579</v>
      </c>
      <c r="C578" t="s">
        <v>5508</v>
      </c>
      <c r="D578" s="3" t="s">
        <v>5506</v>
      </c>
      <c r="E578" s="3" t="s">
        <v>495</v>
      </c>
      <c r="F578" t="s">
        <v>5507</v>
      </c>
      <c r="G578" t="s">
        <v>558</v>
      </c>
      <c r="H578" t="s">
        <v>12</v>
      </c>
      <c r="I578" s="17">
        <v>-1.25901594527753</v>
      </c>
      <c r="J578" s="17">
        <v>0.118723517342028</v>
      </c>
      <c r="K578" s="21">
        <v>59</v>
      </c>
      <c r="L578" s="27">
        <v>190882925.046624</v>
      </c>
      <c r="M578" s="22">
        <v>0.14491866530841194</v>
      </c>
      <c r="N578" s="21">
        <v>41</v>
      </c>
      <c r="O578" s="27">
        <v>188153908.29365245</v>
      </c>
      <c r="P578" s="22">
        <v>0.14409779006848253</v>
      </c>
      <c r="Q578" s="21">
        <v>72</v>
      </c>
      <c r="R578" s="27">
        <v>255653742.12582186</v>
      </c>
      <c r="S578" s="22">
        <v>0.19694259583618645</v>
      </c>
      <c r="T578" s="23">
        <v>54</v>
      </c>
      <c r="U578" s="28">
        <v>190381120.47902721</v>
      </c>
      <c r="V578" s="24">
        <v>0.14429595816536137</v>
      </c>
      <c r="W578" s="23">
        <v>46</v>
      </c>
      <c r="X578" s="28">
        <v>169129862.42616841</v>
      </c>
      <c r="Y578" s="24">
        <v>0.12539754114336624</v>
      </c>
      <c r="Z578" s="23">
        <v>45</v>
      </c>
      <c r="AA578" s="28">
        <v>182839371.61126927</v>
      </c>
      <c r="AB578" s="24">
        <v>0.13758985463737194</v>
      </c>
    </row>
    <row r="579" spans="1:28" x14ac:dyDescent="0.25">
      <c r="A579" t="s">
        <v>5568</v>
      </c>
      <c r="B579" t="s">
        <v>7600</v>
      </c>
      <c r="C579" t="s">
        <v>5570</v>
      </c>
      <c r="D579" s="3" t="s">
        <v>5569</v>
      </c>
      <c r="E579" s="3" t="s">
        <v>495</v>
      </c>
      <c r="G579" t="s">
        <v>558</v>
      </c>
      <c r="H579" t="s">
        <v>12</v>
      </c>
      <c r="I579" s="17">
        <v>-1.2652749782378601</v>
      </c>
      <c r="J579" s="17">
        <v>0.11218240300663999</v>
      </c>
      <c r="K579" s="21">
        <v>59</v>
      </c>
      <c r="L579" s="27">
        <v>116897929.844989</v>
      </c>
      <c r="M579" s="22">
        <v>8.9494912770923779E-2</v>
      </c>
      <c r="N579" s="21">
        <v>40</v>
      </c>
      <c r="O579" s="27">
        <v>115873171.63146502</v>
      </c>
      <c r="P579" s="22">
        <v>8.9487269270574016E-2</v>
      </c>
      <c r="Q579" s="21">
        <v>58</v>
      </c>
      <c r="R579" s="27">
        <v>132804381.17799455</v>
      </c>
      <c r="S579" s="22">
        <v>0.10316542960058542</v>
      </c>
      <c r="T579" s="23">
        <v>48</v>
      </c>
      <c r="U579" s="28">
        <v>107863950.89816098</v>
      </c>
      <c r="V579" s="24">
        <v>8.2440553002170375E-2</v>
      </c>
      <c r="W579" s="23">
        <v>40</v>
      </c>
      <c r="X579" s="28">
        <v>88665142.364868388</v>
      </c>
      <c r="Y579" s="24">
        <v>6.629120684322809E-2</v>
      </c>
      <c r="Z579" s="23">
        <v>39</v>
      </c>
      <c r="AA579" s="28">
        <v>114515896.23438045</v>
      </c>
      <c r="AB579" s="24">
        <v>8.689939498796187E-2</v>
      </c>
    </row>
    <row r="580" spans="1:28" x14ac:dyDescent="0.25">
      <c r="A580" t="s">
        <v>5524</v>
      </c>
      <c r="B580" t="s">
        <v>7585</v>
      </c>
      <c r="C580" t="s">
        <v>5526</v>
      </c>
      <c r="D580" s="3" t="s">
        <v>5525</v>
      </c>
      <c r="E580" s="3" t="s">
        <v>495</v>
      </c>
      <c r="G580" t="s">
        <v>558</v>
      </c>
      <c r="H580" t="s">
        <v>12</v>
      </c>
      <c r="I580" s="17">
        <v>-1.27068883380714</v>
      </c>
      <c r="J580" s="17">
        <v>0.248971855407843</v>
      </c>
      <c r="K580" s="21">
        <v>4</v>
      </c>
      <c r="L580" s="27">
        <v>2257777.4060131898</v>
      </c>
      <c r="M580" s="22">
        <v>6.2875604072283771E-3</v>
      </c>
      <c r="N580" s="21">
        <v>3</v>
      </c>
      <c r="O580" s="27">
        <v>1574523.2994765642</v>
      </c>
      <c r="P580" s="22">
        <v>4.4232040226915492E-3</v>
      </c>
      <c r="Q580" s="21">
        <v>4</v>
      </c>
      <c r="R580" s="27">
        <v>2333556.6669757203</v>
      </c>
      <c r="S580" s="22">
        <v>6.594010875684217E-3</v>
      </c>
      <c r="T580" s="23">
        <v>2</v>
      </c>
      <c r="U580" s="28">
        <v>1884615.9901399277</v>
      </c>
      <c r="V580" s="24">
        <v>5.2395858807754974E-3</v>
      </c>
      <c r="W580" s="23">
        <v>1</v>
      </c>
      <c r="X580" s="28">
        <v>1813574.0230581756</v>
      </c>
      <c r="Y580" s="24">
        <v>4.9322810482180721E-3</v>
      </c>
      <c r="Z580" s="23">
        <v>2</v>
      </c>
      <c r="AA580" s="28">
        <v>1580755.741201685</v>
      </c>
      <c r="AB580" s="24">
        <v>4.363402371589809E-3</v>
      </c>
    </row>
    <row r="581" spans="1:28" x14ac:dyDescent="0.25">
      <c r="A581" t="s">
        <v>5598</v>
      </c>
      <c r="B581" t="s">
        <v>7610</v>
      </c>
      <c r="C581" t="s">
        <v>5600</v>
      </c>
      <c r="D581" s="3" t="s">
        <v>5599</v>
      </c>
      <c r="E581" s="3" t="s">
        <v>495</v>
      </c>
      <c r="G581" t="s">
        <v>558</v>
      </c>
      <c r="H581" t="s">
        <v>12</v>
      </c>
      <c r="I581" s="17">
        <v>-1.2712594745305801</v>
      </c>
      <c r="J581" s="17">
        <v>0.63092441264110699</v>
      </c>
      <c r="K581" s="21">
        <v>4</v>
      </c>
      <c r="L581" s="27">
        <v>4111785.1837085099</v>
      </c>
      <c r="M581" s="22">
        <v>1.5516016861282079E-2</v>
      </c>
      <c r="N581" s="21">
        <v>2</v>
      </c>
      <c r="O581" s="27">
        <v>1794478.3786614321</v>
      </c>
      <c r="P581" s="22">
        <v>6.8308521908672431E-3</v>
      </c>
      <c r="Q581" s="21">
        <v>5</v>
      </c>
      <c r="R581" s="27">
        <v>4234603.7450106516</v>
      </c>
      <c r="S581" s="22">
        <v>1.6214100573192124E-2</v>
      </c>
      <c r="T581" s="23">
        <v>4</v>
      </c>
      <c r="U581" s="28">
        <v>3093602.6100072004</v>
      </c>
      <c r="V581" s="24">
        <v>1.165433224088557E-2</v>
      </c>
      <c r="W581" s="23">
        <v>2</v>
      </c>
      <c r="X581" s="28">
        <v>2821209.2636578507</v>
      </c>
      <c r="Y581" s="24">
        <v>1.0396726221349965E-2</v>
      </c>
      <c r="Z581" s="23">
        <v>3</v>
      </c>
      <c r="AA581" s="28">
        <v>2796430.4498554734</v>
      </c>
      <c r="AB581" s="24">
        <v>1.0459557113476358E-2</v>
      </c>
    </row>
    <row r="582" spans="1:28" x14ac:dyDescent="0.25">
      <c r="A582" t="s">
        <v>5577</v>
      </c>
      <c r="B582" t="s">
        <v>7603</v>
      </c>
      <c r="C582" t="s">
        <v>5579</v>
      </c>
      <c r="D582" s="3" t="s">
        <v>5578</v>
      </c>
      <c r="E582" s="3" t="s">
        <v>495</v>
      </c>
      <c r="G582" t="s">
        <v>558</v>
      </c>
      <c r="H582" t="s">
        <v>653</v>
      </c>
      <c r="I582" s="17">
        <v>-1.28677769418169</v>
      </c>
      <c r="J582" s="17">
        <v>0.15528950012006401</v>
      </c>
      <c r="K582" s="21">
        <v>26</v>
      </c>
      <c r="L582" s="27">
        <v>117590902.18476801</v>
      </c>
      <c r="M582" s="22">
        <v>0.29066353203711703</v>
      </c>
      <c r="N582" s="21">
        <v>19</v>
      </c>
      <c r="O582" s="27">
        <v>88393301.083876923</v>
      </c>
      <c r="P582" s="22">
        <v>0.22040579539725175</v>
      </c>
      <c r="Q582" s="21">
        <v>24</v>
      </c>
      <c r="R582" s="27">
        <v>126319076.82661574</v>
      </c>
      <c r="S582" s="22">
        <v>0.31682250758754366</v>
      </c>
      <c r="T582" s="23">
        <v>20</v>
      </c>
      <c r="U582" s="28">
        <v>93475374.960362837</v>
      </c>
      <c r="V582" s="24">
        <v>0.23066785859769712</v>
      </c>
      <c r="W582" s="23">
        <v>20</v>
      </c>
      <c r="X582" s="28">
        <v>93851792.964399651</v>
      </c>
      <c r="Y582" s="24">
        <v>0.22655355381860096</v>
      </c>
      <c r="Z582" s="23">
        <v>22</v>
      </c>
      <c r="AA582" s="28">
        <v>93287070.160060525</v>
      </c>
      <c r="AB582" s="24">
        <v>0.22855868328400034</v>
      </c>
    </row>
    <row r="583" spans="1:28" x14ac:dyDescent="0.25">
      <c r="A583" t="s">
        <v>5559</v>
      </c>
      <c r="B583" t="s">
        <v>7597</v>
      </c>
      <c r="C583" t="s">
        <v>5561</v>
      </c>
      <c r="D583" s="3" t="s">
        <v>5560</v>
      </c>
      <c r="E583" s="3" t="s">
        <v>495</v>
      </c>
      <c r="G583" t="s">
        <v>558</v>
      </c>
      <c r="H583" t="s">
        <v>12</v>
      </c>
      <c r="I583" s="17">
        <v>-1.2868734490129501</v>
      </c>
      <c r="J583" s="17">
        <v>4.09955585242655E-2</v>
      </c>
      <c r="K583" s="21">
        <v>4</v>
      </c>
      <c r="L583" s="27">
        <v>3620289.7118831598</v>
      </c>
      <c r="M583" s="22">
        <v>9.7006960978719761E-3</v>
      </c>
      <c r="N583" s="21">
        <v>1</v>
      </c>
      <c r="O583" s="27">
        <v>3501481.9224094455</v>
      </c>
      <c r="P583" s="22">
        <v>9.4645134787236049E-3</v>
      </c>
      <c r="Q583" s="21">
        <v>3</v>
      </c>
      <c r="R583" s="27">
        <v>3664729.8954076543</v>
      </c>
      <c r="S583" s="22">
        <v>9.9639560635496425E-3</v>
      </c>
      <c r="T583" s="23">
        <v>2</v>
      </c>
      <c r="U583" s="28">
        <v>3256140.5484554139</v>
      </c>
      <c r="V583" s="24">
        <v>8.7103530726697128E-3</v>
      </c>
      <c r="W583" s="23">
        <v>4</v>
      </c>
      <c r="X583" s="28">
        <v>2957610.6852818248</v>
      </c>
      <c r="Y583" s="24">
        <v>7.7394849615789602E-3</v>
      </c>
      <c r="Z583" s="23">
        <v>1</v>
      </c>
      <c r="AA583" s="28">
        <v>2853724.3287273524</v>
      </c>
      <c r="AB583" s="24">
        <v>7.5793338762722784E-3</v>
      </c>
    </row>
    <row r="584" spans="1:28" x14ac:dyDescent="0.25">
      <c r="A584" t="s">
        <v>5484</v>
      </c>
      <c r="B584" t="s">
        <v>7572</v>
      </c>
      <c r="C584" t="s">
        <v>5486</v>
      </c>
      <c r="D584" s="3" t="s">
        <v>5485</v>
      </c>
      <c r="E584" s="3" t="s">
        <v>495</v>
      </c>
      <c r="G584" t="s">
        <v>558</v>
      </c>
      <c r="H584" t="s">
        <v>17</v>
      </c>
      <c r="I584" s="17">
        <v>-1.3048005732655099</v>
      </c>
      <c r="J584" s="17">
        <v>6.7409014767679507E-2</v>
      </c>
      <c r="K584" s="21">
        <v>7</v>
      </c>
      <c r="L584" s="27">
        <v>9919172.5762027297</v>
      </c>
      <c r="M584" s="22">
        <v>1.7919969704685415E-2</v>
      </c>
      <c r="N584" s="21">
        <v>4</v>
      </c>
      <c r="O584" s="27">
        <v>9328829.0335323289</v>
      </c>
      <c r="P584" s="22">
        <v>1.7001051823547757E-2</v>
      </c>
      <c r="Q584" s="21">
        <v>9</v>
      </c>
      <c r="R584" s="27">
        <v>13107896.791024892</v>
      </c>
      <c r="S584" s="22">
        <v>2.4028413536317138E-2</v>
      </c>
      <c r="T584" s="23">
        <v>4</v>
      </c>
      <c r="U584" s="28">
        <v>8650193.4712106194</v>
      </c>
      <c r="V584" s="24">
        <v>1.5601296462365853E-2</v>
      </c>
      <c r="W584" s="23">
        <v>5</v>
      </c>
      <c r="X584" s="28">
        <v>9013049.6176827718</v>
      </c>
      <c r="Y584" s="24">
        <v>1.5901755356646476E-2</v>
      </c>
      <c r="Z584" s="23">
        <v>5</v>
      </c>
      <c r="AA584" s="28">
        <v>9127882.6634806916</v>
      </c>
      <c r="AB584" s="24">
        <v>1.6345240730081815E-2</v>
      </c>
    </row>
    <row r="585" spans="1:28" x14ac:dyDescent="0.25">
      <c r="A585" t="s">
        <v>5539</v>
      </c>
      <c r="B585" t="s">
        <v>7590</v>
      </c>
      <c r="C585" t="s">
        <v>5541</v>
      </c>
      <c r="D585" s="3" t="s">
        <v>5540</v>
      </c>
      <c r="E585" s="3" t="s">
        <v>495</v>
      </c>
      <c r="G585" t="s">
        <v>558</v>
      </c>
      <c r="H585" t="s">
        <v>12</v>
      </c>
      <c r="I585" s="17">
        <v>-1.3228976632104299</v>
      </c>
      <c r="J585" s="17">
        <v>0.55260255183628604</v>
      </c>
      <c r="K585" s="21">
        <v>17</v>
      </c>
      <c r="L585" s="27">
        <v>15532223.4624488</v>
      </c>
      <c r="M585" s="22">
        <v>1.8241910925159324E-2</v>
      </c>
      <c r="N585" s="21">
        <v>10</v>
      </c>
      <c r="O585" s="27">
        <v>7471474.9231591588</v>
      </c>
      <c r="P585" s="22">
        <v>8.8517650119130584E-3</v>
      </c>
      <c r="Q585" s="21">
        <v>19</v>
      </c>
      <c r="R585" s="27">
        <v>19401784.664796215</v>
      </c>
      <c r="S585" s="22">
        <v>2.3121107900842784E-2</v>
      </c>
      <c r="T585" s="23">
        <v>11</v>
      </c>
      <c r="U585" s="28">
        <v>13422815.053617442</v>
      </c>
      <c r="V585" s="24">
        <v>1.5738138054881261E-2</v>
      </c>
      <c r="W585" s="23">
        <v>7</v>
      </c>
      <c r="X585" s="28">
        <v>9264843.8816389404</v>
      </c>
      <c r="Y585" s="24">
        <v>1.0626403120562896E-2</v>
      </c>
      <c r="Z585" s="23">
        <v>11</v>
      </c>
      <c r="AA585" s="28">
        <v>11917938.192816537</v>
      </c>
      <c r="AB585" s="24">
        <v>1.3873859020460556E-2</v>
      </c>
    </row>
    <row r="586" spans="1:28" x14ac:dyDescent="0.25">
      <c r="A586" t="s">
        <v>5518</v>
      </c>
      <c r="B586" t="s">
        <v>7583</v>
      </c>
      <c r="C586" t="s">
        <v>5520</v>
      </c>
      <c r="D586" s="3" t="s">
        <v>5519</v>
      </c>
      <c r="E586" s="3" t="s">
        <v>495</v>
      </c>
      <c r="G586" t="s">
        <v>558</v>
      </c>
      <c r="H586" t="s">
        <v>12</v>
      </c>
      <c r="I586" s="17">
        <v>-1.3558186050910599</v>
      </c>
      <c r="J586" s="17">
        <v>0.20277400905189699</v>
      </c>
      <c r="K586" s="21">
        <v>3</v>
      </c>
      <c r="L586" s="27">
        <v>1356576.7504990399</v>
      </c>
      <c r="M586" s="22">
        <v>2.9729520930476257E-3</v>
      </c>
      <c r="N586" s="21">
        <v>1</v>
      </c>
      <c r="O586" s="27">
        <v>942488.83126318362</v>
      </c>
      <c r="P586" s="22">
        <v>2.0835627573857142E-3</v>
      </c>
      <c r="Q586" s="21">
        <v>3</v>
      </c>
      <c r="R586" s="27">
        <v>1272510.5071259055</v>
      </c>
      <c r="S586" s="22">
        <v>2.8296660088551404E-3</v>
      </c>
      <c r="T586" s="23">
        <v>2</v>
      </c>
      <c r="U586" s="28">
        <v>1164413.3750134669</v>
      </c>
      <c r="V586" s="24">
        <v>2.5475561809966173E-3</v>
      </c>
      <c r="W586" s="23">
        <v>1</v>
      </c>
      <c r="X586" s="28">
        <v>868191.45494271803</v>
      </c>
      <c r="Y586" s="24">
        <v>1.8581061862020349E-3</v>
      </c>
      <c r="Z586" s="23">
        <v>2</v>
      </c>
      <c r="AA586" s="28">
        <v>821997.41510152351</v>
      </c>
      <c r="AB586" s="24">
        <v>1.7855558572962386E-3</v>
      </c>
    </row>
    <row r="587" spans="1:28" x14ac:dyDescent="0.25">
      <c r="A587" t="s">
        <v>5512</v>
      </c>
      <c r="B587" t="s">
        <v>7581</v>
      </c>
      <c r="C587" t="s">
        <v>5514</v>
      </c>
      <c r="D587" s="3" t="s">
        <v>5513</v>
      </c>
      <c r="E587" s="3" t="s">
        <v>495</v>
      </c>
      <c r="G587" t="s">
        <v>558</v>
      </c>
      <c r="H587" t="s">
        <v>12</v>
      </c>
      <c r="I587" s="17">
        <v>-1.3639754361974299</v>
      </c>
      <c r="J587" s="17">
        <v>0.15625360033769001</v>
      </c>
      <c r="K587" s="21">
        <v>8</v>
      </c>
      <c r="L587" s="27">
        <v>3188820.06193414</v>
      </c>
      <c r="M587" s="22">
        <v>5.6804601465083888E-3</v>
      </c>
      <c r="N587" s="21">
        <v>4</v>
      </c>
      <c r="O587" s="27">
        <v>2398361.6170895859</v>
      </c>
      <c r="P587" s="22">
        <v>4.3097790050539413E-3</v>
      </c>
      <c r="Q587" s="21">
        <v>7</v>
      </c>
      <c r="R587" s="27">
        <v>3253439.1476609213</v>
      </c>
      <c r="S587" s="22">
        <v>5.8806651545257179E-3</v>
      </c>
      <c r="T587" s="23">
        <v>5</v>
      </c>
      <c r="U587" s="28">
        <v>2732853.0327830543</v>
      </c>
      <c r="V587" s="24">
        <v>4.860073353140577E-3</v>
      </c>
      <c r="W587" s="23">
        <v>2</v>
      </c>
      <c r="X587" s="28">
        <v>2003362.2215456925</v>
      </c>
      <c r="Y587" s="24">
        <v>3.4851739908994621E-3</v>
      </c>
      <c r="Z587" s="23">
        <v>2</v>
      </c>
      <c r="AA587" s="28">
        <v>2265381.1144251684</v>
      </c>
      <c r="AB587" s="24">
        <v>3.9999469077522396E-3</v>
      </c>
    </row>
    <row r="588" spans="1:28" x14ac:dyDescent="0.25">
      <c r="A588" t="s">
        <v>5499</v>
      </c>
      <c r="B588" t="s">
        <v>7577</v>
      </c>
      <c r="C588" t="s">
        <v>5501</v>
      </c>
      <c r="D588" s="3" t="s">
        <v>5500</v>
      </c>
      <c r="E588" s="3" t="s">
        <v>495</v>
      </c>
      <c r="G588" t="s">
        <v>558</v>
      </c>
      <c r="H588" t="s">
        <v>12</v>
      </c>
      <c r="I588" s="17">
        <v>-1.3931466884360499</v>
      </c>
      <c r="J588" s="17">
        <v>9.4885422048961596E-2</v>
      </c>
      <c r="K588" s="21">
        <v>49</v>
      </c>
      <c r="L588" s="27">
        <v>68385965.426871002</v>
      </c>
      <c r="M588" s="22">
        <v>5.3775277276414388E-2</v>
      </c>
      <c r="N588" s="21">
        <v>30</v>
      </c>
      <c r="O588" s="27">
        <v>65779269.899033703</v>
      </c>
      <c r="P588" s="22">
        <v>5.2178496054485324E-2</v>
      </c>
      <c r="Q588" s="21">
        <v>57</v>
      </c>
      <c r="R588" s="27">
        <v>94912219.0599536</v>
      </c>
      <c r="S588" s="22">
        <v>7.5730018524437934E-2</v>
      </c>
      <c r="T588" s="23">
        <v>36</v>
      </c>
      <c r="U588" s="28">
        <v>62183913.042717919</v>
      </c>
      <c r="V588" s="24">
        <v>4.8816514447217137E-2</v>
      </c>
      <c r="W588" s="23">
        <v>24</v>
      </c>
      <c r="X588" s="28">
        <v>50545614.743076578</v>
      </c>
      <c r="Y588" s="24">
        <v>3.8815987544699657E-2</v>
      </c>
      <c r="Z588" s="23">
        <v>34</v>
      </c>
      <c r="AA588" s="28">
        <v>63744119.556582451</v>
      </c>
      <c r="AB588" s="24">
        <v>4.9683850992325168E-2</v>
      </c>
    </row>
    <row r="589" spans="1:28" x14ac:dyDescent="0.25">
      <c r="A589" t="s">
        <v>5502</v>
      </c>
      <c r="B589" t="s">
        <v>7578</v>
      </c>
      <c r="C589" t="s">
        <v>5504</v>
      </c>
      <c r="D589" s="3" t="s">
        <v>5503</v>
      </c>
      <c r="E589" s="3" t="s">
        <v>495</v>
      </c>
      <c r="G589" t="s">
        <v>558</v>
      </c>
      <c r="H589" t="s">
        <v>12</v>
      </c>
      <c r="I589" s="17">
        <v>-1.4424731674287901</v>
      </c>
      <c r="J589" s="17">
        <v>0.110140582183475</v>
      </c>
      <c r="K589" s="21">
        <v>5</v>
      </c>
      <c r="L589" s="27">
        <v>6183446.8486091299</v>
      </c>
      <c r="M589" s="22">
        <v>2.0017089735747069E-2</v>
      </c>
      <c r="N589" s="21">
        <v>2</v>
      </c>
      <c r="O589" s="27">
        <v>4299385.0723888939</v>
      </c>
      <c r="P589" s="22">
        <v>1.4039882742604641E-2</v>
      </c>
      <c r="Q589" s="21">
        <v>5</v>
      </c>
      <c r="R589" s="27">
        <v>6503749.1721907295</v>
      </c>
      <c r="S589" s="22">
        <v>2.136310363733758E-2</v>
      </c>
      <c r="T589" s="23">
        <v>4</v>
      </c>
      <c r="U589" s="28">
        <v>4316009.3298386876</v>
      </c>
      <c r="V589" s="24">
        <v>1.3948442695881825E-2</v>
      </c>
      <c r="W589" s="23">
        <v>3</v>
      </c>
      <c r="X589" s="28">
        <v>3938343.3586080987</v>
      </c>
      <c r="Y589" s="24">
        <v>1.2450745665944269E-2</v>
      </c>
      <c r="Z589" s="23">
        <v>3</v>
      </c>
      <c r="AA589" s="28">
        <v>4529017.4534811191</v>
      </c>
      <c r="AB589" s="24">
        <v>1.4532279632327894E-2</v>
      </c>
    </row>
    <row r="590" spans="1:28" x14ac:dyDescent="0.25">
      <c r="A590" t="s">
        <v>5509</v>
      </c>
      <c r="B590" t="s">
        <v>7580</v>
      </c>
      <c r="C590" t="s">
        <v>5511</v>
      </c>
      <c r="D590" s="3" t="s">
        <v>5488</v>
      </c>
      <c r="E590" s="3" t="s">
        <v>495</v>
      </c>
      <c r="F590" t="s">
        <v>5510</v>
      </c>
      <c r="G590" t="s">
        <v>558</v>
      </c>
      <c r="H590" t="s">
        <v>12</v>
      </c>
      <c r="I590" s="17">
        <v>-1.5046841426181501</v>
      </c>
      <c r="J590" s="17">
        <v>0.129825458802697</v>
      </c>
      <c r="K590" s="21">
        <v>16</v>
      </c>
      <c r="L590" s="27">
        <v>18347895.3715767</v>
      </c>
      <c r="M590" s="22">
        <v>2.0314227026335605E-2</v>
      </c>
      <c r="N590" s="21">
        <v>6</v>
      </c>
      <c r="O590" s="27">
        <v>13818064.345730156</v>
      </c>
      <c r="P590" s="22">
        <v>1.5432919465936923E-2</v>
      </c>
      <c r="Q590" s="21">
        <v>13</v>
      </c>
      <c r="R590" s="27">
        <v>21568504.379695036</v>
      </c>
      <c r="S590" s="22">
        <v>2.4230609435703661E-2</v>
      </c>
      <c r="T590" s="23">
        <v>7</v>
      </c>
      <c r="U590" s="28">
        <v>13817696.932346355</v>
      </c>
      <c r="V590" s="24">
        <v>1.527294379112069E-2</v>
      </c>
      <c r="W590" s="23">
        <v>6</v>
      </c>
      <c r="X590" s="28">
        <v>9781535.3500515483</v>
      </c>
      <c r="Y590" s="24">
        <v>1.0576270662865893E-2</v>
      </c>
      <c r="Z590" s="23">
        <v>3</v>
      </c>
      <c r="AA590" s="28">
        <v>14839092.424784631</v>
      </c>
      <c r="AB590" s="24">
        <v>1.6284740195028409E-2</v>
      </c>
    </row>
    <row r="591" spans="1:28" x14ac:dyDescent="0.25">
      <c r="A591" t="s">
        <v>5492</v>
      </c>
      <c r="B591" t="s">
        <v>7575</v>
      </c>
      <c r="C591" t="s">
        <v>5495</v>
      </c>
      <c r="D591" s="3" t="s">
        <v>5493</v>
      </c>
      <c r="E591" s="3" t="s">
        <v>495</v>
      </c>
      <c r="F591" t="s">
        <v>5494</v>
      </c>
      <c r="G591" t="s">
        <v>558</v>
      </c>
      <c r="H591" t="s">
        <v>12</v>
      </c>
      <c r="I591" s="17">
        <v>-1.5271935590821</v>
      </c>
      <c r="J591" s="17">
        <v>1.5398627737145801E-2</v>
      </c>
      <c r="K591" s="21">
        <v>3</v>
      </c>
      <c r="L591" s="27">
        <v>540338.35673797806</v>
      </c>
      <c r="M591" s="22">
        <v>3.2818069381232277E-4</v>
      </c>
      <c r="N591" s="21">
        <v>2</v>
      </c>
      <c r="O591" s="27">
        <v>659525.43843447731</v>
      </c>
      <c r="P591" s="22">
        <v>4.0407838044599935E-4</v>
      </c>
      <c r="Q591" s="21">
        <v>4</v>
      </c>
      <c r="R591" s="27">
        <v>753539.14909842354</v>
      </c>
      <c r="S591" s="22">
        <v>4.6439048332676968E-4</v>
      </c>
      <c r="T591" s="23">
        <v>1</v>
      </c>
      <c r="U591" s="28">
        <v>482089.0489067341</v>
      </c>
      <c r="V591" s="24">
        <v>2.923126035102339E-4</v>
      </c>
      <c r="W591" s="23">
        <v>0</v>
      </c>
      <c r="X591" s="28">
        <v>412682.11713329499</v>
      </c>
      <c r="Y591" s="24">
        <v>2.4477911597637296E-4</v>
      </c>
      <c r="Z591" s="23">
        <v>1</v>
      </c>
      <c r="AA591" s="28">
        <v>475553.84628365142</v>
      </c>
      <c r="AB591" s="24">
        <v>2.8629013108412096E-4</v>
      </c>
    </row>
    <row r="592" spans="1:28" x14ac:dyDescent="0.25">
      <c r="A592" t="s">
        <v>5565</v>
      </c>
      <c r="B592" t="s">
        <v>7599</v>
      </c>
      <c r="C592" t="s">
        <v>5567</v>
      </c>
      <c r="D592" s="3" t="s">
        <v>5566</v>
      </c>
      <c r="E592" s="3" t="s">
        <v>495</v>
      </c>
      <c r="G592" t="s">
        <v>558</v>
      </c>
      <c r="H592" t="s">
        <v>12</v>
      </c>
      <c r="I592" s="17">
        <v>-1.5430637596693999</v>
      </c>
      <c r="J592" s="17">
        <v>5.3574077563517203E-2</v>
      </c>
      <c r="K592" s="21">
        <v>9</v>
      </c>
      <c r="L592" s="27">
        <v>12710770.804484099</v>
      </c>
      <c r="M592" s="22">
        <v>2.8244020708331825E-2</v>
      </c>
      <c r="N592" s="21">
        <v>7</v>
      </c>
      <c r="O592" s="27">
        <v>9560141.3855251856</v>
      </c>
      <c r="P592" s="22">
        <v>2.1429191259323604E-2</v>
      </c>
      <c r="Q592" s="21">
        <v>9</v>
      </c>
      <c r="R592" s="27">
        <v>12171172.153818037</v>
      </c>
      <c r="S592" s="22">
        <v>2.744209721160696E-2</v>
      </c>
      <c r="T592" s="23">
        <v>5</v>
      </c>
      <c r="U592" s="28">
        <v>9272061.8590857722</v>
      </c>
      <c r="V592" s="24">
        <v>2.0568565193432302E-2</v>
      </c>
      <c r="W592" s="23">
        <v>5</v>
      </c>
      <c r="X592" s="28">
        <v>7729693.4848877024</v>
      </c>
      <c r="Y592" s="24">
        <v>1.6773681296970537E-2</v>
      </c>
      <c r="Z592" s="23">
        <v>5</v>
      </c>
      <c r="AA592" s="28">
        <v>7210826.508519927</v>
      </c>
      <c r="AB592" s="24">
        <v>1.5881778245654898E-2</v>
      </c>
    </row>
    <row r="593" spans="1:36" x14ac:dyDescent="0.25">
      <c r="A593" t="s">
        <v>5490</v>
      </c>
      <c r="B593" t="s">
        <v>7574</v>
      </c>
      <c r="C593" t="s">
        <v>5491</v>
      </c>
      <c r="D593" s="3" t="s">
        <v>5459</v>
      </c>
      <c r="E593" s="3" t="s">
        <v>495</v>
      </c>
      <c r="G593" t="s">
        <v>558</v>
      </c>
      <c r="H593" t="s">
        <v>12</v>
      </c>
      <c r="I593" s="17">
        <v>-1.61766750641153</v>
      </c>
      <c r="J593" s="17">
        <v>2.75141519314543E-2</v>
      </c>
      <c r="K593" s="21">
        <v>3</v>
      </c>
      <c r="L593" s="27">
        <v>700488.05035730498</v>
      </c>
      <c r="M593" s="22">
        <v>1.6127145054233062E-3</v>
      </c>
      <c r="N593" s="21">
        <v>1</v>
      </c>
      <c r="O593" s="27">
        <v>555807.59517441329</v>
      </c>
      <c r="P593" s="22">
        <v>1.2908270886691756E-3</v>
      </c>
      <c r="Q593" s="21">
        <v>1</v>
      </c>
      <c r="R593" s="27">
        <v>658192.03751824005</v>
      </c>
      <c r="S593" s="22">
        <v>1.5375868104950383E-3</v>
      </c>
      <c r="T593" s="23">
        <v>0</v>
      </c>
      <c r="U593" s="28">
        <v>453849.50513877417</v>
      </c>
      <c r="V593" s="24">
        <v>1.0431377710529537E-3</v>
      </c>
      <c r="W593" s="23">
        <v>1</v>
      </c>
      <c r="X593" s="28">
        <v>487090.53734357964</v>
      </c>
      <c r="Y593" s="24">
        <v>1.095160912042558E-3</v>
      </c>
      <c r="Z593" s="23">
        <v>1</v>
      </c>
      <c r="AA593" s="28">
        <v>350435.00725945685</v>
      </c>
      <c r="AB593" s="24">
        <v>7.9969373378314132E-4</v>
      </c>
    </row>
    <row r="594" spans="1:36" x14ac:dyDescent="0.25">
      <c r="A594" t="s">
        <v>5496</v>
      </c>
      <c r="B594" t="s">
        <v>7576</v>
      </c>
      <c r="C594" t="s">
        <v>5498</v>
      </c>
      <c r="D594" s="3" t="s">
        <v>5497</v>
      </c>
      <c r="E594" s="3" t="s">
        <v>495</v>
      </c>
      <c r="G594" t="s">
        <v>558</v>
      </c>
      <c r="H594" t="s">
        <v>12</v>
      </c>
      <c r="I594" s="17">
        <v>-1.91583019557981</v>
      </c>
      <c r="J594" s="17">
        <v>8.7116795353306201E-2</v>
      </c>
      <c r="K594" s="21">
        <v>2</v>
      </c>
      <c r="L594" s="27">
        <v>405001.05733240198</v>
      </c>
      <c r="M594" s="22">
        <v>9.6015292046709895E-4</v>
      </c>
      <c r="N594" s="21">
        <v>0</v>
      </c>
      <c r="O594" s="27">
        <v>243296.38075498803</v>
      </c>
      <c r="P594" s="22">
        <v>5.8184422892496718E-4</v>
      </c>
      <c r="Q594" s="21">
        <v>2</v>
      </c>
      <c r="R594" s="27">
        <v>442866.77271646803</v>
      </c>
      <c r="S594" s="22">
        <v>1.0653384634721657E-3</v>
      </c>
      <c r="T594" s="23">
        <v>0</v>
      </c>
      <c r="U594" s="28">
        <v>278494.04602537735</v>
      </c>
      <c r="V594" s="24">
        <v>6.5913323249123309E-4</v>
      </c>
      <c r="W594" s="23">
        <v>0</v>
      </c>
      <c r="X594" s="28">
        <v>165493.91100661925</v>
      </c>
      <c r="Y594" s="24">
        <v>3.8315787028569726E-4</v>
      </c>
      <c r="Z594" s="23">
        <v>0</v>
      </c>
      <c r="AA594" s="28">
        <v>169343.83325943866</v>
      </c>
      <c r="AB594" s="24">
        <v>3.9793586615048074E-4</v>
      </c>
    </row>
    <row r="595" spans="1:36" x14ac:dyDescent="0.25">
      <c r="A595" t="s">
        <v>5530</v>
      </c>
      <c r="B595" t="s">
        <v>7587</v>
      </c>
      <c r="C595" t="s">
        <v>5532</v>
      </c>
      <c r="D595" s="3" t="s">
        <v>5531</v>
      </c>
      <c r="E595" s="3" t="s">
        <v>495</v>
      </c>
      <c r="G595" t="s">
        <v>558</v>
      </c>
      <c r="H595" t="s">
        <v>12</v>
      </c>
      <c r="I595" s="17">
        <v>-2.03098960107824</v>
      </c>
      <c r="J595" s="17">
        <v>0.34263157652131598</v>
      </c>
      <c r="K595" s="21">
        <v>0</v>
      </c>
      <c r="L595" s="27">
        <v>54377.201085714602</v>
      </c>
      <c r="M595" s="22">
        <v>9.0307153943917253E-5</v>
      </c>
      <c r="N595" s="21">
        <v>0</v>
      </c>
      <c r="O595" s="27">
        <v>13791.049120227146</v>
      </c>
      <c r="P595" s="22">
        <v>2.3104120638540784E-5</v>
      </c>
      <c r="Q595" s="21">
        <v>1</v>
      </c>
      <c r="R595" s="27">
        <v>44264.501677092536</v>
      </c>
      <c r="S595" s="22">
        <v>7.4591809876261179E-5</v>
      </c>
      <c r="T595" s="23">
        <v>0</v>
      </c>
      <c r="U595" s="28">
        <v>20237.382718418485</v>
      </c>
      <c r="V595" s="24">
        <v>3.3553103341077302E-5</v>
      </c>
      <c r="W595" s="23">
        <v>0</v>
      </c>
      <c r="X595" s="28">
        <v>2238.9008052511813</v>
      </c>
      <c r="Y595" s="24">
        <v>3.6312122876783508E-6</v>
      </c>
      <c r="Z595" s="23">
        <v>1</v>
      </c>
      <c r="AA595" s="28">
        <v>37277.920134704837</v>
      </c>
      <c r="AB595" s="24">
        <v>6.1364390795634952E-5</v>
      </c>
    </row>
    <row r="596" spans="1:36" x14ac:dyDescent="0.25">
      <c r="A596" s="48" t="s">
        <v>5521</v>
      </c>
      <c r="B596" s="48" t="s">
        <v>7584</v>
      </c>
      <c r="C596" s="48" t="s">
        <v>5523</v>
      </c>
      <c r="D596" s="49" t="s">
        <v>5522</v>
      </c>
      <c r="E596" s="49" t="s">
        <v>495</v>
      </c>
      <c r="F596" s="48"/>
      <c r="G596" s="48" t="s">
        <v>558</v>
      </c>
      <c r="H596" s="48" t="s">
        <v>12</v>
      </c>
      <c r="I596" s="50">
        <v>-3.18136627352713</v>
      </c>
      <c r="J596" s="50">
        <v>0.23359268726016</v>
      </c>
      <c r="K596" s="51">
        <v>2</v>
      </c>
      <c r="L596" s="52">
        <v>8440698.15478421</v>
      </c>
      <c r="M596" s="53">
        <v>2.0160608620946888E-2</v>
      </c>
      <c r="N596" s="51">
        <v>1</v>
      </c>
      <c r="O596" s="52">
        <v>45907409.619570002</v>
      </c>
      <c r="P596" s="53">
        <v>0.11061012652978205</v>
      </c>
      <c r="Q596" s="51">
        <v>3</v>
      </c>
      <c r="R596" s="52">
        <v>7209544.012030636</v>
      </c>
      <c r="S596" s="53">
        <v>1.7472832994277872E-2</v>
      </c>
      <c r="T596" s="54">
        <v>1</v>
      </c>
      <c r="U596" s="55">
        <v>6362668.8613914214</v>
      </c>
      <c r="V596" s="56">
        <v>1.5171818337451005E-2</v>
      </c>
      <c r="W596" s="54">
        <v>1</v>
      </c>
      <c r="X596" s="55">
        <v>7651973.8280014368</v>
      </c>
      <c r="Y596" s="56">
        <v>1.7848849423156038E-2</v>
      </c>
      <c r="Z596" s="54">
        <v>2</v>
      </c>
      <c r="AA596" s="55">
        <v>6483218.5196581511</v>
      </c>
      <c r="AB596" s="56">
        <v>1.5348833550338855E-2</v>
      </c>
      <c r="AC596" s="59"/>
      <c r="AD596" s="59"/>
      <c r="AE596" s="59"/>
      <c r="AF596" s="59"/>
      <c r="AG596" s="59"/>
      <c r="AH596" s="59"/>
      <c r="AI596" s="50"/>
      <c r="AJ596" s="50"/>
    </row>
    <row r="597" spans="1:36" x14ac:dyDescent="0.25">
      <c r="A597" s="82" t="s">
        <v>5622</v>
      </c>
      <c r="B597" s="82" t="s">
        <v>7618</v>
      </c>
      <c r="C597" s="82" t="s">
        <v>5624</v>
      </c>
      <c r="D597" s="84" t="s">
        <v>5623</v>
      </c>
      <c r="E597" s="84" t="s">
        <v>495</v>
      </c>
      <c r="F597" s="82"/>
      <c r="G597" s="82" t="s">
        <v>552</v>
      </c>
      <c r="H597" s="82" t="s">
        <v>553</v>
      </c>
      <c r="I597" s="47">
        <v>1.0963935616878899</v>
      </c>
      <c r="J597" s="47">
        <v>0.18592481525759899</v>
      </c>
      <c r="K597" s="88">
        <v>11</v>
      </c>
      <c r="L597" s="89">
        <v>12630121.6814609</v>
      </c>
      <c r="M597" s="22">
        <v>2.4631809222139048E-2</v>
      </c>
      <c r="N597" s="88">
        <v>12</v>
      </c>
      <c r="O597" s="89">
        <v>12417618.441237789</v>
      </c>
      <c r="P597" s="22">
        <v>2.4429463025241679E-2</v>
      </c>
      <c r="Q597" s="88">
        <v>11</v>
      </c>
      <c r="R597" s="89">
        <v>14797217.341446269</v>
      </c>
      <c r="S597" s="22">
        <v>2.9281888999817159E-2</v>
      </c>
      <c r="T597" s="90">
        <v>6</v>
      </c>
      <c r="U597" s="91">
        <v>15424699.524913153</v>
      </c>
      <c r="V597" s="24">
        <v>3.0031604364159588E-2</v>
      </c>
      <c r="W597" s="90">
        <v>8</v>
      </c>
      <c r="X597" s="91">
        <v>16939938.172316264</v>
      </c>
      <c r="Y597" s="24">
        <v>3.2263544632876784E-2</v>
      </c>
      <c r="Z597" s="90">
        <v>12</v>
      </c>
      <c r="AA597" s="91">
        <v>14975646.230655015</v>
      </c>
      <c r="AB597" s="24">
        <v>2.8949015406162942E-2</v>
      </c>
      <c r="AC597" s="92"/>
      <c r="AD597" s="92"/>
      <c r="AE597" s="92"/>
      <c r="AF597" s="92"/>
      <c r="AG597" s="92"/>
      <c r="AH597" s="92"/>
      <c r="AI597" s="47"/>
      <c r="AJ597" s="47"/>
    </row>
    <row r="598" spans="1:36" x14ac:dyDescent="0.25">
      <c r="A598" t="s">
        <v>5625</v>
      </c>
      <c r="B598" t="s">
        <v>7619</v>
      </c>
      <c r="C598" t="s">
        <v>5627</v>
      </c>
      <c r="D598" s="3" t="s">
        <v>5626</v>
      </c>
      <c r="E598" s="3" t="s">
        <v>495</v>
      </c>
      <c r="G598" t="s">
        <v>552</v>
      </c>
      <c r="H598" t="s">
        <v>553</v>
      </c>
      <c r="I598" s="17">
        <v>1.0743957753579501</v>
      </c>
      <c r="J598" s="17">
        <v>0.40870281877275899</v>
      </c>
      <c r="K598" s="21">
        <v>23</v>
      </c>
      <c r="L598" s="27">
        <v>11860626.590319401</v>
      </c>
      <c r="M598" s="22">
        <v>8.7951998484508929E-3</v>
      </c>
      <c r="N598" s="21">
        <v>15</v>
      </c>
      <c r="O598" s="27">
        <v>16581489.912693139</v>
      </c>
      <c r="P598" s="22">
        <v>1.2403620279812991E-2</v>
      </c>
      <c r="Q598" s="21">
        <v>18</v>
      </c>
      <c r="R598" s="27">
        <v>16185942.116853787</v>
      </c>
      <c r="S598" s="22">
        <v>1.2178851123573017E-2</v>
      </c>
      <c r="T598" s="23">
        <v>10</v>
      </c>
      <c r="U598" s="28">
        <v>16448783.047731332</v>
      </c>
      <c r="V598" s="24">
        <v>1.2177128672981019E-2</v>
      </c>
      <c r="W598" s="23">
        <v>7</v>
      </c>
      <c r="X598" s="28">
        <v>16828810.348598752</v>
      </c>
      <c r="Y598" s="24">
        <v>1.2187173000926645E-2</v>
      </c>
      <c r="Z598" s="23">
        <v>6</v>
      </c>
      <c r="AA598" s="28">
        <v>18206669.395625398</v>
      </c>
      <c r="AB598" s="24">
        <v>1.3382215917740898E-2</v>
      </c>
      <c r="AC598" s="20">
        <v>0.45697182946451975</v>
      </c>
      <c r="AD598" s="20">
        <v>0.40548477248049014</v>
      </c>
      <c r="AE598" s="20">
        <v>0.49433264875042748</v>
      </c>
      <c r="AF598" s="20">
        <v>0.46371554603570897</v>
      </c>
      <c r="AG598" s="20">
        <v>0.43579190122470363</v>
      </c>
      <c r="AH598" s="20">
        <v>0.46904631416138437</v>
      </c>
    </row>
    <row r="599" spans="1:36" x14ac:dyDescent="0.25">
      <c r="A599" t="s">
        <v>5640</v>
      </c>
      <c r="B599" t="s">
        <v>7624</v>
      </c>
      <c r="C599" t="s">
        <v>5642</v>
      </c>
      <c r="D599" s="3" t="s">
        <v>5641</v>
      </c>
      <c r="E599" s="3" t="s">
        <v>495</v>
      </c>
      <c r="G599" t="s">
        <v>552</v>
      </c>
      <c r="H599" t="s">
        <v>12</v>
      </c>
      <c r="I599" s="17">
        <v>1.0291572553694599</v>
      </c>
      <c r="J599" s="17">
        <v>0.79510196744508099</v>
      </c>
      <c r="K599" s="21">
        <v>32</v>
      </c>
      <c r="L599" s="27">
        <v>53489850.244481698</v>
      </c>
      <c r="M599" s="22">
        <v>5.7427705851674823E-2</v>
      </c>
      <c r="N599" s="21">
        <v>17</v>
      </c>
      <c r="O599" s="27">
        <v>43225738.510819003</v>
      </c>
      <c r="P599" s="22">
        <v>4.6814386845627262E-2</v>
      </c>
      <c r="Q599" s="21">
        <v>33</v>
      </c>
      <c r="R599" s="27">
        <v>56188357.516603798</v>
      </c>
      <c r="S599" s="22">
        <v>6.1210606404018368E-2</v>
      </c>
      <c r="T599" s="23">
        <v>25</v>
      </c>
      <c r="U599" s="28">
        <v>55601195.299115054</v>
      </c>
      <c r="V599" s="24">
        <v>5.9594647729251139E-2</v>
      </c>
      <c r="W599" s="23">
        <v>18</v>
      </c>
      <c r="X599" s="28">
        <v>53390835.100390568</v>
      </c>
      <c r="Y599" s="24">
        <v>5.597940525063877E-2</v>
      </c>
      <c r="Z599" s="23">
        <v>30</v>
      </c>
      <c r="AA599" s="28">
        <v>61672656.594044797</v>
      </c>
      <c r="AB599" s="24">
        <v>6.5629967510070719E-2</v>
      </c>
      <c r="AC599" s="17" t="s">
        <v>8084</v>
      </c>
      <c r="AD599" s="20">
        <v>0.45226308356514577</v>
      </c>
      <c r="AF599" s="17" t="s">
        <v>8084</v>
      </c>
      <c r="AG599" s="20">
        <v>0.45618458714059895</v>
      </c>
      <c r="AI599" s="47" t="s">
        <v>8087</v>
      </c>
      <c r="AJ599" s="20">
        <v>100.86708460583172</v>
      </c>
    </row>
    <row r="600" spans="1:36" x14ac:dyDescent="0.25">
      <c r="A600" t="s">
        <v>5634</v>
      </c>
      <c r="B600" t="s">
        <v>7622</v>
      </c>
      <c r="C600" t="s">
        <v>5636</v>
      </c>
      <c r="D600" s="3" t="s">
        <v>5635</v>
      </c>
      <c r="E600" s="3" t="s">
        <v>495</v>
      </c>
      <c r="G600" t="s">
        <v>552</v>
      </c>
      <c r="H600" t="s">
        <v>553</v>
      </c>
      <c r="I600" s="17">
        <v>1.0176138784411399</v>
      </c>
      <c r="J600" s="17">
        <v>0.74769183998889799</v>
      </c>
      <c r="K600" s="21">
        <v>31</v>
      </c>
      <c r="L600" s="27">
        <v>98377895.765768498</v>
      </c>
      <c r="M600" s="22">
        <v>0.13972937557501705</v>
      </c>
      <c r="N600" s="21">
        <v>17</v>
      </c>
      <c r="O600" s="27">
        <v>93628273.409374774</v>
      </c>
      <c r="P600" s="22">
        <v>0.13414794875201702</v>
      </c>
      <c r="Q600" s="21">
        <v>36</v>
      </c>
      <c r="R600" s="27">
        <v>101254987.78413102</v>
      </c>
      <c r="S600" s="22">
        <v>0.14592741001715639</v>
      </c>
      <c r="T600" s="23">
        <v>25</v>
      </c>
      <c r="U600" s="28">
        <v>105429706.33044407</v>
      </c>
      <c r="V600" s="24">
        <v>0.14949484929886314</v>
      </c>
      <c r="W600" s="23">
        <v>22</v>
      </c>
      <c r="X600" s="28">
        <v>111500117.61917821</v>
      </c>
      <c r="Y600" s="24">
        <v>0.15465964026571552</v>
      </c>
      <c r="Z600" s="23">
        <v>27</v>
      </c>
      <c r="AA600" s="28">
        <v>106924809.77749547</v>
      </c>
      <c r="AB600" s="24">
        <v>0.15053175438018079</v>
      </c>
      <c r="AC600" s="17" t="s">
        <v>8085</v>
      </c>
      <c r="AD600" s="20">
        <v>4.4610710545542505E-2</v>
      </c>
      <c r="AF600" s="17" t="s">
        <v>8085</v>
      </c>
      <c r="AG600" s="20">
        <v>1.7860585134611268E-2</v>
      </c>
      <c r="AI600" s="17" t="s">
        <v>8086</v>
      </c>
      <c r="AJ600" s="20">
        <v>0.8944277837896405</v>
      </c>
    </row>
    <row r="601" spans="1:36" x14ac:dyDescent="0.25">
      <c r="A601" t="s">
        <v>5643</v>
      </c>
      <c r="B601" t="s">
        <v>7625</v>
      </c>
      <c r="C601" t="s">
        <v>5645</v>
      </c>
      <c r="D601" s="3" t="s">
        <v>5644</v>
      </c>
      <c r="E601" s="3" t="s">
        <v>495</v>
      </c>
      <c r="G601" t="s">
        <v>552</v>
      </c>
      <c r="H601" t="s">
        <v>547</v>
      </c>
      <c r="I601" s="17">
        <v>-1.0198025084970599</v>
      </c>
      <c r="J601" s="17">
        <v>0.92323097765031403</v>
      </c>
      <c r="K601" s="21">
        <v>28</v>
      </c>
      <c r="L601" s="27">
        <v>25927868.470334198</v>
      </c>
      <c r="M601" s="22">
        <v>2.5205743109737097E-2</v>
      </c>
      <c r="N601" s="21">
        <v>19</v>
      </c>
      <c r="O601" s="27">
        <v>19803284.638402797</v>
      </c>
      <c r="P601" s="22">
        <v>1.9420336600956305E-2</v>
      </c>
      <c r="Q601" s="21">
        <v>28</v>
      </c>
      <c r="R601" s="27">
        <v>26348650.208269406</v>
      </c>
      <c r="S601" s="22">
        <v>2.5990900254427993E-2</v>
      </c>
      <c r="T601" s="23">
        <v>20</v>
      </c>
      <c r="U601" s="28">
        <v>26685422.187340215</v>
      </c>
      <c r="V601" s="24">
        <v>2.5898810185197869E-2</v>
      </c>
      <c r="W601" s="23">
        <v>18</v>
      </c>
      <c r="X601" s="28">
        <v>22135771.085897628</v>
      </c>
      <c r="Y601" s="24">
        <v>2.1015456428546173E-2</v>
      </c>
      <c r="Z601" s="23">
        <v>20</v>
      </c>
      <c r="AA601" s="28">
        <v>27700974.201220043</v>
      </c>
      <c r="AB601" s="24">
        <v>2.6692372768641847E-2</v>
      </c>
    </row>
    <row r="602" spans="1:36" x14ac:dyDescent="0.25">
      <c r="A602" t="s">
        <v>5628</v>
      </c>
      <c r="B602" t="s">
        <v>7620</v>
      </c>
      <c r="C602" t="s">
        <v>5630</v>
      </c>
      <c r="D602" s="3" t="s">
        <v>5629</v>
      </c>
      <c r="E602" s="3" t="s">
        <v>495</v>
      </c>
      <c r="G602" t="s">
        <v>552</v>
      </c>
      <c r="H602" t="s">
        <v>553</v>
      </c>
      <c r="I602" s="17">
        <v>-1.05831268194215</v>
      </c>
      <c r="J602" s="17">
        <v>0.42806667647255903</v>
      </c>
      <c r="K602" s="21">
        <v>10</v>
      </c>
      <c r="L602" s="27">
        <v>7905161.8861400103</v>
      </c>
      <c r="M602" s="22">
        <v>1.3849876941463375E-2</v>
      </c>
      <c r="N602" s="21">
        <v>7</v>
      </c>
      <c r="O602" s="27">
        <v>9357108.938044155</v>
      </c>
      <c r="P602" s="22">
        <v>1.6537264195819756E-2</v>
      </c>
      <c r="Q602" s="21">
        <v>11</v>
      </c>
      <c r="R602" s="27">
        <v>7879019.1486657588</v>
      </c>
      <c r="S602" s="22">
        <v>1.4006755966804445E-2</v>
      </c>
      <c r="T602" s="23">
        <v>8</v>
      </c>
      <c r="U602" s="28">
        <v>8610087.5743271224</v>
      </c>
      <c r="V602" s="24">
        <v>1.5059680529639366E-2</v>
      </c>
      <c r="W602" s="23">
        <v>5</v>
      </c>
      <c r="X602" s="28">
        <v>8783954.0557144396</v>
      </c>
      <c r="Y602" s="24">
        <v>1.5029228350634964E-2</v>
      </c>
      <c r="Z602" s="23">
        <v>8</v>
      </c>
      <c r="AA602" s="28">
        <v>8295156.2057885481</v>
      </c>
      <c r="AB602" s="24">
        <v>1.4405195704220834E-2</v>
      </c>
    </row>
    <row r="603" spans="1:36" x14ac:dyDescent="0.25">
      <c r="A603" t="s">
        <v>5637</v>
      </c>
      <c r="B603" t="s">
        <v>7623</v>
      </c>
      <c r="C603" t="s">
        <v>5639</v>
      </c>
      <c r="D603" s="3" t="s">
        <v>5638</v>
      </c>
      <c r="E603" s="3" t="s">
        <v>495</v>
      </c>
      <c r="G603" t="s">
        <v>552</v>
      </c>
      <c r="H603" t="s">
        <v>553</v>
      </c>
      <c r="I603" s="17">
        <v>-1.06641223214697</v>
      </c>
      <c r="J603" s="17">
        <v>0.76428227274545901</v>
      </c>
      <c r="K603" s="21">
        <v>16</v>
      </c>
      <c r="L603" s="27">
        <v>20602479.423193701</v>
      </c>
      <c r="M603" s="22">
        <v>3.3178812131346679E-2</v>
      </c>
      <c r="N603" s="21">
        <v>11</v>
      </c>
      <c r="O603" s="27">
        <v>15039745.014389066</v>
      </c>
      <c r="P603" s="22">
        <v>2.4432541770928212E-2</v>
      </c>
      <c r="Q603" s="21">
        <v>16</v>
      </c>
      <c r="R603" s="27">
        <v>22195588.816938199</v>
      </c>
      <c r="S603" s="22">
        <v>3.6269224916680415E-2</v>
      </c>
      <c r="T603" s="23">
        <v>13</v>
      </c>
      <c r="U603" s="28">
        <v>19875995.26265147</v>
      </c>
      <c r="V603" s="24">
        <v>3.1955327477415703E-2</v>
      </c>
      <c r="W603" s="23">
        <v>12</v>
      </c>
      <c r="X603" s="28">
        <v>18661563.518539637</v>
      </c>
      <c r="Y603" s="24">
        <v>2.9349509841452862E-2</v>
      </c>
      <c r="Z603" s="23">
        <v>12</v>
      </c>
      <c r="AA603" s="28">
        <v>20318242.784888804</v>
      </c>
      <c r="AB603" s="24">
        <v>3.2432986208415039E-2</v>
      </c>
    </row>
    <row r="604" spans="1:36" x14ac:dyDescent="0.25">
      <c r="A604" t="s">
        <v>5631</v>
      </c>
      <c r="B604" t="s">
        <v>7621</v>
      </c>
      <c r="C604" t="s">
        <v>5633</v>
      </c>
      <c r="D604" s="3" t="s">
        <v>5632</v>
      </c>
      <c r="E604" s="3" t="s">
        <v>495</v>
      </c>
      <c r="G604" t="s">
        <v>552</v>
      </c>
      <c r="H604" t="s">
        <v>553</v>
      </c>
      <c r="I604" s="17">
        <v>-1.13228929914051</v>
      </c>
      <c r="J604" s="17">
        <v>0.44919596751761098</v>
      </c>
      <c r="K604" s="21">
        <v>31</v>
      </c>
      <c r="L604" s="27">
        <v>45697853.738926299</v>
      </c>
      <c r="M604" s="22">
        <v>6.1482850157467295E-2</v>
      </c>
      <c r="N604" s="21">
        <v>28</v>
      </c>
      <c r="O604" s="27">
        <v>36295919.447332039</v>
      </c>
      <c r="P604" s="22">
        <v>4.9260954580756446E-2</v>
      </c>
      <c r="Q604" s="21">
        <v>33</v>
      </c>
      <c r="R604" s="27">
        <v>49959034.683208607</v>
      </c>
      <c r="S604" s="22">
        <v>6.8202844274882046E-2</v>
      </c>
      <c r="T604" s="23">
        <v>30</v>
      </c>
      <c r="U604" s="28">
        <v>45036972.494898863</v>
      </c>
      <c r="V604" s="24">
        <v>6.0492345037484935E-2</v>
      </c>
      <c r="W604" s="23">
        <v>23</v>
      </c>
      <c r="X604" s="28">
        <v>38692331.602003463</v>
      </c>
      <c r="Y604" s="24">
        <v>5.0838715682818753E-2</v>
      </c>
      <c r="Z604" s="23">
        <v>27</v>
      </c>
      <c r="AA604" s="28">
        <v>42335372.536105059</v>
      </c>
      <c r="AB604" s="24">
        <v>5.6457419238783231E-2</v>
      </c>
    </row>
    <row r="605" spans="1:36" x14ac:dyDescent="0.25">
      <c r="A605" t="s">
        <v>5646</v>
      </c>
      <c r="B605" t="s">
        <v>7626</v>
      </c>
      <c r="C605" t="s">
        <v>5649</v>
      </c>
      <c r="D605" s="3" t="s">
        <v>5647</v>
      </c>
      <c r="E605" s="3" t="s">
        <v>495</v>
      </c>
      <c r="F605" t="s">
        <v>5648</v>
      </c>
      <c r="G605" t="s">
        <v>552</v>
      </c>
      <c r="H605" t="s">
        <v>553</v>
      </c>
      <c r="I605" s="17">
        <v>-1.17232434701977</v>
      </c>
      <c r="J605" s="17">
        <v>0.29219471264380598</v>
      </c>
      <c r="K605" s="21">
        <v>41</v>
      </c>
      <c r="L605" s="27">
        <v>56592747.099509999</v>
      </c>
      <c r="M605" s="22">
        <v>3.5982917489168258E-2</v>
      </c>
      <c r="N605" s="21">
        <v>27</v>
      </c>
      <c r="O605" s="27">
        <v>52755126.697370425</v>
      </c>
      <c r="P605" s="22">
        <v>3.3836629808465142E-2</v>
      </c>
      <c r="Q605" s="21">
        <v>41</v>
      </c>
      <c r="R605" s="27">
        <v>61516743.83013621</v>
      </c>
      <c r="S605" s="22">
        <v>3.9687998392825434E-2</v>
      </c>
      <c r="T605" s="23">
        <v>32</v>
      </c>
      <c r="U605" s="28">
        <v>52282400.857243523</v>
      </c>
      <c r="V605" s="24">
        <v>3.3186707186016372E-2</v>
      </c>
      <c r="W605" s="23">
        <v>26</v>
      </c>
      <c r="X605" s="28">
        <v>43607369.839545459</v>
      </c>
      <c r="Y605" s="24">
        <v>2.7077400668262062E-2</v>
      </c>
      <c r="Z605" s="23">
        <v>31</v>
      </c>
      <c r="AA605" s="28">
        <v>61275634.375625767</v>
      </c>
      <c r="AB605" s="24">
        <v>3.8617384915020661E-2</v>
      </c>
    </row>
    <row r="606" spans="1:36" x14ac:dyDescent="0.25">
      <c r="A606" t="s">
        <v>5610</v>
      </c>
      <c r="B606" t="s">
        <v>7614</v>
      </c>
      <c r="C606" t="s">
        <v>5612</v>
      </c>
      <c r="D606" s="3" t="s">
        <v>5611</v>
      </c>
      <c r="E606" s="3" t="s">
        <v>495</v>
      </c>
      <c r="G606" t="s">
        <v>552</v>
      </c>
      <c r="H606" t="s">
        <v>553</v>
      </c>
      <c r="I606" s="17">
        <v>-1.19799517647677</v>
      </c>
      <c r="J606" s="17">
        <v>0.73184510269835501</v>
      </c>
      <c r="K606" s="21">
        <v>1</v>
      </c>
      <c r="L606" s="27">
        <v>405844.48721456999</v>
      </c>
      <c r="M606" s="22">
        <v>5.5660003387410109E-4</v>
      </c>
      <c r="N606" s="21">
        <v>1</v>
      </c>
      <c r="O606" s="27">
        <v>197624.36905001511</v>
      </c>
      <c r="P606" s="22">
        <v>2.7340780364919768E-4</v>
      </c>
      <c r="Q606" s="21">
        <v>1</v>
      </c>
      <c r="R606" s="27">
        <v>481786.74922201346</v>
      </c>
      <c r="S606" s="22">
        <v>6.7045354008239298E-4</v>
      </c>
      <c r="T606" s="23">
        <v>0</v>
      </c>
      <c r="U606" s="28">
        <v>347456.98485613149</v>
      </c>
      <c r="V606" s="24">
        <v>4.7572685436574584E-4</v>
      </c>
      <c r="W606" s="23">
        <v>1</v>
      </c>
      <c r="X606" s="28">
        <v>337726.43629599258</v>
      </c>
      <c r="Y606" s="24">
        <v>4.5233491927151339E-4</v>
      </c>
      <c r="Z606" s="23">
        <v>0</v>
      </c>
      <c r="AA606" s="28">
        <v>301514.5242921738</v>
      </c>
      <c r="AB606" s="24">
        <v>4.098748421348495E-4</v>
      </c>
    </row>
    <row r="607" spans="1:36" x14ac:dyDescent="0.25">
      <c r="A607" t="s">
        <v>5613</v>
      </c>
      <c r="B607" t="s">
        <v>7615</v>
      </c>
      <c r="C607" t="s">
        <v>5615</v>
      </c>
      <c r="D607" s="3" t="s">
        <v>5614</v>
      </c>
      <c r="E607" s="3" t="s">
        <v>495</v>
      </c>
      <c r="G607" t="s">
        <v>552</v>
      </c>
      <c r="H607" t="s">
        <v>57</v>
      </c>
      <c r="I607" s="17">
        <v>-1.2602238487337001</v>
      </c>
      <c r="J607" s="17">
        <v>0.20974221574875401</v>
      </c>
      <c r="K607" s="21">
        <v>7</v>
      </c>
      <c r="L607" s="27">
        <v>2553128.9398078499</v>
      </c>
      <c r="M607" s="22">
        <v>3.3026485381340994E-3</v>
      </c>
      <c r="N607" s="21">
        <v>3</v>
      </c>
      <c r="O607" s="27">
        <v>2511403.7809078046</v>
      </c>
      <c r="P607" s="22">
        <v>3.277124849172878E-3</v>
      </c>
      <c r="Q607" s="21">
        <v>4</v>
      </c>
      <c r="R607" s="27">
        <v>3216796.3125140718</v>
      </c>
      <c r="S607" s="22">
        <v>4.2222450271560937E-3</v>
      </c>
      <c r="T607" s="23">
        <v>5</v>
      </c>
      <c r="U607" s="28">
        <v>2635581.0874778274</v>
      </c>
      <c r="V607" s="24">
        <v>3.4036040917829911E-3</v>
      </c>
      <c r="W607" s="23">
        <v>1</v>
      </c>
      <c r="X607" s="28">
        <v>1856605.5352497369</v>
      </c>
      <c r="Y607" s="24">
        <v>2.3454205867312655E-3</v>
      </c>
      <c r="Z607" s="23">
        <v>4</v>
      </c>
      <c r="AA607" s="28">
        <v>2549038.0406682091</v>
      </c>
      <c r="AB607" s="24">
        <v>3.2683260487886747E-3</v>
      </c>
    </row>
    <row r="608" spans="1:36" x14ac:dyDescent="0.25">
      <c r="A608" t="s">
        <v>5616</v>
      </c>
      <c r="B608" t="s">
        <v>7616</v>
      </c>
      <c r="C608" t="s">
        <v>5618</v>
      </c>
      <c r="D608" s="3" t="s">
        <v>5617</v>
      </c>
      <c r="E608" s="3" t="s">
        <v>495</v>
      </c>
      <c r="G608" t="s">
        <v>552</v>
      </c>
      <c r="H608" t="s">
        <v>17</v>
      </c>
      <c r="I608" s="17">
        <v>-1.2841214266135901</v>
      </c>
      <c r="J608" s="17">
        <v>0.100014689813783</v>
      </c>
      <c r="K608" s="21">
        <v>4</v>
      </c>
      <c r="L608" s="27">
        <v>6056044.9236718602</v>
      </c>
      <c r="M608" s="22">
        <v>1.8931954449546692E-2</v>
      </c>
      <c r="N608" s="21">
        <v>3</v>
      </c>
      <c r="O608" s="27">
        <v>4972732.8385863518</v>
      </c>
      <c r="P608" s="22">
        <v>1.5681526000451324E-2</v>
      </c>
      <c r="Q608" s="21">
        <v>4</v>
      </c>
      <c r="R608" s="27">
        <v>6477863.2737965304</v>
      </c>
      <c r="S608" s="22">
        <v>2.0547945242690914E-2</v>
      </c>
      <c r="T608" s="23">
        <v>3</v>
      </c>
      <c r="U608" s="28">
        <v>5137399.2917067157</v>
      </c>
      <c r="V608" s="24">
        <v>1.6033292957359713E-2</v>
      </c>
      <c r="W608" s="23">
        <v>2</v>
      </c>
      <c r="X608" s="28">
        <v>4912125.1825291505</v>
      </c>
      <c r="Y608" s="24">
        <v>1.4996408766788358E-2</v>
      </c>
      <c r="Z608" s="23">
        <v>3</v>
      </c>
      <c r="AA608" s="28">
        <v>4735190.8079084028</v>
      </c>
      <c r="AB608" s="24">
        <v>1.4672472166631811E-2</v>
      </c>
    </row>
    <row r="609" spans="1:36" x14ac:dyDescent="0.25">
      <c r="A609" s="48" t="s">
        <v>5619</v>
      </c>
      <c r="B609" s="48" t="s">
        <v>7617</v>
      </c>
      <c r="C609" s="48" t="s">
        <v>5621</v>
      </c>
      <c r="D609" s="49" t="s">
        <v>5620</v>
      </c>
      <c r="E609" s="49" t="s">
        <v>495</v>
      </c>
      <c r="F609" s="48"/>
      <c r="G609" s="48" t="s">
        <v>552</v>
      </c>
      <c r="H609" s="48" t="s">
        <v>17</v>
      </c>
      <c r="I609" s="50">
        <v>-1.45950264912031</v>
      </c>
      <c r="J609" s="50">
        <v>0.10525724794994901</v>
      </c>
      <c r="K609" s="51">
        <v>15</v>
      </c>
      <c r="L609" s="52">
        <v>25087548.547329001</v>
      </c>
      <c r="M609" s="53">
        <v>3.3896336116500322E-2</v>
      </c>
      <c r="N609" s="51">
        <v>7</v>
      </c>
      <c r="O609" s="52">
        <v>18320176.950808335</v>
      </c>
      <c r="P609" s="53">
        <v>2.4969567967591925E-2</v>
      </c>
      <c r="Q609" s="51">
        <v>19</v>
      </c>
      <c r="R609" s="52">
        <v>26357825.146831308</v>
      </c>
      <c r="S609" s="53">
        <v>3.6135524590312738E-2</v>
      </c>
      <c r="T609" s="54">
        <v>11</v>
      </c>
      <c r="U609" s="55">
        <v>19210132.948933531</v>
      </c>
      <c r="V609" s="56">
        <v>2.5911821651191432E-2</v>
      </c>
      <c r="W609" s="54">
        <v>5</v>
      </c>
      <c r="X609" s="55">
        <v>14852455.812795153</v>
      </c>
      <c r="Y609" s="56">
        <v>1.959766283003991E-2</v>
      </c>
      <c r="Z609" s="54">
        <v>8</v>
      </c>
      <c r="AA609" s="55">
        <v>17620120.308019761</v>
      </c>
      <c r="AB609" s="56">
        <v>2.3597329054592071E-2</v>
      </c>
      <c r="AC609" s="59"/>
      <c r="AD609" s="59"/>
      <c r="AE609" s="59"/>
      <c r="AF609" s="59"/>
      <c r="AG609" s="59"/>
      <c r="AH609" s="59"/>
      <c r="AI609" s="50"/>
      <c r="AJ609" s="50"/>
    </row>
    <row r="610" spans="1:36" x14ac:dyDescent="0.25">
      <c r="A610" t="s">
        <v>5695</v>
      </c>
      <c r="B610" t="s">
        <v>7641</v>
      </c>
      <c r="C610" t="s">
        <v>5697</v>
      </c>
      <c r="D610" s="3" t="s">
        <v>5696</v>
      </c>
      <c r="E610" s="3" t="s">
        <v>495</v>
      </c>
      <c r="G610" t="s">
        <v>5684</v>
      </c>
      <c r="H610" t="s">
        <v>553</v>
      </c>
      <c r="I610" s="17">
        <v>1.5018744649196001</v>
      </c>
      <c r="J610" s="17">
        <v>1.2151586854301399E-2</v>
      </c>
      <c r="K610" s="21">
        <v>14</v>
      </c>
      <c r="L610" s="27">
        <v>21938813.605591401</v>
      </c>
      <c r="M610" s="22">
        <v>3.0614943937780602E-2</v>
      </c>
      <c r="N610" s="21">
        <v>8</v>
      </c>
      <c r="O610" s="27">
        <v>18732906.466490943</v>
      </c>
      <c r="P610" s="22">
        <v>2.6370133427495016E-2</v>
      </c>
      <c r="Q610" s="21">
        <v>16</v>
      </c>
      <c r="R610" s="27">
        <v>22551699.591809303</v>
      </c>
      <c r="S610" s="22">
        <v>3.1932275499739329E-2</v>
      </c>
      <c r="T610" s="23">
        <v>12</v>
      </c>
      <c r="U610" s="28">
        <v>33824644.621368654</v>
      </c>
      <c r="V610" s="24">
        <v>4.7122314796905117E-2</v>
      </c>
      <c r="W610" s="23">
        <v>9</v>
      </c>
      <c r="X610" s="28">
        <v>38354472.938249171</v>
      </c>
      <c r="Y610" s="24">
        <v>5.2269437954149227E-2</v>
      </c>
      <c r="Z610" s="23">
        <v>13</v>
      </c>
      <c r="AA610" s="28">
        <v>31241663.494884994</v>
      </c>
      <c r="AB610" s="24">
        <v>4.3212951289445307E-2</v>
      </c>
    </row>
    <row r="611" spans="1:36" x14ac:dyDescent="0.25">
      <c r="A611" t="s">
        <v>5882</v>
      </c>
      <c r="B611" t="s">
        <v>7700</v>
      </c>
      <c r="C611" t="s">
        <v>5885</v>
      </c>
      <c r="D611" s="3" t="s">
        <v>5883</v>
      </c>
      <c r="E611" s="3" t="s">
        <v>495</v>
      </c>
      <c r="G611" t="s">
        <v>5884</v>
      </c>
      <c r="H611" t="s">
        <v>243</v>
      </c>
      <c r="I611" s="17">
        <v>1.2322673226879499</v>
      </c>
      <c r="J611" s="17">
        <v>0.18110219758231799</v>
      </c>
      <c r="K611" s="21">
        <v>6</v>
      </c>
      <c r="L611" s="27">
        <v>5972299.6777258599</v>
      </c>
      <c r="M611" s="22">
        <v>1.3088357013837327E-2</v>
      </c>
      <c r="N611" s="21">
        <v>4</v>
      </c>
      <c r="O611" s="27">
        <v>4194459.5176543752</v>
      </c>
      <c r="P611" s="22">
        <v>9.2727036633777175E-3</v>
      </c>
      <c r="Q611" s="21">
        <v>5</v>
      </c>
      <c r="R611" s="27">
        <v>5301212.9562330106</v>
      </c>
      <c r="S611" s="22">
        <v>1.1788242237650003E-2</v>
      </c>
      <c r="T611" s="23">
        <v>3</v>
      </c>
      <c r="U611" s="28">
        <v>6625230.6201357292</v>
      </c>
      <c r="V611" s="24">
        <v>1.4494978827136563E-2</v>
      </c>
      <c r="W611" s="23">
        <v>4</v>
      </c>
      <c r="X611" s="28">
        <v>7249932.1415133392</v>
      </c>
      <c r="Y611" s="24">
        <v>1.5516328437694319E-2</v>
      </c>
      <c r="Z611" s="23">
        <v>4</v>
      </c>
      <c r="AA611" s="28">
        <v>6966057.5228432007</v>
      </c>
      <c r="AB611" s="24">
        <v>1.5131780932229541E-2</v>
      </c>
      <c r="AC611" s="20">
        <v>2.0579134247015545</v>
      </c>
      <c r="AD611" s="20">
        <v>1.6723565329193546</v>
      </c>
      <c r="AE611" s="20">
        <v>2.1886892671983231</v>
      </c>
      <c r="AF611" s="20">
        <v>1.9593708252377091</v>
      </c>
      <c r="AG611" s="20">
        <v>1.7510509981812568</v>
      </c>
      <c r="AH611" s="20">
        <v>1.8183380908984168</v>
      </c>
    </row>
    <row r="612" spans="1:36" x14ac:dyDescent="0.25">
      <c r="A612" t="s">
        <v>5683</v>
      </c>
      <c r="B612" t="s">
        <v>7637</v>
      </c>
      <c r="C612" t="s">
        <v>5685</v>
      </c>
      <c r="D612" s="3" t="s">
        <v>5350</v>
      </c>
      <c r="E612" s="3" t="s">
        <v>495</v>
      </c>
      <c r="G612" t="s">
        <v>5684</v>
      </c>
      <c r="H612" t="s">
        <v>553</v>
      </c>
      <c r="I612" s="17">
        <v>1.1689148809521901</v>
      </c>
      <c r="J612" s="17">
        <v>0.51538864696386</v>
      </c>
      <c r="K612" s="21">
        <v>1</v>
      </c>
      <c r="L612" s="27">
        <v>160327.884197935</v>
      </c>
      <c r="M612" s="22">
        <v>2.6836175037793974E-4</v>
      </c>
      <c r="N612" s="21">
        <v>0</v>
      </c>
      <c r="O612" s="27">
        <v>40645.709870990242</v>
      </c>
      <c r="P612" s="22">
        <v>6.8629857917551856E-5</v>
      </c>
      <c r="Q612" s="21">
        <v>1</v>
      </c>
      <c r="R612" s="27">
        <v>215862.76240413426</v>
      </c>
      <c r="S612" s="22">
        <v>3.6662286309620273E-4</v>
      </c>
      <c r="T612" s="23">
        <v>2</v>
      </c>
      <c r="U612" s="28">
        <v>159332.11548554833</v>
      </c>
      <c r="V612" s="24">
        <v>2.6624896035904041E-4</v>
      </c>
      <c r="W612" s="23">
        <v>0</v>
      </c>
      <c r="X612" s="28">
        <v>188695.93791378636</v>
      </c>
      <c r="Y612" s="24">
        <v>3.0845057675369904E-4</v>
      </c>
      <c r="Z612" s="23">
        <v>0</v>
      </c>
      <c r="AA612" s="28">
        <v>185387.39294192212</v>
      </c>
      <c r="AB612" s="24">
        <v>3.0757511800516801E-4</v>
      </c>
      <c r="AC612" s="17" t="s">
        <v>8084</v>
      </c>
      <c r="AD612" s="20">
        <v>1.9729864082730775</v>
      </c>
      <c r="AF612" s="17" t="s">
        <v>8084</v>
      </c>
      <c r="AG612" s="20">
        <v>1.8429199714391276</v>
      </c>
      <c r="AI612" s="47" t="s">
        <v>8087</v>
      </c>
      <c r="AJ612" s="20">
        <v>93.407636449569111</v>
      </c>
    </row>
    <row r="613" spans="1:36" x14ac:dyDescent="0.25">
      <c r="A613" t="s">
        <v>5886</v>
      </c>
      <c r="B613" t="s">
        <v>7701</v>
      </c>
      <c r="C613" t="s">
        <v>5888</v>
      </c>
      <c r="D613" s="3" t="s">
        <v>5887</v>
      </c>
      <c r="E613" s="3" t="s">
        <v>495</v>
      </c>
      <c r="G613" t="s">
        <v>5884</v>
      </c>
      <c r="H613" t="s">
        <v>243</v>
      </c>
      <c r="I613" s="17">
        <v>1.1663717032719401</v>
      </c>
      <c r="J613" s="17">
        <v>0.26457829808216499</v>
      </c>
      <c r="K613" s="21">
        <v>3</v>
      </c>
      <c r="L613" s="27">
        <v>229283.94503893101</v>
      </c>
      <c r="M613" s="22">
        <v>2.5297775683047388E-4</v>
      </c>
      <c r="N613" s="21">
        <v>0</v>
      </c>
      <c r="O613" s="27">
        <v>222814.26881446553</v>
      </c>
      <c r="P613" s="22">
        <v>2.4799248668113609E-4</v>
      </c>
      <c r="Q613" s="21">
        <v>3</v>
      </c>
      <c r="R613" s="27">
        <v>294319.94579104928</v>
      </c>
      <c r="S613" s="22">
        <v>3.2950244862428146E-4</v>
      </c>
      <c r="T613" s="23">
        <v>0</v>
      </c>
      <c r="U613" s="28">
        <v>291813.81093424727</v>
      </c>
      <c r="V613" s="24">
        <v>3.2143086556278978E-4</v>
      </c>
      <c r="W613" s="23">
        <v>1</v>
      </c>
      <c r="X613" s="28">
        <v>289062.98840281734</v>
      </c>
      <c r="Y613" s="24">
        <v>3.1146744546158993E-4</v>
      </c>
      <c r="Z613" s="23">
        <v>1</v>
      </c>
      <c r="AA613" s="28">
        <v>358196.15582702507</v>
      </c>
      <c r="AB613" s="24">
        <v>3.9173200925260503E-4</v>
      </c>
      <c r="AC613" s="17" t="s">
        <v>8085</v>
      </c>
      <c r="AD613" s="20">
        <v>0.26843867402365917</v>
      </c>
      <c r="AF613" s="17" t="s">
        <v>8085</v>
      </c>
      <c r="AG613" s="20">
        <v>0.10631316580930081</v>
      </c>
      <c r="AI613" s="17" t="s">
        <v>8086</v>
      </c>
      <c r="AJ613" s="20">
        <v>0.47882681789712073</v>
      </c>
    </row>
    <row r="614" spans="1:36" x14ac:dyDescent="0.25">
      <c r="A614" t="s">
        <v>5812</v>
      </c>
      <c r="B614" t="s">
        <v>7677</v>
      </c>
      <c r="C614" t="s">
        <v>5814</v>
      </c>
      <c r="D614" s="3" t="s">
        <v>5813</v>
      </c>
      <c r="E614" s="3" t="s">
        <v>495</v>
      </c>
      <c r="G614" t="s">
        <v>501</v>
      </c>
      <c r="H614" t="s">
        <v>243</v>
      </c>
      <c r="I614" s="17">
        <v>1.07719467171063</v>
      </c>
      <c r="J614" s="17">
        <v>0.26581634729745701</v>
      </c>
      <c r="K614" s="21">
        <v>27</v>
      </c>
      <c r="L614" s="27">
        <v>32816046.219271701</v>
      </c>
      <c r="M614" s="22">
        <v>4.3965886274511139E-2</v>
      </c>
      <c r="N614" s="21">
        <v>14</v>
      </c>
      <c r="O614" s="27">
        <v>31475795.878069587</v>
      </c>
      <c r="P614" s="22">
        <v>4.2539573378198241E-2</v>
      </c>
      <c r="Q614" s="21">
        <v>28</v>
      </c>
      <c r="R614" s="27">
        <v>35404676.53594619</v>
      </c>
      <c r="S614" s="22">
        <v>4.8130510503709791E-2</v>
      </c>
      <c r="T614" s="23">
        <v>24</v>
      </c>
      <c r="U614" s="28">
        <v>38609933.922041744</v>
      </c>
      <c r="V614" s="24">
        <v>5.1641836641996508E-2</v>
      </c>
      <c r="W614" s="23">
        <v>18</v>
      </c>
      <c r="X614" s="28">
        <v>40098475.394936673</v>
      </c>
      <c r="Y614" s="24">
        <v>5.246490838799911E-2</v>
      </c>
      <c r="Z614" s="23">
        <v>16</v>
      </c>
      <c r="AA614" s="28">
        <v>37699954.044920169</v>
      </c>
      <c r="AB614" s="24">
        <v>5.0064495710067498E-2</v>
      </c>
    </row>
    <row r="615" spans="1:36" x14ac:dyDescent="0.25">
      <c r="A615" t="s">
        <v>5756</v>
      </c>
      <c r="B615" t="s">
        <v>7660</v>
      </c>
      <c r="C615" t="s">
        <v>5759</v>
      </c>
      <c r="D615" s="3" t="s">
        <v>5757</v>
      </c>
      <c r="E615" s="3" t="s">
        <v>495</v>
      </c>
      <c r="G615" t="s">
        <v>5758</v>
      </c>
      <c r="H615" t="s">
        <v>243</v>
      </c>
      <c r="I615" s="17">
        <v>1.0277405965389399</v>
      </c>
      <c r="J615" s="17">
        <v>0.61720783470508001</v>
      </c>
      <c r="K615" s="21">
        <v>1</v>
      </c>
      <c r="L615" s="27">
        <v>470174.64465894201</v>
      </c>
      <c r="M615" s="22">
        <v>7.08851671601703E-4</v>
      </c>
      <c r="N615" s="21">
        <v>3</v>
      </c>
      <c r="O615" s="27">
        <v>613470.27167410788</v>
      </c>
      <c r="P615" s="22">
        <v>9.329889866874887E-4</v>
      </c>
      <c r="Q615" s="21">
        <v>3</v>
      </c>
      <c r="R615" s="27">
        <v>611990.51383944333</v>
      </c>
      <c r="S615" s="22">
        <v>9.3620533778321694E-4</v>
      </c>
      <c r="T615" s="23">
        <v>1</v>
      </c>
      <c r="U615" s="28">
        <v>609226.99418895249</v>
      </c>
      <c r="V615" s="24">
        <v>9.1695567935054674E-4</v>
      </c>
      <c r="W615" s="23">
        <v>1</v>
      </c>
      <c r="X615" s="28">
        <v>686849.65501257707</v>
      </c>
      <c r="Y615" s="24">
        <v>1.0112751331605384E-3</v>
      </c>
      <c r="Z615" s="23">
        <v>1</v>
      </c>
      <c r="AA615" s="28">
        <v>583504.49403128691</v>
      </c>
      <c r="AB615" s="24">
        <v>8.7196653131641074E-4</v>
      </c>
    </row>
    <row r="616" spans="1:36" x14ac:dyDescent="0.25">
      <c r="A616" t="s">
        <v>5749</v>
      </c>
      <c r="B616" t="s">
        <v>7658</v>
      </c>
      <c r="C616" t="s">
        <v>5751</v>
      </c>
      <c r="D616" s="3" t="s">
        <v>5750</v>
      </c>
      <c r="E616" s="3" t="s">
        <v>495</v>
      </c>
      <c r="G616" t="s">
        <v>1339</v>
      </c>
      <c r="H616" t="s">
        <v>243</v>
      </c>
      <c r="I616" s="17">
        <v>1.0124636068016499</v>
      </c>
      <c r="J616" s="17">
        <v>0.87896375689686201</v>
      </c>
      <c r="K616" s="21">
        <v>16</v>
      </c>
      <c r="L616" s="27">
        <v>30599128.969468798</v>
      </c>
      <c r="M616" s="22">
        <v>5.5437409834646456E-2</v>
      </c>
      <c r="N616" s="21">
        <v>5</v>
      </c>
      <c r="O616" s="27">
        <v>19544911.700764313</v>
      </c>
      <c r="P616" s="22">
        <v>3.5720243592314911E-2</v>
      </c>
      <c r="Q616" s="21">
        <v>19</v>
      </c>
      <c r="R616" s="27">
        <v>32788888.778380513</v>
      </c>
      <c r="S616" s="22">
        <v>6.0276888378109038E-2</v>
      </c>
      <c r="T616" s="23">
        <v>15</v>
      </c>
      <c r="U616" s="28">
        <v>32013780.615983557</v>
      </c>
      <c r="V616" s="24">
        <v>5.7903374577586098E-2</v>
      </c>
      <c r="W616" s="23">
        <v>10</v>
      </c>
      <c r="X616" s="28">
        <v>26543813.186172463</v>
      </c>
      <c r="Y616" s="24">
        <v>4.6964387188603421E-2</v>
      </c>
      <c r="Z616" s="23">
        <v>8</v>
      </c>
      <c r="AA616" s="28">
        <v>32465852.181154132</v>
      </c>
      <c r="AB616" s="24">
        <v>5.8301552726857657E-2</v>
      </c>
    </row>
    <row r="617" spans="1:36" x14ac:dyDescent="0.25">
      <c r="A617" t="s">
        <v>5692</v>
      </c>
      <c r="B617" t="s">
        <v>7640</v>
      </c>
      <c r="C617" t="s">
        <v>5694</v>
      </c>
      <c r="D617" s="3" t="s">
        <v>5693</v>
      </c>
      <c r="E617" s="3" t="s">
        <v>495</v>
      </c>
      <c r="G617" t="s">
        <v>5684</v>
      </c>
      <c r="H617" t="s">
        <v>57</v>
      </c>
      <c r="I617" s="17">
        <v>-1.0115741644412</v>
      </c>
      <c r="J617" s="17">
        <v>0.83747937909886405</v>
      </c>
      <c r="K617" s="21">
        <v>3</v>
      </c>
      <c r="L617" s="27">
        <v>1500920.87004975</v>
      </c>
      <c r="M617" s="22">
        <v>2.9542640962626392E-3</v>
      </c>
      <c r="N617" s="21">
        <v>1</v>
      </c>
      <c r="O617" s="27">
        <v>671087.78930263466</v>
      </c>
      <c r="P617" s="22">
        <v>1.332470764870787E-3</v>
      </c>
      <c r="Q617" s="21">
        <v>5</v>
      </c>
      <c r="R617" s="27">
        <v>1463649.6871141072</v>
      </c>
      <c r="S617" s="22">
        <v>2.9232026514067764E-3</v>
      </c>
      <c r="T617" s="23">
        <v>3</v>
      </c>
      <c r="U617" s="28">
        <v>1286781.0813531582</v>
      </c>
      <c r="V617" s="24">
        <v>2.5285365215292868E-3</v>
      </c>
      <c r="W617" s="23">
        <v>1</v>
      </c>
      <c r="X617" s="28">
        <v>1378765.7731250178</v>
      </c>
      <c r="Y617" s="24">
        <v>2.6502905912529962E-3</v>
      </c>
      <c r="Z617" s="23">
        <v>2</v>
      </c>
      <c r="AA617" s="28">
        <v>1277241.7214067825</v>
      </c>
      <c r="AB617" s="24">
        <v>2.4918624405741658E-3</v>
      </c>
    </row>
    <row r="618" spans="1:36" x14ac:dyDescent="0.25">
      <c r="A618" t="s">
        <v>5788</v>
      </c>
      <c r="B618" t="s">
        <v>7669</v>
      </c>
      <c r="C618" t="s">
        <v>5791</v>
      </c>
      <c r="D618" s="3" t="s">
        <v>5789</v>
      </c>
      <c r="E618" s="3" t="s">
        <v>495</v>
      </c>
      <c r="G618" t="s">
        <v>5790</v>
      </c>
      <c r="H618" t="s">
        <v>243</v>
      </c>
      <c r="I618" s="17">
        <v>-1.02408952729762</v>
      </c>
      <c r="J618" s="17">
        <v>0.93235240885281101</v>
      </c>
      <c r="K618" s="21">
        <v>23</v>
      </c>
      <c r="L618" s="27">
        <v>27272020.4318505</v>
      </c>
      <c r="M618" s="22">
        <v>4.8992036293450843E-2</v>
      </c>
      <c r="N618" s="21">
        <v>14</v>
      </c>
      <c r="O618" s="27">
        <v>20316886.871441279</v>
      </c>
      <c r="P618" s="22">
        <v>3.6817319974517052E-2</v>
      </c>
      <c r="Q618" s="21">
        <v>20</v>
      </c>
      <c r="R618" s="27">
        <v>28552453.68576121</v>
      </c>
      <c r="S618" s="22">
        <v>5.2045342703567504E-2</v>
      </c>
      <c r="T618" s="23">
        <v>14</v>
      </c>
      <c r="U618" s="28">
        <v>27541681.684804928</v>
      </c>
      <c r="V618" s="24">
        <v>4.9393713168817799E-2</v>
      </c>
      <c r="W618" s="23">
        <v>14</v>
      </c>
      <c r="X618" s="28">
        <v>24513094.620828405</v>
      </c>
      <c r="Y618" s="24">
        <v>4.300488589853909E-2</v>
      </c>
      <c r="Z618" s="23">
        <v>15</v>
      </c>
      <c r="AA618" s="28">
        <v>28549478.875380933</v>
      </c>
      <c r="AB618" s="24">
        <v>5.0835349076611802E-2</v>
      </c>
    </row>
    <row r="619" spans="1:36" x14ac:dyDescent="0.25">
      <c r="A619" t="s">
        <v>5746</v>
      </c>
      <c r="B619" t="s">
        <v>7657</v>
      </c>
      <c r="C619" t="s">
        <v>5748</v>
      </c>
      <c r="D619" s="3" t="s">
        <v>5747</v>
      </c>
      <c r="E619" s="3" t="s">
        <v>495</v>
      </c>
      <c r="G619" t="s">
        <v>1339</v>
      </c>
      <c r="H619" t="s">
        <v>243</v>
      </c>
      <c r="I619" s="17">
        <v>-1.0460460437327801</v>
      </c>
      <c r="J619" s="17">
        <v>0.77614538557637502</v>
      </c>
      <c r="K619" s="21">
        <v>27</v>
      </c>
      <c r="L619" s="27">
        <v>57103944.853803903</v>
      </c>
      <c r="M619" s="22">
        <v>0.11415947381604523</v>
      </c>
      <c r="N619" s="21">
        <v>16</v>
      </c>
      <c r="O619" s="27">
        <v>45427192.070396483</v>
      </c>
      <c r="P619" s="22">
        <v>9.1611200172531562E-2</v>
      </c>
      <c r="Q619" s="21">
        <v>30</v>
      </c>
      <c r="R619" s="27">
        <v>59010685.293385677</v>
      </c>
      <c r="S619" s="22">
        <v>0.11970347687278032</v>
      </c>
      <c r="T619" s="23">
        <v>24</v>
      </c>
      <c r="U619" s="28">
        <v>56318576.333339632</v>
      </c>
      <c r="V619" s="24">
        <v>0.11240109928901526</v>
      </c>
      <c r="W619" s="23">
        <v>22</v>
      </c>
      <c r="X619" s="28">
        <v>54400064.732113741</v>
      </c>
      <c r="Y619" s="24">
        <v>0.10620788111499101</v>
      </c>
      <c r="Z619" s="23">
        <v>24</v>
      </c>
      <c r="AA619" s="28">
        <v>56921862.15388763</v>
      </c>
      <c r="AB619" s="24">
        <v>0.112793583359491</v>
      </c>
    </row>
    <row r="620" spans="1:36" x14ac:dyDescent="0.25">
      <c r="A620" t="s">
        <v>5803</v>
      </c>
      <c r="B620" t="s">
        <v>7673</v>
      </c>
      <c r="C620" t="s">
        <v>5804</v>
      </c>
      <c r="D620" s="3" t="s">
        <v>5801</v>
      </c>
      <c r="E620" s="3" t="s">
        <v>495</v>
      </c>
      <c r="G620" t="s">
        <v>501</v>
      </c>
      <c r="H620" t="s">
        <v>243</v>
      </c>
      <c r="I620" s="17">
        <v>-1.04796703218369</v>
      </c>
      <c r="J620" s="17">
        <v>0.58988599144854803</v>
      </c>
      <c r="K620" s="21">
        <v>5</v>
      </c>
      <c r="L620" s="27">
        <v>3936750.7711223401</v>
      </c>
      <c r="M620" s="22">
        <v>6.18370008661406E-3</v>
      </c>
      <c r="N620" s="21">
        <v>2</v>
      </c>
      <c r="O620" s="27">
        <v>4678775.4501622338</v>
      </c>
      <c r="P620" s="22">
        <v>7.4136065123600759E-3</v>
      </c>
      <c r="Q620" s="21">
        <v>7</v>
      </c>
      <c r="R620" s="27">
        <v>3963345.5762367328</v>
      </c>
      <c r="S620" s="22">
        <v>6.3168810321830894E-3</v>
      </c>
      <c r="T620" s="23">
        <v>3</v>
      </c>
      <c r="U620" s="28">
        <v>4423571.3692412889</v>
      </c>
      <c r="V620" s="24">
        <v>6.9367585612748759E-3</v>
      </c>
      <c r="W620" s="23">
        <v>3</v>
      </c>
      <c r="X620" s="28">
        <v>4066241.352884396</v>
      </c>
      <c r="Y620" s="24">
        <v>6.2375656608728075E-3</v>
      </c>
      <c r="Z620" s="23">
        <v>2</v>
      </c>
      <c r="AA620" s="28">
        <v>4453938.1587391822</v>
      </c>
      <c r="AB620" s="24">
        <v>6.9344836258714319E-3</v>
      </c>
    </row>
    <row r="621" spans="1:36" x14ac:dyDescent="0.25">
      <c r="A621" t="s">
        <v>5760</v>
      </c>
      <c r="B621" t="s">
        <v>7661</v>
      </c>
      <c r="C621" t="s">
        <v>5763</v>
      </c>
      <c r="D621" s="3" t="s">
        <v>5761</v>
      </c>
      <c r="E621" s="3" t="s">
        <v>495</v>
      </c>
      <c r="G621" t="s">
        <v>5762</v>
      </c>
      <c r="H621" t="s">
        <v>243</v>
      </c>
      <c r="I621" s="17">
        <v>-1.05961310900647</v>
      </c>
      <c r="J621" s="17">
        <v>0.95113698621653198</v>
      </c>
      <c r="K621" s="21">
        <v>4</v>
      </c>
      <c r="L621" s="27">
        <v>1221458.58574598</v>
      </c>
      <c r="M621" s="22">
        <v>2.0445149995260521E-3</v>
      </c>
      <c r="N621" s="21">
        <v>0</v>
      </c>
      <c r="O621" s="27">
        <v>514440.78332040273</v>
      </c>
      <c r="P621" s="22">
        <v>8.686279063235652E-4</v>
      </c>
      <c r="Q621" s="21">
        <v>3</v>
      </c>
      <c r="R621" s="27">
        <v>1104808.7493832994</v>
      </c>
      <c r="S621" s="22">
        <v>1.8764150998601451E-3</v>
      </c>
      <c r="T621" s="23">
        <v>0</v>
      </c>
      <c r="U621" s="28">
        <v>1030838.7753726484</v>
      </c>
      <c r="V621" s="24">
        <v>1.7225639125192436E-3</v>
      </c>
      <c r="W621" s="23">
        <v>0</v>
      </c>
      <c r="X621" s="28">
        <v>942730.23656794976</v>
      </c>
      <c r="Y621" s="24">
        <v>1.54102779533809E-3</v>
      </c>
      <c r="Z621" s="23">
        <v>0</v>
      </c>
      <c r="AA621" s="28">
        <v>963681.24107932346</v>
      </c>
      <c r="AB621" s="24">
        <v>1.5988377998130475E-3</v>
      </c>
    </row>
    <row r="622" spans="1:36" x14ac:dyDescent="0.25">
      <c r="A622" t="s">
        <v>5844</v>
      </c>
      <c r="B622" t="s">
        <v>7688</v>
      </c>
      <c r="C622" t="s">
        <v>5846</v>
      </c>
      <c r="D622" s="3" t="s">
        <v>5845</v>
      </c>
      <c r="E622" s="3" t="s">
        <v>495</v>
      </c>
      <c r="G622" t="s">
        <v>887</v>
      </c>
      <c r="H622" t="s">
        <v>243</v>
      </c>
      <c r="I622" s="17">
        <v>-1.0625318108255699</v>
      </c>
      <c r="J622" s="17">
        <v>0.47796078294790501</v>
      </c>
      <c r="K622" s="21">
        <v>14</v>
      </c>
      <c r="L622" s="27">
        <v>17681980.598729499</v>
      </c>
      <c r="M622" s="22">
        <v>2.1437873097578216E-2</v>
      </c>
      <c r="N622" s="21">
        <v>11</v>
      </c>
      <c r="O622" s="27">
        <v>17139235.682782859</v>
      </c>
      <c r="P622" s="22">
        <v>2.0961823954926163E-2</v>
      </c>
      <c r="Q622" s="21">
        <v>15</v>
      </c>
      <c r="R622" s="27">
        <v>20250456.801919468</v>
      </c>
      <c r="S622" s="22">
        <v>2.4912417301815242E-2</v>
      </c>
      <c r="T622" s="23">
        <v>15</v>
      </c>
      <c r="U622" s="28">
        <v>18797212.894719146</v>
      </c>
      <c r="V622" s="24">
        <v>2.2751880078989054E-2</v>
      </c>
      <c r="W622" s="23">
        <v>11</v>
      </c>
      <c r="X622" s="28">
        <v>18012400.461601276</v>
      </c>
      <c r="Y622" s="24">
        <v>2.132720094512517E-2</v>
      </c>
      <c r="Z622" s="23">
        <v>13</v>
      </c>
      <c r="AA622" s="28">
        <v>19195183.867613576</v>
      </c>
      <c r="AB622" s="24">
        <v>2.3067605217613755E-2</v>
      </c>
    </row>
    <row r="623" spans="1:36" x14ac:dyDescent="0.25">
      <c r="A623" t="s">
        <v>5807</v>
      </c>
      <c r="B623" t="s">
        <v>7675</v>
      </c>
      <c r="C623" t="s">
        <v>5809</v>
      </c>
      <c r="D623" s="3" t="s">
        <v>5808</v>
      </c>
      <c r="E623" s="3" t="s">
        <v>495</v>
      </c>
      <c r="G623" t="s">
        <v>501</v>
      </c>
      <c r="H623" t="s">
        <v>243</v>
      </c>
      <c r="I623" s="17">
        <v>-1.0629891231680499</v>
      </c>
      <c r="J623" s="17">
        <v>0.98605401567054796</v>
      </c>
      <c r="K623" s="21">
        <v>9</v>
      </c>
      <c r="L623" s="27">
        <v>4407094.8302610097</v>
      </c>
      <c r="M623" s="22">
        <v>9.3064057379803177E-3</v>
      </c>
      <c r="N623" s="21">
        <v>4</v>
      </c>
      <c r="O623" s="27">
        <v>2217963.7214953592</v>
      </c>
      <c r="P623" s="22">
        <v>4.7246632312580522E-3</v>
      </c>
      <c r="Q623" s="21">
        <v>8</v>
      </c>
      <c r="R623" s="27">
        <v>5060658.40287787</v>
      </c>
      <c r="S623" s="22">
        <v>1.0843434741703243E-2</v>
      </c>
      <c r="T623" s="23">
        <v>9</v>
      </c>
      <c r="U623" s="28">
        <v>3797675.1864426415</v>
      </c>
      <c r="V623" s="24">
        <v>8.006089631785944E-3</v>
      </c>
      <c r="W623" s="23">
        <v>5</v>
      </c>
      <c r="X623" s="28">
        <v>4047052.0778773199</v>
      </c>
      <c r="Y623" s="24">
        <v>8.3460284574524268E-3</v>
      </c>
      <c r="Z623" s="23">
        <v>7</v>
      </c>
      <c r="AA623" s="28">
        <v>4151267.8155558733</v>
      </c>
      <c r="AB623" s="24">
        <v>8.6889998021582593E-3</v>
      </c>
    </row>
    <row r="624" spans="1:36" x14ac:dyDescent="0.25">
      <c r="A624" t="s">
        <v>5815</v>
      </c>
      <c r="B624" t="s">
        <v>7678</v>
      </c>
      <c r="C624" t="s">
        <v>5817</v>
      </c>
      <c r="D624" s="3" t="s">
        <v>5816</v>
      </c>
      <c r="E624" s="3" t="s">
        <v>495</v>
      </c>
      <c r="G624" t="s">
        <v>501</v>
      </c>
      <c r="H624" t="s">
        <v>243</v>
      </c>
      <c r="I624" s="17">
        <v>-1.08046674126253</v>
      </c>
      <c r="J624" s="17">
        <v>0.64405814441017595</v>
      </c>
      <c r="K624" s="21">
        <v>43</v>
      </c>
      <c r="L624" s="27">
        <v>155855421.31053001</v>
      </c>
      <c r="M624" s="22">
        <v>0.23721624157636528</v>
      </c>
      <c r="N624" s="21">
        <v>41</v>
      </c>
      <c r="O624" s="27">
        <v>119222937.79866947</v>
      </c>
      <c r="P624" s="22">
        <v>0.18304975790001593</v>
      </c>
      <c r="Q624" s="21">
        <v>50</v>
      </c>
      <c r="R624" s="27">
        <v>159476912.4816277</v>
      </c>
      <c r="S624" s="22">
        <v>0.24629215908433641</v>
      </c>
      <c r="T624" s="23">
        <v>42</v>
      </c>
      <c r="U624" s="28">
        <v>153761893.69314328</v>
      </c>
      <c r="V624" s="24">
        <v>0.23363842502502485</v>
      </c>
      <c r="W624" s="23">
        <v>40</v>
      </c>
      <c r="X624" s="28">
        <v>140923648.01536769</v>
      </c>
      <c r="Y624" s="24">
        <v>0.20946808639705053</v>
      </c>
      <c r="Z624" s="23">
        <v>44</v>
      </c>
      <c r="AA624" s="28">
        <v>141792719.02998224</v>
      </c>
      <c r="AB624" s="24">
        <v>0.21391236317062304</v>
      </c>
    </row>
    <row r="625" spans="1:28" x14ac:dyDescent="0.25">
      <c r="A625" t="s">
        <v>5743</v>
      </c>
      <c r="B625" t="s">
        <v>7656</v>
      </c>
      <c r="C625" t="s">
        <v>5745</v>
      </c>
      <c r="D625" s="3" t="s">
        <v>5744</v>
      </c>
      <c r="E625" s="3" t="s">
        <v>495</v>
      </c>
      <c r="G625" t="s">
        <v>1339</v>
      </c>
      <c r="H625" t="s">
        <v>243</v>
      </c>
      <c r="I625" s="17">
        <v>-1.1113759687103799</v>
      </c>
      <c r="J625" s="17">
        <v>0.56811198506621896</v>
      </c>
      <c r="K625" s="21">
        <v>34</v>
      </c>
      <c r="L625" s="27">
        <v>75909665.287586093</v>
      </c>
      <c r="M625" s="22">
        <v>0.12381032091588438</v>
      </c>
      <c r="N625" s="21">
        <v>23</v>
      </c>
      <c r="O625" s="27">
        <v>60081871.823260501</v>
      </c>
      <c r="P625" s="22">
        <v>9.8853046847593745E-2</v>
      </c>
      <c r="Q625" s="21">
        <v>37</v>
      </c>
      <c r="R625" s="27">
        <v>84807556.404238135</v>
      </c>
      <c r="S625" s="22">
        <v>0.14035393152283354</v>
      </c>
      <c r="T625" s="23">
        <v>29</v>
      </c>
      <c r="U625" s="28">
        <v>80128973.028643936</v>
      </c>
      <c r="V625" s="24">
        <v>0.13047352418833466</v>
      </c>
      <c r="W625" s="23">
        <v>28</v>
      </c>
      <c r="X625" s="28">
        <v>59882220.169905707</v>
      </c>
      <c r="Y625" s="24">
        <v>9.5382598011675104E-2</v>
      </c>
      <c r="Z625" s="23">
        <v>30</v>
      </c>
      <c r="AA625" s="28">
        <v>74173716.992384911</v>
      </c>
      <c r="AB625" s="24">
        <v>0.1199138269606259</v>
      </c>
    </row>
    <row r="626" spans="1:28" x14ac:dyDescent="0.25">
      <c r="A626" s="82" t="s">
        <v>5784</v>
      </c>
      <c r="B626" s="82" t="s">
        <v>7668</v>
      </c>
      <c r="C626" s="82" t="s">
        <v>5787</v>
      </c>
      <c r="D626" s="84" t="s">
        <v>5785</v>
      </c>
      <c r="E626" s="84" t="s">
        <v>495</v>
      </c>
      <c r="F626" s="82"/>
      <c r="G626" s="82" t="s">
        <v>5786</v>
      </c>
      <c r="H626" s="82" t="s">
        <v>243</v>
      </c>
      <c r="I626" s="47">
        <v>-1.1233298133157299</v>
      </c>
      <c r="J626" s="47">
        <v>0.45683148072465402</v>
      </c>
      <c r="K626" s="88">
        <v>46</v>
      </c>
      <c r="L626" s="89">
        <v>180151230.821444</v>
      </c>
      <c r="M626" s="22">
        <v>0.265329700925306</v>
      </c>
      <c r="N626" s="88">
        <v>35</v>
      </c>
      <c r="O626" s="89">
        <v>146064754.77741641</v>
      </c>
      <c r="P626" s="22">
        <v>0.21701057625010844</v>
      </c>
      <c r="Q626" s="88">
        <v>42</v>
      </c>
      <c r="R626" s="89">
        <v>201451583.13132077</v>
      </c>
      <c r="S626" s="22">
        <v>0.30105758826632312</v>
      </c>
      <c r="T626" s="90">
        <v>36</v>
      </c>
      <c r="U626" s="91">
        <v>182375047.39480367</v>
      </c>
      <c r="V626" s="24">
        <v>0.26815573854567587</v>
      </c>
      <c r="W626" s="90">
        <v>28</v>
      </c>
      <c r="X626" s="91">
        <v>160774223.38355124</v>
      </c>
      <c r="Y626" s="24">
        <v>0.23124722786810686</v>
      </c>
      <c r="Z626" s="90">
        <v>38</v>
      </c>
      <c r="AA626" s="91">
        <v>165000827.16748068</v>
      </c>
      <c r="AB626" s="24">
        <v>0.24087637285603453</v>
      </c>
    </row>
    <row r="627" spans="1:28" x14ac:dyDescent="0.25">
      <c r="A627" t="s">
        <v>5805</v>
      </c>
      <c r="B627" t="s">
        <v>7674</v>
      </c>
      <c r="C627" t="s">
        <v>5806</v>
      </c>
      <c r="D627" s="3" t="s">
        <v>5801</v>
      </c>
      <c r="E627" s="3" t="s">
        <v>495</v>
      </c>
      <c r="G627" t="s">
        <v>501</v>
      </c>
      <c r="H627" t="s">
        <v>243</v>
      </c>
      <c r="I627" s="17">
        <v>-1.13663633046252</v>
      </c>
      <c r="J627" s="17">
        <v>0.77754600203549296</v>
      </c>
      <c r="K627" s="21">
        <v>5</v>
      </c>
      <c r="L627" s="27">
        <v>1835880.2529028601</v>
      </c>
      <c r="M627" s="22">
        <v>5.4455584109811845E-3</v>
      </c>
      <c r="N627" s="21">
        <v>0</v>
      </c>
      <c r="O627" s="27">
        <v>926419.48814451008</v>
      </c>
      <c r="P627" s="22">
        <v>2.7719959089965453E-3</v>
      </c>
      <c r="Q627" s="21">
        <v>4</v>
      </c>
      <c r="R627" s="27">
        <v>1732398.7345370634</v>
      </c>
      <c r="S627" s="22">
        <v>5.2140619612432732E-3</v>
      </c>
      <c r="T627" s="23">
        <v>4</v>
      </c>
      <c r="U627" s="28">
        <v>1573958.3134691115</v>
      </c>
      <c r="V627" s="24">
        <v>4.6608415597444554E-3</v>
      </c>
      <c r="W627" s="23">
        <v>2</v>
      </c>
      <c r="X627" s="28">
        <v>1367713.8017627592</v>
      </c>
      <c r="Y627" s="24">
        <v>3.9619115962586729E-3</v>
      </c>
      <c r="Z627" s="23">
        <v>2</v>
      </c>
      <c r="AA627" s="28">
        <v>1373914.6478407155</v>
      </c>
      <c r="AB627" s="24">
        <v>4.0394038185521406E-3</v>
      </c>
    </row>
    <row r="628" spans="1:28" x14ac:dyDescent="0.25">
      <c r="A628" t="s">
        <v>5879</v>
      </c>
      <c r="B628" t="s">
        <v>7699</v>
      </c>
      <c r="C628" t="s">
        <v>5881</v>
      </c>
      <c r="D628" s="3" t="s">
        <v>5880</v>
      </c>
      <c r="E628" s="3" t="s">
        <v>495</v>
      </c>
      <c r="G628" t="s">
        <v>1377</v>
      </c>
      <c r="H628" t="s">
        <v>243</v>
      </c>
      <c r="I628" s="17">
        <v>-1.1390634038851699</v>
      </c>
      <c r="J628" s="17">
        <v>0.523820637729837</v>
      </c>
      <c r="K628" s="21">
        <v>15</v>
      </c>
      <c r="L628" s="27">
        <v>21672096.689674102</v>
      </c>
      <c r="M628" s="22">
        <v>5.5955206983964369E-2</v>
      </c>
      <c r="N628" s="21">
        <v>5</v>
      </c>
      <c r="O628" s="27">
        <v>14801857.875821523</v>
      </c>
      <c r="P628" s="22">
        <v>3.8551620598456626E-2</v>
      </c>
      <c r="Q628" s="21">
        <v>14</v>
      </c>
      <c r="R628" s="27">
        <v>20426562.986077342</v>
      </c>
      <c r="S628" s="22">
        <v>5.3513719040041222E-2</v>
      </c>
      <c r="T628" s="23">
        <v>11</v>
      </c>
      <c r="U628" s="28">
        <v>18933884.86492756</v>
      </c>
      <c r="V628" s="24">
        <v>4.8803655468081422E-2</v>
      </c>
      <c r="W628" s="23">
        <v>9</v>
      </c>
      <c r="X628" s="28">
        <v>18035802.196553953</v>
      </c>
      <c r="Y628" s="24">
        <v>4.5476446468717159E-2</v>
      </c>
      <c r="Z628" s="23">
        <v>5</v>
      </c>
      <c r="AA628" s="28">
        <v>17455411.355665937</v>
      </c>
      <c r="AB628" s="24">
        <v>4.4671353614244361E-2</v>
      </c>
    </row>
    <row r="629" spans="1:28" x14ac:dyDescent="0.25">
      <c r="A629" t="s">
        <v>5661</v>
      </c>
      <c r="B629" t="s">
        <v>7630</v>
      </c>
      <c r="C629" t="s">
        <v>5664</v>
      </c>
      <c r="D629" s="3" t="s">
        <v>5662</v>
      </c>
      <c r="E629" s="3" t="s">
        <v>495</v>
      </c>
      <c r="G629" t="s">
        <v>5663</v>
      </c>
      <c r="H629" t="s">
        <v>243</v>
      </c>
      <c r="I629" s="17">
        <v>-1.1508601335589099</v>
      </c>
      <c r="J629" s="17">
        <v>0.52174012450915597</v>
      </c>
      <c r="K629" s="21">
        <v>40</v>
      </c>
      <c r="L629" s="27">
        <v>111536061.890155</v>
      </c>
      <c r="M629" s="22">
        <v>0.21360312548167307</v>
      </c>
      <c r="N629" s="21">
        <v>31</v>
      </c>
      <c r="O629" s="27">
        <v>75905096.999414995</v>
      </c>
      <c r="P629" s="22">
        <v>0.14663919529467082</v>
      </c>
      <c r="Q629" s="21">
        <v>45</v>
      </c>
      <c r="R629" s="27">
        <v>113298291.62926</v>
      </c>
      <c r="S629" s="22">
        <v>0.22016380268222216</v>
      </c>
      <c r="T629" s="23">
        <v>39</v>
      </c>
      <c r="U629" s="28">
        <v>102685458.95274109</v>
      </c>
      <c r="V629" s="24">
        <v>0.19632440455726974</v>
      </c>
      <c r="W629" s="23">
        <v>31</v>
      </c>
      <c r="X629" s="28">
        <v>88789170.828373522</v>
      </c>
      <c r="Y629" s="24">
        <v>0.16605951988605741</v>
      </c>
      <c r="Z629" s="23">
        <v>34</v>
      </c>
      <c r="AA629" s="28">
        <v>92220511.099284112</v>
      </c>
      <c r="AB629" s="24">
        <v>0.17505691438517798</v>
      </c>
    </row>
    <row r="630" spans="1:28" x14ac:dyDescent="0.25">
      <c r="A630" t="s">
        <v>5875</v>
      </c>
      <c r="B630" t="s">
        <v>7698</v>
      </c>
      <c r="C630" t="s">
        <v>5878</v>
      </c>
      <c r="D630" s="3" t="s">
        <v>5876</v>
      </c>
      <c r="E630" s="3" t="s">
        <v>495</v>
      </c>
      <c r="G630" t="s">
        <v>5877</v>
      </c>
      <c r="H630" t="s">
        <v>243</v>
      </c>
      <c r="I630" s="17">
        <v>-1.1551132787268299</v>
      </c>
      <c r="J630" s="17">
        <v>0.209220640255635</v>
      </c>
      <c r="K630" s="21">
        <v>8</v>
      </c>
      <c r="L630" s="27">
        <v>26710072.268007401</v>
      </c>
      <c r="M630" s="22">
        <v>0.10580001207114786</v>
      </c>
      <c r="N630" s="21">
        <v>6</v>
      </c>
      <c r="O630" s="27">
        <v>22697383.559160624</v>
      </c>
      <c r="P630" s="22">
        <v>9.0692898795446467E-2</v>
      </c>
      <c r="Q630" s="21">
        <v>9</v>
      </c>
      <c r="R630" s="27">
        <v>26317540.271475006</v>
      </c>
      <c r="S630" s="22">
        <v>0.10577577354342962</v>
      </c>
      <c r="T630" s="23">
        <v>9</v>
      </c>
      <c r="U630" s="28">
        <v>23575452.329220232</v>
      </c>
      <c r="V630" s="24">
        <v>9.3227434238467008E-2</v>
      </c>
      <c r="W630" s="23">
        <v>9</v>
      </c>
      <c r="X630" s="28">
        <v>23876298.823826674</v>
      </c>
      <c r="Y630" s="24">
        <v>9.236110939676008E-2</v>
      </c>
      <c r="Z630" s="23">
        <v>10</v>
      </c>
      <c r="AA630" s="28">
        <v>23784707.240848381</v>
      </c>
      <c r="AB630" s="24">
        <v>9.3383019385574653E-2</v>
      </c>
    </row>
    <row r="631" spans="1:28" x14ac:dyDescent="0.25">
      <c r="A631" t="s">
        <v>5686</v>
      </c>
      <c r="B631" t="s">
        <v>7638</v>
      </c>
      <c r="C631" t="s">
        <v>5688</v>
      </c>
      <c r="D631" s="3" t="s">
        <v>5687</v>
      </c>
      <c r="E631" s="3" t="s">
        <v>495</v>
      </c>
      <c r="G631" t="s">
        <v>5684</v>
      </c>
      <c r="H631" t="s">
        <v>243</v>
      </c>
      <c r="I631" s="17">
        <v>-1.16780507800698</v>
      </c>
      <c r="J631" s="17">
        <v>3.4470020018300497E-2</v>
      </c>
      <c r="K631" s="21">
        <v>6</v>
      </c>
      <c r="L631" s="27">
        <v>3700385.7106106398</v>
      </c>
      <c r="M631" s="22">
        <v>9.9153161985121151E-3</v>
      </c>
      <c r="N631" s="21">
        <v>3</v>
      </c>
      <c r="O631" s="27">
        <v>4627853.600893761</v>
      </c>
      <c r="P631" s="22">
        <v>1.2509098648459843E-2</v>
      </c>
      <c r="Q631" s="21">
        <v>6</v>
      </c>
      <c r="R631" s="27">
        <v>4680257.0108588645</v>
      </c>
      <c r="S631" s="22">
        <v>1.272505110970272E-2</v>
      </c>
      <c r="T631" s="23">
        <v>4</v>
      </c>
      <c r="U631" s="28">
        <v>3819676.1088625244</v>
      </c>
      <c r="V631" s="24">
        <v>1.0217841348161741E-2</v>
      </c>
      <c r="W631" s="23">
        <v>3</v>
      </c>
      <c r="X631" s="28">
        <v>4542000.5460510636</v>
      </c>
      <c r="Y631" s="24">
        <v>1.1885521342135672E-2</v>
      </c>
      <c r="Z631" s="23">
        <v>3</v>
      </c>
      <c r="AA631" s="28">
        <v>3680304.5849677674</v>
      </c>
      <c r="AB631" s="24">
        <v>9.7746852893412159E-3</v>
      </c>
    </row>
    <row r="632" spans="1:28" x14ac:dyDescent="0.25">
      <c r="A632" t="s">
        <v>5698</v>
      </c>
      <c r="B632" t="s">
        <v>7642</v>
      </c>
      <c r="C632" t="s">
        <v>5700</v>
      </c>
      <c r="D632" s="3" t="s">
        <v>5699</v>
      </c>
      <c r="E632" s="3" t="s">
        <v>495</v>
      </c>
      <c r="G632" t="s">
        <v>5684</v>
      </c>
      <c r="H632" t="s">
        <v>57</v>
      </c>
      <c r="I632" s="17">
        <v>-1.1678975870502799</v>
      </c>
      <c r="J632" s="17">
        <v>0.23370741843946299</v>
      </c>
      <c r="K632" s="21">
        <v>33</v>
      </c>
      <c r="L632" s="27">
        <v>75627025.343361393</v>
      </c>
      <c r="M632" s="22">
        <v>0.15262527733595002</v>
      </c>
      <c r="N632" s="21">
        <v>19</v>
      </c>
      <c r="O632" s="27">
        <v>64008285.228245042</v>
      </c>
      <c r="P632" s="22">
        <v>0.1303084181127882</v>
      </c>
      <c r="Q632" s="21">
        <v>32</v>
      </c>
      <c r="R632" s="27">
        <v>76809902.746629357</v>
      </c>
      <c r="S632" s="22">
        <v>0.15728848252420075</v>
      </c>
      <c r="T632" s="23">
        <v>26</v>
      </c>
      <c r="U632" s="28">
        <v>70690130.798170939</v>
      </c>
      <c r="V632" s="24">
        <v>0.14242337615407799</v>
      </c>
      <c r="W632" s="23">
        <v>21</v>
      </c>
      <c r="X632" s="28">
        <v>64662070.785427406</v>
      </c>
      <c r="Y632" s="24">
        <v>0.12744140102243523</v>
      </c>
      <c r="Z632" s="23">
        <v>20</v>
      </c>
      <c r="AA632" s="28">
        <v>65512539.537913263</v>
      </c>
      <c r="AB632" s="24">
        <v>0.13104888495790298</v>
      </c>
    </row>
    <row r="633" spans="1:28" x14ac:dyDescent="0.25">
      <c r="A633" t="s">
        <v>5719</v>
      </c>
      <c r="B633" t="s">
        <v>7648</v>
      </c>
      <c r="C633" t="s">
        <v>5721</v>
      </c>
      <c r="D633" s="3" t="s">
        <v>5720</v>
      </c>
      <c r="E633" s="3" t="s">
        <v>495</v>
      </c>
      <c r="G633" t="s">
        <v>5717</v>
      </c>
      <c r="H633" t="s">
        <v>41</v>
      </c>
      <c r="I633" s="17">
        <v>-1.1715729058895901</v>
      </c>
      <c r="J633" s="17">
        <v>7.2156485162917297E-2</v>
      </c>
      <c r="K633" s="21">
        <v>19</v>
      </c>
      <c r="L633" s="27">
        <v>29758779.835686699</v>
      </c>
      <c r="M633" s="22">
        <v>4.8912507217064492E-2</v>
      </c>
      <c r="N633" s="21">
        <v>19</v>
      </c>
      <c r="O633" s="27">
        <v>32061249.921384688</v>
      </c>
      <c r="P633" s="22">
        <v>5.3158422738469754E-2</v>
      </c>
      <c r="Q633" s="21">
        <v>19</v>
      </c>
      <c r="R633" s="27">
        <v>29963485.029168669</v>
      </c>
      <c r="S633" s="22">
        <v>4.9972075644415158E-2</v>
      </c>
      <c r="T633" s="23">
        <v>17</v>
      </c>
      <c r="U633" s="28">
        <v>28673837.881782047</v>
      </c>
      <c r="V633" s="24">
        <v>4.7050438334099338E-2</v>
      </c>
      <c r="W633" s="23">
        <v>15</v>
      </c>
      <c r="X633" s="28">
        <v>27274286.054797251</v>
      </c>
      <c r="Y633" s="24">
        <v>4.3779387041427135E-2</v>
      </c>
      <c r="Z633" s="23">
        <v>17</v>
      </c>
      <c r="AA633" s="28">
        <v>28730698.16604799</v>
      </c>
      <c r="AB633" s="24">
        <v>4.6806959595117416E-2</v>
      </c>
    </row>
    <row r="634" spans="1:28" x14ac:dyDescent="0.25">
      <c r="A634" t="s">
        <v>5665</v>
      </c>
      <c r="B634" t="s">
        <v>7631</v>
      </c>
      <c r="C634" t="s">
        <v>5668</v>
      </c>
      <c r="D634" s="3" t="s">
        <v>5666</v>
      </c>
      <c r="E634" s="3" t="s">
        <v>495</v>
      </c>
      <c r="G634" t="s">
        <v>5667</v>
      </c>
      <c r="H634" t="s">
        <v>888</v>
      </c>
      <c r="I634" s="17">
        <v>-1.17807905543695</v>
      </c>
      <c r="J634" s="17">
        <v>0.25098004641858102</v>
      </c>
      <c r="K634" s="21">
        <v>10</v>
      </c>
      <c r="L634" s="27">
        <v>9218767.9980586302</v>
      </c>
      <c r="M634" s="22">
        <v>1.4235062034981438E-2</v>
      </c>
      <c r="N634" s="21">
        <v>8</v>
      </c>
      <c r="O634" s="27">
        <v>8017687.6703198478</v>
      </c>
      <c r="P634" s="22">
        <v>1.248884987859664E-2</v>
      </c>
      <c r="Q634" s="21">
        <v>14</v>
      </c>
      <c r="R634" s="27">
        <v>9769358.6402394436</v>
      </c>
      <c r="S634" s="22">
        <v>1.5306743032938249E-2</v>
      </c>
      <c r="T634" s="23">
        <v>11</v>
      </c>
      <c r="U634" s="28">
        <v>8837300.2589925062</v>
      </c>
      <c r="V634" s="24">
        <v>1.3623200023670205E-2</v>
      </c>
      <c r="W634" s="23">
        <v>7</v>
      </c>
      <c r="X634" s="28">
        <v>7388626.9539805651</v>
      </c>
      <c r="Y634" s="24">
        <v>1.1141962679623524E-2</v>
      </c>
      <c r="Z634" s="23">
        <v>11</v>
      </c>
      <c r="AA634" s="28">
        <v>8538745.1654110998</v>
      </c>
      <c r="AB634" s="24">
        <v>1.3068928400955318E-2</v>
      </c>
    </row>
    <row r="635" spans="1:28" x14ac:dyDescent="0.25">
      <c r="A635" t="s">
        <v>5725</v>
      </c>
      <c r="B635" t="s">
        <v>7650</v>
      </c>
      <c r="C635" t="s">
        <v>5727</v>
      </c>
      <c r="D635" s="3" t="s">
        <v>5726</v>
      </c>
      <c r="E635" s="3" t="s">
        <v>495</v>
      </c>
      <c r="G635" t="s">
        <v>1189</v>
      </c>
      <c r="H635" t="s">
        <v>243</v>
      </c>
      <c r="I635" s="17">
        <v>-1.18116296527492</v>
      </c>
      <c r="J635" s="17">
        <v>0.157040298480215</v>
      </c>
      <c r="K635" s="21">
        <v>7</v>
      </c>
      <c r="L635" s="27">
        <v>3964563.7848843802</v>
      </c>
      <c r="M635" s="22">
        <v>8.2088292710191559E-3</v>
      </c>
      <c r="N635" s="21">
        <v>2</v>
      </c>
      <c r="O635" s="27">
        <v>3832421.2848505434</v>
      </c>
      <c r="P635" s="22">
        <v>8.0047152901185185E-3</v>
      </c>
      <c r="Q635" s="21">
        <v>6</v>
      </c>
      <c r="R635" s="27">
        <v>3964847.0159273604</v>
      </c>
      <c r="S635" s="22">
        <v>8.3299521765490044E-3</v>
      </c>
      <c r="T635" s="23">
        <v>6</v>
      </c>
      <c r="U635" s="28">
        <v>3913808.9011595477</v>
      </c>
      <c r="V635" s="24">
        <v>8.0901853949299669E-3</v>
      </c>
      <c r="W635" s="23">
        <v>4</v>
      </c>
      <c r="X635" s="28">
        <v>3342638.9974845313</v>
      </c>
      <c r="Y635" s="24">
        <v>6.7590672935897893E-3</v>
      </c>
      <c r="Z635" s="23">
        <v>4</v>
      </c>
      <c r="AA635" s="28">
        <v>3501868.847175316</v>
      </c>
      <c r="AB635" s="24">
        <v>7.1869585168855693E-3</v>
      </c>
    </row>
    <row r="636" spans="1:28" x14ac:dyDescent="0.25">
      <c r="A636" t="s">
        <v>5796</v>
      </c>
      <c r="B636" t="s">
        <v>7671</v>
      </c>
      <c r="C636" t="s">
        <v>5799</v>
      </c>
      <c r="D636" s="3" t="s">
        <v>5797</v>
      </c>
      <c r="E636" s="3" t="s">
        <v>495</v>
      </c>
      <c r="G636" t="s">
        <v>5798</v>
      </c>
      <c r="H636" t="s">
        <v>547</v>
      </c>
      <c r="I636" s="17">
        <v>-1.1879522015685999</v>
      </c>
      <c r="J636" s="17">
        <v>0.123863906376358</v>
      </c>
      <c r="K636" s="21">
        <v>24</v>
      </c>
      <c r="L636" s="27">
        <v>26055254.128319301</v>
      </c>
      <c r="M636" s="22">
        <v>4.0428722813397461E-2</v>
      </c>
      <c r="N636" s="21">
        <v>17</v>
      </c>
      <c r="O636" s="27">
        <v>24904348.959067706</v>
      </c>
      <c r="P636" s="22">
        <v>3.8981337279293905E-2</v>
      </c>
      <c r="Q636" s="21">
        <v>28</v>
      </c>
      <c r="R636" s="27">
        <v>30039059.438236266</v>
      </c>
      <c r="S636" s="22">
        <v>4.7294571851672393E-2</v>
      </c>
      <c r="T636" s="23">
        <v>19</v>
      </c>
      <c r="U636" s="28">
        <v>26165163.351767793</v>
      </c>
      <c r="V636" s="24">
        <v>4.0531362430683643E-2</v>
      </c>
      <c r="W636" s="23">
        <v>16</v>
      </c>
      <c r="X636" s="28">
        <v>24095277.492998119</v>
      </c>
      <c r="Y636" s="24">
        <v>3.651221007763699E-2</v>
      </c>
      <c r="Z636" s="23">
        <v>17</v>
      </c>
      <c r="AA636" s="28">
        <v>23379591.099331409</v>
      </c>
      <c r="AB636" s="24">
        <v>3.5957630659504136E-2</v>
      </c>
    </row>
    <row r="637" spans="1:28" x14ac:dyDescent="0.25">
      <c r="A637" t="s">
        <v>5728</v>
      </c>
      <c r="B637" t="s">
        <v>7651</v>
      </c>
      <c r="C637" t="s">
        <v>5730</v>
      </c>
      <c r="D637" s="3" t="s">
        <v>5729</v>
      </c>
      <c r="E637" s="3" t="s">
        <v>495</v>
      </c>
      <c r="G637" t="s">
        <v>1189</v>
      </c>
      <c r="H637" t="s">
        <v>243</v>
      </c>
      <c r="I637" s="17">
        <v>-1.1888328447962</v>
      </c>
      <c r="J637" s="17">
        <v>0.478711510667368</v>
      </c>
      <c r="K637" s="21">
        <v>2</v>
      </c>
      <c r="L637" s="27">
        <v>647928.034130538</v>
      </c>
      <c r="M637" s="22">
        <v>1.9218736899594211E-3</v>
      </c>
      <c r="N637" s="21">
        <v>0</v>
      </c>
      <c r="O637" s="27">
        <v>406294.89116426342</v>
      </c>
      <c r="P637" s="22">
        <v>1.2156995729971668E-3</v>
      </c>
      <c r="Q637" s="21">
        <v>2</v>
      </c>
      <c r="R637" s="27">
        <v>520538.00049563637</v>
      </c>
      <c r="S637" s="22">
        <v>1.5666816961114926E-3</v>
      </c>
      <c r="T637" s="23">
        <v>0</v>
      </c>
      <c r="U637" s="28">
        <v>526025.3814690311</v>
      </c>
      <c r="V637" s="24">
        <v>1.5576784584767887E-3</v>
      </c>
      <c r="W637" s="23">
        <v>0</v>
      </c>
      <c r="X637" s="28">
        <v>494508.33618690254</v>
      </c>
      <c r="Y637" s="24">
        <v>1.4324621927923704E-3</v>
      </c>
      <c r="Z637" s="23">
        <v>0</v>
      </c>
      <c r="AA637" s="28">
        <v>428662.58130610868</v>
      </c>
      <c r="AB637" s="24">
        <v>1.2602975523404263E-3</v>
      </c>
    </row>
    <row r="638" spans="1:28" x14ac:dyDescent="0.25">
      <c r="A638" t="s">
        <v>5830</v>
      </c>
      <c r="B638" t="s">
        <v>7683</v>
      </c>
      <c r="C638" t="s">
        <v>5832</v>
      </c>
      <c r="D638" s="3" t="s">
        <v>5831</v>
      </c>
      <c r="E638" s="3" t="s">
        <v>495</v>
      </c>
      <c r="G638" t="s">
        <v>887</v>
      </c>
      <c r="H638" t="s">
        <v>243</v>
      </c>
      <c r="I638" s="17">
        <v>-1.19593428975762</v>
      </c>
      <c r="J638" s="17">
        <v>0.18786636626980499</v>
      </c>
      <c r="K638" s="21">
        <v>4</v>
      </c>
      <c r="L638" s="27">
        <v>1563365.3247758001</v>
      </c>
      <c r="M638" s="22">
        <v>4.4910100910321524E-3</v>
      </c>
      <c r="N638" s="21">
        <v>1</v>
      </c>
      <c r="O638" s="27">
        <v>1296578.6475791819</v>
      </c>
      <c r="P638" s="22">
        <v>3.7572427353342788E-3</v>
      </c>
      <c r="Q638" s="21">
        <v>4</v>
      </c>
      <c r="R638" s="27">
        <v>1496981.2522275124</v>
      </c>
      <c r="S638" s="22">
        <v>4.3634517382602003E-3</v>
      </c>
      <c r="T638" s="23">
        <v>4</v>
      </c>
      <c r="U638" s="28">
        <v>1355531.1041533139</v>
      </c>
      <c r="V638" s="24">
        <v>3.8874613737311515E-3</v>
      </c>
      <c r="W638" s="23">
        <v>2</v>
      </c>
      <c r="X638" s="28">
        <v>1268590.0621491999</v>
      </c>
      <c r="Y638" s="24">
        <v>3.5589045604433236E-3</v>
      </c>
      <c r="Z638" s="23">
        <v>2</v>
      </c>
      <c r="AA638" s="28">
        <v>1330916.5189312396</v>
      </c>
      <c r="AB638" s="24">
        <v>3.7896039015257702E-3</v>
      </c>
    </row>
    <row r="639" spans="1:28" x14ac:dyDescent="0.25">
      <c r="A639" t="s">
        <v>5701</v>
      </c>
      <c r="B639" t="s">
        <v>7643</v>
      </c>
      <c r="C639" t="s">
        <v>5703</v>
      </c>
      <c r="D639" s="3" t="s">
        <v>5702</v>
      </c>
      <c r="E639" s="3" t="s">
        <v>495</v>
      </c>
      <c r="G639" t="s">
        <v>632</v>
      </c>
      <c r="H639" t="s">
        <v>243</v>
      </c>
      <c r="I639" s="17">
        <v>-1.1970746527864999</v>
      </c>
      <c r="J639" s="17">
        <v>9.3938058948890998E-2</v>
      </c>
      <c r="K639" s="21">
        <v>6</v>
      </c>
      <c r="L639" s="27">
        <v>3587956.6392598101</v>
      </c>
      <c r="M639" s="22">
        <v>4.6696855427615846E-3</v>
      </c>
      <c r="N639" s="21">
        <v>2</v>
      </c>
      <c r="O639" s="27">
        <v>4726556.2176466668</v>
      </c>
      <c r="P639" s="22">
        <v>6.2054332778402723E-3</v>
      </c>
      <c r="Q639" s="21">
        <v>8</v>
      </c>
      <c r="R639" s="27">
        <v>3621528.1037113518</v>
      </c>
      <c r="S639" s="22">
        <v>4.782583592778342E-3</v>
      </c>
      <c r="T639" s="23">
        <v>4</v>
      </c>
      <c r="U639" s="28">
        <v>3466212.9990895023</v>
      </c>
      <c r="V639" s="24">
        <v>4.5036926049063118E-3</v>
      </c>
      <c r="W639" s="23">
        <v>2</v>
      </c>
      <c r="X639" s="28">
        <v>3704301.4941791524</v>
      </c>
      <c r="Y639" s="24">
        <v>4.7082363713424015E-3</v>
      </c>
      <c r="Z639" s="23">
        <v>4</v>
      </c>
      <c r="AA639" s="28">
        <v>3600694.6086709485</v>
      </c>
      <c r="AB639" s="24">
        <v>4.6450050049136257E-3</v>
      </c>
    </row>
    <row r="640" spans="1:28" x14ac:dyDescent="0.25">
      <c r="A640" t="s">
        <v>5734</v>
      </c>
      <c r="B640" t="s">
        <v>7653</v>
      </c>
      <c r="C640" t="s">
        <v>5736</v>
      </c>
      <c r="D640" s="3" t="s">
        <v>5735</v>
      </c>
      <c r="E640" s="3" t="s">
        <v>495</v>
      </c>
      <c r="G640" t="s">
        <v>1127</v>
      </c>
      <c r="H640" t="s">
        <v>243</v>
      </c>
      <c r="I640" s="17">
        <v>-1.1976559465838099</v>
      </c>
      <c r="J640" s="17">
        <v>0.17865008249411199</v>
      </c>
      <c r="K640" s="21">
        <v>1</v>
      </c>
      <c r="L640" s="27">
        <v>307265.24648269499</v>
      </c>
      <c r="M640" s="22">
        <v>7.0740838442904098E-4</v>
      </c>
      <c r="N640" s="21">
        <v>0</v>
      </c>
      <c r="O640" s="27">
        <v>268774.80420475954</v>
      </c>
      <c r="P640" s="22">
        <v>6.2421204933406241E-4</v>
      </c>
      <c r="Q640" s="21">
        <v>2</v>
      </c>
      <c r="R640" s="27">
        <v>301727.32760833169</v>
      </c>
      <c r="S640" s="22">
        <v>7.0485805487069517E-4</v>
      </c>
      <c r="T640" s="23">
        <v>0</v>
      </c>
      <c r="U640" s="28">
        <v>284406.84214699198</v>
      </c>
      <c r="V640" s="24">
        <v>6.5368699542529547E-4</v>
      </c>
      <c r="W640" s="23">
        <v>0</v>
      </c>
      <c r="X640" s="28">
        <v>285316.18177369545</v>
      </c>
      <c r="Y640" s="24">
        <v>6.4149702344017242E-4</v>
      </c>
      <c r="Z640" s="23">
        <v>1</v>
      </c>
      <c r="AA640" s="28">
        <v>226822.90345840217</v>
      </c>
      <c r="AB640" s="24">
        <v>5.1761054351480657E-4</v>
      </c>
    </row>
    <row r="641" spans="1:28" x14ac:dyDescent="0.25">
      <c r="A641" t="s">
        <v>5689</v>
      </c>
      <c r="B641" t="s">
        <v>7639</v>
      </c>
      <c r="C641" t="s">
        <v>5691</v>
      </c>
      <c r="D641" s="3" t="s">
        <v>5690</v>
      </c>
      <c r="E641" s="3" t="s">
        <v>495</v>
      </c>
      <c r="G641" t="s">
        <v>5684</v>
      </c>
      <c r="H641" t="s">
        <v>653</v>
      </c>
      <c r="I641" s="17">
        <v>-1.2227034295200501</v>
      </c>
      <c r="J641" s="17">
        <v>0.28810002026058001</v>
      </c>
      <c r="K641" s="21">
        <v>23</v>
      </c>
      <c r="L641" s="27">
        <v>18961954.695660099</v>
      </c>
      <c r="M641" s="22">
        <v>3.951829586219411E-2</v>
      </c>
      <c r="N641" s="21">
        <v>8</v>
      </c>
      <c r="O641" s="27">
        <v>13988092.410392122</v>
      </c>
      <c r="P641" s="22">
        <v>2.9407657311780848E-2</v>
      </c>
      <c r="Q641" s="21">
        <v>19</v>
      </c>
      <c r="R641" s="27">
        <v>20374195.341615956</v>
      </c>
      <c r="S641" s="22">
        <v>4.3084973398237317E-2</v>
      </c>
      <c r="T641" s="23">
        <v>13</v>
      </c>
      <c r="U641" s="28">
        <v>17054018.675482109</v>
      </c>
      <c r="V641" s="24">
        <v>3.5482554758226759E-2</v>
      </c>
      <c r="W641" s="23">
        <v>12</v>
      </c>
      <c r="X641" s="28">
        <v>15590864.768253116</v>
      </c>
      <c r="Y641" s="24">
        <v>3.1731952044438801E-2</v>
      </c>
      <c r="Z641" s="23">
        <v>13</v>
      </c>
      <c r="AA641" s="28">
        <v>14670753.345651051</v>
      </c>
      <c r="AB641" s="24">
        <v>3.030588472001014E-2</v>
      </c>
    </row>
    <row r="642" spans="1:28" x14ac:dyDescent="0.25">
      <c r="A642" t="s">
        <v>5859</v>
      </c>
      <c r="B642" t="s">
        <v>7693</v>
      </c>
      <c r="C642" t="s">
        <v>5862</v>
      </c>
      <c r="D642" s="3" t="s">
        <v>5860</v>
      </c>
      <c r="E642" s="3" t="s">
        <v>495</v>
      </c>
      <c r="G642" t="s">
        <v>5861</v>
      </c>
      <c r="H642" t="s">
        <v>243</v>
      </c>
      <c r="I642" s="17">
        <v>-1.2325073665790001</v>
      </c>
      <c r="J642" s="17">
        <v>2.2065368313151801E-2</v>
      </c>
      <c r="K642" s="21">
        <v>14</v>
      </c>
      <c r="L642" s="27">
        <v>14157109.539325099</v>
      </c>
      <c r="M642" s="22">
        <v>4.0852519777479904E-2</v>
      </c>
      <c r="N642" s="21">
        <v>11</v>
      </c>
      <c r="O642" s="27">
        <v>14338448.333250679</v>
      </c>
      <c r="P642" s="22">
        <v>4.1738154725447195E-2</v>
      </c>
      <c r="Q642" s="21">
        <v>13</v>
      </c>
      <c r="R642" s="27">
        <v>15522900.888741503</v>
      </c>
      <c r="S642" s="22">
        <v>4.5451414216471704E-2</v>
      </c>
      <c r="T642" s="23">
        <v>13</v>
      </c>
      <c r="U642" s="28">
        <v>13183876.083098771</v>
      </c>
      <c r="V642" s="24">
        <v>3.7980476810528595E-2</v>
      </c>
      <c r="W642" s="23">
        <v>9</v>
      </c>
      <c r="X642" s="28">
        <v>12874259.600760395</v>
      </c>
      <c r="Y642" s="24">
        <v>3.6280895639680538E-2</v>
      </c>
      <c r="Z642" s="23">
        <v>12</v>
      </c>
      <c r="AA642" s="28">
        <v>12561119.706109773</v>
      </c>
      <c r="AB642" s="24">
        <v>3.5927918640766693E-2</v>
      </c>
    </row>
    <row r="643" spans="1:28" x14ac:dyDescent="0.25">
      <c r="A643" t="s">
        <v>5764</v>
      </c>
      <c r="B643" t="s">
        <v>7662</v>
      </c>
      <c r="C643" t="s">
        <v>5766</v>
      </c>
      <c r="D643" s="3" t="s">
        <v>5765</v>
      </c>
      <c r="E643" s="3" t="s">
        <v>495</v>
      </c>
      <c r="G643" t="s">
        <v>626</v>
      </c>
      <c r="H643" t="s">
        <v>243</v>
      </c>
      <c r="I643" s="17">
        <v>-1.2342274630372001</v>
      </c>
      <c r="J643" s="17">
        <v>5.1356767265523101E-2</v>
      </c>
      <c r="K643" s="21">
        <v>2</v>
      </c>
      <c r="L643" s="27">
        <v>1444872.66689697</v>
      </c>
      <c r="M643" s="22">
        <v>3.1664535144498573E-3</v>
      </c>
      <c r="N643" s="21">
        <v>2</v>
      </c>
      <c r="O643" s="27">
        <v>1352802.9754050551</v>
      </c>
      <c r="P643" s="22">
        <v>2.9906454104679644E-3</v>
      </c>
      <c r="Q643" s="21">
        <v>2</v>
      </c>
      <c r="R643" s="27">
        <v>1555828.5604755448</v>
      </c>
      <c r="S643" s="22">
        <v>3.4596768895269179E-3</v>
      </c>
      <c r="T643" s="23">
        <v>2</v>
      </c>
      <c r="U643" s="28">
        <v>1255009.8027486687</v>
      </c>
      <c r="V643" s="24">
        <v>2.7457671380378464E-3</v>
      </c>
      <c r="W643" s="23">
        <v>2</v>
      </c>
      <c r="X643" s="28">
        <v>1437451.3281251101</v>
      </c>
      <c r="Y643" s="24">
        <v>3.0764380252162496E-3</v>
      </c>
      <c r="Z643" s="23">
        <v>2</v>
      </c>
      <c r="AA643" s="28">
        <v>1142709.4923770465</v>
      </c>
      <c r="AB643" s="24">
        <v>2.4822117318335415E-3</v>
      </c>
    </row>
    <row r="644" spans="1:28" x14ac:dyDescent="0.25">
      <c r="A644" t="s">
        <v>5678</v>
      </c>
      <c r="B644" t="s">
        <v>7635</v>
      </c>
      <c r="C644" t="s">
        <v>5679</v>
      </c>
      <c r="D644" s="3" t="s">
        <v>5670</v>
      </c>
      <c r="E644" s="3" t="s">
        <v>495</v>
      </c>
      <c r="G644" t="s">
        <v>5667</v>
      </c>
      <c r="H644" t="s">
        <v>41</v>
      </c>
      <c r="I644" s="17">
        <v>-1.2662596124518199</v>
      </c>
      <c r="J644" s="17">
        <v>0.11368156655480401</v>
      </c>
      <c r="K644" s="21">
        <v>22</v>
      </c>
      <c r="L644" s="27">
        <v>23564207.799415801</v>
      </c>
      <c r="M644" s="22">
        <v>3.1770806049755719E-2</v>
      </c>
      <c r="N644" s="21">
        <v>20</v>
      </c>
      <c r="O644" s="27">
        <v>21985254.840219166</v>
      </c>
      <c r="P644" s="22">
        <v>2.9901551695056573E-2</v>
      </c>
      <c r="Q644" s="21">
        <v>25</v>
      </c>
      <c r="R644" s="27">
        <v>27709469.324838407</v>
      </c>
      <c r="S644" s="22">
        <v>3.7908260613278122E-2</v>
      </c>
      <c r="T644" s="23">
        <v>17</v>
      </c>
      <c r="U644" s="28">
        <v>23514508.253572483</v>
      </c>
      <c r="V644" s="24">
        <v>3.1650773948633915E-2</v>
      </c>
      <c r="W644" s="23">
        <v>13</v>
      </c>
      <c r="X644" s="28">
        <v>20186132.977204766</v>
      </c>
      <c r="Y644" s="24">
        <v>2.6579083425378642E-2</v>
      </c>
      <c r="Z644" s="23">
        <v>14</v>
      </c>
      <c r="AA644" s="28">
        <v>18696546.003194239</v>
      </c>
      <c r="AB644" s="24">
        <v>2.498597031010245E-2</v>
      </c>
    </row>
    <row r="645" spans="1:28" x14ac:dyDescent="0.25">
      <c r="A645" t="s">
        <v>5704</v>
      </c>
      <c r="B645" t="s">
        <v>7644</v>
      </c>
      <c r="C645" t="s">
        <v>5706</v>
      </c>
      <c r="D645" s="3" t="s">
        <v>5705</v>
      </c>
      <c r="E645" s="3" t="s">
        <v>495</v>
      </c>
      <c r="G645" t="s">
        <v>632</v>
      </c>
      <c r="H645" t="s">
        <v>243</v>
      </c>
      <c r="I645" s="17">
        <v>-1.26718555528826</v>
      </c>
      <c r="J645" s="17">
        <v>0.12822018425183701</v>
      </c>
      <c r="K645" s="21">
        <v>2</v>
      </c>
      <c r="L645" s="27">
        <v>965604.04297935602</v>
      </c>
      <c r="M645" s="22">
        <v>3.7320861603731621E-3</v>
      </c>
      <c r="N645" s="21">
        <v>1</v>
      </c>
      <c r="O645" s="27">
        <v>858629.76661500812</v>
      </c>
      <c r="P645" s="22">
        <v>3.3476909538313533E-3</v>
      </c>
      <c r="Q645" s="21">
        <v>1</v>
      </c>
      <c r="R645" s="27">
        <v>782726.02615439962</v>
      </c>
      <c r="S645" s="22">
        <v>3.0696765767153412E-3</v>
      </c>
      <c r="T645" s="23">
        <v>1</v>
      </c>
      <c r="U645" s="28">
        <v>652656.09670020023</v>
      </c>
      <c r="V645" s="24">
        <v>2.5183148646902558E-3</v>
      </c>
      <c r="W645" s="23">
        <v>1</v>
      </c>
      <c r="X645" s="28">
        <v>758602.41490941274</v>
      </c>
      <c r="Y645" s="24">
        <v>2.8633753891004355E-3</v>
      </c>
      <c r="Z645" s="23">
        <v>1</v>
      </c>
      <c r="AA645" s="28">
        <v>834749.22076620872</v>
      </c>
      <c r="AB645" s="24">
        <v>3.1979233934222892E-3</v>
      </c>
    </row>
    <row r="646" spans="1:28" x14ac:dyDescent="0.25">
      <c r="A646" t="s">
        <v>5707</v>
      </c>
      <c r="B646" t="s">
        <v>7645</v>
      </c>
      <c r="C646" t="s">
        <v>5709</v>
      </c>
      <c r="D646" s="3" t="s">
        <v>5708</v>
      </c>
      <c r="E646" s="3" t="s">
        <v>495</v>
      </c>
      <c r="G646" t="s">
        <v>632</v>
      </c>
      <c r="H646" t="s">
        <v>243</v>
      </c>
      <c r="I646" s="17">
        <v>-1.2741460998504499</v>
      </c>
      <c r="J646" s="17">
        <v>0.39865777554744403</v>
      </c>
      <c r="K646" s="21">
        <v>1</v>
      </c>
      <c r="L646" s="27">
        <v>1671945.8966208701</v>
      </c>
      <c r="M646" s="22">
        <v>3.920034109209645E-3</v>
      </c>
      <c r="N646" s="21">
        <v>1</v>
      </c>
      <c r="O646" s="27">
        <v>970219.84300203691</v>
      </c>
      <c r="P646" s="22">
        <v>2.2946931076004828E-3</v>
      </c>
      <c r="Q646" s="21">
        <v>2</v>
      </c>
      <c r="R646" s="27">
        <v>1688162.2673470653</v>
      </c>
      <c r="S646" s="22">
        <v>4.0161698808781465E-3</v>
      </c>
      <c r="T646" s="23">
        <v>1</v>
      </c>
      <c r="U646" s="28">
        <v>1320947.4605628652</v>
      </c>
      <c r="V646" s="24">
        <v>3.0919055168644651E-3</v>
      </c>
      <c r="W646" s="23">
        <v>0</v>
      </c>
      <c r="X646" s="28">
        <v>1206876.0904091485</v>
      </c>
      <c r="Y646" s="24">
        <v>2.7633875120402036E-3</v>
      </c>
      <c r="Z646" s="23">
        <v>1</v>
      </c>
      <c r="AA646" s="28">
        <v>1174280.8629083359</v>
      </c>
      <c r="AB646" s="24">
        <v>2.728971858122676E-3</v>
      </c>
    </row>
    <row r="647" spans="1:28" x14ac:dyDescent="0.25">
      <c r="A647" t="s">
        <v>5658</v>
      </c>
      <c r="B647" t="s">
        <v>7629</v>
      </c>
      <c r="C647" t="s">
        <v>5660</v>
      </c>
      <c r="D647" s="3" t="s">
        <v>5659</v>
      </c>
      <c r="E647" s="3" t="s">
        <v>495</v>
      </c>
      <c r="G647" t="s">
        <v>5656</v>
      </c>
      <c r="H647" t="s">
        <v>243</v>
      </c>
      <c r="I647" s="17">
        <v>-1.2797329383929601</v>
      </c>
      <c r="J647" s="17">
        <v>8.7793478149964702E-2</v>
      </c>
      <c r="K647" s="21">
        <v>7</v>
      </c>
      <c r="L647" s="27">
        <v>8690594.9120070804</v>
      </c>
      <c r="M647" s="22">
        <v>1.8111924981540989E-2</v>
      </c>
      <c r="N647" s="21">
        <v>7</v>
      </c>
      <c r="O647" s="27">
        <v>7857094.7158622583</v>
      </c>
      <c r="P647" s="22">
        <v>1.6518245811603428E-2</v>
      </c>
      <c r="Q647" s="21">
        <v>7</v>
      </c>
      <c r="R647" s="27">
        <v>9502523.3436644878</v>
      </c>
      <c r="S647" s="22">
        <v>2.0094828709217687E-2</v>
      </c>
      <c r="T647" s="23">
        <v>6</v>
      </c>
      <c r="U647" s="28">
        <v>8129894.6450157547</v>
      </c>
      <c r="V647" s="24">
        <v>1.6915041399310014E-2</v>
      </c>
      <c r="W647" s="23">
        <v>6</v>
      </c>
      <c r="X647" s="28">
        <v>7089587.771335613</v>
      </c>
      <c r="Y647" s="24">
        <v>1.4429376594488149E-2</v>
      </c>
      <c r="Z647" s="23">
        <v>3</v>
      </c>
      <c r="AA647" s="28">
        <v>6776525.5072540045</v>
      </c>
      <c r="AB647" s="24">
        <v>1.3998504097673135E-2</v>
      </c>
    </row>
    <row r="648" spans="1:28" x14ac:dyDescent="0.25">
      <c r="A648" t="s">
        <v>5767</v>
      </c>
      <c r="B648" t="s">
        <v>7663</v>
      </c>
      <c r="C648" t="s">
        <v>5769</v>
      </c>
      <c r="D648" s="3" t="s">
        <v>5768</v>
      </c>
      <c r="E648" s="3" t="s">
        <v>495</v>
      </c>
      <c r="G648" t="s">
        <v>626</v>
      </c>
      <c r="H648" t="s">
        <v>243</v>
      </c>
      <c r="I648" s="17">
        <v>-1.2924413451227199</v>
      </c>
      <c r="J648" s="17">
        <v>0.19839825348096299</v>
      </c>
      <c r="K648" s="21">
        <v>6</v>
      </c>
      <c r="L648" s="27">
        <v>1558124.6533133599</v>
      </c>
      <c r="M648" s="22">
        <v>1.7221180402755376E-3</v>
      </c>
      <c r="N648" s="21">
        <v>3</v>
      </c>
      <c r="O648" s="27">
        <v>1408207.5819882406</v>
      </c>
      <c r="P648" s="22">
        <v>1.5700526916112058E-3</v>
      </c>
      <c r="Q648" s="21">
        <v>9</v>
      </c>
      <c r="R648" s="27">
        <v>1932652.445608356</v>
      </c>
      <c r="S648" s="22">
        <v>2.1674282887426126E-3</v>
      </c>
      <c r="T648" s="23">
        <v>3</v>
      </c>
      <c r="U648" s="28">
        <v>1411716.8169656442</v>
      </c>
      <c r="V648" s="24">
        <v>1.5576911375406012E-3</v>
      </c>
      <c r="W648" s="23">
        <v>3</v>
      </c>
      <c r="X648" s="28">
        <v>1078906.5903218242</v>
      </c>
      <c r="Y648" s="24">
        <v>1.1645443802309676E-3</v>
      </c>
      <c r="Z648" s="23">
        <v>5</v>
      </c>
      <c r="AA648" s="28">
        <v>1582424.6244839088</v>
      </c>
      <c r="AB648" s="24">
        <v>1.7335772425694546E-3</v>
      </c>
    </row>
    <row r="649" spans="1:28" x14ac:dyDescent="0.25">
      <c r="A649" t="s">
        <v>5824</v>
      </c>
      <c r="B649" t="s">
        <v>7681</v>
      </c>
      <c r="C649" t="s">
        <v>5826</v>
      </c>
      <c r="D649" s="3" t="s">
        <v>5825</v>
      </c>
      <c r="E649" s="3" t="s">
        <v>495</v>
      </c>
      <c r="G649" t="s">
        <v>887</v>
      </c>
      <c r="H649" t="s">
        <v>243</v>
      </c>
      <c r="I649" s="17">
        <v>-1.2937854727087601</v>
      </c>
      <c r="J649" s="17">
        <v>2.06748735733557E-2</v>
      </c>
      <c r="K649" s="21">
        <v>4</v>
      </c>
      <c r="L649" s="27">
        <v>1702761.23876626</v>
      </c>
      <c r="M649" s="22">
        <v>5.2713647159940155E-3</v>
      </c>
      <c r="N649" s="21">
        <v>1</v>
      </c>
      <c r="O649" s="27">
        <v>1562990.6009037406</v>
      </c>
      <c r="P649" s="22">
        <v>4.8810415951410484E-3</v>
      </c>
      <c r="Q649" s="21">
        <v>3</v>
      </c>
      <c r="R649" s="27">
        <v>1781130.4218508187</v>
      </c>
      <c r="S649" s="22">
        <v>5.5949381640834645E-3</v>
      </c>
      <c r="T649" s="23">
        <v>1</v>
      </c>
      <c r="U649" s="28">
        <v>1386522.1598848626</v>
      </c>
      <c r="V649" s="24">
        <v>4.2851809795274604E-3</v>
      </c>
      <c r="W649" s="23">
        <v>0</v>
      </c>
      <c r="X649" s="28">
        <v>1448499.3139543228</v>
      </c>
      <c r="Y649" s="24">
        <v>4.3792434054451043E-3</v>
      </c>
      <c r="Z649" s="23">
        <v>1</v>
      </c>
      <c r="AA649" s="28">
        <v>1398167.5976108175</v>
      </c>
      <c r="AB649" s="24">
        <v>4.2903032531821398E-3</v>
      </c>
    </row>
    <row r="650" spans="1:28" x14ac:dyDescent="0.25">
      <c r="A650" t="s">
        <v>5872</v>
      </c>
      <c r="B650" t="s">
        <v>7697</v>
      </c>
      <c r="C650" t="s">
        <v>5874</v>
      </c>
      <c r="D650" s="3" t="s">
        <v>5873</v>
      </c>
      <c r="E650" s="3" t="s">
        <v>495</v>
      </c>
      <c r="G650" t="s">
        <v>5861</v>
      </c>
      <c r="H650" t="s">
        <v>243</v>
      </c>
      <c r="I650" s="17">
        <v>-1.30104906873925</v>
      </c>
      <c r="J650" s="17">
        <v>0.41168869726673002</v>
      </c>
      <c r="K650" s="21">
        <v>6</v>
      </c>
      <c r="L650" s="27">
        <v>3688277.47304293</v>
      </c>
      <c r="M650" s="22">
        <v>9.2240136256586842E-3</v>
      </c>
      <c r="N650" s="21">
        <v>3</v>
      </c>
      <c r="O650" s="27">
        <v>1964146.7321969378</v>
      </c>
      <c r="P650" s="22">
        <v>4.9551534819077632E-3</v>
      </c>
      <c r="Q650" s="21">
        <v>6</v>
      </c>
      <c r="R650" s="27">
        <v>3489372.041522569</v>
      </c>
      <c r="S650" s="22">
        <v>8.8547007073288778E-3</v>
      </c>
      <c r="T650" s="23">
        <v>4</v>
      </c>
      <c r="U650" s="28">
        <v>2471017.0112392367</v>
      </c>
      <c r="V650" s="24">
        <v>6.169431246315491E-3</v>
      </c>
      <c r="W650" s="23">
        <v>3</v>
      </c>
      <c r="X650" s="28">
        <v>2430566.5666337754</v>
      </c>
      <c r="Y650" s="24">
        <v>5.9362933009556905E-3</v>
      </c>
      <c r="Z650" s="23">
        <v>2</v>
      </c>
      <c r="AA650" s="28">
        <v>2778076.5015934231</v>
      </c>
      <c r="AB650" s="24">
        <v>6.8865229385606406E-3</v>
      </c>
    </row>
    <row r="651" spans="1:28" x14ac:dyDescent="0.25">
      <c r="A651" t="s">
        <v>5722</v>
      </c>
      <c r="B651" t="s">
        <v>7649</v>
      </c>
      <c r="C651" t="s">
        <v>5724</v>
      </c>
      <c r="D651" s="3" t="s">
        <v>5723</v>
      </c>
      <c r="E651" s="3" t="s">
        <v>495</v>
      </c>
      <c r="G651" t="s">
        <v>1189</v>
      </c>
      <c r="H651" t="s">
        <v>243</v>
      </c>
      <c r="I651" s="17">
        <v>-1.30418925065206</v>
      </c>
      <c r="J651" s="17">
        <v>0.15158593798096201</v>
      </c>
      <c r="K651" s="21">
        <v>10</v>
      </c>
      <c r="L651" s="27">
        <v>4226241.7867402202</v>
      </c>
      <c r="M651" s="22">
        <v>4.8128557244350254E-3</v>
      </c>
      <c r="N651" s="21">
        <v>3</v>
      </c>
      <c r="O651" s="27">
        <v>3618218.830403591</v>
      </c>
      <c r="P651" s="22">
        <v>4.1565227810597353E-3</v>
      </c>
      <c r="Q651" s="21">
        <v>10</v>
      </c>
      <c r="R651" s="27">
        <v>4551313.0414056191</v>
      </c>
      <c r="S651" s="22">
        <v>5.2591489413620672E-3</v>
      </c>
      <c r="T651" s="23">
        <v>8</v>
      </c>
      <c r="U651" s="28">
        <v>3926150.7912912187</v>
      </c>
      <c r="V651" s="24">
        <v>4.4636334388535228E-3</v>
      </c>
      <c r="W651" s="23">
        <v>4</v>
      </c>
      <c r="X651" s="28">
        <v>2888202.0824612374</v>
      </c>
      <c r="Y651" s="24">
        <v>3.2120889321709061E-3</v>
      </c>
      <c r="Z651" s="23">
        <v>6</v>
      </c>
      <c r="AA651" s="28">
        <v>3425663.569680226</v>
      </c>
      <c r="AB651" s="24">
        <v>3.8668084595390746E-3</v>
      </c>
    </row>
    <row r="652" spans="1:28" x14ac:dyDescent="0.25">
      <c r="A652" t="s">
        <v>5847</v>
      </c>
      <c r="B652" t="s">
        <v>7689</v>
      </c>
      <c r="C652" t="s">
        <v>5850</v>
      </c>
      <c r="D652" s="3" t="s">
        <v>5848</v>
      </c>
      <c r="E652" s="3" t="s">
        <v>495</v>
      </c>
      <c r="G652" t="s">
        <v>5849</v>
      </c>
      <c r="H652" t="s">
        <v>243</v>
      </c>
      <c r="I652" s="17">
        <v>-1.31040833145185</v>
      </c>
      <c r="J652" s="17">
        <v>3.9365872522001501E-2</v>
      </c>
      <c r="K652" s="21">
        <v>2</v>
      </c>
      <c r="L652" s="27">
        <v>1423547.2528091001</v>
      </c>
      <c r="M652" s="22">
        <v>2.5717793946572268E-3</v>
      </c>
      <c r="N652" s="21">
        <v>2</v>
      </c>
      <c r="O652" s="27">
        <v>1576345.1835658439</v>
      </c>
      <c r="P652" s="22">
        <v>2.8727642088060934E-3</v>
      </c>
      <c r="Q652" s="21">
        <v>2</v>
      </c>
      <c r="R652" s="27">
        <v>1639571.438543271</v>
      </c>
      <c r="S652" s="22">
        <v>3.0055394222074702E-3</v>
      </c>
      <c r="T652" s="23">
        <v>3</v>
      </c>
      <c r="U652" s="28">
        <v>1321113.1004020125</v>
      </c>
      <c r="V652" s="24">
        <v>2.3827301907505798E-3</v>
      </c>
      <c r="W652" s="23">
        <v>2</v>
      </c>
      <c r="X652" s="28">
        <v>1133529.7042870705</v>
      </c>
      <c r="Y652" s="24">
        <v>1.9998904712231046E-3</v>
      </c>
      <c r="Z652" s="23">
        <v>2</v>
      </c>
      <c r="AA652" s="28">
        <v>1353973.9267804883</v>
      </c>
      <c r="AB652" s="24">
        <v>2.4245523952695219E-3</v>
      </c>
    </row>
    <row r="653" spans="1:28" x14ac:dyDescent="0.25">
      <c r="A653" t="s">
        <v>5869</v>
      </c>
      <c r="B653" t="s">
        <v>7696</v>
      </c>
      <c r="C653" t="s">
        <v>5871</v>
      </c>
      <c r="D653" s="3" t="s">
        <v>5870</v>
      </c>
      <c r="E653" s="3" t="s">
        <v>495</v>
      </c>
      <c r="G653" t="s">
        <v>5861</v>
      </c>
      <c r="H653" t="s">
        <v>243</v>
      </c>
      <c r="I653" s="17">
        <v>-1.3177108164806299</v>
      </c>
      <c r="J653" s="17">
        <v>0.33220450711238703</v>
      </c>
      <c r="K653" s="21">
        <v>22</v>
      </c>
      <c r="L653" s="27">
        <v>19780537.011034399</v>
      </c>
      <c r="M653" s="22">
        <v>4.8147452871922569E-2</v>
      </c>
      <c r="N653" s="21">
        <v>12</v>
      </c>
      <c r="O653" s="27">
        <v>11333081.344142254</v>
      </c>
      <c r="P653" s="22">
        <v>2.7827236385682175E-2</v>
      </c>
      <c r="Q653" s="21">
        <v>20</v>
      </c>
      <c r="R653" s="27">
        <v>19614545.03375116</v>
      </c>
      <c r="S653" s="22">
        <v>4.8444417417961627E-2</v>
      </c>
      <c r="T653" s="23">
        <v>11</v>
      </c>
      <c r="U653" s="28">
        <v>13778623.460417612</v>
      </c>
      <c r="V653" s="24">
        <v>3.3482209893020629E-2</v>
      </c>
      <c r="W653" s="23">
        <v>6</v>
      </c>
      <c r="X653" s="28">
        <v>13873070.653506832</v>
      </c>
      <c r="Y653" s="24">
        <v>3.2977620652828527E-2</v>
      </c>
      <c r="Z653" s="23">
        <v>12</v>
      </c>
      <c r="AA653" s="28">
        <v>14380856.265730463</v>
      </c>
      <c r="AB653" s="24">
        <v>3.4696001838085702E-2</v>
      </c>
    </row>
    <row r="654" spans="1:28" x14ac:dyDescent="0.25">
      <c r="A654" t="s">
        <v>5770</v>
      </c>
      <c r="B654" t="s">
        <v>7664</v>
      </c>
      <c r="C654" t="s">
        <v>5772</v>
      </c>
      <c r="D654" s="3" t="s">
        <v>5771</v>
      </c>
      <c r="E654" s="3" t="s">
        <v>495</v>
      </c>
      <c r="G654" t="s">
        <v>626</v>
      </c>
      <c r="H654" t="s">
        <v>243</v>
      </c>
      <c r="I654" s="17">
        <v>-1.3217868819980201</v>
      </c>
      <c r="J654" s="17">
        <v>0.40466776237975399</v>
      </c>
      <c r="K654" s="21">
        <v>4</v>
      </c>
      <c r="L654" s="27">
        <v>1802969.5706361299</v>
      </c>
      <c r="M654" s="22">
        <v>3.7090546590059096E-3</v>
      </c>
      <c r="N654" s="21">
        <v>0</v>
      </c>
      <c r="O654" s="27">
        <v>1047544.1295617745</v>
      </c>
      <c r="P654" s="22">
        <v>2.1738721373218729E-3</v>
      </c>
      <c r="Q654" s="21">
        <v>4</v>
      </c>
      <c r="R654" s="27">
        <v>2205672.8308929154</v>
      </c>
      <c r="S654" s="22">
        <v>4.6041152858303019E-3</v>
      </c>
      <c r="T654" s="23">
        <v>1</v>
      </c>
      <c r="U654" s="28">
        <v>1515709.4926268915</v>
      </c>
      <c r="V654" s="24">
        <v>3.1128905468323933E-3</v>
      </c>
      <c r="W654" s="23">
        <v>1</v>
      </c>
      <c r="X654" s="28">
        <v>1450472.1446791871</v>
      </c>
      <c r="Y654" s="24">
        <v>2.9140413510330703E-3</v>
      </c>
      <c r="Z654" s="23">
        <v>1</v>
      </c>
      <c r="AA654" s="28">
        <v>1190124.1529349179</v>
      </c>
      <c r="AB654" s="24">
        <v>2.426758464373581E-3</v>
      </c>
    </row>
    <row r="655" spans="1:28" x14ac:dyDescent="0.25">
      <c r="A655" t="s">
        <v>5792</v>
      </c>
      <c r="B655" t="s">
        <v>7670</v>
      </c>
      <c r="C655" t="s">
        <v>5795</v>
      </c>
      <c r="D655" s="3" t="s">
        <v>5793</v>
      </c>
      <c r="E655" s="3" t="s">
        <v>495</v>
      </c>
      <c r="G655" t="s">
        <v>5794</v>
      </c>
      <c r="H655" t="s">
        <v>17</v>
      </c>
      <c r="I655" s="17">
        <v>-1.3357476855058801</v>
      </c>
      <c r="J655" s="17">
        <v>7.2110978533310305E-2</v>
      </c>
      <c r="K655" s="21">
        <v>2</v>
      </c>
      <c r="L655" s="27">
        <v>1528122.28531796</v>
      </c>
      <c r="M655" s="22">
        <v>3.3955704288332967E-3</v>
      </c>
      <c r="N655" s="21">
        <v>0</v>
      </c>
      <c r="O655" s="27">
        <v>1292874.9719048112</v>
      </c>
      <c r="P655" s="22">
        <v>2.8979974176207065E-3</v>
      </c>
      <c r="Q655" s="21">
        <v>3</v>
      </c>
      <c r="R655" s="27">
        <v>1423728.4288051836</v>
      </c>
      <c r="S655" s="22">
        <v>3.2100518711292887E-3</v>
      </c>
      <c r="T655" s="23">
        <v>0</v>
      </c>
      <c r="U655" s="28">
        <v>1208642.672674807</v>
      </c>
      <c r="V655" s="24">
        <v>2.6811777128207415E-3</v>
      </c>
      <c r="W655" s="23">
        <v>0</v>
      </c>
      <c r="X655" s="28">
        <v>1059462.2689666853</v>
      </c>
      <c r="Y655" s="24">
        <v>2.2990669009782393E-3</v>
      </c>
      <c r="Z655" s="23">
        <v>0</v>
      </c>
      <c r="AA655" s="28">
        <v>1177211.5141976213</v>
      </c>
      <c r="AB655" s="24">
        <v>2.5927973991092144E-3</v>
      </c>
    </row>
    <row r="656" spans="1:28" x14ac:dyDescent="0.25">
      <c r="A656" t="s">
        <v>5854</v>
      </c>
      <c r="B656" t="s">
        <v>7691</v>
      </c>
      <c r="C656" t="s">
        <v>5856</v>
      </c>
      <c r="D656" s="3" t="s">
        <v>5855</v>
      </c>
      <c r="E656" s="3" t="s">
        <v>495</v>
      </c>
      <c r="G656" t="s">
        <v>512</v>
      </c>
      <c r="H656" t="s">
        <v>243</v>
      </c>
      <c r="I656" s="17">
        <v>-1.3525945048988</v>
      </c>
      <c r="J656" s="17">
        <v>0.120580752266152</v>
      </c>
      <c r="K656" s="21">
        <v>13</v>
      </c>
      <c r="L656" s="27">
        <v>13312413.6690882</v>
      </c>
      <c r="M656" s="22">
        <v>3.1443405063090103E-2</v>
      </c>
      <c r="N656" s="21">
        <v>2</v>
      </c>
      <c r="O656" s="27">
        <v>9521397.4822712336</v>
      </c>
      <c r="P656" s="22">
        <v>2.2686123612574445E-2</v>
      </c>
      <c r="Q656" s="21">
        <v>8</v>
      </c>
      <c r="R656" s="27">
        <v>12551961.030947277</v>
      </c>
      <c r="S656" s="22">
        <v>3.0082547283591169E-2</v>
      </c>
      <c r="T656" s="23">
        <v>4</v>
      </c>
      <c r="U656" s="28">
        <v>9919309.5153726041</v>
      </c>
      <c r="V656" s="24">
        <v>2.3389840035507019E-2</v>
      </c>
      <c r="W656" s="23">
        <v>3</v>
      </c>
      <c r="X656" s="28">
        <v>9577851.0266563985</v>
      </c>
      <c r="Y656" s="24">
        <v>2.2092879549369521E-2</v>
      </c>
      <c r="Z656" s="23">
        <v>5</v>
      </c>
      <c r="AA656" s="28">
        <v>8998613.7091201935</v>
      </c>
      <c r="AB656" s="24">
        <v>2.1067248721842433E-2</v>
      </c>
    </row>
    <row r="657" spans="1:28" x14ac:dyDescent="0.25">
      <c r="A657" t="s">
        <v>5866</v>
      </c>
      <c r="B657" t="s">
        <v>7695</v>
      </c>
      <c r="C657" t="s">
        <v>5868</v>
      </c>
      <c r="D657" s="3" t="s">
        <v>5867</v>
      </c>
      <c r="E657" s="3" t="s">
        <v>495</v>
      </c>
      <c r="G657" t="s">
        <v>5861</v>
      </c>
      <c r="H657" t="s">
        <v>243</v>
      </c>
      <c r="I657" s="17">
        <v>-1.35738571686989</v>
      </c>
      <c r="J657" s="17">
        <v>7.5490418068441006E-2</v>
      </c>
      <c r="K657" s="21">
        <v>3</v>
      </c>
      <c r="L657" s="27">
        <v>599710.71541791398</v>
      </c>
      <c r="M657" s="22">
        <v>9.6093777674060188E-4</v>
      </c>
      <c r="N657" s="21">
        <v>1</v>
      </c>
      <c r="O657" s="27">
        <v>526065.40952990914</v>
      </c>
      <c r="P657" s="22">
        <v>8.503153851539075E-4</v>
      </c>
      <c r="Q657" s="21">
        <v>2</v>
      </c>
      <c r="R657" s="27">
        <v>631455.88373532018</v>
      </c>
      <c r="S657" s="22">
        <v>1.0266602136651713E-3</v>
      </c>
      <c r="T657" s="23">
        <v>2</v>
      </c>
      <c r="U657" s="28">
        <v>505631.07237937261</v>
      </c>
      <c r="V657" s="24">
        <v>8.08835597195617E-4</v>
      </c>
      <c r="W657" s="23">
        <v>1</v>
      </c>
      <c r="X657" s="28">
        <v>407931.96593906806</v>
      </c>
      <c r="Y657" s="24">
        <v>6.3834090866584216E-4</v>
      </c>
      <c r="Z657" s="23">
        <v>2</v>
      </c>
      <c r="AA657" s="28">
        <v>483883.93716740637</v>
      </c>
      <c r="AB657" s="24">
        <v>7.6851811960454593E-4</v>
      </c>
    </row>
    <row r="658" spans="1:28" x14ac:dyDescent="0.25">
      <c r="A658" t="s">
        <v>5833</v>
      </c>
      <c r="B658" t="s">
        <v>7684</v>
      </c>
      <c r="C658" t="s">
        <v>5835</v>
      </c>
      <c r="D658" s="3" t="s">
        <v>5834</v>
      </c>
      <c r="E658" s="3" t="s">
        <v>495</v>
      </c>
      <c r="G658" t="s">
        <v>887</v>
      </c>
      <c r="H658" t="s">
        <v>57</v>
      </c>
      <c r="I658" s="17">
        <v>-1.3590214646137699</v>
      </c>
      <c r="J658" s="17">
        <v>3.68628436242628E-2</v>
      </c>
      <c r="K658" s="21">
        <v>5</v>
      </c>
      <c r="L658" s="27">
        <v>1542085.14869739</v>
      </c>
      <c r="M658" s="22">
        <v>1.797866989822536E-3</v>
      </c>
      <c r="N658" s="21">
        <v>3</v>
      </c>
      <c r="O658" s="27">
        <v>1511369.6900297897</v>
      </c>
      <c r="P658" s="22">
        <v>1.7774882749981697E-3</v>
      </c>
      <c r="Q658" s="21">
        <v>5</v>
      </c>
      <c r="R658" s="27">
        <v>1709870.8207169073</v>
      </c>
      <c r="S658" s="22">
        <v>2.0227525838635843E-3</v>
      </c>
      <c r="T658" s="23">
        <v>2</v>
      </c>
      <c r="U658" s="28">
        <v>1359744.4597509138</v>
      </c>
      <c r="V658" s="24">
        <v>1.582630552745722E-3</v>
      </c>
      <c r="W658" s="23">
        <v>1</v>
      </c>
      <c r="X658" s="28">
        <v>1141614.0524098608</v>
      </c>
      <c r="Y658" s="24">
        <v>1.2998103500567084E-3</v>
      </c>
      <c r="Z658" s="23">
        <v>2</v>
      </c>
      <c r="AA658" s="28">
        <v>1276633.9658810524</v>
      </c>
      <c r="AB658" s="24">
        <v>1.475282009993706E-3</v>
      </c>
    </row>
    <row r="659" spans="1:28" x14ac:dyDescent="0.25">
      <c r="A659" t="s">
        <v>5675</v>
      </c>
      <c r="B659" t="s">
        <v>7634</v>
      </c>
      <c r="C659" t="s">
        <v>5677</v>
      </c>
      <c r="D659" s="3" t="s">
        <v>5676</v>
      </c>
      <c r="E659" s="3" t="s">
        <v>495</v>
      </c>
      <c r="G659" t="s">
        <v>5667</v>
      </c>
      <c r="H659" t="s">
        <v>7</v>
      </c>
      <c r="I659" s="17">
        <v>-1.3637822049452</v>
      </c>
      <c r="J659" s="17">
        <v>0.10914110745443099</v>
      </c>
      <c r="K659" s="21">
        <v>5</v>
      </c>
      <c r="L659" s="27">
        <v>5336089.3497586204</v>
      </c>
      <c r="M659" s="22">
        <v>6.7252604248571463E-3</v>
      </c>
      <c r="N659" s="21">
        <v>4</v>
      </c>
      <c r="O659" s="27">
        <v>4726163.5620528711</v>
      </c>
      <c r="P659" s="22">
        <v>6.0087148321971472E-3</v>
      </c>
      <c r="Q659" s="21">
        <v>8</v>
      </c>
      <c r="R659" s="27">
        <v>5212941.1155994441</v>
      </c>
      <c r="S659" s="22">
        <v>6.6665185561290558E-3</v>
      </c>
      <c r="T659" s="23">
        <v>5</v>
      </c>
      <c r="U659" s="28">
        <v>4681837.9874472721</v>
      </c>
      <c r="V659" s="24">
        <v>5.8908157344863613E-3</v>
      </c>
      <c r="W659" s="23">
        <v>2</v>
      </c>
      <c r="X659" s="28">
        <v>3315586.4651205405</v>
      </c>
      <c r="Y659" s="24">
        <v>4.0809178503235718E-3</v>
      </c>
      <c r="Z659" s="23">
        <v>2</v>
      </c>
      <c r="AA659" s="28">
        <v>4073754.5997765609</v>
      </c>
      <c r="AB659" s="24">
        <v>5.0890922672127623E-3</v>
      </c>
    </row>
    <row r="660" spans="1:28" x14ac:dyDescent="0.25">
      <c r="A660" t="s">
        <v>5889</v>
      </c>
      <c r="B660" t="s">
        <v>7702</v>
      </c>
      <c r="C660" t="s">
        <v>5892</v>
      </c>
      <c r="D660" s="3" t="s">
        <v>5890</v>
      </c>
      <c r="E660" s="3" t="s">
        <v>495</v>
      </c>
      <c r="G660" t="s">
        <v>5891</v>
      </c>
      <c r="H660" t="s">
        <v>41</v>
      </c>
      <c r="I660" s="17">
        <v>-1.3739463950845201</v>
      </c>
      <c r="J660" s="17">
        <v>4.4560906096118499E-2</v>
      </c>
      <c r="K660" s="21">
        <v>10</v>
      </c>
      <c r="L660" s="27">
        <v>15956712.9036562</v>
      </c>
      <c r="M660" s="22">
        <v>3.2511396440690968E-2</v>
      </c>
      <c r="N660" s="21">
        <v>7</v>
      </c>
      <c r="O660" s="27">
        <v>17738069.372547183</v>
      </c>
      <c r="P660" s="22">
        <v>3.6457373213428339E-2</v>
      </c>
      <c r="Q660" s="21">
        <v>11</v>
      </c>
      <c r="R660" s="27">
        <v>13213409.956286576</v>
      </c>
      <c r="S660" s="22">
        <v>2.7317274194296897E-2</v>
      </c>
      <c r="T660" s="23">
        <v>9</v>
      </c>
      <c r="U660" s="28">
        <v>12107425.241043448</v>
      </c>
      <c r="V660" s="24">
        <v>2.4627313136581189E-2</v>
      </c>
      <c r="W660" s="23">
        <v>5</v>
      </c>
      <c r="X660" s="28">
        <v>13427892.647582237</v>
      </c>
      <c r="Y660" s="24">
        <v>2.6718466860536166E-2</v>
      </c>
      <c r="Z660" s="23">
        <v>7</v>
      </c>
      <c r="AA660" s="28">
        <v>11590495.825959481</v>
      </c>
      <c r="AB660" s="24">
        <v>2.3407425791629598E-2</v>
      </c>
    </row>
    <row r="661" spans="1:28" x14ac:dyDescent="0.25">
      <c r="A661" t="s">
        <v>5680</v>
      </c>
      <c r="B661" t="s">
        <v>7636</v>
      </c>
      <c r="C661" t="s">
        <v>5682</v>
      </c>
      <c r="D661" s="3" t="s">
        <v>5681</v>
      </c>
      <c r="E661" s="3" t="s">
        <v>495</v>
      </c>
      <c r="G661" t="s">
        <v>5667</v>
      </c>
      <c r="H661" t="s">
        <v>41</v>
      </c>
      <c r="I661" s="17">
        <v>-1.40176889828815</v>
      </c>
      <c r="J661" s="17">
        <v>0.13399598271039601</v>
      </c>
      <c r="K661" s="21">
        <v>8</v>
      </c>
      <c r="L661" s="27">
        <v>5475831.6813585898</v>
      </c>
      <c r="M661" s="22">
        <v>7.1559417766476723E-3</v>
      </c>
      <c r="N661" s="21">
        <v>2</v>
      </c>
      <c r="O661" s="27">
        <v>3957805.4010260301</v>
      </c>
      <c r="P661" s="22">
        <v>5.2174461752196684E-3</v>
      </c>
      <c r="Q661" s="21">
        <v>8</v>
      </c>
      <c r="R661" s="27">
        <v>5428985.1080189887</v>
      </c>
      <c r="S661" s="22">
        <v>7.1988913379899596E-3</v>
      </c>
      <c r="T661" s="23">
        <v>5</v>
      </c>
      <c r="U661" s="28">
        <v>4192006.3727509975</v>
      </c>
      <c r="V661" s="24">
        <v>5.4690473836598776E-3</v>
      </c>
      <c r="W661" s="23">
        <v>2</v>
      </c>
      <c r="X661" s="28">
        <v>3270457.8968476569</v>
      </c>
      <c r="Y661" s="24">
        <v>4.1738491768487287E-3</v>
      </c>
      <c r="Z661" s="23">
        <v>4</v>
      </c>
      <c r="AA661" s="28">
        <v>4016556.1637372044</v>
      </c>
      <c r="AB661" s="24">
        <v>5.2027145648852486E-3</v>
      </c>
    </row>
    <row r="662" spans="1:28" x14ac:dyDescent="0.25">
      <c r="A662" t="s">
        <v>5710</v>
      </c>
      <c r="B662" t="s">
        <v>7646</v>
      </c>
      <c r="C662" t="s">
        <v>5714</v>
      </c>
      <c r="D662" s="3" t="s">
        <v>5711</v>
      </c>
      <c r="E662" s="3" t="s">
        <v>495</v>
      </c>
      <c r="G662" t="s">
        <v>5712</v>
      </c>
      <c r="H662" t="s">
        <v>5713</v>
      </c>
      <c r="I662" s="17">
        <v>-1.43517398695299</v>
      </c>
      <c r="J662" s="17">
        <v>0.20737836133430301</v>
      </c>
      <c r="K662" s="21">
        <v>8</v>
      </c>
      <c r="L662" s="27">
        <v>9934772.6456416007</v>
      </c>
      <c r="M662" s="22">
        <v>2.5754869637273362E-2</v>
      </c>
      <c r="N662" s="21">
        <v>3</v>
      </c>
      <c r="O662" s="27">
        <v>5925340.4367338875</v>
      </c>
      <c r="P662" s="22">
        <v>1.5495356163758836E-2</v>
      </c>
      <c r="Q662" s="21">
        <v>11</v>
      </c>
      <c r="R662" s="27">
        <v>9206045.9043226019</v>
      </c>
      <c r="S662" s="22">
        <v>2.4216134432757573E-2</v>
      </c>
      <c r="T662" s="23">
        <v>9</v>
      </c>
      <c r="U662" s="28">
        <v>7304484.2558750091</v>
      </c>
      <c r="V662" s="24">
        <v>1.8904449019951725E-2</v>
      </c>
      <c r="W662" s="23">
        <v>2</v>
      </c>
      <c r="X662" s="28">
        <v>5469831.3193790941</v>
      </c>
      <c r="Y662" s="24">
        <v>1.3847993074840104E-2</v>
      </c>
      <c r="Z662" s="23">
        <v>7</v>
      </c>
      <c r="AA662" s="28">
        <v>6192178.8755294643</v>
      </c>
      <c r="AB662" s="24">
        <v>1.5911252371618737E-2</v>
      </c>
    </row>
    <row r="663" spans="1:28" x14ac:dyDescent="0.25">
      <c r="A663" t="s">
        <v>5810</v>
      </c>
      <c r="B663" t="s">
        <v>7676</v>
      </c>
      <c r="C663" t="s">
        <v>5811</v>
      </c>
      <c r="D663" s="3" t="s">
        <v>5801</v>
      </c>
      <c r="E663" s="3" t="s">
        <v>495</v>
      </c>
      <c r="G663" t="s">
        <v>501</v>
      </c>
      <c r="I663" s="17">
        <v>-1.4420576919577199</v>
      </c>
      <c r="J663" s="17">
        <v>2.3910837050604501E-2</v>
      </c>
      <c r="K663" s="21">
        <v>5</v>
      </c>
      <c r="L663" s="27">
        <v>2748542.1285942402</v>
      </c>
      <c r="M663" s="22">
        <v>6.7676698499742182E-3</v>
      </c>
      <c r="N663" s="21">
        <v>2</v>
      </c>
      <c r="O663" s="27">
        <v>2285740.7056439742</v>
      </c>
      <c r="P663" s="22">
        <v>5.6774139565628498E-3</v>
      </c>
      <c r="Q663" s="21">
        <v>4</v>
      </c>
      <c r="R663" s="27">
        <v>2758908.0704324618</v>
      </c>
      <c r="S663" s="22">
        <v>6.8929361469760777E-3</v>
      </c>
      <c r="T663" s="23">
        <v>1</v>
      </c>
      <c r="U663" s="28">
        <v>1925337.5946252488</v>
      </c>
      <c r="V663" s="24">
        <v>4.7327841827765026E-3</v>
      </c>
      <c r="W663" s="23">
        <v>0</v>
      </c>
      <c r="X663" s="28">
        <v>2188627.3244857849</v>
      </c>
      <c r="Y663" s="24">
        <v>5.2628387543618678E-3</v>
      </c>
      <c r="Z663" s="23">
        <v>1</v>
      </c>
      <c r="AA663" s="28">
        <v>1777074.3161100326</v>
      </c>
      <c r="AB663" s="24">
        <v>4.3371236496527049E-3</v>
      </c>
    </row>
    <row r="664" spans="1:28" x14ac:dyDescent="0.25">
      <c r="A664" t="s">
        <v>5836</v>
      </c>
      <c r="B664" t="s">
        <v>7685</v>
      </c>
      <c r="C664" t="s">
        <v>5837</v>
      </c>
      <c r="D664" s="3" t="s">
        <v>5834</v>
      </c>
      <c r="E664" s="3" t="s">
        <v>495</v>
      </c>
      <c r="G664" t="s">
        <v>887</v>
      </c>
      <c r="H664" t="s">
        <v>57</v>
      </c>
      <c r="I664" s="17">
        <v>-1.4489198314710501</v>
      </c>
      <c r="J664" s="17">
        <v>0.70743277967615403</v>
      </c>
      <c r="K664" s="21">
        <v>2</v>
      </c>
      <c r="L664" s="27">
        <v>273451.11962305597</v>
      </c>
      <c r="M664" s="22">
        <v>2.8081780212301747E-4</v>
      </c>
      <c r="N664" s="21">
        <v>0</v>
      </c>
      <c r="O664" s="27">
        <v>77429.489385737194</v>
      </c>
      <c r="P664" s="22">
        <v>8.0211780691358966E-5</v>
      </c>
      <c r="Q664" s="21">
        <v>3</v>
      </c>
      <c r="R664" s="27">
        <v>336303.74755120219</v>
      </c>
      <c r="S664" s="22">
        <v>3.5043453308643269E-4</v>
      </c>
      <c r="T664" s="23">
        <v>0</v>
      </c>
      <c r="U664" s="28">
        <v>154028.87303521991</v>
      </c>
      <c r="V664" s="24">
        <v>1.5791380988679126E-4</v>
      </c>
      <c r="W664" s="23">
        <v>0</v>
      </c>
      <c r="X664" s="28">
        <v>156568.4211053302</v>
      </c>
      <c r="Y664" s="24">
        <v>1.5702202831385117E-4</v>
      </c>
      <c r="Z664" s="23">
        <v>0</v>
      </c>
      <c r="AA664" s="28">
        <v>207414.86156592227</v>
      </c>
      <c r="AB664" s="24">
        <v>2.1112722946120614E-4</v>
      </c>
    </row>
    <row r="665" spans="1:28" x14ac:dyDescent="0.25">
      <c r="A665" t="s">
        <v>5650</v>
      </c>
      <c r="B665" t="s">
        <v>7627</v>
      </c>
      <c r="C665" t="s">
        <v>5653</v>
      </c>
      <c r="D665" s="3" t="s">
        <v>5651</v>
      </c>
      <c r="E665" s="3" t="s">
        <v>495</v>
      </c>
      <c r="G665" t="s">
        <v>5652</v>
      </c>
      <c r="H665" t="s">
        <v>553</v>
      </c>
      <c r="I665" s="17">
        <v>-1.4685385261909401</v>
      </c>
      <c r="J665" s="17">
        <v>8.6844021374677102E-2</v>
      </c>
      <c r="K665" s="21">
        <v>3</v>
      </c>
      <c r="L665" s="27">
        <v>1344316.4971528801</v>
      </c>
      <c r="M665" s="22">
        <v>2.1594718726004342E-3</v>
      </c>
      <c r="N665" s="21">
        <v>1</v>
      </c>
      <c r="O665" s="27">
        <v>1966428.0648816284</v>
      </c>
      <c r="P665" s="22">
        <v>3.1864779656354861E-3</v>
      </c>
      <c r="Q665" s="21">
        <v>3</v>
      </c>
      <c r="R665" s="27">
        <v>1409126.8882042759</v>
      </c>
      <c r="S665" s="22">
        <v>2.2968169531131215E-3</v>
      </c>
      <c r="T665" s="23">
        <v>1</v>
      </c>
      <c r="U665" s="28">
        <v>1180216.9659187621</v>
      </c>
      <c r="V665" s="24">
        <v>1.8926962453380592E-3</v>
      </c>
      <c r="W665" s="23">
        <v>0</v>
      </c>
      <c r="X665" s="28">
        <v>918472.87086177513</v>
      </c>
      <c r="Y665" s="24">
        <v>1.4408668092708071E-3</v>
      </c>
      <c r="Z665" s="23">
        <v>1</v>
      </c>
      <c r="AA665" s="28">
        <v>1340538.3663935531</v>
      </c>
      <c r="AB665" s="24">
        <v>2.134443774786342E-3</v>
      </c>
    </row>
    <row r="666" spans="1:28" x14ac:dyDescent="0.25">
      <c r="A666" t="s">
        <v>5672</v>
      </c>
      <c r="B666" t="s">
        <v>7633</v>
      </c>
      <c r="C666" t="s">
        <v>5674</v>
      </c>
      <c r="D666" s="3" t="s">
        <v>5673</v>
      </c>
      <c r="E666" s="3" t="s">
        <v>495</v>
      </c>
      <c r="G666" t="s">
        <v>5667</v>
      </c>
      <c r="H666" t="s">
        <v>7</v>
      </c>
      <c r="I666" s="17">
        <v>-1.5075018092275001</v>
      </c>
      <c r="J666" s="17">
        <v>6.7483907948707497E-2</v>
      </c>
      <c r="K666" s="21">
        <v>4</v>
      </c>
      <c r="L666" s="27">
        <v>3919812.6894392702</v>
      </c>
      <c r="M666" s="22">
        <v>5.0500612529795728E-3</v>
      </c>
      <c r="N666" s="21">
        <v>5</v>
      </c>
      <c r="O666" s="27">
        <v>4684214.7824606095</v>
      </c>
      <c r="P666" s="22">
        <v>6.0877241323957238E-3</v>
      </c>
      <c r="Q666" s="21">
        <v>9</v>
      </c>
      <c r="R666" s="27">
        <v>4808911.0182590792</v>
      </c>
      <c r="S666" s="22">
        <v>6.2864914921270795E-3</v>
      </c>
      <c r="T666" s="23">
        <v>4</v>
      </c>
      <c r="U666" s="28">
        <v>3938002.0795912389</v>
      </c>
      <c r="V666" s="24">
        <v>5.0650101047888833E-3</v>
      </c>
      <c r="W666" s="23">
        <v>2</v>
      </c>
      <c r="X666" s="28">
        <v>3373574.6109291711</v>
      </c>
      <c r="Y666" s="24">
        <v>4.2445644448162283E-3</v>
      </c>
      <c r="Z666" s="23">
        <v>1</v>
      </c>
      <c r="AA666" s="28">
        <v>2251763.2228456684</v>
      </c>
      <c r="AB666" s="24">
        <v>2.8755008520908146E-3</v>
      </c>
    </row>
    <row r="667" spans="1:28" x14ac:dyDescent="0.25">
      <c r="A667" t="s">
        <v>5773</v>
      </c>
      <c r="B667" t="s">
        <v>7665</v>
      </c>
      <c r="C667" t="s">
        <v>5776</v>
      </c>
      <c r="D667" s="3" t="s">
        <v>5774</v>
      </c>
      <c r="E667" s="3" t="s">
        <v>495</v>
      </c>
      <c r="G667" t="s">
        <v>5775</v>
      </c>
      <c r="H667" t="s">
        <v>12</v>
      </c>
      <c r="I667" s="17">
        <v>-1.5188084543845599</v>
      </c>
      <c r="J667" s="17">
        <v>3.9853118344693898E-2</v>
      </c>
      <c r="K667" s="21">
        <v>2</v>
      </c>
      <c r="L667" s="27">
        <v>1944139.0383154</v>
      </c>
      <c r="M667" s="22">
        <v>4.0650324037545598E-3</v>
      </c>
      <c r="N667" s="21">
        <v>1</v>
      </c>
      <c r="O667" s="27">
        <v>1601371.4256798998</v>
      </c>
      <c r="P667" s="22">
        <v>3.3776574130112303E-3</v>
      </c>
      <c r="Q667" s="21">
        <v>1</v>
      </c>
      <c r="R667" s="27">
        <v>2339161.3318835003</v>
      </c>
      <c r="S667" s="22">
        <v>4.9628040350699855E-3</v>
      </c>
      <c r="T667" s="23">
        <v>1</v>
      </c>
      <c r="U667" s="28">
        <v>1361200.4056837519</v>
      </c>
      <c r="V667" s="24">
        <v>2.8413962595981702E-3</v>
      </c>
      <c r="W667" s="23">
        <v>1</v>
      </c>
      <c r="X667" s="28">
        <v>1316576.4452356729</v>
      </c>
      <c r="Y667" s="24">
        <v>2.688402265628709E-3</v>
      </c>
      <c r="Z667" s="23">
        <v>1</v>
      </c>
      <c r="AA667" s="28">
        <v>1513833.9873854259</v>
      </c>
      <c r="AB667" s="24">
        <v>3.1374324924804044E-3</v>
      </c>
    </row>
    <row r="668" spans="1:28" x14ac:dyDescent="0.25">
      <c r="A668" t="s">
        <v>5715</v>
      </c>
      <c r="B668" t="s">
        <v>7647</v>
      </c>
      <c r="C668" t="s">
        <v>5718</v>
      </c>
      <c r="D668" s="3" t="s">
        <v>5716</v>
      </c>
      <c r="E668" s="3" t="s">
        <v>495</v>
      </c>
      <c r="G668" t="s">
        <v>5717</v>
      </c>
      <c r="H668" t="s">
        <v>41</v>
      </c>
      <c r="I668" s="17">
        <v>-1.5345471395464101</v>
      </c>
      <c r="J668" s="17">
        <v>2.8857130311319101E-2</v>
      </c>
      <c r="K668" s="21">
        <v>11</v>
      </c>
      <c r="L668" s="27">
        <v>9793278.2936325707</v>
      </c>
      <c r="M668" s="22">
        <v>1.3878806230185961E-2</v>
      </c>
      <c r="N668" s="21">
        <v>6</v>
      </c>
      <c r="O668" s="27">
        <v>8481350.3641997688</v>
      </c>
      <c r="P668" s="22">
        <v>1.2124835442825688E-2</v>
      </c>
      <c r="Q668" s="21">
        <v>9</v>
      </c>
      <c r="R668" s="27">
        <v>9450949.2119749859</v>
      </c>
      <c r="S668" s="22">
        <v>1.3590320708122841E-2</v>
      </c>
      <c r="T668" s="23">
        <v>7</v>
      </c>
      <c r="U668" s="28">
        <v>7332025.9968281696</v>
      </c>
      <c r="V668" s="24">
        <v>1.0373398366260046E-2</v>
      </c>
      <c r="W668" s="23">
        <v>3</v>
      </c>
      <c r="X668" s="28">
        <v>5905431.902327341</v>
      </c>
      <c r="Y668" s="24">
        <v>8.1731065982554585E-3</v>
      </c>
      <c r="Z668" s="23">
        <v>6</v>
      </c>
      <c r="AA668" s="28">
        <v>6300558.0067473175</v>
      </c>
      <c r="AB668" s="24">
        <v>8.8503914206260054E-3</v>
      </c>
    </row>
    <row r="669" spans="1:28" x14ac:dyDescent="0.25">
      <c r="A669" t="s">
        <v>5863</v>
      </c>
      <c r="B669" t="s">
        <v>7694</v>
      </c>
      <c r="C669" t="s">
        <v>5865</v>
      </c>
      <c r="D669" s="3" t="s">
        <v>5864</v>
      </c>
      <c r="E669" s="3" t="s">
        <v>495</v>
      </c>
      <c r="G669" t="s">
        <v>5861</v>
      </c>
      <c r="H669" t="s">
        <v>243</v>
      </c>
      <c r="I669" s="17">
        <v>-1.59988298303264</v>
      </c>
      <c r="J669" s="17">
        <v>7.3232536686864205E-2</v>
      </c>
      <c r="K669" s="21">
        <v>5</v>
      </c>
      <c r="L669" s="27">
        <v>1859675.32629181</v>
      </c>
      <c r="M669" s="22">
        <v>1.6290795047078904E-3</v>
      </c>
      <c r="N669" s="21">
        <v>2</v>
      </c>
      <c r="O669" s="27">
        <v>1406530.9741705304</v>
      </c>
      <c r="P669" s="22">
        <v>1.2429145836322653E-3</v>
      </c>
      <c r="Q669" s="21">
        <v>5</v>
      </c>
      <c r="R669" s="27">
        <v>2250023.792318576</v>
      </c>
      <c r="S669" s="22">
        <v>1.9999655784468462E-3</v>
      </c>
      <c r="T669" s="23">
        <v>1</v>
      </c>
      <c r="U669" s="28">
        <v>1300047.3603734076</v>
      </c>
      <c r="V669" s="24">
        <v>1.1369395346803137E-3</v>
      </c>
      <c r="W669" s="23">
        <v>0</v>
      </c>
      <c r="X669" s="28">
        <v>1035114.3186686425</v>
      </c>
      <c r="Y669" s="24">
        <v>8.8553340361350729E-4</v>
      </c>
      <c r="Z669" s="23">
        <v>1</v>
      </c>
      <c r="AA669" s="28">
        <v>1382837.534351655</v>
      </c>
      <c r="AB669" s="24">
        <v>1.2007034476082036E-3</v>
      </c>
    </row>
    <row r="670" spans="1:28" x14ac:dyDescent="0.25">
      <c r="A670" t="s">
        <v>5731</v>
      </c>
      <c r="B670" t="s">
        <v>7652</v>
      </c>
      <c r="C670" t="s">
        <v>5733</v>
      </c>
      <c r="D670" s="3" t="s">
        <v>5732</v>
      </c>
      <c r="E670" s="3" t="s">
        <v>495</v>
      </c>
      <c r="G670" t="s">
        <v>1127</v>
      </c>
      <c r="H670" t="s">
        <v>243</v>
      </c>
      <c r="I670" s="17">
        <v>-1.6110615409960201</v>
      </c>
      <c r="J670" s="17">
        <v>0.145541843392343</v>
      </c>
      <c r="K670" s="21">
        <v>5</v>
      </c>
      <c r="L670" s="27">
        <v>4039616.9621595498</v>
      </c>
      <c r="M670" s="22">
        <v>8.7924335947129131E-3</v>
      </c>
      <c r="N670" s="21">
        <v>1</v>
      </c>
      <c r="O670" s="27">
        <v>2277836.6361347269</v>
      </c>
      <c r="P670" s="22">
        <v>5.0012471398094031E-3</v>
      </c>
      <c r="Q670" s="21">
        <v>7</v>
      </c>
      <c r="R670" s="27">
        <v>4560022.5342595158</v>
      </c>
      <c r="S670" s="22">
        <v>1.0070850717286672E-2</v>
      </c>
      <c r="T670" s="23">
        <v>2</v>
      </c>
      <c r="U670" s="28">
        <v>2446869.4221864864</v>
      </c>
      <c r="V670" s="24">
        <v>5.3168296677359892E-3</v>
      </c>
      <c r="W670" s="23">
        <v>2</v>
      </c>
      <c r="X670" s="28">
        <v>2399183.5656718574</v>
      </c>
      <c r="Y670" s="24">
        <v>5.0996910765182145E-3</v>
      </c>
      <c r="Z670" s="23">
        <v>3</v>
      </c>
      <c r="AA670" s="28">
        <v>2503174.2293505226</v>
      </c>
      <c r="AB670" s="24">
        <v>5.4003192725628722E-3</v>
      </c>
    </row>
    <row r="671" spans="1:28" x14ac:dyDescent="0.25">
      <c r="A671" t="s">
        <v>5838</v>
      </c>
      <c r="B671" t="s">
        <v>7686</v>
      </c>
      <c r="C671" t="s">
        <v>5840</v>
      </c>
      <c r="D671" s="3" t="s">
        <v>5839</v>
      </c>
      <c r="E671" s="3" t="s">
        <v>495</v>
      </c>
      <c r="G671" t="s">
        <v>887</v>
      </c>
      <c r="H671" t="s">
        <v>243</v>
      </c>
      <c r="I671" s="17">
        <v>-1.65238206504342</v>
      </c>
      <c r="J671" s="17">
        <v>6.2491649471191499E-2</v>
      </c>
      <c r="K671" s="21">
        <v>2</v>
      </c>
      <c r="L671" s="27">
        <v>725321.78761209897</v>
      </c>
      <c r="M671" s="22">
        <v>2.1025414804177476E-3</v>
      </c>
      <c r="N671" s="21">
        <v>1</v>
      </c>
      <c r="O671" s="27">
        <v>538757.80952783185</v>
      </c>
      <c r="P671" s="22">
        <v>1.5754124030424622E-3</v>
      </c>
      <c r="Q671" s="21">
        <v>2</v>
      </c>
      <c r="R671" s="27">
        <v>707755.90731364081</v>
      </c>
      <c r="S671" s="22">
        <v>2.0817453918582575E-3</v>
      </c>
      <c r="T671" s="23">
        <v>1</v>
      </c>
      <c r="U671" s="28">
        <v>541903.00115559518</v>
      </c>
      <c r="V671" s="24">
        <v>1.5682252758345877E-3</v>
      </c>
      <c r="W671" s="23">
        <v>1</v>
      </c>
      <c r="X671" s="28">
        <v>378279.39810170478</v>
      </c>
      <c r="Y671" s="24">
        <v>1.0708731254739257E-3</v>
      </c>
      <c r="Z671" s="23">
        <v>1</v>
      </c>
      <c r="AA671" s="28">
        <v>368944.64145862381</v>
      </c>
      <c r="AB671" s="24">
        <v>1.0600699022354453E-3</v>
      </c>
    </row>
    <row r="672" spans="1:28" x14ac:dyDescent="0.25">
      <c r="A672" t="s">
        <v>5781</v>
      </c>
      <c r="B672" t="s">
        <v>7667</v>
      </c>
      <c r="C672" t="s">
        <v>5783</v>
      </c>
      <c r="D672" s="3" t="s">
        <v>5782</v>
      </c>
      <c r="E672" s="3" t="s">
        <v>495</v>
      </c>
      <c r="G672" t="s">
        <v>5779</v>
      </c>
      <c r="H672" t="s">
        <v>243</v>
      </c>
      <c r="I672" s="17">
        <v>-1.7068291394856301</v>
      </c>
      <c r="J672" s="17">
        <v>0.15105347139657699</v>
      </c>
      <c r="K672" s="21">
        <v>2</v>
      </c>
      <c r="L672" s="27">
        <v>696357.66506240505</v>
      </c>
      <c r="M672" s="22">
        <v>1.0138991993435039E-3</v>
      </c>
      <c r="N672" s="21">
        <v>0</v>
      </c>
      <c r="O672" s="27">
        <v>402820.05619619071</v>
      </c>
      <c r="P672" s="22">
        <v>5.9164382730466042E-4</v>
      </c>
      <c r="Q672" s="21">
        <v>4</v>
      </c>
      <c r="R672" s="27">
        <v>662875.75841381215</v>
      </c>
      <c r="S672" s="22">
        <v>9.7932043408045701E-4</v>
      </c>
      <c r="T672" s="23">
        <v>1</v>
      </c>
      <c r="U672" s="28">
        <v>492821.499764718</v>
      </c>
      <c r="V672" s="24">
        <v>7.1634974305323301E-4</v>
      </c>
      <c r="W672" s="23">
        <v>0</v>
      </c>
      <c r="X672" s="28">
        <v>251731.26774882327</v>
      </c>
      <c r="Y672" s="24">
        <v>3.5794068398415122E-4</v>
      </c>
      <c r="Z672" s="23">
        <v>0</v>
      </c>
      <c r="AA672" s="28">
        <v>367508.52223780687</v>
      </c>
      <c r="AB672" s="24">
        <v>5.3038261698145196E-4</v>
      </c>
    </row>
    <row r="673" spans="1:36" x14ac:dyDescent="0.25">
      <c r="A673" t="s">
        <v>5752</v>
      </c>
      <c r="B673" t="s">
        <v>7659</v>
      </c>
      <c r="C673" t="s">
        <v>5755</v>
      </c>
      <c r="D673" s="3" t="s">
        <v>5753</v>
      </c>
      <c r="E673" s="3" t="s">
        <v>495</v>
      </c>
      <c r="G673" t="s">
        <v>5754</v>
      </c>
      <c r="H673" t="s">
        <v>243</v>
      </c>
      <c r="I673" s="17">
        <v>-1.7510564375492199</v>
      </c>
      <c r="J673" s="17">
        <v>1.62495751413296E-2</v>
      </c>
      <c r="K673" s="21">
        <v>9</v>
      </c>
      <c r="L673" s="27">
        <v>7728903.5411815299</v>
      </c>
      <c r="M673" s="22">
        <v>1.5259907289410938E-2</v>
      </c>
      <c r="N673" s="21">
        <v>6</v>
      </c>
      <c r="O673" s="27">
        <v>7807791.6024209391</v>
      </c>
      <c r="P673" s="22">
        <v>1.5550668139160048E-2</v>
      </c>
      <c r="Q673" s="21">
        <v>10</v>
      </c>
      <c r="R673" s="27">
        <v>9228517.5909465384</v>
      </c>
      <c r="S673" s="22">
        <v>1.848826732049481E-2</v>
      </c>
      <c r="T673" s="23">
        <v>7</v>
      </c>
      <c r="U673" s="28">
        <v>6029648.8536614422</v>
      </c>
      <c r="V673" s="24">
        <v>1.1884996895340784E-2</v>
      </c>
      <c r="W673" s="23">
        <v>4</v>
      </c>
      <c r="X673" s="28">
        <v>5244385.8614465259</v>
      </c>
      <c r="Y673" s="24">
        <v>1.0112071383394773E-2</v>
      </c>
      <c r="Z673" s="23">
        <v>2</v>
      </c>
      <c r="AA673" s="28">
        <v>3970412.9801839446</v>
      </c>
      <c r="AB673" s="24">
        <v>7.7701452543019614E-3</v>
      </c>
    </row>
    <row r="674" spans="1:36" x14ac:dyDescent="0.25">
      <c r="A674" t="s">
        <v>5669</v>
      </c>
      <c r="B674" t="s">
        <v>7632</v>
      </c>
      <c r="C674" t="s">
        <v>5671</v>
      </c>
      <c r="D674" s="3" t="s">
        <v>5670</v>
      </c>
      <c r="E674" s="3" t="s">
        <v>495</v>
      </c>
      <c r="G674" t="s">
        <v>5667</v>
      </c>
      <c r="H674" t="s">
        <v>7</v>
      </c>
      <c r="I674" s="17">
        <v>-1.7547055683959401</v>
      </c>
      <c r="J674" s="17">
        <v>8.04328327941339E-3</v>
      </c>
      <c r="K674" s="21">
        <v>2</v>
      </c>
      <c r="L674" s="27">
        <v>1561715.6028716201</v>
      </c>
      <c r="M674" s="22">
        <v>1.9760955631503534E-3</v>
      </c>
      <c r="N674" s="21">
        <v>0</v>
      </c>
      <c r="O674" s="27">
        <v>2215221.4209053861</v>
      </c>
      <c r="P674" s="22">
        <v>2.8275478849531352E-3</v>
      </c>
      <c r="Q674" s="21">
        <v>2</v>
      </c>
      <c r="R674" s="27">
        <v>1740977.7256110525</v>
      </c>
      <c r="S674" s="22">
        <v>2.2352673171907736E-3</v>
      </c>
      <c r="T674" s="23">
        <v>1</v>
      </c>
      <c r="U674" s="28">
        <v>1171713.9479019004</v>
      </c>
      <c r="V674" s="24">
        <v>1.4801326446551764E-3</v>
      </c>
      <c r="W674" s="23">
        <v>0</v>
      </c>
      <c r="X674" s="28">
        <v>1017166.1159591241</v>
      </c>
      <c r="Y674" s="24">
        <v>1.2569249849978717E-3</v>
      </c>
      <c r="Z674" s="23">
        <v>1</v>
      </c>
      <c r="AA674" s="28">
        <v>1183961.8897227494</v>
      </c>
      <c r="AB674" s="24">
        <v>1.4849203690610812E-3</v>
      </c>
    </row>
    <row r="675" spans="1:36" x14ac:dyDescent="0.25">
      <c r="A675" t="s">
        <v>5654</v>
      </c>
      <c r="B675" t="s">
        <v>7628</v>
      </c>
      <c r="C675" t="s">
        <v>5657</v>
      </c>
      <c r="D675" s="3" t="s">
        <v>5655</v>
      </c>
      <c r="E675" s="3" t="s">
        <v>495</v>
      </c>
      <c r="G675" t="s">
        <v>5656</v>
      </c>
      <c r="H675" t="s">
        <v>243</v>
      </c>
      <c r="I675" s="17">
        <v>-1.7632587326203599</v>
      </c>
      <c r="J675" s="17">
        <v>2.2099851081033E-2</v>
      </c>
      <c r="K675" s="21">
        <v>7</v>
      </c>
      <c r="L675" s="27">
        <v>6008076.8005477702</v>
      </c>
      <c r="M675" s="22">
        <v>1.5204476265458679E-2</v>
      </c>
      <c r="N675" s="21">
        <v>8</v>
      </c>
      <c r="O675" s="27">
        <v>6004112.8075379049</v>
      </c>
      <c r="P675" s="22">
        <v>1.5327512012803831E-2</v>
      </c>
      <c r="Q675" s="21">
        <v>9</v>
      </c>
      <c r="R675" s="27">
        <v>8488227.4591830075</v>
      </c>
      <c r="S675" s="22">
        <v>2.1796324147379552E-2</v>
      </c>
      <c r="T675" s="23">
        <v>4</v>
      </c>
      <c r="U675" s="28">
        <v>4925907.8409596719</v>
      </c>
      <c r="V675" s="24">
        <v>1.2445011878577956E-2</v>
      </c>
      <c r="W675" s="23">
        <v>3</v>
      </c>
      <c r="X675" s="28">
        <v>4047437.4466585014</v>
      </c>
      <c r="Y675" s="24">
        <v>1.0002938894841246E-2</v>
      </c>
      <c r="Z675" s="23">
        <v>2</v>
      </c>
      <c r="AA675" s="28">
        <v>3506597.4373304653</v>
      </c>
      <c r="AB675" s="24">
        <v>8.7959215680645502E-3</v>
      </c>
    </row>
    <row r="676" spans="1:36" x14ac:dyDescent="0.25">
      <c r="A676" t="s">
        <v>5740</v>
      </c>
      <c r="B676" t="s">
        <v>7655</v>
      </c>
      <c r="C676" t="s">
        <v>5742</v>
      </c>
      <c r="D676" s="3" t="s">
        <v>5741</v>
      </c>
      <c r="E676" s="3" t="s">
        <v>495</v>
      </c>
      <c r="G676" t="s">
        <v>1339</v>
      </c>
      <c r="H676" t="s">
        <v>23</v>
      </c>
      <c r="I676" s="17">
        <v>-1.76419735032011</v>
      </c>
      <c r="J676" s="17">
        <v>4.0665787524476497E-3</v>
      </c>
      <c r="K676" s="21">
        <v>3</v>
      </c>
      <c r="L676" s="27">
        <v>728009.52898498799</v>
      </c>
      <c r="M676" s="22">
        <v>1.9589585558879258E-3</v>
      </c>
      <c r="N676" s="21">
        <v>3</v>
      </c>
      <c r="O676" s="27">
        <v>794459.22541356226</v>
      </c>
      <c r="P676" s="22">
        <v>2.1564859309404901E-3</v>
      </c>
      <c r="Q676" s="21">
        <v>3</v>
      </c>
      <c r="R676" s="27">
        <v>920792.83115126262</v>
      </c>
      <c r="S676" s="22">
        <v>2.5140874106418568E-3</v>
      </c>
      <c r="T676" s="23">
        <v>1</v>
      </c>
      <c r="U676" s="28">
        <v>547653.35758273024</v>
      </c>
      <c r="V676" s="24">
        <v>1.4711839643121653E-3</v>
      </c>
      <c r="W676" s="23">
        <v>0</v>
      </c>
      <c r="X676" s="28">
        <v>465803.76100458804</v>
      </c>
      <c r="Y676" s="24">
        <v>1.2240598583350159E-3</v>
      </c>
      <c r="Z676" s="23">
        <v>0</v>
      </c>
      <c r="AA676" s="28">
        <v>474789.02681871568</v>
      </c>
      <c r="AB676" s="24">
        <v>1.2663341093416666E-3</v>
      </c>
    </row>
    <row r="677" spans="1:36" x14ac:dyDescent="0.25">
      <c r="A677" t="s">
        <v>5821</v>
      </c>
      <c r="B677" t="s">
        <v>7680</v>
      </c>
      <c r="C677" t="s">
        <v>5823</v>
      </c>
      <c r="D677" s="3" t="s">
        <v>5822</v>
      </c>
      <c r="E677" s="3" t="s">
        <v>495</v>
      </c>
      <c r="G677" t="s">
        <v>887</v>
      </c>
      <c r="H677" t="s">
        <v>243</v>
      </c>
      <c r="I677" s="17">
        <v>-1.9528695283379001</v>
      </c>
      <c r="J677" s="17">
        <v>2.2837613898635999E-2</v>
      </c>
      <c r="K677" s="21">
        <v>1</v>
      </c>
      <c r="L677" s="27">
        <v>218706.58446107301</v>
      </c>
      <c r="M677" s="22">
        <v>7.4986907642262996E-4</v>
      </c>
      <c r="N677" s="21">
        <v>0</v>
      </c>
      <c r="O677" s="27">
        <v>242453.53559377909</v>
      </c>
      <c r="P677" s="22">
        <v>8.38569263653174E-4</v>
      </c>
      <c r="Q677" s="21">
        <v>2</v>
      </c>
      <c r="R677" s="27">
        <v>247791.80619610564</v>
      </c>
      <c r="S677" s="22">
        <v>8.620665363662435E-4</v>
      </c>
      <c r="T677" s="23">
        <v>0</v>
      </c>
      <c r="U677" s="28">
        <v>110719.05953292163</v>
      </c>
      <c r="V677" s="24">
        <v>3.7898237915507738E-4</v>
      </c>
      <c r="W677" s="23">
        <v>0</v>
      </c>
      <c r="X677" s="28">
        <v>99894.059794005298</v>
      </c>
      <c r="Y677" s="24">
        <v>3.3448352435921875E-4</v>
      </c>
      <c r="Z677" s="23">
        <v>0</v>
      </c>
      <c r="AA677" s="28">
        <v>179938.93870282383</v>
      </c>
      <c r="AB677" s="24">
        <v>6.1151651208073024E-4</v>
      </c>
    </row>
    <row r="678" spans="1:36" x14ac:dyDescent="0.25">
      <c r="A678" t="s">
        <v>5800</v>
      </c>
      <c r="B678" t="s">
        <v>7672</v>
      </c>
      <c r="C678" t="s">
        <v>5802</v>
      </c>
      <c r="D678" s="3" t="s">
        <v>5801</v>
      </c>
      <c r="E678" s="3" t="s">
        <v>495</v>
      </c>
      <c r="G678" t="s">
        <v>501</v>
      </c>
      <c r="H678" t="s">
        <v>243</v>
      </c>
      <c r="I678" s="17">
        <v>-2.0147731988577902</v>
      </c>
      <c r="J678" s="17">
        <v>4.6360507606532403E-2</v>
      </c>
      <c r="K678" s="21">
        <v>2</v>
      </c>
      <c r="L678" s="27">
        <v>1070955.63373443</v>
      </c>
      <c r="M678" s="22">
        <v>1.9184832509867755E-3</v>
      </c>
      <c r="N678" s="21">
        <v>2</v>
      </c>
      <c r="O678" s="27">
        <v>1284972.8525166828</v>
      </c>
      <c r="P678" s="22">
        <v>2.3220272770021824E-3</v>
      </c>
      <c r="Q678" s="21">
        <v>3</v>
      </c>
      <c r="R678" s="27">
        <v>1137437.9208855245</v>
      </c>
      <c r="S678" s="22">
        <v>2.0674951286614352E-3</v>
      </c>
      <c r="T678" s="23">
        <v>2</v>
      </c>
      <c r="U678" s="28">
        <v>758896.94567075488</v>
      </c>
      <c r="V678" s="24">
        <v>1.3571954058181029E-3</v>
      </c>
      <c r="W678" s="23">
        <v>1</v>
      </c>
      <c r="X678" s="28">
        <v>775964.33509073243</v>
      </c>
      <c r="Y678" s="24">
        <v>1.3574997986883419E-3</v>
      </c>
      <c r="Z678" s="23">
        <v>0</v>
      </c>
      <c r="AA678" s="28">
        <v>342359.49409410538</v>
      </c>
      <c r="AB678" s="24">
        <v>6.0789469843896139E-4</v>
      </c>
    </row>
    <row r="679" spans="1:36" x14ac:dyDescent="0.25">
      <c r="A679" t="s">
        <v>5737</v>
      </c>
      <c r="B679" t="s">
        <v>7654</v>
      </c>
      <c r="C679" t="s">
        <v>5739</v>
      </c>
      <c r="D679" s="3" t="s">
        <v>5738</v>
      </c>
      <c r="E679" s="3" t="s">
        <v>495</v>
      </c>
      <c r="G679" t="s">
        <v>1938</v>
      </c>
      <c r="H679" t="s">
        <v>41</v>
      </c>
      <c r="I679" s="17">
        <v>-2.04239910286655</v>
      </c>
      <c r="J679" s="17">
        <v>0.45420537370545699</v>
      </c>
      <c r="K679" s="21">
        <v>2</v>
      </c>
      <c r="L679" s="27">
        <v>181133.37858789999</v>
      </c>
      <c r="M679" s="22">
        <v>3.0239294538791689E-4</v>
      </c>
      <c r="N679" s="21">
        <v>0</v>
      </c>
      <c r="O679" s="27">
        <v>43825.000240190915</v>
      </c>
      <c r="P679" s="22">
        <v>7.3804344413389505E-5</v>
      </c>
      <c r="Q679" s="21">
        <v>1</v>
      </c>
      <c r="R679" s="27">
        <v>288737.31472430669</v>
      </c>
      <c r="S679" s="22">
        <v>4.8910977248001197E-4</v>
      </c>
      <c r="T679" s="23">
        <v>0</v>
      </c>
      <c r="U679" s="28">
        <v>118385.55576489074</v>
      </c>
      <c r="V679" s="24">
        <v>1.9730810626340393E-4</v>
      </c>
      <c r="W679" s="23">
        <v>0</v>
      </c>
      <c r="X679" s="28">
        <v>38314.90288955225</v>
      </c>
      <c r="Y679" s="24">
        <v>6.2467248566366176E-5</v>
      </c>
      <c r="Z679" s="23">
        <v>0</v>
      </c>
      <c r="AA679" s="28">
        <v>110900.09006696226</v>
      </c>
      <c r="AB679" s="24">
        <v>1.8351201919426636E-4</v>
      </c>
    </row>
    <row r="680" spans="1:36" x14ac:dyDescent="0.25">
      <c r="A680" t="s">
        <v>5818</v>
      </c>
      <c r="B680" t="s">
        <v>7679</v>
      </c>
      <c r="C680" t="s">
        <v>5820</v>
      </c>
      <c r="D680" s="3" t="s">
        <v>5819</v>
      </c>
      <c r="E680" s="3" t="s">
        <v>495</v>
      </c>
      <c r="G680" t="s">
        <v>887</v>
      </c>
      <c r="H680" t="s">
        <v>243</v>
      </c>
      <c r="I680" s="17">
        <v>-2.4155069466871502</v>
      </c>
      <c r="J680" s="17">
        <v>4.94026010622151E-3</v>
      </c>
      <c r="K680" s="21">
        <v>3</v>
      </c>
      <c r="L680" s="27">
        <v>615136.29147645202</v>
      </c>
      <c r="M680" s="22">
        <v>1.6836505604116364E-3</v>
      </c>
      <c r="N680" s="21">
        <v>2</v>
      </c>
      <c r="O680" s="27">
        <v>607663.4494655024</v>
      </c>
      <c r="P680" s="22">
        <v>1.677762782193608E-3</v>
      </c>
      <c r="Q680" s="21">
        <v>3</v>
      </c>
      <c r="R680" s="27">
        <v>642086.23048757098</v>
      </c>
      <c r="S680" s="22">
        <v>1.7832171219085554E-3</v>
      </c>
      <c r="T680" s="23">
        <v>2</v>
      </c>
      <c r="U680" s="28">
        <v>348631.09263254487</v>
      </c>
      <c r="V680" s="24">
        <v>9.5262016392655912E-4</v>
      </c>
      <c r="W680" s="23">
        <v>0</v>
      </c>
      <c r="X680" s="28">
        <v>241959.36722837409</v>
      </c>
      <c r="Y680" s="24">
        <v>6.467471598580873E-4</v>
      </c>
      <c r="Z680" s="23">
        <v>0</v>
      </c>
      <c r="AA680" s="28">
        <v>239041.36499322587</v>
      </c>
      <c r="AB680" s="24">
        <v>6.4850468352911932E-4</v>
      </c>
    </row>
    <row r="681" spans="1:36" x14ac:dyDescent="0.25">
      <c r="A681" t="s">
        <v>5851</v>
      </c>
      <c r="B681" t="s">
        <v>7690</v>
      </c>
      <c r="C681" t="s">
        <v>5853</v>
      </c>
      <c r="D681" s="3" t="s">
        <v>5852</v>
      </c>
      <c r="E681" s="3" t="s">
        <v>495</v>
      </c>
      <c r="G681" t="s">
        <v>5849</v>
      </c>
      <c r="H681" t="s">
        <v>243</v>
      </c>
      <c r="I681" s="17">
        <v>-2.44319257083083</v>
      </c>
      <c r="J681" s="17">
        <v>7.6870136390390295E-2</v>
      </c>
      <c r="K681" s="21">
        <v>3</v>
      </c>
      <c r="L681" s="27">
        <v>1454322.86394388</v>
      </c>
      <c r="M681" s="22">
        <v>1.9860056583829951E-3</v>
      </c>
      <c r="N681" s="21">
        <v>1</v>
      </c>
      <c r="O681" s="27">
        <v>685751.20533223555</v>
      </c>
      <c r="P681" s="22">
        <v>9.4465463908842873E-4</v>
      </c>
      <c r="Q681" s="21">
        <v>5</v>
      </c>
      <c r="R681" s="27">
        <v>1834522.2303723649</v>
      </c>
      <c r="S681" s="22">
        <v>2.5419844418829458E-3</v>
      </c>
      <c r="T681" s="23">
        <v>1</v>
      </c>
      <c r="U681" s="28">
        <v>740394.70039089944</v>
      </c>
      <c r="V681" s="24">
        <v>1.0093830203428047E-3</v>
      </c>
      <c r="W681" s="23">
        <v>0</v>
      </c>
      <c r="X681" s="28">
        <v>566241.15182278829</v>
      </c>
      <c r="Y681" s="24">
        <v>7.5514883952089169E-4</v>
      </c>
      <c r="Z681" s="23">
        <v>0</v>
      </c>
      <c r="AA681" s="28">
        <v>454246.22717659851</v>
      </c>
      <c r="AB681" s="24">
        <v>6.1485176800066689E-4</v>
      </c>
    </row>
    <row r="682" spans="1:36" x14ac:dyDescent="0.25">
      <c r="A682" t="s">
        <v>5827</v>
      </c>
      <c r="B682" t="s">
        <v>7682</v>
      </c>
      <c r="C682" t="s">
        <v>5829</v>
      </c>
      <c r="D682" s="3" t="s">
        <v>5828</v>
      </c>
      <c r="E682" s="3" t="s">
        <v>495</v>
      </c>
      <c r="G682" t="s">
        <v>887</v>
      </c>
      <c r="H682" t="s">
        <v>243</v>
      </c>
      <c r="I682" s="17">
        <v>-2.9014049205677801</v>
      </c>
      <c r="J682" s="17">
        <v>7.0962452180915001E-2</v>
      </c>
      <c r="K682" s="21">
        <v>1</v>
      </c>
      <c r="L682" s="27">
        <v>246414.84921598301</v>
      </c>
      <c r="M682" s="22">
        <v>7.1430012267129995E-4</v>
      </c>
      <c r="N682" s="21">
        <v>0</v>
      </c>
      <c r="O682" s="27">
        <v>113916.59234936084</v>
      </c>
      <c r="P682" s="22">
        <v>3.3310999734147525E-4</v>
      </c>
      <c r="Q682" s="21">
        <v>2</v>
      </c>
      <c r="R682" s="27">
        <v>332201.78310300835</v>
      </c>
      <c r="S682" s="22">
        <v>9.7711587285321047E-4</v>
      </c>
      <c r="T682" s="23">
        <v>0</v>
      </c>
      <c r="U682" s="28">
        <v>119654.74913253148</v>
      </c>
      <c r="V682" s="24">
        <v>3.4627156809084438E-4</v>
      </c>
      <c r="W682" s="23">
        <v>0</v>
      </c>
      <c r="X682" s="28">
        <v>55006.47457338676</v>
      </c>
      <c r="Y682" s="24">
        <v>1.557181164062956E-4</v>
      </c>
      <c r="Z682" s="23">
        <v>0</v>
      </c>
      <c r="AA682" s="28">
        <v>80536.42622514609</v>
      </c>
      <c r="AB682" s="24">
        <v>2.3140122360188088E-4</v>
      </c>
    </row>
    <row r="683" spans="1:36" x14ac:dyDescent="0.25">
      <c r="A683" t="s">
        <v>5857</v>
      </c>
      <c r="B683" t="s">
        <v>7692</v>
      </c>
      <c r="C683" t="s">
        <v>5858</v>
      </c>
      <c r="D683" s="3" t="s">
        <v>4110</v>
      </c>
      <c r="E683" s="3" t="s">
        <v>495</v>
      </c>
      <c r="G683" t="s">
        <v>699</v>
      </c>
      <c r="H683" t="s">
        <v>553</v>
      </c>
      <c r="I683" s="17">
        <v>-3.51415805714249</v>
      </c>
      <c r="J683" s="17">
        <v>4.1273155253892498E-3</v>
      </c>
      <c r="K683" s="21">
        <v>3</v>
      </c>
      <c r="L683" s="27">
        <v>835696.25923886197</v>
      </c>
      <c r="M683" s="22">
        <v>9.9061001126357759E-4</v>
      </c>
      <c r="N683" s="21">
        <v>4</v>
      </c>
      <c r="O683" s="27">
        <v>1220516.2733366231</v>
      </c>
      <c r="P683" s="22">
        <v>1.4594346774625469E-3</v>
      </c>
      <c r="Q683" s="21">
        <v>4</v>
      </c>
      <c r="R683" s="27">
        <v>1059292.760581705</v>
      </c>
      <c r="S683" s="22">
        <v>1.2740912069370731E-3</v>
      </c>
      <c r="T683" s="23">
        <v>0</v>
      </c>
      <c r="U683" s="28">
        <v>432809.3359114732</v>
      </c>
      <c r="V683" s="24">
        <v>5.1218153620009095E-4</v>
      </c>
      <c r="W683" s="23">
        <v>0</v>
      </c>
      <c r="X683" s="28">
        <v>271367.00235548074</v>
      </c>
      <c r="Y683" s="24">
        <v>3.1413966246824959E-4</v>
      </c>
      <c r="Z683" s="23">
        <v>0</v>
      </c>
      <c r="AA683" s="28">
        <v>238389.03623942897</v>
      </c>
      <c r="AB683" s="24">
        <v>2.8009153268481401E-4</v>
      </c>
    </row>
    <row r="684" spans="1:36" x14ac:dyDescent="0.25">
      <c r="A684" t="s">
        <v>5777</v>
      </c>
      <c r="B684" t="s">
        <v>7666</v>
      </c>
      <c r="C684" t="s">
        <v>5780</v>
      </c>
      <c r="D684" s="3" t="s">
        <v>5778</v>
      </c>
      <c r="E684" s="3" t="s">
        <v>495</v>
      </c>
      <c r="G684" t="s">
        <v>5779</v>
      </c>
      <c r="H684" t="s">
        <v>243</v>
      </c>
      <c r="I684" s="17">
        <v>-4.15078114331207</v>
      </c>
      <c r="J684" s="17">
        <v>2.5092918574468701E-2</v>
      </c>
      <c r="K684" s="21">
        <v>1</v>
      </c>
      <c r="L684" s="27">
        <v>93879.027108388298</v>
      </c>
      <c r="M684" s="22">
        <v>4.7590960429491752E-5</v>
      </c>
      <c r="N684" s="21">
        <v>0</v>
      </c>
      <c r="O684" s="27">
        <v>100069.67229495854</v>
      </c>
      <c r="P684" s="22">
        <v>5.1173509146259407E-5</v>
      </c>
      <c r="Q684" s="21">
        <v>2</v>
      </c>
      <c r="R684" s="27">
        <v>97902.416247248897</v>
      </c>
      <c r="S684" s="22">
        <v>5.0359285440568958E-5</v>
      </c>
      <c r="T684" s="23">
        <v>0</v>
      </c>
      <c r="U684" s="28">
        <v>45459.771183820354</v>
      </c>
      <c r="V684" s="24">
        <v>2.3006797938194224E-5</v>
      </c>
      <c r="W684" s="23">
        <v>0</v>
      </c>
      <c r="X684" s="28">
        <v>19631.344737008403</v>
      </c>
      <c r="Y684" s="24">
        <v>9.718906848786906E-6</v>
      </c>
      <c r="Z684" s="23">
        <v>0</v>
      </c>
      <c r="AA684" s="28">
        <v>9496.0599436428183</v>
      </c>
      <c r="AB684" s="24">
        <v>4.7715423654665409E-6</v>
      </c>
    </row>
    <row r="685" spans="1:36" x14ac:dyDescent="0.25">
      <c r="A685" s="16" t="s">
        <v>5841</v>
      </c>
      <c r="B685" s="16" t="s">
        <v>7687</v>
      </c>
      <c r="C685" s="16" t="s">
        <v>5843</v>
      </c>
      <c r="D685" s="40" t="s">
        <v>5842</v>
      </c>
      <c r="E685" s="40" t="s">
        <v>495</v>
      </c>
      <c r="F685" s="16"/>
      <c r="G685" s="16" t="s">
        <v>887</v>
      </c>
      <c r="H685" s="16" t="s">
        <v>243</v>
      </c>
      <c r="I685" s="30">
        <v>-6.9312451352952502</v>
      </c>
      <c r="J685" s="30">
        <v>0.22416834661881399</v>
      </c>
      <c r="K685" s="31">
        <v>2</v>
      </c>
      <c r="L685" s="32">
        <v>137091.67489658899</v>
      </c>
      <c r="M685" s="33">
        <v>4.1434791451100763E-4</v>
      </c>
      <c r="N685" s="31">
        <v>0</v>
      </c>
      <c r="O685" s="32">
        <v>38587.022129597135</v>
      </c>
      <c r="P685" s="33">
        <v>1.1764735603561435E-4</v>
      </c>
      <c r="Q685" s="31">
        <v>1</v>
      </c>
      <c r="R685" s="32">
        <v>83204.683954245542</v>
      </c>
      <c r="S685" s="33">
        <v>2.5517146669574802E-4</v>
      </c>
      <c r="T685" s="34">
        <v>0</v>
      </c>
      <c r="U685" s="35">
        <v>29021.539860385063</v>
      </c>
      <c r="V685" s="36">
        <v>8.7568431466118665E-5</v>
      </c>
      <c r="W685" s="34">
        <v>0</v>
      </c>
      <c r="X685" s="35">
        <v>0</v>
      </c>
      <c r="Y685" s="36">
        <v>0</v>
      </c>
      <c r="Z685" s="34">
        <v>0</v>
      </c>
      <c r="AA685" s="35">
        <v>10646.927650891314</v>
      </c>
      <c r="AB685" s="36">
        <v>3.1896117717103481E-5</v>
      </c>
      <c r="AC685" s="58"/>
      <c r="AD685" s="58"/>
      <c r="AE685" s="58"/>
      <c r="AF685" s="58"/>
      <c r="AG685" s="58"/>
      <c r="AH685" s="58"/>
      <c r="AI685" s="30"/>
      <c r="AJ685" s="30"/>
    </row>
    <row r="686" spans="1:36" x14ac:dyDescent="0.25">
      <c r="A686" t="s">
        <v>5904</v>
      </c>
      <c r="B686" t="s">
        <v>7706</v>
      </c>
      <c r="C686" t="s">
        <v>5906</v>
      </c>
      <c r="D686" s="4" t="s">
        <v>5905</v>
      </c>
      <c r="E686" s="4" t="s">
        <v>2044</v>
      </c>
      <c r="G686" t="s">
        <v>2045</v>
      </c>
      <c r="H686" t="s">
        <v>23</v>
      </c>
      <c r="I686" s="17">
        <v>2.3341686533535002</v>
      </c>
      <c r="J686" s="17">
        <v>3.1346743063853698E-4</v>
      </c>
      <c r="K686" s="21">
        <v>1</v>
      </c>
      <c r="L686" s="27">
        <v>888431.53319216496</v>
      </c>
      <c r="M686" s="22">
        <v>1.2906128194739809E-3</v>
      </c>
      <c r="N686" s="21">
        <v>2</v>
      </c>
      <c r="O686" s="27">
        <v>813211.2615355684</v>
      </c>
      <c r="P686" s="22">
        <v>1.1916870683249812E-3</v>
      </c>
      <c r="Q686" s="21">
        <v>3</v>
      </c>
      <c r="R686" s="27">
        <v>955768.2722464219</v>
      </c>
      <c r="S686" s="22">
        <v>1.4088179590352461E-3</v>
      </c>
      <c r="T686" s="23">
        <v>1</v>
      </c>
      <c r="U686" s="28">
        <v>2216705.4143868815</v>
      </c>
      <c r="V686" s="24">
        <v>3.2147931607766594E-3</v>
      </c>
      <c r="W686" s="23">
        <v>0</v>
      </c>
      <c r="X686" s="28">
        <v>2431184.3908647168</v>
      </c>
      <c r="Y686" s="24">
        <v>3.4490650846232059E-3</v>
      </c>
      <c r="Z686" s="23">
        <v>1</v>
      </c>
      <c r="AA686" s="28">
        <v>2090278.704966289</v>
      </c>
      <c r="AB686" s="24">
        <v>3.009786249608929E-3</v>
      </c>
      <c r="AC686" s="20">
        <v>3.5436194021954464</v>
      </c>
      <c r="AD686" s="20">
        <v>3.3776403429457855</v>
      </c>
      <c r="AE686" s="20">
        <v>3.9984729588652539</v>
      </c>
      <c r="AF686" s="20">
        <v>3.6679141659882575</v>
      </c>
      <c r="AG686" s="20">
        <v>3.5298208958097868</v>
      </c>
      <c r="AH686" s="20">
        <v>3.5494914164111639</v>
      </c>
    </row>
    <row r="687" spans="1:36" x14ac:dyDescent="0.25">
      <c r="A687" t="s">
        <v>5911</v>
      </c>
      <c r="B687" t="s">
        <v>7708</v>
      </c>
      <c r="C687" t="s">
        <v>5913</v>
      </c>
      <c r="D687" s="4" t="s">
        <v>5912</v>
      </c>
      <c r="E687" s="4" t="s">
        <v>2044</v>
      </c>
      <c r="G687" t="s">
        <v>2058</v>
      </c>
      <c r="H687" t="s">
        <v>23</v>
      </c>
      <c r="I687" s="17">
        <v>1.2291826369191099</v>
      </c>
      <c r="J687" s="17">
        <v>4.4706741314235E-2</v>
      </c>
      <c r="K687" s="21">
        <v>4</v>
      </c>
      <c r="L687" s="27">
        <v>2079952.53193435</v>
      </c>
      <c r="M687" s="22">
        <v>1.8629875830846485E-3</v>
      </c>
      <c r="N687" s="21">
        <v>2</v>
      </c>
      <c r="O687" s="27">
        <v>2429021.2372469036</v>
      </c>
      <c r="P687" s="22">
        <v>2.1946975604419132E-3</v>
      </c>
      <c r="Q687" s="21">
        <v>3</v>
      </c>
      <c r="R687" s="27">
        <v>2133597.6967105791</v>
      </c>
      <c r="S687" s="22">
        <v>1.9390960875641226E-3</v>
      </c>
      <c r="T687" s="23">
        <v>3</v>
      </c>
      <c r="U687" s="28">
        <v>2760496.4062403017</v>
      </c>
      <c r="V687" s="24">
        <v>2.4684069831216208E-3</v>
      </c>
      <c r="W687" s="23">
        <v>3</v>
      </c>
      <c r="X687" s="28">
        <v>2852449.6941593122</v>
      </c>
      <c r="Y687" s="24">
        <v>2.4950888272056455E-3</v>
      </c>
      <c r="Z687" s="23">
        <v>4</v>
      </c>
      <c r="AA687" s="28">
        <v>3211520.1433980954</v>
      </c>
      <c r="AB687" s="24">
        <v>2.8511931212356128E-3</v>
      </c>
      <c r="AC687" s="17" t="s">
        <v>8084</v>
      </c>
      <c r="AD687" s="20">
        <v>3.6399109013354951</v>
      </c>
      <c r="AF687" s="17" t="s">
        <v>8084</v>
      </c>
      <c r="AG687" s="20">
        <v>3.5824088260697358</v>
      </c>
      <c r="AI687" s="47" t="s">
        <v>8087</v>
      </c>
      <c r="AJ687" s="20">
        <v>98.420233988566537</v>
      </c>
    </row>
    <row r="688" spans="1:36" x14ac:dyDescent="0.25">
      <c r="A688" t="s">
        <v>5936</v>
      </c>
      <c r="B688" t="s">
        <v>7716</v>
      </c>
      <c r="C688" t="s">
        <v>5938</v>
      </c>
      <c r="D688" s="4" t="s">
        <v>5937</v>
      </c>
      <c r="E688" s="4" t="s">
        <v>2044</v>
      </c>
      <c r="G688" t="s">
        <v>2045</v>
      </c>
      <c r="H688" t="s">
        <v>17</v>
      </c>
      <c r="I688" s="17">
        <v>1.0938994338821999</v>
      </c>
      <c r="J688" s="17">
        <v>1.05877861191878E-2</v>
      </c>
      <c r="K688" s="21">
        <v>40</v>
      </c>
      <c r="L688" s="27">
        <v>246656898.68222401</v>
      </c>
      <c r="M688" s="22">
        <v>1.4044677596519897</v>
      </c>
      <c r="N688" s="21">
        <v>26</v>
      </c>
      <c r="O688" s="27">
        <v>273213065.84847617</v>
      </c>
      <c r="P688" s="22">
        <v>1.5693029989505825</v>
      </c>
      <c r="Q688" s="21">
        <v>40</v>
      </c>
      <c r="R688" s="27">
        <v>277984651.86980289</v>
      </c>
      <c r="S688" s="22">
        <v>1.6060889179625255</v>
      </c>
      <c r="T688" s="23">
        <v>26</v>
      </c>
      <c r="U688" s="28">
        <v>303808628.22393078</v>
      </c>
      <c r="V688" s="24">
        <v>1.7269972856882672</v>
      </c>
      <c r="W688" s="23">
        <v>28</v>
      </c>
      <c r="X688" s="28">
        <v>326921812.67969871</v>
      </c>
      <c r="Y688" s="24">
        <v>1.8179163130075124</v>
      </c>
      <c r="Z688" s="23">
        <v>28</v>
      </c>
      <c r="AA688" s="28">
        <v>313358040.87984276</v>
      </c>
      <c r="AB688" s="24">
        <v>1.7685559289347765</v>
      </c>
      <c r="AC688" s="17" t="s">
        <v>8085</v>
      </c>
      <c r="AD688" s="20">
        <v>0.32142234497982719</v>
      </c>
      <c r="AF688" s="17" t="s">
        <v>8085</v>
      </c>
      <c r="AG688" s="20">
        <v>7.4700098467931894E-2</v>
      </c>
      <c r="AI688" s="17" t="s">
        <v>8086</v>
      </c>
      <c r="AJ688" s="20">
        <v>0.77783205231391328</v>
      </c>
    </row>
    <row r="689" spans="1:28" x14ac:dyDescent="0.25">
      <c r="A689" t="s">
        <v>5971</v>
      </c>
      <c r="B689" t="s">
        <v>7727</v>
      </c>
      <c r="C689" t="s">
        <v>5973</v>
      </c>
      <c r="D689" s="4" t="s">
        <v>5972</v>
      </c>
      <c r="E689" s="4" t="s">
        <v>2044</v>
      </c>
      <c r="G689" t="s">
        <v>2052</v>
      </c>
      <c r="H689" t="s">
        <v>23</v>
      </c>
      <c r="I689" s="17">
        <v>-1.05851247840915</v>
      </c>
      <c r="J689" s="17">
        <v>0.65237112240640205</v>
      </c>
      <c r="K689" s="21">
        <v>34</v>
      </c>
      <c r="L689" s="27">
        <v>38572134.512561701</v>
      </c>
      <c r="M689" s="22">
        <v>4.1834335667056022E-2</v>
      </c>
      <c r="N689" s="21">
        <v>30</v>
      </c>
      <c r="O689" s="27">
        <v>34028365.226901568</v>
      </c>
      <c r="P689" s="22">
        <v>3.7229493004714148E-2</v>
      </c>
      <c r="Q689" s="21">
        <v>34</v>
      </c>
      <c r="R689" s="27">
        <v>41696516.089348137</v>
      </c>
      <c r="S689" s="22">
        <v>4.588695434959518E-2</v>
      </c>
      <c r="T689" s="23">
        <v>35</v>
      </c>
      <c r="U689" s="28">
        <v>41797303.28347069</v>
      </c>
      <c r="V689" s="24">
        <v>4.5256452731997014E-2</v>
      </c>
      <c r="W689" s="23">
        <v>31</v>
      </c>
      <c r="X689" s="28">
        <v>34805019.02286385</v>
      </c>
      <c r="Y689" s="24">
        <v>3.6864857591058529E-2</v>
      </c>
      <c r="Z689" s="23">
        <v>33</v>
      </c>
      <c r="AA689" s="28">
        <v>39979009.851833895</v>
      </c>
      <c r="AB689" s="24">
        <v>4.2978443753154121E-2</v>
      </c>
    </row>
    <row r="690" spans="1:28" x14ac:dyDescent="0.25">
      <c r="A690" t="s">
        <v>5964</v>
      </c>
      <c r="B690" t="s">
        <v>7725</v>
      </c>
      <c r="C690" t="s">
        <v>5967</v>
      </c>
      <c r="D690" s="4" t="s">
        <v>5965</v>
      </c>
      <c r="E690" s="4" t="s">
        <v>2044</v>
      </c>
      <c r="G690" t="s">
        <v>5966</v>
      </c>
      <c r="H690" t="s">
        <v>243</v>
      </c>
      <c r="I690" s="17">
        <v>-1.0872596900609599</v>
      </c>
      <c r="J690" s="17">
        <v>0.41459915224919802</v>
      </c>
      <c r="K690" s="21">
        <v>10</v>
      </c>
      <c r="L690" s="27">
        <v>16159546.463621</v>
      </c>
      <c r="M690" s="22">
        <v>2.8468011153685073E-2</v>
      </c>
      <c r="N690" s="21">
        <v>7</v>
      </c>
      <c r="O690" s="27">
        <v>15233633.834736859</v>
      </c>
      <c r="P690" s="22">
        <v>2.7071873030981637E-2</v>
      </c>
      <c r="Q690" s="21">
        <v>16</v>
      </c>
      <c r="R690" s="27">
        <v>17918070.020463891</v>
      </c>
      <c r="S690" s="22">
        <v>3.2029447610794314E-2</v>
      </c>
      <c r="T690" s="23">
        <v>5</v>
      </c>
      <c r="U690" s="28">
        <v>17742864.028566618</v>
      </c>
      <c r="V690" s="24">
        <v>3.1205038859785955E-2</v>
      </c>
      <c r="W690" s="23">
        <v>4</v>
      </c>
      <c r="X690" s="28">
        <v>16419748.544606876</v>
      </c>
      <c r="Y690" s="24">
        <v>2.8249186289969537E-2</v>
      </c>
      <c r="Z690" s="23">
        <v>6</v>
      </c>
      <c r="AA690" s="28">
        <v>14874977.629931178</v>
      </c>
      <c r="AB690" s="24">
        <v>2.5974292603886794E-2</v>
      </c>
    </row>
    <row r="691" spans="1:28" x14ac:dyDescent="0.25">
      <c r="A691" t="s">
        <v>5960</v>
      </c>
      <c r="B691" t="s">
        <v>7724</v>
      </c>
      <c r="C691" t="s">
        <v>5963</v>
      </c>
      <c r="D691" s="4" t="s">
        <v>5961</v>
      </c>
      <c r="E691" s="4" t="s">
        <v>2044</v>
      </c>
      <c r="G691" t="s">
        <v>5962</v>
      </c>
      <c r="H691" t="s">
        <v>23</v>
      </c>
      <c r="I691" s="17">
        <v>-1.09045763082253</v>
      </c>
      <c r="J691" s="17">
        <v>0.349417346291644</v>
      </c>
      <c r="K691" s="21">
        <v>7</v>
      </c>
      <c r="L691" s="27">
        <v>20590244.1486983</v>
      </c>
      <c r="M691" s="22">
        <v>8.2068792550685346E-2</v>
      </c>
      <c r="N691" s="21">
        <v>6</v>
      </c>
      <c r="O691" s="27">
        <v>18186435.74488328</v>
      </c>
      <c r="P691" s="22">
        <v>7.3122490120391889E-2</v>
      </c>
      <c r="Q691" s="21">
        <v>7</v>
      </c>
      <c r="R691" s="27">
        <v>20788584.533067755</v>
      </c>
      <c r="S691" s="22">
        <v>8.4075939120651699E-2</v>
      </c>
      <c r="T691" s="23">
        <v>8</v>
      </c>
      <c r="U691" s="28">
        <v>19241874.691731781</v>
      </c>
      <c r="V691" s="24">
        <v>7.6566178817596531E-2</v>
      </c>
      <c r="W691" s="23">
        <v>7</v>
      </c>
      <c r="X691" s="28">
        <v>21354168.233008593</v>
      </c>
      <c r="Y691" s="24">
        <v>8.3120986404382119E-2</v>
      </c>
      <c r="Z691" s="23">
        <v>6</v>
      </c>
      <c r="AA691" s="28">
        <v>18842381.185686961</v>
      </c>
      <c r="AB691" s="24">
        <v>7.4440928362140391E-2</v>
      </c>
    </row>
    <row r="692" spans="1:28" x14ac:dyDescent="0.25">
      <c r="A692" t="s">
        <v>5968</v>
      </c>
      <c r="B692" t="s">
        <v>7726</v>
      </c>
      <c r="C692" t="s">
        <v>5970</v>
      </c>
      <c r="D692" s="4" t="s">
        <v>5969</v>
      </c>
      <c r="E692" s="4" t="s">
        <v>2044</v>
      </c>
      <c r="G692" t="s">
        <v>2052</v>
      </c>
      <c r="H692" t="s">
        <v>57</v>
      </c>
      <c r="I692" s="17">
        <v>-1.10917041912426</v>
      </c>
      <c r="J692" s="17">
        <v>0.56212467429034096</v>
      </c>
      <c r="K692" s="21">
        <v>1</v>
      </c>
      <c r="L692" s="27">
        <v>446569.489705852</v>
      </c>
      <c r="M692" s="22">
        <v>1.8613761608937925E-3</v>
      </c>
      <c r="N692" s="21">
        <v>1</v>
      </c>
      <c r="O692" s="27">
        <v>358186.00606877985</v>
      </c>
      <c r="P692" s="22">
        <v>1.5060540081248796E-3</v>
      </c>
      <c r="Q692" s="21">
        <v>2</v>
      </c>
      <c r="R692" s="27">
        <v>379792.02451147785</v>
      </c>
      <c r="S692" s="22">
        <v>1.6062798062524003E-3</v>
      </c>
      <c r="T692" s="23">
        <v>1</v>
      </c>
      <c r="U692" s="28">
        <v>466755.67287260533</v>
      </c>
      <c r="V692" s="24">
        <v>1.9422617081128535E-3</v>
      </c>
      <c r="W692" s="23">
        <v>1</v>
      </c>
      <c r="X692" s="28">
        <v>337625.04446781502</v>
      </c>
      <c r="Y692" s="24">
        <v>1.3743306582800438E-3</v>
      </c>
      <c r="Z692" s="23">
        <v>1</v>
      </c>
      <c r="AA692" s="28">
        <v>351591.34411249688</v>
      </c>
      <c r="AB692" s="24">
        <v>1.4525889014943279E-3</v>
      </c>
    </row>
    <row r="693" spans="1:28" x14ac:dyDescent="0.25">
      <c r="A693" t="s">
        <v>5951</v>
      </c>
      <c r="B693" t="s">
        <v>7721</v>
      </c>
      <c r="C693" t="s">
        <v>5953</v>
      </c>
      <c r="D693" s="4" t="s">
        <v>5952</v>
      </c>
      <c r="E693" s="4" t="s">
        <v>2044</v>
      </c>
      <c r="G693" t="s">
        <v>2045</v>
      </c>
      <c r="H693" t="s">
        <v>17</v>
      </c>
      <c r="I693" s="17">
        <v>-1.12386071517048</v>
      </c>
      <c r="J693" s="17">
        <v>0.26492661781899401</v>
      </c>
      <c r="K693" s="21">
        <v>85</v>
      </c>
      <c r="L693" s="27">
        <v>613130033.46083701</v>
      </c>
      <c r="M693" s="22">
        <v>0.82666200969622328</v>
      </c>
      <c r="N693" s="21">
        <v>45</v>
      </c>
      <c r="O693" s="27">
        <v>580508557.124897</v>
      </c>
      <c r="P693" s="22">
        <v>0.78953401979850646</v>
      </c>
      <c r="Q693" s="21">
        <v>80</v>
      </c>
      <c r="R693" s="27">
        <v>649588559.48874497</v>
      </c>
      <c r="S693" s="22">
        <v>0.88867715638386258</v>
      </c>
      <c r="T693" s="23">
        <v>62</v>
      </c>
      <c r="U693" s="28">
        <v>634588813.76678157</v>
      </c>
      <c r="V693" s="24">
        <v>0.85416317782502071</v>
      </c>
      <c r="W693" s="23">
        <v>44</v>
      </c>
      <c r="X693" s="28">
        <v>560783985.62717986</v>
      </c>
      <c r="Y693" s="24">
        <v>0.73838433316736773</v>
      </c>
      <c r="Z693" s="23">
        <v>56</v>
      </c>
      <c r="AA693" s="28">
        <v>576818040.52415013</v>
      </c>
      <c r="AB693" s="24">
        <v>0.77085673644776898</v>
      </c>
    </row>
    <row r="694" spans="1:28" x14ac:dyDescent="0.25">
      <c r="A694" t="s">
        <v>5957</v>
      </c>
      <c r="B694" t="s">
        <v>7723</v>
      </c>
      <c r="C694" t="s">
        <v>5959</v>
      </c>
      <c r="D694" s="4" t="s">
        <v>5958</v>
      </c>
      <c r="E694" s="4" t="s">
        <v>2044</v>
      </c>
      <c r="G694" t="s">
        <v>2045</v>
      </c>
      <c r="H694" t="s">
        <v>17</v>
      </c>
      <c r="I694" s="17">
        <v>-1.1634347432294401</v>
      </c>
      <c r="J694" s="17">
        <v>0.29587661610606802</v>
      </c>
      <c r="K694" s="21">
        <v>25</v>
      </c>
      <c r="L694" s="27">
        <v>46842376.195266001</v>
      </c>
      <c r="M694" s="22">
        <v>8.4386346744340757E-2</v>
      </c>
      <c r="N694" s="21">
        <v>16</v>
      </c>
      <c r="O694" s="27">
        <v>38915122.17278868</v>
      </c>
      <c r="P694" s="22">
        <v>7.0719388840671416E-2</v>
      </c>
      <c r="Q694" s="21">
        <v>26</v>
      </c>
      <c r="R694" s="27">
        <v>47711560.153108738</v>
      </c>
      <c r="S694" s="22">
        <v>8.721418885665598E-2</v>
      </c>
      <c r="T694" s="23">
        <v>22</v>
      </c>
      <c r="U694" s="28">
        <v>44322579.196112141</v>
      </c>
      <c r="V694" s="24">
        <v>7.9713400582458363E-2</v>
      </c>
      <c r="W694" s="23">
        <v>15</v>
      </c>
      <c r="X694" s="28">
        <v>38110910.151480787</v>
      </c>
      <c r="Y694" s="24">
        <v>6.7049272453312533E-2</v>
      </c>
      <c r="Z694" s="23">
        <v>21</v>
      </c>
      <c r="AA694" s="28">
        <v>41746681.550998829</v>
      </c>
      <c r="AB694" s="24">
        <v>7.4544340165321604E-2</v>
      </c>
    </row>
    <row r="695" spans="1:28" x14ac:dyDescent="0.25">
      <c r="A695" s="82" t="s">
        <v>5920</v>
      </c>
      <c r="B695" s="82" t="s">
        <v>7711</v>
      </c>
      <c r="C695" s="82" t="s">
        <v>5923</v>
      </c>
      <c r="D695" s="85" t="s">
        <v>5921</v>
      </c>
      <c r="E695" s="85" t="s">
        <v>2044</v>
      </c>
      <c r="F695" s="82"/>
      <c r="G695" s="82" t="s">
        <v>5922</v>
      </c>
      <c r="H695" s="82"/>
      <c r="I695" s="47">
        <v>-1.1846440359152901</v>
      </c>
      <c r="J695" s="47">
        <v>0.11314564716953</v>
      </c>
      <c r="K695" s="88">
        <v>2</v>
      </c>
      <c r="L695" s="89">
        <v>1135196.6682951399</v>
      </c>
      <c r="M695" s="22">
        <v>3.0418001781188212E-3</v>
      </c>
      <c r="N695" s="88">
        <v>4</v>
      </c>
      <c r="O695" s="89">
        <v>1184459.9357049244</v>
      </c>
      <c r="P695" s="22">
        <v>3.2015978591068309E-3</v>
      </c>
      <c r="Q695" s="88">
        <v>4</v>
      </c>
      <c r="R695" s="89">
        <v>1397435.2297400271</v>
      </c>
      <c r="S695" s="22">
        <v>3.7994568844581019E-3</v>
      </c>
      <c r="T695" s="90">
        <v>1</v>
      </c>
      <c r="U695" s="91">
        <v>1218902.3646014491</v>
      </c>
      <c r="V695" s="24">
        <v>3.2606301229309441E-3</v>
      </c>
      <c r="W695" s="90">
        <v>2</v>
      </c>
      <c r="X695" s="91">
        <v>1126447.1896139754</v>
      </c>
      <c r="Y695" s="24">
        <v>2.9476905555605656E-3</v>
      </c>
      <c r="Z695" s="90">
        <v>0</v>
      </c>
      <c r="AA695" s="91">
        <v>1036708.5603134885</v>
      </c>
      <c r="AB695" s="24">
        <v>2.7534405590289254E-3</v>
      </c>
    </row>
    <row r="696" spans="1:28" x14ac:dyDescent="0.25">
      <c r="A696" t="s">
        <v>5954</v>
      </c>
      <c r="B696" t="s">
        <v>7722</v>
      </c>
      <c r="C696" t="s">
        <v>5956</v>
      </c>
      <c r="D696" s="4" t="s">
        <v>5955</v>
      </c>
      <c r="E696" s="4" t="s">
        <v>2044</v>
      </c>
      <c r="G696" t="s">
        <v>2045</v>
      </c>
      <c r="H696" t="s">
        <v>57</v>
      </c>
      <c r="I696" s="17">
        <v>-1.20353178813756</v>
      </c>
      <c r="J696" s="17">
        <v>0.27493106369992099</v>
      </c>
      <c r="K696" s="21">
        <v>54</v>
      </c>
      <c r="L696" s="27">
        <v>197149188.07154399</v>
      </c>
      <c r="M696" s="22">
        <v>0.17389745485275723</v>
      </c>
      <c r="N696" s="21">
        <v>40</v>
      </c>
      <c r="O696" s="27">
        <v>157217159.6050604</v>
      </c>
      <c r="P696" s="22">
        <v>0.13988946558851942</v>
      </c>
      <c r="Q696" s="21">
        <v>50</v>
      </c>
      <c r="R696" s="27">
        <v>216004558.59911665</v>
      </c>
      <c r="S696" s="22">
        <v>0.1933265092440673</v>
      </c>
      <c r="T696" s="23">
        <v>40</v>
      </c>
      <c r="U696" s="28">
        <v>174445974.70795819</v>
      </c>
      <c r="V696" s="24">
        <v>0.1536145062536953</v>
      </c>
      <c r="W696" s="23">
        <v>33</v>
      </c>
      <c r="X696" s="28">
        <v>154211323.38128296</v>
      </c>
      <c r="Y696" s="24">
        <v>0.13283911635390458</v>
      </c>
      <c r="Z696" s="23">
        <v>34</v>
      </c>
      <c r="AA696" s="28">
        <v>184147341.30346376</v>
      </c>
      <c r="AB696" s="24">
        <v>0.16099898330857626</v>
      </c>
    </row>
    <row r="697" spans="1:28" x14ac:dyDescent="0.25">
      <c r="A697" t="s">
        <v>5933</v>
      </c>
      <c r="B697" t="s">
        <v>7715</v>
      </c>
      <c r="C697" t="s">
        <v>5935</v>
      </c>
      <c r="D697" s="4" t="s">
        <v>5934</v>
      </c>
      <c r="E697" s="4" t="s">
        <v>2044</v>
      </c>
      <c r="G697" t="s">
        <v>2052</v>
      </c>
      <c r="H697" t="s">
        <v>23</v>
      </c>
      <c r="I697" s="17">
        <v>-1.2067866678159</v>
      </c>
      <c r="J697" s="17">
        <v>2.6169478334821E-2</v>
      </c>
      <c r="K697" s="21">
        <v>14</v>
      </c>
      <c r="L697" s="27">
        <v>17739444.179342698</v>
      </c>
      <c r="M697" s="22">
        <v>2.9082178590793699E-2</v>
      </c>
      <c r="N697" s="21">
        <v>9</v>
      </c>
      <c r="O697" s="27">
        <v>19577694.230945066</v>
      </c>
      <c r="P697" s="22">
        <v>3.2376902885837111E-2</v>
      </c>
      <c r="Q697" s="21">
        <v>14</v>
      </c>
      <c r="R697" s="27">
        <v>19138562.608968917</v>
      </c>
      <c r="S697" s="22">
        <v>3.1836587161552771E-2</v>
      </c>
      <c r="T697" s="23">
        <v>11</v>
      </c>
      <c r="U697" s="28">
        <v>17077323.148791902</v>
      </c>
      <c r="V697" s="24">
        <v>2.7949868510614925E-2</v>
      </c>
      <c r="W697" s="23">
        <v>11</v>
      </c>
      <c r="X697" s="28">
        <v>16345354.167110424</v>
      </c>
      <c r="Y697" s="24">
        <v>2.6169338513878187E-2</v>
      </c>
      <c r="Z697" s="23">
        <v>8</v>
      </c>
      <c r="AA697" s="28">
        <v>17081749.734904978</v>
      </c>
      <c r="AB697" s="24">
        <v>2.7757396636676798E-2</v>
      </c>
    </row>
    <row r="698" spans="1:28" x14ac:dyDescent="0.25">
      <c r="A698" t="s">
        <v>5914</v>
      </c>
      <c r="B698" t="s">
        <v>7709</v>
      </c>
      <c r="C698" t="s">
        <v>5916</v>
      </c>
      <c r="D698" s="4" t="s">
        <v>5915</v>
      </c>
      <c r="E698" s="4" t="s">
        <v>2044</v>
      </c>
      <c r="G698" t="s">
        <v>2058</v>
      </c>
      <c r="H698" t="s">
        <v>2127</v>
      </c>
      <c r="I698" s="17">
        <v>-1.2135343594017101</v>
      </c>
      <c r="J698" s="17">
        <v>0.22365525062490499</v>
      </c>
      <c r="K698" s="21">
        <v>3</v>
      </c>
      <c r="L698" s="27">
        <v>1136240.4469156801</v>
      </c>
      <c r="M698" s="22">
        <v>2.1125775243313934E-3</v>
      </c>
      <c r="N698" s="21">
        <v>1</v>
      </c>
      <c r="O698" s="27">
        <v>910743.05711182067</v>
      </c>
      <c r="P698" s="22">
        <v>1.7081464854938786E-3</v>
      </c>
      <c r="Q698" s="21">
        <v>1</v>
      </c>
      <c r="R698" s="27">
        <v>1212663.6973599908</v>
      </c>
      <c r="S698" s="22">
        <v>2.2877736123947633E-3</v>
      </c>
      <c r="T698" s="23">
        <v>1</v>
      </c>
      <c r="U698" s="28">
        <v>936018.32919623738</v>
      </c>
      <c r="V698" s="24">
        <v>1.7373999596204787E-3</v>
      </c>
      <c r="W698" s="23">
        <v>1</v>
      </c>
      <c r="X698" s="28">
        <v>909145.76701080659</v>
      </c>
      <c r="Y698" s="24">
        <v>1.650773209708649E-3</v>
      </c>
      <c r="Z698" s="23">
        <v>1</v>
      </c>
      <c r="AA698" s="28">
        <v>1067970.1630328351</v>
      </c>
      <c r="AB698" s="24">
        <v>1.9681626112757937E-3</v>
      </c>
    </row>
    <row r="699" spans="1:28" x14ac:dyDescent="0.25">
      <c r="A699" t="s">
        <v>5900</v>
      </c>
      <c r="B699" t="s">
        <v>7705</v>
      </c>
      <c r="C699" t="s">
        <v>5903</v>
      </c>
      <c r="D699" s="4" t="s">
        <v>5901</v>
      </c>
      <c r="E699" s="4" t="s">
        <v>2044</v>
      </c>
      <c r="G699" t="s">
        <v>2058</v>
      </c>
      <c r="H699" t="s">
        <v>5902</v>
      </c>
      <c r="I699" s="17">
        <v>-1.2329514243544499</v>
      </c>
      <c r="J699" s="17">
        <v>0.37016851996542499</v>
      </c>
      <c r="K699" s="21">
        <v>3</v>
      </c>
      <c r="L699" s="27">
        <v>1057299.87113709</v>
      </c>
      <c r="M699" s="22">
        <v>1.2192972047598688E-3</v>
      </c>
      <c r="N699" s="21">
        <v>3</v>
      </c>
      <c r="O699" s="27">
        <v>705826.10010695062</v>
      </c>
      <c r="P699" s="22">
        <v>8.2109979749103062E-4</v>
      </c>
      <c r="Q699" s="21">
        <v>1</v>
      </c>
      <c r="R699" s="27">
        <v>1042013.1598453156</v>
      </c>
      <c r="S699" s="22">
        <v>1.2193120404796792E-3</v>
      </c>
      <c r="T699" s="23">
        <v>1</v>
      </c>
      <c r="U699" s="28">
        <v>800049.28412799258</v>
      </c>
      <c r="V699" s="24">
        <v>9.2108812562729202E-4</v>
      </c>
      <c r="W699" s="23">
        <v>1</v>
      </c>
      <c r="X699" s="28">
        <v>712316.89357613376</v>
      </c>
      <c r="Y699" s="24">
        <v>8.0222487496818822E-4</v>
      </c>
      <c r="Z699" s="23">
        <v>3</v>
      </c>
      <c r="AA699" s="28">
        <v>959485.29178615357</v>
      </c>
      <c r="AB699" s="24">
        <v>1.09675385165279E-3</v>
      </c>
    </row>
    <row r="700" spans="1:28" x14ac:dyDescent="0.25">
      <c r="A700" t="s">
        <v>5942</v>
      </c>
      <c r="B700" t="s">
        <v>7718</v>
      </c>
      <c r="C700" t="s">
        <v>5944</v>
      </c>
      <c r="D700" s="4" t="s">
        <v>5943</v>
      </c>
      <c r="E700" s="4" t="s">
        <v>2044</v>
      </c>
      <c r="G700" t="s">
        <v>2045</v>
      </c>
      <c r="H700" t="s">
        <v>17</v>
      </c>
      <c r="I700" s="17">
        <v>-1.2601416304375199</v>
      </c>
      <c r="J700" s="17">
        <v>0.11200089484630001</v>
      </c>
      <c r="K700" s="21">
        <v>56</v>
      </c>
      <c r="L700" s="27">
        <v>72959547.870280206</v>
      </c>
      <c r="M700" s="22">
        <v>3.0371056443870628E-2</v>
      </c>
      <c r="N700" s="21">
        <v>35</v>
      </c>
      <c r="O700" s="27">
        <v>70444490.845286444</v>
      </c>
      <c r="P700" s="22">
        <v>2.9580916928754815E-2</v>
      </c>
      <c r="Q700" s="21">
        <v>58</v>
      </c>
      <c r="R700" s="27">
        <v>78572705.241246551</v>
      </c>
      <c r="S700" s="22">
        <v>3.3187896777823828E-2</v>
      </c>
      <c r="T700" s="23">
        <v>44</v>
      </c>
      <c r="U700" s="28">
        <v>64925882.108640544</v>
      </c>
      <c r="V700" s="24">
        <v>2.698166012899729E-2</v>
      </c>
      <c r="W700" s="23">
        <v>25</v>
      </c>
      <c r="X700" s="28">
        <v>54654614.947919056</v>
      </c>
      <c r="Y700" s="24">
        <v>2.221856901678897E-2</v>
      </c>
      <c r="Z700" s="23">
        <v>37</v>
      </c>
      <c r="AA700" s="28">
        <v>70374251.28172563</v>
      </c>
      <c r="AB700" s="24">
        <v>2.9036950214293932E-2</v>
      </c>
    </row>
    <row r="701" spans="1:28" x14ac:dyDescent="0.25">
      <c r="A701" t="s">
        <v>5945</v>
      </c>
      <c r="B701" t="s">
        <v>7719</v>
      </c>
      <c r="C701" t="s">
        <v>5947</v>
      </c>
      <c r="D701" s="4" t="s">
        <v>5946</v>
      </c>
      <c r="E701" s="4" t="s">
        <v>2044</v>
      </c>
      <c r="G701" t="s">
        <v>2045</v>
      </c>
      <c r="H701" t="s">
        <v>57</v>
      </c>
      <c r="I701" s="17">
        <v>-1.3663275587055601</v>
      </c>
      <c r="J701" s="17">
        <v>0.12267241993969399</v>
      </c>
      <c r="K701" s="21">
        <v>18</v>
      </c>
      <c r="L701" s="27">
        <v>24323381.3996947</v>
      </c>
      <c r="M701" s="22">
        <v>5.6406322501625646E-2</v>
      </c>
      <c r="N701" s="21">
        <v>10</v>
      </c>
      <c r="O701" s="27">
        <v>17146299.935742825</v>
      </c>
      <c r="P701" s="22">
        <v>4.0110777952311015E-2</v>
      </c>
      <c r="Q701" s="21">
        <v>18</v>
      </c>
      <c r="R701" s="27">
        <v>23609285.648645241</v>
      </c>
      <c r="S701" s="22">
        <v>5.5554205732516702E-2</v>
      </c>
      <c r="T701" s="23">
        <v>12</v>
      </c>
      <c r="U701" s="28">
        <v>18011331.82684968</v>
      </c>
      <c r="V701" s="24">
        <v>4.1698718423151135E-2</v>
      </c>
      <c r="W701" s="23">
        <v>10</v>
      </c>
      <c r="X701" s="28">
        <v>17224993.12186728</v>
      </c>
      <c r="Y701" s="24">
        <v>3.9009858455408712E-2</v>
      </c>
      <c r="Z701" s="23">
        <v>11</v>
      </c>
      <c r="AA701" s="28">
        <v>16612513.190016448</v>
      </c>
      <c r="AB701" s="24">
        <v>3.8185512414226512E-2</v>
      </c>
    </row>
    <row r="702" spans="1:28" x14ac:dyDescent="0.25">
      <c r="A702" t="s">
        <v>5930</v>
      </c>
      <c r="B702" t="s">
        <v>7714</v>
      </c>
      <c r="C702" t="s">
        <v>5932</v>
      </c>
      <c r="D702" s="4" t="s">
        <v>5931</v>
      </c>
      <c r="E702" s="4" t="s">
        <v>2044</v>
      </c>
      <c r="G702" t="s">
        <v>2052</v>
      </c>
      <c r="H702" t="s">
        <v>23</v>
      </c>
      <c r="I702" s="17">
        <v>-1.3845069420082201</v>
      </c>
      <c r="J702" s="17">
        <v>1.3733750897763001E-2</v>
      </c>
      <c r="K702" s="21">
        <v>3</v>
      </c>
      <c r="L702" s="27">
        <v>4328256.8008153699</v>
      </c>
      <c r="M702" s="22">
        <v>1.3334575811989047E-2</v>
      </c>
      <c r="N702" s="21">
        <v>3</v>
      </c>
      <c r="O702" s="27">
        <v>4743690.5606502322</v>
      </c>
      <c r="P702" s="22">
        <v>1.4742439990388299E-2</v>
      </c>
      <c r="Q702" s="21">
        <v>4</v>
      </c>
      <c r="R702" s="27">
        <v>4285268.9174050521</v>
      </c>
      <c r="S702" s="22">
        <v>1.3395981072069449E-2</v>
      </c>
      <c r="T702" s="23">
        <v>3</v>
      </c>
      <c r="U702" s="28">
        <v>3704752.1320366235</v>
      </c>
      <c r="V702" s="24">
        <v>1.1394581658511725E-2</v>
      </c>
      <c r="W702" s="23">
        <v>3</v>
      </c>
      <c r="X702" s="28">
        <v>3610981.4943817384</v>
      </c>
      <c r="Y702" s="24">
        <v>1.0864329494709942E-2</v>
      </c>
      <c r="Z702" s="23">
        <v>3</v>
      </c>
      <c r="AA702" s="28">
        <v>3123478.5811136723</v>
      </c>
      <c r="AB702" s="24">
        <v>9.5381503639606381E-3</v>
      </c>
    </row>
    <row r="703" spans="1:28" x14ac:dyDescent="0.25">
      <c r="A703" t="s">
        <v>5939</v>
      </c>
      <c r="B703" t="s">
        <v>7717</v>
      </c>
      <c r="C703" t="s">
        <v>5941</v>
      </c>
      <c r="D703" s="4" t="s">
        <v>5940</v>
      </c>
      <c r="E703" s="4" t="s">
        <v>2044</v>
      </c>
      <c r="G703" t="s">
        <v>2045</v>
      </c>
      <c r="H703" t="s">
        <v>2127</v>
      </c>
      <c r="I703" s="17">
        <v>-1.38799503551912</v>
      </c>
      <c r="J703" s="17">
        <v>5.5304088017689303E-2</v>
      </c>
      <c r="K703" s="21">
        <v>17</v>
      </c>
      <c r="L703" s="27">
        <v>26655595.7039469</v>
      </c>
      <c r="M703" s="22">
        <v>6.9668281269002971E-2</v>
      </c>
      <c r="N703" s="21">
        <v>8</v>
      </c>
      <c r="O703" s="27">
        <v>20934943.554950297</v>
      </c>
      <c r="P703" s="22">
        <v>5.5195710810288359E-2</v>
      </c>
      <c r="Q703" s="21">
        <v>18</v>
      </c>
      <c r="R703" s="27">
        <v>28152877.316559363</v>
      </c>
      <c r="S703" s="22">
        <v>7.4662022687929749E-2</v>
      </c>
      <c r="T703" s="23">
        <v>12</v>
      </c>
      <c r="U703" s="28">
        <v>19278193.74495177</v>
      </c>
      <c r="V703" s="24">
        <v>5.0302096746730952E-2</v>
      </c>
      <c r="W703" s="23">
        <v>11</v>
      </c>
      <c r="X703" s="28">
        <v>19999121.015561514</v>
      </c>
      <c r="Y703" s="24">
        <v>5.1046867087913381E-2</v>
      </c>
      <c r="Z703" s="23">
        <v>11</v>
      </c>
      <c r="AA703" s="28">
        <v>20042085.743954644</v>
      </c>
      <c r="AB703" s="24">
        <v>5.1921719582644049E-2</v>
      </c>
    </row>
    <row r="704" spans="1:28" x14ac:dyDescent="0.25">
      <c r="A704" t="s">
        <v>5896</v>
      </c>
      <c r="B704" t="s">
        <v>7704</v>
      </c>
      <c r="C704" t="s">
        <v>5899</v>
      </c>
      <c r="D704" s="4" t="s">
        <v>5897</v>
      </c>
      <c r="E704" s="4" t="s">
        <v>2044</v>
      </c>
      <c r="G704" t="s">
        <v>5898</v>
      </c>
      <c r="H704" t="s">
        <v>553</v>
      </c>
      <c r="I704" s="17">
        <v>-1.39055475519295</v>
      </c>
      <c r="J704" s="17">
        <v>7.10387184096027E-2</v>
      </c>
      <c r="K704" s="21">
        <v>4</v>
      </c>
      <c r="L704" s="27">
        <v>2105256.2587875202</v>
      </c>
      <c r="M704" s="22">
        <v>1.872502221887763E-3</v>
      </c>
      <c r="N704" s="21">
        <v>3</v>
      </c>
      <c r="O704" s="27">
        <v>1831607.0157678397</v>
      </c>
      <c r="P704" s="22">
        <v>1.6433743543931136E-3</v>
      </c>
      <c r="Q704" s="21">
        <v>4</v>
      </c>
      <c r="R704" s="27">
        <v>2304578.5274095135</v>
      </c>
      <c r="S704" s="22">
        <v>2.0798841498781339E-3</v>
      </c>
      <c r="T704" s="23">
        <v>3</v>
      </c>
      <c r="U704" s="28">
        <v>1588358.4618011748</v>
      </c>
      <c r="V704" s="24">
        <v>1.410389088134275E-3</v>
      </c>
      <c r="W704" s="23">
        <v>2</v>
      </c>
      <c r="X704" s="28">
        <v>1405078.5870337482</v>
      </c>
      <c r="Y704" s="24">
        <v>1.2204766383580408E-3</v>
      </c>
      <c r="Z704" s="23">
        <v>3</v>
      </c>
      <c r="AA704" s="28">
        <v>1856670.2024672148</v>
      </c>
      <c r="AB704" s="24">
        <v>1.6368602025883081E-3</v>
      </c>
    </row>
    <row r="705" spans="1:36" x14ac:dyDescent="0.25">
      <c r="A705" t="s">
        <v>5948</v>
      </c>
      <c r="B705" t="s">
        <v>7720</v>
      </c>
      <c r="C705" t="s">
        <v>5950</v>
      </c>
      <c r="D705" s="4" t="s">
        <v>5949</v>
      </c>
      <c r="E705" s="4" t="s">
        <v>2044</v>
      </c>
      <c r="G705" t="s">
        <v>2045</v>
      </c>
      <c r="H705" t="s">
        <v>23</v>
      </c>
      <c r="I705" s="17">
        <v>-1.4510389957632199</v>
      </c>
      <c r="J705" s="17">
        <v>0.13403546764608901</v>
      </c>
      <c r="K705" s="21">
        <v>17</v>
      </c>
      <c r="L705" s="27">
        <v>131183326.611679</v>
      </c>
      <c r="M705" s="22">
        <v>0.6485231144398601</v>
      </c>
      <c r="N705" s="21">
        <v>10</v>
      </c>
      <c r="O705" s="27">
        <v>91570728.372181699</v>
      </c>
      <c r="P705" s="22">
        <v>0.45665721213024718</v>
      </c>
      <c r="Q705" s="21">
        <v>18</v>
      </c>
      <c r="R705" s="27">
        <v>157413622.92190707</v>
      </c>
      <c r="S705" s="22">
        <v>0.78962228026749559</v>
      </c>
      <c r="T705" s="23">
        <v>12</v>
      </c>
      <c r="U705" s="28">
        <v>101589016.25121255</v>
      </c>
      <c r="V705" s="24">
        <v>0.50137955254312661</v>
      </c>
      <c r="W705" s="23">
        <v>12</v>
      </c>
      <c r="X705" s="28">
        <v>92194914.12870568</v>
      </c>
      <c r="Y705" s="24">
        <v>0.44510786166401772</v>
      </c>
      <c r="Z705" s="23">
        <v>14</v>
      </c>
      <c r="AA705" s="28">
        <v>89985940.929466173</v>
      </c>
      <c r="AB705" s="24">
        <v>0.4409414538932771</v>
      </c>
    </row>
    <row r="706" spans="1:36" x14ac:dyDescent="0.25">
      <c r="A706" t="s">
        <v>5893</v>
      </c>
      <c r="B706" t="s">
        <v>7703</v>
      </c>
      <c r="C706" t="s">
        <v>5895</v>
      </c>
      <c r="D706" s="4" t="s">
        <v>5894</v>
      </c>
      <c r="E706" s="4" t="s">
        <v>2044</v>
      </c>
      <c r="G706" t="s">
        <v>2045</v>
      </c>
      <c r="H706" t="s">
        <v>553</v>
      </c>
      <c r="I706" s="17">
        <v>-1.5823037228160299</v>
      </c>
      <c r="J706" s="17">
        <v>3.13387156562632E-2</v>
      </c>
      <c r="K706" s="21">
        <v>12</v>
      </c>
      <c r="L706" s="27">
        <v>3694666.0080571999</v>
      </c>
      <c r="M706" s="22">
        <v>3.1754685067402213E-3</v>
      </c>
      <c r="N706" s="21">
        <v>5</v>
      </c>
      <c r="O706" s="27">
        <v>3226621.066571523</v>
      </c>
      <c r="P706" s="22">
        <v>2.7974827827575597E-3</v>
      </c>
      <c r="Q706" s="21">
        <v>10</v>
      </c>
      <c r="R706" s="27">
        <v>4309710.1584215593</v>
      </c>
      <c r="S706" s="22">
        <v>3.7584687885429242E-3</v>
      </c>
      <c r="T706" s="23">
        <v>6</v>
      </c>
      <c r="U706" s="28">
        <v>2772870.5003592535</v>
      </c>
      <c r="V706" s="24">
        <v>2.3792235838106797E-3</v>
      </c>
      <c r="W706" s="23">
        <v>3</v>
      </c>
      <c r="X706" s="28">
        <v>2215771.5703099021</v>
      </c>
      <c r="Y706" s="24">
        <v>1.8598121975831031E-3</v>
      </c>
      <c r="Z706" s="23">
        <v>4</v>
      </c>
      <c r="AA706" s="28">
        <v>2658812.1905888063</v>
      </c>
      <c r="AB706" s="24">
        <v>2.2650601211904701E-3</v>
      </c>
    </row>
    <row r="707" spans="1:36" x14ac:dyDescent="0.25">
      <c r="A707" t="s">
        <v>5907</v>
      </c>
      <c r="B707" t="s">
        <v>7707</v>
      </c>
      <c r="C707" t="s">
        <v>5910</v>
      </c>
      <c r="D707" s="4" t="s">
        <v>5908</v>
      </c>
      <c r="E707" s="4" t="s">
        <v>2044</v>
      </c>
      <c r="G707" t="s">
        <v>5909</v>
      </c>
      <c r="H707" t="s">
        <v>23</v>
      </c>
      <c r="I707" s="17">
        <v>-1.5827121359004599</v>
      </c>
      <c r="J707" s="17">
        <v>2.82773538266975E-2</v>
      </c>
      <c r="K707" s="21">
        <v>3</v>
      </c>
      <c r="L707" s="27">
        <v>1790891.1808344601</v>
      </c>
      <c r="M707" s="22">
        <v>1.4890537136777625E-3</v>
      </c>
      <c r="N707" s="21">
        <v>5</v>
      </c>
      <c r="O707" s="27">
        <v>1595901.2790988942</v>
      </c>
      <c r="P707" s="22">
        <v>1.3385482218707832E-3</v>
      </c>
      <c r="Q707" s="21">
        <v>5</v>
      </c>
      <c r="R707" s="27">
        <v>1993907.284139242</v>
      </c>
      <c r="S707" s="22">
        <v>1.6821951862742034E-3</v>
      </c>
      <c r="T707" s="23">
        <v>2</v>
      </c>
      <c r="U707" s="28">
        <v>1292746.8362212803</v>
      </c>
      <c r="V707" s="24">
        <v>1.0730691108731098E-3</v>
      </c>
      <c r="W707" s="23">
        <v>1</v>
      </c>
      <c r="X707" s="28">
        <v>1039696.7139892426</v>
      </c>
      <c r="Y707" s="24">
        <v>8.44227157420229E-4</v>
      </c>
      <c r="Z707" s="23">
        <v>2</v>
      </c>
      <c r="AA707" s="28">
        <v>1332435.7007436017</v>
      </c>
      <c r="AB707" s="24">
        <v>1.0981125990722185E-3</v>
      </c>
    </row>
    <row r="708" spans="1:36" x14ac:dyDescent="0.25">
      <c r="A708" t="s">
        <v>5927</v>
      </c>
      <c r="B708" t="s">
        <v>7713</v>
      </c>
      <c r="C708" t="s">
        <v>5929</v>
      </c>
      <c r="D708" s="4" t="s">
        <v>5928</v>
      </c>
      <c r="E708" s="4" t="s">
        <v>2044</v>
      </c>
      <c r="G708" t="s">
        <v>2052</v>
      </c>
      <c r="H708" t="s">
        <v>23</v>
      </c>
      <c r="I708" s="17">
        <v>-1.6587580806578199</v>
      </c>
      <c r="J708" s="17">
        <v>2.5959674734270001E-2</v>
      </c>
      <c r="K708" s="21">
        <v>4</v>
      </c>
      <c r="L708" s="27">
        <v>1864632.4609284</v>
      </c>
      <c r="M708" s="22">
        <v>3.9245253814839771E-3</v>
      </c>
      <c r="N708" s="21">
        <v>1</v>
      </c>
      <c r="O708" s="27">
        <v>1498536.5300825709</v>
      </c>
      <c r="P708" s="22">
        <v>3.1816182446364923E-3</v>
      </c>
      <c r="Q708" s="21">
        <v>3</v>
      </c>
      <c r="R708" s="27">
        <v>1545663.499504386</v>
      </c>
      <c r="S708" s="22">
        <v>3.3009512664005968E-3</v>
      </c>
      <c r="T708" s="23">
        <v>3</v>
      </c>
      <c r="U708" s="28">
        <v>1206094.8939725761</v>
      </c>
      <c r="V708" s="24">
        <v>2.5342439844471404E-3</v>
      </c>
      <c r="W708" s="23">
        <v>1</v>
      </c>
      <c r="X708" s="28">
        <v>1069143.2387325582</v>
      </c>
      <c r="Y708" s="24">
        <v>2.1975627073340556E-3</v>
      </c>
      <c r="Z708" s="23">
        <v>2</v>
      </c>
      <c r="AA708" s="28">
        <v>944367.90914316184</v>
      </c>
      <c r="AB708" s="24">
        <v>1.9701285750439103E-3</v>
      </c>
    </row>
    <row r="709" spans="1:36" x14ac:dyDescent="0.25">
      <c r="A709" t="s">
        <v>5924</v>
      </c>
      <c r="B709" t="s">
        <v>7712</v>
      </c>
      <c r="C709" t="s">
        <v>5926</v>
      </c>
      <c r="D709" s="4" t="s">
        <v>5925</v>
      </c>
      <c r="E709" s="4" t="s">
        <v>2044</v>
      </c>
      <c r="G709" t="s">
        <v>2045</v>
      </c>
      <c r="H709" t="s">
        <v>23</v>
      </c>
      <c r="I709" s="17">
        <v>-2.12760523618382</v>
      </c>
      <c r="J709" s="17">
        <v>3.8412924553130799E-2</v>
      </c>
      <c r="K709" s="21">
        <v>23</v>
      </c>
      <c r="L709" s="27">
        <v>24857778.0619657</v>
      </c>
      <c r="M709" s="22">
        <v>3.0901635911122338E-2</v>
      </c>
      <c r="N709" s="21">
        <v>13</v>
      </c>
      <c r="O709" s="27">
        <v>16892053.537874907</v>
      </c>
      <c r="P709" s="22">
        <v>2.1183047824870762E-2</v>
      </c>
      <c r="Q709" s="21">
        <v>28</v>
      </c>
      <c r="R709" s="27">
        <v>29231872.651587937</v>
      </c>
      <c r="S709" s="22">
        <v>3.6872795332902698E-2</v>
      </c>
      <c r="T709" s="23">
        <v>13</v>
      </c>
      <c r="U709" s="28">
        <v>15366796.763176674</v>
      </c>
      <c r="V709" s="24">
        <v>1.9071091782188333E-2</v>
      </c>
      <c r="W709" s="23">
        <v>4</v>
      </c>
      <c r="X709" s="28">
        <v>9751146.7502204776</v>
      </c>
      <c r="Y709" s="24">
        <v>1.1838218143598348E-2</v>
      </c>
      <c r="Z709" s="23">
        <v>5</v>
      </c>
      <c r="AA709" s="28">
        <v>10759259.920131229</v>
      </c>
      <c r="AB709" s="24">
        <v>1.3257480957762746E-2</v>
      </c>
    </row>
    <row r="710" spans="1:36" x14ac:dyDescent="0.25">
      <c r="A710" s="16" t="s">
        <v>5917</v>
      </c>
      <c r="B710" s="16" t="s">
        <v>7710</v>
      </c>
      <c r="C710" s="16" t="s">
        <v>5919</v>
      </c>
      <c r="D710" s="41" t="s">
        <v>5918</v>
      </c>
      <c r="E710" s="41" t="s">
        <v>2044</v>
      </c>
      <c r="F710" s="16"/>
      <c r="G710" s="16" t="s">
        <v>8176</v>
      </c>
      <c r="H710" s="16"/>
      <c r="I710" s="30">
        <v>-4.5164470142603896</v>
      </c>
      <c r="J710" s="30">
        <v>1.2255497345501999E-2</v>
      </c>
      <c r="K710" s="31">
        <v>1</v>
      </c>
      <c r="L710" s="32">
        <v>958144.77623684902</v>
      </c>
      <c r="M710" s="33">
        <v>1.6973256159919139E-3</v>
      </c>
      <c r="N710" s="31">
        <v>1</v>
      </c>
      <c r="O710" s="32">
        <v>749474.02772660251</v>
      </c>
      <c r="P710" s="33">
        <v>1.3392987060784854E-3</v>
      </c>
      <c r="Q710" s="31">
        <v>4</v>
      </c>
      <c r="R710" s="32">
        <v>1646660.3291684736</v>
      </c>
      <c r="S710" s="33">
        <v>2.9598405235300921E-3</v>
      </c>
      <c r="T710" s="34">
        <v>0</v>
      </c>
      <c r="U710" s="35">
        <v>383967.46817548329</v>
      </c>
      <c r="V710" s="36">
        <v>6.7904960866062595E-4</v>
      </c>
      <c r="W710" s="34">
        <v>0</v>
      </c>
      <c r="X710" s="35">
        <v>173720.61565929398</v>
      </c>
      <c r="Y710" s="36">
        <v>3.0053625492201851E-4</v>
      </c>
      <c r="Z710" s="34">
        <v>0</v>
      </c>
      <c r="AA710" s="35">
        <v>228383.05105425508</v>
      </c>
      <c r="AB710" s="36">
        <v>4.0101198050679913E-4</v>
      </c>
      <c r="AC710" s="58"/>
      <c r="AD710" s="58"/>
      <c r="AE710" s="58"/>
      <c r="AF710" s="58"/>
      <c r="AG710" s="58"/>
      <c r="AH710" s="58"/>
      <c r="AI710" s="30"/>
      <c r="AJ710" s="30"/>
    </row>
    <row r="711" spans="1:36" x14ac:dyDescent="0.25">
      <c r="A711" t="s">
        <v>6169</v>
      </c>
      <c r="B711" t="s">
        <v>7789</v>
      </c>
      <c r="C711" t="s">
        <v>6171</v>
      </c>
      <c r="D711" s="2" t="s">
        <v>6170</v>
      </c>
      <c r="E711" s="2" t="s">
        <v>5</v>
      </c>
      <c r="G711" t="s">
        <v>6162</v>
      </c>
      <c r="H711" t="s">
        <v>104</v>
      </c>
      <c r="I711" s="17">
        <v>1.43667614742779</v>
      </c>
      <c r="J711" s="17">
        <v>0.24825539191843901</v>
      </c>
      <c r="K711" s="21">
        <v>1</v>
      </c>
      <c r="L711" s="27">
        <v>565038.63049897901</v>
      </c>
      <c r="M711" s="22">
        <v>5.936438592765576E-4</v>
      </c>
      <c r="N711" s="21">
        <v>1</v>
      </c>
      <c r="O711" s="27">
        <v>301613.62067451037</v>
      </c>
      <c r="P711" s="22">
        <v>3.1965803220600914E-4</v>
      </c>
      <c r="Q711" s="21">
        <v>0</v>
      </c>
      <c r="R711" s="27">
        <v>352448.69132294058</v>
      </c>
      <c r="S711" s="22">
        <v>3.757283809974161E-4</v>
      </c>
      <c r="T711" s="23">
        <v>0</v>
      </c>
      <c r="U711" s="28">
        <v>806894.95143584348</v>
      </c>
      <c r="V711" s="24">
        <v>8.463263858013209E-4</v>
      </c>
      <c r="W711" s="23">
        <v>1</v>
      </c>
      <c r="X711" s="28">
        <v>645352.61143733619</v>
      </c>
      <c r="Y711" s="24">
        <v>6.62150012949415E-4</v>
      </c>
      <c r="Z711" s="23">
        <v>0</v>
      </c>
      <c r="AA711" s="28">
        <v>470898.2712606322</v>
      </c>
      <c r="AB711" s="24">
        <v>4.9038184453786989E-4</v>
      </c>
      <c r="AC711" s="20">
        <v>8.5875649738929098</v>
      </c>
      <c r="AD711" s="20">
        <v>10.704184196570035</v>
      </c>
      <c r="AE711" s="20">
        <v>8.1025255004984125</v>
      </c>
      <c r="AF711" s="20">
        <v>9.1232505589710513</v>
      </c>
      <c r="AG711" s="20">
        <v>10.094254643411798</v>
      </c>
      <c r="AH711" s="20">
        <v>9.2545670816477461</v>
      </c>
    </row>
    <row r="712" spans="1:36" x14ac:dyDescent="0.25">
      <c r="A712" t="s">
        <v>6194</v>
      </c>
      <c r="B712" t="s">
        <v>7797</v>
      </c>
      <c r="C712" t="s">
        <v>6196</v>
      </c>
      <c r="D712" s="2" t="s">
        <v>6195</v>
      </c>
      <c r="E712" s="2" t="s">
        <v>5</v>
      </c>
      <c r="H712" t="s">
        <v>23</v>
      </c>
      <c r="I712" s="17">
        <v>1.33497478204329</v>
      </c>
      <c r="J712" s="17">
        <v>4.69777672136691E-2</v>
      </c>
      <c r="K712" s="21">
        <v>45</v>
      </c>
      <c r="L712" s="27">
        <v>368163492.50315797</v>
      </c>
      <c r="M712" s="22">
        <v>0.72021083604122671</v>
      </c>
      <c r="N712" s="21">
        <v>34</v>
      </c>
      <c r="O712" s="27">
        <v>317159540.9301182</v>
      </c>
      <c r="P712" s="22">
        <v>0.62586914717572628</v>
      </c>
      <c r="Q712" s="21">
        <v>49</v>
      </c>
      <c r="R712" s="27">
        <v>433261945.78339034</v>
      </c>
      <c r="S712" s="22">
        <v>0.86000254337111282</v>
      </c>
      <c r="T712" s="23">
        <v>45</v>
      </c>
      <c r="U712" s="28">
        <v>489655173.30332184</v>
      </c>
      <c r="V712" s="24">
        <v>0.95627394088098405</v>
      </c>
      <c r="W712" s="23">
        <v>48</v>
      </c>
      <c r="X712" s="28">
        <v>619508981.30856836</v>
      </c>
      <c r="Y712" s="24">
        <v>1.1835265858371469</v>
      </c>
      <c r="Z712" s="23">
        <v>47</v>
      </c>
      <c r="AA712" s="28">
        <v>516826839.90934235</v>
      </c>
      <c r="AB712" s="24">
        <v>1.0021285548942598</v>
      </c>
      <c r="AC712" s="17" t="s">
        <v>8084</v>
      </c>
      <c r="AD712" s="20">
        <v>9.1314248903204511</v>
      </c>
      <c r="AF712" s="17" t="s">
        <v>8084</v>
      </c>
      <c r="AG712" s="20">
        <v>9.4906907613435312</v>
      </c>
      <c r="AI712" s="47" t="s">
        <v>8087</v>
      </c>
      <c r="AJ712" s="20">
        <v>103.9343900359287</v>
      </c>
    </row>
    <row r="713" spans="1:36" x14ac:dyDescent="0.25">
      <c r="A713" t="s">
        <v>6058</v>
      </c>
      <c r="B713" t="s">
        <v>7753</v>
      </c>
      <c r="C713" t="s">
        <v>6060</v>
      </c>
      <c r="D713" s="2" t="s">
        <v>6059</v>
      </c>
      <c r="E713" s="2" t="s">
        <v>5</v>
      </c>
      <c r="G713" t="s">
        <v>5966</v>
      </c>
      <c r="H713" t="s">
        <v>23</v>
      </c>
      <c r="I713" s="17">
        <v>1.2318823642288099</v>
      </c>
      <c r="J713" s="17">
        <v>6.7605873759328E-2</v>
      </c>
      <c r="K713" s="21">
        <v>4</v>
      </c>
      <c r="L713" s="27">
        <v>1935049.4904586701</v>
      </c>
      <c r="M713" s="22">
        <v>2.6034561392937138E-3</v>
      </c>
      <c r="N713" s="21">
        <v>3</v>
      </c>
      <c r="O713" s="27">
        <v>1819350.2857658286</v>
      </c>
      <c r="P713" s="22">
        <v>2.4692288598349463E-3</v>
      </c>
      <c r="Q713" s="21">
        <v>6</v>
      </c>
      <c r="R713" s="27">
        <v>2048806.3800084947</v>
      </c>
      <c r="S713" s="22">
        <v>2.7969800331644396E-3</v>
      </c>
      <c r="T713" s="23">
        <v>3</v>
      </c>
      <c r="U713" s="28">
        <v>2729623.724943798</v>
      </c>
      <c r="V713" s="24">
        <v>3.6663508012335345E-3</v>
      </c>
      <c r="W713" s="23">
        <v>0</v>
      </c>
      <c r="X713" s="28">
        <v>2538832.6311941026</v>
      </c>
      <c r="Y713" s="24">
        <v>3.3358287019554134E-3</v>
      </c>
      <c r="Z713" s="23">
        <v>3</v>
      </c>
      <c r="AA713" s="28">
        <v>2466505.6423907704</v>
      </c>
      <c r="AB713" s="24">
        <v>3.2892717074479677E-3</v>
      </c>
      <c r="AC713" s="17" t="s">
        <v>8085</v>
      </c>
      <c r="AD713" s="20">
        <v>1.3834719726954088</v>
      </c>
      <c r="AF713" s="17" t="s">
        <v>8085</v>
      </c>
      <c r="AG713" s="20">
        <v>0.52680928910276592</v>
      </c>
      <c r="AI713" s="17" t="s">
        <v>8086</v>
      </c>
      <c r="AJ713" s="20">
        <v>0.69583362047136055</v>
      </c>
    </row>
    <row r="714" spans="1:36" x14ac:dyDescent="0.25">
      <c r="A714" t="s">
        <v>6218</v>
      </c>
      <c r="B714" t="s">
        <v>7806</v>
      </c>
      <c r="C714" t="s">
        <v>6220</v>
      </c>
      <c r="D714" s="2" t="s">
        <v>6219</v>
      </c>
      <c r="E714" s="2" t="s">
        <v>5</v>
      </c>
      <c r="H714" t="s">
        <v>23</v>
      </c>
      <c r="I714" s="17">
        <v>1.1904182000105501</v>
      </c>
      <c r="J714" s="17">
        <v>0.30080002889637297</v>
      </c>
      <c r="K714" s="21">
        <v>44</v>
      </c>
      <c r="L714" s="27">
        <v>312178832.62583703</v>
      </c>
      <c r="M714" s="22">
        <v>0.57373389478013692</v>
      </c>
      <c r="N714" s="21">
        <v>33</v>
      </c>
      <c r="O714" s="27">
        <v>218162435.27117723</v>
      </c>
      <c r="P714" s="22">
        <v>0.40445840108910325</v>
      </c>
      <c r="Q714" s="21">
        <v>43</v>
      </c>
      <c r="R714" s="27">
        <v>234972957.2340371</v>
      </c>
      <c r="S714" s="22">
        <v>0.43818267046258047</v>
      </c>
      <c r="T714" s="23">
        <v>42</v>
      </c>
      <c r="U714" s="28">
        <v>313670846.14269567</v>
      </c>
      <c r="V714" s="24">
        <v>0.57551182911422227</v>
      </c>
      <c r="W714" s="23">
        <v>45</v>
      </c>
      <c r="X714" s="28">
        <v>394545745.12318385</v>
      </c>
      <c r="Y714" s="24">
        <v>0.70813473977815067</v>
      </c>
      <c r="Z714" s="23">
        <v>40</v>
      </c>
      <c r="AA714" s="28">
        <v>294841186.97827923</v>
      </c>
      <c r="AB714" s="24">
        <v>0.53709938364809873</v>
      </c>
    </row>
    <row r="715" spans="1:36" x14ac:dyDescent="0.25">
      <c r="A715" t="s">
        <v>6175</v>
      </c>
      <c r="B715" t="s">
        <v>7791</v>
      </c>
      <c r="C715" t="s">
        <v>6177</v>
      </c>
      <c r="D715" s="2" t="s">
        <v>6176</v>
      </c>
      <c r="E715" s="2" t="s">
        <v>5</v>
      </c>
      <c r="G715" t="s">
        <v>6162</v>
      </c>
      <c r="H715" t="s">
        <v>104</v>
      </c>
      <c r="I715" s="17">
        <v>1.07804261763887</v>
      </c>
      <c r="J715" s="17">
        <v>0.52482970841621102</v>
      </c>
      <c r="K715" s="21">
        <v>2</v>
      </c>
      <c r="L715" s="27">
        <v>992351.14190120494</v>
      </c>
      <c r="M715" s="22">
        <v>2.2205320399850191E-3</v>
      </c>
      <c r="N715" s="21">
        <v>1</v>
      </c>
      <c r="O715" s="27">
        <v>797456.93292256154</v>
      </c>
      <c r="P715" s="22">
        <v>1.8000548576817591E-3</v>
      </c>
      <c r="Q715" s="21">
        <v>2</v>
      </c>
      <c r="R715" s="27">
        <v>1006117.0942294447</v>
      </c>
      <c r="S715" s="22">
        <v>2.2843910908319893E-3</v>
      </c>
      <c r="T715" s="23">
        <v>0</v>
      </c>
      <c r="U715" s="28">
        <v>941120.9248060328</v>
      </c>
      <c r="V715" s="24">
        <v>2.1023748059596455E-3</v>
      </c>
      <c r="W715" s="23">
        <v>1</v>
      </c>
      <c r="X715" s="28">
        <v>1306692.2374173277</v>
      </c>
      <c r="Y715" s="24">
        <v>2.8554625080314477E-3</v>
      </c>
      <c r="Z715" s="23">
        <v>1</v>
      </c>
      <c r="AA715" s="28">
        <v>1052427.3727641972</v>
      </c>
      <c r="AB715" s="24">
        <v>2.3342278858733061E-3</v>
      </c>
    </row>
    <row r="716" spans="1:36" x14ac:dyDescent="0.25">
      <c r="A716" t="s">
        <v>6076</v>
      </c>
      <c r="B716" t="s">
        <v>7759</v>
      </c>
      <c r="C716" t="s">
        <v>6078</v>
      </c>
      <c r="D716" s="2" t="s">
        <v>6077</v>
      </c>
      <c r="E716" s="2" t="s">
        <v>5</v>
      </c>
      <c r="G716" t="s">
        <v>2058</v>
      </c>
      <c r="H716" t="s">
        <v>23</v>
      </c>
      <c r="I716" s="17">
        <v>1.0592089131137199</v>
      </c>
      <c r="J716" s="17">
        <v>0.67348420243539098</v>
      </c>
      <c r="K716" s="21">
        <v>6</v>
      </c>
      <c r="L716" s="27">
        <v>2329037.4935007398</v>
      </c>
      <c r="M716" s="22">
        <v>4.3814041169592784E-3</v>
      </c>
      <c r="N716" s="21">
        <v>0</v>
      </c>
      <c r="O716" s="27">
        <v>2059180.1222950479</v>
      </c>
      <c r="P716" s="22">
        <v>3.9076710880903975E-3</v>
      </c>
      <c r="Q716" s="21">
        <v>4</v>
      </c>
      <c r="R716" s="27">
        <v>2764841.0423082733</v>
      </c>
      <c r="S716" s="22">
        <v>5.2776095793964943E-3</v>
      </c>
      <c r="T716" s="23">
        <v>3</v>
      </c>
      <c r="U716" s="28">
        <v>2877646.4702492477</v>
      </c>
      <c r="V716" s="24">
        <v>5.4043978665345334E-3</v>
      </c>
      <c r="W716" s="23">
        <v>2</v>
      </c>
      <c r="X716" s="28">
        <v>3086310.3525992096</v>
      </c>
      <c r="Y716" s="24">
        <v>5.6700633164239161E-3</v>
      </c>
      <c r="Z716" s="23">
        <v>0</v>
      </c>
      <c r="AA716" s="28">
        <v>2257617.1779185077</v>
      </c>
      <c r="AB716" s="24">
        <v>4.2096557332967164E-3</v>
      </c>
    </row>
    <row r="717" spans="1:36" x14ac:dyDescent="0.25">
      <c r="A717" t="s">
        <v>5997</v>
      </c>
      <c r="B717" t="s">
        <v>7735</v>
      </c>
      <c r="C717" t="s">
        <v>5999</v>
      </c>
      <c r="D717" s="2" t="s">
        <v>5998</v>
      </c>
      <c r="E717" s="2" t="s">
        <v>5</v>
      </c>
      <c r="H717" t="s">
        <v>17</v>
      </c>
      <c r="I717" s="17">
        <v>1.02686052378218</v>
      </c>
      <c r="J717" s="17">
        <v>0.74000772138516702</v>
      </c>
      <c r="K717" s="21">
        <v>2</v>
      </c>
      <c r="L717" s="27">
        <v>563589.653597545</v>
      </c>
      <c r="M717" s="22">
        <v>1.4551326607958963E-3</v>
      </c>
      <c r="N717" s="21">
        <v>2</v>
      </c>
      <c r="O717" s="27">
        <v>671383.66369973437</v>
      </c>
      <c r="P717" s="22">
        <v>1.7486269964281371E-3</v>
      </c>
      <c r="Q717" s="21">
        <v>2</v>
      </c>
      <c r="R717" s="27">
        <v>598868.1947038963</v>
      </c>
      <c r="S717" s="22">
        <v>1.5689210336190459E-3</v>
      </c>
      <c r="T717" s="23">
        <v>2</v>
      </c>
      <c r="U717" s="28">
        <v>654599.23288671183</v>
      </c>
      <c r="V717" s="24">
        <v>1.6872837064014598E-3</v>
      </c>
      <c r="W717" s="23">
        <v>1</v>
      </c>
      <c r="X717" s="28">
        <v>791973.66175160219</v>
      </c>
      <c r="Y717" s="24">
        <v>1.9969251958286698E-3</v>
      </c>
      <c r="Z717" s="23">
        <v>1</v>
      </c>
      <c r="AA717" s="28">
        <v>596908.34394325374</v>
      </c>
      <c r="AB717" s="24">
        <v>1.5275895345157168E-3</v>
      </c>
    </row>
    <row r="718" spans="1:36" x14ac:dyDescent="0.25">
      <c r="A718" t="s">
        <v>6034</v>
      </c>
      <c r="B718" t="s">
        <v>7746</v>
      </c>
      <c r="C718" t="s">
        <v>6037</v>
      </c>
      <c r="D718" s="2" t="s">
        <v>6035</v>
      </c>
      <c r="E718" s="2" t="s">
        <v>5</v>
      </c>
      <c r="F718" t="s">
        <v>6036</v>
      </c>
      <c r="H718" t="s">
        <v>160</v>
      </c>
      <c r="I718" s="17">
        <v>1.0109490533365499</v>
      </c>
      <c r="J718" s="17">
        <v>0.82699319426109397</v>
      </c>
      <c r="K718" s="21">
        <v>4</v>
      </c>
      <c r="L718" s="27">
        <v>4958888.4851230197</v>
      </c>
      <c r="M718" s="22">
        <v>5.1006929730785435E-3</v>
      </c>
      <c r="N718" s="21">
        <v>4</v>
      </c>
      <c r="O718" s="27">
        <v>8597889.1247319672</v>
      </c>
      <c r="P718" s="22">
        <v>8.9212048832045705E-3</v>
      </c>
      <c r="Q718" s="21">
        <v>3</v>
      </c>
      <c r="R718" s="27">
        <v>4798037.7770871622</v>
      </c>
      <c r="S718" s="22">
        <v>5.007705304719951E-3</v>
      </c>
      <c r="T718" s="23">
        <v>3</v>
      </c>
      <c r="U718" s="28">
        <v>5963136.63793898</v>
      </c>
      <c r="V718" s="24">
        <v>6.123400216204734E-3</v>
      </c>
      <c r="W718" s="23">
        <v>1</v>
      </c>
      <c r="X718" s="28">
        <v>7537542.3029113421</v>
      </c>
      <c r="Y718" s="24">
        <v>7.5715724829389271E-3</v>
      </c>
      <c r="Z718" s="23">
        <v>3</v>
      </c>
      <c r="AA718" s="28">
        <v>6538515.637366212</v>
      </c>
      <c r="AB718" s="24">
        <v>6.6662785257687257E-3</v>
      </c>
    </row>
    <row r="719" spans="1:36" x14ac:dyDescent="0.25">
      <c r="A719" t="s">
        <v>6082</v>
      </c>
      <c r="B719" t="s">
        <v>7761</v>
      </c>
      <c r="C719" t="s">
        <v>6083</v>
      </c>
      <c r="D719" s="2" t="s">
        <v>6077</v>
      </c>
      <c r="E719" s="2" t="s">
        <v>5</v>
      </c>
      <c r="G719" t="s">
        <v>2058</v>
      </c>
      <c r="H719" t="s">
        <v>23</v>
      </c>
      <c r="I719" s="17">
        <v>-1.0173664636756099</v>
      </c>
      <c r="J719" s="17">
        <v>0.89920327406612199</v>
      </c>
      <c r="K719" s="21">
        <v>9</v>
      </c>
      <c r="L719" s="27">
        <v>7565011.7465588199</v>
      </c>
      <c r="M719" s="22">
        <v>1.4444405439074689E-2</v>
      </c>
      <c r="N719" s="21">
        <v>3</v>
      </c>
      <c r="O719" s="27">
        <v>6436867.9125553295</v>
      </c>
      <c r="P719" s="22">
        <v>1.2397996034552678E-2</v>
      </c>
      <c r="Q719" s="21">
        <v>9</v>
      </c>
      <c r="R719" s="27">
        <v>7055406.1642279616</v>
      </c>
      <c r="S719" s="22">
        <v>1.3669176248193976E-2</v>
      </c>
      <c r="T719" s="23">
        <v>5</v>
      </c>
      <c r="U719" s="28">
        <v>7973780.8852216443</v>
      </c>
      <c r="V719" s="24">
        <v>1.5199433599116812E-2</v>
      </c>
      <c r="W719" s="23">
        <v>3</v>
      </c>
      <c r="X719" s="28">
        <v>8229120.9374874625</v>
      </c>
      <c r="Y719" s="24">
        <v>1.5344579416771361E-2</v>
      </c>
      <c r="Z719" s="23">
        <v>3</v>
      </c>
      <c r="AA719" s="28">
        <v>6336736.375843687</v>
      </c>
      <c r="AB719" s="24">
        <v>1.1992649768958101E-2</v>
      </c>
    </row>
    <row r="720" spans="1:36" x14ac:dyDescent="0.25">
      <c r="A720" t="s">
        <v>6229</v>
      </c>
      <c r="B720" t="s">
        <v>7810</v>
      </c>
      <c r="C720" t="s">
        <v>6231</v>
      </c>
      <c r="D720" s="2" t="s">
        <v>6035</v>
      </c>
      <c r="E720" s="2" t="s">
        <v>5</v>
      </c>
      <c r="G720" t="s">
        <v>6230</v>
      </c>
      <c r="H720" t="s">
        <v>160</v>
      </c>
      <c r="I720" s="17">
        <v>-1.0248186725392201</v>
      </c>
      <c r="J720" s="17">
        <v>0.79636408755986399</v>
      </c>
      <c r="K720" s="21">
        <v>19</v>
      </c>
      <c r="L720" s="27">
        <v>34759175.348317102</v>
      </c>
      <c r="M720" s="22">
        <v>4.0748074817728297E-2</v>
      </c>
      <c r="N720" s="21">
        <v>15</v>
      </c>
      <c r="O720" s="27">
        <v>32851298.197438575</v>
      </c>
      <c r="P720" s="22">
        <v>3.8848745515315232E-2</v>
      </c>
      <c r="Q720" s="21">
        <v>19</v>
      </c>
      <c r="R720" s="27">
        <v>32504482.671989843</v>
      </c>
      <c r="S720" s="22">
        <v>3.8664388733767707E-2</v>
      </c>
      <c r="T720" s="23">
        <v>18</v>
      </c>
      <c r="U720" s="28">
        <v>36825121.382054284</v>
      </c>
      <c r="V720" s="24">
        <v>4.3097776164337645E-2</v>
      </c>
      <c r="W720" s="23">
        <v>19</v>
      </c>
      <c r="X720" s="28">
        <v>35694737.49372635</v>
      </c>
      <c r="Y720" s="24">
        <v>4.0865169431882932E-2</v>
      </c>
      <c r="Z720" s="23">
        <v>18</v>
      </c>
      <c r="AA720" s="28">
        <v>33480341.789856639</v>
      </c>
      <c r="AB720" s="24">
        <v>3.8903346478183831E-2</v>
      </c>
    </row>
    <row r="721" spans="1:28" x14ac:dyDescent="0.25">
      <c r="A721" t="s">
        <v>6079</v>
      </c>
      <c r="B721" t="s">
        <v>7760</v>
      </c>
      <c r="C721" t="s">
        <v>6081</v>
      </c>
      <c r="D721" s="2" t="s">
        <v>6080</v>
      </c>
      <c r="E721" s="2" t="s">
        <v>5</v>
      </c>
      <c r="G721" t="s">
        <v>2058</v>
      </c>
      <c r="H721" t="s">
        <v>23</v>
      </c>
      <c r="I721" s="17">
        <v>-1.0255569555245401</v>
      </c>
      <c r="J721" s="17">
        <v>0.83427555745619497</v>
      </c>
      <c r="K721" s="21">
        <v>16</v>
      </c>
      <c r="L721" s="27">
        <v>23705440.956554599</v>
      </c>
      <c r="M721" s="22">
        <v>5.5784722572092681E-2</v>
      </c>
      <c r="N721" s="21">
        <v>8</v>
      </c>
      <c r="O721" s="27">
        <v>20458071.371769797</v>
      </c>
      <c r="P721" s="22">
        <v>4.856448203637579E-2</v>
      </c>
      <c r="Q721" s="21">
        <v>17</v>
      </c>
      <c r="R721" s="27">
        <v>23787029.595065307</v>
      </c>
      <c r="S721" s="22">
        <v>5.6798610565638022E-2</v>
      </c>
      <c r="T721" s="23">
        <v>15</v>
      </c>
      <c r="U721" s="28">
        <v>22511916.742564317</v>
      </c>
      <c r="V721" s="24">
        <v>5.2887465732678267E-2</v>
      </c>
      <c r="W721" s="23">
        <v>10</v>
      </c>
      <c r="X721" s="28">
        <v>27998244.298340827</v>
      </c>
      <c r="Y721" s="24">
        <v>6.4344216792604561E-2</v>
      </c>
      <c r="Z721" s="23">
        <v>11</v>
      </c>
      <c r="AA721" s="28">
        <v>21827623.77661882</v>
      </c>
      <c r="AB721" s="24">
        <v>5.0913522672166429E-2</v>
      </c>
    </row>
    <row r="722" spans="1:28" x14ac:dyDescent="0.25">
      <c r="A722" t="s">
        <v>6232</v>
      </c>
      <c r="B722" t="s">
        <v>7811</v>
      </c>
      <c r="C722" t="s">
        <v>6233</v>
      </c>
      <c r="D722" s="2" t="s">
        <v>6222</v>
      </c>
      <c r="E722" s="2" t="s">
        <v>5</v>
      </c>
      <c r="I722" s="17">
        <v>-1.0324193120968199</v>
      </c>
      <c r="J722" s="17">
        <v>0.92397477579102205</v>
      </c>
      <c r="K722" s="21">
        <v>194</v>
      </c>
      <c r="L722" s="27">
        <v>4528850971.5040598</v>
      </c>
      <c r="M722" s="22">
        <v>4.6433794535365225</v>
      </c>
      <c r="N722" s="21">
        <v>179</v>
      </c>
      <c r="O722" s="27">
        <v>6512742768.4579535</v>
      </c>
      <c r="P722" s="22">
        <v>6.735919731570192</v>
      </c>
      <c r="Q722" s="21">
        <v>180</v>
      </c>
      <c r="R722" s="27">
        <v>4076650322.3626809</v>
      </c>
      <c r="S722" s="22">
        <v>4.2411132186816509</v>
      </c>
      <c r="T722" s="23">
        <v>158</v>
      </c>
      <c r="U722" s="28">
        <v>5029616149.8761768</v>
      </c>
      <c r="V722" s="24">
        <v>5.1481836507870717</v>
      </c>
      <c r="W722" s="23">
        <v>141</v>
      </c>
      <c r="X722" s="28">
        <v>5585428953.9640112</v>
      </c>
      <c r="Y722" s="24">
        <v>5.5926051526903349</v>
      </c>
      <c r="Z722" s="23">
        <v>155</v>
      </c>
      <c r="AA722" s="28">
        <v>5216290671.4270144</v>
      </c>
      <c r="AB722" s="24">
        <v>5.3011168478464556</v>
      </c>
    </row>
    <row r="723" spans="1:28" x14ac:dyDescent="0.25">
      <c r="A723" t="s">
        <v>6123</v>
      </c>
      <c r="B723" t="s">
        <v>7774</v>
      </c>
      <c r="C723" t="s">
        <v>6125</v>
      </c>
      <c r="D723" s="2" t="s">
        <v>6124</v>
      </c>
      <c r="E723" s="2" t="s">
        <v>5</v>
      </c>
      <c r="G723" t="s">
        <v>6106</v>
      </c>
      <c r="H723" t="s">
        <v>29</v>
      </c>
      <c r="I723" s="17">
        <v>-1.0486194607619499</v>
      </c>
      <c r="J723" s="17">
        <v>0.61585323851847196</v>
      </c>
      <c r="K723" s="21">
        <v>7</v>
      </c>
      <c r="L723" s="27">
        <v>5761901.3507459499</v>
      </c>
      <c r="M723" s="22">
        <v>1.1134953527226547E-2</v>
      </c>
      <c r="N723" s="21">
        <v>3</v>
      </c>
      <c r="O723" s="27">
        <v>5481204.3619199283</v>
      </c>
      <c r="P723" s="22">
        <v>1.0685267953636984E-2</v>
      </c>
      <c r="Q723" s="21">
        <v>7</v>
      </c>
      <c r="R723" s="27">
        <v>5164302.3034420917</v>
      </c>
      <c r="S723" s="22">
        <v>1.012661984285813E-2</v>
      </c>
      <c r="T723" s="23">
        <v>6</v>
      </c>
      <c r="U723" s="28">
        <v>5339074.6174646495</v>
      </c>
      <c r="V723" s="24">
        <v>1.0300578697442161E-2</v>
      </c>
      <c r="W723" s="23">
        <v>5</v>
      </c>
      <c r="X723" s="28">
        <v>6420404.216422962</v>
      </c>
      <c r="Y723" s="24">
        <v>1.2117037238523339E-2</v>
      </c>
      <c r="Z723" s="23">
        <v>4</v>
      </c>
      <c r="AA723" s="28">
        <v>5311995.1890471634</v>
      </c>
      <c r="AB723" s="24">
        <v>1.0175124012220127E-2</v>
      </c>
    </row>
    <row r="724" spans="1:28" x14ac:dyDescent="0.25">
      <c r="A724" t="s">
        <v>6126</v>
      </c>
      <c r="B724" t="s">
        <v>7775</v>
      </c>
      <c r="C724" t="s">
        <v>6128</v>
      </c>
      <c r="D724" s="2" t="s">
        <v>6127</v>
      </c>
      <c r="E724" s="2" t="s">
        <v>5</v>
      </c>
      <c r="G724" t="s">
        <v>6106</v>
      </c>
      <c r="H724" t="s">
        <v>29</v>
      </c>
      <c r="I724" s="17">
        <v>-1.0545036380878601</v>
      </c>
      <c r="J724" s="17">
        <v>0.85914058002154503</v>
      </c>
      <c r="K724" s="21">
        <v>6</v>
      </c>
      <c r="L724" s="27">
        <v>9823267.9704126008</v>
      </c>
      <c r="M724" s="22">
        <v>1.6356626909098292E-2</v>
      </c>
      <c r="N724" s="21">
        <v>3</v>
      </c>
      <c r="O724" s="27">
        <v>6502026.9229990756</v>
      </c>
      <c r="P724" s="22">
        <v>1.0921275232164301E-2</v>
      </c>
      <c r="Q724" s="21">
        <v>6</v>
      </c>
      <c r="R724" s="27">
        <v>8719636.6301153675</v>
      </c>
      <c r="S724" s="22">
        <v>1.4732159191000479E-2</v>
      </c>
      <c r="T724" s="23">
        <v>5</v>
      </c>
      <c r="U724" s="28">
        <v>9061657.348961303</v>
      </c>
      <c r="V724" s="24">
        <v>1.5063241397998093E-2</v>
      </c>
      <c r="W724" s="23">
        <v>5</v>
      </c>
      <c r="X724" s="28">
        <v>8756656.9729026034</v>
      </c>
      <c r="Y724" s="24">
        <v>1.4239265064381586E-2</v>
      </c>
      <c r="Z724" s="23">
        <v>5</v>
      </c>
      <c r="AA724" s="28">
        <v>8108911.9513905291</v>
      </c>
      <c r="AB724" s="24">
        <v>1.3383194468785047E-2</v>
      </c>
    </row>
    <row r="725" spans="1:28" x14ac:dyDescent="0.25">
      <c r="A725" t="s">
        <v>6224</v>
      </c>
      <c r="B725" t="s">
        <v>7808</v>
      </c>
      <c r="C725" t="s">
        <v>6225</v>
      </c>
      <c r="D725" s="2" t="s">
        <v>6035</v>
      </c>
      <c r="E725" s="2" t="s">
        <v>5</v>
      </c>
      <c r="G725" t="s">
        <v>6036</v>
      </c>
      <c r="H725" t="s">
        <v>160</v>
      </c>
      <c r="I725" s="17">
        <v>-1.08108330999739</v>
      </c>
      <c r="J725" s="17">
        <v>0.31630017188567899</v>
      </c>
      <c r="K725" s="21">
        <v>46</v>
      </c>
      <c r="L725" s="27">
        <v>276552418.761042</v>
      </c>
      <c r="M725" s="22">
        <v>0.32124889831109243</v>
      </c>
      <c r="N725" s="21">
        <v>41</v>
      </c>
      <c r="O725" s="27">
        <v>319631579.86292249</v>
      </c>
      <c r="P725" s="22">
        <v>0.37454215036621541</v>
      </c>
      <c r="Q725" s="21">
        <v>50</v>
      </c>
      <c r="R725" s="27">
        <v>263196638.28816813</v>
      </c>
      <c r="S725" s="22">
        <v>0.31022356429620801</v>
      </c>
      <c r="T725" s="23">
        <v>40</v>
      </c>
      <c r="U725" s="28">
        <v>278871085.79188281</v>
      </c>
      <c r="V725" s="24">
        <v>0.32340052238308081</v>
      </c>
      <c r="W725" s="23">
        <v>36</v>
      </c>
      <c r="X725" s="28">
        <v>304140663.16108435</v>
      </c>
      <c r="Y725" s="24">
        <v>0.34502467486408739</v>
      </c>
      <c r="Z725" s="23">
        <v>39</v>
      </c>
      <c r="AA725" s="28">
        <v>278744435.08222437</v>
      </c>
      <c r="AB725" s="24">
        <v>0.32094442727409878</v>
      </c>
    </row>
    <row r="726" spans="1:28" x14ac:dyDescent="0.25">
      <c r="A726" t="s">
        <v>6226</v>
      </c>
      <c r="B726" t="s">
        <v>7809</v>
      </c>
      <c r="C726" t="s">
        <v>6228</v>
      </c>
      <c r="D726" s="2" t="s">
        <v>6227</v>
      </c>
      <c r="E726" s="2" t="s">
        <v>5</v>
      </c>
      <c r="H726" t="s">
        <v>23</v>
      </c>
      <c r="I726" s="17">
        <v>-1.09267224961015</v>
      </c>
      <c r="J726" s="17">
        <v>0.43507237457123499</v>
      </c>
      <c r="K726" s="21">
        <v>18</v>
      </c>
      <c r="L726" s="27">
        <v>29981164.609673802</v>
      </c>
      <c r="M726" s="22">
        <v>5.9749606682901336E-2</v>
      </c>
      <c r="N726" s="21">
        <v>13</v>
      </c>
      <c r="O726" s="27">
        <v>29961333.931711234</v>
      </c>
      <c r="P726" s="22">
        <v>6.0233004838007032E-2</v>
      </c>
      <c r="Q726" s="21">
        <v>15</v>
      </c>
      <c r="R726" s="27">
        <v>25767475.414574832</v>
      </c>
      <c r="S726" s="22">
        <v>5.2106113593318931E-2</v>
      </c>
      <c r="T726" s="23">
        <v>11</v>
      </c>
      <c r="U726" s="28">
        <v>28290921.037748642</v>
      </c>
      <c r="V726" s="24">
        <v>5.6286815962416324E-2</v>
      </c>
      <c r="W726" s="23">
        <v>13</v>
      </c>
      <c r="X726" s="28">
        <v>31943464.835671496</v>
      </c>
      <c r="Y726" s="24">
        <v>6.2169883587655454E-2</v>
      </c>
      <c r="Z726" s="23">
        <v>9</v>
      </c>
      <c r="AA726" s="28">
        <v>25237059.34059637</v>
      </c>
      <c r="AB726" s="24">
        <v>4.9852248182716274E-2</v>
      </c>
    </row>
    <row r="727" spans="1:28" x14ac:dyDescent="0.25">
      <c r="A727" t="s">
        <v>6117</v>
      </c>
      <c r="B727" t="s">
        <v>7772</v>
      </c>
      <c r="C727" t="s">
        <v>6119</v>
      </c>
      <c r="D727" s="2" t="s">
        <v>6118</v>
      </c>
      <c r="E727" s="2" t="s">
        <v>5</v>
      </c>
      <c r="G727" t="s">
        <v>6106</v>
      </c>
      <c r="H727" t="s">
        <v>29</v>
      </c>
      <c r="I727" s="17">
        <v>-1.0935891298596201</v>
      </c>
      <c r="J727" s="17">
        <v>0.26311918026804698</v>
      </c>
      <c r="K727" s="21">
        <v>11</v>
      </c>
      <c r="L727" s="27">
        <v>7177946.1070808703</v>
      </c>
      <c r="M727" s="22">
        <v>9.3803037432738517E-3</v>
      </c>
      <c r="N727" s="21">
        <v>8</v>
      </c>
      <c r="O727" s="27">
        <v>7782376.3693722384</v>
      </c>
      <c r="P727" s="22">
        <v>1.0259253729851097E-2</v>
      </c>
      <c r="Q727" s="21">
        <v>9</v>
      </c>
      <c r="R727" s="27">
        <v>8804945.9623551331</v>
      </c>
      <c r="S727" s="22">
        <v>1.1675450928432781E-2</v>
      </c>
      <c r="T727" s="23">
        <v>9</v>
      </c>
      <c r="U727" s="28">
        <v>8276536.4159601247</v>
      </c>
      <c r="V727" s="24">
        <v>1.0797877151548195E-2</v>
      </c>
      <c r="W727" s="23">
        <v>6</v>
      </c>
      <c r="X727" s="28">
        <v>7758449.4134088997</v>
      </c>
      <c r="Y727" s="24">
        <v>9.9015485657198993E-3</v>
      </c>
      <c r="Z727" s="23">
        <v>7</v>
      </c>
      <c r="AA727" s="28">
        <v>7382910.7695508571</v>
      </c>
      <c r="AB727" s="24">
        <v>9.5632118227996395E-3</v>
      </c>
    </row>
    <row r="728" spans="1:28" x14ac:dyDescent="0.25">
      <c r="A728" t="s">
        <v>6084</v>
      </c>
      <c r="B728" t="s">
        <v>7762</v>
      </c>
      <c r="C728" t="s">
        <v>6086</v>
      </c>
      <c r="D728" s="2" t="s">
        <v>6085</v>
      </c>
      <c r="E728" s="2" t="s">
        <v>5</v>
      </c>
      <c r="G728" t="s">
        <v>3546</v>
      </c>
      <c r="H728" t="s">
        <v>7</v>
      </c>
      <c r="I728" s="17">
        <v>-1.09984429628186</v>
      </c>
      <c r="J728" s="17">
        <v>0.42797570525505901</v>
      </c>
      <c r="K728" s="21">
        <v>2</v>
      </c>
      <c r="L728" s="27">
        <v>1376171.2639085299</v>
      </c>
      <c r="M728" s="22">
        <v>3.4148834979943854E-3</v>
      </c>
      <c r="N728" s="21">
        <v>0</v>
      </c>
      <c r="O728" s="27">
        <v>1794418.8792329547</v>
      </c>
      <c r="P728" s="22">
        <v>4.491734410153758E-3</v>
      </c>
      <c r="Q728" s="21">
        <v>2</v>
      </c>
      <c r="R728" s="27">
        <v>1289945.4865138279</v>
      </c>
      <c r="S728" s="22">
        <v>3.2479177586843396E-3</v>
      </c>
      <c r="T728" s="23">
        <v>1</v>
      </c>
      <c r="U728" s="28">
        <v>1414274.2595631257</v>
      </c>
      <c r="V728" s="24">
        <v>3.5035642618560623E-3</v>
      </c>
      <c r="W728" s="23">
        <v>1</v>
      </c>
      <c r="X728" s="28">
        <v>1508964.7526849159</v>
      </c>
      <c r="Y728" s="24">
        <v>3.65673916485651E-3</v>
      </c>
      <c r="Z728" s="23">
        <v>1</v>
      </c>
      <c r="AA728" s="28">
        <v>1462494.2643153199</v>
      </c>
      <c r="AB728" s="24">
        <v>3.5971373929975532E-3</v>
      </c>
    </row>
    <row r="729" spans="1:28" x14ac:dyDescent="0.25">
      <c r="A729" t="s">
        <v>6221</v>
      </c>
      <c r="B729" t="s">
        <v>7807</v>
      </c>
      <c r="C729" t="s">
        <v>6223</v>
      </c>
      <c r="D729" s="2" t="s">
        <v>6222</v>
      </c>
      <c r="E729" s="2" t="s">
        <v>5</v>
      </c>
      <c r="I729" s="17">
        <v>-1.10181248691259</v>
      </c>
      <c r="J729" s="17">
        <v>0.31254732098031501</v>
      </c>
      <c r="K729" s="21">
        <v>78</v>
      </c>
      <c r="L729" s="27">
        <v>900039440.78106594</v>
      </c>
      <c r="M729" s="22">
        <v>0.97285039533510276</v>
      </c>
      <c r="N729" s="21">
        <v>58</v>
      </c>
      <c r="O729" s="27">
        <v>1035844665.0950611</v>
      </c>
      <c r="P729" s="22">
        <v>1.1294473339818873</v>
      </c>
      <c r="Q729" s="21">
        <v>74</v>
      </c>
      <c r="R729" s="27">
        <v>816644688.43964756</v>
      </c>
      <c r="S729" s="22">
        <v>0.89566977719197138</v>
      </c>
      <c r="T729" s="23">
        <v>59</v>
      </c>
      <c r="U729" s="28">
        <v>869398760.24188113</v>
      </c>
      <c r="V729" s="24">
        <v>0.93815927996084836</v>
      </c>
      <c r="W729" s="23">
        <v>73</v>
      </c>
      <c r="X729" s="28">
        <v>959119399.26173985</v>
      </c>
      <c r="Y729" s="24">
        <v>1.0124385535913392</v>
      </c>
      <c r="Z729" s="23">
        <v>75</v>
      </c>
      <c r="AA729" s="28">
        <v>882201491.82046902</v>
      </c>
      <c r="AB729" s="24">
        <v>0.94517397298199068</v>
      </c>
    </row>
    <row r="730" spans="1:28" x14ac:dyDescent="0.25">
      <c r="A730" t="s">
        <v>6120</v>
      </c>
      <c r="B730" t="s">
        <v>7773</v>
      </c>
      <c r="C730" t="s">
        <v>6122</v>
      </c>
      <c r="D730" s="2" t="s">
        <v>6121</v>
      </c>
      <c r="E730" s="2" t="s">
        <v>5</v>
      </c>
      <c r="G730" t="s">
        <v>6106</v>
      </c>
      <c r="H730" t="s">
        <v>29</v>
      </c>
      <c r="I730" s="17">
        <v>-1.118844054754</v>
      </c>
      <c r="J730" s="17">
        <v>0.47293607041790497</v>
      </c>
      <c r="K730" s="21">
        <v>1</v>
      </c>
      <c r="L730" s="27">
        <v>1132244.87727809</v>
      </c>
      <c r="M730" s="22">
        <v>8.8056829034413829E-3</v>
      </c>
      <c r="N730" s="21">
        <v>1</v>
      </c>
      <c r="O730" s="27">
        <v>1536366.218685823</v>
      </c>
      <c r="P730" s="22">
        <v>1.205325264127439E-2</v>
      </c>
      <c r="Q730" s="21">
        <v>0</v>
      </c>
      <c r="R730" s="27">
        <v>1028296.7150301519</v>
      </c>
      <c r="S730" s="22">
        <v>8.1146797702500006E-3</v>
      </c>
      <c r="T730" s="23">
        <v>1</v>
      </c>
      <c r="U730" s="28">
        <v>1068211.1792963583</v>
      </c>
      <c r="V730" s="24">
        <v>8.2937862855855266E-3</v>
      </c>
      <c r="W730" s="23">
        <v>0</v>
      </c>
      <c r="X730" s="28">
        <v>1425059.9975734819</v>
      </c>
      <c r="Y730" s="24">
        <v>1.0823489697596028E-2</v>
      </c>
      <c r="Z730" s="23">
        <v>0</v>
      </c>
      <c r="AA730" s="28">
        <v>1098798.4634744688</v>
      </c>
      <c r="AB730" s="24">
        <v>8.4703268474592922E-3</v>
      </c>
    </row>
    <row r="731" spans="1:28" x14ac:dyDescent="0.25">
      <c r="A731" t="s">
        <v>5990</v>
      </c>
      <c r="B731" t="s">
        <v>7733</v>
      </c>
      <c r="C731" t="s">
        <v>5992</v>
      </c>
      <c r="D731" s="2" t="s">
        <v>5991</v>
      </c>
      <c r="E731" s="2" t="s">
        <v>5</v>
      </c>
      <c r="H731" t="s">
        <v>17</v>
      </c>
      <c r="I731" s="17">
        <v>-1.1230506554443</v>
      </c>
      <c r="J731" s="17">
        <v>0.43143741372398497</v>
      </c>
      <c r="K731" s="21">
        <v>7</v>
      </c>
      <c r="L731" s="27">
        <v>3955619.4126746599</v>
      </c>
      <c r="M731" s="22">
        <v>7.3331840847433464E-3</v>
      </c>
      <c r="N731" s="21">
        <v>6</v>
      </c>
      <c r="O731" s="27">
        <v>3108315.8857077281</v>
      </c>
      <c r="P731" s="22">
        <v>5.8128627401744922E-3</v>
      </c>
      <c r="Q731" s="21">
        <v>8</v>
      </c>
      <c r="R731" s="27">
        <v>3811439.7561197011</v>
      </c>
      <c r="S731" s="22">
        <v>7.1696409484739007E-3</v>
      </c>
      <c r="T731" s="23">
        <v>2</v>
      </c>
      <c r="U731" s="28">
        <v>3717157.0537690818</v>
      </c>
      <c r="V731" s="24">
        <v>6.8795818526629733E-3</v>
      </c>
      <c r="W731" s="23">
        <v>3</v>
      </c>
      <c r="X731" s="28">
        <v>3512789.28748703</v>
      </c>
      <c r="Y731" s="24">
        <v>6.3597737860850833E-3</v>
      </c>
      <c r="Z731" s="23">
        <v>2</v>
      </c>
      <c r="AA731" s="28">
        <v>3295399.1935181031</v>
      </c>
      <c r="AB731" s="24">
        <v>6.0554380629062963E-3</v>
      </c>
    </row>
    <row r="732" spans="1:28" x14ac:dyDescent="0.25">
      <c r="A732" t="s">
        <v>6172</v>
      </c>
      <c r="B732" t="s">
        <v>7790</v>
      </c>
      <c r="C732" t="s">
        <v>6174</v>
      </c>
      <c r="D732" s="2" t="s">
        <v>6158</v>
      </c>
      <c r="E732" s="2" t="s">
        <v>5</v>
      </c>
      <c r="G732" t="s">
        <v>6173</v>
      </c>
      <c r="H732" t="s">
        <v>104</v>
      </c>
      <c r="I732" s="17">
        <v>-1.1306064182540301</v>
      </c>
      <c r="J732" s="17">
        <v>0.37663274103956501</v>
      </c>
      <c r="K732" s="21">
        <v>4</v>
      </c>
      <c r="L732" s="27">
        <v>2156034.5781071298</v>
      </c>
      <c r="M732" s="22">
        <v>3.1391938972967675E-3</v>
      </c>
      <c r="N732" s="21">
        <v>4</v>
      </c>
      <c r="O732" s="27">
        <v>3355692.1979233357</v>
      </c>
      <c r="P732" s="22">
        <v>4.9286884917884716E-3</v>
      </c>
      <c r="Q732" s="21">
        <v>6</v>
      </c>
      <c r="R732" s="27">
        <v>2668799.9493633574</v>
      </c>
      <c r="S732" s="22">
        <v>3.9428358809477405E-3</v>
      </c>
      <c r="T732" s="23">
        <v>3</v>
      </c>
      <c r="U732" s="28">
        <v>2370463.7249440635</v>
      </c>
      <c r="V732" s="24">
        <v>3.4456310877090065E-3</v>
      </c>
      <c r="W732" s="23">
        <v>5</v>
      </c>
      <c r="X732" s="28">
        <v>3198893.2271293402</v>
      </c>
      <c r="Y732" s="24">
        <v>4.5485570384265353E-3</v>
      </c>
      <c r="Z732" s="23">
        <v>4</v>
      </c>
      <c r="AA732" s="28">
        <v>2256100.3929593368</v>
      </c>
      <c r="AB732" s="24">
        <v>3.2559692039368913E-3</v>
      </c>
    </row>
    <row r="733" spans="1:28" x14ac:dyDescent="0.25">
      <c r="A733" t="s">
        <v>6216</v>
      </c>
      <c r="B733" t="s">
        <v>7805</v>
      </c>
      <c r="C733" t="s">
        <v>6217</v>
      </c>
      <c r="D733" s="2" t="s">
        <v>6130</v>
      </c>
      <c r="E733" s="2" t="s">
        <v>5</v>
      </c>
      <c r="H733" t="s">
        <v>104</v>
      </c>
      <c r="I733" s="17">
        <v>-1.13881474349305</v>
      </c>
      <c r="J733" s="17">
        <v>0.28437542349415401</v>
      </c>
      <c r="K733" s="21">
        <v>28</v>
      </c>
      <c r="L733" s="27">
        <v>17896075.405942801</v>
      </c>
      <c r="M733" s="22">
        <v>1.9677337639629523E-2</v>
      </c>
      <c r="N733" s="21">
        <v>15</v>
      </c>
      <c r="O733" s="27">
        <v>16759140.182375228</v>
      </c>
      <c r="P733" s="22">
        <v>1.8588618001599756E-2</v>
      </c>
      <c r="Q733" s="21">
        <v>22</v>
      </c>
      <c r="R733" s="27">
        <v>17798075.811924808</v>
      </c>
      <c r="S733" s="22">
        <v>1.9856918287887482E-2</v>
      </c>
      <c r="T733" s="23">
        <v>20</v>
      </c>
      <c r="U733" s="28">
        <v>17409374.167047881</v>
      </c>
      <c r="V733" s="24">
        <v>1.9110178327312495E-2</v>
      </c>
      <c r="W733" s="23">
        <v>17</v>
      </c>
      <c r="X733" s="28">
        <v>14822524.088609107</v>
      </c>
      <c r="Y733" s="24">
        <v>1.5916302419650717E-2</v>
      </c>
      <c r="Z733" s="23">
        <v>21</v>
      </c>
      <c r="AA733" s="28">
        <v>17541535.202255931</v>
      </c>
      <c r="AB733" s="24">
        <v>1.9117697419262704E-2</v>
      </c>
    </row>
    <row r="734" spans="1:28" x14ac:dyDescent="0.25">
      <c r="A734" t="s">
        <v>6014</v>
      </c>
      <c r="B734" t="s">
        <v>7740</v>
      </c>
      <c r="C734" t="s">
        <v>6016</v>
      </c>
      <c r="D734" s="2" t="s">
        <v>6015</v>
      </c>
      <c r="E734" s="2" t="s">
        <v>5</v>
      </c>
      <c r="H734" t="s">
        <v>12</v>
      </c>
      <c r="I734" s="17">
        <v>-1.14221398801997</v>
      </c>
      <c r="J734" s="17">
        <v>5.8958199486426097E-2</v>
      </c>
      <c r="K734" s="21">
        <v>7</v>
      </c>
      <c r="L734" s="27">
        <v>1774994.18601926</v>
      </c>
      <c r="M734" s="22">
        <v>3.504539366234169E-3</v>
      </c>
      <c r="N734" s="21">
        <v>4</v>
      </c>
      <c r="O734" s="27">
        <v>1940574.9774918307</v>
      </c>
      <c r="P734" s="22">
        <v>3.8650157446282851E-3</v>
      </c>
      <c r="Q734" s="21">
        <v>5</v>
      </c>
      <c r="R734" s="27">
        <v>1742783.5688517136</v>
      </c>
      <c r="S734" s="22">
        <v>3.4914652526973886E-3</v>
      </c>
      <c r="T734" s="23">
        <v>2</v>
      </c>
      <c r="U734" s="28">
        <v>1609520.9044957755</v>
      </c>
      <c r="V734" s="24">
        <v>3.1725149203841946E-3</v>
      </c>
      <c r="W734" s="23">
        <v>0</v>
      </c>
      <c r="X734" s="28">
        <v>1935128.5595763857</v>
      </c>
      <c r="Y734" s="24">
        <v>3.7312582726483356E-3</v>
      </c>
      <c r="Z734" s="23">
        <v>2</v>
      </c>
      <c r="AA734" s="28">
        <v>1650155.4100158208</v>
      </c>
      <c r="AB734" s="24">
        <v>3.2293736928598071E-3</v>
      </c>
    </row>
    <row r="735" spans="1:28" x14ac:dyDescent="0.25">
      <c r="A735" t="s">
        <v>6023</v>
      </c>
      <c r="B735" t="s">
        <v>7743</v>
      </c>
      <c r="C735" t="s">
        <v>6025</v>
      </c>
      <c r="D735" s="2" t="s">
        <v>6024</v>
      </c>
      <c r="E735" s="2" t="s">
        <v>5</v>
      </c>
      <c r="F735" t="s">
        <v>6021</v>
      </c>
      <c r="H735" t="s">
        <v>12</v>
      </c>
      <c r="I735" s="17">
        <v>-1.1574867715708299</v>
      </c>
      <c r="J735" s="17">
        <v>0.19722236916196201</v>
      </c>
      <c r="K735" s="21">
        <v>20</v>
      </c>
      <c r="L735" s="27">
        <v>14679341.192823499</v>
      </c>
      <c r="M735" s="22">
        <v>2.1422081052413725E-2</v>
      </c>
      <c r="N735" s="21">
        <v>12</v>
      </c>
      <c r="O735" s="27">
        <v>14312990.724986093</v>
      </c>
      <c r="P735" s="22">
        <v>2.1070377448398743E-2</v>
      </c>
      <c r="Q735" s="21">
        <v>16</v>
      </c>
      <c r="R735" s="27">
        <v>13081942.594788266</v>
      </c>
      <c r="S735" s="22">
        <v>1.9371247588578219E-2</v>
      </c>
      <c r="T735" s="23">
        <v>13</v>
      </c>
      <c r="U735" s="28">
        <v>13630735.074854828</v>
      </c>
      <c r="V735" s="24">
        <v>1.9858544477964223E-2</v>
      </c>
      <c r="W735" s="23">
        <v>9</v>
      </c>
      <c r="X735" s="28">
        <v>12704277.893040335</v>
      </c>
      <c r="Y735" s="24">
        <v>1.8105751655112114E-2</v>
      </c>
      <c r="Z735" s="23">
        <v>8</v>
      </c>
      <c r="AA735" s="28">
        <v>13073007.154860543</v>
      </c>
      <c r="AB735" s="24">
        <v>1.8909935162731088E-2</v>
      </c>
    </row>
    <row r="736" spans="1:28" x14ac:dyDescent="0.25">
      <c r="A736" t="s">
        <v>6097</v>
      </c>
      <c r="B736" t="s">
        <v>7766</v>
      </c>
      <c r="C736" t="s">
        <v>6100</v>
      </c>
      <c r="D736" s="2" t="s">
        <v>6098</v>
      </c>
      <c r="E736" s="2" t="s">
        <v>5</v>
      </c>
      <c r="G736" s="13" t="s">
        <v>6099</v>
      </c>
      <c r="H736" t="s">
        <v>57</v>
      </c>
      <c r="I736" s="17">
        <v>-1.1588742251198501</v>
      </c>
      <c r="J736" s="17">
        <v>0.11942380038154</v>
      </c>
      <c r="K736" s="21">
        <v>11</v>
      </c>
      <c r="L736" s="27">
        <v>5286350.9792617196</v>
      </c>
      <c r="M736" s="22">
        <v>6.3132249946319463E-3</v>
      </c>
      <c r="N736" s="21">
        <v>4</v>
      </c>
      <c r="O736" s="27">
        <v>5291780.8360514585</v>
      </c>
      <c r="P736" s="22">
        <v>6.3750552764145502E-3</v>
      </c>
      <c r="Q736" s="21">
        <v>12</v>
      </c>
      <c r="R736" s="27">
        <v>5478755.2848367738</v>
      </c>
      <c r="S736" s="22">
        <v>6.6390728698462551E-3</v>
      </c>
      <c r="T736" s="23">
        <v>3</v>
      </c>
      <c r="U736" s="28">
        <v>4793975.3877303666</v>
      </c>
      <c r="V736" s="24">
        <v>5.7156301295358206E-3</v>
      </c>
      <c r="W736" s="23">
        <v>2</v>
      </c>
      <c r="X736" s="28">
        <v>4748880.751005251</v>
      </c>
      <c r="Y736" s="24">
        <v>5.5385747101643753E-3</v>
      </c>
      <c r="Z736" s="23">
        <v>4</v>
      </c>
      <c r="AA736" s="28">
        <v>5451485.4573611347</v>
      </c>
      <c r="AB736" s="24">
        <v>6.4531175860736614E-3</v>
      </c>
    </row>
    <row r="737" spans="1:28" x14ac:dyDescent="0.25">
      <c r="A737" t="s">
        <v>6211</v>
      </c>
      <c r="B737" t="s">
        <v>7803</v>
      </c>
      <c r="C737" t="s">
        <v>6212</v>
      </c>
      <c r="D737" s="2" t="s">
        <v>6062</v>
      </c>
      <c r="E737" s="2" t="s">
        <v>5</v>
      </c>
      <c r="H737" t="s">
        <v>23</v>
      </c>
      <c r="I737" s="17">
        <v>-1.1600551501462999</v>
      </c>
      <c r="J737" s="17">
        <v>0.227787194552627</v>
      </c>
      <c r="K737" s="21">
        <v>16</v>
      </c>
      <c r="L737" s="27">
        <v>45223751.399177901</v>
      </c>
      <c r="M737" s="22">
        <v>5.1685523136904055E-2</v>
      </c>
      <c r="N737" s="21">
        <v>13</v>
      </c>
      <c r="O737" s="27">
        <v>40388067.83694943</v>
      </c>
      <c r="P737" s="22">
        <v>4.6563137995988206E-2</v>
      </c>
      <c r="Q737" s="21">
        <v>18</v>
      </c>
      <c r="R737" s="27">
        <v>49653111.927161187</v>
      </c>
      <c r="S737" s="22">
        <v>5.7580981491343039E-2</v>
      </c>
      <c r="T737" s="23">
        <v>14</v>
      </c>
      <c r="U737" s="28">
        <v>41343436.52319739</v>
      </c>
      <c r="V737" s="24">
        <v>4.7171745623884972E-2</v>
      </c>
      <c r="W737" s="23">
        <v>11</v>
      </c>
      <c r="X737" s="28">
        <v>39305790.681178115</v>
      </c>
      <c r="Y737" s="24">
        <v>4.3870274241455821E-2</v>
      </c>
      <c r="Z737" s="23">
        <v>13</v>
      </c>
      <c r="AA737" s="28">
        <v>45518825.043809272</v>
      </c>
      <c r="AB737" s="24">
        <v>5.1564738804301957E-2</v>
      </c>
    </row>
    <row r="738" spans="1:28" x14ac:dyDescent="0.25">
      <c r="A738" t="s">
        <v>6202</v>
      </c>
      <c r="B738" t="s">
        <v>7800</v>
      </c>
      <c r="C738" t="s">
        <v>6204</v>
      </c>
      <c r="D738" s="2" t="s">
        <v>6203</v>
      </c>
      <c r="E738" s="2" t="s">
        <v>5</v>
      </c>
      <c r="G738" t="s">
        <v>6106</v>
      </c>
      <c r="H738" t="s">
        <v>172</v>
      </c>
      <c r="I738" s="17">
        <v>-1.1691509391000701</v>
      </c>
      <c r="J738" s="17">
        <v>4.1739172443510199E-2</v>
      </c>
      <c r="K738" s="21">
        <v>18</v>
      </c>
      <c r="L738" s="27">
        <v>86412886.319812298</v>
      </c>
      <c r="M738" s="22">
        <v>0.16401205277863337</v>
      </c>
      <c r="N738" s="21">
        <v>13</v>
      </c>
      <c r="O738" s="27">
        <v>94807507.93840763</v>
      </c>
      <c r="P738" s="22">
        <v>0.18152097529782671</v>
      </c>
      <c r="Q738" s="21">
        <v>20</v>
      </c>
      <c r="R738" s="27">
        <v>87271735.452242509</v>
      </c>
      <c r="S738" s="22">
        <v>0.1680742278616307</v>
      </c>
      <c r="T738" s="23">
        <v>15</v>
      </c>
      <c r="U738" s="28">
        <v>81822408.602559984</v>
      </c>
      <c r="V738" s="24">
        <v>0.15503957034968632</v>
      </c>
      <c r="W738" s="23">
        <v>20</v>
      </c>
      <c r="X738" s="28">
        <v>91484258.668231115</v>
      </c>
      <c r="Y738" s="24">
        <v>0.16957237660096527</v>
      </c>
      <c r="Z738" s="23">
        <v>20</v>
      </c>
      <c r="AA738" s="28">
        <v>75874861.941129148</v>
      </c>
      <c r="AB738" s="24">
        <v>0.14274293240443381</v>
      </c>
    </row>
    <row r="739" spans="1:28" x14ac:dyDescent="0.25">
      <c r="A739" t="s">
        <v>6114</v>
      </c>
      <c r="B739" t="s">
        <v>7771</v>
      </c>
      <c r="C739" t="s">
        <v>6116</v>
      </c>
      <c r="D739" s="2" t="s">
        <v>6115</v>
      </c>
      <c r="E739" s="2" t="s">
        <v>5</v>
      </c>
      <c r="G739" t="s">
        <v>6106</v>
      </c>
      <c r="H739" t="s">
        <v>29</v>
      </c>
      <c r="I739" s="17">
        <v>-1.1740156046944701</v>
      </c>
      <c r="J739" s="17">
        <v>0.14974420614700301</v>
      </c>
      <c r="K739" s="21">
        <v>10</v>
      </c>
      <c r="L739" s="27">
        <v>6115539.6865090597</v>
      </c>
      <c r="M739" s="22">
        <v>7.4570942162400199E-3</v>
      </c>
      <c r="N739" s="21">
        <v>10</v>
      </c>
      <c r="O739" s="27">
        <v>7209867.1403548662</v>
      </c>
      <c r="P739" s="22">
        <v>8.8684747855237774E-3</v>
      </c>
      <c r="Q739" s="21">
        <v>8</v>
      </c>
      <c r="R739" s="27">
        <v>5922555.7182400022</v>
      </c>
      <c r="S739" s="22">
        <v>7.3278109456772714E-3</v>
      </c>
      <c r="T739" s="23">
        <v>7</v>
      </c>
      <c r="U739" s="28">
        <v>6276746.0708809132</v>
      </c>
      <c r="V739" s="24">
        <v>7.6408635549527794E-3</v>
      </c>
      <c r="W739" s="23">
        <v>5</v>
      </c>
      <c r="X739" s="28">
        <v>6215693.9013026766</v>
      </c>
      <c r="Y739" s="24">
        <v>7.4017760582359201E-3</v>
      </c>
      <c r="Z739" s="23">
        <v>4</v>
      </c>
      <c r="AA739" s="28">
        <v>5240024.1785343271</v>
      </c>
      <c r="AB739" s="24">
        <v>6.3332638262294117E-3</v>
      </c>
    </row>
    <row r="740" spans="1:28" x14ac:dyDescent="0.25">
      <c r="A740" t="s">
        <v>6017</v>
      </c>
      <c r="B740" t="s">
        <v>7741</v>
      </c>
      <c r="C740" t="s">
        <v>6018</v>
      </c>
      <c r="D740" s="2" t="s">
        <v>6015</v>
      </c>
      <c r="E740" s="2" t="s">
        <v>5</v>
      </c>
      <c r="H740" t="s">
        <v>12</v>
      </c>
      <c r="I740" s="17">
        <v>-1.18158691441889</v>
      </c>
      <c r="J740" s="17">
        <v>7.2609214556156099E-2</v>
      </c>
      <c r="K740" s="21">
        <v>11</v>
      </c>
      <c r="L740" s="27">
        <v>5776779.5257126596</v>
      </c>
      <c r="M740" s="22">
        <v>8.9854217453040255E-3</v>
      </c>
      <c r="N740" s="21">
        <v>9</v>
      </c>
      <c r="O740" s="27">
        <v>5718738.4969515754</v>
      </c>
      <c r="P740" s="22">
        <v>8.97304289235153E-3</v>
      </c>
      <c r="Q740" s="21">
        <v>10</v>
      </c>
      <c r="R740" s="27">
        <v>6237345.9762267331</v>
      </c>
      <c r="S740" s="22">
        <v>9.8442530202682184E-3</v>
      </c>
      <c r="T740" s="23">
        <v>7</v>
      </c>
      <c r="U740" s="28">
        <v>5683453.1699546315</v>
      </c>
      <c r="V740" s="24">
        <v>8.8254732527302641E-3</v>
      </c>
      <c r="W740" s="23">
        <v>4</v>
      </c>
      <c r="X740" s="28">
        <v>5451117.663966109</v>
      </c>
      <c r="Y740" s="24">
        <v>8.2803693846972386E-3</v>
      </c>
      <c r="Z740" s="23">
        <v>6</v>
      </c>
      <c r="AA740" s="28">
        <v>5098820.0507925013</v>
      </c>
      <c r="AB740" s="24">
        <v>7.8610725810493408E-3</v>
      </c>
    </row>
    <row r="741" spans="1:28" x14ac:dyDescent="0.25">
      <c r="A741" t="s">
        <v>6055</v>
      </c>
      <c r="B741" t="s">
        <v>7752</v>
      </c>
      <c r="C741" t="s">
        <v>6057</v>
      </c>
      <c r="D741" s="2" t="s">
        <v>6056</v>
      </c>
      <c r="E741" s="2" t="s">
        <v>5</v>
      </c>
      <c r="G741" t="s">
        <v>2045</v>
      </c>
      <c r="H741" t="s">
        <v>23</v>
      </c>
      <c r="I741" s="17">
        <v>-1.18360930647525</v>
      </c>
      <c r="J741" s="17">
        <v>3.1103737220773801E-2</v>
      </c>
      <c r="K741" s="21">
        <v>2</v>
      </c>
      <c r="L741" s="27">
        <v>12420361.145657901</v>
      </c>
      <c r="M741" s="22">
        <v>1.5747179178663372E-2</v>
      </c>
      <c r="N741" s="21">
        <v>3</v>
      </c>
      <c r="O741" s="27">
        <v>12757925.711032448</v>
      </c>
      <c r="P741" s="22">
        <v>1.6316817140396084E-2</v>
      </c>
      <c r="Q741" s="21">
        <v>2</v>
      </c>
      <c r="R741" s="27">
        <v>12695896.6523818</v>
      </c>
      <c r="S741" s="22">
        <v>1.6332857889739469E-2</v>
      </c>
      <c r="T741" s="23">
        <v>2</v>
      </c>
      <c r="U741" s="28">
        <v>10112331.317416349</v>
      </c>
      <c r="V741" s="24">
        <v>1.2799496299300021E-2</v>
      </c>
      <c r="W741" s="23">
        <v>3</v>
      </c>
      <c r="X741" s="28">
        <v>13042351.801108858</v>
      </c>
      <c r="Y741" s="24">
        <v>1.614863939536746E-2</v>
      </c>
      <c r="Z741" s="23">
        <v>2</v>
      </c>
      <c r="AA741" s="28">
        <v>11683260.782471197</v>
      </c>
      <c r="AB741" s="24">
        <v>1.4682231366378602E-2</v>
      </c>
    </row>
    <row r="742" spans="1:28" x14ac:dyDescent="0.25">
      <c r="A742" t="s">
        <v>5987</v>
      </c>
      <c r="B742" t="s">
        <v>7732</v>
      </c>
      <c r="C742" t="s">
        <v>5989</v>
      </c>
      <c r="D742" s="2" t="s">
        <v>5988</v>
      </c>
      <c r="E742" s="2" t="s">
        <v>5</v>
      </c>
      <c r="H742" t="s">
        <v>17</v>
      </c>
      <c r="I742" s="17">
        <v>-1.19081030337358</v>
      </c>
      <c r="J742" s="17">
        <v>0.27214028155411202</v>
      </c>
      <c r="K742" s="21">
        <v>8</v>
      </c>
      <c r="L742" s="27">
        <v>7127059.36491579</v>
      </c>
      <c r="M742" s="22">
        <v>1.411532996380265E-2</v>
      </c>
      <c r="N742" s="21">
        <v>4</v>
      </c>
      <c r="O742" s="27">
        <v>5815065.8233041791</v>
      </c>
      <c r="P742" s="22">
        <v>1.1617752654775349E-2</v>
      </c>
      <c r="Q742" s="21">
        <v>11</v>
      </c>
      <c r="R742" s="27">
        <v>7266752.6508576106</v>
      </c>
      <c r="S742" s="22">
        <v>1.4603309710260994E-2</v>
      </c>
      <c r="T742" s="23">
        <v>7</v>
      </c>
      <c r="U742" s="28">
        <v>6898730.3843696704</v>
      </c>
      <c r="V742" s="24">
        <v>1.3640267093424844E-2</v>
      </c>
      <c r="W742" s="23">
        <v>2</v>
      </c>
      <c r="X742" s="28">
        <v>5748012.3908858085</v>
      </c>
      <c r="Y742" s="24">
        <v>1.1117569041285982E-2</v>
      </c>
      <c r="Z742" s="23">
        <v>4</v>
      </c>
      <c r="AA742" s="28">
        <v>5719219.9070278509</v>
      </c>
      <c r="AB742" s="24">
        <v>1.1227340703422845E-2</v>
      </c>
    </row>
    <row r="743" spans="1:28" x14ac:dyDescent="0.25">
      <c r="A743" t="s">
        <v>6064</v>
      </c>
      <c r="B743" t="s">
        <v>7755</v>
      </c>
      <c r="C743" t="s">
        <v>6067</v>
      </c>
      <c r="D743" s="2" t="s">
        <v>6065</v>
      </c>
      <c r="E743" s="2" t="s">
        <v>5</v>
      </c>
      <c r="G743" t="s">
        <v>6066</v>
      </c>
      <c r="H743" t="s">
        <v>23</v>
      </c>
      <c r="I743" s="17">
        <v>-1.19380682350959</v>
      </c>
      <c r="J743" s="17">
        <v>0.123632694041274</v>
      </c>
      <c r="K743" s="21">
        <v>1</v>
      </c>
      <c r="L743" s="27">
        <v>3016417.8108906401</v>
      </c>
      <c r="M743" s="22">
        <v>4.1458162181313412E-3</v>
      </c>
      <c r="N743" s="21">
        <v>0</v>
      </c>
      <c r="O743" s="27">
        <v>2774544.856174808</v>
      </c>
      <c r="P743" s="22">
        <v>3.8467780788939217E-3</v>
      </c>
      <c r="Q743" s="21">
        <v>1</v>
      </c>
      <c r="R743" s="27">
        <v>2579555.7966009709</v>
      </c>
      <c r="S743" s="22">
        <v>3.5974414603454591E-3</v>
      </c>
      <c r="T743" s="23">
        <v>0</v>
      </c>
      <c r="U743" s="28">
        <v>2371419.1493808604</v>
      </c>
      <c r="V743" s="24">
        <v>3.2538678873972266E-3</v>
      </c>
      <c r="W743" s="23">
        <v>1</v>
      </c>
      <c r="X743" s="28">
        <v>2753839.2823394598</v>
      </c>
      <c r="Y743" s="24">
        <v>3.6963119920405602E-3</v>
      </c>
      <c r="Z743" s="23">
        <v>1</v>
      </c>
      <c r="AA743" s="28">
        <v>2525402.9333665795</v>
      </c>
      <c r="AB743" s="24">
        <v>3.4403979316197249E-3</v>
      </c>
    </row>
    <row r="744" spans="1:28" x14ac:dyDescent="0.25">
      <c r="A744" t="s">
        <v>6184</v>
      </c>
      <c r="B744" t="s">
        <v>7794</v>
      </c>
      <c r="C744" t="s">
        <v>6186</v>
      </c>
      <c r="D744" s="2" t="s">
        <v>6185</v>
      </c>
      <c r="E744" s="2" t="s">
        <v>5</v>
      </c>
      <c r="G744" t="s">
        <v>6106</v>
      </c>
      <c r="H744" t="s">
        <v>29</v>
      </c>
      <c r="I744" s="17">
        <v>-1.1972479129282501</v>
      </c>
      <c r="J744" s="17">
        <v>6.6707639752575404E-2</v>
      </c>
      <c r="K744" s="21">
        <v>18</v>
      </c>
      <c r="L744" s="27">
        <v>31243293.638531201</v>
      </c>
      <c r="M744" s="22">
        <v>4.0662798155276014E-2</v>
      </c>
      <c r="N744" s="21">
        <v>15</v>
      </c>
      <c r="O744" s="27">
        <v>38740222.907256238</v>
      </c>
      <c r="P744" s="22">
        <v>5.0861527367875463E-2</v>
      </c>
      <c r="Q744" s="21">
        <v>18</v>
      </c>
      <c r="R744" s="27">
        <v>30944674.551608194</v>
      </c>
      <c r="S744" s="22">
        <v>4.0865482347830093E-2</v>
      </c>
      <c r="T744" s="23">
        <v>13</v>
      </c>
      <c r="U744" s="28">
        <v>29612672.897658393</v>
      </c>
      <c r="V744" s="24">
        <v>3.8476105183301218E-2</v>
      </c>
      <c r="W744" s="23">
        <v>11</v>
      </c>
      <c r="X744" s="28">
        <v>31060421.677045185</v>
      </c>
      <c r="Y744" s="24">
        <v>3.947837595802979E-2</v>
      </c>
      <c r="Z744" s="23">
        <v>12</v>
      </c>
      <c r="AA744" s="28">
        <v>30466145.90598556</v>
      </c>
      <c r="AB744" s="24">
        <v>3.93022501472199E-2</v>
      </c>
    </row>
    <row r="745" spans="1:28" x14ac:dyDescent="0.25">
      <c r="A745" t="s">
        <v>6213</v>
      </c>
      <c r="B745" t="s">
        <v>7804</v>
      </c>
      <c r="C745" t="s">
        <v>6215</v>
      </c>
      <c r="D745" s="2" t="s">
        <v>6214</v>
      </c>
      <c r="E745" s="2" t="s">
        <v>5</v>
      </c>
      <c r="H745" t="s">
        <v>7</v>
      </c>
      <c r="I745" s="17">
        <v>-1.20293830770334</v>
      </c>
      <c r="J745" s="17">
        <v>0.243862926657087</v>
      </c>
      <c r="K745" s="21">
        <v>14</v>
      </c>
      <c r="L745" s="27">
        <v>13630248.8450169</v>
      </c>
      <c r="M745" s="22">
        <v>3.2313800169897107E-2</v>
      </c>
      <c r="N745" s="21">
        <v>6</v>
      </c>
      <c r="O745" s="27">
        <v>10275905.239316121</v>
      </c>
      <c r="P745" s="22">
        <v>2.4574866843157253E-2</v>
      </c>
      <c r="Q745" s="21">
        <v>11</v>
      </c>
      <c r="R745" s="27">
        <v>13279514.372039231</v>
      </c>
      <c r="S745" s="22">
        <v>3.1944544744209373E-2</v>
      </c>
      <c r="T745" s="23">
        <v>11</v>
      </c>
      <c r="U745" s="28">
        <v>11275230.779038295</v>
      </c>
      <c r="V745" s="24">
        <v>2.6685954032191178E-2</v>
      </c>
      <c r="W745" s="23">
        <v>8</v>
      </c>
      <c r="X745" s="28">
        <v>11822649.095440896</v>
      </c>
      <c r="Y745" s="24">
        <v>2.7372252072543474E-2</v>
      </c>
      <c r="Z745" s="23">
        <v>7</v>
      </c>
      <c r="AA745" s="28">
        <v>10592354.835141247</v>
      </c>
      <c r="AB745" s="24">
        <v>2.4890648893234679E-2</v>
      </c>
    </row>
    <row r="746" spans="1:28" x14ac:dyDescent="0.25">
      <c r="A746" t="s">
        <v>6111</v>
      </c>
      <c r="B746" t="s">
        <v>7770</v>
      </c>
      <c r="C746" t="s">
        <v>6113</v>
      </c>
      <c r="D746" s="2" t="s">
        <v>6112</v>
      </c>
      <c r="E746" s="2" t="s">
        <v>5</v>
      </c>
      <c r="G746" t="s">
        <v>6106</v>
      </c>
      <c r="H746" t="s">
        <v>29</v>
      </c>
      <c r="I746" s="17">
        <v>-1.21109580030477</v>
      </c>
      <c r="J746" s="17">
        <v>8.0171212658074906E-2</v>
      </c>
      <c r="K746" s="21">
        <v>5</v>
      </c>
      <c r="L746" s="27">
        <v>2588418.3004454402</v>
      </c>
      <c r="M746" s="22">
        <v>2.8808216349362555E-3</v>
      </c>
      <c r="N746" s="21">
        <v>3</v>
      </c>
      <c r="O746" s="27">
        <v>2614158.5630987282</v>
      </c>
      <c r="P746" s="22">
        <v>2.934949730134665E-3</v>
      </c>
      <c r="Q746" s="21">
        <v>4</v>
      </c>
      <c r="R746" s="27">
        <v>2354095.9844757281</v>
      </c>
      <c r="S746" s="22">
        <v>2.6584979787191185E-3</v>
      </c>
      <c r="T746" s="23">
        <v>3</v>
      </c>
      <c r="U746" s="28">
        <v>2088076.5619029708</v>
      </c>
      <c r="V746" s="24">
        <v>2.3200715070357623E-3</v>
      </c>
      <c r="W746" s="23">
        <v>3</v>
      </c>
      <c r="X746" s="28">
        <v>2649545.45678529</v>
      </c>
      <c r="Y746" s="24">
        <v>2.879816157766718E-3</v>
      </c>
      <c r="Z746" s="23">
        <v>1</v>
      </c>
      <c r="AA746" s="28">
        <v>2071476.900735443</v>
      </c>
      <c r="AB746" s="24">
        <v>2.2851854525919686E-3</v>
      </c>
    </row>
    <row r="747" spans="1:28" x14ac:dyDescent="0.25">
      <c r="A747" t="s">
        <v>6208</v>
      </c>
      <c r="B747" t="s">
        <v>7802</v>
      </c>
      <c r="C747" t="s">
        <v>6210</v>
      </c>
      <c r="D747" s="2" t="s">
        <v>6209</v>
      </c>
      <c r="E747" s="2" t="s">
        <v>5</v>
      </c>
      <c r="G747" t="s">
        <v>6106</v>
      </c>
      <c r="H747" t="s">
        <v>29</v>
      </c>
      <c r="I747" s="17">
        <v>-1.21487332795761</v>
      </c>
      <c r="J747" s="17">
        <v>0.16042321259842601</v>
      </c>
      <c r="K747" s="21">
        <v>75</v>
      </c>
      <c r="L747" s="27">
        <v>97590827.296360001</v>
      </c>
      <c r="M747" s="22">
        <v>6.5169165261650314E-2</v>
      </c>
      <c r="N747" s="21">
        <v>55</v>
      </c>
      <c r="O747" s="27">
        <v>97515739.880828723</v>
      </c>
      <c r="P747" s="22">
        <v>6.5689311693747809E-2</v>
      </c>
      <c r="Q747" s="21">
        <v>80</v>
      </c>
      <c r="R747" s="27">
        <v>108137315.25875528</v>
      </c>
      <c r="S747" s="22">
        <v>7.3272161186801549E-2</v>
      </c>
      <c r="T747" s="23">
        <v>52</v>
      </c>
      <c r="U747" s="28">
        <v>93290957.120056942</v>
      </c>
      <c r="V747" s="24">
        <v>6.2193607866873855E-2</v>
      </c>
      <c r="W747" s="23">
        <v>40</v>
      </c>
      <c r="X747" s="28">
        <v>76511829.293663561</v>
      </c>
      <c r="Y747" s="24">
        <v>4.9896860994607224E-2</v>
      </c>
      <c r="Z747" s="23">
        <v>50</v>
      </c>
      <c r="AA747" s="28">
        <v>98975229.924014494</v>
      </c>
      <c r="AB747" s="24">
        <v>6.5511738656318985E-2</v>
      </c>
    </row>
    <row r="748" spans="1:28" x14ac:dyDescent="0.25">
      <c r="A748" t="s">
        <v>6052</v>
      </c>
      <c r="B748" t="s">
        <v>7751</v>
      </c>
      <c r="C748" t="s">
        <v>6054</v>
      </c>
      <c r="D748" s="2" t="s">
        <v>6053</v>
      </c>
      <c r="E748" s="2" t="s">
        <v>5</v>
      </c>
      <c r="G748" t="s">
        <v>2058</v>
      </c>
      <c r="H748" t="s">
        <v>23</v>
      </c>
      <c r="I748" s="17">
        <v>-1.2227332818827501</v>
      </c>
      <c r="J748" s="17">
        <v>1.5267388502150399E-2</v>
      </c>
      <c r="K748" s="21">
        <v>5</v>
      </c>
      <c r="L748" s="27">
        <v>3676345.9275276801</v>
      </c>
      <c r="M748" s="22">
        <v>6.1374721873830931E-3</v>
      </c>
      <c r="N748" s="21">
        <v>3</v>
      </c>
      <c r="O748" s="27">
        <v>3652986.564037283</v>
      </c>
      <c r="P748" s="22">
        <v>6.1518831039832408E-3</v>
      </c>
      <c r="Q748" s="21">
        <v>4</v>
      </c>
      <c r="R748" s="27">
        <v>3692822.7273591924</v>
      </c>
      <c r="S748" s="22">
        <v>6.2554979626110009E-3</v>
      </c>
      <c r="T748" s="23">
        <v>2</v>
      </c>
      <c r="U748" s="28">
        <v>3009256.4503498496</v>
      </c>
      <c r="V748" s="24">
        <v>5.0153981002431444E-3</v>
      </c>
      <c r="W748" s="23">
        <v>2</v>
      </c>
      <c r="X748" s="28">
        <v>3646478.4070339953</v>
      </c>
      <c r="Y748" s="24">
        <v>5.9450880953737803E-3</v>
      </c>
      <c r="Z748" s="23">
        <v>3</v>
      </c>
      <c r="AA748" s="28">
        <v>3155435.3855483802</v>
      </c>
      <c r="AB748" s="24">
        <v>5.2214594117045406E-3</v>
      </c>
    </row>
    <row r="749" spans="1:28" x14ac:dyDescent="0.25">
      <c r="A749" t="s">
        <v>6164</v>
      </c>
      <c r="B749" t="s">
        <v>7787</v>
      </c>
      <c r="C749" t="s">
        <v>6166</v>
      </c>
      <c r="D749" s="2" t="s">
        <v>6165</v>
      </c>
      <c r="E749" s="2" t="s">
        <v>5</v>
      </c>
      <c r="G749" t="s">
        <v>6162</v>
      </c>
      <c r="H749" t="s">
        <v>104</v>
      </c>
      <c r="I749" s="17">
        <v>-1.2242766296068499</v>
      </c>
      <c r="J749" s="17">
        <v>8.1163050812901497E-2</v>
      </c>
      <c r="K749" s="21">
        <v>15</v>
      </c>
      <c r="L749" s="27">
        <v>8044375.7779315701</v>
      </c>
      <c r="M749" s="22">
        <v>1.5222955540196429E-2</v>
      </c>
      <c r="N749" s="21">
        <v>11</v>
      </c>
      <c r="O749" s="27">
        <v>7362650.9478883063</v>
      </c>
      <c r="P749" s="22">
        <v>1.4054897200687196E-2</v>
      </c>
      <c r="Q749" s="21">
        <v>14</v>
      </c>
      <c r="R749" s="27">
        <v>8884634.5871032607</v>
      </c>
      <c r="S749" s="22">
        <v>1.7059899153669816E-2</v>
      </c>
      <c r="T749" s="23">
        <v>12</v>
      </c>
      <c r="U749" s="28">
        <v>7330437.6640212946</v>
      </c>
      <c r="V749" s="24">
        <v>1.3848718196363113E-2</v>
      </c>
      <c r="W749" s="23">
        <v>9</v>
      </c>
      <c r="X749" s="28">
        <v>6995802.8514182996</v>
      </c>
      <c r="Y749" s="24">
        <v>1.2928724241854773E-2</v>
      </c>
      <c r="Z749" s="23">
        <v>8</v>
      </c>
      <c r="AA749" s="28">
        <v>7143777.3890516898</v>
      </c>
      <c r="AB749" s="24">
        <v>1.3399666510083827E-2</v>
      </c>
    </row>
    <row r="750" spans="1:28" x14ac:dyDescent="0.25">
      <c r="A750" t="s">
        <v>6073</v>
      </c>
      <c r="B750" t="s">
        <v>7758</v>
      </c>
      <c r="C750" t="s">
        <v>6075</v>
      </c>
      <c r="D750" s="2" t="s">
        <v>6074</v>
      </c>
      <c r="E750" s="2" t="s">
        <v>5</v>
      </c>
      <c r="G750" t="s">
        <v>6066</v>
      </c>
      <c r="H750" t="s">
        <v>23</v>
      </c>
      <c r="I750" s="17">
        <v>-1.22520658417666</v>
      </c>
      <c r="J750" s="17">
        <v>0.34879700337304698</v>
      </c>
      <c r="K750" s="21">
        <v>2</v>
      </c>
      <c r="L750" s="27">
        <v>680661.26843949198</v>
      </c>
      <c r="M750" s="22">
        <v>1.8550333060126385E-3</v>
      </c>
      <c r="N750" s="21">
        <v>1</v>
      </c>
      <c r="O750" s="27">
        <v>522682.55902523483</v>
      </c>
      <c r="P750" s="22">
        <v>1.4369627623864339E-3</v>
      </c>
      <c r="Q750" s="21">
        <v>2</v>
      </c>
      <c r="R750" s="27">
        <v>828860.10717588791</v>
      </c>
      <c r="S750" s="22">
        <v>2.292092658557949E-3</v>
      </c>
      <c r="T750" s="23">
        <v>2</v>
      </c>
      <c r="U750" s="28">
        <v>702299.27094837395</v>
      </c>
      <c r="V750" s="24">
        <v>1.9108030863064286E-3</v>
      </c>
      <c r="W750" s="23">
        <v>1</v>
      </c>
      <c r="X750" s="28">
        <v>588160.87789494416</v>
      </c>
      <c r="Y750" s="24">
        <v>1.5654106616344457E-3</v>
      </c>
      <c r="Z750" s="23">
        <v>1</v>
      </c>
      <c r="AA750" s="28">
        <v>500969.81853860873</v>
      </c>
      <c r="AB750" s="24">
        <v>1.3532925237728336E-3</v>
      </c>
    </row>
    <row r="751" spans="1:28" x14ac:dyDescent="0.25">
      <c r="A751" s="82" t="s">
        <v>6205</v>
      </c>
      <c r="B751" s="82" t="s">
        <v>7801</v>
      </c>
      <c r="C751" s="82" t="s">
        <v>6207</v>
      </c>
      <c r="D751" s="86" t="s">
        <v>6206</v>
      </c>
      <c r="E751" s="86" t="s">
        <v>5</v>
      </c>
      <c r="F751" s="82"/>
      <c r="G751" s="82"/>
      <c r="H751" s="82" t="s">
        <v>78</v>
      </c>
      <c r="I751" s="47">
        <v>-1.22654680112507</v>
      </c>
      <c r="J751" s="47">
        <v>0.11140260375029</v>
      </c>
      <c r="K751" s="88">
        <v>24</v>
      </c>
      <c r="L751" s="89">
        <v>62314757.867733702</v>
      </c>
      <c r="M751" s="22">
        <v>0.1273716714840171</v>
      </c>
      <c r="N751" s="88">
        <v>20</v>
      </c>
      <c r="O751" s="89">
        <v>72369869.101452962</v>
      </c>
      <c r="P751" s="22">
        <v>0.14921983509193545</v>
      </c>
      <c r="Q751" s="88">
        <v>24</v>
      </c>
      <c r="R751" s="89">
        <v>55356779.391620353</v>
      </c>
      <c r="S751" s="22">
        <v>0.11481087086932859</v>
      </c>
      <c r="T751" s="90">
        <v>23</v>
      </c>
      <c r="U751" s="91">
        <v>52527165.758281067</v>
      </c>
      <c r="V751" s="24">
        <v>0.10718621811003305</v>
      </c>
      <c r="W751" s="90">
        <v>22</v>
      </c>
      <c r="X751" s="91">
        <v>64973115.073616095</v>
      </c>
      <c r="Y751" s="24">
        <v>0.12969615654291375</v>
      </c>
      <c r="Z751" s="90">
        <v>22</v>
      </c>
      <c r="AA751" s="91">
        <v>51153714.577011988</v>
      </c>
      <c r="AB751" s="24">
        <v>0.103637889357617</v>
      </c>
    </row>
    <row r="752" spans="1:28" x14ac:dyDescent="0.25">
      <c r="A752" t="s">
        <v>6108</v>
      </c>
      <c r="B752" t="s">
        <v>7769</v>
      </c>
      <c r="C752" t="s">
        <v>6110</v>
      </c>
      <c r="D752" s="2" t="s">
        <v>6109</v>
      </c>
      <c r="E752" s="2" t="s">
        <v>5</v>
      </c>
      <c r="G752" t="s">
        <v>6106</v>
      </c>
      <c r="H752" t="s">
        <v>29</v>
      </c>
      <c r="I752" s="17">
        <v>-1.2305532750158801</v>
      </c>
      <c r="J752" s="17">
        <v>9.9640337199445907E-3</v>
      </c>
      <c r="K752" s="21">
        <v>9</v>
      </c>
      <c r="L752" s="27">
        <v>12402749.9387349</v>
      </c>
      <c r="M752" s="22">
        <v>3.3946780858719314E-2</v>
      </c>
      <c r="N752" s="21">
        <v>6</v>
      </c>
      <c r="O752" s="27">
        <v>14180611.781113606</v>
      </c>
      <c r="P752" s="22">
        <v>3.9152762431269611E-2</v>
      </c>
      <c r="Q752" s="21">
        <v>7</v>
      </c>
      <c r="R752" s="27">
        <v>12447490.073500877</v>
      </c>
      <c r="S752" s="22">
        <v>3.4569464925292788E-2</v>
      </c>
      <c r="T752" s="23">
        <v>8</v>
      </c>
      <c r="U752" s="28">
        <v>10898861.237415878</v>
      </c>
      <c r="V752" s="24">
        <v>2.9780691389861211E-2</v>
      </c>
      <c r="W752" s="23">
        <v>5</v>
      </c>
      <c r="X752" s="28">
        <v>12047603.43575969</v>
      </c>
      <c r="Y752" s="24">
        <v>3.220273467577655E-2</v>
      </c>
      <c r="Z752" s="23">
        <v>7</v>
      </c>
      <c r="AA752" s="28">
        <v>11424005.363102434</v>
      </c>
      <c r="AB752" s="24">
        <v>3.0992631684661168E-2</v>
      </c>
    </row>
    <row r="753" spans="1:28" x14ac:dyDescent="0.25">
      <c r="A753" t="s">
        <v>6091</v>
      </c>
      <c r="B753" t="s">
        <v>7764</v>
      </c>
      <c r="C753" t="s">
        <v>6093</v>
      </c>
      <c r="D753" s="2" t="s">
        <v>6092</v>
      </c>
      <c r="E753" s="2" t="s">
        <v>5</v>
      </c>
      <c r="G753" t="s">
        <v>507</v>
      </c>
      <c r="H753" t="s">
        <v>57</v>
      </c>
      <c r="I753" s="17">
        <v>-1.2363201188681401</v>
      </c>
      <c r="J753" s="17">
        <v>4.9821246071066697E-3</v>
      </c>
      <c r="K753" s="21">
        <v>6</v>
      </c>
      <c r="L753" s="27">
        <v>4362200.3881494598</v>
      </c>
      <c r="M753" s="22">
        <v>1.3060582259240562E-2</v>
      </c>
      <c r="N753" s="21">
        <v>4</v>
      </c>
      <c r="O753" s="27">
        <v>5085768.5533166071</v>
      </c>
      <c r="P753" s="22">
        <v>1.5360323108605526E-2</v>
      </c>
      <c r="Q753" s="21">
        <v>4</v>
      </c>
      <c r="R753" s="27">
        <v>4541499.9907663846</v>
      </c>
      <c r="S753" s="22">
        <v>1.3797058448346078E-2</v>
      </c>
      <c r="T753" s="23">
        <v>2</v>
      </c>
      <c r="U753" s="28">
        <v>3840601.8800919778</v>
      </c>
      <c r="V753" s="24">
        <v>1.1479666215973185E-2</v>
      </c>
      <c r="W753" s="23">
        <v>3</v>
      </c>
      <c r="X753" s="28">
        <v>4278437.0263129743</v>
      </c>
      <c r="Y753" s="24">
        <v>1.2509891752871387E-2</v>
      </c>
      <c r="Z753" s="23">
        <v>4</v>
      </c>
      <c r="AA753" s="28">
        <v>4133605.0373724224</v>
      </c>
      <c r="AB753" s="24">
        <v>1.2267197353344816E-2</v>
      </c>
    </row>
    <row r="754" spans="1:28" x14ac:dyDescent="0.25">
      <c r="A754" t="s">
        <v>6011</v>
      </c>
      <c r="B754" t="s">
        <v>7739</v>
      </c>
      <c r="C754" t="s">
        <v>6013</v>
      </c>
      <c r="D754" s="2" t="s">
        <v>6012</v>
      </c>
      <c r="E754" s="2" t="s">
        <v>5</v>
      </c>
      <c r="H754" t="s">
        <v>78</v>
      </c>
      <c r="I754" s="17">
        <v>-1.24209982232571</v>
      </c>
      <c r="J754" s="17">
        <v>0.233046871195522</v>
      </c>
      <c r="K754" s="21">
        <v>10</v>
      </c>
      <c r="L754" s="27">
        <v>7192783.8370264396</v>
      </c>
      <c r="M754" s="22">
        <v>1.3571155873736807E-2</v>
      </c>
      <c r="N754" s="21">
        <v>6</v>
      </c>
      <c r="O754" s="27">
        <v>9482317.6388516016</v>
      </c>
      <c r="P754" s="22">
        <v>1.804767084075001E-2</v>
      </c>
      <c r="Q754" s="21">
        <v>9</v>
      </c>
      <c r="R754" s="27">
        <v>6066231.1555052958</v>
      </c>
      <c r="S754" s="22">
        <v>1.161365832298754E-2</v>
      </c>
      <c r="T754" s="23">
        <v>7</v>
      </c>
      <c r="U754" s="28">
        <v>6345267.9922676804</v>
      </c>
      <c r="V754" s="24">
        <v>1.1952062152412714E-2</v>
      </c>
      <c r="W754" s="23">
        <v>6</v>
      </c>
      <c r="X754" s="28">
        <v>7750304.0653031887</v>
      </c>
      <c r="Y754" s="24">
        <v>1.4280718296433534E-2</v>
      </c>
      <c r="Z754" s="23">
        <v>7</v>
      </c>
      <c r="AA754" s="28">
        <v>5801690.4353999747</v>
      </c>
      <c r="AB754" s="24">
        <v>1.0850102219941106E-2</v>
      </c>
    </row>
    <row r="755" spans="1:28" x14ac:dyDescent="0.25">
      <c r="A755" t="s">
        <v>6167</v>
      </c>
      <c r="B755" t="s">
        <v>7788</v>
      </c>
      <c r="C755" t="s">
        <v>6168</v>
      </c>
      <c r="D755" s="2" t="s">
        <v>6143</v>
      </c>
      <c r="E755" s="2" t="s">
        <v>5</v>
      </c>
      <c r="G755" t="s">
        <v>6144</v>
      </c>
      <c r="H755" t="s">
        <v>104</v>
      </c>
      <c r="I755" s="17">
        <v>-1.2541044174584199</v>
      </c>
      <c r="J755" s="17">
        <v>0.13678283191464199</v>
      </c>
      <c r="K755" s="21">
        <v>12</v>
      </c>
      <c r="L755" s="27">
        <v>11737930.3644838</v>
      </c>
      <c r="M755" s="22">
        <v>6.8299496922708753E-3</v>
      </c>
      <c r="N755" s="21">
        <v>11</v>
      </c>
      <c r="O755" s="27">
        <v>15328590.346981237</v>
      </c>
      <c r="P755" s="22">
        <v>8.9973585233129021E-3</v>
      </c>
      <c r="Q755" s="21">
        <v>13</v>
      </c>
      <c r="R755" s="27">
        <v>13168989.521365859</v>
      </c>
      <c r="S755" s="22">
        <v>7.7751484165069018E-3</v>
      </c>
      <c r="T755" s="23">
        <v>8</v>
      </c>
      <c r="U755" s="28">
        <v>10546353.93650043</v>
      </c>
      <c r="V755" s="24">
        <v>6.1263437568079308E-3</v>
      </c>
      <c r="W755" s="23">
        <v>7</v>
      </c>
      <c r="X755" s="28">
        <v>10030111.629181661</v>
      </c>
      <c r="Y755" s="24">
        <v>5.6995848514286365E-3</v>
      </c>
      <c r="Z755" s="23">
        <v>9</v>
      </c>
      <c r="AA755" s="28">
        <v>13918668.190651273</v>
      </c>
      <c r="AB755" s="24">
        <v>8.0275515931596993E-3</v>
      </c>
    </row>
    <row r="756" spans="1:28" x14ac:dyDescent="0.25">
      <c r="A756" t="s">
        <v>6199</v>
      </c>
      <c r="B756" t="s">
        <v>7799</v>
      </c>
      <c r="C756" t="s">
        <v>6201</v>
      </c>
      <c r="D756" s="2" t="s">
        <v>6200</v>
      </c>
      <c r="E756" s="2" t="s">
        <v>5</v>
      </c>
      <c r="H756" t="s">
        <v>7</v>
      </c>
      <c r="I756" s="17">
        <v>-1.2624714165840201</v>
      </c>
      <c r="J756" s="17">
        <v>4.4939880374478297E-2</v>
      </c>
      <c r="K756" s="21">
        <v>13</v>
      </c>
      <c r="L756" s="27">
        <v>36916260.892384097</v>
      </c>
      <c r="M756" s="22">
        <v>7.5943838257716528E-2</v>
      </c>
      <c r="N756" s="21">
        <v>12</v>
      </c>
      <c r="O756" s="27">
        <v>44688000.888792589</v>
      </c>
      <c r="P756" s="22">
        <v>9.2736904597423467E-2</v>
      </c>
      <c r="Q756" s="21">
        <v>14</v>
      </c>
      <c r="R756" s="27">
        <v>35175754.04702162</v>
      </c>
      <c r="S756" s="22">
        <v>7.3425770418061684E-2</v>
      </c>
      <c r="T756" s="23">
        <v>14</v>
      </c>
      <c r="U756" s="28">
        <v>30251313.131887972</v>
      </c>
      <c r="V756" s="24">
        <v>6.212867778133091E-2</v>
      </c>
      <c r="W756" s="23">
        <v>13</v>
      </c>
      <c r="X756" s="28">
        <v>38312159.006140135</v>
      </c>
      <c r="Y756" s="24">
        <v>7.6970258271274461E-2</v>
      </c>
      <c r="Z756" s="23">
        <v>14</v>
      </c>
      <c r="AA756" s="28">
        <v>31983583.223494854</v>
      </c>
      <c r="AB756" s="24">
        <v>6.5217087744338445E-2</v>
      </c>
    </row>
    <row r="757" spans="1:28" x14ac:dyDescent="0.25">
      <c r="A757" t="s">
        <v>6157</v>
      </c>
      <c r="B757" t="s">
        <v>7785</v>
      </c>
      <c r="C757" t="s">
        <v>6159</v>
      </c>
      <c r="D757" s="2" t="s">
        <v>6158</v>
      </c>
      <c r="E757" s="2" t="s">
        <v>5</v>
      </c>
      <c r="G757" t="s">
        <v>6106</v>
      </c>
      <c r="H757" t="s">
        <v>104</v>
      </c>
      <c r="I757" s="17">
        <v>-1.276654784797</v>
      </c>
      <c r="J757" s="17">
        <v>6.03425736671096E-2</v>
      </c>
      <c r="K757" s="21">
        <v>6</v>
      </c>
      <c r="L757" s="27">
        <v>4454313.9106333898</v>
      </c>
      <c r="M757" s="22">
        <v>7.4168342950311225E-3</v>
      </c>
      <c r="N757" s="21">
        <v>5</v>
      </c>
      <c r="O757" s="27">
        <v>4868394.1166240899</v>
      </c>
      <c r="P757" s="22">
        <v>8.1773072790933196E-3</v>
      </c>
      <c r="Q757" s="21">
        <v>6</v>
      </c>
      <c r="R757" s="27">
        <v>4899876.3858831655</v>
      </c>
      <c r="S757" s="22">
        <v>8.2785283372639566E-3</v>
      </c>
      <c r="T757" s="23">
        <v>5</v>
      </c>
      <c r="U757" s="28">
        <v>4544983.1517384965</v>
      </c>
      <c r="V757" s="24">
        <v>7.5551497621258751E-3</v>
      </c>
      <c r="W757" s="23">
        <v>3</v>
      </c>
      <c r="X757" s="28">
        <v>3870608.0500506139</v>
      </c>
      <c r="Y757" s="24">
        <v>6.2940245524692271E-3</v>
      </c>
      <c r="Z757" s="23">
        <v>3</v>
      </c>
      <c r="AA757" s="28">
        <v>3583797.7622716273</v>
      </c>
      <c r="AB757" s="24">
        <v>5.9148086299115818E-3</v>
      </c>
    </row>
    <row r="758" spans="1:28" x14ac:dyDescent="0.25">
      <c r="A758" t="s">
        <v>6180</v>
      </c>
      <c r="B758" t="s">
        <v>7793</v>
      </c>
      <c r="C758" t="s">
        <v>6183</v>
      </c>
      <c r="D758" s="2" t="s">
        <v>6181</v>
      </c>
      <c r="E758" s="2" t="s">
        <v>5</v>
      </c>
      <c r="G758" t="s">
        <v>6182</v>
      </c>
      <c r="I758" s="17">
        <v>-1.2776279483403701</v>
      </c>
      <c r="J758" s="17">
        <v>8.3614017845646094E-2</v>
      </c>
      <c r="K758" s="21">
        <v>1</v>
      </c>
      <c r="L758" s="27">
        <v>340070.49653189903</v>
      </c>
      <c r="M758" s="22">
        <v>5.175966570811556E-4</v>
      </c>
      <c r="N758" s="21">
        <v>1</v>
      </c>
      <c r="O758" s="27">
        <v>405304.44089848583</v>
      </c>
      <c r="P758" s="22">
        <v>6.2228696215785686E-4</v>
      </c>
      <c r="Q758" s="21">
        <v>1</v>
      </c>
      <c r="R758" s="27">
        <v>298673.5692648589</v>
      </c>
      <c r="S758" s="22">
        <v>4.6126399797300854E-4</v>
      </c>
      <c r="T758" s="23">
        <v>1</v>
      </c>
      <c r="U758" s="28">
        <v>298256.3683810322</v>
      </c>
      <c r="V758" s="24">
        <v>4.5319517397004723E-4</v>
      </c>
      <c r="W758" s="23">
        <v>2</v>
      </c>
      <c r="X758" s="28">
        <v>315198.80933336448</v>
      </c>
      <c r="Y758" s="24">
        <v>4.6850966715315746E-4</v>
      </c>
      <c r="Z758" s="23">
        <v>1</v>
      </c>
      <c r="AA758" s="28">
        <v>272513.01719787909</v>
      </c>
      <c r="AB758" s="24">
        <v>4.1112057024048348E-4</v>
      </c>
    </row>
    <row r="759" spans="1:28" x14ac:dyDescent="0.25">
      <c r="A759" t="s">
        <v>5980</v>
      </c>
      <c r="B759" t="s">
        <v>7730</v>
      </c>
      <c r="C759" t="s">
        <v>5983</v>
      </c>
      <c r="D759" s="2" t="s">
        <v>5981</v>
      </c>
      <c r="E759" s="2" t="s">
        <v>5</v>
      </c>
      <c r="F759" t="s">
        <v>5982</v>
      </c>
      <c r="H759" t="s">
        <v>17</v>
      </c>
      <c r="I759" s="17">
        <v>-1.29038245521706</v>
      </c>
      <c r="J759" s="17">
        <v>0.135367881714273</v>
      </c>
      <c r="K759" s="21">
        <v>8</v>
      </c>
      <c r="L759" s="27">
        <v>5520797.13916439</v>
      </c>
      <c r="M759" s="22">
        <v>1.0478498176968715E-2</v>
      </c>
      <c r="N759" s="21">
        <v>7</v>
      </c>
      <c r="O759" s="27">
        <v>7675047.9818435088</v>
      </c>
      <c r="P759" s="22">
        <v>1.4694850918631265E-2</v>
      </c>
      <c r="Q759" s="21">
        <v>9</v>
      </c>
      <c r="R759" s="27">
        <v>4965255.5592368981</v>
      </c>
      <c r="S759" s="22">
        <v>9.5624487118293796E-3</v>
      </c>
      <c r="T759" s="23">
        <v>7</v>
      </c>
      <c r="U759" s="28">
        <v>5013820.3514808612</v>
      </c>
      <c r="V759" s="24">
        <v>9.5003381882818993E-3</v>
      </c>
      <c r="W759" s="23">
        <v>7</v>
      </c>
      <c r="X759" s="28">
        <v>5275673.6166813569</v>
      </c>
      <c r="Y759" s="24">
        <v>9.7788245363169771E-3</v>
      </c>
      <c r="Z759" s="23">
        <v>7</v>
      </c>
      <c r="AA759" s="28">
        <v>4918897.7754071318</v>
      </c>
      <c r="AB759" s="24">
        <v>9.2538935122418384E-3</v>
      </c>
    </row>
    <row r="760" spans="1:28" x14ac:dyDescent="0.25">
      <c r="A760" t="s">
        <v>6004</v>
      </c>
      <c r="B760" t="s">
        <v>7737</v>
      </c>
      <c r="C760" t="s">
        <v>6006</v>
      </c>
      <c r="D760" s="2" t="s">
        <v>6005</v>
      </c>
      <c r="E760" s="2" t="s">
        <v>5</v>
      </c>
      <c r="H760" t="s">
        <v>6002</v>
      </c>
      <c r="I760" s="17">
        <v>-1.30525635953112</v>
      </c>
      <c r="J760" s="17">
        <v>0.22909369780348099</v>
      </c>
      <c r="K760" s="21">
        <v>2</v>
      </c>
      <c r="L760" s="27">
        <v>455549.95011555997</v>
      </c>
      <c r="M760" s="22">
        <v>1.0017850256893255E-3</v>
      </c>
      <c r="N760" s="21">
        <v>2</v>
      </c>
      <c r="O760" s="27">
        <v>733764.19235126197</v>
      </c>
      <c r="P760" s="22">
        <v>1.627728168204493E-3</v>
      </c>
      <c r="Q760" s="21">
        <v>2</v>
      </c>
      <c r="R760" s="27">
        <v>418417.30046131206</v>
      </c>
      <c r="S760" s="22">
        <v>9.3363779695016392E-4</v>
      </c>
      <c r="T760" s="23">
        <v>1</v>
      </c>
      <c r="U760" s="28">
        <v>418626.95588304126</v>
      </c>
      <c r="V760" s="24">
        <v>9.1904920909646585E-4</v>
      </c>
      <c r="W760" s="23">
        <v>1</v>
      </c>
      <c r="X760" s="28">
        <v>435633.84456428321</v>
      </c>
      <c r="Y760" s="24">
        <v>9.355599590016759E-4</v>
      </c>
      <c r="Z760" s="23">
        <v>1</v>
      </c>
      <c r="AA760" s="28">
        <v>471961.03225775767</v>
      </c>
      <c r="AB760" s="24">
        <v>1.0287364366177386E-3</v>
      </c>
    </row>
    <row r="761" spans="1:28" x14ac:dyDescent="0.25">
      <c r="A761" t="s">
        <v>6068</v>
      </c>
      <c r="B761" t="s">
        <v>7756</v>
      </c>
      <c r="C761" t="s">
        <v>6070</v>
      </c>
      <c r="D761" s="2" t="s">
        <v>5994</v>
      </c>
      <c r="E761" s="2" t="s">
        <v>5</v>
      </c>
      <c r="G761" t="s">
        <v>6069</v>
      </c>
      <c r="H761" t="s">
        <v>23</v>
      </c>
      <c r="I761" s="17">
        <v>-1.3127099139998</v>
      </c>
      <c r="J761" s="17">
        <v>0.15584037499356501</v>
      </c>
      <c r="K761" s="21">
        <v>2</v>
      </c>
      <c r="L761" s="27">
        <v>940519.70622469601</v>
      </c>
      <c r="M761" s="22">
        <v>2.7768388614334539E-3</v>
      </c>
      <c r="N761" s="21">
        <v>2</v>
      </c>
      <c r="O761" s="27">
        <v>691020.78099753521</v>
      </c>
      <c r="P761" s="22">
        <v>2.0580727364020736E-3</v>
      </c>
      <c r="Q761" s="21">
        <v>2</v>
      </c>
      <c r="R761" s="27">
        <v>925329.28222077468</v>
      </c>
      <c r="S761" s="22">
        <v>2.7721028826358986E-3</v>
      </c>
      <c r="T761" s="23">
        <v>1</v>
      </c>
      <c r="U761" s="28">
        <v>749787.66612879967</v>
      </c>
      <c r="V761" s="24">
        <v>2.2100093691211436E-3</v>
      </c>
      <c r="W761" s="23">
        <v>0</v>
      </c>
      <c r="X761" s="28">
        <v>660898.64593124297</v>
      </c>
      <c r="Y761" s="24">
        <v>1.905588495042294E-3</v>
      </c>
      <c r="Z761" s="23">
        <v>0</v>
      </c>
      <c r="AA761" s="28">
        <v>703753.61047953262</v>
      </c>
      <c r="AB761" s="24">
        <v>2.05950505685121E-3</v>
      </c>
    </row>
    <row r="762" spans="1:28" x14ac:dyDescent="0.25">
      <c r="A762" t="s">
        <v>6019</v>
      </c>
      <c r="B762" t="s">
        <v>7742</v>
      </c>
      <c r="C762" t="s">
        <v>6022</v>
      </c>
      <c r="D762" s="2" t="s">
        <v>6020</v>
      </c>
      <c r="E762" s="2" t="s">
        <v>5</v>
      </c>
      <c r="F762" t="s">
        <v>6021</v>
      </c>
      <c r="H762" t="s">
        <v>12</v>
      </c>
      <c r="I762" s="17">
        <v>-1.3148869650453601</v>
      </c>
      <c r="J762" s="17">
        <v>0.13271036693834901</v>
      </c>
      <c r="K762" s="21">
        <v>7</v>
      </c>
      <c r="L762" s="27">
        <v>2081225.94494686</v>
      </c>
      <c r="M762" s="22">
        <v>3.2372176883986928E-3</v>
      </c>
      <c r="N762" s="21">
        <v>2</v>
      </c>
      <c r="O762" s="27">
        <v>1749335.0040452513</v>
      </c>
      <c r="P762" s="22">
        <v>2.7448112958403902E-3</v>
      </c>
      <c r="Q762" s="21">
        <v>7</v>
      </c>
      <c r="R762" s="27">
        <v>2590602.8683207063</v>
      </c>
      <c r="S762" s="22">
        <v>4.0886861508056555E-3</v>
      </c>
      <c r="T762" s="23">
        <v>5</v>
      </c>
      <c r="U762" s="28">
        <v>1891413.0025642219</v>
      </c>
      <c r="V762" s="24">
        <v>2.9370550552332651E-3</v>
      </c>
      <c r="W762" s="23">
        <v>3</v>
      </c>
      <c r="X762" s="28">
        <v>1864767.0358591112</v>
      </c>
      <c r="Y762" s="24">
        <v>2.8326227436605931E-3</v>
      </c>
      <c r="Z762" s="23">
        <v>2</v>
      </c>
      <c r="AA762" s="28">
        <v>1530055.9806497341</v>
      </c>
      <c r="AB762" s="24">
        <v>2.3589538358167227E-3</v>
      </c>
    </row>
    <row r="763" spans="1:28" x14ac:dyDescent="0.25">
      <c r="A763" t="s">
        <v>6048</v>
      </c>
      <c r="B763" t="s">
        <v>7750</v>
      </c>
      <c r="C763" t="s">
        <v>6051</v>
      </c>
      <c r="D763" s="2" t="s">
        <v>6049</v>
      </c>
      <c r="E763" s="2" t="s">
        <v>5</v>
      </c>
      <c r="G763" t="s">
        <v>6050</v>
      </c>
      <c r="H763" t="s">
        <v>23</v>
      </c>
      <c r="I763" s="17">
        <v>-1.32024064110335</v>
      </c>
      <c r="J763" s="17">
        <v>4.3898893868495201E-2</v>
      </c>
      <c r="K763" s="21">
        <v>3</v>
      </c>
      <c r="L763" s="27">
        <v>420978.93745908001</v>
      </c>
      <c r="M763" s="22">
        <v>6.1575849003408709E-4</v>
      </c>
      <c r="N763" s="21">
        <v>4</v>
      </c>
      <c r="O763" s="27">
        <v>644203.40090864268</v>
      </c>
      <c r="P763" s="22">
        <v>9.5051699553170784E-4</v>
      </c>
      <c r="Q763" s="21">
        <v>3</v>
      </c>
      <c r="R763" s="27">
        <v>559948.75150097627</v>
      </c>
      <c r="S763" s="22">
        <v>8.310527315047476E-4</v>
      </c>
      <c r="T763" s="23">
        <v>1</v>
      </c>
      <c r="U763" s="28">
        <v>432173.50309474289</v>
      </c>
      <c r="V763" s="24">
        <v>6.3107535615125501E-4</v>
      </c>
      <c r="W763" s="23">
        <v>1</v>
      </c>
      <c r="X763" s="28">
        <v>436012.17398582748</v>
      </c>
      <c r="Y763" s="24">
        <v>6.2281653979965094E-4</v>
      </c>
      <c r="Z763" s="23">
        <v>3</v>
      </c>
      <c r="AA763" s="28">
        <v>452147.2623633531</v>
      </c>
      <c r="AB763" s="24">
        <v>6.5552520384150076E-4</v>
      </c>
    </row>
    <row r="764" spans="1:28" x14ac:dyDescent="0.25">
      <c r="A764" t="s">
        <v>6197</v>
      </c>
      <c r="B764" t="s">
        <v>7798</v>
      </c>
      <c r="C764" t="s">
        <v>6198</v>
      </c>
      <c r="D764" s="2" t="s">
        <v>6155</v>
      </c>
      <c r="E764" s="2" t="s">
        <v>5</v>
      </c>
      <c r="H764" t="s">
        <v>104</v>
      </c>
      <c r="I764" s="17">
        <v>-1.32640472154935</v>
      </c>
      <c r="J764" s="17">
        <v>5.5204885786294096E-3</v>
      </c>
      <c r="K764" s="21">
        <v>20</v>
      </c>
      <c r="L764" s="27">
        <v>44196541.034774996</v>
      </c>
      <c r="M764" s="22">
        <v>9.3951465077571253E-2</v>
      </c>
      <c r="N764" s="21">
        <v>13</v>
      </c>
      <c r="O764" s="27">
        <v>49090651.423351906</v>
      </c>
      <c r="P764" s="22">
        <v>0.1052690983269063</v>
      </c>
      <c r="Q764" s="21">
        <v>18</v>
      </c>
      <c r="R764" s="27">
        <v>43497261.305047967</v>
      </c>
      <c r="S764" s="22">
        <v>9.3822596725777696E-2</v>
      </c>
      <c r="T764" s="23">
        <v>15</v>
      </c>
      <c r="U764" s="28">
        <v>34248821.365552776</v>
      </c>
      <c r="V764" s="24">
        <v>7.2683184924627192E-2</v>
      </c>
      <c r="W764" s="23">
        <v>15</v>
      </c>
      <c r="X764" s="28">
        <v>41967403.400389425</v>
      </c>
      <c r="Y764" s="24">
        <v>8.7124210553048531E-2</v>
      </c>
      <c r="Z764" s="23">
        <v>15</v>
      </c>
      <c r="AA764" s="28">
        <v>35896376.604653247</v>
      </c>
      <c r="AB764" s="24">
        <v>7.5635439716567707E-2</v>
      </c>
    </row>
    <row r="765" spans="1:28" x14ac:dyDescent="0.25">
      <c r="A765" t="s">
        <v>5977</v>
      </c>
      <c r="B765" t="s">
        <v>7729</v>
      </c>
      <c r="C765" t="s">
        <v>5979</v>
      </c>
      <c r="D765" s="2" t="s">
        <v>5978</v>
      </c>
      <c r="E765" s="2" t="s">
        <v>5</v>
      </c>
      <c r="H765" t="s">
        <v>17</v>
      </c>
      <c r="I765" s="17">
        <v>-1.3286361297796401</v>
      </c>
      <c r="J765" s="17">
        <v>9.2562292165399001E-3</v>
      </c>
      <c r="K765" s="21">
        <v>9</v>
      </c>
      <c r="L765" s="27">
        <v>2377468.2965800101</v>
      </c>
      <c r="M765" s="22">
        <v>4.0323982689717871E-3</v>
      </c>
      <c r="N765" s="21">
        <v>4</v>
      </c>
      <c r="O765" s="27">
        <v>2489438.2743576346</v>
      </c>
      <c r="P765" s="22">
        <v>4.2592867581182411E-3</v>
      </c>
      <c r="Q765" s="21">
        <v>6</v>
      </c>
      <c r="R765" s="27">
        <v>2657470.5103770792</v>
      </c>
      <c r="S765" s="22">
        <v>4.5734864726234611E-3</v>
      </c>
      <c r="T765" s="23">
        <v>6</v>
      </c>
      <c r="U765" s="28">
        <v>2114470.0186660988</v>
      </c>
      <c r="V765" s="24">
        <v>3.5803316740588569E-3</v>
      </c>
      <c r="W765" s="23">
        <v>4</v>
      </c>
      <c r="X765" s="28">
        <v>1997004.4089183325</v>
      </c>
      <c r="Y765" s="24">
        <v>3.3077995969195764E-3</v>
      </c>
      <c r="Z765" s="23">
        <v>5</v>
      </c>
      <c r="AA765" s="28">
        <v>2002914.8202681062</v>
      </c>
      <c r="AB765" s="24">
        <v>3.3672131825774592E-3</v>
      </c>
    </row>
    <row r="766" spans="1:28" x14ac:dyDescent="0.25">
      <c r="A766" t="s">
        <v>6150</v>
      </c>
      <c r="B766" t="s">
        <v>7783</v>
      </c>
      <c r="C766" t="s">
        <v>6153</v>
      </c>
      <c r="D766" s="2" t="s">
        <v>6151</v>
      </c>
      <c r="E766" s="2" t="s">
        <v>5</v>
      </c>
      <c r="G766" t="s">
        <v>6152</v>
      </c>
      <c r="H766" t="s">
        <v>104</v>
      </c>
      <c r="I766" s="17">
        <v>-1.33550320380011</v>
      </c>
      <c r="J766" s="17">
        <v>2.69056287590165E-2</v>
      </c>
      <c r="K766" s="21">
        <v>11</v>
      </c>
      <c r="L766" s="27">
        <v>6949926.9643020099</v>
      </c>
      <c r="M766" s="22">
        <v>1.8390762178529786E-2</v>
      </c>
      <c r="N766" s="21">
        <v>5</v>
      </c>
      <c r="O766" s="27">
        <v>6299125.3203306524</v>
      </c>
      <c r="P766" s="22">
        <v>1.6814601096020627E-2</v>
      </c>
      <c r="Q766" s="21">
        <v>12</v>
      </c>
      <c r="R766" s="27">
        <v>7528003.2366107842</v>
      </c>
      <c r="S766" s="22">
        <v>2.0212942681635909E-2</v>
      </c>
      <c r="T766" s="23">
        <v>5</v>
      </c>
      <c r="U766" s="28">
        <v>5795982.6984656304</v>
      </c>
      <c r="V766" s="24">
        <v>1.5311566035908206E-2</v>
      </c>
      <c r="W766" s="23">
        <v>4</v>
      </c>
      <c r="X766" s="28">
        <v>5815386.8328718599</v>
      </c>
      <c r="Y766" s="24">
        <v>1.5028290358902232E-2</v>
      </c>
      <c r="Z766" s="23">
        <v>5</v>
      </c>
      <c r="AA766" s="28">
        <v>5254540.624473881</v>
      </c>
      <c r="AB766" s="24">
        <v>1.3782045816775423E-2</v>
      </c>
    </row>
    <row r="767" spans="1:28" x14ac:dyDescent="0.25">
      <c r="A767" t="s">
        <v>6191</v>
      </c>
      <c r="B767" t="s">
        <v>7796</v>
      </c>
      <c r="C767" t="s">
        <v>6193</v>
      </c>
      <c r="D767" s="2" t="s">
        <v>6192</v>
      </c>
      <c r="E767" s="2" t="s">
        <v>5</v>
      </c>
      <c r="H767" t="s">
        <v>17</v>
      </c>
      <c r="I767" s="17">
        <v>-1.3416999048790299</v>
      </c>
      <c r="J767" s="17">
        <v>2.3277816657213301E-2</v>
      </c>
      <c r="K767" s="21">
        <v>24</v>
      </c>
      <c r="L767" s="27">
        <v>22681433.866188101</v>
      </c>
      <c r="M767" s="22">
        <v>2.6885911249767441E-2</v>
      </c>
      <c r="N767" s="21">
        <v>18</v>
      </c>
      <c r="O767" s="27">
        <v>26100940.412731294</v>
      </c>
      <c r="P767" s="22">
        <v>3.1210249617226987E-2</v>
      </c>
      <c r="Q767" s="21">
        <v>25</v>
      </c>
      <c r="R767" s="27">
        <v>21847955.671846136</v>
      </c>
      <c r="S767" s="22">
        <v>2.6278182242805068E-2</v>
      </c>
      <c r="T767" s="23">
        <v>19</v>
      </c>
      <c r="U767" s="28">
        <v>19450306.28908059</v>
      </c>
      <c r="V767" s="24">
        <v>2.3017266329812335E-2</v>
      </c>
      <c r="W767" s="23">
        <v>17</v>
      </c>
      <c r="X767" s="28">
        <v>18239057.507392962</v>
      </c>
      <c r="Y767" s="24">
        <v>2.1113883852414153E-2</v>
      </c>
      <c r="Z767" s="23">
        <v>16</v>
      </c>
      <c r="AA767" s="28">
        <v>19171157.689274054</v>
      </c>
      <c r="AB767" s="24">
        <v>2.2524856953311908E-2</v>
      </c>
    </row>
    <row r="768" spans="1:28" x14ac:dyDescent="0.25">
      <c r="A768" t="s">
        <v>6154</v>
      </c>
      <c r="B768" t="s">
        <v>7784</v>
      </c>
      <c r="C768" t="s">
        <v>6156</v>
      </c>
      <c r="D768" s="2" t="s">
        <v>6155</v>
      </c>
      <c r="E768" s="2" t="s">
        <v>5</v>
      </c>
      <c r="G768" t="s">
        <v>6148</v>
      </c>
      <c r="H768" t="s">
        <v>104</v>
      </c>
      <c r="I768" s="17">
        <v>-1.3465434310270501</v>
      </c>
      <c r="J768" s="17">
        <v>5.1445232909235403E-2</v>
      </c>
      <c r="K768" s="21">
        <v>13</v>
      </c>
      <c r="L768" s="27">
        <v>6966237.2446011202</v>
      </c>
      <c r="M768" s="22">
        <v>1.4759386154425227E-2</v>
      </c>
      <c r="N768" s="21">
        <v>8</v>
      </c>
      <c r="O768" s="27">
        <v>9431345.8217585329</v>
      </c>
      <c r="P768" s="22">
        <v>2.0157215393558164E-2</v>
      </c>
      <c r="Q768" s="21">
        <v>10</v>
      </c>
      <c r="R768" s="27">
        <v>7406434.2036216734</v>
      </c>
      <c r="S768" s="22">
        <v>1.5922434219458305E-2</v>
      </c>
      <c r="T768" s="23">
        <v>6</v>
      </c>
      <c r="U768" s="28">
        <v>6379103.5789971482</v>
      </c>
      <c r="V768" s="24">
        <v>1.3492820172134387E-2</v>
      </c>
      <c r="W768" s="23">
        <v>6</v>
      </c>
      <c r="X768" s="28">
        <v>7449145.3760470506</v>
      </c>
      <c r="Y768" s="24">
        <v>1.5413027935240879E-2</v>
      </c>
      <c r="Z768" s="23">
        <v>4</v>
      </c>
      <c r="AA768" s="28">
        <v>5306819.6681076642</v>
      </c>
      <c r="AB768" s="24">
        <v>1.1144582725931421E-2</v>
      </c>
    </row>
    <row r="769" spans="1:28" x14ac:dyDescent="0.25">
      <c r="A769" t="s">
        <v>6160</v>
      </c>
      <c r="B769" t="s">
        <v>7786</v>
      </c>
      <c r="C769" t="s">
        <v>6163</v>
      </c>
      <c r="D769" s="2" t="s">
        <v>6161</v>
      </c>
      <c r="E769" s="2" t="s">
        <v>5</v>
      </c>
      <c r="G769" t="s">
        <v>6162</v>
      </c>
      <c r="H769" t="s">
        <v>104</v>
      </c>
      <c r="I769" s="17">
        <v>-1.3903229540011099</v>
      </c>
      <c r="J769" s="17">
        <v>7.2763539508097094E-2</v>
      </c>
      <c r="K769" s="21">
        <v>3</v>
      </c>
      <c r="L769" s="27">
        <v>1164721.0992088199</v>
      </c>
      <c r="M769" s="22">
        <v>1.2338489102386222E-3</v>
      </c>
      <c r="N769" s="21">
        <v>2</v>
      </c>
      <c r="O769" s="27">
        <v>1029332.3233216123</v>
      </c>
      <c r="P769" s="22">
        <v>1.0999741577112857E-3</v>
      </c>
      <c r="Q769" s="21">
        <v>2</v>
      </c>
      <c r="R769" s="27">
        <v>922266.67998237209</v>
      </c>
      <c r="S769" s="22">
        <v>9.913495577694349E-4</v>
      </c>
      <c r="T769" s="23">
        <v>1</v>
      </c>
      <c r="U769" s="28">
        <v>830516.72875419364</v>
      </c>
      <c r="V769" s="24">
        <v>8.7833758554452994E-4</v>
      </c>
      <c r="W769" s="23">
        <v>1</v>
      </c>
      <c r="X769" s="28">
        <v>745675.82674901909</v>
      </c>
      <c r="Y769" s="24">
        <v>7.714389885095374E-4</v>
      </c>
      <c r="Z769" s="23">
        <v>1</v>
      </c>
      <c r="AA769" s="28">
        <v>859431.23655838007</v>
      </c>
      <c r="AB769" s="24">
        <v>9.0242396690387063E-4</v>
      </c>
    </row>
    <row r="770" spans="1:28" x14ac:dyDescent="0.25">
      <c r="A770" t="s">
        <v>6104</v>
      </c>
      <c r="B770" t="s">
        <v>7768</v>
      </c>
      <c r="C770" t="s">
        <v>6107</v>
      </c>
      <c r="D770" s="2" t="s">
        <v>6105</v>
      </c>
      <c r="E770" s="2" t="s">
        <v>5</v>
      </c>
      <c r="G770" t="s">
        <v>6106</v>
      </c>
      <c r="H770" t="s">
        <v>29</v>
      </c>
      <c r="I770" s="17">
        <v>-1.3962899272245399</v>
      </c>
      <c r="J770" s="17">
        <v>2.1596764551339999E-2</v>
      </c>
      <c r="K770" s="21">
        <v>10</v>
      </c>
      <c r="L770" s="27">
        <v>13118999.873955</v>
      </c>
      <c r="M770" s="22">
        <v>1.9057798809963698E-2</v>
      </c>
      <c r="N770" s="21">
        <v>9</v>
      </c>
      <c r="O770" s="27">
        <v>15201285.166122383</v>
      </c>
      <c r="P770" s="22">
        <v>2.227609947282571E-2</v>
      </c>
      <c r="Q770" s="21">
        <v>9</v>
      </c>
      <c r="R770" s="27">
        <v>11630572.839566508</v>
      </c>
      <c r="S770" s="22">
        <v>1.7143653295517938E-2</v>
      </c>
      <c r="T770" s="23">
        <v>6</v>
      </c>
      <c r="U770" s="28">
        <v>9524932.6687780432</v>
      </c>
      <c r="V770" s="24">
        <v>1.3813602926988477E-2</v>
      </c>
      <c r="W770" s="23">
        <v>4</v>
      </c>
      <c r="X770" s="28">
        <v>10901961.0991525</v>
      </c>
      <c r="Y770" s="24">
        <v>1.5466360150343552E-2</v>
      </c>
      <c r="Z770" s="23">
        <v>8</v>
      </c>
      <c r="AA770" s="28">
        <v>10640504.683223326</v>
      </c>
      <c r="AB770" s="24">
        <v>1.5321231856964967E-2</v>
      </c>
    </row>
    <row r="771" spans="1:28" x14ac:dyDescent="0.25">
      <c r="A771" t="s">
        <v>6146</v>
      </c>
      <c r="B771" t="s">
        <v>7782</v>
      </c>
      <c r="C771" t="s">
        <v>6149</v>
      </c>
      <c r="D771" s="2" t="s">
        <v>6147</v>
      </c>
      <c r="E771" s="2" t="s">
        <v>5</v>
      </c>
      <c r="G771" t="s">
        <v>6148</v>
      </c>
      <c r="H771" t="s">
        <v>104</v>
      </c>
      <c r="I771" s="17">
        <v>-1.4138116294187599</v>
      </c>
      <c r="J771" s="17">
        <v>1.8652081894487901E-2</v>
      </c>
      <c r="K771" s="21">
        <v>4</v>
      </c>
      <c r="L771" s="27">
        <v>3810061.5288164699</v>
      </c>
      <c r="M771" s="22">
        <v>6.0896961496068915E-3</v>
      </c>
      <c r="N771" s="21">
        <v>3</v>
      </c>
      <c r="O771" s="27">
        <v>4145644.8292526738</v>
      </c>
      <c r="P771" s="22">
        <v>6.6840941543039063E-3</v>
      </c>
      <c r="Q771" s="21">
        <v>4</v>
      </c>
      <c r="R771" s="27">
        <v>3525946.3536143382</v>
      </c>
      <c r="S771" s="22">
        <v>5.7183350037665224E-3</v>
      </c>
      <c r="T771" s="23">
        <v>3</v>
      </c>
      <c r="U771" s="28">
        <v>2687048.012845933</v>
      </c>
      <c r="V771" s="24">
        <v>4.2875787005764495E-3</v>
      </c>
      <c r="W771" s="23">
        <v>2</v>
      </c>
      <c r="X771" s="28">
        <v>2851827.7391688623</v>
      </c>
      <c r="Y771" s="24">
        <v>4.4514182755163471E-3</v>
      </c>
      <c r="Z771" s="23">
        <v>2</v>
      </c>
      <c r="AA771" s="28">
        <v>3264485.0766776227</v>
      </c>
      <c r="AB771" s="24">
        <v>5.1717529373371549E-3</v>
      </c>
    </row>
    <row r="772" spans="1:28" x14ac:dyDescent="0.25">
      <c r="A772" t="s">
        <v>6045</v>
      </c>
      <c r="B772" t="s">
        <v>7749</v>
      </c>
      <c r="C772" t="s">
        <v>6047</v>
      </c>
      <c r="D772" s="2" t="s">
        <v>6046</v>
      </c>
      <c r="E772" s="2" t="s">
        <v>5</v>
      </c>
      <c r="G772" t="s">
        <v>2058</v>
      </c>
      <c r="H772" t="s">
        <v>23</v>
      </c>
      <c r="I772" s="17">
        <v>-1.46098838817009</v>
      </c>
      <c r="J772" s="17">
        <v>2.3244000794893499E-2</v>
      </c>
      <c r="K772" s="21">
        <v>7</v>
      </c>
      <c r="L772" s="27">
        <v>4203054.7437340198</v>
      </c>
      <c r="M772" s="22">
        <v>8.9645891088626726E-3</v>
      </c>
      <c r="N772" s="21">
        <v>2</v>
      </c>
      <c r="O772" s="27">
        <v>3613481.2103077723</v>
      </c>
      <c r="P772" s="22">
        <v>7.7745985870691968E-3</v>
      </c>
      <c r="Q772" s="21">
        <v>8</v>
      </c>
      <c r="R772" s="27">
        <v>4750452.9183040531</v>
      </c>
      <c r="S772" s="22">
        <v>1.0280887804874106E-2</v>
      </c>
      <c r="T772" s="23">
        <v>1</v>
      </c>
      <c r="U772" s="28">
        <v>3210462.8882420454</v>
      </c>
      <c r="V772" s="24">
        <v>6.836062734507967E-3</v>
      </c>
      <c r="W772" s="23">
        <v>1</v>
      </c>
      <c r="X772" s="28">
        <v>3162290.8139853994</v>
      </c>
      <c r="Y772" s="24">
        <v>6.5868629800549822E-3</v>
      </c>
      <c r="Z772" s="23">
        <v>2</v>
      </c>
      <c r="AA772" s="28">
        <v>2947736.5562050757</v>
      </c>
      <c r="AB772" s="24">
        <v>6.2317992827191776E-3</v>
      </c>
    </row>
    <row r="773" spans="1:28" x14ac:dyDescent="0.25">
      <c r="A773" t="s">
        <v>6000</v>
      </c>
      <c r="B773" t="s">
        <v>7736</v>
      </c>
      <c r="C773" t="s">
        <v>6003</v>
      </c>
      <c r="D773" s="2" t="s">
        <v>6001</v>
      </c>
      <c r="E773" s="2" t="s">
        <v>5</v>
      </c>
      <c r="H773" t="s">
        <v>6002</v>
      </c>
      <c r="I773" s="17">
        <v>-1.4673686353295099</v>
      </c>
      <c r="J773" s="17">
        <v>0.15843613304008899</v>
      </c>
      <c r="K773" s="21">
        <v>3</v>
      </c>
      <c r="L773" s="27">
        <v>2587648.3722915701</v>
      </c>
      <c r="M773" s="22">
        <v>4.8679049878926559E-3</v>
      </c>
      <c r="N773" s="21">
        <v>4</v>
      </c>
      <c r="O773" s="27">
        <v>4674428.6581651187</v>
      </c>
      <c r="P773" s="22">
        <v>8.8705837449977974E-3</v>
      </c>
      <c r="Q773" s="21">
        <v>3</v>
      </c>
      <c r="R773" s="27">
        <v>2506959.6591972141</v>
      </c>
      <c r="S773" s="22">
        <v>4.7853580405092201E-3</v>
      </c>
      <c r="T773" s="23">
        <v>1</v>
      </c>
      <c r="U773" s="28">
        <v>1888359.8782420743</v>
      </c>
      <c r="V773" s="24">
        <v>3.5464565236663459E-3</v>
      </c>
      <c r="W773" s="23">
        <v>1</v>
      </c>
      <c r="X773" s="28">
        <v>2690419.1771263257</v>
      </c>
      <c r="Y773" s="24">
        <v>4.9427456539424697E-3</v>
      </c>
      <c r="Z773" s="23">
        <v>1</v>
      </c>
      <c r="AA773" s="28">
        <v>2617416.0773429424</v>
      </c>
      <c r="AB773" s="24">
        <v>4.8805531354826738E-3</v>
      </c>
    </row>
    <row r="774" spans="1:28" x14ac:dyDescent="0.25">
      <c r="A774" t="s">
        <v>6142</v>
      </c>
      <c r="B774" t="s">
        <v>7781</v>
      </c>
      <c r="C774" t="s">
        <v>6145</v>
      </c>
      <c r="D774" s="2" t="s">
        <v>6143</v>
      </c>
      <c r="E774" s="2" t="s">
        <v>5</v>
      </c>
      <c r="G774" t="s">
        <v>6144</v>
      </c>
      <c r="H774" t="s">
        <v>104</v>
      </c>
      <c r="I774" s="17">
        <v>-1.4899958322831699</v>
      </c>
      <c r="J774" s="17">
        <v>1.7717843713503999E-2</v>
      </c>
      <c r="K774" s="21">
        <v>5</v>
      </c>
      <c r="L774" s="27">
        <v>1568721.41607511</v>
      </c>
      <c r="M774" s="22">
        <v>9.5733969169194643E-4</v>
      </c>
      <c r="N774" s="21">
        <v>2</v>
      </c>
      <c r="O774" s="27">
        <v>1600702.0742076305</v>
      </c>
      <c r="P774" s="22">
        <v>9.8541139467807543E-4</v>
      </c>
      <c r="Q774" s="21">
        <v>4</v>
      </c>
      <c r="R774" s="27">
        <v>1550918.3060984528</v>
      </c>
      <c r="S774" s="22">
        <v>9.6037184973429075E-4</v>
      </c>
      <c r="T774" s="23">
        <v>0</v>
      </c>
      <c r="U774" s="28">
        <v>1219007.216536548</v>
      </c>
      <c r="V774" s="24">
        <v>7.4267629148264699E-4</v>
      </c>
      <c r="W774" s="23">
        <v>1</v>
      </c>
      <c r="X774" s="28">
        <v>1016078.4724198907</v>
      </c>
      <c r="Y774" s="24">
        <v>6.0556249661930929E-4</v>
      </c>
      <c r="Z774" s="23">
        <v>1</v>
      </c>
      <c r="AA774" s="28">
        <v>1182940.732366516</v>
      </c>
      <c r="AB774" s="24">
        <v>7.1555442803868401E-4</v>
      </c>
    </row>
    <row r="775" spans="1:28" x14ac:dyDescent="0.25">
      <c r="A775" t="s">
        <v>6087</v>
      </c>
      <c r="B775" t="s">
        <v>7763</v>
      </c>
      <c r="C775" t="s">
        <v>6090</v>
      </c>
      <c r="D775" s="2" t="s">
        <v>6088</v>
      </c>
      <c r="E775" s="2" t="s">
        <v>5</v>
      </c>
      <c r="G775" t="s">
        <v>6089</v>
      </c>
      <c r="H775" t="s">
        <v>57</v>
      </c>
      <c r="I775" s="17">
        <v>-1.49398366231536</v>
      </c>
      <c r="J775" s="17">
        <v>6.6832283083582099E-3</v>
      </c>
      <c r="K775" s="21">
        <v>9</v>
      </c>
      <c r="L775" s="27">
        <v>8206263.39906721</v>
      </c>
      <c r="M775" s="22">
        <v>7.8697391492493305E-3</v>
      </c>
      <c r="N775" s="21">
        <v>6</v>
      </c>
      <c r="O775" s="27">
        <v>8486602.1425500382</v>
      </c>
      <c r="P775" s="22">
        <v>8.2098563828702301E-3</v>
      </c>
      <c r="Q775" s="21">
        <v>11</v>
      </c>
      <c r="R775" s="27">
        <v>8208647.832609063</v>
      </c>
      <c r="S775" s="22">
        <v>7.9876084648906939E-3</v>
      </c>
      <c r="T775" s="23">
        <v>7</v>
      </c>
      <c r="U775" s="28">
        <v>6201194.0619154247</v>
      </c>
      <c r="V775" s="24">
        <v>5.9369480822598639E-3</v>
      </c>
      <c r="W775" s="23">
        <v>6</v>
      </c>
      <c r="X775" s="28">
        <v>5658803.6569101289</v>
      </c>
      <c r="Y775" s="24">
        <v>5.2996964024067837E-3</v>
      </c>
      <c r="Z775" s="23">
        <v>7</v>
      </c>
      <c r="AA775" s="28">
        <v>6152300.4575081822</v>
      </c>
      <c r="AB775" s="24">
        <v>5.8480606677879686E-3</v>
      </c>
    </row>
    <row r="776" spans="1:28" x14ac:dyDescent="0.25">
      <c r="A776" t="s">
        <v>6139</v>
      </c>
      <c r="B776" t="s">
        <v>7780</v>
      </c>
      <c r="C776" t="s">
        <v>6141</v>
      </c>
      <c r="D776" s="2" t="s">
        <v>6140</v>
      </c>
      <c r="E776" s="2" t="s">
        <v>5</v>
      </c>
      <c r="G776" t="s">
        <v>6106</v>
      </c>
      <c r="H776" t="s">
        <v>104</v>
      </c>
      <c r="I776" s="17">
        <v>-1.5023036084975401</v>
      </c>
      <c r="J776" s="17">
        <v>1.0401541411920699E-2</v>
      </c>
      <c r="K776" s="21">
        <v>15</v>
      </c>
      <c r="L776" s="27">
        <v>21177612.486184701</v>
      </c>
      <c r="M776" s="22">
        <v>3.2543587817649086E-2</v>
      </c>
      <c r="N776" s="21">
        <v>11</v>
      </c>
      <c r="O776" s="27">
        <v>19416610.948143184</v>
      </c>
      <c r="P776" s="22">
        <v>3.0098766278869919E-2</v>
      </c>
      <c r="Q776" s="21">
        <v>16</v>
      </c>
      <c r="R776" s="27">
        <v>23430382.147466004</v>
      </c>
      <c r="S776" s="22">
        <v>3.6534070722111657E-2</v>
      </c>
      <c r="T776" s="23">
        <v>16</v>
      </c>
      <c r="U776" s="28">
        <v>16133505.67273121</v>
      </c>
      <c r="V776" s="24">
        <v>2.4750855991969294E-2</v>
      </c>
      <c r="W776" s="23">
        <v>9</v>
      </c>
      <c r="X776" s="28">
        <v>16035089.634545749</v>
      </c>
      <c r="Y776" s="24">
        <v>2.4064193240334694E-2</v>
      </c>
      <c r="Z776" s="23">
        <v>11</v>
      </c>
      <c r="AA776" s="28">
        <v>14005596.905547118</v>
      </c>
      <c r="AB776" s="24">
        <v>2.1332880664451982E-2</v>
      </c>
    </row>
    <row r="777" spans="1:28" x14ac:dyDescent="0.25">
      <c r="A777" t="s">
        <v>5984</v>
      </c>
      <c r="B777" t="s">
        <v>7731</v>
      </c>
      <c r="C777" t="s">
        <v>5986</v>
      </c>
      <c r="D777" s="2" t="s">
        <v>5985</v>
      </c>
      <c r="E777" s="2" t="s">
        <v>5</v>
      </c>
      <c r="H777" t="s">
        <v>17</v>
      </c>
      <c r="I777" s="17">
        <v>-1.51392343362251</v>
      </c>
      <c r="J777" s="17">
        <v>0.257766216714855</v>
      </c>
      <c r="K777" s="21">
        <v>0</v>
      </c>
      <c r="L777" s="27">
        <v>465300.56701425399</v>
      </c>
      <c r="M777" s="22">
        <v>6.9984885335370181E-4</v>
      </c>
      <c r="N777" s="21">
        <v>0</v>
      </c>
      <c r="O777" s="27">
        <v>261943.54611988453</v>
      </c>
      <c r="P777" s="22">
        <v>3.9743417467086089E-4</v>
      </c>
      <c r="Q777" s="21">
        <v>3</v>
      </c>
      <c r="R777" s="27">
        <v>619094.19304802059</v>
      </c>
      <c r="S777" s="22">
        <v>9.4483867902032893E-4</v>
      </c>
      <c r="T777" s="23">
        <v>0</v>
      </c>
      <c r="U777" s="28">
        <v>302923.69958643126</v>
      </c>
      <c r="V777" s="24">
        <v>4.5485918567103047E-4</v>
      </c>
      <c r="W777" s="23">
        <v>0</v>
      </c>
      <c r="X777" s="28">
        <v>326769.81470604328</v>
      </c>
      <c r="Y777" s="24">
        <v>4.7998104445293741E-4</v>
      </c>
      <c r="Z777" s="23">
        <v>0</v>
      </c>
      <c r="AA777" s="28">
        <v>336804.03370749741</v>
      </c>
      <c r="AB777" s="24">
        <v>5.0211986735569289E-4</v>
      </c>
    </row>
    <row r="778" spans="1:28" x14ac:dyDescent="0.25">
      <c r="A778" t="s">
        <v>6137</v>
      </c>
      <c r="B778" t="s">
        <v>7779</v>
      </c>
      <c r="C778" t="s">
        <v>6138</v>
      </c>
      <c r="D778" s="2" t="s">
        <v>6001</v>
      </c>
      <c r="E778" s="2" t="s">
        <v>5</v>
      </c>
      <c r="G778" t="s">
        <v>6131</v>
      </c>
      <c r="H778" t="s">
        <v>104</v>
      </c>
      <c r="I778" s="17">
        <v>-1.53872624146394</v>
      </c>
      <c r="J778" s="17">
        <v>3.5824794794440597E-2</v>
      </c>
      <c r="K778" s="21">
        <v>5</v>
      </c>
      <c r="L778" s="27">
        <v>2112851.7679224</v>
      </c>
      <c r="M778" s="22">
        <v>3.2944449232161915E-3</v>
      </c>
      <c r="N778" s="21">
        <v>4</v>
      </c>
      <c r="O778" s="27">
        <v>2924321.7001739745</v>
      </c>
      <c r="P778" s="22">
        <v>4.5996543986979149E-3</v>
      </c>
      <c r="Q778" s="21">
        <v>5</v>
      </c>
      <c r="R778" s="27">
        <v>1870743.4144846962</v>
      </c>
      <c r="S778" s="22">
        <v>2.9597682489080099E-3</v>
      </c>
      <c r="T778" s="23">
        <v>3</v>
      </c>
      <c r="U778" s="28">
        <v>1528259.6100313554</v>
      </c>
      <c r="V778" s="24">
        <v>2.3789395213357836E-3</v>
      </c>
      <c r="W778" s="23">
        <v>1</v>
      </c>
      <c r="X778" s="28">
        <v>1637317.9274471723</v>
      </c>
      <c r="Y778" s="24">
        <v>2.4932034560176488E-3</v>
      </c>
      <c r="Z778" s="23">
        <v>1</v>
      </c>
      <c r="AA778" s="28">
        <v>1686738.7738930397</v>
      </c>
      <c r="AB778" s="24">
        <v>2.6068767470664184E-3</v>
      </c>
    </row>
    <row r="779" spans="1:28" x14ac:dyDescent="0.25">
      <c r="A779" t="s">
        <v>6071</v>
      </c>
      <c r="B779" t="s">
        <v>7757</v>
      </c>
      <c r="C779" t="s">
        <v>6072</v>
      </c>
      <c r="D779" s="2" t="s">
        <v>6065</v>
      </c>
      <c r="E779" s="2" t="s">
        <v>5</v>
      </c>
      <c r="G779" t="s">
        <v>6066</v>
      </c>
      <c r="H779" t="s">
        <v>23</v>
      </c>
      <c r="I779" s="17">
        <v>-1.58815735567804</v>
      </c>
      <c r="J779" s="17">
        <v>0.26140539356565501</v>
      </c>
      <c r="K779" s="21">
        <v>2</v>
      </c>
      <c r="L779" s="27">
        <v>969141.75620801002</v>
      </c>
      <c r="M779" s="22">
        <v>8.9056242171568778E-4</v>
      </c>
      <c r="N779" s="21">
        <v>2</v>
      </c>
      <c r="O779" s="27">
        <v>452197.6997686766</v>
      </c>
      <c r="P779" s="22">
        <v>4.1917197705752953E-4</v>
      </c>
      <c r="Q779" s="21">
        <v>2</v>
      </c>
      <c r="R779" s="27">
        <v>854491.2056742569</v>
      </c>
      <c r="S779" s="22">
        <v>7.9673687303557237E-4</v>
      </c>
      <c r="T779" s="23">
        <v>1</v>
      </c>
      <c r="U779" s="28">
        <v>662947.50455876545</v>
      </c>
      <c r="V779" s="24">
        <v>6.0817595203246303E-4</v>
      </c>
      <c r="W779" s="23">
        <v>1</v>
      </c>
      <c r="X779" s="28">
        <v>375825.52460422157</v>
      </c>
      <c r="Y779" s="24">
        <v>3.3726774823601951E-4</v>
      </c>
      <c r="Z779" s="23">
        <v>1</v>
      </c>
      <c r="AA779" s="28">
        <v>514453.06118834938</v>
      </c>
      <c r="AB779" s="24">
        <v>4.6857839793681158E-4</v>
      </c>
    </row>
    <row r="780" spans="1:28" x14ac:dyDescent="0.25">
      <c r="A780" t="s">
        <v>6042</v>
      </c>
      <c r="B780" t="s">
        <v>7748</v>
      </c>
      <c r="C780" t="s">
        <v>6044</v>
      </c>
      <c r="D780" s="2" t="s">
        <v>6043</v>
      </c>
      <c r="E780" s="2" t="s">
        <v>5</v>
      </c>
      <c r="G780" t="s">
        <v>2045</v>
      </c>
      <c r="H780" t="s">
        <v>23</v>
      </c>
      <c r="I780" s="17">
        <v>-1.5984655067822</v>
      </c>
      <c r="J780" s="17">
        <v>5.4921440997853796E-3</v>
      </c>
      <c r="K780" s="21">
        <v>8</v>
      </c>
      <c r="L780" s="27">
        <v>12433835.3118403</v>
      </c>
      <c r="M780" s="22">
        <v>1.5190467434079818E-2</v>
      </c>
      <c r="N780" s="21">
        <v>6</v>
      </c>
      <c r="O780" s="27">
        <v>12300938.152273379</v>
      </c>
      <c r="P780" s="22">
        <v>1.5159717018470251E-2</v>
      </c>
      <c r="Q780" s="21">
        <v>7</v>
      </c>
      <c r="R780" s="27">
        <v>12034909.968582919</v>
      </c>
      <c r="S780" s="22">
        <v>1.4918980029922245E-2</v>
      </c>
      <c r="T780" s="23">
        <v>6</v>
      </c>
      <c r="U780" s="28">
        <v>8792767.4279828034</v>
      </c>
      <c r="V780" s="24">
        <v>1.0724193882051239E-2</v>
      </c>
      <c r="W780" s="23">
        <v>6</v>
      </c>
      <c r="X780" s="28">
        <v>7909179.7147800447</v>
      </c>
      <c r="Y780" s="24">
        <v>9.4364567119657149E-3</v>
      </c>
      <c r="Z780" s="23">
        <v>6</v>
      </c>
      <c r="AA780" s="28">
        <v>8181599.2945196098</v>
      </c>
      <c r="AB780" s="24">
        <v>9.9074908600147032E-3</v>
      </c>
    </row>
    <row r="781" spans="1:28" x14ac:dyDescent="0.25">
      <c r="A781" t="s">
        <v>6187</v>
      </c>
      <c r="B781" t="s">
        <v>7795</v>
      </c>
      <c r="C781" t="s">
        <v>6190</v>
      </c>
      <c r="D781" s="2" t="s">
        <v>6188</v>
      </c>
      <c r="E781" s="2" t="s">
        <v>5</v>
      </c>
      <c r="G781" t="s">
        <v>6189</v>
      </c>
      <c r="H781" t="s">
        <v>1055</v>
      </c>
      <c r="I781" s="17">
        <v>-1.6336121723730499</v>
      </c>
      <c r="J781" s="17">
        <v>6.1442996939778897E-3</v>
      </c>
      <c r="K781" s="21">
        <v>4</v>
      </c>
      <c r="L781" s="27">
        <v>5137638.3788227402</v>
      </c>
      <c r="M781" s="22">
        <v>1.2505434082975534E-2</v>
      </c>
      <c r="N781" s="21">
        <v>0</v>
      </c>
      <c r="O781" s="27">
        <v>4804420.3948076097</v>
      </c>
      <c r="P781" s="22">
        <v>1.1796768942420613E-2</v>
      </c>
      <c r="Q781" s="21">
        <v>4</v>
      </c>
      <c r="R781" s="27">
        <v>4541495.4814270483</v>
      </c>
      <c r="S781" s="22">
        <v>1.1216681418073301E-2</v>
      </c>
      <c r="T781" s="23">
        <v>1</v>
      </c>
      <c r="U781" s="28">
        <v>3037066.3650082769</v>
      </c>
      <c r="V781" s="24">
        <v>7.3801054063464717E-3</v>
      </c>
      <c r="W781" s="23">
        <v>1</v>
      </c>
      <c r="X781" s="28">
        <v>3744776.2435970805</v>
      </c>
      <c r="Y781" s="24">
        <v>8.9016926011150944E-3</v>
      </c>
      <c r="Z781" s="23">
        <v>3</v>
      </c>
      <c r="AA781" s="28">
        <v>2904029.4682389223</v>
      </c>
      <c r="AB781" s="24">
        <v>7.0064125463780089E-3</v>
      </c>
    </row>
    <row r="782" spans="1:28" x14ac:dyDescent="0.25">
      <c r="A782" t="s">
        <v>6007</v>
      </c>
      <c r="B782" t="s">
        <v>7738</v>
      </c>
      <c r="C782" t="s">
        <v>6010</v>
      </c>
      <c r="D782" s="2" t="s">
        <v>6008</v>
      </c>
      <c r="E782" s="2" t="s">
        <v>5</v>
      </c>
      <c r="F782" t="s">
        <v>6009</v>
      </c>
      <c r="H782" t="s">
        <v>78</v>
      </c>
      <c r="I782" s="17">
        <v>-1.6971788567025601</v>
      </c>
      <c r="J782" s="17">
        <v>1.0646861963969901E-4</v>
      </c>
      <c r="K782" s="21">
        <v>10</v>
      </c>
      <c r="L782" s="27">
        <v>7128386.1135134203</v>
      </c>
      <c r="M782" s="22">
        <v>1.2733844131959379E-2</v>
      </c>
      <c r="N782" s="21">
        <v>7</v>
      </c>
      <c r="O782" s="27">
        <v>7511935.0844049118</v>
      </c>
      <c r="P782" s="22">
        <v>1.3536518238678357E-2</v>
      </c>
      <c r="Q782" s="21">
        <v>9</v>
      </c>
      <c r="R782" s="27">
        <v>8089991.265993759</v>
      </c>
      <c r="S782" s="22">
        <v>1.4663803305099246E-2</v>
      </c>
      <c r="T782" s="23">
        <v>7</v>
      </c>
      <c r="U782" s="28">
        <v>4720181.2466076538</v>
      </c>
      <c r="V782" s="24">
        <v>8.4178277141527796E-3</v>
      </c>
      <c r="W782" s="23">
        <v>8</v>
      </c>
      <c r="X782" s="28">
        <v>5208074.0561135663</v>
      </c>
      <c r="Y782" s="24">
        <v>9.0856697348453627E-3</v>
      </c>
      <c r="Z782" s="23">
        <v>8</v>
      </c>
      <c r="AA782" s="28">
        <v>4580212.2447143169</v>
      </c>
      <c r="AB782" s="24">
        <v>8.1098601518532834E-3</v>
      </c>
    </row>
    <row r="783" spans="1:28" x14ac:dyDescent="0.25">
      <c r="A783" t="s">
        <v>6026</v>
      </c>
      <c r="B783" t="s">
        <v>7744</v>
      </c>
      <c r="C783" t="s">
        <v>6030</v>
      </c>
      <c r="D783" s="2" t="s">
        <v>6027</v>
      </c>
      <c r="E783" s="2" t="s">
        <v>5</v>
      </c>
      <c r="F783" t="s">
        <v>6028</v>
      </c>
      <c r="H783" t="s">
        <v>6029</v>
      </c>
      <c r="I783" s="17">
        <v>-1.72027023172864</v>
      </c>
      <c r="J783" s="17">
        <v>3.2228888096651503E-2</v>
      </c>
      <c r="K783" s="21">
        <v>2</v>
      </c>
      <c r="L783" s="27">
        <v>950591.83889572904</v>
      </c>
      <c r="M783" s="22">
        <v>2.4543339698194057E-3</v>
      </c>
      <c r="N783" s="21">
        <v>1</v>
      </c>
      <c r="O783" s="27">
        <v>647487.8898666671</v>
      </c>
      <c r="P783" s="22">
        <v>1.6863901600493922E-3</v>
      </c>
      <c r="Q783" s="21">
        <v>2</v>
      </c>
      <c r="R783" s="27">
        <v>930478.57986977382</v>
      </c>
      <c r="S783" s="22">
        <v>2.4376773189824725E-3</v>
      </c>
      <c r="T783" s="23">
        <v>2</v>
      </c>
      <c r="U783" s="28">
        <v>543320.3876991506</v>
      </c>
      <c r="V783" s="24">
        <v>1.4004532719627488E-3</v>
      </c>
      <c r="W783" s="23">
        <v>1</v>
      </c>
      <c r="X783" s="28">
        <v>517828.54219791462</v>
      </c>
      <c r="Y783" s="24">
        <v>1.305680874218988E-3</v>
      </c>
      <c r="Z783" s="23">
        <v>1</v>
      </c>
      <c r="AA783" s="28">
        <v>538882.60995887406</v>
      </c>
      <c r="AB783" s="24">
        <v>1.3790918549866163E-3</v>
      </c>
    </row>
    <row r="784" spans="1:28" x14ac:dyDescent="0.25">
      <c r="A784" t="s">
        <v>6061</v>
      </c>
      <c r="B784" t="s">
        <v>7754</v>
      </c>
      <c r="C784" t="s">
        <v>6063</v>
      </c>
      <c r="D784" s="2" t="s">
        <v>6062</v>
      </c>
      <c r="E784" s="2" t="s">
        <v>5</v>
      </c>
      <c r="G784" t="s">
        <v>2052</v>
      </c>
      <c r="H784" t="s">
        <v>23</v>
      </c>
      <c r="I784" s="17">
        <v>-1.73725122312435</v>
      </c>
      <c r="J784" s="17">
        <v>0.108256860468495</v>
      </c>
      <c r="K784" s="21">
        <v>2</v>
      </c>
      <c r="L784" s="27">
        <v>640216.12605725403</v>
      </c>
      <c r="M784" s="22">
        <v>7.4777423406340677E-4</v>
      </c>
      <c r="N784" s="21">
        <v>0</v>
      </c>
      <c r="O784" s="27">
        <v>371771.66702606867</v>
      </c>
      <c r="P784" s="22">
        <v>4.3803318017979724E-4</v>
      </c>
      <c r="Q784" s="21">
        <v>1</v>
      </c>
      <c r="R784" s="27">
        <v>459360.90697224089</v>
      </c>
      <c r="S784" s="22">
        <v>5.4441261475545507E-4</v>
      </c>
      <c r="T784" s="23">
        <v>0</v>
      </c>
      <c r="U784" s="28">
        <v>308198.78987133194</v>
      </c>
      <c r="V784" s="24">
        <v>3.5937499861000239E-4</v>
      </c>
      <c r="W784" s="23">
        <v>1</v>
      </c>
      <c r="X784" s="28">
        <v>235330.2742232882</v>
      </c>
      <c r="Y784" s="24">
        <v>2.6843130908063301E-4</v>
      </c>
      <c r="Z784" s="23">
        <v>0</v>
      </c>
      <c r="AA784" s="28">
        <v>380910.8905467639</v>
      </c>
      <c r="AB784" s="24">
        <v>4.4098795233184045E-4</v>
      </c>
    </row>
    <row r="785" spans="1:36" x14ac:dyDescent="0.25">
      <c r="A785" t="s">
        <v>6178</v>
      </c>
      <c r="B785" t="s">
        <v>7792</v>
      </c>
      <c r="C785" t="s">
        <v>6179</v>
      </c>
      <c r="D785" s="2" t="s">
        <v>5187</v>
      </c>
      <c r="E785" s="2" t="s">
        <v>5</v>
      </c>
      <c r="G785" t="s">
        <v>6173</v>
      </c>
      <c r="I785" s="17">
        <v>-1.74153689763005</v>
      </c>
      <c r="J785" s="17">
        <v>1.0534347566341201E-2</v>
      </c>
      <c r="K785" s="21">
        <v>2</v>
      </c>
      <c r="L785" s="27">
        <v>443607.53658929298</v>
      </c>
      <c r="M785" s="22">
        <v>6.4295824462654255E-4</v>
      </c>
      <c r="N785" s="21">
        <v>2</v>
      </c>
      <c r="O785" s="27">
        <v>395186.12002037163</v>
      </c>
      <c r="P785" s="22">
        <v>5.7779312334790237E-4</v>
      </c>
      <c r="Q785" s="21">
        <v>1</v>
      </c>
      <c r="R785" s="27">
        <v>430687.75251004577</v>
      </c>
      <c r="S785" s="22">
        <v>6.3339792353033571E-4</v>
      </c>
      <c r="T785" s="23">
        <v>1</v>
      </c>
      <c r="U785" s="28">
        <v>294775.31425214233</v>
      </c>
      <c r="V785" s="24">
        <v>4.2652845390826852E-4</v>
      </c>
      <c r="W785" s="23">
        <v>0</v>
      </c>
      <c r="X785" s="28">
        <v>238848.51746063214</v>
      </c>
      <c r="Y785" s="24">
        <v>3.3807875830857724E-4</v>
      </c>
      <c r="Z785" s="23">
        <v>1</v>
      </c>
      <c r="AA785" s="28">
        <v>254342.52955660416</v>
      </c>
      <c r="AB785" s="24">
        <v>3.6539473696573871E-4</v>
      </c>
    </row>
    <row r="786" spans="1:36" x14ac:dyDescent="0.25">
      <c r="A786" t="s">
        <v>6094</v>
      </c>
      <c r="B786" t="s">
        <v>7765</v>
      </c>
      <c r="C786" t="s">
        <v>6096</v>
      </c>
      <c r="D786" s="2" t="s">
        <v>6095</v>
      </c>
      <c r="E786" s="2" t="s">
        <v>5</v>
      </c>
      <c r="H786" t="s">
        <v>57</v>
      </c>
      <c r="I786" s="17">
        <v>-1.91097922308449</v>
      </c>
      <c r="J786" s="17">
        <v>5.7215173406391498E-2</v>
      </c>
      <c r="K786" s="21">
        <v>3</v>
      </c>
      <c r="L786" s="27">
        <v>693962.01733440405</v>
      </c>
      <c r="M786" s="22">
        <v>1.140618747430389E-3</v>
      </c>
      <c r="N786" s="21">
        <v>2</v>
      </c>
      <c r="O786" s="27">
        <v>886583.65965179633</v>
      </c>
      <c r="P786" s="22">
        <v>1.469979775846316E-3</v>
      </c>
      <c r="Q786" s="21">
        <v>1</v>
      </c>
      <c r="R786" s="27">
        <v>432946.24553757341</v>
      </c>
      <c r="S786" s="22">
        <v>7.22052942470071E-4</v>
      </c>
      <c r="T786" s="23">
        <v>1</v>
      </c>
      <c r="U786" s="28">
        <v>382717.40926493466</v>
      </c>
      <c r="V786" s="24">
        <v>6.279948271398592E-4</v>
      </c>
      <c r="W786" s="23">
        <v>1</v>
      </c>
      <c r="X786" s="28">
        <v>423392.49041023158</v>
      </c>
      <c r="Y786" s="24">
        <v>6.7960949265042248E-4</v>
      </c>
      <c r="Z786" s="23">
        <v>1</v>
      </c>
      <c r="AA786" s="28">
        <v>340611.3101260676</v>
      </c>
      <c r="AB786" s="24">
        <v>5.5491097844434544E-4</v>
      </c>
    </row>
    <row r="787" spans="1:36" x14ac:dyDescent="0.25">
      <c r="A787" t="s">
        <v>6038</v>
      </c>
      <c r="B787" t="s">
        <v>7747</v>
      </c>
      <c r="C787" t="s">
        <v>6041</v>
      </c>
      <c r="D787" s="2" t="s">
        <v>6039</v>
      </c>
      <c r="E787" s="2" t="s">
        <v>5</v>
      </c>
      <c r="G787" t="s">
        <v>6040</v>
      </c>
      <c r="H787" t="s">
        <v>23</v>
      </c>
      <c r="I787" s="17">
        <v>-1.9413221083380701</v>
      </c>
      <c r="J787" s="17">
        <v>1.5336490381497399E-2</v>
      </c>
      <c r="K787" s="21">
        <v>2</v>
      </c>
      <c r="L787" s="27">
        <v>686022.36083646398</v>
      </c>
      <c r="M787" s="22">
        <v>9.5942263281488115E-4</v>
      </c>
      <c r="N787" s="21">
        <v>2</v>
      </c>
      <c r="O787" s="27">
        <v>886585.12403370277</v>
      </c>
      <c r="P787" s="22">
        <v>1.250774331330116E-3</v>
      </c>
      <c r="Q787" s="21">
        <v>1</v>
      </c>
      <c r="R787" s="27">
        <v>531282.02886080218</v>
      </c>
      <c r="S787" s="22">
        <v>7.5392313951927698E-4</v>
      </c>
      <c r="T787" s="23">
        <v>1</v>
      </c>
      <c r="U787" s="28">
        <v>391394.33962396951</v>
      </c>
      <c r="V787" s="24">
        <v>5.4646112492812713E-4</v>
      </c>
      <c r="W787" s="23">
        <v>1</v>
      </c>
      <c r="X787" s="28">
        <v>397761.63573436975</v>
      </c>
      <c r="Y787" s="24">
        <v>5.4325791368901736E-4</v>
      </c>
      <c r="Z787" s="23">
        <v>1</v>
      </c>
      <c r="AA787" s="28">
        <v>384461.52440419106</v>
      </c>
      <c r="AB787" s="24">
        <v>5.3294699623342569E-4</v>
      </c>
    </row>
    <row r="788" spans="1:36" x14ac:dyDescent="0.25">
      <c r="A788" t="s">
        <v>6135</v>
      </c>
      <c r="B788" t="s">
        <v>7778</v>
      </c>
      <c r="C788" t="s">
        <v>6136</v>
      </c>
      <c r="D788" s="2" t="s">
        <v>6130</v>
      </c>
      <c r="E788" s="2" t="s">
        <v>5</v>
      </c>
      <c r="G788" t="s">
        <v>6131</v>
      </c>
      <c r="H788" t="s">
        <v>104</v>
      </c>
      <c r="I788" s="17">
        <v>-1.9512692979306001</v>
      </c>
      <c r="J788" s="17">
        <v>5.1305452603895903E-3</v>
      </c>
      <c r="K788" s="21">
        <v>8</v>
      </c>
      <c r="L788" s="27">
        <v>3175375.4560882198</v>
      </c>
      <c r="M788" s="22">
        <v>2.0169628587924553E-3</v>
      </c>
      <c r="N788" s="21">
        <v>7</v>
      </c>
      <c r="O788" s="27">
        <v>2973668.2780467723</v>
      </c>
      <c r="P788" s="22">
        <v>1.9053824898105998E-3</v>
      </c>
      <c r="Q788" s="21">
        <v>9</v>
      </c>
      <c r="R788" s="27">
        <v>3472127.6104608579</v>
      </c>
      <c r="S788" s="22">
        <v>2.2378385731841562E-3</v>
      </c>
      <c r="T788" s="23">
        <v>5</v>
      </c>
      <c r="U788" s="28">
        <v>1759759.9912220878</v>
      </c>
      <c r="V788" s="24">
        <v>1.1159103373615518E-3</v>
      </c>
      <c r="W788" s="23">
        <v>1</v>
      </c>
      <c r="X788" s="28">
        <v>1544150.5617174008</v>
      </c>
      <c r="Y788" s="24">
        <v>9.5786420052389426E-4</v>
      </c>
      <c r="Z788" s="23">
        <v>3</v>
      </c>
      <c r="AA788" s="28">
        <v>2018191.9690635332</v>
      </c>
      <c r="AB788" s="24">
        <v>1.2706464829967559E-3</v>
      </c>
    </row>
    <row r="789" spans="1:36" x14ac:dyDescent="0.25">
      <c r="A789" t="s">
        <v>6101</v>
      </c>
      <c r="B789" t="s">
        <v>7767</v>
      </c>
      <c r="C789" t="s">
        <v>6103</v>
      </c>
      <c r="D789" s="2" t="s">
        <v>6102</v>
      </c>
      <c r="E789" s="2" t="s">
        <v>5</v>
      </c>
      <c r="G789" t="s">
        <v>507</v>
      </c>
      <c r="H789" t="s">
        <v>41</v>
      </c>
      <c r="I789" s="17">
        <v>-1.9546541696715101</v>
      </c>
      <c r="J789" s="17">
        <v>3.5999154607791899E-2</v>
      </c>
      <c r="K789" s="21">
        <v>5</v>
      </c>
      <c r="L789" s="27">
        <v>1006152.7778048</v>
      </c>
      <c r="M789" s="22">
        <v>7.0202772672915952E-4</v>
      </c>
      <c r="N789" s="21">
        <v>1</v>
      </c>
      <c r="O789" s="27">
        <v>1287171.9802493386</v>
      </c>
      <c r="P789" s="22">
        <v>9.059698484061837E-4</v>
      </c>
      <c r="Q789" s="21">
        <v>1</v>
      </c>
      <c r="R789" s="27">
        <v>764210.45574449934</v>
      </c>
      <c r="S789" s="22">
        <v>5.4104522617616328E-4</v>
      </c>
      <c r="T789" s="23">
        <v>1</v>
      </c>
      <c r="U789" s="28">
        <v>683401.37369321659</v>
      </c>
      <c r="V789" s="24">
        <v>4.7603537338371135E-4</v>
      </c>
      <c r="W789" s="23">
        <v>1</v>
      </c>
      <c r="X789" s="28">
        <v>474798.51488784689</v>
      </c>
      <c r="Y789" s="24">
        <v>3.2352747428714108E-4</v>
      </c>
      <c r="Z789" s="23">
        <v>2</v>
      </c>
      <c r="AA789" s="28">
        <v>522479.86385264888</v>
      </c>
      <c r="AB789" s="24">
        <v>3.6134274524269602E-4</v>
      </c>
    </row>
    <row r="790" spans="1:36" x14ac:dyDescent="0.25">
      <c r="A790" t="s">
        <v>5993</v>
      </c>
      <c r="B790" t="s">
        <v>7734</v>
      </c>
      <c r="C790" t="s">
        <v>5996</v>
      </c>
      <c r="D790" s="2" t="s">
        <v>5994</v>
      </c>
      <c r="E790" s="2" t="s">
        <v>5</v>
      </c>
      <c r="F790" t="s">
        <v>5995</v>
      </c>
      <c r="H790" t="s">
        <v>17</v>
      </c>
      <c r="I790" s="17">
        <v>-2.2674836269091099</v>
      </c>
      <c r="J790" s="17">
        <v>0.48540723370120298</v>
      </c>
      <c r="K790" s="21">
        <v>2</v>
      </c>
      <c r="L790" s="27">
        <v>258341.90029068899</v>
      </c>
      <c r="M790" s="22">
        <v>4.3817090349158237E-4</v>
      </c>
      <c r="N790" s="21">
        <v>0</v>
      </c>
      <c r="O790" s="27">
        <v>35254.184451963665</v>
      </c>
      <c r="P790" s="22">
        <v>6.031789683287205E-5</v>
      </c>
      <c r="Q790" s="21">
        <v>1</v>
      </c>
      <c r="R790" s="27">
        <v>277039.38984313043</v>
      </c>
      <c r="S790" s="22">
        <v>4.7678267618918172E-4</v>
      </c>
      <c r="T790" s="23">
        <v>0</v>
      </c>
      <c r="U790" s="28">
        <v>90508.032008120339</v>
      </c>
      <c r="V790" s="24">
        <v>1.5325295269962279E-4</v>
      </c>
      <c r="W790" s="23">
        <v>0</v>
      </c>
      <c r="X790" s="28">
        <v>36552.408394882594</v>
      </c>
      <c r="Y790" s="24">
        <v>6.0544704465886309E-5</v>
      </c>
      <c r="Z790" s="23">
        <v>0</v>
      </c>
      <c r="AA790" s="28">
        <v>145637.32382397962</v>
      </c>
      <c r="AB790" s="24">
        <v>2.4483912730236001E-4</v>
      </c>
    </row>
    <row r="791" spans="1:36" x14ac:dyDescent="0.25">
      <c r="A791" t="s">
        <v>5974</v>
      </c>
      <c r="B791" t="s">
        <v>7728</v>
      </c>
      <c r="C791" t="s">
        <v>5976</v>
      </c>
      <c r="D791" s="2" t="s">
        <v>5975</v>
      </c>
      <c r="E791" s="2" t="s">
        <v>5</v>
      </c>
      <c r="H791" t="s">
        <v>17</v>
      </c>
      <c r="I791" s="17">
        <v>-2.4886308673443902</v>
      </c>
      <c r="J791" s="17">
        <v>1.4070142904801399E-2</v>
      </c>
      <c r="K791" s="21">
        <v>2</v>
      </c>
      <c r="L791" s="27">
        <v>487812.61265963502</v>
      </c>
      <c r="M791" s="22">
        <v>6.5909430127797852E-4</v>
      </c>
      <c r="N791" s="21">
        <v>1</v>
      </c>
      <c r="O791" s="27">
        <v>614772.88005041634</v>
      </c>
      <c r="P791" s="22">
        <v>8.3790747514443621E-4</v>
      </c>
      <c r="Q791" s="21">
        <v>0</v>
      </c>
      <c r="R791" s="27">
        <v>350821.59608259762</v>
      </c>
      <c r="S791" s="22">
        <v>4.8096238371091448E-4</v>
      </c>
      <c r="T791" s="23">
        <v>0</v>
      </c>
      <c r="U791" s="28">
        <v>235424.95010988211</v>
      </c>
      <c r="V791" s="24">
        <v>3.1755580951492419E-4</v>
      </c>
      <c r="W791" s="23">
        <v>0</v>
      </c>
      <c r="X791" s="28">
        <v>238220.46168415237</v>
      </c>
      <c r="Y791" s="24">
        <v>3.1432945138140487E-4</v>
      </c>
      <c r="Z791" s="23">
        <v>0</v>
      </c>
      <c r="AA791" s="28">
        <v>160301.08694798427</v>
      </c>
      <c r="AB791" s="24">
        <v>2.1467943637131016E-4</v>
      </c>
    </row>
    <row r="792" spans="1:36" x14ac:dyDescent="0.25">
      <c r="A792" t="s">
        <v>6031</v>
      </c>
      <c r="B792" t="s">
        <v>7745</v>
      </c>
      <c r="C792" t="s">
        <v>6033</v>
      </c>
      <c r="D792" s="2" t="s">
        <v>6032</v>
      </c>
      <c r="E792" s="2" t="s">
        <v>5</v>
      </c>
      <c r="H792" t="s">
        <v>172</v>
      </c>
      <c r="I792" s="17">
        <v>-2.5169198804081701</v>
      </c>
      <c r="J792" s="17">
        <v>6.3074357703699804E-2</v>
      </c>
      <c r="K792" s="21">
        <v>2</v>
      </c>
      <c r="L792" s="27">
        <v>424635.25011330302</v>
      </c>
      <c r="M792" s="22">
        <v>5.1483353654066739E-4</v>
      </c>
      <c r="N792" s="21">
        <v>0</v>
      </c>
      <c r="O792" s="27">
        <v>185782.07573402213</v>
      </c>
      <c r="P792" s="22">
        <v>2.2721731806450186E-4</v>
      </c>
      <c r="Q792" s="21">
        <v>1</v>
      </c>
      <c r="R792" s="27">
        <v>257435.39616991178</v>
      </c>
      <c r="S792" s="22">
        <v>3.1670090607709524E-4</v>
      </c>
      <c r="T792" s="23">
        <v>1</v>
      </c>
      <c r="U792" s="28">
        <v>165900.80732040916</v>
      </c>
      <c r="V792" s="24">
        <v>2.0080398590483777E-4</v>
      </c>
      <c r="W792" s="23">
        <v>0</v>
      </c>
      <c r="X792" s="28">
        <v>95248.521197825539</v>
      </c>
      <c r="Y792" s="24">
        <v>1.1277699247485267E-4</v>
      </c>
      <c r="Z792" s="23">
        <v>0</v>
      </c>
      <c r="AA792" s="28">
        <v>115844.50084663476</v>
      </c>
      <c r="AB792" s="24">
        <v>1.3921487965897348E-4</v>
      </c>
    </row>
    <row r="793" spans="1:36" x14ac:dyDescent="0.25">
      <c r="A793" t="s">
        <v>6133</v>
      </c>
      <c r="B793" t="s">
        <v>7777</v>
      </c>
      <c r="C793" t="s">
        <v>6134</v>
      </c>
      <c r="D793" s="2" t="s">
        <v>6130</v>
      </c>
      <c r="E793" s="2" t="s">
        <v>5</v>
      </c>
      <c r="G793" t="s">
        <v>6131</v>
      </c>
      <c r="H793" t="s">
        <v>104</v>
      </c>
      <c r="I793" s="17">
        <v>-3.2489047431928699</v>
      </c>
      <c r="J793" s="17">
        <v>2.8601873617866099E-3</v>
      </c>
      <c r="K793" s="21">
        <v>41</v>
      </c>
      <c r="L793" s="27">
        <v>49304897.205114402</v>
      </c>
      <c r="M793" s="22">
        <v>3.5771546215969563E-2</v>
      </c>
      <c r="N793" s="21">
        <v>20</v>
      </c>
      <c r="O793" s="27">
        <v>39010124.397468105</v>
      </c>
      <c r="P793" s="22">
        <v>2.8550375382715671E-2</v>
      </c>
      <c r="Q793" s="21">
        <v>37</v>
      </c>
      <c r="R793" s="27">
        <v>48127767.158538066</v>
      </c>
      <c r="S793" s="22">
        <v>3.5430201990487575E-2</v>
      </c>
      <c r="T793" s="23">
        <v>13</v>
      </c>
      <c r="U793" s="28">
        <v>16574231.906914329</v>
      </c>
      <c r="V793" s="24">
        <v>1.2004777359400143E-2</v>
      </c>
      <c r="W793" s="23">
        <v>8</v>
      </c>
      <c r="X793" s="28">
        <v>11949358.154723041</v>
      </c>
      <c r="Y793" s="24">
        <v>8.4664961341680972E-3</v>
      </c>
      <c r="Z793" s="23">
        <v>14</v>
      </c>
      <c r="AA793" s="28">
        <v>16821418.856091321</v>
      </c>
      <c r="AB793" s="24">
        <v>1.2096778479002399E-2</v>
      </c>
    </row>
    <row r="794" spans="1:36" x14ac:dyDescent="0.25">
      <c r="A794" s="16" t="s">
        <v>6129</v>
      </c>
      <c r="B794" s="16" t="s">
        <v>7776</v>
      </c>
      <c r="C794" s="16" t="s">
        <v>6132</v>
      </c>
      <c r="D794" s="42" t="s">
        <v>6130</v>
      </c>
      <c r="E794" s="42" t="s">
        <v>5</v>
      </c>
      <c r="F794" s="16"/>
      <c r="G794" s="16" t="s">
        <v>6131</v>
      </c>
      <c r="H794" s="16" t="s">
        <v>104</v>
      </c>
      <c r="I794" s="30">
        <v>-3.2574548577438098</v>
      </c>
      <c r="J794" s="30">
        <v>1.1530019888287299E-3</v>
      </c>
      <c r="K794" s="31">
        <v>2</v>
      </c>
      <c r="L794" s="32">
        <v>535198.92200415104</v>
      </c>
      <c r="M794" s="33">
        <v>4.5206908501266139E-4</v>
      </c>
      <c r="N794" s="31">
        <v>1</v>
      </c>
      <c r="O794" s="32">
        <v>415821.53391960228</v>
      </c>
      <c r="P794" s="33">
        <v>3.5430998136447712E-4</v>
      </c>
      <c r="Q794" s="31">
        <v>3</v>
      </c>
      <c r="R794" s="32">
        <v>583683.6862199537</v>
      </c>
      <c r="S794" s="33">
        <v>5.0026185981836982E-4</v>
      </c>
      <c r="T794" s="34">
        <v>0</v>
      </c>
      <c r="U794" s="35">
        <v>149621.71110874385</v>
      </c>
      <c r="V794" s="36">
        <v>1.2617033012977274E-4</v>
      </c>
      <c r="W794" s="34">
        <v>0</v>
      </c>
      <c r="X794" s="35">
        <v>168860.22872441975</v>
      </c>
      <c r="Y794" s="36">
        <v>1.3929272439756866E-4</v>
      </c>
      <c r="Z794" s="34">
        <v>0</v>
      </c>
      <c r="AA794" s="35">
        <v>193979.4610520213</v>
      </c>
      <c r="AB794" s="36">
        <v>1.6240701140869031E-4</v>
      </c>
      <c r="AC794" s="58"/>
      <c r="AD794" s="58"/>
      <c r="AE794" s="58"/>
      <c r="AF794" s="58"/>
      <c r="AG794" s="58"/>
      <c r="AH794" s="58"/>
      <c r="AI794" s="30"/>
      <c r="AJ794" s="30"/>
    </row>
    <row r="795" spans="1:36" x14ac:dyDescent="0.25">
      <c r="A795" t="s">
        <v>6274</v>
      </c>
      <c r="B795" t="s">
        <v>7825</v>
      </c>
      <c r="C795" t="s">
        <v>6276</v>
      </c>
      <c r="D795" s="5" t="s">
        <v>6275</v>
      </c>
      <c r="E795" s="5" t="s">
        <v>2204</v>
      </c>
      <c r="H795" t="s">
        <v>1055</v>
      </c>
      <c r="I795" s="17">
        <v>1.1317004058523099</v>
      </c>
      <c r="J795" s="17">
        <v>0.32487754103003502</v>
      </c>
      <c r="K795" s="21">
        <v>2</v>
      </c>
      <c r="L795" s="27">
        <v>671213.98696139397</v>
      </c>
      <c r="M795" s="22">
        <v>5.095868847516039E-3</v>
      </c>
      <c r="N795" s="21">
        <v>0</v>
      </c>
      <c r="O795" s="27">
        <v>579286.66969796084</v>
      </c>
      <c r="P795" s="22">
        <v>4.4364706360140605E-3</v>
      </c>
      <c r="Q795" s="21">
        <v>1</v>
      </c>
      <c r="R795" s="27">
        <v>660196.37786804105</v>
      </c>
      <c r="S795" s="22">
        <v>5.0858159688110163E-3</v>
      </c>
      <c r="T795" s="23">
        <v>0</v>
      </c>
      <c r="U795" s="28">
        <v>852453.47276208876</v>
      </c>
      <c r="V795" s="24">
        <v>6.4610183160018703E-3</v>
      </c>
      <c r="W795" s="23">
        <v>0</v>
      </c>
      <c r="X795" s="28">
        <v>763613.96800456382</v>
      </c>
      <c r="Y795" s="24">
        <v>5.6616444072555352E-3</v>
      </c>
      <c r="Z795" s="23">
        <v>0</v>
      </c>
      <c r="AA795" s="28">
        <v>727471.23611411941</v>
      </c>
      <c r="AB795" s="24">
        <v>5.4743494657494103E-3</v>
      </c>
      <c r="AC795" s="20">
        <v>2.7743990044467139</v>
      </c>
      <c r="AD795" s="20">
        <v>2.3318283603754031</v>
      </c>
      <c r="AE795" s="20">
        <v>2.6873993830224485</v>
      </c>
      <c r="AF795" s="20">
        <v>2.415438694222968</v>
      </c>
      <c r="AG795" s="20">
        <v>2.3880609574886638</v>
      </c>
      <c r="AH795" s="20">
        <v>2.2115235763186343</v>
      </c>
    </row>
    <row r="796" spans="1:36" x14ac:dyDescent="0.25">
      <c r="A796" t="s">
        <v>6285</v>
      </c>
      <c r="B796" t="s">
        <v>7829</v>
      </c>
      <c r="C796" t="s">
        <v>6286</v>
      </c>
      <c r="D796" s="5" t="s">
        <v>6269</v>
      </c>
      <c r="E796" s="5" t="s">
        <v>2204</v>
      </c>
      <c r="H796" t="s">
        <v>1055</v>
      </c>
      <c r="I796" s="17">
        <v>-1.02391936242332</v>
      </c>
      <c r="J796" s="17">
        <v>0.94738409802220802</v>
      </c>
      <c r="K796" s="21">
        <v>13</v>
      </c>
      <c r="L796" s="27">
        <v>20515565.814342</v>
      </c>
      <c r="M796" s="22">
        <v>0.12227460026852977</v>
      </c>
      <c r="N796" s="21">
        <v>8</v>
      </c>
      <c r="O796" s="27">
        <v>14934209.086659931</v>
      </c>
      <c r="P796" s="22">
        <v>8.9788726590835033E-2</v>
      </c>
      <c r="Q796" s="21">
        <v>11</v>
      </c>
      <c r="R796" s="27">
        <v>18361961.195468117</v>
      </c>
      <c r="S796" s="22">
        <v>0.11104578472397733</v>
      </c>
      <c r="T796" s="23">
        <v>11</v>
      </c>
      <c r="U796" s="28">
        <v>20100992.013395648</v>
      </c>
      <c r="V796" s="24">
        <v>0.11960333434604882</v>
      </c>
      <c r="W796" s="23">
        <v>9</v>
      </c>
      <c r="X796" s="28">
        <v>19095227.672037683</v>
      </c>
      <c r="Y796" s="24">
        <v>0.11114478096639238</v>
      </c>
      <c r="Z796" s="23">
        <v>10</v>
      </c>
      <c r="AA796" s="28">
        <v>18066116.284483936</v>
      </c>
      <c r="AB796" s="24">
        <v>0.10672766339827697</v>
      </c>
      <c r="AC796" s="17" t="s">
        <v>8084</v>
      </c>
      <c r="AD796" s="20">
        <v>2.5978755826148552</v>
      </c>
      <c r="AF796" s="17" t="s">
        <v>8084</v>
      </c>
      <c r="AG796" s="20">
        <v>2.3383410760100887</v>
      </c>
      <c r="AI796" s="47" t="s">
        <v>8087</v>
      </c>
      <c r="AJ796" s="20">
        <v>90.009740715006231</v>
      </c>
    </row>
    <row r="797" spans="1:36" x14ac:dyDescent="0.25">
      <c r="A797" t="s">
        <v>6283</v>
      </c>
      <c r="B797" t="s">
        <v>7828</v>
      </c>
      <c r="C797" t="s">
        <v>6284</v>
      </c>
      <c r="D797" s="5" t="s">
        <v>6252</v>
      </c>
      <c r="E797" s="5" t="s">
        <v>2204</v>
      </c>
      <c r="H797" t="s">
        <v>1055</v>
      </c>
      <c r="I797" s="17">
        <v>-1.0775900723669101</v>
      </c>
      <c r="J797" s="17">
        <v>0.89641442038552199</v>
      </c>
      <c r="K797" s="21">
        <v>15</v>
      </c>
      <c r="L797" s="27">
        <v>28823022.542221699</v>
      </c>
      <c r="M797" s="22">
        <v>0.11707829769058517</v>
      </c>
      <c r="N797" s="21">
        <v>8</v>
      </c>
      <c r="O797" s="27">
        <v>15818872.705363397</v>
      </c>
      <c r="P797" s="22">
        <v>6.4818539541411382E-2</v>
      </c>
      <c r="Q797" s="21">
        <v>15</v>
      </c>
      <c r="R797" s="27">
        <v>26874656.854421105</v>
      </c>
      <c r="S797" s="22">
        <v>0.11076691627140062</v>
      </c>
      <c r="T797" s="23">
        <v>9</v>
      </c>
      <c r="U797" s="28">
        <v>23964934.45711052</v>
      </c>
      <c r="V797" s="24">
        <v>9.7182074847174282E-2</v>
      </c>
      <c r="W797" s="23">
        <v>12</v>
      </c>
      <c r="X797" s="28">
        <v>25427739.247874968</v>
      </c>
      <c r="Y797" s="24">
        <v>0.10086862668960343</v>
      </c>
      <c r="Z797" s="23">
        <v>9</v>
      </c>
      <c r="AA797" s="28">
        <v>23306688.521328557</v>
      </c>
      <c r="AB797" s="24">
        <v>9.3837601277184948E-2</v>
      </c>
      <c r="AC797" s="17" t="s">
        <v>8085</v>
      </c>
      <c r="AD797" s="20">
        <v>0.23447404307937306</v>
      </c>
      <c r="AF797" s="17" t="s">
        <v>8085</v>
      </c>
      <c r="AG797" s="20">
        <v>0.1106769794861029</v>
      </c>
      <c r="AI797" s="17" t="s">
        <v>8086</v>
      </c>
      <c r="AJ797" s="20">
        <v>0.15799123195092274</v>
      </c>
    </row>
    <row r="798" spans="1:36" x14ac:dyDescent="0.25">
      <c r="A798" t="s">
        <v>6280</v>
      </c>
      <c r="B798" t="s">
        <v>7827</v>
      </c>
      <c r="C798" t="s">
        <v>6282</v>
      </c>
      <c r="D798" s="5" t="s">
        <v>6281</v>
      </c>
      <c r="E798" s="5" t="s">
        <v>2204</v>
      </c>
      <c r="H798" t="s">
        <v>553</v>
      </c>
      <c r="I798" s="17">
        <v>-1.08187551614084</v>
      </c>
      <c r="J798" s="17">
        <v>0.79696477926033804</v>
      </c>
      <c r="K798" s="21">
        <v>29</v>
      </c>
      <c r="L798" s="27">
        <v>73913840.358358294</v>
      </c>
      <c r="M798" s="22">
        <v>9.7794686671855091E-2</v>
      </c>
      <c r="N798" s="21">
        <v>20</v>
      </c>
      <c r="O798" s="27">
        <v>47552311.030961744</v>
      </c>
      <c r="P798" s="22">
        <v>6.346699744160289E-2</v>
      </c>
      <c r="Q798" s="21">
        <v>32</v>
      </c>
      <c r="R798" s="27">
        <v>78916366.769485205</v>
      </c>
      <c r="S798" s="22">
        <v>0.10594655368883135</v>
      </c>
      <c r="T798" s="23">
        <v>27</v>
      </c>
      <c r="U798" s="28">
        <v>71674908.353041634</v>
      </c>
      <c r="V798" s="24">
        <v>9.4673772288502059E-2</v>
      </c>
      <c r="W798" s="23">
        <v>23</v>
      </c>
      <c r="X798" s="28">
        <v>61619304.849767961</v>
      </c>
      <c r="Y798" s="24">
        <v>7.9619192291866425E-2</v>
      </c>
      <c r="Z798" s="23">
        <v>24</v>
      </c>
      <c r="AA798" s="28">
        <v>67680279.912564024</v>
      </c>
      <c r="AB798" s="24">
        <v>8.8758731286860848E-2</v>
      </c>
    </row>
    <row r="799" spans="1:36" x14ac:dyDescent="0.25">
      <c r="A799" t="s">
        <v>6234</v>
      </c>
      <c r="B799" t="s">
        <v>7812</v>
      </c>
      <c r="C799" t="s">
        <v>6236</v>
      </c>
      <c r="D799" s="5" t="s">
        <v>6235</v>
      </c>
      <c r="E799" s="5" t="s">
        <v>2204</v>
      </c>
      <c r="H799" t="s">
        <v>553</v>
      </c>
      <c r="I799" s="17">
        <v>-1.1072821361342899</v>
      </c>
      <c r="J799" s="17">
        <v>0.39083214578495001</v>
      </c>
      <c r="K799" s="21">
        <v>15</v>
      </c>
      <c r="L799" s="27">
        <v>22688566.426699199</v>
      </c>
      <c r="M799" s="22">
        <v>3.194077019175854E-2</v>
      </c>
      <c r="N799" s="21">
        <v>9</v>
      </c>
      <c r="O799" s="27">
        <v>19682589.712425064</v>
      </c>
      <c r="P799" s="22">
        <v>2.7951646821808264E-2</v>
      </c>
      <c r="Q799" s="21">
        <v>13</v>
      </c>
      <c r="R799" s="27">
        <v>24474341.151074823</v>
      </c>
      <c r="S799" s="22">
        <v>3.4960657947451235E-2</v>
      </c>
      <c r="T799" s="23">
        <v>14</v>
      </c>
      <c r="U799" s="28">
        <v>22159340.865203857</v>
      </c>
      <c r="V799" s="24">
        <v>3.1143556770636186E-2</v>
      </c>
      <c r="W799" s="23">
        <v>10</v>
      </c>
      <c r="X799" s="28">
        <v>20857257.337546635</v>
      </c>
      <c r="Y799" s="24">
        <v>2.8675236515179742E-2</v>
      </c>
      <c r="Z799" s="23">
        <v>12</v>
      </c>
      <c r="AA799" s="28">
        <v>22352327.102702215</v>
      </c>
      <c r="AB799" s="24">
        <v>3.1190369529258206E-2</v>
      </c>
    </row>
    <row r="800" spans="1:36" x14ac:dyDescent="0.25">
      <c r="A800" t="s">
        <v>6277</v>
      </c>
      <c r="B800" t="s">
        <v>7826</v>
      </c>
      <c r="C800" t="s">
        <v>6279</v>
      </c>
      <c r="D800" s="5" t="s">
        <v>6278</v>
      </c>
      <c r="E800" s="5" t="s">
        <v>2204</v>
      </c>
      <c r="H800" t="s">
        <v>23</v>
      </c>
      <c r="I800" s="17">
        <v>-1.1159860215627999</v>
      </c>
      <c r="J800" s="17">
        <v>0.46147269677421998</v>
      </c>
      <c r="K800" s="21">
        <v>34</v>
      </c>
      <c r="L800" s="27">
        <v>69013694.751671299</v>
      </c>
      <c r="M800" s="22">
        <v>6.0208032012342816E-2</v>
      </c>
      <c r="N800" s="21">
        <v>25</v>
      </c>
      <c r="O800" s="27">
        <v>56892341.326501377</v>
      </c>
      <c r="P800" s="22">
        <v>5.0067948009853459E-2</v>
      </c>
      <c r="Q800" s="21">
        <v>40</v>
      </c>
      <c r="R800" s="27">
        <v>69570592.257987395</v>
      </c>
      <c r="S800" s="22">
        <v>6.1585023783336787E-2</v>
      </c>
      <c r="T800" s="23">
        <v>33</v>
      </c>
      <c r="U800" s="28">
        <v>65232989.546021447</v>
      </c>
      <c r="V800" s="24">
        <v>5.6814537952358676E-2</v>
      </c>
      <c r="W800" s="23">
        <v>28</v>
      </c>
      <c r="X800" s="28">
        <v>55902148.825839378</v>
      </c>
      <c r="Y800" s="24">
        <v>4.7627648115593578E-2</v>
      </c>
      <c r="Z800" s="23">
        <v>31</v>
      </c>
      <c r="AA800" s="28">
        <v>68462927.075299025</v>
      </c>
      <c r="AB800" s="24">
        <v>5.9201684482548318E-2</v>
      </c>
    </row>
    <row r="801" spans="1:36" x14ac:dyDescent="0.25">
      <c r="A801" t="s">
        <v>6271</v>
      </c>
      <c r="B801" t="s">
        <v>7824</v>
      </c>
      <c r="C801" t="s">
        <v>6273</v>
      </c>
      <c r="D801" s="5" t="s">
        <v>6272</v>
      </c>
      <c r="E801" s="5" t="s">
        <v>2204</v>
      </c>
      <c r="H801" t="s">
        <v>1055</v>
      </c>
      <c r="I801" s="17">
        <v>-1.14303822876061</v>
      </c>
      <c r="J801" s="17">
        <v>0.239196503478664</v>
      </c>
      <c r="K801" s="21">
        <v>35</v>
      </c>
      <c r="L801" s="27">
        <v>288419372.914303</v>
      </c>
      <c r="M801" s="22">
        <v>0.91966776158112151</v>
      </c>
      <c r="N801" s="21">
        <v>26</v>
      </c>
      <c r="O801" s="27">
        <v>263103849.65047884</v>
      </c>
      <c r="P801" s="22">
        <v>0.84629265092219141</v>
      </c>
      <c r="Q801" s="21">
        <v>43</v>
      </c>
      <c r="R801" s="27">
        <v>272168579.30696297</v>
      </c>
      <c r="S801" s="22">
        <v>0.88059209102832303</v>
      </c>
      <c r="T801" s="23">
        <v>30</v>
      </c>
      <c r="U801" s="28">
        <v>263449657.10480246</v>
      </c>
      <c r="V801" s="24">
        <v>0.8386431729123941</v>
      </c>
      <c r="W801" s="23">
        <v>25</v>
      </c>
      <c r="X801" s="28">
        <v>296406554.51889354</v>
      </c>
      <c r="Y801" s="24">
        <v>0.92300875105968938</v>
      </c>
      <c r="Z801" s="23">
        <v>24</v>
      </c>
      <c r="AA801" s="28">
        <v>225440076.50621223</v>
      </c>
      <c r="AB801" s="24">
        <v>0.71252007566441988</v>
      </c>
    </row>
    <row r="802" spans="1:36" x14ac:dyDescent="0.25">
      <c r="A802" t="s">
        <v>6262</v>
      </c>
      <c r="B802" t="s">
        <v>7821</v>
      </c>
      <c r="C802" t="s">
        <v>6264</v>
      </c>
      <c r="D802" s="5" t="s">
        <v>6263</v>
      </c>
      <c r="E802" s="5" t="s">
        <v>2204</v>
      </c>
      <c r="H802" t="s">
        <v>2127</v>
      </c>
      <c r="I802" s="17">
        <v>-1.1816767237966199</v>
      </c>
      <c r="J802" s="17">
        <v>0.13193942861944499</v>
      </c>
      <c r="K802" s="21">
        <v>26</v>
      </c>
      <c r="L802" s="27">
        <v>69531829.437937304</v>
      </c>
      <c r="M802" s="22">
        <v>0.15724291203226939</v>
      </c>
      <c r="N802" s="21">
        <v>22</v>
      </c>
      <c r="O802" s="27">
        <v>61350796.682596602</v>
      </c>
      <c r="P802" s="22">
        <v>0.13995694723681704</v>
      </c>
      <c r="Q802" s="21">
        <v>28</v>
      </c>
      <c r="R802" s="27">
        <v>74446466.598695055</v>
      </c>
      <c r="S802" s="22">
        <v>0.17082906801497444</v>
      </c>
      <c r="T802" s="23">
        <v>20</v>
      </c>
      <c r="U802" s="28">
        <v>59809846.046175987</v>
      </c>
      <c r="V802" s="24">
        <v>0.13503089620840067</v>
      </c>
      <c r="W802" s="23">
        <v>18</v>
      </c>
      <c r="X802" s="28">
        <v>62980805.779772185</v>
      </c>
      <c r="Y802" s="24">
        <v>0.13909358973980457</v>
      </c>
      <c r="Z802" s="23">
        <v>24</v>
      </c>
      <c r="AA802" s="28">
        <v>65779269.708554961</v>
      </c>
      <c r="AB802" s="24">
        <v>0.14744699199494055</v>
      </c>
    </row>
    <row r="803" spans="1:36" x14ac:dyDescent="0.25">
      <c r="A803" t="s">
        <v>6259</v>
      </c>
      <c r="B803" t="s">
        <v>7820</v>
      </c>
      <c r="C803" t="s">
        <v>6261</v>
      </c>
      <c r="D803" s="5" t="s">
        <v>6260</v>
      </c>
      <c r="E803" s="5" t="s">
        <v>2204</v>
      </c>
      <c r="H803" t="s">
        <v>2210</v>
      </c>
      <c r="I803" s="17">
        <v>-1.21779372633778</v>
      </c>
      <c r="J803" s="17">
        <v>0.121833551422872</v>
      </c>
      <c r="K803" s="21">
        <v>22</v>
      </c>
      <c r="L803" s="27">
        <v>21413195.555383202</v>
      </c>
      <c r="M803" s="22">
        <v>4.4481521906475419E-2</v>
      </c>
      <c r="N803" s="21">
        <v>15</v>
      </c>
      <c r="O803" s="27">
        <v>18898898.828003846</v>
      </c>
      <c r="P803" s="22">
        <v>3.9602398289588212E-2</v>
      </c>
      <c r="Q803" s="21">
        <v>19</v>
      </c>
      <c r="R803" s="27">
        <v>22930551.531749979</v>
      </c>
      <c r="S803" s="22">
        <v>4.8332906812602452E-2</v>
      </c>
      <c r="T803" s="23">
        <v>14</v>
      </c>
      <c r="U803" s="28">
        <v>19963838.736408602</v>
      </c>
      <c r="V803" s="24">
        <v>4.1401421386866998E-2</v>
      </c>
      <c r="W803" s="23">
        <v>10</v>
      </c>
      <c r="X803" s="28">
        <v>18723729.562749181</v>
      </c>
      <c r="Y803" s="24">
        <v>3.7984113539767293E-2</v>
      </c>
      <c r="Z803" s="23">
        <v>13</v>
      </c>
      <c r="AA803" s="28">
        <v>17556732.734691698</v>
      </c>
      <c r="AB803" s="24">
        <v>3.6149417227265508E-2</v>
      </c>
    </row>
    <row r="804" spans="1:36" x14ac:dyDescent="0.25">
      <c r="A804" t="s">
        <v>6257</v>
      </c>
      <c r="B804" t="s">
        <v>7819</v>
      </c>
      <c r="C804" t="s">
        <v>6258</v>
      </c>
      <c r="D804" s="5" t="s">
        <v>6238</v>
      </c>
      <c r="E804" s="5" t="s">
        <v>2204</v>
      </c>
      <c r="H804" t="s">
        <v>1055</v>
      </c>
      <c r="I804" s="17">
        <v>-1.22965433681651</v>
      </c>
      <c r="J804" s="17">
        <v>0.119943601066077</v>
      </c>
      <c r="K804" s="21">
        <v>26</v>
      </c>
      <c r="L804" s="27">
        <v>49533196.406595603</v>
      </c>
      <c r="M804" s="22">
        <v>0.13053215812907012</v>
      </c>
      <c r="N804" s="21">
        <v>13</v>
      </c>
      <c r="O804" s="27">
        <v>40890543.369790509</v>
      </c>
      <c r="P804" s="22">
        <v>0.10870033394440345</v>
      </c>
      <c r="Q804" s="21">
        <v>24</v>
      </c>
      <c r="R804" s="27">
        <v>49654149.208501644</v>
      </c>
      <c r="S804" s="22">
        <v>0.1327721441727272</v>
      </c>
      <c r="T804" s="23">
        <v>22</v>
      </c>
      <c r="U804" s="28">
        <v>41030174.480755903</v>
      </c>
      <c r="V804" s="24">
        <v>0.10794376745286596</v>
      </c>
      <c r="W804" s="23">
        <v>17</v>
      </c>
      <c r="X804" s="28">
        <v>41424036.637372538</v>
      </c>
      <c r="Y804" s="24">
        <v>0.10660683804861004</v>
      </c>
      <c r="Z804" s="23">
        <v>19</v>
      </c>
      <c r="AA804" s="28">
        <v>41338626.60414698</v>
      </c>
      <c r="AB804" s="24">
        <v>0.10797834229782823</v>
      </c>
    </row>
    <row r="805" spans="1:36" x14ac:dyDescent="0.25">
      <c r="A805" t="s">
        <v>6244</v>
      </c>
      <c r="B805" t="s">
        <v>7815</v>
      </c>
      <c r="C805" t="s">
        <v>6247</v>
      </c>
      <c r="D805" s="5" t="s">
        <v>6245</v>
      </c>
      <c r="E805" s="5" t="s">
        <v>2204</v>
      </c>
      <c r="F805" t="s">
        <v>6246</v>
      </c>
      <c r="H805" t="s">
        <v>7</v>
      </c>
      <c r="I805" s="17">
        <v>-1.2468640321890501</v>
      </c>
      <c r="J805" s="17">
        <v>0.22295765743922599</v>
      </c>
      <c r="K805" s="21">
        <v>11</v>
      </c>
      <c r="L805" s="27">
        <v>5734024.8878719602</v>
      </c>
      <c r="M805" s="22">
        <v>8.4647153247767708E-3</v>
      </c>
      <c r="N805" s="21">
        <v>5</v>
      </c>
      <c r="O805" s="27">
        <v>5065254.4853293281</v>
      </c>
      <c r="P805" s="22">
        <v>7.5429440371864798E-3</v>
      </c>
      <c r="Q805" s="21">
        <v>14</v>
      </c>
      <c r="R805" s="27">
        <v>6923454.5549188117</v>
      </c>
      <c r="S805" s="22">
        <v>1.0370647886246144E-2</v>
      </c>
      <c r="T805" s="23">
        <v>10</v>
      </c>
      <c r="U805" s="28">
        <v>5393574.3985678777</v>
      </c>
      <c r="V805" s="24">
        <v>7.9488170400493999E-3</v>
      </c>
      <c r="W805" s="23">
        <v>5</v>
      </c>
      <c r="X805" s="28">
        <v>4242607.3378971443</v>
      </c>
      <c r="Y805" s="24">
        <v>6.1164172311830604E-3</v>
      </c>
      <c r="Z805" s="23">
        <v>5</v>
      </c>
      <c r="AA805" s="28">
        <v>5659372.0875541624</v>
      </c>
      <c r="AB805" s="24">
        <v>8.2809560472296619E-3</v>
      </c>
    </row>
    <row r="806" spans="1:36" x14ac:dyDescent="0.25">
      <c r="A806" t="s">
        <v>6237</v>
      </c>
      <c r="B806" t="s">
        <v>7813</v>
      </c>
      <c r="C806" t="s">
        <v>6240</v>
      </c>
      <c r="D806" s="5" t="s">
        <v>6238</v>
      </c>
      <c r="E806" s="5" t="s">
        <v>2204</v>
      </c>
      <c r="F806" t="s">
        <v>6239</v>
      </c>
      <c r="H806" t="s">
        <v>1055</v>
      </c>
      <c r="I806" s="17">
        <v>-1.24883021983596</v>
      </c>
      <c r="J806" s="17">
        <v>0.19369020145150201</v>
      </c>
      <c r="K806" s="21">
        <v>2</v>
      </c>
      <c r="L806" s="27">
        <v>707892.53995028103</v>
      </c>
      <c r="M806" s="22">
        <v>1.3721701510659226E-3</v>
      </c>
      <c r="N806" s="21">
        <v>0</v>
      </c>
      <c r="O806" s="27">
        <v>597717.15071222954</v>
      </c>
      <c r="P806" s="22">
        <v>1.1687541936564261E-3</v>
      </c>
      <c r="Q806" s="21">
        <v>1</v>
      </c>
      <c r="R806" s="27">
        <v>784580.97355071502</v>
      </c>
      <c r="S806" s="22">
        <v>1.5431518506898981E-3</v>
      </c>
      <c r="T806" s="23">
        <v>1</v>
      </c>
      <c r="U806" s="28">
        <v>611510.23652428901</v>
      </c>
      <c r="V806" s="24">
        <v>1.1833614229632618E-3</v>
      </c>
      <c r="W806" s="23">
        <v>0</v>
      </c>
      <c r="X806" s="28">
        <v>521051.32393858535</v>
      </c>
      <c r="Y806" s="24">
        <v>9.8635356127917758E-4</v>
      </c>
      <c r="Z806" s="23">
        <v>1</v>
      </c>
      <c r="AA806" s="28">
        <v>675143.81749163067</v>
      </c>
      <c r="AB806" s="24">
        <v>1.2971684435039998E-3</v>
      </c>
    </row>
    <row r="807" spans="1:36" x14ac:dyDescent="0.25">
      <c r="A807" t="s">
        <v>6265</v>
      </c>
      <c r="B807" t="s">
        <v>7822</v>
      </c>
      <c r="C807" t="s">
        <v>6267</v>
      </c>
      <c r="D807" s="5" t="s">
        <v>6266</v>
      </c>
      <c r="E807" s="5" t="s">
        <v>2204</v>
      </c>
      <c r="H807" t="s">
        <v>23</v>
      </c>
      <c r="I807" s="17">
        <v>-1.26158229036564</v>
      </c>
      <c r="J807" s="17">
        <v>0.132662255744534</v>
      </c>
      <c r="K807" s="21">
        <v>46</v>
      </c>
      <c r="L807" s="27">
        <v>317048465.62767297</v>
      </c>
      <c r="M807" s="22">
        <v>1.0160360315288595</v>
      </c>
      <c r="N807" s="21">
        <v>28</v>
      </c>
      <c r="O807" s="27">
        <v>252857318.14877367</v>
      </c>
      <c r="P807" s="22">
        <v>0.81742104299459506</v>
      </c>
      <c r="Q807" s="21">
        <v>40</v>
      </c>
      <c r="R807" s="27">
        <v>294590229.69044656</v>
      </c>
      <c r="S807" s="22">
        <v>0.95792620180711685</v>
      </c>
      <c r="T807" s="23">
        <v>35</v>
      </c>
      <c r="U807" s="28">
        <v>259539335.67563742</v>
      </c>
      <c r="V807" s="24">
        <v>0.8303471247489016</v>
      </c>
      <c r="W807" s="23">
        <v>29</v>
      </c>
      <c r="X807" s="28">
        <v>242307477.12493357</v>
      </c>
      <c r="Y807" s="24">
        <v>0.75833613464634109</v>
      </c>
      <c r="Z807" s="23">
        <v>33</v>
      </c>
      <c r="AA807" s="28">
        <v>242928255.37528795</v>
      </c>
      <c r="AB807" s="24">
        <v>0.77165101661657154</v>
      </c>
    </row>
    <row r="808" spans="1:36" x14ac:dyDescent="0.25">
      <c r="A808" t="s">
        <v>6248</v>
      </c>
      <c r="B808" t="s">
        <v>7816</v>
      </c>
      <c r="C808" t="s">
        <v>6250</v>
      </c>
      <c r="D808" s="5" t="s">
        <v>6249</v>
      </c>
      <c r="E808" s="5" t="s">
        <v>2204</v>
      </c>
      <c r="I808" s="17">
        <v>-1.41603668025357</v>
      </c>
      <c r="J808" s="17">
        <v>4.9937468619200502E-2</v>
      </c>
      <c r="K808" s="21">
        <v>3</v>
      </c>
      <c r="L808" s="27">
        <v>3073493.66606483</v>
      </c>
      <c r="M808" s="22">
        <v>7.9354562094816495E-3</v>
      </c>
      <c r="N808" s="21">
        <v>2</v>
      </c>
      <c r="O808" s="27">
        <v>2552376.0582824638</v>
      </c>
      <c r="P808" s="22">
        <v>6.6476947859512208E-3</v>
      </c>
      <c r="Q808" s="21">
        <v>3</v>
      </c>
      <c r="R808" s="27">
        <v>2707782.7290396392</v>
      </c>
      <c r="S808" s="22">
        <v>7.0938769425903389E-3</v>
      </c>
      <c r="T808" s="23">
        <v>2</v>
      </c>
      <c r="U808" s="28">
        <v>2327697.0468529668</v>
      </c>
      <c r="V808" s="24">
        <v>5.9998318104865786E-3</v>
      </c>
      <c r="W808" s="23">
        <v>2</v>
      </c>
      <c r="X808" s="28">
        <v>2137145.3729455434</v>
      </c>
      <c r="Y808" s="24">
        <v>5.3887138531156847E-3</v>
      </c>
      <c r="Z808" s="23">
        <v>2</v>
      </c>
      <c r="AA808" s="28">
        <v>1932910.6353585429</v>
      </c>
      <c r="AB808" s="24">
        <v>4.946645641141412E-3</v>
      </c>
    </row>
    <row r="809" spans="1:36" x14ac:dyDescent="0.25">
      <c r="A809" t="s">
        <v>6254</v>
      </c>
      <c r="B809" t="s">
        <v>7818</v>
      </c>
      <c r="C809" t="s">
        <v>6256</v>
      </c>
      <c r="D809" s="5" t="s">
        <v>6255</v>
      </c>
      <c r="E809" s="5" t="s">
        <v>2204</v>
      </c>
      <c r="H809" t="s">
        <v>1055</v>
      </c>
      <c r="I809" s="17">
        <v>-1.4225610217492299</v>
      </c>
      <c r="J809" s="17">
        <v>2.8303787319395601E-2</v>
      </c>
      <c r="K809" s="21">
        <v>4</v>
      </c>
      <c r="L809" s="27">
        <v>8500868.9218281899</v>
      </c>
      <c r="M809" s="22">
        <v>3.4095944509601697E-2</v>
      </c>
      <c r="N809" s="21">
        <v>3</v>
      </c>
      <c r="O809" s="27">
        <v>7591794.6641497044</v>
      </c>
      <c r="P809" s="22">
        <v>3.0716426663283895E-2</v>
      </c>
      <c r="Q809" s="21">
        <v>4</v>
      </c>
      <c r="R809" s="27">
        <v>7461412.5801561382</v>
      </c>
      <c r="S809" s="22">
        <v>3.0366219055839482E-2</v>
      </c>
      <c r="T809" s="23">
        <v>4</v>
      </c>
      <c r="U809" s="28">
        <v>6336293.9996915488</v>
      </c>
      <c r="V809" s="24">
        <v>2.53715949620913E-2</v>
      </c>
      <c r="W809" s="23">
        <v>3</v>
      </c>
      <c r="X809" s="28">
        <v>5968265.4836718161</v>
      </c>
      <c r="Y809" s="24">
        <v>2.3377551385335961E-2</v>
      </c>
      <c r="Z809" s="23">
        <v>4</v>
      </c>
      <c r="AA809" s="28">
        <v>5683146.7854347685</v>
      </c>
      <c r="AB809" s="24">
        <v>2.2593719191567715E-2</v>
      </c>
    </row>
    <row r="810" spans="1:36" x14ac:dyDescent="0.25">
      <c r="A810" t="s">
        <v>6241</v>
      </c>
      <c r="B810" t="s">
        <v>7814</v>
      </c>
      <c r="C810" t="s">
        <v>6243</v>
      </c>
      <c r="D810" s="5" t="s">
        <v>6242</v>
      </c>
      <c r="E810" s="5" t="s">
        <v>2204</v>
      </c>
      <c r="H810" t="s">
        <v>1055</v>
      </c>
      <c r="I810" s="17">
        <v>-1.4307669165341601</v>
      </c>
      <c r="J810" s="17">
        <v>0.252320824422052</v>
      </c>
      <c r="K810" s="21">
        <v>4</v>
      </c>
      <c r="L810" s="27">
        <v>1576033.61444302</v>
      </c>
      <c r="M810" s="22">
        <v>2.4160653429724835E-3</v>
      </c>
      <c r="N810" s="21">
        <v>1</v>
      </c>
      <c r="O810" s="27">
        <v>1007788.0714784332</v>
      </c>
      <c r="P810" s="22">
        <v>1.5584728668931532E-3</v>
      </c>
      <c r="Q810" s="21">
        <v>3</v>
      </c>
      <c r="R810" s="27">
        <v>1907437.9641328971</v>
      </c>
      <c r="S810" s="22">
        <v>2.9670432808515338E-3</v>
      </c>
      <c r="T810" s="23">
        <v>1</v>
      </c>
      <c r="U810" s="28">
        <v>1373753.1188218859</v>
      </c>
      <c r="V810" s="24">
        <v>2.1024464098393716E-3</v>
      </c>
      <c r="W810" s="23">
        <v>0</v>
      </c>
      <c r="X810" s="28">
        <v>907255.31103137415</v>
      </c>
      <c r="Y810" s="24">
        <v>1.3582640301753452E-3</v>
      </c>
      <c r="Z810" s="23">
        <v>1</v>
      </c>
      <c r="AA810" s="28">
        <v>1097819.2928292325</v>
      </c>
      <c r="AB810" s="24">
        <v>1.668143877903587E-3</v>
      </c>
    </row>
    <row r="811" spans="1:36" x14ac:dyDescent="0.25">
      <c r="A811" t="s">
        <v>6268</v>
      </c>
      <c r="B811" t="s">
        <v>7823</v>
      </c>
      <c r="C811" t="s">
        <v>6270</v>
      </c>
      <c r="D811" s="5" t="s">
        <v>6269</v>
      </c>
      <c r="E811" s="5" t="s">
        <v>2204</v>
      </c>
      <c r="H811" t="s">
        <v>1055</v>
      </c>
      <c r="I811" s="17">
        <v>-1.7933825227493001</v>
      </c>
      <c r="J811" s="17">
        <v>0.236748784078294</v>
      </c>
      <c r="K811" s="21">
        <v>3</v>
      </c>
      <c r="L811" s="27">
        <v>1719316.6839993701</v>
      </c>
      <c r="M811" s="22">
        <v>1.0152398406205751E-2</v>
      </c>
      <c r="N811" s="21">
        <v>1</v>
      </c>
      <c r="O811" s="27">
        <v>4436955.5907056592</v>
      </c>
      <c r="P811" s="22">
        <v>2.6429240870805719E-2</v>
      </c>
      <c r="Q811" s="21">
        <v>1</v>
      </c>
      <c r="R811" s="27">
        <v>1451531.632901255</v>
      </c>
      <c r="S811" s="22">
        <v>8.6970013834334146E-3</v>
      </c>
      <c r="T811" s="23">
        <v>2</v>
      </c>
      <c r="U811" s="28">
        <v>1588179.0312844245</v>
      </c>
      <c r="V811" s="24">
        <v>9.3623586984355259E-3</v>
      </c>
      <c r="W811" s="23">
        <v>2</v>
      </c>
      <c r="X811" s="28">
        <v>1488860.6532660916</v>
      </c>
      <c r="Y811" s="24">
        <v>8.5857513827625048E-3</v>
      </c>
      <c r="Z811" s="23">
        <v>2</v>
      </c>
      <c r="AA811" s="28">
        <v>1446825.565094532</v>
      </c>
      <c r="AB811" s="24">
        <v>8.468147156398733E-3</v>
      </c>
    </row>
    <row r="812" spans="1:36" x14ac:dyDescent="0.25">
      <c r="A812" s="16" t="s">
        <v>6251</v>
      </c>
      <c r="B812" s="16" t="s">
        <v>7817</v>
      </c>
      <c r="C812" s="16" t="s">
        <v>6253</v>
      </c>
      <c r="D812" s="43" t="s">
        <v>6252</v>
      </c>
      <c r="E812" s="43" t="s">
        <v>2204</v>
      </c>
      <c r="F812" s="16"/>
      <c r="G812" s="16"/>
      <c r="H812" s="16" t="s">
        <v>1055</v>
      </c>
      <c r="I812" s="30">
        <v>-1.8560460940683801</v>
      </c>
      <c r="J812" s="30">
        <v>2.5423506286096201E-2</v>
      </c>
      <c r="K812" s="31">
        <v>4</v>
      </c>
      <c r="L812" s="32">
        <v>1813717.5899137401</v>
      </c>
      <c r="M812" s="33">
        <v>7.6096136422257963E-3</v>
      </c>
      <c r="N812" s="31">
        <v>3</v>
      </c>
      <c r="O812" s="32">
        <v>1243079.2205607917</v>
      </c>
      <c r="P812" s="33">
        <v>5.2611245285055612E-3</v>
      </c>
      <c r="Q812" s="31">
        <v>3</v>
      </c>
      <c r="R812" s="32">
        <v>1531121.6724135142</v>
      </c>
      <c r="S812" s="33">
        <v>6.5182784032458549E-3</v>
      </c>
      <c r="T812" s="34">
        <v>1</v>
      </c>
      <c r="U812" s="35">
        <v>1008841.829992493</v>
      </c>
      <c r="V812" s="36">
        <v>4.2256066489507775E-3</v>
      </c>
      <c r="W812" s="34">
        <v>2</v>
      </c>
      <c r="X812" s="35">
        <v>883824.59055432328</v>
      </c>
      <c r="Y812" s="36">
        <v>3.6213500247085548E-3</v>
      </c>
      <c r="Z812" s="34">
        <v>2</v>
      </c>
      <c r="AA812" s="35">
        <v>801354.42357167602</v>
      </c>
      <c r="AB812" s="36">
        <v>3.3325527199847727E-3</v>
      </c>
      <c r="AC812" s="58"/>
      <c r="AD812" s="58"/>
      <c r="AE812" s="58"/>
      <c r="AF812" s="58"/>
      <c r="AG812" s="58"/>
      <c r="AH812" s="58"/>
      <c r="AI812" s="30"/>
      <c r="AJ812" s="30"/>
    </row>
    <row r="813" spans="1:36" x14ac:dyDescent="0.25">
      <c r="A813" t="s">
        <v>6419</v>
      </c>
      <c r="B813" t="s">
        <v>7869</v>
      </c>
      <c r="C813" t="s">
        <v>6422</v>
      </c>
      <c r="D813" s="6" t="s">
        <v>6420</v>
      </c>
      <c r="E813" s="6" t="s">
        <v>2265</v>
      </c>
      <c r="F813" t="s">
        <v>6421</v>
      </c>
      <c r="H813" t="s">
        <v>6327</v>
      </c>
      <c r="I813" s="17">
        <v>1.1011753923985399</v>
      </c>
      <c r="J813" s="17">
        <v>0.444511784720098</v>
      </c>
      <c r="K813" s="21">
        <v>7</v>
      </c>
      <c r="L813" s="27">
        <v>4048286.6027016998</v>
      </c>
      <c r="M813" s="22">
        <v>6.0039812304063002E-3</v>
      </c>
      <c r="N813" s="21">
        <v>5</v>
      </c>
      <c r="O813" s="27">
        <v>3603070.6396173369</v>
      </c>
      <c r="P813" s="22">
        <v>5.3904830374676147E-3</v>
      </c>
      <c r="Q813" s="21">
        <v>8</v>
      </c>
      <c r="R813" s="27">
        <v>4941777.4803657997</v>
      </c>
      <c r="S813" s="22">
        <v>7.4367215432622124E-3</v>
      </c>
      <c r="T813" s="23">
        <v>8</v>
      </c>
      <c r="U813" s="28">
        <v>5081182.7954259263</v>
      </c>
      <c r="V813" s="24">
        <v>7.523257681895535E-3</v>
      </c>
      <c r="W813" s="23">
        <v>6</v>
      </c>
      <c r="X813" s="28">
        <v>4662921.55004186</v>
      </c>
      <c r="Y813" s="24">
        <v>6.7536362277492712E-3</v>
      </c>
      <c r="Z813" s="23">
        <v>5</v>
      </c>
      <c r="AA813" s="28">
        <v>5225490.2095806981</v>
      </c>
      <c r="AB813" s="24">
        <v>7.6816507996187514E-3</v>
      </c>
      <c r="AC813" s="20">
        <v>2.0084239822946399</v>
      </c>
      <c r="AD813" s="20">
        <v>1.8399222909591699</v>
      </c>
      <c r="AE813" s="20">
        <v>2.1601969073877267</v>
      </c>
      <c r="AF813" s="20">
        <v>1.890986963377957</v>
      </c>
      <c r="AG813" s="20">
        <v>1.7901414083353708</v>
      </c>
      <c r="AH813" s="20">
        <v>1.7535098014218915</v>
      </c>
    </row>
    <row r="814" spans="1:36" x14ac:dyDescent="0.25">
      <c r="A814" t="s">
        <v>6364</v>
      </c>
      <c r="B814" t="s">
        <v>7851</v>
      </c>
      <c r="C814" t="s">
        <v>6367</v>
      </c>
      <c r="D814" s="6" t="s">
        <v>6365</v>
      </c>
      <c r="E814" s="6" t="s">
        <v>2265</v>
      </c>
      <c r="G814" t="s">
        <v>6366</v>
      </c>
      <c r="I814" s="17">
        <v>1.03327503029778</v>
      </c>
      <c r="J814" s="17">
        <v>0.73249588468611104</v>
      </c>
      <c r="K814" s="21">
        <v>11</v>
      </c>
      <c r="L814" s="27">
        <v>11232651.747058701</v>
      </c>
      <c r="M814" s="22">
        <v>3.7702072449704596E-2</v>
      </c>
      <c r="N814" s="21">
        <v>10</v>
      </c>
      <c r="O814" s="27">
        <v>14508920.169559874</v>
      </c>
      <c r="P814" s="22">
        <v>4.9125258968942764E-2</v>
      </c>
      <c r="Q814" s="21">
        <v>11</v>
      </c>
      <c r="R814" s="27">
        <v>11679957.807486346</v>
      </c>
      <c r="S814" s="22">
        <v>3.9779055106627499E-2</v>
      </c>
      <c r="T814" s="23">
        <v>10</v>
      </c>
      <c r="U814" s="28">
        <v>13153593.00373514</v>
      </c>
      <c r="V814" s="24">
        <v>4.407581716122079E-2</v>
      </c>
      <c r="W814" s="23">
        <v>11</v>
      </c>
      <c r="X814" s="28">
        <v>16565627.576055542</v>
      </c>
      <c r="Y814" s="24">
        <v>5.4300309335576689E-2</v>
      </c>
      <c r="Z814" s="23">
        <v>11</v>
      </c>
      <c r="AA814" s="28">
        <v>12239419.228859808</v>
      </c>
      <c r="AB814" s="24">
        <v>4.0719570409681445E-2</v>
      </c>
      <c r="AC814" s="17" t="s">
        <v>8084</v>
      </c>
      <c r="AD814" s="20">
        <v>2.0028477268805123</v>
      </c>
      <c r="AF814" s="17" t="s">
        <v>8084</v>
      </c>
      <c r="AG814" s="20">
        <v>1.8115460577117399</v>
      </c>
      <c r="AI814" s="47" t="s">
        <v>8087</v>
      </c>
      <c r="AJ814" s="20">
        <v>90.448516549646556</v>
      </c>
    </row>
    <row r="815" spans="1:36" x14ac:dyDescent="0.25">
      <c r="A815" t="s">
        <v>6429</v>
      </c>
      <c r="B815" t="s">
        <v>7871</v>
      </c>
      <c r="C815" t="s">
        <v>6431</v>
      </c>
      <c r="D815" s="6" t="s">
        <v>6430</v>
      </c>
      <c r="E815" s="6" t="s">
        <v>2265</v>
      </c>
      <c r="F815" t="s">
        <v>6293</v>
      </c>
      <c r="I815" s="17">
        <v>1.0289348218054899</v>
      </c>
      <c r="J815" s="17">
        <v>0.73716152440532301</v>
      </c>
      <c r="K815" s="21">
        <v>2</v>
      </c>
      <c r="L815" s="27">
        <v>2689518.3757413202</v>
      </c>
      <c r="M815" s="22">
        <v>1.4413321854917243E-2</v>
      </c>
      <c r="N815" s="21">
        <v>1</v>
      </c>
      <c r="O815" s="27">
        <v>2271475.1697835214</v>
      </c>
      <c r="P815" s="22">
        <v>1.2279604942931481E-2</v>
      </c>
      <c r="Q815" s="21">
        <v>2</v>
      </c>
      <c r="R815" s="27">
        <v>2702399.9055318409</v>
      </c>
      <c r="S815" s="22">
        <v>1.4694995098330284E-2</v>
      </c>
      <c r="T815" s="23">
        <v>2</v>
      </c>
      <c r="U815" s="28">
        <v>2905810.9592053406</v>
      </c>
      <c r="V815" s="24">
        <v>1.5546404733123662E-2</v>
      </c>
      <c r="W815" s="23">
        <v>2</v>
      </c>
      <c r="X815" s="28">
        <v>2933151.6775822137</v>
      </c>
      <c r="Y815" s="24">
        <v>1.535096110630565E-2</v>
      </c>
      <c r="Z815" s="23">
        <v>2</v>
      </c>
      <c r="AA815" s="28">
        <v>2728715.4672478139</v>
      </c>
      <c r="AB815" s="24">
        <v>1.4494634517723565E-2</v>
      </c>
      <c r="AC815" s="17" t="s">
        <v>8085</v>
      </c>
      <c r="AD815" s="20">
        <v>0.16021010720440673</v>
      </c>
      <c r="AF815" s="17" t="s">
        <v>8085</v>
      </c>
      <c r="AG815" s="20">
        <v>7.1194183583123807E-2</v>
      </c>
      <c r="AI815" s="17" t="s">
        <v>8086</v>
      </c>
      <c r="AJ815" s="20">
        <v>0.13175406255314623</v>
      </c>
    </row>
    <row r="816" spans="1:36" x14ac:dyDescent="0.25">
      <c r="A816" t="s">
        <v>6368</v>
      </c>
      <c r="B816" t="s">
        <v>7852</v>
      </c>
      <c r="C816" t="s">
        <v>6371</v>
      </c>
      <c r="D816" s="6" t="s">
        <v>6369</v>
      </c>
      <c r="E816" s="6" t="s">
        <v>2265</v>
      </c>
      <c r="G816" t="s">
        <v>6370</v>
      </c>
      <c r="I816" s="17">
        <v>-1.0068915488426999</v>
      </c>
      <c r="J816" s="17">
        <v>0.89982523140119297</v>
      </c>
      <c r="K816" s="21">
        <v>6</v>
      </c>
      <c r="L816" s="27">
        <v>2024653.82177651</v>
      </c>
      <c r="M816" s="22">
        <v>3.1802500948043422E-3</v>
      </c>
      <c r="N816" s="21">
        <v>3</v>
      </c>
      <c r="O816" s="27">
        <v>1956598.2601191162</v>
      </c>
      <c r="P816" s="22">
        <v>3.1002662465428863E-3</v>
      </c>
      <c r="Q816" s="21">
        <v>6</v>
      </c>
      <c r="R816" s="27">
        <v>2018418.8555668914</v>
      </c>
      <c r="S816" s="22">
        <v>3.217007333445209E-3</v>
      </c>
      <c r="T816" s="23">
        <v>5</v>
      </c>
      <c r="U816" s="28">
        <v>2472565.3463440025</v>
      </c>
      <c r="V816" s="24">
        <v>3.8773170822617707E-3</v>
      </c>
      <c r="W816" s="23">
        <v>2</v>
      </c>
      <c r="X816" s="28">
        <v>1990541.4749252505</v>
      </c>
      <c r="Y816" s="24">
        <v>3.0534668439514655E-3</v>
      </c>
      <c r="Z816" s="23">
        <v>1</v>
      </c>
      <c r="AA816" s="28">
        <v>1967458.4520465203</v>
      </c>
      <c r="AB816" s="24">
        <v>3.0632011343779153E-3</v>
      </c>
    </row>
    <row r="817" spans="1:28" x14ac:dyDescent="0.25">
      <c r="A817" t="s">
        <v>6443</v>
      </c>
      <c r="B817" t="s">
        <v>7875</v>
      </c>
      <c r="C817" t="s">
        <v>6446</v>
      </c>
      <c r="D817" s="6" t="s">
        <v>6444</v>
      </c>
      <c r="E817" s="6" t="s">
        <v>2265</v>
      </c>
      <c r="F817" t="s">
        <v>6425</v>
      </c>
      <c r="G817" t="s">
        <v>6445</v>
      </c>
      <c r="I817" s="17">
        <v>-1.0159473481018</v>
      </c>
      <c r="J817" s="17">
        <v>0.94465150476690996</v>
      </c>
      <c r="K817" s="21">
        <v>5</v>
      </c>
      <c r="L817" s="27">
        <v>9523451.5245852508</v>
      </c>
      <c r="M817" s="22">
        <v>2.4789331852528143E-2</v>
      </c>
      <c r="N817" s="21">
        <v>4</v>
      </c>
      <c r="O817" s="27">
        <v>7844060.7310135104</v>
      </c>
      <c r="P817" s="22">
        <v>2.0596727618260216E-2</v>
      </c>
      <c r="Q817" s="21">
        <v>7</v>
      </c>
      <c r="R817" s="27">
        <v>10154555.980317976</v>
      </c>
      <c r="S817" s="22">
        <v>2.6820177247084399E-2</v>
      </c>
      <c r="T817" s="23">
        <v>4</v>
      </c>
      <c r="U817" s="28">
        <v>8511954.9697611872</v>
      </c>
      <c r="V817" s="24">
        <v>2.2119372733688785E-2</v>
      </c>
      <c r="W817" s="23">
        <v>6</v>
      </c>
      <c r="X817" s="28">
        <v>11228300.98521488</v>
      </c>
      <c r="Y817" s="24">
        <v>2.8542760447571532E-2</v>
      </c>
      <c r="Z817" s="23">
        <v>5</v>
      </c>
      <c r="AA817" s="28">
        <v>9842000.2497882433</v>
      </c>
      <c r="AB817" s="24">
        <v>2.5392956297119469E-2</v>
      </c>
    </row>
    <row r="818" spans="1:28" x14ac:dyDescent="0.25">
      <c r="A818" t="s">
        <v>6436</v>
      </c>
      <c r="B818" t="s">
        <v>7873</v>
      </c>
      <c r="C818" t="s">
        <v>6439</v>
      </c>
      <c r="D818" s="6" t="s">
        <v>6437</v>
      </c>
      <c r="E818" s="6" t="s">
        <v>2265</v>
      </c>
      <c r="F818" t="s">
        <v>6373</v>
      </c>
      <c r="G818" t="s">
        <v>6438</v>
      </c>
      <c r="H818" t="s">
        <v>2127</v>
      </c>
      <c r="I818" s="17">
        <v>-1.0519168680908799</v>
      </c>
      <c r="J818" s="17">
        <v>0.82428137493059805</v>
      </c>
      <c r="K818" s="21">
        <v>9</v>
      </c>
      <c r="L818" s="27">
        <v>24190653.068451598</v>
      </c>
      <c r="M818" s="22">
        <v>8.9692406459886742E-2</v>
      </c>
      <c r="N818" s="21">
        <v>7</v>
      </c>
      <c r="O818" s="27">
        <v>17240112.608606469</v>
      </c>
      <c r="P818" s="22">
        <v>6.4481482515837241E-2</v>
      </c>
      <c r="Q818" s="21">
        <v>7</v>
      </c>
      <c r="R818" s="27">
        <v>23760528.545066472</v>
      </c>
      <c r="S818" s="22">
        <v>8.9391132650368174E-2</v>
      </c>
      <c r="T818" s="23">
        <v>8</v>
      </c>
      <c r="U818" s="28">
        <v>24204408.408882286</v>
      </c>
      <c r="V818" s="24">
        <v>8.9593313618722345E-2</v>
      </c>
      <c r="W818" s="23">
        <v>5</v>
      </c>
      <c r="X818" s="28">
        <v>21741449.153055172</v>
      </c>
      <c r="Y818" s="24">
        <v>7.8724163096055053E-2</v>
      </c>
      <c r="Z818" s="23">
        <v>8</v>
      </c>
      <c r="AA818" s="28">
        <v>21399532.783906225</v>
      </c>
      <c r="AB818" s="24">
        <v>7.8645127790867755E-2</v>
      </c>
    </row>
    <row r="819" spans="1:28" x14ac:dyDescent="0.25">
      <c r="A819" t="s">
        <v>6440</v>
      </c>
      <c r="B819" t="s">
        <v>7874</v>
      </c>
      <c r="C819" t="s">
        <v>6442</v>
      </c>
      <c r="D819" s="6" t="s">
        <v>6441</v>
      </c>
      <c r="E819" s="6" t="s">
        <v>2265</v>
      </c>
      <c r="F819" t="s">
        <v>2312</v>
      </c>
      <c r="I819" s="17">
        <v>-1.0534797467239301</v>
      </c>
      <c r="J819" s="17">
        <v>0.89580549242259</v>
      </c>
      <c r="K819" s="21">
        <v>24</v>
      </c>
      <c r="L819" s="27">
        <v>114442728.095689</v>
      </c>
      <c r="M819" s="22">
        <v>0.21154639904480704</v>
      </c>
      <c r="N819" s="21">
        <v>19</v>
      </c>
      <c r="O819" s="27">
        <v>73521279.009467363</v>
      </c>
      <c r="P819" s="22">
        <v>0.13709364427831858</v>
      </c>
      <c r="Q819" s="21">
        <v>23</v>
      </c>
      <c r="R819" s="27">
        <v>119190727.91983415</v>
      </c>
      <c r="S819" s="22">
        <v>0.22355797490727561</v>
      </c>
      <c r="T819" s="23">
        <v>24</v>
      </c>
      <c r="U819" s="28">
        <v>112379100.78139989</v>
      </c>
      <c r="V819" s="24">
        <v>0.2073843747046861</v>
      </c>
      <c r="W819" s="23">
        <v>26</v>
      </c>
      <c r="X819" s="28">
        <v>102717541.415668</v>
      </c>
      <c r="Y819" s="24">
        <v>0.18542723908654138</v>
      </c>
      <c r="Z819" s="23">
        <v>24</v>
      </c>
      <c r="AA819" s="28">
        <v>101909728.15188828</v>
      </c>
      <c r="AB819" s="24">
        <v>0.18672072538749154</v>
      </c>
    </row>
    <row r="820" spans="1:28" x14ac:dyDescent="0.25">
      <c r="A820" t="s">
        <v>6415</v>
      </c>
      <c r="B820" t="s">
        <v>7868</v>
      </c>
      <c r="C820" t="s">
        <v>6418</v>
      </c>
      <c r="D820" s="6" t="s">
        <v>6416</v>
      </c>
      <c r="E820" s="6" t="s">
        <v>2265</v>
      </c>
      <c r="F820" t="s">
        <v>6293</v>
      </c>
      <c r="G820" t="s">
        <v>6417</v>
      </c>
      <c r="H820" t="s">
        <v>2127</v>
      </c>
      <c r="I820" s="17">
        <v>-1.0944894762919299</v>
      </c>
      <c r="J820" s="17">
        <v>0.44168892985039998</v>
      </c>
      <c r="K820" s="21">
        <v>44</v>
      </c>
      <c r="L820" s="27">
        <v>122861067.052604</v>
      </c>
      <c r="M820" s="22">
        <v>0.15303150595978732</v>
      </c>
      <c r="N820" s="21">
        <v>30</v>
      </c>
      <c r="O820" s="27">
        <v>105303401.70202515</v>
      </c>
      <c r="P820" s="22">
        <v>0.13231095448372809</v>
      </c>
      <c r="Q820" s="21">
        <v>46</v>
      </c>
      <c r="R820" s="27">
        <v>132440278.63561569</v>
      </c>
      <c r="S820" s="22">
        <v>0.16738514570908508</v>
      </c>
      <c r="T820" s="23">
        <v>37</v>
      </c>
      <c r="U820" s="28">
        <v>119765185.48004782</v>
      </c>
      <c r="V820" s="24">
        <v>0.14892589005906937</v>
      </c>
      <c r="W820" s="23">
        <v>37</v>
      </c>
      <c r="X820" s="28">
        <v>116737912.65064196</v>
      </c>
      <c r="Y820" s="24">
        <v>0.1420005327594368</v>
      </c>
      <c r="Z820" s="23">
        <v>35</v>
      </c>
      <c r="AA820" s="28">
        <v>120612402.43666634</v>
      </c>
      <c r="AB820" s="24">
        <v>0.14890798436136896</v>
      </c>
    </row>
    <row r="821" spans="1:28" x14ac:dyDescent="0.25">
      <c r="A821" t="s">
        <v>6333</v>
      </c>
      <c r="B821" t="s">
        <v>7843</v>
      </c>
      <c r="C821" t="s">
        <v>6336</v>
      </c>
      <c r="D821" s="6" t="s">
        <v>6334</v>
      </c>
      <c r="E821" s="6" t="s">
        <v>2265</v>
      </c>
      <c r="F821" t="s">
        <v>2312</v>
      </c>
      <c r="G821" t="s">
        <v>6335</v>
      </c>
      <c r="H821" t="s">
        <v>7</v>
      </c>
      <c r="I821" s="17">
        <v>-1.0970308734621399</v>
      </c>
      <c r="J821" s="17">
        <v>0.21224386179600199</v>
      </c>
      <c r="K821" s="21">
        <v>7</v>
      </c>
      <c r="L821" s="27">
        <v>3629297.43497212</v>
      </c>
      <c r="M821" s="22">
        <v>9.4085778957009036E-3</v>
      </c>
      <c r="N821" s="21">
        <v>1</v>
      </c>
      <c r="O821" s="27">
        <v>3820633.107733239</v>
      </c>
      <c r="P821" s="22">
        <v>9.991336600400998E-3</v>
      </c>
      <c r="Q821" s="21">
        <v>7</v>
      </c>
      <c r="R821" s="27">
        <v>3989099.7882339186</v>
      </c>
      <c r="S821" s="22">
        <v>1.0493166962397998E-2</v>
      </c>
      <c r="T821" s="23">
        <v>1</v>
      </c>
      <c r="U821" s="28">
        <v>3898381.0755788423</v>
      </c>
      <c r="V821" s="24">
        <v>1.0089247060030332E-2</v>
      </c>
      <c r="W821" s="23">
        <v>1</v>
      </c>
      <c r="X821" s="28">
        <v>4064350.9304226963</v>
      </c>
      <c r="Y821" s="24">
        <v>1.0289732946390455E-2</v>
      </c>
      <c r="Z821" s="23">
        <v>1</v>
      </c>
      <c r="AA821" s="28">
        <v>3328055.9477000139</v>
      </c>
      <c r="AB821" s="24">
        <v>8.5516809438412559E-3</v>
      </c>
    </row>
    <row r="822" spans="1:28" x14ac:dyDescent="0.25">
      <c r="A822" t="s">
        <v>6413</v>
      </c>
      <c r="B822" t="s">
        <v>7867</v>
      </c>
      <c r="C822" t="s">
        <v>6414</v>
      </c>
      <c r="D822" s="6" t="s">
        <v>4532</v>
      </c>
      <c r="E822" s="6" t="s">
        <v>2265</v>
      </c>
      <c r="F822" t="s">
        <v>6373</v>
      </c>
      <c r="H822" t="s">
        <v>2737</v>
      </c>
      <c r="I822" s="17">
        <v>-1.0976770518014101</v>
      </c>
      <c r="J822" s="17">
        <v>0.401530426069656</v>
      </c>
      <c r="K822" s="21">
        <v>22</v>
      </c>
      <c r="L822" s="27">
        <v>33104843.920567501</v>
      </c>
      <c r="M822" s="22">
        <v>8.5128776976475792E-2</v>
      </c>
      <c r="N822" s="21">
        <v>13</v>
      </c>
      <c r="O822" s="27">
        <v>28108597.259982076</v>
      </c>
      <c r="P822" s="22">
        <v>7.2913988392354398E-2</v>
      </c>
      <c r="Q822" s="21">
        <v>19</v>
      </c>
      <c r="R822" s="27">
        <v>32121029.391864326</v>
      </c>
      <c r="S822" s="22">
        <v>8.38116834171512E-2</v>
      </c>
      <c r="T822" s="23">
        <v>19</v>
      </c>
      <c r="U822" s="28">
        <v>30565404.891597103</v>
      </c>
      <c r="V822" s="24">
        <v>7.8467180229782538E-2</v>
      </c>
      <c r="W822" s="23">
        <v>15</v>
      </c>
      <c r="X822" s="28">
        <v>30943746.382425155</v>
      </c>
      <c r="Y822" s="24">
        <v>7.7708624778701649E-2</v>
      </c>
      <c r="Z822" s="23">
        <v>18</v>
      </c>
      <c r="AA822" s="28">
        <v>30910341.826214898</v>
      </c>
      <c r="AB822" s="24">
        <v>7.8785828224794643E-2</v>
      </c>
    </row>
    <row r="823" spans="1:28" x14ac:dyDescent="0.25">
      <c r="A823" t="s">
        <v>6392</v>
      </c>
      <c r="B823" t="s">
        <v>7860</v>
      </c>
      <c r="C823" t="s">
        <v>6395</v>
      </c>
      <c r="D823" s="6" t="s">
        <v>6393</v>
      </c>
      <c r="E823" s="6" t="s">
        <v>2265</v>
      </c>
      <c r="F823" t="s">
        <v>6373</v>
      </c>
      <c r="H823" t="s">
        <v>6394</v>
      </c>
      <c r="I823" s="17">
        <v>-1.09883230949657</v>
      </c>
      <c r="J823" s="17">
        <v>0.114365370734483</v>
      </c>
      <c r="K823" s="21">
        <v>21</v>
      </c>
      <c r="L823" s="27">
        <v>16202625.916244</v>
      </c>
      <c r="M823" s="22">
        <v>1.4867472053071757E-2</v>
      </c>
      <c r="N823" s="21">
        <v>14</v>
      </c>
      <c r="O823" s="27">
        <v>16450866.77352304</v>
      </c>
      <c r="P823" s="22">
        <v>1.5227455650153959E-2</v>
      </c>
      <c r="Q823" s="21">
        <v>21</v>
      </c>
      <c r="R823" s="27">
        <v>17712275.626757696</v>
      </c>
      <c r="S823" s="22">
        <v>1.649135524675539E-2</v>
      </c>
      <c r="T823" s="23">
        <v>12</v>
      </c>
      <c r="U823" s="28">
        <v>15895708.740592716</v>
      </c>
      <c r="V823" s="24">
        <v>1.456145142663613E-2</v>
      </c>
      <c r="W823" s="23">
        <v>10</v>
      </c>
      <c r="X823" s="28">
        <v>16701942.678779304</v>
      </c>
      <c r="Y823" s="24">
        <v>1.4966842739380631E-2</v>
      </c>
      <c r="Z823" s="23">
        <v>17</v>
      </c>
      <c r="AA823" s="28">
        <v>17032633.9417932</v>
      </c>
      <c r="AB823" s="24">
        <v>1.5491482691458565E-2</v>
      </c>
    </row>
    <row r="824" spans="1:28" x14ac:dyDescent="0.25">
      <c r="A824" t="s">
        <v>6423</v>
      </c>
      <c r="B824" t="s">
        <v>7870</v>
      </c>
      <c r="C824" t="s">
        <v>6428</v>
      </c>
      <c r="D824" s="6" t="s">
        <v>6424</v>
      </c>
      <c r="E824" s="6" t="s">
        <v>2265</v>
      </c>
      <c r="F824" t="s">
        <v>6425</v>
      </c>
      <c r="G824" t="s">
        <v>6426</v>
      </c>
      <c r="H824" t="s">
        <v>6427</v>
      </c>
      <c r="I824" s="17">
        <v>-1.0994989587949</v>
      </c>
      <c r="J824" s="17">
        <v>0.71131908081014805</v>
      </c>
      <c r="K824" s="21">
        <v>5</v>
      </c>
      <c r="L824" s="27">
        <v>15880932.957995901</v>
      </c>
      <c r="M824" s="22">
        <v>5.9574941038209636E-2</v>
      </c>
      <c r="N824" s="21">
        <v>4</v>
      </c>
      <c r="O824" s="27">
        <v>11972031.966028737</v>
      </c>
      <c r="P824" s="22">
        <v>4.5304600905980229E-2</v>
      </c>
      <c r="Q824" s="21">
        <v>5</v>
      </c>
      <c r="R824" s="27">
        <v>21072957.155780699</v>
      </c>
      <c r="S824" s="22">
        <v>8.0212740177477398E-2</v>
      </c>
      <c r="T824" s="23">
        <v>4</v>
      </c>
      <c r="U824" s="28">
        <v>15742064.151440712</v>
      </c>
      <c r="V824" s="24">
        <v>5.8955228969889785E-2</v>
      </c>
      <c r="W824" s="23">
        <v>3</v>
      </c>
      <c r="X824" s="28">
        <v>15645460.359129282</v>
      </c>
      <c r="Y824" s="24">
        <v>5.7317525959942786E-2</v>
      </c>
      <c r="Z824" s="23">
        <v>5</v>
      </c>
      <c r="AA824" s="28">
        <v>16751294.2782344</v>
      </c>
      <c r="AB824" s="24">
        <v>6.2286714691698421E-2</v>
      </c>
    </row>
    <row r="825" spans="1:28" x14ac:dyDescent="0.25">
      <c r="A825" t="s">
        <v>6329</v>
      </c>
      <c r="B825" t="s">
        <v>7842</v>
      </c>
      <c r="C825" t="s">
        <v>6332</v>
      </c>
      <c r="D825" s="6" t="s">
        <v>6330</v>
      </c>
      <c r="E825" s="6" t="s">
        <v>2265</v>
      </c>
      <c r="F825" t="s">
        <v>6331</v>
      </c>
      <c r="H825" t="s">
        <v>6327</v>
      </c>
      <c r="I825" s="17">
        <v>-1.10162736726991</v>
      </c>
      <c r="J825" s="17">
        <v>0.52169397603425105</v>
      </c>
      <c r="K825" s="21">
        <v>15</v>
      </c>
      <c r="L825" s="27">
        <v>15663359.8187651</v>
      </c>
      <c r="M825" s="22">
        <v>1.2922363725458819E-2</v>
      </c>
      <c r="N825" s="21">
        <v>18</v>
      </c>
      <c r="O825" s="27">
        <v>24673258.989454813</v>
      </c>
      <c r="P825" s="22">
        <v>2.0533850046433641E-2</v>
      </c>
      <c r="Q825" s="21">
        <v>16</v>
      </c>
      <c r="R825" s="27">
        <v>17405909.3428992</v>
      </c>
      <c r="S825" s="22">
        <v>1.4570820670854157E-2</v>
      </c>
      <c r="T825" s="23">
        <v>17</v>
      </c>
      <c r="U825" s="28">
        <v>19557078.553841356</v>
      </c>
      <c r="V825" s="24">
        <v>1.6107719573063992E-2</v>
      </c>
      <c r="W825" s="23">
        <v>12</v>
      </c>
      <c r="X825" s="28">
        <v>19257262.652724307</v>
      </c>
      <c r="Y825" s="24">
        <v>1.5515403378586803E-2</v>
      </c>
      <c r="Z825" s="23">
        <v>9</v>
      </c>
      <c r="AA825" s="28">
        <v>17499021.683231659</v>
      </c>
      <c r="AB825" s="24">
        <v>1.4309690915157179E-2</v>
      </c>
    </row>
    <row r="826" spans="1:28" x14ac:dyDescent="0.25">
      <c r="A826" t="s">
        <v>6410</v>
      </c>
      <c r="B826" t="s">
        <v>7866</v>
      </c>
      <c r="C826" t="s">
        <v>6412</v>
      </c>
      <c r="D826" s="6" t="s">
        <v>6411</v>
      </c>
      <c r="E826" s="6" t="s">
        <v>2265</v>
      </c>
      <c r="F826" t="s">
        <v>6293</v>
      </c>
      <c r="H826" t="s">
        <v>1577</v>
      </c>
      <c r="I826" s="17">
        <v>-1.12266410936812</v>
      </c>
      <c r="J826" s="17">
        <v>0.211167443074706</v>
      </c>
      <c r="K826" s="21">
        <v>29</v>
      </c>
      <c r="L826" s="27">
        <v>125277890.36341199</v>
      </c>
      <c r="M826" s="22">
        <v>0.22826688758695118</v>
      </c>
      <c r="N826" s="21">
        <v>25</v>
      </c>
      <c r="O826" s="27">
        <v>119764982.10271052</v>
      </c>
      <c r="P826" s="22">
        <v>0.22013301010988343</v>
      </c>
      <c r="Q826" s="21">
        <v>27</v>
      </c>
      <c r="R826" s="27">
        <v>136821152.23354807</v>
      </c>
      <c r="S826" s="22">
        <v>0.25296007947729271</v>
      </c>
      <c r="T826" s="23">
        <v>28</v>
      </c>
      <c r="U826" s="28">
        <v>129133224.50496046</v>
      </c>
      <c r="V826" s="24">
        <v>0.23489811150233697</v>
      </c>
      <c r="W826" s="23">
        <v>26</v>
      </c>
      <c r="X826" s="28">
        <v>123012094.52303775</v>
      </c>
      <c r="Y826" s="24">
        <v>0.21889093688563335</v>
      </c>
      <c r="Z826" s="23">
        <v>25</v>
      </c>
      <c r="AA826" s="28">
        <v>115830445.36252376</v>
      </c>
      <c r="AB826" s="24">
        <v>0.20919469148772002</v>
      </c>
    </row>
    <row r="827" spans="1:28" x14ac:dyDescent="0.25">
      <c r="A827" t="s">
        <v>6404</v>
      </c>
      <c r="B827" t="s">
        <v>7864</v>
      </c>
      <c r="C827" t="s">
        <v>6405</v>
      </c>
      <c r="D827" s="6" t="s">
        <v>4604</v>
      </c>
      <c r="E827" s="6" t="s">
        <v>2265</v>
      </c>
      <c r="F827" t="s">
        <v>6293</v>
      </c>
      <c r="H827" t="s">
        <v>1055</v>
      </c>
      <c r="I827" s="17">
        <v>-1.1477789093614601</v>
      </c>
      <c r="J827" s="17">
        <v>0.18459262550283301</v>
      </c>
      <c r="K827" s="21">
        <v>27</v>
      </c>
      <c r="L827" s="27">
        <v>20330534.212859701</v>
      </c>
      <c r="M827" s="22">
        <v>2.0353818071780549E-2</v>
      </c>
      <c r="N827" s="21">
        <v>18</v>
      </c>
      <c r="O827" s="27">
        <v>19095738.69169135</v>
      </c>
      <c r="P827" s="22">
        <v>1.9285033312244095E-2</v>
      </c>
      <c r="Q827" s="21">
        <v>25</v>
      </c>
      <c r="R827" s="27">
        <v>22148344.867067408</v>
      </c>
      <c r="S827" s="22">
        <v>2.2499280740269963E-2</v>
      </c>
      <c r="T827" s="23">
        <v>20</v>
      </c>
      <c r="U827" s="28">
        <v>20624180.025705419</v>
      </c>
      <c r="V827" s="24">
        <v>2.0613267183350728E-2</v>
      </c>
      <c r="W827" s="23">
        <v>17</v>
      </c>
      <c r="X827" s="28">
        <v>19319592.133026261</v>
      </c>
      <c r="Y827" s="24">
        <v>1.888889412715896E-2</v>
      </c>
      <c r="Z827" s="23">
        <v>16</v>
      </c>
      <c r="AA827" s="28">
        <v>18089955.787074693</v>
      </c>
      <c r="AB827" s="24">
        <v>1.7951223369999818E-2</v>
      </c>
    </row>
    <row r="828" spans="1:28" x14ac:dyDescent="0.25">
      <c r="A828" t="s">
        <v>6432</v>
      </c>
      <c r="B828" t="s">
        <v>7872</v>
      </c>
      <c r="C828" t="s">
        <v>6435</v>
      </c>
      <c r="D828" s="6" t="s">
        <v>6433</v>
      </c>
      <c r="E828" s="6" t="s">
        <v>2265</v>
      </c>
      <c r="F828" t="s">
        <v>6421</v>
      </c>
      <c r="G828" t="s">
        <v>6434</v>
      </c>
      <c r="I828" s="17">
        <v>-1.1592341113342299</v>
      </c>
      <c r="J828" s="17">
        <v>0.81825977781467996</v>
      </c>
      <c r="K828" s="21">
        <v>5</v>
      </c>
      <c r="L828" s="27">
        <v>3246353.8587791598</v>
      </c>
      <c r="M828" s="22">
        <v>2.3796502688590973E-2</v>
      </c>
      <c r="N828" s="21">
        <v>1</v>
      </c>
      <c r="O828" s="27">
        <v>1310472.6343722995</v>
      </c>
      <c r="P828" s="22">
        <v>9.6901849525330968E-3</v>
      </c>
      <c r="Q828" s="21">
        <v>4</v>
      </c>
      <c r="R828" s="27">
        <v>2440034.2527027372</v>
      </c>
      <c r="S828" s="22">
        <v>1.8148613849257433E-2</v>
      </c>
      <c r="T828" s="23">
        <v>3</v>
      </c>
      <c r="U828" s="28">
        <v>2709530.4098765878</v>
      </c>
      <c r="V828" s="24">
        <v>1.9828248398124554E-2</v>
      </c>
      <c r="W828" s="23">
        <v>2</v>
      </c>
      <c r="X828" s="28">
        <v>2063168.511165492</v>
      </c>
      <c r="Y828" s="24">
        <v>1.4769420633132257E-2</v>
      </c>
      <c r="Z828" s="23">
        <v>2</v>
      </c>
      <c r="AA828" s="28">
        <v>1845765.9772861791</v>
      </c>
      <c r="AB828" s="24">
        <v>1.3410759113029372E-2</v>
      </c>
    </row>
    <row r="829" spans="1:28" x14ac:dyDescent="0.25">
      <c r="A829" t="s">
        <v>6298</v>
      </c>
      <c r="B829" t="s">
        <v>7833</v>
      </c>
      <c r="C829" t="s">
        <v>6300</v>
      </c>
      <c r="D829" s="6" t="s">
        <v>6299</v>
      </c>
      <c r="E829" s="6" t="s">
        <v>2265</v>
      </c>
      <c r="H829" t="s">
        <v>1577</v>
      </c>
      <c r="I829" s="17">
        <v>-1.1666284676039</v>
      </c>
      <c r="J829" s="17">
        <v>0.168144465455248</v>
      </c>
      <c r="K829" s="21">
        <v>15</v>
      </c>
      <c r="L829" s="27">
        <v>22080879.707543001</v>
      </c>
      <c r="M829" s="22">
        <v>2.6822150721096762E-2</v>
      </c>
      <c r="N829" s="21">
        <v>11</v>
      </c>
      <c r="O829" s="27">
        <v>21967486.534532081</v>
      </c>
      <c r="P829" s="22">
        <v>2.6918101604734075E-2</v>
      </c>
      <c r="Q829" s="21">
        <v>16</v>
      </c>
      <c r="R829" s="27">
        <v>22941861.048889987</v>
      </c>
      <c r="S829" s="22">
        <v>2.8277182290148115E-2</v>
      </c>
      <c r="T829" s="23">
        <v>13</v>
      </c>
      <c r="U829" s="28">
        <v>22251837.347619373</v>
      </c>
      <c r="V829" s="24">
        <v>2.6984610095249221E-2</v>
      </c>
      <c r="W829" s="23">
        <v>9</v>
      </c>
      <c r="X829" s="28">
        <v>18919258.088199016</v>
      </c>
      <c r="Y829" s="24">
        <v>2.2443614964117224E-2</v>
      </c>
      <c r="Z829" s="23">
        <v>12</v>
      </c>
      <c r="AA829" s="28">
        <v>20791919.586028308</v>
      </c>
      <c r="AB829" s="24">
        <v>2.5034058415433665E-2</v>
      </c>
    </row>
    <row r="830" spans="1:28" x14ac:dyDescent="0.25">
      <c r="A830" t="s">
        <v>6313</v>
      </c>
      <c r="B830" t="s">
        <v>7838</v>
      </c>
      <c r="C830" t="s">
        <v>6316</v>
      </c>
      <c r="D830" s="6" t="s">
        <v>6314</v>
      </c>
      <c r="E830" s="6" t="s">
        <v>2265</v>
      </c>
      <c r="F830" t="s">
        <v>6315</v>
      </c>
      <c r="H830" t="s">
        <v>243</v>
      </c>
      <c r="I830" s="17">
        <v>-1.1802174116705499</v>
      </c>
      <c r="J830" s="17">
        <v>0.107419792195364</v>
      </c>
      <c r="K830" s="21">
        <v>8</v>
      </c>
      <c r="L830" s="27">
        <v>4308747.5242242003</v>
      </c>
      <c r="M830" s="22">
        <v>1.3536037198081137E-2</v>
      </c>
      <c r="N830" s="21">
        <v>4</v>
      </c>
      <c r="O830" s="27">
        <v>3967493.4827682348</v>
      </c>
      <c r="P830" s="22">
        <v>1.2573134075317441E-2</v>
      </c>
      <c r="Q830" s="21">
        <v>7</v>
      </c>
      <c r="R830" s="27">
        <v>4438535.1797575252</v>
      </c>
      <c r="S830" s="22">
        <v>1.4148500628254557E-2</v>
      </c>
      <c r="T830" s="23">
        <v>5</v>
      </c>
      <c r="U830" s="28">
        <v>3932716.7051913287</v>
      </c>
      <c r="V830" s="24">
        <v>1.2334064038615779E-2</v>
      </c>
      <c r="W830" s="23">
        <v>4</v>
      </c>
      <c r="X830" s="28">
        <v>3804460.4851234788</v>
      </c>
      <c r="Y830" s="24">
        <v>1.1671993873811935E-2</v>
      </c>
      <c r="Z830" s="23">
        <v>4</v>
      </c>
      <c r="AA830" s="28">
        <v>3935250.1896456969</v>
      </c>
      <c r="AB830" s="24">
        <v>1.2253842344111246E-2</v>
      </c>
    </row>
    <row r="831" spans="1:28" x14ac:dyDescent="0.25">
      <c r="A831" t="s">
        <v>6295</v>
      </c>
      <c r="B831" t="s">
        <v>7832</v>
      </c>
      <c r="C831" t="s">
        <v>6297</v>
      </c>
      <c r="D831" s="6" t="s">
        <v>6296</v>
      </c>
      <c r="E831" s="6" t="s">
        <v>2265</v>
      </c>
      <c r="F831" t="s">
        <v>6293</v>
      </c>
      <c r="H831" t="s">
        <v>1577</v>
      </c>
      <c r="I831" s="17">
        <v>-1.1897531340062</v>
      </c>
      <c r="J831" s="17">
        <v>0.15500228922467699</v>
      </c>
      <c r="K831" s="21">
        <v>10</v>
      </c>
      <c r="L831" s="27">
        <v>9042209.8649117202</v>
      </c>
      <c r="M831" s="22">
        <v>1.6107498001264414E-2</v>
      </c>
      <c r="N831" s="21">
        <v>5</v>
      </c>
      <c r="O831" s="27">
        <v>8582739.4469797723</v>
      </c>
      <c r="P831" s="22">
        <v>1.5422907876306305E-2</v>
      </c>
      <c r="Q831" s="21">
        <v>10</v>
      </c>
      <c r="R831" s="27">
        <v>10203013.237302512</v>
      </c>
      <c r="S831" s="22">
        <v>1.8442178166727732E-2</v>
      </c>
      <c r="T831" s="23">
        <v>7</v>
      </c>
      <c r="U831" s="28">
        <v>9289239.6597609967</v>
      </c>
      <c r="V831" s="24">
        <v>1.6519873406937419E-2</v>
      </c>
      <c r="W831" s="23">
        <v>3</v>
      </c>
      <c r="X831" s="28">
        <v>8184497.3880052129</v>
      </c>
      <c r="Y831" s="24">
        <v>1.4238262615959871E-2</v>
      </c>
      <c r="Z831" s="23">
        <v>3</v>
      </c>
      <c r="AA831" s="28">
        <v>7776552.9658749215</v>
      </c>
      <c r="AB831" s="24">
        <v>1.3730934186195805E-2</v>
      </c>
    </row>
    <row r="832" spans="1:28" x14ac:dyDescent="0.25">
      <c r="A832" t="s">
        <v>6310</v>
      </c>
      <c r="B832" t="s">
        <v>7837</v>
      </c>
      <c r="C832" t="s">
        <v>6312</v>
      </c>
      <c r="D832" s="6" t="s">
        <v>6311</v>
      </c>
      <c r="E832" s="6" t="s">
        <v>2265</v>
      </c>
      <c r="F832" t="s">
        <v>2266</v>
      </c>
      <c r="H832" t="s">
        <v>17</v>
      </c>
      <c r="I832" s="17">
        <v>-1.1903943172435001</v>
      </c>
      <c r="J832" s="17">
        <v>0.27823930700962601</v>
      </c>
      <c r="K832" s="21">
        <v>3</v>
      </c>
      <c r="L832" s="27">
        <v>1482023.4015233901</v>
      </c>
      <c r="M832" s="22">
        <v>6.8487687926809277E-3</v>
      </c>
      <c r="N832" s="21">
        <v>1</v>
      </c>
      <c r="O832" s="27">
        <v>1110267.9038295925</v>
      </c>
      <c r="P832" s="22">
        <v>5.1757353487297307E-3</v>
      </c>
      <c r="Q832" s="21">
        <v>3</v>
      </c>
      <c r="R832" s="27">
        <v>1350253.1090056105</v>
      </c>
      <c r="S832" s="22">
        <v>6.331445740992819E-3</v>
      </c>
      <c r="T832" s="23">
        <v>2</v>
      </c>
      <c r="U832" s="28">
        <v>1212200.715235088</v>
      </c>
      <c r="V832" s="24">
        <v>5.592487517643724E-3</v>
      </c>
      <c r="W832" s="23">
        <v>0</v>
      </c>
      <c r="X832" s="28">
        <v>1297899.3833928395</v>
      </c>
      <c r="Y832" s="24">
        <v>5.8574683534517689E-3</v>
      </c>
      <c r="Z832" s="23">
        <v>0</v>
      </c>
      <c r="AA832" s="28">
        <v>1106310.4438863923</v>
      </c>
      <c r="AB832" s="24">
        <v>5.0675017079416422E-3</v>
      </c>
    </row>
    <row r="833" spans="1:28" x14ac:dyDescent="0.25">
      <c r="A833" t="s">
        <v>6356</v>
      </c>
      <c r="B833" t="s">
        <v>7849</v>
      </c>
      <c r="C833" t="s">
        <v>6359</v>
      </c>
      <c r="D833" s="6" t="s">
        <v>6357</v>
      </c>
      <c r="E833" s="6" t="s">
        <v>2265</v>
      </c>
      <c r="G833" t="s">
        <v>6358</v>
      </c>
      <c r="I833" s="17">
        <v>-1.2106585762469</v>
      </c>
      <c r="J833" s="17">
        <v>0.17103970056412601</v>
      </c>
      <c r="K833" s="21">
        <v>26</v>
      </c>
      <c r="L833" s="27">
        <v>19223660.967046399</v>
      </c>
      <c r="M833" s="22">
        <v>4.15576147537478E-2</v>
      </c>
      <c r="N833" s="21">
        <v>10</v>
      </c>
      <c r="O833" s="27">
        <v>15991709.371407801</v>
      </c>
      <c r="P833" s="22">
        <v>3.4873556091911034E-2</v>
      </c>
      <c r="Q833" s="21">
        <v>24</v>
      </c>
      <c r="R833" s="27">
        <v>19636091.282010581</v>
      </c>
      <c r="S833" s="22">
        <v>4.3072473873757136E-2</v>
      </c>
      <c r="T833" s="23">
        <v>15</v>
      </c>
      <c r="U833" s="28">
        <v>17142346.912255261</v>
      </c>
      <c r="V833" s="24">
        <v>3.699626125890982E-2</v>
      </c>
      <c r="W833" s="23">
        <v>13</v>
      </c>
      <c r="X833" s="28">
        <v>15760079.15040417</v>
      </c>
      <c r="Y833" s="24">
        <v>3.3272419996513619E-2</v>
      </c>
      <c r="Z833" s="23">
        <v>14</v>
      </c>
      <c r="AA833" s="28">
        <v>16212898.173714597</v>
      </c>
      <c r="AB833" s="24">
        <v>3.474038419223343E-2</v>
      </c>
    </row>
    <row r="834" spans="1:28" x14ac:dyDescent="0.25">
      <c r="A834" t="s">
        <v>6389</v>
      </c>
      <c r="B834" t="s">
        <v>7859</v>
      </c>
      <c r="C834" t="s">
        <v>6391</v>
      </c>
      <c r="D834" s="6" t="s">
        <v>6390</v>
      </c>
      <c r="E834" s="6" t="s">
        <v>2265</v>
      </c>
      <c r="F834" t="s">
        <v>6293</v>
      </c>
      <c r="H834" t="s">
        <v>1577</v>
      </c>
      <c r="I834" s="17">
        <v>-1.22811362731045</v>
      </c>
      <c r="J834" s="17">
        <v>5.1729671762762899E-2</v>
      </c>
      <c r="K834" s="21">
        <v>26</v>
      </c>
      <c r="L834" s="27">
        <v>80687676.0648669</v>
      </c>
      <c r="M834" s="22">
        <v>0.13795419320393254</v>
      </c>
      <c r="N834" s="21">
        <v>22</v>
      </c>
      <c r="O834" s="27">
        <v>93760101.956805065</v>
      </c>
      <c r="P834" s="22">
        <v>0.16170840806994602</v>
      </c>
      <c r="Q834" s="21">
        <v>26</v>
      </c>
      <c r="R834" s="27">
        <v>100575919.57344319</v>
      </c>
      <c r="S834" s="22">
        <v>0.17448253813118425</v>
      </c>
      <c r="T834" s="23">
        <v>23</v>
      </c>
      <c r="U834" s="28">
        <v>86707148.256991103</v>
      </c>
      <c r="V834" s="24">
        <v>0.14799793129226765</v>
      </c>
      <c r="W834" s="23">
        <v>22</v>
      </c>
      <c r="X834" s="28">
        <v>82714347.23805812</v>
      </c>
      <c r="Y834" s="24">
        <v>0.1381083784277328</v>
      </c>
      <c r="Z834" s="23">
        <v>23</v>
      </c>
      <c r="AA834" s="28">
        <v>71765548.113649055</v>
      </c>
      <c r="AB834" s="24">
        <v>0.12161948280317611</v>
      </c>
    </row>
    <row r="835" spans="1:28" x14ac:dyDescent="0.25">
      <c r="A835" t="s">
        <v>6287</v>
      </c>
      <c r="B835" t="s">
        <v>7830</v>
      </c>
      <c r="C835" t="s">
        <v>6290</v>
      </c>
      <c r="D835" s="6" t="s">
        <v>6288</v>
      </c>
      <c r="E835" s="6" t="s">
        <v>2265</v>
      </c>
      <c r="F835" t="s">
        <v>2312</v>
      </c>
      <c r="G835" t="s">
        <v>6289</v>
      </c>
      <c r="H835" t="s">
        <v>57</v>
      </c>
      <c r="I835" s="17">
        <v>-1.2338533041476301</v>
      </c>
      <c r="J835" s="17">
        <v>2.4090798482863801E-2</v>
      </c>
      <c r="K835" s="21">
        <v>11</v>
      </c>
      <c r="L835" s="27">
        <v>39528555.806975797</v>
      </c>
      <c r="M835" s="22">
        <v>0.15755329674203852</v>
      </c>
      <c r="N835" s="21">
        <v>6</v>
      </c>
      <c r="O835" s="27">
        <v>38663578.077634089</v>
      </c>
      <c r="P835" s="22">
        <v>0.15545526048424416</v>
      </c>
      <c r="Q835" s="21">
        <v>11</v>
      </c>
      <c r="R835" s="27">
        <v>40508375.883957773</v>
      </c>
      <c r="S835" s="22">
        <v>0.16382932369823647</v>
      </c>
      <c r="T835" s="23">
        <v>8</v>
      </c>
      <c r="U835" s="28">
        <v>34490143.306031428</v>
      </c>
      <c r="V835" s="24">
        <v>0.13724122634209199</v>
      </c>
      <c r="W835" s="23">
        <v>7</v>
      </c>
      <c r="X835" s="28">
        <v>34760111.594928339</v>
      </c>
      <c r="Y835" s="24">
        <v>0.13530354972246886</v>
      </c>
      <c r="Z835" s="23">
        <v>7</v>
      </c>
      <c r="AA835" s="28">
        <v>34995240.41003377</v>
      </c>
      <c r="AB835" s="24">
        <v>0.13825631477820183</v>
      </c>
    </row>
    <row r="836" spans="1:28" x14ac:dyDescent="0.25">
      <c r="A836" t="s">
        <v>6386</v>
      </c>
      <c r="B836" t="s">
        <v>7858</v>
      </c>
      <c r="C836" t="s">
        <v>6388</v>
      </c>
      <c r="D836" s="6" t="s">
        <v>6387</v>
      </c>
      <c r="E836" s="6" t="s">
        <v>2265</v>
      </c>
      <c r="F836" t="s">
        <v>6293</v>
      </c>
      <c r="H836" t="s">
        <v>1577</v>
      </c>
      <c r="I836" s="17">
        <v>-1.2370707762854201</v>
      </c>
      <c r="J836" s="17">
        <v>8.3064503257304096E-3</v>
      </c>
      <c r="K836" s="21">
        <v>23</v>
      </c>
      <c r="L836" s="27">
        <v>52307559.817778602</v>
      </c>
      <c r="M836" s="22">
        <v>0.12309253045348224</v>
      </c>
      <c r="N836" s="21">
        <v>11</v>
      </c>
      <c r="O836" s="27">
        <v>60045109.721160732</v>
      </c>
      <c r="P836" s="22">
        <v>0.14253834584082103</v>
      </c>
      <c r="Q836" s="21">
        <v>21</v>
      </c>
      <c r="R836" s="27">
        <v>54923212.566020027</v>
      </c>
      <c r="S836" s="22">
        <v>0.13114551142603748</v>
      </c>
      <c r="T836" s="23">
        <v>12</v>
      </c>
      <c r="U836" s="28">
        <v>48935441.8149537</v>
      </c>
      <c r="V836" s="24">
        <v>0.1149645110941819</v>
      </c>
      <c r="W836" s="23">
        <v>12</v>
      </c>
      <c r="X836" s="28">
        <v>50288302.382138461</v>
      </c>
      <c r="Y836" s="24">
        <v>0.11557015490432448</v>
      </c>
      <c r="Z836" s="23">
        <v>13</v>
      </c>
      <c r="AA836" s="28">
        <v>46991803.741603993</v>
      </c>
      <c r="AB836" s="24">
        <v>0.10960965287329871</v>
      </c>
    </row>
    <row r="837" spans="1:28" x14ac:dyDescent="0.25">
      <c r="A837" t="s">
        <v>6383</v>
      </c>
      <c r="B837" t="s">
        <v>7857</v>
      </c>
      <c r="C837" t="s">
        <v>6385</v>
      </c>
      <c r="D837" s="6" t="s">
        <v>6384</v>
      </c>
      <c r="E837" s="6" t="s">
        <v>2265</v>
      </c>
      <c r="F837" t="s">
        <v>2312</v>
      </c>
      <c r="G837" t="s">
        <v>2438</v>
      </c>
      <c r="H837" t="s">
        <v>57</v>
      </c>
      <c r="I837" s="17">
        <v>-1.2654783295074099</v>
      </c>
      <c r="J837" s="17">
        <v>1.44113087663807E-2</v>
      </c>
      <c r="K837" s="21">
        <v>18</v>
      </c>
      <c r="L837" s="27">
        <v>56424763.304770403</v>
      </c>
      <c r="M837" s="22">
        <v>0.14568314985618971</v>
      </c>
      <c r="N837" s="21">
        <v>11</v>
      </c>
      <c r="O837" s="27">
        <v>57209813.059162714</v>
      </c>
      <c r="P837" s="22">
        <v>0.14900366062615367</v>
      </c>
      <c r="Q837" s="21">
        <v>18</v>
      </c>
      <c r="R837" s="27">
        <v>60992811.293738842</v>
      </c>
      <c r="S837" s="22">
        <v>0.1597895920747944</v>
      </c>
      <c r="T837" s="23">
        <v>15</v>
      </c>
      <c r="U837" s="28">
        <v>51231659.730656631</v>
      </c>
      <c r="V837" s="24">
        <v>0.13205384359257397</v>
      </c>
      <c r="W837" s="23">
        <v>13</v>
      </c>
      <c r="X837" s="28">
        <v>50555836.127554968</v>
      </c>
      <c r="Y837" s="24">
        <v>0.12747421768549186</v>
      </c>
      <c r="Z837" s="23">
        <v>17</v>
      </c>
      <c r="AA837" s="28">
        <v>47509505.780093208</v>
      </c>
      <c r="AB837" s="24">
        <v>0.12158487070266827</v>
      </c>
    </row>
    <row r="838" spans="1:28" x14ac:dyDescent="0.25">
      <c r="A838" t="s">
        <v>6381</v>
      </c>
      <c r="B838" t="s">
        <v>7856</v>
      </c>
      <c r="C838" t="s">
        <v>6382</v>
      </c>
      <c r="D838" s="6" t="s">
        <v>4604</v>
      </c>
      <c r="E838" s="6" t="s">
        <v>2265</v>
      </c>
      <c r="F838" t="s">
        <v>6293</v>
      </c>
      <c r="H838" t="s">
        <v>1055</v>
      </c>
      <c r="I838" s="17">
        <v>-1.2797261257499399</v>
      </c>
      <c r="J838" s="17">
        <v>3.79168249001351E-2</v>
      </c>
      <c r="K838" s="21">
        <v>38</v>
      </c>
      <c r="L838" s="27">
        <v>66058145.460457198</v>
      </c>
      <c r="M838" s="22">
        <v>6.8277520791741958E-2</v>
      </c>
      <c r="N838" s="21">
        <v>29</v>
      </c>
      <c r="O838" s="27">
        <v>62863440.638145462</v>
      </c>
      <c r="P838" s="22">
        <v>6.5544513712696581E-2</v>
      </c>
      <c r="Q838" s="21">
        <v>35</v>
      </c>
      <c r="R838" s="27">
        <v>70060672.206130251</v>
      </c>
      <c r="S838" s="22">
        <v>7.3477762972147628E-2</v>
      </c>
      <c r="T838" s="23">
        <v>29</v>
      </c>
      <c r="U838" s="28">
        <v>59194718.630981177</v>
      </c>
      <c r="V838" s="24">
        <v>6.1081173256059468E-2</v>
      </c>
      <c r="W838" s="23">
        <v>25</v>
      </c>
      <c r="X838" s="28">
        <v>54862326.331724122</v>
      </c>
      <c r="Y838" s="24">
        <v>5.5377974403568911E-2</v>
      </c>
      <c r="Z838" s="23">
        <v>26</v>
      </c>
      <c r="AA838" s="28">
        <v>54125671.435180627</v>
      </c>
      <c r="AB838" s="24">
        <v>5.5451603690621951E-2</v>
      </c>
    </row>
    <row r="839" spans="1:28" x14ac:dyDescent="0.25">
      <c r="A839" t="s">
        <v>6379</v>
      </c>
      <c r="B839" t="s">
        <v>7855</v>
      </c>
      <c r="C839" t="s">
        <v>6380</v>
      </c>
      <c r="D839" s="6" t="s">
        <v>4604</v>
      </c>
      <c r="E839" s="6" t="s">
        <v>2265</v>
      </c>
      <c r="F839" t="s">
        <v>6293</v>
      </c>
      <c r="H839" t="s">
        <v>1055</v>
      </c>
      <c r="I839" s="17">
        <v>-1.28582871467585</v>
      </c>
      <c r="J839" s="17">
        <v>3.1494283265545001E-2</v>
      </c>
      <c r="K839" s="21">
        <v>27</v>
      </c>
      <c r="L839" s="27">
        <v>27512068.943974499</v>
      </c>
      <c r="M839" s="22">
        <v>2.8298804693508213E-2</v>
      </c>
      <c r="N839" s="21">
        <v>20</v>
      </c>
      <c r="O839" s="27">
        <v>28220157.693527874</v>
      </c>
      <c r="P839" s="22">
        <v>2.9281350918578204E-2</v>
      </c>
      <c r="Q839" s="21">
        <v>25</v>
      </c>
      <c r="R839" s="27">
        <v>27447051.113979932</v>
      </c>
      <c r="S839" s="22">
        <v>2.8646448787620717E-2</v>
      </c>
      <c r="T839" s="23">
        <v>21</v>
      </c>
      <c r="U839" s="28">
        <v>24096093.792532571</v>
      </c>
      <c r="V839" s="24">
        <v>2.4743693612541588E-2</v>
      </c>
      <c r="W839" s="23">
        <v>16</v>
      </c>
      <c r="X839" s="28">
        <v>22024702.842503641</v>
      </c>
      <c r="Y839" s="24">
        <v>2.2124139047657008E-2</v>
      </c>
      <c r="Z839" s="23">
        <v>16</v>
      </c>
      <c r="AA839" s="28">
        <v>23801235.587375332</v>
      </c>
      <c r="AB839" s="24">
        <v>2.4266312796767265E-2</v>
      </c>
    </row>
    <row r="840" spans="1:28" x14ac:dyDescent="0.25">
      <c r="A840" t="s">
        <v>6324</v>
      </c>
      <c r="B840" t="s">
        <v>7841</v>
      </c>
      <c r="C840" t="s">
        <v>6328</v>
      </c>
      <c r="D840" s="6" t="s">
        <v>6325</v>
      </c>
      <c r="E840" s="6" t="s">
        <v>2265</v>
      </c>
      <c r="F840" t="s">
        <v>6326</v>
      </c>
      <c r="H840" t="s">
        <v>6327</v>
      </c>
      <c r="I840" s="17">
        <v>-1.3024462025074699</v>
      </c>
      <c r="J840" s="17">
        <v>5.5491153329918802E-2</v>
      </c>
      <c r="K840" s="21">
        <v>1</v>
      </c>
      <c r="L840" s="27">
        <v>1090776.53373392</v>
      </c>
      <c r="M840" s="22">
        <v>3.0244365681459081E-3</v>
      </c>
      <c r="N840" s="21">
        <v>2</v>
      </c>
      <c r="O840" s="27">
        <v>996750.72857661929</v>
      </c>
      <c r="P840" s="22">
        <v>2.7879314327497284E-3</v>
      </c>
      <c r="Q840" s="21">
        <v>1</v>
      </c>
      <c r="R840" s="27">
        <v>976694.59130913962</v>
      </c>
      <c r="S840" s="22">
        <v>2.7478798319297689E-3</v>
      </c>
      <c r="T840" s="23">
        <v>0</v>
      </c>
      <c r="U840" s="28">
        <v>886155.47514025157</v>
      </c>
      <c r="V840" s="24">
        <v>2.4529667592808153E-3</v>
      </c>
      <c r="W840" s="23">
        <v>1</v>
      </c>
      <c r="X840" s="28">
        <v>825556.42975770961</v>
      </c>
      <c r="Y840" s="24">
        <v>2.2354601858212537E-3</v>
      </c>
      <c r="Z840" s="23">
        <v>1</v>
      </c>
      <c r="AA840" s="28">
        <v>841389.08358840295</v>
      </c>
      <c r="AB840" s="24">
        <v>2.3124109376475507E-3</v>
      </c>
    </row>
    <row r="841" spans="1:28" x14ac:dyDescent="0.25">
      <c r="A841" t="s">
        <v>6401</v>
      </c>
      <c r="B841" t="s">
        <v>7863</v>
      </c>
      <c r="C841" t="s">
        <v>6403</v>
      </c>
      <c r="D841" s="6" t="s">
        <v>6402</v>
      </c>
      <c r="E841" s="6" t="s">
        <v>2265</v>
      </c>
      <c r="F841" t="s">
        <v>2312</v>
      </c>
      <c r="G841" t="s">
        <v>6289</v>
      </c>
      <c r="H841" t="s">
        <v>41</v>
      </c>
      <c r="I841" s="17">
        <v>-1.30841600139468</v>
      </c>
      <c r="J841" s="17">
        <v>0.15280167419353</v>
      </c>
      <c r="K841" s="21">
        <v>2</v>
      </c>
      <c r="L841" s="27">
        <v>395391.51700625703</v>
      </c>
      <c r="M841" s="22">
        <v>1.9546732397710829E-3</v>
      </c>
      <c r="N841" s="21">
        <v>1</v>
      </c>
      <c r="O841" s="27">
        <v>514514.56309176487</v>
      </c>
      <c r="P841" s="22">
        <v>2.5658503558793917E-3</v>
      </c>
      <c r="Q841" s="21">
        <v>1</v>
      </c>
      <c r="R841" s="27">
        <v>399145.93956719514</v>
      </c>
      <c r="S841" s="22">
        <v>2.0022061693918242E-3</v>
      </c>
      <c r="T841" s="23">
        <v>1</v>
      </c>
      <c r="U841" s="28">
        <v>433145.79791885393</v>
      </c>
      <c r="V841" s="24">
        <v>2.1377354989782021E-3</v>
      </c>
      <c r="W841" s="23">
        <v>0</v>
      </c>
      <c r="X841" s="28">
        <v>302055.49839371437</v>
      </c>
      <c r="Y841" s="24">
        <v>1.4582938577956115E-3</v>
      </c>
      <c r="Z841" s="23">
        <v>0</v>
      </c>
      <c r="AA841" s="28">
        <v>335881.77742776513</v>
      </c>
      <c r="AB841" s="24">
        <v>1.6458593169720328E-3</v>
      </c>
    </row>
    <row r="842" spans="1:28" x14ac:dyDescent="0.25">
      <c r="A842" t="s">
        <v>6301</v>
      </c>
      <c r="B842" t="s">
        <v>7834</v>
      </c>
      <c r="C842" t="s">
        <v>6303</v>
      </c>
      <c r="D842" s="6" t="s">
        <v>6302</v>
      </c>
      <c r="E842" s="6" t="s">
        <v>2265</v>
      </c>
      <c r="F842" t="s">
        <v>6293</v>
      </c>
      <c r="H842" t="s">
        <v>1577</v>
      </c>
      <c r="I842" s="17">
        <v>-1.3132849028317499</v>
      </c>
      <c r="J842" s="17">
        <v>0.18892136029373299</v>
      </c>
      <c r="K842" s="21">
        <v>8</v>
      </c>
      <c r="L842" s="27">
        <v>8543690.3743100408</v>
      </c>
      <c r="M842" s="22">
        <v>2.1283451882686436E-2</v>
      </c>
      <c r="N842" s="21">
        <v>5</v>
      </c>
      <c r="O842" s="27">
        <v>5793767.9612243343</v>
      </c>
      <c r="P842" s="22">
        <v>1.4559434104056919E-2</v>
      </c>
      <c r="Q842" s="21">
        <v>7</v>
      </c>
      <c r="R842" s="27">
        <v>8384220.0801760647</v>
      </c>
      <c r="S842" s="22">
        <v>2.1192856346043787E-2</v>
      </c>
      <c r="T842" s="23">
        <v>5</v>
      </c>
      <c r="U842" s="28">
        <v>6323795.5579454275</v>
      </c>
      <c r="V842" s="24">
        <v>1.5727055875941622E-2</v>
      </c>
      <c r="W842" s="23">
        <v>4</v>
      </c>
      <c r="X842" s="28">
        <v>6460555.1256158017</v>
      </c>
      <c r="Y842" s="24">
        <v>1.5717297815742794E-2</v>
      </c>
      <c r="Z842" s="23">
        <v>4</v>
      </c>
      <c r="AA842" s="28">
        <v>6082398.4482704615</v>
      </c>
      <c r="AB842" s="24">
        <v>1.5018649404488327E-2</v>
      </c>
    </row>
    <row r="843" spans="1:28" x14ac:dyDescent="0.25">
      <c r="A843" t="s">
        <v>6352</v>
      </c>
      <c r="B843" t="s">
        <v>7848</v>
      </c>
      <c r="C843" t="s">
        <v>6355</v>
      </c>
      <c r="D843" s="6" t="s">
        <v>6353</v>
      </c>
      <c r="E843" s="6" t="s">
        <v>2265</v>
      </c>
      <c r="G843" t="s">
        <v>6354</v>
      </c>
      <c r="I843" s="17">
        <v>-1.31556111303532</v>
      </c>
      <c r="J843" s="17">
        <v>0.122810626538999</v>
      </c>
      <c r="K843" s="21">
        <v>2</v>
      </c>
      <c r="L843" s="27">
        <v>786030.24219213403</v>
      </c>
      <c r="M843" s="22">
        <v>2.1794552180331231E-3</v>
      </c>
      <c r="N843" s="21">
        <v>1</v>
      </c>
      <c r="O843" s="27">
        <v>753970.74411065469</v>
      </c>
      <c r="P843" s="22">
        <v>2.1088710312572559E-3</v>
      </c>
      <c r="Q843" s="21">
        <v>1</v>
      </c>
      <c r="R843" s="27">
        <v>630881.81483018422</v>
      </c>
      <c r="S843" s="22">
        <v>1.7749534304059697E-3</v>
      </c>
      <c r="T843" s="23">
        <v>2</v>
      </c>
      <c r="U843" s="28">
        <v>547972.00476116338</v>
      </c>
      <c r="V843" s="24">
        <v>1.5168411756219904E-3</v>
      </c>
      <c r="W843" s="23">
        <v>1</v>
      </c>
      <c r="X843" s="28">
        <v>760284.26147868426</v>
      </c>
      <c r="Y843" s="24">
        <v>2.0587147470233149E-3</v>
      </c>
      <c r="Z843" s="23">
        <v>1</v>
      </c>
      <c r="AA843" s="28">
        <v>502238.21907909174</v>
      </c>
      <c r="AB843" s="24">
        <v>1.3803140232697053E-3</v>
      </c>
    </row>
    <row r="844" spans="1:28" x14ac:dyDescent="0.25">
      <c r="A844" t="s">
        <v>6344</v>
      </c>
      <c r="B844" t="s">
        <v>7846</v>
      </c>
      <c r="C844" t="s">
        <v>6348</v>
      </c>
      <c r="D844" s="6" t="s">
        <v>6345</v>
      </c>
      <c r="E844" s="6" t="s">
        <v>2265</v>
      </c>
      <c r="F844" t="s">
        <v>6346</v>
      </c>
      <c r="G844" t="s">
        <v>6347</v>
      </c>
      <c r="H844" t="s">
        <v>41</v>
      </c>
      <c r="I844" s="17">
        <v>-1.3179341703518299</v>
      </c>
      <c r="J844" s="17">
        <v>1.2273687158606701E-2</v>
      </c>
      <c r="K844" s="21">
        <v>1</v>
      </c>
      <c r="L844" s="27">
        <v>706671.354397516</v>
      </c>
      <c r="M844" s="22">
        <v>1.644763480317755E-3</v>
      </c>
      <c r="N844" s="21">
        <v>1</v>
      </c>
      <c r="O844" s="27">
        <v>910688.71682288544</v>
      </c>
      <c r="P844" s="22">
        <v>2.1381725789299181E-3</v>
      </c>
      <c r="Q844" s="21">
        <v>2</v>
      </c>
      <c r="R844" s="27">
        <v>804430.57059625164</v>
      </c>
      <c r="S844" s="22">
        <v>1.899786484608723E-3</v>
      </c>
      <c r="T844" s="23">
        <v>1</v>
      </c>
      <c r="U844" s="28">
        <v>682275.7296114933</v>
      </c>
      <c r="V844" s="24">
        <v>1.5853272824689364E-3</v>
      </c>
      <c r="W844" s="23">
        <v>1</v>
      </c>
      <c r="X844" s="28">
        <v>661753.31353975506</v>
      </c>
      <c r="Y844" s="24">
        <v>1.5041583985009432E-3</v>
      </c>
      <c r="Z844" s="23">
        <v>1</v>
      </c>
      <c r="AA844" s="28">
        <v>634761.47350241651</v>
      </c>
      <c r="AB844" s="24">
        <v>1.464387370427657E-3</v>
      </c>
    </row>
    <row r="845" spans="1:28" x14ac:dyDescent="0.25">
      <c r="A845" t="s">
        <v>6360</v>
      </c>
      <c r="B845" t="s">
        <v>7850</v>
      </c>
      <c r="C845" t="s">
        <v>6363</v>
      </c>
      <c r="D845" s="6" t="s">
        <v>6361</v>
      </c>
      <c r="E845" s="6" t="s">
        <v>2265</v>
      </c>
      <c r="G845" t="s">
        <v>6362</v>
      </c>
      <c r="I845" s="17">
        <v>-1.32010883580022</v>
      </c>
      <c r="J845" s="17">
        <v>0.186447246178054</v>
      </c>
      <c r="K845" s="21">
        <v>6</v>
      </c>
      <c r="L845" s="27">
        <v>25328647.269841298</v>
      </c>
      <c r="M845" s="22">
        <v>2.8239207033164061E-2</v>
      </c>
      <c r="N845" s="21">
        <v>7</v>
      </c>
      <c r="O845" s="27">
        <v>18525287.219452247</v>
      </c>
      <c r="P845" s="22">
        <v>2.0834941429024569E-2</v>
      </c>
      <c r="Q845" s="21">
        <v>6</v>
      </c>
      <c r="R845" s="27">
        <v>18912318.524574734</v>
      </c>
      <c r="S845" s="22">
        <v>2.139515981267753E-2</v>
      </c>
      <c r="T845" s="23">
        <v>9</v>
      </c>
      <c r="U845" s="28">
        <v>17262884.999981947</v>
      </c>
      <c r="V845" s="24">
        <v>1.9214404205086143E-2</v>
      </c>
      <c r="W845" s="23">
        <v>7</v>
      </c>
      <c r="X845" s="28">
        <v>15947005.699057233</v>
      </c>
      <c r="Y845" s="24">
        <v>1.7363254535991364E-2</v>
      </c>
      <c r="Z845" s="23">
        <v>8</v>
      </c>
      <c r="AA845" s="28">
        <v>18690162.533814423</v>
      </c>
      <c r="AB845" s="24">
        <v>2.0654421103200819E-2</v>
      </c>
    </row>
    <row r="846" spans="1:28" x14ac:dyDescent="0.25">
      <c r="A846" t="s">
        <v>6399</v>
      </c>
      <c r="B846" t="s">
        <v>7862</v>
      </c>
      <c r="C846" t="s">
        <v>6400</v>
      </c>
      <c r="D846" s="6" t="s">
        <v>4532</v>
      </c>
      <c r="E846" s="6" t="s">
        <v>2265</v>
      </c>
      <c r="F846" t="s">
        <v>6373</v>
      </c>
      <c r="H846" t="s">
        <v>2737</v>
      </c>
      <c r="I846" s="17">
        <v>-1.3348530481365399</v>
      </c>
      <c r="J846" s="17">
        <v>0.14280768372063701</v>
      </c>
      <c r="K846" s="21">
        <v>8</v>
      </c>
      <c r="L846" s="27">
        <v>8683818.4114420209</v>
      </c>
      <c r="M846" s="22">
        <v>2.3366782573009739E-2</v>
      </c>
      <c r="N846" s="21">
        <v>3</v>
      </c>
      <c r="O846" s="27">
        <v>6366421.1111419555</v>
      </c>
      <c r="P846" s="22">
        <v>1.7281060018496677E-2</v>
      </c>
      <c r="Q846" s="21">
        <v>7</v>
      </c>
      <c r="R846" s="27">
        <v>9345769.2689346056</v>
      </c>
      <c r="S846" s="22">
        <v>2.5517228269919322E-2</v>
      </c>
      <c r="T846" s="23">
        <v>3</v>
      </c>
      <c r="U846" s="28">
        <v>6873971.3640176514</v>
      </c>
      <c r="V846" s="24">
        <v>1.8465834823912515E-2</v>
      </c>
      <c r="W846" s="23">
        <v>3</v>
      </c>
      <c r="X846" s="28">
        <v>7098711.5910960827</v>
      </c>
      <c r="Y846" s="24">
        <v>1.8654310316898921E-2</v>
      </c>
      <c r="Z846" s="23">
        <v>4</v>
      </c>
      <c r="AA846" s="28">
        <v>5915774.9936775221</v>
      </c>
      <c r="AB846" s="24">
        <v>1.5778266207792289E-2</v>
      </c>
    </row>
    <row r="847" spans="1:28" x14ac:dyDescent="0.25">
      <c r="A847" t="s">
        <v>6349</v>
      </c>
      <c r="B847" t="s">
        <v>7847</v>
      </c>
      <c r="C847" t="s">
        <v>6351</v>
      </c>
      <c r="D847" s="6" t="s">
        <v>6350</v>
      </c>
      <c r="E847" s="6" t="s">
        <v>2265</v>
      </c>
      <c r="F847" t="s">
        <v>2312</v>
      </c>
      <c r="H847" t="s">
        <v>104</v>
      </c>
      <c r="I847" s="17">
        <v>-1.3562547041789099</v>
      </c>
      <c r="J847" s="17">
        <v>5.0569047586299203E-2</v>
      </c>
      <c r="K847" s="21">
        <v>9</v>
      </c>
      <c r="L847" s="27">
        <v>5699945.4213022497</v>
      </c>
      <c r="M847" s="22">
        <v>9.5407441941349879E-3</v>
      </c>
      <c r="N847" s="21">
        <v>7</v>
      </c>
      <c r="O847" s="27">
        <v>7014363.2118674954</v>
      </c>
      <c r="P847" s="22">
        <v>1.1843679250295275E-2</v>
      </c>
      <c r="Q847" s="21">
        <v>7</v>
      </c>
      <c r="R847" s="27">
        <v>5143007.5599446865</v>
      </c>
      <c r="S847" s="22">
        <v>8.7349209078602264E-3</v>
      </c>
      <c r="T847" s="23">
        <v>6</v>
      </c>
      <c r="U847" s="28">
        <v>4944306.8099222183</v>
      </c>
      <c r="V847" s="24">
        <v>8.2620916933555388E-3</v>
      </c>
      <c r="W847" s="23">
        <v>5</v>
      </c>
      <c r="X847" s="28">
        <v>4699146.7166769262</v>
      </c>
      <c r="Y847" s="24">
        <v>7.6814293462506514E-3</v>
      </c>
      <c r="Z847" s="23">
        <v>5</v>
      </c>
      <c r="AA847" s="28">
        <v>4581554.9245397598</v>
      </c>
      <c r="AB847" s="24">
        <v>7.6012304515439121E-3</v>
      </c>
    </row>
    <row r="848" spans="1:28" x14ac:dyDescent="0.25">
      <c r="A848" t="s">
        <v>6375</v>
      </c>
      <c r="B848" t="s">
        <v>7854</v>
      </c>
      <c r="C848" t="s">
        <v>6378</v>
      </c>
      <c r="D848" s="6" t="s">
        <v>6376</v>
      </c>
      <c r="E848" s="6" t="s">
        <v>2265</v>
      </c>
      <c r="F848" t="s">
        <v>6373</v>
      </c>
      <c r="G848" t="s">
        <v>6377</v>
      </c>
      <c r="H848" t="s">
        <v>57</v>
      </c>
      <c r="I848" s="17">
        <v>-1.3873358313690201</v>
      </c>
      <c r="J848" s="17">
        <v>1.50494113995359E-2</v>
      </c>
      <c r="K848" s="21">
        <v>16</v>
      </c>
      <c r="L848" s="27">
        <v>14382629.924252</v>
      </c>
      <c r="M848" s="22">
        <v>3.409750141574068E-2</v>
      </c>
      <c r="N848" s="21">
        <v>11</v>
      </c>
      <c r="O848" s="27">
        <v>14478499.82161111</v>
      </c>
      <c r="P848" s="22">
        <v>3.462538792625619E-2</v>
      </c>
      <c r="Q848" s="21">
        <v>15</v>
      </c>
      <c r="R848" s="27">
        <v>13547302.573594721</v>
      </c>
      <c r="S848" s="22">
        <v>3.2588722832872959E-2</v>
      </c>
      <c r="T848" s="23">
        <v>11</v>
      </c>
      <c r="U848" s="28">
        <v>11622858.898557251</v>
      </c>
      <c r="V848" s="24">
        <v>2.7508712182297192E-2</v>
      </c>
      <c r="W848" s="23">
        <v>11</v>
      </c>
      <c r="X848" s="28">
        <v>11114390.094967095</v>
      </c>
      <c r="Y848" s="24">
        <v>2.5732463583761168E-2</v>
      </c>
      <c r="Z848" s="23">
        <v>10</v>
      </c>
      <c r="AA848" s="28">
        <v>10385962.040477177</v>
      </c>
      <c r="AB848" s="24">
        <v>2.440565281200131E-2</v>
      </c>
    </row>
    <row r="849" spans="1:36" x14ac:dyDescent="0.25">
      <c r="A849" t="s">
        <v>6396</v>
      </c>
      <c r="B849" t="s">
        <v>7861</v>
      </c>
      <c r="C849" t="s">
        <v>6398</v>
      </c>
      <c r="D849" s="6" t="s">
        <v>4532</v>
      </c>
      <c r="E849" s="6" t="s">
        <v>2265</v>
      </c>
      <c r="F849" t="s">
        <v>6373</v>
      </c>
      <c r="G849" t="s">
        <v>6397</v>
      </c>
      <c r="H849" t="s">
        <v>2737</v>
      </c>
      <c r="I849" s="17">
        <v>-1.39317826882894</v>
      </c>
      <c r="J849" s="17">
        <v>0.12432992084304299</v>
      </c>
      <c r="K849" s="21">
        <v>11</v>
      </c>
      <c r="L849" s="27">
        <v>20039921.1780679</v>
      </c>
      <c r="M849" s="22">
        <v>5.3029251437513934E-2</v>
      </c>
      <c r="N849" s="21">
        <v>5</v>
      </c>
      <c r="O849" s="27">
        <v>14138126.642223915</v>
      </c>
      <c r="P849" s="22">
        <v>3.7739677756012315E-2</v>
      </c>
      <c r="Q849" s="21">
        <v>15</v>
      </c>
      <c r="R849" s="27">
        <v>19920939.12079737</v>
      </c>
      <c r="S849" s="22">
        <v>5.348839366258288E-2</v>
      </c>
      <c r="T849" s="23">
        <v>8</v>
      </c>
      <c r="U849" s="28">
        <v>14808761.838858979</v>
      </c>
      <c r="V849" s="24">
        <v>3.9121120024349448E-2</v>
      </c>
      <c r="W849" s="23">
        <v>5</v>
      </c>
      <c r="X849" s="28">
        <v>12933671.666435299</v>
      </c>
      <c r="Y849" s="24">
        <v>3.3423567304448558E-2</v>
      </c>
      <c r="Z849" s="23">
        <v>8</v>
      </c>
      <c r="AA849" s="28">
        <v>14413667.132212982</v>
      </c>
      <c r="AB849" s="24">
        <v>3.7805363970099558E-2</v>
      </c>
    </row>
    <row r="850" spans="1:36" x14ac:dyDescent="0.25">
      <c r="A850" t="s">
        <v>6341</v>
      </c>
      <c r="B850" t="s">
        <v>7845</v>
      </c>
      <c r="C850" t="s">
        <v>6343</v>
      </c>
      <c r="D850" s="6" t="s">
        <v>6342</v>
      </c>
      <c r="E850" s="6" t="s">
        <v>2265</v>
      </c>
      <c r="F850" t="s">
        <v>2312</v>
      </c>
      <c r="H850" t="s">
        <v>57</v>
      </c>
      <c r="I850" s="17">
        <v>-1.43520324740532</v>
      </c>
      <c r="J850" s="17">
        <v>0.27621313625925997</v>
      </c>
      <c r="K850" s="21">
        <v>1</v>
      </c>
      <c r="L850" s="27">
        <v>1039155.64093894</v>
      </c>
      <c r="M850" s="22">
        <v>2.6829969342558766E-3</v>
      </c>
      <c r="N850" s="21">
        <v>0</v>
      </c>
      <c r="O850" s="27">
        <v>636143.95938285952</v>
      </c>
      <c r="P850" s="22">
        <v>1.6568447538053979E-3</v>
      </c>
      <c r="Q850" s="21">
        <v>1</v>
      </c>
      <c r="R850" s="27">
        <v>1419679.9587041053</v>
      </c>
      <c r="S850" s="22">
        <v>3.7192921045332613E-3</v>
      </c>
      <c r="T850" s="23">
        <v>0</v>
      </c>
      <c r="U850" s="28">
        <v>739089.77635448542</v>
      </c>
      <c r="V850" s="24">
        <v>1.9050650757891181E-3</v>
      </c>
      <c r="W850" s="23">
        <v>0</v>
      </c>
      <c r="X850" s="28">
        <v>820044.19949633628</v>
      </c>
      <c r="Y850" s="24">
        <v>2.067703766872236E-3</v>
      </c>
      <c r="Z850" s="23">
        <v>0</v>
      </c>
      <c r="AA850" s="28">
        <v>783426.26736363664</v>
      </c>
      <c r="AB850" s="24">
        <v>2.0049204860891922E-3</v>
      </c>
    </row>
    <row r="851" spans="1:36" x14ac:dyDescent="0.25">
      <c r="A851" t="s">
        <v>6321</v>
      </c>
      <c r="B851" t="s">
        <v>7840</v>
      </c>
      <c r="C851" t="s">
        <v>6323</v>
      </c>
      <c r="D851" s="6" t="s">
        <v>6322</v>
      </c>
      <c r="E851" s="6" t="s">
        <v>2265</v>
      </c>
      <c r="F851" t="s">
        <v>6319</v>
      </c>
      <c r="H851" t="s">
        <v>172</v>
      </c>
      <c r="I851" s="17">
        <v>-1.50291923135796</v>
      </c>
      <c r="J851" s="17">
        <v>2.6088899054121401E-2</v>
      </c>
      <c r="K851" s="21">
        <v>2</v>
      </c>
      <c r="L851" s="27">
        <v>793682.00576475903</v>
      </c>
      <c r="M851" s="22">
        <v>1.4298148467962978E-3</v>
      </c>
      <c r="N851" s="21">
        <v>2</v>
      </c>
      <c r="O851" s="27">
        <v>1148158.1650444765</v>
      </c>
      <c r="P851" s="22">
        <v>2.0865164797336548E-3</v>
      </c>
      <c r="Q851" s="21">
        <v>1</v>
      </c>
      <c r="R851" s="27">
        <v>798019.37531641684</v>
      </c>
      <c r="S851" s="22">
        <v>1.4587368823566287E-3</v>
      </c>
      <c r="T851" s="23">
        <v>2</v>
      </c>
      <c r="U851" s="28">
        <v>590310.34971432353</v>
      </c>
      <c r="V851" s="24">
        <v>1.0616630671817166E-3</v>
      </c>
      <c r="W851" s="23">
        <v>2</v>
      </c>
      <c r="X851" s="28">
        <v>671560.19921904791</v>
      </c>
      <c r="Y851" s="24">
        <v>1.1814890430920145E-3</v>
      </c>
      <c r="Z851" s="23">
        <v>2</v>
      </c>
      <c r="AA851" s="28">
        <v>706298.38328952331</v>
      </c>
      <c r="AB851" s="24">
        <v>1.2611911890010145E-3</v>
      </c>
    </row>
    <row r="852" spans="1:36" x14ac:dyDescent="0.25">
      <c r="A852" t="s">
        <v>6291</v>
      </c>
      <c r="B852" t="s">
        <v>7831</v>
      </c>
      <c r="C852" t="s">
        <v>6294</v>
      </c>
      <c r="D852" s="6" t="s">
        <v>6292</v>
      </c>
      <c r="E852" s="6" t="s">
        <v>2265</v>
      </c>
      <c r="F852" t="s">
        <v>6293</v>
      </c>
      <c r="H852" t="s">
        <v>1577</v>
      </c>
      <c r="I852" s="17">
        <v>-1.6263522641657799</v>
      </c>
      <c r="J852" s="17">
        <v>5.7814690489602E-2</v>
      </c>
      <c r="K852" s="21">
        <v>1</v>
      </c>
      <c r="L852" s="27">
        <v>994553.10064101301</v>
      </c>
      <c r="M852" s="22">
        <v>2.7221282640214261E-3</v>
      </c>
      <c r="N852" s="21">
        <v>2</v>
      </c>
      <c r="O852" s="27">
        <v>726863.95269296644</v>
      </c>
      <c r="P852" s="22">
        <v>2.0068761559035105E-3</v>
      </c>
      <c r="Q852" s="21">
        <v>2</v>
      </c>
      <c r="R852" s="27">
        <v>1151702.250299365</v>
      </c>
      <c r="S852" s="22">
        <v>3.1985348299946059E-3</v>
      </c>
      <c r="T852" s="23">
        <v>0</v>
      </c>
      <c r="U852" s="28">
        <v>719901.99209591269</v>
      </c>
      <c r="V852" s="24">
        <v>1.9671026716033234E-3</v>
      </c>
      <c r="W852" s="23">
        <v>1</v>
      </c>
      <c r="X852" s="28">
        <v>592146.31248578534</v>
      </c>
      <c r="Y852" s="24">
        <v>1.5827820605066913E-3</v>
      </c>
      <c r="Z852" s="23">
        <v>1</v>
      </c>
      <c r="AA852" s="28">
        <v>597519.08704494697</v>
      </c>
      <c r="AB852" s="24">
        <v>1.6210329390382821E-3</v>
      </c>
    </row>
    <row r="853" spans="1:36" x14ac:dyDescent="0.25">
      <c r="A853" t="s">
        <v>6337</v>
      </c>
      <c r="B853" t="s">
        <v>7844</v>
      </c>
      <c r="C853" t="s">
        <v>6340</v>
      </c>
      <c r="D853" s="6" t="s">
        <v>6338</v>
      </c>
      <c r="E853" s="6" t="s">
        <v>2265</v>
      </c>
      <c r="F853" t="s">
        <v>6339</v>
      </c>
      <c r="H853" t="s">
        <v>57</v>
      </c>
      <c r="I853" s="17">
        <v>-1.6513770973873001</v>
      </c>
      <c r="J853" s="17">
        <v>2.3865639780320198E-2</v>
      </c>
      <c r="K853" s="21">
        <v>10</v>
      </c>
      <c r="L853" s="27">
        <v>5842273.0657928502</v>
      </c>
      <c r="M853" s="22">
        <v>1.3647582712003822E-2</v>
      </c>
      <c r="N853" s="21">
        <v>4</v>
      </c>
      <c r="O853" s="27">
        <v>4745869.3548567165</v>
      </c>
      <c r="P853" s="22">
        <v>1.1183467868087759E-2</v>
      </c>
      <c r="Q853" s="21">
        <v>8</v>
      </c>
      <c r="R853" s="27">
        <v>6291715.1771426862</v>
      </c>
      <c r="S853" s="22">
        <v>1.491328085997453E-2</v>
      </c>
      <c r="T853" s="23">
        <v>3</v>
      </c>
      <c r="U853" s="28">
        <v>4102381.9817899242</v>
      </c>
      <c r="V853" s="24">
        <v>9.567159686895246E-3</v>
      </c>
      <c r="W853" s="23">
        <v>5</v>
      </c>
      <c r="X853" s="28">
        <v>3392866.9461106001</v>
      </c>
      <c r="Y853" s="24">
        <v>7.7402001836510857E-3</v>
      </c>
      <c r="Z853" s="23">
        <v>4</v>
      </c>
      <c r="AA853" s="28">
        <v>3554134.5337512949</v>
      </c>
      <c r="AB853" s="24">
        <v>8.2293814603257975E-3</v>
      </c>
    </row>
    <row r="854" spans="1:36" x14ac:dyDescent="0.25">
      <c r="A854" t="s">
        <v>6406</v>
      </c>
      <c r="B854" t="s">
        <v>7865</v>
      </c>
      <c r="C854" t="s">
        <v>6409</v>
      </c>
      <c r="D854" s="6" t="s">
        <v>6407</v>
      </c>
      <c r="E854" s="6" t="s">
        <v>2265</v>
      </c>
      <c r="F854" t="s">
        <v>6408</v>
      </c>
      <c r="H854" t="s">
        <v>41</v>
      </c>
      <c r="I854" s="17">
        <v>-1.7214727271460999</v>
      </c>
      <c r="J854" s="17">
        <v>0.194198922910512</v>
      </c>
      <c r="K854" s="21">
        <v>2</v>
      </c>
      <c r="L854" s="27">
        <v>378730.22676915</v>
      </c>
      <c r="M854" s="22">
        <v>2.2158481749534778E-3</v>
      </c>
      <c r="N854" s="21">
        <v>2</v>
      </c>
      <c r="O854" s="27">
        <v>643888.57143355941</v>
      </c>
      <c r="P854" s="22">
        <v>3.8002098685786007E-3</v>
      </c>
      <c r="Q854" s="21">
        <v>0</v>
      </c>
      <c r="R854" s="27">
        <v>244525.61689670011</v>
      </c>
      <c r="S854" s="22">
        <v>1.4516591477356426E-3</v>
      </c>
      <c r="T854" s="23">
        <v>0</v>
      </c>
      <c r="U854" s="28">
        <v>215132.7870994499</v>
      </c>
      <c r="V854" s="24">
        <v>1.2565786589543368E-3</v>
      </c>
      <c r="W854" s="23">
        <v>0</v>
      </c>
      <c r="X854" s="28">
        <v>367630.17013835203</v>
      </c>
      <c r="Y854" s="24">
        <v>2.1005482337653068E-3</v>
      </c>
      <c r="Z854" s="23">
        <v>0</v>
      </c>
      <c r="AA854" s="28">
        <v>221848.09335915683</v>
      </c>
      <c r="AB854" s="24">
        <v>1.2865455901333487E-3</v>
      </c>
    </row>
    <row r="855" spans="1:36" x14ac:dyDescent="0.25">
      <c r="A855" t="s">
        <v>6372</v>
      </c>
      <c r="B855" t="s">
        <v>7853</v>
      </c>
      <c r="C855" t="s">
        <v>6374</v>
      </c>
      <c r="D855" s="6" t="s">
        <v>4532</v>
      </c>
      <c r="E855" s="6" t="s">
        <v>2265</v>
      </c>
      <c r="F855" t="s">
        <v>6373</v>
      </c>
      <c r="H855" t="s">
        <v>2737</v>
      </c>
      <c r="I855" s="17">
        <v>-1.76782172740351</v>
      </c>
      <c r="J855" s="17">
        <v>4.4183397508676399E-2</v>
      </c>
      <c r="K855" s="21">
        <v>18</v>
      </c>
      <c r="L855" s="27">
        <v>14433109.3415785</v>
      </c>
      <c r="M855" s="22">
        <v>3.4733660740105247E-2</v>
      </c>
      <c r="N855" s="21">
        <v>8</v>
      </c>
      <c r="O855" s="27">
        <v>10087545.316419184</v>
      </c>
      <c r="P855" s="22">
        <v>2.4488545301748911E-2</v>
      </c>
      <c r="Q855" s="21">
        <v>18</v>
      </c>
      <c r="R855" s="27">
        <v>15884197.079394221</v>
      </c>
      <c r="S855" s="22">
        <v>3.8786999340190656E-2</v>
      </c>
      <c r="T855" s="23">
        <v>8</v>
      </c>
      <c r="U855" s="28">
        <v>9565816.2709029093</v>
      </c>
      <c r="V855" s="24">
        <v>2.2981889658429285E-2</v>
      </c>
      <c r="W855" s="23">
        <v>5</v>
      </c>
      <c r="X855" s="28">
        <v>8238508.0611498402</v>
      </c>
      <c r="Y855" s="24">
        <v>1.9362021954111727E-2</v>
      </c>
      <c r="Z855" s="23">
        <v>6</v>
      </c>
      <c r="AA855" s="28">
        <v>6971525.0818020161</v>
      </c>
      <c r="AB855" s="24">
        <v>1.6629450476861748E-2</v>
      </c>
    </row>
    <row r="856" spans="1:36" x14ac:dyDescent="0.25">
      <c r="A856" t="s">
        <v>6317</v>
      </c>
      <c r="B856" t="s">
        <v>7839</v>
      </c>
      <c r="C856" t="s">
        <v>6320</v>
      </c>
      <c r="D856" s="6" t="s">
        <v>6318</v>
      </c>
      <c r="E856" s="6" t="s">
        <v>2265</v>
      </c>
      <c r="F856" t="s">
        <v>6319</v>
      </c>
      <c r="H856" t="s">
        <v>172</v>
      </c>
      <c r="I856" s="17">
        <v>-1.79097347404421</v>
      </c>
      <c r="J856" s="17">
        <v>3.34463944907211E-2</v>
      </c>
      <c r="K856" s="21">
        <v>3</v>
      </c>
      <c r="L856" s="27">
        <v>864890.16883745301</v>
      </c>
      <c r="M856" s="22">
        <v>1.1861634503804118E-3</v>
      </c>
      <c r="N856" s="21">
        <v>2</v>
      </c>
      <c r="O856" s="27">
        <v>1094074.8975909506</v>
      </c>
      <c r="P856" s="22">
        <v>1.5136221115643824E-3</v>
      </c>
      <c r="Q856" s="21">
        <v>3</v>
      </c>
      <c r="R856" s="27">
        <v>974297.2780668363</v>
      </c>
      <c r="S856" s="22">
        <v>1.3558302718523656E-3</v>
      </c>
      <c r="T856" s="23">
        <v>2</v>
      </c>
      <c r="U856" s="28">
        <v>629444.38456026278</v>
      </c>
      <c r="V856" s="24">
        <v>8.6181487239067795E-4</v>
      </c>
      <c r="W856" s="23">
        <v>0</v>
      </c>
      <c r="X856" s="28">
        <v>419774.92819436669</v>
      </c>
      <c r="Y856" s="24">
        <v>5.6222681392518884E-4</v>
      </c>
      <c r="Z856" s="23">
        <v>0</v>
      </c>
      <c r="AA856" s="28">
        <v>700450.72350515635</v>
      </c>
      <c r="AB856" s="24">
        <v>9.5218341601917029E-4</v>
      </c>
    </row>
    <row r="857" spans="1:36" x14ac:dyDescent="0.25">
      <c r="A857" t="s">
        <v>6304</v>
      </c>
      <c r="B857" t="s">
        <v>7835</v>
      </c>
      <c r="C857" t="s">
        <v>6306</v>
      </c>
      <c r="D857" s="6" t="s">
        <v>6305</v>
      </c>
      <c r="E857" s="6" t="s">
        <v>2265</v>
      </c>
      <c r="F857" t="s">
        <v>2266</v>
      </c>
      <c r="G857" s="13"/>
      <c r="H857" t="s">
        <v>553</v>
      </c>
      <c r="I857" s="17">
        <v>-1.8513468908251001</v>
      </c>
      <c r="J857" s="17">
        <v>8.1673428297968098E-4</v>
      </c>
      <c r="K857" s="21">
        <v>3</v>
      </c>
      <c r="L857" s="27">
        <v>5358153.9705710197</v>
      </c>
      <c r="M857" s="22">
        <v>9.2352784738612588E-3</v>
      </c>
      <c r="N857" s="21">
        <v>2</v>
      </c>
      <c r="O857" s="27">
        <v>5319648.4401601702</v>
      </c>
      <c r="P857" s="22">
        <v>9.2492085198110606E-3</v>
      </c>
      <c r="Q857" s="21">
        <v>3</v>
      </c>
      <c r="R857" s="27">
        <v>5150100.0078786174</v>
      </c>
      <c r="S857" s="22">
        <v>9.0070117303686116E-3</v>
      </c>
      <c r="T857" s="23">
        <v>4</v>
      </c>
      <c r="U857" s="28">
        <v>3114860.9575178688</v>
      </c>
      <c r="V857" s="24">
        <v>5.3597744617408932E-3</v>
      </c>
      <c r="W857" s="23">
        <v>0</v>
      </c>
      <c r="X857" s="28">
        <v>3076157.4336447027</v>
      </c>
      <c r="Y857" s="24">
        <v>5.177914148574902E-3</v>
      </c>
      <c r="Z857" s="23">
        <v>2</v>
      </c>
      <c r="AA857" s="28">
        <v>3076440.2380769169</v>
      </c>
      <c r="AB857" s="24">
        <v>5.2558472736017542E-3</v>
      </c>
    </row>
    <row r="858" spans="1:36" x14ac:dyDescent="0.25">
      <c r="A858" s="16" t="s">
        <v>6307</v>
      </c>
      <c r="B858" s="16" t="s">
        <v>7836</v>
      </c>
      <c r="C858" s="16" t="s">
        <v>6309</v>
      </c>
      <c r="D858" s="44" t="s">
        <v>6308</v>
      </c>
      <c r="E858" s="44" t="s">
        <v>2265</v>
      </c>
      <c r="F858" s="16" t="s">
        <v>2266</v>
      </c>
      <c r="G858" s="45"/>
      <c r="H858" s="16" t="s">
        <v>553</v>
      </c>
      <c r="I858" s="30">
        <v>-2.14942966174634</v>
      </c>
      <c r="J858" s="30">
        <v>2.11261491106709E-2</v>
      </c>
      <c r="K858" s="31">
        <v>4</v>
      </c>
      <c r="L858" s="32">
        <v>1337921.3800351101</v>
      </c>
      <c r="M858" s="33">
        <v>1.8000674648993543E-3</v>
      </c>
      <c r="N858" s="31">
        <v>1</v>
      </c>
      <c r="O858" s="32">
        <v>1104578.0039181863</v>
      </c>
      <c r="P858" s="33">
        <v>1.4991373055274959E-3</v>
      </c>
      <c r="Q858" s="31">
        <v>4</v>
      </c>
      <c r="R858" s="32">
        <v>1355537.5884537234</v>
      </c>
      <c r="S858" s="33">
        <v>1.8505465455907156E-3</v>
      </c>
      <c r="T858" s="34">
        <v>0</v>
      </c>
      <c r="U858" s="35">
        <v>713199.02123651991</v>
      </c>
      <c r="V858" s="36">
        <v>9.5794807872404673E-4</v>
      </c>
      <c r="W858" s="34">
        <v>0</v>
      </c>
      <c r="X858" s="35">
        <v>452802.81087426213</v>
      </c>
      <c r="Y858" s="36">
        <v>5.9494769142384295E-4</v>
      </c>
      <c r="Z858" s="34">
        <v>1</v>
      </c>
      <c r="AA858" s="35">
        <v>734725.78311894939</v>
      </c>
      <c r="AB858" s="36">
        <v>9.7981236677942697E-4</v>
      </c>
      <c r="AC858" s="58"/>
      <c r="AD858" s="58"/>
      <c r="AE858" s="58"/>
      <c r="AF858" s="58"/>
      <c r="AG858" s="58"/>
      <c r="AH858" s="58"/>
      <c r="AI858" s="30"/>
      <c r="AJ858" s="30"/>
    </row>
    <row r="859" spans="1:36" x14ac:dyDescent="0.25">
      <c r="A859" t="s">
        <v>6841</v>
      </c>
      <c r="B859" t="s">
        <v>8010</v>
      </c>
      <c r="C859" t="s">
        <v>6843</v>
      </c>
      <c r="D859" s="10" t="s">
        <v>6842</v>
      </c>
      <c r="E859" s="10" t="s">
        <v>3546</v>
      </c>
      <c r="I859" s="17">
        <v>1.73277634728546</v>
      </c>
      <c r="J859" s="17">
        <v>8.8662462483662094E-2</v>
      </c>
      <c r="K859" s="21">
        <v>1</v>
      </c>
      <c r="L859" s="27">
        <v>721767.36350766197</v>
      </c>
      <c r="M859" s="22">
        <v>5.6826217835032255E-3</v>
      </c>
      <c r="N859" s="21">
        <v>1</v>
      </c>
      <c r="O859" s="27">
        <v>420681.00420764339</v>
      </c>
      <c r="P859" s="22">
        <v>3.3411136270303085E-3</v>
      </c>
      <c r="Q859" s="21">
        <v>1</v>
      </c>
      <c r="R859" s="27">
        <v>965889.87722763408</v>
      </c>
      <c r="S859" s="22">
        <v>7.7163050009483982E-3</v>
      </c>
      <c r="T859" s="23">
        <v>1</v>
      </c>
      <c r="U859" s="28">
        <v>1453793.5942758785</v>
      </c>
      <c r="V859" s="24">
        <v>1.1426870510176598E-2</v>
      </c>
      <c r="W859" s="23">
        <v>2</v>
      </c>
      <c r="X859" s="28">
        <v>1243857.4554867144</v>
      </c>
      <c r="Y859" s="24">
        <v>9.5638687161910523E-3</v>
      </c>
      <c r="Z859" s="23">
        <v>3</v>
      </c>
      <c r="AA859" s="28">
        <v>1252511.1760158169</v>
      </c>
      <c r="AB859" s="24">
        <v>9.774455386488811E-3</v>
      </c>
      <c r="AC859" s="20">
        <v>8.4013145955951316</v>
      </c>
      <c r="AD859" s="20">
        <v>10.012000350676827</v>
      </c>
      <c r="AE859" s="20">
        <v>8.0549818876274824</v>
      </c>
      <c r="AF859" s="20">
        <v>8.3754162201332338</v>
      </c>
      <c r="AG859" s="20">
        <v>8.7224041734341498</v>
      </c>
      <c r="AH859" s="20">
        <v>8.3912858390214051</v>
      </c>
    </row>
    <row r="860" spans="1:36" x14ac:dyDescent="0.25">
      <c r="A860" t="s">
        <v>6802</v>
      </c>
      <c r="B860" t="s">
        <v>7997</v>
      </c>
      <c r="C860" t="s">
        <v>6804</v>
      </c>
      <c r="D860" s="10" t="s">
        <v>6803</v>
      </c>
      <c r="E860" s="10" t="s">
        <v>3546</v>
      </c>
      <c r="I860" s="17">
        <v>1.48860449052443</v>
      </c>
      <c r="J860" s="17">
        <v>4.1655520097794198E-3</v>
      </c>
      <c r="K860" s="21">
        <v>4</v>
      </c>
      <c r="L860" s="27">
        <v>1952284.8877286101</v>
      </c>
      <c r="M860" s="22">
        <v>8.0324498832021769E-3</v>
      </c>
      <c r="N860" s="21">
        <v>2</v>
      </c>
      <c r="O860" s="27">
        <v>1831301.9012034843</v>
      </c>
      <c r="P860" s="22">
        <v>7.6006653384926709E-3</v>
      </c>
      <c r="Q860" s="21">
        <v>3</v>
      </c>
      <c r="R860" s="27">
        <v>2052765.3662599421</v>
      </c>
      <c r="S860" s="22">
        <v>8.5698733453540826E-3</v>
      </c>
      <c r="T860" s="23">
        <v>2</v>
      </c>
      <c r="U860" s="28">
        <v>2776165.8230221253</v>
      </c>
      <c r="V860" s="24">
        <v>1.1403109090446322E-2</v>
      </c>
      <c r="W860" s="23">
        <v>2</v>
      </c>
      <c r="X860" s="28">
        <v>3362750.3706537834</v>
      </c>
      <c r="Y860" s="24">
        <v>1.3511729500264589E-2</v>
      </c>
      <c r="Z860" s="23">
        <v>2</v>
      </c>
      <c r="AA860" s="28">
        <v>3312344.0620071217</v>
      </c>
      <c r="AB860" s="24">
        <v>1.3508269653330742E-2</v>
      </c>
      <c r="AC860" s="17" t="s">
        <v>8084</v>
      </c>
      <c r="AD860" s="20">
        <v>8.8227656112998147</v>
      </c>
      <c r="AF860" s="17" t="s">
        <v>8084</v>
      </c>
      <c r="AG860" s="20">
        <v>8.4963687441962623</v>
      </c>
      <c r="AI860" s="47" t="s">
        <v>8087</v>
      </c>
      <c r="AJ860" s="20">
        <v>96.300515263768119</v>
      </c>
    </row>
    <row r="861" spans="1:36" x14ac:dyDescent="0.25">
      <c r="A861" t="s">
        <v>6543</v>
      </c>
      <c r="B861" t="s">
        <v>7910</v>
      </c>
      <c r="C861" t="s">
        <v>6545</v>
      </c>
      <c r="D861" s="10" t="s">
        <v>6544</v>
      </c>
      <c r="E861" s="10" t="s">
        <v>3546</v>
      </c>
      <c r="H861" t="s">
        <v>41</v>
      </c>
      <c r="I861" s="17">
        <v>1.42127929864469</v>
      </c>
      <c r="J861" s="17">
        <v>0.19372616461491299</v>
      </c>
      <c r="K861" s="21">
        <v>2</v>
      </c>
      <c r="L861" s="27">
        <v>151199.40758264199</v>
      </c>
      <c r="M861" s="22">
        <v>9.7398310863649248E-4</v>
      </c>
      <c r="N861" s="21">
        <v>0</v>
      </c>
      <c r="O861" s="27">
        <v>226895.82228020378</v>
      </c>
      <c r="P861" s="22">
        <v>1.4743977774108223E-3</v>
      </c>
      <c r="Q861" s="21">
        <v>2</v>
      </c>
      <c r="R861" s="27">
        <v>139376.85008161451</v>
      </c>
      <c r="S861" s="22">
        <v>9.1100810444475595E-4</v>
      </c>
      <c r="T861" s="23">
        <v>2</v>
      </c>
      <c r="U861" s="28">
        <v>245050.96921532592</v>
      </c>
      <c r="V861" s="24">
        <v>1.5759077956007195E-3</v>
      </c>
      <c r="W861" s="23">
        <v>0</v>
      </c>
      <c r="X861" s="28">
        <v>368078.28731357574</v>
      </c>
      <c r="Y861" s="24">
        <v>2.315543883598514E-3</v>
      </c>
      <c r="Z861" s="23">
        <v>1</v>
      </c>
      <c r="AA861" s="28">
        <v>188625.63901612523</v>
      </c>
      <c r="AB861" s="24">
        <v>1.2043743769640052E-3</v>
      </c>
      <c r="AC861" s="17" t="s">
        <v>8085</v>
      </c>
      <c r="AD861" s="20">
        <v>1.0443639380780465</v>
      </c>
      <c r="AF861" s="17" t="s">
        <v>8085</v>
      </c>
      <c r="AG861" s="20">
        <v>0.19591317631537897</v>
      </c>
      <c r="AI861" s="17" t="s">
        <v>8086</v>
      </c>
      <c r="AJ861" s="20">
        <v>0.62287612990393049</v>
      </c>
    </row>
    <row r="862" spans="1:36" x14ac:dyDescent="0.25">
      <c r="A862" t="s">
        <v>6880</v>
      </c>
      <c r="B862" t="s">
        <v>8023</v>
      </c>
      <c r="C862" t="s">
        <v>6882</v>
      </c>
      <c r="D862" s="10" t="s">
        <v>6881</v>
      </c>
      <c r="E862" s="10" t="s">
        <v>3546</v>
      </c>
      <c r="I862" s="17">
        <v>1.3529494367067401</v>
      </c>
      <c r="J862" s="17">
        <v>0.22184746443832201</v>
      </c>
      <c r="K862" s="21">
        <v>14</v>
      </c>
      <c r="L862" s="27">
        <v>15884361.325202299</v>
      </c>
      <c r="M862" s="22">
        <v>5.6277368597316246E-2</v>
      </c>
      <c r="N862" s="21">
        <v>7</v>
      </c>
      <c r="O862" s="27">
        <v>8400253.1177300438</v>
      </c>
      <c r="P862" s="22">
        <v>3.0022249511257555E-2</v>
      </c>
      <c r="Q862" s="21">
        <v>12</v>
      </c>
      <c r="R862" s="27">
        <v>16495612.260665702</v>
      </c>
      <c r="S862" s="22">
        <v>5.93010966071107E-2</v>
      </c>
      <c r="T862" s="23">
        <v>13</v>
      </c>
      <c r="U862" s="28">
        <v>18206220.693626422</v>
      </c>
      <c r="V862" s="24">
        <v>6.4395700479217846E-2</v>
      </c>
      <c r="W862" s="23">
        <v>10</v>
      </c>
      <c r="X862" s="28">
        <v>23263778.712154731</v>
      </c>
      <c r="Y862" s="24">
        <v>8.0492564488692728E-2</v>
      </c>
      <c r="Z862" s="23">
        <v>12</v>
      </c>
      <c r="AA862" s="28">
        <v>19116242.781500053</v>
      </c>
      <c r="AB862" s="24">
        <v>6.7131447296735078E-2</v>
      </c>
    </row>
    <row r="863" spans="1:36" x14ac:dyDescent="0.25">
      <c r="A863" t="s">
        <v>6697</v>
      </c>
      <c r="B863" t="s">
        <v>7962</v>
      </c>
      <c r="C863" t="s">
        <v>6699</v>
      </c>
      <c r="D863" s="10" t="s">
        <v>6698</v>
      </c>
      <c r="E863" s="10" t="s">
        <v>3546</v>
      </c>
      <c r="I863" s="17">
        <v>1.3313235269939201</v>
      </c>
      <c r="J863" s="17">
        <v>0.138597059031735</v>
      </c>
      <c r="K863" s="21">
        <v>3</v>
      </c>
      <c r="L863" s="27">
        <v>4555963.7546361396</v>
      </c>
      <c r="M863" s="22">
        <v>1.0088446675885059E-2</v>
      </c>
      <c r="N863" s="21">
        <v>2</v>
      </c>
      <c r="O863" s="27">
        <v>3105903.5674438253</v>
      </c>
      <c r="P863" s="22">
        <v>6.9377531361891958E-3</v>
      </c>
      <c r="Q863" s="21">
        <v>3</v>
      </c>
      <c r="R863" s="27">
        <v>4027336.4177219323</v>
      </c>
      <c r="S863" s="22">
        <v>9.0488254619892974E-3</v>
      </c>
      <c r="T863" s="23">
        <v>2</v>
      </c>
      <c r="U863" s="28">
        <v>5088451.2129537994</v>
      </c>
      <c r="V863" s="24">
        <v>1.124870949765527E-2</v>
      </c>
      <c r="W863" s="23">
        <v>2</v>
      </c>
      <c r="X863" s="28">
        <v>6948185.5148884598</v>
      </c>
      <c r="Y863" s="24">
        <v>1.5025430669404536E-2</v>
      </c>
      <c r="Z863" s="23">
        <v>2</v>
      </c>
      <c r="AA863" s="28">
        <v>5086323.1781284334</v>
      </c>
      <c r="AB863" s="24">
        <v>1.1163681596244915E-2</v>
      </c>
    </row>
    <row r="864" spans="1:36" x14ac:dyDescent="0.25">
      <c r="A864" t="s">
        <v>6921</v>
      </c>
      <c r="B864" t="s">
        <v>8038</v>
      </c>
      <c r="C864" t="s">
        <v>6923</v>
      </c>
      <c r="D864" s="10" t="s">
        <v>6922</v>
      </c>
      <c r="E864" s="10" t="s">
        <v>3546</v>
      </c>
      <c r="H864" t="s">
        <v>41</v>
      </c>
      <c r="I864" s="17">
        <v>1.30721892434647</v>
      </c>
      <c r="J864" s="17">
        <v>0.40629351525452401</v>
      </c>
      <c r="K864" s="21">
        <v>2</v>
      </c>
      <c r="L864" s="27">
        <v>1617298.0383188</v>
      </c>
      <c r="M864" s="22">
        <v>5.6670259587366482E-3</v>
      </c>
      <c r="N864" s="21">
        <v>1</v>
      </c>
      <c r="O864" s="27">
        <v>337219.70461331797</v>
      </c>
      <c r="P864" s="22">
        <v>1.1919688835839058E-3</v>
      </c>
      <c r="Q864" s="21">
        <v>2</v>
      </c>
      <c r="R864" s="27">
        <v>1472033.66579496</v>
      </c>
      <c r="S864" s="22">
        <v>5.2337520553436207E-3</v>
      </c>
      <c r="T864" s="23">
        <v>2</v>
      </c>
      <c r="U864" s="28">
        <v>1568589.376282739</v>
      </c>
      <c r="V864" s="24">
        <v>5.4871578680430353E-3</v>
      </c>
      <c r="W864" s="23">
        <v>2</v>
      </c>
      <c r="X864" s="28">
        <v>1807107.1552352742</v>
      </c>
      <c r="Y864" s="24">
        <v>6.1838725288934334E-3</v>
      </c>
      <c r="Z864" s="23">
        <v>2</v>
      </c>
      <c r="AA864" s="28">
        <v>1585653.6420442113</v>
      </c>
      <c r="AB864" s="24">
        <v>5.5072262573712524E-3</v>
      </c>
    </row>
    <row r="865" spans="1:28" x14ac:dyDescent="0.25">
      <c r="A865" t="s">
        <v>6673</v>
      </c>
      <c r="B865" t="s">
        <v>7954</v>
      </c>
      <c r="C865" t="s">
        <v>6675</v>
      </c>
      <c r="D865" s="10" t="s">
        <v>6674</v>
      </c>
      <c r="E865" s="10" t="s">
        <v>3546</v>
      </c>
      <c r="I865" s="17">
        <v>1.2956763762402499</v>
      </c>
      <c r="J865" s="17">
        <v>0.10250194387259499</v>
      </c>
      <c r="K865" s="21">
        <v>4</v>
      </c>
      <c r="L865" s="27">
        <v>3098541.0841654399</v>
      </c>
      <c r="M865" s="22">
        <v>1.1832521928250694E-2</v>
      </c>
      <c r="N865" s="21">
        <v>2</v>
      </c>
      <c r="O865" s="27">
        <v>3564232.8257616623</v>
      </c>
      <c r="P865" s="22">
        <v>1.3730076503146123E-2</v>
      </c>
      <c r="Q865" s="21">
        <v>3</v>
      </c>
      <c r="R865" s="27">
        <v>3181452.6154289595</v>
      </c>
      <c r="S865" s="22">
        <v>1.2327521765101613E-2</v>
      </c>
      <c r="T865" s="23">
        <v>3</v>
      </c>
      <c r="U865" s="28">
        <v>5305589.3032759568</v>
      </c>
      <c r="V865" s="24">
        <v>2.0226779110217741E-2</v>
      </c>
      <c r="W865" s="23">
        <v>2</v>
      </c>
      <c r="X865" s="28">
        <v>4177336.5211345777</v>
      </c>
      <c r="Y865" s="24">
        <v>1.5578692423178789E-2</v>
      </c>
      <c r="Z865" s="23">
        <v>2</v>
      </c>
      <c r="AA865" s="28">
        <v>4232762.094378504</v>
      </c>
      <c r="AB865" s="24">
        <v>1.6021507079484399E-2</v>
      </c>
    </row>
    <row r="866" spans="1:28" x14ac:dyDescent="0.25">
      <c r="A866" t="s">
        <v>6820</v>
      </c>
      <c r="B866" t="s">
        <v>8003</v>
      </c>
      <c r="C866" t="s">
        <v>6822</v>
      </c>
      <c r="D866" s="10" t="s">
        <v>6821</v>
      </c>
      <c r="E866" s="10" t="s">
        <v>3546</v>
      </c>
      <c r="I866" s="17">
        <v>1.27438333876956</v>
      </c>
      <c r="J866" s="17">
        <v>2.9031570527237E-2</v>
      </c>
      <c r="K866" s="21">
        <v>2</v>
      </c>
      <c r="L866" s="27">
        <v>1429255.3775742999</v>
      </c>
      <c r="M866" s="22">
        <v>1.2659421750849161E-2</v>
      </c>
      <c r="N866" s="21">
        <v>1</v>
      </c>
      <c r="O866" s="27">
        <v>2006072.6142038044</v>
      </c>
      <c r="P866" s="22">
        <v>1.792410648740133E-2</v>
      </c>
      <c r="Q866" s="21">
        <v>2</v>
      </c>
      <c r="R866" s="27">
        <v>1645702.3651517411</v>
      </c>
      <c r="S866" s="22">
        <v>1.479059300743947E-2</v>
      </c>
      <c r="T866" s="23">
        <v>2</v>
      </c>
      <c r="U866" s="28">
        <v>2144794.3377801073</v>
      </c>
      <c r="V866" s="24">
        <v>1.8965431663360153E-2</v>
      </c>
      <c r="W866" s="23">
        <v>2</v>
      </c>
      <c r="X866" s="28">
        <v>2399698.6039915197</v>
      </c>
      <c r="Y866" s="24">
        <v>2.0757364595104796E-2</v>
      </c>
      <c r="Z866" s="23">
        <v>3</v>
      </c>
      <c r="AA866" s="28">
        <v>2436989.8240832579</v>
      </c>
      <c r="AB866" s="24">
        <v>2.1395241707283772E-2</v>
      </c>
    </row>
    <row r="867" spans="1:28" x14ac:dyDescent="0.25">
      <c r="A867" t="s">
        <v>6844</v>
      </c>
      <c r="B867" t="s">
        <v>8011</v>
      </c>
      <c r="C867" t="s">
        <v>6846</v>
      </c>
      <c r="D867" s="10" t="s">
        <v>6845</v>
      </c>
      <c r="E867" s="10" t="s">
        <v>3546</v>
      </c>
      <c r="I867" s="17">
        <v>1.26208293389987</v>
      </c>
      <c r="J867" s="17">
        <v>9.2163517975196799E-2</v>
      </c>
      <c r="K867" s="21">
        <v>12</v>
      </c>
      <c r="L867" s="27">
        <v>11133851.933313999</v>
      </c>
      <c r="M867" s="22">
        <v>5.3790804592837534E-2</v>
      </c>
      <c r="N867" s="21">
        <v>7</v>
      </c>
      <c r="O867" s="27">
        <v>9840693.1239441447</v>
      </c>
      <c r="P867" s="22">
        <v>4.7959552288078085E-2</v>
      </c>
      <c r="Q867" s="21">
        <v>11</v>
      </c>
      <c r="R867" s="27">
        <v>13039223.047718706</v>
      </c>
      <c r="S867" s="22">
        <v>6.3921149020687809E-2</v>
      </c>
      <c r="T867" s="23">
        <v>8</v>
      </c>
      <c r="U867" s="28">
        <v>12975404.750627117</v>
      </c>
      <c r="V867" s="24">
        <v>6.2583025777446177E-2</v>
      </c>
      <c r="W867" s="23">
        <v>10</v>
      </c>
      <c r="X867" s="28">
        <v>17162678.809630204</v>
      </c>
      <c r="Y867" s="24">
        <v>8.0976528595020095E-2</v>
      </c>
      <c r="Z867" s="23">
        <v>11</v>
      </c>
      <c r="AA867" s="28">
        <v>16597621.791383469</v>
      </c>
      <c r="AB867" s="24">
        <v>7.9481839697198256E-2</v>
      </c>
    </row>
    <row r="868" spans="1:28" x14ac:dyDescent="0.25">
      <c r="A868" t="s">
        <v>6823</v>
      </c>
      <c r="B868" t="s">
        <v>8004</v>
      </c>
      <c r="C868" t="s">
        <v>6825</v>
      </c>
      <c r="D868" s="10" t="s">
        <v>6824</v>
      </c>
      <c r="E868" s="10" t="s">
        <v>3546</v>
      </c>
      <c r="I868" s="17">
        <v>1.2455917468861</v>
      </c>
      <c r="J868" s="17">
        <v>5.6811429769960701E-3</v>
      </c>
      <c r="K868" s="21">
        <v>1</v>
      </c>
      <c r="L868" s="27">
        <v>2175109.6019692202</v>
      </c>
      <c r="M868" s="22">
        <v>2.3118860551610755E-2</v>
      </c>
      <c r="N868" s="21">
        <v>2</v>
      </c>
      <c r="O868" s="27">
        <v>2648728.9820625852</v>
      </c>
      <c r="P868" s="22">
        <v>2.8399430805010308E-2</v>
      </c>
      <c r="Q868" s="21">
        <v>1</v>
      </c>
      <c r="R868" s="27">
        <v>2841394.8449730086</v>
      </c>
      <c r="S868" s="22">
        <v>3.0644118121485972E-2</v>
      </c>
      <c r="T868" s="23">
        <v>1</v>
      </c>
      <c r="U868" s="28">
        <v>3153011.4940547924</v>
      </c>
      <c r="V868" s="24">
        <v>3.3456759729892198E-2</v>
      </c>
      <c r="W868" s="23">
        <v>1</v>
      </c>
      <c r="X868" s="28">
        <v>3770122.1237089173</v>
      </c>
      <c r="Y868" s="24">
        <v>3.9133814234701289E-2</v>
      </c>
      <c r="Z868" s="23">
        <v>1</v>
      </c>
      <c r="AA868" s="28">
        <v>3393599.0314025078</v>
      </c>
      <c r="AB868" s="24">
        <v>3.5752404454182991E-2</v>
      </c>
    </row>
    <row r="869" spans="1:28" x14ac:dyDescent="0.25">
      <c r="A869" t="s">
        <v>6897</v>
      </c>
      <c r="B869" t="s">
        <v>8029</v>
      </c>
      <c r="C869" t="s">
        <v>6898</v>
      </c>
      <c r="D869" s="10" t="s">
        <v>6457</v>
      </c>
      <c r="E869" s="10" t="s">
        <v>3546</v>
      </c>
      <c r="H869" t="s">
        <v>1991</v>
      </c>
      <c r="I869" s="17">
        <v>1.2036421789241101</v>
      </c>
      <c r="J869" s="17">
        <v>0.28733293360645101</v>
      </c>
      <c r="K869" s="21">
        <v>2</v>
      </c>
      <c r="L869" s="27">
        <v>7138278.5315032601</v>
      </c>
      <c r="M869" s="22">
        <v>1.945423522318528E-2</v>
      </c>
      <c r="N869" s="21">
        <v>1</v>
      </c>
      <c r="O869" s="27">
        <v>9478971.4310826231</v>
      </c>
      <c r="P869" s="22">
        <v>2.6059658461902047E-2</v>
      </c>
      <c r="Q869" s="21">
        <v>1</v>
      </c>
      <c r="R869" s="27">
        <v>12059390.643353919</v>
      </c>
      <c r="S869" s="22">
        <v>3.3348499367998101E-2</v>
      </c>
      <c r="T869" s="23">
        <v>2</v>
      </c>
      <c r="U869" s="28">
        <v>13658614.139427723</v>
      </c>
      <c r="V869" s="24">
        <v>3.7162108992429312E-2</v>
      </c>
      <c r="W869" s="23">
        <v>1</v>
      </c>
      <c r="X869" s="28">
        <v>10938606.059129704</v>
      </c>
      <c r="Y869" s="24">
        <v>2.911348100823416E-2</v>
      </c>
      <c r="Z869" s="23">
        <v>2</v>
      </c>
      <c r="AA869" s="28">
        <v>12193270.617574845</v>
      </c>
      <c r="AB869" s="24">
        <v>3.2938235710962889E-2</v>
      </c>
    </row>
    <row r="870" spans="1:28" x14ac:dyDescent="0.25">
      <c r="A870" t="s">
        <v>6850</v>
      </c>
      <c r="B870" t="s">
        <v>8013</v>
      </c>
      <c r="C870" t="s">
        <v>6852</v>
      </c>
      <c r="D870" s="10" t="s">
        <v>6851</v>
      </c>
      <c r="E870" s="10" t="s">
        <v>3546</v>
      </c>
      <c r="I870" s="17">
        <v>1.1865994968545199</v>
      </c>
      <c r="J870" s="17">
        <v>0.107291639151002</v>
      </c>
      <c r="K870" s="21">
        <v>2</v>
      </c>
      <c r="L870" s="27">
        <v>4461042.1316455398</v>
      </c>
      <c r="M870" s="22">
        <v>4.5886101939489853E-2</v>
      </c>
      <c r="N870" s="21">
        <v>1</v>
      </c>
      <c r="O870" s="27">
        <v>4283283.9609595193</v>
      </c>
      <c r="P870" s="22">
        <v>4.4443529376002634E-2</v>
      </c>
      <c r="Q870" s="21">
        <v>2</v>
      </c>
      <c r="R870" s="27">
        <v>5567809.8804904809</v>
      </c>
      <c r="S870" s="22">
        <v>5.8111153704027675E-2</v>
      </c>
      <c r="T870" s="23">
        <v>2</v>
      </c>
      <c r="U870" s="28">
        <v>5738373.3289202852</v>
      </c>
      <c r="V870" s="24">
        <v>5.8925962318915955E-2</v>
      </c>
      <c r="W870" s="23">
        <v>4</v>
      </c>
      <c r="X870" s="28">
        <v>6190212.7186843809</v>
      </c>
      <c r="Y870" s="24">
        <v>6.2181600315829783E-2</v>
      </c>
      <c r="Z870" s="23">
        <v>1</v>
      </c>
      <c r="AA870" s="28">
        <v>6443032.9899052624</v>
      </c>
      <c r="AB870" s="24">
        <v>6.5689301430998923E-2</v>
      </c>
    </row>
    <row r="871" spans="1:28" x14ac:dyDescent="0.25">
      <c r="A871" t="s">
        <v>6748</v>
      </c>
      <c r="B871" t="s">
        <v>7979</v>
      </c>
      <c r="C871" t="s">
        <v>6750</v>
      </c>
      <c r="D871" s="10" t="s">
        <v>6749</v>
      </c>
      <c r="E871" s="10" t="s">
        <v>3546</v>
      </c>
      <c r="I871" s="17">
        <v>1.1824502999119899</v>
      </c>
      <c r="J871" s="17">
        <v>0.33221587749565401</v>
      </c>
      <c r="K871" s="21">
        <v>3</v>
      </c>
      <c r="L871" s="27">
        <v>6582812.1387952901</v>
      </c>
      <c r="M871" s="22">
        <v>5.057896046254591E-2</v>
      </c>
      <c r="N871" s="21">
        <v>2</v>
      </c>
      <c r="O871" s="27">
        <v>4740051.4788380358</v>
      </c>
      <c r="P871" s="22">
        <v>3.673908438305535E-2</v>
      </c>
      <c r="Q871" s="21">
        <v>2</v>
      </c>
      <c r="R871" s="27">
        <v>7869277.987591939</v>
      </c>
      <c r="S871" s="22">
        <v>6.1351273897539305E-2</v>
      </c>
      <c r="T871" s="23">
        <v>2</v>
      </c>
      <c r="U871" s="28">
        <v>8440511.7321900818</v>
      </c>
      <c r="V871" s="24">
        <v>6.4744109129072511E-2</v>
      </c>
      <c r="W871" s="23">
        <v>1</v>
      </c>
      <c r="X871" s="28">
        <v>8931156.6369717736</v>
      </c>
      <c r="Y871" s="24">
        <v>6.7015864603826039E-2</v>
      </c>
      <c r="Z871" s="23">
        <v>2</v>
      </c>
      <c r="AA871" s="28">
        <v>7295267.4009539988</v>
      </c>
      <c r="AB871" s="24">
        <v>5.55595987551874E-2</v>
      </c>
    </row>
    <row r="872" spans="1:28" x14ac:dyDescent="0.25">
      <c r="A872" t="s">
        <v>6963</v>
      </c>
      <c r="B872" t="s">
        <v>8052</v>
      </c>
      <c r="C872" t="s">
        <v>6965</v>
      </c>
      <c r="D872" s="10" t="s">
        <v>6964</v>
      </c>
      <c r="E872" s="10" t="s">
        <v>3546</v>
      </c>
      <c r="I872" s="17">
        <v>1.15707897956002</v>
      </c>
      <c r="J872" s="17">
        <v>0.51658493589717802</v>
      </c>
      <c r="K872" s="21">
        <v>3</v>
      </c>
      <c r="L872" s="27">
        <v>6832433.2508853702</v>
      </c>
      <c r="M872" s="22">
        <v>2.9641118870121913E-2</v>
      </c>
      <c r="N872" s="21">
        <v>1</v>
      </c>
      <c r="O872" s="27">
        <v>955001.01566206152</v>
      </c>
      <c r="P872" s="22">
        <v>4.1793607650570047E-3</v>
      </c>
      <c r="Q872" s="21">
        <v>2</v>
      </c>
      <c r="R872" s="27">
        <v>6913043.5968680801</v>
      </c>
      <c r="S872" s="22">
        <v>3.0431177057239467E-2</v>
      </c>
      <c r="T872" s="23">
        <v>3</v>
      </c>
      <c r="U872" s="28">
        <v>5939254.2067749063</v>
      </c>
      <c r="V872" s="24">
        <v>2.5723150170649359E-2</v>
      </c>
      <c r="W872" s="23">
        <v>3</v>
      </c>
      <c r="X872" s="28">
        <v>6366307.159859091</v>
      </c>
      <c r="Y872" s="24">
        <v>2.6972317604535018E-2</v>
      </c>
      <c r="Z872" s="23">
        <v>2</v>
      </c>
      <c r="AA872" s="28">
        <v>6477786.12963764</v>
      </c>
      <c r="AB872" s="24">
        <v>2.7855133766382902E-2</v>
      </c>
    </row>
    <row r="873" spans="1:28" x14ac:dyDescent="0.25">
      <c r="A873" t="s">
        <v>6916</v>
      </c>
      <c r="B873" t="s">
        <v>8036</v>
      </c>
      <c r="C873" t="s">
        <v>6918</v>
      </c>
      <c r="D873" s="10" t="s">
        <v>6917</v>
      </c>
      <c r="E873" s="10" t="s">
        <v>3546</v>
      </c>
      <c r="I873" s="17">
        <v>1.1530891049463901</v>
      </c>
      <c r="J873" s="17">
        <v>0.40349370760303299</v>
      </c>
      <c r="K873" s="21">
        <v>6</v>
      </c>
      <c r="L873" s="27">
        <v>12318233.352190601</v>
      </c>
      <c r="M873" s="22">
        <v>7.935051734060955E-2</v>
      </c>
      <c r="N873" s="21">
        <v>4</v>
      </c>
      <c r="O873" s="27">
        <v>7906232.9762637895</v>
      </c>
      <c r="P873" s="22">
        <v>5.1375702781780677E-2</v>
      </c>
      <c r="Q873" s="21">
        <v>8</v>
      </c>
      <c r="R873" s="27">
        <v>11923038.799741825</v>
      </c>
      <c r="S873" s="22">
        <v>7.7932490006867416E-2</v>
      </c>
      <c r="T873" s="23">
        <v>6</v>
      </c>
      <c r="U873" s="28">
        <v>12387693.392714418</v>
      </c>
      <c r="V873" s="24">
        <v>7.9664498571871981E-2</v>
      </c>
      <c r="W873" s="23">
        <v>5</v>
      </c>
      <c r="X873" s="28">
        <v>13355869.39646185</v>
      </c>
      <c r="Y873" s="24">
        <v>8.4020445533020641E-2</v>
      </c>
      <c r="Z873" s="23">
        <v>5</v>
      </c>
      <c r="AA873" s="28">
        <v>14737481.725741357</v>
      </c>
      <c r="AB873" s="24">
        <v>9.4098795179910821E-2</v>
      </c>
    </row>
    <row r="874" spans="1:28" x14ac:dyDescent="0.25">
      <c r="A874" t="s">
        <v>6886</v>
      </c>
      <c r="B874" t="s">
        <v>8025</v>
      </c>
      <c r="C874" t="s">
        <v>6888</v>
      </c>
      <c r="D874" s="10" t="s">
        <v>6887</v>
      </c>
      <c r="E874" s="10" t="s">
        <v>3546</v>
      </c>
      <c r="I874" s="17">
        <v>1.14962388234915</v>
      </c>
      <c r="J874" s="17">
        <v>0.26434569486666398</v>
      </c>
      <c r="K874" s="21">
        <v>12</v>
      </c>
      <c r="L874" s="27">
        <v>21121691.018000402</v>
      </c>
      <c r="M874" s="22">
        <v>6.9432609136456644E-2</v>
      </c>
      <c r="N874" s="21">
        <v>14</v>
      </c>
      <c r="O874" s="27">
        <v>29607679.742874373</v>
      </c>
      <c r="P874" s="22">
        <v>9.8180673550544384E-2</v>
      </c>
      <c r="Q874" s="21">
        <v>13</v>
      </c>
      <c r="R874" s="27">
        <v>20061847.185595185</v>
      </c>
      <c r="S874" s="22">
        <v>6.6916925327565949E-2</v>
      </c>
      <c r="T874" s="23">
        <v>10</v>
      </c>
      <c r="U874" s="28">
        <v>26299246.918405782</v>
      </c>
      <c r="V874" s="24">
        <v>8.6308020605353364E-2</v>
      </c>
      <c r="W874" s="23">
        <v>9</v>
      </c>
      <c r="X874" s="28">
        <v>33326619.011827689</v>
      </c>
      <c r="Y874" s="24">
        <v>0.10698860821285275</v>
      </c>
      <c r="Z874" s="23">
        <v>10</v>
      </c>
      <c r="AA874" s="28">
        <v>28611537.619831145</v>
      </c>
      <c r="AB874" s="24">
        <v>9.3225655539983882E-2</v>
      </c>
    </row>
    <row r="875" spans="1:28" x14ac:dyDescent="0.25">
      <c r="A875" t="s">
        <v>6969</v>
      </c>
      <c r="B875" t="s">
        <v>8054</v>
      </c>
      <c r="C875" t="s">
        <v>6971</v>
      </c>
      <c r="D875" s="10" t="s">
        <v>6970</v>
      </c>
      <c r="E875" s="10" t="s">
        <v>3546</v>
      </c>
      <c r="I875" s="17">
        <v>1.1210209650647101</v>
      </c>
      <c r="J875" s="17">
        <v>0.54808430075439196</v>
      </c>
      <c r="K875" s="21">
        <v>1</v>
      </c>
      <c r="L875" s="27">
        <v>1329297.83103754</v>
      </c>
      <c r="M875" s="22">
        <v>9.7440515687094251E-3</v>
      </c>
      <c r="N875" s="21">
        <v>1</v>
      </c>
      <c r="O875" s="27">
        <v>790797.21106281038</v>
      </c>
      <c r="P875" s="22">
        <v>5.8474866503537897E-3</v>
      </c>
      <c r="Q875" s="21">
        <v>2</v>
      </c>
      <c r="R875" s="27">
        <v>1707022.2128622858</v>
      </c>
      <c r="S875" s="22">
        <v>1.2696578721805662E-2</v>
      </c>
      <c r="T875" s="23">
        <v>0</v>
      </c>
      <c r="U875" s="28">
        <v>1387211.195565972</v>
      </c>
      <c r="V875" s="24">
        <v>1.0151562819180263E-2</v>
      </c>
      <c r="W875" s="23">
        <v>1</v>
      </c>
      <c r="X875" s="28">
        <v>1537262.0655434171</v>
      </c>
      <c r="Y875" s="24">
        <v>1.1004661008781396E-2</v>
      </c>
      <c r="Z875" s="23">
        <v>1</v>
      </c>
      <c r="AA875" s="28">
        <v>1739908.1801985556</v>
      </c>
      <c r="AB875" s="24">
        <v>1.264162942137402E-2</v>
      </c>
    </row>
    <row r="876" spans="1:28" x14ac:dyDescent="0.25">
      <c r="A876" t="s">
        <v>6924</v>
      </c>
      <c r="B876" t="s">
        <v>8039</v>
      </c>
      <c r="C876" t="s">
        <v>6926</v>
      </c>
      <c r="D876" s="10" t="s">
        <v>6925</v>
      </c>
      <c r="E876" s="10" t="s">
        <v>3546</v>
      </c>
      <c r="I876" s="17">
        <v>1.1165834173740901</v>
      </c>
      <c r="J876" s="17">
        <v>0.42337189880457099</v>
      </c>
      <c r="K876" s="21">
        <v>5</v>
      </c>
      <c r="L876" s="27">
        <v>3996828.4223899702</v>
      </c>
      <c r="M876" s="22">
        <v>8.1434361907938915E-3</v>
      </c>
      <c r="N876" s="21">
        <v>4</v>
      </c>
      <c r="O876" s="27">
        <v>3456386.371519797</v>
      </c>
      <c r="P876" s="22">
        <v>7.103973113969703E-3</v>
      </c>
      <c r="Q876" s="21">
        <v>6</v>
      </c>
      <c r="R876" s="27">
        <v>3800397.5248213643</v>
      </c>
      <c r="S876" s="22">
        <v>7.8569045822633708E-3</v>
      </c>
      <c r="T876" s="23">
        <v>5</v>
      </c>
      <c r="U876" s="28">
        <v>4558901.5515103173</v>
      </c>
      <c r="V876" s="24">
        <v>9.2731108251893173E-3</v>
      </c>
      <c r="W876" s="23">
        <v>3</v>
      </c>
      <c r="X876" s="28">
        <v>5434602.2607484013</v>
      </c>
      <c r="Y876" s="24">
        <v>1.081362833431245E-2</v>
      </c>
      <c r="Z876" s="23">
        <v>3</v>
      </c>
      <c r="AA876" s="28">
        <v>3732218.2938961103</v>
      </c>
      <c r="AB876" s="24">
        <v>7.5373499170648013E-3</v>
      </c>
    </row>
    <row r="877" spans="1:28" x14ac:dyDescent="0.25">
      <c r="A877" t="s">
        <v>6974</v>
      </c>
      <c r="B877" t="s">
        <v>8056</v>
      </c>
      <c r="C877" t="s">
        <v>6976</v>
      </c>
      <c r="D877" s="10" t="s">
        <v>6975</v>
      </c>
      <c r="E877" s="10" t="s">
        <v>3546</v>
      </c>
      <c r="I877" s="17">
        <v>1.10755186082709</v>
      </c>
      <c r="J877" s="17">
        <v>0.57402731157919895</v>
      </c>
      <c r="K877" s="21">
        <v>1</v>
      </c>
      <c r="L877" s="27">
        <v>1662811.1814105301</v>
      </c>
      <c r="M877" s="22">
        <v>1.3091651852218869E-2</v>
      </c>
      <c r="N877" s="21">
        <v>0</v>
      </c>
      <c r="O877" s="27">
        <v>865142.35277005192</v>
      </c>
      <c r="P877" s="22">
        <v>6.871094428438574E-3</v>
      </c>
      <c r="Q877" s="21">
        <v>1</v>
      </c>
      <c r="R877" s="27">
        <v>1455753.2886675228</v>
      </c>
      <c r="S877" s="22">
        <v>1.1629727825426792E-2</v>
      </c>
      <c r="T877" s="23">
        <v>2</v>
      </c>
      <c r="U877" s="28">
        <v>1395865.8396253728</v>
      </c>
      <c r="V877" s="24">
        <v>1.0971556252401021E-2</v>
      </c>
      <c r="W877" s="23">
        <v>2</v>
      </c>
      <c r="X877" s="28">
        <v>1623440.333339669</v>
      </c>
      <c r="Y877" s="24">
        <v>1.2482435304899672E-2</v>
      </c>
      <c r="Z877" s="23">
        <v>2</v>
      </c>
      <c r="AA877" s="28">
        <v>1827670.0733257658</v>
      </c>
      <c r="AB877" s="24">
        <v>1.426293029158395E-2</v>
      </c>
    </row>
    <row r="878" spans="1:28" x14ac:dyDescent="0.25">
      <c r="A878" t="s">
        <v>6941</v>
      </c>
      <c r="B878" t="s">
        <v>8045</v>
      </c>
      <c r="C878" t="s">
        <v>6943</v>
      </c>
      <c r="D878" s="10" t="s">
        <v>6942</v>
      </c>
      <c r="E878" s="10" t="s">
        <v>3546</v>
      </c>
      <c r="I878" s="17">
        <v>1.10378694800334</v>
      </c>
      <c r="J878" s="17">
        <v>0.431638205952315</v>
      </c>
      <c r="K878" s="21">
        <v>5</v>
      </c>
      <c r="L878" s="27">
        <v>3172051.7638475699</v>
      </c>
      <c r="M878" s="22">
        <v>2.247678992803865E-2</v>
      </c>
      <c r="N878" s="21">
        <v>1</v>
      </c>
      <c r="O878" s="27">
        <v>2531932.9778257413</v>
      </c>
      <c r="P878" s="22">
        <v>1.8098103126351194E-2</v>
      </c>
      <c r="Q878" s="21">
        <v>5</v>
      </c>
      <c r="R878" s="27">
        <v>3329153.8208759287</v>
      </c>
      <c r="S878" s="22">
        <v>2.3936361892120263E-2</v>
      </c>
      <c r="T878" s="23">
        <v>5</v>
      </c>
      <c r="U878" s="28">
        <v>3522136.182101585</v>
      </c>
      <c r="V878" s="24">
        <v>2.4915706608898854E-2</v>
      </c>
      <c r="W878" s="23">
        <v>2</v>
      </c>
      <c r="X878" s="28">
        <v>3461650.0514737656</v>
      </c>
      <c r="Y878" s="24">
        <v>2.3954585663244623E-2</v>
      </c>
      <c r="Z878" s="23">
        <v>4</v>
      </c>
      <c r="AA878" s="28">
        <v>3838032.1368396236</v>
      </c>
      <c r="AB878" s="24">
        <v>2.6956411368322941E-2</v>
      </c>
    </row>
    <row r="879" spans="1:28" x14ac:dyDescent="0.25">
      <c r="A879" t="s">
        <v>6503</v>
      </c>
      <c r="B879" t="s">
        <v>7896</v>
      </c>
      <c r="C879" t="s">
        <v>6505</v>
      </c>
      <c r="D879" s="10" t="s">
        <v>6504</v>
      </c>
      <c r="E879" s="10" t="s">
        <v>3546</v>
      </c>
      <c r="G879" s="13"/>
      <c r="H879" t="s">
        <v>57</v>
      </c>
      <c r="I879" s="17">
        <v>1.0960549005829201</v>
      </c>
      <c r="J879" s="17">
        <v>0.39440484051376101</v>
      </c>
      <c r="K879" s="21">
        <v>4</v>
      </c>
      <c r="L879" s="27">
        <v>2586330.6220978601</v>
      </c>
      <c r="M879" s="22">
        <v>5.3205787828338891E-3</v>
      </c>
      <c r="N879" s="21">
        <v>3</v>
      </c>
      <c r="O879" s="27">
        <v>4207857.1186331809</v>
      </c>
      <c r="P879" s="22">
        <v>8.7321794756797834E-3</v>
      </c>
      <c r="Q879" s="21">
        <v>5</v>
      </c>
      <c r="R879" s="27">
        <v>3162481.0388842849</v>
      </c>
      <c r="S879" s="22">
        <v>6.6013540577462611E-3</v>
      </c>
      <c r="T879" s="23">
        <v>4</v>
      </c>
      <c r="U879" s="28">
        <v>3662022.5385391037</v>
      </c>
      <c r="V879" s="24">
        <v>7.5208840466842982E-3</v>
      </c>
      <c r="W879" s="23">
        <v>2</v>
      </c>
      <c r="X879" s="28">
        <v>4143368.8886213419</v>
      </c>
      <c r="Y879" s="24">
        <v>8.3241503935927146E-3</v>
      </c>
      <c r="Z879" s="23">
        <v>2</v>
      </c>
      <c r="AA879" s="28">
        <v>3932312.5584951853</v>
      </c>
      <c r="AB879" s="24">
        <v>8.0183002440188042E-3</v>
      </c>
    </row>
    <row r="880" spans="1:28" x14ac:dyDescent="0.25">
      <c r="A880" t="s">
        <v>6781</v>
      </c>
      <c r="B880" t="s">
        <v>7990</v>
      </c>
      <c r="C880" t="s">
        <v>6783</v>
      </c>
      <c r="D880" s="10" t="s">
        <v>6782</v>
      </c>
      <c r="E880" s="10" t="s">
        <v>3546</v>
      </c>
      <c r="I880" s="17">
        <v>1.070467882402</v>
      </c>
      <c r="J880" s="17">
        <v>0.647068034135313</v>
      </c>
      <c r="K880" s="21">
        <v>2</v>
      </c>
      <c r="L880" s="27">
        <v>936518.41266414896</v>
      </c>
      <c r="M880" s="22">
        <v>4.3278655868944265E-3</v>
      </c>
      <c r="N880" s="21">
        <v>0</v>
      </c>
      <c r="O880" s="27">
        <v>312346.46755164611</v>
      </c>
      <c r="P880" s="22">
        <v>1.4560653762770066E-3</v>
      </c>
      <c r="Q880" s="21">
        <v>2</v>
      </c>
      <c r="R880" s="27">
        <v>867836.924036943</v>
      </c>
      <c r="S880" s="22">
        <v>4.0693573374672972E-3</v>
      </c>
      <c r="T880" s="23">
        <v>0</v>
      </c>
      <c r="U880" s="28">
        <v>708901.04336348514</v>
      </c>
      <c r="V880" s="24">
        <v>3.2705146816268335E-3</v>
      </c>
      <c r="W880" s="23">
        <v>2</v>
      </c>
      <c r="X880" s="28">
        <v>981674.58475477132</v>
      </c>
      <c r="Y880" s="24">
        <v>4.4303340360310273E-3</v>
      </c>
      <c r="Z880" s="23">
        <v>0</v>
      </c>
      <c r="AA880" s="28">
        <v>819112.31840382051</v>
      </c>
      <c r="AB880" s="24">
        <v>3.7519785657321803E-3</v>
      </c>
    </row>
    <row r="881" spans="1:28" x14ac:dyDescent="0.25">
      <c r="A881" t="s">
        <v>6905</v>
      </c>
      <c r="B881" t="s">
        <v>8032</v>
      </c>
      <c r="C881" t="s">
        <v>6907</v>
      </c>
      <c r="D881" s="10" t="s">
        <v>6906</v>
      </c>
      <c r="E881" s="10" t="s">
        <v>3546</v>
      </c>
      <c r="I881" s="17">
        <v>1.0581443788159499</v>
      </c>
      <c r="J881" s="17">
        <v>0.35615822004757403</v>
      </c>
      <c r="K881" s="21">
        <v>9</v>
      </c>
      <c r="L881" s="27">
        <v>17328301.456164502</v>
      </c>
      <c r="M881" s="22">
        <v>7.2702431674438253E-2</v>
      </c>
      <c r="N881" s="21">
        <v>9</v>
      </c>
      <c r="O881" s="27">
        <v>21467326.798940539</v>
      </c>
      <c r="P881" s="22">
        <v>9.0856863919259359E-2</v>
      </c>
      <c r="Q881" s="21">
        <v>11</v>
      </c>
      <c r="R881" s="27">
        <v>18015875.345596805</v>
      </c>
      <c r="S881" s="22">
        <v>7.6697034139464396E-2</v>
      </c>
      <c r="T881" s="23">
        <v>10</v>
      </c>
      <c r="U881" s="28">
        <v>21363104.690640286</v>
      </c>
      <c r="V881" s="24">
        <v>8.9480902297313411E-2</v>
      </c>
      <c r="W881" s="23">
        <v>9</v>
      </c>
      <c r="X881" s="28">
        <v>22574866.124979965</v>
      </c>
      <c r="Y881" s="24">
        <v>9.2497417330530546E-2</v>
      </c>
      <c r="Z881" s="23">
        <v>10</v>
      </c>
      <c r="AA881" s="28">
        <v>21035567.951195855</v>
      </c>
      <c r="AB881" s="24">
        <v>8.7479568503201835E-2</v>
      </c>
    </row>
    <row r="882" spans="1:28" x14ac:dyDescent="0.25">
      <c r="A882" t="s">
        <v>6989</v>
      </c>
      <c r="B882" t="s">
        <v>8061</v>
      </c>
      <c r="C882" t="s">
        <v>6991</v>
      </c>
      <c r="D882" s="10" t="s">
        <v>6990</v>
      </c>
      <c r="E882" s="10" t="s">
        <v>3546</v>
      </c>
      <c r="I882" s="17">
        <v>1.0491783762218001</v>
      </c>
      <c r="J882" s="17">
        <v>0.69269785731821398</v>
      </c>
      <c r="K882" s="21">
        <v>3</v>
      </c>
      <c r="L882" s="27">
        <v>3337077.6865703198</v>
      </c>
      <c r="M882" s="22">
        <v>2.4461528716518653E-2</v>
      </c>
      <c r="N882" s="21">
        <v>2</v>
      </c>
      <c r="O882" s="27">
        <v>2451205.8976409645</v>
      </c>
      <c r="P882" s="22">
        <v>1.8125245718128315E-2</v>
      </c>
      <c r="Q882" s="21">
        <v>3</v>
      </c>
      <c r="R882" s="27">
        <v>3834347.1655389867</v>
      </c>
      <c r="S882" s="22">
        <v>2.8519307052465203E-2</v>
      </c>
      <c r="T882" s="23">
        <v>2</v>
      </c>
      <c r="U882" s="28">
        <v>3675975.7507187687</v>
      </c>
      <c r="V882" s="24">
        <v>2.6900661467037745E-2</v>
      </c>
      <c r="W882" s="23">
        <v>2</v>
      </c>
      <c r="X882" s="28">
        <v>3563934.7017275705</v>
      </c>
      <c r="Y882" s="24">
        <v>2.5512821872749624E-2</v>
      </c>
      <c r="Z882" s="23">
        <v>2</v>
      </c>
      <c r="AA882" s="28">
        <v>3710493.534886688</v>
      </c>
      <c r="AB882" s="24">
        <v>2.6959287146456613E-2</v>
      </c>
    </row>
    <row r="883" spans="1:28" x14ac:dyDescent="0.25">
      <c r="A883" t="s">
        <v>6977</v>
      </c>
      <c r="B883" t="s">
        <v>8057</v>
      </c>
      <c r="C883" t="s">
        <v>6979</v>
      </c>
      <c r="D883" s="10" t="s">
        <v>6978</v>
      </c>
      <c r="E883" s="10" t="s">
        <v>3546</v>
      </c>
      <c r="I883" s="17">
        <v>1.0389013155167499</v>
      </c>
      <c r="J883" s="17">
        <v>0.59437729604482503</v>
      </c>
      <c r="K883" s="21">
        <v>13</v>
      </c>
      <c r="L883" s="27">
        <v>12726459.924118901</v>
      </c>
      <c r="M883" s="22">
        <v>5.6755519987737715E-2</v>
      </c>
      <c r="N883" s="21">
        <v>13</v>
      </c>
      <c r="O883" s="27">
        <v>14862395.65946752</v>
      </c>
      <c r="P883" s="22">
        <v>6.6861504362500393E-2</v>
      </c>
      <c r="Q883" s="21">
        <v>13</v>
      </c>
      <c r="R883" s="27">
        <v>13154960.859053921</v>
      </c>
      <c r="S883" s="22">
        <v>5.9527865828455866E-2</v>
      </c>
      <c r="T883" s="23">
        <v>11</v>
      </c>
      <c r="U883" s="28">
        <v>13465275.820886599</v>
      </c>
      <c r="V883" s="24">
        <v>5.9949945181412917E-2</v>
      </c>
      <c r="W883" s="23">
        <v>10</v>
      </c>
      <c r="X883" s="28">
        <v>18129837.132480737</v>
      </c>
      <c r="Y883" s="24">
        <v>7.8959770321256242E-2</v>
      </c>
      <c r="Z883" s="23">
        <v>10</v>
      </c>
      <c r="AA883" s="28">
        <v>14459246.352407554</v>
      </c>
      <c r="AB883" s="24">
        <v>6.3915412711308503E-2</v>
      </c>
    </row>
    <row r="884" spans="1:28" x14ac:dyDescent="0.25">
      <c r="A884" t="s">
        <v>6790</v>
      </c>
      <c r="B884" t="s">
        <v>7993</v>
      </c>
      <c r="C884" t="s">
        <v>6792</v>
      </c>
      <c r="D884" s="10" t="s">
        <v>6791</v>
      </c>
      <c r="E884" s="10" t="s">
        <v>3546</v>
      </c>
      <c r="I884" s="17">
        <v>1.03789282699813</v>
      </c>
      <c r="J884" s="17">
        <v>0.75475119225729403</v>
      </c>
      <c r="K884" s="21">
        <v>1</v>
      </c>
      <c r="L884" s="27">
        <v>466979.88672543003</v>
      </c>
      <c r="M884" s="22">
        <v>1.6185155739075841E-3</v>
      </c>
      <c r="N884" s="21">
        <v>2</v>
      </c>
      <c r="O884" s="27">
        <v>608363.25892297877</v>
      </c>
      <c r="P884" s="22">
        <v>2.127005031768906E-3</v>
      </c>
      <c r="Q884" s="21">
        <v>1</v>
      </c>
      <c r="R884" s="27">
        <v>526869.51766836038</v>
      </c>
      <c r="S884" s="22">
        <v>1.8529002496559446E-3</v>
      </c>
      <c r="T884" s="23">
        <v>0</v>
      </c>
      <c r="U884" s="28">
        <v>471614.95955426351</v>
      </c>
      <c r="V884" s="24">
        <v>1.6318465712564143E-3</v>
      </c>
      <c r="W884" s="23">
        <v>0</v>
      </c>
      <c r="X884" s="28">
        <v>699566.33401113551</v>
      </c>
      <c r="Y884" s="24">
        <v>2.367876729337868E-3</v>
      </c>
      <c r="Z884" s="23">
        <v>0</v>
      </c>
      <c r="AA884" s="28">
        <v>634922.43559100793</v>
      </c>
      <c r="AB884" s="24">
        <v>2.1812167718482899E-3</v>
      </c>
    </row>
    <row r="885" spans="1:28" x14ac:dyDescent="0.25">
      <c r="A885" t="s">
        <v>6570</v>
      </c>
      <c r="B885" t="s">
        <v>7919</v>
      </c>
      <c r="C885" t="s">
        <v>6572</v>
      </c>
      <c r="D885" s="10" t="s">
        <v>6571</v>
      </c>
      <c r="E885" s="10" t="s">
        <v>3546</v>
      </c>
      <c r="H885" t="s">
        <v>41</v>
      </c>
      <c r="I885" s="17">
        <v>1.0213546211088</v>
      </c>
      <c r="J885" s="17">
        <v>0.83155627960887801</v>
      </c>
      <c r="K885" s="21">
        <v>1</v>
      </c>
      <c r="L885" s="27">
        <v>186948.058330648</v>
      </c>
      <c r="M885" s="22">
        <v>2.9731246419329534E-4</v>
      </c>
      <c r="N885" s="21">
        <v>0</v>
      </c>
      <c r="O885" s="27">
        <v>213548.05996476731</v>
      </c>
      <c r="P885" s="22">
        <v>3.425899513274507E-4</v>
      </c>
      <c r="Q885" s="21">
        <v>1</v>
      </c>
      <c r="R885" s="27">
        <v>277698.34006193461</v>
      </c>
      <c r="S885" s="22">
        <v>4.4812141747516658E-4</v>
      </c>
      <c r="T885" s="23">
        <v>2</v>
      </c>
      <c r="U885" s="28">
        <v>243578.92140835113</v>
      </c>
      <c r="V885" s="24">
        <v>3.8672736526765392E-4</v>
      </c>
      <c r="W885" s="23">
        <v>0</v>
      </c>
      <c r="X885" s="28">
        <v>233924.49710513264</v>
      </c>
      <c r="Y885" s="24">
        <v>3.6331166574497256E-4</v>
      </c>
      <c r="Z885" s="23">
        <v>1</v>
      </c>
      <c r="AA885" s="28">
        <v>266208.67957308982</v>
      </c>
      <c r="AB885" s="24">
        <v>4.1963704149344951E-4</v>
      </c>
    </row>
    <row r="886" spans="1:28" x14ac:dyDescent="0.25">
      <c r="A886" t="s">
        <v>6995</v>
      </c>
      <c r="B886" t="s">
        <v>8063</v>
      </c>
      <c r="C886" t="s">
        <v>6997</v>
      </c>
      <c r="D886" s="10" t="s">
        <v>6996</v>
      </c>
      <c r="E886" s="10" t="s">
        <v>3546</v>
      </c>
      <c r="G886" t="s">
        <v>7</v>
      </c>
      <c r="H886" t="s">
        <v>57</v>
      </c>
      <c r="I886" s="17">
        <v>1.01854765581914</v>
      </c>
      <c r="J886" s="17">
        <v>0.88613422773827399</v>
      </c>
      <c r="K886" s="21">
        <v>22</v>
      </c>
      <c r="L886" s="27">
        <v>14736048.1352921</v>
      </c>
      <c r="M886" s="22">
        <v>1.8003090252693411E-2</v>
      </c>
      <c r="N886" s="21">
        <v>11</v>
      </c>
      <c r="O886" s="27">
        <v>10795249.029339727</v>
      </c>
      <c r="P886" s="22">
        <v>1.3304100744418479E-2</v>
      </c>
      <c r="Q886" s="21">
        <v>20</v>
      </c>
      <c r="R886" s="27">
        <v>16932770.49250567</v>
      </c>
      <c r="S886" s="22">
        <v>2.0990573713339879E-2</v>
      </c>
      <c r="T886" s="23">
        <v>14</v>
      </c>
      <c r="U886" s="28">
        <v>17779311.737146955</v>
      </c>
      <c r="V886" s="24">
        <v>2.1684729832816191E-2</v>
      </c>
      <c r="W886" s="23">
        <v>14</v>
      </c>
      <c r="X886" s="28">
        <v>14112780.031439168</v>
      </c>
      <c r="Y886" s="24">
        <v>1.6837983539974906E-2</v>
      </c>
      <c r="Z886" s="23">
        <v>14</v>
      </c>
      <c r="AA886" s="28">
        <v>14826565.298522262</v>
      </c>
      <c r="AB886" s="24">
        <v>1.7954198793250175E-2</v>
      </c>
    </row>
    <row r="887" spans="1:28" x14ac:dyDescent="0.25">
      <c r="A887" t="s">
        <v>7010</v>
      </c>
      <c r="B887" t="s">
        <v>8068</v>
      </c>
      <c r="C887" t="s">
        <v>7012</v>
      </c>
      <c r="D887" s="10" t="s">
        <v>7011</v>
      </c>
      <c r="E887" s="10" t="s">
        <v>3546</v>
      </c>
      <c r="H887" t="s">
        <v>41</v>
      </c>
      <c r="I887" s="17">
        <v>1.01443121959058</v>
      </c>
      <c r="J887" s="17">
        <v>0.93456460399336405</v>
      </c>
      <c r="K887" s="21">
        <v>17</v>
      </c>
      <c r="L887" s="27">
        <v>20065586.440083802</v>
      </c>
      <c r="M887" s="22">
        <v>3.594499183154215E-2</v>
      </c>
      <c r="N887" s="21">
        <v>7</v>
      </c>
      <c r="O887" s="27">
        <v>16188583.672783576</v>
      </c>
      <c r="P887" s="22">
        <v>2.9253795354985998E-2</v>
      </c>
      <c r="Q887" s="21">
        <v>22</v>
      </c>
      <c r="R887" s="27">
        <v>25963193.061614901</v>
      </c>
      <c r="S887" s="22">
        <v>4.7192707570005134E-2</v>
      </c>
      <c r="T887" s="23">
        <v>18</v>
      </c>
      <c r="U887" s="28">
        <v>26820408.684109978</v>
      </c>
      <c r="V887" s="24">
        <v>4.7965057253017702E-2</v>
      </c>
      <c r="W887" s="23">
        <v>14</v>
      </c>
      <c r="X887" s="28">
        <v>23155585.553798493</v>
      </c>
      <c r="Y887" s="24">
        <v>4.050921067669512E-2</v>
      </c>
      <c r="Z887" s="23">
        <v>11</v>
      </c>
      <c r="AA887" s="28">
        <v>18134245.209791888</v>
      </c>
      <c r="AB887" s="24">
        <v>3.2199228335681847E-2</v>
      </c>
    </row>
    <row r="888" spans="1:28" x14ac:dyDescent="0.25">
      <c r="A888" t="s">
        <v>6793</v>
      </c>
      <c r="B888" t="s">
        <v>7994</v>
      </c>
      <c r="C888" t="s">
        <v>6795</v>
      </c>
      <c r="D888" s="10" t="s">
        <v>6794</v>
      </c>
      <c r="E888" s="10" t="s">
        <v>3546</v>
      </c>
      <c r="I888" s="17">
        <v>1.0124963925432</v>
      </c>
      <c r="J888" s="17">
        <v>0.78355130395717398</v>
      </c>
      <c r="K888" s="21">
        <v>4</v>
      </c>
      <c r="L888" s="27">
        <v>1369303.6604923599</v>
      </c>
      <c r="M888" s="22">
        <v>9.7027265050836399E-3</v>
      </c>
      <c r="N888" s="21">
        <v>2</v>
      </c>
      <c r="O888" s="27">
        <v>703643.35759003786</v>
      </c>
      <c r="P888" s="22">
        <v>5.0295999781053329E-3</v>
      </c>
      <c r="Q888" s="21">
        <v>4</v>
      </c>
      <c r="R888" s="27">
        <v>1796844.2956127252</v>
      </c>
      <c r="S888" s="22">
        <v>1.2919173350861223E-2</v>
      </c>
      <c r="T888" s="23">
        <v>3</v>
      </c>
      <c r="U888" s="28">
        <v>1407519.8760712554</v>
      </c>
      <c r="V888" s="24">
        <v>9.9568416623402479E-3</v>
      </c>
      <c r="W888" s="23">
        <v>2</v>
      </c>
      <c r="X888" s="28">
        <v>1580838.8484427247</v>
      </c>
      <c r="Y888" s="24">
        <v>1.0939389901265186E-2</v>
      </c>
      <c r="Z888" s="23">
        <v>2</v>
      </c>
      <c r="AA888" s="28">
        <v>1282247.3578298213</v>
      </c>
      <c r="AB888" s="24">
        <v>9.0058618639050157E-3</v>
      </c>
    </row>
    <row r="889" spans="1:28" x14ac:dyDescent="0.25">
      <c r="A889" t="s">
        <v>6998</v>
      </c>
      <c r="B889" t="s">
        <v>8064</v>
      </c>
      <c r="C889" t="s">
        <v>7000</v>
      </c>
      <c r="D889" s="10" t="s">
        <v>6999</v>
      </c>
      <c r="E889" s="10" t="s">
        <v>3546</v>
      </c>
      <c r="H889" t="s">
        <v>41</v>
      </c>
      <c r="I889" s="17">
        <v>-1.0133250342284199</v>
      </c>
      <c r="J889" s="17">
        <v>0.89539140596344202</v>
      </c>
      <c r="K889" s="21">
        <v>14</v>
      </c>
      <c r="L889" s="27">
        <v>9176623.0652509108</v>
      </c>
      <c r="M889" s="22">
        <v>1.5731729978717402E-2</v>
      </c>
      <c r="N889" s="21">
        <v>7</v>
      </c>
      <c r="O889" s="27">
        <v>10573124.109212464</v>
      </c>
      <c r="P889" s="22">
        <v>1.8284527955144011E-2</v>
      </c>
      <c r="Q889" s="21">
        <v>8</v>
      </c>
      <c r="R889" s="27">
        <v>8666982.0420734603</v>
      </c>
      <c r="S889" s="22">
        <v>1.507619502124628E-2</v>
      </c>
      <c r="T889" s="23">
        <v>9</v>
      </c>
      <c r="U889" s="28">
        <v>10068406.611721639</v>
      </c>
      <c r="V889" s="24">
        <v>1.7231670446389531E-2</v>
      </c>
      <c r="W889" s="23">
        <v>6</v>
      </c>
      <c r="X889" s="28">
        <v>10879867.585384779</v>
      </c>
      <c r="Y889" s="24">
        <v>1.8214979259154662E-2</v>
      </c>
      <c r="Z889" s="23">
        <v>7</v>
      </c>
      <c r="AA889" s="28">
        <v>9457457.6960070804</v>
      </c>
      <c r="AB889" s="24">
        <v>1.607042807161602E-2</v>
      </c>
    </row>
    <row r="890" spans="1:28" x14ac:dyDescent="0.25">
      <c r="A890" t="s">
        <v>6799</v>
      </c>
      <c r="B890" t="s">
        <v>7996</v>
      </c>
      <c r="C890" t="s">
        <v>6801</v>
      </c>
      <c r="D890" s="10" t="s">
        <v>6800</v>
      </c>
      <c r="E890" s="10" t="s">
        <v>3546</v>
      </c>
      <c r="I890" s="17">
        <v>-1.01431477504621</v>
      </c>
      <c r="J890" s="17">
        <v>0.976888569726857</v>
      </c>
      <c r="K890" s="21">
        <v>3</v>
      </c>
      <c r="L890" s="27">
        <v>984519.99568662897</v>
      </c>
      <c r="M890" s="22">
        <v>2.8281868385981123E-3</v>
      </c>
      <c r="N890" s="21">
        <v>2</v>
      </c>
      <c r="O890" s="27">
        <v>699360.28202130343</v>
      </c>
      <c r="P890" s="22">
        <v>2.026615465179796E-3</v>
      </c>
      <c r="Q890" s="21">
        <v>2</v>
      </c>
      <c r="R890" s="27">
        <v>1213315.0958664038</v>
      </c>
      <c r="S890" s="22">
        <v>3.5366120024801617E-3</v>
      </c>
      <c r="T890" s="23">
        <v>2</v>
      </c>
      <c r="U890" s="28">
        <v>1132053.6125169413</v>
      </c>
      <c r="V890" s="24">
        <v>3.2465612025931634E-3</v>
      </c>
      <c r="W890" s="23">
        <v>1</v>
      </c>
      <c r="X890" s="28">
        <v>811198.41268834367</v>
      </c>
      <c r="Y890" s="24">
        <v>2.2757373059110338E-3</v>
      </c>
      <c r="Z890" s="23">
        <v>2</v>
      </c>
      <c r="AA890" s="28">
        <v>1131425.5168166335</v>
      </c>
      <c r="AB890" s="24">
        <v>3.2215803860164141E-3</v>
      </c>
    </row>
    <row r="891" spans="1:28" x14ac:dyDescent="0.25">
      <c r="A891" t="s">
        <v>6573</v>
      </c>
      <c r="B891" t="s">
        <v>7920</v>
      </c>
      <c r="C891" t="s">
        <v>6575</v>
      </c>
      <c r="D891" s="10" t="s">
        <v>6574</v>
      </c>
      <c r="E891" s="10" t="s">
        <v>3546</v>
      </c>
      <c r="H891" t="s">
        <v>41</v>
      </c>
      <c r="I891" s="17">
        <v>-1.01696682884108</v>
      </c>
      <c r="J891" s="17">
        <v>0.99849631751993995</v>
      </c>
      <c r="K891" s="21">
        <v>5</v>
      </c>
      <c r="L891" s="27">
        <v>3831381.3896815898</v>
      </c>
      <c r="M891" s="22">
        <v>7.293686772029552E-3</v>
      </c>
      <c r="N891" s="21">
        <v>1</v>
      </c>
      <c r="O891" s="27">
        <v>3084310.2212179638</v>
      </c>
      <c r="P891" s="22">
        <v>5.9229301187402215E-3</v>
      </c>
      <c r="Q891" s="21">
        <v>2</v>
      </c>
      <c r="R891" s="27">
        <v>2870818.5043641087</v>
      </c>
      <c r="S891" s="22">
        <v>5.5453341348559318E-3</v>
      </c>
      <c r="T891" s="23">
        <v>2</v>
      </c>
      <c r="U891" s="28">
        <v>3289681.1729025599</v>
      </c>
      <c r="V891" s="24">
        <v>6.2519943404089054E-3</v>
      </c>
      <c r="W891" s="23">
        <v>0</v>
      </c>
      <c r="X891" s="28">
        <v>3983546.5791214886</v>
      </c>
      <c r="Y891" s="24">
        <v>7.4058191746403049E-3</v>
      </c>
      <c r="Z891" s="23">
        <v>2</v>
      </c>
      <c r="AA891" s="28">
        <v>3285368.8493009536</v>
      </c>
      <c r="AB891" s="24">
        <v>6.1991951174103924E-3</v>
      </c>
    </row>
    <row r="892" spans="1:28" x14ac:dyDescent="0.25">
      <c r="A892" t="s">
        <v>7013</v>
      </c>
      <c r="B892" t="s">
        <v>8069</v>
      </c>
      <c r="C892" t="s">
        <v>7015</v>
      </c>
      <c r="D892" s="10" t="s">
        <v>7014</v>
      </c>
      <c r="E892" s="10" t="s">
        <v>3546</v>
      </c>
      <c r="I892" s="17">
        <v>-1.0222394183078301</v>
      </c>
      <c r="J892" s="17">
        <v>0.96026978418383802</v>
      </c>
      <c r="K892" s="21">
        <v>12</v>
      </c>
      <c r="L892" s="27">
        <v>19654597.7971269</v>
      </c>
      <c r="M892" s="22">
        <v>8.6443568939535281E-2</v>
      </c>
      <c r="N892" s="21">
        <v>8</v>
      </c>
      <c r="O892" s="27">
        <v>14753603.203347504</v>
      </c>
      <c r="P892" s="22">
        <v>6.5456602453297597E-2</v>
      </c>
      <c r="Q892" s="21">
        <v>12</v>
      </c>
      <c r="R892" s="27">
        <v>20222602.937640045</v>
      </c>
      <c r="S892" s="22">
        <v>9.0247637631044431E-2</v>
      </c>
      <c r="T892" s="23">
        <v>7</v>
      </c>
      <c r="U892" s="28">
        <v>18244715.601388615</v>
      </c>
      <c r="V892" s="24">
        <v>8.0108512880048999E-2</v>
      </c>
      <c r="W892" s="23">
        <v>9</v>
      </c>
      <c r="X892" s="28">
        <v>21146079.435818046</v>
      </c>
      <c r="Y892" s="24">
        <v>9.0825933094373354E-2</v>
      </c>
      <c r="Z892" s="23">
        <v>7</v>
      </c>
      <c r="AA892" s="28">
        <v>18920888.867198281</v>
      </c>
      <c r="AB892" s="24">
        <v>8.2483961431169026E-2</v>
      </c>
    </row>
    <row r="893" spans="1:28" x14ac:dyDescent="0.25">
      <c r="A893" t="s">
        <v>6796</v>
      </c>
      <c r="B893" t="s">
        <v>7995</v>
      </c>
      <c r="C893" t="s">
        <v>6798</v>
      </c>
      <c r="D893" s="10" t="s">
        <v>6797</v>
      </c>
      <c r="E893" s="10" t="s">
        <v>3546</v>
      </c>
      <c r="I893" s="17">
        <v>-1.02705667193619</v>
      </c>
      <c r="J893" s="17">
        <v>0.96681799159133397</v>
      </c>
      <c r="K893" s="21">
        <v>5</v>
      </c>
      <c r="L893" s="27">
        <v>2090809.51691955</v>
      </c>
      <c r="M893" s="22">
        <v>3.7665846868155189E-3</v>
      </c>
      <c r="N893" s="21">
        <v>3</v>
      </c>
      <c r="O893" s="27">
        <v>1398088.1913832754</v>
      </c>
      <c r="P893" s="22">
        <v>2.5407074915756249E-3</v>
      </c>
      <c r="Q893" s="21">
        <v>6</v>
      </c>
      <c r="R893" s="27">
        <v>2002153.7525091122</v>
      </c>
      <c r="S893" s="22">
        <v>3.6598303415574791E-3</v>
      </c>
      <c r="T893" s="23">
        <v>2</v>
      </c>
      <c r="U893" s="28">
        <v>2089348.2442004483</v>
      </c>
      <c r="V893" s="24">
        <v>3.7576570805882975E-3</v>
      </c>
      <c r="W893" s="23">
        <v>1</v>
      </c>
      <c r="X893" s="28">
        <v>1907886.2599340198</v>
      </c>
      <c r="Y893" s="24">
        <v>3.3565817542480589E-3</v>
      </c>
      <c r="Z893" s="23">
        <v>2</v>
      </c>
      <c r="AA893" s="28">
        <v>1822640.0025491593</v>
      </c>
      <c r="AB893" s="24">
        <v>3.2545699754115286E-3</v>
      </c>
    </row>
    <row r="894" spans="1:28" x14ac:dyDescent="0.25">
      <c r="A894" t="s">
        <v>6913</v>
      </c>
      <c r="B894" t="s">
        <v>8035</v>
      </c>
      <c r="C894" t="s">
        <v>6915</v>
      </c>
      <c r="D894" s="10" t="s">
        <v>6914</v>
      </c>
      <c r="E894" s="10" t="s">
        <v>3546</v>
      </c>
      <c r="I894" s="17">
        <v>-1.0418976450027999</v>
      </c>
      <c r="J894" s="17">
        <v>0.38697918159330502</v>
      </c>
      <c r="K894" s="21">
        <v>6</v>
      </c>
      <c r="L894" s="27">
        <v>9701281.8664446902</v>
      </c>
      <c r="M894" s="22">
        <v>4.3264293461074112E-2</v>
      </c>
      <c r="N894" s="21">
        <v>5</v>
      </c>
      <c r="O894" s="27">
        <v>9770261.0192531589</v>
      </c>
      <c r="P894" s="22">
        <v>4.3953502835556123E-2</v>
      </c>
      <c r="Q894" s="21">
        <v>7</v>
      </c>
      <c r="R894" s="27">
        <v>9956416.2340617348</v>
      </c>
      <c r="S894" s="22">
        <v>4.5054045851118669E-2</v>
      </c>
      <c r="T894" s="23">
        <v>5</v>
      </c>
      <c r="U894" s="28">
        <v>9400137.2850066088</v>
      </c>
      <c r="V894" s="24">
        <v>4.185118243621664E-2</v>
      </c>
      <c r="W894" s="23">
        <v>5</v>
      </c>
      <c r="X894" s="28">
        <v>11035821.731252419</v>
      </c>
      <c r="Y894" s="24">
        <v>4.8063639118129581E-2</v>
      </c>
      <c r="Z894" s="23">
        <v>5</v>
      </c>
      <c r="AA894" s="28">
        <v>10259434.589219444</v>
      </c>
      <c r="AB894" s="24">
        <v>4.5350634464115795E-2</v>
      </c>
    </row>
    <row r="895" spans="1:28" x14ac:dyDescent="0.25">
      <c r="A895" t="s">
        <v>7004</v>
      </c>
      <c r="B895" t="s">
        <v>8066</v>
      </c>
      <c r="C895" t="s">
        <v>7006</v>
      </c>
      <c r="D895" s="10" t="s">
        <v>7005</v>
      </c>
      <c r="E895" s="10" t="s">
        <v>3546</v>
      </c>
      <c r="H895" t="s">
        <v>41</v>
      </c>
      <c r="I895" s="17">
        <v>-1.04250119017152</v>
      </c>
      <c r="J895" s="17">
        <v>0.91570196309097496</v>
      </c>
      <c r="K895" s="21">
        <v>13</v>
      </c>
      <c r="L895" s="27">
        <v>39062491.999124303</v>
      </c>
      <c r="M895" s="22">
        <v>0.12709849399837064</v>
      </c>
      <c r="N895" s="21">
        <v>11</v>
      </c>
      <c r="O895" s="27">
        <v>26254217.073613267</v>
      </c>
      <c r="P895" s="22">
        <v>8.6172037742819119E-2</v>
      </c>
      <c r="Q895" s="21">
        <v>14</v>
      </c>
      <c r="R895" s="27">
        <v>38355099.966739468</v>
      </c>
      <c r="S895" s="22">
        <v>0.12662919253085123</v>
      </c>
      <c r="T895" s="23">
        <v>13</v>
      </c>
      <c r="U895" s="28">
        <v>34345454.561106682</v>
      </c>
      <c r="V895" s="24">
        <v>0.11156366455237551</v>
      </c>
      <c r="W895" s="23">
        <v>13</v>
      </c>
      <c r="X895" s="28">
        <v>38880672.392285138</v>
      </c>
      <c r="Y895" s="24">
        <v>0.12354515162120328</v>
      </c>
      <c r="Z895" s="23">
        <v>11</v>
      </c>
      <c r="AA895" s="28">
        <v>35469101.224538669</v>
      </c>
      <c r="AB895" s="24">
        <v>0.11439053475336422</v>
      </c>
    </row>
    <row r="896" spans="1:28" x14ac:dyDescent="0.25">
      <c r="A896" t="s">
        <v>7019</v>
      </c>
      <c r="B896" t="s">
        <v>8071</v>
      </c>
      <c r="C896" t="s">
        <v>7021</v>
      </c>
      <c r="D896" s="10" t="s">
        <v>7020</v>
      </c>
      <c r="E896" s="10" t="s">
        <v>3546</v>
      </c>
      <c r="I896" s="17">
        <v>-1.04638521793663</v>
      </c>
      <c r="J896" s="17">
        <v>0.98932513571004499</v>
      </c>
      <c r="K896" s="21">
        <v>3</v>
      </c>
      <c r="L896" s="27">
        <v>1798760.7594540501</v>
      </c>
      <c r="M896" s="22">
        <v>2.1048125891697939E-3</v>
      </c>
      <c r="N896" s="21">
        <v>0</v>
      </c>
      <c r="O896" s="27">
        <v>923601.0895096591</v>
      </c>
      <c r="P896" s="22">
        <v>1.090212850701832E-3</v>
      </c>
      <c r="Q896" s="21">
        <v>2</v>
      </c>
      <c r="R896" s="27">
        <v>1629615.0304464754</v>
      </c>
      <c r="S896" s="22">
        <v>1.9348856747671483E-3</v>
      </c>
      <c r="T896" s="23">
        <v>2</v>
      </c>
      <c r="U896" s="28">
        <v>1602129.075428287</v>
      </c>
      <c r="V896" s="24">
        <v>1.8715893864590537E-3</v>
      </c>
      <c r="W896" s="23">
        <v>0</v>
      </c>
      <c r="X896" s="28">
        <v>1598365.6105711516</v>
      </c>
      <c r="Y896" s="24">
        <v>1.8265334746236498E-3</v>
      </c>
      <c r="Z896" s="23">
        <v>0</v>
      </c>
      <c r="AA896" s="28">
        <v>1356950.4760120956</v>
      </c>
      <c r="AB896" s="24">
        <v>1.573850488871603E-3</v>
      </c>
    </row>
    <row r="897" spans="1:28" x14ac:dyDescent="0.25">
      <c r="A897" t="s">
        <v>6972</v>
      </c>
      <c r="B897" t="s">
        <v>8055</v>
      </c>
      <c r="C897" t="s">
        <v>6973</v>
      </c>
      <c r="D897" s="10" t="s">
        <v>5681</v>
      </c>
      <c r="E897" s="10" t="s">
        <v>3546</v>
      </c>
      <c r="H897" t="s">
        <v>41</v>
      </c>
      <c r="I897" s="17">
        <v>-1.05293036401792</v>
      </c>
      <c r="J897" s="17">
        <v>0.56358913722056403</v>
      </c>
      <c r="K897" s="21">
        <v>15</v>
      </c>
      <c r="L897" s="27">
        <v>12409411.199332099</v>
      </c>
      <c r="M897" s="22">
        <v>1.4574305750826556E-2</v>
      </c>
      <c r="N897" s="21">
        <v>12</v>
      </c>
      <c r="O897" s="27">
        <v>11770968.437397417</v>
      </c>
      <c r="P897" s="22">
        <v>1.3945552604013983E-2</v>
      </c>
      <c r="Q897" s="21">
        <v>13</v>
      </c>
      <c r="R897" s="27">
        <v>12796248.099630395</v>
      </c>
      <c r="S897" s="22">
        <v>1.5249289596247372E-2</v>
      </c>
      <c r="T897" s="23">
        <v>11</v>
      </c>
      <c r="U897" s="28">
        <v>12546282.529805457</v>
      </c>
      <c r="V897" s="24">
        <v>1.4710411023387316E-2</v>
      </c>
      <c r="W897" s="23">
        <v>8</v>
      </c>
      <c r="X897" s="28">
        <v>11967726.408560842</v>
      </c>
      <c r="Y897" s="24">
        <v>1.3726500616595066E-2</v>
      </c>
      <c r="Z897" s="23">
        <v>11</v>
      </c>
      <c r="AA897" s="28">
        <v>13497127.535440292</v>
      </c>
      <c r="AB897" s="24">
        <v>1.5712218135242807E-2</v>
      </c>
    </row>
    <row r="898" spans="1:28" x14ac:dyDescent="0.25">
      <c r="A898" t="s">
        <v>7016</v>
      </c>
      <c r="B898" t="s">
        <v>8070</v>
      </c>
      <c r="C898" t="s">
        <v>7018</v>
      </c>
      <c r="D898" s="10" t="s">
        <v>7017</v>
      </c>
      <c r="E898" s="10" t="s">
        <v>3546</v>
      </c>
      <c r="I898" s="17">
        <v>-1.05635988375381</v>
      </c>
      <c r="J898" s="17">
        <v>0.96146065464304098</v>
      </c>
      <c r="K898" s="21">
        <v>2</v>
      </c>
      <c r="L898" s="27">
        <v>1544928.36673232</v>
      </c>
      <c r="M898" s="22">
        <v>7.2981218336719191E-3</v>
      </c>
      <c r="N898" s="21">
        <v>1</v>
      </c>
      <c r="O898" s="27">
        <v>687977.72702667152</v>
      </c>
      <c r="P898" s="22">
        <v>3.2784153349518699E-3</v>
      </c>
      <c r="Q898" s="21">
        <v>1</v>
      </c>
      <c r="R898" s="27">
        <v>1577155.3938307557</v>
      </c>
      <c r="S898" s="22">
        <v>7.5597512757580587E-3</v>
      </c>
      <c r="T898" s="23">
        <v>2</v>
      </c>
      <c r="U898" s="28">
        <v>1358670.7494734854</v>
      </c>
      <c r="V898" s="24">
        <v>6.4075208948479968E-3</v>
      </c>
      <c r="W898" s="23">
        <v>2</v>
      </c>
      <c r="X898" s="28">
        <v>1174926.7714884912</v>
      </c>
      <c r="Y898" s="24">
        <v>5.4203214415387592E-3</v>
      </c>
      <c r="Z898" s="23">
        <v>2</v>
      </c>
      <c r="AA898" s="28">
        <v>1399113.4126261398</v>
      </c>
      <c r="AB898" s="24">
        <v>6.5511135840817204E-3</v>
      </c>
    </row>
    <row r="899" spans="1:28" x14ac:dyDescent="0.25">
      <c r="A899" t="s">
        <v>7001</v>
      </c>
      <c r="B899" t="s">
        <v>8065</v>
      </c>
      <c r="C899" t="s">
        <v>7003</v>
      </c>
      <c r="D899" s="10" t="s">
        <v>7002</v>
      </c>
      <c r="E899" s="10" t="s">
        <v>3546</v>
      </c>
      <c r="I899" s="17">
        <v>-1.0566959272104499</v>
      </c>
      <c r="J899" s="17">
        <v>0.89553990226748303</v>
      </c>
      <c r="K899" s="21">
        <v>25</v>
      </c>
      <c r="L899" s="27">
        <v>44111592.164422996</v>
      </c>
      <c r="M899" s="22">
        <v>4.9789849769484661E-2</v>
      </c>
      <c r="N899" s="21">
        <v>22</v>
      </c>
      <c r="O899" s="27">
        <v>80213019.920865774</v>
      </c>
      <c r="P899" s="22">
        <v>9.13313300102674E-2</v>
      </c>
      <c r="Q899" s="21">
        <v>24</v>
      </c>
      <c r="R899" s="27">
        <v>45829687.351782024</v>
      </c>
      <c r="S899" s="22">
        <v>5.248862989676565E-2</v>
      </c>
      <c r="T899" s="23">
        <v>17</v>
      </c>
      <c r="U899" s="28">
        <v>55555079.694982834</v>
      </c>
      <c r="V899" s="24">
        <v>6.2601523282889371E-2</v>
      </c>
      <c r="W899" s="23">
        <v>20</v>
      </c>
      <c r="X899" s="28">
        <v>59422590.927950598</v>
      </c>
      <c r="Y899" s="24">
        <v>6.5501485170540358E-2</v>
      </c>
      <c r="Z899" s="23">
        <v>17</v>
      </c>
      <c r="AA899" s="28">
        <v>57990223.091425397</v>
      </c>
      <c r="AB899" s="24">
        <v>6.4878725454343547E-2</v>
      </c>
    </row>
    <row r="900" spans="1:28" x14ac:dyDescent="0.25">
      <c r="A900" t="s">
        <v>6954</v>
      </c>
      <c r="B900" t="s">
        <v>8049</v>
      </c>
      <c r="C900" t="s">
        <v>6956</v>
      </c>
      <c r="D900" s="10" t="s">
        <v>6955</v>
      </c>
      <c r="E900" s="10" t="s">
        <v>3546</v>
      </c>
      <c r="I900" s="17">
        <v>-1.05880805971835</v>
      </c>
      <c r="J900" s="17">
        <v>0.46798741011237799</v>
      </c>
      <c r="K900" s="21">
        <v>9</v>
      </c>
      <c r="L900" s="27">
        <v>80212662.210312396</v>
      </c>
      <c r="M900" s="22">
        <v>0.23357983425071768</v>
      </c>
      <c r="N900" s="21">
        <v>7</v>
      </c>
      <c r="O900" s="27">
        <v>98957335.044735298</v>
      </c>
      <c r="P900" s="22">
        <v>0.29068809035278842</v>
      </c>
      <c r="Q900" s="21">
        <v>10</v>
      </c>
      <c r="R900" s="27">
        <v>79372236.678071767</v>
      </c>
      <c r="S900" s="22">
        <v>0.23452616056893463</v>
      </c>
      <c r="T900" s="23">
        <v>9</v>
      </c>
      <c r="U900" s="28">
        <v>81856423.586916953</v>
      </c>
      <c r="V900" s="24">
        <v>0.2379678160621618</v>
      </c>
      <c r="W900" s="23">
        <v>10</v>
      </c>
      <c r="X900" s="28">
        <v>97531437.29695192</v>
      </c>
      <c r="Y900" s="24">
        <v>0.27736299656554303</v>
      </c>
      <c r="Z900" s="23">
        <v>7</v>
      </c>
      <c r="AA900" s="28">
        <v>85434388.593344569</v>
      </c>
      <c r="AB900" s="24">
        <v>0.24659517731143873</v>
      </c>
    </row>
    <row r="901" spans="1:28" x14ac:dyDescent="0.25">
      <c r="A901" t="s">
        <v>7007</v>
      </c>
      <c r="B901" t="s">
        <v>8067</v>
      </c>
      <c r="C901" t="s">
        <v>7009</v>
      </c>
      <c r="D901" s="10" t="s">
        <v>7008</v>
      </c>
      <c r="E901" s="10" t="s">
        <v>3546</v>
      </c>
      <c r="H901" t="s">
        <v>57</v>
      </c>
      <c r="I901" s="17">
        <v>-1.0605650706832901</v>
      </c>
      <c r="J901" s="17">
        <v>0.92539190676820104</v>
      </c>
      <c r="K901" s="21">
        <v>5</v>
      </c>
      <c r="L901" s="27">
        <v>3539751.05287894</v>
      </c>
      <c r="M901" s="22">
        <v>7.575180502715181E-3</v>
      </c>
      <c r="N901" s="21">
        <v>3</v>
      </c>
      <c r="O901" s="27">
        <v>2082256.7070854297</v>
      </c>
      <c r="P901" s="22">
        <v>4.4951208095023861E-3</v>
      </c>
      <c r="Q901" s="21">
        <v>5</v>
      </c>
      <c r="R901" s="27">
        <v>3599835.0998096252</v>
      </c>
      <c r="S901" s="22">
        <v>7.8168743847009201E-3</v>
      </c>
      <c r="T901" s="23">
        <v>4</v>
      </c>
      <c r="U901" s="28">
        <v>3143995.457612141</v>
      </c>
      <c r="V901" s="24">
        <v>6.7169980116733871E-3</v>
      </c>
      <c r="W901" s="23">
        <v>3</v>
      </c>
      <c r="X901" s="28">
        <v>3331372.3832826265</v>
      </c>
      <c r="Y901" s="24">
        <v>6.9623351969033938E-3</v>
      </c>
      <c r="Z901" s="23">
        <v>4</v>
      </c>
      <c r="AA901" s="28">
        <v>3024934.1967806057</v>
      </c>
      <c r="AB901" s="24">
        <v>6.4164622778845101E-3</v>
      </c>
    </row>
    <row r="902" spans="1:28" x14ac:dyDescent="0.25">
      <c r="A902" t="s">
        <v>6966</v>
      </c>
      <c r="B902" t="s">
        <v>8053</v>
      </c>
      <c r="C902" t="s">
        <v>6968</v>
      </c>
      <c r="D902" s="10" t="s">
        <v>6967</v>
      </c>
      <c r="E902" s="10" t="s">
        <v>3546</v>
      </c>
      <c r="I902" s="17">
        <v>-1.06932437582357</v>
      </c>
      <c r="J902" s="17">
        <v>0.53748223000528295</v>
      </c>
      <c r="K902" s="21">
        <v>6</v>
      </c>
      <c r="L902" s="27">
        <v>4530465.8888795804</v>
      </c>
      <c r="M902" s="22">
        <v>1.5206378424238051E-2</v>
      </c>
      <c r="N902" s="21">
        <v>4</v>
      </c>
      <c r="O902" s="27">
        <v>4731360.4737251615</v>
      </c>
      <c r="P902" s="22">
        <v>1.6019752388934605E-2</v>
      </c>
      <c r="Q902" s="21">
        <v>5</v>
      </c>
      <c r="R902" s="27">
        <v>3882286.3708251626</v>
      </c>
      <c r="S902" s="22">
        <v>1.3222109705377337E-2</v>
      </c>
      <c r="T902" s="23">
        <v>5</v>
      </c>
      <c r="U902" s="28">
        <v>4149740.361460655</v>
      </c>
      <c r="V902" s="24">
        <v>1.3905189052629215E-2</v>
      </c>
      <c r="W902" s="23">
        <v>4</v>
      </c>
      <c r="X902" s="28">
        <v>5064443.3631472252</v>
      </c>
      <c r="Y902" s="24">
        <v>1.6600689588657493E-2</v>
      </c>
      <c r="Z902" s="23">
        <v>4</v>
      </c>
      <c r="AA902" s="28">
        <v>4189433.7333552302</v>
      </c>
      <c r="AB902" s="24">
        <v>1.3937911488464048E-2</v>
      </c>
    </row>
    <row r="903" spans="1:28" x14ac:dyDescent="0.25">
      <c r="A903" t="s">
        <v>6877</v>
      </c>
      <c r="B903" t="s">
        <v>8022</v>
      </c>
      <c r="C903" t="s">
        <v>6879</v>
      </c>
      <c r="D903" s="10" t="s">
        <v>6878</v>
      </c>
      <c r="E903" s="10" t="s">
        <v>3546</v>
      </c>
      <c r="I903" s="17">
        <v>-1.0754654525624801</v>
      </c>
      <c r="J903" s="17">
        <v>0.20461407335124099</v>
      </c>
      <c r="K903" s="21">
        <v>3</v>
      </c>
      <c r="L903" s="27">
        <v>6277747.0895282999</v>
      </c>
      <c r="M903" s="22">
        <v>2.5500030106049575E-2</v>
      </c>
      <c r="N903" s="21">
        <v>3</v>
      </c>
      <c r="O903" s="27">
        <v>7669594.2864606734</v>
      </c>
      <c r="P903" s="22">
        <v>3.1426506160263948E-2</v>
      </c>
      <c r="Q903" s="21">
        <v>4</v>
      </c>
      <c r="R903" s="27">
        <v>6805131.7986540031</v>
      </c>
      <c r="S903" s="22">
        <v>2.8048114930008871E-2</v>
      </c>
      <c r="T903" s="23">
        <v>5</v>
      </c>
      <c r="U903" s="28">
        <v>6570285.9059051266</v>
      </c>
      <c r="V903" s="24">
        <v>2.6643678822395274E-2</v>
      </c>
      <c r="W903" s="23">
        <v>3</v>
      </c>
      <c r="X903" s="28">
        <v>7880528.444581111</v>
      </c>
      <c r="Y903" s="24">
        <v>3.1261059980378869E-2</v>
      </c>
      <c r="Z903" s="23">
        <v>4</v>
      </c>
      <c r="AA903" s="28">
        <v>6463421.6968697356</v>
      </c>
      <c r="AB903" s="24">
        <v>2.6023087214733804E-2</v>
      </c>
    </row>
    <row r="904" spans="1:28" x14ac:dyDescent="0.25">
      <c r="A904" t="s">
        <v>6784</v>
      </c>
      <c r="B904" t="s">
        <v>7991</v>
      </c>
      <c r="C904" t="s">
        <v>6786</v>
      </c>
      <c r="D904" s="10" t="s">
        <v>6785</v>
      </c>
      <c r="E904" s="10" t="s">
        <v>3546</v>
      </c>
      <c r="I904" s="17">
        <v>-1.0792453731827401</v>
      </c>
      <c r="J904" s="17">
        <v>0.67587210666819797</v>
      </c>
      <c r="K904" s="21">
        <v>9</v>
      </c>
      <c r="L904" s="27">
        <v>4368207.4096441697</v>
      </c>
      <c r="M904" s="22">
        <v>9.475288694685155E-3</v>
      </c>
      <c r="N904" s="21">
        <v>7</v>
      </c>
      <c r="O904" s="27">
        <v>3361173.4688142859</v>
      </c>
      <c r="P904" s="22">
        <v>7.3547338116569487E-3</v>
      </c>
      <c r="Q904" s="21">
        <v>12</v>
      </c>
      <c r="R904" s="27">
        <v>4855430.2666117381</v>
      </c>
      <c r="S904" s="22">
        <v>1.0686787668985738E-2</v>
      </c>
      <c r="T904" s="23">
        <v>9</v>
      </c>
      <c r="U904" s="28">
        <v>4355668.7628473053</v>
      </c>
      <c r="V904" s="24">
        <v>9.4322887840464879E-3</v>
      </c>
      <c r="W904" s="23">
        <v>7</v>
      </c>
      <c r="X904" s="28">
        <v>3926704.1988824625</v>
      </c>
      <c r="Y904" s="24">
        <v>8.3181906034253631E-3</v>
      </c>
      <c r="Z904" s="23">
        <v>5</v>
      </c>
      <c r="AA904" s="28">
        <v>4345151.6387149431</v>
      </c>
      <c r="AB904" s="24">
        <v>9.3422951691670905E-3</v>
      </c>
    </row>
    <row r="905" spans="1:28" x14ac:dyDescent="0.25">
      <c r="A905" t="s">
        <v>6992</v>
      </c>
      <c r="B905" t="s">
        <v>8062</v>
      </c>
      <c r="C905" t="s">
        <v>6994</v>
      </c>
      <c r="D905" s="10" t="s">
        <v>6993</v>
      </c>
      <c r="E905" s="10" t="s">
        <v>3546</v>
      </c>
      <c r="I905" s="17">
        <v>-1.08013083654413</v>
      </c>
      <c r="J905" s="17">
        <v>0.78564301198029596</v>
      </c>
      <c r="K905" s="21">
        <v>7</v>
      </c>
      <c r="L905" s="27">
        <v>6738639.5033412799</v>
      </c>
      <c r="M905" s="22">
        <v>2.5579937089193032E-2</v>
      </c>
      <c r="N905" s="21">
        <v>3</v>
      </c>
      <c r="O905" s="27">
        <v>4593740.6284493683</v>
      </c>
      <c r="P905" s="22">
        <v>1.7590595877345579E-2</v>
      </c>
      <c r="Q905" s="21">
        <v>5</v>
      </c>
      <c r="R905" s="27">
        <v>7695749.2529261326</v>
      </c>
      <c r="S905" s="22">
        <v>2.9642062388230975E-2</v>
      </c>
      <c r="T905" s="23">
        <v>4</v>
      </c>
      <c r="U905" s="28">
        <v>6706238.1340266997</v>
      </c>
      <c r="V905" s="24">
        <v>2.541436500635234E-2</v>
      </c>
      <c r="W905" s="23">
        <v>3</v>
      </c>
      <c r="X905" s="28">
        <v>6325183.0693462724</v>
      </c>
      <c r="Y905" s="24">
        <v>2.3448325233632768E-2</v>
      </c>
      <c r="Z905" s="23">
        <v>4</v>
      </c>
      <c r="AA905" s="28">
        <v>6088828.1016682442</v>
      </c>
      <c r="AB905" s="24">
        <v>2.290975313570931E-2</v>
      </c>
    </row>
    <row r="906" spans="1:28" x14ac:dyDescent="0.25">
      <c r="A906" t="s">
        <v>6986</v>
      </c>
      <c r="B906" t="s">
        <v>8060</v>
      </c>
      <c r="C906" t="s">
        <v>6988</v>
      </c>
      <c r="D906" s="10" t="s">
        <v>6987</v>
      </c>
      <c r="E906" s="10" t="s">
        <v>3546</v>
      </c>
      <c r="I906" s="17">
        <v>-1.0809683888005199</v>
      </c>
      <c r="J906" s="17">
        <v>0.68393042612504995</v>
      </c>
      <c r="K906" s="21">
        <v>8</v>
      </c>
      <c r="L906" s="27">
        <v>12422776.5260309</v>
      </c>
      <c r="M906" s="22">
        <v>4.6329657814430644E-2</v>
      </c>
      <c r="N906" s="21">
        <v>7</v>
      </c>
      <c r="O906" s="27">
        <v>20233769.21804272</v>
      </c>
      <c r="P906" s="22">
        <v>7.6120922786949333E-2</v>
      </c>
      <c r="Q906" s="21">
        <v>9</v>
      </c>
      <c r="R906" s="27">
        <v>13072376.695473256</v>
      </c>
      <c r="S906" s="22">
        <v>4.9468100400397175E-2</v>
      </c>
      <c r="T906" s="23">
        <v>7</v>
      </c>
      <c r="U906" s="28">
        <v>13976058.345568275</v>
      </c>
      <c r="V906" s="24">
        <v>5.2035312674972613E-2</v>
      </c>
      <c r="W906" s="23">
        <v>6</v>
      </c>
      <c r="X906" s="28">
        <v>17266763.790541846</v>
      </c>
      <c r="Y906" s="24">
        <v>6.2887285451364267E-2</v>
      </c>
      <c r="Z906" s="23">
        <v>6</v>
      </c>
      <c r="AA906" s="28">
        <v>14439080.216254789</v>
      </c>
      <c r="AB906" s="24">
        <v>5.3375185403720181E-2</v>
      </c>
    </row>
    <row r="907" spans="1:28" x14ac:dyDescent="0.25">
      <c r="A907" t="s">
        <v>6778</v>
      </c>
      <c r="B907" t="s">
        <v>7989</v>
      </c>
      <c r="C907" t="s">
        <v>6780</v>
      </c>
      <c r="D907" s="10" t="s">
        <v>6779</v>
      </c>
      <c r="E907" s="10" t="s">
        <v>3546</v>
      </c>
      <c r="I907" s="17">
        <v>-1.0835148686243401</v>
      </c>
      <c r="J907" s="17">
        <v>0.64161763029650198</v>
      </c>
      <c r="K907" s="21">
        <v>2</v>
      </c>
      <c r="L907" s="27">
        <v>2573012.2465800899</v>
      </c>
      <c r="M907" s="22">
        <v>9.2184601194634213E-3</v>
      </c>
      <c r="N907" s="21">
        <v>0</v>
      </c>
      <c r="O907" s="27">
        <v>4169978.869707007</v>
      </c>
      <c r="P907" s="22">
        <v>1.5070831513705755E-2</v>
      </c>
      <c r="Q907" s="21">
        <v>2</v>
      </c>
      <c r="R907" s="27">
        <v>2854426.0290627242</v>
      </c>
      <c r="S907" s="22">
        <v>1.0376850994412266E-2</v>
      </c>
      <c r="T907" s="23">
        <v>2</v>
      </c>
      <c r="U907" s="28">
        <v>2756580.740512941</v>
      </c>
      <c r="V907" s="24">
        <v>9.8596225433062786E-3</v>
      </c>
      <c r="W907" s="23">
        <v>1</v>
      </c>
      <c r="X907" s="28">
        <v>3243481.1610022211</v>
      </c>
      <c r="Y907" s="24">
        <v>1.1348524214312258E-2</v>
      </c>
      <c r="Z907" s="23">
        <v>2</v>
      </c>
      <c r="AA907" s="28">
        <v>3539037.5747439922</v>
      </c>
      <c r="AB907" s="24">
        <v>1.2567854646214665E-2</v>
      </c>
    </row>
    <row r="908" spans="1:28" x14ac:dyDescent="0.25">
      <c r="A908" t="s">
        <v>6567</v>
      </c>
      <c r="B908" t="s">
        <v>7918</v>
      </c>
      <c r="C908" t="s">
        <v>6569</v>
      </c>
      <c r="D908" s="10" t="s">
        <v>6568</v>
      </c>
      <c r="E908" s="10" t="s">
        <v>3546</v>
      </c>
      <c r="H908" t="s">
        <v>41</v>
      </c>
      <c r="I908" s="17">
        <v>-1.08441160488201</v>
      </c>
      <c r="J908" s="17">
        <v>0.68638238311942201</v>
      </c>
      <c r="K908" s="21">
        <v>4</v>
      </c>
      <c r="L908" s="27">
        <v>1988214.0769765701</v>
      </c>
      <c r="M908" s="22">
        <v>3.2933580182241558E-3</v>
      </c>
      <c r="N908" s="21">
        <v>3</v>
      </c>
      <c r="O908" s="27">
        <v>1507156.6344207437</v>
      </c>
      <c r="P908" s="22">
        <v>2.5183786143431319E-3</v>
      </c>
      <c r="Q908" s="21">
        <v>5</v>
      </c>
      <c r="R908" s="27">
        <v>2242750.2272247737</v>
      </c>
      <c r="S908" s="22">
        <v>3.769527966487178E-3</v>
      </c>
      <c r="T908" s="23">
        <v>3</v>
      </c>
      <c r="U908" s="28">
        <v>2104910.9187359205</v>
      </c>
      <c r="V908" s="24">
        <v>3.480828012290682E-3</v>
      </c>
      <c r="W908" s="23">
        <v>1</v>
      </c>
      <c r="X908" s="28">
        <v>1647323.258341165</v>
      </c>
      <c r="Y908" s="24">
        <v>2.6648091560716159E-3</v>
      </c>
      <c r="Z908" s="23">
        <v>2</v>
      </c>
      <c r="AA908" s="28">
        <v>1960163.2424915337</v>
      </c>
      <c r="AB908" s="24">
        <v>3.2183071439637586E-3</v>
      </c>
    </row>
    <row r="909" spans="1:28" x14ac:dyDescent="0.25">
      <c r="A909" t="s">
        <v>6944</v>
      </c>
      <c r="B909" t="s">
        <v>8046</v>
      </c>
      <c r="C909" t="s">
        <v>6946</v>
      </c>
      <c r="D909" s="10" t="s">
        <v>6945</v>
      </c>
      <c r="E909" s="10" t="s">
        <v>3546</v>
      </c>
      <c r="H909" t="s">
        <v>41</v>
      </c>
      <c r="I909" s="17">
        <v>-1.0870923317088299</v>
      </c>
      <c r="J909" s="17">
        <v>0.44575773784645201</v>
      </c>
      <c r="K909" s="21">
        <v>9</v>
      </c>
      <c r="L909" s="27">
        <v>3459087.58138029</v>
      </c>
      <c r="M909" s="22">
        <v>4.3682422014075127E-3</v>
      </c>
      <c r="N909" s="21">
        <v>4</v>
      </c>
      <c r="O909" s="27">
        <v>3408931.4545358582</v>
      </c>
      <c r="P909" s="22">
        <v>4.3426042513099962E-3</v>
      </c>
      <c r="Q909" s="21">
        <v>8</v>
      </c>
      <c r="R909" s="27">
        <v>3735188.6471944596</v>
      </c>
      <c r="S909" s="22">
        <v>4.7861681533484489E-3</v>
      </c>
      <c r="T909" s="23">
        <v>5</v>
      </c>
      <c r="U909" s="28">
        <v>3724758.4779862305</v>
      </c>
      <c r="V909" s="24">
        <v>4.695872678109384E-3</v>
      </c>
      <c r="W909" s="23">
        <v>1</v>
      </c>
      <c r="X909" s="28">
        <v>3087166.3480422166</v>
      </c>
      <c r="Y909" s="24">
        <v>3.8072961930733168E-3</v>
      </c>
      <c r="Z909" s="23">
        <v>5</v>
      </c>
      <c r="AA909" s="28">
        <v>3700923.5903228959</v>
      </c>
      <c r="AB909" s="24">
        <v>4.6324924314495612E-3</v>
      </c>
    </row>
    <row r="910" spans="1:28" x14ac:dyDescent="0.25">
      <c r="A910" t="s">
        <v>6910</v>
      </c>
      <c r="B910" t="s">
        <v>8034</v>
      </c>
      <c r="C910" t="s">
        <v>6912</v>
      </c>
      <c r="D910" s="10" t="s">
        <v>6911</v>
      </c>
      <c r="E910" s="10" t="s">
        <v>3546</v>
      </c>
      <c r="I910" s="17">
        <v>-1.08769335211451</v>
      </c>
      <c r="J910" s="17">
        <v>0.38340084834347499</v>
      </c>
      <c r="K910" s="21">
        <v>4</v>
      </c>
      <c r="L910" s="27">
        <v>12426501.2925223</v>
      </c>
      <c r="M910" s="22">
        <v>4.4772581242185659E-2</v>
      </c>
      <c r="N910" s="21">
        <v>3</v>
      </c>
      <c r="O910" s="27">
        <v>13800179.023636453</v>
      </c>
      <c r="P910" s="22">
        <v>5.0157376975979162E-2</v>
      </c>
      <c r="Q910" s="21">
        <v>4</v>
      </c>
      <c r="R910" s="27">
        <v>11902959.40832351</v>
      </c>
      <c r="S910" s="22">
        <v>4.3515950702903053E-2</v>
      </c>
      <c r="T910" s="23">
        <v>5</v>
      </c>
      <c r="U910" s="28">
        <v>11464097.826944163</v>
      </c>
      <c r="V910" s="24">
        <v>4.1235967715337753E-2</v>
      </c>
      <c r="W910" s="23">
        <v>4</v>
      </c>
      <c r="X910" s="28">
        <v>15470267.844589774</v>
      </c>
      <c r="Y910" s="24">
        <v>5.4434291887270336E-2</v>
      </c>
      <c r="Z910" s="23">
        <v>4</v>
      </c>
      <c r="AA910" s="28">
        <v>11296615.689411199</v>
      </c>
      <c r="AB910" s="24">
        <v>4.0343267123622642E-2</v>
      </c>
    </row>
    <row r="911" spans="1:28" x14ac:dyDescent="0.25">
      <c r="A911" t="s">
        <v>6983</v>
      </c>
      <c r="B911" t="s">
        <v>8059</v>
      </c>
      <c r="C911" t="s">
        <v>6985</v>
      </c>
      <c r="D911" s="10" t="s">
        <v>6984</v>
      </c>
      <c r="E911" s="10" t="s">
        <v>3546</v>
      </c>
      <c r="I911" s="17">
        <v>-1.08861610914303</v>
      </c>
      <c r="J911" s="17">
        <v>0.65522568711227103</v>
      </c>
      <c r="K911" s="21">
        <v>56</v>
      </c>
      <c r="L911" s="27">
        <v>1418122365.54655</v>
      </c>
      <c r="M911" s="22">
        <v>4.3271699305620537</v>
      </c>
      <c r="N911" s="21">
        <v>43</v>
      </c>
      <c r="O911" s="27">
        <v>1970120753.7606516</v>
      </c>
      <c r="P911" s="22">
        <v>6.0641498219102212</v>
      </c>
      <c r="Q911" s="21">
        <v>55</v>
      </c>
      <c r="R911" s="27">
        <v>1227037088.5537724</v>
      </c>
      <c r="S911" s="22">
        <v>3.7990778553366282</v>
      </c>
      <c r="T911" s="23">
        <v>49</v>
      </c>
      <c r="U911" s="28">
        <v>1473620011.930485</v>
      </c>
      <c r="V911" s="24">
        <v>4.4889916592316323</v>
      </c>
      <c r="W911" s="23">
        <v>47</v>
      </c>
      <c r="X911" s="28">
        <v>1598591509.1763415</v>
      </c>
      <c r="Y911" s="24">
        <v>4.7636432207138277</v>
      </c>
      <c r="Z911" s="23">
        <v>46</v>
      </c>
      <c r="AA911" s="28">
        <v>1513666541.6847789</v>
      </c>
      <c r="AB911" s="24">
        <v>4.5780433746234364</v>
      </c>
    </row>
    <row r="912" spans="1:28" x14ac:dyDescent="0.25">
      <c r="A912" t="s">
        <v>6760</v>
      </c>
      <c r="B912" t="s">
        <v>7983</v>
      </c>
      <c r="C912" t="s">
        <v>6762</v>
      </c>
      <c r="D912" s="10" t="s">
        <v>6761</v>
      </c>
      <c r="E912" s="10" t="s">
        <v>3546</v>
      </c>
      <c r="I912" s="17">
        <v>-1.09325897155512</v>
      </c>
      <c r="J912" s="17">
        <v>0.41789292334085398</v>
      </c>
      <c r="K912" s="21">
        <v>1</v>
      </c>
      <c r="L912" s="27">
        <v>1814029.08426746</v>
      </c>
      <c r="M912" s="22">
        <v>5.3311517178221014E-3</v>
      </c>
      <c r="N912" s="21">
        <v>2</v>
      </c>
      <c r="O912" s="27">
        <v>1983001.172316493</v>
      </c>
      <c r="P912" s="22">
        <v>5.8787717660281884E-3</v>
      </c>
      <c r="Q912" s="21">
        <v>2</v>
      </c>
      <c r="R912" s="27">
        <v>1941646.0800546228</v>
      </c>
      <c r="S912" s="22">
        <v>5.7899808372324588E-3</v>
      </c>
      <c r="T912" s="23">
        <v>2</v>
      </c>
      <c r="U912" s="28">
        <v>1687696.4524028182</v>
      </c>
      <c r="V912" s="24">
        <v>4.9515843034596734E-3</v>
      </c>
      <c r="W912" s="23">
        <v>2</v>
      </c>
      <c r="X912" s="28">
        <v>2478460.0954722106</v>
      </c>
      <c r="Y912" s="24">
        <v>7.1132849806234411E-3</v>
      </c>
      <c r="Z912" s="23">
        <v>0</v>
      </c>
      <c r="AA912" s="28">
        <v>1565428.8744281081</v>
      </c>
      <c r="AB912" s="24">
        <v>4.5600497849919508E-3</v>
      </c>
    </row>
    <row r="913" spans="1:28" x14ac:dyDescent="0.25">
      <c r="A913" t="s">
        <v>6936</v>
      </c>
      <c r="B913" t="s">
        <v>8043</v>
      </c>
      <c r="C913" t="s">
        <v>6937</v>
      </c>
      <c r="D913" s="10" t="s">
        <v>6457</v>
      </c>
      <c r="E913" s="10" t="s">
        <v>3546</v>
      </c>
      <c r="H913" t="s">
        <v>1991</v>
      </c>
      <c r="I913" s="17">
        <v>-1.0979578796845</v>
      </c>
      <c r="J913" s="17">
        <v>0.42891844403108598</v>
      </c>
      <c r="K913" s="21">
        <v>20</v>
      </c>
      <c r="L913" s="27">
        <v>32333197.2737699</v>
      </c>
      <c r="M913" s="22">
        <v>6.4436983855025401E-2</v>
      </c>
      <c r="N913" s="21">
        <v>17</v>
      </c>
      <c r="O913" s="27">
        <v>30633464.809171267</v>
      </c>
      <c r="P913" s="22">
        <v>6.1584228467972811E-2</v>
      </c>
      <c r="Q913" s="21">
        <v>18</v>
      </c>
      <c r="R913" s="27">
        <v>37595115.754242003</v>
      </c>
      <c r="S913" s="22">
        <v>7.6023566163430867E-2</v>
      </c>
      <c r="T913" s="23">
        <v>19</v>
      </c>
      <c r="U913" s="28">
        <v>36354914.97758127</v>
      </c>
      <c r="V913" s="24">
        <v>7.2330710122234035E-2</v>
      </c>
      <c r="W913" s="23">
        <v>12</v>
      </c>
      <c r="X913" s="28">
        <v>30544979.060319893</v>
      </c>
      <c r="Y913" s="24">
        <v>5.9448084362058895E-2</v>
      </c>
      <c r="Z913" s="23">
        <v>15</v>
      </c>
      <c r="AA913" s="28">
        <v>31810304.236127891</v>
      </c>
      <c r="AB913" s="24">
        <v>6.2836765573404729E-2</v>
      </c>
    </row>
    <row r="914" spans="1:28" x14ac:dyDescent="0.25">
      <c r="A914" t="s">
        <v>6766</v>
      </c>
      <c r="B914" t="s">
        <v>7985</v>
      </c>
      <c r="C914" t="s">
        <v>6768</v>
      </c>
      <c r="D914" s="10" t="s">
        <v>6767</v>
      </c>
      <c r="E914" s="10" t="s">
        <v>3546</v>
      </c>
      <c r="I914" s="17">
        <v>-1.09836260552695</v>
      </c>
      <c r="J914" s="17">
        <v>0.45581220867454098</v>
      </c>
      <c r="K914" s="21">
        <v>5</v>
      </c>
      <c r="L914" s="27">
        <v>4665838.75514472</v>
      </c>
      <c r="M914" s="22">
        <v>1.5827357316698397E-2</v>
      </c>
      <c r="N914" s="21">
        <v>5</v>
      </c>
      <c r="O914" s="27">
        <v>5787705.3902819818</v>
      </c>
      <c r="P914" s="22">
        <v>1.9804866971508739E-2</v>
      </c>
      <c r="Q914" s="21">
        <v>5</v>
      </c>
      <c r="R914" s="27">
        <v>4390588.3956926093</v>
      </c>
      <c r="S914" s="22">
        <v>1.5112338260121216E-2</v>
      </c>
      <c r="T914" s="23">
        <v>5</v>
      </c>
      <c r="U914" s="28">
        <v>4894278.5478183376</v>
      </c>
      <c r="V914" s="24">
        <v>1.657449890679949E-2</v>
      </c>
      <c r="W914" s="23">
        <v>4</v>
      </c>
      <c r="X914" s="28">
        <v>5670354.4312921576</v>
      </c>
      <c r="Y914" s="24">
        <v>1.8784531489721291E-2</v>
      </c>
      <c r="Z914" s="23">
        <v>5</v>
      </c>
      <c r="AA914" s="28">
        <v>4104048.6173138227</v>
      </c>
      <c r="AB914" s="24">
        <v>1.3799095664295984E-2</v>
      </c>
    </row>
    <row r="915" spans="1:28" x14ac:dyDescent="0.25">
      <c r="A915" t="s">
        <v>6561</v>
      </c>
      <c r="B915" t="s">
        <v>7916</v>
      </c>
      <c r="C915" t="s">
        <v>6563</v>
      </c>
      <c r="D915" s="10" t="s">
        <v>6562</v>
      </c>
      <c r="E915" s="10" t="s">
        <v>3546</v>
      </c>
      <c r="H915" t="s">
        <v>41</v>
      </c>
      <c r="I915" s="17">
        <v>-1.1018942230873801</v>
      </c>
      <c r="J915" s="17">
        <v>0.56204296282325605</v>
      </c>
      <c r="K915" s="21">
        <v>11</v>
      </c>
      <c r="L915" s="27">
        <v>7201565.2455471698</v>
      </c>
      <c r="M915" s="22">
        <v>1.241256986185885E-2</v>
      </c>
      <c r="N915" s="21">
        <v>5</v>
      </c>
      <c r="O915" s="27">
        <v>5511953.1354962885</v>
      </c>
      <c r="P915" s="22">
        <v>9.5835663719342646E-3</v>
      </c>
      <c r="Q915" s="21">
        <v>12</v>
      </c>
      <c r="R915" s="27">
        <v>7504944.3518903013</v>
      </c>
      <c r="S915" s="22">
        <v>1.3125399838804994E-2</v>
      </c>
      <c r="T915" s="23">
        <v>7</v>
      </c>
      <c r="U915" s="28">
        <v>6848046.9487803932</v>
      </c>
      <c r="V915" s="24">
        <v>1.1783507401923974E-2</v>
      </c>
      <c r="W915" s="23">
        <v>2</v>
      </c>
      <c r="X915" s="28">
        <v>6263872.2459340198</v>
      </c>
      <c r="Y915" s="24">
        <v>1.0543606244710011E-2</v>
      </c>
      <c r="Z915" s="23">
        <v>5</v>
      </c>
      <c r="AA915" s="28">
        <v>6789644.0294353487</v>
      </c>
      <c r="AB915" s="24">
        <v>1.1599553152100593E-2</v>
      </c>
    </row>
    <row r="916" spans="1:28" x14ac:dyDescent="0.25">
      <c r="A916" t="s">
        <v>6908</v>
      </c>
      <c r="B916" t="s">
        <v>8033</v>
      </c>
      <c r="C916" t="s">
        <v>6909</v>
      </c>
      <c r="D916" s="10" t="s">
        <v>6457</v>
      </c>
      <c r="E916" s="10" t="s">
        <v>3546</v>
      </c>
      <c r="H916" t="s">
        <v>1991</v>
      </c>
      <c r="I916" s="17">
        <v>-1.10406675516033</v>
      </c>
      <c r="J916" s="17">
        <v>0.36729626638877</v>
      </c>
      <c r="K916" s="21">
        <v>15</v>
      </c>
      <c r="L916" s="27">
        <v>25110855.056482699</v>
      </c>
      <c r="M916" s="22">
        <v>4.8527072412764903E-2</v>
      </c>
      <c r="N916" s="21">
        <v>11</v>
      </c>
      <c r="O916" s="27">
        <v>22619168.760759156</v>
      </c>
      <c r="P916" s="22">
        <v>4.4094666635014504E-2</v>
      </c>
      <c r="Q916" s="21">
        <v>15</v>
      </c>
      <c r="R916" s="27">
        <v>27382931.409506887</v>
      </c>
      <c r="S916" s="22">
        <v>5.3694869175708961E-2</v>
      </c>
      <c r="T916" s="23">
        <v>18</v>
      </c>
      <c r="U916" s="28">
        <v>24548904.955966122</v>
      </c>
      <c r="V916" s="24">
        <v>4.7361751905058709E-2</v>
      </c>
      <c r="W916" s="23">
        <v>10</v>
      </c>
      <c r="X916" s="28">
        <v>23227277.486781109</v>
      </c>
      <c r="Y916" s="24">
        <v>4.3836147502508041E-2</v>
      </c>
      <c r="Z916" s="23">
        <v>12</v>
      </c>
      <c r="AA916" s="28">
        <v>25839961.807590555</v>
      </c>
      <c r="AB916" s="24">
        <v>4.9496433356225916E-2</v>
      </c>
    </row>
    <row r="917" spans="1:28" x14ac:dyDescent="0.25">
      <c r="A917" t="s">
        <v>6980</v>
      </c>
      <c r="B917" t="s">
        <v>8058</v>
      </c>
      <c r="C917" t="s">
        <v>6982</v>
      </c>
      <c r="D917" s="10" t="s">
        <v>6981</v>
      </c>
      <c r="E917" s="10" t="s">
        <v>3546</v>
      </c>
      <c r="I917" s="17">
        <v>-1.1058125318763701</v>
      </c>
      <c r="J917" s="17">
        <v>0.64931391545188399</v>
      </c>
      <c r="K917" s="21">
        <v>6</v>
      </c>
      <c r="L917" s="27">
        <v>2426342.4908042201</v>
      </c>
      <c r="M917" s="22">
        <v>7.8545698794207017E-3</v>
      </c>
      <c r="N917" s="21">
        <v>5</v>
      </c>
      <c r="O917" s="27">
        <v>4294078.290484176</v>
      </c>
      <c r="P917" s="22">
        <v>1.4022553149086417E-2</v>
      </c>
      <c r="Q917" s="21">
        <v>6</v>
      </c>
      <c r="R917" s="27">
        <v>2682546.7645654678</v>
      </c>
      <c r="S917" s="22">
        <v>8.8114598251200979E-3</v>
      </c>
      <c r="T917" s="23">
        <v>4</v>
      </c>
      <c r="U917" s="28">
        <v>3039472.4089503512</v>
      </c>
      <c r="V917" s="24">
        <v>9.8229413984011072E-3</v>
      </c>
      <c r="W917" s="23">
        <v>2</v>
      </c>
      <c r="X917" s="28">
        <v>3455503.0224517523</v>
      </c>
      <c r="Y917" s="24">
        <v>1.0924286016456931E-2</v>
      </c>
      <c r="Z917" s="23">
        <v>2</v>
      </c>
      <c r="AA917" s="28">
        <v>2657560.2665699548</v>
      </c>
      <c r="AB917" s="24">
        <v>8.527326143085141E-3</v>
      </c>
    </row>
    <row r="918" spans="1:28" x14ac:dyDescent="0.25">
      <c r="A918" t="s">
        <v>6938</v>
      </c>
      <c r="B918" t="s">
        <v>8044</v>
      </c>
      <c r="C918" t="s">
        <v>6940</v>
      </c>
      <c r="D918" s="10" t="s">
        <v>6939</v>
      </c>
      <c r="E918" s="10" t="s">
        <v>3546</v>
      </c>
      <c r="I918" s="17">
        <v>-1.1088179150342901</v>
      </c>
      <c r="J918" s="17">
        <v>0.43136772132263301</v>
      </c>
      <c r="K918" s="21">
        <v>1</v>
      </c>
      <c r="L918" s="27">
        <v>857708.54182139202</v>
      </c>
      <c r="M918" s="22">
        <v>5.1602459318472165E-3</v>
      </c>
      <c r="N918" s="21">
        <v>0</v>
      </c>
      <c r="O918" s="27">
        <v>781364.5118711153</v>
      </c>
      <c r="P918" s="22">
        <v>4.7421051519317917E-3</v>
      </c>
      <c r="Q918" s="21">
        <v>3</v>
      </c>
      <c r="R918" s="27">
        <v>966320.14063219738</v>
      </c>
      <c r="S918" s="22">
        <v>5.8990483544389813E-3</v>
      </c>
      <c r="T918" s="23">
        <v>0</v>
      </c>
      <c r="U918" s="28">
        <v>822205.66061318631</v>
      </c>
      <c r="V918" s="24">
        <v>4.9383762016800272E-3</v>
      </c>
      <c r="W918" s="23">
        <v>0</v>
      </c>
      <c r="X918" s="28">
        <v>749777.93071874045</v>
      </c>
      <c r="Y918" s="24">
        <v>4.4052929995126331E-3</v>
      </c>
      <c r="Z918" s="23">
        <v>0</v>
      </c>
      <c r="AA918" s="28">
        <v>965883.92066459719</v>
      </c>
      <c r="AB918" s="24">
        <v>5.759901397692886E-3</v>
      </c>
    </row>
    <row r="919" spans="1:28" x14ac:dyDescent="0.25">
      <c r="A919" t="s">
        <v>6957</v>
      </c>
      <c r="B919" t="s">
        <v>8050</v>
      </c>
      <c r="C919" t="s">
        <v>6959</v>
      </c>
      <c r="D919" s="10" t="s">
        <v>6958</v>
      </c>
      <c r="E919" s="10" t="s">
        <v>3546</v>
      </c>
      <c r="I919" s="17">
        <v>-1.1096202043727199</v>
      </c>
      <c r="J919" s="17">
        <v>0.47911373727171502</v>
      </c>
      <c r="K919" s="21">
        <v>13</v>
      </c>
      <c r="L919" s="27">
        <v>22989615.153504301</v>
      </c>
      <c r="M919" s="22">
        <v>5.3507870661152195E-2</v>
      </c>
      <c r="N919" s="21">
        <v>10</v>
      </c>
      <c r="O919" s="27">
        <v>18464123.939994995</v>
      </c>
      <c r="P919" s="22">
        <v>4.3351238214735535E-2</v>
      </c>
      <c r="Q919" s="21">
        <v>14</v>
      </c>
      <c r="R919" s="27">
        <v>25065985.670443404</v>
      </c>
      <c r="S919" s="22">
        <v>5.9197179397108064E-2</v>
      </c>
      <c r="T919" s="23">
        <v>7</v>
      </c>
      <c r="U919" s="28">
        <v>22575732.802631907</v>
      </c>
      <c r="V919" s="24">
        <v>5.2456688081402268E-2</v>
      </c>
      <c r="W919" s="23">
        <v>8</v>
      </c>
      <c r="X919" s="28">
        <v>22319363.366867162</v>
      </c>
      <c r="Y919" s="24">
        <v>5.0731680779790608E-2</v>
      </c>
      <c r="Z919" s="23">
        <v>10</v>
      </c>
      <c r="AA919" s="28">
        <v>20172352.276998799</v>
      </c>
      <c r="AB919" s="24">
        <v>4.6537383157899188E-2</v>
      </c>
    </row>
    <row r="920" spans="1:28" x14ac:dyDescent="0.25">
      <c r="A920" t="s">
        <v>6510</v>
      </c>
      <c r="B920" t="s">
        <v>7899</v>
      </c>
      <c r="C920" t="s">
        <v>6512</v>
      </c>
      <c r="D920" s="10" t="s">
        <v>6511</v>
      </c>
      <c r="E920" s="10" t="s">
        <v>3546</v>
      </c>
      <c r="H920" t="s">
        <v>57</v>
      </c>
      <c r="I920" s="17">
        <v>-1.11038809051733</v>
      </c>
      <c r="J920" s="17">
        <v>0.45134711610253297</v>
      </c>
      <c r="K920" s="21">
        <v>6</v>
      </c>
      <c r="L920" s="27">
        <v>1608918.7638733799</v>
      </c>
      <c r="M920" s="22">
        <v>2.8265978338893475E-3</v>
      </c>
      <c r="N920" s="21">
        <v>3</v>
      </c>
      <c r="O920" s="27">
        <v>1334204.1123320574</v>
      </c>
      <c r="P920" s="22">
        <v>2.364498334801398E-3</v>
      </c>
      <c r="Q920" s="21">
        <v>5</v>
      </c>
      <c r="R920" s="27">
        <v>1612798.9402893095</v>
      </c>
      <c r="S920" s="22">
        <v>2.8750168493478787E-3</v>
      </c>
      <c r="T920" s="23">
        <v>1</v>
      </c>
      <c r="U920" s="28">
        <v>1567275.3866165325</v>
      </c>
      <c r="V920" s="24">
        <v>2.7488324062068647E-3</v>
      </c>
      <c r="W920" s="23">
        <v>1</v>
      </c>
      <c r="X920" s="28">
        <v>1645293.4963265152</v>
      </c>
      <c r="Y920" s="24">
        <v>2.8228302783199015E-3</v>
      </c>
      <c r="Z920" s="23">
        <v>1</v>
      </c>
      <c r="AA920" s="28">
        <v>1253669.3937051054</v>
      </c>
      <c r="AB920" s="24">
        <v>2.1830936993960798E-3</v>
      </c>
    </row>
    <row r="921" spans="1:28" x14ac:dyDescent="0.25">
      <c r="A921" t="s">
        <v>6787</v>
      </c>
      <c r="B921" t="s">
        <v>7992</v>
      </c>
      <c r="C921" t="s">
        <v>6789</v>
      </c>
      <c r="D921" s="10" t="s">
        <v>6788</v>
      </c>
      <c r="E921" s="10" t="s">
        <v>3546</v>
      </c>
      <c r="I921" s="17">
        <v>-1.11754117570753</v>
      </c>
      <c r="J921" s="17">
        <v>0.68222121712491202</v>
      </c>
      <c r="K921" s="21">
        <v>2</v>
      </c>
      <c r="L921" s="27">
        <v>928078.97484008898</v>
      </c>
      <c r="M921" s="22">
        <v>2.106275346048981E-3</v>
      </c>
      <c r="N921" s="21">
        <v>0</v>
      </c>
      <c r="O921" s="27">
        <v>1738808.5502087148</v>
      </c>
      <c r="P921" s="22">
        <v>3.9807858027043437E-3</v>
      </c>
      <c r="Q921" s="21">
        <v>2</v>
      </c>
      <c r="R921" s="27">
        <v>999299.47622753901</v>
      </c>
      <c r="S921" s="22">
        <v>2.3012093491343285E-3</v>
      </c>
      <c r="T921" s="23">
        <v>1</v>
      </c>
      <c r="U921" s="28">
        <v>960049.82139473967</v>
      </c>
      <c r="V921" s="24">
        <v>2.1751891343362471E-3</v>
      </c>
      <c r="W921" s="23">
        <v>2</v>
      </c>
      <c r="X921" s="28">
        <v>1521381.6963681839</v>
      </c>
      <c r="Y921" s="24">
        <v>3.3719403108177647E-3</v>
      </c>
      <c r="Z921" s="23">
        <v>2</v>
      </c>
      <c r="AA921" s="28">
        <v>1073191.2414094803</v>
      </c>
      <c r="AB921" s="24">
        <v>2.4141640452897402E-3</v>
      </c>
    </row>
    <row r="922" spans="1:28" x14ac:dyDescent="0.25">
      <c r="A922" t="s">
        <v>6902</v>
      </c>
      <c r="B922" t="s">
        <v>8031</v>
      </c>
      <c r="C922" t="s">
        <v>6904</v>
      </c>
      <c r="D922" s="10" t="s">
        <v>6903</v>
      </c>
      <c r="E922" s="10" t="s">
        <v>3546</v>
      </c>
      <c r="I922" s="17">
        <v>-1.1179918752147999</v>
      </c>
      <c r="J922" s="17">
        <v>0.355837426028982</v>
      </c>
      <c r="K922" s="21">
        <v>22</v>
      </c>
      <c r="L922" s="27">
        <v>38578052.865692101</v>
      </c>
      <c r="M922" s="22">
        <v>6.181498412264691E-2</v>
      </c>
      <c r="N922" s="21">
        <v>14</v>
      </c>
      <c r="O922" s="27">
        <v>34699720.697174877</v>
      </c>
      <c r="P922" s="22">
        <v>5.6087524164946514E-2</v>
      </c>
      <c r="Q922" s="21">
        <v>20</v>
      </c>
      <c r="R922" s="27">
        <v>41260184.751972705</v>
      </c>
      <c r="S922" s="22">
        <v>6.7083372226650062E-2</v>
      </c>
      <c r="T922" s="23">
        <v>16</v>
      </c>
      <c r="U922" s="28">
        <v>40184801.998443045</v>
      </c>
      <c r="V922" s="24">
        <v>6.4281845199203921E-2</v>
      </c>
      <c r="W922" s="23">
        <v>15</v>
      </c>
      <c r="X922" s="28">
        <v>34580723.129724085</v>
      </c>
      <c r="Y922" s="24">
        <v>5.4112675808904789E-2</v>
      </c>
      <c r="Z922" s="23">
        <v>15</v>
      </c>
      <c r="AA922" s="28">
        <v>35934872.714343332</v>
      </c>
      <c r="AB922" s="24">
        <v>5.7072778584715635E-2</v>
      </c>
    </row>
    <row r="923" spans="1:28" x14ac:dyDescent="0.25">
      <c r="A923" t="s">
        <v>6853</v>
      </c>
      <c r="B923" t="s">
        <v>8014</v>
      </c>
      <c r="C923" t="s">
        <v>6855</v>
      </c>
      <c r="D923" s="10" t="s">
        <v>6854</v>
      </c>
      <c r="E923" s="10" t="s">
        <v>3546</v>
      </c>
      <c r="I923" s="17">
        <v>-1.1186070872188201</v>
      </c>
      <c r="J923" s="17">
        <v>0.112454403756548</v>
      </c>
      <c r="K923" s="21">
        <v>2</v>
      </c>
      <c r="L923" s="27">
        <v>1887312.86086388</v>
      </c>
      <c r="M923" s="22">
        <v>1.5235381664226217E-2</v>
      </c>
      <c r="N923" s="21">
        <v>2</v>
      </c>
      <c r="O923" s="27">
        <v>2467149.9088051161</v>
      </c>
      <c r="P923" s="22">
        <v>2.0090549260434788E-2</v>
      </c>
      <c r="Q923" s="21">
        <v>2</v>
      </c>
      <c r="R923" s="27">
        <v>2064049.9746997715</v>
      </c>
      <c r="S923" s="22">
        <v>1.6906741280251842E-2</v>
      </c>
      <c r="T923" s="23">
        <v>2</v>
      </c>
      <c r="U923" s="28">
        <v>1945415.3609897569</v>
      </c>
      <c r="V923" s="24">
        <v>1.5678150293723016E-2</v>
      </c>
      <c r="W923" s="23">
        <v>3</v>
      </c>
      <c r="X923" s="28">
        <v>2227699.4062356353</v>
      </c>
      <c r="Y923" s="24">
        <v>1.7562142995983226E-2</v>
      </c>
      <c r="Z923" s="23">
        <v>2</v>
      </c>
      <c r="AA923" s="28">
        <v>2030019.5338522804</v>
      </c>
      <c r="AB923" s="24">
        <v>1.6243106936811448E-2</v>
      </c>
    </row>
    <row r="924" spans="1:28" x14ac:dyDescent="0.25">
      <c r="A924" t="s">
        <v>6706</v>
      </c>
      <c r="B924" t="s">
        <v>7965</v>
      </c>
      <c r="C924" t="s">
        <v>6708</v>
      </c>
      <c r="D924" s="10" t="s">
        <v>6707</v>
      </c>
      <c r="E924" s="10" t="s">
        <v>3546</v>
      </c>
      <c r="I924" s="17">
        <v>-1.1220550326329199</v>
      </c>
      <c r="J924" s="17">
        <v>0.166557780347868</v>
      </c>
      <c r="K924" s="21">
        <v>2</v>
      </c>
      <c r="L924" s="27">
        <v>1400819.9135529201</v>
      </c>
      <c r="M924" s="22">
        <v>3.6314806131652584E-3</v>
      </c>
      <c r="N924" s="21">
        <v>2</v>
      </c>
      <c r="O924" s="27">
        <v>1610518.6631766437</v>
      </c>
      <c r="P924" s="22">
        <v>4.2116669178351249E-3</v>
      </c>
      <c r="Q924" s="21">
        <v>3</v>
      </c>
      <c r="R924" s="27">
        <v>1484741.9930296661</v>
      </c>
      <c r="S924" s="22">
        <v>3.905554249331371E-3</v>
      </c>
      <c r="T924" s="23">
        <v>2</v>
      </c>
      <c r="U924" s="28">
        <v>1537071.9815870805</v>
      </c>
      <c r="V924" s="24">
        <v>3.9780356693271185E-3</v>
      </c>
      <c r="W924" s="23">
        <v>2</v>
      </c>
      <c r="X924" s="28">
        <v>1491585.8455803751</v>
      </c>
      <c r="Y924" s="24">
        <v>3.7762536455093563E-3</v>
      </c>
      <c r="Z924" s="23">
        <v>2</v>
      </c>
      <c r="AA924" s="28">
        <v>1299253.7655223494</v>
      </c>
      <c r="AB924" s="24">
        <v>3.338526708215358E-3</v>
      </c>
    </row>
    <row r="925" spans="1:28" x14ac:dyDescent="0.25">
      <c r="A925" t="s">
        <v>6493</v>
      </c>
      <c r="B925" t="s">
        <v>7892</v>
      </c>
      <c r="C925" t="s">
        <v>6495</v>
      </c>
      <c r="D925" s="10" t="s">
        <v>6494</v>
      </c>
      <c r="E925" s="10" t="s">
        <v>3546</v>
      </c>
      <c r="H925" t="s">
        <v>57</v>
      </c>
      <c r="I925" s="17">
        <v>-1.12355492039497</v>
      </c>
      <c r="J925" s="17">
        <v>0.28151172297055799</v>
      </c>
      <c r="K925" s="21">
        <v>6</v>
      </c>
      <c r="L925" s="27">
        <v>6819270.1044063298</v>
      </c>
      <c r="M925" s="22">
        <v>5.9901514416480081E-3</v>
      </c>
      <c r="N925" s="21">
        <v>4</v>
      </c>
      <c r="O925" s="27">
        <v>7120738.0709075052</v>
      </c>
      <c r="P925" s="22">
        <v>6.3097441971559894E-3</v>
      </c>
      <c r="Q925" s="21">
        <v>9</v>
      </c>
      <c r="R925" s="27">
        <v>7771275.9183153426</v>
      </c>
      <c r="S925" s="22">
        <v>6.9266381096704278E-3</v>
      </c>
      <c r="T925" s="23">
        <v>6</v>
      </c>
      <c r="U925" s="28">
        <v>7052737.2903823648</v>
      </c>
      <c r="V925" s="24">
        <v>6.1848712044534999E-3</v>
      </c>
      <c r="W925" s="23">
        <v>2</v>
      </c>
      <c r="X925" s="28">
        <v>6138629.9788880516</v>
      </c>
      <c r="Y925" s="24">
        <v>5.2660241502494138E-3</v>
      </c>
      <c r="Z925" s="23">
        <v>8</v>
      </c>
      <c r="AA925" s="28">
        <v>7620408.8355928389</v>
      </c>
      <c r="AB925" s="24">
        <v>6.6349496124486901E-3</v>
      </c>
    </row>
    <row r="926" spans="1:28" x14ac:dyDescent="0.25">
      <c r="A926" t="s">
        <v>6829</v>
      </c>
      <c r="B926" t="s">
        <v>8006</v>
      </c>
      <c r="C926" t="s">
        <v>6831</v>
      </c>
      <c r="D926" s="10" t="s">
        <v>6830</v>
      </c>
      <c r="E926" s="10" t="s">
        <v>3546</v>
      </c>
      <c r="I926" s="17">
        <v>-1.1277709508809399</v>
      </c>
      <c r="J926" s="17">
        <v>5.7188829268933303E-2</v>
      </c>
      <c r="K926" s="21">
        <v>3</v>
      </c>
      <c r="L926" s="27">
        <v>1732813.4184691301</v>
      </c>
      <c r="M926" s="22">
        <v>4.138825071369266E-3</v>
      </c>
      <c r="N926" s="21">
        <v>4</v>
      </c>
      <c r="O926" s="27">
        <v>2057124.5190646548</v>
      </c>
      <c r="P926" s="22">
        <v>4.9564722825105843E-3</v>
      </c>
      <c r="Q926" s="21">
        <v>3</v>
      </c>
      <c r="R926" s="27">
        <v>1830462.638063316</v>
      </c>
      <c r="S926" s="22">
        <v>4.4362539328110994E-3</v>
      </c>
      <c r="T926" s="23">
        <v>2</v>
      </c>
      <c r="U926" s="28">
        <v>1689158.4279964084</v>
      </c>
      <c r="V926" s="24">
        <v>4.0278074139994523E-3</v>
      </c>
      <c r="W926" s="23">
        <v>2</v>
      </c>
      <c r="X926" s="28">
        <v>1833304.8477967733</v>
      </c>
      <c r="Y926" s="24">
        <v>4.2763322131765744E-3</v>
      </c>
      <c r="Z926" s="23">
        <v>1</v>
      </c>
      <c r="AA926" s="28">
        <v>1867426.458769111</v>
      </c>
      <c r="AB926" s="24">
        <v>4.4210784807323057E-3</v>
      </c>
    </row>
    <row r="927" spans="1:28" x14ac:dyDescent="0.25">
      <c r="A927" t="s">
        <v>6537</v>
      </c>
      <c r="B927" t="s">
        <v>7908</v>
      </c>
      <c r="C927" t="s">
        <v>6539</v>
      </c>
      <c r="D927" s="10" t="s">
        <v>6538</v>
      </c>
      <c r="E927" s="10" t="s">
        <v>3546</v>
      </c>
      <c r="H927" t="s">
        <v>41</v>
      </c>
      <c r="I927" s="17">
        <v>-1.1362893157521099</v>
      </c>
      <c r="J927" s="17">
        <v>0.12129564037493</v>
      </c>
      <c r="K927" s="21">
        <v>2</v>
      </c>
      <c r="L927" s="27">
        <v>2402052.9361602399</v>
      </c>
      <c r="M927" s="22">
        <v>4.1290029646336747E-3</v>
      </c>
      <c r="N927" s="21">
        <v>1</v>
      </c>
      <c r="O927" s="27">
        <v>2489022.2584396545</v>
      </c>
      <c r="P927" s="22">
        <v>4.315968172416273E-3</v>
      </c>
      <c r="Q927" s="21">
        <v>2</v>
      </c>
      <c r="R927" s="27">
        <v>2276121.1056831577</v>
      </c>
      <c r="S927" s="22">
        <v>3.9699793351240815E-3</v>
      </c>
      <c r="T927" s="23">
        <v>2</v>
      </c>
      <c r="U927" s="28">
        <v>2000996.2010308267</v>
      </c>
      <c r="V927" s="24">
        <v>3.4338548100182145E-3</v>
      </c>
      <c r="W927" s="23">
        <v>1</v>
      </c>
      <c r="X927" s="28">
        <v>2527953.7533853976</v>
      </c>
      <c r="Y927" s="24">
        <v>4.2436858460230048E-3</v>
      </c>
      <c r="Z927" s="23">
        <v>2</v>
      </c>
      <c r="AA927" s="28">
        <v>2341035.5592292221</v>
      </c>
      <c r="AB927" s="24">
        <v>3.9886881113815409E-3</v>
      </c>
    </row>
    <row r="928" spans="1:28" x14ac:dyDescent="0.25">
      <c r="A928" t="s">
        <v>6772</v>
      </c>
      <c r="B928" t="s">
        <v>7987</v>
      </c>
      <c r="C928" t="s">
        <v>6774</v>
      </c>
      <c r="D928" s="10" t="s">
        <v>6773</v>
      </c>
      <c r="E928" s="10" t="s">
        <v>3546</v>
      </c>
      <c r="I928" s="17">
        <v>-1.13712895737903</v>
      </c>
      <c r="J928" s="17">
        <v>0.52031748115311405</v>
      </c>
      <c r="K928" s="21">
        <v>1</v>
      </c>
      <c r="L928" s="27">
        <v>520179.29010751902</v>
      </c>
      <c r="M928" s="22">
        <v>2.1681940936774747E-3</v>
      </c>
      <c r="N928" s="21">
        <v>2</v>
      </c>
      <c r="O928" s="27">
        <v>416663.7512078837</v>
      </c>
      <c r="P928" s="22">
        <v>1.7519336375929862E-3</v>
      </c>
      <c r="Q928" s="21">
        <v>1</v>
      </c>
      <c r="R928" s="27">
        <v>670034.29496863997</v>
      </c>
      <c r="S928" s="22">
        <v>2.833820849421667E-3</v>
      </c>
      <c r="T928" s="23">
        <v>2</v>
      </c>
      <c r="U928" s="28">
        <v>552876.43726547773</v>
      </c>
      <c r="V928" s="24">
        <v>2.3006270642835511E-3</v>
      </c>
      <c r="W928" s="23">
        <v>1</v>
      </c>
      <c r="X928" s="28">
        <v>475853.62905628752</v>
      </c>
      <c r="Y928" s="24">
        <v>1.9370015405602344E-3</v>
      </c>
      <c r="Z928" s="23">
        <v>1</v>
      </c>
      <c r="AA928" s="28">
        <v>495439.89739661757</v>
      </c>
      <c r="AB928" s="24">
        <v>2.0468948066182935E-3</v>
      </c>
    </row>
    <row r="929" spans="1:28" x14ac:dyDescent="0.25">
      <c r="A929" t="s">
        <v>6754</v>
      </c>
      <c r="B929" t="s">
        <v>7981</v>
      </c>
      <c r="C929" t="s">
        <v>6756</v>
      </c>
      <c r="D929" s="10" t="s">
        <v>6755</v>
      </c>
      <c r="E929" s="10" t="s">
        <v>3546</v>
      </c>
      <c r="I929" s="17">
        <v>-1.1454240320099001</v>
      </c>
      <c r="J929" s="17">
        <v>0.34315375322962099</v>
      </c>
      <c r="K929" s="21">
        <v>16</v>
      </c>
      <c r="L929" s="27">
        <v>32142995.102626599</v>
      </c>
      <c r="M929" s="22">
        <v>4.4273298686001439E-2</v>
      </c>
      <c r="N929" s="21">
        <v>12</v>
      </c>
      <c r="O929" s="27">
        <v>29305366.864653554</v>
      </c>
      <c r="P929" s="22">
        <v>4.0718290282321101E-2</v>
      </c>
      <c r="Q929" s="21">
        <v>16</v>
      </c>
      <c r="R929" s="27">
        <v>38488276.533588178</v>
      </c>
      <c r="S929" s="22">
        <v>5.3791575329795213E-2</v>
      </c>
      <c r="T929" s="23">
        <v>15</v>
      </c>
      <c r="U929" s="28">
        <v>35716548.664221175</v>
      </c>
      <c r="V929" s="24">
        <v>4.911318155936803E-2</v>
      </c>
      <c r="W929" s="23">
        <v>14</v>
      </c>
      <c r="X929" s="28">
        <v>30622745.568161938</v>
      </c>
      <c r="Y929" s="24">
        <v>4.119183566056623E-2</v>
      </c>
      <c r="Z929" s="23">
        <v>14</v>
      </c>
      <c r="AA929" s="28">
        <v>27761043.740625702</v>
      </c>
      <c r="AB929" s="24">
        <v>3.7901009466057456E-2</v>
      </c>
    </row>
    <row r="930" spans="1:28" x14ac:dyDescent="0.25">
      <c r="A930" t="s">
        <v>6891</v>
      </c>
      <c r="B930" t="s">
        <v>8027</v>
      </c>
      <c r="C930" t="s">
        <v>6893</v>
      </c>
      <c r="D930" s="10" t="s">
        <v>6892</v>
      </c>
      <c r="E930" s="10" t="s">
        <v>3546</v>
      </c>
      <c r="I930" s="17">
        <v>-1.1457209588367201</v>
      </c>
      <c r="J930" s="17">
        <v>0.28244351795169298</v>
      </c>
      <c r="K930" s="21">
        <v>24</v>
      </c>
      <c r="L930" s="27">
        <v>24576408.584504999</v>
      </c>
      <c r="M930" s="22">
        <v>2.754499401868658E-2</v>
      </c>
      <c r="N930" s="21">
        <v>17</v>
      </c>
      <c r="O930" s="27">
        <v>21806428.253251269</v>
      </c>
      <c r="P930" s="22">
        <v>2.4654467854951883E-2</v>
      </c>
      <c r="Q930" s="21">
        <v>26</v>
      </c>
      <c r="R930" s="27">
        <v>23265110.128342029</v>
      </c>
      <c r="S930" s="22">
        <v>2.6458159861717057E-2</v>
      </c>
      <c r="T930" s="23">
        <v>19</v>
      </c>
      <c r="U930" s="28">
        <v>23350779.843115915</v>
      </c>
      <c r="V930" s="24">
        <v>2.6127550554838654E-2</v>
      </c>
      <c r="W930" s="23">
        <v>16</v>
      </c>
      <c r="X930" s="28">
        <v>20300435.765830494</v>
      </c>
      <c r="Y930" s="24">
        <v>2.22198491033463E-2</v>
      </c>
      <c r="Z930" s="23">
        <v>20</v>
      </c>
      <c r="AA930" s="28">
        <v>22183923.296839554</v>
      </c>
      <c r="AB930" s="24">
        <v>2.4644616615141474E-2</v>
      </c>
    </row>
    <row r="931" spans="1:28" x14ac:dyDescent="0.25">
      <c r="A931" t="s">
        <v>6555</v>
      </c>
      <c r="B931" t="s">
        <v>7914</v>
      </c>
      <c r="C931" t="s">
        <v>6557</v>
      </c>
      <c r="D931" s="10" t="s">
        <v>6556</v>
      </c>
      <c r="E931" s="10" t="s">
        <v>3546</v>
      </c>
      <c r="H931" t="s">
        <v>41</v>
      </c>
      <c r="I931" s="17">
        <v>-1.15265576009975</v>
      </c>
      <c r="J931" s="17">
        <v>0.322855511399051</v>
      </c>
      <c r="K931" s="21">
        <v>0</v>
      </c>
      <c r="L931" s="27">
        <v>654002.18700228899</v>
      </c>
      <c r="M931" s="22">
        <v>2.8963646529324666E-3</v>
      </c>
      <c r="N931" s="21">
        <v>1</v>
      </c>
      <c r="O931" s="27">
        <v>728706.2089484887</v>
      </c>
      <c r="P931" s="22">
        <v>3.2554673232522077E-3</v>
      </c>
      <c r="Q931" s="21">
        <v>2</v>
      </c>
      <c r="R931" s="27">
        <v>681107.34309149277</v>
      </c>
      <c r="S931" s="22">
        <v>3.0606936343303619E-3</v>
      </c>
      <c r="T931" s="23">
        <v>1</v>
      </c>
      <c r="U931" s="28">
        <v>728309.99426777218</v>
      </c>
      <c r="V931" s="24">
        <v>3.2200554577004365E-3</v>
      </c>
      <c r="W931" s="23">
        <v>0</v>
      </c>
      <c r="X931" s="28">
        <v>521323.2515645345</v>
      </c>
      <c r="Y931" s="24">
        <v>2.2547199857996876E-3</v>
      </c>
      <c r="Z931" s="23">
        <v>1</v>
      </c>
      <c r="AA931" s="28">
        <v>671880.43937077583</v>
      </c>
      <c r="AB931" s="24">
        <v>2.9493443625972764E-3</v>
      </c>
    </row>
    <row r="932" spans="1:28" x14ac:dyDescent="0.25">
      <c r="A932" t="s">
        <v>6641</v>
      </c>
      <c r="B932" t="s">
        <v>7943</v>
      </c>
      <c r="C932" t="s">
        <v>6643</v>
      </c>
      <c r="D932" s="10" t="s">
        <v>6642</v>
      </c>
      <c r="E932" s="10" t="s">
        <v>3546</v>
      </c>
      <c r="I932" s="17">
        <v>-1.1579414681181901</v>
      </c>
      <c r="J932" s="17">
        <v>5.0713236748073903E-2</v>
      </c>
      <c r="K932" s="21">
        <v>2</v>
      </c>
      <c r="L932" s="27">
        <v>845705.01987024106</v>
      </c>
      <c r="M932" s="22">
        <v>3.2103039780609997E-3</v>
      </c>
      <c r="N932" s="21">
        <v>2</v>
      </c>
      <c r="O932" s="27">
        <v>908613.19617563998</v>
      </c>
      <c r="P932" s="22">
        <v>3.4793099644687886E-3</v>
      </c>
      <c r="Q932" s="21">
        <v>1</v>
      </c>
      <c r="R932" s="27">
        <v>813022.42744595534</v>
      </c>
      <c r="S932" s="22">
        <v>3.1315549305638642E-3</v>
      </c>
      <c r="T932" s="23">
        <v>1</v>
      </c>
      <c r="U932" s="28">
        <v>774313.63603107457</v>
      </c>
      <c r="V932" s="24">
        <v>2.9343857140476607E-3</v>
      </c>
      <c r="W932" s="23">
        <v>1</v>
      </c>
      <c r="X932" s="28">
        <v>848665.91741196089</v>
      </c>
      <c r="Y932" s="24">
        <v>3.1461215000424788E-3</v>
      </c>
      <c r="Z932" s="23">
        <v>1</v>
      </c>
      <c r="AA932" s="28">
        <v>783238.04672099056</v>
      </c>
      <c r="AB932" s="24">
        <v>2.9470022797912008E-3</v>
      </c>
    </row>
    <row r="933" spans="1:28" x14ac:dyDescent="0.25">
      <c r="A933" t="s">
        <v>6951</v>
      </c>
      <c r="B933" t="s">
        <v>8048</v>
      </c>
      <c r="C933" t="s">
        <v>6953</v>
      </c>
      <c r="D933" s="10" t="s">
        <v>6952</v>
      </c>
      <c r="E933" s="10" t="s">
        <v>3546</v>
      </c>
      <c r="H933" t="s">
        <v>57</v>
      </c>
      <c r="I933" s="17">
        <v>-1.16095865822246</v>
      </c>
      <c r="J933" s="17">
        <v>0.45492903566485199</v>
      </c>
      <c r="K933" s="21">
        <v>18</v>
      </c>
      <c r="L933" s="27">
        <v>15002405.172471801</v>
      </c>
      <c r="M933" s="22">
        <v>1.684414940340288E-2</v>
      </c>
      <c r="N933" s="21">
        <v>8</v>
      </c>
      <c r="O933" s="27">
        <v>10617212.336672459</v>
      </c>
      <c r="P933" s="22">
        <v>1.2025012318266699E-2</v>
      </c>
      <c r="Q933" s="21">
        <v>17</v>
      </c>
      <c r="R933" s="27">
        <v>14645855.493706627</v>
      </c>
      <c r="S933" s="22">
        <v>1.6685268469961063E-2</v>
      </c>
      <c r="T933" s="23">
        <v>13</v>
      </c>
      <c r="U933" s="28">
        <v>13236132.288465474</v>
      </c>
      <c r="V933" s="24">
        <v>1.48361883181976E-2</v>
      </c>
      <c r="W933" s="23">
        <v>9</v>
      </c>
      <c r="X933" s="28">
        <v>11298421.380441183</v>
      </c>
      <c r="Y933" s="24">
        <v>1.238846343697249E-2</v>
      </c>
      <c r="Z933" s="23">
        <v>12</v>
      </c>
      <c r="AA933" s="28">
        <v>13108059.111049464</v>
      </c>
      <c r="AB933" s="24">
        <v>1.4587673463666902E-2</v>
      </c>
    </row>
    <row r="934" spans="1:28" x14ac:dyDescent="0.25">
      <c r="A934" t="s">
        <v>6508</v>
      </c>
      <c r="B934" t="s">
        <v>7898</v>
      </c>
      <c r="C934" t="s">
        <v>6509</v>
      </c>
      <c r="D934" s="10" t="s">
        <v>6478</v>
      </c>
      <c r="E934" s="10" t="s">
        <v>3546</v>
      </c>
      <c r="H934" t="s">
        <v>57</v>
      </c>
      <c r="I934" s="17">
        <v>-1.1636561456696799</v>
      </c>
      <c r="J934" s="17">
        <v>0.42689745419085801</v>
      </c>
      <c r="K934" s="21">
        <v>10</v>
      </c>
      <c r="L934" s="27">
        <v>11307828.3187535</v>
      </c>
      <c r="M934" s="22">
        <v>2.6415150496287912E-2</v>
      </c>
      <c r="N934" s="21">
        <v>5</v>
      </c>
      <c r="O934" s="27">
        <v>8304747.0784263695</v>
      </c>
      <c r="P934" s="22">
        <v>1.9569833292846939E-2</v>
      </c>
      <c r="Q934" s="21">
        <v>12</v>
      </c>
      <c r="R934" s="27">
        <v>12792622.700584836</v>
      </c>
      <c r="S934" s="22">
        <v>3.0322411281838761E-2</v>
      </c>
      <c r="T934" s="23">
        <v>11</v>
      </c>
      <c r="U934" s="28">
        <v>10231221.94021618</v>
      </c>
      <c r="V934" s="24">
        <v>2.3860219386836912E-2</v>
      </c>
      <c r="W934" s="23">
        <v>8</v>
      </c>
      <c r="X934" s="28">
        <v>10496242.807542907</v>
      </c>
      <c r="Y934" s="24">
        <v>2.3945242120302603E-2</v>
      </c>
      <c r="Z934" s="23">
        <v>8</v>
      </c>
      <c r="AA934" s="28">
        <v>9535016.5788616426</v>
      </c>
      <c r="AB934" s="24">
        <v>2.2077748580654588E-2</v>
      </c>
    </row>
    <row r="935" spans="1:28" x14ac:dyDescent="0.25">
      <c r="A935" t="s">
        <v>6769</v>
      </c>
      <c r="B935" t="s">
        <v>7986</v>
      </c>
      <c r="C935" t="s">
        <v>6771</v>
      </c>
      <c r="D935" s="10" t="s">
        <v>6770</v>
      </c>
      <c r="E935" s="10" t="s">
        <v>3546</v>
      </c>
      <c r="I935" s="17">
        <v>-1.1660556863178499</v>
      </c>
      <c r="J935" s="17">
        <v>0.47557669946111197</v>
      </c>
      <c r="K935" s="21">
        <v>4</v>
      </c>
      <c r="L935" s="27">
        <v>3222025.7338669798</v>
      </c>
      <c r="M935" s="22">
        <v>1.1106924162926812E-2</v>
      </c>
      <c r="N935" s="21">
        <v>3</v>
      </c>
      <c r="O935" s="27">
        <v>2124474.0055827918</v>
      </c>
      <c r="P935" s="22">
        <v>7.3875946102791171E-3</v>
      </c>
      <c r="Q935" s="21">
        <v>3</v>
      </c>
      <c r="R935" s="27">
        <v>2932415.0235079858</v>
      </c>
      <c r="S935" s="22">
        <v>1.025700334930975E-2</v>
      </c>
      <c r="T935" s="23">
        <v>3</v>
      </c>
      <c r="U935" s="28">
        <v>2681195.3048362955</v>
      </c>
      <c r="V935" s="24">
        <v>9.2271226984414947E-3</v>
      </c>
      <c r="W935" s="23">
        <v>2</v>
      </c>
      <c r="X935" s="28">
        <v>2643640.7319679735</v>
      </c>
      <c r="Y935" s="24">
        <v>8.8997686529895034E-3</v>
      </c>
      <c r="Z935" s="23">
        <v>2</v>
      </c>
      <c r="AA935" s="28">
        <v>2426145.9528944879</v>
      </c>
      <c r="AB935" s="24">
        <v>8.2897450332734945E-3</v>
      </c>
    </row>
    <row r="936" spans="1:28" x14ac:dyDescent="0.25">
      <c r="A936" t="s">
        <v>6868</v>
      </c>
      <c r="B936" t="s">
        <v>8019</v>
      </c>
      <c r="C936" t="s">
        <v>6870</v>
      </c>
      <c r="D936" s="10" t="s">
        <v>6869</v>
      </c>
      <c r="E936" s="10" t="s">
        <v>3546</v>
      </c>
      <c r="I936" s="17">
        <v>-1.1675613756349299</v>
      </c>
      <c r="J936" s="17">
        <v>0.16117201040499701</v>
      </c>
      <c r="K936" s="21">
        <v>37</v>
      </c>
      <c r="L936" s="27">
        <v>40393063.299266703</v>
      </c>
      <c r="M936" s="22">
        <v>4.0566692029948517E-2</v>
      </c>
      <c r="N936" s="21">
        <v>25</v>
      </c>
      <c r="O936" s="27">
        <v>43639199.465954296</v>
      </c>
      <c r="P936" s="22">
        <v>4.4210600358416376E-2</v>
      </c>
      <c r="Q936" s="21">
        <v>29</v>
      </c>
      <c r="R936" s="27">
        <v>39053297.96957048</v>
      </c>
      <c r="S936" s="22">
        <v>3.9797040736875601E-2</v>
      </c>
      <c r="T936" s="23">
        <v>23</v>
      </c>
      <c r="U936" s="28">
        <v>40931874.794212401</v>
      </c>
      <c r="V936" s="24">
        <v>4.1039067646700282E-2</v>
      </c>
      <c r="W936" s="23">
        <v>23</v>
      </c>
      <c r="X936" s="28">
        <v>35650850.013246827</v>
      </c>
      <c r="Y936" s="24">
        <v>3.4965856827410331E-2</v>
      </c>
      <c r="Z936" s="23">
        <v>23</v>
      </c>
      <c r="AA936" s="28">
        <v>37223090.484461784</v>
      </c>
      <c r="AB936" s="24">
        <v>3.70539644576438E-2</v>
      </c>
    </row>
    <row r="937" spans="1:28" x14ac:dyDescent="0.25">
      <c r="A937" t="s">
        <v>6496</v>
      </c>
      <c r="B937" t="s">
        <v>7893</v>
      </c>
      <c r="C937" t="s">
        <v>6497</v>
      </c>
      <c r="D937" s="10" t="s">
        <v>5350</v>
      </c>
      <c r="E937" s="10" t="s">
        <v>3546</v>
      </c>
      <c r="H937" t="s">
        <v>57</v>
      </c>
      <c r="I937" s="17">
        <v>-1.16867527973859</v>
      </c>
      <c r="J937" s="17">
        <v>0.31415496623466799</v>
      </c>
      <c r="K937" s="21">
        <v>19</v>
      </c>
      <c r="L937" s="27">
        <v>12106326.4403883</v>
      </c>
      <c r="M937" s="22">
        <v>2.1386598117957057E-2</v>
      </c>
      <c r="N937" s="21">
        <v>8</v>
      </c>
      <c r="O937" s="27">
        <v>10701201.499369962</v>
      </c>
      <c r="P937" s="22">
        <v>1.9069912592128556E-2</v>
      </c>
      <c r="Q937" s="21">
        <v>15</v>
      </c>
      <c r="R937" s="27">
        <v>13220103.920313476</v>
      </c>
      <c r="S937" s="22">
        <v>2.3697059393233862E-2</v>
      </c>
      <c r="T937" s="23">
        <v>11</v>
      </c>
      <c r="U937" s="28">
        <v>12495420.900172086</v>
      </c>
      <c r="V937" s="24">
        <v>2.2037040085272765E-2</v>
      </c>
      <c r="W937" s="23">
        <v>9</v>
      </c>
      <c r="X937" s="28">
        <v>9510107.4091688953</v>
      </c>
      <c r="Y937" s="24">
        <v>1.6406888672963738E-2</v>
      </c>
      <c r="Z937" s="23">
        <v>9</v>
      </c>
      <c r="AA937" s="28">
        <v>11209016.660625704</v>
      </c>
      <c r="AB937" s="24">
        <v>1.9627107024619839E-2</v>
      </c>
    </row>
    <row r="938" spans="1:28" x14ac:dyDescent="0.25">
      <c r="A938" t="s">
        <v>6871</v>
      </c>
      <c r="B938" t="s">
        <v>8020</v>
      </c>
      <c r="C938" t="s">
        <v>6873</v>
      </c>
      <c r="D938" s="10" t="s">
        <v>6872</v>
      </c>
      <c r="E938" s="10" t="s">
        <v>3546</v>
      </c>
      <c r="I938" s="17">
        <v>-1.1690695741897601</v>
      </c>
      <c r="J938" s="17">
        <v>0.19936971806606099</v>
      </c>
      <c r="K938" s="21">
        <v>5</v>
      </c>
      <c r="L938" s="27">
        <v>7517102.0514431205</v>
      </c>
      <c r="M938" s="22">
        <v>1.8726085894943657E-2</v>
      </c>
      <c r="N938" s="21">
        <v>4</v>
      </c>
      <c r="O938" s="27">
        <v>8921962.3314842731</v>
      </c>
      <c r="P938" s="22">
        <v>2.242042199713383E-2</v>
      </c>
      <c r="Q938" s="21">
        <v>4</v>
      </c>
      <c r="R938" s="27">
        <v>6613955.8166135736</v>
      </c>
      <c r="S938" s="22">
        <v>1.6718146012411058E-2</v>
      </c>
      <c r="T938" s="23">
        <v>3</v>
      </c>
      <c r="U938" s="28">
        <v>6877581.8428856106</v>
      </c>
      <c r="V938" s="24">
        <v>1.7104302778814938E-2</v>
      </c>
      <c r="W938" s="23">
        <v>4</v>
      </c>
      <c r="X938" s="28">
        <v>7345888.416484681</v>
      </c>
      <c r="Y938" s="24">
        <v>1.787114477288821E-2</v>
      </c>
      <c r="Z938" s="23">
        <v>5</v>
      </c>
      <c r="AA938" s="28">
        <v>7151901.0300583402</v>
      </c>
      <c r="AB938" s="24">
        <v>1.7659463624351654E-2</v>
      </c>
    </row>
    <row r="939" spans="1:28" x14ac:dyDescent="0.25">
      <c r="A939" t="s">
        <v>6459</v>
      </c>
      <c r="B939" t="s">
        <v>7880</v>
      </c>
      <c r="C939" t="s">
        <v>6461</v>
      </c>
      <c r="D939" s="10" t="s">
        <v>6460</v>
      </c>
      <c r="E939" s="10" t="s">
        <v>3546</v>
      </c>
      <c r="H939" t="s">
        <v>7</v>
      </c>
      <c r="I939" s="17">
        <v>-1.16967313263507</v>
      </c>
      <c r="J939" s="17">
        <v>0.36452390569961901</v>
      </c>
      <c r="K939" s="21">
        <v>13</v>
      </c>
      <c r="L939" s="27">
        <v>16759888.104717501</v>
      </c>
      <c r="M939" s="22">
        <v>2.0090743670518458E-2</v>
      </c>
      <c r="N939" s="21">
        <v>12</v>
      </c>
      <c r="O939" s="27">
        <v>12919651.932878846</v>
      </c>
      <c r="P939" s="22">
        <v>1.5622932049830934E-2</v>
      </c>
      <c r="Q939" s="21">
        <v>14</v>
      </c>
      <c r="R939" s="27">
        <v>16404685.31708888</v>
      </c>
      <c r="S939" s="22">
        <v>1.995368268542818E-2</v>
      </c>
      <c r="T939" s="23">
        <v>12</v>
      </c>
      <c r="U939" s="28">
        <v>15448298.413228538</v>
      </c>
      <c r="V939" s="24">
        <v>1.8487517227098779E-2</v>
      </c>
      <c r="W939" s="23">
        <v>8</v>
      </c>
      <c r="X939" s="28">
        <v>12701303.552674403</v>
      </c>
      <c r="Y939" s="24">
        <v>1.4869099730511749E-2</v>
      </c>
      <c r="Z939" s="23">
        <v>12</v>
      </c>
      <c r="AA939" s="28">
        <v>14529139.610224692</v>
      </c>
      <c r="AB939" s="24">
        <v>1.7263316884105998E-2</v>
      </c>
    </row>
    <row r="940" spans="1:28" x14ac:dyDescent="0.25">
      <c r="A940" t="s">
        <v>6703</v>
      </c>
      <c r="B940" t="s">
        <v>7964</v>
      </c>
      <c r="C940" t="s">
        <v>6705</v>
      </c>
      <c r="D940" s="10" t="s">
        <v>6704</v>
      </c>
      <c r="E940" s="10" t="s">
        <v>3546</v>
      </c>
      <c r="I940" s="17">
        <v>-1.17389699315624</v>
      </c>
      <c r="J940" s="17">
        <v>0.160718718255562</v>
      </c>
      <c r="K940" s="21">
        <v>2</v>
      </c>
      <c r="L940" s="27">
        <v>1049437.8893084901</v>
      </c>
      <c r="M940" s="22">
        <v>3.2646709084072816E-3</v>
      </c>
      <c r="N940" s="21">
        <v>2</v>
      </c>
      <c r="O940" s="27">
        <v>1253440.5083712197</v>
      </c>
      <c r="P940" s="22">
        <v>3.9334463188415662E-3</v>
      </c>
      <c r="Q940" s="21">
        <v>2</v>
      </c>
      <c r="R940" s="27">
        <v>1021178.313316372</v>
      </c>
      <c r="S940" s="22">
        <v>3.2234023039326345E-3</v>
      </c>
      <c r="T940" s="23">
        <v>1</v>
      </c>
      <c r="U940" s="28">
        <v>1005043.9661139387</v>
      </c>
      <c r="V940" s="24">
        <v>3.1213378118948461E-3</v>
      </c>
      <c r="W940" s="23">
        <v>1</v>
      </c>
      <c r="X940" s="28">
        <v>951725.77884848439</v>
      </c>
      <c r="Y940" s="24">
        <v>2.8913853956586033E-3</v>
      </c>
      <c r="Z940" s="23">
        <v>1</v>
      </c>
      <c r="AA940" s="28">
        <v>1099254.5141602834</v>
      </c>
      <c r="AB940" s="24">
        <v>3.3895369653286797E-3</v>
      </c>
    </row>
    <row r="941" spans="1:28" x14ac:dyDescent="0.25">
      <c r="A941" t="s">
        <v>6947</v>
      </c>
      <c r="B941" t="s">
        <v>8047</v>
      </c>
      <c r="C941" t="s">
        <v>6950</v>
      </c>
      <c r="D941" s="10" t="s">
        <v>6948</v>
      </c>
      <c r="E941" s="10" t="s">
        <v>3546</v>
      </c>
      <c r="G941" t="s">
        <v>6949</v>
      </c>
      <c r="H941" t="s">
        <v>57</v>
      </c>
      <c r="I941" s="17">
        <v>-1.1758849497167001</v>
      </c>
      <c r="J941" s="17">
        <v>0.45403787934682499</v>
      </c>
      <c r="K941" s="21">
        <v>16</v>
      </c>
      <c r="L941" s="27">
        <v>21359472.4911182</v>
      </c>
      <c r="M941" s="22">
        <v>3.7628636576086755E-2</v>
      </c>
      <c r="N941" s="21">
        <v>14</v>
      </c>
      <c r="O941" s="27">
        <v>15547710.089790571</v>
      </c>
      <c r="P941" s="22">
        <v>2.7630021703261783E-2</v>
      </c>
      <c r="Q941" s="21">
        <v>17</v>
      </c>
      <c r="R941" s="27">
        <v>23984918.572569098</v>
      </c>
      <c r="S941" s="22">
        <v>4.2874243263470647E-2</v>
      </c>
      <c r="T941" s="23">
        <v>15</v>
      </c>
      <c r="U941" s="28">
        <v>20413398.010712124</v>
      </c>
      <c r="V941" s="24">
        <v>3.5901806898759749E-2</v>
      </c>
      <c r="W941" s="23">
        <v>13</v>
      </c>
      <c r="X941" s="28">
        <v>16009289.537440315</v>
      </c>
      <c r="Y941" s="24">
        <v>2.7543016343070281E-2</v>
      </c>
      <c r="Z941" s="23">
        <v>13</v>
      </c>
      <c r="AA941" s="28">
        <v>19513496.525379758</v>
      </c>
      <c r="AB941" s="24">
        <v>3.4073951644489772E-2</v>
      </c>
    </row>
    <row r="942" spans="1:28" x14ac:dyDescent="0.25">
      <c r="A942" t="s">
        <v>6826</v>
      </c>
      <c r="B942" t="s">
        <v>8005</v>
      </c>
      <c r="C942" t="s">
        <v>6828</v>
      </c>
      <c r="D942" s="10" t="s">
        <v>6827</v>
      </c>
      <c r="E942" s="10" t="s">
        <v>3546</v>
      </c>
      <c r="I942" s="17">
        <v>-1.18914934301388</v>
      </c>
      <c r="J942" s="17">
        <v>4.1529794851844999E-2</v>
      </c>
      <c r="K942" s="21">
        <v>3</v>
      </c>
      <c r="L942" s="27">
        <v>1143558.6284731801</v>
      </c>
      <c r="M942" s="22">
        <v>5.6098547027757439E-3</v>
      </c>
      <c r="N942" s="21">
        <v>2</v>
      </c>
      <c r="O942" s="27">
        <v>1146527.3708671425</v>
      </c>
      <c r="P942" s="22">
        <v>5.6736747710077204E-3</v>
      </c>
      <c r="Q942" s="21">
        <v>2</v>
      </c>
      <c r="R942" s="27">
        <v>1246898.1831534852</v>
      </c>
      <c r="S942" s="22">
        <v>6.2066096127654019E-3</v>
      </c>
      <c r="T942" s="23">
        <v>2</v>
      </c>
      <c r="U942" s="28">
        <v>1073501.6286136478</v>
      </c>
      <c r="V942" s="24">
        <v>5.2573746804719405E-3</v>
      </c>
      <c r="W942" s="23">
        <v>1</v>
      </c>
      <c r="X942" s="28">
        <v>1057020.6406386746</v>
      </c>
      <c r="Y942" s="24">
        <v>5.0639350502571373E-3</v>
      </c>
      <c r="Z942" s="23">
        <v>2</v>
      </c>
      <c r="AA942" s="28">
        <v>1086522.036860391</v>
      </c>
      <c r="AB942" s="24">
        <v>5.2831283861299152E-3</v>
      </c>
    </row>
    <row r="943" spans="1:28" x14ac:dyDescent="0.25">
      <c r="A943" t="s">
        <v>6894</v>
      </c>
      <c r="B943" t="s">
        <v>8028</v>
      </c>
      <c r="C943" t="s">
        <v>6896</v>
      </c>
      <c r="D943" s="10" t="s">
        <v>6895</v>
      </c>
      <c r="E943" s="10" t="s">
        <v>3546</v>
      </c>
      <c r="I943" s="17">
        <v>-1.18991664475898</v>
      </c>
      <c r="J943" s="17">
        <v>0.285372486504536</v>
      </c>
      <c r="K943" s="21">
        <v>17</v>
      </c>
      <c r="L943" s="27">
        <v>38909859.031316899</v>
      </c>
      <c r="M943" s="22">
        <v>0.13059982248542831</v>
      </c>
      <c r="N943" s="21">
        <v>10</v>
      </c>
      <c r="O943" s="27">
        <v>29928675.456973314</v>
      </c>
      <c r="P943" s="22">
        <v>0.10133448356176705</v>
      </c>
      <c r="Q943" s="21">
        <v>15</v>
      </c>
      <c r="R943" s="27">
        <v>40844036.72044865</v>
      </c>
      <c r="S943" s="22">
        <v>0.13910471375491254</v>
      </c>
      <c r="T943" s="23">
        <v>17</v>
      </c>
      <c r="U943" s="28">
        <v>34603554.302409425</v>
      </c>
      <c r="V943" s="24">
        <v>0.11595158312472323</v>
      </c>
      <c r="W943" s="23">
        <v>17</v>
      </c>
      <c r="X943" s="28">
        <v>32645128.429103348</v>
      </c>
      <c r="Y943" s="24">
        <v>0.10700714861911835</v>
      </c>
      <c r="Z943" s="23">
        <v>16</v>
      </c>
      <c r="AA943" s="28">
        <v>32793394.089720663</v>
      </c>
      <c r="AB943" s="24">
        <v>0.10910100345776029</v>
      </c>
    </row>
    <row r="944" spans="1:28" x14ac:dyDescent="0.25">
      <c r="A944" t="s">
        <v>6865</v>
      </c>
      <c r="B944" t="s">
        <v>8018</v>
      </c>
      <c r="C944" t="s">
        <v>6867</v>
      </c>
      <c r="D944" s="10" t="s">
        <v>6866</v>
      </c>
      <c r="E944" s="10" t="s">
        <v>3546</v>
      </c>
      <c r="I944" s="17">
        <v>-1.1909309652550799</v>
      </c>
      <c r="J944" s="17">
        <v>0.15524618167990201</v>
      </c>
      <c r="K944" s="21">
        <v>10</v>
      </c>
      <c r="L944" s="27">
        <v>33255427.726055998</v>
      </c>
      <c r="M944" s="22">
        <v>0.10820392056267507</v>
      </c>
      <c r="N944" s="21">
        <v>7</v>
      </c>
      <c r="O944" s="27">
        <v>28746924.323174998</v>
      </c>
      <c r="P944" s="22">
        <v>9.435364386684704E-2</v>
      </c>
      <c r="Q944" s="21">
        <v>10</v>
      </c>
      <c r="R944" s="27">
        <v>34621344.238823853</v>
      </c>
      <c r="S944" s="22">
        <v>0.11430221454504498</v>
      </c>
      <c r="T944" s="23">
        <v>10</v>
      </c>
      <c r="U944" s="28">
        <v>30164229.311301298</v>
      </c>
      <c r="V944" s="24">
        <v>9.7981872808805145E-2</v>
      </c>
      <c r="W944" s="23">
        <v>8</v>
      </c>
      <c r="X944" s="28">
        <v>28646600.405863311</v>
      </c>
      <c r="Y944" s="24">
        <v>9.10259101197195E-2</v>
      </c>
      <c r="Z944" s="23">
        <v>10</v>
      </c>
      <c r="AA944" s="28">
        <v>29128189.626326229</v>
      </c>
      <c r="AB944" s="24">
        <v>9.3940615147239087E-2</v>
      </c>
    </row>
    <row r="945" spans="1:28" x14ac:dyDescent="0.25">
      <c r="A945" t="s">
        <v>6480</v>
      </c>
      <c r="B945" t="s">
        <v>7887</v>
      </c>
      <c r="C945" t="s">
        <v>6482</v>
      </c>
      <c r="D945" s="10" t="s">
        <v>6481</v>
      </c>
      <c r="E945" s="10" t="s">
        <v>3546</v>
      </c>
      <c r="H945" t="s">
        <v>57</v>
      </c>
      <c r="I945" s="17">
        <v>-1.1910386401208</v>
      </c>
      <c r="J945" s="17">
        <v>3.2651277605929799E-2</v>
      </c>
      <c r="K945" s="21">
        <v>19</v>
      </c>
      <c r="L945" s="27">
        <v>11812617.6909164</v>
      </c>
      <c r="M945" s="22">
        <v>1.6556604783776876E-2</v>
      </c>
      <c r="N945" s="21">
        <v>13</v>
      </c>
      <c r="O945" s="27">
        <v>12459436.923724508</v>
      </c>
      <c r="P945" s="22">
        <v>1.761612493799624E-2</v>
      </c>
      <c r="Q945" s="21">
        <v>20</v>
      </c>
      <c r="R945" s="27">
        <v>12353263.825521143</v>
      </c>
      <c r="S945" s="22">
        <v>1.7568598175261827E-2</v>
      </c>
      <c r="T945" s="23">
        <v>14</v>
      </c>
      <c r="U945" s="28">
        <v>11084236.31687844</v>
      </c>
      <c r="V945" s="24">
        <v>1.5509719863471747E-2</v>
      </c>
      <c r="W945" s="23">
        <v>8</v>
      </c>
      <c r="X945" s="28">
        <v>10856090.600693358</v>
      </c>
      <c r="Y945" s="24">
        <v>1.4859701095714072E-2</v>
      </c>
      <c r="Z945" s="23">
        <v>12</v>
      </c>
      <c r="AA945" s="28">
        <v>11310695.071466489</v>
      </c>
      <c r="AB945" s="24">
        <v>1.5713534213283906E-2</v>
      </c>
    </row>
    <row r="946" spans="1:28" x14ac:dyDescent="0.25">
      <c r="A946" t="s">
        <v>6447</v>
      </c>
      <c r="B946" t="s">
        <v>7876</v>
      </c>
      <c r="C946" t="s">
        <v>6449</v>
      </c>
      <c r="D946" s="10" t="s">
        <v>6448</v>
      </c>
      <c r="E946" s="10" t="s">
        <v>3546</v>
      </c>
      <c r="H946" t="s">
        <v>553</v>
      </c>
      <c r="I946" s="17">
        <v>-1.19216645392785</v>
      </c>
      <c r="J946" s="17">
        <v>0.282566431902533</v>
      </c>
      <c r="K946" s="21">
        <v>2</v>
      </c>
      <c r="L946" s="27">
        <v>519467.96237271198</v>
      </c>
      <c r="M946" s="22">
        <v>1.0384954909960417E-3</v>
      </c>
      <c r="N946" s="21">
        <v>1</v>
      </c>
      <c r="O946" s="27">
        <v>442239.30272188969</v>
      </c>
      <c r="P946" s="22">
        <v>8.9184630260732316E-4</v>
      </c>
      <c r="Q946" s="21">
        <v>2</v>
      </c>
      <c r="R946" s="27">
        <v>632147.95741199015</v>
      </c>
      <c r="S946" s="22">
        <v>1.2823153641417402E-3</v>
      </c>
      <c r="T946" s="23">
        <v>1</v>
      </c>
      <c r="U946" s="28">
        <v>525207.32439877396</v>
      </c>
      <c r="V946" s="24">
        <v>1.0482132976454093E-3</v>
      </c>
      <c r="W946" s="23">
        <v>0</v>
      </c>
      <c r="X946" s="28">
        <v>450479.01370474661</v>
      </c>
      <c r="Y946" s="24">
        <v>8.7949199634147421E-4</v>
      </c>
      <c r="Z946" s="23">
        <v>2</v>
      </c>
      <c r="AA946" s="28">
        <v>466685.77212780813</v>
      </c>
      <c r="AB946" s="24">
        <v>9.2476174442215106E-4</v>
      </c>
    </row>
    <row r="947" spans="1:28" x14ac:dyDescent="0.25">
      <c r="A947" t="s">
        <v>6745</v>
      </c>
      <c r="B947" t="s">
        <v>7978</v>
      </c>
      <c r="C947" t="s">
        <v>6747</v>
      </c>
      <c r="D947" s="10" t="s">
        <v>6746</v>
      </c>
      <c r="E947" s="10" t="s">
        <v>3546</v>
      </c>
      <c r="I947" s="17">
        <v>-1.1934922934185099</v>
      </c>
      <c r="J947" s="17">
        <v>0.32573464446252698</v>
      </c>
      <c r="K947" s="21">
        <v>8</v>
      </c>
      <c r="L947" s="27">
        <v>11917692.9245992</v>
      </c>
      <c r="M947" s="22">
        <v>3.2901579032213205E-2</v>
      </c>
      <c r="N947" s="21">
        <v>5</v>
      </c>
      <c r="O947" s="27">
        <v>8748359.1186145004</v>
      </c>
      <c r="P947" s="22">
        <v>2.4363405027883377E-2</v>
      </c>
      <c r="Q947" s="21">
        <v>8</v>
      </c>
      <c r="R947" s="27">
        <v>11931859.467301095</v>
      </c>
      <c r="S947" s="22">
        <v>3.3424347636668066E-2</v>
      </c>
      <c r="T947" s="23">
        <v>9</v>
      </c>
      <c r="U947" s="28">
        <v>10536274.296352921</v>
      </c>
      <c r="V947" s="24">
        <v>2.9039200970040941E-2</v>
      </c>
      <c r="W947" s="23">
        <v>5</v>
      </c>
      <c r="X947" s="28">
        <v>9563193.3187850621</v>
      </c>
      <c r="Y947" s="24">
        <v>2.5783327577170556E-2</v>
      </c>
      <c r="Z947" s="23">
        <v>8</v>
      </c>
      <c r="AA947" s="28">
        <v>9564266.9345717933</v>
      </c>
      <c r="AB947" s="24">
        <v>2.617192617350908E-2</v>
      </c>
    </row>
    <row r="948" spans="1:28" x14ac:dyDescent="0.25">
      <c r="A948" t="s">
        <v>6933</v>
      </c>
      <c r="B948" t="s">
        <v>8042</v>
      </c>
      <c r="C948" t="s">
        <v>6935</v>
      </c>
      <c r="D948" s="10" t="s">
        <v>6934</v>
      </c>
      <c r="E948" s="10" t="s">
        <v>3546</v>
      </c>
      <c r="I948" s="17">
        <v>-1.1943701466374099</v>
      </c>
      <c r="J948" s="17">
        <v>0.42657607955884602</v>
      </c>
      <c r="K948" s="21">
        <v>1</v>
      </c>
      <c r="L948" s="27">
        <v>304203.54012876702</v>
      </c>
      <c r="M948" s="22">
        <v>5.5907660495729046E-4</v>
      </c>
      <c r="N948" s="21">
        <v>1</v>
      </c>
      <c r="O948" s="27">
        <v>358928.30922693585</v>
      </c>
      <c r="P948" s="22">
        <v>6.6542881167920846E-4</v>
      </c>
      <c r="Q948" s="21">
        <v>1</v>
      </c>
      <c r="R948" s="27">
        <v>299060.47401521646</v>
      </c>
      <c r="S948" s="22">
        <v>5.5769446270053757E-4</v>
      </c>
      <c r="T948" s="23">
        <v>0</v>
      </c>
      <c r="U948" s="28">
        <v>273844.2235742847</v>
      </c>
      <c r="V948" s="24">
        <v>5.0243939447883754E-4</v>
      </c>
      <c r="W948" s="23">
        <v>0</v>
      </c>
      <c r="X948" s="28">
        <v>447505.07986913284</v>
      </c>
      <c r="Y948" s="24">
        <v>8.0318669558479029E-4</v>
      </c>
      <c r="Z948" s="23">
        <v>0</v>
      </c>
      <c r="AA948" s="28">
        <v>162952.07682841606</v>
      </c>
      <c r="AB948" s="24">
        <v>2.9684272040041523E-4</v>
      </c>
    </row>
    <row r="949" spans="1:28" x14ac:dyDescent="0.25">
      <c r="A949" t="s">
        <v>6501</v>
      </c>
      <c r="B949" t="s">
        <v>7895</v>
      </c>
      <c r="C949" t="s">
        <v>6502</v>
      </c>
      <c r="D949" s="10" t="s">
        <v>4413</v>
      </c>
      <c r="E949" s="10" t="s">
        <v>3546</v>
      </c>
      <c r="H949" t="s">
        <v>57</v>
      </c>
      <c r="I949" s="17">
        <v>-1.1963623192400701</v>
      </c>
      <c r="J949" s="17">
        <v>0.33698118751302097</v>
      </c>
      <c r="K949" s="21">
        <v>5</v>
      </c>
      <c r="L949" s="27">
        <v>2774277.1114296</v>
      </c>
      <c r="M949" s="22">
        <v>5.4271118090711105E-3</v>
      </c>
      <c r="N949" s="21">
        <v>2</v>
      </c>
      <c r="O949" s="27">
        <v>2080053.8656917606</v>
      </c>
      <c r="P949" s="22">
        <v>4.1046898200893731E-3</v>
      </c>
      <c r="Q949" s="21">
        <v>5</v>
      </c>
      <c r="R949" s="27">
        <v>2932828.9823288908</v>
      </c>
      <c r="S949" s="22">
        <v>5.8215137715703158E-3</v>
      </c>
      <c r="T949" s="23">
        <v>4</v>
      </c>
      <c r="U949" s="28">
        <v>2627987.4061398837</v>
      </c>
      <c r="V949" s="24">
        <v>5.1323380420985193E-3</v>
      </c>
      <c r="W949" s="23">
        <v>1</v>
      </c>
      <c r="X949" s="28">
        <v>2240199.6354826302</v>
      </c>
      <c r="Y949" s="24">
        <v>4.279737511756569E-3</v>
      </c>
      <c r="Z949" s="23">
        <v>1</v>
      </c>
      <c r="AA949" s="28">
        <v>2183142.224557274</v>
      </c>
      <c r="AB949" s="24">
        <v>4.2331183167808881E-3</v>
      </c>
    </row>
    <row r="950" spans="1:28" x14ac:dyDescent="0.25">
      <c r="A950" t="s">
        <v>6919</v>
      </c>
      <c r="B950" t="s">
        <v>8037</v>
      </c>
      <c r="C950" t="s">
        <v>6920</v>
      </c>
      <c r="D950" s="10" t="s">
        <v>5250</v>
      </c>
      <c r="E950" s="10" t="s">
        <v>3546</v>
      </c>
      <c r="H950" t="s">
        <v>57</v>
      </c>
      <c r="I950" s="17">
        <v>-1.1990180554218699</v>
      </c>
      <c r="J950" s="17">
        <v>0.40357553293812098</v>
      </c>
      <c r="K950" s="21">
        <v>12</v>
      </c>
      <c r="L950" s="27">
        <v>10286665.198344501</v>
      </c>
      <c r="M950" s="22">
        <v>2.1161645820839931E-2</v>
      </c>
      <c r="N950" s="21">
        <v>5</v>
      </c>
      <c r="O950" s="27">
        <v>7205881.370758798</v>
      </c>
      <c r="P950" s="22">
        <v>1.4953703901039846E-2</v>
      </c>
      <c r="Q950" s="21">
        <v>13</v>
      </c>
      <c r="R950" s="27">
        <v>11251031.359794324</v>
      </c>
      <c r="S950" s="22">
        <v>2.3485371329534255E-2</v>
      </c>
      <c r="T950" s="23">
        <v>7</v>
      </c>
      <c r="U950" s="28">
        <v>9604068.2502662968</v>
      </c>
      <c r="V950" s="24">
        <v>1.9724368959102644E-2</v>
      </c>
      <c r="W950" s="23">
        <v>6</v>
      </c>
      <c r="X950" s="28">
        <v>8339593.2460312843</v>
      </c>
      <c r="Y950" s="24">
        <v>1.6754488984072377E-2</v>
      </c>
      <c r="Z950" s="23">
        <v>7</v>
      </c>
      <c r="AA950" s="28">
        <v>8042688.3189273225</v>
      </c>
      <c r="AB950" s="24">
        <v>1.639968561779347E-2</v>
      </c>
    </row>
    <row r="951" spans="1:28" x14ac:dyDescent="0.25">
      <c r="A951" t="s">
        <v>6899</v>
      </c>
      <c r="B951" t="s">
        <v>8030</v>
      </c>
      <c r="C951" t="s">
        <v>6901</v>
      </c>
      <c r="D951" s="10" t="s">
        <v>6900</v>
      </c>
      <c r="E951" s="10" t="s">
        <v>3546</v>
      </c>
      <c r="I951" s="17">
        <v>-1.2004143151250699</v>
      </c>
      <c r="J951" s="17">
        <v>0.32621178091944802</v>
      </c>
      <c r="K951" s="21">
        <v>3</v>
      </c>
      <c r="L951" s="27">
        <v>1097768.73797269</v>
      </c>
      <c r="M951" s="22">
        <v>4.698520441779425E-3</v>
      </c>
      <c r="N951" s="21">
        <v>3</v>
      </c>
      <c r="O951" s="27">
        <v>942250.43208624341</v>
      </c>
      <c r="P951" s="22">
        <v>4.0682107164030038E-3</v>
      </c>
      <c r="Q951" s="21">
        <v>2</v>
      </c>
      <c r="R951" s="27">
        <v>820114.8409915478</v>
      </c>
      <c r="S951" s="22">
        <v>3.5616824189524275E-3</v>
      </c>
      <c r="T951" s="23">
        <v>2</v>
      </c>
      <c r="U951" s="28">
        <v>955911.23231579398</v>
      </c>
      <c r="V951" s="24">
        <v>4.0845185264218363E-3</v>
      </c>
      <c r="W951" s="23">
        <v>0</v>
      </c>
      <c r="X951" s="28">
        <v>921691.48050645192</v>
      </c>
      <c r="Y951" s="24">
        <v>3.8525414136337654E-3</v>
      </c>
      <c r="Z951" s="23">
        <v>0</v>
      </c>
      <c r="AA951" s="28">
        <v>721610.77869464504</v>
      </c>
      <c r="AB951" s="24">
        <v>3.0613481415476089E-3</v>
      </c>
    </row>
    <row r="952" spans="1:28" x14ac:dyDescent="0.25">
      <c r="A952" t="s">
        <v>6546</v>
      </c>
      <c r="B952" t="s">
        <v>7911</v>
      </c>
      <c r="C952" t="s">
        <v>6548</v>
      </c>
      <c r="D952" s="10" t="s">
        <v>6547</v>
      </c>
      <c r="E952" s="10" t="s">
        <v>3546</v>
      </c>
      <c r="H952" t="s">
        <v>41</v>
      </c>
      <c r="I952" s="17">
        <v>-1.2032958905370399</v>
      </c>
      <c r="J952" s="17">
        <v>0.22761712538571399</v>
      </c>
      <c r="K952" s="21">
        <v>10</v>
      </c>
      <c r="L952" s="27">
        <v>3312524.9482383402</v>
      </c>
      <c r="M952" s="22">
        <v>1.4312296693493262E-3</v>
      </c>
      <c r="N952" s="21">
        <v>5</v>
      </c>
      <c r="O952" s="27">
        <v>4526753.7105000447</v>
      </c>
      <c r="P952" s="22">
        <v>1.972985399425674E-3</v>
      </c>
      <c r="Q952" s="21">
        <v>10</v>
      </c>
      <c r="R952" s="27">
        <v>3270827.379065745</v>
      </c>
      <c r="S952" s="22">
        <v>1.4339633674976115E-3</v>
      </c>
      <c r="T952" s="23">
        <v>2</v>
      </c>
      <c r="U952" s="28">
        <v>3481250.410742322</v>
      </c>
      <c r="V952" s="24">
        <v>1.5016145929498087E-3</v>
      </c>
      <c r="W952" s="23">
        <v>0</v>
      </c>
      <c r="X952" s="28">
        <v>2979456.0378972334</v>
      </c>
      <c r="Y952" s="24">
        <v>1.2571833928837069E-3</v>
      </c>
      <c r="Z952" s="23">
        <v>1</v>
      </c>
      <c r="AA952" s="28">
        <v>3460144.7596515617</v>
      </c>
      <c r="AB952" s="24">
        <v>1.4818487864511328E-3</v>
      </c>
    </row>
    <row r="953" spans="1:28" x14ac:dyDescent="0.25">
      <c r="A953" t="s">
        <v>6960</v>
      </c>
      <c r="B953" t="s">
        <v>8051</v>
      </c>
      <c r="C953" t="s">
        <v>6962</v>
      </c>
      <c r="D953" s="10" t="s">
        <v>6961</v>
      </c>
      <c r="E953" s="10" t="s">
        <v>3546</v>
      </c>
      <c r="H953" t="s">
        <v>57</v>
      </c>
      <c r="I953" s="17">
        <v>-1.20390397453999</v>
      </c>
      <c r="J953" s="17">
        <v>0.50781973575804495</v>
      </c>
      <c r="K953" s="21">
        <v>22</v>
      </c>
      <c r="L953" s="27">
        <v>28751523.755239598</v>
      </c>
      <c r="M953" s="22">
        <v>5.7120547817166731E-2</v>
      </c>
      <c r="N953" s="21">
        <v>10</v>
      </c>
      <c r="O953" s="27">
        <v>17396030.538395993</v>
      </c>
      <c r="P953" s="22">
        <v>3.4863299884493403E-2</v>
      </c>
      <c r="Q953" s="21">
        <v>18</v>
      </c>
      <c r="R953" s="27">
        <v>29398396.544910923</v>
      </c>
      <c r="S953" s="22">
        <v>5.9263241349949411E-2</v>
      </c>
      <c r="T953" s="23">
        <v>14</v>
      </c>
      <c r="U953" s="28">
        <v>24614724.911762767</v>
      </c>
      <c r="V953" s="24">
        <v>4.8820197057864022E-2</v>
      </c>
      <c r="W953" s="23">
        <v>8</v>
      </c>
      <c r="X953" s="28">
        <v>20208445.545550879</v>
      </c>
      <c r="Y953" s="24">
        <v>3.9208108127117169E-2</v>
      </c>
      <c r="Z953" s="23">
        <v>13</v>
      </c>
      <c r="AA953" s="28">
        <v>23302757.432496864</v>
      </c>
      <c r="AB953" s="24">
        <v>4.5887908102735978E-2</v>
      </c>
    </row>
    <row r="954" spans="1:28" x14ac:dyDescent="0.25">
      <c r="A954" t="s">
        <v>6694</v>
      </c>
      <c r="B954" t="s">
        <v>7961</v>
      </c>
      <c r="C954" t="s">
        <v>6696</v>
      </c>
      <c r="D954" s="10" t="s">
        <v>6695</v>
      </c>
      <c r="E954" s="10" t="s">
        <v>3546</v>
      </c>
      <c r="I954" s="17">
        <v>-1.20475720914925</v>
      </c>
      <c r="J954" s="17">
        <v>0.132269429946553</v>
      </c>
      <c r="K954" s="21">
        <v>7</v>
      </c>
      <c r="L954" s="27">
        <v>8160851.2092374796</v>
      </c>
      <c r="M954" s="22">
        <v>2.0570813595209046E-2</v>
      </c>
      <c r="N954" s="21">
        <v>7</v>
      </c>
      <c r="O954" s="27">
        <v>7140771.0198942274</v>
      </c>
      <c r="P954" s="22">
        <v>1.8157161163472237E-2</v>
      </c>
      <c r="Q954" s="21">
        <v>5</v>
      </c>
      <c r="R954" s="27">
        <v>8280877.8329625297</v>
      </c>
      <c r="S954" s="22">
        <v>2.1179838601777266E-2</v>
      </c>
      <c r="T954" s="23">
        <v>4</v>
      </c>
      <c r="U954" s="28">
        <v>7445947.879693957</v>
      </c>
      <c r="V954" s="24">
        <v>1.8737387771840541E-2</v>
      </c>
      <c r="W954" s="23">
        <v>6</v>
      </c>
      <c r="X954" s="28">
        <v>6942693.2947241087</v>
      </c>
      <c r="Y954" s="24">
        <v>1.7090527599756825E-2</v>
      </c>
      <c r="Z954" s="23">
        <v>5</v>
      </c>
      <c r="AA954" s="28">
        <v>6827312.5607483648</v>
      </c>
      <c r="AB954" s="24">
        <v>1.7057887365456308E-2</v>
      </c>
    </row>
    <row r="955" spans="1:28" x14ac:dyDescent="0.25">
      <c r="A955" t="s">
        <v>6736</v>
      </c>
      <c r="B955" t="s">
        <v>7975</v>
      </c>
      <c r="C955" t="s">
        <v>6738</v>
      </c>
      <c r="D955" s="10" t="s">
        <v>6737</v>
      </c>
      <c r="E955" s="10" t="s">
        <v>3546</v>
      </c>
      <c r="I955" s="17">
        <v>-1.2089278710929401</v>
      </c>
      <c r="J955" s="17">
        <v>0.26802736974888403</v>
      </c>
      <c r="K955" s="21">
        <v>1</v>
      </c>
      <c r="L955" s="27">
        <v>844660.15999786498</v>
      </c>
      <c r="M955" s="22">
        <v>4.1435748485740762E-3</v>
      </c>
      <c r="N955" s="21">
        <v>1</v>
      </c>
      <c r="O955" s="27">
        <v>704303.74348943145</v>
      </c>
      <c r="P955" s="22">
        <v>3.4852987221229868E-3</v>
      </c>
      <c r="Q955" s="21">
        <v>2</v>
      </c>
      <c r="R955" s="27">
        <v>869149.65157560038</v>
      </c>
      <c r="S955" s="22">
        <v>4.326313611876356E-3</v>
      </c>
      <c r="T955" s="23">
        <v>1</v>
      </c>
      <c r="U955" s="28">
        <v>848812.51953575166</v>
      </c>
      <c r="V955" s="24">
        <v>4.1569806041541783E-3</v>
      </c>
      <c r="W955" s="23">
        <v>0</v>
      </c>
      <c r="X955" s="28">
        <v>724772.71794426185</v>
      </c>
      <c r="Y955" s="24">
        <v>3.4722140975889204E-3</v>
      </c>
      <c r="Z955" s="23">
        <v>0</v>
      </c>
      <c r="AA955" s="28">
        <v>592092.33799793373</v>
      </c>
      <c r="AB955" s="24">
        <v>2.8790026635132546E-3</v>
      </c>
    </row>
    <row r="956" spans="1:28" x14ac:dyDescent="0.25">
      <c r="A956" t="s">
        <v>6638</v>
      </c>
      <c r="B956" t="s">
        <v>7942</v>
      </c>
      <c r="C956" t="s">
        <v>6640</v>
      </c>
      <c r="D956" s="10" t="s">
        <v>6639</v>
      </c>
      <c r="E956" s="10" t="s">
        <v>3546</v>
      </c>
      <c r="I956" s="17">
        <v>-1.21038949733146</v>
      </c>
      <c r="J956" s="17">
        <v>1.00427798733257E-2</v>
      </c>
      <c r="K956" s="21">
        <v>4</v>
      </c>
      <c r="L956" s="27">
        <v>4418417.67431051</v>
      </c>
      <c r="M956" s="22">
        <v>1.6974430391147686E-2</v>
      </c>
      <c r="N956" s="21">
        <v>6</v>
      </c>
      <c r="O956" s="27">
        <v>4446130.6174335945</v>
      </c>
      <c r="P956" s="22">
        <v>1.723048459085736E-2</v>
      </c>
      <c r="Q956" s="21">
        <v>4</v>
      </c>
      <c r="R956" s="27">
        <v>4585206.5755694406</v>
      </c>
      <c r="S956" s="22">
        <v>1.7873829399477192E-2</v>
      </c>
      <c r="T956" s="23">
        <v>5</v>
      </c>
      <c r="U956" s="28">
        <v>3754328.2711809804</v>
      </c>
      <c r="V956" s="24">
        <v>1.4399046349801908E-2</v>
      </c>
      <c r="W956" s="23">
        <v>1</v>
      </c>
      <c r="X956" s="28">
        <v>4446802.8268860597</v>
      </c>
      <c r="Y956" s="24">
        <v>1.66835242219842E-2</v>
      </c>
      <c r="Z956" s="23">
        <v>4</v>
      </c>
      <c r="AA956" s="28">
        <v>3878725.5441457857</v>
      </c>
      <c r="AB956" s="24">
        <v>1.4769879092166989E-2</v>
      </c>
    </row>
    <row r="957" spans="1:28" x14ac:dyDescent="0.25">
      <c r="A957" t="s">
        <v>6889</v>
      </c>
      <c r="B957" t="s">
        <v>8026</v>
      </c>
      <c r="C957" t="s">
        <v>6890</v>
      </c>
      <c r="D957" s="10" t="s">
        <v>6448</v>
      </c>
      <c r="E957" s="10" t="s">
        <v>3546</v>
      </c>
      <c r="H957" t="s">
        <v>57</v>
      </c>
      <c r="I957" s="17">
        <v>-1.2144101168871499</v>
      </c>
      <c r="J957" s="17">
        <v>0.28007848727789703</v>
      </c>
      <c r="K957" s="21">
        <v>11</v>
      </c>
      <c r="L957" s="27">
        <v>6940388.2008649502</v>
      </c>
      <c r="M957" s="22">
        <v>1.3251768065458084E-2</v>
      </c>
      <c r="N957" s="21">
        <v>5</v>
      </c>
      <c r="O957" s="27">
        <v>5303519.8112424575</v>
      </c>
      <c r="P957" s="22">
        <v>1.021506398487719E-2</v>
      </c>
      <c r="Q957" s="21">
        <v>10</v>
      </c>
      <c r="R957" s="27">
        <v>7673001.711414719</v>
      </c>
      <c r="S957" s="22">
        <v>1.4865708692689944E-2</v>
      </c>
      <c r="T957" s="23">
        <v>9</v>
      </c>
      <c r="U957" s="28">
        <v>6337076.3269430418</v>
      </c>
      <c r="V957" s="24">
        <v>1.2079585861510473E-2</v>
      </c>
      <c r="W957" s="23">
        <v>6</v>
      </c>
      <c r="X957" s="28">
        <v>5675792.6888842601</v>
      </c>
      <c r="Y957" s="24">
        <v>1.0583469647525458E-2</v>
      </c>
      <c r="Z957" s="23">
        <v>7</v>
      </c>
      <c r="AA957" s="28">
        <v>5752243.3343702229</v>
      </c>
      <c r="AB957" s="24">
        <v>1.088646198978746E-2</v>
      </c>
    </row>
    <row r="958" spans="1:28" x14ac:dyDescent="0.25">
      <c r="A958" t="s">
        <v>6700</v>
      </c>
      <c r="B958" t="s">
        <v>7963</v>
      </c>
      <c r="C958" t="s">
        <v>6702</v>
      </c>
      <c r="D958" s="10" t="s">
        <v>6701</v>
      </c>
      <c r="E958" s="10" t="s">
        <v>3546</v>
      </c>
      <c r="I958" s="17">
        <v>-1.21644828656021</v>
      </c>
      <c r="J958" s="17">
        <v>0.149456336350549</v>
      </c>
      <c r="K958" s="21">
        <v>5</v>
      </c>
      <c r="L958" s="27">
        <v>3744334.8445934299</v>
      </c>
      <c r="M958" s="22">
        <v>7.6046908152393551E-3</v>
      </c>
      <c r="N958" s="21">
        <v>2</v>
      </c>
      <c r="O958" s="27">
        <v>4260909.6069156164</v>
      </c>
      <c r="P958" s="22">
        <v>8.7296339942288855E-3</v>
      </c>
      <c r="Q958" s="21">
        <v>4</v>
      </c>
      <c r="R958" s="27">
        <v>3217251.3907022979</v>
      </c>
      <c r="S958" s="22">
        <v>6.630131453368558E-3</v>
      </c>
      <c r="T958" s="23">
        <v>5</v>
      </c>
      <c r="U958" s="28">
        <v>3277001.3503382928</v>
      </c>
      <c r="V958" s="24">
        <v>6.6444118817186393E-3</v>
      </c>
      <c r="W958" s="23">
        <v>3</v>
      </c>
      <c r="X958" s="28">
        <v>3776111.5261403988</v>
      </c>
      <c r="Y958" s="24">
        <v>7.4896784994441887E-3</v>
      </c>
      <c r="Z958" s="23">
        <v>2</v>
      </c>
      <c r="AA958" s="28">
        <v>2981820.6093498757</v>
      </c>
      <c r="AB958" s="24">
        <v>6.0027166271220331E-3</v>
      </c>
    </row>
    <row r="959" spans="1:28" x14ac:dyDescent="0.25">
      <c r="A959" t="s">
        <v>6659</v>
      </c>
      <c r="B959" t="s">
        <v>7949</v>
      </c>
      <c r="C959" t="s">
        <v>6661</v>
      </c>
      <c r="D959" s="10" t="s">
        <v>6660</v>
      </c>
      <c r="E959" s="10" t="s">
        <v>3546</v>
      </c>
      <c r="I959" s="17">
        <v>-1.21805588941742</v>
      </c>
      <c r="J959" s="17">
        <v>8.1065981813686405E-2</v>
      </c>
      <c r="K959" s="21">
        <v>6</v>
      </c>
      <c r="L959" s="27">
        <v>10798861.482492801</v>
      </c>
      <c r="M959" s="22">
        <v>3.9129277852965237E-2</v>
      </c>
      <c r="N959" s="21">
        <v>5</v>
      </c>
      <c r="O959" s="27">
        <v>9647443.7468732093</v>
      </c>
      <c r="P959" s="22">
        <v>3.5263299825293165E-2</v>
      </c>
      <c r="Q959" s="21">
        <v>5</v>
      </c>
      <c r="R959" s="27">
        <v>11058293.585649109</v>
      </c>
      <c r="S959" s="22">
        <v>4.0657646718057071E-2</v>
      </c>
      <c r="T959" s="23">
        <v>7</v>
      </c>
      <c r="U959" s="28">
        <v>9542187.6580958385</v>
      </c>
      <c r="V959" s="24">
        <v>3.4517939189005538E-2</v>
      </c>
      <c r="W959" s="23">
        <v>3</v>
      </c>
      <c r="X959" s="28">
        <v>9364242.9325434919</v>
      </c>
      <c r="Y959" s="24">
        <v>3.313660533455038E-2</v>
      </c>
      <c r="Z959" s="23">
        <v>5</v>
      </c>
      <c r="AA959" s="28">
        <v>9145086.7150428109</v>
      </c>
      <c r="AB959" s="24">
        <v>3.2845141555732926E-2</v>
      </c>
    </row>
    <row r="960" spans="1:28" x14ac:dyDescent="0.25">
      <c r="A960" t="s">
        <v>6739</v>
      </c>
      <c r="B960" t="s">
        <v>7976</v>
      </c>
      <c r="C960" t="s">
        <v>6741</v>
      </c>
      <c r="D960" s="10" t="s">
        <v>6740</v>
      </c>
      <c r="E960" s="10" t="s">
        <v>3546</v>
      </c>
      <c r="I960" s="17">
        <v>-1.21982072346111</v>
      </c>
      <c r="J960" s="17">
        <v>0.27902405631674199</v>
      </c>
      <c r="K960" s="21">
        <v>2</v>
      </c>
      <c r="L960" s="27">
        <v>1491233.2615165601</v>
      </c>
      <c r="M960" s="22">
        <v>7.3721201016481224E-3</v>
      </c>
      <c r="N960" s="21">
        <v>2</v>
      </c>
      <c r="O960" s="27">
        <v>1191727.8185301672</v>
      </c>
      <c r="P960" s="22">
        <v>5.9430684117324694E-3</v>
      </c>
      <c r="Q960" s="21">
        <v>3</v>
      </c>
      <c r="R960" s="27">
        <v>1290714.1503537723</v>
      </c>
      <c r="S960" s="22">
        <v>6.4745136517281145E-3</v>
      </c>
      <c r="T960" s="23">
        <v>1</v>
      </c>
      <c r="U960" s="28">
        <v>1319022.8029898715</v>
      </c>
      <c r="V960" s="24">
        <v>6.5098677707625579E-3</v>
      </c>
      <c r="W960" s="23">
        <v>1</v>
      </c>
      <c r="X960" s="28">
        <v>1007385.8544277226</v>
      </c>
      <c r="Y960" s="24">
        <v>4.8635585571340243E-3</v>
      </c>
      <c r="Z960" s="23">
        <v>1</v>
      </c>
      <c r="AA960" s="28">
        <v>1202317.9651503786</v>
      </c>
      <c r="AB960" s="24">
        <v>5.8914962284048822E-3</v>
      </c>
    </row>
    <row r="961" spans="1:28" x14ac:dyDescent="0.25">
      <c r="A961" t="s">
        <v>6727</v>
      </c>
      <c r="B961" t="s">
        <v>7972</v>
      </c>
      <c r="C961" t="s">
        <v>6729</v>
      </c>
      <c r="D961" s="10" t="s">
        <v>6728</v>
      </c>
      <c r="E961" s="10" t="s">
        <v>3546</v>
      </c>
      <c r="I961" s="17">
        <v>-1.2202154285543301</v>
      </c>
      <c r="J961" s="17">
        <v>0.25197315658884001</v>
      </c>
      <c r="K961" s="21">
        <v>6</v>
      </c>
      <c r="L961" s="27">
        <v>3757214.48077418</v>
      </c>
      <c r="M961" s="22">
        <v>7.5348636489502565E-3</v>
      </c>
      <c r="N961" s="21">
        <v>1</v>
      </c>
      <c r="O961" s="27">
        <v>5528526.5739596989</v>
      </c>
      <c r="P961" s="22">
        <v>1.1184218526547111E-2</v>
      </c>
      <c r="Q961" s="21">
        <v>5</v>
      </c>
      <c r="R961" s="27">
        <v>3507786.4185767695</v>
      </c>
      <c r="S961" s="22">
        <v>7.1379386706807608E-3</v>
      </c>
      <c r="T961" s="23">
        <v>3</v>
      </c>
      <c r="U961" s="28">
        <v>3357187.242442192</v>
      </c>
      <c r="V961" s="24">
        <v>6.7213733241615631E-3</v>
      </c>
      <c r="W961" s="23">
        <v>5</v>
      </c>
      <c r="X961" s="28">
        <v>4346882.8706931416</v>
      </c>
      <c r="Y961" s="24">
        <v>8.5133174750419219E-3</v>
      </c>
      <c r="Z961" s="23">
        <v>2</v>
      </c>
      <c r="AA961" s="28">
        <v>3662315.4204420401</v>
      </c>
      <c r="AB961" s="24">
        <v>7.279886418953857E-3</v>
      </c>
    </row>
    <row r="962" spans="1:28" x14ac:dyDescent="0.25">
      <c r="A962" t="s">
        <v>6682</v>
      </c>
      <c r="B962" t="s">
        <v>7957</v>
      </c>
      <c r="C962" t="s">
        <v>6684</v>
      </c>
      <c r="D962" s="10" t="s">
        <v>6683</v>
      </c>
      <c r="E962" s="10" t="s">
        <v>3546</v>
      </c>
      <c r="I962" s="17">
        <v>-1.22267544048939</v>
      </c>
      <c r="J962" s="17">
        <v>0.116683165571154</v>
      </c>
      <c r="K962" s="21">
        <v>2</v>
      </c>
      <c r="L962" s="27">
        <v>4870342.5515966499</v>
      </c>
      <c r="M962" s="22">
        <v>2.4456388081683534E-2</v>
      </c>
      <c r="N962" s="21">
        <v>3</v>
      </c>
      <c r="O962" s="27">
        <v>4926964.3518477781</v>
      </c>
      <c r="P962" s="22">
        <v>2.4957384026905029E-2</v>
      </c>
      <c r="Q962" s="21">
        <v>3</v>
      </c>
      <c r="R962" s="27">
        <v>4466218.9616990695</v>
      </c>
      <c r="S962" s="22">
        <v>2.2756374902964307E-2</v>
      </c>
      <c r="T962" s="23">
        <v>3</v>
      </c>
      <c r="U962" s="28">
        <v>4597118.3150051078</v>
      </c>
      <c r="V962" s="24">
        <v>2.3045786499871653E-2</v>
      </c>
      <c r="W962" s="23">
        <v>3</v>
      </c>
      <c r="X962" s="28">
        <v>4009833.6917565842</v>
      </c>
      <c r="Y962" s="24">
        <v>1.9663944999290334E-2</v>
      </c>
      <c r="Z962" s="23">
        <v>3</v>
      </c>
      <c r="AA962" s="28">
        <v>4011100.2705346802</v>
      </c>
      <c r="AB962" s="24">
        <v>1.9964377611590263E-2</v>
      </c>
    </row>
    <row r="963" spans="1:28" x14ac:dyDescent="0.25">
      <c r="A963" t="s">
        <v>6576</v>
      </c>
      <c r="B963" t="s">
        <v>7921</v>
      </c>
      <c r="C963" t="s">
        <v>6578</v>
      </c>
      <c r="D963" s="10" t="s">
        <v>6577</v>
      </c>
      <c r="E963" s="10" t="s">
        <v>3546</v>
      </c>
      <c r="H963" t="s">
        <v>104</v>
      </c>
      <c r="I963" s="17">
        <v>-1.22334222816546</v>
      </c>
      <c r="J963" s="17">
        <v>3.2573930540691798E-2</v>
      </c>
      <c r="K963" s="21">
        <v>14</v>
      </c>
      <c r="L963" s="27">
        <v>32939020.062984399</v>
      </c>
      <c r="M963" s="22">
        <v>5.6468241717004333E-2</v>
      </c>
      <c r="N963" s="21">
        <v>12</v>
      </c>
      <c r="O963" s="27">
        <v>35623931.79005374</v>
      </c>
      <c r="P963" s="22">
        <v>6.1605895283101716E-2</v>
      </c>
      <c r="Q963" s="21">
        <v>16</v>
      </c>
      <c r="R963" s="27">
        <v>35156987.493739352</v>
      </c>
      <c r="S963" s="22">
        <v>6.1155497639444438E-2</v>
      </c>
      <c r="T963" s="23">
        <v>11</v>
      </c>
      <c r="U963" s="28">
        <v>32368934.158288747</v>
      </c>
      <c r="V963" s="24">
        <v>5.5398120837427851E-2</v>
      </c>
      <c r="W963" s="23">
        <v>13</v>
      </c>
      <c r="X963" s="28">
        <v>30901549.957258299</v>
      </c>
      <c r="Y963" s="24">
        <v>5.1735104966103777E-2</v>
      </c>
      <c r="Z963" s="23">
        <v>13</v>
      </c>
      <c r="AA963" s="28">
        <v>28332584.071037412</v>
      </c>
      <c r="AB963" s="24">
        <v>4.8143673387918438E-2</v>
      </c>
    </row>
    <row r="964" spans="1:28" x14ac:dyDescent="0.25">
      <c r="A964" t="s">
        <v>6564</v>
      </c>
      <c r="B964" t="s">
        <v>7917</v>
      </c>
      <c r="C964" t="s">
        <v>6566</v>
      </c>
      <c r="D964" s="10" t="s">
        <v>6565</v>
      </c>
      <c r="E964" s="10" t="s">
        <v>3546</v>
      </c>
      <c r="H964" t="s">
        <v>41</v>
      </c>
      <c r="I964" s="17">
        <v>-1.2237453943940499</v>
      </c>
      <c r="J964" s="17">
        <v>0.58767393791330402</v>
      </c>
      <c r="K964" s="21">
        <v>5</v>
      </c>
      <c r="L964" s="27">
        <v>881487.22077291401</v>
      </c>
      <c r="M964" s="22">
        <v>3.9588058776426167E-3</v>
      </c>
      <c r="N964" s="21">
        <v>1</v>
      </c>
      <c r="O964" s="27">
        <v>473814.0857134565</v>
      </c>
      <c r="P964" s="22">
        <v>2.1465597697778657E-3</v>
      </c>
      <c r="Q964" s="21">
        <v>5</v>
      </c>
      <c r="R964" s="27">
        <v>981189.64203365322</v>
      </c>
      <c r="S964" s="22">
        <v>4.4712751957197306E-3</v>
      </c>
      <c r="T964" s="23">
        <v>1</v>
      </c>
      <c r="U964" s="28">
        <v>768602.42455603357</v>
      </c>
      <c r="V964" s="24">
        <v>3.4460611495923921E-3</v>
      </c>
      <c r="W964" s="23">
        <v>1</v>
      </c>
      <c r="X964" s="28">
        <v>644995.03099825897</v>
      </c>
      <c r="Y964" s="24">
        <v>2.8288898384984311E-3</v>
      </c>
      <c r="Z964" s="23">
        <v>0</v>
      </c>
      <c r="AA964" s="28">
        <v>659735.32627261663</v>
      </c>
      <c r="AB964" s="24">
        <v>2.9368202967586868E-3</v>
      </c>
    </row>
    <row r="965" spans="1:28" x14ac:dyDescent="0.25">
      <c r="A965" t="s">
        <v>6862</v>
      </c>
      <c r="B965" t="s">
        <v>8017</v>
      </c>
      <c r="C965" t="s">
        <v>6864</v>
      </c>
      <c r="D965" s="10" t="s">
        <v>6863</v>
      </c>
      <c r="E965" s="10" t="s">
        <v>3546</v>
      </c>
      <c r="H965" t="s">
        <v>172</v>
      </c>
      <c r="I965" s="17">
        <v>-1.2271414246040999</v>
      </c>
      <c r="J965" s="17">
        <v>0.119695140773092</v>
      </c>
      <c r="K965" s="21">
        <v>61</v>
      </c>
      <c r="L965" s="27">
        <v>176586677.09908301</v>
      </c>
      <c r="M965" s="22">
        <v>0.1474012294711976</v>
      </c>
      <c r="N965" s="21">
        <v>51</v>
      </c>
      <c r="O965" s="27">
        <v>243492863.97141927</v>
      </c>
      <c r="P965" s="22">
        <v>0.20502944776105886</v>
      </c>
      <c r="Q965" s="21">
        <v>60</v>
      </c>
      <c r="R965" s="27">
        <v>175138655.32718763</v>
      </c>
      <c r="S965" s="22">
        <v>0.14833903255858727</v>
      </c>
      <c r="T965" s="23">
        <v>51</v>
      </c>
      <c r="U965" s="28">
        <v>167568656.47240967</v>
      </c>
      <c r="V965" s="24">
        <v>0.13963973081029926</v>
      </c>
      <c r="W965" s="23">
        <v>50</v>
      </c>
      <c r="X965" s="28">
        <v>177477470.39496037</v>
      </c>
      <c r="Y965" s="24">
        <v>0.1446764629686034</v>
      </c>
      <c r="Z965" s="23">
        <v>56</v>
      </c>
      <c r="AA965" s="28">
        <v>178482743.02291465</v>
      </c>
      <c r="AB965" s="24">
        <v>0.14767223608064464</v>
      </c>
    </row>
    <row r="966" spans="1:28" x14ac:dyDescent="0.25">
      <c r="A966" t="s">
        <v>6721</v>
      </c>
      <c r="B966" t="s">
        <v>7970</v>
      </c>
      <c r="C966" t="s">
        <v>6723</v>
      </c>
      <c r="D966" s="10" t="s">
        <v>6722</v>
      </c>
      <c r="E966" s="10" t="s">
        <v>3546</v>
      </c>
      <c r="I966" s="17">
        <v>-1.2289741712192901</v>
      </c>
      <c r="J966" s="17">
        <v>0.23337368136325601</v>
      </c>
      <c r="K966" s="21">
        <v>2</v>
      </c>
      <c r="L966" s="27">
        <v>3856455.91868885</v>
      </c>
      <c r="M966" s="22">
        <v>1.1655809650860972E-2</v>
      </c>
      <c r="N966" s="21">
        <v>3</v>
      </c>
      <c r="O966" s="27">
        <v>2841883.8427085723</v>
      </c>
      <c r="P966" s="22">
        <v>8.6645742999314976E-3</v>
      </c>
      <c r="Q966" s="21">
        <v>3</v>
      </c>
      <c r="R966" s="27">
        <v>3561181.0943795955</v>
      </c>
      <c r="S966" s="22">
        <v>1.0921402015320596E-2</v>
      </c>
      <c r="T966" s="23">
        <v>2</v>
      </c>
      <c r="U966" s="28">
        <v>2711108.1462464575</v>
      </c>
      <c r="V966" s="24">
        <v>8.1803890849322086E-3</v>
      </c>
      <c r="W966" s="23">
        <v>2</v>
      </c>
      <c r="X966" s="28">
        <v>3629672.8982191854</v>
      </c>
      <c r="Y966" s="24">
        <v>1.071354121245225E-2</v>
      </c>
      <c r="Z966" s="23">
        <v>4</v>
      </c>
      <c r="AA966" s="28">
        <v>2820774.6283582789</v>
      </c>
      <c r="AB966" s="24">
        <v>8.4504903714643399E-3</v>
      </c>
    </row>
    <row r="967" spans="1:28" x14ac:dyDescent="0.25">
      <c r="A967" t="s">
        <v>6679</v>
      </c>
      <c r="B967" t="s">
        <v>7956</v>
      </c>
      <c r="C967" t="s">
        <v>6681</v>
      </c>
      <c r="D967" s="10" t="s">
        <v>6680</v>
      </c>
      <c r="E967" s="10" t="s">
        <v>3546</v>
      </c>
      <c r="I967" s="17">
        <v>-1.2317947123386099</v>
      </c>
      <c r="J967" s="17">
        <v>0.115935555974385</v>
      </c>
      <c r="K967" s="21">
        <v>22</v>
      </c>
      <c r="L967" s="27">
        <v>14115949.428110501</v>
      </c>
      <c r="M967" s="22">
        <v>8.3818974415962363E-3</v>
      </c>
      <c r="N967" s="21">
        <v>18</v>
      </c>
      <c r="O967" s="27">
        <v>18884177.231076416</v>
      </c>
      <c r="P967" s="22">
        <v>1.1311420537849441E-2</v>
      </c>
      <c r="Q967" s="21">
        <v>21</v>
      </c>
      <c r="R967" s="27">
        <v>14244535.834409516</v>
      </c>
      <c r="S967" s="22">
        <v>8.5824406852699226E-3</v>
      </c>
      <c r="T967" s="23">
        <v>12</v>
      </c>
      <c r="U967" s="28">
        <v>13720871.13235699</v>
      </c>
      <c r="V967" s="24">
        <v>8.1336780490697883E-3</v>
      </c>
      <c r="W967" s="23">
        <v>7</v>
      </c>
      <c r="X967" s="28">
        <v>13054553.805328397</v>
      </c>
      <c r="Y967" s="24">
        <v>7.5701722660392818E-3</v>
      </c>
      <c r="Z967" s="23">
        <v>13</v>
      </c>
      <c r="AA967" s="28">
        <v>14531302.746571224</v>
      </c>
      <c r="AB967" s="24">
        <v>8.5525623211392173E-3</v>
      </c>
    </row>
    <row r="968" spans="1:28" x14ac:dyDescent="0.25">
      <c r="A968" s="82" t="s">
        <v>6635</v>
      </c>
      <c r="B968" s="82" t="s">
        <v>7941</v>
      </c>
      <c r="C968" s="82" t="s">
        <v>6637</v>
      </c>
      <c r="D968" s="87" t="s">
        <v>6636</v>
      </c>
      <c r="E968" s="87" t="s">
        <v>3546</v>
      </c>
      <c r="F968" s="82"/>
      <c r="G968" s="82"/>
      <c r="H968" s="82"/>
      <c r="I968" s="47">
        <v>-1.2326062045200501</v>
      </c>
      <c r="J968" s="47">
        <v>3.9815560475708903E-2</v>
      </c>
      <c r="K968" s="88">
        <v>10</v>
      </c>
      <c r="L968" s="89">
        <v>17030631.3239379</v>
      </c>
      <c r="M968" s="22">
        <v>4.3098954681634993E-2</v>
      </c>
      <c r="N968" s="88">
        <v>8</v>
      </c>
      <c r="O968" s="89">
        <v>16776339.706843756</v>
      </c>
      <c r="P968" s="22">
        <v>4.2827234702302375E-2</v>
      </c>
      <c r="Q968" s="88">
        <v>10</v>
      </c>
      <c r="R968" s="89">
        <v>15596476.090788862</v>
      </c>
      <c r="S968" s="22">
        <v>4.0049097419499274E-2</v>
      </c>
      <c r="T968" s="90">
        <v>7</v>
      </c>
      <c r="U968" s="91">
        <v>14243469.648232834</v>
      </c>
      <c r="V968" s="24">
        <v>3.5985275138620564E-2</v>
      </c>
      <c r="W968" s="90">
        <v>6</v>
      </c>
      <c r="X968" s="91">
        <v>15272771.50877835</v>
      </c>
      <c r="Y968" s="24">
        <v>3.7745512357036853E-2</v>
      </c>
      <c r="Z968" s="90">
        <v>5</v>
      </c>
      <c r="AA968" s="91">
        <v>14053405.803152967</v>
      </c>
      <c r="AB968" s="24">
        <v>3.5251453130252006E-2</v>
      </c>
    </row>
    <row r="969" spans="1:28" x14ac:dyDescent="0.25">
      <c r="A969" t="s">
        <v>6733</v>
      </c>
      <c r="B969" t="s">
        <v>7974</v>
      </c>
      <c r="C969" t="s">
        <v>6735</v>
      </c>
      <c r="D969" s="10" t="s">
        <v>6734</v>
      </c>
      <c r="E969" s="10" t="s">
        <v>3546</v>
      </c>
      <c r="I969" s="17">
        <v>-1.24470614948366</v>
      </c>
      <c r="J969" s="17">
        <v>0.26442648086304199</v>
      </c>
      <c r="K969" s="21">
        <v>12</v>
      </c>
      <c r="L969" s="27">
        <v>6617042.0076609496</v>
      </c>
      <c r="M969" s="22">
        <v>8.2905365750797055E-3</v>
      </c>
      <c r="N969" s="21">
        <v>5</v>
      </c>
      <c r="O969" s="27">
        <v>5067654.1899820119</v>
      </c>
      <c r="P969" s="22">
        <v>6.404902925231209E-3</v>
      </c>
      <c r="Q969" s="21">
        <v>14</v>
      </c>
      <c r="R969" s="27">
        <v>7102794.8170614196</v>
      </c>
      <c r="S969" s="22">
        <v>9.0298030228751977E-3</v>
      </c>
      <c r="T969" s="23">
        <v>6</v>
      </c>
      <c r="U969" s="28">
        <v>5958623.311408232</v>
      </c>
      <c r="V969" s="24">
        <v>7.4531132932919315E-3</v>
      </c>
      <c r="W969" s="23">
        <v>5</v>
      </c>
      <c r="X969" s="28">
        <v>4691189.3259139284</v>
      </c>
      <c r="Y969" s="24">
        <v>5.7400171408998049E-3</v>
      </c>
      <c r="Z969" s="23">
        <v>5</v>
      </c>
      <c r="AA969" s="28">
        <v>5659112.6319073234</v>
      </c>
      <c r="AB969" s="24">
        <v>7.0279155336772075E-3</v>
      </c>
    </row>
    <row r="970" spans="1:28" x14ac:dyDescent="0.25">
      <c r="A970" t="s">
        <v>6832</v>
      </c>
      <c r="B970" t="s">
        <v>8007</v>
      </c>
      <c r="C970" t="s">
        <v>6834</v>
      </c>
      <c r="D970" s="10" t="s">
        <v>6833</v>
      </c>
      <c r="E970" s="10" t="s">
        <v>3546</v>
      </c>
      <c r="I970" s="17">
        <v>-1.2462125099466801</v>
      </c>
      <c r="J970" s="17">
        <v>6.11849965187048E-2</v>
      </c>
      <c r="K970" s="21">
        <v>7</v>
      </c>
      <c r="L970" s="27">
        <v>12358983.7094572</v>
      </c>
      <c r="M970" s="22">
        <v>5.6702798007731571E-2</v>
      </c>
      <c r="N970" s="21">
        <v>5</v>
      </c>
      <c r="O970" s="27">
        <v>11054064.971686151</v>
      </c>
      <c r="P970" s="22">
        <v>5.1160004645221344E-2</v>
      </c>
      <c r="Q970" s="21">
        <v>8</v>
      </c>
      <c r="R970" s="27">
        <v>11703491.06074384</v>
      </c>
      <c r="S970" s="22">
        <v>5.4483803430198575E-2</v>
      </c>
      <c r="T970" s="23">
        <v>4</v>
      </c>
      <c r="U970" s="28">
        <v>10310791.861585164</v>
      </c>
      <c r="V970" s="24">
        <v>4.7226612324374133E-2</v>
      </c>
      <c r="W970" s="23">
        <v>3</v>
      </c>
      <c r="X970" s="28">
        <v>10888813.077766145</v>
      </c>
      <c r="Y970" s="24">
        <v>4.8788082945734362E-2</v>
      </c>
      <c r="Z970" s="23">
        <v>5</v>
      </c>
      <c r="AA970" s="28">
        <v>9458732.9334423654</v>
      </c>
      <c r="AB970" s="24">
        <v>4.30144269002369E-2</v>
      </c>
    </row>
    <row r="971" spans="1:28" x14ac:dyDescent="0.25">
      <c r="A971" t="s">
        <v>6930</v>
      </c>
      <c r="B971" t="s">
        <v>8041</v>
      </c>
      <c r="C971" t="s">
        <v>6932</v>
      </c>
      <c r="D971" s="10" t="s">
        <v>6931</v>
      </c>
      <c r="E971" s="10" t="s">
        <v>3546</v>
      </c>
      <c r="H971" t="s">
        <v>57</v>
      </c>
      <c r="I971" s="17">
        <v>-1.2519742422073099</v>
      </c>
      <c r="J971" s="17">
        <v>0.42535461405769898</v>
      </c>
      <c r="K971" s="21">
        <v>7</v>
      </c>
      <c r="L971" s="27">
        <v>6026808.6575312596</v>
      </c>
      <c r="M971" s="22">
        <v>1.7082106121433939E-2</v>
      </c>
      <c r="N971" s="21">
        <v>3</v>
      </c>
      <c r="O971" s="27">
        <v>3379151.0623485208</v>
      </c>
      <c r="P971" s="22">
        <v>9.6615866125207943E-3</v>
      </c>
      <c r="Q971" s="21">
        <v>6</v>
      </c>
      <c r="R971" s="27">
        <v>4793714.644374012</v>
      </c>
      <c r="S971" s="22">
        <v>1.3786576975299121E-2</v>
      </c>
      <c r="T971" s="23">
        <v>5</v>
      </c>
      <c r="U971" s="28">
        <v>4108421.7692262521</v>
      </c>
      <c r="V971" s="24">
        <v>1.1625244015019983E-2</v>
      </c>
      <c r="W971" s="23">
        <v>4</v>
      </c>
      <c r="X971" s="28">
        <v>4349059.7943788208</v>
      </c>
      <c r="Y971" s="24">
        <v>1.2038181081264046E-2</v>
      </c>
      <c r="Z971" s="23">
        <v>3</v>
      </c>
      <c r="AA971" s="28">
        <v>4001595.5015288908</v>
      </c>
      <c r="AB971" s="24">
        <v>1.1242079338883946E-2</v>
      </c>
    </row>
    <row r="972" spans="1:28" x14ac:dyDescent="0.25">
      <c r="A972" t="s">
        <v>6540</v>
      </c>
      <c r="B972" t="s">
        <v>7909</v>
      </c>
      <c r="C972" t="s">
        <v>6542</v>
      </c>
      <c r="D972" s="10" t="s">
        <v>6541</v>
      </c>
      <c r="E972" s="10" t="s">
        <v>3546</v>
      </c>
      <c r="H972" t="s">
        <v>41</v>
      </c>
      <c r="I972" s="17">
        <v>-1.2594194542502399</v>
      </c>
      <c r="J972" s="17">
        <v>0.19257283236119599</v>
      </c>
      <c r="K972" s="21">
        <v>5</v>
      </c>
      <c r="L972" s="27">
        <v>1313793.0634487099</v>
      </c>
      <c r="M972" s="22">
        <v>1.6237299191218019E-3</v>
      </c>
      <c r="N972" s="21">
        <v>3</v>
      </c>
      <c r="O972" s="27">
        <v>1151402.079641571</v>
      </c>
      <c r="P972" s="22">
        <v>1.4354916496706071E-3</v>
      </c>
      <c r="Q972" s="21">
        <v>4</v>
      </c>
      <c r="R972" s="27">
        <v>1221232.3494819452</v>
      </c>
      <c r="S972" s="22">
        <v>1.5314943119833413E-3</v>
      </c>
      <c r="T972" s="23">
        <v>4</v>
      </c>
      <c r="U972" s="28">
        <v>1098589.058752141</v>
      </c>
      <c r="V972" s="24">
        <v>1.3554863287185063E-3</v>
      </c>
      <c r="W972" s="23">
        <v>1</v>
      </c>
      <c r="X972" s="28">
        <v>865246.85033358994</v>
      </c>
      <c r="Y972" s="24">
        <v>1.0443314010409105E-3</v>
      </c>
      <c r="Z972" s="23">
        <v>2</v>
      </c>
      <c r="AA972" s="28">
        <v>1199986.1007436982</v>
      </c>
      <c r="AB972" s="24">
        <v>1.4700174561946147E-3</v>
      </c>
    </row>
    <row r="973" spans="1:28" x14ac:dyDescent="0.25">
      <c r="A973" t="s">
        <v>6531</v>
      </c>
      <c r="B973" t="s">
        <v>7906</v>
      </c>
      <c r="C973" t="s">
        <v>6533</v>
      </c>
      <c r="D973" s="10" t="s">
        <v>6532</v>
      </c>
      <c r="E973" s="10" t="s">
        <v>3546</v>
      </c>
      <c r="H973" t="s">
        <v>41</v>
      </c>
      <c r="I973" s="17">
        <v>-1.2604314017432501</v>
      </c>
      <c r="J973" s="17">
        <v>2.20221580905424E-2</v>
      </c>
      <c r="K973" s="21">
        <v>7</v>
      </c>
      <c r="L973" s="27">
        <v>1077180.68485671</v>
      </c>
      <c r="M973" s="22">
        <v>1.7347220613719682E-3</v>
      </c>
      <c r="N973" s="21">
        <v>2</v>
      </c>
      <c r="O973" s="27">
        <v>1054618.6539650653</v>
      </c>
      <c r="P973" s="22">
        <v>1.7132613811437173E-3</v>
      </c>
      <c r="Q973" s="21">
        <v>6</v>
      </c>
      <c r="R973" s="27">
        <v>1234923.4901747289</v>
      </c>
      <c r="S973" s="22">
        <v>2.0179558284959161E-3</v>
      </c>
      <c r="T973" s="23">
        <v>2</v>
      </c>
      <c r="U973" s="28">
        <v>848927.78394145693</v>
      </c>
      <c r="V973" s="24">
        <v>1.3648506644344611E-3</v>
      </c>
      <c r="W973" s="23">
        <v>4</v>
      </c>
      <c r="X973" s="28">
        <v>1041988.8814832829</v>
      </c>
      <c r="Y973" s="24">
        <v>1.6387620952229441E-3</v>
      </c>
      <c r="Z973" s="23">
        <v>4</v>
      </c>
      <c r="AA973" s="28">
        <v>1010037.4684862529</v>
      </c>
      <c r="AB973" s="24">
        <v>1.6122718697780514E-3</v>
      </c>
    </row>
    <row r="974" spans="1:28" x14ac:dyDescent="0.25">
      <c r="A974" t="s">
        <v>6742</v>
      </c>
      <c r="B974" t="s">
        <v>7977</v>
      </c>
      <c r="C974" t="s">
        <v>6744</v>
      </c>
      <c r="D974" s="10" t="s">
        <v>6743</v>
      </c>
      <c r="E974" s="10" t="s">
        <v>3546</v>
      </c>
      <c r="I974" s="17">
        <v>-1.2622686652317601</v>
      </c>
      <c r="J974" s="17">
        <v>0.29479209385027899</v>
      </c>
      <c r="K974" s="21">
        <v>1</v>
      </c>
      <c r="L974" s="27">
        <v>496863.830113378</v>
      </c>
      <c r="M974" s="22">
        <v>1.0321326999774832E-3</v>
      </c>
      <c r="N974" s="21">
        <v>1</v>
      </c>
      <c r="O974" s="27">
        <v>328486.80708336411</v>
      </c>
      <c r="P974" s="22">
        <v>6.8833985965967217E-4</v>
      </c>
      <c r="Q974" s="21">
        <v>1</v>
      </c>
      <c r="R974" s="27">
        <v>469859.1927645207</v>
      </c>
      <c r="S974" s="22">
        <v>9.9036695857437451E-4</v>
      </c>
      <c r="T974" s="23">
        <v>0</v>
      </c>
      <c r="U974" s="28">
        <v>401041.32582271035</v>
      </c>
      <c r="V974" s="24">
        <v>8.3168779026717256E-4</v>
      </c>
      <c r="W974" s="23">
        <v>0</v>
      </c>
      <c r="X974" s="28">
        <v>351859.49503990874</v>
      </c>
      <c r="Y974" s="24">
        <v>7.138038906645426E-4</v>
      </c>
      <c r="Z974" s="23">
        <v>0</v>
      </c>
      <c r="AA974" s="28">
        <v>363342.3248069965</v>
      </c>
      <c r="AB974" s="24">
        <v>7.4812400998843312E-4</v>
      </c>
    </row>
    <row r="975" spans="1:28" x14ac:dyDescent="0.25">
      <c r="A975" t="s">
        <v>6632</v>
      </c>
      <c r="B975" t="s">
        <v>7940</v>
      </c>
      <c r="C975" t="s">
        <v>6634</v>
      </c>
      <c r="D975" s="10" t="s">
        <v>6633</v>
      </c>
      <c r="E975" s="10" t="s">
        <v>3546</v>
      </c>
      <c r="I975" s="17">
        <v>-1.26251561336167</v>
      </c>
      <c r="J975" s="17">
        <v>4.2339759786609199E-2</v>
      </c>
      <c r="K975" s="21">
        <v>4</v>
      </c>
      <c r="L975" s="27">
        <v>2401664.4028695002</v>
      </c>
      <c r="M975" s="22">
        <v>6.3552378453303107E-3</v>
      </c>
      <c r="N975" s="21">
        <v>4</v>
      </c>
      <c r="O975" s="27">
        <v>2436815.2516373619</v>
      </c>
      <c r="P975" s="22">
        <v>6.5047247542029474E-3</v>
      </c>
      <c r="Q975" s="21">
        <v>4</v>
      </c>
      <c r="R975" s="27">
        <v>2454573.4945460293</v>
      </c>
      <c r="S975" s="22">
        <v>6.5906126490267889E-3</v>
      </c>
      <c r="T975" s="23">
        <v>3</v>
      </c>
      <c r="U975" s="28">
        <v>2198487.5669465745</v>
      </c>
      <c r="V975" s="24">
        <v>5.8078654322651887E-3</v>
      </c>
      <c r="W975" s="23">
        <v>3</v>
      </c>
      <c r="X975" s="28">
        <v>2256063.7394843269</v>
      </c>
      <c r="Y975" s="24">
        <v>5.8301849764339315E-3</v>
      </c>
      <c r="Z975" s="23">
        <v>2</v>
      </c>
      <c r="AA975" s="28">
        <v>1808977.0133175233</v>
      </c>
      <c r="AB975" s="24">
        <v>4.7447352415382581E-3</v>
      </c>
    </row>
    <row r="976" spans="1:28" x14ac:dyDescent="0.25">
      <c r="A976" t="s">
        <v>6856</v>
      </c>
      <c r="B976" t="s">
        <v>8015</v>
      </c>
      <c r="C976" t="s">
        <v>6858</v>
      </c>
      <c r="D976" s="10" t="s">
        <v>6857</v>
      </c>
      <c r="E976" s="10" t="s">
        <v>3546</v>
      </c>
      <c r="I976" s="17">
        <v>-1.26265201774141</v>
      </c>
      <c r="J976" s="17">
        <v>0.117282753509102</v>
      </c>
      <c r="K976" s="21">
        <v>4</v>
      </c>
      <c r="L976" s="27">
        <v>7714839.9400900202</v>
      </c>
      <c r="M976" s="22">
        <v>2.0585695735178954E-2</v>
      </c>
      <c r="N976" s="21">
        <v>3</v>
      </c>
      <c r="O976" s="27">
        <v>6450541.5024044961</v>
      </c>
      <c r="P976" s="22">
        <v>1.7362874872843843E-2</v>
      </c>
      <c r="Q976" s="21">
        <v>4</v>
      </c>
      <c r="R976" s="27">
        <v>7840890.8886764236</v>
      </c>
      <c r="S976" s="22">
        <v>2.1229232789841165E-2</v>
      </c>
      <c r="T976" s="23">
        <v>4</v>
      </c>
      <c r="U976" s="28">
        <v>6802999.3570574513</v>
      </c>
      <c r="V976" s="24">
        <v>1.8122249398724269E-2</v>
      </c>
      <c r="W976" s="23">
        <v>4</v>
      </c>
      <c r="X976" s="28">
        <v>6146662.939679577</v>
      </c>
      <c r="Y976" s="24">
        <v>1.6017307339891651E-2</v>
      </c>
      <c r="Z976" s="23">
        <v>2</v>
      </c>
      <c r="AA976" s="28">
        <v>5940363.8526738547</v>
      </c>
      <c r="AB976" s="24">
        <v>1.5711263906344215E-2</v>
      </c>
    </row>
    <row r="977" spans="1:28" x14ac:dyDescent="0.25">
      <c r="A977" t="s">
        <v>6629</v>
      </c>
      <c r="B977" t="s">
        <v>7939</v>
      </c>
      <c r="C977" t="s">
        <v>6631</v>
      </c>
      <c r="D977" s="10" t="s">
        <v>6630</v>
      </c>
      <c r="E977" s="10" t="s">
        <v>3546</v>
      </c>
      <c r="I977" s="17">
        <v>-1.26564568783298</v>
      </c>
      <c r="J977" s="17">
        <v>7.6762121294453598E-3</v>
      </c>
      <c r="K977" s="21">
        <v>2</v>
      </c>
      <c r="L977" s="27">
        <v>1638053.6176616601</v>
      </c>
      <c r="M977" s="22">
        <v>6.0036504047961152E-3</v>
      </c>
      <c r="N977" s="21">
        <v>2</v>
      </c>
      <c r="O977" s="27">
        <v>2055399.9637914298</v>
      </c>
      <c r="P977" s="22">
        <v>7.5992452181608827E-3</v>
      </c>
      <c r="Q977" s="21">
        <v>1</v>
      </c>
      <c r="R977" s="27">
        <v>1946798.2555735481</v>
      </c>
      <c r="S977" s="22">
        <v>7.2399987302794368E-3</v>
      </c>
      <c r="T977" s="23">
        <v>1</v>
      </c>
      <c r="U977" s="28">
        <v>1559129.0355970529</v>
      </c>
      <c r="V977" s="24">
        <v>5.704825767937188E-3</v>
      </c>
      <c r="W977" s="23">
        <v>1</v>
      </c>
      <c r="X977" s="28">
        <v>1591086.5488799564</v>
      </c>
      <c r="Y977" s="24">
        <v>5.6949847714697598E-3</v>
      </c>
      <c r="Z977" s="23">
        <v>0</v>
      </c>
      <c r="AA977" s="28">
        <v>1651515.5308086488</v>
      </c>
      <c r="AB977" s="24">
        <v>5.999698019048396E-3</v>
      </c>
    </row>
    <row r="978" spans="1:28" x14ac:dyDescent="0.25">
      <c r="A978" t="s">
        <v>6847</v>
      </c>
      <c r="B978" t="s">
        <v>8012</v>
      </c>
      <c r="C978" t="s">
        <v>6849</v>
      </c>
      <c r="D978" s="10" t="s">
        <v>6848</v>
      </c>
      <c r="E978" s="10" t="s">
        <v>3546</v>
      </c>
      <c r="H978" t="s">
        <v>57</v>
      </c>
      <c r="I978" s="17">
        <v>-1.2672631244063599</v>
      </c>
      <c r="J978" s="17">
        <v>0.103838630610567</v>
      </c>
      <c r="K978" s="21">
        <v>17</v>
      </c>
      <c r="L978" s="27">
        <v>22803395.067065001</v>
      </c>
      <c r="M978" s="22">
        <v>4.6166344483140644E-2</v>
      </c>
      <c r="N978" s="21">
        <v>9</v>
      </c>
      <c r="O978" s="27">
        <v>18859698.579752479</v>
      </c>
      <c r="P978" s="22">
        <v>3.8516565668266285E-2</v>
      </c>
      <c r="Q978" s="21">
        <v>17</v>
      </c>
      <c r="R978" s="27">
        <v>23286968.32916946</v>
      </c>
      <c r="S978" s="22">
        <v>4.7837578580741079E-2</v>
      </c>
      <c r="T978" s="23">
        <v>11</v>
      </c>
      <c r="U978" s="28">
        <v>18449477.129560031</v>
      </c>
      <c r="V978" s="24">
        <v>3.7289201413268039E-2</v>
      </c>
      <c r="W978" s="23">
        <v>9</v>
      </c>
      <c r="X978" s="28">
        <v>17788805.201343723</v>
      </c>
      <c r="Y978" s="24">
        <v>3.5170961140003287E-2</v>
      </c>
      <c r="Z978" s="23">
        <v>10</v>
      </c>
      <c r="AA978" s="28">
        <v>19370954.584365055</v>
      </c>
      <c r="AB978" s="24">
        <v>3.8871960700987217E-2</v>
      </c>
    </row>
    <row r="979" spans="1:28" x14ac:dyDescent="0.25">
      <c r="A979" t="s">
        <v>6486</v>
      </c>
      <c r="B979" t="s">
        <v>7889</v>
      </c>
      <c r="C979" t="s">
        <v>6487</v>
      </c>
      <c r="D979" s="10" t="s">
        <v>4463</v>
      </c>
      <c r="E979" s="10" t="s">
        <v>3546</v>
      </c>
      <c r="H979" t="s">
        <v>57</v>
      </c>
      <c r="I979" s="17">
        <v>-1.2687882589403601</v>
      </c>
      <c r="J979" s="17">
        <v>0.12902936481809901</v>
      </c>
      <c r="K979" s="21">
        <v>6</v>
      </c>
      <c r="L979" s="27">
        <v>9238749.9322057702</v>
      </c>
      <c r="M979" s="22">
        <v>1.4729559225003892E-2</v>
      </c>
      <c r="N979" s="21">
        <v>7</v>
      </c>
      <c r="O979" s="27">
        <v>7497000.3886130294</v>
      </c>
      <c r="P979" s="22">
        <v>1.2057323260896029E-2</v>
      </c>
      <c r="Q979" s="21">
        <v>6</v>
      </c>
      <c r="R979" s="27">
        <v>8560596.3131937552</v>
      </c>
      <c r="S979" s="22">
        <v>1.384875768371214E-2</v>
      </c>
      <c r="T979" s="23">
        <v>6</v>
      </c>
      <c r="U979" s="28">
        <v>7624488.797742039</v>
      </c>
      <c r="V979" s="24">
        <v>1.2135573732460226E-2</v>
      </c>
      <c r="W979" s="23">
        <v>7</v>
      </c>
      <c r="X979" s="28">
        <v>6819792.7096815165</v>
      </c>
      <c r="Y979" s="24">
        <v>1.0618402757095361E-2</v>
      </c>
      <c r="Z979" s="23">
        <v>6</v>
      </c>
      <c r="AA979" s="28">
        <v>7198495.5303338496</v>
      </c>
      <c r="AB979" s="24">
        <v>1.1375689405876613E-2</v>
      </c>
    </row>
    <row r="980" spans="1:28" x14ac:dyDescent="0.25">
      <c r="A980" t="s">
        <v>6763</v>
      </c>
      <c r="B980" t="s">
        <v>7984</v>
      </c>
      <c r="C980" t="s">
        <v>6765</v>
      </c>
      <c r="D980" s="10" t="s">
        <v>6764</v>
      </c>
      <c r="E980" s="10" t="s">
        <v>3546</v>
      </c>
      <c r="I980" s="17">
        <v>-1.27032518663726</v>
      </c>
      <c r="J980" s="17">
        <v>0.42078061853163801</v>
      </c>
      <c r="K980" s="21">
        <v>2</v>
      </c>
      <c r="L980" s="27">
        <v>155087.339223944</v>
      </c>
      <c r="M980" s="22">
        <v>1.2210342788797806E-3</v>
      </c>
      <c r="N980" s="21">
        <v>0</v>
      </c>
      <c r="O980" s="27">
        <v>234639.22766172449</v>
      </c>
      <c r="P980" s="22">
        <v>1.8635410516171123E-3</v>
      </c>
      <c r="Q980" s="21">
        <v>2</v>
      </c>
      <c r="R980" s="27">
        <v>320804.65835696337</v>
      </c>
      <c r="S980" s="22">
        <v>2.562845566528272E-3</v>
      </c>
      <c r="T980" s="23">
        <v>0</v>
      </c>
      <c r="U980" s="28">
        <v>138190.89274269404</v>
      </c>
      <c r="V980" s="24">
        <v>1.0861854415055378E-3</v>
      </c>
      <c r="W980" s="23">
        <v>1</v>
      </c>
      <c r="X980" s="28">
        <v>143112.72511345029</v>
      </c>
      <c r="Y980" s="24">
        <v>1.1003763402019468E-3</v>
      </c>
      <c r="Z980" s="23">
        <v>2</v>
      </c>
      <c r="AA980" s="28">
        <v>313834.46647305245</v>
      </c>
      <c r="AB980" s="24">
        <v>2.449128638549276E-3</v>
      </c>
    </row>
    <row r="981" spans="1:28" x14ac:dyDescent="0.25">
      <c r="A981" t="s">
        <v>6676</v>
      </c>
      <c r="B981" t="s">
        <v>7955</v>
      </c>
      <c r="C981" t="s">
        <v>6678</v>
      </c>
      <c r="D981" s="10" t="s">
        <v>6677</v>
      </c>
      <c r="E981" s="10" t="s">
        <v>3546</v>
      </c>
      <c r="I981" s="17">
        <v>-1.2771913358157201</v>
      </c>
      <c r="J981" s="17">
        <v>0.10744947560873901</v>
      </c>
      <c r="K981" s="21">
        <v>4</v>
      </c>
      <c r="L981" s="27">
        <v>4279334.98065174</v>
      </c>
      <c r="M981" s="22">
        <v>1.3312479529273601E-2</v>
      </c>
      <c r="N981" s="21">
        <v>4</v>
      </c>
      <c r="O981" s="27">
        <v>3856134.2907558256</v>
      </c>
      <c r="P981" s="22">
        <v>1.2101010881355768E-2</v>
      </c>
      <c r="Q981" s="21">
        <v>3</v>
      </c>
      <c r="R981" s="27">
        <v>3777173.584832062</v>
      </c>
      <c r="S981" s="22">
        <v>1.1922844303420988E-2</v>
      </c>
      <c r="T981" s="23">
        <v>3</v>
      </c>
      <c r="U981" s="28">
        <v>3608752.7075875779</v>
      </c>
      <c r="V981" s="24">
        <v>1.1207605497622609E-2</v>
      </c>
      <c r="W981" s="23">
        <v>3</v>
      </c>
      <c r="X981" s="28">
        <v>3709379.046976632</v>
      </c>
      <c r="Y981" s="24">
        <v>1.1269259109874055E-2</v>
      </c>
      <c r="Z981" s="23">
        <v>4</v>
      </c>
      <c r="AA981" s="28">
        <v>2838365.3481900538</v>
      </c>
      <c r="AB981" s="24">
        <v>8.7520625522720247E-3</v>
      </c>
    </row>
    <row r="982" spans="1:28" x14ac:dyDescent="0.25">
      <c r="A982" t="s">
        <v>6453</v>
      </c>
      <c r="B982" t="s">
        <v>7878</v>
      </c>
      <c r="C982" t="s">
        <v>6455</v>
      </c>
      <c r="D982" s="10" t="s">
        <v>6454</v>
      </c>
      <c r="E982" s="10" t="s">
        <v>3546</v>
      </c>
      <c r="H982" t="s">
        <v>172</v>
      </c>
      <c r="I982" s="17">
        <v>-1.2798002907449999</v>
      </c>
      <c r="J982" s="17">
        <v>0.145585394903472</v>
      </c>
      <c r="K982" s="21">
        <v>3</v>
      </c>
      <c r="L982" s="27">
        <v>979868.24416911602</v>
      </c>
      <c r="M982" s="22">
        <v>2.0488226847237157E-3</v>
      </c>
      <c r="N982" s="21">
        <v>1</v>
      </c>
      <c r="O982" s="27">
        <v>1060750.7344914142</v>
      </c>
      <c r="P982" s="22">
        <v>2.2373651260767617E-3</v>
      </c>
      <c r="Q982" s="21">
        <v>2</v>
      </c>
      <c r="R982" s="27">
        <v>847168.64740717539</v>
      </c>
      <c r="S982" s="22">
        <v>1.7973672548493138E-3</v>
      </c>
      <c r="T982" s="23">
        <v>2</v>
      </c>
      <c r="U982" s="28">
        <v>890168.74379839667</v>
      </c>
      <c r="V982" s="24">
        <v>1.858155587141079E-3</v>
      </c>
      <c r="W982" s="23">
        <v>1</v>
      </c>
      <c r="X982" s="28">
        <v>702136.13240339945</v>
      </c>
      <c r="Y982" s="24">
        <v>1.433737004762519E-3</v>
      </c>
      <c r="Z982" s="23">
        <v>1</v>
      </c>
      <c r="AA982" s="28">
        <v>841669.2680765551</v>
      </c>
      <c r="AB982" s="24">
        <v>1.7443659817324869E-3</v>
      </c>
    </row>
    <row r="983" spans="1:28" x14ac:dyDescent="0.25">
      <c r="A983" t="s">
        <v>6685</v>
      </c>
      <c r="B983" t="s">
        <v>7958</v>
      </c>
      <c r="C983" t="s">
        <v>6687</v>
      </c>
      <c r="D983" s="10" t="s">
        <v>6686</v>
      </c>
      <c r="E983" s="10" t="s">
        <v>3546</v>
      </c>
      <c r="I983" s="17">
        <v>-1.28875139161056</v>
      </c>
      <c r="J983" s="17">
        <v>0.117590090505579</v>
      </c>
      <c r="K983" s="21">
        <v>1</v>
      </c>
      <c r="L983" s="27">
        <v>1390829.7037287899</v>
      </c>
      <c r="M983" s="22">
        <v>4.2236818046755935E-3</v>
      </c>
      <c r="N983" s="21">
        <v>2</v>
      </c>
      <c r="O983" s="27">
        <v>2092852.4868148917</v>
      </c>
      <c r="P983" s="22">
        <v>6.4112496205751745E-3</v>
      </c>
      <c r="Q983" s="21">
        <v>1</v>
      </c>
      <c r="R983" s="27">
        <v>1392536.9439257728</v>
      </c>
      <c r="S983" s="22">
        <v>4.2909575780753894E-3</v>
      </c>
      <c r="T983" s="23">
        <v>1</v>
      </c>
      <c r="U983" s="28">
        <v>1271987.1716572123</v>
      </c>
      <c r="V983" s="24">
        <v>3.8563195183746145E-3</v>
      </c>
      <c r="W983" s="23">
        <v>1</v>
      </c>
      <c r="X983" s="28">
        <v>1474488.1905854749</v>
      </c>
      <c r="Y983" s="24">
        <v>4.3729047228443021E-3</v>
      </c>
      <c r="Z983" s="23">
        <v>0</v>
      </c>
      <c r="AA983" s="28">
        <v>1340111.4710199099</v>
      </c>
      <c r="AB983" s="24">
        <v>4.0338301509266292E-3</v>
      </c>
    </row>
    <row r="984" spans="1:28" x14ac:dyDescent="0.25">
      <c r="A984" t="s">
        <v>6450</v>
      </c>
      <c r="B984" t="s">
        <v>7877</v>
      </c>
      <c r="C984" t="s">
        <v>6452</v>
      </c>
      <c r="D984" s="10" t="s">
        <v>6451</v>
      </c>
      <c r="E984" s="10" t="s">
        <v>3546</v>
      </c>
      <c r="H984" t="s">
        <v>172</v>
      </c>
      <c r="I984" s="17">
        <v>-1.2888949047912699</v>
      </c>
      <c r="J984" s="17">
        <v>4.8635803152740999E-2</v>
      </c>
      <c r="K984" s="21">
        <v>4</v>
      </c>
      <c r="L984" s="27">
        <v>1858461.9262507199</v>
      </c>
      <c r="M984" s="22">
        <v>4.6661262141120229E-3</v>
      </c>
      <c r="N984" s="21">
        <v>2</v>
      </c>
      <c r="O984" s="27">
        <v>2299423.6792664854</v>
      </c>
      <c r="P984" s="22">
        <v>5.8238294115615322E-3</v>
      </c>
      <c r="Q984" s="21">
        <v>4</v>
      </c>
      <c r="R984" s="27">
        <v>1861983.3033885607</v>
      </c>
      <c r="S984" s="22">
        <v>4.743608685371146E-3</v>
      </c>
      <c r="T984" s="23">
        <v>4</v>
      </c>
      <c r="U984" s="28">
        <v>1802086.952659016</v>
      </c>
      <c r="V984" s="24">
        <v>4.5170156954224333E-3</v>
      </c>
      <c r="W984" s="23">
        <v>1</v>
      </c>
      <c r="X984" s="28">
        <v>1674096.7691013059</v>
      </c>
      <c r="Y984" s="24">
        <v>4.1048269481566433E-3</v>
      </c>
      <c r="Z984" s="23">
        <v>3</v>
      </c>
      <c r="AA984" s="28">
        <v>1560808.1928081878</v>
      </c>
      <c r="AB984" s="24">
        <v>3.8842913463657609E-3</v>
      </c>
    </row>
    <row r="985" spans="1:28" x14ac:dyDescent="0.25">
      <c r="A985" t="s">
        <v>6498</v>
      </c>
      <c r="B985" t="s">
        <v>7894</v>
      </c>
      <c r="C985" t="s">
        <v>6500</v>
      </c>
      <c r="D985" s="10" t="s">
        <v>6499</v>
      </c>
      <c r="E985" s="10" t="s">
        <v>3546</v>
      </c>
      <c r="H985" t="s">
        <v>57</v>
      </c>
      <c r="I985" s="17">
        <v>-1.2962451061018601</v>
      </c>
      <c r="J985" s="17">
        <v>0.334238860710875</v>
      </c>
      <c r="K985" s="21">
        <v>5</v>
      </c>
      <c r="L985" s="27">
        <v>1971367.8226302799</v>
      </c>
      <c r="M985" s="22">
        <v>5.3957059359681699E-3</v>
      </c>
      <c r="N985" s="21">
        <v>3</v>
      </c>
      <c r="O985" s="27">
        <v>1147684.9394800055</v>
      </c>
      <c r="P985" s="22">
        <v>3.1687656692818604E-3</v>
      </c>
      <c r="Q985" s="21">
        <v>5</v>
      </c>
      <c r="R985" s="27">
        <v>1840125.0346129488</v>
      </c>
      <c r="S985" s="22">
        <v>5.1104389291804012E-3</v>
      </c>
      <c r="T985" s="23">
        <v>4</v>
      </c>
      <c r="U985" s="28">
        <v>1236094.4182441388</v>
      </c>
      <c r="V985" s="24">
        <v>3.3775773079928488E-3</v>
      </c>
      <c r="W985" s="23">
        <v>0</v>
      </c>
      <c r="X985" s="28">
        <v>1478715.8403713144</v>
      </c>
      <c r="Y985" s="24">
        <v>3.9525449291436341E-3</v>
      </c>
      <c r="Z985" s="23">
        <v>2</v>
      </c>
      <c r="AA985" s="28">
        <v>1481338.582319825</v>
      </c>
      <c r="AB985" s="24">
        <v>4.0187814713742798E-3</v>
      </c>
    </row>
    <row r="986" spans="1:28" x14ac:dyDescent="0.25">
      <c r="A986" t="s">
        <v>6477</v>
      </c>
      <c r="B986" t="s">
        <v>7886</v>
      </c>
      <c r="C986" t="s">
        <v>6479</v>
      </c>
      <c r="D986" s="10" t="s">
        <v>6478</v>
      </c>
      <c r="E986" s="10" t="s">
        <v>3546</v>
      </c>
      <c r="H986" t="s">
        <v>57</v>
      </c>
      <c r="I986" s="17">
        <v>-1.2970129447194301</v>
      </c>
      <c r="J986" s="17">
        <v>2.1137420210509902E-2</v>
      </c>
      <c r="K986" s="21">
        <v>9</v>
      </c>
      <c r="L986" s="27">
        <v>5309241.0711064404</v>
      </c>
      <c r="M986" s="22">
        <v>1.5320632736385847E-2</v>
      </c>
      <c r="N986" s="21">
        <v>8</v>
      </c>
      <c r="O986" s="27">
        <v>5908263.2300447393</v>
      </c>
      <c r="P986" s="22">
        <v>1.7198514031843706E-2</v>
      </c>
      <c r="Q986" s="21">
        <v>11</v>
      </c>
      <c r="R986" s="27">
        <v>5526105.1972450605</v>
      </c>
      <c r="S986" s="22">
        <v>1.6180564323898455E-2</v>
      </c>
      <c r="T986" s="23">
        <v>6</v>
      </c>
      <c r="U986" s="28">
        <v>4960392.0681743128</v>
      </c>
      <c r="V986" s="24">
        <v>1.4290035398462493E-2</v>
      </c>
      <c r="W986" s="23">
        <v>5</v>
      </c>
      <c r="X986" s="28">
        <v>4546286.9456229471</v>
      </c>
      <c r="Y986" s="24">
        <v>1.2811871698815678E-2</v>
      </c>
      <c r="Z986" s="23">
        <v>4</v>
      </c>
      <c r="AA986" s="28">
        <v>4425699.2183277886</v>
      </c>
      <c r="AB986" s="24">
        <v>1.2658597733707162E-2</v>
      </c>
    </row>
    <row r="987" spans="1:28" x14ac:dyDescent="0.25">
      <c r="A987" t="s">
        <v>6626</v>
      </c>
      <c r="B987" t="s">
        <v>7938</v>
      </c>
      <c r="C987" t="s">
        <v>6628</v>
      </c>
      <c r="D987" s="10" t="s">
        <v>6627</v>
      </c>
      <c r="E987" s="10" t="s">
        <v>3546</v>
      </c>
      <c r="I987" s="17">
        <v>-1.29877911982168</v>
      </c>
      <c r="J987" s="17">
        <v>2.39642062694835E-2</v>
      </c>
      <c r="K987" s="21">
        <v>3</v>
      </c>
      <c r="L987" s="27">
        <v>1713492.0568186999</v>
      </c>
      <c r="M987" s="22">
        <v>6.1736976897849849E-3</v>
      </c>
      <c r="N987" s="21">
        <v>3</v>
      </c>
      <c r="O987" s="27">
        <v>1725377.8043574493</v>
      </c>
      <c r="P987" s="22">
        <v>6.2709639353895662E-3</v>
      </c>
      <c r="Q987" s="21">
        <v>3</v>
      </c>
      <c r="R987" s="27">
        <v>1853475.0945055927</v>
      </c>
      <c r="S987" s="22">
        <v>6.7761073590793695E-3</v>
      </c>
      <c r="T987" s="23">
        <v>1</v>
      </c>
      <c r="U987" s="28">
        <v>1570698.4417315954</v>
      </c>
      <c r="V987" s="24">
        <v>5.6497485638641043E-3</v>
      </c>
      <c r="W987" s="23">
        <v>0</v>
      </c>
      <c r="X987" s="28">
        <v>1486207.1030612227</v>
      </c>
      <c r="Y987" s="24">
        <v>5.2294266696398181E-3</v>
      </c>
      <c r="Z987" s="23">
        <v>1</v>
      </c>
      <c r="AA987" s="28">
        <v>1348678.131322541</v>
      </c>
      <c r="AB987" s="24">
        <v>4.8164940378324457E-3</v>
      </c>
    </row>
    <row r="988" spans="1:28" x14ac:dyDescent="0.25">
      <c r="A988" t="s">
        <v>6491</v>
      </c>
      <c r="B988" t="s">
        <v>7891</v>
      </c>
      <c r="C988" t="s">
        <v>6492</v>
      </c>
      <c r="D988" s="10" t="s">
        <v>5250</v>
      </c>
      <c r="E988" s="10" t="s">
        <v>3546</v>
      </c>
      <c r="H988" t="s">
        <v>57</v>
      </c>
      <c r="I988" s="17">
        <v>-1.3107451049813501</v>
      </c>
      <c r="J988" s="17">
        <v>0.19271678018661201</v>
      </c>
      <c r="K988" s="21">
        <v>3</v>
      </c>
      <c r="L988" s="27">
        <v>3709408.01866529</v>
      </c>
      <c r="M988" s="22">
        <v>7.4860729353106023E-3</v>
      </c>
      <c r="N988" s="21">
        <v>2</v>
      </c>
      <c r="O988" s="27">
        <v>2761739.7460408034</v>
      </c>
      <c r="P988" s="22">
        <v>5.6223649213928105E-3</v>
      </c>
      <c r="Q988" s="21">
        <v>3</v>
      </c>
      <c r="R988" s="27">
        <v>4205594.6063801572</v>
      </c>
      <c r="S988" s="22">
        <v>8.6120613370849041E-3</v>
      </c>
      <c r="T988" s="23">
        <v>3</v>
      </c>
      <c r="U988" s="28">
        <v>3212827.2507345448</v>
      </c>
      <c r="V988" s="24">
        <v>6.4730634797648149E-3</v>
      </c>
      <c r="W988" s="23">
        <v>3</v>
      </c>
      <c r="X988" s="28">
        <v>2724036.6001455262</v>
      </c>
      <c r="Y988" s="24">
        <v>5.3687584783810192E-3</v>
      </c>
      <c r="Z988" s="23">
        <v>2</v>
      </c>
      <c r="AA988" s="28">
        <v>2874275.3414553432</v>
      </c>
      <c r="AB988" s="24">
        <v>5.7495951342526209E-3</v>
      </c>
    </row>
    <row r="989" spans="1:28" x14ac:dyDescent="0.25">
      <c r="A989" t="s">
        <v>6534</v>
      </c>
      <c r="B989" t="s">
        <v>7907</v>
      </c>
      <c r="C989" t="s">
        <v>6536</v>
      </c>
      <c r="D989" s="10" t="s">
        <v>6535</v>
      </c>
      <c r="E989" s="10" t="s">
        <v>3546</v>
      </c>
      <c r="H989" t="s">
        <v>41</v>
      </c>
      <c r="I989" s="17">
        <v>-1.31108646707975</v>
      </c>
      <c r="J989" s="17">
        <v>6.2605498718015407E-2</v>
      </c>
      <c r="K989" s="21">
        <v>9</v>
      </c>
      <c r="L989" s="27">
        <v>6099677.3950719004</v>
      </c>
      <c r="M989" s="22">
        <v>9.7006095345771402E-3</v>
      </c>
      <c r="N989" s="21">
        <v>8</v>
      </c>
      <c r="O989" s="27">
        <v>6950731.3284858558</v>
      </c>
      <c r="P989" s="22">
        <v>1.1150888975104864E-2</v>
      </c>
      <c r="Q989" s="21">
        <v>9</v>
      </c>
      <c r="R989" s="27">
        <v>5319639.9996660929</v>
      </c>
      <c r="S989" s="22">
        <v>8.5842955221709268E-3</v>
      </c>
      <c r="T989" s="23">
        <v>10</v>
      </c>
      <c r="U989" s="28">
        <v>5280998.019691023</v>
      </c>
      <c r="V989" s="24">
        <v>8.3845779360971692E-3</v>
      </c>
      <c r="W989" s="23">
        <v>6</v>
      </c>
      <c r="X989" s="28">
        <v>5155737.3051701356</v>
      </c>
      <c r="Y989" s="24">
        <v>8.0074533948576287E-3</v>
      </c>
      <c r="Z989" s="23">
        <v>7</v>
      </c>
      <c r="AA989" s="28">
        <v>4738549.5426661465</v>
      </c>
      <c r="AB989" s="24">
        <v>7.4695945836304282E-3</v>
      </c>
    </row>
    <row r="990" spans="1:28" x14ac:dyDescent="0.25">
      <c r="A990" t="s">
        <v>6724</v>
      </c>
      <c r="B990" t="s">
        <v>7971</v>
      </c>
      <c r="C990" t="s">
        <v>6726</v>
      </c>
      <c r="D990" s="10" t="s">
        <v>6725</v>
      </c>
      <c r="E990" s="10" t="s">
        <v>3546</v>
      </c>
      <c r="I990" s="17">
        <v>-1.3116950834363099</v>
      </c>
      <c r="J990" s="17">
        <v>0.25111973734783499</v>
      </c>
      <c r="K990" s="21">
        <v>3</v>
      </c>
      <c r="L990" s="27">
        <v>1761695.79309588</v>
      </c>
      <c r="M990" s="22">
        <v>2.0882628947402051E-3</v>
      </c>
      <c r="N990" s="21">
        <v>3</v>
      </c>
      <c r="O990" s="27">
        <v>1284168.2745134502</v>
      </c>
      <c r="P990" s="22">
        <v>1.5355466800935245E-3</v>
      </c>
      <c r="Q990" s="21">
        <v>7</v>
      </c>
      <c r="R990" s="27">
        <v>1915102.3565133433</v>
      </c>
      <c r="S990" s="22">
        <v>2.3034378819677733E-3</v>
      </c>
      <c r="T990" s="23">
        <v>2</v>
      </c>
      <c r="U990" s="28">
        <v>1548842.2687955217</v>
      </c>
      <c r="V990" s="24">
        <v>1.83288193377969E-3</v>
      </c>
      <c r="W990" s="23">
        <v>2</v>
      </c>
      <c r="X990" s="28">
        <v>1090884.8143837827</v>
      </c>
      <c r="Y990" s="24">
        <v>1.2628292475050048E-3</v>
      </c>
      <c r="Z990" s="23">
        <v>3</v>
      </c>
      <c r="AA990" s="28">
        <v>1438804.6789624402</v>
      </c>
      <c r="AB990" s="24">
        <v>1.690501434637777E-3</v>
      </c>
    </row>
    <row r="991" spans="1:28" x14ac:dyDescent="0.25">
      <c r="A991" t="s">
        <v>6513</v>
      </c>
      <c r="B991" t="s">
        <v>7900</v>
      </c>
      <c r="C991" t="s">
        <v>6515</v>
      </c>
      <c r="D991" s="10" t="s">
        <v>6514</v>
      </c>
      <c r="E991" s="10" t="s">
        <v>3546</v>
      </c>
      <c r="H991" t="s">
        <v>57</v>
      </c>
      <c r="I991" s="17">
        <v>-1.3122998102269099</v>
      </c>
      <c r="J991" s="17">
        <v>0.46159208872158097</v>
      </c>
      <c r="K991" s="21">
        <v>3</v>
      </c>
      <c r="L991" s="27">
        <v>1411985.5921529301</v>
      </c>
      <c r="M991" s="22">
        <v>4.0930223356828747E-3</v>
      </c>
      <c r="N991" s="21">
        <v>2</v>
      </c>
      <c r="O991" s="27">
        <v>1071818.5781731217</v>
      </c>
      <c r="P991" s="22">
        <v>3.1341657642886436E-3</v>
      </c>
      <c r="Q991" s="21">
        <v>3</v>
      </c>
      <c r="R991" s="27">
        <v>2547564.9096745597</v>
      </c>
      <c r="S991" s="22">
        <v>7.4932352473105236E-3</v>
      </c>
      <c r="T991" s="23">
        <v>2</v>
      </c>
      <c r="U991" s="28">
        <v>1583628.5392963053</v>
      </c>
      <c r="V991" s="24">
        <v>4.5828982263643103E-3</v>
      </c>
      <c r="W991" s="23">
        <v>2</v>
      </c>
      <c r="X991" s="28">
        <v>1256227.5154457996</v>
      </c>
      <c r="Y991" s="24">
        <v>3.5562610401798801E-3</v>
      </c>
      <c r="Z991" s="23">
        <v>1</v>
      </c>
      <c r="AA991" s="28">
        <v>1264343.2831288932</v>
      </c>
      <c r="AB991" s="24">
        <v>3.6327733484341662E-3</v>
      </c>
    </row>
    <row r="992" spans="1:28" x14ac:dyDescent="0.25">
      <c r="A992" t="s">
        <v>6712</v>
      </c>
      <c r="B992" t="s">
        <v>7967</v>
      </c>
      <c r="C992" t="s">
        <v>6714</v>
      </c>
      <c r="D992" s="10" t="s">
        <v>6713</v>
      </c>
      <c r="E992" s="10" t="s">
        <v>3546</v>
      </c>
      <c r="I992" s="17">
        <v>-1.31441815300287</v>
      </c>
      <c r="J992" s="17">
        <v>0.18464002896684401</v>
      </c>
      <c r="K992" s="21">
        <v>5</v>
      </c>
      <c r="L992" s="27">
        <v>3348953.6497738301</v>
      </c>
      <c r="M992" s="22">
        <v>1.0625505725462565E-2</v>
      </c>
      <c r="N992" s="21">
        <v>1</v>
      </c>
      <c r="O992" s="27">
        <v>2381664.83968694</v>
      </c>
      <c r="P992" s="22">
        <v>7.62268459826321E-3</v>
      </c>
      <c r="Q992" s="21">
        <v>3</v>
      </c>
      <c r="R992" s="27">
        <v>3146338.0800465243</v>
      </c>
      <c r="S992" s="22">
        <v>1.012922268716282E-2</v>
      </c>
      <c r="T992" s="23">
        <v>4</v>
      </c>
      <c r="U992" s="28">
        <v>2675942.1455035433</v>
      </c>
      <c r="V992" s="24">
        <v>8.4759861060682389E-3</v>
      </c>
      <c r="W992" s="23">
        <v>0</v>
      </c>
      <c r="X992" s="28">
        <v>2239734.270776635</v>
      </c>
      <c r="Y992" s="24">
        <v>6.9398238810413054E-3</v>
      </c>
      <c r="Z992" s="23">
        <v>3</v>
      </c>
      <c r="AA992" s="28">
        <v>2416980.8694239981</v>
      </c>
      <c r="AB992" s="24">
        <v>7.6010420198814018E-3</v>
      </c>
    </row>
    <row r="993" spans="1:28" x14ac:dyDescent="0.25">
      <c r="A993" t="s">
        <v>6528</v>
      </c>
      <c r="B993" t="s">
        <v>7905</v>
      </c>
      <c r="C993" t="s">
        <v>6530</v>
      </c>
      <c r="D993" s="10" t="s">
        <v>6529</v>
      </c>
      <c r="E993" s="10" t="s">
        <v>3546</v>
      </c>
      <c r="H993" t="s">
        <v>41</v>
      </c>
      <c r="I993" s="17">
        <v>-1.3146231940739499</v>
      </c>
      <c r="J993" s="17">
        <v>6.1733942339242702E-3</v>
      </c>
      <c r="K993" s="21">
        <v>4</v>
      </c>
      <c r="L993" s="27">
        <v>1137558.7286509001</v>
      </c>
      <c r="M993" s="22">
        <v>3.8794374226871239E-3</v>
      </c>
      <c r="N993" s="21">
        <v>4</v>
      </c>
      <c r="O993" s="27">
        <v>1195753.467377383</v>
      </c>
      <c r="P993" s="22">
        <v>4.113612746106431E-3</v>
      </c>
      <c r="Q993" s="21">
        <v>4</v>
      </c>
      <c r="R993" s="27">
        <v>1145472.938776376</v>
      </c>
      <c r="S993" s="22">
        <v>3.9637843352403014E-3</v>
      </c>
      <c r="T993" s="23">
        <v>4</v>
      </c>
      <c r="U993" s="28">
        <v>939927.98418761278</v>
      </c>
      <c r="V993" s="24">
        <v>3.2000926128931853E-3</v>
      </c>
      <c r="W993" s="23">
        <v>2</v>
      </c>
      <c r="X993" s="28">
        <v>955663.0490316872</v>
      </c>
      <c r="Y993" s="24">
        <v>3.1828135541897029E-3</v>
      </c>
      <c r="Z993" s="23">
        <v>4</v>
      </c>
      <c r="AA993" s="28">
        <v>969945.58881392435</v>
      </c>
      <c r="AB993" s="24">
        <v>3.2787004749631628E-3</v>
      </c>
    </row>
    <row r="994" spans="1:28" x14ac:dyDescent="0.25">
      <c r="A994" t="s">
        <v>6647</v>
      </c>
      <c r="B994" t="s">
        <v>7945</v>
      </c>
      <c r="C994" t="s">
        <v>6649</v>
      </c>
      <c r="D994" s="10" t="s">
        <v>6648</v>
      </c>
      <c r="E994" s="10" t="s">
        <v>3546</v>
      </c>
      <c r="I994" s="17">
        <v>-1.3215448010889299</v>
      </c>
      <c r="J994" s="17">
        <v>5.32001041599071E-2</v>
      </c>
      <c r="K994" s="21">
        <v>8</v>
      </c>
      <c r="L994" s="27">
        <v>11240804.454689501</v>
      </c>
      <c r="M994" s="22">
        <v>3.3342292966897578E-2</v>
      </c>
      <c r="N994" s="21">
        <v>4</v>
      </c>
      <c r="O994" s="27">
        <v>9775319.8468442801</v>
      </c>
      <c r="P994" s="22">
        <v>2.9249327082763458E-2</v>
      </c>
      <c r="Q994" s="21">
        <v>9</v>
      </c>
      <c r="R994" s="27">
        <v>10497459.527920924</v>
      </c>
      <c r="S994" s="22">
        <v>3.1594576538899133E-2</v>
      </c>
      <c r="T994" s="23">
        <v>4</v>
      </c>
      <c r="U994" s="28">
        <v>8576127.4388136156</v>
      </c>
      <c r="V994" s="24">
        <v>2.5395825827423807E-2</v>
      </c>
      <c r="W994" s="23">
        <v>5</v>
      </c>
      <c r="X994" s="28">
        <v>9888810.6417792086</v>
      </c>
      <c r="Y994" s="24">
        <v>2.8645315638678517E-2</v>
      </c>
      <c r="Z994" s="23">
        <v>7</v>
      </c>
      <c r="AA994" s="28">
        <v>7557753.9688230492</v>
      </c>
      <c r="AB994" s="24">
        <v>2.2220317899166012E-2</v>
      </c>
    </row>
    <row r="995" spans="1:28" x14ac:dyDescent="0.25">
      <c r="A995" t="s">
        <v>6653</v>
      </c>
      <c r="B995" t="s">
        <v>7947</v>
      </c>
      <c r="C995" t="s">
        <v>6655</v>
      </c>
      <c r="D995" s="10" t="s">
        <v>6654</v>
      </c>
      <c r="E995" s="10" t="s">
        <v>3546</v>
      </c>
      <c r="I995" s="17">
        <v>-1.32226208916343</v>
      </c>
      <c r="J995" s="17">
        <v>7.4485085941681198E-2</v>
      </c>
      <c r="K995" s="21">
        <v>2</v>
      </c>
      <c r="L995" s="27">
        <v>750989.77300622198</v>
      </c>
      <c r="M995" s="22">
        <v>1.0211692069483525E-3</v>
      </c>
      <c r="N995" s="21">
        <v>2</v>
      </c>
      <c r="O995" s="27">
        <v>683403.88421852712</v>
      </c>
      <c r="P995" s="22">
        <v>9.3740650462278627E-4</v>
      </c>
      <c r="Q995" s="21">
        <v>4</v>
      </c>
      <c r="R995" s="27">
        <v>828571.02338208968</v>
      </c>
      <c r="S995" s="22">
        <v>1.1432038762585156E-3</v>
      </c>
      <c r="T995" s="23">
        <v>1</v>
      </c>
      <c r="U995" s="28">
        <v>636681.85716586979</v>
      </c>
      <c r="V995" s="24">
        <v>8.6428943770992881E-4</v>
      </c>
      <c r="W995" s="23">
        <v>0</v>
      </c>
      <c r="X995" s="28">
        <v>545946.39388528152</v>
      </c>
      <c r="Y995" s="24">
        <v>7.2497857156312651E-4</v>
      </c>
      <c r="Z995" s="23">
        <v>1</v>
      </c>
      <c r="AA995" s="28">
        <v>664597.6105395006</v>
      </c>
      <c r="AB995" s="24">
        <v>8.9573988085641222E-4</v>
      </c>
    </row>
    <row r="996" spans="1:28" x14ac:dyDescent="0.25">
      <c r="A996" t="s">
        <v>6838</v>
      </c>
      <c r="B996" t="s">
        <v>8009</v>
      </c>
      <c r="C996" t="s">
        <v>6840</v>
      </c>
      <c r="D996" s="10" t="s">
        <v>6839</v>
      </c>
      <c r="E996" s="10" t="s">
        <v>3546</v>
      </c>
      <c r="I996" s="17">
        <v>-1.32391623107764</v>
      </c>
      <c r="J996" s="17">
        <v>8.1242127385718205E-2</v>
      </c>
      <c r="K996" s="21">
        <v>7</v>
      </c>
      <c r="L996" s="27">
        <v>10561290.7579135</v>
      </c>
      <c r="M996" s="22">
        <v>3.0202901500530652E-2</v>
      </c>
      <c r="N996" s="21">
        <v>5</v>
      </c>
      <c r="O996" s="27">
        <v>8363191.0047178147</v>
      </c>
      <c r="P996" s="22">
        <v>2.4126288413002892E-2</v>
      </c>
      <c r="Q996" s="21">
        <v>5</v>
      </c>
      <c r="R996" s="27">
        <v>10130549.929391362</v>
      </c>
      <c r="S996" s="22">
        <v>2.9396454147413233E-2</v>
      </c>
      <c r="T996" s="23">
        <v>6</v>
      </c>
      <c r="U996" s="28">
        <v>8230374.1530476892</v>
      </c>
      <c r="V996" s="24">
        <v>2.3497642366351618E-2</v>
      </c>
      <c r="W996" s="23">
        <v>5</v>
      </c>
      <c r="X996" s="28">
        <v>8394408.0527318399</v>
      </c>
      <c r="Y996" s="24">
        <v>2.3444081614724381E-2</v>
      </c>
      <c r="Z996" s="23">
        <v>6</v>
      </c>
      <c r="AA996" s="28">
        <v>7272604.1092926441</v>
      </c>
      <c r="AB996" s="24">
        <v>2.0614891901234823E-2</v>
      </c>
    </row>
    <row r="997" spans="1:28" x14ac:dyDescent="0.25">
      <c r="A997" t="s">
        <v>6474</v>
      </c>
      <c r="B997" t="s">
        <v>7885</v>
      </c>
      <c r="C997" t="s">
        <v>6476</v>
      </c>
      <c r="D997" s="10" t="s">
        <v>6475</v>
      </c>
      <c r="E997" s="10" t="s">
        <v>3546</v>
      </c>
      <c r="H997" t="s">
        <v>57</v>
      </c>
      <c r="I997" s="17">
        <v>-1.3331615194864499</v>
      </c>
      <c r="J997" s="17">
        <v>1.1193806095292001E-2</v>
      </c>
      <c r="K997" s="21">
        <v>4</v>
      </c>
      <c r="L997" s="27">
        <v>2420343.5259538102</v>
      </c>
      <c r="M997" s="22">
        <v>3.5483322969809168E-3</v>
      </c>
      <c r="N997" s="21">
        <v>2</v>
      </c>
      <c r="O997" s="27">
        <v>2871972.620589274</v>
      </c>
      <c r="P997" s="22">
        <v>4.2473143112143558E-3</v>
      </c>
      <c r="Q997" s="21">
        <v>4</v>
      </c>
      <c r="R997" s="27">
        <v>2656744.78677982</v>
      </c>
      <c r="S997" s="22">
        <v>3.9520949493137116E-3</v>
      </c>
      <c r="T997" s="23">
        <v>4</v>
      </c>
      <c r="U997" s="28">
        <v>2209961.526212649</v>
      </c>
      <c r="V997" s="24">
        <v>3.2344841698262183E-3</v>
      </c>
      <c r="W997" s="23">
        <v>3</v>
      </c>
      <c r="X997" s="28">
        <v>2049530.0868202776</v>
      </c>
      <c r="Y997" s="24">
        <v>2.9343576919375241E-3</v>
      </c>
      <c r="Z997" s="23">
        <v>3</v>
      </c>
      <c r="AA997" s="28">
        <v>2164683.5892798663</v>
      </c>
      <c r="AB997" s="24">
        <v>3.1455829751984967E-3</v>
      </c>
    </row>
    <row r="998" spans="1:28" x14ac:dyDescent="0.25">
      <c r="A998" t="s">
        <v>6650</v>
      </c>
      <c r="B998" t="s">
        <v>7946</v>
      </c>
      <c r="C998" t="s">
        <v>6652</v>
      </c>
      <c r="D998" s="10" t="s">
        <v>6651</v>
      </c>
      <c r="E998" s="10" t="s">
        <v>3546</v>
      </c>
      <c r="I998" s="17">
        <v>-1.3335655152914501</v>
      </c>
      <c r="J998" s="17">
        <v>5.4053205073341402E-2</v>
      </c>
      <c r="K998" s="21">
        <v>2</v>
      </c>
      <c r="L998" s="27">
        <v>1417236.4647631</v>
      </c>
      <c r="M998" s="22">
        <v>5.6137487602085359E-3</v>
      </c>
      <c r="N998" s="21">
        <v>2</v>
      </c>
      <c r="O998" s="27">
        <v>1708156.5170392953</v>
      </c>
      <c r="P998" s="22">
        <v>6.8253534916407855E-3</v>
      </c>
      <c r="Q998" s="21">
        <v>2</v>
      </c>
      <c r="R998" s="27">
        <v>1284955.5272241717</v>
      </c>
      <c r="S998" s="22">
        <v>5.1645086683256552E-3</v>
      </c>
      <c r="T998" s="23">
        <v>2</v>
      </c>
      <c r="U998" s="28">
        <v>1124319.5285075491</v>
      </c>
      <c r="V998" s="24">
        <v>4.4460408836799878E-3</v>
      </c>
      <c r="W998" s="23">
        <v>3</v>
      </c>
      <c r="X998" s="28">
        <v>1412739.4802362139</v>
      </c>
      <c r="Y998" s="24">
        <v>5.4649251396120058E-3</v>
      </c>
      <c r="Z998" s="23">
        <v>2</v>
      </c>
      <c r="AA998" s="28">
        <v>1061608.3233981908</v>
      </c>
      <c r="AB998" s="24">
        <v>4.168064363370509E-3</v>
      </c>
    </row>
    <row r="999" spans="1:28" x14ac:dyDescent="0.25">
      <c r="A999" t="s">
        <v>6579</v>
      </c>
      <c r="B999" t="s">
        <v>7922</v>
      </c>
      <c r="C999" t="s">
        <v>6580</v>
      </c>
      <c r="D999" s="10" t="s">
        <v>6143</v>
      </c>
      <c r="E999" s="10" t="s">
        <v>3546</v>
      </c>
      <c r="H999" t="s">
        <v>104</v>
      </c>
      <c r="I999" s="17">
        <v>-1.33504449013726</v>
      </c>
      <c r="J999" s="17">
        <v>5.1327709608970901E-2</v>
      </c>
      <c r="K999" s="21">
        <v>28</v>
      </c>
      <c r="L999" s="27">
        <v>32659984.064253502</v>
      </c>
      <c r="M999" s="22">
        <v>1.835086909361738E-2</v>
      </c>
      <c r="N999" s="21">
        <v>22</v>
      </c>
      <c r="O999" s="27">
        <v>47426974.62465477</v>
      </c>
      <c r="P999" s="22">
        <v>2.6881464348153031E-2</v>
      </c>
      <c r="Q999" s="21">
        <v>24</v>
      </c>
      <c r="R999" s="27">
        <v>35031153.667617224</v>
      </c>
      <c r="S999" s="22">
        <v>1.9972175257544973E-2</v>
      </c>
      <c r="T999" s="23">
        <v>18</v>
      </c>
      <c r="U999" s="28">
        <v>28424827.892522726</v>
      </c>
      <c r="V999" s="24">
        <v>1.5944523912339279E-2</v>
      </c>
      <c r="W999" s="23">
        <v>15</v>
      </c>
      <c r="X999" s="28">
        <v>31199844.745824534</v>
      </c>
      <c r="Y999" s="24">
        <v>1.7120032412477754E-2</v>
      </c>
      <c r="Z999" s="23">
        <v>18</v>
      </c>
      <c r="AA999" s="28">
        <v>33322414.01774073</v>
      </c>
      <c r="AB999" s="24">
        <v>1.8558230834943668E-2</v>
      </c>
    </row>
    <row r="1000" spans="1:28" x14ac:dyDescent="0.25">
      <c r="A1000" t="s">
        <v>6506</v>
      </c>
      <c r="B1000" t="s">
        <v>7897</v>
      </c>
      <c r="C1000" t="s">
        <v>6507</v>
      </c>
      <c r="D1000" s="10" t="s">
        <v>5250</v>
      </c>
      <c r="E1000" s="10" t="s">
        <v>3546</v>
      </c>
      <c r="H1000" t="s">
        <v>57</v>
      </c>
      <c r="I1000" s="17">
        <v>-1.3444205032786001</v>
      </c>
      <c r="J1000" s="17">
        <v>0.42641067227734702</v>
      </c>
      <c r="K1000" s="21">
        <v>3</v>
      </c>
      <c r="L1000" s="27">
        <v>1228464.7367698301</v>
      </c>
      <c r="M1000" s="22">
        <v>2.0191449594014247E-3</v>
      </c>
      <c r="N1000" s="21">
        <v>1</v>
      </c>
      <c r="O1000" s="27">
        <v>630584.15907880827</v>
      </c>
      <c r="P1000" s="22">
        <v>1.0455256542613927E-3</v>
      </c>
      <c r="Q1000" s="21">
        <v>3</v>
      </c>
      <c r="R1000" s="27">
        <v>1244093.3926975266</v>
      </c>
      <c r="S1000" s="22">
        <v>2.0748564150023636E-3</v>
      </c>
      <c r="T1000" s="23">
        <v>1</v>
      </c>
      <c r="U1000" s="28">
        <v>1000595.4609330553</v>
      </c>
      <c r="V1000" s="24">
        <v>1.6418609614139504E-3</v>
      </c>
      <c r="W1000" s="23">
        <v>1</v>
      </c>
      <c r="X1000" s="28">
        <v>633708.56280351605</v>
      </c>
      <c r="Y1000" s="24">
        <v>1.0171988512073958E-3</v>
      </c>
      <c r="Z1000" s="23">
        <v>1</v>
      </c>
      <c r="AA1000" s="28">
        <v>863095.0551318411</v>
      </c>
      <c r="AB1000" s="24">
        <v>1.4061216034089411E-3</v>
      </c>
    </row>
    <row r="1001" spans="1:28" x14ac:dyDescent="0.25">
      <c r="A1001" t="s">
        <v>6775</v>
      </c>
      <c r="B1001" t="s">
        <v>7988</v>
      </c>
      <c r="C1001" t="s">
        <v>6777</v>
      </c>
      <c r="D1001" s="10" t="s">
        <v>6776</v>
      </c>
      <c r="E1001" s="10" t="s">
        <v>3546</v>
      </c>
      <c r="I1001" s="17">
        <v>-1.3492366944290399</v>
      </c>
      <c r="J1001" s="17">
        <v>0.61859692478419503</v>
      </c>
      <c r="K1001" s="21">
        <v>2</v>
      </c>
      <c r="L1001" s="27">
        <v>365737.646009758</v>
      </c>
      <c r="M1001" s="22">
        <v>5.889941883721908E-4</v>
      </c>
      <c r="N1001" s="21">
        <v>0</v>
      </c>
      <c r="O1001" s="27">
        <v>133682.15498737531</v>
      </c>
      <c r="P1001" s="22">
        <v>2.1717089170274233E-4</v>
      </c>
      <c r="Q1001" s="21">
        <v>3</v>
      </c>
      <c r="R1001" s="27">
        <v>381386.20378788718</v>
      </c>
      <c r="S1001" s="22">
        <v>6.2321311317254562E-4</v>
      </c>
      <c r="T1001" s="23">
        <v>0</v>
      </c>
      <c r="U1001" s="28">
        <v>257631.23265791778</v>
      </c>
      <c r="V1001" s="24">
        <v>4.1420267509642144E-4</v>
      </c>
      <c r="W1001" s="23">
        <v>0</v>
      </c>
      <c r="X1001" s="28">
        <v>156264.6223879575</v>
      </c>
      <c r="Y1001" s="24">
        <v>2.457612979796654E-4</v>
      </c>
      <c r="Z1001" s="23">
        <v>1</v>
      </c>
      <c r="AA1001" s="28">
        <v>293716.66572865989</v>
      </c>
      <c r="AB1001" s="24">
        <v>4.688450999239012E-4</v>
      </c>
    </row>
    <row r="1002" spans="1:28" x14ac:dyDescent="0.25">
      <c r="A1002" t="s">
        <v>6817</v>
      </c>
      <c r="B1002" t="s">
        <v>8002</v>
      </c>
      <c r="C1002" t="s">
        <v>6819</v>
      </c>
      <c r="D1002" s="10" t="s">
        <v>6818</v>
      </c>
      <c r="E1002" s="10" t="s">
        <v>3546</v>
      </c>
      <c r="I1002" s="17">
        <v>-1.3508914033382999</v>
      </c>
      <c r="J1002" s="17">
        <v>1.26388189664153E-2</v>
      </c>
      <c r="K1002" s="21">
        <v>4</v>
      </c>
      <c r="L1002" s="27">
        <v>7907505.2572247703</v>
      </c>
      <c r="M1002" s="22">
        <v>2.6823668317248903E-2</v>
      </c>
      <c r="N1002" s="21">
        <v>2</v>
      </c>
      <c r="O1002" s="27">
        <v>9027445.3845534343</v>
      </c>
      <c r="P1002" s="22">
        <v>3.0890887299453683E-2</v>
      </c>
      <c r="Q1002" s="21">
        <v>5</v>
      </c>
      <c r="R1002" s="27">
        <v>7830841.5096398909</v>
      </c>
      <c r="S1002" s="22">
        <v>2.6953636982044626E-2</v>
      </c>
      <c r="T1002" s="23">
        <v>5</v>
      </c>
      <c r="U1002" s="28">
        <v>6763030.0156600997</v>
      </c>
      <c r="V1002" s="24">
        <v>2.2903035147269494E-2</v>
      </c>
      <c r="W1002" s="23">
        <v>5</v>
      </c>
      <c r="X1002" s="28">
        <v>6468335.6752607767</v>
      </c>
      <c r="Y1002" s="24">
        <v>2.1428052981572666E-2</v>
      </c>
      <c r="Z1002" s="23">
        <v>5</v>
      </c>
      <c r="AA1002" s="28">
        <v>6575489.7740817964</v>
      </c>
      <c r="AB1002" s="24">
        <v>2.210885418105573E-2</v>
      </c>
    </row>
    <row r="1003" spans="1:28" x14ac:dyDescent="0.25">
      <c r="A1003" s="82" t="s">
        <v>6814</v>
      </c>
      <c r="B1003" s="82" t="s">
        <v>8001</v>
      </c>
      <c r="C1003" s="82" t="s">
        <v>6816</v>
      </c>
      <c r="D1003" s="87" t="s">
        <v>6815</v>
      </c>
      <c r="E1003" s="87" t="s">
        <v>3546</v>
      </c>
      <c r="F1003" s="82"/>
      <c r="G1003" s="82"/>
      <c r="H1003" s="82" t="s">
        <v>41</v>
      </c>
      <c r="I1003" s="47">
        <v>-1.3536465603613801</v>
      </c>
      <c r="J1003" s="47">
        <v>2.6059040082797899E-2</v>
      </c>
      <c r="K1003" s="88">
        <v>6</v>
      </c>
      <c r="L1003" s="89">
        <v>7248125.3127718</v>
      </c>
      <c r="M1003" s="22">
        <v>2.0635462405656037E-2</v>
      </c>
      <c r="N1003" s="88">
        <v>5</v>
      </c>
      <c r="O1003" s="89">
        <v>6905022.7412727037</v>
      </c>
      <c r="P1003" s="22">
        <v>1.9830810181147972E-2</v>
      </c>
      <c r="Q1003" s="88">
        <v>6</v>
      </c>
      <c r="R1003" s="89">
        <v>7266469.9745264268</v>
      </c>
      <c r="S1003" s="22">
        <v>2.0991441110677547E-2</v>
      </c>
      <c r="T1003" s="90">
        <v>5</v>
      </c>
      <c r="U1003" s="91">
        <v>6147170.3786493279</v>
      </c>
      <c r="V1003" s="24">
        <v>1.7471766059859523E-2</v>
      </c>
      <c r="W1003" s="90">
        <v>3</v>
      </c>
      <c r="X1003" s="91">
        <v>5573672.0444927635</v>
      </c>
      <c r="Y1003" s="24">
        <v>1.5496777731017606E-2</v>
      </c>
      <c r="Z1003" s="90">
        <v>5</v>
      </c>
      <c r="AA1003" s="91">
        <v>5402523.6242301855</v>
      </c>
      <c r="AB1003" s="24">
        <v>1.5245603974314851E-2</v>
      </c>
    </row>
    <row r="1004" spans="1:28" x14ac:dyDescent="0.25">
      <c r="A1004" t="s">
        <v>6811</v>
      </c>
      <c r="B1004" t="s">
        <v>8000</v>
      </c>
      <c r="C1004" t="s">
        <v>6813</v>
      </c>
      <c r="D1004" s="10" t="s">
        <v>6812</v>
      </c>
      <c r="E1004" s="10" t="s">
        <v>3546</v>
      </c>
      <c r="I1004" s="17">
        <v>-1.3550008059824099</v>
      </c>
      <c r="J1004" s="17">
        <v>1.0252603819518299E-2</v>
      </c>
      <c r="K1004" s="21">
        <v>2</v>
      </c>
      <c r="L1004" s="27">
        <v>915601.73847513297</v>
      </c>
      <c r="M1004" s="22">
        <v>3.4347427653281808E-3</v>
      </c>
      <c r="N1004" s="21">
        <v>2</v>
      </c>
      <c r="O1004" s="27">
        <v>915623.31862385082</v>
      </c>
      <c r="P1004" s="22">
        <v>3.4649046334131019E-3</v>
      </c>
      <c r="Q1004" s="21">
        <v>2</v>
      </c>
      <c r="R1004" s="27">
        <v>991075.77568128228</v>
      </c>
      <c r="S1004" s="22">
        <v>3.7724607468822714E-3</v>
      </c>
      <c r="T1004" s="23">
        <v>2</v>
      </c>
      <c r="U1004" s="28">
        <v>786836.26042351173</v>
      </c>
      <c r="V1004" s="24">
        <v>2.9467617110958432E-3</v>
      </c>
      <c r="W1004" s="23">
        <v>2</v>
      </c>
      <c r="X1004" s="28">
        <v>756441.25060950266</v>
      </c>
      <c r="Y1004" s="24">
        <v>2.7712409877209093E-3</v>
      </c>
      <c r="Z1004" s="23">
        <v>1</v>
      </c>
      <c r="AA1004" s="28">
        <v>709396.12471933069</v>
      </c>
      <c r="AB1004" s="24">
        <v>2.6377635835101989E-3</v>
      </c>
    </row>
    <row r="1005" spans="1:28" x14ac:dyDescent="0.25">
      <c r="A1005" t="s">
        <v>6709</v>
      </c>
      <c r="B1005" t="s">
        <v>7966</v>
      </c>
      <c r="C1005" t="s">
        <v>6711</v>
      </c>
      <c r="D1005" s="10" t="s">
        <v>6710</v>
      </c>
      <c r="E1005" s="10" t="s">
        <v>3546</v>
      </c>
      <c r="I1005" s="17">
        <v>-1.3570075948823199</v>
      </c>
      <c r="J1005" s="17">
        <v>0.17133304836515001</v>
      </c>
      <c r="K1005" s="21">
        <v>2</v>
      </c>
      <c r="L1005" s="27">
        <v>557148.21470512601</v>
      </c>
      <c r="M1005" s="22">
        <v>1.4743148190570203E-3</v>
      </c>
      <c r="N1005" s="21">
        <v>1</v>
      </c>
      <c r="O1005" s="27">
        <v>392308.86855122267</v>
      </c>
      <c r="P1005" s="22">
        <v>1.0472116040983509E-3</v>
      </c>
      <c r="Q1005" s="21">
        <v>2</v>
      </c>
      <c r="R1005" s="27">
        <v>494237.58101551881</v>
      </c>
      <c r="S1005" s="22">
        <v>1.3270445803733083E-3</v>
      </c>
      <c r="T1005" s="23">
        <v>2</v>
      </c>
      <c r="U1005" s="28">
        <v>395801.00172891142</v>
      </c>
      <c r="V1005" s="24">
        <v>1.0456092590916805E-3</v>
      </c>
      <c r="W1005" s="23">
        <v>1</v>
      </c>
      <c r="X1005" s="28">
        <v>468207.39505955996</v>
      </c>
      <c r="Y1005" s="24">
        <v>1.209955052579966E-3</v>
      </c>
      <c r="Z1005" s="23">
        <v>1</v>
      </c>
      <c r="AA1005" s="28">
        <v>303015.19569642964</v>
      </c>
      <c r="AB1005" s="24">
        <v>7.9477343667611446E-4</v>
      </c>
    </row>
    <row r="1006" spans="1:28" x14ac:dyDescent="0.25">
      <c r="A1006" t="s">
        <v>6516</v>
      </c>
      <c r="B1006" t="s">
        <v>7901</v>
      </c>
      <c r="C1006" t="s">
        <v>6518</v>
      </c>
      <c r="D1006" s="10" t="s">
        <v>6517</v>
      </c>
      <c r="E1006" s="10" t="s">
        <v>3546</v>
      </c>
      <c r="H1006" t="s">
        <v>57</v>
      </c>
      <c r="I1006" s="17">
        <v>-1.35894936435933</v>
      </c>
      <c r="J1006" s="17">
        <v>0.78240508126263297</v>
      </c>
      <c r="K1006" s="21">
        <v>4</v>
      </c>
      <c r="L1006" s="27">
        <v>902861.964505226</v>
      </c>
      <c r="M1006" s="22">
        <v>1.3709089047317304E-3</v>
      </c>
      <c r="N1006" s="21">
        <v>0</v>
      </c>
      <c r="O1006" s="27">
        <v>241215.34250935999</v>
      </c>
      <c r="P1006" s="22">
        <v>3.6946984627035228E-4</v>
      </c>
      <c r="Q1006" s="21">
        <v>5</v>
      </c>
      <c r="R1006" s="27">
        <v>967340.23039770871</v>
      </c>
      <c r="S1006" s="22">
        <v>1.4903790920262631E-3</v>
      </c>
      <c r="T1006" s="23">
        <v>1</v>
      </c>
      <c r="U1006" s="28">
        <v>666977.26664159738</v>
      </c>
      <c r="V1006" s="24">
        <v>1.0110469307293025E-3</v>
      </c>
      <c r="W1006" s="23">
        <v>1</v>
      </c>
      <c r="X1006" s="28">
        <v>449321.30806823011</v>
      </c>
      <c r="Y1006" s="24">
        <v>6.6627840177748874E-4</v>
      </c>
      <c r="Z1006" s="23">
        <v>1</v>
      </c>
      <c r="AA1006" s="28">
        <v>574117.72708868305</v>
      </c>
      <c r="AB1006" s="24">
        <v>8.6406744804193563E-4</v>
      </c>
    </row>
    <row r="1007" spans="1:28" x14ac:dyDescent="0.25">
      <c r="A1007" t="s">
        <v>6883</v>
      </c>
      <c r="B1007" t="s">
        <v>8024</v>
      </c>
      <c r="C1007" t="s">
        <v>6885</v>
      </c>
      <c r="D1007" s="10" t="s">
        <v>6884</v>
      </c>
      <c r="E1007" s="10" t="s">
        <v>3546</v>
      </c>
      <c r="H1007" t="s">
        <v>57</v>
      </c>
      <c r="I1007" s="17">
        <v>-1.36687681913256</v>
      </c>
      <c r="J1007" s="17">
        <v>0.26399293727379203</v>
      </c>
      <c r="K1007" s="21">
        <v>12</v>
      </c>
      <c r="L1007" s="27">
        <v>8242727.5400371198</v>
      </c>
      <c r="M1007" s="22">
        <v>1.3724884579329442E-2</v>
      </c>
      <c r="N1007" s="21">
        <v>7</v>
      </c>
      <c r="O1007" s="27">
        <v>5170297.5777009204</v>
      </c>
      <c r="P1007" s="22">
        <v>8.6844061931719858E-3</v>
      </c>
      <c r="Q1007" s="21">
        <v>12</v>
      </c>
      <c r="R1007" s="27">
        <v>8737018.4229237288</v>
      </c>
      <c r="S1007" s="22">
        <v>1.4761526393963199E-2</v>
      </c>
      <c r="T1007" s="23">
        <v>7</v>
      </c>
      <c r="U1007" s="28">
        <v>6569945.6083956296</v>
      </c>
      <c r="V1007" s="24">
        <v>1.0921255666583406E-2</v>
      </c>
      <c r="W1007" s="23">
        <v>7</v>
      </c>
      <c r="X1007" s="28">
        <v>4893958.4480623519</v>
      </c>
      <c r="Y1007" s="24">
        <v>7.9581022497139282E-3</v>
      </c>
      <c r="Z1007" s="23">
        <v>11</v>
      </c>
      <c r="AA1007" s="28">
        <v>6072196.8909118567</v>
      </c>
      <c r="AB1007" s="24">
        <v>1.0021738098893746E-2</v>
      </c>
    </row>
    <row r="1008" spans="1:28" x14ac:dyDescent="0.25">
      <c r="A1008" t="s">
        <v>6835</v>
      </c>
      <c r="B1008" t="s">
        <v>8008</v>
      </c>
      <c r="C1008" t="s">
        <v>6837</v>
      </c>
      <c r="D1008" s="10" t="s">
        <v>6836</v>
      </c>
      <c r="E1008" s="10" t="s">
        <v>3546</v>
      </c>
      <c r="I1008" s="17">
        <v>-1.3713564291103899</v>
      </c>
      <c r="J1008" s="17">
        <v>6.7639218175518906E-2</v>
      </c>
      <c r="K1008" s="21">
        <v>7</v>
      </c>
      <c r="L1008" s="27">
        <v>14785883.280118801</v>
      </c>
      <c r="M1008" s="22">
        <v>6.4145540514275345E-2</v>
      </c>
      <c r="N1008" s="21">
        <v>7</v>
      </c>
      <c r="O1008" s="27">
        <v>14848104.522934729</v>
      </c>
      <c r="P1008" s="22">
        <v>6.4979601551102412E-2</v>
      </c>
      <c r="Q1008" s="21">
        <v>7</v>
      </c>
      <c r="R1008" s="27">
        <v>11817752.176187281</v>
      </c>
      <c r="S1008" s="22">
        <v>5.2021675236513749E-2</v>
      </c>
      <c r="T1008" s="23">
        <v>7</v>
      </c>
      <c r="U1008" s="28">
        <v>11616471.203442762</v>
      </c>
      <c r="V1008" s="24">
        <v>5.0311406586760837E-2</v>
      </c>
      <c r="W1008" s="23">
        <v>5</v>
      </c>
      <c r="X1008" s="28">
        <v>11595307.238303328</v>
      </c>
      <c r="Y1008" s="24">
        <v>4.9126173415830525E-2</v>
      </c>
      <c r="Z1008" s="23">
        <v>5</v>
      </c>
      <c r="AA1008" s="28">
        <v>9661355.6538684051</v>
      </c>
      <c r="AB1008" s="24">
        <v>4.1544803844605835E-2</v>
      </c>
    </row>
    <row r="1009" spans="1:28" x14ac:dyDescent="0.25">
      <c r="A1009" t="s">
        <v>6488</v>
      </c>
      <c r="B1009" t="s">
        <v>7890</v>
      </c>
      <c r="C1009" t="s">
        <v>6490</v>
      </c>
      <c r="D1009" s="10" t="s">
        <v>6489</v>
      </c>
      <c r="E1009" s="10" t="s">
        <v>3546</v>
      </c>
      <c r="H1009" t="s">
        <v>57</v>
      </c>
      <c r="I1009" s="17">
        <v>-1.37786163148843</v>
      </c>
      <c r="J1009" s="17">
        <v>0.183574415737115</v>
      </c>
      <c r="K1009" s="21">
        <v>6</v>
      </c>
      <c r="L1009" s="27">
        <v>1967732.9964079999</v>
      </c>
      <c r="M1009" s="22">
        <v>2.3499652566428596E-3</v>
      </c>
      <c r="N1009" s="21">
        <v>0</v>
      </c>
      <c r="O1009" s="27">
        <v>1754831.384003286</v>
      </c>
      <c r="P1009" s="22">
        <v>2.1140609220988552E-3</v>
      </c>
      <c r="Q1009" s="21">
        <v>7</v>
      </c>
      <c r="R1009" s="27">
        <v>2024900.724662222</v>
      </c>
      <c r="S1009" s="22">
        <v>2.4537441017750254E-3</v>
      </c>
      <c r="T1009" s="23">
        <v>2</v>
      </c>
      <c r="U1009" s="28">
        <v>1627320.6617860405</v>
      </c>
      <c r="V1009" s="24">
        <v>1.940177462889303E-3</v>
      </c>
      <c r="W1009" s="23">
        <v>0</v>
      </c>
      <c r="X1009" s="28">
        <v>1026532.0792849071</v>
      </c>
      <c r="Y1009" s="24">
        <v>1.197234656249542E-3</v>
      </c>
      <c r="Z1009" s="23">
        <v>0</v>
      </c>
      <c r="AA1009" s="28">
        <v>1826560.9748186574</v>
      </c>
      <c r="AB1009" s="24">
        <v>2.1621653108735966E-3</v>
      </c>
    </row>
    <row r="1010" spans="1:28" x14ac:dyDescent="0.25">
      <c r="A1010" t="s">
        <v>6623</v>
      </c>
      <c r="B1010" t="s">
        <v>7937</v>
      </c>
      <c r="C1010" t="s">
        <v>6625</v>
      </c>
      <c r="D1010" s="10" t="s">
        <v>6624</v>
      </c>
      <c r="E1010" s="10" t="s">
        <v>3546</v>
      </c>
      <c r="I1010" s="17">
        <v>-1.3916796371558899</v>
      </c>
      <c r="J1010" s="17">
        <v>2.4306840845935599E-2</v>
      </c>
      <c r="K1010" s="21">
        <v>7</v>
      </c>
      <c r="L1010" s="27">
        <v>3594759.75718662</v>
      </c>
      <c r="M1010" s="22">
        <v>1.096882519224459E-2</v>
      </c>
      <c r="N1010" s="21">
        <v>2</v>
      </c>
      <c r="O1010" s="27">
        <v>3298936.9350066492</v>
      </c>
      <c r="P1010" s="22">
        <v>1.0154325712638039E-2</v>
      </c>
      <c r="Q1010" s="21">
        <v>6</v>
      </c>
      <c r="R1010" s="27">
        <v>3906089.2202276718</v>
      </c>
      <c r="S1010" s="22">
        <v>1.2093796671644575E-2</v>
      </c>
      <c r="T1010" s="23">
        <v>4</v>
      </c>
      <c r="U1010" s="28">
        <v>2989857.5893860571</v>
      </c>
      <c r="V1010" s="24">
        <v>9.1078064035394861E-3</v>
      </c>
      <c r="W1010" s="23">
        <v>2</v>
      </c>
      <c r="X1010" s="28">
        <v>2900494.0004535806</v>
      </c>
      <c r="Y1010" s="24">
        <v>8.6431827659968347E-3</v>
      </c>
      <c r="Z1010" s="23">
        <v>2</v>
      </c>
      <c r="AA1010" s="28">
        <v>2515693.0078571266</v>
      </c>
      <c r="AB1010" s="24">
        <v>7.6086452267009478E-3</v>
      </c>
    </row>
    <row r="1011" spans="1:28" x14ac:dyDescent="0.25">
      <c r="A1011" t="s">
        <v>6808</v>
      </c>
      <c r="B1011" t="s">
        <v>7999</v>
      </c>
      <c r="C1011" t="s">
        <v>6810</v>
      </c>
      <c r="D1011" s="10" t="s">
        <v>6809</v>
      </c>
      <c r="E1011" s="10" t="s">
        <v>3546</v>
      </c>
      <c r="H1011" t="s">
        <v>41</v>
      </c>
      <c r="I1011" s="17">
        <v>-1.39356854193545</v>
      </c>
      <c r="J1011" s="17">
        <v>2.4744278089060502E-3</v>
      </c>
      <c r="K1011" s="21">
        <v>30</v>
      </c>
      <c r="L1011" s="27">
        <v>98561789.955493495</v>
      </c>
      <c r="M1011" s="22">
        <v>0.24362699375628319</v>
      </c>
      <c r="N1011" s="21">
        <v>17</v>
      </c>
      <c r="O1011" s="27">
        <v>97652053.182338715</v>
      </c>
      <c r="P1011" s="22">
        <v>0.24349218990480648</v>
      </c>
      <c r="Q1011" s="21">
        <v>28</v>
      </c>
      <c r="R1011" s="27">
        <v>97234639.740345329</v>
      </c>
      <c r="S1011" s="22">
        <v>0.24387545540086392</v>
      </c>
      <c r="T1011" s="23">
        <v>17</v>
      </c>
      <c r="U1011" s="28">
        <v>70938498.641551495</v>
      </c>
      <c r="V1011" s="24">
        <v>0.17505392816793694</v>
      </c>
      <c r="W1011" s="23">
        <v>12</v>
      </c>
      <c r="X1011" s="28">
        <v>81792685.952932656</v>
      </c>
      <c r="Y1011" s="24">
        <v>0.1974434701107384</v>
      </c>
      <c r="Z1011" s="23">
        <v>17</v>
      </c>
      <c r="AA1011" s="28">
        <v>76222703.207820848</v>
      </c>
      <c r="AB1011" s="24">
        <v>0.18675000352819934</v>
      </c>
    </row>
    <row r="1012" spans="1:28" x14ac:dyDescent="0.25">
      <c r="A1012" t="s">
        <v>6656</v>
      </c>
      <c r="B1012" t="s">
        <v>7948</v>
      </c>
      <c r="C1012" t="s">
        <v>6658</v>
      </c>
      <c r="D1012" s="10" t="s">
        <v>6657</v>
      </c>
      <c r="E1012" s="10" t="s">
        <v>3546</v>
      </c>
      <c r="I1012" s="17">
        <v>-1.39454015073576</v>
      </c>
      <c r="J1012" s="17">
        <v>8.0039472777705997E-2</v>
      </c>
      <c r="K1012" s="21">
        <v>4</v>
      </c>
      <c r="L1012" s="27">
        <v>23773903.4411042</v>
      </c>
      <c r="M1012" s="22">
        <v>6.479196737355887E-2</v>
      </c>
      <c r="N1012" s="21">
        <v>3</v>
      </c>
      <c r="O1012" s="27">
        <v>17610366.886133388</v>
      </c>
      <c r="P1012" s="22">
        <v>4.8414551070021607E-2</v>
      </c>
      <c r="Q1012" s="21">
        <v>5</v>
      </c>
      <c r="R1012" s="27">
        <v>22358268.229911599</v>
      </c>
      <c r="S1012" s="22">
        <v>6.1828554691165653E-2</v>
      </c>
      <c r="T1012" s="23">
        <v>3</v>
      </c>
      <c r="U1012" s="28">
        <v>15994845.841623085</v>
      </c>
      <c r="V1012" s="24">
        <v>4.3518485727455113E-2</v>
      </c>
      <c r="W1012" s="23">
        <v>3</v>
      </c>
      <c r="X1012" s="28">
        <v>15995637.484825831</v>
      </c>
      <c r="Y1012" s="24">
        <v>4.2572946279603591E-2</v>
      </c>
      <c r="Z1012" s="23">
        <v>3</v>
      </c>
      <c r="AA1012" s="28">
        <v>17783364.904575985</v>
      </c>
      <c r="AB1012" s="24">
        <v>4.8039011298306677E-2</v>
      </c>
    </row>
    <row r="1013" spans="1:28" x14ac:dyDescent="0.25">
      <c r="A1013" t="s">
        <v>6805</v>
      </c>
      <c r="B1013" t="s">
        <v>7998</v>
      </c>
      <c r="C1013" t="s">
        <v>6807</v>
      </c>
      <c r="D1013" s="10" t="s">
        <v>6806</v>
      </c>
      <c r="E1013" s="10" t="s">
        <v>3546</v>
      </c>
      <c r="I1013" s="17">
        <v>-1.39819721821024</v>
      </c>
      <c r="J1013" s="17">
        <v>4.6359599533670103E-2</v>
      </c>
      <c r="K1013" s="21">
        <v>3</v>
      </c>
      <c r="L1013" s="27">
        <v>6979620.2655302202</v>
      </c>
      <c r="M1013" s="22">
        <v>2.8903311559636751E-2</v>
      </c>
      <c r="N1013" s="21">
        <v>3</v>
      </c>
      <c r="O1013" s="27">
        <v>6917794.2846817374</v>
      </c>
      <c r="P1013" s="22">
        <v>2.8898166234167501E-2</v>
      </c>
      <c r="Q1013" s="21">
        <v>3</v>
      </c>
      <c r="R1013" s="27">
        <v>7423060.557693813</v>
      </c>
      <c r="S1013" s="22">
        <v>3.1190983763470122E-2</v>
      </c>
      <c r="T1013" s="23">
        <v>2</v>
      </c>
      <c r="U1013" s="28">
        <v>5953553.0620992184</v>
      </c>
      <c r="V1013" s="24">
        <v>2.4613030041740504E-2</v>
      </c>
      <c r="W1013" s="23">
        <v>2</v>
      </c>
      <c r="X1013" s="28">
        <v>4674721.7618134758</v>
      </c>
      <c r="Y1013" s="24">
        <v>1.8905277531126585E-2</v>
      </c>
      <c r="Z1013" s="23">
        <v>2</v>
      </c>
      <c r="AA1013" s="28">
        <v>5790810.4223555662</v>
      </c>
      <c r="AB1013" s="24">
        <v>2.3769202160833804E-2</v>
      </c>
    </row>
    <row r="1014" spans="1:28" x14ac:dyDescent="0.25">
      <c r="A1014" t="s">
        <v>6662</v>
      </c>
      <c r="B1014" t="s">
        <v>7950</v>
      </c>
      <c r="C1014" t="s">
        <v>6664</v>
      </c>
      <c r="D1014" s="10" t="s">
        <v>6663</v>
      </c>
      <c r="E1014" s="10" t="s">
        <v>3546</v>
      </c>
      <c r="I1014" s="17">
        <v>-1.4023668031324601</v>
      </c>
      <c r="J1014" s="17">
        <v>8.2153620643795902E-2</v>
      </c>
      <c r="K1014" s="21">
        <v>6</v>
      </c>
      <c r="L1014" s="27">
        <v>2977304.4792184699</v>
      </c>
      <c r="M1014" s="22">
        <v>6.2457730211455788E-3</v>
      </c>
      <c r="N1014" s="21">
        <v>2</v>
      </c>
      <c r="O1014" s="27">
        <v>2659412.5638616113</v>
      </c>
      <c r="P1014" s="22">
        <v>5.6277590517667024E-3</v>
      </c>
      <c r="Q1014" s="21">
        <v>5</v>
      </c>
      <c r="R1014" s="27">
        <v>2571674.382167845</v>
      </c>
      <c r="S1014" s="22">
        <v>5.4740553567639962E-3</v>
      </c>
      <c r="T1014" s="23">
        <v>3</v>
      </c>
      <c r="U1014" s="28">
        <v>2496639.2221510783</v>
      </c>
      <c r="V1014" s="24">
        <v>5.2286765791776284E-3</v>
      </c>
      <c r="W1014" s="23">
        <v>2</v>
      </c>
      <c r="X1014" s="28">
        <v>1917364.130926979</v>
      </c>
      <c r="Y1014" s="24">
        <v>3.9280682598754535E-3</v>
      </c>
      <c r="Z1014" s="23">
        <v>2</v>
      </c>
      <c r="AA1014" s="28">
        <v>1917939.1872790877</v>
      </c>
      <c r="AB1014" s="24">
        <v>3.9880190757820271E-3</v>
      </c>
    </row>
    <row r="1015" spans="1:28" x14ac:dyDescent="0.25">
      <c r="A1015" t="s">
        <v>6471</v>
      </c>
      <c r="B1015" t="s">
        <v>7884</v>
      </c>
      <c r="C1015" t="s">
        <v>6473</v>
      </c>
      <c r="D1015" s="10" t="s">
        <v>6472</v>
      </c>
      <c r="E1015" s="10" t="s">
        <v>3546</v>
      </c>
      <c r="H1015" t="s">
        <v>57</v>
      </c>
      <c r="I1015" s="17">
        <v>-1.4110515598650999</v>
      </c>
      <c r="J1015" s="17">
        <v>3.19865250531991E-2</v>
      </c>
      <c r="K1015" s="21">
        <v>7</v>
      </c>
      <c r="L1015" s="27">
        <v>3658934.5516817099</v>
      </c>
      <c r="M1015" s="22">
        <v>6.9446744850414277E-3</v>
      </c>
      <c r="N1015" s="21">
        <v>6</v>
      </c>
      <c r="O1015" s="27">
        <v>4952673.1103020161</v>
      </c>
      <c r="P1015" s="22">
        <v>9.4825196111830469E-3</v>
      </c>
      <c r="Q1015" s="21">
        <v>5</v>
      </c>
      <c r="R1015" s="27">
        <v>3543011.9314413634</v>
      </c>
      <c r="S1015" s="22">
        <v>6.8233889425450911E-3</v>
      </c>
      <c r="T1015" s="23">
        <v>4</v>
      </c>
      <c r="U1015" s="28">
        <v>2815220.3936221721</v>
      </c>
      <c r="V1015" s="24">
        <v>5.334364604040763E-3</v>
      </c>
      <c r="W1015" s="23">
        <v>4</v>
      </c>
      <c r="X1015" s="28">
        <v>3191133.4166320334</v>
      </c>
      <c r="Y1015" s="24">
        <v>5.9149856531215978E-3</v>
      </c>
      <c r="Z1015" s="23">
        <v>3</v>
      </c>
      <c r="AA1015" s="28">
        <v>3307707.9154034131</v>
      </c>
      <c r="AB1015" s="24">
        <v>6.2227714858760462E-3</v>
      </c>
    </row>
    <row r="1016" spans="1:28" x14ac:dyDescent="0.25">
      <c r="A1016" t="s">
        <v>6525</v>
      </c>
      <c r="B1016" t="s">
        <v>7904</v>
      </c>
      <c r="C1016" t="s">
        <v>6527</v>
      </c>
      <c r="D1016" s="10" t="s">
        <v>6526</v>
      </c>
      <c r="E1016" s="10" t="s">
        <v>3546</v>
      </c>
      <c r="H1016" t="s">
        <v>41</v>
      </c>
      <c r="I1016" s="17">
        <v>-1.41470655351283</v>
      </c>
      <c r="J1016" s="17">
        <v>2.8140685262260299E-2</v>
      </c>
      <c r="K1016" s="21">
        <v>8</v>
      </c>
      <c r="L1016" s="27">
        <v>8377964.3862362597</v>
      </c>
      <c r="M1016" s="22">
        <v>2.0870606737515333E-2</v>
      </c>
      <c r="N1016" s="21">
        <v>8</v>
      </c>
      <c r="O1016" s="27">
        <v>10631675.511352569</v>
      </c>
      <c r="P1016" s="22">
        <v>2.6716841278286718E-2</v>
      </c>
      <c r="Q1016" s="21">
        <v>8</v>
      </c>
      <c r="R1016" s="27">
        <v>8182433.0812572995</v>
      </c>
      <c r="S1016" s="22">
        <v>2.0682797826623949E-2</v>
      </c>
      <c r="T1016" s="23">
        <v>7</v>
      </c>
      <c r="U1016" s="28">
        <v>6688885.6306163715</v>
      </c>
      <c r="V1016" s="24">
        <v>1.6635021973206314E-2</v>
      </c>
      <c r="W1016" s="23">
        <v>6</v>
      </c>
      <c r="X1016" s="28">
        <v>8204554.1737635629</v>
      </c>
      <c r="Y1016" s="24">
        <v>1.9960114709515153E-2</v>
      </c>
      <c r="Z1016" s="23">
        <v>6</v>
      </c>
      <c r="AA1016" s="28">
        <v>5976206.676797051</v>
      </c>
      <c r="AB1016" s="24">
        <v>1.475644083677205E-2</v>
      </c>
    </row>
    <row r="1017" spans="1:28" x14ac:dyDescent="0.25">
      <c r="A1017" t="s">
        <v>6691</v>
      </c>
      <c r="B1017" t="s">
        <v>7960</v>
      </c>
      <c r="C1017" t="s">
        <v>6693</v>
      </c>
      <c r="D1017" s="10" t="s">
        <v>6692</v>
      </c>
      <c r="E1017" s="10" t="s">
        <v>3546</v>
      </c>
      <c r="I1017" s="17">
        <v>-1.41666738848261</v>
      </c>
      <c r="J1017" s="17">
        <v>0.13093833728528301</v>
      </c>
      <c r="K1017" s="21">
        <v>5</v>
      </c>
      <c r="L1017" s="27">
        <v>5518758.1062734798</v>
      </c>
      <c r="M1017" s="22">
        <v>1.8523552820873361E-2</v>
      </c>
      <c r="N1017" s="21">
        <v>3</v>
      </c>
      <c r="O1017" s="27">
        <v>3727887.5675833919</v>
      </c>
      <c r="P1017" s="22">
        <v>1.2622127630756104E-2</v>
      </c>
      <c r="Q1017" s="21">
        <v>6</v>
      </c>
      <c r="R1017" s="27">
        <v>4904958.3239624426</v>
      </c>
      <c r="S1017" s="22">
        <v>1.670507810735012E-2</v>
      </c>
      <c r="T1017" s="23">
        <v>3</v>
      </c>
      <c r="U1017" s="28">
        <v>4009955.8401739378</v>
      </c>
      <c r="V1017" s="24">
        <v>1.3436791026291273E-2</v>
      </c>
      <c r="W1017" s="23">
        <v>4</v>
      </c>
      <c r="X1017" s="28">
        <v>3372422.4845022261</v>
      </c>
      <c r="Y1017" s="24">
        <v>1.1054430825392774E-2</v>
      </c>
      <c r="Z1017" s="23">
        <v>3</v>
      </c>
      <c r="AA1017" s="28">
        <v>3484273.3999462305</v>
      </c>
      <c r="AB1017" s="24">
        <v>1.15918993689791E-2</v>
      </c>
    </row>
    <row r="1018" spans="1:28" x14ac:dyDescent="0.25">
      <c r="A1018" t="s">
        <v>6468</v>
      </c>
      <c r="B1018" t="s">
        <v>7883</v>
      </c>
      <c r="C1018" t="s">
        <v>6470</v>
      </c>
      <c r="D1018" s="10" t="s">
        <v>6469</v>
      </c>
      <c r="E1018" s="10" t="s">
        <v>3546</v>
      </c>
      <c r="H1018" t="s">
        <v>57</v>
      </c>
      <c r="I1018" s="17">
        <v>-1.42896394022207</v>
      </c>
      <c r="J1018" s="17">
        <v>4.0779410809090602E-2</v>
      </c>
      <c r="K1018" s="21">
        <v>6</v>
      </c>
      <c r="L1018" s="27">
        <v>11816419.798826599</v>
      </c>
      <c r="M1018" s="22">
        <v>3.2066722949466706E-2</v>
      </c>
      <c r="N1018" s="21">
        <v>5</v>
      </c>
      <c r="O1018" s="27">
        <v>9301277.5323985741</v>
      </c>
      <c r="P1018" s="22">
        <v>2.546232771329944E-2</v>
      </c>
      <c r="Q1018" s="21">
        <v>8</v>
      </c>
      <c r="R1018" s="27">
        <v>11852158.672443494</v>
      </c>
      <c r="S1018" s="22">
        <v>3.2635959434742748E-2</v>
      </c>
      <c r="T1018" s="23">
        <v>5</v>
      </c>
      <c r="U1018" s="28">
        <v>8418634.7535013091</v>
      </c>
      <c r="V1018" s="24">
        <v>2.2807799132045781E-2</v>
      </c>
      <c r="W1018" s="23">
        <v>4</v>
      </c>
      <c r="X1018" s="28">
        <v>9035836.5419317335</v>
      </c>
      <c r="Y1018" s="24">
        <v>2.3946856672126877E-2</v>
      </c>
      <c r="Z1018" s="23">
        <v>3</v>
      </c>
      <c r="AA1018" s="28">
        <v>7680905.5946183167</v>
      </c>
      <c r="AB1018" s="24">
        <v>2.0660486455530647E-2</v>
      </c>
    </row>
    <row r="1019" spans="1:28" x14ac:dyDescent="0.25">
      <c r="A1019" t="s">
        <v>6715</v>
      </c>
      <c r="B1019" t="s">
        <v>7968</v>
      </c>
      <c r="C1019" t="s">
        <v>6717</v>
      </c>
      <c r="D1019" s="10" t="s">
        <v>6716</v>
      </c>
      <c r="E1019" s="10" t="s">
        <v>3546</v>
      </c>
      <c r="I1019" s="17">
        <v>-1.4354239257981001</v>
      </c>
      <c r="J1019" s="17">
        <v>0.18694477101427601</v>
      </c>
      <c r="K1019" s="21">
        <v>1</v>
      </c>
      <c r="L1019" s="27">
        <v>351317.492536242</v>
      </c>
      <c r="M1019" s="22">
        <v>1.2950609297049892E-3</v>
      </c>
      <c r="N1019" s="21">
        <v>1</v>
      </c>
      <c r="O1019" s="27">
        <v>232693.88558354948</v>
      </c>
      <c r="P1019" s="22">
        <v>8.6529108873017991E-4</v>
      </c>
      <c r="Q1019" s="21">
        <v>0</v>
      </c>
      <c r="R1019" s="27">
        <v>245456.00984203513</v>
      </c>
      <c r="S1019" s="22">
        <v>9.1810923692170227E-4</v>
      </c>
      <c r="T1019" s="23">
        <v>0</v>
      </c>
      <c r="U1019" s="28">
        <v>252019.05304594876</v>
      </c>
      <c r="V1019" s="24">
        <v>9.2746354068150056E-4</v>
      </c>
      <c r="W1019" s="23">
        <v>0</v>
      </c>
      <c r="X1019" s="28">
        <v>211327.59798785642</v>
      </c>
      <c r="Y1019" s="24">
        <v>7.6077831445444549E-4</v>
      </c>
      <c r="Z1019" s="23">
        <v>1</v>
      </c>
      <c r="AA1019" s="28">
        <v>168381.23928571629</v>
      </c>
      <c r="AB1019" s="24">
        <v>6.1523860156398053E-4</v>
      </c>
    </row>
    <row r="1020" spans="1:28" x14ac:dyDescent="0.25">
      <c r="A1020" t="s">
        <v>6670</v>
      </c>
      <c r="B1020" t="s">
        <v>7953</v>
      </c>
      <c r="C1020" t="s">
        <v>6672</v>
      </c>
      <c r="D1020" s="10" t="s">
        <v>6671</v>
      </c>
      <c r="E1020" s="10" t="s">
        <v>3546</v>
      </c>
      <c r="I1020" s="17">
        <v>-1.4425220238894101</v>
      </c>
      <c r="J1020" s="17">
        <v>0.100597474429086</v>
      </c>
      <c r="K1020" s="21">
        <v>2</v>
      </c>
      <c r="L1020" s="27">
        <v>2454584.3983685202</v>
      </c>
      <c r="M1020" s="22">
        <v>6.5771469109208707E-3</v>
      </c>
      <c r="N1020" s="21">
        <v>3</v>
      </c>
      <c r="O1020" s="27">
        <v>1689248.1783140772</v>
      </c>
      <c r="P1020" s="22">
        <v>4.5660416094798085E-3</v>
      </c>
      <c r="Q1020" s="21">
        <v>1</v>
      </c>
      <c r="R1020" s="27">
        <v>2331639.4319458562</v>
      </c>
      <c r="S1020" s="22">
        <v>6.3394447937517246E-3</v>
      </c>
      <c r="T1020" s="23">
        <v>2</v>
      </c>
      <c r="U1020" s="28">
        <v>1743536.0300534356</v>
      </c>
      <c r="V1020" s="24">
        <v>4.6640537134953596E-3</v>
      </c>
      <c r="W1020" s="23">
        <v>1</v>
      </c>
      <c r="X1020" s="28">
        <v>1552093.1289943308</v>
      </c>
      <c r="Y1020" s="24">
        <v>4.0615221910712757E-3</v>
      </c>
      <c r="Z1020" s="23">
        <v>3</v>
      </c>
      <c r="AA1020" s="28">
        <v>1586339.7874416693</v>
      </c>
      <c r="AB1020" s="24">
        <v>4.2132306786609513E-3</v>
      </c>
    </row>
    <row r="1021" spans="1:28" x14ac:dyDescent="0.25">
      <c r="A1021" t="s">
        <v>6620</v>
      </c>
      <c r="B1021" t="s">
        <v>7936</v>
      </c>
      <c r="C1021" t="s">
        <v>6622</v>
      </c>
      <c r="D1021" s="10" t="s">
        <v>6621</v>
      </c>
      <c r="E1021" s="10" t="s">
        <v>3546</v>
      </c>
      <c r="I1021" s="17">
        <v>-1.45464021810272</v>
      </c>
      <c r="J1021" s="17">
        <v>4.9245917237319397E-3</v>
      </c>
      <c r="K1021" s="21">
        <v>6</v>
      </c>
      <c r="L1021" s="27">
        <v>7486320.5716217402</v>
      </c>
      <c r="M1021" s="22">
        <v>3.1204233531502923E-2</v>
      </c>
      <c r="N1021" s="21">
        <v>3</v>
      </c>
      <c r="O1021" s="27">
        <v>8260962.7327499725</v>
      </c>
      <c r="P1021" s="22">
        <v>3.4734623418647213E-2</v>
      </c>
      <c r="Q1021" s="21">
        <v>5</v>
      </c>
      <c r="R1021" s="27">
        <v>7093207.6511491872</v>
      </c>
      <c r="S1021" s="22">
        <v>2.999977744727925E-2</v>
      </c>
      <c r="T1021" s="23">
        <v>2</v>
      </c>
      <c r="U1021" s="28">
        <v>5452069.6268546199</v>
      </c>
      <c r="V1021" s="24">
        <v>2.2687128794886831E-2</v>
      </c>
      <c r="W1021" s="23">
        <v>1</v>
      </c>
      <c r="X1021" s="28">
        <v>6362000.4044625722</v>
      </c>
      <c r="Y1021" s="24">
        <v>2.5897048655335899E-2</v>
      </c>
      <c r="Z1021" s="23">
        <v>1</v>
      </c>
      <c r="AA1021" s="28">
        <v>5252758.8007750604</v>
      </c>
      <c r="AB1021" s="24">
        <v>2.1701612579492699E-2</v>
      </c>
    </row>
    <row r="1022" spans="1:28" x14ac:dyDescent="0.25">
      <c r="A1022" t="s">
        <v>6549</v>
      </c>
      <c r="B1022" t="s">
        <v>7912</v>
      </c>
      <c r="C1022" t="s">
        <v>6551</v>
      </c>
      <c r="D1022" s="10" t="s">
        <v>6550</v>
      </c>
      <c r="E1022" s="10" t="s">
        <v>3546</v>
      </c>
      <c r="H1022" t="s">
        <v>41</v>
      </c>
      <c r="I1022" s="17">
        <v>-1.4859833594052601</v>
      </c>
      <c r="J1022" s="17">
        <v>0.24809781308350001</v>
      </c>
      <c r="K1022" s="21">
        <v>1</v>
      </c>
      <c r="L1022" s="27">
        <v>828589.81420435803</v>
      </c>
      <c r="M1022" s="22">
        <v>3.1453345010642253E-3</v>
      </c>
      <c r="N1022" s="21">
        <v>0</v>
      </c>
      <c r="O1022" s="27">
        <v>417864.84939995612</v>
      </c>
      <c r="P1022" s="22">
        <v>1.6001103004423826E-3</v>
      </c>
      <c r="Q1022" s="21">
        <v>1</v>
      </c>
      <c r="R1022" s="27">
        <v>582913.16730830621</v>
      </c>
      <c r="S1022" s="22">
        <v>2.2452327777836949E-3</v>
      </c>
      <c r="T1022" s="23">
        <v>1</v>
      </c>
      <c r="U1022" s="28">
        <v>419553.18512037385</v>
      </c>
      <c r="V1022" s="24">
        <v>1.589964086143268E-3</v>
      </c>
      <c r="W1022" s="23">
        <v>0</v>
      </c>
      <c r="X1022" s="28">
        <v>402982.62328571419</v>
      </c>
      <c r="Y1022" s="24">
        <v>1.4939121145915786E-3</v>
      </c>
      <c r="Z1022" s="23">
        <v>1</v>
      </c>
      <c r="AA1022" s="28">
        <v>530719.400588452</v>
      </c>
      <c r="AB1022" s="24">
        <v>1.9968785862885126E-3</v>
      </c>
    </row>
    <row r="1023" spans="1:28" x14ac:dyDescent="0.25">
      <c r="A1023" t="s">
        <v>6465</v>
      </c>
      <c r="B1023" t="s">
        <v>7882</v>
      </c>
      <c r="C1023" t="s">
        <v>6467</v>
      </c>
      <c r="D1023" s="10" t="s">
        <v>6466</v>
      </c>
      <c r="E1023" s="10" t="s">
        <v>3546</v>
      </c>
      <c r="H1023" t="s">
        <v>57</v>
      </c>
      <c r="I1023" s="17">
        <v>-1.4954934235855</v>
      </c>
      <c r="J1023" s="17">
        <v>3.7028756246095702E-2</v>
      </c>
      <c r="K1023" s="21">
        <v>4</v>
      </c>
      <c r="L1023" s="27">
        <v>1263877.34407312</v>
      </c>
      <c r="M1023" s="22">
        <v>3.4008941341975222E-3</v>
      </c>
      <c r="N1023" s="21">
        <v>3</v>
      </c>
      <c r="O1023" s="27">
        <v>1174436.1995598103</v>
      </c>
      <c r="P1023" s="22">
        <v>3.1878982081422163E-3</v>
      </c>
      <c r="Q1023" s="21">
        <v>4</v>
      </c>
      <c r="R1023" s="27">
        <v>1387087.0450780112</v>
      </c>
      <c r="S1023" s="22">
        <v>3.7872341742006617E-3</v>
      </c>
      <c r="T1023" s="23">
        <v>3</v>
      </c>
      <c r="U1023" s="28">
        <v>1066730.9415277969</v>
      </c>
      <c r="V1023" s="24">
        <v>2.8656036408472871E-3</v>
      </c>
      <c r="W1023" s="23">
        <v>2</v>
      </c>
      <c r="X1023" s="28">
        <v>811240.7136184175</v>
      </c>
      <c r="Y1023" s="24">
        <v>2.1318144594748697E-3</v>
      </c>
      <c r="Z1023" s="23">
        <v>2</v>
      </c>
      <c r="AA1023" s="28">
        <v>876193.69010875933</v>
      </c>
      <c r="AB1023" s="24">
        <v>2.3369410274899109E-3</v>
      </c>
    </row>
    <row r="1024" spans="1:28" x14ac:dyDescent="0.25">
      <c r="A1024" t="s">
        <v>6552</v>
      </c>
      <c r="B1024" t="s">
        <v>7913</v>
      </c>
      <c r="C1024" t="s">
        <v>6554</v>
      </c>
      <c r="D1024" s="10" t="s">
        <v>6553</v>
      </c>
      <c r="E1024" s="10" t="s">
        <v>3546</v>
      </c>
      <c r="H1024" t="s">
        <v>41</v>
      </c>
      <c r="I1024" s="17">
        <v>-1.5087242907262299</v>
      </c>
      <c r="J1024" s="17">
        <v>0.26361589665979901</v>
      </c>
      <c r="K1024" s="21">
        <v>2</v>
      </c>
      <c r="L1024" s="27">
        <v>997709.93148044695</v>
      </c>
      <c r="M1024" s="22">
        <v>3.6151652828265951E-3</v>
      </c>
      <c r="N1024" s="21">
        <v>0</v>
      </c>
      <c r="O1024" s="27">
        <v>537476.10987041972</v>
      </c>
      <c r="P1024" s="22">
        <v>1.9645806400722114E-3</v>
      </c>
      <c r="Q1024" s="21">
        <v>1</v>
      </c>
      <c r="R1024" s="27">
        <v>918765.22123601125</v>
      </c>
      <c r="S1024" s="22">
        <v>3.3779924083701751E-3</v>
      </c>
      <c r="T1024" s="23">
        <v>1</v>
      </c>
      <c r="U1024" s="28">
        <v>750782.54335274908</v>
      </c>
      <c r="V1024" s="24">
        <v>2.7158830976908906E-3</v>
      </c>
      <c r="W1024" s="23">
        <v>0</v>
      </c>
      <c r="X1024" s="28">
        <v>397590.33690299426</v>
      </c>
      <c r="Y1024" s="24">
        <v>1.4069257038387131E-3</v>
      </c>
      <c r="Z1024" s="23">
        <v>1</v>
      </c>
      <c r="AA1024" s="28">
        <v>607786.59046626254</v>
      </c>
      <c r="AB1024" s="24">
        <v>2.1829029315494262E-3</v>
      </c>
    </row>
    <row r="1025" spans="1:28" x14ac:dyDescent="0.25">
      <c r="A1025" t="s">
        <v>6522</v>
      </c>
      <c r="B1025" t="s">
        <v>7903</v>
      </c>
      <c r="C1025" t="s">
        <v>6524</v>
      </c>
      <c r="D1025" s="10" t="s">
        <v>6523</v>
      </c>
      <c r="E1025" s="10" t="s">
        <v>3546</v>
      </c>
      <c r="H1025" t="s">
        <v>41</v>
      </c>
      <c r="I1025" s="17">
        <v>-1.52149841344671</v>
      </c>
      <c r="J1025" s="17">
        <v>2.7248577840461901E-2</v>
      </c>
      <c r="K1025" s="21">
        <v>8</v>
      </c>
      <c r="L1025" s="27">
        <v>10482078.2988248</v>
      </c>
      <c r="M1025" s="22">
        <v>2.0631885524654899E-2</v>
      </c>
      <c r="N1025" s="21">
        <v>5</v>
      </c>
      <c r="O1025" s="27">
        <v>13199838.611947898</v>
      </c>
      <c r="P1025" s="22">
        <v>2.6208790163966867E-2</v>
      </c>
      <c r="Q1025" s="21">
        <v>8</v>
      </c>
      <c r="R1025" s="27">
        <v>12426634.752115864</v>
      </c>
      <c r="S1025" s="22">
        <v>2.4818487630788335E-2</v>
      </c>
      <c r="T1025" s="23">
        <v>4</v>
      </c>
      <c r="U1025" s="28">
        <v>9266366.3917855639</v>
      </c>
      <c r="V1025" s="24">
        <v>1.8208494189907099E-2</v>
      </c>
      <c r="W1025" s="23">
        <v>5</v>
      </c>
      <c r="X1025" s="28">
        <v>9862844.3585831821</v>
      </c>
      <c r="Y1025" s="24">
        <v>1.8958552725964386E-2</v>
      </c>
      <c r="Z1025" s="23">
        <v>4</v>
      </c>
      <c r="AA1025" s="28">
        <v>6504425.5125714773</v>
      </c>
      <c r="AB1025" s="24">
        <v>1.2689950038930163E-2</v>
      </c>
    </row>
    <row r="1026" spans="1:28" x14ac:dyDescent="0.25">
      <c r="A1026" t="s">
        <v>6859</v>
      </c>
      <c r="B1026" t="s">
        <v>8016</v>
      </c>
      <c r="C1026" t="s">
        <v>6861</v>
      </c>
      <c r="D1026" s="10" t="s">
        <v>6860</v>
      </c>
      <c r="E1026" s="10" t="s">
        <v>3546</v>
      </c>
      <c r="H1026" t="s">
        <v>41</v>
      </c>
      <c r="I1026" s="17">
        <v>-1.5222815838583099</v>
      </c>
      <c r="J1026" s="17">
        <v>0.119499028955894</v>
      </c>
      <c r="K1026" s="21">
        <v>4</v>
      </c>
      <c r="L1026" s="27">
        <v>2080937.8734067699</v>
      </c>
      <c r="M1026" s="22">
        <v>3.3767825458382002E-3</v>
      </c>
      <c r="N1026" s="21">
        <v>1</v>
      </c>
      <c r="O1026" s="27">
        <v>1355013.1088666229</v>
      </c>
      <c r="P1026" s="22">
        <v>2.2180652046361539E-3</v>
      </c>
      <c r="Q1026" s="21">
        <v>7</v>
      </c>
      <c r="R1026" s="27">
        <v>2238730.0287097688</v>
      </c>
      <c r="S1026" s="22">
        <v>3.6861751253239958E-3</v>
      </c>
      <c r="T1026" s="23">
        <v>0</v>
      </c>
      <c r="U1026" s="28">
        <v>1448211.678168467</v>
      </c>
      <c r="V1026" s="24">
        <v>2.3461137714401079E-3</v>
      </c>
      <c r="W1026" s="23">
        <v>0</v>
      </c>
      <c r="X1026" s="28">
        <v>1199878.8669550996</v>
      </c>
      <c r="Y1026" s="24">
        <v>1.9014848306751133E-3</v>
      </c>
      <c r="Z1026" s="23">
        <v>0</v>
      </c>
      <c r="AA1026" s="28">
        <v>1392087.6769666777</v>
      </c>
      <c r="AB1026" s="24">
        <v>2.2390820920221454E-3</v>
      </c>
    </row>
    <row r="1027" spans="1:28" x14ac:dyDescent="0.25">
      <c r="A1027" t="s">
        <v>6617</v>
      </c>
      <c r="B1027" t="s">
        <v>7935</v>
      </c>
      <c r="C1027" t="s">
        <v>6619</v>
      </c>
      <c r="D1027" s="10" t="s">
        <v>6618</v>
      </c>
      <c r="E1027" s="10" t="s">
        <v>3546</v>
      </c>
      <c r="I1027" s="17">
        <v>-1.53027098548091</v>
      </c>
      <c r="J1027" s="17">
        <v>6.1452148500037397E-3</v>
      </c>
      <c r="K1027" s="21">
        <v>6</v>
      </c>
      <c r="L1027" s="27">
        <v>7816350.8664834397</v>
      </c>
      <c r="M1027" s="22">
        <v>3.3231451976689794E-2</v>
      </c>
      <c r="N1027" s="21">
        <v>3</v>
      </c>
      <c r="O1027" s="27">
        <v>10144045.682725612</v>
      </c>
      <c r="P1027" s="22">
        <v>4.3505413411544361E-2</v>
      </c>
      <c r="Q1027" s="21">
        <v>8</v>
      </c>
      <c r="R1027" s="27">
        <v>8924280.7463941034</v>
      </c>
      <c r="S1027" s="22">
        <v>3.8498938480956077E-2</v>
      </c>
      <c r="T1027" s="23">
        <v>3</v>
      </c>
      <c r="U1027" s="28">
        <v>6541628.1953319386</v>
      </c>
      <c r="V1027" s="24">
        <v>2.7765415151348088E-2</v>
      </c>
      <c r="W1027" s="23">
        <v>4</v>
      </c>
      <c r="X1027" s="28">
        <v>5924111.7091682507</v>
      </c>
      <c r="Y1027" s="24">
        <v>2.4596878246918918E-2</v>
      </c>
      <c r="Z1027" s="23">
        <v>2</v>
      </c>
      <c r="AA1027" s="28">
        <v>6417052.7261637105</v>
      </c>
      <c r="AB1027" s="24">
        <v>2.7042094525210381E-2</v>
      </c>
    </row>
    <row r="1028" spans="1:28" x14ac:dyDescent="0.25">
      <c r="A1028" t="s">
        <v>6614</v>
      </c>
      <c r="B1028" t="s">
        <v>7934</v>
      </c>
      <c r="C1028" t="s">
        <v>6616</v>
      </c>
      <c r="D1028" s="10" t="s">
        <v>6615</v>
      </c>
      <c r="E1028" s="10" t="s">
        <v>3546</v>
      </c>
      <c r="I1028" s="17">
        <v>-1.5334103340104701</v>
      </c>
      <c r="J1028" s="17">
        <v>4.6533117955364599E-2</v>
      </c>
      <c r="K1028" s="21">
        <v>4</v>
      </c>
      <c r="L1028" s="27">
        <v>1151514.7703757</v>
      </c>
      <c r="M1028" s="22">
        <v>1.5048257746508897E-3</v>
      </c>
      <c r="N1028" s="21">
        <v>3</v>
      </c>
      <c r="O1028" s="27">
        <v>962744.09033490275</v>
      </c>
      <c r="P1028" s="22">
        <v>1.2691542314159725E-3</v>
      </c>
      <c r="Q1028" s="21">
        <v>4</v>
      </c>
      <c r="R1028" s="27">
        <v>1283935.6408772385</v>
      </c>
      <c r="S1028" s="22">
        <v>1.70251216014487E-3</v>
      </c>
      <c r="T1028" s="23">
        <v>1</v>
      </c>
      <c r="U1028" s="28">
        <v>923417.35803730797</v>
      </c>
      <c r="V1028" s="24">
        <v>1.2047246203697592E-3</v>
      </c>
      <c r="W1028" s="23">
        <v>0</v>
      </c>
      <c r="X1028" s="28">
        <v>717314.88725429319</v>
      </c>
      <c r="Y1028" s="24">
        <v>9.1545717637689372E-4</v>
      </c>
      <c r="Z1028" s="23">
        <v>0</v>
      </c>
      <c r="AA1028" s="28">
        <v>749290.08359644434</v>
      </c>
      <c r="AB1028" s="24">
        <v>9.7056838553555649E-4</v>
      </c>
    </row>
    <row r="1029" spans="1:28" x14ac:dyDescent="0.25">
      <c r="A1029" t="s">
        <v>6688</v>
      </c>
      <c r="B1029" t="s">
        <v>7959</v>
      </c>
      <c r="C1029" t="s">
        <v>6690</v>
      </c>
      <c r="D1029" s="10" t="s">
        <v>6689</v>
      </c>
      <c r="E1029" s="10" t="s">
        <v>3546</v>
      </c>
      <c r="I1029" s="17">
        <v>-1.5564369436746299</v>
      </c>
      <c r="J1029" s="17">
        <v>0.122452380322079</v>
      </c>
      <c r="K1029" s="21">
        <v>1</v>
      </c>
      <c r="L1029" s="27">
        <v>824170.24049751798</v>
      </c>
      <c r="M1029" s="22">
        <v>3.5039846899851518E-3</v>
      </c>
      <c r="N1029" s="21">
        <v>1</v>
      </c>
      <c r="O1029" s="27">
        <v>608695.23354151938</v>
      </c>
      <c r="P1029" s="22">
        <v>2.6105499329479556E-3</v>
      </c>
      <c r="Q1029" s="21">
        <v>2</v>
      </c>
      <c r="R1029" s="27">
        <v>763158.98559932539</v>
      </c>
      <c r="S1029" s="22">
        <v>3.2922329174425308E-3</v>
      </c>
      <c r="T1029" s="23">
        <v>0</v>
      </c>
      <c r="U1029" s="28">
        <v>638112.75193481008</v>
      </c>
      <c r="V1029" s="24">
        <v>2.708418293091353E-3</v>
      </c>
      <c r="W1029" s="23">
        <v>0</v>
      </c>
      <c r="X1029" s="28">
        <v>562388.11008690239</v>
      </c>
      <c r="Y1029" s="24">
        <v>2.3350322462546091E-3</v>
      </c>
      <c r="Z1029" s="23">
        <v>0</v>
      </c>
      <c r="AA1029" s="28">
        <v>334611.93580654997</v>
      </c>
      <c r="AB1029" s="24">
        <v>1.4100877744780286E-3</v>
      </c>
    </row>
    <row r="1030" spans="1:28" x14ac:dyDescent="0.25">
      <c r="A1030" t="s">
        <v>6665</v>
      </c>
      <c r="B1030" t="s">
        <v>7951</v>
      </c>
      <c r="C1030" t="s">
        <v>6667</v>
      </c>
      <c r="D1030" s="10" t="s">
        <v>6666</v>
      </c>
      <c r="E1030" s="10" t="s">
        <v>3546</v>
      </c>
      <c r="I1030" s="17">
        <v>-1.5872959019048101</v>
      </c>
      <c r="J1030" s="17">
        <v>9.0523747226065196E-2</v>
      </c>
      <c r="K1030" s="21">
        <v>1</v>
      </c>
      <c r="L1030" s="27">
        <v>343107.02606140199</v>
      </c>
      <c r="M1030" s="22">
        <v>1.1577221369267615E-3</v>
      </c>
      <c r="N1030" s="21">
        <v>0</v>
      </c>
      <c r="O1030" s="27">
        <v>223036.71676224496</v>
      </c>
      <c r="P1030" s="22">
        <v>7.5916804920292456E-4</v>
      </c>
      <c r="Q1030" s="21">
        <v>2</v>
      </c>
      <c r="R1030" s="27">
        <v>347982.72518275946</v>
      </c>
      <c r="S1030" s="22">
        <v>1.1914139219673166E-3</v>
      </c>
      <c r="T1030" s="23">
        <v>0</v>
      </c>
      <c r="U1030" s="28">
        <v>211206.89380077398</v>
      </c>
      <c r="V1030" s="24">
        <v>7.1146879913371172E-4</v>
      </c>
      <c r="W1030" s="23">
        <v>0</v>
      </c>
      <c r="X1030" s="28">
        <v>181680.98160508802</v>
      </c>
      <c r="Y1030" s="24">
        <v>5.9868127469174873E-4</v>
      </c>
      <c r="Z1030" s="23">
        <v>0</v>
      </c>
      <c r="AA1030" s="28">
        <v>232344.28766913418</v>
      </c>
      <c r="AB1030" s="24">
        <v>7.7708079038631226E-4</v>
      </c>
    </row>
    <row r="1031" spans="1:28" x14ac:dyDescent="0.25">
      <c r="A1031" t="s">
        <v>6611</v>
      </c>
      <c r="B1031" t="s">
        <v>7933</v>
      </c>
      <c r="C1031" t="s">
        <v>6613</v>
      </c>
      <c r="D1031" s="10" t="s">
        <v>6612</v>
      </c>
      <c r="E1031" s="10" t="s">
        <v>3546</v>
      </c>
      <c r="I1031" s="17">
        <v>-1.5880214250490301</v>
      </c>
      <c r="J1031" s="17">
        <v>1.58194949481975E-2</v>
      </c>
      <c r="K1031" s="21">
        <v>2</v>
      </c>
      <c r="L1031" s="27">
        <v>169092.22059458899</v>
      </c>
      <c r="M1031" s="22">
        <v>5.9908390589441594E-4</v>
      </c>
      <c r="N1031" s="21">
        <v>0</v>
      </c>
      <c r="O1031" s="27">
        <v>133529.48445092284</v>
      </c>
      <c r="P1031" s="22">
        <v>4.7723032188564377E-4</v>
      </c>
      <c r="Q1031" s="21">
        <v>0</v>
      </c>
      <c r="R1031" s="27">
        <v>164140.09638776467</v>
      </c>
      <c r="S1031" s="22">
        <v>5.9007738295362177E-4</v>
      </c>
      <c r="T1031" s="23">
        <v>0</v>
      </c>
      <c r="U1031" s="28">
        <v>105888.55018723785</v>
      </c>
      <c r="V1031" s="24">
        <v>3.7452953453558248E-4</v>
      </c>
      <c r="W1031" s="23">
        <v>0</v>
      </c>
      <c r="X1031" s="28">
        <v>107259.2695038824</v>
      </c>
      <c r="Y1031" s="24">
        <v>3.711165659876444E-4</v>
      </c>
      <c r="Z1031" s="23">
        <v>0</v>
      </c>
      <c r="AA1031" s="28">
        <v>106661.68191783084</v>
      </c>
      <c r="AB1031" s="24">
        <v>3.7456905941671173E-4</v>
      </c>
    </row>
    <row r="1032" spans="1:28" x14ac:dyDescent="0.25">
      <c r="A1032" t="s">
        <v>6608</v>
      </c>
      <c r="B1032" t="s">
        <v>7932</v>
      </c>
      <c r="C1032" t="s">
        <v>6610</v>
      </c>
      <c r="D1032" s="10" t="s">
        <v>6609</v>
      </c>
      <c r="E1032" s="10" t="s">
        <v>3546</v>
      </c>
      <c r="I1032" s="17">
        <v>-1.5915279294995699</v>
      </c>
      <c r="J1032" s="17">
        <v>3.4477623979471399E-2</v>
      </c>
      <c r="K1032" s="21">
        <v>8</v>
      </c>
      <c r="L1032" s="27">
        <v>3643927.6147484202</v>
      </c>
      <c r="M1032" s="22">
        <v>1.1065906000357483E-2</v>
      </c>
      <c r="N1032" s="21">
        <v>5</v>
      </c>
      <c r="O1032" s="27">
        <v>4096755.1716201291</v>
      </c>
      <c r="P1032" s="22">
        <v>1.2550010191885085E-2</v>
      </c>
      <c r="Q1032" s="21">
        <v>8</v>
      </c>
      <c r="R1032" s="27">
        <v>3742239.177860111</v>
      </c>
      <c r="S1032" s="22">
        <v>1.1531320320982016E-2</v>
      </c>
      <c r="T1032" s="23">
        <v>4</v>
      </c>
      <c r="U1032" s="28">
        <v>2793371.7080153502</v>
      </c>
      <c r="V1032" s="24">
        <v>8.4687440877729316E-3</v>
      </c>
      <c r="W1032" s="23">
        <v>5</v>
      </c>
      <c r="X1032" s="28">
        <v>3177938.1935672183</v>
      </c>
      <c r="Y1032" s="24">
        <v>9.4248438368566174E-3</v>
      </c>
      <c r="Z1032" s="23">
        <v>3</v>
      </c>
      <c r="AA1032" s="28">
        <v>1865848.6809560237</v>
      </c>
      <c r="AB1032" s="24">
        <v>5.6163362743092797E-3</v>
      </c>
    </row>
    <row r="1033" spans="1:28" x14ac:dyDescent="0.25">
      <c r="A1033" t="s">
        <v>6605</v>
      </c>
      <c r="B1033" t="s">
        <v>7931</v>
      </c>
      <c r="C1033" t="s">
        <v>6607</v>
      </c>
      <c r="D1033" s="10" t="s">
        <v>6606</v>
      </c>
      <c r="E1033" s="10" t="s">
        <v>3546</v>
      </c>
      <c r="I1033" s="17">
        <v>-1.61001998234266</v>
      </c>
      <c r="J1033" s="17">
        <v>8.7796561609693197E-3</v>
      </c>
      <c r="K1033" s="21">
        <v>2</v>
      </c>
      <c r="L1033" s="27">
        <v>1168258.0851813999</v>
      </c>
      <c r="M1033" s="22">
        <v>2.7903845856932169E-3</v>
      </c>
      <c r="N1033" s="21">
        <v>2</v>
      </c>
      <c r="O1033" s="27">
        <v>974961.50186338148</v>
      </c>
      <c r="P1033" s="22">
        <v>2.3490895255567474E-3</v>
      </c>
      <c r="Q1033" s="21">
        <v>2</v>
      </c>
      <c r="R1033" s="27">
        <v>1036904.4070136152</v>
      </c>
      <c r="S1033" s="22">
        <v>2.5130101854633964E-3</v>
      </c>
      <c r="T1033" s="23">
        <v>1</v>
      </c>
      <c r="U1033" s="28">
        <v>651148.0008471309</v>
      </c>
      <c r="V1033" s="24">
        <v>1.5526659323092057E-3</v>
      </c>
      <c r="W1033" s="23">
        <v>2</v>
      </c>
      <c r="X1033" s="28">
        <v>786089.25819305272</v>
      </c>
      <c r="Y1033" s="24">
        <v>1.8336169357119753E-3</v>
      </c>
      <c r="Z1033" s="23">
        <v>2</v>
      </c>
      <c r="AA1033" s="28">
        <v>721680.85764550557</v>
      </c>
      <c r="AB1033" s="24">
        <v>1.708558693013285E-3</v>
      </c>
    </row>
    <row r="1034" spans="1:28" x14ac:dyDescent="0.25">
      <c r="A1034" t="s">
        <v>6751</v>
      </c>
      <c r="B1034" t="s">
        <v>7980</v>
      </c>
      <c r="C1034" t="s">
        <v>6753</v>
      </c>
      <c r="D1034" s="10" t="s">
        <v>6752</v>
      </c>
      <c r="E1034" s="10" t="s">
        <v>3546</v>
      </c>
      <c r="I1034" s="17">
        <v>-1.6238213410320499</v>
      </c>
      <c r="J1034" s="17">
        <v>0.34165081202206199</v>
      </c>
      <c r="K1034" s="21">
        <v>1</v>
      </c>
      <c r="L1034" s="27">
        <v>178494.124157332</v>
      </c>
      <c r="M1034" s="22">
        <v>1.0841045203789227E-3</v>
      </c>
      <c r="N1034" s="21">
        <v>0</v>
      </c>
      <c r="O1034" s="27">
        <v>78342.301380559409</v>
      </c>
      <c r="P1034" s="22">
        <v>4.799880098243374E-4</v>
      </c>
      <c r="Q1034" s="21">
        <v>1</v>
      </c>
      <c r="R1034" s="27">
        <v>238066.21555635476</v>
      </c>
      <c r="S1034" s="22">
        <v>1.4671525034666815E-3</v>
      </c>
      <c r="T1034" s="23">
        <v>0</v>
      </c>
      <c r="U1034" s="28">
        <v>122973.09123933154</v>
      </c>
      <c r="V1034" s="24">
        <v>7.4564200417721665E-4</v>
      </c>
      <c r="W1034" s="23">
        <v>0</v>
      </c>
      <c r="X1034" s="28">
        <v>100820.69461774878</v>
      </c>
      <c r="Y1034" s="24">
        <v>5.9800993248964153E-4</v>
      </c>
      <c r="Z1034" s="23">
        <v>0</v>
      </c>
      <c r="AA1034" s="28">
        <v>106240.32244260474</v>
      </c>
      <c r="AB1034" s="24">
        <v>6.3958174402758928E-4</v>
      </c>
    </row>
    <row r="1035" spans="1:28" x14ac:dyDescent="0.25">
      <c r="A1035" t="s">
        <v>6602</v>
      </c>
      <c r="B1035" t="s">
        <v>7930</v>
      </c>
      <c r="C1035" t="s">
        <v>6604</v>
      </c>
      <c r="D1035" s="10" t="s">
        <v>6603</v>
      </c>
      <c r="E1035" s="10" t="s">
        <v>3546</v>
      </c>
      <c r="I1035" s="17">
        <v>-1.63745793076435</v>
      </c>
      <c r="J1035" s="17">
        <v>4.1560199771506498E-3</v>
      </c>
      <c r="K1035" s="21">
        <v>4</v>
      </c>
      <c r="L1035" s="27">
        <v>6535605.5140618198</v>
      </c>
      <c r="M1035" s="22">
        <v>1.673874963692067E-2</v>
      </c>
      <c r="N1035" s="21">
        <v>3</v>
      </c>
      <c r="O1035" s="27">
        <v>8757385.7280660998</v>
      </c>
      <c r="P1035" s="22">
        <v>2.2625516106367635E-2</v>
      </c>
      <c r="Q1035" s="21">
        <v>4</v>
      </c>
      <c r="R1035" s="27">
        <v>7517464.0715029249</v>
      </c>
      <c r="S1035" s="22">
        <v>1.9536142027807544E-2</v>
      </c>
      <c r="T1035" s="23">
        <v>2</v>
      </c>
      <c r="U1035" s="28">
        <v>4762774.5565745682</v>
      </c>
      <c r="V1035" s="24">
        <v>1.2177839663125987E-2</v>
      </c>
      <c r="W1035" s="23">
        <v>5</v>
      </c>
      <c r="X1035" s="28">
        <v>4748550.6668741386</v>
      </c>
      <c r="Y1035" s="24">
        <v>1.1877081602857381E-2</v>
      </c>
      <c r="Z1035" s="23">
        <v>3</v>
      </c>
      <c r="AA1035" s="28">
        <v>5478142.4440867286</v>
      </c>
      <c r="AB1035" s="24">
        <v>1.3906887821430588E-2</v>
      </c>
    </row>
    <row r="1036" spans="1:28" x14ac:dyDescent="0.25">
      <c r="A1036" t="s">
        <v>6558</v>
      </c>
      <c r="B1036" t="s">
        <v>7915</v>
      </c>
      <c r="C1036" t="s">
        <v>6560</v>
      </c>
      <c r="D1036" s="10" t="s">
        <v>6559</v>
      </c>
      <c r="E1036" s="10" t="s">
        <v>3546</v>
      </c>
      <c r="H1036" t="s">
        <v>41</v>
      </c>
      <c r="I1036" s="17">
        <v>-1.6691403830921501</v>
      </c>
      <c r="J1036" s="17">
        <v>0.40756540206132302</v>
      </c>
      <c r="K1036" s="21">
        <v>2</v>
      </c>
      <c r="L1036" s="27">
        <v>968970.67774323805</v>
      </c>
      <c r="M1036" s="22">
        <v>4.1472565025573987E-3</v>
      </c>
      <c r="N1036" s="21">
        <v>0</v>
      </c>
      <c r="O1036" s="27">
        <v>285843.75948827562</v>
      </c>
      <c r="P1036" s="22">
        <v>1.2341439239167034E-3</v>
      </c>
      <c r="Q1036" s="21">
        <v>3</v>
      </c>
      <c r="R1036" s="27">
        <v>712947.74351700884</v>
      </c>
      <c r="S1036" s="22">
        <v>3.0962656896273686E-3</v>
      </c>
      <c r="T1036" s="23">
        <v>0</v>
      </c>
      <c r="U1036" s="28">
        <v>418789.95532981126</v>
      </c>
      <c r="V1036" s="24">
        <v>1.7894499754752228E-3</v>
      </c>
      <c r="W1036" s="23">
        <v>0</v>
      </c>
      <c r="X1036" s="28">
        <v>391210.75094120682</v>
      </c>
      <c r="Y1036" s="24">
        <v>1.6352061957127023E-3</v>
      </c>
      <c r="Z1036" s="23">
        <v>0</v>
      </c>
      <c r="AA1036" s="28">
        <v>492238.24956035253</v>
      </c>
      <c r="AB1036" s="24">
        <v>2.088262391557062E-3</v>
      </c>
    </row>
    <row r="1037" spans="1:28" x14ac:dyDescent="0.25">
      <c r="A1037" t="s">
        <v>6483</v>
      </c>
      <c r="B1037" t="s">
        <v>7888</v>
      </c>
      <c r="C1037" t="s">
        <v>6485</v>
      </c>
      <c r="D1037" s="10" t="s">
        <v>6484</v>
      </c>
      <c r="E1037" s="10" t="s">
        <v>3546</v>
      </c>
      <c r="H1037" t="s">
        <v>57</v>
      </c>
      <c r="I1037" s="17">
        <v>-1.6728785181518799</v>
      </c>
      <c r="J1037" s="17">
        <v>7.9596740846163402E-2</v>
      </c>
      <c r="K1037" s="21">
        <v>1</v>
      </c>
      <c r="L1037" s="27">
        <v>800788.60477997805</v>
      </c>
      <c r="M1037" s="22">
        <v>1.163295088485089E-3</v>
      </c>
      <c r="N1037" s="21">
        <v>2</v>
      </c>
      <c r="O1037" s="27">
        <v>775001.72028282052</v>
      </c>
      <c r="P1037" s="22">
        <v>1.1356944642487057E-3</v>
      </c>
      <c r="Q1037" s="21">
        <v>1</v>
      </c>
      <c r="R1037" s="27">
        <v>493799.62384804402</v>
      </c>
      <c r="S1037" s="22">
        <v>7.2786866695927622E-4</v>
      </c>
      <c r="T1037" s="23">
        <v>1</v>
      </c>
      <c r="U1037" s="28">
        <v>513316.49788951839</v>
      </c>
      <c r="V1037" s="24">
        <v>7.4444098706975955E-4</v>
      </c>
      <c r="W1037" s="23">
        <v>1</v>
      </c>
      <c r="X1037" s="28">
        <v>448639.46671815705</v>
      </c>
      <c r="Y1037" s="24">
        <v>6.3647443857238657E-4</v>
      </c>
      <c r="Z1037" s="23">
        <v>1</v>
      </c>
      <c r="AA1037" s="28">
        <v>384961.287642874</v>
      </c>
      <c r="AB1037" s="24">
        <v>5.5430464245099619E-4</v>
      </c>
    </row>
    <row r="1038" spans="1:28" x14ac:dyDescent="0.25">
      <c r="A1038" t="s">
        <v>6519</v>
      </c>
      <c r="B1038" t="s">
        <v>7902</v>
      </c>
      <c r="C1038" t="s">
        <v>6521</v>
      </c>
      <c r="D1038" s="10" t="s">
        <v>6520</v>
      </c>
      <c r="E1038" s="10" t="s">
        <v>3546</v>
      </c>
      <c r="H1038" t="s">
        <v>41</v>
      </c>
      <c r="I1038" s="17">
        <v>-1.69539303385785</v>
      </c>
      <c r="J1038" s="17">
        <v>9.1868371205151601E-3</v>
      </c>
      <c r="K1038" s="21">
        <v>1</v>
      </c>
      <c r="L1038" s="27">
        <v>279920.13437149598</v>
      </c>
      <c r="M1038" s="22">
        <v>1.0562919342014864E-3</v>
      </c>
      <c r="N1038" s="21">
        <v>0</v>
      </c>
      <c r="O1038" s="27">
        <v>313161.45323465241</v>
      </c>
      <c r="P1038" s="22">
        <v>1.1920787814221386E-3</v>
      </c>
      <c r="Q1038" s="21">
        <v>2</v>
      </c>
      <c r="R1038" s="27">
        <v>306667.15622618393</v>
      </c>
      <c r="S1038" s="22">
        <v>1.1742142625280419E-3</v>
      </c>
      <c r="T1038" s="23">
        <v>0</v>
      </c>
      <c r="U1038" s="28">
        <v>212657.7882589107</v>
      </c>
      <c r="V1038" s="24">
        <v>8.0113215251504841E-4</v>
      </c>
      <c r="W1038" s="23">
        <v>0</v>
      </c>
      <c r="X1038" s="28">
        <v>164373.4542564959</v>
      </c>
      <c r="Y1038" s="24">
        <v>6.0574939405474623E-4</v>
      </c>
      <c r="Z1038" s="23">
        <v>0</v>
      </c>
      <c r="AA1038" s="28">
        <v>193012.75574399295</v>
      </c>
      <c r="AB1038" s="24">
        <v>7.2193032458150162E-4</v>
      </c>
    </row>
    <row r="1039" spans="1:28" x14ac:dyDescent="0.25">
      <c r="A1039" t="s">
        <v>6599</v>
      </c>
      <c r="B1039" t="s">
        <v>7929</v>
      </c>
      <c r="C1039" t="s">
        <v>6601</v>
      </c>
      <c r="D1039" s="10" t="s">
        <v>6600</v>
      </c>
      <c r="E1039" s="10" t="s">
        <v>3546</v>
      </c>
      <c r="I1039" s="17">
        <v>-1.7144728747429001</v>
      </c>
      <c r="J1039" s="17">
        <v>4.7394895291682601E-2</v>
      </c>
      <c r="K1039" s="21">
        <v>10</v>
      </c>
      <c r="L1039" s="27">
        <v>5435319.5122028496</v>
      </c>
      <c r="M1039" s="22">
        <v>1.1039056624976716E-2</v>
      </c>
      <c r="N1039" s="21">
        <v>6</v>
      </c>
      <c r="O1039" s="27">
        <v>7037776.9020114616</v>
      </c>
      <c r="P1039" s="22">
        <v>1.4418803062116877E-2</v>
      </c>
      <c r="Q1039" s="21">
        <v>7</v>
      </c>
      <c r="R1039" s="27">
        <v>4274647.0731252646</v>
      </c>
      <c r="S1039" s="22">
        <v>8.8092189791208631E-3</v>
      </c>
      <c r="T1039" s="23">
        <v>3</v>
      </c>
      <c r="U1039" s="28">
        <v>4073202.7001900547</v>
      </c>
      <c r="V1039" s="24">
        <v>8.2587809782249111E-3</v>
      </c>
      <c r="W1039" s="23">
        <v>1</v>
      </c>
      <c r="X1039" s="28">
        <v>3184596.910160989</v>
      </c>
      <c r="Y1039" s="24">
        <v>6.316446652148572E-3</v>
      </c>
      <c r="Z1039" s="23">
        <v>3</v>
      </c>
      <c r="AA1039" s="28">
        <v>3258846.2969735735</v>
      </c>
      <c r="AB1039" s="24">
        <v>6.5603982985225281E-3</v>
      </c>
    </row>
    <row r="1040" spans="1:28" x14ac:dyDescent="0.25">
      <c r="A1040" t="s">
        <v>6668</v>
      </c>
      <c r="B1040" t="s">
        <v>7952</v>
      </c>
      <c r="C1040" t="s">
        <v>6669</v>
      </c>
      <c r="D1040" s="10" t="s">
        <v>5184</v>
      </c>
      <c r="E1040" s="10" t="s">
        <v>3546</v>
      </c>
      <c r="I1040" s="17">
        <v>-1.71993303801224</v>
      </c>
      <c r="J1040" s="17">
        <v>9.6236146065845504E-2</v>
      </c>
      <c r="K1040" s="21">
        <v>13</v>
      </c>
      <c r="L1040" s="27">
        <v>5929219.7519003004</v>
      </c>
      <c r="M1040" s="22">
        <v>8.773175290024457E-3</v>
      </c>
      <c r="N1040" s="21">
        <v>5</v>
      </c>
      <c r="O1040" s="27">
        <v>3890927.9707968868</v>
      </c>
      <c r="P1040" s="22">
        <v>5.8076345956079353E-3</v>
      </c>
      <c r="Q1040" s="21">
        <v>13</v>
      </c>
      <c r="R1040" s="27">
        <v>6787819.0269259354</v>
      </c>
      <c r="S1040" s="22">
        <v>1.0191069764138373E-2</v>
      </c>
      <c r="T1040" s="23">
        <v>3</v>
      </c>
      <c r="U1040" s="28">
        <v>4083710.7686279234</v>
      </c>
      <c r="V1040" s="24">
        <v>6.0323603827419263E-3</v>
      </c>
      <c r="W1040" s="23">
        <v>2</v>
      </c>
      <c r="X1040" s="28">
        <v>2678558.1288907202</v>
      </c>
      <c r="Y1040" s="24">
        <v>3.8705422875339383E-3</v>
      </c>
      <c r="Z1040" s="23">
        <v>2</v>
      </c>
      <c r="AA1040" s="28">
        <v>3638245.6855730289</v>
      </c>
      <c r="AB1040" s="24">
        <v>5.3359374592022368E-3</v>
      </c>
    </row>
    <row r="1041" spans="1:35" x14ac:dyDescent="0.25">
      <c r="A1041" t="s">
        <v>6596</v>
      </c>
      <c r="B1041" t="s">
        <v>7928</v>
      </c>
      <c r="C1041" t="s">
        <v>6598</v>
      </c>
      <c r="D1041" s="10" t="s">
        <v>6597</v>
      </c>
      <c r="E1041" s="10" t="s">
        <v>3546</v>
      </c>
      <c r="I1041" s="17">
        <v>-1.7388304671672301</v>
      </c>
      <c r="J1041" s="17">
        <v>4.8298857369385002E-2</v>
      </c>
      <c r="K1041" s="21">
        <v>3</v>
      </c>
      <c r="L1041" s="27">
        <v>924012.78633540706</v>
      </c>
      <c r="M1041" s="22">
        <v>1.4478384367053552E-3</v>
      </c>
      <c r="N1041" s="21">
        <v>1</v>
      </c>
      <c r="O1041" s="27">
        <v>858825.08522264264</v>
      </c>
      <c r="P1041" s="22">
        <v>1.3574807338600536E-3</v>
      </c>
      <c r="Q1041" s="21">
        <v>1</v>
      </c>
      <c r="R1041" s="27">
        <v>670337.76125390141</v>
      </c>
      <c r="S1041" s="22">
        <v>1.0657763167328429E-3</v>
      </c>
      <c r="T1041" s="23">
        <v>0</v>
      </c>
      <c r="U1041" s="28">
        <v>635312.27635082335</v>
      </c>
      <c r="V1041" s="24">
        <v>9.938078253824889E-4</v>
      </c>
      <c r="W1041" s="23">
        <v>0</v>
      </c>
      <c r="X1041" s="28">
        <v>450931.71255955001</v>
      </c>
      <c r="Y1041" s="24">
        <v>6.9002429310789334E-4</v>
      </c>
      <c r="Z1041" s="23">
        <v>0</v>
      </c>
      <c r="AA1041" s="28">
        <v>440240.8182688313</v>
      </c>
      <c r="AB1041" s="24">
        <v>6.8374139807554819E-4</v>
      </c>
    </row>
    <row r="1042" spans="1:35" x14ac:dyDescent="0.25">
      <c r="A1042" t="s">
        <v>6730</v>
      </c>
      <c r="B1042" t="s">
        <v>7973</v>
      </c>
      <c r="C1042" t="s">
        <v>6732</v>
      </c>
      <c r="D1042" s="10" t="s">
        <v>6731</v>
      </c>
      <c r="E1042" s="10" t="s">
        <v>3546</v>
      </c>
      <c r="I1042" s="17">
        <v>-1.77538435366832</v>
      </c>
      <c r="J1042" s="17">
        <v>0.25847798924972099</v>
      </c>
      <c r="K1042" s="21">
        <v>7</v>
      </c>
      <c r="L1042" s="27">
        <v>4182114.4324921402</v>
      </c>
      <c r="M1042" s="22">
        <v>8.2063319649771944E-3</v>
      </c>
      <c r="N1042" s="21">
        <v>1</v>
      </c>
      <c r="O1042" s="27">
        <v>1908636.7218443628</v>
      </c>
      <c r="P1042" s="22">
        <v>3.778011512296319E-3</v>
      </c>
      <c r="Q1042" s="21">
        <v>8</v>
      </c>
      <c r="R1042" s="27">
        <v>5185256.2815334648</v>
      </c>
      <c r="S1042" s="22">
        <v>1.0324134533655435E-2</v>
      </c>
      <c r="T1042" s="23">
        <v>5</v>
      </c>
      <c r="U1042" s="28">
        <v>2845958.3763598967</v>
      </c>
      <c r="V1042" s="24">
        <v>5.5751268971521838E-3</v>
      </c>
      <c r="W1042" s="23">
        <v>1</v>
      </c>
      <c r="X1042" s="28">
        <v>1375039.3272634544</v>
      </c>
      <c r="Y1042" s="24">
        <v>2.6349948438487035E-3</v>
      </c>
      <c r="Z1042" s="23">
        <v>2</v>
      </c>
      <c r="AA1042" s="28">
        <v>2593518.3384362832</v>
      </c>
      <c r="AB1042" s="24">
        <v>5.0443119932787155E-3</v>
      </c>
    </row>
    <row r="1043" spans="1:35" x14ac:dyDescent="0.25">
      <c r="A1043" t="s">
        <v>6644</v>
      </c>
      <c r="B1043" t="s">
        <v>7944</v>
      </c>
      <c r="C1043" t="s">
        <v>6646</v>
      </c>
      <c r="D1043" s="10" t="s">
        <v>6645</v>
      </c>
      <c r="E1043" s="10" t="s">
        <v>3546</v>
      </c>
      <c r="I1043" s="17">
        <v>-1.78868167509684</v>
      </c>
      <c r="J1043" s="17">
        <v>5.2152275417628201E-2</v>
      </c>
      <c r="K1043" s="21">
        <v>1</v>
      </c>
      <c r="L1043" s="27">
        <v>549465.91089217004</v>
      </c>
      <c r="M1043" s="22">
        <v>1.0683251200037591E-3</v>
      </c>
      <c r="N1043" s="21">
        <v>0</v>
      </c>
      <c r="O1043" s="27">
        <v>369990.88377875707</v>
      </c>
      <c r="P1043" s="22">
        <v>7.2567229461872646E-4</v>
      </c>
      <c r="Q1043" s="21">
        <v>2</v>
      </c>
      <c r="R1043" s="27">
        <v>510386.68283446372</v>
      </c>
      <c r="S1043" s="22">
        <v>1.0069137705259479E-3</v>
      </c>
      <c r="T1043" s="23">
        <v>0</v>
      </c>
      <c r="U1043" s="28">
        <v>347570.44016344805</v>
      </c>
      <c r="V1043" s="24">
        <v>6.7465006118953407E-4</v>
      </c>
      <c r="W1043" s="23">
        <v>0</v>
      </c>
      <c r="X1043" s="28">
        <v>239656.49088857957</v>
      </c>
      <c r="Y1043" s="24">
        <v>4.5505444762174017E-4</v>
      </c>
      <c r="Z1043" s="23">
        <v>1</v>
      </c>
      <c r="AA1043" s="28">
        <v>277921.34243858175</v>
      </c>
      <c r="AB1043" s="24">
        <v>5.3560427289270243E-4</v>
      </c>
    </row>
    <row r="1044" spans="1:35" x14ac:dyDescent="0.25">
      <c r="A1044" t="s">
        <v>6718</v>
      </c>
      <c r="B1044" t="s">
        <v>7969</v>
      </c>
      <c r="C1044" t="s">
        <v>6720</v>
      </c>
      <c r="D1044" s="10" t="s">
        <v>6719</v>
      </c>
      <c r="E1044" s="10" t="s">
        <v>3546</v>
      </c>
      <c r="I1044" s="17">
        <v>-1.86117570710737</v>
      </c>
      <c r="J1044" s="17">
        <v>0.21635110505256999</v>
      </c>
      <c r="K1044" s="21">
        <v>2</v>
      </c>
      <c r="L1044" s="27">
        <v>498880.07743550302</v>
      </c>
      <c r="M1044" s="22">
        <v>2.9957679788933302E-4</v>
      </c>
      <c r="N1044" s="21">
        <v>0</v>
      </c>
      <c r="O1044" s="27">
        <v>221823.33224517445</v>
      </c>
      <c r="P1044" s="22">
        <v>1.3437116139861595E-4</v>
      </c>
      <c r="Q1044" s="21">
        <v>2</v>
      </c>
      <c r="R1044" s="27">
        <v>663571.52096632717</v>
      </c>
      <c r="S1044" s="22">
        <v>4.0432445696416048E-4</v>
      </c>
      <c r="T1044" s="23">
        <v>1</v>
      </c>
      <c r="U1044" s="28">
        <v>311191.11808946228</v>
      </c>
      <c r="V1044" s="24">
        <v>1.8655730107078496E-4</v>
      </c>
      <c r="W1044" s="23">
        <v>0</v>
      </c>
      <c r="X1044" s="28">
        <v>282140.67999307503</v>
      </c>
      <c r="Y1044" s="24">
        <v>1.6545854584096065E-4</v>
      </c>
      <c r="Z1044" s="23">
        <v>1</v>
      </c>
      <c r="AA1044" s="28">
        <v>214379.12196479156</v>
      </c>
      <c r="AB1044" s="24">
        <v>1.2760096210732256E-4</v>
      </c>
    </row>
    <row r="1045" spans="1:35" x14ac:dyDescent="0.25">
      <c r="A1045" t="s">
        <v>6593</v>
      </c>
      <c r="B1045" t="s">
        <v>7927</v>
      </c>
      <c r="C1045" t="s">
        <v>6595</v>
      </c>
      <c r="D1045" s="10" t="s">
        <v>6594</v>
      </c>
      <c r="E1045" s="10" t="s">
        <v>3546</v>
      </c>
      <c r="I1045" s="17">
        <v>-1.87210892945274</v>
      </c>
      <c r="J1045" s="17">
        <v>9.5746937145818594E-3</v>
      </c>
      <c r="K1045" s="21">
        <v>1</v>
      </c>
      <c r="L1045" s="27">
        <v>777442.09576832398</v>
      </c>
      <c r="M1045" s="22">
        <v>2.4185257830727546E-3</v>
      </c>
      <c r="N1045" s="21">
        <v>2</v>
      </c>
      <c r="O1045" s="27">
        <v>807555.15712306416</v>
      </c>
      <c r="P1045" s="22">
        <v>2.5342047259784999E-3</v>
      </c>
      <c r="Q1045" s="21">
        <v>2</v>
      </c>
      <c r="R1045" s="27">
        <v>800660.13334167772</v>
      </c>
      <c r="S1045" s="22">
        <v>2.5273252328469687E-3</v>
      </c>
      <c r="T1045" s="23">
        <v>0</v>
      </c>
      <c r="U1045" s="28">
        <v>491141.18709039665</v>
      </c>
      <c r="V1045" s="24">
        <v>1.5253238762993405E-3</v>
      </c>
      <c r="W1045" s="23">
        <v>1</v>
      </c>
      <c r="X1045" s="28">
        <v>551502.47854846658</v>
      </c>
      <c r="Y1045" s="24">
        <v>1.6754891457010973E-3</v>
      </c>
      <c r="Z1045" s="23">
        <v>0</v>
      </c>
      <c r="AA1045" s="28">
        <v>342462.39849273337</v>
      </c>
      <c r="AB1045" s="24">
        <v>1.0559783416609055E-3</v>
      </c>
    </row>
    <row r="1046" spans="1:35" x14ac:dyDescent="0.25">
      <c r="A1046" t="s">
        <v>6757</v>
      </c>
      <c r="B1046" t="s">
        <v>7982</v>
      </c>
      <c r="C1046" t="s">
        <v>6759</v>
      </c>
      <c r="D1046" s="10" t="s">
        <v>6758</v>
      </c>
      <c r="E1046" s="10" t="s">
        <v>3546</v>
      </c>
      <c r="I1046" s="17">
        <v>-1.8815380181036101</v>
      </c>
      <c r="J1046" s="17">
        <v>0.35900922038363198</v>
      </c>
      <c r="K1046" s="21">
        <v>1</v>
      </c>
      <c r="L1046" s="27">
        <v>52773.704772972502</v>
      </c>
      <c r="M1046" s="22">
        <v>1.4200569686918172E-4</v>
      </c>
      <c r="N1046" s="21">
        <v>0</v>
      </c>
      <c r="O1046" s="27">
        <v>119609.08488976507</v>
      </c>
      <c r="P1046" s="22">
        <v>3.2466777466543336E-4</v>
      </c>
      <c r="Q1046" s="21">
        <v>2</v>
      </c>
      <c r="R1046" s="27">
        <v>252727.78118397569</v>
      </c>
      <c r="S1046" s="22">
        <v>6.9003549061048971E-4</v>
      </c>
      <c r="T1046" s="23">
        <v>0</v>
      </c>
      <c r="U1046" s="28">
        <v>100679.57443294342</v>
      </c>
      <c r="V1046" s="24">
        <v>2.7045972308705195E-4</v>
      </c>
      <c r="W1046" s="23">
        <v>0</v>
      </c>
      <c r="X1046" s="28">
        <v>29670.605177154506</v>
      </c>
      <c r="Y1046" s="24">
        <v>7.7969737065957718E-5</v>
      </c>
      <c r="Z1046" s="23">
        <v>0</v>
      </c>
      <c r="AA1046" s="28">
        <v>102419.9289179951</v>
      </c>
      <c r="AB1046" s="24">
        <v>2.7316943345181283E-4</v>
      </c>
    </row>
    <row r="1047" spans="1:35" x14ac:dyDescent="0.25">
      <c r="A1047" t="s">
        <v>6590</v>
      </c>
      <c r="B1047" t="s">
        <v>7926</v>
      </c>
      <c r="C1047" t="s">
        <v>6592</v>
      </c>
      <c r="D1047" s="10" t="s">
        <v>6591</v>
      </c>
      <c r="E1047" s="10" t="s">
        <v>3546</v>
      </c>
      <c r="I1047" s="17">
        <v>-1.9857337130512001</v>
      </c>
      <c r="J1047" s="17">
        <v>2.3378651546579299E-2</v>
      </c>
      <c r="K1047" s="21">
        <v>3</v>
      </c>
      <c r="L1047" s="27">
        <v>411432.64122678799</v>
      </c>
      <c r="M1047" s="22">
        <v>1.5618020631320826E-3</v>
      </c>
      <c r="N1047" s="21">
        <v>0</v>
      </c>
      <c r="O1047" s="27">
        <v>450611.92891152628</v>
      </c>
      <c r="P1047" s="22">
        <v>1.7255071585679531E-3</v>
      </c>
      <c r="Q1047" s="21">
        <v>0</v>
      </c>
      <c r="R1047" s="27">
        <v>287992.12877008191</v>
      </c>
      <c r="S1047" s="22">
        <v>1.1092721927077264E-3</v>
      </c>
      <c r="T1047" s="23">
        <v>0</v>
      </c>
      <c r="U1047" s="28">
        <v>199904.09199925381</v>
      </c>
      <c r="V1047" s="24">
        <v>7.5756861876927922E-4</v>
      </c>
      <c r="W1047" s="23">
        <v>0</v>
      </c>
      <c r="X1047" s="28">
        <v>184486.34764141249</v>
      </c>
      <c r="Y1047" s="24">
        <v>6.8391631249780965E-4</v>
      </c>
      <c r="Z1047" s="23">
        <v>0</v>
      </c>
      <c r="AA1047" s="28">
        <v>243675.22014839508</v>
      </c>
      <c r="AB1047" s="24">
        <v>9.168495227119027E-4</v>
      </c>
    </row>
    <row r="1048" spans="1:35" x14ac:dyDescent="0.25">
      <c r="A1048" t="s">
        <v>6462</v>
      </c>
      <c r="B1048" t="s">
        <v>7881</v>
      </c>
      <c r="C1048" t="s">
        <v>6464</v>
      </c>
      <c r="D1048" s="10" t="s">
        <v>6463</v>
      </c>
      <c r="E1048" s="10" t="s">
        <v>3546</v>
      </c>
      <c r="H1048" t="s">
        <v>57</v>
      </c>
      <c r="I1048" s="17">
        <v>-2.0235812940520002</v>
      </c>
      <c r="J1048" s="17">
        <v>1.07016532842539E-2</v>
      </c>
      <c r="K1048" s="21">
        <v>0</v>
      </c>
      <c r="L1048" s="27">
        <v>450802.30514162802</v>
      </c>
      <c r="M1048" s="22">
        <v>5.0614426766297689E-4</v>
      </c>
      <c r="N1048" s="21">
        <v>1</v>
      </c>
      <c r="O1048" s="27">
        <v>354102.49531547207</v>
      </c>
      <c r="P1048" s="22">
        <v>4.0105507293942424E-4</v>
      </c>
      <c r="Q1048" s="21">
        <v>1</v>
      </c>
      <c r="R1048" s="27">
        <v>566708.32895874884</v>
      </c>
      <c r="S1048" s="22">
        <v>6.4562159697006927E-4</v>
      </c>
      <c r="T1048" s="23">
        <v>0</v>
      </c>
      <c r="U1048" s="28">
        <v>249788.15755262965</v>
      </c>
      <c r="V1048" s="24">
        <v>2.7998391556844049E-4</v>
      </c>
      <c r="W1048" s="23">
        <v>0</v>
      </c>
      <c r="X1048" s="28">
        <v>265718.26724472712</v>
      </c>
      <c r="Y1048" s="24">
        <v>2.9135406863082017E-4</v>
      </c>
      <c r="Z1048" s="23">
        <v>0</v>
      </c>
      <c r="AA1048" s="28">
        <v>219861.20020646747</v>
      </c>
      <c r="AB1048" s="24">
        <v>2.4467874067170422E-4</v>
      </c>
    </row>
    <row r="1049" spans="1:35" x14ac:dyDescent="0.25">
      <c r="A1049" t="s">
        <v>6587</v>
      </c>
      <c r="B1049" t="s">
        <v>7925</v>
      </c>
      <c r="C1049" t="s">
        <v>6589</v>
      </c>
      <c r="D1049" s="10" t="s">
        <v>6588</v>
      </c>
      <c r="E1049" s="10" t="s">
        <v>3546</v>
      </c>
      <c r="I1049" s="17">
        <v>-2.1049307401880202</v>
      </c>
      <c r="J1049" s="17">
        <v>1.16530426367253E-2</v>
      </c>
      <c r="K1049" s="21">
        <v>3</v>
      </c>
      <c r="L1049" s="27">
        <v>747836.92905463604</v>
      </c>
      <c r="M1049" s="22">
        <v>8.0154234681414905E-4</v>
      </c>
      <c r="N1049" s="21">
        <v>2</v>
      </c>
      <c r="O1049" s="27">
        <v>705887.40124569356</v>
      </c>
      <c r="P1049" s="22">
        <v>7.6320609063190996E-4</v>
      </c>
      <c r="Q1049" s="21">
        <v>2</v>
      </c>
      <c r="R1049" s="27">
        <v>800768.31907354679</v>
      </c>
      <c r="S1049" s="22">
        <v>8.7087677139095461E-4</v>
      </c>
      <c r="T1049" s="23">
        <v>2</v>
      </c>
      <c r="U1049" s="28">
        <v>433006.05452889821</v>
      </c>
      <c r="V1049" s="24">
        <v>4.6332589904198008E-4</v>
      </c>
      <c r="W1049" s="23">
        <v>0</v>
      </c>
      <c r="X1049" s="28">
        <v>292520.42543258599</v>
      </c>
      <c r="Y1049" s="24">
        <v>3.0618734843723374E-4</v>
      </c>
      <c r="Z1049" s="23">
        <v>1</v>
      </c>
      <c r="AA1049" s="28">
        <v>424793.67602001887</v>
      </c>
      <c r="AB1049" s="24">
        <v>4.5129139723465829E-4</v>
      </c>
    </row>
    <row r="1050" spans="1:35" x14ac:dyDescent="0.25">
      <c r="A1050" t="s">
        <v>6584</v>
      </c>
      <c r="B1050" t="s">
        <v>7924</v>
      </c>
      <c r="C1050" t="s">
        <v>6586</v>
      </c>
      <c r="D1050" s="10" t="s">
        <v>6585</v>
      </c>
      <c r="E1050" s="10" t="s">
        <v>3546</v>
      </c>
      <c r="I1050" s="17">
        <v>-2.1365955395876699</v>
      </c>
      <c r="J1050" s="17">
        <v>3.0668877897960401E-2</v>
      </c>
      <c r="K1050" s="21">
        <v>1</v>
      </c>
      <c r="L1050" s="27">
        <v>806168.79721109301</v>
      </c>
      <c r="M1050" s="22">
        <v>2.2450552465391174E-3</v>
      </c>
      <c r="N1050" s="21">
        <v>1</v>
      </c>
      <c r="O1050" s="27">
        <v>864663.36938981875</v>
      </c>
      <c r="P1050" s="22">
        <v>2.4290415359560081E-3</v>
      </c>
      <c r="Q1050" s="21">
        <v>2</v>
      </c>
      <c r="R1050" s="27">
        <v>1060004.7079785408</v>
      </c>
      <c r="S1050" s="22">
        <v>2.9952915528490549E-3</v>
      </c>
      <c r="T1050" s="23">
        <v>1</v>
      </c>
      <c r="U1050" s="28">
        <v>450270.43078549049</v>
      </c>
      <c r="V1050" s="24">
        <v>1.2518362382668686E-3</v>
      </c>
      <c r="W1050" s="23">
        <v>1</v>
      </c>
      <c r="X1050" s="28">
        <v>671538.19112875289</v>
      </c>
      <c r="Y1050" s="24">
        <v>1.8263467887975724E-3</v>
      </c>
      <c r="Z1050" s="23">
        <v>0</v>
      </c>
      <c r="AA1050" s="28">
        <v>273360.37244339625</v>
      </c>
      <c r="AB1050" s="24">
        <v>7.5456395085520326E-4</v>
      </c>
    </row>
    <row r="1051" spans="1:35" x14ac:dyDescent="0.25">
      <c r="A1051" t="s">
        <v>6581</v>
      </c>
      <c r="B1051" t="s">
        <v>7923</v>
      </c>
      <c r="C1051" t="s">
        <v>6583</v>
      </c>
      <c r="D1051" s="10" t="s">
        <v>6582</v>
      </c>
      <c r="E1051" s="10" t="s">
        <v>3546</v>
      </c>
      <c r="I1051" s="17">
        <v>-2.2926675809255501</v>
      </c>
      <c r="J1051" s="17">
        <v>2.4695898880800701E-2</v>
      </c>
      <c r="K1051" s="21">
        <v>2</v>
      </c>
      <c r="L1051" s="27">
        <v>443233.42641271598</v>
      </c>
      <c r="M1051" s="22">
        <v>1.3396352915974663E-3</v>
      </c>
      <c r="N1051" s="21">
        <v>2</v>
      </c>
      <c r="O1051" s="27">
        <v>645062.73319562897</v>
      </c>
      <c r="P1051" s="22">
        <v>1.966721473937305E-3</v>
      </c>
      <c r="Q1051" s="21">
        <v>2</v>
      </c>
      <c r="R1051" s="27">
        <v>475501.71016581438</v>
      </c>
      <c r="S1051" s="22">
        <v>1.458264884054718E-3</v>
      </c>
      <c r="T1051" s="23">
        <v>2</v>
      </c>
      <c r="U1051" s="28">
        <v>297041.83670920681</v>
      </c>
      <c r="V1051" s="24">
        <v>8.9628213546126653E-4</v>
      </c>
      <c r="W1051" s="23">
        <v>1</v>
      </c>
      <c r="X1051" s="28">
        <v>159810.49823744586</v>
      </c>
      <c r="Y1051" s="24">
        <v>4.717054145263128E-4</v>
      </c>
      <c r="Z1051" s="23">
        <v>0</v>
      </c>
      <c r="AA1051" s="28">
        <v>267722.90573175193</v>
      </c>
      <c r="AB1051" s="24">
        <v>8.0204558505383322E-4</v>
      </c>
    </row>
    <row r="1052" spans="1:35" x14ac:dyDescent="0.25">
      <c r="A1052" t="s">
        <v>6927</v>
      </c>
      <c r="B1052" t="s">
        <v>8040</v>
      </c>
      <c r="C1052" t="s">
        <v>6929</v>
      </c>
      <c r="D1052" s="10" t="s">
        <v>6928</v>
      </c>
      <c r="E1052" s="10" t="s">
        <v>3546</v>
      </c>
      <c r="I1052" s="17">
        <v>-2.35088980803173</v>
      </c>
      <c r="J1052" s="17">
        <v>0.42358929630342101</v>
      </c>
      <c r="K1052" s="21">
        <v>2</v>
      </c>
      <c r="L1052" s="27">
        <v>1227380.24358197</v>
      </c>
      <c r="M1052" s="22">
        <v>6.9268728399319987E-3</v>
      </c>
      <c r="N1052" s="21">
        <v>0</v>
      </c>
      <c r="O1052" s="27">
        <v>174403.65512485473</v>
      </c>
      <c r="P1052" s="22">
        <v>9.9288854832540064E-4</v>
      </c>
      <c r="Q1052" s="21">
        <v>2</v>
      </c>
      <c r="R1052" s="27">
        <v>959823.74086016486</v>
      </c>
      <c r="S1052" s="22">
        <v>5.4964190256667047E-3</v>
      </c>
      <c r="T1052" s="23">
        <v>0</v>
      </c>
      <c r="U1052" s="28">
        <v>501841.94462462846</v>
      </c>
      <c r="V1052" s="24">
        <v>2.82747053493889E-3</v>
      </c>
      <c r="W1052" s="23">
        <v>0</v>
      </c>
      <c r="X1052" s="28">
        <v>171064.36593619149</v>
      </c>
      <c r="Y1052" s="24">
        <v>9.4282072302798701E-4</v>
      </c>
      <c r="Z1052" s="23">
        <v>0</v>
      </c>
      <c r="AA1052" s="28">
        <v>420369.38012341032</v>
      </c>
      <c r="AB1052" s="24">
        <v>2.3515196311145064E-3</v>
      </c>
    </row>
    <row r="1053" spans="1:35" x14ac:dyDescent="0.25">
      <c r="A1053" t="s">
        <v>6874</v>
      </c>
      <c r="B1053" t="s">
        <v>8021</v>
      </c>
      <c r="C1053" t="s">
        <v>6876</v>
      </c>
      <c r="D1053" s="10" t="s">
        <v>6875</v>
      </c>
      <c r="E1053" s="10" t="s">
        <v>3546</v>
      </c>
      <c r="I1053" s="17">
        <v>-3.17289520558551</v>
      </c>
      <c r="J1053" s="17">
        <v>0.20051507877660599</v>
      </c>
      <c r="K1053" s="21">
        <v>3</v>
      </c>
      <c r="L1053" s="27">
        <v>1122249.8243176001</v>
      </c>
      <c r="M1053" s="22">
        <v>6.8816524770607705E-3</v>
      </c>
      <c r="N1053" s="21">
        <v>0</v>
      </c>
      <c r="O1053" s="27">
        <v>207645.84834002363</v>
      </c>
      <c r="P1053" s="22">
        <v>1.2844383842971999E-3</v>
      </c>
      <c r="Q1053" s="21">
        <v>2</v>
      </c>
      <c r="R1053" s="27">
        <v>1034341.5692315907</v>
      </c>
      <c r="S1053" s="22">
        <v>6.4357242768608349E-3</v>
      </c>
      <c r="T1053" s="23">
        <v>0</v>
      </c>
      <c r="U1053" s="28">
        <v>198883.27165470883</v>
      </c>
      <c r="V1053" s="24">
        <v>1.2175154756369738E-3</v>
      </c>
      <c r="W1053" s="23">
        <v>0</v>
      </c>
      <c r="X1053" s="28">
        <v>177957.28670446741</v>
      </c>
      <c r="Y1053" s="24">
        <v>1.0656889124782229E-3</v>
      </c>
      <c r="Z1053" s="23">
        <v>0</v>
      </c>
      <c r="AA1053" s="28">
        <v>442067.43332291179</v>
      </c>
      <c r="AB1053" s="24">
        <v>2.6868978795870956E-3</v>
      </c>
    </row>
    <row r="1054" spans="1:35" x14ac:dyDescent="0.25">
      <c r="A1054" s="16" t="s">
        <v>6456</v>
      </c>
      <c r="B1054" s="16" t="s">
        <v>7879</v>
      </c>
      <c r="C1054" s="16" t="s">
        <v>6458</v>
      </c>
      <c r="D1054" s="46" t="s">
        <v>6457</v>
      </c>
      <c r="E1054" s="46" t="s">
        <v>3546</v>
      </c>
      <c r="F1054" s="16"/>
      <c r="G1054" s="16"/>
      <c r="H1054" s="16" t="s">
        <v>1991</v>
      </c>
      <c r="I1054" s="30">
        <v>-3.58295410423989</v>
      </c>
      <c r="J1054" s="30">
        <v>1.44484477924556E-3</v>
      </c>
      <c r="K1054" s="31">
        <v>1</v>
      </c>
      <c r="L1054" s="32">
        <v>266531.44263591402</v>
      </c>
      <c r="M1054" s="33">
        <v>5.5186679460132856E-4</v>
      </c>
      <c r="N1054" s="31">
        <v>1</v>
      </c>
      <c r="O1054" s="32">
        <v>218118.05003075561</v>
      </c>
      <c r="P1054" s="33">
        <v>4.5557958281721502E-4</v>
      </c>
      <c r="Q1054" s="31">
        <v>2</v>
      </c>
      <c r="R1054" s="32">
        <v>328579.77790080191</v>
      </c>
      <c r="S1054" s="33">
        <v>6.9033025110417485E-4</v>
      </c>
      <c r="T1054" s="34">
        <v>0</v>
      </c>
      <c r="U1054" s="35">
        <v>93827.893097136184</v>
      </c>
      <c r="V1054" s="36">
        <v>1.9395046348497148E-4</v>
      </c>
      <c r="W1054" s="34">
        <v>0</v>
      </c>
      <c r="X1054" s="35">
        <v>79518.562653273257</v>
      </c>
      <c r="Y1054" s="36">
        <v>1.6079251048871214E-4</v>
      </c>
      <c r="Z1054" s="34">
        <v>0</v>
      </c>
      <c r="AA1054" s="35">
        <v>71592.980037662506</v>
      </c>
      <c r="AB1054" s="36">
        <v>1.4693176703231846E-4</v>
      </c>
      <c r="AC1054" s="58"/>
      <c r="AD1054" s="58"/>
      <c r="AE1054" s="58"/>
      <c r="AF1054" s="58"/>
      <c r="AG1054" s="58"/>
      <c r="AH1054" s="58"/>
      <c r="AI1054" s="30"/>
    </row>
  </sheetData>
  <sortState ref="A5:AJ1054">
    <sortCondition descending="1" ref="I858:I1053"/>
  </sortState>
  <mergeCells count="11">
    <mergeCell ref="F4:G4"/>
    <mergeCell ref="K2:S2"/>
    <mergeCell ref="T2:AB2"/>
    <mergeCell ref="AC3:AE3"/>
    <mergeCell ref="AF3:AH3"/>
    <mergeCell ref="K3:M3"/>
    <mergeCell ref="N3:P3"/>
    <mergeCell ref="Q3:S3"/>
    <mergeCell ref="T3:V3"/>
    <mergeCell ref="W3:Y3"/>
    <mergeCell ref="Z3:AB3"/>
  </mergeCells>
  <conditionalFormatting sqref="I1:I1048576">
    <cfRule type="colorScale" priority="2">
      <colorScale>
        <cfvo type="min"/>
        <cfvo type="max"/>
        <color rgb="FF63BE7B"/>
        <color rgb="FFFFEF9C"/>
      </colorScale>
    </cfRule>
    <cfRule type="colorScale" priority="5">
      <colorScale>
        <cfvo type="min"/>
        <cfvo type="max"/>
        <color rgb="FF63BE7B"/>
        <color rgb="FFFFEF9C"/>
      </colorScale>
    </cfRule>
  </conditionalFormatting>
  <conditionalFormatting sqref="J1:J1048576">
    <cfRule type="colorScale" priority="4">
      <colorScale>
        <cfvo type="min"/>
        <cfvo type="max"/>
        <color theme="0"/>
        <color theme="4"/>
      </colorScale>
    </cfRule>
  </conditionalFormatting>
  <conditionalFormatting sqref="K4:AB4">
    <cfRule type="colorScale" priority="1">
      <colorScale>
        <cfvo type="min"/>
        <cfvo type="max"/>
        <color theme="0"/>
        <color theme="4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71"/>
  <sheetViews>
    <sheetView workbookViewId="0">
      <selection activeCell="A2" sqref="A2"/>
    </sheetView>
  </sheetViews>
  <sheetFormatPr defaultRowHeight="15" x14ac:dyDescent="0.25"/>
  <cols>
    <col min="1" max="1" width="18.7109375" style="18" customWidth="1"/>
    <col min="2" max="2" width="19.5703125" style="18" bestFit="1" customWidth="1"/>
    <col min="3" max="3" width="20.42578125" style="18" bestFit="1" customWidth="1"/>
    <col min="4" max="4" width="17.85546875" customWidth="1"/>
    <col min="5" max="5" width="56.7109375" customWidth="1"/>
    <col min="6" max="6" width="24.42578125" customWidth="1"/>
    <col min="7" max="8" width="22.5703125" customWidth="1"/>
    <col min="9" max="9" width="22.42578125" customWidth="1"/>
    <col min="10" max="10" width="4" style="18" bestFit="1" customWidth="1"/>
    <col min="11" max="11" width="10.28515625" style="25" bestFit="1" customWidth="1"/>
    <col min="12" max="12" width="5.5703125" style="17" bestFit="1" customWidth="1"/>
    <col min="13" max="13" width="3.5703125" style="18" bestFit="1" customWidth="1"/>
    <col min="14" max="14" width="10.28515625" style="25" bestFit="1" customWidth="1"/>
    <col min="15" max="15" width="5.5703125" style="17" bestFit="1" customWidth="1"/>
    <col min="16" max="16" width="3.5703125" style="18" bestFit="1" customWidth="1"/>
    <col min="17" max="17" width="10.28515625" style="25" bestFit="1" customWidth="1"/>
    <col min="18" max="18" width="5.5703125" style="17" bestFit="1" customWidth="1"/>
    <col min="19" max="19" width="12.42578125" bestFit="1" customWidth="1"/>
    <col min="20" max="22" width="9.7109375" style="20" customWidth="1"/>
  </cols>
  <sheetData>
    <row r="1" spans="1:22" x14ac:dyDescent="0.25">
      <c r="A1" s="60" t="s">
        <v>8179</v>
      </c>
      <c r="B1" s="61"/>
      <c r="C1" s="61"/>
      <c r="D1" s="60"/>
    </row>
    <row r="2" spans="1:22" x14ac:dyDescent="0.25">
      <c r="J2" s="104" t="s">
        <v>8173</v>
      </c>
      <c r="K2" s="104"/>
      <c r="L2" s="104"/>
      <c r="M2" s="104"/>
      <c r="N2" s="104"/>
      <c r="O2" s="104"/>
      <c r="P2" s="104"/>
      <c r="Q2" s="104"/>
      <c r="R2" s="104"/>
    </row>
    <row r="3" spans="1:22" x14ac:dyDescent="0.25">
      <c r="J3" s="108" t="s">
        <v>3840</v>
      </c>
      <c r="K3" s="109"/>
      <c r="L3" s="110"/>
      <c r="M3" s="108" t="s">
        <v>3841</v>
      </c>
      <c r="N3" s="109"/>
      <c r="O3" s="109"/>
      <c r="P3" s="108" t="s">
        <v>2179</v>
      </c>
      <c r="Q3" s="109"/>
      <c r="R3" s="110"/>
      <c r="T3" s="105" t="s">
        <v>8175</v>
      </c>
      <c r="U3" s="106"/>
      <c r="V3" s="107"/>
    </row>
    <row r="4" spans="1:22" x14ac:dyDescent="0.25">
      <c r="A4" s="14" t="s">
        <v>8088</v>
      </c>
      <c r="B4" s="14" t="s">
        <v>8089</v>
      </c>
      <c r="C4" s="14" t="s">
        <v>8090</v>
      </c>
      <c r="D4" s="14" t="s">
        <v>8091</v>
      </c>
      <c r="E4" s="14" t="s">
        <v>8074</v>
      </c>
      <c r="F4" s="14" t="s">
        <v>8075</v>
      </c>
      <c r="G4" s="93" t="s">
        <v>8076</v>
      </c>
      <c r="H4" s="93"/>
      <c r="I4" s="14" t="s">
        <v>8077</v>
      </c>
      <c r="J4" s="62" t="s">
        <v>8081</v>
      </c>
      <c r="K4" s="26" t="s">
        <v>8082</v>
      </c>
      <c r="L4" s="19" t="s">
        <v>8083</v>
      </c>
      <c r="M4" s="15" t="s">
        <v>8081</v>
      </c>
      <c r="N4" s="26" t="s">
        <v>8082</v>
      </c>
      <c r="O4" s="19" t="s">
        <v>8083</v>
      </c>
      <c r="P4" s="15" t="s">
        <v>8081</v>
      </c>
      <c r="Q4" s="26" t="s">
        <v>8082</v>
      </c>
      <c r="R4" s="19" t="s">
        <v>8083</v>
      </c>
      <c r="S4" s="76" t="s">
        <v>8172</v>
      </c>
      <c r="T4" s="67" t="s">
        <v>3840</v>
      </c>
      <c r="U4" s="67" t="s">
        <v>3841</v>
      </c>
      <c r="V4" s="68" t="s">
        <v>2179</v>
      </c>
    </row>
    <row r="5" spans="1:22" x14ac:dyDescent="0.25">
      <c r="A5" s="18" t="s">
        <v>407</v>
      </c>
      <c r="B5" s="18" t="s">
        <v>404</v>
      </c>
      <c r="C5" s="18" t="s">
        <v>406</v>
      </c>
      <c r="D5" t="s">
        <v>405</v>
      </c>
      <c r="E5" s="13" t="s">
        <v>408</v>
      </c>
      <c r="F5" s="2" t="s">
        <v>5</v>
      </c>
      <c r="J5" s="63">
        <v>104</v>
      </c>
      <c r="K5" s="25">
        <v>888403816.342646</v>
      </c>
      <c r="L5" s="17">
        <v>11.422264583102596</v>
      </c>
      <c r="M5" s="64">
        <v>90</v>
      </c>
      <c r="N5" s="25">
        <v>985347701.65692401</v>
      </c>
      <c r="O5" s="17">
        <v>11.61886438291975</v>
      </c>
      <c r="P5" s="64">
        <v>91</v>
      </c>
      <c r="Q5" s="25">
        <v>819655436.39191794</v>
      </c>
      <c r="R5" s="65">
        <v>10.973689339826299</v>
      </c>
      <c r="S5" s="77">
        <f t="shared" ref="S5:S68" si="0">AVERAGE(L5,O5,R5)</f>
        <v>11.338272768616214</v>
      </c>
      <c r="T5" s="20">
        <f>SUM('R. pomeroyi'!L5:L102)</f>
        <v>32.447431879500179</v>
      </c>
      <c r="U5" s="20">
        <f>SUM('R. pomeroyi'!O5:O102)</f>
        <v>33.744925974647018</v>
      </c>
      <c r="V5" s="79">
        <f>SUM('R. pomeroyi'!R5:R102)</f>
        <v>31.268800695394415</v>
      </c>
    </row>
    <row r="6" spans="1:22" x14ac:dyDescent="0.25">
      <c r="A6" s="18" t="s">
        <v>76</v>
      </c>
      <c r="B6" s="18" t="s">
        <v>73</v>
      </c>
      <c r="C6" s="18" t="s">
        <v>75</v>
      </c>
      <c r="D6" t="s">
        <v>74</v>
      </c>
      <c r="E6" s="13" t="s">
        <v>77</v>
      </c>
      <c r="F6" s="2" t="s">
        <v>5</v>
      </c>
      <c r="I6" t="s">
        <v>78</v>
      </c>
      <c r="J6" s="63">
        <v>43</v>
      </c>
      <c r="K6" s="25">
        <v>285612930.18397301</v>
      </c>
      <c r="L6" s="17">
        <v>3.2566116294505103</v>
      </c>
      <c r="M6" s="63">
        <v>44</v>
      </c>
      <c r="N6" s="25">
        <v>355438494.16694701</v>
      </c>
      <c r="O6" s="17">
        <v>3.716934767358627</v>
      </c>
      <c r="P6" s="63">
        <v>37</v>
      </c>
      <c r="Q6" s="25">
        <v>253575425.92397901</v>
      </c>
      <c r="R6" s="66">
        <v>3.0107507661562201</v>
      </c>
      <c r="S6" s="77">
        <f t="shared" si="0"/>
        <v>3.3280990543217861</v>
      </c>
      <c r="T6" s="20" t="s">
        <v>8174</v>
      </c>
      <c r="U6" s="69">
        <f>AVERAGE(T5:V5)</f>
        <v>32.487052849847203</v>
      </c>
      <c r="V6" s="80"/>
    </row>
    <row r="7" spans="1:22" x14ac:dyDescent="0.25">
      <c r="A7" s="18" t="s">
        <v>362</v>
      </c>
      <c r="B7" s="18" t="s">
        <v>359</v>
      </c>
      <c r="C7" s="18" t="s">
        <v>361</v>
      </c>
      <c r="D7" t="s">
        <v>360</v>
      </c>
      <c r="E7" s="13" t="s">
        <v>34</v>
      </c>
      <c r="F7" s="2" t="s">
        <v>5</v>
      </c>
      <c r="I7" t="s">
        <v>17</v>
      </c>
      <c r="J7" s="63">
        <v>63</v>
      </c>
      <c r="K7" s="25">
        <v>384120526.69592297</v>
      </c>
      <c r="L7" s="17">
        <v>2.9045883756587587</v>
      </c>
      <c r="M7" s="63">
        <v>60</v>
      </c>
      <c r="N7" s="25">
        <v>435349063.09083903</v>
      </c>
      <c r="O7" s="17">
        <v>3.0191665257978757</v>
      </c>
      <c r="P7" s="63">
        <v>58</v>
      </c>
      <c r="Q7" s="25">
        <v>377494404.01814997</v>
      </c>
      <c r="R7" s="66">
        <v>2.9723991920587207</v>
      </c>
      <c r="S7" s="77">
        <f t="shared" si="0"/>
        <v>2.9653846978384517</v>
      </c>
      <c r="T7" s="20" t="s">
        <v>8085</v>
      </c>
      <c r="U7" s="70">
        <f>STDEV(T5:V5)</f>
        <v>1.2385380355915094</v>
      </c>
      <c r="V7" s="80"/>
    </row>
    <row r="8" spans="1:22" x14ac:dyDescent="0.25">
      <c r="A8" s="18" t="s">
        <v>190</v>
      </c>
      <c r="B8" s="18" t="s">
        <v>187</v>
      </c>
      <c r="C8" s="18" t="s">
        <v>189</v>
      </c>
      <c r="D8" t="s">
        <v>188</v>
      </c>
      <c r="E8" s="13" t="s">
        <v>34</v>
      </c>
      <c r="F8" s="2" t="s">
        <v>5</v>
      </c>
      <c r="I8" t="s">
        <v>17</v>
      </c>
      <c r="J8" s="63">
        <v>61</v>
      </c>
      <c r="K8" s="25">
        <v>305176404.382447</v>
      </c>
      <c r="L8" s="17">
        <v>2.4761753504959669</v>
      </c>
      <c r="M8" s="63">
        <v>61</v>
      </c>
      <c r="N8" s="25">
        <v>316873150.01509303</v>
      </c>
      <c r="O8" s="17">
        <v>2.3580242097626543</v>
      </c>
      <c r="P8" s="63">
        <v>58</v>
      </c>
      <c r="Q8" s="25">
        <v>301161280.27096099</v>
      </c>
      <c r="R8" s="66">
        <v>2.5445390266018806</v>
      </c>
      <c r="S8" s="77">
        <f t="shared" si="0"/>
        <v>2.4595795289535007</v>
      </c>
      <c r="V8" s="80"/>
    </row>
    <row r="9" spans="1:22" x14ac:dyDescent="0.25">
      <c r="A9" s="18" t="s">
        <v>300</v>
      </c>
      <c r="B9" s="18" t="s">
        <v>297</v>
      </c>
      <c r="C9" s="18" t="s">
        <v>299</v>
      </c>
      <c r="D9" t="s">
        <v>298</v>
      </c>
      <c r="E9" s="13" t="s">
        <v>301</v>
      </c>
      <c r="F9" s="2" t="s">
        <v>5</v>
      </c>
      <c r="I9" t="s">
        <v>57</v>
      </c>
      <c r="J9" s="63">
        <v>35</v>
      </c>
      <c r="K9" s="25">
        <v>123797548.386896</v>
      </c>
      <c r="L9" s="17">
        <v>1.610792177931629</v>
      </c>
      <c r="M9" s="63">
        <v>35</v>
      </c>
      <c r="N9" s="25">
        <v>149407144.88491699</v>
      </c>
      <c r="O9" s="17">
        <v>1.7829173394350308</v>
      </c>
      <c r="P9" s="63">
        <v>36</v>
      </c>
      <c r="Q9" s="25">
        <v>111258825.67918</v>
      </c>
      <c r="R9" s="66">
        <v>1.5074450038801417</v>
      </c>
      <c r="S9" s="77">
        <f t="shared" si="0"/>
        <v>1.6337181737489341</v>
      </c>
      <c r="V9" s="80"/>
    </row>
    <row r="10" spans="1:22" x14ac:dyDescent="0.25">
      <c r="A10" s="18" t="s">
        <v>108</v>
      </c>
      <c r="B10" s="18" t="s">
        <v>105</v>
      </c>
      <c r="C10" s="18" t="s">
        <v>107</v>
      </c>
      <c r="D10" t="s">
        <v>106</v>
      </c>
      <c r="E10" s="13" t="s">
        <v>109</v>
      </c>
      <c r="F10" s="2" t="s">
        <v>5</v>
      </c>
      <c r="G10" t="s">
        <v>110</v>
      </c>
      <c r="I10" t="s">
        <v>57</v>
      </c>
      <c r="J10" s="63">
        <v>25</v>
      </c>
      <c r="K10" s="25">
        <v>84463689.2020742</v>
      </c>
      <c r="L10" s="17">
        <v>1.0251172266904249</v>
      </c>
      <c r="M10" s="63">
        <v>23</v>
      </c>
      <c r="N10" s="25">
        <v>91228765.627000198</v>
      </c>
      <c r="O10" s="17">
        <v>1.0154713105935649</v>
      </c>
      <c r="P10" s="63">
        <v>21</v>
      </c>
      <c r="Q10" s="25">
        <v>77284156.850485295</v>
      </c>
      <c r="R10" s="66">
        <v>0.9767276801630953</v>
      </c>
      <c r="S10" s="77">
        <f t="shared" si="0"/>
        <v>1.0057720724823618</v>
      </c>
      <c r="V10" s="80"/>
    </row>
    <row r="11" spans="1:22" x14ac:dyDescent="0.25">
      <c r="A11" s="18" t="s">
        <v>334</v>
      </c>
      <c r="B11" s="18" t="s">
        <v>331</v>
      </c>
      <c r="C11" s="18" t="s">
        <v>333</v>
      </c>
      <c r="D11" t="s">
        <v>332</v>
      </c>
      <c r="E11" s="13" t="s">
        <v>335</v>
      </c>
      <c r="F11" s="2" t="s">
        <v>5</v>
      </c>
      <c r="G11" t="s">
        <v>249</v>
      </c>
      <c r="I11" t="s">
        <v>7</v>
      </c>
      <c r="J11" s="63">
        <v>26</v>
      </c>
      <c r="K11" s="25">
        <v>74683857.286664799</v>
      </c>
      <c r="L11" s="17">
        <v>0.89637810465451284</v>
      </c>
      <c r="M11" s="63">
        <v>28</v>
      </c>
      <c r="N11" s="25">
        <v>94955508.469190195</v>
      </c>
      <c r="O11" s="17">
        <v>1.0452424453722047</v>
      </c>
      <c r="P11" s="63">
        <v>23</v>
      </c>
      <c r="Q11" s="25">
        <v>70833156.705771297</v>
      </c>
      <c r="R11" s="66">
        <v>0.88527996019987543</v>
      </c>
      <c r="S11" s="77">
        <f t="shared" si="0"/>
        <v>0.94230017007553091</v>
      </c>
      <c r="V11" s="80"/>
    </row>
    <row r="12" spans="1:22" x14ac:dyDescent="0.25">
      <c r="A12" s="18" t="s">
        <v>214</v>
      </c>
      <c r="B12" s="18" t="s">
        <v>211</v>
      </c>
      <c r="C12" s="18" t="s">
        <v>213</v>
      </c>
      <c r="D12" t="s">
        <v>212</v>
      </c>
      <c r="E12" s="13" t="s">
        <v>215</v>
      </c>
      <c r="F12" s="2" t="s">
        <v>5</v>
      </c>
      <c r="I12" t="s">
        <v>17</v>
      </c>
      <c r="J12" s="63">
        <v>23</v>
      </c>
      <c r="K12" s="25">
        <v>112134379.358356</v>
      </c>
      <c r="L12" s="17">
        <v>0.79911062597116544</v>
      </c>
      <c r="M12" s="63">
        <v>24</v>
      </c>
      <c r="N12" s="25">
        <v>115783603.09919401</v>
      </c>
      <c r="O12" s="17">
        <v>0.75674150892494041</v>
      </c>
      <c r="P12" s="63">
        <v>28</v>
      </c>
      <c r="Q12" s="25">
        <v>106154692.343107</v>
      </c>
      <c r="R12" s="66">
        <v>0.78774717655138771</v>
      </c>
      <c r="S12" s="77">
        <f t="shared" si="0"/>
        <v>0.78119977048249789</v>
      </c>
      <c r="V12" s="80"/>
    </row>
    <row r="13" spans="1:22" x14ac:dyDescent="0.25">
      <c r="A13" s="18" t="s">
        <v>148</v>
      </c>
      <c r="B13" s="18" t="s">
        <v>145</v>
      </c>
      <c r="C13" s="18" t="s">
        <v>147</v>
      </c>
      <c r="D13" t="s">
        <v>146</v>
      </c>
      <c r="E13" s="13" t="s">
        <v>93</v>
      </c>
      <c r="F13" s="2" t="s">
        <v>5</v>
      </c>
      <c r="I13" t="s">
        <v>17</v>
      </c>
      <c r="J13" s="63">
        <v>29</v>
      </c>
      <c r="K13" s="25">
        <v>81554945.798055306</v>
      </c>
      <c r="L13" s="17">
        <v>0.6654684703374073</v>
      </c>
      <c r="M13" s="63">
        <v>28</v>
      </c>
      <c r="N13" s="25">
        <v>89880884.494334802</v>
      </c>
      <c r="O13" s="17">
        <v>0.67263102003489317</v>
      </c>
      <c r="P13" s="63">
        <v>26</v>
      </c>
      <c r="Q13" s="25">
        <v>73759391.544133902</v>
      </c>
      <c r="R13" s="66">
        <v>0.62672070526200552</v>
      </c>
      <c r="S13" s="77">
        <f t="shared" si="0"/>
        <v>0.65494006521143533</v>
      </c>
      <c r="V13" s="80"/>
    </row>
    <row r="14" spans="1:22" x14ac:dyDescent="0.25">
      <c r="A14" s="18" t="s">
        <v>339</v>
      </c>
      <c r="B14" s="18" t="s">
        <v>336</v>
      </c>
      <c r="C14" s="18" t="s">
        <v>338</v>
      </c>
      <c r="D14" t="s">
        <v>337</v>
      </c>
      <c r="E14" s="13" t="s">
        <v>335</v>
      </c>
      <c r="F14" s="2" t="s">
        <v>5</v>
      </c>
      <c r="G14" t="s">
        <v>249</v>
      </c>
      <c r="I14" t="s">
        <v>7</v>
      </c>
      <c r="J14" s="63">
        <v>24</v>
      </c>
      <c r="K14" s="25">
        <v>48673805.757993497</v>
      </c>
      <c r="L14" s="17">
        <v>0.61306788034097359</v>
      </c>
      <c r="M14" s="63">
        <v>28</v>
      </c>
      <c r="N14" s="25">
        <v>50272616.671955802</v>
      </c>
      <c r="O14" s="17">
        <v>0.58073382671535179</v>
      </c>
      <c r="P14" s="63">
        <v>22</v>
      </c>
      <c r="Q14" s="25">
        <v>42459233.238261297</v>
      </c>
      <c r="R14" s="66">
        <v>0.55688426005179947</v>
      </c>
      <c r="S14" s="77">
        <f t="shared" si="0"/>
        <v>0.58356198903604162</v>
      </c>
      <c r="V14" s="80"/>
    </row>
    <row r="15" spans="1:22" x14ac:dyDescent="0.25">
      <c r="A15" s="18" t="s">
        <v>258</v>
      </c>
      <c r="B15" s="18" t="s">
        <v>255</v>
      </c>
      <c r="C15" s="18" t="s">
        <v>257</v>
      </c>
      <c r="D15" t="s">
        <v>256</v>
      </c>
      <c r="E15" s="13" t="s">
        <v>11</v>
      </c>
      <c r="F15" s="2" t="s">
        <v>5</v>
      </c>
      <c r="I15" t="s">
        <v>12</v>
      </c>
      <c r="J15" s="63">
        <v>23</v>
      </c>
      <c r="K15" s="25">
        <v>34085067.287110001</v>
      </c>
      <c r="L15" s="17">
        <v>0.43693733616841485</v>
      </c>
      <c r="M15" s="63">
        <v>21</v>
      </c>
      <c r="N15" s="25">
        <v>37529995.035430901</v>
      </c>
      <c r="O15" s="17">
        <v>0.44123086256488975</v>
      </c>
      <c r="P15" s="63">
        <v>22</v>
      </c>
      <c r="Q15" s="25">
        <v>29499903.182807799</v>
      </c>
      <c r="R15" s="66">
        <v>0.39378133672876486</v>
      </c>
      <c r="S15" s="77">
        <f t="shared" si="0"/>
        <v>0.42398317848735645</v>
      </c>
      <c r="V15" s="80"/>
    </row>
    <row r="16" spans="1:22" x14ac:dyDescent="0.25">
      <c r="A16" s="18" t="s">
        <v>427</v>
      </c>
      <c r="B16" s="18" t="s">
        <v>424</v>
      </c>
      <c r="C16" s="18" t="s">
        <v>426</v>
      </c>
      <c r="D16" t="s">
        <v>425</v>
      </c>
      <c r="E16" s="13" t="s">
        <v>428</v>
      </c>
      <c r="F16" s="2" t="s">
        <v>5</v>
      </c>
      <c r="I16" t="s">
        <v>17</v>
      </c>
      <c r="J16" s="63">
        <v>13</v>
      </c>
      <c r="K16" s="25">
        <v>30605071.422131799</v>
      </c>
      <c r="L16" s="17">
        <v>0.37144702339319174</v>
      </c>
      <c r="M16" s="63">
        <v>19</v>
      </c>
      <c r="N16" s="25">
        <v>36738370.229980998</v>
      </c>
      <c r="O16" s="17">
        <v>0.40893637779824465</v>
      </c>
      <c r="P16" s="63">
        <v>10</v>
      </c>
      <c r="Q16" s="25">
        <v>26658110.696996499</v>
      </c>
      <c r="R16" s="66">
        <v>0.33690882685025875</v>
      </c>
      <c r="S16" s="77">
        <f t="shared" si="0"/>
        <v>0.37243074268056503</v>
      </c>
      <c r="V16" s="80"/>
    </row>
    <row r="17" spans="1:22" x14ac:dyDescent="0.25">
      <c r="A17" s="18" t="s">
        <v>224</v>
      </c>
      <c r="B17" s="18" t="s">
        <v>221</v>
      </c>
      <c r="C17" s="18" t="s">
        <v>223</v>
      </c>
      <c r="D17" t="s">
        <v>222</v>
      </c>
      <c r="E17" s="13" t="s">
        <v>135</v>
      </c>
      <c r="F17" s="2" t="s">
        <v>5</v>
      </c>
      <c r="I17" t="s">
        <v>17</v>
      </c>
      <c r="J17" s="63">
        <v>19</v>
      </c>
      <c r="K17" s="25">
        <v>41926450.439860202</v>
      </c>
      <c r="L17" s="17">
        <v>0.40914460320673945</v>
      </c>
      <c r="M17" s="63">
        <v>20</v>
      </c>
      <c r="N17" s="25">
        <v>42999089.531269804</v>
      </c>
      <c r="O17" s="17">
        <v>0.38484014116730142</v>
      </c>
      <c r="P17" s="63">
        <v>17</v>
      </c>
      <c r="Q17" s="25">
        <v>31242518.100778598</v>
      </c>
      <c r="R17" s="66">
        <v>0.31747848450776828</v>
      </c>
      <c r="S17" s="77">
        <f t="shared" si="0"/>
        <v>0.37048774296060305</v>
      </c>
      <c r="V17" s="80"/>
    </row>
    <row r="18" spans="1:22" x14ac:dyDescent="0.25">
      <c r="A18" s="18" t="s">
        <v>276</v>
      </c>
      <c r="B18" s="18" t="s">
        <v>273</v>
      </c>
      <c r="C18" s="18" t="s">
        <v>275</v>
      </c>
      <c r="D18" t="s">
        <v>274</v>
      </c>
      <c r="E18" s="13" t="s">
        <v>135</v>
      </c>
      <c r="F18" s="2" t="s">
        <v>5</v>
      </c>
      <c r="I18" t="s">
        <v>17</v>
      </c>
      <c r="J18" s="63">
        <v>20</v>
      </c>
      <c r="K18" s="25">
        <v>31764671.300809301</v>
      </c>
      <c r="L18" s="17">
        <v>0.34667742340082708</v>
      </c>
      <c r="M18" s="63">
        <v>24</v>
      </c>
      <c r="N18" s="25">
        <v>45431611.509317398</v>
      </c>
      <c r="O18" s="17">
        <v>0.4547489560701875</v>
      </c>
      <c r="P18" s="63">
        <v>17</v>
      </c>
      <c r="Q18" s="25">
        <v>23457945.666295402</v>
      </c>
      <c r="R18" s="66">
        <v>0.26659420680495949</v>
      </c>
      <c r="S18" s="77">
        <f t="shared" si="0"/>
        <v>0.35600686209199139</v>
      </c>
      <c r="V18" s="80"/>
    </row>
    <row r="19" spans="1:22" x14ac:dyDescent="0.25">
      <c r="A19" s="18" t="s">
        <v>21</v>
      </c>
      <c r="B19" s="18" t="s">
        <v>18</v>
      </c>
      <c r="C19" s="18" t="s">
        <v>20</v>
      </c>
      <c r="D19" t="s">
        <v>19</v>
      </c>
      <c r="E19" s="13" t="s">
        <v>22</v>
      </c>
      <c r="F19" s="2" t="s">
        <v>5</v>
      </c>
      <c r="I19" t="s">
        <v>23</v>
      </c>
      <c r="J19" s="63">
        <v>17</v>
      </c>
      <c r="K19" s="25">
        <v>28182370.318629701</v>
      </c>
      <c r="L19" s="17">
        <v>0.35291743954621457</v>
      </c>
      <c r="M19" s="63">
        <v>19</v>
      </c>
      <c r="N19" s="25">
        <v>31099237.1185086</v>
      </c>
      <c r="O19" s="17">
        <v>0.35717225229610688</v>
      </c>
      <c r="P19" s="63">
        <v>15</v>
      </c>
      <c r="Q19" s="25">
        <v>26524461.399662901</v>
      </c>
      <c r="R19" s="66">
        <v>0.3458770241153345</v>
      </c>
      <c r="S19" s="77">
        <f t="shared" si="0"/>
        <v>0.35198890531921867</v>
      </c>
      <c r="V19" s="80"/>
    </row>
    <row r="20" spans="1:22" x14ac:dyDescent="0.25">
      <c r="A20" s="18" t="s">
        <v>237</v>
      </c>
      <c r="B20" s="18" t="s">
        <v>234</v>
      </c>
      <c r="C20" s="18" t="s">
        <v>236</v>
      </c>
      <c r="D20" t="s">
        <v>235</v>
      </c>
      <c r="E20" s="13" t="s">
        <v>22</v>
      </c>
      <c r="F20" s="2" t="s">
        <v>5</v>
      </c>
      <c r="I20" t="s">
        <v>23</v>
      </c>
      <c r="J20" s="63">
        <v>15</v>
      </c>
      <c r="K20" s="25">
        <v>29812689.284322299</v>
      </c>
      <c r="L20" s="17">
        <v>0.35487178529024843</v>
      </c>
      <c r="M20" s="63">
        <v>14</v>
      </c>
      <c r="N20" s="25">
        <v>33651385.660073102</v>
      </c>
      <c r="O20" s="17">
        <v>0.36737165412557421</v>
      </c>
      <c r="P20" s="63">
        <v>15</v>
      </c>
      <c r="Q20" s="25">
        <v>24999280.294919699</v>
      </c>
      <c r="R20" s="66">
        <v>0.30986845075444053</v>
      </c>
      <c r="S20" s="77">
        <f t="shared" si="0"/>
        <v>0.34403729672342104</v>
      </c>
      <c r="V20" s="80"/>
    </row>
    <row r="21" spans="1:22" x14ac:dyDescent="0.25">
      <c r="A21" s="18" t="s">
        <v>50</v>
      </c>
      <c r="B21" s="18" t="s">
        <v>47</v>
      </c>
      <c r="C21" s="18" t="s">
        <v>49</v>
      </c>
      <c r="D21" t="s">
        <v>48</v>
      </c>
      <c r="E21" s="13" t="s">
        <v>51</v>
      </c>
      <c r="F21" s="2" t="s">
        <v>5</v>
      </c>
      <c r="I21" t="s">
        <v>12</v>
      </c>
      <c r="J21" s="63">
        <v>18</v>
      </c>
      <c r="K21" s="25">
        <v>27689572.7184189</v>
      </c>
      <c r="L21" s="17">
        <v>0.26024777788156905</v>
      </c>
      <c r="M21" s="63">
        <v>21</v>
      </c>
      <c r="N21" s="25">
        <v>28653366.501618098</v>
      </c>
      <c r="O21" s="17">
        <v>0.24698967858471663</v>
      </c>
      <c r="P21" s="63">
        <v>19</v>
      </c>
      <c r="Q21" s="25">
        <v>24776101.505071301</v>
      </c>
      <c r="R21" s="66">
        <v>0.24248411012535104</v>
      </c>
      <c r="S21" s="77">
        <f t="shared" si="0"/>
        <v>0.24990718886387894</v>
      </c>
      <c r="V21" s="80"/>
    </row>
    <row r="22" spans="1:22" x14ac:dyDescent="0.25">
      <c r="A22" s="18" t="s">
        <v>272</v>
      </c>
      <c r="B22" s="18" t="s">
        <v>269</v>
      </c>
      <c r="C22" s="18" t="s">
        <v>271</v>
      </c>
      <c r="D22" t="s">
        <v>270</v>
      </c>
      <c r="E22" s="13" t="s">
        <v>135</v>
      </c>
      <c r="F22" s="2" t="s">
        <v>5</v>
      </c>
      <c r="I22" t="s">
        <v>17</v>
      </c>
      <c r="J22" s="63">
        <v>14</v>
      </c>
      <c r="K22" s="25">
        <v>18741240.049821202</v>
      </c>
      <c r="L22" s="17">
        <v>0.21036947348299806</v>
      </c>
      <c r="M22" s="63">
        <v>13</v>
      </c>
      <c r="N22" s="25">
        <v>26878591.997447401</v>
      </c>
      <c r="O22" s="17">
        <v>0.27670900062902798</v>
      </c>
      <c r="P22" s="63">
        <v>15</v>
      </c>
      <c r="Q22" s="25">
        <v>20273091.435928602</v>
      </c>
      <c r="R22" s="66">
        <v>0.23696484069691737</v>
      </c>
      <c r="S22" s="77">
        <f t="shared" si="0"/>
        <v>0.24134777160298113</v>
      </c>
      <c r="V22" s="80"/>
    </row>
    <row r="23" spans="1:22" x14ac:dyDescent="0.25">
      <c r="A23" s="18" t="s">
        <v>66</v>
      </c>
      <c r="B23" s="18" t="s">
        <v>63</v>
      </c>
      <c r="C23" s="18" t="s">
        <v>65</v>
      </c>
      <c r="D23" t="s">
        <v>64</v>
      </c>
      <c r="E23" s="13" t="s">
        <v>67</v>
      </c>
      <c r="F23" s="2" t="s">
        <v>5</v>
      </c>
      <c r="G23" t="s">
        <v>68</v>
      </c>
      <c r="J23" s="63">
        <v>12</v>
      </c>
      <c r="K23" s="25">
        <v>21701094.921032399</v>
      </c>
      <c r="L23" s="17">
        <v>0.24047868610854009</v>
      </c>
      <c r="M23" s="63">
        <v>14</v>
      </c>
      <c r="N23" s="25">
        <v>23575542.3867484</v>
      </c>
      <c r="O23" s="17">
        <v>0.23960121234485376</v>
      </c>
      <c r="P23" s="63">
        <v>12</v>
      </c>
      <c r="Q23" s="25">
        <v>20202669.840686999</v>
      </c>
      <c r="R23" s="66">
        <v>0.23312199317742277</v>
      </c>
      <c r="S23" s="77">
        <f t="shared" si="0"/>
        <v>0.23773396387693888</v>
      </c>
      <c r="V23" s="80"/>
    </row>
    <row r="24" spans="1:22" x14ac:dyDescent="0.25">
      <c r="A24" s="18" t="s">
        <v>366</v>
      </c>
      <c r="B24" s="18" t="s">
        <v>363</v>
      </c>
      <c r="C24" s="18" t="s">
        <v>365</v>
      </c>
      <c r="D24" t="s">
        <v>364</v>
      </c>
      <c r="E24" s="13" t="s">
        <v>367</v>
      </c>
      <c r="F24" s="2" t="s">
        <v>5</v>
      </c>
      <c r="I24" t="s">
        <v>17</v>
      </c>
      <c r="J24" s="63">
        <v>22</v>
      </c>
      <c r="K24" s="25">
        <v>28355321.610929899</v>
      </c>
      <c r="L24" s="17">
        <v>0.22017706580602703</v>
      </c>
      <c r="M24" s="63">
        <v>19</v>
      </c>
      <c r="N24" s="25">
        <v>33068044.434601702</v>
      </c>
      <c r="O24" s="17">
        <v>0.23549320975068885</v>
      </c>
      <c r="P24" s="63">
        <v>20</v>
      </c>
      <c r="Q24" s="25">
        <v>24503739.728737</v>
      </c>
      <c r="R24" s="66">
        <v>0.19812962177042934</v>
      </c>
      <c r="S24" s="77">
        <f t="shared" si="0"/>
        <v>0.21793329910904843</v>
      </c>
      <c r="V24" s="80"/>
    </row>
    <row r="25" spans="1:22" x14ac:dyDescent="0.25">
      <c r="A25" s="18" t="s">
        <v>397</v>
      </c>
      <c r="B25" s="18" t="s">
        <v>394</v>
      </c>
      <c r="C25" s="18" t="s">
        <v>396</v>
      </c>
      <c r="D25" t="s">
        <v>395</v>
      </c>
      <c r="E25" s="13" t="s">
        <v>398</v>
      </c>
      <c r="F25" s="2" t="s">
        <v>5</v>
      </c>
      <c r="I25" t="s">
        <v>17</v>
      </c>
      <c r="J25" s="63">
        <v>17</v>
      </c>
      <c r="K25" s="25">
        <v>22522018.004159801</v>
      </c>
      <c r="L25" s="17">
        <v>0.22853416124810233</v>
      </c>
      <c r="M25" s="63">
        <v>15</v>
      </c>
      <c r="N25" s="25">
        <v>23212573.585188001</v>
      </c>
      <c r="O25" s="17">
        <v>0.21602275178617275</v>
      </c>
      <c r="P25" s="63">
        <v>11</v>
      </c>
      <c r="Q25" s="25">
        <v>17608438.444691502</v>
      </c>
      <c r="R25" s="66">
        <v>0.18605622582128861</v>
      </c>
      <c r="S25" s="77">
        <f t="shared" si="0"/>
        <v>0.21020437961852123</v>
      </c>
      <c r="V25" s="80"/>
    </row>
    <row r="26" spans="1:22" x14ac:dyDescent="0.25">
      <c r="A26" s="18" t="s">
        <v>480</v>
      </c>
      <c r="B26" s="18" t="s">
        <v>477</v>
      </c>
      <c r="C26" s="18" t="s">
        <v>479</v>
      </c>
      <c r="D26" t="s">
        <v>478</v>
      </c>
      <c r="E26" s="13" t="s">
        <v>62</v>
      </c>
      <c r="F26" s="2" t="s">
        <v>5</v>
      </c>
      <c r="I26" t="s">
        <v>12</v>
      </c>
      <c r="J26" s="63">
        <v>18</v>
      </c>
      <c r="K26" s="25">
        <v>23934681.970814701</v>
      </c>
      <c r="L26" s="17">
        <v>0.18889785135550222</v>
      </c>
      <c r="M26" s="63">
        <v>21</v>
      </c>
      <c r="N26" s="25">
        <v>24390285.916182701</v>
      </c>
      <c r="O26" s="17">
        <v>0.1765422358413912</v>
      </c>
      <c r="P26" s="63">
        <v>17</v>
      </c>
      <c r="Q26" s="25">
        <v>24547146.998826601</v>
      </c>
      <c r="R26" s="66">
        <v>0.20173437978105363</v>
      </c>
      <c r="S26" s="77">
        <f t="shared" si="0"/>
        <v>0.18905815565931569</v>
      </c>
      <c r="V26" s="80"/>
    </row>
    <row r="27" spans="1:22" x14ac:dyDescent="0.25">
      <c r="A27" s="18" t="s">
        <v>87</v>
      </c>
      <c r="B27" s="18" t="s">
        <v>84</v>
      </c>
      <c r="C27" s="18" t="s">
        <v>86</v>
      </c>
      <c r="D27" t="s">
        <v>85</v>
      </c>
      <c r="E27" s="13" t="s">
        <v>88</v>
      </c>
      <c r="F27" s="2" t="s">
        <v>5</v>
      </c>
      <c r="I27" t="s">
        <v>17</v>
      </c>
      <c r="J27" s="63">
        <v>8</v>
      </c>
      <c r="K27" s="25">
        <v>9328749.8459746502</v>
      </c>
      <c r="L27" s="17">
        <v>0.15368780225583292</v>
      </c>
      <c r="M27" s="63">
        <v>10</v>
      </c>
      <c r="N27" s="25">
        <v>12229089.411263499</v>
      </c>
      <c r="O27" s="17">
        <v>0.18477467511267195</v>
      </c>
      <c r="P27" s="63">
        <v>8</v>
      </c>
      <c r="Q27" s="25">
        <v>9571780.8895649798</v>
      </c>
      <c r="R27" s="66">
        <v>0.16420570378589275</v>
      </c>
      <c r="S27" s="77">
        <f t="shared" si="0"/>
        <v>0.1675560603847992</v>
      </c>
      <c r="V27" s="80"/>
    </row>
    <row r="28" spans="1:22" x14ac:dyDescent="0.25">
      <c r="A28" s="18" t="s">
        <v>130</v>
      </c>
      <c r="B28" s="18" t="s">
        <v>127</v>
      </c>
      <c r="C28" s="18" t="s">
        <v>129</v>
      </c>
      <c r="D28" t="s">
        <v>128</v>
      </c>
      <c r="E28" s="13" t="s">
        <v>93</v>
      </c>
      <c r="F28" s="2" t="s">
        <v>5</v>
      </c>
      <c r="I28" t="s">
        <v>17</v>
      </c>
      <c r="J28" s="63">
        <v>16</v>
      </c>
      <c r="K28" s="25">
        <v>25641770.113789901</v>
      </c>
      <c r="L28" s="17">
        <v>0.1636251016063649</v>
      </c>
      <c r="M28" s="63">
        <v>15</v>
      </c>
      <c r="N28" s="25">
        <v>25687379.0535639</v>
      </c>
      <c r="O28" s="17">
        <v>0.15033292088583217</v>
      </c>
      <c r="P28" s="63">
        <v>15</v>
      </c>
      <c r="Q28" s="25">
        <v>25445365.163694602</v>
      </c>
      <c r="R28" s="66">
        <v>0.16907918743324954</v>
      </c>
      <c r="S28" s="77">
        <f t="shared" si="0"/>
        <v>0.16101240330848221</v>
      </c>
      <c r="V28" s="80"/>
    </row>
    <row r="29" spans="1:22" x14ac:dyDescent="0.25">
      <c r="A29" s="18" t="s">
        <v>417</v>
      </c>
      <c r="B29" s="18" t="s">
        <v>414</v>
      </c>
      <c r="C29" s="18" t="s">
        <v>416</v>
      </c>
      <c r="D29" t="s">
        <v>415</v>
      </c>
      <c r="E29" s="13" t="s">
        <v>418</v>
      </c>
      <c r="F29" s="2" t="s">
        <v>5</v>
      </c>
      <c r="I29" t="s">
        <v>17</v>
      </c>
      <c r="J29" s="63">
        <v>12</v>
      </c>
      <c r="K29" s="25">
        <v>13745428.3259659</v>
      </c>
      <c r="L29" s="17">
        <v>0.16497676255794794</v>
      </c>
      <c r="M29" s="63">
        <v>9</v>
      </c>
      <c r="N29" s="25">
        <v>16328490.134791199</v>
      </c>
      <c r="O29" s="17">
        <v>0.17973924033341088</v>
      </c>
      <c r="P29" s="63">
        <v>7</v>
      </c>
      <c r="Q29" s="25">
        <v>10749933.941195</v>
      </c>
      <c r="R29" s="66">
        <v>0.13435376219562148</v>
      </c>
      <c r="S29" s="77">
        <f t="shared" si="0"/>
        <v>0.1596899216956601</v>
      </c>
      <c r="V29" s="80"/>
    </row>
    <row r="30" spans="1:22" x14ac:dyDescent="0.25">
      <c r="A30" s="18" t="s">
        <v>134</v>
      </c>
      <c r="B30" s="18" t="s">
        <v>131</v>
      </c>
      <c r="C30" s="18" t="s">
        <v>133</v>
      </c>
      <c r="D30" t="s">
        <v>132</v>
      </c>
      <c r="E30" s="13" t="s">
        <v>135</v>
      </c>
      <c r="F30" s="2" t="s">
        <v>5</v>
      </c>
      <c r="I30" t="s">
        <v>17</v>
      </c>
      <c r="J30" s="63">
        <v>14</v>
      </c>
      <c r="K30" s="25">
        <v>15781170.0119984</v>
      </c>
      <c r="L30" s="17">
        <v>0.15682829123847453</v>
      </c>
      <c r="M30" s="63">
        <v>16</v>
      </c>
      <c r="N30" s="25">
        <v>15925211.336254399</v>
      </c>
      <c r="O30" s="17">
        <v>0.14514523759644476</v>
      </c>
      <c r="P30" s="63">
        <v>17</v>
      </c>
      <c r="Q30" s="25">
        <v>14318296.747275401</v>
      </c>
      <c r="R30" s="66">
        <v>0.14816857639786579</v>
      </c>
      <c r="S30" s="77">
        <f t="shared" si="0"/>
        <v>0.15004736841092836</v>
      </c>
      <c r="V30" s="80"/>
    </row>
    <row r="31" spans="1:22" x14ac:dyDescent="0.25">
      <c r="A31" s="18" t="s">
        <v>290</v>
      </c>
      <c r="B31" s="18" t="s">
        <v>287</v>
      </c>
      <c r="C31" s="18" t="s">
        <v>289</v>
      </c>
      <c r="D31" t="s">
        <v>288</v>
      </c>
      <c r="E31" s="13" t="s">
        <v>291</v>
      </c>
      <c r="F31" s="2" t="s">
        <v>5</v>
      </c>
      <c r="J31" s="63">
        <v>2</v>
      </c>
      <c r="K31" s="25">
        <v>6255119.8167568902</v>
      </c>
      <c r="L31" s="17">
        <v>0.15226052816234512</v>
      </c>
      <c r="M31" s="63">
        <v>2</v>
      </c>
      <c r="N31" s="25">
        <v>6181926.9867232498</v>
      </c>
      <c r="O31" s="17">
        <v>0.1380091702025007</v>
      </c>
      <c r="P31" s="63">
        <v>2</v>
      </c>
      <c r="Q31" s="25">
        <v>5337239.1546648499</v>
      </c>
      <c r="R31" s="66">
        <v>0.13528445600111755</v>
      </c>
      <c r="S31" s="77">
        <f t="shared" si="0"/>
        <v>0.14185138478865447</v>
      </c>
      <c r="V31" s="80"/>
    </row>
    <row r="32" spans="1:22" x14ac:dyDescent="0.25">
      <c r="A32" s="18" t="s">
        <v>422</v>
      </c>
      <c r="B32" s="18" t="s">
        <v>419</v>
      </c>
      <c r="C32" s="18" t="s">
        <v>421</v>
      </c>
      <c r="D32" t="s">
        <v>420</v>
      </c>
      <c r="E32" s="13" t="s">
        <v>423</v>
      </c>
      <c r="F32" s="2" t="s">
        <v>5</v>
      </c>
      <c r="I32" t="s">
        <v>17</v>
      </c>
      <c r="J32" s="63">
        <v>14</v>
      </c>
      <c r="K32" s="25">
        <v>11562911.0501273</v>
      </c>
      <c r="L32" s="17">
        <v>0.13467777911986931</v>
      </c>
      <c r="M32" s="63">
        <v>13</v>
      </c>
      <c r="N32" s="25">
        <v>13934892.1727605</v>
      </c>
      <c r="O32" s="17">
        <v>0.14885545281259602</v>
      </c>
      <c r="P32" s="63">
        <v>13</v>
      </c>
      <c r="Q32" s="25">
        <v>11216356.784029201</v>
      </c>
      <c r="R32" s="66">
        <v>0.13603796105390076</v>
      </c>
      <c r="S32" s="77">
        <f t="shared" si="0"/>
        <v>0.13985706432878869</v>
      </c>
      <c r="V32" s="80"/>
    </row>
    <row r="33" spans="1:22" x14ac:dyDescent="0.25">
      <c r="A33" s="18" t="s">
        <v>61</v>
      </c>
      <c r="B33" s="18" t="s">
        <v>58</v>
      </c>
      <c r="C33" s="18" t="s">
        <v>60</v>
      </c>
      <c r="D33" t="s">
        <v>59</v>
      </c>
      <c r="E33" s="13" t="s">
        <v>62</v>
      </c>
      <c r="F33" s="2" t="s">
        <v>5</v>
      </c>
      <c r="I33" t="s">
        <v>57</v>
      </c>
      <c r="J33" s="63">
        <v>12</v>
      </c>
      <c r="K33" s="25">
        <v>11070335.4012312</v>
      </c>
      <c r="L33" s="17">
        <v>0.1444755633446792</v>
      </c>
      <c r="M33" s="63">
        <v>13</v>
      </c>
      <c r="N33" s="25">
        <v>12731361.291479301</v>
      </c>
      <c r="O33" s="17">
        <v>0.15238451410496001</v>
      </c>
      <c r="P33" s="63">
        <v>9</v>
      </c>
      <c r="Q33" s="25">
        <v>8919796.9635015503</v>
      </c>
      <c r="R33" s="66">
        <v>0.12121828176126057</v>
      </c>
      <c r="S33" s="77">
        <f t="shared" si="0"/>
        <v>0.13935945307029993</v>
      </c>
      <c r="V33" s="80"/>
    </row>
    <row r="34" spans="1:22" x14ac:dyDescent="0.25">
      <c r="A34" s="18" t="s">
        <v>13</v>
      </c>
      <c r="B34" s="18" t="s">
        <v>8094</v>
      </c>
      <c r="C34" s="18" t="s">
        <v>15</v>
      </c>
      <c r="D34" t="s">
        <v>14</v>
      </c>
      <c r="E34" s="13" t="s">
        <v>16</v>
      </c>
      <c r="F34" s="2" t="s">
        <v>5</v>
      </c>
      <c r="I34" t="s">
        <v>17</v>
      </c>
      <c r="J34" s="63">
        <v>9</v>
      </c>
      <c r="K34" s="25">
        <v>11753084.724751599</v>
      </c>
      <c r="L34" s="17">
        <v>0.12892183324817144</v>
      </c>
      <c r="M34" s="63">
        <v>8</v>
      </c>
      <c r="N34" s="25">
        <v>13201038.3831197</v>
      </c>
      <c r="O34" s="17">
        <v>0.13280519801467439</v>
      </c>
      <c r="P34" s="63">
        <v>5</v>
      </c>
      <c r="Q34" s="25">
        <v>11954595.9132098</v>
      </c>
      <c r="R34" s="66">
        <v>0.13654916339674883</v>
      </c>
      <c r="S34" s="77">
        <f t="shared" si="0"/>
        <v>0.1327587315531982</v>
      </c>
      <c r="V34" s="80"/>
    </row>
    <row r="35" spans="1:22" x14ac:dyDescent="0.25">
      <c r="A35" s="18" t="s">
        <v>305</v>
      </c>
      <c r="B35" s="18" t="s">
        <v>302</v>
      </c>
      <c r="C35" s="18" t="s">
        <v>304</v>
      </c>
      <c r="D35" t="s">
        <v>303</v>
      </c>
      <c r="E35" s="13" t="s">
        <v>306</v>
      </c>
      <c r="F35" s="2" t="s">
        <v>5</v>
      </c>
      <c r="G35" t="s">
        <v>307</v>
      </c>
      <c r="I35" t="s">
        <v>172</v>
      </c>
      <c r="J35" s="63">
        <v>11</v>
      </c>
      <c r="K35" s="25">
        <v>12882332.192641599</v>
      </c>
      <c r="L35" s="17">
        <v>0.1328975286193875</v>
      </c>
      <c r="M35" s="63">
        <v>10</v>
      </c>
      <c r="N35" s="25">
        <v>13555078.122744899</v>
      </c>
      <c r="O35" s="17">
        <v>0.12824983352689157</v>
      </c>
      <c r="P35" s="63">
        <v>9</v>
      </c>
      <c r="Q35" s="25">
        <v>10806952.143438</v>
      </c>
      <c r="R35" s="66">
        <v>0.11609277072851151</v>
      </c>
      <c r="S35" s="77">
        <f t="shared" si="0"/>
        <v>0.12574671095826354</v>
      </c>
      <c r="V35" s="80"/>
    </row>
    <row r="36" spans="1:22" x14ac:dyDescent="0.25">
      <c r="A36" s="18" t="s">
        <v>169</v>
      </c>
      <c r="B36" s="18" t="s">
        <v>166</v>
      </c>
      <c r="C36" s="18" t="s">
        <v>168</v>
      </c>
      <c r="D36" t="s">
        <v>167</v>
      </c>
      <c r="E36" s="13" t="s">
        <v>170</v>
      </c>
      <c r="F36" s="2" t="s">
        <v>5</v>
      </c>
      <c r="G36" t="s">
        <v>171</v>
      </c>
      <c r="I36" t="s">
        <v>172</v>
      </c>
      <c r="J36" s="63">
        <v>19</v>
      </c>
      <c r="K36" s="25">
        <v>11139647.492237199</v>
      </c>
      <c r="L36" s="17">
        <v>0.11519380566433653</v>
      </c>
      <c r="M36" s="63">
        <v>19</v>
      </c>
      <c r="N36" s="25">
        <v>14569317.7847379</v>
      </c>
      <c r="O36" s="17">
        <v>0.1381749349406495</v>
      </c>
      <c r="P36" s="63">
        <v>16</v>
      </c>
      <c r="Q36" s="25">
        <v>11304418.301359599</v>
      </c>
      <c r="R36" s="66">
        <v>0.12172658411808492</v>
      </c>
      <c r="S36" s="77">
        <f t="shared" si="0"/>
        <v>0.12503177490769032</v>
      </c>
      <c r="V36" s="80"/>
    </row>
    <row r="37" spans="1:22" x14ac:dyDescent="0.25">
      <c r="A37" s="18" t="s">
        <v>353</v>
      </c>
      <c r="B37" s="18" t="s">
        <v>350</v>
      </c>
      <c r="C37" s="18" t="s">
        <v>352</v>
      </c>
      <c r="D37" t="s">
        <v>351</v>
      </c>
      <c r="E37" s="13" t="s">
        <v>109</v>
      </c>
      <c r="F37" s="2" t="s">
        <v>5</v>
      </c>
      <c r="G37" t="s">
        <v>110</v>
      </c>
      <c r="I37" t="s">
        <v>57</v>
      </c>
      <c r="J37" s="63">
        <v>10</v>
      </c>
      <c r="K37" s="25">
        <v>9368429.8986186795</v>
      </c>
      <c r="L37" s="17">
        <v>0.11564620779541517</v>
      </c>
      <c r="M37" s="63">
        <v>12</v>
      </c>
      <c r="N37" s="25">
        <v>12547805.1680074</v>
      </c>
      <c r="O37" s="17">
        <v>0.14205768262315402</v>
      </c>
      <c r="P37" s="63">
        <v>10</v>
      </c>
      <c r="Q37" s="25">
        <v>9011141.4251361694</v>
      </c>
      <c r="R37" s="66">
        <v>0.11583076585178992</v>
      </c>
      <c r="S37" s="77">
        <f t="shared" si="0"/>
        <v>0.1245115520901197</v>
      </c>
      <c r="V37" s="80"/>
    </row>
    <row r="38" spans="1:22" x14ac:dyDescent="0.25">
      <c r="A38" s="18" t="s">
        <v>311</v>
      </c>
      <c r="B38" s="18" t="s">
        <v>308</v>
      </c>
      <c r="C38" s="18" t="s">
        <v>310</v>
      </c>
      <c r="D38" t="s">
        <v>309</v>
      </c>
      <c r="E38" s="13" t="s">
        <v>312</v>
      </c>
      <c r="F38" s="2" t="s">
        <v>5</v>
      </c>
      <c r="I38" t="s">
        <v>29</v>
      </c>
      <c r="J38" s="63">
        <v>3</v>
      </c>
      <c r="K38" s="25">
        <v>2941036.2952838</v>
      </c>
      <c r="L38" s="17">
        <v>0.10531414714039072</v>
      </c>
      <c r="M38" s="63">
        <v>3</v>
      </c>
      <c r="N38" s="25">
        <v>4232630.6544158598</v>
      </c>
      <c r="O38" s="17">
        <v>0.13900456985492884</v>
      </c>
      <c r="P38" s="63">
        <v>2</v>
      </c>
      <c r="Q38" s="25">
        <v>3238207.1534339902</v>
      </c>
      <c r="R38" s="66">
        <v>0.12074537261216842</v>
      </c>
      <c r="S38" s="77">
        <f t="shared" si="0"/>
        <v>0.12168802986916266</v>
      </c>
      <c r="V38" s="80"/>
    </row>
    <row r="39" spans="1:22" x14ac:dyDescent="0.25">
      <c r="A39" s="18" t="s">
        <v>157</v>
      </c>
      <c r="B39" s="18" t="s">
        <v>154</v>
      </c>
      <c r="C39" s="18" t="s">
        <v>156</v>
      </c>
      <c r="D39" t="s">
        <v>155</v>
      </c>
      <c r="E39" s="13" t="s">
        <v>158</v>
      </c>
      <c r="F39" s="2" t="s">
        <v>5</v>
      </c>
      <c r="G39" t="s">
        <v>159</v>
      </c>
      <c r="I39" t="s">
        <v>160</v>
      </c>
      <c r="J39" s="63">
        <v>15</v>
      </c>
      <c r="K39" s="25">
        <v>12065423.8896922</v>
      </c>
      <c r="L39" s="17">
        <v>0.1107572813510717</v>
      </c>
      <c r="M39" s="63">
        <v>13</v>
      </c>
      <c r="N39" s="25">
        <v>11593092.516869299</v>
      </c>
      <c r="O39" s="17">
        <v>9.7602598149289219E-2</v>
      </c>
      <c r="P39" s="63">
        <v>13</v>
      </c>
      <c r="Q39" s="25">
        <v>12021307.672271401</v>
      </c>
      <c r="R39" s="66">
        <v>0.11491082759655367</v>
      </c>
      <c r="S39" s="77">
        <f t="shared" si="0"/>
        <v>0.10775690236563819</v>
      </c>
      <c r="V39" s="80"/>
    </row>
    <row r="40" spans="1:22" x14ac:dyDescent="0.25">
      <c r="A40" s="18" t="s">
        <v>386</v>
      </c>
      <c r="B40" s="18" t="s">
        <v>383</v>
      </c>
      <c r="C40" s="18" t="s">
        <v>385</v>
      </c>
      <c r="D40" t="s">
        <v>384</v>
      </c>
      <c r="E40" s="13" t="s">
        <v>387</v>
      </c>
      <c r="F40" s="2" t="s">
        <v>5</v>
      </c>
      <c r="I40" t="s">
        <v>29</v>
      </c>
      <c r="J40" s="63">
        <v>15</v>
      </c>
      <c r="K40" s="25">
        <v>10222804.3254494</v>
      </c>
      <c r="L40" s="17">
        <v>0.10089676201237964</v>
      </c>
      <c r="M40" s="63">
        <v>12</v>
      </c>
      <c r="N40" s="25">
        <v>12297276.1507005</v>
      </c>
      <c r="O40" s="17">
        <v>0.11131366472831289</v>
      </c>
      <c r="P40" s="63">
        <v>11</v>
      </c>
      <c r="Q40" s="25">
        <v>10625845.0973072</v>
      </c>
      <c r="R40" s="66">
        <v>0.1092069300768871</v>
      </c>
      <c r="S40" s="77">
        <f t="shared" si="0"/>
        <v>0.1071391189391932</v>
      </c>
      <c r="V40" s="80"/>
    </row>
    <row r="41" spans="1:22" x14ac:dyDescent="0.25">
      <c r="A41" s="18" t="s">
        <v>476</v>
      </c>
      <c r="B41" s="18" t="s">
        <v>473</v>
      </c>
      <c r="C41" s="18" t="s">
        <v>475</v>
      </c>
      <c r="D41" t="s">
        <v>474</v>
      </c>
      <c r="E41" s="13" t="s">
        <v>215</v>
      </c>
      <c r="F41" s="2" t="s">
        <v>5</v>
      </c>
      <c r="I41" t="s">
        <v>17</v>
      </c>
      <c r="J41" s="63">
        <v>7</v>
      </c>
      <c r="K41" s="25">
        <v>9046059.9523961991</v>
      </c>
      <c r="L41" s="17">
        <v>7.5520317141217333E-2</v>
      </c>
      <c r="M41" s="63">
        <v>9</v>
      </c>
      <c r="N41" s="25">
        <v>9671205.6959787495</v>
      </c>
      <c r="O41" s="17">
        <v>7.4048682881160302E-2</v>
      </c>
      <c r="P41" s="63">
        <v>7</v>
      </c>
      <c r="Q41" s="25">
        <v>9405699.9055933002</v>
      </c>
      <c r="R41" s="66">
        <v>8.1766422926872168E-2</v>
      </c>
      <c r="S41" s="77">
        <f t="shared" si="0"/>
        <v>7.7111807649749939E-2</v>
      </c>
      <c r="V41" s="80"/>
    </row>
    <row r="42" spans="1:22" x14ac:dyDescent="0.25">
      <c r="A42" s="18" t="s">
        <v>489</v>
      </c>
      <c r="B42" s="18" t="s">
        <v>486</v>
      </c>
      <c r="C42" s="18" t="s">
        <v>488</v>
      </c>
      <c r="D42" t="s">
        <v>487</v>
      </c>
      <c r="E42" s="13" t="s">
        <v>490</v>
      </c>
      <c r="F42" s="2" t="s">
        <v>5</v>
      </c>
      <c r="I42" t="s">
        <v>29</v>
      </c>
      <c r="J42" s="63">
        <v>2</v>
      </c>
      <c r="K42" s="25">
        <v>2412462.8249776298</v>
      </c>
      <c r="L42" s="17">
        <v>6.3350257834994469E-2</v>
      </c>
      <c r="M42" s="63">
        <v>3</v>
      </c>
      <c r="N42" s="25">
        <v>2745436.0946462099</v>
      </c>
      <c r="O42" s="17">
        <v>6.6119790742521861E-2</v>
      </c>
      <c r="P42" s="63">
        <v>4</v>
      </c>
      <c r="Q42" s="25">
        <v>2396386.1881532599</v>
      </c>
      <c r="R42" s="66">
        <v>6.552757589845358E-2</v>
      </c>
      <c r="S42" s="77">
        <f t="shared" si="0"/>
        <v>6.4999208158656632E-2</v>
      </c>
      <c r="V42" s="80"/>
    </row>
    <row r="43" spans="1:22" x14ac:dyDescent="0.25">
      <c r="A43" s="18" t="s">
        <v>452</v>
      </c>
      <c r="B43" s="18" t="s">
        <v>449</v>
      </c>
      <c r="C43" s="18" t="s">
        <v>451</v>
      </c>
      <c r="D43" t="s">
        <v>450</v>
      </c>
      <c r="E43" s="13" t="s">
        <v>335</v>
      </c>
      <c r="F43" s="2" t="s">
        <v>5</v>
      </c>
      <c r="I43" t="s">
        <v>12</v>
      </c>
      <c r="J43" s="63">
        <v>5</v>
      </c>
      <c r="K43" s="25">
        <v>4343056.4086159002</v>
      </c>
      <c r="L43" s="17">
        <v>5.8079405347997236E-2</v>
      </c>
      <c r="M43" s="63">
        <v>8</v>
      </c>
      <c r="N43" s="25">
        <v>5735882.4492806299</v>
      </c>
      <c r="O43" s="17">
        <v>7.0349223424846438E-2</v>
      </c>
      <c r="P43" s="63">
        <v>6</v>
      </c>
      <c r="Q43" s="25">
        <v>4560486.9301952999</v>
      </c>
      <c r="R43" s="66">
        <v>6.3506392579053175E-2</v>
      </c>
      <c r="S43" s="77">
        <f t="shared" si="0"/>
        <v>6.3978340450632276E-2</v>
      </c>
      <c r="V43" s="80"/>
    </row>
    <row r="44" spans="1:22" x14ac:dyDescent="0.25">
      <c r="A44" s="18" t="s">
        <v>71</v>
      </c>
      <c r="B44" s="18" t="s">
        <v>8095</v>
      </c>
      <c r="C44" s="18" t="s">
        <v>70</v>
      </c>
      <c r="D44" t="s">
        <v>69</v>
      </c>
      <c r="E44" s="13" t="s">
        <v>72</v>
      </c>
      <c r="F44" s="2" t="s">
        <v>5</v>
      </c>
      <c r="I44" t="s">
        <v>57</v>
      </c>
      <c r="J44" s="63">
        <v>13</v>
      </c>
      <c r="K44" s="25">
        <v>8249712.1590376701</v>
      </c>
      <c r="L44" s="17">
        <v>6.0481564428427406E-2</v>
      </c>
      <c r="M44" s="63">
        <v>10</v>
      </c>
      <c r="N44" s="25">
        <v>8446195.4969590101</v>
      </c>
      <c r="O44" s="17">
        <v>5.6790765682482792E-2</v>
      </c>
      <c r="P44" s="63">
        <v>13</v>
      </c>
      <c r="Q44" s="25">
        <v>8401754.0444952194</v>
      </c>
      <c r="R44" s="66">
        <v>6.4140703850410652E-2</v>
      </c>
      <c r="S44" s="77">
        <f t="shared" si="0"/>
        <v>6.0471011320440284E-2</v>
      </c>
      <c r="V44" s="80"/>
    </row>
    <row r="45" spans="1:22" x14ac:dyDescent="0.25">
      <c r="A45" s="18" t="s">
        <v>194</v>
      </c>
      <c r="B45" s="18" t="s">
        <v>191</v>
      </c>
      <c r="C45" s="18" t="s">
        <v>193</v>
      </c>
      <c r="D45" t="s">
        <v>192</v>
      </c>
      <c r="E45" s="13" t="s">
        <v>195</v>
      </c>
      <c r="F45" s="2" t="s">
        <v>5</v>
      </c>
      <c r="I45" t="s">
        <v>17</v>
      </c>
      <c r="J45" s="63">
        <v>5</v>
      </c>
      <c r="K45" s="25">
        <v>4074400.2513148501</v>
      </c>
      <c r="L45" s="17">
        <v>5.3014071280876193E-2</v>
      </c>
      <c r="M45" s="63">
        <v>6</v>
      </c>
      <c r="N45" s="25">
        <v>5906880.9366797004</v>
      </c>
      <c r="O45" s="17">
        <v>7.0488465943823839E-2</v>
      </c>
      <c r="P45" s="63">
        <v>4</v>
      </c>
      <c r="Q45" s="25">
        <v>3825049.4740829398</v>
      </c>
      <c r="R45" s="66">
        <v>5.1825566952570228E-2</v>
      </c>
      <c r="S45" s="77">
        <f t="shared" si="0"/>
        <v>5.844270139242342E-2</v>
      </c>
      <c r="V45" s="80"/>
    </row>
    <row r="46" spans="1:22" x14ac:dyDescent="0.25">
      <c r="A46" s="18" t="s">
        <v>280</v>
      </c>
      <c r="B46" s="18" t="s">
        <v>277</v>
      </c>
      <c r="C46" s="18" t="s">
        <v>279</v>
      </c>
      <c r="D46" t="s">
        <v>278</v>
      </c>
      <c r="E46" s="13" t="s">
        <v>281</v>
      </c>
      <c r="F46" s="2" t="s">
        <v>5</v>
      </c>
      <c r="I46" t="s">
        <v>23</v>
      </c>
      <c r="J46" s="63">
        <v>4</v>
      </c>
      <c r="K46" s="25">
        <v>3717505.0207961402</v>
      </c>
      <c r="L46" s="17">
        <v>4.6552945639647042E-2</v>
      </c>
      <c r="M46" s="63">
        <v>5</v>
      </c>
      <c r="N46" s="25">
        <v>5895847.0986907296</v>
      </c>
      <c r="O46" s="17">
        <v>6.7713332626399572E-2</v>
      </c>
      <c r="P46" s="63">
        <v>4</v>
      </c>
      <c r="Q46" s="25">
        <v>3619185.5721970201</v>
      </c>
      <c r="R46" s="66">
        <v>4.719391344355707E-2</v>
      </c>
      <c r="S46" s="77">
        <f t="shared" si="0"/>
        <v>5.382006390320123E-2</v>
      </c>
      <c r="V46" s="80"/>
    </row>
    <row r="47" spans="1:22" x14ac:dyDescent="0.25">
      <c r="A47" s="18" t="s">
        <v>465</v>
      </c>
      <c r="B47" s="18" t="s">
        <v>462</v>
      </c>
      <c r="C47" s="18" t="s">
        <v>464</v>
      </c>
      <c r="D47" t="s">
        <v>463</v>
      </c>
      <c r="E47" s="13" t="s">
        <v>466</v>
      </c>
      <c r="F47" s="2" t="s">
        <v>5</v>
      </c>
      <c r="G47" t="s">
        <v>467</v>
      </c>
      <c r="I47" t="s">
        <v>7</v>
      </c>
      <c r="J47" s="63">
        <v>4</v>
      </c>
      <c r="K47" s="25">
        <v>1881743.7675024201</v>
      </c>
      <c r="L47" s="17">
        <v>4.0362756514869827E-2</v>
      </c>
      <c r="M47" s="63">
        <v>3</v>
      </c>
      <c r="N47" s="25">
        <v>2370976.82902369</v>
      </c>
      <c r="O47" s="17">
        <v>4.6642306213805572E-2</v>
      </c>
      <c r="P47" s="63">
        <v>3</v>
      </c>
      <c r="Q47" s="25">
        <v>2048479.50950762</v>
      </c>
      <c r="R47" s="66">
        <v>4.5754255521985428E-2</v>
      </c>
      <c r="S47" s="77">
        <f t="shared" si="0"/>
        <v>4.4253106083553602E-2</v>
      </c>
      <c r="V47" s="80"/>
    </row>
    <row r="48" spans="1:22" x14ac:dyDescent="0.25">
      <c r="A48" s="18" t="s">
        <v>343</v>
      </c>
      <c r="B48" s="18" t="s">
        <v>340</v>
      </c>
      <c r="C48" s="18" t="s">
        <v>342</v>
      </c>
      <c r="D48" t="s">
        <v>341</v>
      </c>
      <c r="E48" s="13" t="s">
        <v>344</v>
      </c>
      <c r="F48" s="2" t="s">
        <v>5</v>
      </c>
      <c r="I48" t="s">
        <v>12</v>
      </c>
      <c r="J48" s="63">
        <v>11</v>
      </c>
      <c r="K48" s="25">
        <v>3401222.9337622798</v>
      </c>
      <c r="L48" s="17">
        <v>4.4255022562998229E-2</v>
      </c>
      <c r="M48" s="63">
        <v>9</v>
      </c>
      <c r="N48" s="25">
        <v>3896807.0052641998</v>
      </c>
      <c r="O48" s="17">
        <v>4.6501690287094152E-2</v>
      </c>
      <c r="P48" s="63">
        <v>7</v>
      </c>
      <c r="Q48" s="25">
        <v>2730132.0590624101</v>
      </c>
      <c r="R48" s="66">
        <v>3.6990539017856691E-2</v>
      </c>
      <c r="S48" s="77">
        <f t="shared" si="0"/>
        <v>4.2582417289316353E-2</v>
      </c>
      <c r="V48" s="80"/>
    </row>
    <row r="49" spans="1:22" x14ac:dyDescent="0.25">
      <c r="A49" s="18" t="s">
        <v>92</v>
      </c>
      <c r="B49" s="18" t="s">
        <v>89</v>
      </c>
      <c r="C49" s="18" t="s">
        <v>91</v>
      </c>
      <c r="D49" t="s">
        <v>90</v>
      </c>
      <c r="E49" s="13" t="s">
        <v>93</v>
      </c>
      <c r="F49" s="2" t="s">
        <v>5</v>
      </c>
      <c r="I49" t="s">
        <v>17</v>
      </c>
      <c r="J49" s="63">
        <v>13</v>
      </c>
      <c r="K49" s="25">
        <v>6182222.51828086</v>
      </c>
      <c r="L49" s="17">
        <v>4.1985144786281396E-2</v>
      </c>
      <c r="M49" s="63">
        <v>8</v>
      </c>
      <c r="N49" s="25">
        <v>6262922.1331748301</v>
      </c>
      <c r="O49" s="17">
        <v>3.9008604041941251E-2</v>
      </c>
      <c r="P49" s="63">
        <v>8</v>
      </c>
      <c r="Q49" s="25">
        <v>5888860.4664919302</v>
      </c>
      <c r="R49" s="66">
        <v>4.1644900028163075E-2</v>
      </c>
      <c r="S49" s="77">
        <f t="shared" si="0"/>
        <v>4.0879549618795245E-2</v>
      </c>
      <c r="V49" s="80"/>
    </row>
    <row r="50" spans="1:22" x14ac:dyDescent="0.25">
      <c r="A50" s="18" t="s">
        <v>27</v>
      </c>
      <c r="B50" s="18" t="s">
        <v>24</v>
      </c>
      <c r="C50" s="18" t="s">
        <v>26</v>
      </c>
      <c r="D50" t="s">
        <v>25</v>
      </c>
      <c r="E50" s="13" t="s">
        <v>28</v>
      </c>
      <c r="F50" s="2" t="s">
        <v>5</v>
      </c>
      <c r="I50" t="s">
        <v>29</v>
      </c>
      <c r="J50" s="63">
        <v>16</v>
      </c>
      <c r="K50" s="25">
        <v>8181266.6110614901</v>
      </c>
      <c r="L50" s="17">
        <v>3.9342998466546819E-2</v>
      </c>
      <c r="M50" s="63">
        <v>18</v>
      </c>
      <c r="N50" s="25">
        <v>7195656.0024701199</v>
      </c>
      <c r="O50" s="17">
        <v>3.1735816601384241E-2</v>
      </c>
      <c r="P50" s="63">
        <v>20</v>
      </c>
      <c r="Q50" s="25">
        <v>9394107.6224268395</v>
      </c>
      <c r="R50" s="66">
        <v>4.7041588532097799E-2</v>
      </c>
      <c r="S50" s="77">
        <f t="shared" si="0"/>
        <v>3.9373467866676289E-2</v>
      </c>
      <c r="V50" s="80"/>
    </row>
    <row r="51" spans="1:22" x14ac:dyDescent="0.25">
      <c r="A51" s="18" t="s">
        <v>484</v>
      </c>
      <c r="B51" s="18" t="s">
        <v>481</v>
      </c>
      <c r="C51" s="18" t="s">
        <v>483</v>
      </c>
      <c r="D51" t="s">
        <v>482</v>
      </c>
      <c r="E51" s="13" t="s">
        <v>485</v>
      </c>
      <c r="F51" s="2" t="s">
        <v>5</v>
      </c>
      <c r="I51" t="s">
        <v>41</v>
      </c>
      <c r="J51" s="63">
        <v>3</v>
      </c>
      <c r="K51" s="25">
        <v>1762543.8747748099</v>
      </c>
      <c r="L51" s="17">
        <v>3.5031210474713088E-2</v>
      </c>
      <c r="M51" s="63">
        <v>5</v>
      </c>
      <c r="N51" s="25">
        <v>2303814.7592293401</v>
      </c>
      <c r="O51" s="17">
        <v>4.1994763340476804E-2</v>
      </c>
      <c r="P51" s="63">
        <v>3</v>
      </c>
      <c r="Q51" s="25">
        <v>1752417.0810372101</v>
      </c>
      <c r="R51" s="66">
        <v>3.6268719490255619E-2</v>
      </c>
      <c r="S51" s="77">
        <f t="shared" si="0"/>
        <v>3.7764897768481832E-2</v>
      </c>
      <c r="V51" s="80"/>
    </row>
    <row r="52" spans="1:22" x14ac:dyDescent="0.25">
      <c r="A52" s="18" t="s">
        <v>241</v>
      </c>
      <c r="B52" s="18" t="s">
        <v>238</v>
      </c>
      <c r="C52" s="18" t="s">
        <v>240</v>
      </c>
      <c r="D52" t="s">
        <v>239</v>
      </c>
      <c r="E52" s="13" t="s">
        <v>242</v>
      </c>
      <c r="F52" s="2" t="s">
        <v>5</v>
      </c>
      <c r="I52" t="s">
        <v>243</v>
      </c>
      <c r="J52" s="63">
        <v>3</v>
      </c>
      <c r="K52" s="25">
        <v>2024836.56973729</v>
      </c>
      <c r="L52" s="17">
        <v>3.2373703601141605E-2</v>
      </c>
      <c r="M52" s="63">
        <v>4</v>
      </c>
      <c r="N52" s="25">
        <v>2093320.5609989001</v>
      </c>
      <c r="O52" s="17">
        <v>3.0695203986404847E-2</v>
      </c>
      <c r="P52" s="63">
        <v>5</v>
      </c>
      <c r="Q52" s="25">
        <v>2037329.70895529</v>
      </c>
      <c r="R52" s="66">
        <v>3.3919017650561704E-2</v>
      </c>
      <c r="S52" s="77">
        <f t="shared" si="0"/>
        <v>3.2329308412702713E-2</v>
      </c>
      <c r="V52" s="80"/>
    </row>
    <row r="53" spans="1:22" x14ac:dyDescent="0.25">
      <c r="A53" s="18" t="s">
        <v>219</v>
      </c>
      <c r="B53" s="18" t="s">
        <v>216</v>
      </c>
      <c r="C53" s="18" t="s">
        <v>218</v>
      </c>
      <c r="D53" t="s">
        <v>217</v>
      </c>
      <c r="E53" s="13" t="s">
        <v>220</v>
      </c>
      <c r="F53" s="2" t="s">
        <v>5</v>
      </c>
      <c r="I53" t="s">
        <v>17</v>
      </c>
      <c r="J53" s="63">
        <v>5</v>
      </c>
      <c r="K53" s="25">
        <v>1776297.22839329</v>
      </c>
      <c r="L53" s="17">
        <v>3.3317726552900925E-2</v>
      </c>
      <c r="M53" s="63">
        <v>5</v>
      </c>
      <c r="N53" s="25">
        <v>1926414.5445852401</v>
      </c>
      <c r="O53" s="17">
        <v>3.3139186578387089E-2</v>
      </c>
      <c r="P53" s="63">
        <v>5</v>
      </c>
      <c r="Q53" s="25">
        <v>1553836.6812245001</v>
      </c>
      <c r="R53" s="66">
        <v>3.0349016950753059E-2</v>
      </c>
      <c r="S53" s="77">
        <f t="shared" si="0"/>
        <v>3.226864336068036E-2</v>
      </c>
      <c r="V53" s="80"/>
    </row>
    <row r="54" spans="1:22" x14ac:dyDescent="0.25">
      <c r="A54" s="18" t="s">
        <v>447</v>
      </c>
      <c r="B54" s="18" t="s">
        <v>444</v>
      </c>
      <c r="C54" s="18" t="s">
        <v>446</v>
      </c>
      <c r="D54" t="s">
        <v>445</v>
      </c>
      <c r="E54" s="13" t="s">
        <v>448</v>
      </c>
      <c r="F54" s="2" t="s">
        <v>5</v>
      </c>
      <c r="I54" t="s">
        <v>23</v>
      </c>
      <c r="J54" s="63">
        <v>4</v>
      </c>
      <c r="K54" s="25">
        <v>2261258.6564773899</v>
      </c>
      <c r="L54" s="17">
        <v>2.8987131679292403E-2</v>
      </c>
      <c r="M54" s="63">
        <v>7</v>
      </c>
      <c r="N54" s="25">
        <v>2801281.1536212498</v>
      </c>
      <c r="O54" s="17">
        <v>3.2933969176712943E-2</v>
      </c>
      <c r="P54" s="63">
        <v>5</v>
      </c>
      <c r="Q54" s="25">
        <v>2521616.4034343702</v>
      </c>
      <c r="R54" s="66">
        <v>3.3659957183868182E-2</v>
      </c>
      <c r="S54" s="77">
        <f t="shared" si="0"/>
        <v>3.1860352679957842E-2</v>
      </c>
      <c r="V54" s="80"/>
    </row>
    <row r="55" spans="1:22" x14ac:dyDescent="0.25">
      <c r="A55" s="18" t="s">
        <v>180</v>
      </c>
      <c r="B55" s="18" t="s">
        <v>177</v>
      </c>
      <c r="C55" s="18" t="s">
        <v>179</v>
      </c>
      <c r="D55" t="s">
        <v>178</v>
      </c>
      <c r="E55" s="13" t="s">
        <v>170</v>
      </c>
      <c r="F55" s="2" t="s">
        <v>5</v>
      </c>
      <c r="G55" t="s">
        <v>171</v>
      </c>
      <c r="I55" t="s">
        <v>172</v>
      </c>
      <c r="J55" s="63">
        <v>5</v>
      </c>
      <c r="K55" s="25">
        <v>2879624.7076714202</v>
      </c>
      <c r="L55" s="17">
        <v>2.9992610103957429E-2</v>
      </c>
      <c r="M55" s="63">
        <v>6</v>
      </c>
      <c r="N55" s="25">
        <v>3131603.1973563801</v>
      </c>
      <c r="O55" s="17">
        <v>2.9914205495478758E-2</v>
      </c>
      <c r="P55" s="63">
        <v>2</v>
      </c>
      <c r="Q55" s="25">
        <v>2845562.6475224402</v>
      </c>
      <c r="R55" s="66">
        <v>3.0862141584540363E-2</v>
      </c>
      <c r="S55" s="77">
        <f t="shared" si="0"/>
        <v>3.0256319061325514E-2</v>
      </c>
      <c r="V55" s="80"/>
    </row>
    <row r="56" spans="1:22" x14ac:dyDescent="0.25">
      <c r="A56" s="18" t="s">
        <v>402</v>
      </c>
      <c r="B56" s="18" t="s">
        <v>399</v>
      </c>
      <c r="C56" s="18" t="s">
        <v>401</v>
      </c>
      <c r="D56" t="s">
        <v>400</v>
      </c>
      <c r="E56" s="13" t="s">
        <v>403</v>
      </c>
      <c r="F56" s="2" t="s">
        <v>5</v>
      </c>
      <c r="I56" t="s">
        <v>23</v>
      </c>
      <c r="J56" s="63">
        <v>2</v>
      </c>
      <c r="K56" s="25">
        <v>1643660.5286533399</v>
      </c>
      <c r="L56" s="17">
        <v>2.6673043047810856E-2</v>
      </c>
      <c r="M56" s="63">
        <v>1</v>
      </c>
      <c r="N56" s="25">
        <v>1973457.34419684</v>
      </c>
      <c r="O56" s="17">
        <v>2.9371123393246969E-2</v>
      </c>
      <c r="P56" s="63">
        <v>2</v>
      </c>
      <c r="Q56" s="25">
        <v>1820964.8323001401</v>
      </c>
      <c r="R56" s="66">
        <v>3.0770994715445563E-2</v>
      </c>
      <c r="S56" s="77">
        <f t="shared" si="0"/>
        <v>2.8938387052167794E-2</v>
      </c>
      <c r="V56" s="80"/>
    </row>
    <row r="57" spans="1:22" x14ac:dyDescent="0.25">
      <c r="A57" s="18" t="s">
        <v>267</v>
      </c>
      <c r="B57" s="18" t="s">
        <v>264</v>
      </c>
      <c r="C57" s="18" t="s">
        <v>266</v>
      </c>
      <c r="D57" t="s">
        <v>265</v>
      </c>
      <c r="E57" s="13" t="s">
        <v>268</v>
      </c>
      <c r="F57" s="2" t="s">
        <v>5</v>
      </c>
      <c r="I57" t="s">
        <v>17</v>
      </c>
      <c r="J57" s="63">
        <v>4</v>
      </c>
      <c r="K57" s="25">
        <v>2372722.5354782799</v>
      </c>
      <c r="L57" s="17">
        <v>2.6772407822350512E-2</v>
      </c>
      <c r="M57" s="63">
        <v>6</v>
      </c>
      <c r="N57" s="25">
        <v>3216484.4612270198</v>
      </c>
      <c r="O57" s="17">
        <v>3.3285440504190779E-2</v>
      </c>
      <c r="P57" s="63">
        <v>4</v>
      </c>
      <c r="Q57" s="25">
        <v>2107456.1725217402</v>
      </c>
      <c r="R57" s="66">
        <v>2.4761592136875264E-2</v>
      </c>
      <c r="S57" s="77">
        <f t="shared" si="0"/>
        <v>2.827314682113885E-2</v>
      </c>
      <c r="V57" s="80"/>
    </row>
    <row r="58" spans="1:22" x14ac:dyDescent="0.25">
      <c r="A58" s="18" t="s">
        <v>232</v>
      </c>
      <c r="B58" s="18" t="s">
        <v>229</v>
      </c>
      <c r="C58" s="18" t="s">
        <v>231</v>
      </c>
      <c r="D58" t="s">
        <v>230</v>
      </c>
      <c r="E58" s="13" t="s">
        <v>233</v>
      </c>
      <c r="F58" s="2" t="s">
        <v>5</v>
      </c>
      <c r="I58" t="s">
        <v>23</v>
      </c>
      <c r="J58" s="63">
        <v>5</v>
      </c>
      <c r="K58" s="25">
        <v>1595462.50854648</v>
      </c>
      <c r="L58" s="17">
        <v>2.5890893788448392E-2</v>
      </c>
      <c r="M58" s="63">
        <v>7</v>
      </c>
      <c r="N58" s="25">
        <v>1902887.41666126</v>
      </c>
      <c r="O58" s="17">
        <v>2.8320825521040489E-2</v>
      </c>
      <c r="P58" s="63">
        <v>4</v>
      </c>
      <c r="Q58" s="25">
        <v>1796645.16893482</v>
      </c>
      <c r="R58" s="66">
        <v>3.0360036623547328E-2</v>
      </c>
      <c r="S58" s="77">
        <f t="shared" si="0"/>
        <v>2.8190585311012071E-2</v>
      </c>
      <c r="V58" s="80"/>
    </row>
    <row r="59" spans="1:22" x14ac:dyDescent="0.25">
      <c r="A59" s="18" t="s">
        <v>33</v>
      </c>
      <c r="B59" s="18" t="s">
        <v>30</v>
      </c>
      <c r="C59" s="18" t="s">
        <v>32</v>
      </c>
      <c r="D59" t="s">
        <v>31</v>
      </c>
      <c r="E59" s="13" t="s">
        <v>34</v>
      </c>
      <c r="F59" s="2" t="s">
        <v>5</v>
      </c>
      <c r="I59" t="s">
        <v>17</v>
      </c>
      <c r="J59" s="63">
        <v>2</v>
      </c>
      <c r="K59" s="25">
        <v>3123101.8351660501</v>
      </c>
      <c r="L59" s="17">
        <v>2.7337112991512903E-2</v>
      </c>
      <c r="M59" s="63">
        <v>2</v>
      </c>
      <c r="N59" s="25">
        <v>3906701.1787895402</v>
      </c>
      <c r="O59" s="17">
        <v>3.1362384156849846E-2</v>
      </c>
      <c r="P59" s="63">
        <v>2</v>
      </c>
      <c r="Q59" s="25">
        <v>2817876.2701730598</v>
      </c>
      <c r="R59" s="66">
        <v>2.5684313332445044E-2</v>
      </c>
      <c r="S59" s="77">
        <f t="shared" si="0"/>
        <v>2.8127936826935929E-2</v>
      </c>
      <c r="V59" s="80"/>
    </row>
    <row r="60" spans="1:22" x14ac:dyDescent="0.25">
      <c r="A60" s="18" t="s">
        <v>101</v>
      </c>
      <c r="B60" s="18" t="s">
        <v>98</v>
      </c>
      <c r="C60" s="18" t="s">
        <v>100</v>
      </c>
      <c r="D60" t="s">
        <v>99</v>
      </c>
      <c r="E60" s="13" t="s">
        <v>102</v>
      </c>
      <c r="F60" s="2" t="s">
        <v>5</v>
      </c>
      <c r="G60" t="s">
        <v>103</v>
      </c>
      <c r="I60" t="s">
        <v>104</v>
      </c>
      <c r="J60" s="63">
        <v>4</v>
      </c>
      <c r="K60" s="25">
        <v>2274408.3827718599</v>
      </c>
      <c r="L60" s="17">
        <v>2.3918995249865852E-2</v>
      </c>
      <c r="M60" s="63">
        <v>3</v>
      </c>
      <c r="N60" s="25">
        <v>2565103.4218559898</v>
      </c>
      <c r="O60" s="17">
        <v>2.4740686120858644E-2</v>
      </c>
      <c r="P60" s="63">
        <v>4</v>
      </c>
      <c r="Q60" s="25">
        <v>2458733.1040721</v>
      </c>
      <c r="R60" s="66">
        <v>2.6925601321333138E-2</v>
      </c>
      <c r="S60" s="77">
        <f t="shared" si="0"/>
        <v>2.5195094230685878E-2</v>
      </c>
      <c r="V60" s="80"/>
    </row>
    <row r="61" spans="1:22" x14ac:dyDescent="0.25">
      <c r="A61" s="18" t="s">
        <v>357</v>
      </c>
      <c r="B61" s="18" t="s">
        <v>354</v>
      </c>
      <c r="C61" s="18" t="s">
        <v>356</v>
      </c>
      <c r="D61" t="s">
        <v>355</v>
      </c>
      <c r="E61" s="13" t="s">
        <v>358</v>
      </c>
      <c r="F61" s="2" t="s">
        <v>5</v>
      </c>
      <c r="I61" t="s">
        <v>57</v>
      </c>
      <c r="J61" s="63">
        <v>4</v>
      </c>
      <c r="K61" s="25">
        <v>3389266.3354479899</v>
      </c>
      <c r="L61" s="17">
        <v>2.364753075596546E-2</v>
      </c>
      <c r="M61" s="63">
        <v>4</v>
      </c>
      <c r="N61" s="25">
        <v>3456041.1764233601</v>
      </c>
      <c r="O61" s="17">
        <v>2.2115226084114231E-2</v>
      </c>
      <c r="P61" s="63">
        <v>3</v>
      </c>
      <c r="Q61" s="25">
        <v>2926792.1480982802</v>
      </c>
      <c r="R61" s="66">
        <v>2.1264320998603845E-2</v>
      </c>
      <c r="S61" s="77">
        <f t="shared" si="0"/>
        <v>2.2342359279561175E-2</v>
      </c>
      <c r="V61" s="80"/>
    </row>
    <row r="62" spans="1:22" x14ac:dyDescent="0.25">
      <c r="A62" s="18" t="s">
        <v>456</v>
      </c>
      <c r="B62" s="18" t="s">
        <v>453</v>
      </c>
      <c r="C62" s="18" t="s">
        <v>455</v>
      </c>
      <c r="D62" t="s">
        <v>454</v>
      </c>
      <c r="E62" s="13" t="s">
        <v>457</v>
      </c>
      <c r="F62" s="2" t="s">
        <v>5</v>
      </c>
      <c r="I62" t="s">
        <v>12</v>
      </c>
      <c r="J62" s="63">
        <v>4</v>
      </c>
      <c r="K62" s="25">
        <v>1788582.0500557299</v>
      </c>
      <c r="L62" s="17">
        <v>2.1173833016072018E-2</v>
      </c>
      <c r="M62" s="63">
        <v>5</v>
      </c>
      <c r="N62" s="25">
        <v>2201771.5251402599</v>
      </c>
      <c r="O62" s="17">
        <v>2.3905357394904778E-2</v>
      </c>
      <c r="P62" s="63">
        <v>4</v>
      </c>
      <c r="Q62" s="25">
        <v>1470450.42936921</v>
      </c>
      <c r="R62" s="66">
        <v>1.8126774898632587E-2</v>
      </c>
      <c r="S62" s="77">
        <f t="shared" si="0"/>
        <v>2.1068655103203129E-2</v>
      </c>
      <c r="V62" s="80"/>
    </row>
    <row r="63" spans="1:22" x14ac:dyDescent="0.25">
      <c r="A63" s="18" t="s">
        <v>348</v>
      </c>
      <c r="B63" s="18" t="s">
        <v>345</v>
      </c>
      <c r="C63" s="18" t="s">
        <v>347</v>
      </c>
      <c r="D63" t="s">
        <v>346</v>
      </c>
      <c r="E63" s="13" t="s">
        <v>349</v>
      </c>
      <c r="F63" s="2" t="s">
        <v>5</v>
      </c>
      <c r="I63" t="s">
        <v>78</v>
      </c>
      <c r="J63" s="63">
        <v>4</v>
      </c>
      <c r="K63" s="25">
        <v>1254493.1714254301</v>
      </c>
      <c r="L63" s="17">
        <v>1.8939046317711962E-2</v>
      </c>
      <c r="M63" s="63">
        <v>4</v>
      </c>
      <c r="N63" s="25">
        <v>1727645.45637771</v>
      </c>
      <c r="O63" s="17">
        <v>2.3920860651079984E-2</v>
      </c>
      <c r="P63" s="63">
        <v>3</v>
      </c>
      <c r="Q63" s="25">
        <v>1116781.0330336301</v>
      </c>
      <c r="R63" s="66">
        <v>1.7556476974529073E-2</v>
      </c>
      <c r="S63" s="77">
        <f t="shared" si="0"/>
        <v>2.0138794647773673E-2</v>
      </c>
      <c r="V63" s="80"/>
    </row>
    <row r="64" spans="1:22" x14ac:dyDescent="0.25">
      <c r="A64" s="18" t="s">
        <v>139</v>
      </c>
      <c r="B64" s="18" t="s">
        <v>136</v>
      </c>
      <c r="C64" s="18" t="s">
        <v>138</v>
      </c>
      <c r="D64" t="s">
        <v>137</v>
      </c>
      <c r="E64" s="13" t="s">
        <v>135</v>
      </c>
      <c r="F64" s="2" t="s">
        <v>5</v>
      </c>
      <c r="I64" t="s">
        <v>17</v>
      </c>
      <c r="J64" s="63">
        <v>3</v>
      </c>
      <c r="K64" s="25">
        <v>1941011.45505699</v>
      </c>
      <c r="L64" s="17">
        <v>1.8689052580343372E-2</v>
      </c>
      <c r="M64" s="63">
        <v>3</v>
      </c>
      <c r="N64" s="25">
        <v>2646712.80675221</v>
      </c>
      <c r="O64" s="17">
        <v>2.3372134698648753E-2</v>
      </c>
      <c r="P64" s="63">
        <v>2</v>
      </c>
      <c r="Q64" s="25">
        <v>1800230.3723700901</v>
      </c>
      <c r="R64" s="66">
        <v>1.8049567892087646E-2</v>
      </c>
      <c r="S64" s="77">
        <f t="shared" si="0"/>
        <v>2.0036918390359922E-2</v>
      </c>
      <c r="V64" s="80"/>
    </row>
    <row r="65" spans="1:22" x14ac:dyDescent="0.25">
      <c r="A65" s="18" t="s">
        <v>1</v>
      </c>
      <c r="B65" s="18" t="s">
        <v>8092</v>
      </c>
      <c r="C65" s="18" t="s">
        <v>3</v>
      </c>
      <c r="D65" t="s">
        <v>2</v>
      </c>
      <c r="E65" s="13" t="s">
        <v>4</v>
      </c>
      <c r="F65" s="2" t="s">
        <v>5</v>
      </c>
      <c r="G65" t="s">
        <v>6</v>
      </c>
      <c r="I65" t="s">
        <v>7</v>
      </c>
      <c r="J65" s="63">
        <v>3</v>
      </c>
      <c r="K65" s="25">
        <v>1340304.89063833</v>
      </c>
      <c r="L65" s="17">
        <v>1.6404841606432109E-2</v>
      </c>
      <c r="M65" s="63">
        <v>4</v>
      </c>
      <c r="N65" s="25">
        <v>1989075.0462076699</v>
      </c>
      <c r="O65" s="17">
        <v>2.2328111001304395E-2</v>
      </c>
      <c r="P65" s="63">
        <v>5</v>
      </c>
      <c r="Q65" s="25">
        <v>1665674.6284425501</v>
      </c>
      <c r="R65" s="66">
        <v>2.1229420878219718E-2</v>
      </c>
      <c r="S65" s="77">
        <f t="shared" si="0"/>
        <v>1.9987457828652074E-2</v>
      </c>
      <c r="V65" s="80"/>
    </row>
    <row r="66" spans="1:22" x14ac:dyDescent="0.25">
      <c r="A66" s="18" t="s">
        <v>381</v>
      </c>
      <c r="B66" s="18" t="s">
        <v>378</v>
      </c>
      <c r="C66" s="18" t="s">
        <v>380</v>
      </c>
      <c r="D66" t="s">
        <v>379</v>
      </c>
      <c r="E66" s="13" t="s">
        <v>382</v>
      </c>
      <c r="F66" s="2" t="s">
        <v>5</v>
      </c>
      <c r="I66" t="s">
        <v>78</v>
      </c>
      <c r="J66" s="63">
        <v>2</v>
      </c>
      <c r="K66" s="25">
        <v>1128694.4699078701</v>
      </c>
      <c r="L66" s="17">
        <v>1.7655024695247986E-2</v>
      </c>
      <c r="M66" s="63">
        <v>3</v>
      </c>
      <c r="N66" s="25">
        <v>1669090.2111670801</v>
      </c>
      <c r="O66" s="17">
        <v>2.3944408691126233E-2</v>
      </c>
      <c r="P66" s="63">
        <v>1</v>
      </c>
      <c r="Q66" s="25">
        <v>944531.65436801</v>
      </c>
      <c r="R66" s="66">
        <v>1.5384662968374421E-2</v>
      </c>
      <c r="S66" s="77">
        <f t="shared" si="0"/>
        <v>1.8994698784916213E-2</v>
      </c>
      <c r="V66" s="80"/>
    </row>
    <row r="67" spans="1:22" x14ac:dyDescent="0.25">
      <c r="A67" s="18" t="s">
        <v>391</v>
      </c>
      <c r="B67" s="18" t="s">
        <v>388</v>
      </c>
      <c r="C67" s="18" t="s">
        <v>390</v>
      </c>
      <c r="D67" t="s">
        <v>389</v>
      </c>
      <c r="E67" s="13" t="s">
        <v>392</v>
      </c>
      <c r="F67" s="2" t="s">
        <v>5</v>
      </c>
      <c r="G67" t="s">
        <v>393</v>
      </c>
      <c r="I67" t="s">
        <v>29</v>
      </c>
      <c r="J67" s="63">
        <v>2</v>
      </c>
      <c r="K67" s="25">
        <v>814421.47478336201</v>
      </c>
      <c r="L67" s="17">
        <v>1.5275974967425025E-2</v>
      </c>
      <c r="M67" s="63">
        <v>3</v>
      </c>
      <c r="N67" s="25">
        <v>1145870.58833718</v>
      </c>
      <c r="O67" s="17">
        <v>1.9711862811837171E-2</v>
      </c>
      <c r="P67" s="63">
        <v>3</v>
      </c>
      <c r="Q67" s="25">
        <v>1039601.09680687</v>
      </c>
      <c r="R67" s="66">
        <v>2.0305139974008977E-2</v>
      </c>
      <c r="S67" s="77">
        <f t="shared" si="0"/>
        <v>1.8430992584423725E-2</v>
      </c>
      <c r="V67" s="80"/>
    </row>
    <row r="68" spans="1:22" x14ac:dyDescent="0.25">
      <c r="A68" s="18" t="s">
        <v>176</v>
      </c>
      <c r="B68" s="18" t="s">
        <v>173</v>
      </c>
      <c r="C68" s="18" t="s">
        <v>175</v>
      </c>
      <c r="D68" t="s">
        <v>174</v>
      </c>
      <c r="E68" s="13" t="s">
        <v>11</v>
      </c>
      <c r="F68" s="2" t="s">
        <v>5</v>
      </c>
      <c r="I68" t="s">
        <v>12</v>
      </c>
      <c r="J68" s="63">
        <v>3</v>
      </c>
      <c r="K68" s="25">
        <v>1270272.0007704799</v>
      </c>
      <c r="L68" s="17">
        <v>1.6093196744006225E-2</v>
      </c>
      <c r="M68" s="63">
        <v>4</v>
      </c>
      <c r="N68" s="25">
        <v>1818643.1321512701</v>
      </c>
      <c r="O68" s="17">
        <v>2.1131263052523185E-2</v>
      </c>
      <c r="P68" s="63">
        <v>3</v>
      </c>
      <c r="Q68" s="25">
        <v>1355026.77196987</v>
      </c>
      <c r="R68" s="66">
        <v>1.787610958578166E-2</v>
      </c>
      <c r="S68" s="77">
        <f t="shared" si="0"/>
        <v>1.8366856460770357E-2</v>
      </c>
      <c r="V68" s="80"/>
    </row>
    <row r="69" spans="1:22" x14ac:dyDescent="0.25">
      <c r="A69" s="18" t="s">
        <v>228</v>
      </c>
      <c r="B69" s="18" t="s">
        <v>225</v>
      </c>
      <c r="C69" s="18" t="s">
        <v>227</v>
      </c>
      <c r="D69" t="s">
        <v>226</v>
      </c>
      <c r="E69" s="13" t="s">
        <v>11</v>
      </c>
      <c r="F69" s="2" t="s">
        <v>5</v>
      </c>
      <c r="I69" t="s">
        <v>12</v>
      </c>
      <c r="J69" s="63">
        <v>1</v>
      </c>
      <c r="K69" s="25">
        <v>1415487.83143555</v>
      </c>
      <c r="L69" s="17">
        <v>1.8755562289666617E-2</v>
      </c>
      <c r="M69" s="63">
        <v>5</v>
      </c>
      <c r="N69" s="25">
        <v>1562272.46859426</v>
      </c>
      <c r="O69" s="17">
        <v>1.8985109321869458E-2</v>
      </c>
      <c r="P69" s="63">
        <v>3</v>
      </c>
      <c r="Q69" s="25">
        <v>1234485.94195463</v>
      </c>
      <c r="R69" s="66">
        <v>1.7032940703406947E-2</v>
      </c>
      <c r="S69" s="77">
        <f t="shared" ref="S69:S132" si="1">AVERAGE(L69,O69,R69)</f>
        <v>1.8257870771647675E-2</v>
      </c>
      <c r="V69" s="80"/>
    </row>
    <row r="70" spans="1:22" x14ac:dyDescent="0.25">
      <c r="A70" s="18" t="s">
        <v>442</v>
      </c>
      <c r="B70" s="18" t="s">
        <v>439</v>
      </c>
      <c r="C70" s="18" t="s">
        <v>441</v>
      </c>
      <c r="D70" t="s">
        <v>440</v>
      </c>
      <c r="E70" s="13" t="s">
        <v>443</v>
      </c>
      <c r="F70" s="2" t="s">
        <v>5</v>
      </c>
      <c r="I70" t="s">
        <v>17</v>
      </c>
      <c r="J70" s="63">
        <v>3</v>
      </c>
      <c r="K70" s="25">
        <v>2675759.9598751902</v>
      </c>
      <c r="L70" s="17">
        <v>1.7946771521976077E-2</v>
      </c>
      <c r="M70" s="63">
        <v>3</v>
      </c>
      <c r="N70" s="25">
        <v>2744519.4910203698</v>
      </c>
      <c r="O70" s="17">
        <v>1.6882543481754855E-2</v>
      </c>
      <c r="P70" s="63">
        <v>3</v>
      </c>
      <c r="Q70" s="25">
        <v>2681429.4146997398</v>
      </c>
      <c r="R70" s="66">
        <v>1.8727727855201978E-2</v>
      </c>
      <c r="S70" s="77">
        <f t="shared" si="1"/>
        <v>1.7852347619644302E-2</v>
      </c>
      <c r="V70" s="80"/>
    </row>
    <row r="71" spans="1:22" x14ac:dyDescent="0.25">
      <c r="A71" s="18" t="s">
        <v>125</v>
      </c>
      <c r="B71" s="18" t="s">
        <v>122</v>
      </c>
      <c r="C71" s="18" t="s">
        <v>124</v>
      </c>
      <c r="D71" t="s">
        <v>123</v>
      </c>
      <c r="E71" s="13" t="s">
        <v>126</v>
      </c>
      <c r="F71" s="2" t="s">
        <v>5</v>
      </c>
      <c r="I71" t="s">
        <v>23</v>
      </c>
      <c r="J71" s="63">
        <v>2</v>
      </c>
      <c r="K71" s="25">
        <v>1385840.6785186899</v>
      </c>
      <c r="L71" s="17">
        <v>1.7870871368748528E-2</v>
      </c>
      <c r="M71" s="63">
        <v>5</v>
      </c>
      <c r="N71" s="25">
        <v>1552388.5439885501</v>
      </c>
      <c r="O71" s="17">
        <v>1.8359685069014448E-2</v>
      </c>
      <c r="P71" s="63">
        <v>2</v>
      </c>
      <c r="Q71" s="25">
        <v>1192901.87475682</v>
      </c>
      <c r="R71" s="66">
        <v>1.6018309557779116E-2</v>
      </c>
      <c r="S71" s="77">
        <f t="shared" si="1"/>
        <v>1.7416288665180697E-2</v>
      </c>
      <c r="V71" s="80"/>
    </row>
    <row r="72" spans="1:22" x14ac:dyDescent="0.25">
      <c r="A72" s="18" t="s">
        <v>471</v>
      </c>
      <c r="B72" s="18" t="s">
        <v>468</v>
      </c>
      <c r="C72" s="18" t="s">
        <v>470</v>
      </c>
      <c r="D72" t="s">
        <v>469</v>
      </c>
      <c r="E72" s="13" t="s">
        <v>472</v>
      </c>
      <c r="F72" s="2" t="s">
        <v>5</v>
      </c>
      <c r="G72" t="s">
        <v>159</v>
      </c>
      <c r="I72" t="s">
        <v>104</v>
      </c>
      <c r="J72" s="63">
        <v>5</v>
      </c>
      <c r="K72" s="25">
        <v>1826731.6647334199</v>
      </c>
      <c r="L72" s="17">
        <v>1.8279257964129721E-2</v>
      </c>
      <c r="M72" s="63">
        <v>4</v>
      </c>
      <c r="N72" s="25">
        <v>1701852.1971519699</v>
      </c>
      <c r="O72" s="17">
        <v>1.561845313815235E-2</v>
      </c>
      <c r="P72" s="63">
        <v>5</v>
      </c>
      <c r="Q72" s="25">
        <v>1671486.9295922699</v>
      </c>
      <c r="R72" s="66">
        <v>1.7416718280992862E-2</v>
      </c>
      <c r="S72" s="77">
        <f t="shared" si="1"/>
        <v>1.7104809794424979E-2</v>
      </c>
      <c r="V72" s="80"/>
    </row>
    <row r="73" spans="1:22" x14ac:dyDescent="0.25">
      <c r="A73" s="18" t="s">
        <v>325</v>
      </c>
      <c r="B73" s="18" t="s">
        <v>322</v>
      </c>
      <c r="C73" s="18" t="s">
        <v>324</v>
      </c>
      <c r="D73" t="s">
        <v>323</v>
      </c>
      <c r="E73" s="13" t="s">
        <v>11</v>
      </c>
      <c r="F73" s="2" t="s">
        <v>5</v>
      </c>
      <c r="G73" t="s">
        <v>249</v>
      </c>
      <c r="I73" t="s">
        <v>7</v>
      </c>
      <c r="J73" s="63">
        <v>5</v>
      </c>
      <c r="K73" s="25">
        <v>1297686.1210277099</v>
      </c>
      <c r="L73" s="17">
        <v>1.4417061598011394E-2</v>
      </c>
      <c r="M73" s="63">
        <v>5</v>
      </c>
      <c r="N73" s="25">
        <v>2024293.9384097599</v>
      </c>
      <c r="O73" s="17">
        <v>2.0625906426616009E-2</v>
      </c>
      <c r="P73" s="63">
        <v>5</v>
      </c>
      <c r="Q73" s="25">
        <v>1173498.86468842</v>
      </c>
      <c r="R73" s="66">
        <v>1.3575921099130901E-2</v>
      </c>
      <c r="S73" s="77">
        <f t="shared" si="1"/>
        <v>1.6206296374586104E-2</v>
      </c>
      <c r="V73" s="80"/>
    </row>
    <row r="74" spans="1:22" x14ac:dyDescent="0.25">
      <c r="A74" s="18" t="s">
        <v>152</v>
      </c>
      <c r="B74" s="18" t="s">
        <v>149</v>
      </c>
      <c r="C74" s="18" t="s">
        <v>151</v>
      </c>
      <c r="D74" t="s">
        <v>150</v>
      </c>
      <c r="E74" s="13" t="s">
        <v>153</v>
      </c>
      <c r="F74" s="2" t="s">
        <v>5</v>
      </c>
      <c r="I74" t="s">
        <v>57</v>
      </c>
      <c r="J74" s="63">
        <v>7</v>
      </c>
      <c r="K74" s="25">
        <v>2060651.4010906101</v>
      </c>
      <c r="L74" s="17">
        <v>1.6058369190760761E-2</v>
      </c>
      <c r="M74" s="63">
        <v>6</v>
      </c>
      <c r="N74" s="25">
        <v>2171984.6290635099</v>
      </c>
      <c r="O74" s="17">
        <v>1.5523370800176912E-2</v>
      </c>
      <c r="P74" s="63">
        <v>7</v>
      </c>
      <c r="Q74" s="25">
        <v>1946157.15523904</v>
      </c>
      <c r="R74" s="66">
        <v>1.5792626134363958E-2</v>
      </c>
      <c r="S74" s="77">
        <f t="shared" si="1"/>
        <v>1.5791455375100544E-2</v>
      </c>
      <c r="V74" s="80"/>
    </row>
    <row r="75" spans="1:22" x14ac:dyDescent="0.25">
      <c r="A75" s="18" t="s">
        <v>371</v>
      </c>
      <c r="B75" s="18" t="s">
        <v>368</v>
      </c>
      <c r="C75" s="18" t="s">
        <v>370</v>
      </c>
      <c r="D75" t="s">
        <v>369</v>
      </c>
      <c r="E75" s="13" t="s">
        <v>372</v>
      </c>
      <c r="F75" s="2" t="s">
        <v>5</v>
      </c>
      <c r="I75" t="s">
        <v>57</v>
      </c>
      <c r="J75" s="63">
        <v>10</v>
      </c>
      <c r="K75" s="25">
        <v>1916405.61200003</v>
      </c>
      <c r="L75" s="17">
        <v>1.5235707731240842E-2</v>
      </c>
      <c r="M75" s="63">
        <v>10</v>
      </c>
      <c r="N75" s="25">
        <v>2043941.86598236</v>
      </c>
      <c r="O75" s="17">
        <v>1.4903082741311127E-2</v>
      </c>
      <c r="P75" s="63">
        <v>7</v>
      </c>
      <c r="Q75" s="25">
        <v>1846435.4678531501</v>
      </c>
      <c r="R75" s="66">
        <v>1.5285824536882219E-2</v>
      </c>
      <c r="S75" s="77">
        <f t="shared" si="1"/>
        <v>1.5141538336478064E-2</v>
      </c>
      <c r="V75" s="80"/>
    </row>
    <row r="76" spans="1:22" x14ac:dyDescent="0.25">
      <c r="A76" s="18" t="s">
        <v>262</v>
      </c>
      <c r="B76" s="18" t="s">
        <v>259</v>
      </c>
      <c r="C76" s="18" t="s">
        <v>261</v>
      </c>
      <c r="D76" t="s">
        <v>260</v>
      </c>
      <c r="E76" s="13" t="s">
        <v>263</v>
      </c>
      <c r="F76" s="2" t="s">
        <v>5</v>
      </c>
      <c r="G76" t="s">
        <v>6</v>
      </c>
      <c r="I76" t="s">
        <v>7</v>
      </c>
      <c r="J76" s="63">
        <v>3</v>
      </c>
      <c r="K76" s="25">
        <v>654600.06370651699</v>
      </c>
      <c r="L76" s="17">
        <v>1.3442043273538108E-2</v>
      </c>
      <c r="M76" s="63">
        <v>2</v>
      </c>
      <c r="N76" s="25">
        <v>849766.49983189604</v>
      </c>
      <c r="O76" s="17">
        <v>1.6003730385770312E-2</v>
      </c>
      <c r="P76" s="63">
        <v>2</v>
      </c>
      <c r="Q76" s="25">
        <v>688995.07828293997</v>
      </c>
      <c r="R76" s="66">
        <v>1.4732786755014195E-2</v>
      </c>
      <c r="S76" s="77">
        <f t="shared" si="1"/>
        <v>1.4726186804774206E-2</v>
      </c>
      <c r="V76" s="80"/>
    </row>
    <row r="77" spans="1:22" x14ac:dyDescent="0.25">
      <c r="A77" s="18" t="s">
        <v>82</v>
      </c>
      <c r="B77" s="18" t="s">
        <v>79</v>
      </c>
      <c r="C77" s="18" t="s">
        <v>81</v>
      </c>
      <c r="D77" t="s">
        <v>80</v>
      </c>
      <c r="E77" s="13" t="s">
        <v>83</v>
      </c>
      <c r="F77" s="2" t="s">
        <v>5</v>
      </c>
      <c r="I77" t="s">
        <v>17</v>
      </c>
      <c r="J77" s="63">
        <v>3</v>
      </c>
      <c r="K77" s="25">
        <v>1404938.4020003199</v>
      </c>
      <c r="L77" s="17">
        <v>1.4425023646813131E-2</v>
      </c>
      <c r="M77" s="63">
        <v>3</v>
      </c>
      <c r="N77" s="25">
        <v>1440258.40912497</v>
      </c>
      <c r="O77" s="17">
        <v>1.3562259320668837E-2</v>
      </c>
      <c r="P77" s="63">
        <v>2</v>
      </c>
      <c r="Q77" s="25">
        <v>1455049.0760173099</v>
      </c>
      <c r="R77" s="66">
        <v>1.5556662471716668E-2</v>
      </c>
      <c r="S77" s="77">
        <f t="shared" si="1"/>
        <v>1.4514648479732878E-2</v>
      </c>
      <c r="V77" s="80"/>
    </row>
    <row r="78" spans="1:22" x14ac:dyDescent="0.25">
      <c r="A78" s="18" t="s">
        <v>320</v>
      </c>
      <c r="B78" s="18" t="s">
        <v>317</v>
      </c>
      <c r="C78" s="18" t="s">
        <v>319</v>
      </c>
      <c r="D78" t="s">
        <v>318</v>
      </c>
      <c r="E78" s="13" t="s">
        <v>321</v>
      </c>
      <c r="F78" s="2" t="s">
        <v>5</v>
      </c>
      <c r="I78" t="s">
        <v>17</v>
      </c>
      <c r="J78" s="63">
        <v>1</v>
      </c>
      <c r="K78" s="25">
        <v>1680561.7525360601</v>
      </c>
      <c r="L78" s="17">
        <v>1.3790888717085307E-2</v>
      </c>
      <c r="M78" s="63">
        <v>1</v>
      </c>
      <c r="N78" s="25">
        <v>1527944.38042669</v>
      </c>
      <c r="O78" s="17">
        <v>1.1499466662263124E-2</v>
      </c>
      <c r="P78" s="63">
        <v>1</v>
      </c>
      <c r="Q78" s="25">
        <v>1481157.74186477</v>
      </c>
      <c r="R78" s="66">
        <v>1.2656645873095477E-2</v>
      </c>
      <c r="S78" s="77">
        <f t="shared" si="1"/>
        <v>1.2649000417481302E-2</v>
      </c>
      <c r="V78" s="80"/>
    </row>
    <row r="79" spans="1:22" x14ac:dyDescent="0.25">
      <c r="A79" s="18" t="s">
        <v>55</v>
      </c>
      <c r="B79" s="18" t="s">
        <v>52</v>
      </c>
      <c r="C79" s="18" t="s">
        <v>54</v>
      </c>
      <c r="D79" t="s">
        <v>53</v>
      </c>
      <c r="E79" s="13" t="s">
        <v>56</v>
      </c>
      <c r="F79" s="2" t="s">
        <v>5</v>
      </c>
      <c r="I79" t="s">
        <v>57</v>
      </c>
      <c r="J79" s="63">
        <v>6</v>
      </c>
      <c r="K79" s="25">
        <v>1394146.3784967</v>
      </c>
      <c r="L79" s="17">
        <v>1.1867583438520986E-2</v>
      </c>
      <c r="M79" s="63">
        <v>5</v>
      </c>
      <c r="N79" s="25">
        <v>1349160.91961196</v>
      </c>
      <c r="O79" s="17">
        <v>1.0532950566098145E-2</v>
      </c>
      <c r="P79" s="63">
        <v>4</v>
      </c>
      <c r="Q79" s="25">
        <v>1610389.5693609</v>
      </c>
      <c r="R79" s="66">
        <v>1.4274615045250015E-2</v>
      </c>
      <c r="S79" s="77">
        <f t="shared" si="1"/>
        <v>1.2225049683289716E-2</v>
      </c>
      <c r="V79" s="80"/>
    </row>
    <row r="80" spans="1:22" x14ac:dyDescent="0.25">
      <c r="A80" s="18" t="s">
        <v>209</v>
      </c>
      <c r="B80" s="18" t="s">
        <v>206</v>
      </c>
      <c r="C80" s="18" t="s">
        <v>208</v>
      </c>
      <c r="D80" t="s">
        <v>207</v>
      </c>
      <c r="E80" s="13" t="s">
        <v>210</v>
      </c>
      <c r="F80" s="2" t="s">
        <v>5</v>
      </c>
      <c r="I80" t="s">
        <v>57</v>
      </c>
      <c r="J80" s="63">
        <v>8</v>
      </c>
      <c r="K80" s="25">
        <v>2077922.0983078</v>
      </c>
      <c r="L80" s="17">
        <v>1.2183063970188838E-2</v>
      </c>
      <c r="M80" s="63">
        <v>7</v>
      </c>
      <c r="N80" s="25">
        <v>1965646.2253427601</v>
      </c>
      <c r="O80" s="17">
        <v>1.0569756779198211E-2</v>
      </c>
      <c r="P80" s="63">
        <v>9</v>
      </c>
      <c r="Q80" s="25">
        <v>2105515.1283480399</v>
      </c>
      <c r="R80" s="66">
        <v>1.2854795330519383E-2</v>
      </c>
      <c r="S80" s="77">
        <f t="shared" si="1"/>
        <v>1.1869205359968811E-2</v>
      </c>
      <c r="V80" s="80"/>
    </row>
    <row r="81" spans="1:22" x14ac:dyDescent="0.25">
      <c r="A81" s="18" t="s">
        <v>45</v>
      </c>
      <c r="B81" s="18" t="s">
        <v>42</v>
      </c>
      <c r="C81" s="18" t="s">
        <v>44</v>
      </c>
      <c r="D81" t="s">
        <v>43</v>
      </c>
      <c r="E81" s="13" t="s">
        <v>46</v>
      </c>
      <c r="F81" s="2" t="s">
        <v>5</v>
      </c>
      <c r="I81" t="s">
        <v>12</v>
      </c>
      <c r="J81" s="63">
        <v>2</v>
      </c>
      <c r="K81" s="25">
        <v>870541.17768030602</v>
      </c>
      <c r="L81" s="17">
        <v>1.0746174867928084E-2</v>
      </c>
      <c r="M81" s="63">
        <v>2</v>
      </c>
      <c r="N81" s="25">
        <v>1107487.7004947099</v>
      </c>
      <c r="O81" s="17">
        <v>1.2538219565845188E-2</v>
      </c>
      <c r="P81" s="63">
        <v>2</v>
      </c>
      <c r="Q81" s="25">
        <v>902300.89409463794</v>
      </c>
      <c r="R81" s="66">
        <v>1.1598331294656972E-2</v>
      </c>
      <c r="S81" s="77">
        <f t="shared" si="1"/>
        <v>1.1627575242810084E-2</v>
      </c>
      <c r="V81" s="80"/>
    </row>
    <row r="82" spans="1:22" x14ac:dyDescent="0.25">
      <c r="A82" s="18" t="s">
        <v>199</v>
      </c>
      <c r="B82" s="18" t="s">
        <v>196</v>
      </c>
      <c r="C82" s="18" t="s">
        <v>198</v>
      </c>
      <c r="D82" t="s">
        <v>197</v>
      </c>
      <c r="E82" s="13" t="s">
        <v>144</v>
      </c>
      <c r="F82" s="2" t="s">
        <v>5</v>
      </c>
      <c r="I82" t="s">
        <v>17</v>
      </c>
      <c r="J82" s="63">
        <v>4</v>
      </c>
      <c r="K82" s="25">
        <v>869915.45665765298</v>
      </c>
      <c r="L82" s="17">
        <v>1.1085871280889245E-2</v>
      </c>
      <c r="M82" s="63">
        <v>3</v>
      </c>
      <c r="N82" s="25">
        <v>844431.61268524395</v>
      </c>
      <c r="O82" s="17">
        <v>9.8693747972367039E-3</v>
      </c>
      <c r="P82" s="63">
        <v>2</v>
      </c>
      <c r="Q82" s="25">
        <v>880696.01198397903</v>
      </c>
      <c r="R82" s="66">
        <v>1.1686873715877641E-2</v>
      </c>
      <c r="S82" s="77">
        <f t="shared" si="1"/>
        <v>1.0880706598001196E-2</v>
      </c>
      <c r="V82" s="80"/>
    </row>
    <row r="83" spans="1:22" x14ac:dyDescent="0.25">
      <c r="A83" s="18" t="s">
        <v>164</v>
      </c>
      <c r="B83" s="18" t="s">
        <v>161</v>
      </c>
      <c r="C83" s="18" t="s">
        <v>163</v>
      </c>
      <c r="D83" t="s">
        <v>162</v>
      </c>
      <c r="E83" s="13" t="s">
        <v>165</v>
      </c>
      <c r="F83" s="2" t="s">
        <v>5</v>
      </c>
      <c r="I83" t="s">
        <v>17</v>
      </c>
      <c r="J83" s="63">
        <v>1</v>
      </c>
      <c r="K83" s="25">
        <v>624820.06096599798</v>
      </c>
      <c r="L83" s="17">
        <v>1.049317607025306E-2</v>
      </c>
      <c r="M83" s="63">
        <v>2</v>
      </c>
      <c r="N83" s="25">
        <v>703791.58089932601</v>
      </c>
      <c r="O83" s="17">
        <v>1.0839978900182224E-2</v>
      </c>
      <c r="P83" s="63">
        <v>1</v>
      </c>
      <c r="Q83" s="25">
        <v>575146.41014775005</v>
      </c>
      <c r="R83" s="66">
        <v>1.0057960969738074E-2</v>
      </c>
      <c r="S83" s="77">
        <f t="shared" si="1"/>
        <v>1.0463705313391121E-2</v>
      </c>
      <c r="V83" s="80"/>
    </row>
    <row r="84" spans="1:22" x14ac:dyDescent="0.25">
      <c r="A84" s="18" t="s">
        <v>316</v>
      </c>
      <c r="B84" s="18" t="s">
        <v>313</v>
      </c>
      <c r="C84" s="18" t="s">
        <v>315</v>
      </c>
      <c r="D84" t="s">
        <v>314</v>
      </c>
      <c r="E84" s="13" t="s">
        <v>170</v>
      </c>
      <c r="F84" s="2" t="s">
        <v>5</v>
      </c>
      <c r="G84" t="s">
        <v>171</v>
      </c>
      <c r="I84" t="s">
        <v>104</v>
      </c>
      <c r="J84" s="63">
        <v>1</v>
      </c>
      <c r="K84" s="25">
        <v>1036774.4823605</v>
      </c>
      <c r="L84" s="17">
        <v>1.0350617773411728E-2</v>
      </c>
      <c r="M84" s="63">
        <v>0</v>
      </c>
      <c r="N84" s="25">
        <v>1082032.46388918</v>
      </c>
      <c r="O84" s="17">
        <v>9.907284557352309E-3</v>
      </c>
      <c r="P84" s="63">
        <v>2</v>
      </c>
      <c r="Q84" s="25">
        <v>971695.36807823996</v>
      </c>
      <c r="R84" s="66">
        <v>1.0101634286743743E-2</v>
      </c>
      <c r="S84" s="77">
        <f t="shared" si="1"/>
        <v>1.011984553916926E-2</v>
      </c>
      <c r="V84" s="80"/>
    </row>
    <row r="85" spans="1:22" x14ac:dyDescent="0.25">
      <c r="A85" s="18" t="s">
        <v>143</v>
      </c>
      <c r="B85" s="18" t="s">
        <v>140</v>
      </c>
      <c r="C85" s="18" t="s">
        <v>142</v>
      </c>
      <c r="D85" t="s">
        <v>141</v>
      </c>
      <c r="E85" s="13" t="s">
        <v>144</v>
      </c>
      <c r="F85" s="2" t="s">
        <v>5</v>
      </c>
      <c r="I85" t="s">
        <v>17</v>
      </c>
      <c r="J85" s="63">
        <v>3</v>
      </c>
      <c r="K85" s="25">
        <v>690295.65123917698</v>
      </c>
      <c r="L85" s="17">
        <v>8.5455258903009892E-3</v>
      </c>
      <c r="M85" s="63">
        <v>2</v>
      </c>
      <c r="N85" s="25">
        <v>701783.47650289198</v>
      </c>
      <c r="O85" s="17">
        <v>7.9678136755904367E-3</v>
      </c>
      <c r="P85" s="63">
        <v>3</v>
      </c>
      <c r="Q85" s="25">
        <v>656536.87124060898</v>
      </c>
      <c r="R85" s="66">
        <v>8.463350271874474E-3</v>
      </c>
      <c r="S85" s="77">
        <f t="shared" si="1"/>
        <v>8.3255632792553005E-3</v>
      </c>
      <c r="V85" s="80"/>
    </row>
    <row r="86" spans="1:22" x14ac:dyDescent="0.25">
      <c r="A86" s="18" t="s">
        <v>295</v>
      </c>
      <c r="B86" s="18" t="s">
        <v>292</v>
      </c>
      <c r="C86" s="18" t="s">
        <v>294</v>
      </c>
      <c r="D86" t="s">
        <v>293</v>
      </c>
      <c r="E86" s="13" t="s">
        <v>296</v>
      </c>
      <c r="F86" s="2" t="s">
        <v>5</v>
      </c>
      <c r="I86" t="s">
        <v>57</v>
      </c>
      <c r="J86" s="63">
        <v>2</v>
      </c>
      <c r="K86" s="25">
        <v>1704672.7487961601</v>
      </c>
      <c r="L86" s="17">
        <v>8.4994914878572404E-3</v>
      </c>
      <c r="M86" s="63">
        <v>2</v>
      </c>
      <c r="N86" s="25">
        <v>1551202.8933816</v>
      </c>
      <c r="O86" s="17">
        <v>7.093374759198817E-3</v>
      </c>
      <c r="P86" s="63">
        <v>2</v>
      </c>
      <c r="Q86" s="25">
        <v>1643275.74670221</v>
      </c>
      <c r="R86" s="66">
        <v>8.5318243852675977E-3</v>
      </c>
      <c r="S86" s="77">
        <f t="shared" si="1"/>
        <v>8.0415635441078853E-3</v>
      </c>
      <c r="V86" s="80"/>
    </row>
    <row r="87" spans="1:22" x14ac:dyDescent="0.25">
      <c r="A87" s="18" t="s">
        <v>329</v>
      </c>
      <c r="B87" s="18" t="s">
        <v>326</v>
      </c>
      <c r="C87" s="18" t="s">
        <v>328</v>
      </c>
      <c r="D87" t="s">
        <v>327</v>
      </c>
      <c r="E87" s="13" t="s">
        <v>330</v>
      </c>
      <c r="F87" s="2" t="s">
        <v>5</v>
      </c>
      <c r="I87" t="s">
        <v>17</v>
      </c>
      <c r="J87" s="63">
        <v>2</v>
      </c>
      <c r="K87" s="25">
        <v>483365.55111546698</v>
      </c>
      <c r="L87" s="17">
        <v>6.4640154612774468E-3</v>
      </c>
      <c r="M87" s="63">
        <v>2</v>
      </c>
      <c r="N87" s="25">
        <v>773107.77334422898</v>
      </c>
      <c r="O87" s="17">
        <v>9.4819815363022131E-3</v>
      </c>
      <c r="P87" s="63">
        <v>2</v>
      </c>
      <c r="Q87" s="25">
        <v>436586.03091776499</v>
      </c>
      <c r="R87" s="66">
        <v>6.0796148083263691E-3</v>
      </c>
      <c r="S87" s="77">
        <f t="shared" si="1"/>
        <v>7.3418706019686766E-3</v>
      </c>
      <c r="V87" s="80"/>
    </row>
    <row r="88" spans="1:22" x14ac:dyDescent="0.25">
      <c r="A88" s="18" t="s">
        <v>8</v>
      </c>
      <c r="B88" s="18" t="s">
        <v>8093</v>
      </c>
      <c r="C88" s="18" t="s">
        <v>10</v>
      </c>
      <c r="D88" t="s">
        <v>9</v>
      </c>
      <c r="E88" s="13" t="s">
        <v>11</v>
      </c>
      <c r="F88" s="2" t="s">
        <v>5</v>
      </c>
      <c r="I88" t="s">
        <v>12</v>
      </c>
      <c r="J88" s="63">
        <v>3</v>
      </c>
      <c r="K88" s="25">
        <v>499165.21538206399</v>
      </c>
      <c r="L88" s="17">
        <v>6.5341337670831818E-3</v>
      </c>
      <c r="M88" s="63">
        <v>2</v>
      </c>
      <c r="N88" s="25">
        <v>639731.83569925698</v>
      </c>
      <c r="O88" s="17">
        <v>7.6802268035421686E-3</v>
      </c>
      <c r="P88" s="63">
        <v>2</v>
      </c>
      <c r="Q88" s="25">
        <v>482499.23507023102</v>
      </c>
      <c r="R88" s="66">
        <v>6.5768793338747238E-3</v>
      </c>
      <c r="S88" s="77">
        <f t="shared" si="1"/>
        <v>6.9304133015000253E-3</v>
      </c>
      <c r="V88" s="80"/>
    </row>
    <row r="89" spans="1:22" x14ac:dyDescent="0.25">
      <c r="A89" s="18" t="s">
        <v>184</v>
      </c>
      <c r="B89" s="18" t="s">
        <v>181</v>
      </c>
      <c r="C89" s="18" t="s">
        <v>183</v>
      </c>
      <c r="D89" t="s">
        <v>182</v>
      </c>
      <c r="E89" s="13" t="s">
        <v>185</v>
      </c>
      <c r="F89" s="2" t="s">
        <v>5</v>
      </c>
      <c r="G89" t="s">
        <v>186</v>
      </c>
      <c r="I89" t="s">
        <v>17</v>
      </c>
      <c r="J89" s="63">
        <v>3</v>
      </c>
      <c r="K89" s="25">
        <v>616350.00180253806</v>
      </c>
      <c r="L89" s="17">
        <v>6.7952674181261706E-3</v>
      </c>
      <c r="M89" s="63">
        <v>2</v>
      </c>
      <c r="N89" s="25">
        <v>582538.33380013704</v>
      </c>
      <c r="O89" s="17">
        <v>5.8902812826447572E-3</v>
      </c>
      <c r="P89" s="63">
        <v>3</v>
      </c>
      <c r="Q89" s="25">
        <v>500886.74616544001</v>
      </c>
      <c r="R89" s="66">
        <v>5.7504022881495441E-3</v>
      </c>
      <c r="S89" s="77">
        <f t="shared" si="1"/>
        <v>6.145316996306824E-3</v>
      </c>
      <c r="V89" s="80"/>
    </row>
    <row r="90" spans="1:22" x14ac:dyDescent="0.25">
      <c r="A90" s="18" t="s">
        <v>253</v>
      </c>
      <c r="B90" s="18" t="s">
        <v>250</v>
      </c>
      <c r="C90" s="18" t="s">
        <v>252</v>
      </c>
      <c r="D90" t="s">
        <v>251</v>
      </c>
      <c r="E90" s="13" t="s">
        <v>254</v>
      </c>
      <c r="F90" s="2" t="s">
        <v>5</v>
      </c>
      <c r="I90" t="s">
        <v>57</v>
      </c>
      <c r="J90" s="63">
        <v>2</v>
      </c>
      <c r="K90" s="25">
        <v>1082598.8505031001</v>
      </c>
      <c r="L90" s="17">
        <v>7.8968305290392261E-3</v>
      </c>
      <c r="M90" s="63">
        <v>1</v>
      </c>
      <c r="N90" s="25">
        <v>734347.65267741994</v>
      </c>
      <c r="O90" s="17">
        <v>4.9126897890626854E-3</v>
      </c>
      <c r="P90" s="63">
        <v>2</v>
      </c>
      <c r="Q90" s="25">
        <v>627398.85337857599</v>
      </c>
      <c r="R90" s="66">
        <v>4.7655004424077716E-3</v>
      </c>
      <c r="S90" s="77">
        <f t="shared" si="1"/>
        <v>5.858340253503228E-3</v>
      </c>
      <c r="V90" s="80"/>
    </row>
    <row r="91" spans="1:22" x14ac:dyDescent="0.25">
      <c r="A91" s="18" t="s">
        <v>114</v>
      </c>
      <c r="B91" s="18" t="s">
        <v>111</v>
      </c>
      <c r="C91" s="18" t="s">
        <v>113</v>
      </c>
      <c r="D91" t="s">
        <v>112</v>
      </c>
      <c r="E91" s="13" t="s">
        <v>115</v>
      </c>
      <c r="F91" s="2" t="s">
        <v>5</v>
      </c>
      <c r="I91" t="s">
        <v>17</v>
      </c>
      <c r="J91" s="63">
        <v>3</v>
      </c>
      <c r="K91" s="25">
        <v>665902.82424828701</v>
      </c>
      <c r="L91" s="17">
        <v>5.506190985664506E-3</v>
      </c>
      <c r="M91" s="63">
        <v>3</v>
      </c>
      <c r="N91" s="25">
        <v>774816.89957878203</v>
      </c>
      <c r="O91" s="17">
        <v>5.8758658652902848E-3</v>
      </c>
      <c r="P91" s="63">
        <v>3</v>
      </c>
      <c r="Q91" s="25">
        <v>601871.04679337598</v>
      </c>
      <c r="R91" s="66">
        <v>5.1823101796175906E-3</v>
      </c>
      <c r="S91" s="77">
        <f t="shared" si="1"/>
        <v>5.5214556768574605E-3</v>
      </c>
      <c r="V91" s="80"/>
    </row>
    <row r="92" spans="1:22" x14ac:dyDescent="0.25">
      <c r="A92" s="18" t="s">
        <v>437</v>
      </c>
      <c r="B92" s="18" t="s">
        <v>434</v>
      </c>
      <c r="C92" s="18" t="s">
        <v>436</v>
      </c>
      <c r="D92" t="s">
        <v>435</v>
      </c>
      <c r="E92" s="13" t="s">
        <v>438</v>
      </c>
      <c r="F92" s="2" t="s">
        <v>5</v>
      </c>
      <c r="I92" t="s">
        <v>172</v>
      </c>
      <c r="J92" s="63">
        <v>2</v>
      </c>
      <c r="K92" s="25">
        <v>326012.01752216002</v>
      </c>
      <c r="L92" s="17">
        <v>5.2707269311999243E-3</v>
      </c>
      <c r="M92" s="63">
        <v>2</v>
      </c>
      <c r="N92" s="25">
        <v>328687.244722492</v>
      </c>
      <c r="O92" s="17">
        <v>4.8736252572457823E-3</v>
      </c>
      <c r="P92" s="63">
        <v>3</v>
      </c>
      <c r="Q92" s="25">
        <v>353077.50335822097</v>
      </c>
      <c r="R92" s="66">
        <v>5.9441052607245278E-3</v>
      </c>
      <c r="S92" s="77">
        <f t="shared" si="1"/>
        <v>5.3628191497234112E-3</v>
      </c>
      <c r="V92" s="80"/>
    </row>
    <row r="93" spans="1:22" x14ac:dyDescent="0.25">
      <c r="A93" s="18" t="s">
        <v>203</v>
      </c>
      <c r="B93" s="18" t="s">
        <v>200</v>
      </c>
      <c r="C93" s="18" t="s">
        <v>202</v>
      </c>
      <c r="D93" t="s">
        <v>201</v>
      </c>
      <c r="E93" s="13" t="s">
        <v>204</v>
      </c>
      <c r="F93" s="2" t="s">
        <v>5</v>
      </c>
      <c r="G93" t="s">
        <v>205</v>
      </c>
      <c r="I93" t="s">
        <v>23</v>
      </c>
      <c r="J93" s="63">
        <v>0</v>
      </c>
      <c r="K93" s="25">
        <v>419770.24532387598</v>
      </c>
      <c r="L93" s="17">
        <v>4.0417629510028901E-3</v>
      </c>
      <c r="M93" s="63">
        <v>0</v>
      </c>
      <c r="N93" s="25">
        <v>527186.44869003398</v>
      </c>
      <c r="O93" s="17">
        <v>4.6553871121383468E-3</v>
      </c>
      <c r="P93" s="63">
        <v>3</v>
      </c>
      <c r="Q93" s="25">
        <v>612743.23128565203</v>
      </c>
      <c r="R93" s="66">
        <v>6.1435195868553491E-3</v>
      </c>
      <c r="S93" s="77">
        <f t="shared" si="1"/>
        <v>4.946889883332195E-3</v>
      </c>
      <c r="V93" s="80"/>
    </row>
    <row r="94" spans="1:22" x14ac:dyDescent="0.25">
      <c r="A94" s="18" t="s">
        <v>376</v>
      </c>
      <c r="B94" s="18" t="s">
        <v>373</v>
      </c>
      <c r="C94" s="18" t="s">
        <v>375</v>
      </c>
      <c r="D94" t="s">
        <v>374</v>
      </c>
      <c r="E94" s="13" t="s">
        <v>377</v>
      </c>
      <c r="F94" s="2" t="s">
        <v>5</v>
      </c>
      <c r="I94" t="s">
        <v>104</v>
      </c>
      <c r="J94" s="63">
        <v>2</v>
      </c>
      <c r="K94" s="25">
        <v>731804.40082774998</v>
      </c>
      <c r="L94" s="17">
        <v>4.9312355185611454E-3</v>
      </c>
      <c r="M94" s="63">
        <v>3</v>
      </c>
      <c r="N94" s="25">
        <v>687596.29657356197</v>
      </c>
      <c r="O94" s="17">
        <v>4.2493903909461015E-3</v>
      </c>
      <c r="P94" s="63">
        <v>1</v>
      </c>
      <c r="Q94" s="25">
        <v>689767.73346530902</v>
      </c>
      <c r="R94" s="66">
        <v>4.8399752444580101E-3</v>
      </c>
      <c r="S94" s="77">
        <f t="shared" si="1"/>
        <v>4.6735337179884193E-3</v>
      </c>
      <c r="V94" s="80"/>
    </row>
    <row r="95" spans="1:22" x14ac:dyDescent="0.25">
      <c r="A95" s="18" t="s">
        <v>247</v>
      </c>
      <c r="B95" s="18" t="s">
        <v>244</v>
      </c>
      <c r="C95" s="18" t="s">
        <v>246</v>
      </c>
      <c r="D95" t="s">
        <v>245</v>
      </c>
      <c r="E95" s="13" t="s">
        <v>248</v>
      </c>
      <c r="F95" s="2" t="s">
        <v>5</v>
      </c>
      <c r="G95" t="s">
        <v>249</v>
      </c>
      <c r="I95" t="s">
        <v>23</v>
      </c>
      <c r="J95" s="63">
        <v>2</v>
      </c>
      <c r="K95" s="25">
        <v>262638.68880608497</v>
      </c>
      <c r="L95" s="17">
        <v>3.9240307762250584E-3</v>
      </c>
      <c r="M95" s="63">
        <v>1</v>
      </c>
      <c r="N95" s="25">
        <v>300650.76054838102</v>
      </c>
      <c r="O95" s="17">
        <v>4.1197264938418196E-3</v>
      </c>
      <c r="P95" s="63">
        <v>2</v>
      </c>
      <c r="Q95" s="25">
        <v>374819.69857562502</v>
      </c>
      <c r="R95" s="66">
        <v>5.8314378005880976E-3</v>
      </c>
      <c r="S95" s="77">
        <f t="shared" si="1"/>
        <v>4.6250650235516583E-3</v>
      </c>
      <c r="V95" s="80"/>
    </row>
    <row r="96" spans="1:22" x14ac:dyDescent="0.25">
      <c r="A96" s="18" t="s">
        <v>38</v>
      </c>
      <c r="B96" s="18" t="s">
        <v>35</v>
      </c>
      <c r="C96" s="18" t="s">
        <v>37</v>
      </c>
      <c r="D96" t="s">
        <v>36</v>
      </c>
      <c r="E96" s="13" t="s">
        <v>39</v>
      </c>
      <c r="F96" s="2" t="s">
        <v>5</v>
      </c>
      <c r="G96" t="s">
        <v>40</v>
      </c>
      <c r="I96" t="s">
        <v>41</v>
      </c>
      <c r="J96" s="63">
        <v>1</v>
      </c>
      <c r="K96" s="25">
        <v>237474.60821924501</v>
      </c>
      <c r="L96" s="17">
        <v>3.1659607042255214E-3</v>
      </c>
      <c r="M96" s="63">
        <v>3</v>
      </c>
      <c r="N96" s="25">
        <v>535284.32310826296</v>
      </c>
      <c r="O96" s="17">
        <v>6.5449335102424205E-3</v>
      </c>
      <c r="P96" s="63">
        <v>2</v>
      </c>
      <c r="Q96" s="25">
        <v>265437.558397307</v>
      </c>
      <c r="R96" s="66">
        <v>3.684938562429298E-3</v>
      </c>
      <c r="S96" s="77">
        <f t="shared" si="1"/>
        <v>4.4652775922990797E-3</v>
      </c>
      <c r="V96" s="80"/>
    </row>
    <row r="97" spans="1:22" x14ac:dyDescent="0.25">
      <c r="A97" s="18" t="s">
        <v>97</v>
      </c>
      <c r="B97" s="18" t="s">
        <v>94</v>
      </c>
      <c r="C97" s="18" t="s">
        <v>96</v>
      </c>
      <c r="D97" t="s">
        <v>95</v>
      </c>
      <c r="E97" s="13" t="s">
        <v>62</v>
      </c>
      <c r="F97" s="2" t="s">
        <v>5</v>
      </c>
      <c r="I97" t="s">
        <v>12</v>
      </c>
      <c r="J97" s="63">
        <v>2</v>
      </c>
      <c r="K97" s="25">
        <v>507777.60245839198</v>
      </c>
      <c r="L97" s="17">
        <v>3.7164092743752612E-3</v>
      </c>
      <c r="M97" s="63">
        <v>3</v>
      </c>
      <c r="N97" s="25">
        <v>574678.14721856895</v>
      </c>
      <c r="O97" s="17">
        <v>3.857509921352979E-3</v>
      </c>
      <c r="P97" s="63">
        <v>2</v>
      </c>
      <c r="Q97" s="25">
        <v>541509.52354152</v>
      </c>
      <c r="R97" s="66">
        <v>4.1270110413139591E-3</v>
      </c>
      <c r="S97" s="77">
        <f t="shared" si="1"/>
        <v>3.9003100790140667E-3</v>
      </c>
      <c r="V97" s="80"/>
    </row>
    <row r="98" spans="1:22" x14ac:dyDescent="0.25">
      <c r="A98" s="18" t="s">
        <v>461</v>
      </c>
      <c r="B98" s="18" t="s">
        <v>458</v>
      </c>
      <c r="C98" s="18" t="s">
        <v>460</v>
      </c>
      <c r="D98" t="s">
        <v>459</v>
      </c>
      <c r="E98" s="13" t="s">
        <v>16</v>
      </c>
      <c r="F98" s="2" t="s">
        <v>5</v>
      </c>
      <c r="I98" t="s">
        <v>17</v>
      </c>
      <c r="J98" s="63">
        <v>0</v>
      </c>
      <c r="K98" s="25">
        <v>315009.16678095999</v>
      </c>
      <c r="L98" s="17">
        <v>3.4907450898347295E-3</v>
      </c>
      <c r="M98" s="63">
        <v>2</v>
      </c>
      <c r="N98" s="25">
        <v>444586.92837227101</v>
      </c>
      <c r="O98" s="17">
        <v>4.5183930568039286E-3</v>
      </c>
      <c r="P98" s="63">
        <v>0</v>
      </c>
      <c r="Q98" s="25">
        <v>208653.05669214801</v>
      </c>
      <c r="R98" s="66">
        <v>2.4076825905788861E-3</v>
      </c>
      <c r="S98" s="77">
        <f t="shared" si="1"/>
        <v>3.4722735790725149E-3</v>
      </c>
      <c r="V98" s="80"/>
    </row>
    <row r="99" spans="1:22" x14ac:dyDescent="0.25">
      <c r="A99" s="18" t="s">
        <v>412</v>
      </c>
      <c r="B99" s="18" t="s">
        <v>409</v>
      </c>
      <c r="C99" s="18" t="s">
        <v>411</v>
      </c>
      <c r="D99" t="s">
        <v>410</v>
      </c>
      <c r="E99" s="13" t="s">
        <v>413</v>
      </c>
      <c r="F99" s="2" t="s">
        <v>5</v>
      </c>
      <c r="I99" t="s">
        <v>17</v>
      </c>
      <c r="J99" s="63">
        <v>2</v>
      </c>
      <c r="K99" s="25">
        <v>292673.81086734799</v>
      </c>
      <c r="L99" s="17">
        <v>3.381616049264628E-3</v>
      </c>
      <c r="M99" s="63">
        <v>1</v>
      </c>
      <c r="N99" s="25">
        <v>309442.44969831902</v>
      </c>
      <c r="O99" s="17">
        <v>3.2790851794927086E-3</v>
      </c>
      <c r="P99" s="63">
        <v>0</v>
      </c>
      <c r="Q99" s="25">
        <v>269472.19294239802</v>
      </c>
      <c r="R99" s="66">
        <v>3.2421561481423347E-3</v>
      </c>
      <c r="S99" s="77">
        <f t="shared" si="1"/>
        <v>3.3009524589665573E-3</v>
      </c>
      <c r="V99" s="80"/>
    </row>
    <row r="100" spans="1:22" x14ac:dyDescent="0.25">
      <c r="A100" s="18" t="s">
        <v>285</v>
      </c>
      <c r="B100" s="18" t="s">
        <v>282</v>
      </c>
      <c r="C100" s="18" t="s">
        <v>284</v>
      </c>
      <c r="D100" t="s">
        <v>283</v>
      </c>
      <c r="E100" s="13" t="s">
        <v>286</v>
      </c>
      <c r="F100" s="2" t="s">
        <v>5</v>
      </c>
      <c r="I100" t="s">
        <v>23</v>
      </c>
      <c r="J100" s="63">
        <v>2</v>
      </c>
      <c r="K100" s="25">
        <v>312940.47190260101</v>
      </c>
      <c r="L100" s="17">
        <v>2.9605197070558219E-3</v>
      </c>
      <c r="M100" s="63">
        <v>3</v>
      </c>
      <c r="N100" s="25">
        <v>313977.65455694601</v>
      </c>
      <c r="O100" s="17">
        <v>2.7241896491089286E-3</v>
      </c>
      <c r="P100" s="63">
        <v>1</v>
      </c>
      <c r="Q100" s="25">
        <v>289989.38321546302</v>
      </c>
      <c r="R100" s="66">
        <v>2.8567212068614438E-3</v>
      </c>
      <c r="S100" s="77">
        <f t="shared" si="1"/>
        <v>2.8471435210087313E-3</v>
      </c>
      <c r="V100" s="80"/>
    </row>
    <row r="101" spans="1:22" x14ac:dyDescent="0.25">
      <c r="A101" s="18" t="s">
        <v>432</v>
      </c>
      <c r="B101" s="18" t="s">
        <v>429</v>
      </c>
      <c r="C101" s="18" t="s">
        <v>431</v>
      </c>
      <c r="D101" t="s">
        <v>430</v>
      </c>
      <c r="E101" s="13" t="s">
        <v>433</v>
      </c>
      <c r="F101" s="2" t="s">
        <v>5</v>
      </c>
      <c r="I101" t="s">
        <v>17</v>
      </c>
      <c r="J101" s="63">
        <v>1</v>
      </c>
      <c r="K101" s="25">
        <v>210203.08071983</v>
      </c>
      <c r="L101" s="17">
        <v>2.1329609422743915E-3</v>
      </c>
      <c r="M101" s="63">
        <v>1</v>
      </c>
      <c r="N101" s="25">
        <v>288077.35213096999</v>
      </c>
      <c r="O101" s="17">
        <v>2.6809290278056951E-3</v>
      </c>
      <c r="P101" s="63">
        <v>1</v>
      </c>
      <c r="Q101" s="25">
        <v>186689.73700174101</v>
      </c>
      <c r="R101" s="66">
        <v>1.9726217049408201E-3</v>
      </c>
      <c r="S101" s="77">
        <f t="shared" si="1"/>
        <v>2.2621705583403024E-3</v>
      </c>
      <c r="V101" s="80"/>
    </row>
    <row r="102" spans="1:22" x14ac:dyDescent="0.25">
      <c r="A102" s="71" t="s">
        <v>119</v>
      </c>
      <c r="B102" s="71" t="s">
        <v>116</v>
      </c>
      <c r="C102" s="71" t="s">
        <v>118</v>
      </c>
      <c r="D102" s="16" t="s">
        <v>117</v>
      </c>
      <c r="E102" s="45" t="s">
        <v>120</v>
      </c>
      <c r="F102" s="42" t="s">
        <v>5</v>
      </c>
      <c r="G102" s="16" t="s">
        <v>121</v>
      </c>
      <c r="H102" s="16"/>
      <c r="I102" s="16" t="s">
        <v>17</v>
      </c>
      <c r="J102" s="72">
        <v>0</v>
      </c>
      <c r="K102" s="73">
        <v>88868.813149436697</v>
      </c>
      <c r="L102" s="30">
        <v>1.6741456755959307E-3</v>
      </c>
      <c r="M102" s="72">
        <v>1</v>
      </c>
      <c r="N102" s="73">
        <v>108717.414088013</v>
      </c>
      <c r="O102" s="30">
        <v>1.8783449578795746E-3</v>
      </c>
      <c r="P102" s="72">
        <v>1</v>
      </c>
      <c r="Q102" s="73">
        <v>86232.7377150994</v>
      </c>
      <c r="R102" s="74">
        <v>1.6915918216792783E-3</v>
      </c>
      <c r="S102" s="78">
        <f t="shared" si="1"/>
        <v>1.7480274850515945E-3</v>
      </c>
      <c r="T102" s="58"/>
      <c r="U102" s="58"/>
      <c r="V102" s="81"/>
    </row>
    <row r="103" spans="1:22" x14ac:dyDescent="0.25">
      <c r="A103" s="18" t="s">
        <v>731</v>
      </c>
      <c r="B103" s="18" t="s">
        <v>728</v>
      </c>
      <c r="C103" s="18" t="s">
        <v>730</v>
      </c>
      <c r="D103" t="s">
        <v>729</v>
      </c>
      <c r="E103" s="13" t="s">
        <v>732</v>
      </c>
      <c r="F103" s="3" t="s">
        <v>495</v>
      </c>
      <c r="H103" t="s">
        <v>541</v>
      </c>
      <c r="I103" t="s">
        <v>547</v>
      </c>
      <c r="J103" s="63">
        <v>52</v>
      </c>
      <c r="K103" s="25">
        <v>191570679.063133</v>
      </c>
      <c r="L103" s="17">
        <v>2.1228728488429365</v>
      </c>
      <c r="M103" s="63">
        <v>42</v>
      </c>
      <c r="N103" s="25">
        <v>189261803.637283</v>
      </c>
      <c r="O103" s="17">
        <v>1.9234915938797696</v>
      </c>
      <c r="P103" s="63">
        <v>45</v>
      </c>
      <c r="Q103" s="25">
        <v>171747966.80198801</v>
      </c>
      <c r="R103" s="66">
        <v>1.9818285731925676</v>
      </c>
      <c r="S103" s="77">
        <f t="shared" si="1"/>
        <v>2.0093976719717577</v>
      </c>
      <c r="T103" s="20">
        <f>SUM('R. pomeroyi'!L103:L408)</f>
        <v>28.172944277221635</v>
      </c>
      <c r="U103" s="20">
        <f>SUM('R. pomeroyi'!O103:O408)</f>
        <v>26.863768585182552</v>
      </c>
      <c r="V103" s="80">
        <f>SUM('R. pomeroyi'!R103:R408)</f>
        <v>28.163991354711801</v>
      </c>
    </row>
    <row r="104" spans="1:22" x14ac:dyDescent="0.25">
      <c r="A104" s="18" t="s">
        <v>760</v>
      </c>
      <c r="B104" s="18" t="s">
        <v>757</v>
      </c>
      <c r="C104" s="18" t="s">
        <v>759</v>
      </c>
      <c r="D104" t="s">
        <v>758</v>
      </c>
      <c r="E104" s="13" t="s">
        <v>761</v>
      </c>
      <c r="F104" s="3" t="s">
        <v>495</v>
      </c>
      <c r="H104" t="s">
        <v>552</v>
      </c>
      <c r="I104" t="s">
        <v>553</v>
      </c>
      <c r="J104" s="63">
        <v>25</v>
      </c>
      <c r="K104" s="25">
        <v>78830281.798011407</v>
      </c>
      <c r="L104" s="17">
        <v>1.0673695325889041</v>
      </c>
      <c r="M104" s="63">
        <v>29</v>
      </c>
      <c r="N104" s="25">
        <v>76005355.039965793</v>
      </c>
      <c r="O104" s="17">
        <v>0.94383980535727285</v>
      </c>
      <c r="P104" s="63">
        <v>26</v>
      </c>
      <c r="Q104" s="25">
        <v>69272632.235801399</v>
      </c>
      <c r="R104" s="66">
        <v>0.97670396454404951</v>
      </c>
      <c r="S104" s="77">
        <f t="shared" si="1"/>
        <v>0.99597110083007545</v>
      </c>
      <c r="T104" s="20" t="s">
        <v>8174</v>
      </c>
      <c r="U104" s="69">
        <f>AVERAGE(T103:V103)</f>
        <v>27.733568072371995</v>
      </c>
      <c r="V104" s="80"/>
    </row>
    <row r="105" spans="1:22" x14ac:dyDescent="0.25">
      <c r="A105" s="18" t="s">
        <v>750</v>
      </c>
      <c r="B105" s="18" t="s">
        <v>747</v>
      </c>
      <c r="C105" s="18" t="s">
        <v>749</v>
      </c>
      <c r="D105" t="s">
        <v>748</v>
      </c>
      <c r="E105" s="13" t="s">
        <v>751</v>
      </c>
      <c r="F105" s="3" t="s">
        <v>495</v>
      </c>
      <c r="H105" t="s">
        <v>552</v>
      </c>
      <c r="I105" t="s">
        <v>553</v>
      </c>
      <c r="J105" s="63">
        <v>22</v>
      </c>
      <c r="K105" s="25">
        <v>56621740.225317501</v>
      </c>
      <c r="L105" s="17">
        <v>0.8344639585826239</v>
      </c>
      <c r="M105" s="63">
        <v>19</v>
      </c>
      <c r="N105" s="25">
        <v>64232693.8334013</v>
      </c>
      <c r="O105" s="17">
        <v>0.8681862057812002</v>
      </c>
      <c r="P105" s="63">
        <v>19</v>
      </c>
      <c r="Q105" s="25">
        <v>57402563.521718398</v>
      </c>
      <c r="R105" s="66">
        <v>0.88091741550197811</v>
      </c>
      <c r="S105" s="77">
        <f t="shared" si="1"/>
        <v>0.86118919328860066</v>
      </c>
      <c r="T105" s="20" t="s">
        <v>8085</v>
      </c>
      <c r="U105" s="70">
        <f>STDEV(T103:V103)</f>
        <v>0.75328175315855872</v>
      </c>
      <c r="V105" s="80"/>
    </row>
    <row r="106" spans="1:22" x14ac:dyDescent="0.25">
      <c r="A106" s="18" t="s">
        <v>1110</v>
      </c>
      <c r="B106" s="18" t="s">
        <v>1107</v>
      </c>
      <c r="C106" s="18" t="s">
        <v>1109</v>
      </c>
      <c r="D106" t="s">
        <v>1108</v>
      </c>
      <c r="E106" s="13" t="s">
        <v>1111</v>
      </c>
      <c r="F106" s="3" t="s">
        <v>495</v>
      </c>
      <c r="H106" t="s">
        <v>577</v>
      </c>
      <c r="I106" t="s">
        <v>553</v>
      </c>
      <c r="J106" s="63">
        <v>64</v>
      </c>
      <c r="K106" s="25">
        <v>158218002.52902901</v>
      </c>
      <c r="L106" s="17">
        <v>0.86996419958846305</v>
      </c>
      <c r="M106" s="63">
        <v>62</v>
      </c>
      <c r="N106" s="25">
        <v>156215164.57073399</v>
      </c>
      <c r="O106" s="17">
        <v>0.78777292187777215</v>
      </c>
      <c r="P106" s="63">
        <v>65</v>
      </c>
      <c r="Q106" s="25">
        <v>157489055.46576601</v>
      </c>
      <c r="R106" s="66">
        <v>0.90172767610314875</v>
      </c>
      <c r="S106" s="77">
        <f t="shared" si="1"/>
        <v>0.85315493252312802</v>
      </c>
      <c r="V106" s="80"/>
    </row>
    <row r="107" spans="1:22" x14ac:dyDescent="0.25">
      <c r="A107" s="18" t="s">
        <v>1415</v>
      </c>
      <c r="B107" s="18" t="s">
        <v>1412</v>
      </c>
      <c r="C107" s="18" t="s">
        <v>1414</v>
      </c>
      <c r="D107" t="s">
        <v>1413</v>
      </c>
      <c r="E107" s="13" t="s">
        <v>1416</v>
      </c>
      <c r="F107" s="3" t="s">
        <v>495</v>
      </c>
      <c r="H107" t="s">
        <v>552</v>
      </c>
      <c r="I107" t="s">
        <v>553</v>
      </c>
      <c r="J107" s="63">
        <v>30</v>
      </c>
      <c r="K107" s="25">
        <v>80272437.437644601</v>
      </c>
      <c r="L107" s="17">
        <v>0.80697648814450018</v>
      </c>
      <c r="M107" s="63">
        <v>37</v>
      </c>
      <c r="N107" s="25">
        <v>75336746.133384705</v>
      </c>
      <c r="O107" s="17">
        <v>0.69459821681673228</v>
      </c>
      <c r="P107" s="63">
        <v>30</v>
      </c>
      <c r="Q107" s="25">
        <v>73418982.281299204</v>
      </c>
      <c r="R107" s="66">
        <v>0.76856805344759693</v>
      </c>
      <c r="S107" s="77">
        <f t="shared" si="1"/>
        <v>0.75671425280294313</v>
      </c>
      <c r="V107" s="80"/>
    </row>
    <row r="108" spans="1:22" x14ac:dyDescent="0.25">
      <c r="A108" s="18" t="s">
        <v>755</v>
      </c>
      <c r="B108" s="18" t="s">
        <v>752</v>
      </c>
      <c r="C108" s="18" t="s">
        <v>754</v>
      </c>
      <c r="D108" t="s">
        <v>753</v>
      </c>
      <c r="E108" s="13" t="s">
        <v>756</v>
      </c>
      <c r="F108" s="3" t="s">
        <v>495</v>
      </c>
      <c r="H108" t="s">
        <v>552</v>
      </c>
      <c r="I108" t="s">
        <v>553</v>
      </c>
      <c r="J108" s="63">
        <v>32</v>
      </c>
      <c r="K108" s="25">
        <v>67361881.150975004</v>
      </c>
      <c r="L108" s="17">
        <v>0.73518290718965418</v>
      </c>
      <c r="M108" s="63">
        <v>30</v>
      </c>
      <c r="N108" s="25">
        <v>73974757.665644601</v>
      </c>
      <c r="O108" s="17">
        <v>0.74045235699151601</v>
      </c>
      <c r="P108" s="63">
        <v>35</v>
      </c>
      <c r="Q108" s="25">
        <v>67954321.280240104</v>
      </c>
      <c r="R108" s="66">
        <v>0.77228537564159228</v>
      </c>
      <c r="S108" s="77">
        <f t="shared" si="1"/>
        <v>0.74930687994092082</v>
      </c>
      <c r="V108" s="80"/>
    </row>
    <row r="109" spans="1:22" x14ac:dyDescent="0.25">
      <c r="A109" s="18" t="s">
        <v>725</v>
      </c>
      <c r="B109" s="18" t="s">
        <v>722</v>
      </c>
      <c r="C109" s="18" t="s">
        <v>724</v>
      </c>
      <c r="D109" t="s">
        <v>723</v>
      </c>
      <c r="E109" s="13" t="s">
        <v>726</v>
      </c>
      <c r="F109" s="3" t="s">
        <v>495</v>
      </c>
      <c r="G109" t="s">
        <v>727</v>
      </c>
      <c r="H109" t="s">
        <v>541</v>
      </c>
      <c r="I109" t="s">
        <v>653</v>
      </c>
      <c r="J109" s="63">
        <v>17</v>
      </c>
      <c r="K109" s="25">
        <v>39933087.137053698</v>
      </c>
      <c r="L109" s="17">
        <v>0.72093041033011085</v>
      </c>
      <c r="M109" s="63">
        <v>14</v>
      </c>
      <c r="N109" s="25">
        <v>43055706.390414603</v>
      </c>
      <c r="O109" s="17">
        <v>0.71289169063908497</v>
      </c>
      <c r="P109" s="63">
        <v>16</v>
      </c>
      <c r="Q109" s="25">
        <v>39561629.9678948</v>
      </c>
      <c r="R109" s="66">
        <v>0.74372807050146295</v>
      </c>
      <c r="S109" s="77">
        <f t="shared" si="1"/>
        <v>0.72585005715688622</v>
      </c>
      <c r="V109" s="80"/>
    </row>
    <row r="110" spans="1:22" x14ac:dyDescent="0.25">
      <c r="A110" s="18" t="s">
        <v>1999</v>
      </c>
      <c r="B110" s="18" t="s">
        <v>1996</v>
      </c>
      <c r="C110" s="18" t="s">
        <v>1998</v>
      </c>
      <c r="D110" t="s">
        <v>1997</v>
      </c>
      <c r="E110" s="13" t="s">
        <v>2000</v>
      </c>
      <c r="F110" s="3" t="s">
        <v>495</v>
      </c>
      <c r="H110" t="s">
        <v>552</v>
      </c>
      <c r="I110" t="s">
        <v>553</v>
      </c>
      <c r="J110" s="63">
        <v>24</v>
      </c>
      <c r="K110" s="25">
        <v>57403324.239046797</v>
      </c>
      <c r="L110" s="17">
        <v>0.74244440264924794</v>
      </c>
      <c r="M110" s="63">
        <v>25</v>
      </c>
      <c r="N110" s="25">
        <v>59771485.167606004</v>
      </c>
      <c r="O110" s="17">
        <v>0.7090115590506294</v>
      </c>
      <c r="P110" s="63">
        <v>24</v>
      </c>
      <c r="Q110" s="25">
        <v>52391821.229816198</v>
      </c>
      <c r="R110" s="66">
        <v>0.70561844859343437</v>
      </c>
      <c r="S110" s="77">
        <f t="shared" si="1"/>
        <v>0.71902480343110386</v>
      </c>
      <c r="V110" s="80"/>
    </row>
    <row r="111" spans="1:22" x14ac:dyDescent="0.25">
      <c r="A111" s="18" t="s">
        <v>657</v>
      </c>
      <c r="B111" s="18" t="s">
        <v>654</v>
      </c>
      <c r="C111" s="18" t="s">
        <v>656</v>
      </c>
      <c r="D111" t="s">
        <v>655</v>
      </c>
      <c r="E111" s="13" t="s">
        <v>658</v>
      </c>
      <c r="F111" s="3" t="s">
        <v>495</v>
      </c>
      <c r="H111" t="s">
        <v>541</v>
      </c>
      <c r="I111" t="s">
        <v>547</v>
      </c>
      <c r="J111" s="63">
        <v>32</v>
      </c>
      <c r="K111" s="25">
        <v>66695063.856820598</v>
      </c>
      <c r="L111" s="17">
        <v>0.73907521185342917</v>
      </c>
      <c r="M111" s="63">
        <v>30</v>
      </c>
      <c r="N111" s="25">
        <v>66646821.590854503</v>
      </c>
      <c r="O111" s="17">
        <v>0.67734005818995424</v>
      </c>
      <c r="P111" s="63">
        <v>29</v>
      </c>
      <c r="Q111" s="25">
        <v>55912281.753716603</v>
      </c>
      <c r="R111" s="66">
        <v>0.64518118982836248</v>
      </c>
      <c r="S111" s="77">
        <f t="shared" si="1"/>
        <v>0.68719881995724863</v>
      </c>
      <c r="V111" s="80"/>
    </row>
    <row r="112" spans="1:22" x14ac:dyDescent="0.25">
      <c r="A112" s="18" t="s">
        <v>1921</v>
      </c>
      <c r="B112" s="18" t="s">
        <v>1918</v>
      </c>
      <c r="C112" s="18" t="s">
        <v>1920</v>
      </c>
      <c r="D112" t="s">
        <v>1919</v>
      </c>
      <c r="E112" s="13" t="s">
        <v>1922</v>
      </c>
      <c r="F112" s="3" t="s">
        <v>495</v>
      </c>
      <c r="H112" t="s">
        <v>552</v>
      </c>
      <c r="I112" t="s">
        <v>12</v>
      </c>
      <c r="J112" s="63">
        <v>14</v>
      </c>
      <c r="K112" s="25">
        <v>48210476.549085699</v>
      </c>
      <c r="L112" s="17">
        <v>0.65277444969610665</v>
      </c>
      <c r="M112" s="63">
        <v>17</v>
      </c>
      <c r="N112" s="25">
        <v>51391956.307135999</v>
      </c>
      <c r="O112" s="17">
        <v>0.63818890145768037</v>
      </c>
      <c r="P112" s="63">
        <v>14</v>
      </c>
      <c r="Q112" s="25">
        <v>49553857.636960298</v>
      </c>
      <c r="R112" s="66">
        <v>0.69868067157778369</v>
      </c>
      <c r="S112" s="77">
        <f t="shared" si="1"/>
        <v>0.66321467424385683</v>
      </c>
      <c r="V112" s="80"/>
    </row>
    <row r="113" spans="1:22" x14ac:dyDescent="0.25">
      <c r="A113" s="18" t="s">
        <v>1115</v>
      </c>
      <c r="B113" s="18" t="s">
        <v>1112</v>
      </c>
      <c r="C113" s="18" t="s">
        <v>1114</v>
      </c>
      <c r="D113" t="s">
        <v>1113</v>
      </c>
      <c r="E113" s="13" t="s">
        <v>1116</v>
      </c>
      <c r="F113" s="3" t="s">
        <v>495</v>
      </c>
      <c r="H113" t="s">
        <v>577</v>
      </c>
      <c r="I113" t="s">
        <v>553</v>
      </c>
      <c r="J113" s="63">
        <v>22</v>
      </c>
      <c r="K113" s="25">
        <v>37044925.910241902</v>
      </c>
      <c r="L113" s="17">
        <v>0.61734378994370254</v>
      </c>
      <c r="M113" s="63">
        <v>20</v>
      </c>
      <c r="N113" s="25">
        <v>44433198.817598097</v>
      </c>
      <c r="O113" s="17">
        <v>0.67910715706161218</v>
      </c>
      <c r="P113" s="63">
        <v>20</v>
      </c>
      <c r="Q113" s="25">
        <v>34535112.921494603</v>
      </c>
      <c r="R113" s="66">
        <v>0.59929240105776371</v>
      </c>
      <c r="S113" s="77">
        <f t="shared" si="1"/>
        <v>0.63191444935435948</v>
      </c>
      <c r="V113" s="80"/>
    </row>
    <row r="114" spans="1:22" x14ac:dyDescent="0.25">
      <c r="A114" s="18" t="s">
        <v>1444</v>
      </c>
      <c r="B114" s="18" t="s">
        <v>1441</v>
      </c>
      <c r="C114" s="18" t="s">
        <v>1443</v>
      </c>
      <c r="D114" t="s">
        <v>1442</v>
      </c>
      <c r="E114" s="13" t="s">
        <v>1445</v>
      </c>
      <c r="F114" s="3" t="s">
        <v>495</v>
      </c>
      <c r="H114" t="s">
        <v>496</v>
      </c>
      <c r="I114" t="s">
        <v>172</v>
      </c>
      <c r="J114" s="63">
        <v>10</v>
      </c>
      <c r="K114" s="25">
        <v>18358448.167157199</v>
      </c>
      <c r="L114" s="17">
        <v>0.4651698503777133</v>
      </c>
      <c r="M114" s="63">
        <v>12</v>
      </c>
      <c r="N114" s="25">
        <v>26880451.146519501</v>
      </c>
      <c r="O114" s="17">
        <v>0.62466118185121566</v>
      </c>
      <c r="P114" s="63">
        <v>8</v>
      </c>
      <c r="Q114" s="25">
        <v>18104213.148113899</v>
      </c>
      <c r="R114" s="66">
        <v>0.47767749670296344</v>
      </c>
      <c r="S114" s="77">
        <f t="shared" si="1"/>
        <v>0.52250284297729754</v>
      </c>
      <c r="V114" s="80"/>
    </row>
    <row r="115" spans="1:22" x14ac:dyDescent="0.25">
      <c r="A115" s="18" t="s">
        <v>1365</v>
      </c>
      <c r="B115" s="18" t="s">
        <v>1362</v>
      </c>
      <c r="C115" s="18" t="s">
        <v>1364</v>
      </c>
      <c r="D115" t="s">
        <v>1363</v>
      </c>
      <c r="E115" s="13" t="s">
        <v>1366</v>
      </c>
      <c r="F115" s="3" t="s">
        <v>495</v>
      </c>
      <c r="G115" t="s">
        <v>1367</v>
      </c>
      <c r="H115" t="s">
        <v>507</v>
      </c>
      <c r="I115" t="s">
        <v>17</v>
      </c>
      <c r="J115" s="63">
        <v>30</v>
      </c>
      <c r="K115" s="25">
        <v>42025161.961643197</v>
      </c>
      <c r="L115" s="17">
        <v>0.51437261050138594</v>
      </c>
      <c r="M115" s="63">
        <v>21</v>
      </c>
      <c r="N115" s="25">
        <v>37889476.267652199</v>
      </c>
      <c r="O115" s="17">
        <v>0.42532353593113248</v>
      </c>
      <c r="P115" s="63">
        <v>25</v>
      </c>
      <c r="Q115" s="25">
        <v>36762528.704078101</v>
      </c>
      <c r="R115" s="66">
        <v>0.46854720668720617</v>
      </c>
      <c r="S115" s="77">
        <f t="shared" si="1"/>
        <v>0.46941445103990825</v>
      </c>
      <c r="V115" s="80"/>
    </row>
    <row r="116" spans="1:22" x14ac:dyDescent="0.25">
      <c r="A116" s="18" t="s">
        <v>1737</v>
      </c>
      <c r="B116" s="18" t="s">
        <v>1734</v>
      </c>
      <c r="C116" s="18" t="s">
        <v>1736</v>
      </c>
      <c r="D116" t="s">
        <v>1735</v>
      </c>
      <c r="E116" s="13" t="s">
        <v>1738</v>
      </c>
      <c r="F116" s="3" t="s">
        <v>495</v>
      </c>
      <c r="H116" t="s">
        <v>541</v>
      </c>
      <c r="I116" t="s">
        <v>547</v>
      </c>
      <c r="J116" s="63">
        <v>7</v>
      </c>
      <c r="K116" s="25">
        <v>20178812.5131809</v>
      </c>
      <c r="L116" s="17">
        <v>0.37363835299255188</v>
      </c>
      <c r="M116" s="63">
        <v>8</v>
      </c>
      <c r="N116" s="25">
        <v>25652919.005598102</v>
      </c>
      <c r="O116" s="17">
        <v>0.43563725021960614</v>
      </c>
      <c r="P116" s="63">
        <v>8</v>
      </c>
      <c r="Q116" s="25">
        <v>27762676.184021801</v>
      </c>
      <c r="R116" s="66">
        <v>0.53529934102247689</v>
      </c>
      <c r="S116" s="77">
        <f t="shared" si="1"/>
        <v>0.4481916480782116</v>
      </c>
      <c r="V116" s="80"/>
    </row>
    <row r="117" spans="1:22" x14ac:dyDescent="0.25">
      <c r="A117" s="18" t="s">
        <v>1084</v>
      </c>
      <c r="B117" s="18" t="s">
        <v>1081</v>
      </c>
      <c r="C117" s="18" t="s">
        <v>1083</v>
      </c>
      <c r="D117" t="s">
        <v>1082</v>
      </c>
      <c r="E117" s="13" t="s">
        <v>1085</v>
      </c>
      <c r="F117" s="3" t="s">
        <v>495</v>
      </c>
      <c r="G117" t="s">
        <v>1086</v>
      </c>
      <c r="H117" t="s">
        <v>507</v>
      </c>
      <c r="I117" t="s">
        <v>17</v>
      </c>
      <c r="J117" s="63">
        <v>18</v>
      </c>
      <c r="K117" s="25">
        <v>41192986.308366202</v>
      </c>
      <c r="L117" s="17">
        <v>0.41507494896204927</v>
      </c>
      <c r="M117" s="63">
        <v>21</v>
      </c>
      <c r="N117" s="25">
        <v>42167227.798942</v>
      </c>
      <c r="O117" s="17">
        <v>0.3896822911995817</v>
      </c>
      <c r="P117" s="63">
        <v>19</v>
      </c>
      <c r="Q117" s="25">
        <v>37803045.905743703</v>
      </c>
      <c r="R117" s="66">
        <v>0.39665193441041724</v>
      </c>
      <c r="S117" s="77">
        <f t="shared" si="1"/>
        <v>0.40046972485734944</v>
      </c>
      <c r="V117" s="80"/>
    </row>
    <row r="118" spans="1:22" x14ac:dyDescent="0.25">
      <c r="A118" s="18" t="s">
        <v>1634</v>
      </c>
      <c r="B118" s="18" t="s">
        <v>8128</v>
      </c>
      <c r="C118" s="18" t="s">
        <v>1633</v>
      </c>
      <c r="D118" t="s">
        <v>1632</v>
      </c>
      <c r="E118" s="13" t="s">
        <v>1635</v>
      </c>
      <c r="F118" s="3" t="s">
        <v>495</v>
      </c>
      <c r="H118" t="s">
        <v>699</v>
      </c>
      <c r="I118" t="s">
        <v>57</v>
      </c>
      <c r="J118" s="63">
        <v>29</v>
      </c>
      <c r="K118" s="25">
        <v>30928290.4673273</v>
      </c>
      <c r="L118" s="17">
        <v>0.36316271190571375</v>
      </c>
      <c r="M118" s="63">
        <v>26</v>
      </c>
      <c r="N118" s="25">
        <v>35075581.975008696</v>
      </c>
      <c r="O118" s="17">
        <v>0.37773097091808966</v>
      </c>
      <c r="P118" s="63">
        <v>28</v>
      </c>
      <c r="Q118" s="25">
        <v>30823476.741059501</v>
      </c>
      <c r="R118" s="66">
        <v>0.37688295454198001</v>
      </c>
      <c r="S118" s="77">
        <f t="shared" si="1"/>
        <v>0.37259221245526114</v>
      </c>
      <c r="V118" s="80"/>
    </row>
    <row r="119" spans="1:22" x14ac:dyDescent="0.25">
      <c r="A119" s="18" t="s">
        <v>1469</v>
      </c>
      <c r="B119" s="18" t="s">
        <v>1466</v>
      </c>
      <c r="C119" s="18" t="s">
        <v>1468</v>
      </c>
      <c r="D119" t="s">
        <v>1467</v>
      </c>
      <c r="E119" s="13" t="s">
        <v>1274</v>
      </c>
      <c r="F119" s="3" t="s">
        <v>495</v>
      </c>
      <c r="H119" t="s">
        <v>507</v>
      </c>
      <c r="I119" t="s">
        <v>17</v>
      </c>
      <c r="J119" s="63">
        <v>20</v>
      </c>
      <c r="K119" s="25">
        <v>29881842.137619801</v>
      </c>
      <c r="L119" s="17">
        <v>0.36574281762308342</v>
      </c>
      <c r="M119" s="63">
        <v>17</v>
      </c>
      <c r="N119" s="25">
        <v>29285091.242651202</v>
      </c>
      <c r="O119" s="17">
        <v>0.3287360973111193</v>
      </c>
      <c r="P119" s="63">
        <v>17</v>
      </c>
      <c r="Q119" s="25">
        <v>28396710.805079699</v>
      </c>
      <c r="R119" s="66">
        <v>0.36192285992961332</v>
      </c>
      <c r="S119" s="77">
        <f t="shared" si="1"/>
        <v>0.35213392495460538</v>
      </c>
      <c r="V119" s="80"/>
    </row>
    <row r="120" spans="1:22" x14ac:dyDescent="0.25">
      <c r="A120" s="18" t="s">
        <v>1900</v>
      </c>
      <c r="B120" s="18" t="s">
        <v>1897</v>
      </c>
      <c r="C120" s="18" t="s">
        <v>1899</v>
      </c>
      <c r="D120" t="s">
        <v>1898</v>
      </c>
      <c r="E120" s="13" t="s">
        <v>1901</v>
      </c>
      <c r="F120" s="3" t="s">
        <v>495</v>
      </c>
      <c r="H120" t="s">
        <v>496</v>
      </c>
      <c r="I120" t="s">
        <v>172</v>
      </c>
      <c r="J120" s="63">
        <v>12</v>
      </c>
      <c r="K120" s="25">
        <v>17531057.409810401</v>
      </c>
      <c r="L120" s="17">
        <v>0.34370633707635223</v>
      </c>
      <c r="M120" s="63">
        <v>11</v>
      </c>
      <c r="N120" s="25">
        <v>21139504.979109701</v>
      </c>
      <c r="O120" s="17">
        <v>0.38010765426797888</v>
      </c>
      <c r="P120" s="63">
        <v>10</v>
      </c>
      <c r="Q120" s="25">
        <v>16228554.2663635</v>
      </c>
      <c r="R120" s="66">
        <v>0.33131324407315643</v>
      </c>
      <c r="S120" s="77">
        <f t="shared" si="1"/>
        <v>0.35170907847249583</v>
      </c>
      <c r="V120" s="80"/>
    </row>
    <row r="121" spans="1:22" x14ac:dyDescent="0.25">
      <c r="A121" s="18" t="s">
        <v>1063</v>
      </c>
      <c r="B121" s="18" t="s">
        <v>1060</v>
      </c>
      <c r="C121" s="18" t="s">
        <v>1062</v>
      </c>
      <c r="D121" t="s">
        <v>1061</v>
      </c>
      <c r="E121" s="13" t="s">
        <v>1064</v>
      </c>
      <c r="F121" s="3" t="s">
        <v>495</v>
      </c>
      <c r="G121" t="s">
        <v>692</v>
      </c>
      <c r="H121" t="s">
        <v>507</v>
      </c>
      <c r="I121" t="s">
        <v>693</v>
      </c>
      <c r="J121" s="63">
        <v>22</v>
      </c>
      <c r="K121" s="25">
        <v>26653624.975250199</v>
      </c>
      <c r="L121" s="17">
        <v>0.33966364591335368</v>
      </c>
      <c r="M121" s="63">
        <v>19</v>
      </c>
      <c r="N121" s="25">
        <v>28738202.199979201</v>
      </c>
      <c r="O121" s="17">
        <v>0.33588047184596326</v>
      </c>
      <c r="P121" s="63">
        <v>19</v>
      </c>
      <c r="Q121" s="25">
        <v>25282117.568357799</v>
      </c>
      <c r="R121" s="66">
        <v>0.3354947805721919</v>
      </c>
      <c r="S121" s="77">
        <f t="shared" si="1"/>
        <v>0.33701296611050297</v>
      </c>
      <c r="V121" s="80"/>
    </row>
    <row r="122" spans="1:22" x14ac:dyDescent="0.25">
      <c r="A122" s="18" t="s">
        <v>1120</v>
      </c>
      <c r="B122" s="18" t="s">
        <v>1117</v>
      </c>
      <c r="C122" s="18" t="s">
        <v>1119</v>
      </c>
      <c r="D122" t="s">
        <v>1118</v>
      </c>
      <c r="E122" s="13" t="s">
        <v>1121</v>
      </c>
      <c r="F122" s="3" t="s">
        <v>495</v>
      </c>
      <c r="H122" t="s">
        <v>577</v>
      </c>
      <c r="I122" t="s">
        <v>716</v>
      </c>
      <c r="J122" s="63">
        <v>30</v>
      </c>
      <c r="K122" s="25">
        <v>43104851.684363998</v>
      </c>
      <c r="L122" s="17">
        <v>0.33470612310773235</v>
      </c>
      <c r="M122" s="63">
        <v>32</v>
      </c>
      <c r="N122" s="25">
        <v>43706263.169490598</v>
      </c>
      <c r="O122" s="17">
        <v>0.31125300500751013</v>
      </c>
      <c r="P122" s="63">
        <v>27</v>
      </c>
      <c r="Q122" s="25">
        <v>41216499.058458298</v>
      </c>
      <c r="R122" s="66">
        <v>0.33326379807963047</v>
      </c>
      <c r="S122" s="77">
        <f t="shared" si="1"/>
        <v>0.32640764206495765</v>
      </c>
      <c r="V122" s="80"/>
    </row>
    <row r="123" spans="1:22" x14ac:dyDescent="0.25">
      <c r="A123" s="18" t="s">
        <v>548</v>
      </c>
      <c r="B123" s="18" t="s">
        <v>8107</v>
      </c>
      <c r="C123" s="18" t="s">
        <v>550</v>
      </c>
      <c r="D123" t="s">
        <v>549</v>
      </c>
      <c r="E123" s="13" t="s">
        <v>551</v>
      </c>
      <c r="F123" s="3" t="s">
        <v>495</v>
      </c>
      <c r="H123" t="s">
        <v>552</v>
      </c>
      <c r="I123" t="s">
        <v>553</v>
      </c>
      <c r="J123" s="63">
        <v>52</v>
      </c>
      <c r="K123" s="25">
        <v>55139604.0698146</v>
      </c>
      <c r="L123" s="17">
        <v>0.32416629452146789</v>
      </c>
      <c r="M123" s="63">
        <v>40</v>
      </c>
      <c r="N123" s="25">
        <v>49977017.216146298</v>
      </c>
      <c r="O123" s="17">
        <v>0.2694678269910985</v>
      </c>
      <c r="P123" s="63">
        <v>49</v>
      </c>
      <c r="Q123" s="25">
        <v>56459281.495995402</v>
      </c>
      <c r="R123" s="66">
        <v>0.34563610123204835</v>
      </c>
      <c r="S123" s="77">
        <f t="shared" si="1"/>
        <v>0.31309007424820495</v>
      </c>
      <c r="V123" s="80"/>
    </row>
    <row r="124" spans="1:22" x14ac:dyDescent="0.25">
      <c r="A124" s="18" t="s">
        <v>2028</v>
      </c>
      <c r="B124" s="18" t="s">
        <v>2025</v>
      </c>
      <c r="C124" s="18" t="s">
        <v>2027</v>
      </c>
      <c r="D124" t="s">
        <v>2026</v>
      </c>
      <c r="E124" s="13" t="s">
        <v>2029</v>
      </c>
      <c r="F124" s="3" t="s">
        <v>495</v>
      </c>
      <c r="H124" t="s">
        <v>577</v>
      </c>
      <c r="I124" t="s">
        <v>553</v>
      </c>
      <c r="J124" s="63">
        <v>22</v>
      </c>
      <c r="K124" s="25">
        <v>24675987.520500898</v>
      </c>
      <c r="L124" s="17">
        <v>0.28896451810892076</v>
      </c>
      <c r="M124" s="63">
        <v>17</v>
      </c>
      <c r="N124" s="25">
        <v>26473415.3979646</v>
      </c>
      <c r="O124" s="17">
        <v>0.28432321790974824</v>
      </c>
      <c r="P124" s="63">
        <v>15</v>
      </c>
      <c r="Q124" s="25">
        <v>25281293.887120299</v>
      </c>
      <c r="R124" s="66">
        <v>0.30828245702045776</v>
      </c>
      <c r="S124" s="77">
        <f t="shared" si="1"/>
        <v>0.29385673101304227</v>
      </c>
      <c r="V124" s="80"/>
    </row>
    <row r="125" spans="1:22" x14ac:dyDescent="0.25">
      <c r="A125" s="18" t="s">
        <v>1512</v>
      </c>
      <c r="B125" s="18" t="s">
        <v>1509</v>
      </c>
      <c r="C125" s="18" t="s">
        <v>1511</v>
      </c>
      <c r="D125" t="s">
        <v>1510</v>
      </c>
      <c r="E125" s="13" t="s">
        <v>1513</v>
      </c>
      <c r="F125" s="3" t="s">
        <v>495</v>
      </c>
      <c r="G125" t="s">
        <v>1514</v>
      </c>
      <c r="H125" t="s">
        <v>558</v>
      </c>
      <c r="I125" t="s">
        <v>12</v>
      </c>
      <c r="J125" s="63">
        <v>12</v>
      </c>
      <c r="K125" s="25">
        <v>29507537.3385818</v>
      </c>
      <c r="L125" s="17">
        <v>0.30082625454973122</v>
      </c>
      <c r="M125" s="63">
        <v>12</v>
      </c>
      <c r="N125" s="25">
        <v>29410109.717165899</v>
      </c>
      <c r="O125" s="17">
        <v>0.27498676389298571</v>
      </c>
      <c r="P125" s="63">
        <v>11</v>
      </c>
      <c r="Q125" s="25">
        <v>27263453.424121</v>
      </c>
      <c r="R125" s="66">
        <v>0.28942975364099677</v>
      </c>
      <c r="S125" s="77">
        <f t="shared" si="1"/>
        <v>0.28841425736123788</v>
      </c>
      <c r="V125" s="80"/>
    </row>
    <row r="126" spans="1:22" x14ac:dyDescent="0.25">
      <c r="A126" s="18" t="s">
        <v>2004</v>
      </c>
      <c r="B126" s="18" t="s">
        <v>2001</v>
      </c>
      <c r="C126" s="18" t="s">
        <v>2003</v>
      </c>
      <c r="D126" t="s">
        <v>2002</v>
      </c>
      <c r="E126" s="13" t="s">
        <v>2005</v>
      </c>
      <c r="F126" s="3" t="s">
        <v>495</v>
      </c>
      <c r="H126" t="s">
        <v>552</v>
      </c>
      <c r="I126" t="s">
        <v>553</v>
      </c>
      <c r="J126" s="63">
        <v>13</v>
      </c>
      <c r="K126" s="25">
        <v>19689471.9074734</v>
      </c>
      <c r="L126" s="17">
        <v>0.26169062788939274</v>
      </c>
      <c r="M126" s="63">
        <v>17</v>
      </c>
      <c r="N126" s="25">
        <v>22432115.576108102</v>
      </c>
      <c r="O126" s="17">
        <v>0.27343664036184601</v>
      </c>
      <c r="P126" s="63">
        <v>14</v>
      </c>
      <c r="Q126" s="25">
        <v>21787940.931120399</v>
      </c>
      <c r="R126" s="66">
        <v>0.3015434002214944</v>
      </c>
      <c r="S126" s="77">
        <f t="shared" si="1"/>
        <v>0.27889022282424436</v>
      </c>
      <c r="V126" s="80"/>
    </row>
    <row r="127" spans="1:22" x14ac:dyDescent="0.25">
      <c r="A127" s="18" t="s">
        <v>1911</v>
      </c>
      <c r="B127" s="18" t="s">
        <v>1908</v>
      </c>
      <c r="C127" s="18" t="s">
        <v>1910</v>
      </c>
      <c r="D127" t="s">
        <v>1909</v>
      </c>
      <c r="E127" s="13" t="s">
        <v>1912</v>
      </c>
      <c r="F127" s="3" t="s">
        <v>495</v>
      </c>
      <c r="H127" t="s">
        <v>552</v>
      </c>
      <c r="I127" t="s">
        <v>12</v>
      </c>
      <c r="J127" s="63">
        <v>28</v>
      </c>
      <c r="K127" s="25">
        <v>30094850.838956799</v>
      </c>
      <c r="L127" s="17">
        <v>0.27109332232753519</v>
      </c>
      <c r="M127" s="63">
        <v>24</v>
      </c>
      <c r="N127" s="25">
        <v>30220184.8299019</v>
      </c>
      <c r="O127" s="17">
        <v>0.2496641098394321</v>
      </c>
      <c r="P127" s="63">
        <v>26</v>
      </c>
      <c r="Q127" s="25">
        <v>29624801.5507751</v>
      </c>
      <c r="R127" s="66">
        <v>0.27788276525092015</v>
      </c>
      <c r="S127" s="77">
        <f t="shared" si="1"/>
        <v>0.26621339913929581</v>
      </c>
      <c r="V127" s="80"/>
    </row>
    <row r="128" spans="1:22" x14ac:dyDescent="0.25">
      <c r="A128" s="18" t="s">
        <v>740</v>
      </c>
      <c r="B128" s="18" t="s">
        <v>8116</v>
      </c>
      <c r="C128" s="18" t="s">
        <v>739</v>
      </c>
      <c r="D128" t="s">
        <v>738</v>
      </c>
      <c r="E128" s="13" t="s">
        <v>741</v>
      </c>
      <c r="F128" s="3" t="s">
        <v>495</v>
      </c>
      <c r="H128" t="s">
        <v>552</v>
      </c>
      <c r="I128" t="s">
        <v>553</v>
      </c>
      <c r="J128" s="63">
        <v>18</v>
      </c>
      <c r="K128" s="25">
        <v>23065079.8424468</v>
      </c>
      <c r="L128" s="17">
        <v>0.25109819536945532</v>
      </c>
      <c r="M128" s="63">
        <v>19</v>
      </c>
      <c r="N128" s="25">
        <v>24430617.174842399</v>
      </c>
      <c r="O128" s="17">
        <v>0.24392451035275087</v>
      </c>
      <c r="P128" s="63">
        <v>19</v>
      </c>
      <c r="Q128" s="25">
        <v>23248715.708769701</v>
      </c>
      <c r="R128" s="66">
        <v>0.26355249582685747</v>
      </c>
      <c r="S128" s="77">
        <f t="shared" si="1"/>
        <v>0.25285840051635455</v>
      </c>
      <c r="V128" s="80"/>
    </row>
    <row r="129" spans="1:22" x14ac:dyDescent="0.25">
      <c r="A129" s="18" t="s">
        <v>1464</v>
      </c>
      <c r="B129" s="18" t="s">
        <v>1461</v>
      </c>
      <c r="C129" s="18" t="s">
        <v>1463</v>
      </c>
      <c r="D129" t="s">
        <v>1462</v>
      </c>
      <c r="E129" s="13" t="s">
        <v>1465</v>
      </c>
      <c r="F129" s="3" t="s">
        <v>495</v>
      </c>
      <c r="H129" t="s">
        <v>552</v>
      </c>
      <c r="I129" t="s">
        <v>553</v>
      </c>
      <c r="J129" s="63">
        <v>14</v>
      </c>
      <c r="K129" s="25">
        <v>24410240.526096102</v>
      </c>
      <c r="L129" s="17">
        <v>0.24202616707974697</v>
      </c>
      <c r="M129" s="63">
        <v>17</v>
      </c>
      <c r="N129" s="25">
        <v>26373502.020736299</v>
      </c>
      <c r="O129" s="17">
        <v>0.23982278401029983</v>
      </c>
      <c r="P129" s="63">
        <v>21</v>
      </c>
      <c r="Q129" s="25">
        <v>24149455.9766808</v>
      </c>
      <c r="R129" s="66">
        <v>0.24933150198540782</v>
      </c>
      <c r="S129" s="77">
        <f t="shared" si="1"/>
        <v>0.24372681769181823</v>
      </c>
      <c r="V129" s="80"/>
    </row>
    <row r="130" spans="1:22" x14ac:dyDescent="0.25">
      <c r="A130" s="18" t="s">
        <v>673</v>
      </c>
      <c r="B130" s="18" t="s">
        <v>670</v>
      </c>
      <c r="C130" s="18" t="s">
        <v>672</v>
      </c>
      <c r="D130" t="s">
        <v>671</v>
      </c>
      <c r="E130" s="13" t="s">
        <v>674</v>
      </c>
      <c r="F130" s="3" t="s">
        <v>495</v>
      </c>
      <c r="H130" t="s">
        <v>507</v>
      </c>
      <c r="I130" t="s">
        <v>675</v>
      </c>
      <c r="J130" s="63">
        <v>29</v>
      </c>
      <c r="K130" s="25">
        <v>21688410.523901999</v>
      </c>
      <c r="L130" s="17">
        <v>0.25605505974249748</v>
      </c>
      <c r="M130" s="63">
        <v>26</v>
      </c>
      <c r="N130" s="25">
        <v>21400049.375592601</v>
      </c>
      <c r="O130" s="17">
        <v>0.23171427333824007</v>
      </c>
      <c r="P130" s="63">
        <v>25</v>
      </c>
      <c r="Q130" s="25">
        <v>18278859.466727301</v>
      </c>
      <c r="R130" s="66">
        <v>0.22471614096496115</v>
      </c>
      <c r="S130" s="77">
        <f t="shared" si="1"/>
        <v>0.23749515801523291</v>
      </c>
      <c r="V130" s="80"/>
    </row>
    <row r="131" spans="1:22" x14ac:dyDescent="0.25">
      <c r="A131" s="18" t="s">
        <v>1209</v>
      </c>
      <c r="B131" s="18" t="s">
        <v>1206</v>
      </c>
      <c r="C131" s="18" t="s">
        <v>1208</v>
      </c>
      <c r="D131" t="s">
        <v>1207</v>
      </c>
      <c r="E131" s="13" t="s">
        <v>1210</v>
      </c>
      <c r="F131" s="3" t="s">
        <v>495</v>
      </c>
      <c r="H131" t="s">
        <v>552</v>
      </c>
      <c r="I131" t="s">
        <v>547</v>
      </c>
      <c r="J131" s="63">
        <v>27</v>
      </c>
      <c r="K131" s="25">
        <v>42980085.804837301</v>
      </c>
      <c r="L131" s="17">
        <v>0.28474835976170171</v>
      </c>
      <c r="M131" s="63">
        <v>26</v>
      </c>
      <c r="N131" s="25">
        <v>31469749.210633099</v>
      </c>
      <c r="O131" s="17">
        <v>0.19121396590739367</v>
      </c>
      <c r="P131" s="63">
        <v>24</v>
      </c>
      <c r="Q131" s="25">
        <v>33250288.367335498</v>
      </c>
      <c r="R131" s="66">
        <v>0.22938705532574827</v>
      </c>
      <c r="S131" s="77">
        <f t="shared" si="1"/>
        <v>0.23511646033161457</v>
      </c>
      <c r="V131" s="80"/>
    </row>
    <row r="132" spans="1:22" x14ac:dyDescent="0.25">
      <c r="A132" s="18" t="s">
        <v>1146</v>
      </c>
      <c r="B132" s="18" t="s">
        <v>1143</v>
      </c>
      <c r="C132" s="18" t="s">
        <v>1145</v>
      </c>
      <c r="D132" t="s">
        <v>1144</v>
      </c>
      <c r="E132" s="13" t="s">
        <v>871</v>
      </c>
      <c r="F132" s="3" t="s">
        <v>495</v>
      </c>
      <c r="G132" t="s">
        <v>872</v>
      </c>
      <c r="H132" t="s">
        <v>507</v>
      </c>
      <c r="I132" t="s">
        <v>17</v>
      </c>
      <c r="J132" s="63">
        <v>24</v>
      </c>
      <c r="K132" s="25">
        <v>20255727.361031499</v>
      </c>
      <c r="L132" s="17">
        <v>0.23035336902895021</v>
      </c>
      <c r="M132" s="63">
        <v>23</v>
      </c>
      <c r="N132" s="25">
        <v>22221187.125743002</v>
      </c>
      <c r="O132" s="17">
        <v>0.2317642021170323</v>
      </c>
      <c r="P132" s="63">
        <v>24</v>
      </c>
      <c r="Q132" s="25">
        <v>19473118.9729416</v>
      </c>
      <c r="R132" s="66">
        <v>0.23060131529367625</v>
      </c>
      <c r="S132" s="77">
        <f t="shared" si="1"/>
        <v>0.23090629547988625</v>
      </c>
      <c r="V132" s="80"/>
    </row>
    <row r="133" spans="1:22" x14ac:dyDescent="0.25">
      <c r="A133" s="18" t="s">
        <v>1459</v>
      </c>
      <c r="B133" s="18" t="s">
        <v>1456</v>
      </c>
      <c r="C133" s="18" t="s">
        <v>1458</v>
      </c>
      <c r="D133" t="s">
        <v>1457</v>
      </c>
      <c r="E133" s="13" t="s">
        <v>1460</v>
      </c>
      <c r="F133" s="3" t="s">
        <v>495</v>
      </c>
      <c r="H133" t="s">
        <v>552</v>
      </c>
      <c r="I133" t="s">
        <v>553</v>
      </c>
      <c r="J133" s="63">
        <v>21</v>
      </c>
      <c r="K133" s="25">
        <v>25384829.7006432</v>
      </c>
      <c r="L133" s="17">
        <v>0.23962563121628014</v>
      </c>
      <c r="M133" s="63">
        <v>20</v>
      </c>
      <c r="N133" s="25">
        <v>24655515.507316001</v>
      </c>
      <c r="O133" s="17">
        <v>0.21345457983137806</v>
      </c>
      <c r="P133" s="63">
        <v>13</v>
      </c>
      <c r="Q133" s="25">
        <v>23261613.775206499</v>
      </c>
      <c r="R133" s="66">
        <v>0.22865378436306857</v>
      </c>
      <c r="S133" s="77">
        <f t="shared" ref="S133:S195" si="2">AVERAGE(L133,O133,R133)</f>
        <v>0.22724466513690891</v>
      </c>
      <c r="V133" s="80"/>
    </row>
    <row r="134" spans="1:22" x14ac:dyDescent="0.25">
      <c r="A134" s="18" t="s">
        <v>1971</v>
      </c>
      <c r="B134" s="18" t="s">
        <v>1968</v>
      </c>
      <c r="C134" s="18" t="s">
        <v>1970</v>
      </c>
      <c r="D134" t="s">
        <v>1969</v>
      </c>
      <c r="E134" s="13" t="s">
        <v>1972</v>
      </c>
      <c r="F134" s="3" t="s">
        <v>495</v>
      </c>
      <c r="G134" t="s">
        <v>839</v>
      </c>
      <c r="H134" t="s">
        <v>507</v>
      </c>
      <c r="I134" t="s">
        <v>17</v>
      </c>
      <c r="J134" s="63">
        <v>25</v>
      </c>
      <c r="K134" s="25">
        <v>21413969.615640599</v>
      </c>
      <c r="L134" s="17">
        <v>0.23549010401979281</v>
      </c>
      <c r="M134" s="63">
        <v>21</v>
      </c>
      <c r="N134" s="25">
        <v>21704257.292419098</v>
      </c>
      <c r="O134" s="17">
        <v>0.21890353899277171</v>
      </c>
      <c r="P134" s="63">
        <v>24</v>
      </c>
      <c r="Q134" s="25">
        <v>19796999.817718901</v>
      </c>
      <c r="R134" s="66">
        <v>0.22670150108718715</v>
      </c>
      <c r="S134" s="77">
        <f t="shared" si="2"/>
        <v>0.22703171469991723</v>
      </c>
      <c r="V134" s="80"/>
    </row>
    <row r="135" spans="1:22" x14ac:dyDescent="0.25">
      <c r="A135" s="18" t="s">
        <v>1473</v>
      </c>
      <c r="B135" s="18" t="s">
        <v>1470</v>
      </c>
      <c r="C135" s="18" t="s">
        <v>1472</v>
      </c>
      <c r="D135" t="s">
        <v>1471</v>
      </c>
      <c r="E135" s="13" t="s">
        <v>1474</v>
      </c>
      <c r="F135" s="3" t="s">
        <v>495</v>
      </c>
      <c r="H135" t="s">
        <v>541</v>
      </c>
      <c r="I135" t="s">
        <v>542</v>
      </c>
      <c r="J135" s="63">
        <v>18</v>
      </c>
      <c r="K135" s="25">
        <v>22600427.105571799</v>
      </c>
      <c r="L135" s="17">
        <v>0.23259814774379947</v>
      </c>
      <c r="M135" s="63">
        <v>21</v>
      </c>
      <c r="N135" s="25">
        <v>21745900.157172099</v>
      </c>
      <c r="O135" s="17">
        <v>0.2052576580611763</v>
      </c>
      <c r="P135" s="63">
        <v>18</v>
      </c>
      <c r="Q135" s="25">
        <v>22530202.526625499</v>
      </c>
      <c r="R135" s="66">
        <v>0.24145390765767619</v>
      </c>
      <c r="S135" s="77">
        <f t="shared" si="2"/>
        <v>0.22643657115421731</v>
      </c>
      <c r="V135" s="80"/>
    </row>
    <row r="136" spans="1:22" x14ac:dyDescent="0.25">
      <c r="A136" s="18" t="s">
        <v>1663</v>
      </c>
      <c r="B136" s="18" t="s">
        <v>1660</v>
      </c>
      <c r="C136" s="18" t="s">
        <v>1662</v>
      </c>
      <c r="D136" t="s">
        <v>1661</v>
      </c>
      <c r="E136" s="13" t="s">
        <v>1664</v>
      </c>
      <c r="F136" s="3" t="s">
        <v>495</v>
      </c>
      <c r="H136" t="s">
        <v>541</v>
      </c>
      <c r="I136" t="s">
        <v>547</v>
      </c>
      <c r="J136" s="63">
        <v>34</v>
      </c>
      <c r="K136" s="25">
        <v>35535845.7044404</v>
      </c>
      <c r="L136" s="17">
        <v>0.21005565705467846</v>
      </c>
      <c r="M136" s="63">
        <v>30</v>
      </c>
      <c r="N136" s="25">
        <v>37346333.273004398</v>
      </c>
      <c r="O136" s="17">
        <v>0.20246411961609972</v>
      </c>
      <c r="P136" s="63">
        <v>30</v>
      </c>
      <c r="Q136" s="25">
        <v>40712681.196641602</v>
      </c>
      <c r="R136" s="66">
        <v>0.25059763516917605</v>
      </c>
      <c r="S136" s="77">
        <f t="shared" si="2"/>
        <v>0.22103913727998478</v>
      </c>
      <c r="V136" s="80"/>
    </row>
    <row r="137" spans="1:22" x14ac:dyDescent="0.25">
      <c r="A137" s="18" t="s">
        <v>1644</v>
      </c>
      <c r="B137" s="18" t="s">
        <v>1641</v>
      </c>
      <c r="C137" s="18" t="s">
        <v>1643</v>
      </c>
      <c r="D137" t="s">
        <v>1642</v>
      </c>
      <c r="E137" s="13" t="s">
        <v>1645</v>
      </c>
      <c r="F137" s="3" t="s">
        <v>495</v>
      </c>
      <c r="G137" t="s">
        <v>1646</v>
      </c>
      <c r="H137" t="s">
        <v>563</v>
      </c>
      <c r="I137" t="s">
        <v>716</v>
      </c>
      <c r="J137" s="63">
        <v>16</v>
      </c>
      <c r="K137" s="25">
        <v>26059320.105991501</v>
      </c>
      <c r="L137" s="17">
        <v>0.2154782773629681</v>
      </c>
      <c r="M137" s="63">
        <v>15</v>
      </c>
      <c r="N137" s="25">
        <v>28799047.9576151</v>
      </c>
      <c r="O137" s="17">
        <v>0.21839913783372886</v>
      </c>
      <c r="P137" s="63">
        <v>15</v>
      </c>
      <c r="Q137" s="25">
        <v>23643940.913148299</v>
      </c>
      <c r="R137" s="66">
        <v>0.20358220640998836</v>
      </c>
      <c r="S137" s="77">
        <f t="shared" si="2"/>
        <v>0.21248654053556179</v>
      </c>
      <c r="V137" s="80"/>
    </row>
    <row r="138" spans="1:22" x14ac:dyDescent="0.25">
      <c r="A138" s="18" t="s">
        <v>832</v>
      </c>
      <c r="B138" s="18" t="s">
        <v>829</v>
      </c>
      <c r="C138" s="18" t="s">
        <v>831</v>
      </c>
      <c r="D138" t="s">
        <v>830</v>
      </c>
      <c r="E138" s="13" t="s">
        <v>833</v>
      </c>
      <c r="F138" s="3" t="s">
        <v>495</v>
      </c>
      <c r="H138" t="s">
        <v>541</v>
      </c>
      <c r="I138" t="s">
        <v>547</v>
      </c>
      <c r="J138" s="63">
        <v>18</v>
      </c>
      <c r="K138" s="25">
        <v>19608192.1318289</v>
      </c>
      <c r="L138" s="17">
        <v>0.22067265766189831</v>
      </c>
      <c r="M138" s="63">
        <v>18</v>
      </c>
      <c r="N138" s="25">
        <v>19906550.6128162</v>
      </c>
      <c r="O138" s="17">
        <v>0.20546571247952886</v>
      </c>
      <c r="P138" s="63">
        <v>15</v>
      </c>
      <c r="Q138" s="25">
        <v>17508468.767036099</v>
      </c>
      <c r="R138" s="66">
        <v>0.20518172410774932</v>
      </c>
      <c r="S138" s="77">
        <f t="shared" si="2"/>
        <v>0.2104400314163922</v>
      </c>
      <c r="V138" s="80"/>
    </row>
    <row r="139" spans="1:22" x14ac:dyDescent="0.25">
      <c r="A139" s="18" t="s">
        <v>902</v>
      </c>
      <c r="B139" s="18" t="s">
        <v>899</v>
      </c>
      <c r="C139" s="18" t="s">
        <v>901</v>
      </c>
      <c r="D139" t="s">
        <v>900</v>
      </c>
      <c r="E139" s="13" t="s">
        <v>903</v>
      </c>
      <c r="F139" s="3" t="s">
        <v>495</v>
      </c>
      <c r="G139" t="s">
        <v>904</v>
      </c>
      <c r="H139" t="s">
        <v>552</v>
      </c>
      <c r="I139" t="s">
        <v>553</v>
      </c>
      <c r="J139" s="63">
        <v>32</v>
      </c>
      <c r="K139" s="25">
        <v>25683389.403031498</v>
      </c>
      <c r="L139" s="17">
        <v>0.20917626563370845</v>
      </c>
      <c r="M139" s="63">
        <v>28</v>
      </c>
      <c r="N139" s="25">
        <v>24119598.256229401</v>
      </c>
      <c r="O139" s="17">
        <v>0.18016171735667313</v>
      </c>
      <c r="P139" s="63">
        <v>25</v>
      </c>
      <c r="Q139" s="25">
        <v>25163500.933692001</v>
      </c>
      <c r="R139" s="66">
        <v>0.21340798710292899</v>
      </c>
      <c r="S139" s="77">
        <f t="shared" si="2"/>
        <v>0.20091532336443685</v>
      </c>
      <c r="V139" s="80"/>
    </row>
    <row r="140" spans="1:22" x14ac:dyDescent="0.25">
      <c r="A140" s="18" t="s">
        <v>1182</v>
      </c>
      <c r="B140" s="18" t="s">
        <v>1179</v>
      </c>
      <c r="C140" s="18" t="s">
        <v>1181</v>
      </c>
      <c r="D140" t="s">
        <v>1180</v>
      </c>
      <c r="E140" s="13" t="s">
        <v>1183</v>
      </c>
      <c r="F140" s="3" t="s">
        <v>495</v>
      </c>
      <c r="H140" t="s">
        <v>496</v>
      </c>
      <c r="I140" t="s">
        <v>172</v>
      </c>
      <c r="J140" s="63">
        <v>19</v>
      </c>
      <c r="K140" s="25">
        <v>16683417.958128599</v>
      </c>
      <c r="L140" s="17">
        <v>0.1917411735078739</v>
      </c>
      <c r="M140" s="63">
        <v>17</v>
      </c>
      <c r="N140" s="25">
        <v>17919382.245705001</v>
      </c>
      <c r="O140" s="17">
        <v>0.18887990646652783</v>
      </c>
      <c r="P140" s="63">
        <v>18</v>
      </c>
      <c r="Q140" s="25">
        <v>15662176.9367927</v>
      </c>
      <c r="R140" s="66">
        <v>0.18743988720195576</v>
      </c>
      <c r="S140" s="77">
        <f t="shared" si="2"/>
        <v>0.18935365572545249</v>
      </c>
      <c r="V140" s="80"/>
    </row>
    <row r="141" spans="1:22" x14ac:dyDescent="0.25">
      <c r="A141" s="18" t="s">
        <v>1989</v>
      </c>
      <c r="B141" s="18" t="s">
        <v>1986</v>
      </c>
      <c r="C141" s="18" t="s">
        <v>1988</v>
      </c>
      <c r="D141" t="s">
        <v>1987</v>
      </c>
      <c r="E141" s="13" t="s">
        <v>1990</v>
      </c>
      <c r="F141" s="3" t="s">
        <v>495</v>
      </c>
      <c r="H141" t="s">
        <v>496</v>
      </c>
      <c r="I141" t="s">
        <v>1991</v>
      </c>
      <c r="J141" s="63">
        <v>11</v>
      </c>
      <c r="K141" s="25">
        <v>13229281.814454099</v>
      </c>
      <c r="L141" s="17">
        <v>0.17529124137147004</v>
      </c>
      <c r="M141" s="63">
        <v>12</v>
      </c>
      <c r="N141" s="25">
        <v>15263801.7499725</v>
      </c>
      <c r="O141" s="17">
        <v>0.18548937571134427</v>
      </c>
      <c r="P141" s="63">
        <v>8</v>
      </c>
      <c r="Q141" s="25">
        <v>14038543.169693099</v>
      </c>
      <c r="R141" s="66">
        <v>0.19369817447495163</v>
      </c>
      <c r="S141" s="77">
        <f t="shared" si="2"/>
        <v>0.18482626385258863</v>
      </c>
      <c r="V141" s="80"/>
    </row>
    <row r="142" spans="1:22" x14ac:dyDescent="0.25">
      <c r="A142" s="18" t="s">
        <v>1493</v>
      </c>
      <c r="B142" s="18" t="s">
        <v>1490</v>
      </c>
      <c r="C142" s="18" t="s">
        <v>1492</v>
      </c>
      <c r="D142" t="s">
        <v>1491</v>
      </c>
      <c r="E142" s="13" t="s">
        <v>1494</v>
      </c>
      <c r="F142" s="3" t="s">
        <v>495</v>
      </c>
      <c r="H142" t="s">
        <v>552</v>
      </c>
      <c r="I142" t="s">
        <v>553</v>
      </c>
      <c r="J142" s="63">
        <v>34</v>
      </c>
      <c r="K142" s="25">
        <v>37628978.249110103</v>
      </c>
      <c r="L142" s="17">
        <v>0.18196426917542688</v>
      </c>
      <c r="M142" s="63">
        <v>28</v>
      </c>
      <c r="N142" s="25">
        <v>32899437.311908901</v>
      </c>
      <c r="O142" s="17">
        <v>0.14590982481482484</v>
      </c>
      <c r="P142" s="63">
        <v>35</v>
      </c>
      <c r="Q142" s="25">
        <v>40869591.194452703</v>
      </c>
      <c r="R142" s="66">
        <v>0.20579912431588782</v>
      </c>
      <c r="S142" s="77">
        <f t="shared" si="2"/>
        <v>0.17789107276871316</v>
      </c>
      <c r="V142" s="80"/>
    </row>
    <row r="143" spans="1:22" x14ac:dyDescent="0.25">
      <c r="A143" s="18" t="s">
        <v>1015</v>
      </c>
      <c r="B143" s="18" t="s">
        <v>1012</v>
      </c>
      <c r="C143" s="18" t="s">
        <v>1014</v>
      </c>
      <c r="D143" t="s">
        <v>1013</v>
      </c>
      <c r="E143" s="13" t="s">
        <v>1016</v>
      </c>
      <c r="F143" s="3" t="s">
        <v>495</v>
      </c>
      <c r="H143" t="s">
        <v>552</v>
      </c>
      <c r="I143" t="s">
        <v>553</v>
      </c>
      <c r="J143" s="63">
        <v>40</v>
      </c>
      <c r="K143" s="25">
        <v>48005994.058728702</v>
      </c>
      <c r="L143" s="17">
        <v>0.18166099207763067</v>
      </c>
      <c r="M143" s="63">
        <v>35</v>
      </c>
      <c r="N143" s="25">
        <v>39289379.056073099</v>
      </c>
      <c r="O143" s="17">
        <v>0.13635584340612267</v>
      </c>
      <c r="P143" s="63">
        <v>44</v>
      </c>
      <c r="Q143" s="25">
        <v>51858113.636476196</v>
      </c>
      <c r="R143" s="66">
        <v>0.20434427127020768</v>
      </c>
      <c r="S143" s="77">
        <f t="shared" si="2"/>
        <v>0.17412036891798702</v>
      </c>
      <c r="V143" s="80"/>
    </row>
    <row r="144" spans="1:22" x14ac:dyDescent="0.25">
      <c r="A144" s="18" t="s">
        <v>598</v>
      </c>
      <c r="B144" s="18" t="s">
        <v>595</v>
      </c>
      <c r="C144" s="18" t="s">
        <v>597</v>
      </c>
      <c r="D144" t="s">
        <v>596</v>
      </c>
      <c r="E144" s="13" t="s">
        <v>599</v>
      </c>
      <c r="F144" s="3" t="s">
        <v>495</v>
      </c>
      <c r="G144" t="s">
        <v>600</v>
      </c>
      <c r="H144" t="s">
        <v>507</v>
      </c>
      <c r="I144" t="s">
        <v>17</v>
      </c>
      <c r="J144" s="63">
        <v>16</v>
      </c>
      <c r="K144" s="25">
        <v>14952366.5197905</v>
      </c>
      <c r="L144" s="17">
        <v>0.15840114894509755</v>
      </c>
      <c r="M144" s="63">
        <v>15</v>
      </c>
      <c r="N144" s="25">
        <v>15393113.810386401</v>
      </c>
      <c r="O144" s="17">
        <v>0.14955717320249592</v>
      </c>
      <c r="P144" s="63">
        <v>14</v>
      </c>
      <c r="Q144" s="25">
        <v>14285305.108802</v>
      </c>
      <c r="R144" s="66">
        <v>0.15758593436585841</v>
      </c>
      <c r="S144" s="77">
        <f t="shared" si="2"/>
        <v>0.1551814188378173</v>
      </c>
      <c r="V144" s="80"/>
    </row>
    <row r="145" spans="1:22" x14ac:dyDescent="0.25">
      <c r="A145" s="18" t="s">
        <v>1171</v>
      </c>
      <c r="B145" s="18" t="s">
        <v>1168</v>
      </c>
      <c r="C145" s="18" t="s">
        <v>1170</v>
      </c>
      <c r="D145" t="s">
        <v>1169</v>
      </c>
      <c r="E145" s="13" t="s">
        <v>1172</v>
      </c>
      <c r="F145" s="3" t="s">
        <v>495</v>
      </c>
      <c r="H145" t="s">
        <v>558</v>
      </c>
      <c r="I145" t="s">
        <v>12</v>
      </c>
      <c r="J145" s="63">
        <v>13</v>
      </c>
      <c r="K145" s="25">
        <v>10998043.046364</v>
      </c>
      <c r="L145" s="17">
        <v>0.15032383756880568</v>
      </c>
      <c r="M145" s="63">
        <v>13</v>
      </c>
      <c r="N145" s="25">
        <v>11317933.526762201</v>
      </c>
      <c r="O145" s="17">
        <v>0.14187698545893584</v>
      </c>
      <c r="P145" s="63">
        <v>13</v>
      </c>
      <c r="Q145" s="25">
        <v>10933701.920353699</v>
      </c>
      <c r="R145" s="66">
        <v>0.15561777662820137</v>
      </c>
      <c r="S145" s="77">
        <f t="shared" si="2"/>
        <v>0.14927286655198096</v>
      </c>
      <c r="V145" s="80"/>
    </row>
    <row r="146" spans="1:22" x14ac:dyDescent="0.25">
      <c r="A146" s="18" t="s">
        <v>796</v>
      </c>
      <c r="B146" s="18" t="s">
        <v>793</v>
      </c>
      <c r="C146" s="18" t="s">
        <v>795</v>
      </c>
      <c r="D146" t="s">
        <v>794</v>
      </c>
      <c r="E146" s="13" t="s">
        <v>797</v>
      </c>
      <c r="F146" s="3" t="s">
        <v>495</v>
      </c>
      <c r="G146" t="s">
        <v>692</v>
      </c>
      <c r="H146" t="s">
        <v>507</v>
      </c>
      <c r="I146" t="s">
        <v>693</v>
      </c>
      <c r="J146" s="63">
        <v>10</v>
      </c>
      <c r="K146" s="25">
        <v>9869708.1174397394</v>
      </c>
      <c r="L146" s="17">
        <v>0.14900269163370258</v>
      </c>
      <c r="M146" s="63">
        <v>14</v>
      </c>
      <c r="N146" s="25">
        <v>10057370.645083399</v>
      </c>
      <c r="O146" s="17">
        <v>0.139253665055629</v>
      </c>
      <c r="P146" s="63">
        <v>14</v>
      </c>
      <c r="Q146" s="25">
        <v>9324948.7728943191</v>
      </c>
      <c r="R146" s="66">
        <v>0.14659386538404173</v>
      </c>
      <c r="S146" s="77">
        <f t="shared" si="2"/>
        <v>0.14495007402445778</v>
      </c>
      <c r="V146" s="80"/>
    </row>
    <row r="147" spans="1:22" x14ac:dyDescent="0.25">
      <c r="A147" s="18" t="s">
        <v>1931</v>
      </c>
      <c r="B147" s="18" t="s">
        <v>1928</v>
      </c>
      <c r="C147" s="18" t="s">
        <v>1930</v>
      </c>
      <c r="D147" t="s">
        <v>1929</v>
      </c>
      <c r="E147" s="13" t="s">
        <v>1932</v>
      </c>
      <c r="F147" s="3" t="s">
        <v>495</v>
      </c>
      <c r="H147" t="s">
        <v>496</v>
      </c>
      <c r="I147" t="s">
        <v>172</v>
      </c>
      <c r="J147" s="63">
        <v>14</v>
      </c>
      <c r="K147" s="25">
        <v>12848042.555975899</v>
      </c>
      <c r="L147" s="17">
        <v>0.14459322295083632</v>
      </c>
      <c r="M147" s="63">
        <v>14</v>
      </c>
      <c r="N147" s="25">
        <v>14079522.4571533</v>
      </c>
      <c r="O147" s="17">
        <v>0.14532196809466494</v>
      </c>
      <c r="P147" s="63">
        <v>13</v>
      </c>
      <c r="Q147" s="25">
        <v>12149918.006401001</v>
      </c>
      <c r="R147" s="66">
        <v>0.14238487428522109</v>
      </c>
      <c r="S147" s="77">
        <f t="shared" si="2"/>
        <v>0.14410002177690742</v>
      </c>
      <c r="V147" s="80"/>
    </row>
    <row r="148" spans="1:22" x14ac:dyDescent="0.25">
      <c r="A148" s="18" t="s">
        <v>934</v>
      </c>
      <c r="B148" s="18" t="s">
        <v>931</v>
      </c>
      <c r="C148" s="18" t="s">
        <v>933</v>
      </c>
      <c r="D148" t="s">
        <v>932</v>
      </c>
      <c r="E148" s="13" t="s">
        <v>935</v>
      </c>
      <c r="F148" s="3" t="s">
        <v>495</v>
      </c>
      <c r="H148" t="s">
        <v>541</v>
      </c>
      <c r="I148" t="s">
        <v>547</v>
      </c>
      <c r="J148" s="63">
        <v>20</v>
      </c>
      <c r="K148" s="25">
        <v>13104547.361505499</v>
      </c>
      <c r="L148" s="17">
        <v>0.14521683551034653</v>
      </c>
      <c r="M148" s="63">
        <v>14</v>
      </c>
      <c r="N148" s="25">
        <v>13893889.291866699</v>
      </c>
      <c r="O148" s="17">
        <v>0.1412053501847593</v>
      </c>
      <c r="P148" s="63">
        <v>17</v>
      </c>
      <c r="Q148" s="25">
        <v>12200394.87637</v>
      </c>
      <c r="R148" s="66">
        <v>0.14078240121525873</v>
      </c>
      <c r="S148" s="77">
        <f t="shared" si="2"/>
        <v>0.14240152897012151</v>
      </c>
      <c r="V148" s="80"/>
    </row>
    <row r="149" spans="1:22" x14ac:dyDescent="0.25">
      <c r="A149" s="18" t="s">
        <v>1655</v>
      </c>
      <c r="B149" s="18" t="s">
        <v>1652</v>
      </c>
      <c r="C149" s="18" t="s">
        <v>1654</v>
      </c>
      <c r="D149" t="s">
        <v>1653</v>
      </c>
      <c r="E149" s="13" t="s">
        <v>721</v>
      </c>
      <c r="F149" s="3" t="s">
        <v>495</v>
      </c>
      <c r="H149" t="s">
        <v>541</v>
      </c>
      <c r="I149" t="s">
        <v>547</v>
      </c>
      <c r="J149" s="63">
        <v>22</v>
      </c>
      <c r="K149" s="25">
        <v>19139938.619753402</v>
      </c>
      <c r="L149" s="17">
        <v>0.13984841499875753</v>
      </c>
      <c r="M149" s="63">
        <v>21</v>
      </c>
      <c r="N149" s="25">
        <v>20018699.687505201</v>
      </c>
      <c r="O149" s="17">
        <v>0.13414832262601836</v>
      </c>
      <c r="P149" s="63">
        <v>21</v>
      </c>
      <c r="Q149" s="25">
        <v>19801342.3653001</v>
      </c>
      <c r="R149" s="66">
        <v>0.15065764620173022</v>
      </c>
      <c r="S149" s="77">
        <f t="shared" si="2"/>
        <v>0.14155146127550203</v>
      </c>
      <c r="V149" s="80"/>
    </row>
    <row r="150" spans="1:22" x14ac:dyDescent="0.25">
      <c r="A150" s="18" t="s">
        <v>897</v>
      </c>
      <c r="B150" s="18" t="s">
        <v>894</v>
      </c>
      <c r="C150" s="18" t="s">
        <v>896</v>
      </c>
      <c r="D150" t="s">
        <v>895</v>
      </c>
      <c r="E150" s="13" t="s">
        <v>898</v>
      </c>
      <c r="F150" s="3" t="s">
        <v>495</v>
      </c>
      <c r="H150" t="s">
        <v>558</v>
      </c>
      <c r="I150" t="s">
        <v>12</v>
      </c>
      <c r="J150" s="63">
        <v>11</v>
      </c>
      <c r="K150" s="25">
        <v>12364993.4622827</v>
      </c>
      <c r="L150" s="17">
        <v>0.15711267150438057</v>
      </c>
      <c r="M150" s="63">
        <v>11</v>
      </c>
      <c r="N150" s="25">
        <v>10949359.630153099</v>
      </c>
      <c r="O150" s="17">
        <v>0.12759639867628655</v>
      </c>
      <c r="P150" s="63">
        <v>11</v>
      </c>
      <c r="Q150" s="25">
        <v>10334409.447456401</v>
      </c>
      <c r="R150" s="66">
        <v>0.13673589062812713</v>
      </c>
      <c r="S150" s="77">
        <f t="shared" si="2"/>
        <v>0.14048165360293144</v>
      </c>
      <c r="V150" s="80"/>
    </row>
    <row r="151" spans="1:22" x14ac:dyDescent="0.25">
      <c r="A151" s="18" t="s">
        <v>859</v>
      </c>
      <c r="B151" s="18" t="s">
        <v>856</v>
      </c>
      <c r="C151" s="18" t="s">
        <v>858</v>
      </c>
      <c r="D151" t="s">
        <v>857</v>
      </c>
      <c r="E151" s="13" t="s">
        <v>860</v>
      </c>
      <c r="F151" s="3" t="s">
        <v>495</v>
      </c>
      <c r="H151" t="s">
        <v>552</v>
      </c>
      <c r="I151" t="s">
        <v>861</v>
      </c>
      <c r="J151" s="63">
        <v>14</v>
      </c>
      <c r="K151" s="25">
        <v>10283373.607487701</v>
      </c>
      <c r="L151" s="17">
        <v>0.13584181389293257</v>
      </c>
      <c r="M151" s="63">
        <v>14</v>
      </c>
      <c r="N151" s="25">
        <v>11301727.057227099</v>
      </c>
      <c r="O151" s="17">
        <v>0.13692257136593483</v>
      </c>
      <c r="P151" s="63">
        <v>11</v>
      </c>
      <c r="Q151" s="25">
        <v>9843514.4387587998</v>
      </c>
      <c r="R151" s="66">
        <v>0.13540277887571919</v>
      </c>
      <c r="S151" s="77">
        <f t="shared" si="2"/>
        <v>0.13605572137819552</v>
      </c>
      <c r="V151" s="80"/>
    </row>
    <row r="152" spans="1:22" x14ac:dyDescent="0.25">
      <c r="A152" s="18" t="s">
        <v>1564</v>
      </c>
      <c r="B152" s="18" t="s">
        <v>1561</v>
      </c>
      <c r="C152" s="18" t="s">
        <v>1563</v>
      </c>
      <c r="D152" t="s">
        <v>1562</v>
      </c>
      <c r="E152" s="13" t="s">
        <v>1565</v>
      </c>
      <c r="F152" s="3" t="s">
        <v>495</v>
      </c>
      <c r="G152" t="s">
        <v>1566</v>
      </c>
      <c r="H152" t="s">
        <v>563</v>
      </c>
      <c r="I152" t="s">
        <v>1055</v>
      </c>
      <c r="J152" s="63">
        <v>20</v>
      </c>
      <c r="K152" s="25">
        <v>10526333.964052601</v>
      </c>
      <c r="L152" s="17">
        <v>0.13990435890669087</v>
      </c>
      <c r="M152" s="63">
        <v>16</v>
      </c>
      <c r="N152" s="25">
        <v>10873915.580130599</v>
      </c>
      <c r="O152" s="17">
        <v>0.13254777213149033</v>
      </c>
      <c r="P152" s="63">
        <v>16</v>
      </c>
      <c r="Q152" s="25">
        <v>9307136.2383647598</v>
      </c>
      <c r="R152" s="66">
        <v>0.12881003838378249</v>
      </c>
      <c r="S152" s="77">
        <f t="shared" si="2"/>
        <v>0.13375405647398789</v>
      </c>
      <c r="V152" s="80"/>
    </row>
    <row r="153" spans="1:22" x14ac:dyDescent="0.25">
      <c r="A153" s="18" t="s">
        <v>770</v>
      </c>
      <c r="B153" s="18" t="s">
        <v>767</v>
      </c>
      <c r="C153" s="18" t="s">
        <v>769</v>
      </c>
      <c r="D153" t="s">
        <v>768</v>
      </c>
      <c r="E153" s="13" t="s">
        <v>771</v>
      </c>
      <c r="F153" s="3" t="s">
        <v>495</v>
      </c>
      <c r="H153" t="s">
        <v>552</v>
      </c>
      <c r="I153" t="s">
        <v>553</v>
      </c>
      <c r="J153" s="63">
        <v>23</v>
      </c>
      <c r="K153" s="25">
        <v>19296052.5890094</v>
      </c>
      <c r="L153" s="17">
        <v>0.13911235518131509</v>
      </c>
      <c r="M153" s="63">
        <v>20</v>
      </c>
      <c r="N153" s="25">
        <v>18421306.0275588</v>
      </c>
      <c r="O153" s="17">
        <v>0.12180076638763909</v>
      </c>
      <c r="P153" s="63">
        <v>17</v>
      </c>
      <c r="Q153" s="25">
        <v>18608497.309104301</v>
      </c>
      <c r="R153" s="66">
        <v>0.13969731870386212</v>
      </c>
      <c r="S153" s="77">
        <f t="shared" si="2"/>
        <v>0.13353681342427212</v>
      </c>
      <c r="V153" s="80"/>
    </row>
    <row r="154" spans="1:22" x14ac:dyDescent="0.25">
      <c r="A154" s="18" t="s">
        <v>837</v>
      </c>
      <c r="B154" s="18" t="s">
        <v>834</v>
      </c>
      <c r="C154" s="18" t="s">
        <v>836</v>
      </c>
      <c r="D154" t="s">
        <v>835</v>
      </c>
      <c r="E154" s="13" t="s">
        <v>838</v>
      </c>
      <c r="F154" s="3" t="s">
        <v>495</v>
      </c>
      <c r="G154" t="s">
        <v>839</v>
      </c>
      <c r="H154" t="s">
        <v>507</v>
      </c>
      <c r="I154" t="s">
        <v>17</v>
      </c>
      <c r="J154" s="63">
        <v>10</v>
      </c>
      <c r="K154" s="25">
        <v>12433942.956567001</v>
      </c>
      <c r="L154" s="17">
        <v>0.13920973502784781</v>
      </c>
      <c r="M154" s="63">
        <v>7</v>
      </c>
      <c r="N154" s="25">
        <v>11489606.9943466</v>
      </c>
      <c r="O154" s="17">
        <v>0.11797725422342886</v>
      </c>
      <c r="P154" s="63">
        <v>7</v>
      </c>
      <c r="Q154" s="25">
        <v>11109832.627301499</v>
      </c>
      <c r="R154" s="66">
        <v>0.12952326685769761</v>
      </c>
      <c r="S154" s="77">
        <f t="shared" si="2"/>
        <v>0.12890341870299143</v>
      </c>
      <c r="V154" s="80"/>
    </row>
    <row r="155" spans="1:22" x14ac:dyDescent="0.25">
      <c r="A155" s="18" t="s">
        <v>662</v>
      </c>
      <c r="B155" s="18" t="s">
        <v>659</v>
      </c>
      <c r="C155" s="18" t="s">
        <v>661</v>
      </c>
      <c r="D155" t="s">
        <v>660</v>
      </c>
      <c r="E155" s="13" t="s">
        <v>663</v>
      </c>
      <c r="F155" s="3" t="s">
        <v>495</v>
      </c>
      <c r="H155" t="s">
        <v>541</v>
      </c>
      <c r="I155" t="s">
        <v>547</v>
      </c>
      <c r="J155" s="63">
        <v>10</v>
      </c>
      <c r="K155" s="25">
        <v>7272455.7867667302</v>
      </c>
      <c r="L155" s="17">
        <v>0.12213301684919305</v>
      </c>
      <c r="M155" s="63">
        <v>10</v>
      </c>
      <c r="N155" s="25">
        <v>7461694.6086260397</v>
      </c>
      <c r="O155" s="17">
        <v>0.11492693904316514</v>
      </c>
      <c r="P155" s="63">
        <v>7</v>
      </c>
      <c r="Q155" s="25">
        <v>8367567.6841020798</v>
      </c>
      <c r="R155" s="66">
        <v>0.14632912193039724</v>
      </c>
      <c r="S155" s="77">
        <f t="shared" si="2"/>
        <v>0.12779635927425181</v>
      </c>
      <c r="V155" s="80"/>
    </row>
    <row r="156" spans="1:22" x14ac:dyDescent="0.25">
      <c r="A156" s="18" t="s">
        <v>1273</v>
      </c>
      <c r="B156" s="18" t="s">
        <v>1270</v>
      </c>
      <c r="C156" s="18" t="s">
        <v>1272</v>
      </c>
      <c r="D156" t="s">
        <v>1271</v>
      </c>
      <c r="E156" s="13" t="s">
        <v>1274</v>
      </c>
      <c r="F156" s="3" t="s">
        <v>495</v>
      </c>
      <c r="H156" t="s">
        <v>507</v>
      </c>
      <c r="I156" t="s">
        <v>17</v>
      </c>
      <c r="J156" s="63">
        <v>11</v>
      </c>
      <c r="K156" s="25">
        <v>9486677.86339969</v>
      </c>
      <c r="L156" s="17">
        <v>0.11948885850654796</v>
      </c>
      <c r="M156" s="63">
        <v>11</v>
      </c>
      <c r="N156" s="25">
        <v>10453126.8832813</v>
      </c>
      <c r="O156" s="17">
        <v>0.1207513111099992</v>
      </c>
      <c r="P156" s="63">
        <v>11</v>
      </c>
      <c r="Q156" s="25">
        <v>9260883.84810091</v>
      </c>
      <c r="R156" s="66">
        <v>0.12146334391474571</v>
      </c>
      <c r="S156" s="77">
        <f t="shared" si="2"/>
        <v>0.12056783784376429</v>
      </c>
      <c r="V156" s="80"/>
    </row>
    <row r="157" spans="1:22" x14ac:dyDescent="0.25">
      <c r="A157" s="18" t="s">
        <v>1828</v>
      </c>
      <c r="B157" s="18" t="s">
        <v>1825</v>
      </c>
      <c r="C157" s="18" t="s">
        <v>1827</v>
      </c>
      <c r="D157" t="s">
        <v>1826</v>
      </c>
      <c r="E157" s="13" t="s">
        <v>1829</v>
      </c>
      <c r="F157" s="3" t="s">
        <v>495</v>
      </c>
      <c r="H157" t="s">
        <v>552</v>
      </c>
      <c r="I157" t="s">
        <v>553</v>
      </c>
      <c r="J157" s="63">
        <v>11</v>
      </c>
      <c r="K157" s="25">
        <v>14353629.0565928</v>
      </c>
      <c r="L157" s="17">
        <v>0.12364183293821737</v>
      </c>
      <c r="M157" s="63">
        <v>12</v>
      </c>
      <c r="N157" s="25">
        <v>14980022.333615299</v>
      </c>
      <c r="O157" s="17">
        <v>0.11834462867598299</v>
      </c>
      <c r="P157" s="63">
        <v>14</v>
      </c>
      <c r="Q157" s="25">
        <v>13165646.353440899</v>
      </c>
      <c r="R157" s="66">
        <v>0.11809334893545941</v>
      </c>
      <c r="S157" s="77">
        <f t="shared" si="2"/>
        <v>0.12002660351655325</v>
      </c>
      <c r="V157" s="80"/>
    </row>
    <row r="158" spans="1:22" x14ac:dyDescent="0.25">
      <c r="A158" s="18" t="s">
        <v>1849</v>
      </c>
      <c r="B158" s="18" t="s">
        <v>1846</v>
      </c>
      <c r="C158" s="18" t="s">
        <v>1848</v>
      </c>
      <c r="D158" t="s">
        <v>1847</v>
      </c>
      <c r="E158" s="13" t="s">
        <v>1850</v>
      </c>
      <c r="F158" s="3" t="s">
        <v>495</v>
      </c>
      <c r="H158" t="s">
        <v>1851</v>
      </c>
      <c r="I158" t="s">
        <v>243</v>
      </c>
      <c r="J158" s="63">
        <v>12</v>
      </c>
      <c r="K158" s="25">
        <v>11173606.592348199</v>
      </c>
      <c r="L158" s="17">
        <v>0.12287650659532356</v>
      </c>
      <c r="M158" s="63">
        <v>11</v>
      </c>
      <c r="N158" s="25">
        <v>10669451.7309209</v>
      </c>
      <c r="O158" s="17">
        <v>0.10760933726246048</v>
      </c>
      <c r="P158" s="63">
        <v>12</v>
      </c>
      <c r="Q158" s="25">
        <v>11068478.2080226</v>
      </c>
      <c r="R158" s="66">
        <v>0.1267485299597623</v>
      </c>
      <c r="S158" s="77">
        <f t="shared" si="2"/>
        <v>0.11907812460584877</v>
      </c>
      <c r="V158" s="80"/>
    </row>
    <row r="159" spans="1:22" x14ac:dyDescent="0.25">
      <c r="A159" s="18" t="s">
        <v>1430</v>
      </c>
      <c r="B159" s="18" t="s">
        <v>1427</v>
      </c>
      <c r="C159" s="18" t="s">
        <v>1429</v>
      </c>
      <c r="D159" t="s">
        <v>1428</v>
      </c>
      <c r="E159" s="13" t="s">
        <v>1431</v>
      </c>
      <c r="F159" s="3" t="s">
        <v>495</v>
      </c>
      <c r="H159" t="s">
        <v>507</v>
      </c>
      <c r="I159" t="s">
        <v>553</v>
      </c>
      <c r="J159" s="63">
        <v>16</v>
      </c>
      <c r="K159" s="25">
        <v>14396709.353857201</v>
      </c>
      <c r="L159" s="17">
        <v>0.12500701722340157</v>
      </c>
      <c r="M159" s="63">
        <v>14</v>
      </c>
      <c r="N159" s="25">
        <v>14307145.8724968</v>
      </c>
      <c r="O159" s="17">
        <v>0.11393483692353003</v>
      </c>
      <c r="P159" s="63">
        <v>16</v>
      </c>
      <c r="Q159" s="25">
        <v>12865781.9422567</v>
      </c>
      <c r="R159" s="66">
        <v>0.11632870121667203</v>
      </c>
      <c r="S159" s="77">
        <f t="shared" si="2"/>
        <v>0.11842351845453454</v>
      </c>
      <c r="V159" s="80"/>
    </row>
    <row r="160" spans="1:22" x14ac:dyDescent="0.25">
      <c r="A160" s="18" t="s">
        <v>1478</v>
      </c>
      <c r="B160" s="18" t="s">
        <v>1475</v>
      </c>
      <c r="C160" s="18" t="s">
        <v>1477</v>
      </c>
      <c r="D160" t="s">
        <v>1476</v>
      </c>
      <c r="E160" s="13" t="s">
        <v>1479</v>
      </c>
      <c r="F160" s="3" t="s">
        <v>495</v>
      </c>
      <c r="H160" t="s">
        <v>541</v>
      </c>
      <c r="I160" t="s">
        <v>653</v>
      </c>
      <c r="J160" s="63">
        <v>9</v>
      </c>
      <c r="K160" s="25">
        <v>5476160.7646668404</v>
      </c>
      <c r="L160" s="17">
        <v>9.6846026377878591E-2</v>
      </c>
      <c r="M160" s="63">
        <v>6</v>
      </c>
      <c r="N160" s="25">
        <v>6389895.4094551299</v>
      </c>
      <c r="O160" s="17">
        <v>0.10364103486481095</v>
      </c>
      <c r="P160" s="63">
        <v>8</v>
      </c>
      <c r="Q160" s="25">
        <v>6629748.4308954403</v>
      </c>
      <c r="R160" s="66">
        <v>0.12209059306481394</v>
      </c>
      <c r="S160" s="77">
        <f t="shared" si="2"/>
        <v>0.10752588476916784</v>
      </c>
      <c r="V160" s="80"/>
    </row>
    <row r="161" spans="1:22" x14ac:dyDescent="0.25">
      <c r="A161" s="18" t="s">
        <v>1125</v>
      </c>
      <c r="B161" s="18" t="s">
        <v>1122</v>
      </c>
      <c r="C161" s="18" t="s">
        <v>1124</v>
      </c>
      <c r="D161" t="s">
        <v>1123</v>
      </c>
      <c r="E161" s="13" t="s">
        <v>1126</v>
      </c>
      <c r="F161" s="3" t="s">
        <v>495</v>
      </c>
      <c r="H161" t="s">
        <v>1127</v>
      </c>
      <c r="I161" t="s">
        <v>243</v>
      </c>
      <c r="J161" s="63">
        <v>7</v>
      </c>
      <c r="K161" s="25">
        <v>7470045.8201973699</v>
      </c>
      <c r="L161" s="17">
        <v>0.10934608943672147</v>
      </c>
      <c r="M161" s="63">
        <v>6</v>
      </c>
      <c r="N161" s="25">
        <v>7722343.9744573701</v>
      </c>
      <c r="O161" s="17">
        <v>0.10367200716348078</v>
      </c>
      <c r="P161" s="63">
        <v>6</v>
      </c>
      <c r="Q161" s="25">
        <v>6905879.0692662997</v>
      </c>
      <c r="R161" s="66">
        <v>0.1052636673218386</v>
      </c>
      <c r="S161" s="77">
        <f t="shared" si="2"/>
        <v>0.10609392130734696</v>
      </c>
      <c r="V161" s="80"/>
    </row>
    <row r="162" spans="1:22" x14ac:dyDescent="0.25">
      <c r="A162" s="18" t="s">
        <v>1966</v>
      </c>
      <c r="B162" s="18" t="s">
        <v>1963</v>
      </c>
      <c r="C162" s="18" t="s">
        <v>1965</v>
      </c>
      <c r="D162" t="s">
        <v>1964</v>
      </c>
      <c r="E162" s="13" t="s">
        <v>1967</v>
      </c>
      <c r="F162" s="3" t="s">
        <v>495</v>
      </c>
      <c r="G162" t="s">
        <v>1718</v>
      </c>
      <c r="H162" t="s">
        <v>507</v>
      </c>
      <c r="I162" t="s">
        <v>17</v>
      </c>
      <c r="J162" s="63">
        <v>12</v>
      </c>
      <c r="K162" s="25">
        <v>8067467.2355072396</v>
      </c>
      <c r="L162" s="17">
        <v>0.10280873003365994</v>
      </c>
      <c r="M162" s="63">
        <v>9</v>
      </c>
      <c r="N162" s="25">
        <v>8510005.0529045202</v>
      </c>
      <c r="O162" s="17">
        <v>9.9461493544059101E-2</v>
      </c>
      <c r="P162" s="63">
        <v>9</v>
      </c>
      <c r="Q162" s="25">
        <v>7634780.9738354702</v>
      </c>
      <c r="R162" s="66">
        <v>0.10131386979781583</v>
      </c>
      <c r="S162" s="77">
        <f t="shared" si="2"/>
        <v>0.10119469779184496</v>
      </c>
      <c r="V162" s="80"/>
    </row>
    <row r="163" spans="1:22" x14ac:dyDescent="0.25">
      <c r="A163" s="18" t="s">
        <v>1095</v>
      </c>
      <c r="B163" s="18" t="s">
        <v>1092</v>
      </c>
      <c r="C163" s="18" t="s">
        <v>1094</v>
      </c>
      <c r="D163" t="s">
        <v>1093</v>
      </c>
      <c r="E163" s="13" t="s">
        <v>1096</v>
      </c>
      <c r="F163" s="3" t="s">
        <v>495</v>
      </c>
      <c r="H163" t="s">
        <v>558</v>
      </c>
      <c r="I163" t="s">
        <v>12</v>
      </c>
      <c r="J163" s="63">
        <v>15</v>
      </c>
      <c r="K163" s="25">
        <v>14574993.8977708</v>
      </c>
      <c r="L163" s="17">
        <v>0.10420953515937528</v>
      </c>
      <c r="M163" s="63">
        <v>11</v>
      </c>
      <c r="N163" s="25">
        <v>17057247.118889499</v>
      </c>
      <c r="O163" s="17">
        <v>0.1118511343151618</v>
      </c>
      <c r="P163" s="63">
        <v>12</v>
      </c>
      <c r="Q163" s="25">
        <v>11504277.4778612</v>
      </c>
      <c r="R163" s="66">
        <v>8.5652089574216841E-2</v>
      </c>
      <c r="S163" s="77">
        <f t="shared" si="2"/>
        <v>0.10057091968291798</v>
      </c>
      <c r="V163" s="80"/>
    </row>
    <row r="164" spans="1:22" x14ac:dyDescent="0.25">
      <c r="A164" s="18" t="s">
        <v>853</v>
      </c>
      <c r="B164" s="18" t="s">
        <v>850</v>
      </c>
      <c r="C164" s="18" t="s">
        <v>852</v>
      </c>
      <c r="D164" t="s">
        <v>851</v>
      </c>
      <c r="E164" s="13" t="s">
        <v>854</v>
      </c>
      <c r="F164" s="3" t="s">
        <v>495</v>
      </c>
      <c r="G164" t="s">
        <v>855</v>
      </c>
      <c r="H164" t="s">
        <v>507</v>
      </c>
      <c r="I164" t="s">
        <v>17</v>
      </c>
      <c r="J164" s="63">
        <v>13</v>
      </c>
      <c r="K164" s="25">
        <v>9711589.4017512109</v>
      </c>
      <c r="L164" s="17">
        <v>0.10441357544081671</v>
      </c>
      <c r="M164" s="63">
        <v>12</v>
      </c>
      <c r="N164" s="25">
        <v>9422502.8023460507</v>
      </c>
      <c r="O164" s="17">
        <v>9.2910608556660654E-2</v>
      </c>
      <c r="P164" s="63">
        <v>15</v>
      </c>
      <c r="Q164" s="25">
        <v>9033316.4348283205</v>
      </c>
      <c r="R164" s="66">
        <v>0.10113312244394689</v>
      </c>
      <c r="S164" s="77">
        <f t="shared" si="2"/>
        <v>9.9485768813808093E-2</v>
      </c>
      <c r="V164" s="80"/>
    </row>
    <row r="165" spans="1:22" x14ac:dyDescent="0.25">
      <c r="A165" s="18" t="s">
        <v>1204</v>
      </c>
      <c r="B165" s="18" t="s">
        <v>1201</v>
      </c>
      <c r="C165" s="18" t="s">
        <v>1203</v>
      </c>
      <c r="D165" t="s">
        <v>1202</v>
      </c>
      <c r="E165" s="13" t="s">
        <v>1205</v>
      </c>
      <c r="F165" s="3" t="s">
        <v>495</v>
      </c>
      <c r="H165" t="s">
        <v>563</v>
      </c>
      <c r="I165" t="s">
        <v>716</v>
      </c>
      <c r="J165" s="63">
        <v>9</v>
      </c>
      <c r="K165" s="25">
        <v>11757165.6205632</v>
      </c>
      <c r="L165" s="17">
        <v>0.10525166521265715</v>
      </c>
      <c r="M165" s="63">
        <v>9</v>
      </c>
      <c r="N165" s="25">
        <v>10863481.599620599</v>
      </c>
      <c r="O165" s="17">
        <v>8.9192378816868367E-2</v>
      </c>
      <c r="P165" s="63">
        <v>8</v>
      </c>
      <c r="Q165" s="25">
        <v>10931988.478439299</v>
      </c>
      <c r="R165" s="66">
        <v>0.10190724061779724</v>
      </c>
      <c r="S165" s="77">
        <f t="shared" si="2"/>
        <v>9.8783761549107577E-2</v>
      </c>
      <c r="V165" s="80"/>
    </row>
    <row r="166" spans="1:22" x14ac:dyDescent="0.25">
      <c r="A166" s="18" t="s">
        <v>1249</v>
      </c>
      <c r="B166" s="18" t="s">
        <v>1246</v>
      </c>
      <c r="C166" s="18" t="s">
        <v>1248</v>
      </c>
      <c r="D166" t="s">
        <v>1247</v>
      </c>
      <c r="E166" s="13" t="s">
        <v>1250</v>
      </c>
      <c r="F166" s="3" t="s">
        <v>495</v>
      </c>
      <c r="H166" t="s">
        <v>541</v>
      </c>
      <c r="I166" t="s">
        <v>547</v>
      </c>
      <c r="J166" s="63">
        <v>10</v>
      </c>
      <c r="K166" s="25">
        <v>5656198.3598283101</v>
      </c>
      <c r="L166" s="17">
        <v>9.4989724219473923E-2</v>
      </c>
      <c r="M166" s="63">
        <v>9</v>
      </c>
      <c r="N166" s="25">
        <v>6329126.3213192802</v>
      </c>
      <c r="O166" s="17">
        <v>9.748283105634778E-2</v>
      </c>
      <c r="P166" s="63">
        <v>8</v>
      </c>
      <c r="Q166" s="25">
        <v>5393554.5699720997</v>
      </c>
      <c r="R166" s="66">
        <v>9.4320611927310685E-2</v>
      </c>
      <c r="S166" s="77">
        <f t="shared" si="2"/>
        <v>9.5597722401044125E-2</v>
      </c>
      <c r="V166" s="80"/>
    </row>
    <row r="167" spans="1:22" x14ac:dyDescent="0.25">
      <c r="A167" s="18" t="s">
        <v>1454</v>
      </c>
      <c r="B167" s="18" t="s">
        <v>1451</v>
      </c>
      <c r="C167" s="18" t="s">
        <v>1453</v>
      </c>
      <c r="D167" t="s">
        <v>1452</v>
      </c>
      <c r="E167" s="13" t="s">
        <v>1455</v>
      </c>
      <c r="F167" s="3" t="s">
        <v>495</v>
      </c>
      <c r="H167" t="s">
        <v>552</v>
      </c>
      <c r="I167" t="s">
        <v>553</v>
      </c>
      <c r="J167" s="63">
        <v>5</v>
      </c>
      <c r="K167" s="25">
        <v>6716662.0127527602</v>
      </c>
      <c r="L167" s="17">
        <v>8.8188357949587431E-2</v>
      </c>
      <c r="M167" s="63">
        <v>7</v>
      </c>
      <c r="N167" s="25">
        <v>8073984.3798270402</v>
      </c>
      <c r="O167" s="17">
        <v>9.7225019859977654E-2</v>
      </c>
      <c r="P167" s="63">
        <v>7</v>
      </c>
      <c r="Q167" s="25">
        <v>7067491.9415630903</v>
      </c>
      <c r="R167" s="66">
        <v>9.662791767494211E-2</v>
      </c>
      <c r="S167" s="77">
        <f t="shared" si="2"/>
        <v>9.4013765161502394E-2</v>
      </c>
      <c r="V167" s="80"/>
    </row>
    <row r="168" spans="1:22" x14ac:dyDescent="0.25">
      <c r="A168" s="18" t="s">
        <v>1575</v>
      </c>
      <c r="B168" s="18" t="s">
        <v>1572</v>
      </c>
      <c r="C168" s="18" t="s">
        <v>1574</v>
      </c>
      <c r="D168" t="s">
        <v>1573</v>
      </c>
      <c r="E168" s="13" t="s">
        <v>1576</v>
      </c>
      <c r="F168" s="3" t="s">
        <v>495</v>
      </c>
      <c r="H168" t="s">
        <v>496</v>
      </c>
      <c r="I168" t="s">
        <v>1577</v>
      </c>
      <c r="J168" s="63">
        <v>10</v>
      </c>
      <c r="K168" s="25">
        <v>8136814.6462468002</v>
      </c>
      <c r="L168" s="17">
        <v>8.9028885830270757E-2</v>
      </c>
      <c r="M168" s="63">
        <v>12</v>
      </c>
      <c r="N168" s="25">
        <v>10321115.956853701</v>
      </c>
      <c r="O168" s="17">
        <v>0.10357037457960061</v>
      </c>
      <c r="P168" s="63">
        <v>11</v>
      </c>
      <c r="Q168" s="25">
        <v>7667623.9548917999</v>
      </c>
      <c r="R168" s="66">
        <v>8.7360851440395071E-2</v>
      </c>
      <c r="S168" s="77">
        <f t="shared" si="2"/>
        <v>9.3320037283422141E-2</v>
      </c>
      <c r="V168" s="80"/>
    </row>
    <row r="169" spans="1:22" x14ac:dyDescent="0.25">
      <c r="A169" s="18" t="s">
        <v>1786</v>
      </c>
      <c r="B169" s="18" t="s">
        <v>8130</v>
      </c>
      <c r="C169" s="18" t="s">
        <v>1785</v>
      </c>
      <c r="D169" t="s">
        <v>1784</v>
      </c>
      <c r="E169" s="13" t="s">
        <v>1550</v>
      </c>
      <c r="F169" s="3" t="s">
        <v>495</v>
      </c>
      <c r="H169" t="s">
        <v>507</v>
      </c>
      <c r="I169" t="s">
        <v>17</v>
      </c>
      <c r="J169" s="63">
        <v>7</v>
      </c>
      <c r="K169" s="25">
        <v>8880822.0596186202</v>
      </c>
      <c r="L169" s="17">
        <v>9.7169436394797623E-2</v>
      </c>
      <c r="M169" s="63">
        <v>8</v>
      </c>
      <c r="N169" s="25">
        <v>8287292.7443514504</v>
      </c>
      <c r="O169" s="17">
        <v>8.316135748996413E-2</v>
      </c>
      <c r="P169" s="63">
        <v>6</v>
      </c>
      <c r="Q169" s="25">
        <v>8323408.7886540499</v>
      </c>
      <c r="R169" s="66">
        <v>9.4832516949319476E-2</v>
      </c>
      <c r="S169" s="77">
        <f t="shared" si="2"/>
        <v>9.1721103611360419E-2</v>
      </c>
      <c r="V169" s="80"/>
    </row>
    <row r="170" spans="1:22" x14ac:dyDescent="0.25">
      <c r="A170" s="18" t="s">
        <v>1772</v>
      </c>
      <c r="B170" s="18" t="s">
        <v>1769</v>
      </c>
      <c r="C170" s="18" t="s">
        <v>1771</v>
      </c>
      <c r="D170" t="s">
        <v>1770</v>
      </c>
      <c r="E170" s="13" t="s">
        <v>1773</v>
      </c>
      <c r="F170" s="3" t="s">
        <v>495</v>
      </c>
      <c r="H170" t="s">
        <v>552</v>
      </c>
      <c r="I170" t="s">
        <v>553</v>
      </c>
      <c r="J170" s="63">
        <v>7</v>
      </c>
      <c r="K170" s="25">
        <v>6839388.88547586</v>
      </c>
      <c r="L170" s="17">
        <v>8.7934459532427386E-2</v>
      </c>
      <c r="M170" s="63">
        <v>8</v>
      </c>
      <c r="N170" s="25">
        <v>8609208.3905231301</v>
      </c>
      <c r="O170" s="17">
        <v>0.10151667737751628</v>
      </c>
      <c r="P170" s="63">
        <v>9</v>
      </c>
      <c r="Q170" s="25">
        <v>6293825.73674013</v>
      </c>
      <c r="R170" s="66">
        <v>8.426283207248246E-2</v>
      </c>
      <c r="S170" s="77">
        <f t="shared" si="2"/>
        <v>9.1237989660808705E-2</v>
      </c>
      <c r="V170" s="80"/>
    </row>
    <row r="171" spans="1:22" x14ac:dyDescent="0.25">
      <c r="A171" s="18" t="s">
        <v>1712</v>
      </c>
      <c r="B171" s="18" t="s">
        <v>1709</v>
      </c>
      <c r="C171" s="18" t="s">
        <v>1711</v>
      </c>
      <c r="D171" t="s">
        <v>1710</v>
      </c>
      <c r="E171" s="13" t="s">
        <v>1328</v>
      </c>
      <c r="F171" s="3" t="s">
        <v>495</v>
      </c>
      <c r="H171" t="s">
        <v>558</v>
      </c>
      <c r="I171" t="s">
        <v>12</v>
      </c>
      <c r="J171" s="63">
        <v>18</v>
      </c>
      <c r="K171" s="25">
        <v>10797817.888602801</v>
      </c>
      <c r="L171" s="17">
        <v>9.6863591793012682E-2</v>
      </c>
      <c r="M171" s="63">
        <v>15</v>
      </c>
      <c r="N171" s="25">
        <v>9941349.4533254206</v>
      </c>
      <c r="O171" s="17">
        <v>8.1790391113711128E-2</v>
      </c>
      <c r="P171" s="63">
        <v>15</v>
      </c>
      <c r="Q171" s="25">
        <v>10015732.409633501</v>
      </c>
      <c r="R171" s="66">
        <v>9.3559269181280755E-2</v>
      </c>
      <c r="S171" s="77">
        <f t="shared" si="2"/>
        <v>9.0737750696001526E-2</v>
      </c>
      <c r="V171" s="80"/>
    </row>
    <row r="172" spans="1:22" x14ac:dyDescent="0.25">
      <c r="A172" s="18" t="s">
        <v>1043</v>
      </c>
      <c r="B172" s="18" t="s">
        <v>1040</v>
      </c>
      <c r="C172" s="18" t="s">
        <v>1042</v>
      </c>
      <c r="D172" t="s">
        <v>1041</v>
      </c>
      <c r="E172" s="13" t="s">
        <v>1044</v>
      </c>
      <c r="F172" s="3" t="s">
        <v>495</v>
      </c>
      <c r="H172" t="s">
        <v>563</v>
      </c>
      <c r="I172" t="s">
        <v>716</v>
      </c>
      <c r="J172" s="63">
        <v>15</v>
      </c>
      <c r="K172" s="25">
        <v>9343834.6926215608</v>
      </c>
      <c r="L172" s="17">
        <v>9.4151749016604488E-2</v>
      </c>
      <c r="M172" s="63">
        <v>16</v>
      </c>
      <c r="N172" s="25">
        <v>9691138.1565299705</v>
      </c>
      <c r="O172" s="17">
        <v>8.9559241104843021E-2</v>
      </c>
      <c r="P172" s="63">
        <v>14</v>
      </c>
      <c r="Q172" s="25">
        <v>8423924.6249338109</v>
      </c>
      <c r="R172" s="66">
        <v>8.8388803540824401E-2</v>
      </c>
      <c r="S172" s="77">
        <f t="shared" si="2"/>
        <v>9.0699931220757299E-2</v>
      </c>
      <c r="V172" s="80"/>
    </row>
    <row r="173" spans="1:22" x14ac:dyDescent="0.25">
      <c r="A173" s="18" t="s">
        <v>1659</v>
      </c>
      <c r="B173" s="18" t="s">
        <v>1656</v>
      </c>
      <c r="C173" s="18" t="s">
        <v>1658</v>
      </c>
      <c r="D173" t="s">
        <v>1657</v>
      </c>
      <c r="E173" s="13" t="s">
        <v>732</v>
      </c>
      <c r="F173" s="3" t="s">
        <v>495</v>
      </c>
      <c r="H173" t="s">
        <v>541</v>
      </c>
      <c r="I173" t="s">
        <v>547</v>
      </c>
      <c r="J173" s="63">
        <v>8</v>
      </c>
      <c r="K173" s="25">
        <v>7571048.9816068197</v>
      </c>
      <c r="L173" s="17">
        <v>8.1399682513819419E-2</v>
      </c>
      <c r="M173" s="63">
        <v>10</v>
      </c>
      <c r="N173" s="25">
        <v>9888954.72772309</v>
      </c>
      <c r="O173" s="17">
        <v>9.7510058740789635E-2</v>
      </c>
      <c r="P173" s="63">
        <v>8</v>
      </c>
      <c r="Q173" s="25">
        <v>7616277.3816590197</v>
      </c>
      <c r="R173" s="66">
        <v>8.5268563164312972E-2</v>
      </c>
      <c r="S173" s="77">
        <f t="shared" si="2"/>
        <v>8.8059434806307346E-2</v>
      </c>
      <c r="V173" s="80"/>
    </row>
    <row r="174" spans="1:22" x14ac:dyDescent="0.25">
      <c r="A174" s="18" t="s">
        <v>1844</v>
      </c>
      <c r="B174" s="18" t="s">
        <v>1841</v>
      </c>
      <c r="C174" s="18" t="s">
        <v>1843</v>
      </c>
      <c r="D174" t="s">
        <v>1842</v>
      </c>
      <c r="E174" s="13" t="s">
        <v>1845</v>
      </c>
      <c r="F174" s="3" t="s">
        <v>495</v>
      </c>
      <c r="G174" t="s">
        <v>807</v>
      </c>
      <c r="H174" t="s">
        <v>507</v>
      </c>
      <c r="I174" t="s">
        <v>808</v>
      </c>
      <c r="J174" s="63">
        <v>16</v>
      </c>
      <c r="K174" s="25">
        <v>10750269.3510445</v>
      </c>
      <c r="L174" s="17">
        <v>8.7719576424821616E-2</v>
      </c>
      <c r="M174" s="63">
        <v>15</v>
      </c>
      <c r="N174" s="25">
        <v>11250728.710242899</v>
      </c>
      <c r="O174" s="17">
        <v>8.4195757207790933E-2</v>
      </c>
      <c r="P174" s="63">
        <v>15</v>
      </c>
      <c r="Q174" s="25">
        <v>10594980.1249662</v>
      </c>
      <c r="R174" s="66">
        <v>9.0023701079240084E-2</v>
      </c>
      <c r="S174" s="77">
        <f t="shared" si="2"/>
        <v>8.7313011570617549E-2</v>
      </c>
      <c r="V174" s="80"/>
    </row>
    <row r="175" spans="1:22" x14ac:dyDescent="0.25">
      <c r="A175" s="18" t="s">
        <v>684</v>
      </c>
      <c r="B175" s="18" t="s">
        <v>681</v>
      </c>
      <c r="C175" s="18" t="s">
        <v>683</v>
      </c>
      <c r="D175" t="s">
        <v>682</v>
      </c>
      <c r="E175" s="13" t="s">
        <v>685</v>
      </c>
      <c r="F175" s="3" t="s">
        <v>495</v>
      </c>
      <c r="G175" t="s">
        <v>686</v>
      </c>
      <c r="H175" t="s">
        <v>507</v>
      </c>
      <c r="I175" t="s">
        <v>17</v>
      </c>
      <c r="J175" s="63">
        <v>9</v>
      </c>
      <c r="K175" s="25">
        <v>7432523.8799153203</v>
      </c>
      <c r="L175" s="17">
        <v>8.6802874030884741E-2</v>
      </c>
      <c r="M175" s="63">
        <v>12</v>
      </c>
      <c r="N175" s="25">
        <v>7393226.9577400796</v>
      </c>
      <c r="O175" s="17">
        <v>7.918888067677804E-2</v>
      </c>
      <c r="P175" s="63">
        <v>10</v>
      </c>
      <c r="Q175" s="25">
        <v>7355775.8509060396</v>
      </c>
      <c r="R175" s="66">
        <v>8.9455246263274446E-2</v>
      </c>
      <c r="S175" s="77">
        <f t="shared" si="2"/>
        <v>8.5149000323645738E-2</v>
      </c>
      <c r="V175" s="80"/>
    </row>
    <row r="176" spans="1:22" x14ac:dyDescent="0.25">
      <c r="A176" s="18" t="s">
        <v>1259</v>
      </c>
      <c r="B176" s="18" t="s">
        <v>1256</v>
      </c>
      <c r="C176" s="18" t="s">
        <v>1258</v>
      </c>
      <c r="D176" t="s">
        <v>1257</v>
      </c>
      <c r="E176" s="13" t="s">
        <v>1260</v>
      </c>
      <c r="F176" s="3" t="s">
        <v>495</v>
      </c>
      <c r="H176" t="s">
        <v>558</v>
      </c>
      <c r="I176" t="s">
        <v>12</v>
      </c>
      <c r="J176" s="63">
        <v>9</v>
      </c>
      <c r="K176" s="25">
        <v>5362425.6138279401</v>
      </c>
      <c r="L176" s="17">
        <v>7.9298571093762468E-2</v>
      </c>
      <c r="M176" s="63">
        <v>8</v>
      </c>
      <c r="N176" s="25">
        <v>6201049.1530396799</v>
      </c>
      <c r="O176" s="17">
        <v>8.4101090863084912E-2</v>
      </c>
      <c r="P176" s="63">
        <v>7</v>
      </c>
      <c r="Q176" s="25">
        <v>5105848.8220786303</v>
      </c>
      <c r="R176" s="66">
        <v>7.8623354619558536E-2</v>
      </c>
      <c r="S176" s="77">
        <f t="shared" si="2"/>
        <v>8.0674338858801972E-2</v>
      </c>
      <c r="V176" s="80"/>
    </row>
    <row r="177" spans="1:22" x14ac:dyDescent="0.25">
      <c r="A177" s="18" t="s">
        <v>1359</v>
      </c>
      <c r="B177" s="18" t="s">
        <v>1356</v>
      </c>
      <c r="C177" s="18" t="s">
        <v>1358</v>
      </c>
      <c r="D177" t="s">
        <v>1357</v>
      </c>
      <c r="E177" s="13" t="s">
        <v>1360</v>
      </c>
      <c r="F177" s="3" t="s">
        <v>495</v>
      </c>
      <c r="G177" t="s">
        <v>1361</v>
      </c>
      <c r="H177" t="s">
        <v>507</v>
      </c>
      <c r="I177" t="s">
        <v>17</v>
      </c>
      <c r="J177" s="63">
        <v>9</v>
      </c>
      <c r="K177" s="25">
        <v>6327872.8011189299</v>
      </c>
      <c r="L177" s="17">
        <v>8.1357864580268779E-2</v>
      </c>
      <c r="M177" s="63">
        <v>8</v>
      </c>
      <c r="N177" s="25">
        <v>6376503.0589771103</v>
      </c>
      <c r="O177" s="17">
        <v>7.5189422124743166E-2</v>
      </c>
      <c r="P177" s="63">
        <v>9</v>
      </c>
      <c r="Q177" s="25">
        <v>6161761.9896207601</v>
      </c>
      <c r="R177" s="66">
        <v>8.2494739689272442E-2</v>
      </c>
      <c r="S177" s="77">
        <f t="shared" si="2"/>
        <v>7.9680675464761472E-2</v>
      </c>
      <c r="V177" s="80"/>
    </row>
    <row r="178" spans="1:22" x14ac:dyDescent="0.25">
      <c r="A178" s="18" t="s">
        <v>1732</v>
      </c>
      <c r="B178" s="18" t="s">
        <v>1729</v>
      </c>
      <c r="C178" s="18" t="s">
        <v>1731</v>
      </c>
      <c r="D178" t="s">
        <v>1730</v>
      </c>
      <c r="E178" s="13" t="s">
        <v>1733</v>
      </c>
      <c r="F178" s="3" t="s">
        <v>495</v>
      </c>
      <c r="H178" t="s">
        <v>507</v>
      </c>
      <c r="I178" t="s">
        <v>17</v>
      </c>
      <c r="J178" s="63">
        <v>14</v>
      </c>
      <c r="K178" s="25">
        <v>9095404.1989764199</v>
      </c>
      <c r="L178" s="17">
        <v>8.5116295580090068E-2</v>
      </c>
      <c r="M178" s="63">
        <v>11</v>
      </c>
      <c r="N178" s="25">
        <v>8506798.5988540705</v>
      </c>
      <c r="O178" s="17">
        <v>7.3011157785087974E-2</v>
      </c>
      <c r="P178" s="63">
        <v>14</v>
      </c>
      <c r="Q178" s="25">
        <v>8197211.5197358597</v>
      </c>
      <c r="R178" s="66">
        <v>7.9879693391742571E-2</v>
      </c>
      <c r="S178" s="77">
        <f t="shared" si="2"/>
        <v>7.933571558564019E-2</v>
      </c>
      <c r="V178" s="80"/>
    </row>
    <row r="179" spans="1:22" x14ac:dyDescent="0.25">
      <c r="A179" s="18" t="s">
        <v>1936</v>
      </c>
      <c r="B179" s="18" t="s">
        <v>1933</v>
      </c>
      <c r="C179" s="18" t="s">
        <v>1935</v>
      </c>
      <c r="D179" t="s">
        <v>1934</v>
      </c>
      <c r="E179" s="13" t="s">
        <v>1937</v>
      </c>
      <c r="F179" s="3" t="s">
        <v>495</v>
      </c>
      <c r="H179" t="s">
        <v>1938</v>
      </c>
      <c r="I179" t="s">
        <v>243</v>
      </c>
      <c r="J179" s="63">
        <v>13</v>
      </c>
      <c r="K179" s="25">
        <v>8877459.3925119806</v>
      </c>
      <c r="L179" s="17">
        <v>8.4352032775637367E-2</v>
      </c>
      <c r="M179" s="63">
        <v>10</v>
      </c>
      <c r="N179" s="25">
        <v>8276741.1609934</v>
      </c>
      <c r="O179" s="17">
        <v>7.2127122522813822E-2</v>
      </c>
      <c r="P179" s="63">
        <v>10</v>
      </c>
      <c r="Q179" s="25">
        <v>8215299.7977248002</v>
      </c>
      <c r="R179" s="66">
        <v>8.1284888148750761E-2</v>
      </c>
      <c r="S179" s="77">
        <f t="shared" si="2"/>
        <v>7.9254681149067321E-2</v>
      </c>
      <c r="V179" s="80"/>
    </row>
    <row r="180" spans="1:22" x14ac:dyDescent="0.25">
      <c r="A180" s="18" t="s">
        <v>1375</v>
      </c>
      <c r="B180" s="18" t="s">
        <v>8126</v>
      </c>
      <c r="C180" s="18" t="s">
        <v>1374</v>
      </c>
      <c r="D180" t="s">
        <v>1373</v>
      </c>
      <c r="E180" s="13" t="s">
        <v>1376</v>
      </c>
      <c r="F180" s="3" t="s">
        <v>495</v>
      </c>
      <c r="H180" t="s">
        <v>1377</v>
      </c>
      <c r="I180" t="s">
        <v>243</v>
      </c>
      <c r="J180" s="63">
        <v>6</v>
      </c>
      <c r="K180" s="25">
        <v>3443008.4944521999</v>
      </c>
      <c r="L180" s="17">
        <v>7.1377857731552655E-2</v>
      </c>
      <c r="M180" s="63">
        <v>7</v>
      </c>
      <c r="N180" s="25">
        <v>4270434.7811121596</v>
      </c>
      <c r="O180" s="17">
        <v>8.1195111595916303E-2</v>
      </c>
      <c r="P180" s="63">
        <v>8</v>
      </c>
      <c r="Q180" s="25">
        <v>3709585.3277400499</v>
      </c>
      <c r="R180" s="66">
        <v>8.0081153024114157E-2</v>
      </c>
      <c r="S180" s="77">
        <f t="shared" si="2"/>
        <v>7.7551374117194372E-2</v>
      </c>
      <c r="V180" s="80"/>
    </row>
    <row r="181" spans="1:22" x14ac:dyDescent="0.25">
      <c r="A181" s="18" t="s">
        <v>1905</v>
      </c>
      <c r="B181" s="18" t="s">
        <v>1902</v>
      </c>
      <c r="C181" s="18" t="s">
        <v>1904</v>
      </c>
      <c r="D181" t="s">
        <v>1903</v>
      </c>
      <c r="E181" s="13" t="s">
        <v>1906</v>
      </c>
      <c r="F181" s="3" t="s">
        <v>495</v>
      </c>
      <c r="G181" t="s">
        <v>1907</v>
      </c>
      <c r="H181" t="s">
        <v>541</v>
      </c>
      <c r="I181" t="s">
        <v>553</v>
      </c>
      <c r="J181" s="63">
        <v>17</v>
      </c>
      <c r="K181" s="25">
        <v>11585542.714477999</v>
      </c>
      <c r="L181" s="17">
        <v>7.4367693331082063E-2</v>
      </c>
      <c r="M181" s="63">
        <v>14</v>
      </c>
      <c r="N181" s="25">
        <v>12256619.924681099</v>
      </c>
      <c r="O181" s="17">
        <v>7.2155762700300802E-2</v>
      </c>
      <c r="P181" s="63">
        <v>17</v>
      </c>
      <c r="Q181" s="25">
        <v>12088297.839937201</v>
      </c>
      <c r="R181" s="66">
        <v>8.0800233833209056E-2</v>
      </c>
      <c r="S181" s="77">
        <f t="shared" si="2"/>
        <v>7.5774563288197302E-2</v>
      </c>
      <c r="V181" s="80"/>
    </row>
    <row r="182" spans="1:22" x14ac:dyDescent="0.25">
      <c r="A182" s="18" t="s">
        <v>1590</v>
      </c>
      <c r="B182" s="18" t="s">
        <v>1587</v>
      </c>
      <c r="C182" s="18" t="s">
        <v>1589</v>
      </c>
      <c r="D182" t="s">
        <v>1588</v>
      </c>
      <c r="E182" s="13" t="s">
        <v>1591</v>
      </c>
      <c r="F182" s="3" t="s">
        <v>495</v>
      </c>
      <c r="H182" t="s">
        <v>496</v>
      </c>
      <c r="I182" t="s">
        <v>172</v>
      </c>
      <c r="J182" s="63">
        <v>11</v>
      </c>
      <c r="K182" s="25">
        <v>6737154.1536774402</v>
      </c>
      <c r="L182" s="17">
        <v>7.5234399734191923E-2</v>
      </c>
      <c r="M182" s="63">
        <v>13</v>
      </c>
      <c r="N182" s="25">
        <v>7283677.1124914298</v>
      </c>
      <c r="O182" s="17">
        <v>7.4597287346715821E-2</v>
      </c>
      <c r="P182" s="63">
        <v>11</v>
      </c>
      <c r="Q182" s="25">
        <v>6522987.4347817795</v>
      </c>
      <c r="R182" s="66">
        <v>7.58518285757077E-2</v>
      </c>
      <c r="S182" s="77">
        <f t="shared" si="2"/>
        <v>7.5227838552205148E-2</v>
      </c>
      <c r="V182" s="80"/>
    </row>
    <row r="183" spans="1:22" x14ac:dyDescent="0.25">
      <c r="A183" s="18" t="s">
        <v>745</v>
      </c>
      <c r="B183" s="18" t="s">
        <v>742</v>
      </c>
      <c r="C183" s="18" t="s">
        <v>744</v>
      </c>
      <c r="D183" t="s">
        <v>743</v>
      </c>
      <c r="E183" s="13" t="s">
        <v>746</v>
      </c>
      <c r="F183" s="3" t="s">
        <v>495</v>
      </c>
      <c r="H183" t="s">
        <v>552</v>
      </c>
      <c r="I183" t="s">
        <v>553</v>
      </c>
      <c r="J183" s="63">
        <v>21</v>
      </c>
      <c r="K183" s="25">
        <v>17797939.3696367</v>
      </c>
      <c r="L183" s="17">
        <v>7.8289801820442748E-2</v>
      </c>
      <c r="M183" s="63">
        <v>23</v>
      </c>
      <c r="N183" s="25">
        <v>14865183.593616899</v>
      </c>
      <c r="O183" s="17">
        <v>5.9970562504465197E-2</v>
      </c>
      <c r="P183" s="63">
        <v>26</v>
      </c>
      <c r="Q183" s="25">
        <v>19067734.763630901</v>
      </c>
      <c r="R183" s="66">
        <v>8.7340185544246801E-2</v>
      </c>
      <c r="S183" s="77">
        <f t="shared" si="2"/>
        <v>7.5200183289718253E-2</v>
      </c>
      <c r="V183" s="80"/>
    </row>
    <row r="184" spans="1:22" x14ac:dyDescent="0.25">
      <c r="A184" s="18" t="s">
        <v>1916</v>
      </c>
      <c r="B184" s="18" t="s">
        <v>1913</v>
      </c>
      <c r="C184" s="18" t="s">
        <v>1915</v>
      </c>
      <c r="D184" t="s">
        <v>1914</v>
      </c>
      <c r="E184" s="13" t="s">
        <v>1917</v>
      </c>
      <c r="F184" s="3" t="s">
        <v>495</v>
      </c>
      <c r="G184" t="s">
        <v>692</v>
      </c>
      <c r="H184" t="s">
        <v>507</v>
      </c>
      <c r="I184" t="s">
        <v>693</v>
      </c>
      <c r="J184" s="63">
        <v>12</v>
      </c>
      <c r="K184" s="25">
        <v>4996927.0443481198</v>
      </c>
      <c r="L184" s="17">
        <v>7.5702230684204883E-2</v>
      </c>
      <c r="M184" s="63">
        <v>9</v>
      </c>
      <c r="N184" s="25">
        <v>5615052.1324498998</v>
      </c>
      <c r="O184" s="17">
        <v>7.801746507103198E-2</v>
      </c>
      <c r="P184" s="63">
        <v>11</v>
      </c>
      <c r="Q184" s="25">
        <v>4526027.8747882498</v>
      </c>
      <c r="R184" s="66">
        <v>7.1400693457122341E-2</v>
      </c>
      <c r="S184" s="77">
        <f t="shared" si="2"/>
        <v>7.5040129737453068E-2</v>
      </c>
      <c r="V184" s="80"/>
    </row>
    <row r="185" spans="1:22" x14ac:dyDescent="0.25">
      <c r="A185" s="18" t="s">
        <v>1620</v>
      </c>
      <c r="B185" s="18" t="s">
        <v>1617</v>
      </c>
      <c r="C185" s="18" t="s">
        <v>1619</v>
      </c>
      <c r="D185" t="s">
        <v>1618</v>
      </c>
      <c r="E185" s="13" t="s">
        <v>1621</v>
      </c>
      <c r="F185" s="3" t="s">
        <v>495</v>
      </c>
      <c r="H185" t="s">
        <v>541</v>
      </c>
      <c r="I185" t="s">
        <v>547</v>
      </c>
      <c r="J185" s="63">
        <v>8</v>
      </c>
      <c r="K185" s="25">
        <v>6386332.5501472</v>
      </c>
      <c r="L185" s="17">
        <v>7.1501024671837027E-2</v>
      </c>
      <c r="M185" s="63">
        <v>4</v>
      </c>
      <c r="N185" s="25">
        <v>7082523.3295389302</v>
      </c>
      <c r="O185" s="17">
        <v>7.2724563669020401E-2</v>
      </c>
      <c r="P185" s="63">
        <v>9</v>
      </c>
      <c r="Q185" s="25">
        <v>6925433.9036188098</v>
      </c>
      <c r="R185" s="66">
        <v>8.0739724323069681E-2</v>
      </c>
      <c r="S185" s="77">
        <f t="shared" si="2"/>
        <v>7.4988437554642365E-2</v>
      </c>
      <c r="V185" s="80"/>
    </row>
    <row r="186" spans="1:22" x14ac:dyDescent="0.25">
      <c r="A186" s="18" t="s">
        <v>582</v>
      </c>
      <c r="B186" s="18" t="s">
        <v>8114</v>
      </c>
      <c r="C186" s="18" t="s">
        <v>584</v>
      </c>
      <c r="D186" t="s">
        <v>583</v>
      </c>
      <c r="E186" s="13" t="s">
        <v>585</v>
      </c>
      <c r="F186" s="3" t="s">
        <v>495</v>
      </c>
      <c r="H186" t="s">
        <v>541</v>
      </c>
      <c r="I186" t="s">
        <v>542</v>
      </c>
      <c r="J186" s="63">
        <v>14</v>
      </c>
      <c r="K186" s="25">
        <v>7698494.7397288503</v>
      </c>
      <c r="L186" s="17">
        <v>8.1555679517808219E-2</v>
      </c>
      <c r="M186" s="63">
        <v>8</v>
      </c>
      <c r="N186" s="25">
        <v>7298165.8961972799</v>
      </c>
      <c r="O186" s="17">
        <v>7.0907879617030045E-2</v>
      </c>
      <c r="P186" s="63">
        <v>13</v>
      </c>
      <c r="Q186" s="25">
        <v>6480893.61167337</v>
      </c>
      <c r="R186" s="66">
        <v>7.1492884999144413E-2</v>
      </c>
      <c r="S186" s="77">
        <f t="shared" si="2"/>
        <v>7.4652148044660901E-2</v>
      </c>
      <c r="V186" s="80"/>
    </row>
    <row r="187" spans="1:22" x14ac:dyDescent="0.25">
      <c r="A187" s="18" t="s">
        <v>630</v>
      </c>
      <c r="B187" s="18" t="s">
        <v>627</v>
      </c>
      <c r="C187" s="18" t="s">
        <v>629</v>
      </c>
      <c r="D187" t="s">
        <v>628</v>
      </c>
      <c r="E187" s="13" t="s">
        <v>631</v>
      </c>
      <c r="F187" s="3" t="s">
        <v>495</v>
      </c>
      <c r="H187" t="s">
        <v>632</v>
      </c>
      <c r="I187" t="s">
        <v>243</v>
      </c>
      <c r="J187" s="63">
        <v>6</v>
      </c>
      <c r="K187" s="25">
        <v>4387048.5438828599</v>
      </c>
      <c r="L187" s="17">
        <v>6.8130243006547533E-2</v>
      </c>
      <c r="M187" s="63">
        <v>6</v>
      </c>
      <c r="N187" s="25">
        <v>5819606.3210712401</v>
      </c>
      <c r="O187" s="17">
        <v>8.2888347071435942E-2</v>
      </c>
      <c r="P187" s="63">
        <v>6</v>
      </c>
      <c r="Q187" s="25">
        <v>4343322.5652064104</v>
      </c>
      <c r="R187" s="66">
        <v>7.0237512036753297E-2</v>
      </c>
      <c r="S187" s="77">
        <f t="shared" si="2"/>
        <v>7.3752034038245581E-2</v>
      </c>
      <c r="V187" s="80"/>
    </row>
    <row r="188" spans="1:22" x14ac:dyDescent="0.25">
      <c r="A188" s="18" t="s">
        <v>1705</v>
      </c>
      <c r="B188" s="18" t="s">
        <v>1702</v>
      </c>
      <c r="C188" s="18" t="s">
        <v>1704</v>
      </c>
      <c r="D188" t="s">
        <v>1703</v>
      </c>
      <c r="E188" s="13" t="s">
        <v>1706</v>
      </c>
      <c r="F188" s="3" t="s">
        <v>495</v>
      </c>
      <c r="G188" t="s">
        <v>1707</v>
      </c>
      <c r="H188" t="s">
        <v>558</v>
      </c>
      <c r="I188" t="s">
        <v>1708</v>
      </c>
      <c r="J188" s="63">
        <v>9</v>
      </c>
      <c r="K188" s="25">
        <v>10413083.2234398</v>
      </c>
      <c r="L188" s="17">
        <v>7.507175497318215E-2</v>
      </c>
      <c r="M188" s="63">
        <v>9</v>
      </c>
      <c r="N188" s="25">
        <v>10444371.945055701</v>
      </c>
      <c r="O188" s="17">
        <v>6.9057671885055419E-2</v>
      </c>
      <c r="P188" s="63">
        <v>10</v>
      </c>
      <c r="Q188" s="25">
        <v>9921694.0107343104</v>
      </c>
      <c r="R188" s="66">
        <v>7.4483932113187351E-2</v>
      </c>
      <c r="S188" s="77">
        <f t="shared" si="2"/>
        <v>7.2871119657141645E-2</v>
      </c>
      <c r="V188" s="80"/>
    </row>
    <row r="189" spans="1:22" x14ac:dyDescent="0.25">
      <c r="A189" s="18" t="s">
        <v>1625</v>
      </c>
      <c r="B189" s="18" t="s">
        <v>1622</v>
      </c>
      <c r="C189" s="18" t="s">
        <v>1624</v>
      </c>
      <c r="D189" t="s">
        <v>1623</v>
      </c>
      <c r="E189" s="13" t="s">
        <v>1626</v>
      </c>
      <c r="F189" s="3" t="s">
        <v>495</v>
      </c>
      <c r="H189" t="s">
        <v>496</v>
      </c>
      <c r="I189" t="s">
        <v>172</v>
      </c>
      <c r="J189" s="63">
        <v>12</v>
      </c>
      <c r="K189" s="25">
        <v>7856251.2407949101</v>
      </c>
      <c r="L189" s="17">
        <v>7.5644011343195802E-2</v>
      </c>
      <c r="M189" s="63">
        <v>14</v>
      </c>
      <c r="N189" s="25">
        <v>7670693.18851976</v>
      </c>
      <c r="O189" s="17">
        <v>6.7737033642908409E-2</v>
      </c>
      <c r="P189" s="63">
        <v>11</v>
      </c>
      <c r="Q189" s="25">
        <v>7360036.5300548701</v>
      </c>
      <c r="R189" s="66">
        <v>7.3793599461702872E-2</v>
      </c>
      <c r="S189" s="77">
        <f t="shared" si="2"/>
        <v>7.2391548149269028E-2</v>
      </c>
      <c r="V189" s="80"/>
    </row>
    <row r="190" spans="1:22" x14ac:dyDescent="0.25">
      <c r="A190" s="18" t="s">
        <v>604</v>
      </c>
      <c r="B190" s="18" t="s">
        <v>601</v>
      </c>
      <c r="C190" s="18" t="s">
        <v>603</v>
      </c>
      <c r="D190" t="s">
        <v>602</v>
      </c>
      <c r="E190" s="13" t="s">
        <v>605</v>
      </c>
      <c r="F190" s="3" t="s">
        <v>495</v>
      </c>
      <c r="H190" t="s">
        <v>512</v>
      </c>
      <c r="I190" t="s">
        <v>243</v>
      </c>
      <c r="J190" s="63">
        <v>7</v>
      </c>
      <c r="K190" s="25">
        <v>4004046.6125323498</v>
      </c>
      <c r="L190" s="17">
        <v>6.4976986305693249E-2</v>
      </c>
      <c r="M190" s="63">
        <v>7</v>
      </c>
      <c r="N190" s="25">
        <v>4909440.7529002996</v>
      </c>
      <c r="O190" s="17">
        <v>7.3067599139800279E-2</v>
      </c>
      <c r="P190" s="63">
        <v>7</v>
      </c>
      <c r="Q190" s="25">
        <v>4620938.0215931404</v>
      </c>
      <c r="R190" s="66">
        <v>7.8085450592275243E-2</v>
      </c>
      <c r="S190" s="77">
        <f t="shared" si="2"/>
        <v>7.2043345345922924E-2</v>
      </c>
      <c r="V190" s="80"/>
    </row>
    <row r="191" spans="1:22" x14ac:dyDescent="0.25">
      <c r="A191" s="18" t="s">
        <v>2038</v>
      </c>
      <c r="B191" s="18" t="s">
        <v>2035</v>
      </c>
      <c r="C191" s="18" t="s">
        <v>2037</v>
      </c>
      <c r="D191" t="s">
        <v>2036</v>
      </c>
      <c r="E191" s="13" t="s">
        <v>2039</v>
      </c>
      <c r="F191" s="3" t="s">
        <v>495</v>
      </c>
      <c r="H191" t="s">
        <v>501</v>
      </c>
      <c r="I191" t="s">
        <v>243</v>
      </c>
      <c r="J191" s="63">
        <v>13</v>
      </c>
      <c r="K191" s="25">
        <v>7931491.6280798102</v>
      </c>
      <c r="L191" s="17">
        <v>7.4384867857958642E-2</v>
      </c>
      <c r="M191" s="63">
        <v>9</v>
      </c>
      <c r="N191" s="25">
        <v>6982213.5042326804</v>
      </c>
      <c r="O191" s="17">
        <v>6.0055837072367502E-2</v>
      </c>
      <c r="P191" s="63">
        <v>11</v>
      </c>
      <c r="Q191" s="25">
        <v>7646850.5494882101</v>
      </c>
      <c r="R191" s="66">
        <v>7.4677860212247885E-2</v>
      </c>
      <c r="S191" s="77">
        <f t="shared" si="2"/>
        <v>6.9706188380858014E-2</v>
      </c>
      <c r="V191" s="80"/>
    </row>
    <row r="192" spans="1:22" x14ac:dyDescent="0.25">
      <c r="A192" s="18" t="s">
        <v>1010</v>
      </c>
      <c r="B192" s="18" t="s">
        <v>1007</v>
      </c>
      <c r="C192" s="18" t="s">
        <v>1009</v>
      </c>
      <c r="D192" t="s">
        <v>1008</v>
      </c>
      <c r="E192" s="13" t="s">
        <v>797</v>
      </c>
      <c r="F192" s="3" t="s">
        <v>495</v>
      </c>
      <c r="H192" t="s">
        <v>1011</v>
      </c>
      <c r="I192" t="s">
        <v>243</v>
      </c>
      <c r="J192" s="63">
        <v>9</v>
      </c>
      <c r="K192" s="25">
        <v>7534848.8638609303</v>
      </c>
      <c r="L192" s="17">
        <v>7.2549384618393636E-2</v>
      </c>
      <c r="M192" s="63">
        <v>5</v>
      </c>
      <c r="N192" s="25">
        <v>7218813.1127924901</v>
      </c>
      <c r="O192" s="17">
        <v>6.3746649053167723E-2</v>
      </c>
      <c r="P192" s="63">
        <v>5</v>
      </c>
      <c r="Q192" s="25">
        <v>6999763.8513755603</v>
      </c>
      <c r="R192" s="66">
        <v>7.0181413891849787E-2</v>
      </c>
      <c r="S192" s="77">
        <f t="shared" si="2"/>
        <v>6.8825815854470382E-2</v>
      </c>
      <c r="V192" s="80"/>
    </row>
    <row r="193" spans="1:22" x14ac:dyDescent="0.25">
      <c r="A193" s="18" t="s">
        <v>1761</v>
      </c>
      <c r="B193" s="18" t="s">
        <v>1758</v>
      </c>
      <c r="C193" s="18" t="s">
        <v>1760</v>
      </c>
      <c r="D193" t="s">
        <v>1759</v>
      </c>
      <c r="E193" s="13" t="s">
        <v>1762</v>
      </c>
      <c r="F193" s="3" t="s">
        <v>495</v>
      </c>
      <c r="H193" t="s">
        <v>563</v>
      </c>
      <c r="I193" t="s">
        <v>1763</v>
      </c>
      <c r="J193" s="63">
        <v>5</v>
      </c>
      <c r="K193" s="25">
        <v>4707087.4626331003</v>
      </c>
      <c r="L193" s="17">
        <v>6.0162277851811795E-2</v>
      </c>
      <c r="M193" s="63">
        <v>5</v>
      </c>
      <c r="N193" s="25">
        <v>5411857.2224932602</v>
      </c>
      <c r="O193" s="17">
        <v>6.3438178953553276E-2</v>
      </c>
      <c r="P193" s="63">
        <v>5</v>
      </c>
      <c r="Q193" s="25">
        <v>4825072.4163144697</v>
      </c>
      <c r="R193" s="66">
        <v>6.4217793027485662E-2</v>
      </c>
      <c r="S193" s="77">
        <f t="shared" si="2"/>
        <v>6.2606083277616909E-2</v>
      </c>
      <c r="V193" s="80"/>
    </row>
    <row r="194" spans="1:22" x14ac:dyDescent="0.25">
      <c r="A194" s="18" t="s">
        <v>962</v>
      </c>
      <c r="B194" s="18" t="s">
        <v>959</v>
      </c>
      <c r="C194" s="18" t="s">
        <v>961</v>
      </c>
      <c r="D194" t="s">
        <v>960</v>
      </c>
      <c r="E194" s="13" t="s">
        <v>721</v>
      </c>
      <c r="F194" s="3" t="s">
        <v>495</v>
      </c>
      <c r="H194" t="s">
        <v>541</v>
      </c>
      <c r="I194" t="s">
        <v>547</v>
      </c>
      <c r="J194" s="63">
        <v>10</v>
      </c>
      <c r="K194" s="25">
        <v>5959231.4328149501</v>
      </c>
      <c r="L194" s="17">
        <v>6.2823211177895438E-2</v>
      </c>
      <c r="M194" s="63">
        <v>7</v>
      </c>
      <c r="N194" s="25">
        <v>6198700.9456742201</v>
      </c>
      <c r="O194" s="17">
        <v>5.9932575080099443E-2</v>
      </c>
      <c r="P194" s="63">
        <v>9</v>
      </c>
      <c r="Q194" s="25">
        <v>5632530.3846543701</v>
      </c>
      <c r="R194" s="66">
        <v>6.1831952385042764E-2</v>
      </c>
      <c r="S194" s="77">
        <f t="shared" si="2"/>
        <v>6.1529246214345884E-2</v>
      </c>
      <c r="V194" s="80"/>
    </row>
    <row r="195" spans="1:22" x14ac:dyDescent="0.25">
      <c r="A195" s="18" t="s">
        <v>924</v>
      </c>
      <c r="B195" s="18" t="s">
        <v>921</v>
      </c>
      <c r="C195" s="18" t="s">
        <v>923</v>
      </c>
      <c r="D195" t="s">
        <v>922</v>
      </c>
      <c r="E195" s="13" t="s">
        <v>925</v>
      </c>
      <c r="F195" s="3" t="s">
        <v>495</v>
      </c>
      <c r="H195" t="s">
        <v>541</v>
      </c>
      <c r="I195" t="s">
        <v>547</v>
      </c>
      <c r="J195" s="63">
        <v>12</v>
      </c>
      <c r="K195" s="25">
        <v>5964496.1263005901</v>
      </c>
      <c r="L195" s="17">
        <v>6.4607877046745629E-2</v>
      </c>
      <c r="M195" s="63">
        <v>12</v>
      </c>
      <c r="N195" s="25">
        <v>5545553.6524973996</v>
      </c>
      <c r="O195" s="17">
        <v>5.5092057944803652E-2</v>
      </c>
      <c r="P195" s="63">
        <v>8</v>
      </c>
      <c r="Q195" s="25">
        <v>5469875.2256650301</v>
      </c>
      <c r="R195" s="66">
        <v>6.1697656301355173E-2</v>
      </c>
      <c r="S195" s="77">
        <f t="shared" si="2"/>
        <v>6.0465863764301485E-2</v>
      </c>
      <c r="V195" s="80"/>
    </row>
    <row r="196" spans="1:22" x14ac:dyDescent="0.25">
      <c r="A196" s="18" t="s">
        <v>518</v>
      </c>
      <c r="B196" s="18" t="s">
        <v>8101</v>
      </c>
      <c r="C196" s="18" t="s">
        <v>520</v>
      </c>
      <c r="D196" t="s">
        <v>519</v>
      </c>
      <c r="E196" s="13" t="s">
        <v>521</v>
      </c>
      <c r="F196" s="3" t="s">
        <v>495</v>
      </c>
      <c r="G196" t="s">
        <v>522</v>
      </c>
      <c r="H196" t="s">
        <v>507</v>
      </c>
      <c r="I196" t="s">
        <v>17</v>
      </c>
      <c r="J196" s="63">
        <v>21</v>
      </c>
      <c r="K196" s="25">
        <v>13594414.022301599</v>
      </c>
      <c r="L196" s="17">
        <v>6.1872155357563761E-2</v>
      </c>
      <c r="M196" s="63">
        <v>14</v>
      </c>
      <c r="N196" s="25">
        <v>11151361.3059067</v>
      </c>
      <c r="O196" s="17">
        <v>4.6547355714988629E-2</v>
      </c>
      <c r="P196" s="63">
        <v>22</v>
      </c>
      <c r="Q196" s="25">
        <v>15291419.467044599</v>
      </c>
      <c r="R196" s="66">
        <v>7.2470639218503441E-2</v>
      </c>
      <c r="S196" s="77">
        <f t="shared" ref="S196:S260" si="3">AVERAGE(L196,O196,R196)</f>
        <v>6.0296716763685275E-2</v>
      </c>
      <c r="V196" s="80"/>
    </row>
    <row r="197" spans="1:22" x14ac:dyDescent="0.25">
      <c r="A197" s="18" t="s">
        <v>1449</v>
      </c>
      <c r="B197" s="18" t="s">
        <v>1446</v>
      </c>
      <c r="C197" s="18" t="s">
        <v>1448</v>
      </c>
      <c r="D197" t="s">
        <v>1447</v>
      </c>
      <c r="E197" s="13" t="s">
        <v>1450</v>
      </c>
      <c r="F197" s="3" t="s">
        <v>495</v>
      </c>
      <c r="H197" t="s">
        <v>558</v>
      </c>
      <c r="I197" t="s">
        <v>12</v>
      </c>
      <c r="J197" s="63">
        <v>8</v>
      </c>
      <c r="K197" s="25">
        <v>5747921.92842576</v>
      </c>
      <c r="L197" s="17">
        <v>6.2574802827958464E-2</v>
      </c>
      <c r="M197" s="63">
        <v>8</v>
      </c>
      <c r="N197" s="25">
        <v>5589943.6257598801</v>
      </c>
      <c r="O197" s="17">
        <v>5.5812108718115337E-2</v>
      </c>
      <c r="P197" s="63">
        <v>8</v>
      </c>
      <c r="Q197" s="25">
        <v>5484001.3200944196</v>
      </c>
      <c r="R197" s="66">
        <v>6.2167831252866831E-2</v>
      </c>
      <c r="S197" s="77">
        <f t="shared" si="3"/>
        <v>6.018491426631354E-2</v>
      </c>
      <c r="V197" s="80"/>
    </row>
    <row r="198" spans="1:22" x14ac:dyDescent="0.25">
      <c r="A198" s="18" t="s">
        <v>1518</v>
      </c>
      <c r="B198" s="18" t="s">
        <v>1515</v>
      </c>
      <c r="C198" s="18" t="s">
        <v>1517</v>
      </c>
      <c r="D198" t="s">
        <v>1516</v>
      </c>
      <c r="E198" s="13" t="s">
        <v>1519</v>
      </c>
      <c r="F198" s="3" t="s">
        <v>495</v>
      </c>
      <c r="H198" t="s">
        <v>541</v>
      </c>
      <c r="I198" t="s">
        <v>653</v>
      </c>
      <c r="J198" s="63">
        <v>6</v>
      </c>
      <c r="K198" s="25">
        <v>3186205.6844595098</v>
      </c>
      <c r="L198" s="17">
        <v>5.5001152249362167E-2</v>
      </c>
      <c r="M198" s="63">
        <v>5</v>
      </c>
      <c r="N198" s="25">
        <v>3647310.0224210499</v>
      </c>
      <c r="O198" s="17">
        <v>5.7743490681005261E-2</v>
      </c>
      <c r="P198" s="63">
        <v>5</v>
      </c>
      <c r="Q198" s="25">
        <v>3120570.7222026102</v>
      </c>
      <c r="R198" s="66">
        <v>5.6093371818259435E-2</v>
      </c>
      <c r="S198" s="77">
        <f t="shared" si="3"/>
        <v>5.6279338249542288E-2</v>
      </c>
      <c r="V198" s="80"/>
    </row>
    <row r="199" spans="1:22" x14ac:dyDescent="0.25">
      <c r="A199" s="18" t="s">
        <v>870</v>
      </c>
      <c r="B199" s="18" t="s">
        <v>867</v>
      </c>
      <c r="C199" s="18" t="s">
        <v>869</v>
      </c>
      <c r="D199" t="s">
        <v>868</v>
      </c>
      <c r="E199" s="13" t="s">
        <v>871</v>
      </c>
      <c r="F199" s="3" t="s">
        <v>495</v>
      </c>
      <c r="G199" t="s">
        <v>872</v>
      </c>
      <c r="H199" t="s">
        <v>507</v>
      </c>
      <c r="I199" t="s">
        <v>17</v>
      </c>
      <c r="J199" s="63">
        <v>15</v>
      </c>
      <c r="K199" s="25">
        <v>10707584.2440296</v>
      </c>
      <c r="L199" s="17">
        <v>5.5561853589698493E-2</v>
      </c>
      <c r="M199" s="63">
        <v>18</v>
      </c>
      <c r="N199" s="25">
        <v>10123718.458591901</v>
      </c>
      <c r="O199" s="17">
        <v>4.8178986396024533E-2</v>
      </c>
      <c r="P199" s="63">
        <v>15</v>
      </c>
      <c r="Q199" s="25">
        <v>11700837.445341101</v>
      </c>
      <c r="R199" s="66">
        <v>6.3223962154815322E-2</v>
      </c>
      <c r="S199" s="77">
        <f t="shared" si="3"/>
        <v>5.565493404684612E-2</v>
      </c>
      <c r="V199" s="80"/>
    </row>
    <row r="200" spans="1:22" x14ac:dyDescent="0.25">
      <c r="A200" s="18" t="s">
        <v>2773</v>
      </c>
      <c r="B200" s="18" t="s">
        <v>2770</v>
      </c>
      <c r="C200" s="18" t="s">
        <v>2772</v>
      </c>
      <c r="D200" t="s">
        <v>2771</v>
      </c>
      <c r="E200" s="13" t="s">
        <v>2774</v>
      </c>
      <c r="F200" s="3" t="s">
        <v>495</v>
      </c>
      <c r="I200" t="s">
        <v>8177</v>
      </c>
      <c r="J200" s="63">
        <v>2</v>
      </c>
      <c r="K200" s="25">
        <v>3121881.0932784099</v>
      </c>
      <c r="L200" s="17">
        <v>6.3208325528495271E-2</v>
      </c>
      <c r="M200" s="63">
        <v>3</v>
      </c>
      <c r="N200" s="25">
        <v>3044355.9010658702</v>
      </c>
      <c r="O200" s="17">
        <v>5.6530877199905016E-2</v>
      </c>
      <c r="P200" s="63">
        <v>3</v>
      </c>
      <c r="Q200" s="25">
        <v>3012907.8923643702</v>
      </c>
      <c r="R200" s="66">
        <v>6.3521876665308744E-2</v>
      </c>
      <c r="S200" s="77">
        <f>AVERAGE(L200,O200,R200)</f>
        <v>6.1087026464569677E-2</v>
      </c>
      <c r="V200" s="80"/>
    </row>
    <row r="201" spans="1:22" x14ac:dyDescent="0.25">
      <c r="A201" s="18" t="s">
        <v>1488</v>
      </c>
      <c r="B201" s="18" t="s">
        <v>1485</v>
      </c>
      <c r="C201" s="18" t="s">
        <v>1487</v>
      </c>
      <c r="D201" t="s">
        <v>1486</v>
      </c>
      <c r="E201" s="13" t="s">
        <v>1489</v>
      </c>
      <c r="F201" s="3" t="s">
        <v>495</v>
      </c>
      <c r="H201" t="s">
        <v>563</v>
      </c>
      <c r="I201" t="s">
        <v>716</v>
      </c>
      <c r="J201" s="63">
        <v>8</v>
      </c>
      <c r="K201" s="25">
        <v>5673206.56141512</v>
      </c>
      <c r="L201" s="17">
        <v>5.663834678215128E-2</v>
      </c>
      <c r="M201" s="63">
        <v>6</v>
      </c>
      <c r="N201" s="25">
        <v>5910461.9957232596</v>
      </c>
      <c r="O201" s="17">
        <v>5.4117256931991625E-2</v>
      </c>
      <c r="P201" s="63">
        <v>7</v>
      </c>
      <c r="Q201" s="25">
        <v>5339351.10679089</v>
      </c>
      <c r="R201" s="66">
        <v>5.5507285494211814E-2</v>
      </c>
      <c r="S201" s="77">
        <f t="shared" si="3"/>
        <v>5.5420963069451573E-2</v>
      </c>
      <c r="V201" s="80"/>
    </row>
    <row r="202" spans="1:22" x14ac:dyDescent="0.25">
      <c r="A202" s="18" t="s">
        <v>1140</v>
      </c>
      <c r="B202" s="18" t="s">
        <v>1137</v>
      </c>
      <c r="C202" s="18" t="s">
        <v>1139</v>
      </c>
      <c r="D202" t="s">
        <v>1138</v>
      </c>
      <c r="E202" s="13" t="s">
        <v>1141</v>
      </c>
      <c r="F202" s="3" t="s">
        <v>495</v>
      </c>
      <c r="G202" t="s">
        <v>1142</v>
      </c>
      <c r="H202" t="s">
        <v>507</v>
      </c>
      <c r="I202" t="s">
        <v>17</v>
      </c>
      <c r="J202" s="63">
        <v>6</v>
      </c>
      <c r="K202" s="25">
        <v>5811409.28700215</v>
      </c>
      <c r="L202" s="17">
        <v>5.8421929211234576E-2</v>
      </c>
      <c r="M202" s="63">
        <v>8</v>
      </c>
      <c r="N202" s="25">
        <v>5616865.0516830096</v>
      </c>
      <c r="O202" s="17">
        <v>5.1787005004060693E-2</v>
      </c>
      <c r="P202" s="63">
        <v>5</v>
      </c>
      <c r="Q202" s="25">
        <v>5236198.0916964198</v>
      </c>
      <c r="R202" s="66">
        <v>5.4813815851901398E-2</v>
      </c>
      <c r="S202" s="77">
        <f t="shared" si="3"/>
        <v>5.500758335573222E-2</v>
      </c>
      <c r="V202" s="80"/>
    </row>
    <row r="203" spans="1:22" x14ac:dyDescent="0.25">
      <c r="A203" s="18" t="s">
        <v>991</v>
      </c>
      <c r="B203" s="18" t="s">
        <v>988</v>
      </c>
      <c r="C203" s="18" t="s">
        <v>990</v>
      </c>
      <c r="D203" t="s">
        <v>989</v>
      </c>
      <c r="E203" s="13" t="s">
        <v>992</v>
      </c>
      <c r="F203" s="3" t="s">
        <v>495</v>
      </c>
      <c r="H203" t="s">
        <v>541</v>
      </c>
      <c r="I203" t="s">
        <v>547</v>
      </c>
      <c r="J203" s="63">
        <v>6</v>
      </c>
      <c r="K203" s="25">
        <v>5924527.1273198398</v>
      </c>
      <c r="L203" s="17">
        <v>5.7171429666563099E-2</v>
      </c>
      <c r="M203" s="63">
        <v>7</v>
      </c>
      <c r="N203" s="25">
        <v>6009985.3405677797</v>
      </c>
      <c r="O203" s="17">
        <v>5.3190141689957088E-2</v>
      </c>
      <c r="P203" s="63">
        <v>7</v>
      </c>
      <c r="Q203" s="25">
        <v>5382577.9106399501</v>
      </c>
      <c r="R203" s="66">
        <v>5.408729003603633E-2</v>
      </c>
      <c r="S203" s="77">
        <f t="shared" si="3"/>
        <v>5.4816287130852175E-2</v>
      </c>
      <c r="V203" s="80"/>
    </row>
    <row r="204" spans="1:22" x14ac:dyDescent="0.25">
      <c r="A204" s="18" t="s">
        <v>913</v>
      </c>
      <c r="B204" s="18" t="s">
        <v>910</v>
      </c>
      <c r="C204" s="18" t="s">
        <v>912</v>
      </c>
      <c r="D204" t="s">
        <v>911</v>
      </c>
      <c r="E204" s="13" t="s">
        <v>914</v>
      </c>
      <c r="F204" s="3" t="s">
        <v>495</v>
      </c>
      <c r="H204" t="s">
        <v>541</v>
      </c>
      <c r="I204" t="s">
        <v>553</v>
      </c>
      <c r="J204" s="63">
        <v>22</v>
      </c>
      <c r="K204" s="25">
        <v>8824406.8298025001</v>
      </c>
      <c r="L204" s="17">
        <v>5.681227218888419E-2</v>
      </c>
      <c r="M204" s="63">
        <v>13</v>
      </c>
      <c r="N204" s="25">
        <v>7878767.06675635</v>
      </c>
      <c r="O204" s="17">
        <v>4.6520810464137904E-2</v>
      </c>
      <c r="P204" s="63">
        <v>18</v>
      </c>
      <c r="Q204" s="25">
        <v>9068447.6387620792</v>
      </c>
      <c r="R204" s="66">
        <v>6.0795176554644871E-2</v>
      </c>
      <c r="S204" s="77">
        <f t="shared" si="3"/>
        <v>5.4709419735888991E-2</v>
      </c>
      <c r="V204" s="80"/>
    </row>
    <row r="205" spans="1:22" x14ac:dyDescent="0.25">
      <c r="A205" s="18" t="s">
        <v>1869</v>
      </c>
      <c r="B205" s="18" t="s">
        <v>1866</v>
      </c>
      <c r="C205" s="18" t="s">
        <v>1868</v>
      </c>
      <c r="D205" t="s">
        <v>1867</v>
      </c>
      <c r="E205" s="13" t="s">
        <v>1870</v>
      </c>
      <c r="F205" s="3" t="s">
        <v>495</v>
      </c>
      <c r="H205" t="s">
        <v>541</v>
      </c>
      <c r="I205" t="s">
        <v>547</v>
      </c>
      <c r="J205" s="63">
        <v>10</v>
      </c>
      <c r="K205" s="25">
        <v>5119278.2967107603</v>
      </c>
      <c r="L205" s="17">
        <v>5.6874269783044017E-2</v>
      </c>
      <c r="M205" s="63">
        <v>8</v>
      </c>
      <c r="N205" s="25">
        <v>5150038.7835861901</v>
      </c>
      <c r="O205" s="17">
        <v>5.2474700451427332E-2</v>
      </c>
      <c r="P205" s="63">
        <v>9</v>
      </c>
      <c r="Q205" s="25">
        <v>4666160.06439697</v>
      </c>
      <c r="R205" s="66">
        <v>5.3981663533171569E-2</v>
      </c>
      <c r="S205" s="77">
        <f t="shared" si="3"/>
        <v>5.4443544589214306E-2</v>
      </c>
      <c r="V205" s="80"/>
    </row>
    <row r="206" spans="1:22" x14ac:dyDescent="0.25">
      <c r="A206" s="18" t="s">
        <v>1926</v>
      </c>
      <c r="B206" s="18" t="s">
        <v>1923</v>
      </c>
      <c r="C206" s="18" t="s">
        <v>1925</v>
      </c>
      <c r="D206" t="s">
        <v>1924</v>
      </c>
      <c r="E206" s="13" t="s">
        <v>1927</v>
      </c>
      <c r="F206" s="3" t="s">
        <v>495</v>
      </c>
      <c r="H206" t="s">
        <v>541</v>
      </c>
      <c r="I206" t="s">
        <v>547</v>
      </c>
      <c r="J206" s="63">
        <v>4</v>
      </c>
      <c r="K206" s="25">
        <v>4004420.6400611298</v>
      </c>
      <c r="L206" s="17">
        <v>5.4220237317218742E-2</v>
      </c>
      <c r="M206" s="63">
        <v>3</v>
      </c>
      <c r="N206" s="25">
        <v>4577520.6255375901</v>
      </c>
      <c r="O206" s="17">
        <v>5.6843970716990849E-2</v>
      </c>
      <c r="P206" s="63">
        <v>4</v>
      </c>
      <c r="Q206" s="25">
        <v>3646482.3493781802</v>
      </c>
      <c r="R206" s="66">
        <v>5.1413287648060524E-2</v>
      </c>
      <c r="S206" s="77">
        <f t="shared" si="3"/>
        <v>5.4159165227423367E-2</v>
      </c>
      <c r="V206" s="80"/>
    </row>
    <row r="207" spans="1:22" x14ac:dyDescent="0.25">
      <c r="A207" s="18" t="s">
        <v>1833</v>
      </c>
      <c r="B207" s="18" t="s">
        <v>1830</v>
      </c>
      <c r="C207" s="18" t="s">
        <v>1832</v>
      </c>
      <c r="D207" t="s">
        <v>1831</v>
      </c>
      <c r="E207" s="13" t="s">
        <v>1834</v>
      </c>
      <c r="F207" s="3" t="s">
        <v>495</v>
      </c>
      <c r="G207" t="s">
        <v>1835</v>
      </c>
      <c r="H207" t="s">
        <v>507</v>
      </c>
      <c r="I207" t="s">
        <v>17</v>
      </c>
      <c r="J207" s="63">
        <v>6</v>
      </c>
      <c r="K207" s="25">
        <v>3149479.7377965199</v>
      </c>
      <c r="L207" s="17">
        <v>4.9622406953529014E-2</v>
      </c>
      <c r="M207" s="63">
        <v>6</v>
      </c>
      <c r="N207" s="25">
        <v>4098019.2781624598</v>
      </c>
      <c r="O207" s="17">
        <v>5.9216860518293848E-2</v>
      </c>
      <c r="P207" s="63">
        <v>6</v>
      </c>
      <c r="Q207" s="25">
        <v>3168982.11822453</v>
      </c>
      <c r="R207" s="66">
        <v>5.1992216604993764E-2</v>
      </c>
      <c r="S207" s="77">
        <f t="shared" si="3"/>
        <v>5.3610494692272213E-2</v>
      </c>
      <c r="V207" s="80"/>
    </row>
    <row r="208" spans="1:22" x14ac:dyDescent="0.25">
      <c r="A208" s="18" t="s">
        <v>1668</v>
      </c>
      <c r="B208" s="18" t="s">
        <v>1665</v>
      </c>
      <c r="C208" s="18" t="s">
        <v>1667</v>
      </c>
      <c r="D208" t="s">
        <v>1666</v>
      </c>
      <c r="E208" s="13" t="s">
        <v>594</v>
      </c>
      <c r="F208" s="3" t="s">
        <v>495</v>
      </c>
      <c r="H208" t="s">
        <v>552</v>
      </c>
      <c r="I208" t="s">
        <v>553</v>
      </c>
      <c r="J208" s="63">
        <v>17</v>
      </c>
      <c r="K208" s="25">
        <v>9159236.8836222496</v>
      </c>
      <c r="L208" s="17">
        <v>5.2424598490657066E-2</v>
      </c>
      <c r="M208" s="63">
        <v>11</v>
      </c>
      <c r="N208" s="25">
        <v>8830020.5746816099</v>
      </c>
      <c r="O208" s="17">
        <v>4.6352153017716634E-2</v>
      </c>
      <c r="P208" s="63">
        <v>15</v>
      </c>
      <c r="Q208" s="25">
        <v>10027718.2828962</v>
      </c>
      <c r="R208" s="66">
        <v>5.9766453172655637E-2</v>
      </c>
      <c r="S208" s="77">
        <f t="shared" si="3"/>
        <v>5.2847734893676446E-2</v>
      </c>
      <c r="V208" s="80"/>
    </row>
    <row r="209" spans="1:22" x14ac:dyDescent="0.25">
      <c r="A209" s="18" t="s">
        <v>703</v>
      </c>
      <c r="B209" s="18" t="s">
        <v>700</v>
      </c>
      <c r="C209" s="18" t="s">
        <v>702</v>
      </c>
      <c r="D209" t="s">
        <v>701</v>
      </c>
      <c r="E209" s="13" t="s">
        <v>704</v>
      </c>
      <c r="F209" s="3" t="s">
        <v>495</v>
      </c>
      <c r="H209" t="s">
        <v>541</v>
      </c>
      <c r="I209" t="s">
        <v>553</v>
      </c>
      <c r="J209" s="63">
        <v>9</v>
      </c>
      <c r="K209" s="25">
        <v>5989873.4060374396</v>
      </c>
      <c r="L209" s="17">
        <v>5.8584890001609526E-2</v>
      </c>
      <c r="M209" s="63">
        <v>9</v>
      </c>
      <c r="N209" s="25">
        <v>5011472.7235884704</v>
      </c>
      <c r="O209" s="17">
        <v>4.4953728699123716E-2</v>
      </c>
      <c r="P209" s="63">
        <v>7</v>
      </c>
      <c r="Q209" s="25">
        <v>5395081.6975405598</v>
      </c>
      <c r="R209" s="66">
        <v>5.494719637381211E-2</v>
      </c>
      <c r="S209" s="77">
        <f t="shared" si="3"/>
        <v>5.282860502484845E-2</v>
      </c>
      <c r="V209" s="80"/>
    </row>
    <row r="210" spans="1:22" x14ac:dyDescent="0.25">
      <c r="A210" s="18" t="s">
        <v>775</v>
      </c>
      <c r="B210" s="18" t="s">
        <v>772</v>
      </c>
      <c r="C210" s="18" t="s">
        <v>774</v>
      </c>
      <c r="D210" t="s">
        <v>773</v>
      </c>
      <c r="E210" s="13" t="s">
        <v>776</v>
      </c>
      <c r="F210" s="3" t="s">
        <v>495</v>
      </c>
      <c r="H210" t="s">
        <v>552</v>
      </c>
      <c r="I210" t="s">
        <v>553</v>
      </c>
      <c r="J210" s="63">
        <v>5</v>
      </c>
      <c r="K210" s="25">
        <v>3161522.4206156302</v>
      </c>
      <c r="L210" s="17">
        <v>5.288934677920324E-2</v>
      </c>
      <c r="M210" s="63">
        <v>7</v>
      </c>
      <c r="N210" s="25">
        <v>3230711.8442183798</v>
      </c>
      <c r="O210" s="17">
        <v>4.9568130026662049E-2</v>
      </c>
      <c r="P210" s="63">
        <v>6</v>
      </c>
      <c r="Q210" s="25">
        <v>3139816.44161472</v>
      </c>
      <c r="R210" s="66">
        <v>5.4696021014931706E-2</v>
      </c>
      <c r="S210" s="77">
        <f t="shared" si="3"/>
        <v>5.2384499273598999E-2</v>
      </c>
      <c r="V210" s="80"/>
    </row>
    <row r="211" spans="1:22" x14ac:dyDescent="0.25">
      <c r="A211" s="18" t="s">
        <v>614</v>
      </c>
      <c r="B211" s="18" t="s">
        <v>611</v>
      </c>
      <c r="C211" s="18" t="s">
        <v>613</v>
      </c>
      <c r="D211" t="s">
        <v>612</v>
      </c>
      <c r="E211" s="13" t="s">
        <v>615</v>
      </c>
      <c r="F211" s="3" t="s">
        <v>495</v>
      </c>
      <c r="H211" t="s">
        <v>496</v>
      </c>
      <c r="I211" t="s">
        <v>41</v>
      </c>
      <c r="J211" s="63">
        <v>2</v>
      </c>
      <c r="K211" s="25">
        <v>2310819.2483389098</v>
      </c>
      <c r="L211" s="17">
        <v>4.8136481501572979E-2</v>
      </c>
      <c r="M211" s="63">
        <v>4</v>
      </c>
      <c r="N211" s="25">
        <v>2893387.4955621199</v>
      </c>
      <c r="O211" s="17">
        <v>5.5277366042645347E-2</v>
      </c>
      <c r="P211" s="63">
        <v>1</v>
      </c>
      <c r="Q211" s="25">
        <v>2474237.3753573499</v>
      </c>
      <c r="R211" s="66">
        <v>5.3669712215631743E-2</v>
      </c>
      <c r="S211" s="77">
        <f t="shared" si="3"/>
        <v>5.2361186586616683E-2</v>
      </c>
      <c r="V211" s="80"/>
    </row>
    <row r="212" spans="1:22" x14ac:dyDescent="0.25">
      <c r="A212" s="18" t="s">
        <v>1483</v>
      </c>
      <c r="B212" s="18" t="s">
        <v>1480</v>
      </c>
      <c r="C212" s="18" t="s">
        <v>1482</v>
      </c>
      <c r="D212" t="s">
        <v>1481</v>
      </c>
      <c r="E212" s="13" t="s">
        <v>1484</v>
      </c>
      <c r="F212" s="3" t="s">
        <v>495</v>
      </c>
      <c r="H212" t="s">
        <v>541</v>
      </c>
      <c r="I212" t="s">
        <v>547</v>
      </c>
      <c r="J212" s="63">
        <v>5</v>
      </c>
      <c r="K212" s="25">
        <v>3252666.7322568898</v>
      </c>
      <c r="L212" s="17">
        <v>4.5170684841350658E-2</v>
      </c>
      <c r="M212" s="63">
        <v>5</v>
      </c>
      <c r="N212" s="25">
        <v>4252719.3444495797</v>
      </c>
      <c r="O212" s="17">
        <v>5.4164682801812421E-2</v>
      </c>
      <c r="P212" s="63">
        <v>3</v>
      </c>
      <c r="Q212" s="25">
        <v>3358286.42889034</v>
      </c>
      <c r="R212" s="66">
        <v>4.8563992005866495E-2</v>
      </c>
      <c r="S212" s="77">
        <f t="shared" si="3"/>
        <v>4.9299786549676532E-2</v>
      </c>
      <c r="V212" s="80"/>
    </row>
    <row r="213" spans="1:22" x14ac:dyDescent="0.25">
      <c r="A213" s="18" t="s">
        <v>1435</v>
      </c>
      <c r="B213" s="18" t="s">
        <v>1432</v>
      </c>
      <c r="C213" s="18" t="s">
        <v>1434</v>
      </c>
      <c r="D213" t="s">
        <v>1433</v>
      </c>
      <c r="E213" s="13" t="s">
        <v>833</v>
      </c>
      <c r="F213" s="3" t="s">
        <v>495</v>
      </c>
      <c r="H213" t="s">
        <v>541</v>
      </c>
      <c r="I213" t="s">
        <v>547</v>
      </c>
      <c r="J213" s="63">
        <v>5</v>
      </c>
      <c r="K213" s="25">
        <v>4360108.1126494696</v>
      </c>
      <c r="L213" s="17">
        <v>4.9714761779761182E-2</v>
      </c>
      <c r="M213" s="63">
        <v>6</v>
      </c>
      <c r="N213" s="25">
        <v>4256266.5981827704</v>
      </c>
      <c r="O213" s="17">
        <v>4.450915012739759E-2</v>
      </c>
      <c r="P213" s="63">
        <v>5</v>
      </c>
      <c r="Q213" s="25">
        <v>4201765.8147847503</v>
      </c>
      <c r="R213" s="66">
        <v>4.9888389618104205E-2</v>
      </c>
      <c r="S213" s="77">
        <f t="shared" si="3"/>
        <v>4.8037433841754323E-2</v>
      </c>
      <c r="V213" s="80"/>
    </row>
    <row r="214" spans="1:22" x14ac:dyDescent="0.25">
      <c r="A214" s="18" t="s">
        <v>1864</v>
      </c>
      <c r="B214" s="18" t="s">
        <v>1861</v>
      </c>
      <c r="C214" s="18" t="s">
        <v>1863</v>
      </c>
      <c r="D214" t="s">
        <v>1862</v>
      </c>
      <c r="E214" s="13" t="s">
        <v>1865</v>
      </c>
      <c r="F214" s="3" t="s">
        <v>495</v>
      </c>
      <c r="H214" t="s">
        <v>563</v>
      </c>
      <c r="I214" t="s">
        <v>716</v>
      </c>
      <c r="J214" s="63">
        <v>9</v>
      </c>
      <c r="K214" s="25">
        <v>6236709.3924463298</v>
      </c>
      <c r="L214" s="17">
        <v>5.1082428666659144E-2</v>
      </c>
      <c r="M214" s="63">
        <v>9</v>
      </c>
      <c r="N214" s="25">
        <v>5949388.34332693</v>
      </c>
      <c r="O214" s="17">
        <v>4.4691066807579317E-2</v>
      </c>
      <c r="P214" s="63">
        <v>7</v>
      </c>
      <c r="Q214" s="25">
        <v>5220435.7330793198</v>
      </c>
      <c r="R214" s="66">
        <v>4.4524835148456447E-2</v>
      </c>
      <c r="S214" s="77">
        <f t="shared" si="3"/>
        <v>4.6766110207564972E-2</v>
      </c>
      <c r="V214" s="80"/>
    </row>
    <row r="215" spans="1:22" x14ac:dyDescent="0.25">
      <c r="A215" s="18" t="s">
        <v>1224</v>
      </c>
      <c r="B215" s="18" t="s">
        <v>1221</v>
      </c>
      <c r="C215" s="18" t="s">
        <v>1223</v>
      </c>
      <c r="D215" t="s">
        <v>1222</v>
      </c>
      <c r="E215" s="13" t="s">
        <v>1225</v>
      </c>
      <c r="F215" s="3" t="s">
        <v>495</v>
      </c>
      <c r="H215" t="s">
        <v>558</v>
      </c>
      <c r="I215" t="s">
        <v>12</v>
      </c>
      <c r="J215" s="63">
        <v>17</v>
      </c>
      <c r="K215" s="25">
        <v>7611149.7005995298</v>
      </c>
      <c r="L215" s="17">
        <v>4.9001220909313248E-2</v>
      </c>
      <c r="M215" s="63">
        <v>10</v>
      </c>
      <c r="N215" s="25">
        <v>6825727.6011725999</v>
      </c>
      <c r="O215" s="17">
        <v>4.0303054694154558E-2</v>
      </c>
      <c r="P215" s="63">
        <v>13</v>
      </c>
      <c r="Q215" s="25">
        <v>7524606.5748249702</v>
      </c>
      <c r="R215" s="66">
        <v>5.0445214378849537E-2</v>
      </c>
      <c r="S215" s="77">
        <f t="shared" si="3"/>
        <v>4.6583163327439114E-2</v>
      </c>
      <c r="V215" s="80"/>
    </row>
    <row r="216" spans="1:22" x14ac:dyDescent="0.25">
      <c r="A216" s="18" t="s">
        <v>1317</v>
      </c>
      <c r="B216" s="18" t="s">
        <v>1314</v>
      </c>
      <c r="C216" s="18" t="s">
        <v>1316</v>
      </c>
      <c r="D216" t="s">
        <v>1315</v>
      </c>
      <c r="E216" s="13" t="s">
        <v>1318</v>
      </c>
      <c r="F216" s="3" t="s">
        <v>495</v>
      </c>
      <c r="H216" t="s">
        <v>541</v>
      </c>
      <c r="I216" t="s">
        <v>542</v>
      </c>
      <c r="J216" s="63">
        <v>7</v>
      </c>
      <c r="K216" s="25">
        <v>5645617.1683797501</v>
      </c>
      <c r="L216" s="17">
        <v>4.5383121223446898E-2</v>
      </c>
      <c r="M216" s="63">
        <v>10</v>
      </c>
      <c r="N216" s="25">
        <v>5997447.0609976798</v>
      </c>
      <c r="O216" s="17">
        <v>4.4216232328094178E-2</v>
      </c>
      <c r="P216" s="63">
        <v>8</v>
      </c>
      <c r="Q216" s="25">
        <v>5872761.0511984602</v>
      </c>
      <c r="R216" s="66">
        <v>4.9159199707091157E-2</v>
      </c>
      <c r="S216" s="77">
        <f t="shared" si="3"/>
        <v>4.6252851086210744E-2</v>
      </c>
      <c r="V216" s="80"/>
    </row>
    <row r="217" spans="1:22" x14ac:dyDescent="0.25">
      <c r="A217" s="18" t="s">
        <v>1859</v>
      </c>
      <c r="B217" s="18" t="s">
        <v>1856</v>
      </c>
      <c r="C217" s="18" t="s">
        <v>1858</v>
      </c>
      <c r="D217" t="s">
        <v>1857</v>
      </c>
      <c r="E217" s="13" t="s">
        <v>1860</v>
      </c>
      <c r="F217" s="3" t="s">
        <v>495</v>
      </c>
      <c r="H217" t="s">
        <v>541</v>
      </c>
      <c r="I217" t="s">
        <v>653</v>
      </c>
      <c r="J217" s="63">
        <v>4</v>
      </c>
      <c r="K217" s="25">
        <v>2657715.6998374402</v>
      </c>
      <c r="L217" s="17">
        <v>4.2649746972949244E-2</v>
      </c>
      <c r="M217" s="63">
        <v>5</v>
      </c>
      <c r="N217" s="25">
        <v>3241166.2281771498</v>
      </c>
      <c r="O217" s="17">
        <v>4.7702552308413734E-2</v>
      </c>
      <c r="P217" s="63">
        <v>5</v>
      </c>
      <c r="Q217" s="25">
        <v>2751482.5641135899</v>
      </c>
      <c r="R217" s="66">
        <v>4.5978440784664551E-2</v>
      </c>
      <c r="S217" s="77">
        <f t="shared" si="3"/>
        <v>4.5443580022009177E-2</v>
      </c>
      <c r="V217" s="80"/>
    </row>
    <row r="218" spans="1:22" x14ac:dyDescent="0.25">
      <c r="A218" s="18" t="s">
        <v>1605</v>
      </c>
      <c r="B218" s="18" t="s">
        <v>1602</v>
      </c>
      <c r="C218" s="18" t="s">
        <v>1604</v>
      </c>
      <c r="D218" t="s">
        <v>1603</v>
      </c>
      <c r="E218" s="13" t="s">
        <v>1606</v>
      </c>
      <c r="F218" s="3" t="s">
        <v>495</v>
      </c>
      <c r="H218" t="s">
        <v>507</v>
      </c>
      <c r="I218" t="s">
        <v>17</v>
      </c>
      <c r="J218" s="63">
        <v>6</v>
      </c>
      <c r="K218" s="25">
        <v>2865641.2452379302</v>
      </c>
      <c r="L218" s="17">
        <v>4.3719499403233587E-2</v>
      </c>
      <c r="M218" s="63">
        <v>4</v>
      </c>
      <c r="N218" s="25">
        <v>3343352.0494657201</v>
      </c>
      <c r="O218" s="17">
        <v>4.6780821603718256E-2</v>
      </c>
      <c r="P218" s="63">
        <v>7</v>
      </c>
      <c r="Q218" s="25">
        <v>2840155.07225443</v>
      </c>
      <c r="R218" s="66">
        <v>4.51206088820508E-2</v>
      </c>
      <c r="S218" s="77">
        <f t="shared" si="3"/>
        <v>4.520697662966755E-2</v>
      </c>
      <c r="V218" s="80"/>
    </row>
    <row r="219" spans="1:22" x14ac:dyDescent="0.25">
      <c r="A219" s="18" t="s">
        <v>892</v>
      </c>
      <c r="B219" s="18" t="s">
        <v>889</v>
      </c>
      <c r="C219" s="18" t="s">
        <v>891</v>
      </c>
      <c r="D219" t="s">
        <v>890</v>
      </c>
      <c r="E219" s="13" t="s">
        <v>893</v>
      </c>
      <c r="F219" s="3" t="s">
        <v>495</v>
      </c>
      <c r="H219" t="s">
        <v>541</v>
      </c>
      <c r="I219" t="s">
        <v>547</v>
      </c>
      <c r="J219" s="63">
        <v>12</v>
      </c>
      <c r="K219" s="25">
        <v>6274474.2008989602</v>
      </c>
      <c r="L219" s="17">
        <v>4.8202541274990157E-2</v>
      </c>
      <c r="M219" s="63">
        <v>10</v>
      </c>
      <c r="N219" s="25">
        <v>5665329.2763628103</v>
      </c>
      <c r="O219" s="17">
        <v>3.9916286235771946E-2</v>
      </c>
      <c r="P219" s="63">
        <v>8</v>
      </c>
      <c r="Q219" s="25">
        <v>5799521.0353185302</v>
      </c>
      <c r="R219" s="66">
        <v>4.6394261124638951E-2</v>
      </c>
      <c r="S219" s="77">
        <f t="shared" si="3"/>
        <v>4.4837696211800358E-2</v>
      </c>
      <c r="V219" s="80"/>
    </row>
    <row r="220" spans="1:22" x14ac:dyDescent="0.25">
      <c r="A220" s="18" t="s">
        <v>929</v>
      </c>
      <c r="B220" s="18" t="s">
        <v>926</v>
      </c>
      <c r="C220" s="18" t="s">
        <v>928</v>
      </c>
      <c r="D220" t="s">
        <v>927</v>
      </c>
      <c r="E220" s="13" t="s">
        <v>930</v>
      </c>
      <c r="F220" s="3" t="s">
        <v>495</v>
      </c>
      <c r="H220" t="s">
        <v>541</v>
      </c>
      <c r="I220" t="s">
        <v>547</v>
      </c>
      <c r="J220" s="63">
        <v>15</v>
      </c>
      <c r="K220" s="25">
        <v>6865388.9563343199</v>
      </c>
      <c r="L220" s="17">
        <v>4.2616857826387626E-2</v>
      </c>
      <c r="M220" s="63">
        <v>15</v>
      </c>
      <c r="N220" s="25">
        <v>7216743.6524395002</v>
      </c>
      <c r="O220" s="17">
        <v>4.1085628207619532E-2</v>
      </c>
      <c r="P220" s="63">
        <v>15</v>
      </c>
      <c r="Q220" s="25">
        <v>7308015.5463481601</v>
      </c>
      <c r="R220" s="66">
        <v>4.7238410784545139E-2</v>
      </c>
      <c r="S220" s="77">
        <f t="shared" si="3"/>
        <v>4.3646965606184092E-2</v>
      </c>
      <c r="V220" s="80"/>
    </row>
    <row r="221" spans="1:22" x14ac:dyDescent="0.25">
      <c r="A221" s="18" t="s">
        <v>1327</v>
      </c>
      <c r="B221" s="18" t="s">
        <v>1324</v>
      </c>
      <c r="C221" s="18" t="s">
        <v>1326</v>
      </c>
      <c r="D221" t="s">
        <v>1325</v>
      </c>
      <c r="E221" s="13" t="s">
        <v>1328</v>
      </c>
      <c r="F221" s="3" t="s">
        <v>495</v>
      </c>
      <c r="H221" t="s">
        <v>558</v>
      </c>
      <c r="I221" t="s">
        <v>12</v>
      </c>
      <c r="J221" s="63">
        <v>13</v>
      </c>
      <c r="K221" s="25">
        <v>5051333.0459067198</v>
      </c>
      <c r="L221" s="17">
        <v>4.5126948369894705E-2</v>
      </c>
      <c r="M221" s="63">
        <v>12</v>
      </c>
      <c r="N221" s="25">
        <v>4974068.9133861698</v>
      </c>
      <c r="O221" s="17">
        <v>4.0754365388095938E-2</v>
      </c>
      <c r="P221" s="63">
        <v>10</v>
      </c>
      <c r="Q221" s="25">
        <v>4772977.0333945705</v>
      </c>
      <c r="R221" s="66">
        <v>4.4401622949923204E-2</v>
      </c>
      <c r="S221" s="77">
        <f t="shared" si="3"/>
        <v>4.3427645569304618E-2</v>
      </c>
      <c r="V221" s="80"/>
    </row>
    <row r="222" spans="1:22" x14ac:dyDescent="0.25">
      <c r="A222" s="18" t="s">
        <v>497</v>
      </c>
      <c r="B222" s="18" t="s">
        <v>8097</v>
      </c>
      <c r="C222" s="18" t="s">
        <v>499</v>
      </c>
      <c r="D222" t="s">
        <v>498</v>
      </c>
      <c r="E222" s="13" t="s">
        <v>500</v>
      </c>
      <c r="F222" s="3" t="s">
        <v>495</v>
      </c>
      <c r="H222" t="s">
        <v>501</v>
      </c>
      <c r="I222" t="s">
        <v>243</v>
      </c>
      <c r="J222" s="63">
        <v>9</v>
      </c>
      <c r="K222" s="25">
        <v>4093154.8988292101</v>
      </c>
      <c r="L222" s="17">
        <v>4.5127090192284183E-2</v>
      </c>
      <c r="M222" s="63">
        <v>7</v>
      </c>
      <c r="N222" s="25">
        <v>4274781.7456071302</v>
      </c>
      <c r="O222" s="17">
        <v>4.3224051435866585E-2</v>
      </c>
      <c r="P222" s="63">
        <v>6</v>
      </c>
      <c r="Q222" s="25">
        <v>3545533.8680577199</v>
      </c>
      <c r="R222" s="66">
        <v>4.0704303365329486E-2</v>
      </c>
      <c r="S222" s="77">
        <f t="shared" si="3"/>
        <v>4.3018481664493423E-2</v>
      </c>
      <c r="V222" s="80"/>
    </row>
    <row r="223" spans="1:22" x14ac:dyDescent="0.25">
      <c r="A223" s="18" t="s">
        <v>1176</v>
      </c>
      <c r="B223" s="18" t="s">
        <v>1173</v>
      </c>
      <c r="C223" s="18" t="s">
        <v>1175</v>
      </c>
      <c r="D223" t="s">
        <v>1174</v>
      </c>
      <c r="E223" s="13" t="s">
        <v>1177</v>
      </c>
      <c r="F223" s="3" t="s">
        <v>495</v>
      </c>
      <c r="G223" t="s">
        <v>1178</v>
      </c>
      <c r="H223" t="s">
        <v>507</v>
      </c>
      <c r="I223" t="s">
        <v>17</v>
      </c>
      <c r="J223" s="63">
        <v>7</v>
      </c>
      <c r="K223" s="25">
        <v>4330036.0141578</v>
      </c>
      <c r="L223" s="17">
        <v>4.3834841519472673E-2</v>
      </c>
      <c r="M223" s="63">
        <v>5</v>
      </c>
      <c r="N223" s="25">
        <v>4246802.8445682898</v>
      </c>
      <c r="O223" s="17">
        <v>3.9429603157509145E-2</v>
      </c>
      <c r="P223" s="63">
        <v>5</v>
      </c>
      <c r="Q223" s="25">
        <v>4337950.5227351701</v>
      </c>
      <c r="R223" s="66">
        <v>4.5729037848076103E-2</v>
      </c>
      <c r="S223" s="77">
        <f t="shared" si="3"/>
        <v>4.2997827508352647E-2</v>
      </c>
      <c r="V223" s="80"/>
    </row>
    <row r="224" spans="1:22" x14ac:dyDescent="0.25">
      <c r="A224" s="18" t="s">
        <v>1160</v>
      </c>
      <c r="B224" s="18" t="s">
        <v>1157</v>
      </c>
      <c r="C224" s="18" t="s">
        <v>1159</v>
      </c>
      <c r="D224" t="s">
        <v>1158</v>
      </c>
      <c r="E224" s="13" t="s">
        <v>1161</v>
      </c>
      <c r="F224" s="3" t="s">
        <v>495</v>
      </c>
      <c r="H224" t="s">
        <v>496</v>
      </c>
      <c r="I224" t="s">
        <v>172</v>
      </c>
      <c r="J224" s="63">
        <v>5</v>
      </c>
      <c r="K224" s="25">
        <v>2408948.43683611</v>
      </c>
      <c r="L224" s="17">
        <v>3.9990671626801817E-2</v>
      </c>
      <c r="M224" s="63">
        <v>6</v>
      </c>
      <c r="N224" s="25">
        <v>3002879.9176557399</v>
      </c>
      <c r="O224" s="17">
        <v>4.5719506476282555E-2</v>
      </c>
      <c r="P224" s="63">
        <v>5</v>
      </c>
      <c r="Q224" s="25">
        <v>2469554.6284926599</v>
      </c>
      <c r="R224" s="66">
        <v>4.2690315921482272E-2</v>
      </c>
      <c r="S224" s="77">
        <f t="shared" si="3"/>
        <v>4.2800164674855555E-2</v>
      </c>
      <c r="V224" s="80"/>
    </row>
    <row r="225" spans="1:22" x14ac:dyDescent="0.25">
      <c r="A225" s="18" t="s">
        <v>1020</v>
      </c>
      <c r="B225" s="18" t="s">
        <v>1017</v>
      </c>
      <c r="C225" s="18" t="s">
        <v>1019</v>
      </c>
      <c r="D225" t="s">
        <v>1018</v>
      </c>
      <c r="E225" s="13" t="s">
        <v>1021</v>
      </c>
      <c r="F225" s="3" t="s">
        <v>495</v>
      </c>
      <c r="H225" t="s">
        <v>496</v>
      </c>
      <c r="I225" t="s">
        <v>172</v>
      </c>
      <c r="J225" s="63">
        <v>4</v>
      </c>
      <c r="K225" s="25">
        <v>3564419.93569603</v>
      </c>
      <c r="L225" s="17">
        <v>4.231240400905692E-2</v>
      </c>
      <c r="M225" s="63">
        <v>6</v>
      </c>
      <c r="N225" s="25">
        <v>3789414.9753330098</v>
      </c>
      <c r="O225" s="17">
        <v>4.1255644694378278E-2</v>
      </c>
      <c r="P225" s="63">
        <v>5</v>
      </c>
      <c r="Q225" s="25">
        <v>3618976.31999919</v>
      </c>
      <c r="R225" s="66">
        <v>4.4734657381819629E-2</v>
      </c>
      <c r="S225" s="77">
        <f t="shared" si="3"/>
        <v>4.2767568695084947E-2</v>
      </c>
      <c r="V225" s="80"/>
    </row>
    <row r="226" spans="1:22" x14ac:dyDescent="0.25">
      <c r="A226" s="18" t="s">
        <v>586</v>
      </c>
      <c r="B226" s="18" t="s">
        <v>8115</v>
      </c>
      <c r="C226" s="18" t="s">
        <v>588</v>
      </c>
      <c r="D226" t="s">
        <v>587</v>
      </c>
      <c r="E226" s="13" t="s">
        <v>589</v>
      </c>
      <c r="F226" s="3" t="s">
        <v>495</v>
      </c>
      <c r="H226" t="s">
        <v>541</v>
      </c>
      <c r="I226" t="s">
        <v>547</v>
      </c>
      <c r="J226" s="63">
        <v>2</v>
      </c>
      <c r="K226" s="25">
        <v>1559454.6112428401</v>
      </c>
      <c r="L226" s="17">
        <v>3.9981375889475063E-2</v>
      </c>
      <c r="M226" s="63">
        <v>2</v>
      </c>
      <c r="N226" s="25">
        <v>1915901.2591066</v>
      </c>
      <c r="O226" s="17">
        <v>4.5049553795394541E-2</v>
      </c>
      <c r="P226" s="63">
        <v>3</v>
      </c>
      <c r="Q226" s="25">
        <v>1575441.0726022599</v>
      </c>
      <c r="R226" s="66">
        <v>4.2059751021031488E-2</v>
      </c>
      <c r="S226" s="77">
        <f t="shared" si="3"/>
        <v>4.2363560235300364E-2</v>
      </c>
      <c r="V226" s="80"/>
    </row>
    <row r="227" spans="1:22" x14ac:dyDescent="0.25">
      <c r="A227" s="18" t="s">
        <v>1354</v>
      </c>
      <c r="B227" s="18" t="s">
        <v>1351</v>
      </c>
      <c r="C227" s="18" t="s">
        <v>1353</v>
      </c>
      <c r="D227" t="s">
        <v>1352</v>
      </c>
      <c r="E227" s="13" t="s">
        <v>1355</v>
      </c>
      <c r="F227" s="3" t="s">
        <v>495</v>
      </c>
      <c r="H227" t="s">
        <v>563</v>
      </c>
      <c r="I227" t="s">
        <v>716</v>
      </c>
      <c r="J227" s="63">
        <v>5</v>
      </c>
      <c r="K227" s="25">
        <v>4687418.8049451802</v>
      </c>
      <c r="L227" s="17">
        <v>3.9132545725545032E-2</v>
      </c>
      <c r="M227" s="63">
        <v>5</v>
      </c>
      <c r="N227" s="25">
        <v>3167491.7594792098</v>
      </c>
      <c r="O227" s="17">
        <v>2.4252259769833012E-2</v>
      </c>
      <c r="P227" s="63">
        <v>7</v>
      </c>
      <c r="Q227" s="25">
        <v>7263724.1665178798</v>
      </c>
      <c r="R227" s="66">
        <v>6.3145618952870297E-2</v>
      </c>
      <c r="S227" s="77">
        <f t="shared" si="3"/>
        <v>4.2176808149416121E-2</v>
      </c>
      <c r="V227" s="80"/>
    </row>
    <row r="228" spans="1:22" x14ac:dyDescent="0.25">
      <c r="A228" s="18" t="s">
        <v>971</v>
      </c>
      <c r="B228" s="18" t="s">
        <v>968</v>
      </c>
      <c r="C228" s="18" t="s">
        <v>970</v>
      </c>
      <c r="D228" t="s">
        <v>969</v>
      </c>
      <c r="E228" s="13" t="s">
        <v>972</v>
      </c>
      <c r="F228" s="3" t="s">
        <v>495</v>
      </c>
      <c r="H228" t="s">
        <v>563</v>
      </c>
      <c r="I228" t="s">
        <v>973</v>
      </c>
      <c r="J228" s="63">
        <v>20</v>
      </c>
      <c r="K228" s="25">
        <v>10954253.8088961</v>
      </c>
      <c r="L228" s="17">
        <v>4.2302072339581817E-2</v>
      </c>
      <c r="M228" s="63">
        <v>17</v>
      </c>
      <c r="N228" s="25">
        <v>9363545.4735026099</v>
      </c>
      <c r="O228" s="17">
        <v>3.3162826787946895E-2</v>
      </c>
      <c r="P228" s="63">
        <v>25</v>
      </c>
      <c r="Q228" s="25">
        <v>11983590.3970755</v>
      </c>
      <c r="R228" s="66">
        <v>4.8188714149118954E-2</v>
      </c>
      <c r="S228" s="77">
        <f t="shared" si="3"/>
        <v>4.1217871092215891E-2</v>
      </c>
      <c r="V228" s="80"/>
    </row>
    <row r="229" spans="1:22" x14ac:dyDescent="0.25">
      <c r="A229" s="18" t="s">
        <v>1312</v>
      </c>
      <c r="B229" s="18" t="s">
        <v>1309</v>
      </c>
      <c r="C229" s="18" t="s">
        <v>1311</v>
      </c>
      <c r="D229" t="s">
        <v>1310</v>
      </c>
      <c r="E229" s="13" t="s">
        <v>1313</v>
      </c>
      <c r="F229" s="3" t="s">
        <v>495</v>
      </c>
      <c r="H229" t="s">
        <v>563</v>
      </c>
      <c r="I229" t="s">
        <v>716</v>
      </c>
      <c r="J229" s="63">
        <v>13</v>
      </c>
      <c r="K229" s="25">
        <v>4505860.4129772</v>
      </c>
      <c r="L229" s="17">
        <v>4.050441803050725E-2</v>
      </c>
      <c r="M229" s="63">
        <v>12</v>
      </c>
      <c r="N229" s="25">
        <v>4568607.15996549</v>
      </c>
      <c r="O229" s="17">
        <v>3.7665249911505029E-2</v>
      </c>
      <c r="P229" s="63">
        <v>11</v>
      </c>
      <c r="Q229" s="25">
        <v>4550702.2209122302</v>
      </c>
      <c r="R229" s="66">
        <v>4.2597353531323462E-2</v>
      </c>
      <c r="S229" s="77">
        <f t="shared" si="3"/>
        <v>4.0255673824445247E-2</v>
      </c>
      <c r="V229" s="80"/>
    </row>
    <row r="230" spans="1:22" x14ac:dyDescent="0.25">
      <c r="A230" s="18" t="s">
        <v>1006</v>
      </c>
      <c r="B230" s="18" t="s">
        <v>1003</v>
      </c>
      <c r="C230" s="18" t="s">
        <v>1005</v>
      </c>
      <c r="D230" t="s">
        <v>1004</v>
      </c>
      <c r="E230" s="13" t="s">
        <v>786</v>
      </c>
      <c r="F230" s="3" t="s">
        <v>495</v>
      </c>
      <c r="H230" t="s">
        <v>541</v>
      </c>
      <c r="I230" t="s">
        <v>547</v>
      </c>
      <c r="J230" s="63">
        <v>8</v>
      </c>
      <c r="K230" s="25">
        <v>6318869.6584147401</v>
      </c>
      <c r="L230" s="17">
        <v>3.861578458690678E-2</v>
      </c>
      <c r="M230" s="63">
        <v>6</v>
      </c>
      <c r="N230" s="25">
        <v>7046904.4546497604</v>
      </c>
      <c r="O230" s="17">
        <v>3.9496282769892248E-2</v>
      </c>
      <c r="P230" s="63">
        <v>9</v>
      </c>
      <c r="Q230" s="25">
        <v>6624268.0508771501</v>
      </c>
      <c r="R230" s="66">
        <v>4.2154398931851668E-2</v>
      </c>
      <c r="S230" s="77">
        <f t="shared" si="3"/>
        <v>4.0088822096216899E-2</v>
      </c>
      <c r="V230" s="80"/>
    </row>
    <row r="231" spans="1:22" x14ac:dyDescent="0.25">
      <c r="A231" s="18" t="s">
        <v>491</v>
      </c>
      <c r="B231" s="18" t="s">
        <v>8096</v>
      </c>
      <c r="C231" s="18" t="s">
        <v>493</v>
      </c>
      <c r="D231" t="s">
        <v>492</v>
      </c>
      <c r="E231" s="13" t="s">
        <v>494</v>
      </c>
      <c r="F231" s="3" t="s">
        <v>495</v>
      </c>
      <c r="H231" t="s">
        <v>496</v>
      </c>
      <c r="I231" t="s">
        <v>172</v>
      </c>
      <c r="J231" s="63">
        <v>2</v>
      </c>
      <c r="K231" s="25">
        <v>1597962.5675585801</v>
      </c>
      <c r="L231" s="17">
        <v>3.846500540828332E-2</v>
      </c>
      <c r="M231" s="63">
        <v>3</v>
      </c>
      <c r="N231" s="25">
        <v>2036135.37831649</v>
      </c>
      <c r="O231" s="17">
        <v>4.4950882284328288E-2</v>
      </c>
      <c r="P231" s="63">
        <v>2</v>
      </c>
      <c r="Q231" s="25">
        <v>1464977.7757008499</v>
      </c>
      <c r="R231" s="66">
        <v>3.6720600080893687E-2</v>
      </c>
      <c r="S231" s="77">
        <f t="shared" si="3"/>
        <v>4.004549592450176E-2</v>
      </c>
      <c r="V231" s="80"/>
    </row>
    <row r="232" spans="1:22" x14ac:dyDescent="0.25">
      <c r="A232" s="18" t="s">
        <v>513</v>
      </c>
      <c r="B232" s="18" t="s">
        <v>8100</v>
      </c>
      <c r="C232" s="18" t="s">
        <v>515</v>
      </c>
      <c r="D232" t="s">
        <v>514</v>
      </c>
      <c r="E232" s="13" t="s">
        <v>516</v>
      </c>
      <c r="F232" s="3" t="s">
        <v>495</v>
      </c>
      <c r="G232" t="s">
        <v>517</v>
      </c>
      <c r="H232" t="s">
        <v>507</v>
      </c>
      <c r="I232" t="s">
        <v>17</v>
      </c>
      <c r="J232" s="63">
        <v>9</v>
      </c>
      <c r="K232" s="25">
        <v>3507846.4066567798</v>
      </c>
      <c r="L232" s="17">
        <v>4.1640832740768796E-2</v>
      </c>
      <c r="M232" s="63">
        <v>8</v>
      </c>
      <c r="N232" s="25">
        <v>3682686.5974926101</v>
      </c>
      <c r="O232" s="17">
        <v>4.009368485000829E-2</v>
      </c>
      <c r="P232" s="63">
        <v>7</v>
      </c>
      <c r="Q232" s="25">
        <v>3011474.7121290402</v>
      </c>
      <c r="R232" s="66">
        <v>3.7225247569770276E-2</v>
      </c>
      <c r="S232" s="77">
        <f t="shared" si="3"/>
        <v>3.9653255053515787E-2</v>
      </c>
      <c r="V232" s="80"/>
    </row>
    <row r="233" spans="1:22" x14ac:dyDescent="0.25">
      <c r="A233" s="18" t="s">
        <v>573</v>
      </c>
      <c r="B233" s="18" t="s">
        <v>8112</v>
      </c>
      <c r="C233" s="18" t="s">
        <v>575</v>
      </c>
      <c r="D233" t="s">
        <v>574</v>
      </c>
      <c r="E233" s="13" t="s">
        <v>576</v>
      </c>
      <c r="F233" s="3" t="s">
        <v>495</v>
      </c>
      <c r="H233" t="s">
        <v>577</v>
      </c>
      <c r="I233" t="s">
        <v>553</v>
      </c>
      <c r="J233" s="63">
        <v>5</v>
      </c>
      <c r="K233" s="25">
        <v>3636172.6398613201</v>
      </c>
      <c r="L233" s="17">
        <v>4.328274661922956E-2</v>
      </c>
      <c r="M233" s="63">
        <v>5</v>
      </c>
      <c r="N233" s="25">
        <v>3470638.6185711101</v>
      </c>
      <c r="O233" s="17">
        <v>3.7888907846352203E-2</v>
      </c>
      <c r="P233" s="63">
        <v>5</v>
      </c>
      <c r="Q233" s="25">
        <v>3024383.85969551</v>
      </c>
      <c r="R233" s="66">
        <v>3.7487524842106421E-2</v>
      </c>
      <c r="S233" s="77">
        <f t="shared" si="3"/>
        <v>3.9553059769229397E-2</v>
      </c>
      <c r="V233" s="80"/>
    </row>
    <row r="234" spans="1:22" x14ac:dyDescent="0.25">
      <c r="A234" s="18" t="s">
        <v>823</v>
      </c>
      <c r="B234" s="18" t="s">
        <v>820</v>
      </c>
      <c r="C234" s="18" t="s">
        <v>822</v>
      </c>
      <c r="D234" t="s">
        <v>821</v>
      </c>
      <c r="E234" s="13" t="s">
        <v>615</v>
      </c>
      <c r="F234" s="3" t="s">
        <v>495</v>
      </c>
      <c r="H234" t="s">
        <v>496</v>
      </c>
      <c r="I234" t="s">
        <v>41</v>
      </c>
      <c r="J234" s="63">
        <v>2</v>
      </c>
      <c r="K234" s="25">
        <v>1652486.1719915399</v>
      </c>
      <c r="L234" s="17">
        <v>3.870239194881045E-2</v>
      </c>
      <c r="M234" s="63">
        <v>2</v>
      </c>
      <c r="N234" s="25">
        <v>2001255.26029466</v>
      </c>
      <c r="O234" s="17">
        <v>4.2986771968193907E-2</v>
      </c>
      <c r="P234" s="63">
        <v>2</v>
      </c>
      <c r="Q234" s="25">
        <v>1510155.32748622</v>
      </c>
      <c r="R234" s="66">
        <v>3.682994999533358E-2</v>
      </c>
      <c r="S234" s="77">
        <f t="shared" si="3"/>
        <v>3.9506371304112643E-2</v>
      </c>
      <c r="V234" s="80"/>
    </row>
    <row r="235" spans="1:22" x14ac:dyDescent="0.25">
      <c r="A235" s="18" t="s">
        <v>2033</v>
      </c>
      <c r="B235" s="18" t="s">
        <v>2030</v>
      </c>
      <c r="C235" s="18" t="s">
        <v>2032</v>
      </c>
      <c r="D235" t="s">
        <v>2031</v>
      </c>
      <c r="E235" s="13" t="s">
        <v>2034</v>
      </c>
      <c r="F235" s="3" t="s">
        <v>495</v>
      </c>
      <c r="H235" t="s">
        <v>1339</v>
      </c>
      <c r="J235" s="63">
        <v>8</v>
      </c>
      <c r="K235" s="25">
        <v>4583103.6583500002</v>
      </c>
      <c r="L235" s="17">
        <v>4.027953627034974E-2</v>
      </c>
      <c r="M235" s="63">
        <v>9</v>
      </c>
      <c r="N235" s="25">
        <v>4833788.2964619696</v>
      </c>
      <c r="O235" s="17">
        <v>3.8962317596032081E-2</v>
      </c>
      <c r="P235" s="63">
        <v>7</v>
      </c>
      <c r="Q235" s="25">
        <v>4237767.2223477699</v>
      </c>
      <c r="R235" s="66">
        <v>3.8783001477938187E-2</v>
      </c>
      <c r="S235" s="77">
        <f t="shared" si="3"/>
        <v>3.9341618448106672E-2</v>
      </c>
      <c r="V235" s="80"/>
    </row>
    <row r="236" spans="1:22" x14ac:dyDescent="0.25">
      <c r="A236" s="18" t="s">
        <v>1554</v>
      </c>
      <c r="B236" s="18" t="s">
        <v>1551</v>
      </c>
      <c r="C236" s="18" t="s">
        <v>1553</v>
      </c>
      <c r="D236" t="s">
        <v>1552</v>
      </c>
      <c r="E236" s="13" t="s">
        <v>1555</v>
      </c>
      <c r="F236" s="3" t="s">
        <v>495</v>
      </c>
      <c r="H236" t="s">
        <v>541</v>
      </c>
      <c r="I236" t="s">
        <v>553</v>
      </c>
      <c r="J236" s="63">
        <v>6</v>
      </c>
      <c r="K236" s="25">
        <v>3273599.85480073</v>
      </c>
      <c r="L236" s="17">
        <v>3.9619981403965852E-2</v>
      </c>
      <c r="M236" s="63">
        <v>6</v>
      </c>
      <c r="N236" s="25">
        <v>3262609.2352466602</v>
      </c>
      <c r="O236" s="17">
        <v>3.6214801581319483E-2</v>
      </c>
      <c r="P236" s="63">
        <v>7</v>
      </c>
      <c r="Q236" s="25">
        <v>3322903.9999600099</v>
      </c>
      <c r="R236" s="66">
        <v>4.1878007119763111E-2</v>
      </c>
      <c r="S236" s="77">
        <f t="shared" si="3"/>
        <v>3.9237596701682816E-2</v>
      </c>
      <c r="V236" s="80"/>
    </row>
    <row r="237" spans="1:22" x14ac:dyDescent="0.25">
      <c r="A237" s="18" t="s">
        <v>1322</v>
      </c>
      <c r="B237" s="18" t="s">
        <v>1319</v>
      </c>
      <c r="C237" s="18" t="s">
        <v>1321</v>
      </c>
      <c r="D237" t="s">
        <v>1320</v>
      </c>
      <c r="E237" s="13" t="s">
        <v>1323</v>
      </c>
      <c r="F237" s="3" t="s">
        <v>495</v>
      </c>
      <c r="H237" t="s">
        <v>558</v>
      </c>
      <c r="I237" t="s">
        <v>12</v>
      </c>
      <c r="J237" s="63">
        <v>18</v>
      </c>
      <c r="K237" s="25">
        <v>4695349.4840388903</v>
      </c>
      <c r="L237" s="17">
        <v>3.7744255139025115E-2</v>
      </c>
      <c r="M237" s="63">
        <v>11</v>
      </c>
      <c r="N237" s="25">
        <v>4873855.5995342704</v>
      </c>
      <c r="O237" s="17">
        <v>3.5932544186015797E-2</v>
      </c>
      <c r="P237" s="63">
        <v>16</v>
      </c>
      <c r="Q237" s="25">
        <v>4840856.4656469496</v>
      </c>
      <c r="R237" s="66">
        <v>4.0521422151091738E-2</v>
      </c>
      <c r="S237" s="77">
        <f t="shared" si="3"/>
        <v>3.806607382537755E-2</v>
      </c>
      <c r="V237" s="80"/>
    </row>
    <row r="238" spans="1:22" x14ac:dyDescent="0.25">
      <c r="A238" s="18" t="s">
        <v>1570</v>
      </c>
      <c r="B238" s="18" t="s">
        <v>1567</v>
      </c>
      <c r="C238" s="18" t="s">
        <v>1569</v>
      </c>
      <c r="D238" t="s">
        <v>1568</v>
      </c>
      <c r="E238" s="13" t="s">
        <v>1571</v>
      </c>
      <c r="F238" s="3" t="s">
        <v>495</v>
      </c>
      <c r="H238" t="s">
        <v>563</v>
      </c>
      <c r="I238" t="s">
        <v>716</v>
      </c>
      <c r="J238" s="63">
        <v>2</v>
      </c>
      <c r="K238" s="25">
        <v>1974678.8886824001</v>
      </c>
      <c r="L238" s="17">
        <v>3.8026439755138718E-2</v>
      </c>
      <c r="M238" s="63">
        <v>3</v>
      </c>
      <c r="N238" s="25">
        <v>2060960.66538444</v>
      </c>
      <c r="O238" s="17">
        <v>3.6399151549117575E-2</v>
      </c>
      <c r="P238" s="63">
        <v>2</v>
      </c>
      <c r="Q238" s="25">
        <v>1976809.2768880101</v>
      </c>
      <c r="R238" s="66">
        <v>3.9639985860169112E-2</v>
      </c>
      <c r="S238" s="77">
        <f t="shared" si="3"/>
        <v>3.8021859054808475E-2</v>
      </c>
      <c r="V238" s="80"/>
    </row>
    <row r="239" spans="1:22" x14ac:dyDescent="0.25">
      <c r="A239" s="18" t="s">
        <v>736</v>
      </c>
      <c r="B239" s="18" t="s">
        <v>733</v>
      </c>
      <c r="C239" s="18" t="s">
        <v>735</v>
      </c>
      <c r="D239" t="s">
        <v>734</v>
      </c>
      <c r="E239" s="13" t="s">
        <v>737</v>
      </c>
      <c r="F239" s="3" t="s">
        <v>495</v>
      </c>
      <c r="G239" t="s">
        <v>600</v>
      </c>
      <c r="H239" t="s">
        <v>507</v>
      </c>
      <c r="I239" t="s">
        <v>17</v>
      </c>
      <c r="J239" s="63">
        <v>10</v>
      </c>
      <c r="K239" s="25">
        <v>4407142.4962063497</v>
      </c>
      <c r="L239" s="17">
        <v>4.1242767793969064E-2</v>
      </c>
      <c r="M239" s="63">
        <v>13</v>
      </c>
      <c r="N239" s="25">
        <v>4108318.2112076902</v>
      </c>
      <c r="O239" s="17">
        <v>3.5260393867822468E-2</v>
      </c>
      <c r="P239" s="63">
        <v>8</v>
      </c>
      <c r="Q239" s="25">
        <v>3780649.8595930799</v>
      </c>
      <c r="R239" s="66">
        <v>3.6841449178020062E-2</v>
      </c>
      <c r="S239" s="77">
        <f t="shared" si="3"/>
        <v>3.7781536946603862E-2</v>
      </c>
      <c r="V239" s="80"/>
    </row>
    <row r="240" spans="1:22" x14ac:dyDescent="0.25">
      <c r="A240" s="18" t="s">
        <v>1502</v>
      </c>
      <c r="B240" s="18" t="s">
        <v>8127</v>
      </c>
      <c r="C240" s="18" t="s">
        <v>1501</v>
      </c>
      <c r="D240" t="s">
        <v>1500</v>
      </c>
      <c r="E240" s="13" t="s">
        <v>1503</v>
      </c>
      <c r="F240" s="3" t="s">
        <v>495</v>
      </c>
      <c r="H240" t="s">
        <v>507</v>
      </c>
      <c r="I240" t="s">
        <v>17</v>
      </c>
      <c r="J240" s="63">
        <v>7</v>
      </c>
      <c r="K240" s="25">
        <v>4070189.8170445901</v>
      </c>
      <c r="L240" s="17">
        <v>4.07285049386766E-2</v>
      </c>
      <c r="M240" s="63">
        <v>8</v>
      </c>
      <c r="N240" s="25">
        <v>3639549.6263067801</v>
      </c>
      <c r="O240" s="17">
        <v>3.3401334955867584E-2</v>
      </c>
      <c r="P240" s="63">
        <v>7</v>
      </c>
      <c r="Q240" s="25">
        <v>3581800.8897094401</v>
      </c>
      <c r="R240" s="66">
        <v>3.7321989140469157E-2</v>
      </c>
      <c r="S240" s="77">
        <f t="shared" si="3"/>
        <v>3.7150609678337783E-2</v>
      </c>
      <c r="V240" s="80"/>
    </row>
    <row r="241" spans="1:22" x14ac:dyDescent="0.25">
      <c r="A241" s="18" t="s">
        <v>1742</v>
      </c>
      <c r="B241" s="18" t="s">
        <v>1739</v>
      </c>
      <c r="C241" s="18" t="s">
        <v>1741</v>
      </c>
      <c r="D241" t="s">
        <v>1740</v>
      </c>
      <c r="E241" s="13" t="s">
        <v>1743</v>
      </c>
      <c r="F241" s="3" t="s">
        <v>495</v>
      </c>
      <c r="H241" t="s">
        <v>541</v>
      </c>
      <c r="I241" t="s">
        <v>547</v>
      </c>
      <c r="J241" s="63">
        <v>1</v>
      </c>
      <c r="K241" s="25">
        <v>1673861.5325165901</v>
      </c>
      <c r="L241" s="17">
        <v>3.4868068869557164E-2</v>
      </c>
      <c r="M241" s="63">
        <v>2</v>
      </c>
      <c r="N241" s="25">
        <v>2041914.2953013501</v>
      </c>
      <c r="O241" s="17">
        <v>3.9010206583876293E-2</v>
      </c>
      <c r="P241" s="63">
        <v>1</v>
      </c>
      <c r="Q241" s="25">
        <v>1645084.63361111</v>
      </c>
      <c r="R241" s="66">
        <v>3.5684215158828116E-2</v>
      </c>
      <c r="S241" s="77">
        <f t="shared" si="3"/>
        <v>3.6520830204087189E-2</v>
      </c>
      <c r="V241" s="80"/>
    </row>
    <row r="242" spans="1:22" x14ac:dyDescent="0.25">
      <c r="A242" s="18" t="s">
        <v>1498</v>
      </c>
      <c r="B242" s="18" t="s">
        <v>1495</v>
      </c>
      <c r="C242" s="18" t="s">
        <v>1497</v>
      </c>
      <c r="D242" t="s">
        <v>1496</v>
      </c>
      <c r="E242" s="13" t="s">
        <v>1499</v>
      </c>
      <c r="F242" s="3" t="s">
        <v>495</v>
      </c>
      <c r="H242" t="s">
        <v>507</v>
      </c>
      <c r="I242" t="s">
        <v>17</v>
      </c>
      <c r="J242" s="63">
        <v>13</v>
      </c>
      <c r="K242" s="25">
        <v>8704748.7961050402</v>
      </c>
      <c r="L242" s="17">
        <v>3.7342773468741368E-2</v>
      </c>
      <c r="M242" s="63">
        <v>11</v>
      </c>
      <c r="N242" s="25">
        <v>7223986.6319099497</v>
      </c>
      <c r="O242" s="17">
        <v>2.8422327240433323E-2</v>
      </c>
      <c r="P242" s="63">
        <v>16</v>
      </c>
      <c r="Q242" s="25">
        <v>9358668.7410053406</v>
      </c>
      <c r="R242" s="66">
        <v>4.1806512482470332E-2</v>
      </c>
      <c r="S242" s="77">
        <f t="shared" si="3"/>
        <v>3.5857204397215008E-2</v>
      </c>
      <c r="V242" s="80"/>
    </row>
    <row r="243" spans="1:22" x14ac:dyDescent="0.25">
      <c r="A243" s="18" t="s">
        <v>593</v>
      </c>
      <c r="B243" s="18" t="s">
        <v>590</v>
      </c>
      <c r="C243" s="18" t="s">
        <v>592</v>
      </c>
      <c r="D243" t="s">
        <v>591</v>
      </c>
      <c r="E243" s="13" t="s">
        <v>594</v>
      </c>
      <c r="F243" s="3" t="s">
        <v>495</v>
      </c>
      <c r="H243" t="s">
        <v>552</v>
      </c>
      <c r="I243" t="s">
        <v>553</v>
      </c>
      <c r="J243" s="63">
        <v>11</v>
      </c>
      <c r="K243" s="25">
        <v>6183309.9662156096</v>
      </c>
      <c r="L243" s="17">
        <v>3.5674080028284913E-2</v>
      </c>
      <c r="M243" s="63">
        <v>5</v>
      </c>
      <c r="N243" s="25">
        <v>6012754.3849848602</v>
      </c>
      <c r="O243" s="17">
        <v>3.1815415710516694E-2</v>
      </c>
      <c r="P243" s="63">
        <v>8</v>
      </c>
      <c r="Q243" s="25">
        <v>6593798.8277593302</v>
      </c>
      <c r="R243" s="66">
        <v>3.9613844685887536E-2</v>
      </c>
      <c r="S243" s="77">
        <f t="shared" si="3"/>
        <v>3.5701113474896386E-2</v>
      </c>
      <c r="V243" s="80"/>
    </row>
    <row r="244" spans="1:22" x14ac:dyDescent="0.25">
      <c r="A244" s="18" t="s">
        <v>559</v>
      </c>
      <c r="B244" s="18" t="s">
        <v>8109</v>
      </c>
      <c r="C244" s="18" t="s">
        <v>561</v>
      </c>
      <c r="D244" t="s">
        <v>560</v>
      </c>
      <c r="E244" s="13" t="s">
        <v>562</v>
      </c>
      <c r="F244" s="3" t="s">
        <v>495</v>
      </c>
      <c r="H244" t="s">
        <v>563</v>
      </c>
      <c r="I244" t="s">
        <v>553</v>
      </c>
      <c r="J244" s="63">
        <v>5</v>
      </c>
      <c r="K244" s="25">
        <v>2498032.8586092601</v>
      </c>
      <c r="L244" s="17">
        <v>3.694045390991918E-2</v>
      </c>
      <c r="M244" s="63">
        <v>7</v>
      </c>
      <c r="N244" s="25">
        <v>2737459.14569759</v>
      </c>
      <c r="O244" s="17">
        <v>3.7126507896400533E-2</v>
      </c>
      <c r="P244" s="63">
        <v>6</v>
      </c>
      <c r="Q244" s="25">
        <v>1874424.31712516</v>
      </c>
      <c r="R244" s="66">
        <v>2.8863668496330163E-2</v>
      </c>
      <c r="S244" s="77">
        <f t="shared" si="3"/>
        <v>3.4310210100883295E-2</v>
      </c>
      <c r="V244" s="80"/>
    </row>
    <row r="245" spans="1:22" x14ac:dyDescent="0.25">
      <c r="A245" s="18" t="s">
        <v>1239</v>
      </c>
      <c r="B245" s="18" t="s">
        <v>1236</v>
      </c>
      <c r="C245" s="18" t="s">
        <v>1238</v>
      </c>
      <c r="D245" t="s">
        <v>1237</v>
      </c>
      <c r="E245" s="13" t="s">
        <v>1240</v>
      </c>
      <c r="F245" s="3" t="s">
        <v>495</v>
      </c>
      <c r="H245" t="s">
        <v>496</v>
      </c>
      <c r="I245" t="s">
        <v>172</v>
      </c>
      <c r="J245" s="63">
        <v>5</v>
      </c>
      <c r="K245" s="25">
        <v>1793939.5519244601</v>
      </c>
      <c r="L245" s="17">
        <v>2.8895301232192666E-2</v>
      </c>
      <c r="M245" s="63">
        <v>6</v>
      </c>
      <c r="N245" s="25">
        <v>2620067.8174915002</v>
      </c>
      <c r="O245" s="17">
        <v>3.870475548914229E-2</v>
      </c>
      <c r="P245" s="63">
        <v>4</v>
      </c>
      <c r="Q245" s="25">
        <v>2098215.0216382798</v>
      </c>
      <c r="R245" s="66">
        <v>3.5192405285241646E-2</v>
      </c>
      <c r="S245" s="77">
        <f t="shared" si="3"/>
        <v>3.4264154002192203E-2</v>
      </c>
      <c r="V245" s="80"/>
    </row>
    <row r="246" spans="1:22" x14ac:dyDescent="0.25">
      <c r="A246" s="18" t="s">
        <v>1033</v>
      </c>
      <c r="B246" s="18" t="s">
        <v>8120</v>
      </c>
      <c r="C246" s="18" t="s">
        <v>1032</v>
      </c>
      <c r="D246" t="s">
        <v>1031</v>
      </c>
      <c r="E246" s="13" t="s">
        <v>1034</v>
      </c>
      <c r="F246" s="3" t="s">
        <v>495</v>
      </c>
      <c r="H246" t="s">
        <v>563</v>
      </c>
      <c r="I246" t="s">
        <v>716</v>
      </c>
      <c r="J246" s="63">
        <v>6</v>
      </c>
      <c r="K246" s="25">
        <v>2543736.7835878599</v>
      </c>
      <c r="L246" s="17">
        <v>3.3912554942703711E-2</v>
      </c>
      <c r="M246" s="63">
        <v>7</v>
      </c>
      <c r="N246" s="25">
        <v>2857078.2669457202</v>
      </c>
      <c r="O246" s="17">
        <v>3.4933560508807193E-2</v>
      </c>
      <c r="P246" s="63">
        <v>5</v>
      </c>
      <c r="Q246" s="25">
        <v>2335891.12173079</v>
      </c>
      <c r="R246" s="66">
        <v>3.2428023087893817E-2</v>
      </c>
      <c r="S246" s="77">
        <f t="shared" si="3"/>
        <v>3.3758046179801569E-2</v>
      </c>
      <c r="V246" s="80"/>
    </row>
    <row r="247" spans="1:22" x14ac:dyDescent="0.25">
      <c r="A247" s="18" t="s">
        <v>1888</v>
      </c>
      <c r="B247" s="18" t="s">
        <v>1885</v>
      </c>
      <c r="C247" s="18" t="s">
        <v>1887</v>
      </c>
      <c r="D247" t="s">
        <v>1886</v>
      </c>
      <c r="E247" s="13" t="s">
        <v>1889</v>
      </c>
      <c r="F247" s="3" t="s">
        <v>495</v>
      </c>
      <c r="G247" t="s">
        <v>1890</v>
      </c>
      <c r="H247" t="s">
        <v>507</v>
      </c>
      <c r="I247" t="s">
        <v>1891</v>
      </c>
      <c r="J247" s="63">
        <v>2</v>
      </c>
      <c r="K247" s="25">
        <v>2153595.45342066</v>
      </c>
      <c r="L247" s="17">
        <v>3.2176427917672557E-2</v>
      </c>
      <c r="M247" s="63">
        <v>2</v>
      </c>
      <c r="N247" s="25">
        <v>2455774.1080436199</v>
      </c>
      <c r="O247" s="17">
        <v>3.3650730293662237E-2</v>
      </c>
      <c r="P247" s="63">
        <v>2</v>
      </c>
      <c r="Q247" s="25">
        <v>2274150.9641500702</v>
      </c>
      <c r="R247" s="66">
        <v>3.5381197805197065E-2</v>
      </c>
      <c r="S247" s="77">
        <f t="shared" si="3"/>
        <v>3.3736118672177288E-2</v>
      </c>
      <c r="V247" s="80"/>
    </row>
    <row r="248" spans="1:22" x14ac:dyDescent="0.25">
      <c r="A248" s="18" t="s">
        <v>1544</v>
      </c>
      <c r="B248" s="18" t="s">
        <v>1541</v>
      </c>
      <c r="C248" s="18" t="s">
        <v>1543</v>
      </c>
      <c r="D248" t="s">
        <v>1542</v>
      </c>
      <c r="E248" s="13" t="s">
        <v>1545</v>
      </c>
      <c r="F248" s="3" t="s">
        <v>495</v>
      </c>
      <c r="G248" t="s">
        <v>692</v>
      </c>
      <c r="H248" t="s">
        <v>507</v>
      </c>
      <c r="I248" t="s">
        <v>17</v>
      </c>
      <c r="J248" s="63">
        <v>4</v>
      </c>
      <c r="K248" s="25">
        <v>1279242.71198722</v>
      </c>
      <c r="L248" s="17">
        <v>2.9799687407233086E-2</v>
      </c>
      <c r="M248" s="63">
        <v>5</v>
      </c>
      <c r="N248" s="25">
        <v>1730075.0832849799</v>
      </c>
      <c r="O248" s="17">
        <v>3.6962052770754768E-2</v>
      </c>
      <c r="P248" s="63">
        <v>4</v>
      </c>
      <c r="Q248" s="25">
        <v>1395740.90047555</v>
      </c>
      <c r="R248" s="66">
        <v>3.3856581047883132E-2</v>
      </c>
      <c r="S248" s="77">
        <f t="shared" si="3"/>
        <v>3.3539440408623666E-2</v>
      </c>
      <c r="V248" s="80"/>
    </row>
    <row r="249" spans="1:22" x14ac:dyDescent="0.25">
      <c r="A249" s="18" t="s">
        <v>2023</v>
      </c>
      <c r="B249" s="18" t="s">
        <v>2020</v>
      </c>
      <c r="C249" s="18" t="s">
        <v>2022</v>
      </c>
      <c r="D249" t="s">
        <v>2021</v>
      </c>
      <c r="E249" s="13" t="s">
        <v>2024</v>
      </c>
      <c r="F249" s="3" t="s">
        <v>495</v>
      </c>
      <c r="G249" t="s">
        <v>1367</v>
      </c>
      <c r="H249" t="s">
        <v>507</v>
      </c>
      <c r="I249" t="s">
        <v>17</v>
      </c>
      <c r="J249" s="63">
        <v>5</v>
      </c>
      <c r="K249" s="25">
        <v>2295698.78087762</v>
      </c>
      <c r="L249" s="17">
        <v>3.2936667978542437E-2</v>
      </c>
      <c r="M249" s="63">
        <v>5</v>
      </c>
      <c r="N249" s="25">
        <v>2583727.2196807</v>
      </c>
      <c r="O249" s="17">
        <v>3.3997250333511947E-2</v>
      </c>
      <c r="P249" s="63">
        <v>5</v>
      </c>
      <c r="Q249" s="25">
        <v>2194943.3737526899</v>
      </c>
      <c r="R249" s="66">
        <v>3.2791978166438911E-2</v>
      </c>
      <c r="S249" s="77">
        <f t="shared" si="3"/>
        <v>3.3241965492831101E-2</v>
      </c>
      <c r="V249" s="80"/>
    </row>
    <row r="250" spans="1:22" x14ac:dyDescent="0.25">
      <c r="A250" s="18" t="s">
        <v>790</v>
      </c>
      <c r="B250" s="18" t="s">
        <v>787</v>
      </c>
      <c r="C250" s="18" t="s">
        <v>789</v>
      </c>
      <c r="D250" t="s">
        <v>788</v>
      </c>
      <c r="E250" s="13" t="s">
        <v>791</v>
      </c>
      <c r="F250" s="3" t="s">
        <v>495</v>
      </c>
      <c r="H250" t="s">
        <v>541</v>
      </c>
      <c r="I250" t="s">
        <v>792</v>
      </c>
      <c r="J250" s="63">
        <v>8</v>
      </c>
      <c r="K250" s="25">
        <v>3589191.2474183198</v>
      </c>
      <c r="L250" s="17">
        <v>3.63349470995709E-2</v>
      </c>
      <c r="M250" s="63">
        <v>7</v>
      </c>
      <c r="N250" s="25">
        <v>2918919.49238641</v>
      </c>
      <c r="O250" s="17">
        <v>2.7100819474282448E-2</v>
      </c>
      <c r="P250" s="63">
        <v>5</v>
      </c>
      <c r="Q250" s="25">
        <v>3336877.2932156501</v>
      </c>
      <c r="R250" s="66">
        <v>3.5176101533687325E-2</v>
      </c>
      <c r="S250" s="77">
        <f t="shared" si="3"/>
        <v>3.2870622702513556E-2</v>
      </c>
      <c r="V250" s="80"/>
    </row>
    <row r="251" spans="1:22" x14ac:dyDescent="0.25">
      <c r="A251" s="18" t="s">
        <v>948</v>
      </c>
      <c r="B251" s="18" t="s">
        <v>945</v>
      </c>
      <c r="C251" s="18" t="s">
        <v>947</v>
      </c>
      <c r="D251" t="s">
        <v>946</v>
      </c>
      <c r="E251" s="13" t="s">
        <v>949</v>
      </c>
      <c r="F251" s="3" t="s">
        <v>495</v>
      </c>
      <c r="H251" t="s">
        <v>507</v>
      </c>
      <c r="I251" t="s">
        <v>547</v>
      </c>
      <c r="J251" s="63">
        <v>5</v>
      </c>
      <c r="K251" s="25">
        <v>2164706.3181100599</v>
      </c>
      <c r="L251" s="17">
        <v>3.2342433067903374E-2</v>
      </c>
      <c r="M251" s="63">
        <v>8</v>
      </c>
      <c r="N251" s="25">
        <v>2341441.9897849802</v>
      </c>
      <c r="O251" s="17">
        <v>3.2084071836427766E-2</v>
      </c>
      <c r="P251" s="63">
        <v>7</v>
      </c>
      <c r="Q251" s="25">
        <v>2034336.2116521599</v>
      </c>
      <c r="R251" s="66">
        <v>3.165016440922204E-2</v>
      </c>
      <c r="S251" s="77">
        <f t="shared" si="3"/>
        <v>3.2025556437851058E-2</v>
      </c>
      <c r="V251" s="80"/>
    </row>
    <row r="252" spans="1:22" x14ac:dyDescent="0.25">
      <c r="A252" s="18" t="s">
        <v>1078</v>
      </c>
      <c r="B252" s="18" t="s">
        <v>1075</v>
      </c>
      <c r="C252" s="18" t="s">
        <v>1077</v>
      </c>
      <c r="D252" t="s">
        <v>1076</v>
      </c>
      <c r="E252" s="13" t="s">
        <v>1079</v>
      </c>
      <c r="F252" s="3" t="s">
        <v>495</v>
      </c>
      <c r="H252" t="s">
        <v>1080</v>
      </c>
      <c r="J252" s="63">
        <v>6</v>
      </c>
      <c r="K252" s="25">
        <v>3617105.17956291</v>
      </c>
      <c r="L252" s="17">
        <v>3.2181321756853475E-2</v>
      </c>
      <c r="M252" s="63">
        <v>3</v>
      </c>
      <c r="N252" s="25">
        <v>4028024.0019926699</v>
      </c>
      <c r="O252" s="17">
        <v>3.2867537269202315E-2</v>
      </c>
      <c r="P252" s="63">
        <v>4</v>
      </c>
      <c r="Q252" s="25">
        <v>3049893.4097917001</v>
      </c>
      <c r="R252" s="66">
        <v>2.8255756470852038E-2</v>
      </c>
      <c r="S252" s="77">
        <f t="shared" si="3"/>
        <v>3.1101538498969277E-2</v>
      </c>
      <c r="V252" s="80"/>
    </row>
    <row r="253" spans="1:22" x14ac:dyDescent="0.25">
      <c r="A253" s="18" t="s">
        <v>1381</v>
      </c>
      <c r="B253" s="18" t="s">
        <v>1378</v>
      </c>
      <c r="C253" s="18" t="s">
        <v>1380</v>
      </c>
      <c r="D253" t="s">
        <v>1379</v>
      </c>
      <c r="E253" s="13" t="s">
        <v>1382</v>
      </c>
      <c r="F253" s="3" t="s">
        <v>495</v>
      </c>
      <c r="H253" t="s">
        <v>541</v>
      </c>
      <c r="I253" t="s">
        <v>547</v>
      </c>
      <c r="J253" s="63">
        <v>4</v>
      </c>
      <c r="K253" s="25">
        <v>1776036.92979181</v>
      </c>
      <c r="L253" s="17">
        <v>2.8713682850734258E-2</v>
      </c>
      <c r="M253" s="63">
        <v>4</v>
      </c>
      <c r="N253" s="25">
        <v>2410940.3330783802</v>
      </c>
      <c r="O253" s="17">
        <v>3.5748328813075242E-2</v>
      </c>
      <c r="P253" s="63">
        <v>2</v>
      </c>
      <c r="Q253" s="25">
        <v>1691468.6158452299</v>
      </c>
      <c r="R253" s="66">
        <v>2.8476092082239935E-2</v>
      </c>
      <c r="S253" s="77">
        <f t="shared" si="3"/>
        <v>3.0979367915349807E-2</v>
      </c>
      <c r="V253" s="80"/>
    </row>
    <row r="254" spans="1:22" x14ac:dyDescent="0.25">
      <c r="A254" s="18" t="s">
        <v>1615</v>
      </c>
      <c r="B254" s="18" t="s">
        <v>1612</v>
      </c>
      <c r="C254" s="18" t="s">
        <v>1614</v>
      </c>
      <c r="D254" t="s">
        <v>1613</v>
      </c>
      <c r="E254" s="13" t="s">
        <v>1616</v>
      </c>
      <c r="F254" s="3" t="s">
        <v>495</v>
      </c>
      <c r="H254" t="s">
        <v>541</v>
      </c>
      <c r="I254" t="s">
        <v>547</v>
      </c>
      <c r="J254" s="63">
        <v>8</v>
      </c>
      <c r="K254" s="25">
        <v>3819084.2057321202</v>
      </c>
      <c r="L254" s="17">
        <v>3.0987723939008022E-2</v>
      </c>
      <c r="M254" s="63">
        <v>6</v>
      </c>
      <c r="N254" s="25">
        <v>3725268.26467446</v>
      </c>
      <c r="O254" s="17">
        <v>2.772173267297803E-2</v>
      </c>
      <c r="P254" s="63">
        <v>13</v>
      </c>
      <c r="Q254" s="25">
        <v>3700185.4195113801</v>
      </c>
      <c r="R254" s="66">
        <v>3.126320288298301E-2</v>
      </c>
      <c r="S254" s="77">
        <f t="shared" si="3"/>
        <v>2.999088649832302E-2</v>
      </c>
      <c r="V254" s="80"/>
    </row>
    <row r="255" spans="1:22" x14ac:dyDescent="0.25">
      <c r="A255" s="18" t="s">
        <v>1025</v>
      </c>
      <c r="B255" s="18" t="s">
        <v>1022</v>
      </c>
      <c r="C255" s="18" t="s">
        <v>1024</v>
      </c>
      <c r="D255" t="s">
        <v>1023</v>
      </c>
      <c r="E255" s="13" t="s">
        <v>1026</v>
      </c>
      <c r="F255" s="3" t="s">
        <v>495</v>
      </c>
      <c r="H255" t="s">
        <v>496</v>
      </c>
      <c r="I255" t="s">
        <v>172</v>
      </c>
      <c r="J255" s="63">
        <v>3</v>
      </c>
      <c r="K255" s="25">
        <v>3271427.0652758102</v>
      </c>
      <c r="L255" s="17">
        <v>3.0482879599709606E-2</v>
      </c>
      <c r="M255" s="63">
        <v>6</v>
      </c>
      <c r="N255" s="25">
        <v>3344083.1084163398</v>
      </c>
      <c r="O255" s="17">
        <v>2.8577760009902146E-2</v>
      </c>
      <c r="P255" s="63">
        <v>5</v>
      </c>
      <c r="Q255" s="25">
        <v>3150580.2818650501</v>
      </c>
      <c r="R255" s="66">
        <v>3.0569535255285045E-2</v>
      </c>
      <c r="S255" s="77">
        <f t="shared" si="3"/>
        <v>2.98767249549656E-2</v>
      </c>
      <c r="V255" s="80"/>
    </row>
    <row r="256" spans="1:22" x14ac:dyDescent="0.25">
      <c r="A256" s="18" t="s">
        <v>1585</v>
      </c>
      <c r="B256" s="18" t="s">
        <v>1582</v>
      </c>
      <c r="C256" s="18" t="s">
        <v>1584</v>
      </c>
      <c r="D256" t="s">
        <v>1583</v>
      </c>
      <c r="E256" s="13" t="s">
        <v>1586</v>
      </c>
      <c r="F256" s="3" t="s">
        <v>495</v>
      </c>
      <c r="H256" t="s">
        <v>496</v>
      </c>
      <c r="J256" s="63">
        <v>4</v>
      </c>
      <c r="K256" s="25">
        <v>1582729.23898342</v>
      </c>
      <c r="L256" s="17">
        <v>2.6375759779252213E-2</v>
      </c>
      <c r="M256" s="63">
        <v>3</v>
      </c>
      <c r="N256" s="25">
        <v>2383563.2745669801</v>
      </c>
      <c r="O256" s="17">
        <v>3.642985250088622E-2</v>
      </c>
      <c r="P256" s="63">
        <v>3</v>
      </c>
      <c r="Q256" s="25">
        <v>1493829.37559827</v>
      </c>
      <c r="R256" s="66">
        <v>2.592261954689332E-2</v>
      </c>
      <c r="S256" s="77">
        <f t="shared" si="3"/>
        <v>2.9576077275677251E-2</v>
      </c>
      <c r="V256" s="80"/>
    </row>
    <row r="257" spans="1:22" x14ac:dyDescent="0.25">
      <c r="A257" s="18" t="s">
        <v>996</v>
      </c>
      <c r="B257" s="18" t="s">
        <v>993</v>
      </c>
      <c r="C257" s="18" t="s">
        <v>995</v>
      </c>
      <c r="D257" t="s">
        <v>994</v>
      </c>
      <c r="E257" s="13" t="s">
        <v>997</v>
      </c>
      <c r="F257" s="3" t="s">
        <v>495</v>
      </c>
      <c r="H257" t="s">
        <v>541</v>
      </c>
      <c r="I257" t="s">
        <v>547</v>
      </c>
      <c r="J257" s="63">
        <v>4</v>
      </c>
      <c r="K257" s="25">
        <v>3347243.48245518</v>
      </c>
      <c r="L257" s="17">
        <v>2.8437330783740538E-2</v>
      </c>
      <c r="M257" s="63">
        <v>5</v>
      </c>
      <c r="N257" s="25">
        <v>3649312.0138257998</v>
      </c>
      <c r="O257" s="17">
        <v>2.8434454194165199E-2</v>
      </c>
      <c r="P257" s="63">
        <v>7</v>
      </c>
      <c r="Q257" s="25">
        <v>3588544.4158739001</v>
      </c>
      <c r="R257" s="66">
        <v>3.1746758504226535E-2</v>
      </c>
      <c r="S257" s="77">
        <f t="shared" si="3"/>
        <v>2.953951449404409E-2</v>
      </c>
      <c r="V257" s="80"/>
    </row>
    <row r="258" spans="1:22" x14ac:dyDescent="0.25">
      <c r="A258" s="18" t="s">
        <v>801</v>
      </c>
      <c r="B258" s="18" t="s">
        <v>798</v>
      </c>
      <c r="C258" s="18" t="s">
        <v>800</v>
      </c>
      <c r="D258" t="s">
        <v>799</v>
      </c>
      <c r="E258" s="13" t="s">
        <v>802</v>
      </c>
      <c r="F258" s="3" t="s">
        <v>495</v>
      </c>
      <c r="H258" t="s">
        <v>632</v>
      </c>
      <c r="I258" t="s">
        <v>243</v>
      </c>
      <c r="J258" s="63">
        <v>7</v>
      </c>
      <c r="K258" s="25">
        <v>2887376.3876942899</v>
      </c>
      <c r="L258" s="17">
        <v>3.1433448540167788E-2</v>
      </c>
      <c r="M258" s="63">
        <v>8</v>
      </c>
      <c r="N258" s="25">
        <v>2775079.55329047</v>
      </c>
      <c r="O258" s="17">
        <v>2.7707442525167138E-2</v>
      </c>
      <c r="P258" s="63">
        <v>6</v>
      </c>
      <c r="Q258" s="25">
        <v>2457220.31712932</v>
      </c>
      <c r="R258" s="66">
        <v>2.7855583744422076E-2</v>
      </c>
      <c r="S258" s="77">
        <f t="shared" si="3"/>
        <v>2.8998824936585666E-2</v>
      </c>
      <c r="V258" s="80"/>
    </row>
    <row r="259" spans="1:22" x14ac:dyDescent="0.25">
      <c r="A259" s="18" t="s">
        <v>812</v>
      </c>
      <c r="B259" s="18" t="s">
        <v>809</v>
      </c>
      <c r="C259" s="18" t="s">
        <v>811</v>
      </c>
      <c r="D259" t="s">
        <v>810</v>
      </c>
      <c r="E259" s="13" t="s">
        <v>813</v>
      </c>
      <c r="F259" s="3" t="s">
        <v>495</v>
      </c>
      <c r="G259" t="s">
        <v>814</v>
      </c>
      <c r="H259" t="s">
        <v>507</v>
      </c>
      <c r="I259" t="s">
        <v>17</v>
      </c>
      <c r="J259" s="63">
        <v>7</v>
      </c>
      <c r="K259" s="25">
        <v>3236726.2395378202</v>
      </c>
      <c r="L259" s="17">
        <v>2.676371415502787E-2</v>
      </c>
      <c r="M259" s="63">
        <v>5</v>
      </c>
      <c r="N259" s="25">
        <v>3789144.1563286199</v>
      </c>
      <c r="O259" s="17">
        <v>2.8735179652043287E-2</v>
      </c>
      <c r="P259" s="63">
        <v>4</v>
      </c>
      <c r="Q259" s="25">
        <v>3512281.2454807102</v>
      </c>
      <c r="R259" s="66">
        <v>3.0241911368073061E-2</v>
      </c>
      <c r="S259" s="77">
        <f t="shared" si="3"/>
        <v>2.8580268391714736E-2</v>
      </c>
      <c r="V259" s="80"/>
    </row>
    <row r="260" spans="1:22" x14ac:dyDescent="0.25">
      <c r="A260" s="18" t="s">
        <v>1287</v>
      </c>
      <c r="B260" s="18" t="s">
        <v>8125</v>
      </c>
      <c r="C260" s="18" t="s">
        <v>1286</v>
      </c>
      <c r="D260" t="s">
        <v>1285</v>
      </c>
      <c r="E260" s="13" t="s">
        <v>1288</v>
      </c>
      <c r="F260" s="3" t="s">
        <v>495</v>
      </c>
      <c r="H260" t="s">
        <v>541</v>
      </c>
      <c r="I260" t="s">
        <v>547</v>
      </c>
      <c r="J260" s="63">
        <v>4</v>
      </c>
      <c r="K260" s="25">
        <v>3132076.0631212401</v>
      </c>
      <c r="L260" s="17">
        <v>3.1125584264967379E-2</v>
      </c>
      <c r="M260" s="63">
        <v>3</v>
      </c>
      <c r="N260" s="25">
        <v>2574835.5792389601</v>
      </c>
      <c r="O260" s="17">
        <v>2.3467514121437109E-2</v>
      </c>
      <c r="P260" s="63">
        <v>5</v>
      </c>
      <c r="Q260" s="25">
        <v>2995003.4117390402</v>
      </c>
      <c r="R260" s="66">
        <v>3.099288970306948E-2</v>
      </c>
      <c r="S260" s="77">
        <f t="shared" si="3"/>
        <v>2.8528662696491319E-2</v>
      </c>
      <c r="V260" s="80"/>
    </row>
    <row r="261" spans="1:22" x14ac:dyDescent="0.25">
      <c r="A261" s="18" t="s">
        <v>720</v>
      </c>
      <c r="B261" s="18" t="s">
        <v>717</v>
      </c>
      <c r="C261" s="18" t="s">
        <v>719</v>
      </c>
      <c r="D261" t="s">
        <v>718</v>
      </c>
      <c r="E261" s="13" t="s">
        <v>721</v>
      </c>
      <c r="F261" s="3" t="s">
        <v>495</v>
      </c>
      <c r="H261" t="s">
        <v>541</v>
      </c>
      <c r="I261" t="s">
        <v>547</v>
      </c>
      <c r="J261" s="63">
        <v>4</v>
      </c>
      <c r="K261" s="25">
        <v>3897152.9134929799</v>
      </c>
      <c r="L261" s="17">
        <v>2.9780781415576073E-2</v>
      </c>
      <c r="M261" s="63">
        <v>3</v>
      </c>
      <c r="N261" s="25">
        <v>3485836.1069006799</v>
      </c>
      <c r="O261" s="17">
        <v>2.4430253909754555E-2</v>
      </c>
      <c r="P261" s="63">
        <v>4</v>
      </c>
      <c r="Q261" s="25">
        <v>3812738.8234396698</v>
      </c>
      <c r="R261" s="66">
        <v>3.0339277641551341E-2</v>
      </c>
      <c r="S261" s="77">
        <f t="shared" ref="S261:S324" si="4">AVERAGE(L261,O261,R261)</f>
        <v>2.8183437655627322E-2</v>
      </c>
      <c r="V261" s="80"/>
    </row>
    <row r="262" spans="1:22" x14ac:dyDescent="0.25">
      <c r="A262" s="18" t="s">
        <v>1038</v>
      </c>
      <c r="B262" s="18" t="s">
        <v>1035</v>
      </c>
      <c r="C262" s="18" t="s">
        <v>1037</v>
      </c>
      <c r="D262" t="s">
        <v>1036</v>
      </c>
      <c r="E262" s="13" t="s">
        <v>1039</v>
      </c>
      <c r="F262" s="3" t="s">
        <v>495</v>
      </c>
      <c r="H262" t="s">
        <v>563</v>
      </c>
      <c r="I262" t="s">
        <v>716</v>
      </c>
      <c r="J262" s="63">
        <v>10</v>
      </c>
      <c r="K262" s="25">
        <v>3596222.47194076</v>
      </c>
      <c r="L262" s="17">
        <v>2.8485964282962243E-2</v>
      </c>
      <c r="M262" s="63">
        <v>6</v>
      </c>
      <c r="N262" s="25">
        <v>3588710.4013203601</v>
      </c>
      <c r="O262" s="17">
        <v>2.6070848302351061E-2</v>
      </c>
      <c r="P262" s="63">
        <v>9</v>
      </c>
      <c r="Q262" s="25">
        <v>3609510.1920610699</v>
      </c>
      <c r="R262" s="66">
        <v>2.9772286162321578E-2</v>
      </c>
      <c r="S262" s="77">
        <f t="shared" si="4"/>
        <v>2.8109699582544962E-2</v>
      </c>
      <c r="V262" s="80"/>
    </row>
    <row r="263" spans="1:22" x14ac:dyDescent="0.25">
      <c r="A263" s="18" t="s">
        <v>1219</v>
      </c>
      <c r="B263" s="18" t="s">
        <v>1216</v>
      </c>
      <c r="C263" s="18" t="s">
        <v>1218</v>
      </c>
      <c r="D263" t="s">
        <v>1217</v>
      </c>
      <c r="E263" s="13" t="s">
        <v>1220</v>
      </c>
      <c r="F263" s="3" t="s">
        <v>495</v>
      </c>
      <c r="H263" t="s">
        <v>507</v>
      </c>
      <c r="I263" t="s">
        <v>17</v>
      </c>
      <c r="J263" s="63">
        <v>4</v>
      </c>
      <c r="K263" s="25">
        <v>2649471.3337891302</v>
      </c>
      <c r="L263" s="17">
        <v>3.2520425614478154E-2</v>
      </c>
      <c r="M263" s="63">
        <v>5</v>
      </c>
      <c r="N263" s="25">
        <v>2113105.3929307298</v>
      </c>
      <c r="O263" s="17">
        <v>2.3787594606445271E-2</v>
      </c>
      <c r="P263" s="63">
        <v>4</v>
      </c>
      <c r="Q263" s="25">
        <v>2189282.2633779398</v>
      </c>
      <c r="R263" s="66">
        <v>2.7981970329234381E-2</v>
      </c>
      <c r="S263" s="77">
        <f t="shared" si="4"/>
        <v>2.8096663516719269E-2</v>
      </c>
      <c r="V263" s="80"/>
    </row>
    <row r="264" spans="1:22" x14ac:dyDescent="0.25">
      <c r="A264" s="18" t="s">
        <v>609</v>
      </c>
      <c r="B264" s="18" t="s">
        <v>606</v>
      </c>
      <c r="C264" s="18" t="s">
        <v>608</v>
      </c>
      <c r="D264" t="s">
        <v>607</v>
      </c>
      <c r="E264" s="13" t="s">
        <v>610</v>
      </c>
      <c r="F264" s="3" t="s">
        <v>495</v>
      </c>
      <c r="H264" t="s">
        <v>512</v>
      </c>
      <c r="I264" t="s">
        <v>243</v>
      </c>
      <c r="J264" s="63">
        <v>1</v>
      </c>
      <c r="K264" s="25">
        <v>1643604.2220414099</v>
      </c>
      <c r="L264" s="17">
        <v>2.8037238294327436E-2</v>
      </c>
      <c r="M264" s="63">
        <v>6</v>
      </c>
      <c r="N264" s="25">
        <v>1736614.33421139</v>
      </c>
      <c r="O264" s="17">
        <v>2.7169005414244499E-2</v>
      </c>
      <c r="P264" s="63">
        <v>3</v>
      </c>
      <c r="Q264" s="25">
        <v>1526748.06257831</v>
      </c>
      <c r="R264" s="66">
        <v>2.7119701151251747E-2</v>
      </c>
      <c r="S264" s="77">
        <f t="shared" si="4"/>
        <v>2.7441981619941228E-2</v>
      </c>
      <c r="V264" s="80"/>
    </row>
    <row r="265" spans="1:22" x14ac:dyDescent="0.25">
      <c r="A265" s="18" t="s">
        <v>1439</v>
      </c>
      <c r="B265" s="18" t="s">
        <v>1436</v>
      </c>
      <c r="C265" s="18" t="s">
        <v>1438</v>
      </c>
      <c r="D265" t="s">
        <v>1437</v>
      </c>
      <c r="E265" s="13" t="s">
        <v>1440</v>
      </c>
      <c r="F265" s="3" t="s">
        <v>495</v>
      </c>
      <c r="H265" t="s">
        <v>552</v>
      </c>
      <c r="I265" t="s">
        <v>553</v>
      </c>
      <c r="J265" s="63">
        <v>7</v>
      </c>
      <c r="K265" s="25">
        <v>3276103.8653432201</v>
      </c>
      <c r="L265" s="17">
        <v>3.0592247404970921E-2</v>
      </c>
      <c r="M265" s="63">
        <v>6</v>
      </c>
      <c r="N265" s="25">
        <v>2835788.0134902601</v>
      </c>
      <c r="O265" s="17">
        <v>2.4286216233051182E-2</v>
      </c>
      <c r="P265" s="63">
        <v>3</v>
      </c>
      <c r="Q265" s="25">
        <v>2774082.1411955599</v>
      </c>
      <c r="R265" s="66">
        <v>2.6974448517478641E-2</v>
      </c>
      <c r="S265" s="77">
        <f t="shared" si="4"/>
        <v>2.7284304051833585E-2</v>
      </c>
      <c r="V265" s="80"/>
    </row>
    <row r="266" spans="1:22" x14ac:dyDescent="0.25">
      <c r="A266" s="18" t="s">
        <v>1001</v>
      </c>
      <c r="B266" s="18" t="s">
        <v>998</v>
      </c>
      <c r="C266" s="18" t="s">
        <v>1000</v>
      </c>
      <c r="D266" t="s">
        <v>999</v>
      </c>
      <c r="E266" s="13" t="s">
        <v>1002</v>
      </c>
      <c r="F266" s="3" t="s">
        <v>495</v>
      </c>
      <c r="H266" t="s">
        <v>541</v>
      </c>
      <c r="I266" t="s">
        <v>547</v>
      </c>
      <c r="J266" s="63">
        <v>12</v>
      </c>
      <c r="K266" s="25">
        <v>4408570.9585913001</v>
      </c>
      <c r="L266" s="17">
        <v>2.8049325659350619E-2</v>
      </c>
      <c r="M266" s="63">
        <v>10</v>
      </c>
      <c r="N266" s="25">
        <v>4133365.77859955</v>
      </c>
      <c r="O266" s="17">
        <v>2.4119083614978214E-2</v>
      </c>
      <c r="P266" s="63">
        <v>10</v>
      </c>
      <c r="Q266" s="25">
        <v>4464248.3896799302</v>
      </c>
      <c r="R266" s="66">
        <v>2.9576888032552481E-2</v>
      </c>
      <c r="S266" s="77">
        <f t="shared" si="4"/>
        <v>2.7248432435627107E-2</v>
      </c>
      <c r="V266" s="80"/>
    </row>
    <row r="267" spans="1:22" x14ac:dyDescent="0.25">
      <c r="A267" s="18" t="s">
        <v>1030</v>
      </c>
      <c r="B267" s="18" t="s">
        <v>1027</v>
      </c>
      <c r="C267" s="18" t="s">
        <v>1029</v>
      </c>
      <c r="D267" t="s">
        <v>1028</v>
      </c>
      <c r="E267" s="13" t="s">
        <v>838</v>
      </c>
      <c r="F267" s="3" t="s">
        <v>495</v>
      </c>
      <c r="G267" t="s">
        <v>839</v>
      </c>
      <c r="H267" t="s">
        <v>507</v>
      </c>
      <c r="I267" t="s">
        <v>17</v>
      </c>
      <c r="J267" s="63">
        <v>5</v>
      </c>
      <c r="K267" s="25">
        <v>2666954.3578054002</v>
      </c>
      <c r="L267" s="17">
        <v>2.8888653054628559E-2</v>
      </c>
      <c r="M267" s="63">
        <v>6</v>
      </c>
      <c r="N267" s="25">
        <v>2524843.4917464899</v>
      </c>
      <c r="O267" s="17">
        <v>2.5082946206140527E-2</v>
      </c>
      <c r="P267" s="63">
        <v>5</v>
      </c>
      <c r="Q267" s="25">
        <v>2311018.56868792</v>
      </c>
      <c r="R267" s="66">
        <v>2.6067217893370017E-2</v>
      </c>
      <c r="S267" s="77">
        <f t="shared" si="4"/>
        <v>2.6679605718046367E-2</v>
      </c>
      <c r="V267" s="80"/>
    </row>
    <row r="268" spans="1:22" x14ac:dyDescent="0.25">
      <c r="A268" s="18" t="s">
        <v>1397</v>
      </c>
      <c r="B268" s="18" t="s">
        <v>1394</v>
      </c>
      <c r="C268" s="18" t="s">
        <v>1396</v>
      </c>
      <c r="D268" t="s">
        <v>1395</v>
      </c>
      <c r="E268" s="13" t="s">
        <v>1398</v>
      </c>
      <c r="F268" s="3" t="s">
        <v>495</v>
      </c>
      <c r="G268" t="s">
        <v>1399</v>
      </c>
      <c r="H268" t="s">
        <v>507</v>
      </c>
      <c r="I268" t="s">
        <v>17</v>
      </c>
      <c r="J268" s="63">
        <v>3</v>
      </c>
      <c r="K268" s="25">
        <v>1967746.81540337</v>
      </c>
      <c r="L268" s="17">
        <v>2.5150187157153951E-2</v>
      </c>
      <c r="M268" s="63">
        <v>4</v>
      </c>
      <c r="N268" s="25">
        <v>2241153.4489355101</v>
      </c>
      <c r="O268" s="17">
        <v>2.6270961651579536E-2</v>
      </c>
      <c r="P268" s="63">
        <v>3</v>
      </c>
      <c r="Q268" s="25">
        <v>1917310.13612567</v>
      </c>
      <c r="R268" s="66">
        <v>2.5517839913637024E-2</v>
      </c>
      <c r="S268" s="77">
        <f t="shared" si="4"/>
        <v>2.5646329574123505E-2</v>
      </c>
      <c r="V268" s="80"/>
    </row>
    <row r="269" spans="1:22" x14ac:dyDescent="0.25">
      <c r="A269" s="18" t="s">
        <v>1187</v>
      </c>
      <c r="B269" s="18" t="s">
        <v>1184</v>
      </c>
      <c r="C269" s="18" t="s">
        <v>1186</v>
      </c>
      <c r="D269" t="s">
        <v>1185</v>
      </c>
      <c r="E269" s="13" t="s">
        <v>1188</v>
      </c>
      <c r="F269" s="3" t="s">
        <v>495</v>
      </c>
      <c r="H269" t="s">
        <v>1189</v>
      </c>
      <c r="I269" t="s">
        <v>243</v>
      </c>
      <c r="J269" s="63">
        <v>5</v>
      </c>
      <c r="K269" s="25">
        <v>2219181.2945642201</v>
      </c>
      <c r="L269" s="17">
        <v>2.5778381849706485E-2</v>
      </c>
      <c r="M269" s="63">
        <v>4</v>
      </c>
      <c r="N269" s="25">
        <v>2404732.87970149</v>
      </c>
      <c r="O269" s="17">
        <v>2.5618994780937362E-2</v>
      </c>
      <c r="P269" s="63">
        <v>2</v>
      </c>
      <c r="Q269" s="25">
        <v>1987062.7924092</v>
      </c>
      <c r="R269" s="66">
        <v>2.4035546323995557E-2</v>
      </c>
      <c r="S269" s="77">
        <f t="shared" si="4"/>
        <v>2.5144307651546471E-2</v>
      </c>
      <c r="V269" s="80"/>
    </row>
    <row r="270" spans="1:22" x14ac:dyDescent="0.25">
      <c r="A270" s="18" t="s">
        <v>1823</v>
      </c>
      <c r="B270" s="18" t="s">
        <v>1820</v>
      </c>
      <c r="C270" s="18" t="s">
        <v>1822</v>
      </c>
      <c r="D270" t="s">
        <v>1821</v>
      </c>
      <c r="E270" s="13" t="s">
        <v>1824</v>
      </c>
      <c r="F270" s="3" t="s">
        <v>495</v>
      </c>
      <c r="H270" t="s">
        <v>507</v>
      </c>
      <c r="I270" t="s">
        <v>1708</v>
      </c>
      <c r="J270" s="63">
        <v>6</v>
      </c>
      <c r="K270" s="25">
        <v>3295718.2695760699</v>
      </c>
      <c r="L270" s="17">
        <v>2.3409489647683933E-2</v>
      </c>
      <c r="M270" s="63">
        <v>6</v>
      </c>
      <c r="N270" s="25">
        <v>3709824.3542829598</v>
      </c>
      <c r="O270" s="17">
        <v>2.4167269686841651E-2</v>
      </c>
      <c r="P270" s="63">
        <v>7</v>
      </c>
      <c r="Q270" s="25">
        <v>3755264.7959899199</v>
      </c>
      <c r="R270" s="66">
        <v>2.7775505361660922E-2</v>
      </c>
      <c r="S270" s="77">
        <f t="shared" si="4"/>
        <v>2.5117421565395499E-2</v>
      </c>
      <c r="V270" s="80"/>
    </row>
    <row r="271" spans="1:22" x14ac:dyDescent="0.25">
      <c r="A271" s="18" t="s">
        <v>1630</v>
      </c>
      <c r="B271" s="18" t="s">
        <v>1627</v>
      </c>
      <c r="C271" s="18" t="s">
        <v>1629</v>
      </c>
      <c r="D271" t="s">
        <v>1628</v>
      </c>
      <c r="E271" s="13" t="s">
        <v>1631</v>
      </c>
      <c r="F271" s="3" t="s">
        <v>495</v>
      </c>
      <c r="H271" t="s">
        <v>552</v>
      </c>
      <c r="I271" t="s">
        <v>553</v>
      </c>
      <c r="J271" s="63">
        <v>10</v>
      </c>
      <c r="K271" s="25">
        <v>4217869.4581977902</v>
      </c>
      <c r="L271" s="17">
        <v>2.5559879012562712E-2</v>
      </c>
      <c r="M271" s="63">
        <v>4</v>
      </c>
      <c r="N271" s="25">
        <v>3851813.5417011501</v>
      </c>
      <c r="O271" s="17">
        <v>2.1407368719740281E-2</v>
      </c>
      <c r="P271" s="63">
        <v>8</v>
      </c>
      <c r="Q271" s="25">
        <v>4197065.1971749999</v>
      </c>
      <c r="R271" s="66">
        <v>2.6484447188878157E-2</v>
      </c>
      <c r="S271" s="77">
        <f t="shared" si="4"/>
        <v>2.4483898307060381E-2</v>
      </c>
      <c r="V271" s="80"/>
    </row>
    <row r="272" spans="1:22" x14ac:dyDescent="0.25">
      <c r="A272" s="18" t="s">
        <v>848</v>
      </c>
      <c r="B272" s="18" t="s">
        <v>845</v>
      </c>
      <c r="C272" s="18" t="s">
        <v>847</v>
      </c>
      <c r="D272" t="s">
        <v>846</v>
      </c>
      <c r="E272" s="13" t="s">
        <v>849</v>
      </c>
      <c r="F272" s="3" t="s">
        <v>495</v>
      </c>
      <c r="H272" t="s">
        <v>541</v>
      </c>
      <c r="I272" t="s">
        <v>547</v>
      </c>
      <c r="J272" s="63">
        <v>4</v>
      </c>
      <c r="K272" s="25">
        <v>2044327.81102567</v>
      </c>
      <c r="L272" s="17">
        <v>2.5674567886742123E-2</v>
      </c>
      <c r="M272" s="63">
        <v>2</v>
      </c>
      <c r="N272" s="25">
        <v>1833665.02785081</v>
      </c>
      <c r="O272" s="17">
        <v>2.1120538283562501E-2</v>
      </c>
      <c r="P272" s="63">
        <v>4</v>
      </c>
      <c r="Q272" s="25">
        <v>2019350.76216841</v>
      </c>
      <c r="R272" s="66">
        <v>2.6408510463636903E-2</v>
      </c>
      <c r="S272" s="77">
        <f t="shared" si="4"/>
        <v>2.4401205544647173E-2</v>
      </c>
      <c r="V272" s="80"/>
    </row>
    <row r="273" spans="1:22" x14ac:dyDescent="0.25">
      <c r="A273" s="18" t="s">
        <v>1819</v>
      </c>
      <c r="B273" s="18" t="s">
        <v>1816</v>
      </c>
      <c r="C273" s="18" t="s">
        <v>1818</v>
      </c>
      <c r="D273" t="s">
        <v>1817</v>
      </c>
      <c r="E273" s="13" t="s">
        <v>1815</v>
      </c>
      <c r="F273" s="3" t="s">
        <v>495</v>
      </c>
      <c r="G273" t="s">
        <v>855</v>
      </c>
      <c r="H273" t="s">
        <v>507</v>
      </c>
      <c r="I273" t="s">
        <v>17</v>
      </c>
      <c r="J273" s="63">
        <v>4</v>
      </c>
      <c r="K273" s="25">
        <v>2068964.22295907</v>
      </c>
      <c r="L273" s="17">
        <v>2.3590713995565581E-2</v>
      </c>
      <c r="M273" s="63">
        <v>3</v>
      </c>
      <c r="N273" s="25">
        <v>2033579.6987211099</v>
      </c>
      <c r="O273" s="17">
        <v>2.1265797622980472E-2</v>
      </c>
      <c r="P273" s="63">
        <v>2</v>
      </c>
      <c r="Q273" s="25">
        <v>2128276.6583933099</v>
      </c>
      <c r="R273" s="66">
        <v>2.5269446187467123E-2</v>
      </c>
      <c r="S273" s="77">
        <f t="shared" si="4"/>
        <v>2.337531926867106E-2</v>
      </c>
      <c r="V273" s="80"/>
    </row>
    <row r="274" spans="1:22" x14ac:dyDescent="0.25">
      <c r="A274" s="18" t="s">
        <v>843</v>
      </c>
      <c r="B274" s="18" t="s">
        <v>840</v>
      </c>
      <c r="C274" s="18" t="s">
        <v>842</v>
      </c>
      <c r="D274" t="s">
        <v>841</v>
      </c>
      <c r="E274" s="13" t="s">
        <v>844</v>
      </c>
      <c r="F274" s="3" t="s">
        <v>495</v>
      </c>
      <c r="H274" t="s">
        <v>558</v>
      </c>
      <c r="I274" t="s">
        <v>553</v>
      </c>
      <c r="J274" s="63">
        <v>6</v>
      </c>
      <c r="K274" s="25">
        <v>4137502.2810001201</v>
      </c>
      <c r="L274" s="17">
        <v>2.422580558955257E-2</v>
      </c>
      <c r="M274" s="63">
        <v>6</v>
      </c>
      <c r="N274" s="25">
        <v>3664680.7711129999</v>
      </c>
      <c r="O274" s="17">
        <v>1.9679248291003194E-2</v>
      </c>
      <c r="P274" s="63">
        <v>7</v>
      </c>
      <c r="Q274" s="25">
        <v>4293065.49478791</v>
      </c>
      <c r="R274" s="66">
        <v>2.6175020645545766E-2</v>
      </c>
      <c r="S274" s="77">
        <f t="shared" si="4"/>
        <v>2.3360024842033842E-2</v>
      </c>
      <c r="V274" s="80"/>
    </row>
    <row r="275" spans="1:22" x14ac:dyDescent="0.25">
      <c r="A275" s="18" t="s">
        <v>690</v>
      </c>
      <c r="B275" s="18" t="s">
        <v>687</v>
      </c>
      <c r="C275" s="18" t="s">
        <v>689</v>
      </c>
      <c r="D275" t="s">
        <v>688</v>
      </c>
      <c r="E275" s="13" t="s">
        <v>691</v>
      </c>
      <c r="F275" s="3" t="s">
        <v>495</v>
      </c>
      <c r="G275" t="s">
        <v>692</v>
      </c>
      <c r="H275" t="s">
        <v>507</v>
      </c>
      <c r="I275" t="s">
        <v>693</v>
      </c>
      <c r="J275" s="63">
        <v>4</v>
      </c>
      <c r="K275" s="25">
        <v>1586724.0226052999</v>
      </c>
      <c r="L275" s="17">
        <v>2.3871549524238346E-2</v>
      </c>
      <c r="M275" s="63">
        <v>4</v>
      </c>
      <c r="N275" s="25">
        <v>1612565.82561364</v>
      </c>
      <c r="O275" s="17">
        <v>2.2249950007874233E-2</v>
      </c>
      <c r="P275" s="63">
        <v>5</v>
      </c>
      <c r="Q275" s="25">
        <v>1448285.28803961</v>
      </c>
      <c r="R275" s="66">
        <v>2.2688870160377426E-2</v>
      </c>
      <c r="S275" s="77">
        <f t="shared" si="4"/>
        <v>2.293678989749667E-2</v>
      </c>
      <c r="V275" s="80"/>
    </row>
    <row r="276" spans="1:22" x14ac:dyDescent="0.25">
      <c r="A276" s="18" t="s">
        <v>679</v>
      </c>
      <c r="B276" s="18" t="s">
        <v>676</v>
      </c>
      <c r="C276" s="18" t="s">
        <v>678</v>
      </c>
      <c r="D276" t="s">
        <v>677</v>
      </c>
      <c r="E276" s="13" t="s">
        <v>680</v>
      </c>
      <c r="F276" s="3" t="s">
        <v>495</v>
      </c>
      <c r="H276" t="s">
        <v>552</v>
      </c>
      <c r="I276" t="s">
        <v>17</v>
      </c>
      <c r="J276" s="63">
        <v>4</v>
      </c>
      <c r="K276" s="25">
        <v>2493176.4489920498</v>
      </c>
      <c r="L276" s="17">
        <v>2.3082288452621228E-2</v>
      </c>
      <c r="M276" s="63">
        <v>3</v>
      </c>
      <c r="N276" s="25">
        <v>2571097.54646366</v>
      </c>
      <c r="O276" s="17">
        <v>2.1831158180154433E-2</v>
      </c>
      <c r="P276" s="63">
        <v>6</v>
      </c>
      <c r="Q276" s="25">
        <v>2397381.2865249198</v>
      </c>
      <c r="R276" s="66">
        <v>2.3112264364395025E-2</v>
      </c>
      <c r="S276" s="77">
        <f t="shared" si="4"/>
        <v>2.2675236999056894E-2</v>
      </c>
      <c r="V276" s="80"/>
    </row>
    <row r="277" spans="1:22" x14ac:dyDescent="0.25">
      <c r="A277" s="18" t="s">
        <v>1263</v>
      </c>
      <c r="B277" s="18" t="s">
        <v>8124</v>
      </c>
      <c r="C277" s="18" t="s">
        <v>1262</v>
      </c>
      <c r="D277" t="s">
        <v>1261</v>
      </c>
      <c r="E277" s="13" t="s">
        <v>1264</v>
      </c>
      <c r="F277" s="3" t="s">
        <v>495</v>
      </c>
      <c r="H277" t="s">
        <v>552</v>
      </c>
      <c r="I277" t="s">
        <v>553</v>
      </c>
      <c r="J277" s="63">
        <v>6</v>
      </c>
      <c r="K277" s="25">
        <v>2399500.4683847302</v>
      </c>
      <c r="L277" s="17">
        <v>2.315507538661607E-2</v>
      </c>
      <c r="M277" s="63">
        <v>6</v>
      </c>
      <c r="N277" s="25">
        <v>2323064.4848336498</v>
      </c>
      <c r="O277" s="17">
        <v>2.0559805407368188E-2</v>
      </c>
      <c r="P277" s="63">
        <v>8</v>
      </c>
      <c r="Q277" s="25">
        <v>2414645.42901192</v>
      </c>
      <c r="R277" s="66">
        <v>2.4263769112378628E-2</v>
      </c>
      <c r="S277" s="77">
        <f t="shared" si="4"/>
        <v>2.2659549968787631E-2</v>
      </c>
      <c r="V277" s="80"/>
    </row>
    <row r="278" spans="1:22" x14ac:dyDescent="0.25">
      <c r="A278" s="18" t="s">
        <v>953</v>
      </c>
      <c r="B278" s="18" t="s">
        <v>950</v>
      </c>
      <c r="C278" s="18" t="s">
        <v>952</v>
      </c>
      <c r="D278" t="s">
        <v>951</v>
      </c>
      <c r="E278" s="13" t="s">
        <v>954</v>
      </c>
      <c r="F278" s="3" t="s">
        <v>495</v>
      </c>
      <c r="H278" t="s">
        <v>507</v>
      </c>
      <c r="I278" t="s">
        <v>17</v>
      </c>
      <c r="J278" s="63">
        <v>9</v>
      </c>
      <c r="K278" s="25">
        <v>2201395.6016368899</v>
      </c>
      <c r="L278" s="17">
        <v>2.2928543357947837E-2</v>
      </c>
      <c r="M278" s="63">
        <v>4</v>
      </c>
      <c r="N278" s="25">
        <v>2285205.9786005099</v>
      </c>
      <c r="O278" s="17">
        <v>2.1829113375877292E-2</v>
      </c>
      <c r="P278" s="63">
        <v>5</v>
      </c>
      <c r="Q278" s="25">
        <v>2045766.77031588</v>
      </c>
      <c r="R278" s="66">
        <v>2.218778903687392E-2</v>
      </c>
      <c r="S278" s="77">
        <f t="shared" si="4"/>
        <v>2.2315148590233019E-2</v>
      </c>
      <c r="V278" s="80"/>
    </row>
    <row r="279" spans="1:22" x14ac:dyDescent="0.25">
      <c r="A279" s="18" t="s">
        <v>1601</v>
      </c>
      <c r="B279" s="18" t="s">
        <v>1598</v>
      </c>
      <c r="C279" s="18" t="s">
        <v>1600</v>
      </c>
      <c r="D279" t="s">
        <v>1599</v>
      </c>
      <c r="E279" s="13" t="s">
        <v>663</v>
      </c>
      <c r="F279" s="3" t="s">
        <v>495</v>
      </c>
      <c r="H279" t="s">
        <v>541</v>
      </c>
      <c r="I279" t="s">
        <v>547</v>
      </c>
      <c r="J279" s="63">
        <v>2</v>
      </c>
      <c r="K279" s="25">
        <v>1246769.7005197301</v>
      </c>
      <c r="L279" s="17">
        <v>2.0618480163230909E-2</v>
      </c>
      <c r="M279" s="63">
        <v>3</v>
      </c>
      <c r="N279" s="25">
        <v>1516450.0154839901</v>
      </c>
      <c r="O279" s="17">
        <v>2.3000161424577382E-2</v>
      </c>
      <c r="P279" s="63">
        <v>2</v>
      </c>
      <c r="Q279" s="25">
        <v>1280219.28178832</v>
      </c>
      <c r="R279" s="66">
        <v>2.2046228844206053E-2</v>
      </c>
      <c r="S279" s="77">
        <f t="shared" si="4"/>
        <v>2.1888290144004782E-2</v>
      </c>
      <c r="V279" s="80"/>
    </row>
    <row r="280" spans="1:22" x14ac:dyDescent="0.25">
      <c r="A280" s="18" t="s">
        <v>1595</v>
      </c>
      <c r="B280" s="18" t="s">
        <v>1592</v>
      </c>
      <c r="C280" s="18" t="s">
        <v>1594</v>
      </c>
      <c r="D280" t="s">
        <v>1593</v>
      </c>
      <c r="E280" s="13" t="s">
        <v>1596</v>
      </c>
      <c r="F280" s="3" t="s">
        <v>495</v>
      </c>
      <c r="G280" t="s">
        <v>1597</v>
      </c>
      <c r="H280" t="s">
        <v>496</v>
      </c>
      <c r="J280" s="63">
        <v>3</v>
      </c>
      <c r="K280" s="25">
        <v>2130293.66542817</v>
      </c>
      <c r="L280" s="17">
        <v>2.1565891116991823E-2</v>
      </c>
      <c r="M280" s="63">
        <v>3</v>
      </c>
      <c r="N280" s="25">
        <v>2494785.7589368001</v>
      </c>
      <c r="O280" s="17">
        <v>2.3162933632225855E-2</v>
      </c>
      <c r="P280" s="63">
        <v>1</v>
      </c>
      <c r="Q280" s="25">
        <v>1936018.7472995</v>
      </c>
      <c r="R280" s="66">
        <v>2.0408779239377294E-2</v>
      </c>
      <c r="S280" s="77">
        <f t="shared" si="4"/>
        <v>2.1712534662864991E-2</v>
      </c>
      <c r="V280" s="80"/>
    </row>
    <row r="281" spans="1:22" x14ac:dyDescent="0.25">
      <c r="A281" s="18" t="s">
        <v>564</v>
      </c>
      <c r="B281" s="18" t="s">
        <v>8110</v>
      </c>
      <c r="C281" s="18" t="s">
        <v>566</v>
      </c>
      <c r="D281" t="s">
        <v>565</v>
      </c>
      <c r="E281" s="13" t="s">
        <v>567</v>
      </c>
      <c r="F281" s="3" t="s">
        <v>495</v>
      </c>
      <c r="H281" t="s">
        <v>563</v>
      </c>
      <c r="I281" t="s">
        <v>553</v>
      </c>
      <c r="J281" s="63">
        <v>9</v>
      </c>
      <c r="K281" s="25">
        <v>4087968.3671569801</v>
      </c>
      <c r="L281" s="17">
        <v>2.3522541942728622E-2</v>
      </c>
      <c r="M281" s="63">
        <v>6</v>
      </c>
      <c r="N281" s="25">
        <v>3624843.73893754</v>
      </c>
      <c r="O281" s="17">
        <v>1.9129269641895458E-2</v>
      </c>
      <c r="P281" s="63">
        <v>5</v>
      </c>
      <c r="Q281" s="25">
        <v>3484081.6216986198</v>
      </c>
      <c r="R281" s="66">
        <v>2.087586996620084E-2</v>
      </c>
      <c r="S281" s="77">
        <f t="shared" si="4"/>
        <v>2.1175893850274973E-2</v>
      </c>
      <c r="V281" s="80"/>
    </row>
    <row r="282" spans="1:22" x14ac:dyDescent="0.25">
      <c r="A282" s="18" t="s">
        <v>1782</v>
      </c>
      <c r="B282" s="18" t="s">
        <v>1779</v>
      </c>
      <c r="C282" s="18" t="s">
        <v>1781</v>
      </c>
      <c r="D282" t="s">
        <v>1780</v>
      </c>
      <c r="E282" s="13" t="s">
        <v>1783</v>
      </c>
      <c r="F282" s="3" t="s">
        <v>495</v>
      </c>
      <c r="H282" t="s">
        <v>1377</v>
      </c>
      <c r="I282" t="s">
        <v>243</v>
      </c>
      <c r="J282" s="63">
        <v>4</v>
      </c>
      <c r="K282" s="25">
        <v>1150770.2261208401</v>
      </c>
      <c r="L282" s="17">
        <v>2.0105211091654765E-2</v>
      </c>
      <c r="M282" s="63">
        <v>5</v>
      </c>
      <c r="N282" s="25">
        <v>1443417.9240176601</v>
      </c>
      <c r="O282" s="17">
        <v>2.3128341362138826E-2</v>
      </c>
      <c r="P282" s="63">
        <v>4</v>
      </c>
      <c r="Q282" s="25">
        <v>1112656.2156980899</v>
      </c>
      <c r="R282" s="66">
        <v>2.0242332584281236E-2</v>
      </c>
      <c r="S282" s="77">
        <f t="shared" si="4"/>
        <v>2.1158628346024944E-2</v>
      </c>
      <c r="V282" s="80"/>
    </row>
    <row r="283" spans="1:22" x14ac:dyDescent="0.25">
      <c r="A283" s="18" t="s">
        <v>2013</v>
      </c>
      <c r="B283" s="18" t="s">
        <v>2010</v>
      </c>
      <c r="C283" s="18" t="s">
        <v>2012</v>
      </c>
      <c r="D283" t="s">
        <v>2011</v>
      </c>
      <c r="E283" s="13" t="s">
        <v>2014</v>
      </c>
      <c r="F283" s="3" t="s">
        <v>495</v>
      </c>
      <c r="H283" t="s">
        <v>541</v>
      </c>
      <c r="I283" t="s">
        <v>547</v>
      </c>
      <c r="J283" s="63">
        <v>3</v>
      </c>
      <c r="K283" s="25">
        <v>1471262.24051562</v>
      </c>
      <c r="L283" s="17">
        <v>2.0301687676122279E-2</v>
      </c>
      <c r="M283" s="63">
        <v>4</v>
      </c>
      <c r="N283" s="25">
        <v>1753339.36239166</v>
      </c>
      <c r="O283" s="17">
        <v>2.2189136932679373E-2</v>
      </c>
      <c r="P283" s="63">
        <v>5</v>
      </c>
      <c r="Q283" s="25">
        <v>1447467.0056967</v>
      </c>
      <c r="R283" s="66">
        <v>2.0798416140204789E-2</v>
      </c>
      <c r="S283" s="77">
        <f t="shared" si="4"/>
        <v>2.1096413583002144E-2</v>
      </c>
      <c r="V283" s="80"/>
    </row>
    <row r="284" spans="1:22" x14ac:dyDescent="0.25">
      <c r="A284" s="18" t="s">
        <v>1229</v>
      </c>
      <c r="B284" s="18" t="s">
        <v>1226</v>
      </c>
      <c r="C284" s="18" t="s">
        <v>1228</v>
      </c>
      <c r="D284" t="s">
        <v>1227</v>
      </c>
      <c r="E284" s="13" t="s">
        <v>1230</v>
      </c>
      <c r="F284" s="3" t="s">
        <v>495</v>
      </c>
      <c r="H284" t="s">
        <v>563</v>
      </c>
      <c r="I284" t="s">
        <v>716</v>
      </c>
      <c r="J284" s="63">
        <v>5</v>
      </c>
      <c r="K284" s="25">
        <v>3551435.0205070302</v>
      </c>
      <c r="L284" s="17">
        <v>2.1401621733725673E-2</v>
      </c>
      <c r="M284" s="63">
        <v>5</v>
      </c>
      <c r="N284" s="25">
        <v>3409823.4620542699</v>
      </c>
      <c r="O284" s="17">
        <v>1.8845474632840562E-2</v>
      </c>
      <c r="P284" s="63">
        <v>5</v>
      </c>
      <c r="Q284" s="25">
        <v>3650676.81942051</v>
      </c>
      <c r="R284" s="66">
        <v>2.2908451624842976E-2</v>
      </c>
      <c r="S284" s="77">
        <f t="shared" si="4"/>
        <v>2.1051849330469736E-2</v>
      </c>
      <c r="V284" s="80"/>
    </row>
    <row r="285" spans="1:22" x14ac:dyDescent="0.25">
      <c r="A285" s="18" t="s">
        <v>1254</v>
      </c>
      <c r="B285" s="18" t="s">
        <v>1251</v>
      </c>
      <c r="C285" s="18" t="s">
        <v>1253</v>
      </c>
      <c r="D285" t="s">
        <v>1252</v>
      </c>
      <c r="E285" s="13" t="s">
        <v>1255</v>
      </c>
      <c r="F285" s="3" t="s">
        <v>495</v>
      </c>
      <c r="H285" t="s">
        <v>563</v>
      </c>
      <c r="I285" t="s">
        <v>716</v>
      </c>
      <c r="J285" s="63">
        <v>2</v>
      </c>
      <c r="K285" s="25">
        <v>1174630.7946375799</v>
      </c>
      <c r="L285" s="17">
        <v>2.0276797410713997E-2</v>
      </c>
      <c r="M285" s="63">
        <v>1</v>
      </c>
      <c r="N285" s="25">
        <v>1317997.79948536</v>
      </c>
      <c r="O285" s="17">
        <v>2.086628040509975E-2</v>
      </c>
      <c r="P285" s="63">
        <v>1</v>
      </c>
      <c r="Q285" s="25">
        <v>1219503.1106779999</v>
      </c>
      <c r="R285" s="66">
        <v>2.1921003403025333E-2</v>
      </c>
      <c r="S285" s="77">
        <f t="shared" si="4"/>
        <v>2.1021360406279693E-2</v>
      </c>
      <c r="V285" s="80"/>
    </row>
    <row r="286" spans="1:22" x14ac:dyDescent="0.25">
      <c r="A286" s="18" t="s">
        <v>1302</v>
      </c>
      <c r="B286" s="18" t="s">
        <v>1299</v>
      </c>
      <c r="C286" s="18" t="s">
        <v>1301</v>
      </c>
      <c r="D286" t="s">
        <v>1300</v>
      </c>
      <c r="E286" s="13" t="s">
        <v>1303</v>
      </c>
      <c r="F286" s="3" t="s">
        <v>495</v>
      </c>
      <c r="H286" t="s">
        <v>507</v>
      </c>
      <c r="I286" t="s">
        <v>17</v>
      </c>
      <c r="J286" s="63">
        <v>4</v>
      </c>
      <c r="K286" s="25">
        <v>2075074.66028344</v>
      </c>
      <c r="L286" s="17">
        <v>2.2145189181305206E-2</v>
      </c>
      <c r="M286" s="63">
        <v>7</v>
      </c>
      <c r="N286" s="25">
        <v>1796357.9597006401</v>
      </c>
      <c r="O286" s="17">
        <v>1.7582107239414377E-2</v>
      </c>
      <c r="P286" s="63">
        <v>6</v>
      </c>
      <c r="Q286" s="25">
        <v>1975454.3728986899</v>
      </c>
      <c r="R286" s="66">
        <v>2.1952915623232171E-2</v>
      </c>
      <c r="S286" s="77">
        <f t="shared" si="4"/>
        <v>2.0560070681317249E-2</v>
      </c>
      <c r="V286" s="80"/>
    </row>
    <row r="287" spans="1:22" x14ac:dyDescent="0.25">
      <c r="A287" s="18" t="s">
        <v>1874</v>
      </c>
      <c r="B287" s="18" t="s">
        <v>1871</v>
      </c>
      <c r="C287" s="18" t="s">
        <v>1873</v>
      </c>
      <c r="D287" t="s">
        <v>1872</v>
      </c>
      <c r="E287" s="13" t="s">
        <v>1550</v>
      </c>
      <c r="F287" s="3" t="s">
        <v>495</v>
      </c>
      <c r="H287" t="s">
        <v>507</v>
      </c>
      <c r="I287" t="s">
        <v>17</v>
      </c>
      <c r="J287" s="63">
        <v>4</v>
      </c>
      <c r="K287" s="25">
        <v>1935661.02982174</v>
      </c>
      <c r="L287" s="17">
        <v>2.1340690013818144E-2</v>
      </c>
      <c r="M287" s="63">
        <v>4</v>
      </c>
      <c r="N287" s="25">
        <v>2037445.23348222</v>
      </c>
      <c r="O287" s="17">
        <v>2.0601434835894505E-2</v>
      </c>
      <c r="P287" s="63">
        <v>3</v>
      </c>
      <c r="Q287" s="25">
        <v>1703747.4638285099</v>
      </c>
      <c r="R287" s="66">
        <v>1.9559777513443094E-2</v>
      </c>
      <c r="S287" s="77">
        <f t="shared" si="4"/>
        <v>2.0500634121051912E-2</v>
      </c>
      <c r="V287" s="80"/>
    </row>
    <row r="288" spans="1:22" x14ac:dyDescent="0.25">
      <c r="A288" s="18" t="s">
        <v>1686</v>
      </c>
      <c r="B288" s="18" t="s">
        <v>1683</v>
      </c>
      <c r="C288" s="18" t="s">
        <v>1685</v>
      </c>
      <c r="D288" t="s">
        <v>1684</v>
      </c>
      <c r="E288" s="13" t="s">
        <v>1687</v>
      </c>
      <c r="F288" s="3" t="s">
        <v>495</v>
      </c>
      <c r="G288" t="s">
        <v>1688</v>
      </c>
      <c r="H288" t="s">
        <v>507</v>
      </c>
      <c r="I288" t="s">
        <v>553</v>
      </c>
      <c r="J288" s="63">
        <v>14</v>
      </c>
      <c r="K288" s="25">
        <v>5307097.3087400803</v>
      </c>
      <c r="L288" s="17">
        <v>2.0277560107478842E-2</v>
      </c>
      <c r="M288" s="63">
        <v>11</v>
      </c>
      <c r="N288" s="25">
        <v>4547439.1416742802</v>
      </c>
      <c r="O288" s="17">
        <v>1.5935214603224036E-2</v>
      </c>
      <c r="P288" s="63">
        <v>17</v>
      </c>
      <c r="Q288" s="25">
        <v>6287412.2985318499</v>
      </c>
      <c r="R288" s="66">
        <v>2.5015553937152674E-2</v>
      </c>
      <c r="S288" s="77">
        <f t="shared" si="4"/>
        <v>2.0409442882618516E-2</v>
      </c>
      <c r="V288" s="80"/>
    </row>
    <row r="289" spans="1:22" x14ac:dyDescent="0.25">
      <c r="A289" s="18" t="s">
        <v>523</v>
      </c>
      <c r="B289" s="18" t="s">
        <v>8102</v>
      </c>
      <c r="C289" s="18" t="s">
        <v>525</v>
      </c>
      <c r="D289" t="s">
        <v>524</v>
      </c>
      <c r="E289" s="13" t="s">
        <v>526</v>
      </c>
      <c r="F289" s="3" t="s">
        <v>495</v>
      </c>
      <c r="H289" t="s">
        <v>496</v>
      </c>
      <c r="I289" t="s">
        <v>172</v>
      </c>
      <c r="J289" s="63">
        <v>6</v>
      </c>
      <c r="K289" s="25">
        <v>1923194.1944569401</v>
      </c>
      <c r="L289" s="17">
        <v>1.9793051046899459E-2</v>
      </c>
      <c r="M289" s="63">
        <v>7</v>
      </c>
      <c r="N289" s="25">
        <v>2011848.9748823</v>
      </c>
      <c r="O289" s="17">
        <v>1.8989667292338967E-2</v>
      </c>
      <c r="P289" s="63">
        <v>5</v>
      </c>
      <c r="Q289" s="25">
        <v>1915809.27460208</v>
      </c>
      <c r="R289" s="66">
        <v>2.0531534731338036E-2</v>
      </c>
      <c r="S289" s="77">
        <f t="shared" si="4"/>
        <v>1.9771417690192153E-2</v>
      </c>
      <c r="V289" s="80"/>
    </row>
    <row r="290" spans="1:22" x14ac:dyDescent="0.25">
      <c r="A290" s="18" t="s">
        <v>1976</v>
      </c>
      <c r="B290" s="18" t="s">
        <v>1973</v>
      </c>
      <c r="C290" s="18" t="s">
        <v>1975</v>
      </c>
      <c r="D290" t="s">
        <v>1974</v>
      </c>
      <c r="E290" s="13" t="s">
        <v>1977</v>
      </c>
      <c r="F290" s="3" t="s">
        <v>495</v>
      </c>
      <c r="H290" t="s">
        <v>563</v>
      </c>
      <c r="I290" t="s">
        <v>716</v>
      </c>
      <c r="J290" s="63">
        <v>2</v>
      </c>
      <c r="K290" s="25">
        <v>2285712.0507278098</v>
      </c>
      <c r="L290" s="17">
        <v>2.0335940288271539E-2</v>
      </c>
      <c r="M290" s="63">
        <v>3</v>
      </c>
      <c r="N290" s="25">
        <v>2148698.6792759802</v>
      </c>
      <c r="O290" s="17">
        <v>1.7532773857964097E-2</v>
      </c>
      <c r="P290" s="63">
        <v>3</v>
      </c>
      <c r="Q290" s="25">
        <v>2286636.6039221198</v>
      </c>
      <c r="R290" s="66">
        <v>2.1184559044039632E-2</v>
      </c>
      <c r="S290" s="77">
        <f t="shared" si="4"/>
        <v>1.968442439675842E-2</v>
      </c>
      <c r="V290" s="80"/>
    </row>
    <row r="291" spans="1:22" x14ac:dyDescent="0.25">
      <c r="A291" s="18" t="s">
        <v>1332</v>
      </c>
      <c r="B291" s="18" t="s">
        <v>1329</v>
      </c>
      <c r="C291" s="18" t="s">
        <v>1331</v>
      </c>
      <c r="D291" t="s">
        <v>1330</v>
      </c>
      <c r="E291" s="13" t="s">
        <v>1333</v>
      </c>
      <c r="F291" s="3" t="s">
        <v>495</v>
      </c>
      <c r="H291" t="s">
        <v>541</v>
      </c>
      <c r="I291" t="s">
        <v>57</v>
      </c>
      <c r="J291" s="63">
        <v>6</v>
      </c>
      <c r="K291" s="25">
        <v>1518130.08856891</v>
      </c>
      <c r="L291" s="17">
        <v>1.917726056119284E-2</v>
      </c>
      <c r="M291" s="63">
        <v>4</v>
      </c>
      <c r="N291" s="25">
        <v>1663967.1885243999</v>
      </c>
      <c r="O291" s="17">
        <v>1.9277677640027992E-2</v>
      </c>
      <c r="P291" s="63">
        <v>5</v>
      </c>
      <c r="Q291" s="25">
        <v>1498687.4333749099</v>
      </c>
      <c r="R291" s="66">
        <v>1.9713701859640189E-2</v>
      </c>
      <c r="S291" s="77">
        <f t="shared" si="4"/>
        <v>1.9389546686953672E-2</v>
      </c>
      <c r="V291" s="80"/>
    </row>
    <row r="292" spans="1:22" x14ac:dyDescent="0.25">
      <c r="A292" s="18" t="s">
        <v>1610</v>
      </c>
      <c r="B292" s="18" t="s">
        <v>1607</v>
      </c>
      <c r="C292" s="18" t="s">
        <v>1609</v>
      </c>
      <c r="D292" t="s">
        <v>1608</v>
      </c>
      <c r="E292" s="13" t="s">
        <v>1611</v>
      </c>
      <c r="F292" s="3" t="s">
        <v>495</v>
      </c>
      <c r="H292" t="s">
        <v>541</v>
      </c>
      <c r="I292" t="s">
        <v>547</v>
      </c>
      <c r="J292" s="63">
        <v>2</v>
      </c>
      <c r="K292" s="25">
        <v>3025252.6527662799</v>
      </c>
      <c r="L292" s="17">
        <v>2.0322336445727035E-2</v>
      </c>
      <c r="M292" s="63">
        <v>4</v>
      </c>
      <c r="N292" s="25">
        <v>2612046.99476965</v>
      </c>
      <c r="O292" s="17">
        <v>1.6092567787415801E-2</v>
      </c>
      <c r="P292" s="63">
        <v>4</v>
      </c>
      <c r="Q292" s="25">
        <v>3039832.0679764301</v>
      </c>
      <c r="R292" s="66">
        <v>2.1263811617226826E-2</v>
      </c>
      <c r="S292" s="77">
        <f t="shared" si="4"/>
        <v>1.9226238616789886E-2</v>
      </c>
      <c r="V292" s="80"/>
    </row>
    <row r="293" spans="1:22" x14ac:dyDescent="0.25">
      <c r="A293" s="18" t="s">
        <v>1337</v>
      </c>
      <c r="B293" s="18" t="s">
        <v>1334</v>
      </c>
      <c r="C293" s="18" t="s">
        <v>1336</v>
      </c>
      <c r="D293" t="s">
        <v>1335</v>
      </c>
      <c r="E293" s="13" t="s">
        <v>1338</v>
      </c>
      <c r="F293" s="3" t="s">
        <v>495</v>
      </c>
      <c r="H293" t="s">
        <v>1339</v>
      </c>
      <c r="I293" t="s">
        <v>243</v>
      </c>
      <c r="J293" s="63">
        <v>5</v>
      </c>
      <c r="K293" s="25">
        <v>1547966.1588876699</v>
      </c>
      <c r="L293" s="17">
        <v>2.0202033157814044E-2</v>
      </c>
      <c r="M293" s="63">
        <v>4</v>
      </c>
      <c r="N293" s="25">
        <v>1567650.34865291</v>
      </c>
      <c r="O293" s="17">
        <v>1.876355805139427E-2</v>
      </c>
      <c r="P293" s="63">
        <v>4</v>
      </c>
      <c r="Q293" s="25">
        <v>1309500.53222903</v>
      </c>
      <c r="R293" s="66">
        <v>1.7795854001137038E-2</v>
      </c>
      <c r="S293" s="77">
        <f t="shared" si="4"/>
        <v>1.8920481736781781E-2</v>
      </c>
      <c r="V293" s="80"/>
    </row>
    <row r="294" spans="1:22" x14ac:dyDescent="0.25">
      <c r="A294" s="18" t="s">
        <v>2018</v>
      </c>
      <c r="B294" s="18" t="s">
        <v>2015</v>
      </c>
      <c r="C294" s="18" t="s">
        <v>2017</v>
      </c>
      <c r="D294" t="s">
        <v>2016</v>
      </c>
      <c r="E294" s="13" t="s">
        <v>2019</v>
      </c>
      <c r="F294" s="3" t="s">
        <v>495</v>
      </c>
      <c r="H294" t="s">
        <v>1127</v>
      </c>
      <c r="I294" t="s">
        <v>243</v>
      </c>
      <c r="J294" s="63">
        <v>5</v>
      </c>
      <c r="K294" s="25">
        <v>1983825.89751973</v>
      </c>
      <c r="L294" s="17">
        <v>2.0272597603564937E-2</v>
      </c>
      <c r="M294" s="63">
        <v>2</v>
      </c>
      <c r="N294" s="25">
        <v>1731674.95538822</v>
      </c>
      <c r="O294" s="17">
        <v>1.6229479619983039E-2</v>
      </c>
      <c r="P294" s="63">
        <v>7</v>
      </c>
      <c r="Q294" s="25">
        <v>1815831.90304055</v>
      </c>
      <c r="R294" s="66">
        <v>1.932239802879461E-2</v>
      </c>
      <c r="S294" s="77">
        <f t="shared" si="4"/>
        <v>1.8608158417447531E-2</v>
      </c>
      <c r="V294" s="80"/>
    </row>
    <row r="295" spans="1:22" x14ac:dyDescent="0.25">
      <c r="A295" s="18" t="s">
        <v>958</v>
      </c>
      <c r="B295" s="18" t="s">
        <v>955</v>
      </c>
      <c r="C295" s="18" t="s">
        <v>957</v>
      </c>
      <c r="D295" t="s">
        <v>956</v>
      </c>
      <c r="E295" s="13" t="s">
        <v>898</v>
      </c>
      <c r="F295" s="3" t="s">
        <v>495</v>
      </c>
      <c r="H295" t="s">
        <v>558</v>
      </c>
      <c r="I295" t="s">
        <v>12</v>
      </c>
      <c r="J295" s="63">
        <v>4</v>
      </c>
      <c r="K295" s="25">
        <v>1445781.55945548</v>
      </c>
      <c r="L295" s="17">
        <v>1.9156961644889465E-2</v>
      </c>
      <c r="M295" s="63">
        <v>2</v>
      </c>
      <c r="N295" s="25">
        <v>1543309.6980111499</v>
      </c>
      <c r="O295" s="17">
        <v>1.8754669190712447E-2</v>
      </c>
      <c r="P295" s="63">
        <v>4</v>
      </c>
      <c r="Q295" s="25">
        <v>1252247.3723052801</v>
      </c>
      <c r="R295" s="66">
        <v>1.7278005778422333E-2</v>
      </c>
      <c r="S295" s="77">
        <f t="shared" si="4"/>
        <v>1.8396545538008079E-2</v>
      </c>
      <c r="V295" s="80"/>
    </row>
    <row r="296" spans="1:22" x14ac:dyDescent="0.25">
      <c r="A296" s="18" t="s">
        <v>1639</v>
      </c>
      <c r="B296" s="18" t="s">
        <v>1636</v>
      </c>
      <c r="C296" s="18" t="s">
        <v>1638</v>
      </c>
      <c r="D296" t="s">
        <v>1637</v>
      </c>
      <c r="E296" s="13" t="s">
        <v>1640</v>
      </c>
      <c r="F296" s="3" t="s">
        <v>495</v>
      </c>
      <c r="H296" t="s">
        <v>699</v>
      </c>
      <c r="I296" t="s">
        <v>243</v>
      </c>
      <c r="J296" s="63">
        <v>9</v>
      </c>
      <c r="K296" s="25">
        <v>2566374.35710803</v>
      </c>
      <c r="L296" s="17">
        <v>1.7791464201116023E-2</v>
      </c>
      <c r="M296" s="63">
        <v>8</v>
      </c>
      <c r="N296" s="25">
        <v>2632571.0785161098</v>
      </c>
      <c r="O296" s="17">
        <v>1.6738023143119275E-2</v>
      </c>
      <c r="P296" s="63">
        <v>6</v>
      </c>
      <c r="Q296" s="25">
        <v>2776308.3489825502</v>
      </c>
      <c r="R296" s="66">
        <v>2.0041901358000467E-2</v>
      </c>
      <c r="S296" s="77">
        <f t="shared" si="4"/>
        <v>1.8190462900745257E-2</v>
      </c>
      <c r="V296" s="80"/>
    </row>
    <row r="297" spans="1:22" x14ac:dyDescent="0.25">
      <c r="A297" s="18" t="s">
        <v>714</v>
      </c>
      <c r="B297" s="18" t="s">
        <v>711</v>
      </c>
      <c r="C297" s="18" t="s">
        <v>713</v>
      </c>
      <c r="D297" t="s">
        <v>712</v>
      </c>
      <c r="E297" s="13" t="s">
        <v>715</v>
      </c>
      <c r="F297" s="3" t="s">
        <v>495</v>
      </c>
      <c r="H297" t="s">
        <v>563</v>
      </c>
      <c r="I297" t="s">
        <v>716</v>
      </c>
      <c r="J297" s="63">
        <v>5</v>
      </c>
      <c r="K297" s="25">
        <v>1930472.80650084</v>
      </c>
      <c r="L297" s="17">
        <v>1.9497462664593297E-2</v>
      </c>
      <c r="M297" s="63">
        <v>4</v>
      </c>
      <c r="N297" s="25">
        <v>1725237.0495899201</v>
      </c>
      <c r="O297" s="17">
        <v>1.5980691194628305E-2</v>
      </c>
      <c r="P297" s="63">
        <v>6</v>
      </c>
      <c r="Q297" s="25">
        <v>1789393.0439433299</v>
      </c>
      <c r="R297" s="66">
        <v>1.8819136446566451E-2</v>
      </c>
      <c r="S297" s="77">
        <f t="shared" si="4"/>
        <v>1.8099096768596019E-2</v>
      </c>
      <c r="V297" s="80"/>
    </row>
    <row r="298" spans="1:22" x14ac:dyDescent="0.25">
      <c r="A298" s="18" t="s">
        <v>876</v>
      </c>
      <c r="B298" s="18" t="s">
        <v>873</v>
      </c>
      <c r="C298" s="18" t="s">
        <v>875</v>
      </c>
      <c r="D298" t="s">
        <v>874</v>
      </c>
      <c r="E298" s="13" t="s">
        <v>877</v>
      </c>
      <c r="F298" s="3" t="s">
        <v>495</v>
      </c>
      <c r="H298" t="s">
        <v>563</v>
      </c>
      <c r="I298" t="s">
        <v>716</v>
      </c>
      <c r="J298" s="63">
        <v>4</v>
      </c>
      <c r="K298" s="25">
        <v>2003116.86651609</v>
      </c>
      <c r="L298" s="17">
        <v>1.8826824041280148E-2</v>
      </c>
      <c r="M298" s="63">
        <v>6</v>
      </c>
      <c r="N298" s="25">
        <v>1933773.2782131401</v>
      </c>
      <c r="O298" s="17">
        <v>1.666896769057153E-2</v>
      </c>
      <c r="P298" s="63">
        <v>2</v>
      </c>
      <c r="Q298" s="25">
        <v>1893531.8367562401</v>
      </c>
      <c r="R298" s="66">
        <v>1.8532027015463897E-2</v>
      </c>
      <c r="S298" s="77">
        <f t="shared" si="4"/>
        <v>1.8009272915771857E-2</v>
      </c>
      <c r="V298" s="80"/>
    </row>
    <row r="299" spans="1:22" x14ac:dyDescent="0.25">
      <c r="A299" s="18" t="s">
        <v>1696</v>
      </c>
      <c r="B299" s="18" t="s">
        <v>1693</v>
      </c>
      <c r="C299" s="18" t="s">
        <v>1695</v>
      </c>
      <c r="D299" t="s">
        <v>1694</v>
      </c>
      <c r="E299" s="13" t="s">
        <v>663</v>
      </c>
      <c r="F299" s="3" t="s">
        <v>495</v>
      </c>
      <c r="H299" t="s">
        <v>541</v>
      </c>
      <c r="I299" t="s">
        <v>547</v>
      </c>
      <c r="J299" s="63">
        <v>1</v>
      </c>
      <c r="K299" s="25">
        <v>1021431.03260302</v>
      </c>
      <c r="L299" s="17">
        <v>1.7021875178293219E-2</v>
      </c>
      <c r="M299" s="63">
        <v>3</v>
      </c>
      <c r="N299" s="25">
        <v>1224994.2737727701</v>
      </c>
      <c r="O299" s="17">
        <v>1.8722540821191125E-2</v>
      </c>
      <c r="P299" s="63">
        <v>1</v>
      </c>
      <c r="Q299" s="25">
        <v>1015401.5140634601</v>
      </c>
      <c r="R299" s="66">
        <v>1.7620397326746157E-2</v>
      </c>
      <c r="S299" s="77">
        <f t="shared" si="4"/>
        <v>1.7788271108743498E-2</v>
      </c>
      <c r="V299" s="80"/>
    </row>
    <row r="300" spans="1:22" x14ac:dyDescent="0.25">
      <c r="A300" s="18" t="s">
        <v>1199</v>
      </c>
      <c r="B300" s="18" t="s">
        <v>1196</v>
      </c>
      <c r="C300" s="18" t="s">
        <v>1198</v>
      </c>
      <c r="D300" t="s">
        <v>1197</v>
      </c>
      <c r="E300" s="13" t="s">
        <v>1200</v>
      </c>
      <c r="F300" s="3" t="s">
        <v>495</v>
      </c>
      <c r="H300" t="s">
        <v>507</v>
      </c>
      <c r="I300" t="s">
        <v>17</v>
      </c>
      <c r="J300" s="63">
        <v>1</v>
      </c>
      <c r="K300" s="25">
        <v>1708083.92187661</v>
      </c>
      <c r="L300" s="17">
        <v>1.7790476292693778E-2</v>
      </c>
      <c r="M300" s="63">
        <v>2</v>
      </c>
      <c r="N300" s="25">
        <v>1846084.7912715501</v>
      </c>
      <c r="O300" s="17">
        <v>1.7634469097104661E-2</v>
      </c>
      <c r="P300" s="63">
        <v>1</v>
      </c>
      <c r="Q300" s="25">
        <v>1541426.0329541501</v>
      </c>
      <c r="R300" s="66">
        <v>1.6717856664497231E-2</v>
      </c>
      <c r="S300" s="77">
        <f t="shared" si="4"/>
        <v>1.7380934018098558E-2</v>
      </c>
      <c r="V300" s="80"/>
    </row>
    <row r="301" spans="1:22" x14ac:dyDescent="0.25">
      <c r="A301" s="18" t="s">
        <v>1677</v>
      </c>
      <c r="B301" s="18" t="s">
        <v>1674</v>
      </c>
      <c r="C301" s="18" t="s">
        <v>1676</v>
      </c>
      <c r="D301" t="s">
        <v>1675</v>
      </c>
      <c r="E301" s="13" t="s">
        <v>1678</v>
      </c>
      <c r="F301" s="3" t="s">
        <v>495</v>
      </c>
      <c r="H301" t="s">
        <v>541</v>
      </c>
      <c r="I301" t="s">
        <v>12</v>
      </c>
      <c r="J301" s="63">
        <v>2</v>
      </c>
      <c r="K301" s="25">
        <v>940690.52122967294</v>
      </c>
      <c r="L301" s="17">
        <v>1.6110089308041021E-2</v>
      </c>
      <c r="M301" s="63">
        <v>2</v>
      </c>
      <c r="N301" s="25">
        <v>1245793.63372311</v>
      </c>
      <c r="O301" s="17">
        <v>1.9567244042664283E-2</v>
      </c>
      <c r="P301" s="63">
        <v>2</v>
      </c>
      <c r="Q301" s="25">
        <v>890188.643115327</v>
      </c>
      <c r="R301" s="66">
        <v>1.5874964642153815E-2</v>
      </c>
      <c r="S301" s="77">
        <f t="shared" si="4"/>
        <v>1.7184099330953041E-2</v>
      </c>
      <c r="V301" s="80"/>
    </row>
    <row r="302" spans="1:22" x14ac:dyDescent="0.25">
      <c r="A302" s="18" t="s">
        <v>1814</v>
      </c>
      <c r="B302" s="18" t="s">
        <v>1811</v>
      </c>
      <c r="C302" s="18" t="s">
        <v>1813</v>
      </c>
      <c r="D302" t="s">
        <v>1812</v>
      </c>
      <c r="E302" s="13" t="s">
        <v>1815</v>
      </c>
      <c r="F302" s="3" t="s">
        <v>495</v>
      </c>
      <c r="G302" t="s">
        <v>855</v>
      </c>
      <c r="H302" t="s">
        <v>507</v>
      </c>
      <c r="I302" t="s">
        <v>17</v>
      </c>
      <c r="J302" s="63">
        <v>4</v>
      </c>
      <c r="K302" s="25">
        <v>1492841.50871516</v>
      </c>
      <c r="L302" s="17">
        <v>1.8480654977241402E-2</v>
      </c>
      <c r="M302" s="63">
        <v>4</v>
      </c>
      <c r="N302" s="25">
        <v>1460353.82440078</v>
      </c>
      <c r="O302" s="17">
        <v>1.6580366399113169E-2</v>
      </c>
      <c r="P302" s="63">
        <v>4</v>
      </c>
      <c r="Q302" s="25">
        <v>1267388.6523094301</v>
      </c>
      <c r="R302" s="66">
        <v>1.6337778676199601E-2</v>
      </c>
      <c r="S302" s="77">
        <f t="shared" si="4"/>
        <v>1.7132933350851389E-2</v>
      </c>
      <c r="V302" s="80"/>
    </row>
    <row r="303" spans="1:22" x14ac:dyDescent="0.25">
      <c r="A303" s="18" t="s">
        <v>1751</v>
      </c>
      <c r="B303" s="18" t="s">
        <v>1748</v>
      </c>
      <c r="C303" s="18" t="s">
        <v>1750</v>
      </c>
      <c r="D303" t="s">
        <v>1749</v>
      </c>
      <c r="E303" s="13" t="s">
        <v>1752</v>
      </c>
      <c r="F303" s="3" t="s">
        <v>495</v>
      </c>
      <c r="H303" t="s">
        <v>558</v>
      </c>
      <c r="I303" t="s">
        <v>12</v>
      </c>
      <c r="J303" s="63">
        <v>2</v>
      </c>
      <c r="K303" s="25">
        <v>808647.73527795705</v>
      </c>
      <c r="L303" s="17">
        <v>1.6146237708591298E-2</v>
      </c>
      <c r="M303" s="63">
        <v>2</v>
      </c>
      <c r="N303" s="25">
        <v>998689.72253554105</v>
      </c>
      <c r="O303" s="17">
        <v>1.8288366746593614E-2</v>
      </c>
      <c r="P303" s="63">
        <v>2</v>
      </c>
      <c r="Q303" s="25">
        <v>785726.91954575002</v>
      </c>
      <c r="R303" s="66">
        <v>1.6336654987248636E-2</v>
      </c>
      <c r="S303" s="77">
        <f t="shared" si="4"/>
        <v>1.6923753147477849E-2</v>
      </c>
      <c r="V303" s="80"/>
    </row>
    <row r="304" spans="1:22" x14ac:dyDescent="0.25">
      <c r="A304" s="18" t="s">
        <v>1581</v>
      </c>
      <c r="B304" s="18" t="s">
        <v>1578</v>
      </c>
      <c r="C304" s="18" t="s">
        <v>1580</v>
      </c>
      <c r="D304" t="s">
        <v>1579</v>
      </c>
      <c r="E304" s="13" t="s">
        <v>1293</v>
      </c>
      <c r="F304" s="3" t="s">
        <v>495</v>
      </c>
      <c r="H304" t="s">
        <v>541</v>
      </c>
      <c r="I304" t="s">
        <v>653</v>
      </c>
      <c r="J304" s="63">
        <v>2</v>
      </c>
      <c r="K304" s="25">
        <v>916653.91601438599</v>
      </c>
      <c r="L304" s="17">
        <v>1.5334772426241072E-2</v>
      </c>
      <c r="M304" s="63">
        <v>5</v>
      </c>
      <c r="N304" s="25">
        <v>1090210.0417077499</v>
      </c>
      <c r="O304" s="17">
        <v>1.6726862595452724E-2</v>
      </c>
      <c r="P304" s="63">
        <v>2</v>
      </c>
      <c r="Q304" s="25">
        <v>1021989.87923031</v>
      </c>
      <c r="R304" s="66">
        <v>1.7803199948428092E-2</v>
      </c>
      <c r="S304" s="77">
        <f t="shared" si="4"/>
        <v>1.6621611656707298E-2</v>
      </c>
      <c r="V304" s="80"/>
    </row>
    <row r="305" spans="1:22" x14ac:dyDescent="0.25">
      <c r="A305" s="18" t="s">
        <v>1090</v>
      </c>
      <c r="B305" s="18" t="s">
        <v>1087</v>
      </c>
      <c r="C305" s="18" t="s">
        <v>1089</v>
      </c>
      <c r="D305" t="s">
        <v>1088</v>
      </c>
      <c r="E305" s="13" t="s">
        <v>1091</v>
      </c>
      <c r="F305" s="3" t="s">
        <v>495</v>
      </c>
      <c r="H305" t="s">
        <v>552</v>
      </c>
      <c r="I305" t="s">
        <v>553</v>
      </c>
      <c r="J305" s="63">
        <v>5</v>
      </c>
      <c r="K305" s="25">
        <v>1972247.42684687</v>
      </c>
      <c r="L305" s="17">
        <v>1.7022736718866085E-2</v>
      </c>
      <c r="M305" s="63">
        <v>10</v>
      </c>
      <c r="N305" s="25">
        <v>1907384.4210066099</v>
      </c>
      <c r="O305" s="17">
        <v>1.5098666395567327E-2</v>
      </c>
      <c r="P305" s="63">
        <v>5</v>
      </c>
      <c r="Q305" s="25">
        <v>1802171.5338955901</v>
      </c>
      <c r="R305" s="66">
        <v>1.6197338072142041E-2</v>
      </c>
      <c r="S305" s="77">
        <f t="shared" si="4"/>
        <v>1.6106247062191818E-2</v>
      </c>
      <c r="V305" s="80"/>
    </row>
    <row r="306" spans="1:22" x14ac:dyDescent="0.25">
      <c r="A306" s="18" t="s">
        <v>1135</v>
      </c>
      <c r="B306" s="18" t="s">
        <v>1132</v>
      </c>
      <c r="C306" s="18" t="s">
        <v>1134</v>
      </c>
      <c r="D306" t="s">
        <v>1133</v>
      </c>
      <c r="E306" s="13" t="s">
        <v>1136</v>
      </c>
      <c r="F306" s="3" t="s">
        <v>495</v>
      </c>
      <c r="H306" t="s">
        <v>552</v>
      </c>
      <c r="I306" t="s">
        <v>12</v>
      </c>
      <c r="J306" s="63">
        <v>3</v>
      </c>
      <c r="K306" s="25">
        <v>1298675.68360472</v>
      </c>
      <c r="L306" s="17">
        <v>1.7313666554319884E-2</v>
      </c>
      <c r="M306" s="63">
        <v>2</v>
      </c>
      <c r="N306" s="25">
        <v>1321747.7487018199</v>
      </c>
      <c r="O306" s="17">
        <v>1.6161039580485492E-2</v>
      </c>
      <c r="P306" s="63">
        <v>1</v>
      </c>
      <c r="Q306" s="25">
        <v>1053371.0350589601</v>
      </c>
      <c r="R306" s="66">
        <v>1.4623429973782548E-2</v>
      </c>
      <c r="S306" s="77">
        <f t="shared" si="4"/>
        <v>1.6032712036195974E-2</v>
      </c>
      <c r="V306" s="80"/>
    </row>
    <row r="307" spans="1:22" x14ac:dyDescent="0.25">
      <c r="A307" s="18" t="s">
        <v>1995</v>
      </c>
      <c r="B307" s="18" t="s">
        <v>1992</v>
      </c>
      <c r="C307" s="18" t="s">
        <v>1994</v>
      </c>
      <c r="D307" t="s">
        <v>1993</v>
      </c>
      <c r="E307" s="13" t="s">
        <v>1465</v>
      </c>
      <c r="F307" s="3" t="s">
        <v>495</v>
      </c>
      <c r="H307" t="s">
        <v>552</v>
      </c>
      <c r="I307" t="s">
        <v>57</v>
      </c>
      <c r="J307" s="63">
        <v>3</v>
      </c>
      <c r="K307" s="25">
        <v>1391527.1872984599</v>
      </c>
      <c r="L307" s="17">
        <v>1.6473364641149062E-2</v>
      </c>
      <c r="M307" s="63">
        <v>3</v>
      </c>
      <c r="N307" s="25">
        <v>1582110.27155326</v>
      </c>
      <c r="O307" s="17">
        <v>1.7177491418970438E-2</v>
      </c>
      <c r="P307" s="63">
        <v>2</v>
      </c>
      <c r="Q307" s="25">
        <v>1124444.09146915</v>
      </c>
      <c r="R307" s="66">
        <v>1.3861429481102793E-2</v>
      </c>
      <c r="S307" s="77">
        <f t="shared" si="4"/>
        <v>1.5837428513740762E-2</v>
      </c>
      <c r="V307" s="80"/>
    </row>
    <row r="308" spans="1:22" x14ac:dyDescent="0.25">
      <c r="A308" s="18" t="s">
        <v>578</v>
      </c>
      <c r="B308" s="18" t="s">
        <v>8113</v>
      </c>
      <c r="C308" s="18" t="s">
        <v>580</v>
      </c>
      <c r="D308" t="s">
        <v>579</v>
      </c>
      <c r="E308" s="13" t="s">
        <v>581</v>
      </c>
      <c r="F308" s="3" t="s">
        <v>495</v>
      </c>
      <c r="H308" t="s">
        <v>541</v>
      </c>
      <c r="I308" t="s">
        <v>547</v>
      </c>
      <c r="J308" s="63">
        <v>2</v>
      </c>
      <c r="K308" s="25">
        <v>896686.06697435805</v>
      </c>
      <c r="L308" s="17">
        <v>1.4772580809011669E-2</v>
      </c>
      <c r="M308" s="63">
        <v>2</v>
      </c>
      <c r="N308" s="25">
        <v>1105196.2154067201</v>
      </c>
      <c r="O308" s="17">
        <v>1.6698894314195075E-2</v>
      </c>
      <c r="P308" s="63">
        <v>2</v>
      </c>
      <c r="Q308" s="25">
        <v>933469.13916250004</v>
      </c>
      <c r="R308" s="66">
        <v>1.601383887983631E-2</v>
      </c>
      <c r="S308" s="77">
        <f t="shared" si="4"/>
        <v>1.5828438001014352E-2</v>
      </c>
      <c r="V308" s="80"/>
    </row>
    <row r="309" spans="1:22" x14ac:dyDescent="0.25">
      <c r="A309" s="18" t="s">
        <v>697</v>
      </c>
      <c r="B309" s="18" t="s">
        <v>694</v>
      </c>
      <c r="C309" s="18" t="s">
        <v>696</v>
      </c>
      <c r="D309" t="s">
        <v>695</v>
      </c>
      <c r="E309" s="13" t="s">
        <v>698</v>
      </c>
      <c r="F309" s="3" t="s">
        <v>495</v>
      </c>
      <c r="H309" t="s">
        <v>699</v>
      </c>
      <c r="I309" t="s">
        <v>243</v>
      </c>
      <c r="J309" s="63">
        <v>3</v>
      </c>
      <c r="K309" s="25">
        <v>624346.55396083801</v>
      </c>
      <c r="L309" s="17">
        <v>1.3593908545349642E-2</v>
      </c>
      <c r="M309" s="63">
        <v>3</v>
      </c>
      <c r="N309" s="25">
        <v>790095.04274774599</v>
      </c>
      <c r="O309" s="17">
        <v>1.5777214718327943E-2</v>
      </c>
      <c r="P309" s="63">
        <v>2</v>
      </c>
      <c r="Q309" s="25">
        <v>636868.52656534303</v>
      </c>
      <c r="R309" s="66">
        <v>1.4439360160144694E-2</v>
      </c>
      <c r="S309" s="77">
        <f t="shared" si="4"/>
        <v>1.4603494474607426E-2</v>
      </c>
      <c r="V309" s="80"/>
    </row>
    <row r="310" spans="1:22" x14ac:dyDescent="0.25">
      <c r="A310" s="18" t="s">
        <v>502</v>
      </c>
      <c r="B310" s="18" t="s">
        <v>8098</v>
      </c>
      <c r="C310" s="18" t="s">
        <v>504</v>
      </c>
      <c r="D310" t="s">
        <v>503</v>
      </c>
      <c r="E310" s="13" t="s">
        <v>505</v>
      </c>
      <c r="F310" s="3" t="s">
        <v>495</v>
      </c>
      <c r="G310" t="s">
        <v>506</v>
      </c>
      <c r="H310" t="s">
        <v>507</v>
      </c>
      <c r="I310" t="s">
        <v>17</v>
      </c>
      <c r="J310" s="63">
        <v>4</v>
      </c>
      <c r="K310" s="25">
        <v>1490300.05628032</v>
      </c>
      <c r="L310" s="17">
        <v>1.4413432052174269E-2</v>
      </c>
      <c r="M310" s="63">
        <v>3</v>
      </c>
      <c r="N310" s="25">
        <v>1799569.7170502299</v>
      </c>
      <c r="O310" s="17">
        <v>1.5962273133578286E-2</v>
      </c>
      <c r="P310" s="63">
        <v>4</v>
      </c>
      <c r="Q310" s="25">
        <v>1328496.4322186799</v>
      </c>
      <c r="R310" s="66">
        <v>1.3379306932949971E-2</v>
      </c>
      <c r="S310" s="77">
        <f t="shared" si="4"/>
        <v>1.4585004039567509E-2</v>
      </c>
      <c r="V310" s="80"/>
    </row>
    <row r="311" spans="1:22" x14ac:dyDescent="0.25">
      <c r="A311" s="18" t="s">
        <v>651</v>
      </c>
      <c r="B311" s="18" t="s">
        <v>648</v>
      </c>
      <c r="C311" s="18" t="s">
        <v>650</v>
      </c>
      <c r="D311" t="s">
        <v>649</v>
      </c>
      <c r="E311" s="13" t="s">
        <v>652</v>
      </c>
      <c r="F311" s="3" t="s">
        <v>495</v>
      </c>
      <c r="H311" t="s">
        <v>541</v>
      </c>
      <c r="I311" t="s">
        <v>653</v>
      </c>
      <c r="J311" s="63">
        <v>2</v>
      </c>
      <c r="K311" s="25">
        <v>740302.634794796</v>
      </c>
      <c r="L311" s="17">
        <v>1.2779306158905315E-2</v>
      </c>
      <c r="M311" s="63">
        <v>2</v>
      </c>
      <c r="N311" s="25">
        <v>886628.74315517501</v>
      </c>
      <c r="O311" s="17">
        <v>1.4036930848534804E-2</v>
      </c>
      <c r="P311" s="63">
        <v>2</v>
      </c>
      <c r="Q311" s="25">
        <v>719566.640223147</v>
      </c>
      <c r="R311" s="66">
        <v>1.2934467022610247E-2</v>
      </c>
      <c r="S311" s="77">
        <f t="shared" si="4"/>
        <v>1.3250234676683454E-2</v>
      </c>
      <c r="V311" s="80"/>
    </row>
    <row r="312" spans="1:22" x14ac:dyDescent="0.25">
      <c r="A312" s="18" t="s">
        <v>1650</v>
      </c>
      <c r="B312" s="18" t="s">
        <v>1647</v>
      </c>
      <c r="C312" s="18" t="s">
        <v>1649</v>
      </c>
      <c r="D312" t="s">
        <v>1648</v>
      </c>
      <c r="E312" s="13" t="s">
        <v>1651</v>
      </c>
      <c r="F312" s="3" t="s">
        <v>495</v>
      </c>
      <c r="H312" t="s">
        <v>563</v>
      </c>
      <c r="I312" t="s">
        <v>716</v>
      </c>
      <c r="J312" s="63">
        <v>3</v>
      </c>
      <c r="K312" s="25">
        <v>1014346.83351863</v>
      </c>
      <c r="L312" s="17">
        <v>1.2557122606839234E-2</v>
      </c>
      <c r="M312" s="63">
        <v>3</v>
      </c>
      <c r="N312" s="25">
        <v>1264193.6918125399</v>
      </c>
      <c r="O312" s="17">
        <v>1.4353230196319117E-2</v>
      </c>
      <c r="P312" s="63">
        <v>1</v>
      </c>
      <c r="Q312" s="25">
        <v>941785.63688247395</v>
      </c>
      <c r="R312" s="66">
        <v>1.2140463201853689E-2</v>
      </c>
      <c r="S312" s="77">
        <f t="shared" si="4"/>
        <v>1.3016938668337348E-2</v>
      </c>
      <c r="V312" s="80"/>
    </row>
    <row r="313" spans="1:22" x14ac:dyDescent="0.25">
      <c r="A313" s="18" t="s">
        <v>1105</v>
      </c>
      <c r="B313" s="18" t="s">
        <v>1102</v>
      </c>
      <c r="C313" s="18" t="s">
        <v>1104</v>
      </c>
      <c r="D313" t="s">
        <v>1103</v>
      </c>
      <c r="E313" s="13" t="s">
        <v>1106</v>
      </c>
      <c r="F313" s="3" t="s">
        <v>495</v>
      </c>
      <c r="H313" t="s">
        <v>577</v>
      </c>
      <c r="I313" t="s">
        <v>553</v>
      </c>
      <c r="J313" s="63">
        <v>2</v>
      </c>
      <c r="K313" s="25">
        <v>497360.573773877</v>
      </c>
      <c r="L313" s="17">
        <v>1.3384963171907655E-2</v>
      </c>
      <c r="M313" s="63">
        <v>2</v>
      </c>
      <c r="N313" s="25">
        <v>502744.29932876001</v>
      </c>
      <c r="O313" s="17">
        <v>1.2408673409584219E-2</v>
      </c>
      <c r="P313" s="63">
        <v>2</v>
      </c>
      <c r="Q313" s="25">
        <v>453121.230372969</v>
      </c>
      <c r="R313" s="66">
        <v>1.2698130130785612E-2</v>
      </c>
      <c r="S313" s="77">
        <f t="shared" si="4"/>
        <v>1.2830588904092494E-2</v>
      </c>
      <c r="V313" s="80"/>
    </row>
    <row r="314" spans="1:22" x14ac:dyDescent="0.25">
      <c r="A314" s="18" t="s">
        <v>1839</v>
      </c>
      <c r="B314" s="18" t="s">
        <v>1836</v>
      </c>
      <c r="C314" s="18" t="s">
        <v>1838</v>
      </c>
      <c r="D314" t="s">
        <v>1837</v>
      </c>
      <c r="E314" s="13" t="s">
        <v>1840</v>
      </c>
      <c r="F314" s="3" t="s">
        <v>495</v>
      </c>
      <c r="H314" t="s">
        <v>507</v>
      </c>
      <c r="I314" t="s">
        <v>808</v>
      </c>
      <c r="J314" s="63">
        <v>6</v>
      </c>
      <c r="K314" s="25">
        <v>1279743.17619896</v>
      </c>
      <c r="L314" s="17">
        <v>1.4109186474181466E-2</v>
      </c>
      <c r="M314" s="63">
        <v>4</v>
      </c>
      <c r="N314" s="25">
        <v>1170006.6891268899</v>
      </c>
      <c r="O314" s="17">
        <v>1.1830412011817443E-2</v>
      </c>
      <c r="P314" s="63">
        <v>6</v>
      </c>
      <c r="Q314" s="25">
        <v>1088521.76206288</v>
      </c>
      <c r="R314" s="66">
        <v>1.2496713237446055E-2</v>
      </c>
      <c r="S314" s="77">
        <f t="shared" si="4"/>
        <v>1.2812103907814988E-2</v>
      </c>
      <c r="V314" s="80"/>
    </row>
    <row r="315" spans="1:22" x14ac:dyDescent="0.25">
      <c r="A315" s="18" t="s">
        <v>1150</v>
      </c>
      <c r="B315" s="18" t="s">
        <v>1147</v>
      </c>
      <c r="C315" s="18" t="s">
        <v>1149</v>
      </c>
      <c r="D315" t="s">
        <v>1148</v>
      </c>
      <c r="E315" s="13" t="s">
        <v>1151</v>
      </c>
      <c r="F315" s="3" t="s">
        <v>495</v>
      </c>
      <c r="H315" t="s">
        <v>541</v>
      </c>
      <c r="I315" t="s">
        <v>41</v>
      </c>
      <c r="J315" s="63">
        <v>3</v>
      </c>
      <c r="K315" s="25">
        <v>873858.33760789095</v>
      </c>
      <c r="L315" s="17">
        <v>1.3668881120570195E-2</v>
      </c>
      <c r="M315" s="63">
        <v>2</v>
      </c>
      <c r="N315" s="25">
        <v>885373.18012769497</v>
      </c>
      <c r="O315" s="17">
        <v>1.2701372955938794E-2</v>
      </c>
      <c r="P315" s="63">
        <v>4</v>
      </c>
      <c r="Q315" s="25">
        <v>728709.85638326104</v>
      </c>
      <c r="R315" s="66">
        <v>1.1869327502517953E-2</v>
      </c>
      <c r="S315" s="77">
        <f t="shared" si="4"/>
        <v>1.2746527193008983E-2</v>
      </c>
      <c r="V315" s="80"/>
    </row>
    <row r="316" spans="1:22" x14ac:dyDescent="0.25">
      <c r="A316" s="18" t="s">
        <v>1681</v>
      </c>
      <c r="B316" s="18" t="s">
        <v>8129</v>
      </c>
      <c r="C316" s="18" t="s">
        <v>1680</v>
      </c>
      <c r="D316" t="s">
        <v>1679</v>
      </c>
      <c r="E316" s="13" t="s">
        <v>1682</v>
      </c>
      <c r="F316" s="3" t="s">
        <v>495</v>
      </c>
      <c r="H316" t="s">
        <v>541</v>
      </c>
      <c r="I316" t="s">
        <v>542</v>
      </c>
      <c r="J316" s="63">
        <v>7</v>
      </c>
      <c r="K316" s="25">
        <v>1783009.26754643</v>
      </c>
      <c r="L316" s="17">
        <v>1.205222614941698E-2</v>
      </c>
      <c r="M316" s="63">
        <v>5</v>
      </c>
      <c r="N316" s="25">
        <v>1919989.32927683</v>
      </c>
      <c r="O316" s="17">
        <v>1.1902682827573742E-2</v>
      </c>
      <c r="P316" s="63">
        <v>5</v>
      </c>
      <c r="Q316" s="25">
        <v>1780615.9557219399</v>
      </c>
      <c r="R316" s="66">
        <v>1.253324327832836E-2</v>
      </c>
      <c r="S316" s="77">
        <f t="shared" si="4"/>
        <v>1.2162717418439694E-2</v>
      </c>
      <c r="V316" s="80"/>
    </row>
    <row r="317" spans="1:22" x14ac:dyDescent="0.25">
      <c r="A317" s="18" t="s">
        <v>1073</v>
      </c>
      <c r="B317" s="18" t="s">
        <v>1070</v>
      </c>
      <c r="C317" s="18" t="s">
        <v>1072</v>
      </c>
      <c r="D317" t="s">
        <v>1071</v>
      </c>
      <c r="E317" s="13" t="s">
        <v>1074</v>
      </c>
      <c r="F317" s="3" t="s">
        <v>495</v>
      </c>
      <c r="H317" t="s">
        <v>563</v>
      </c>
      <c r="I317" t="s">
        <v>973</v>
      </c>
      <c r="J317" s="63">
        <v>2</v>
      </c>
      <c r="K317" s="25">
        <v>1131828.4096665699</v>
      </c>
      <c r="L317" s="17">
        <v>1.2639228531959512E-2</v>
      </c>
      <c r="M317" s="63">
        <v>2</v>
      </c>
      <c r="N317" s="25">
        <v>1065777.9590771899</v>
      </c>
      <c r="O317" s="17">
        <v>1.0915385653865508E-2</v>
      </c>
      <c r="P317" s="63">
        <v>1</v>
      </c>
      <c r="Q317" s="25">
        <v>1021782.6624088699</v>
      </c>
      <c r="R317" s="66">
        <v>1.1881685213342784E-2</v>
      </c>
      <c r="S317" s="77">
        <f t="shared" si="4"/>
        <v>1.18120997997226E-2</v>
      </c>
      <c r="V317" s="80"/>
    </row>
    <row r="318" spans="1:22" x14ac:dyDescent="0.25">
      <c r="A318" s="18" t="s">
        <v>1957</v>
      </c>
      <c r="B318" s="18" t="s">
        <v>1954</v>
      </c>
      <c r="C318" s="18" t="s">
        <v>1956</v>
      </c>
      <c r="D318" t="s">
        <v>1955</v>
      </c>
      <c r="E318" s="13" t="s">
        <v>1958</v>
      </c>
      <c r="F318" s="3" t="s">
        <v>495</v>
      </c>
      <c r="H318" t="s">
        <v>558</v>
      </c>
      <c r="I318" t="s">
        <v>12</v>
      </c>
      <c r="J318" s="63">
        <v>1</v>
      </c>
      <c r="K318" s="25">
        <v>702025.25880908198</v>
      </c>
      <c r="L318" s="17">
        <v>1.1881861184396348E-2</v>
      </c>
      <c r="M318" s="63">
        <v>2</v>
      </c>
      <c r="N318" s="25">
        <v>788547.81459690805</v>
      </c>
      <c r="O318" s="17">
        <v>1.2240302269700177E-2</v>
      </c>
      <c r="P318" s="63">
        <v>1</v>
      </c>
      <c r="Q318" s="25">
        <v>641941.22467012203</v>
      </c>
      <c r="R318" s="66">
        <v>1.131374900345442E-2</v>
      </c>
      <c r="S318" s="77">
        <f t="shared" si="4"/>
        <v>1.1811970819183649E-2</v>
      </c>
      <c r="V318" s="80"/>
    </row>
    <row r="319" spans="1:22" x14ac:dyDescent="0.25">
      <c r="A319" s="18" t="s">
        <v>1790</v>
      </c>
      <c r="B319" s="18" t="s">
        <v>1787</v>
      </c>
      <c r="C319" s="18" t="s">
        <v>1789</v>
      </c>
      <c r="D319" t="s">
        <v>1788</v>
      </c>
      <c r="E319" s="13" t="s">
        <v>1791</v>
      </c>
      <c r="F319" s="3" t="s">
        <v>495</v>
      </c>
      <c r="H319" t="s">
        <v>496</v>
      </c>
      <c r="I319" t="s">
        <v>172</v>
      </c>
      <c r="J319" s="63">
        <v>3</v>
      </c>
      <c r="K319" s="25">
        <v>1047129.15168493</v>
      </c>
      <c r="L319" s="17">
        <v>1.1723599847223463E-2</v>
      </c>
      <c r="M319" s="63">
        <v>3</v>
      </c>
      <c r="N319" s="25">
        <v>1008372.02869521</v>
      </c>
      <c r="O319" s="17">
        <v>1.0354136850782245E-2</v>
      </c>
      <c r="P319" s="63">
        <v>3</v>
      </c>
      <c r="Q319" s="25">
        <v>1110256.19665752</v>
      </c>
      <c r="R319" s="66">
        <v>1.2943850232873732E-2</v>
      </c>
      <c r="S319" s="77">
        <f t="shared" si="4"/>
        <v>1.1673862310293147E-2</v>
      </c>
      <c r="V319" s="80"/>
    </row>
    <row r="320" spans="1:22" x14ac:dyDescent="0.25">
      <c r="A320" s="18" t="s">
        <v>1523</v>
      </c>
      <c r="B320" s="18" t="s">
        <v>1520</v>
      </c>
      <c r="C320" s="18" t="s">
        <v>1522</v>
      </c>
      <c r="D320" t="s">
        <v>1521</v>
      </c>
      <c r="E320" s="13" t="s">
        <v>1524</v>
      </c>
      <c r="F320" s="3" t="s">
        <v>495</v>
      </c>
      <c r="H320" t="s">
        <v>541</v>
      </c>
      <c r="I320" t="s">
        <v>547</v>
      </c>
      <c r="J320" s="63">
        <v>0</v>
      </c>
      <c r="K320" s="25">
        <v>895293.50232055201</v>
      </c>
      <c r="L320" s="17">
        <v>1.2009767820881942E-2</v>
      </c>
      <c r="M320" s="63">
        <v>2</v>
      </c>
      <c r="N320" s="25">
        <v>873530.27314146503</v>
      </c>
      <c r="O320" s="17">
        <v>1.0746808588673662E-2</v>
      </c>
      <c r="P320" s="63">
        <v>3</v>
      </c>
      <c r="Q320" s="25">
        <v>872142.65162552102</v>
      </c>
      <c r="R320" s="66">
        <v>1.2182495008831666E-2</v>
      </c>
      <c r="S320" s="77">
        <f t="shared" si="4"/>
        <v>1.1646357139462424E-2</v>
      </c>
      <c r="V320" s="80"/>
    </row>
    <row r="321" spans="1:22" x14ac:dyDescent="0.25">
      <c r="A321" s="18" t="s">
        <v>636</v>
      </c>
      <c r="B321" s="18" t="s">
        <v>633</v>
      </c>
      <c r="C321" s="18" t="s">
        <v>635</v>
      </c>
      <c r="D321" t="s">
        <v>634</v>
      </c>
      <c r="E321" s="13" t="s">
        <v>637</v>
      </c>
      <c r="F321" s="3" t="s">
        <v>495</v>
      </c>
      <c r="H321" t="s">
        <v>541</v>
      </c>
      <c r="I321" t="s">
        <v>553</v>
      </c>
      <c r="J321" s="63">
        <v>1</v>
      </c>
      <c r="K321" s="25">
        <v>1285848.11415435</v>
      </c>
      <c r="L321" s="17">
        <v>1.1323906393932078E-2</v>
      </c>
      <c r="M321" s="63">
        <v>4</v>
      </c>
      <c r="N321" s="25">
        <v>1418742.04130483</v>
      </c>
      <c r="O321" s="17">
        <v>1.1458886322817404E-2</v>
      </c>
      <c r="P321" s="63">
        <v>2</v>
      </c>
      <c r="Q321" s="25">
        <v>1289957.41431008</v>
      </c>
      <c r="R321" s="66">
        <v>1.1829367083310805E-2</v>
      </c>
      <c r="S321" s="77">
        <f t="shared" si="4"/>
        <v>1.1537386600020095E-2</v>
      </c>
      <c r="V321" s="80"/>
    </row>
    <row r="322" spans="1:22" x14ac:dyDescent="0.25">
      <c r="A322" s="18" t="s">
        <v>1349</v>
      </c>
      <c r="B322" s="18" t="s">
        <v>1346</v>
      </c>
      <c r="C322" s="18" t="s">
        <v>1348</v>
      </c>
      <c r="D322" t="s">
        <v>1347</v>
      </c>
      <c r="E322" s="13" t="s">
        <v>1350</v>
      </c>
      <c r="F322" s="3" t="s">
        <v>495</v>
      </c>
      <c r="H322" t="s">
        <v>563</v>
      </c>
      <c r="I322" t="s">
        <v>716</v>
      </c>
      <c r="J322" s="63">
        <v>2</v>
      </c>
      <c r="K322" s="25">
        <v>429222.35694831802</v>
      </c>
      <c r="L322" s="17">
        <v>1.033193180901462E-2</v>
      </c>
      <c r="M322" s="63">
        <v>2</v>
      </c>
      <c r="N322" s="25">
        <v>519897.57402895403</v>
      </c>
      <c r="O322" s="17">
        <v>1.1477554439138489E-2</v>
      </c>
      <c r="P322" s="63">
        <v>1</v>
      </c>
      <c r="Q322" s="25">
        <v>471721.042287644</v>
      </c>
      <c r="R322" s="66">
        <v>1.1823988070604016E-2</v>
      </c>
      <c r="S322" s="77">
        <f t="shared" si="4"/>
        <v>1.1211158106252376E-2</v>
      </c>
      <c r="V322" s="80"/>
    </row>
    <row r="323" spans="1:22" x14ac:dyDescent="0.25">
      <c r="A323" s="18" t="s">
        <v>1947</v>
      </c>
      <c r="B323" s="18" t="s">
        <v>1944</v>
      </c>
      <c r="C323" s="18" t="s">
        <v>1946</v>
      </c>
      <c r="D323" t="s">
        <v>1945</v>
      </c>
      <c r="E323" s="13" t="s">
        <v>1948</v>
      </c>
      <c r="F323" s="3" t="s">
        <v>495</v>
      </c>
      <c r="H323" t="s">
        <v>1339</v>
      </c>
      <c r="I323" t="s">
        <v>243</v>
      </c>
      <c r="J323" s="63">
        <v>2</v>
      </c>
      <c r="K323" s="25">
        <v>859683.72239073401</v>
      </c>
      <c r="L323" s="17">
        <v>1.1676689232150525E-2</v>
      </c>
      <c r="M323" s="63">
        <v>4</v>
      </c>
      <c r="N323" s="25">
        <v>914184.52306534105</v>
      </c>
      <c r="O323" s="17">
        <v>1.1387994716597023E-2</v>
      </c>
      <c r="P323" s="63">
        <v>3</v>
      </c>
      <c r="Q323" s="25">
        <v>743565.13358826202</v>
      </c>
      <c r="R323" s="66">
        <v>1.0516702112032737E-2</v>
      </c>
      <c r="S323" s="77">
        <f t="shared" si="4"/>
        <v>1.119379535359343E-2</v>
      </c>
      <c r="V323" s="80"/>
    </row>
    <row r="324" spans="1:22" x14ac:dyDescent="0.25">
      <c r="A324" s="18" t="s">
        <v>1528</v>
      </c>
      <c r="B324" s="18" t="s">
        <v>1525</v>
      </c>
      <c r="C324" s="18" t="s">
        <v>1527</v>
      </c>
      <c r="D324" t="s">
        <v>1526</v>
      </c>
      <c r="E324" s="13" t="s">
        <v>1529</v>
      </c>
      <c r="F324" s="3" t="s">
        <v>495</v>
      </c>
      <c r="H324" t="s">
        <v>563</v>
      </c>
      <c r="I324" t="s">
        <v>716</v>
      </c>
      <c r="J324" s="63">
        <v>3</v>
      </c>
      <c r="K324" s="25">
        <v>1022675.36606368</v>
      </c>
      <c r="L324" s="17">
        <v>1.2342838530207798E-2</v>
      </c>
      <c r="M324" s="63">
        <v>1</v>
      </c>
      <c r="N324" s="25">
        <v>902386.67687963997</v>
      </c>
      <c r="O324" s="17">
        <v>9.9885466344134741E-3</v>
      </c>
      <c r="P324" s="63">
        <v>3</v>
      </c>
      <c r="Q324" s="25">
        <v>887322.70524210099</v>
      </c>
      <c r="R324" s="66">
        <v>1.1151630847705755E-2</v>
      </c>
      <c r="S324" s="77">
        <f t="shared" si="4"/>
        <v>1.1161005337442341E-2</v>
      </c>
      <c r="V324" s="80"/>
    </row>
    <row r="325" spans="1:22" x14ac:dyDescent="0.25">
      <c r="A325" s="18" t="s">
        <v>1952</v>
      </c>
      <c r="B325" s="18" t="s">
        <v>1949</v>
      </c>
      <c r="C325" s="18" t="s">
        <v>1951</v>
      </c>
      <c r="D325" t="s">
        <v>1950</v>
      </c>
      <c r="E325" s="13" t="s">
        <v>1953</v>
      </c>
      <c r="F325" s="3" t="s">
        <v>495</v>
      </c>
      <c r="H325" t="s">
        <v>541</v>
      </c>
      <c r="I325" t="s">
        <v>653</v>
      </c>
      <c r="J325" s="63">
        <v>2</v>
      </c>
      <c r="K325" s="25">
        <v>612569.241069749</v>
      </c>
      <c r="L325" s="17">
        <v>9.9780402250117962E-3</v>
      </c>
      <c r="M325" s="63">
        <v>2</v>
      </c>
      <c r="N325" s="25">
        <v>749040.58595115098</v>
      </c>
      <c r="O325" s="17">
        <v>1.1189940802596459E-2</v>
      </c>
      <c r="P325" s="63">
        <v>1</v>
      </c>
      <c r="Q325" s="25">
        <v>684808.03402550204</v>
      </c>
      <c r="R325" s="66">
        <v>1.1615514429283672E-2</v>
      </c>
      <c r="S325" s="77">
        <f t="shared" ref="S325:S388" si="5">AVERAGE(L325,O325,R325)</f>
        <v>1.0927831818963974E-2</v>
      </c>
      <c r="V325" s="80"/>
    </row>
    <row r="326" spans="1:22" x14ac:dyDescent="0.25">
      <c r="A326" s="18" t="s">
        <v>785</v>
      </c>
      <c r="B326" s="18" t="s">
        <v>782</v>
      </c>
      <c r="C326" s="18" t="s">
        <v>784</v>
      </c>
      <c r="D326" t="s">
        <v>783</v>
      </c>
      <c r="E326" s="13" t="s">
        <v>786</v>
      </c>
      <c r="F326" s="3" t="s">
        <v>495</v>
      </c>
      <c r="H326" t="s">
        <v>541</v>
      </c>
      <c r="I326" t="s">
        <v>547</v>
      </c>
      <c r="J326" s="63">
        <v>4</v>
      </c>
      <c r="K326" s="25">
        <v>1799794.8096485101</v>
      </c>
      <c r="L326" s="17">
        <v>1.1709017824017892E-2</v>
      </c>
      <c r="M326" s="63">
        <v>5</v>
      </c>
      <c r="N326" s="25">
        <v>1597123.6287233499</v>
      </c>
      <c r="O326" s="17">
        <v>9.5294619713990614E-3</v>
      </c>
      <c r="P326" s="63">
        <v>4</v>
      </c>
      <c r="Q326" s="25">
        <v>1688659.32423105</v>
      </c>
      <c r="R326" s="66">
        <v>1.1439816329303885E-2</v>
      </c>
      <c r="S326" s="77">
        <f t="shared" si="5"/>
        <v>1.0892765374906946E-2</v>
      </c>
      <c r="V326" s="80"/>
    </row>
    <row r="327" spans="1:22" x14ac:dyDescent="0.25">
      <c r="A327" s="18" t="s">
        <v>1795</v>
      </c>
      <c r="B327" s="18" t="s">
        <v>1792</v>
      </c>
      <c r="C327" s="18" t="s">
        <v>1794</v>
      </c>
      <c r="D327" t="s">
        <v>1793</v>
      </c>
      <c r="E327" s="13" t="s">
        <v>1550</v>
      </c>
      <c r="F327" s="3" t="s">
        <v>495</v>
      </c>
      <c r="H327" t="s">
        <v>507</v>
      </c>
      <c r="I327" t="s">
        <v>1796</v>
      </c>
      <c r="J327" s="63">
        <v>3</v>
      </c>
      <c r="K327" s="25">
        <v>1062554.9734098599</v>
      </c>
      <c r="L327" s="17">
        <v>1.1452414457597083E-2</v>
      </c>
      <c r="M327" s="63">
        <v>3</v>
      </c>
      <c r="N327" s="25">
        <v>917802.76944134198</v>
      </c>
      <c r="O327" s="17">
        <v>9.0725085526130941E-3</v>
      </c>
      <c r="P327" s="63">
        <v>3</v>
      </c>
      <c r="Q327" s="25">
        <v>1006200.6700427399</v>
      </c>
      <c r="R327" s="66">
        <v>1.1293011948290733E-2</v>
      </c>
      <c r="S327" s="77">
        <f t="shared" si="5"/>
        <v>1.0605978319500303E-2</v>
      </c>
      <c r="V327" s="80"/>
    </row>
    <row r="328" spans="1:22" x14ac:dyDescent="0.25">
      <c r="A328" s="18" t="s">
        <v>1058</v>
      </c>
      <c r="B328" s="18" t="s">
        <v>8121</v>
      </c>
      <c r="C328" s="18" t="s">
        <v>1057</v>
      </c>
      <c r="D328" t="s">
        <v>1056</v>
      </c>
      <c r="E328" s="13" t="s">
        <v>1059</v>
      </c>
      <c r="F328" s="3" t="s">
        <v>495</v>
      </c>
      <c r="H328" t="s">
        <v>552</v>
      </c>
      <c r="I328" t="s">
        <v>12</v>
      </c>
      <c r="J328" s="63">
        <v>7</v>
      </c>
      <c r="K328" s="25">
        <v>2138210.7136903699</v>
      </c>
      <c r="L328" s="17">
        <v>1.0600119709801443E-2</v>
      </c>
      <c r="M328" s="63">
        <v>4</v>
      </c>
      <c r="N328" s="25">
        <v>2066485.6113106101</v>
      </c>
      <c r="O328" s="17">
        <v>9.3956110195771193E-3</v>
      </c>
      <c r="P328" s="63">
        <v>6</v>
      </c>
      <c r="Q328" s="25">
        <v>2198099.6865112302</v>
      </c>
      <c r="R328" s="66">
        <v>1.1347160302093576E-2</v>
      </c>
      <c r="S328" s="77">
        <f t="shared" si="5"/>
        <v>1.0447630343824045E-2</v>
      </c>
      <c r="V328" s="80"/>
    </row>
    <row r="329" spans="1:22" x14ac:dyDescent="0.25">
      <c r="A329" s="18" t="s">
        <v>1549</v>
      </c>
      <c r="B329" s="18" t="s">
        <v>1546</v>
      </c>
      <c r="C329" s="18" t="s">
        <v>1548</v>
      </c>
      <c r="D329" t="s">
        <v>1547</v>
      </c>
      <c r="E329" s="13" t="s">
        <v>1550</v>
      </c>
      <c r="F329" s="3" t="s">
        <v>495</v>
      </c>
      <c r="H329" t="s">
        <v>507</v>
      </c>
      <c r="I329" t="s">
        <v>17</v>
      </c>
      <c r="J329" s="63">
        <v>2</v>
      </c>
      <c r="K329" s="25">
        <v>905453.54246773501</v>
      </c>
      <c r="L329" s="17">
        <v>1.0085287244528281E-2</v>
      </c>
      <c r="M329" s="63">
        <v>3</v>
      </c>
      <c r="N329" s="25">
        <v>901647.78539924603</v>
      </c>
      <c r="O329" s="17">
        <v>9.2106736448261967E-3</v>
      </c>
      <c r="P329" s="63">
        <v>3</v>
      </c>
      <c r="Q329" s="25">
        <v>954674.19864345901</v>
      </c>
      <c r="R329" s="66">
        <v>1.1072783858285445E-2</v>
      </c>
      <c r="S329" s="77">
        <f t="shared" si="5"/>
        <v>1.0122914915879975E-2</v>
      </c>
      <c r="V329" s="80"/>
    </row>
    <row r="330" spans="1:22" x14ac:dyDescent="0.25">
      <c r="A330" s="18" t="s">
        <v>885</v>
      </c>
      <c r="B330" s="18" t="s">
        <v>8118</v>
      </c>
      <c r="C330" s="18" t="s">
        <v>884</v>
      </c>
      <c r="D330" t="s">
        <v>883</v>
      </c>
      <c r="E330" s="13" t="s">
        <v>886</v>
      </c>
      <c r="F330" s="3" t="s">
        <v>495</v>
      </c>
      <c r="H330" t="s">
        <v>887</v>
      </c>
      <c r="I330" t="s">
        <v>888</v>
      </c>
      <c r="J330" s="63">
        <v>1</v>
      </c>
      <c r="K330" s="25">
        <v>1324957.05520893</v>
      </c>
      <c r="L330" s="17">
        <v>1.0381219455695107E-2</v>
      </c>
      <c r="M330" s="63">
        <v>1</v>
      </c>
      <c r="N330" s="25">
        <v>1223662.8673080101</v>
      </c>
      <c r="O330" s="17">
        <v>8.7930739493864984E-3</v>
      </c>
      <c r="P330" s="63">
        <v>4</v>
      </c>
      <c r="Q330" s="25">
        <v>1342441.9532858699</v>
      </c>
      <c r="R330" s="66">
        <v>1.0952710868971465E-2</v>
      </c>
      <c r="S330" s="77">
        <f t="shared" si="5"/>
        <v>1.004233475801769E-2</v>
      </c>
      <c r="V330" s="80"/>
    </row>
    <row r="331" spans="1:22" x14ac:dyDescent="0.25">
      <c r="A331" s="18" t="s">
        <v>908</v>
      </c>
      <c r="B331" s="18" t="s">
        <v>905</v>
      </c>
      <c r="C331" s="18" t="s">
        <v>907</v>
      </c>
      <c r="D331" t="s">
        <v>906</v>
      </c>
      <c r="E331" s="13" t="s">
        <v>909</v>
      </c>
      <c r="F331" s="3" t="s">
        <v>495</v>
      </c>
      <c r="H331" t="s">
        <v>541</v>
      </c>
      <c r="I331" t="s">
        <v>547</v>
      </c>
      <c r="J331" s="63">
        <v>2</v>
      </c>
      <c r="K331" s="25">
        <v>644886.17427466705</v>
      </c>
      <c r="L331" s="17">
        <v>9.6020016981900221E-3</v>
      </c>
      <c r="M331" s="63">
        <v>2</v>
      </c>
      <c r="N331" s="25">
        <v>731802.02488030202</v>
      </c>
      <c r="O331" s="17">
        <v>9.9932026251378335E-3</v>
      </c>
      <c r="P331" s="63">
        <v>2</v>
      </c>
      <c r="Q331" s="25">
        <v>671899.47529585101</v>
      </c>
      <c r="R331" s="66">
        <v>1.0417477028699057E-2</v>
      </c>
      <c r="S331" s="77">
        <f t="shared" si="5"/>
        <v>1.0004227117342305E-2</v>
      </c>
      <c r="V331" s="80"/>
    </row>
    <row r="332" spans="1:22" x14ac:dyDescent="0.25">
      <c r="A332" s="18" t="s">
        <v>1392</v>
      </c>
      <c r="B332" s="18" t="s">
        <v>1389</v>
      </c>
      <c r="C332" s="18" t="s">
        <v>1391</v>
      </c>
      <c r="D332" t="s">
        <v>1390</v>
      </c>
      <c r="E332" s="13" t="s">
        <v>1393</v>
      </c>
      <c r="F332" s="3" t="s">
        <v>495</v>
      </c>
      <c r="H332" t="s">
        <v>507</v>
      </c>
      <c r="I332" t="s">
        <v>693</v>
      </c>
      <c r="J332" s="63">
        <v>3</v>
      </c>
      <c r="K332" s="25">
        <v>1234818.3160463599</v>
      </c>
      <c r="L332" s="17">
        <v>1.0636696778194177E-2</v>
      </c>
      <c r="M332" s="63">
        <v>2</v>
      </c>
      <c r="N332" s="25">
        <v>1139288.72626282</v>
      </c>
      <c r="O332" s="17">
        <v>9.0005674398595855E-3</v>
      </c>
      <c r="P332" s="63">
        <v>1</v>
      </c>
      <c r="Q332" s="25">
        <v>1137455.7830064199</v>
      </c>
      <c r="R332" s="66">
        <v>1.0202762483144291E-2</v>
      </c>
      <c r="S332" s="77">
        <f t="shared" si="5"/>
        <v>9.9466755670660194E-3</v>
      </c>
      <c r="V332" s="80"/>
    </row>
    <row r="333" spans="1:22" x14ac:dyDescent="0.25">
      <c r="A333" s="18" t="s">
        <v>1756</v>
      </c>
      <c r="B333" s="18" t="s">
        <v>1753</v>
      </c>
      <c r="C333" s="18" t="s">
        <v>1755</v>
      </c>
      <c r="D333" t="s">
        <v>1754</v>
      </c>
      <c r="E333" s="13" t="s">
        <v>1757</v>
      </c>
      <c r="F333" s="3" t="s">
        <v>495</v>
      </c>
      <c r="G333" t="s">
        <v>669</v>
      </c>
      <c r="H333" t="s">
        <v>507</v>
      </c>
      <c r="I333" t="s">
        <v>17</v>
      </c>
      <c r="J333" s="63">
        <v>4</v>
      </c>
      <c r="K333" s="25">
        <v>822684.02851355902</v>
      </c>
      <c r="L333" s="17">
        <v>1.0332030325807979E-2</v>
      </c>
      <c r="M333" s="63">
        <v>2</v>
      </c>
      <c r="N333" s="25">
        <v>814691.80630729697</v>
      </c>
      <c r="O333" s="17">
        <v>9.3837910540211771E-3</v>
      </c>
      <c r="P333" s="63">
        <v>3</v>
      </c>
      <c r="Q333" s="25">
        <v>705733.10769921797</v>
      </c>
      <c r="R333" s="66">
        <v>9.2293822887890824E-3</v>
      </c>
      <c r="S333" s="77">
        <f t="shared" si="5"/>
        <v>9.6484012228727472E-3</v>
      </c>
      <c r="V333" s="80"/>
    </row>
    <row r="334" spans="1:22" x14ac:dyDescent="0.25">
      <c r="A334" s="18" t="s">
        <v>1155</v>
      </c>
      <c r="B334" s="18" t="s">
        <v>1152</v>
      </c>
      <c r="C334" s="18" t="s">
        <v>1154</v>
      </c>
      <c r="D334" t="s">
        <v>1153</v>
      </c>
      <c r="E334" s="13" t="s">
        <v>1156</v>
      </c>
      <c r="F334" s="3" t="s">
        <v>495</v>
      </c>
      <c r="G334" t="s">
        <v>506</v>
      </c>
      <c r="H334" t="s">
        <v>507</v>
      </c>
      <c r="I334" t="s">
        <v>17</v>
      </c>
      <c r="J334" s="63">
        <v>3</v>
      </c>
      <c r="K334" s="25">
        <v>825910.74438435701</v>
      </c>
      <c r="L334" s="17">
        <v>9.6717061497023013E-3</v>
      </c>
      <c r="M334" s="63">
        <v>3</v>
      </c>
      <c r="N334" s="25">
        <v>837423.64032866398</v>
      </c>
      <c r="O334" s="17">
        <v>8.9938899304336413E-3</v>
      </c>
      <c r="P334" s="63">
        <v>2</v>
      </c>
      <c r="Q334" s="25">
        <v>817149.098003958</v>
      </c>
      <c r="R334" s="66">
        <v>9.9643923609878948E-3</v>
      </c>
      <c r="S334" s="77">
        <f t="shared" si="5"/>
        <v>9.5433294803746131E-3</v>
      </c>
      <c r="V334" s="80"/>
    </row>
    <row r="335" spans="1:22" x14ac:dyDescent="0.25">
      <c r="A335" s="18" t="s">
        <v>624</v>
      </c>
      <c r="B335" s="18" t="s">
        <v>621</v>
      </c>
      <c r="C335" s="18" t="s">
        <v>623</v>
      </c>
      <c r="D335" t="s">
        <v>622</v>
      </c>
      <c r="E335" s="13" t="s">
        <v>625</v>
      </c>
      <c r="F335" s="3" t="s">
        <v>495</v>
      </c>
      <c r="H335" t="s">
        <v>626</v>
      </c>
      <c r="I335" t="s">
        <v>243</v>
      </c>
      <c r="J335" s="63">
        <v>2</v>
      </c>
      <c r="K335" s="25">
        <v>1071392.41714195</v>
      </c>
      <c r="L335" s="17">
        <v>1.0385149346365079E-2</v>
      </c>
      <c r="M335" s="63">
        <v>2</v>
      </c>
      <c r="N335" s="25">
        <v>896740.78566945298</v>
      </c>
      <c r="O335" s="17">
        <v>7.9719299753055507E-3</v>
      </c>
      <c r="P335" s="63">
        <v>2</v>
      </c>
      <c r="Q335" s="25">
        <v>1009043.5894217601</v>
      </c>
      <c r="R335" s="66">
        <v>1.0184826684954849E-2</v>
      </c>
      <c r="S335" s="77">
        <f t="shared" si="5"/>
        <v>9.5139686688751595E-3</v>
      </c>
      <c r="V335" s="80"/>
    </row>
    <row r="336" spans="1:22" x14ac:dyDescent="0.25">
      <c r="A336" s="18" t="s">
        <v>532</v>
      </c>
      <c r="B336" s="18" t="s">
        <v>8104</v>
      </c>
      <c r="C336" s="18" t="s">
        <v>534</v>
      </c>
      <c r="D336" t="s">
        <v>533</v>
      </c>
      <c r="E336" s="13" t="s">
        <v>535</v>
      </c>
      <c r="F336" s="3" t="s">
        <v>495</v>
      </c>
      <c r="G336" t="s">
        <v>536</v>
      </c>
      <c r="H336" t="s">
        <v>507</v>
      </c>
      <c r="I336" t="s">
        <v>17</v>
      </c>
      <c r="J336" s="63">
        <v>5</v>
      </c>
      <c r="K336" s="25">
        <v>948871.55061763094</v>
      </c>
      <c r="L336" s="17">
        <v>9.4949182649081646E-3</v>
      </c>
      <c r="M336" s="63">
        <v>5</v>
      </c>
      <c r="N336" s="25">
        <v>947903.22095441597</v>
      </c>
      <c r="O336" s="17">
        <v>8.6992172767739913E-3</v>
      </c>
      <c r="P336" s="63">
        <v>5</v>
      </c>
      <c r="Q336" s="25">
        <v>938878.78964031499</v>
      </c>
      <c r="R336" s="66">
        <v>9.7830183949770763E-3</v>
      </c>
      <c r="S336" s="77">
        <f t="shared" si="5"/>
        <v>9.3257179788864119E-3</v>
      </c>
      <c r="V336" s="80"/>
    </row>
    <row r="337" spans="1:22" x14ac:dyDescent="0.25">
      <c r="A337" s="18" t="s">
        <v>1895</v>
      </c>
      <c r="B337" s="18" t="s">
        <v>1892</v>
      </c>
      <c r="C337" s="18" t="s">
        <v>1894</v>
      </c>
      <c r="D337" t="s">
        <v>1893</v>
      </c>
      <c r="E337" s="13" t="s">
        <v>1896</v>
      </c>
      <c r="F337" s="3" t="s">
        <v>495</v>
      </c>
      <c r="H337" t="s">
        <v>507</v>
      </c>
      <c r="I337" t="s">
        <v>693</v>
      </c>
      <c r="J337" s="63">
        <v>3</v>
      </c>
      <c r="K337" s="25">
        <v>1311849.2076139399</v>
      </c>
      <c r="L337" s="17">
        <v>9.5369467734270161E-3</v>
      </c>
      <c r="M337" s="63">
        <v>3</v>
      </c>
      <c r="N337" s="25">
        <v>1239939.54954214</v>
      </c>
      <c r="O337" s="17">
        <v>8.2671977960574877E-3</v>
      </c>
      <c r="P337" s="63">
        <v>3</v>
      </c>
      <c r="Q337" s="25">
        <v>1334151.86488022</v>
      </c>
      <c r="R337" s="66">
        <v>1.0099741223519261E-2</v>
      </c>
      <c r="S337" s="77">
        <f t="shared" si="5"/>
        <v>9.3012952643345883E-3</v>
      </c>
      <c r="V337" s="80"/>
    </row>
    <row r="338" spans="1:22" x14ac:dyDescent="0.25">
      <c r="A338" s="18" t="s">
        <v>1053</v>
      </c>
      <c r="B338" s="18" t="s">
        <v>1050</v>
      </c>
      <c r="C338" s="18" t="s">
        <v>1052</v>
      </c>
      <c r="D338" t="s">
        <v>1051</v>
      </c>
      <c r="E338" s="13" t="s">
        <v>1054</v>
      </c>
      <c r="F338" s="3" t="s">
        <v>495</v>
      </c>
      <c r="H338" t="s">
        <v>496</v>
      </c>
      <c r="I338" t="s">
        <v>1055</v>
      </c>
      <c r="J338" s="63">
        <v>2</v>
      </c>
      <c r="K338" s="25">
        <v>1245730.05676812</v>
      </c>
      <c r="L338" s="17">
        <v>8.4468500823090455E-3</v>
      </c>
      <c r="M338" s="63">
        <v>2</v>
      </c>
      <c r="N338" s="25">
        <v>1492178.66077956</v>
      </c>
      <c r="O338" s="17">
        <v>9.2794885954796801E-3</v>
      </c>
      <c r="P338" s="63">
        <v>3</v>
      </c>
      <c r="Q338" s="25">
        <v>1388069.4682927299</v>
      </c>
      <c r="R338" s="66">
        <v>9.8008012452546929E-3</v>
      </c>
      <c r="S338" s="77">
        <f t="shared" si="5"/>
        <v>9.1757133076811395E-3</v>
      </c>
      <c r="V338" s="80"/>
    </row>
    <row r="339" spans="1:22" x14ac:dyDescent="0.25">
      <c r="A339" s="18" t="s">
        <v>1747</v>
      </c>
      <c r="B339" s="18" t="s">
        <v>1744</v>
      </c>
      <c r="C339" s="18" t="s">
        <v>1746</v>
      </c>
      <c r="D339" t="s">
        <v>1745</v>
      </c>
      <c r="E339" s="13" t="s">
        <v>494</v>
      </c>
      <c r="F339" s="3" t="s">
        <v>495</v>
      </c>
      <c r="H339" t="s">
        <v>496</v>
      </c>
      <c r="I339" t="s">
        <v>172</v>
      </c>
      <c r="J339" s="63">
        <v>2</v>
      </c>
      <c r="K339" s="25">
        <v>372281.65680051298</v>
      </c>
      <c r="L339" s="17">
        <v>7.6447076896413958E-3</v>
      </c>
      <c r="M339" s="63">
        <v>2</v>
      </c>
      <c r="N339" s="25">
        <v>545738.38897524995</v>
      </c>
      <c r="O339" s="17">
        <v>1.0277941105059203E-2</v>
      </c>
      <c r="P339" s="63">
        <v>2</v>
      </c>
      <c r="Q339" s="25">
        <v>404038.75116643502</v>
      </c>
      <c r="R339" s="66">
        <v>8.6395635459863996E-3</v>
      </c>
      <c r="S339" s="77">
        <f t="shared" si="5"/>
        <v>8.8540707802289998E-3</v>
      </c>
      <c r="V339" s="80"/>
    </row>
    <row r="340" spans="1:22" x14ac:dyDescent="0.25">
      <c r="A340" s="18" t="s">
        <v>981</v>
      </c>
      <c r="B340" s="18" t="s">
        <v>8119</v>
      </c>
      <c r="C340" s="18" t="s">
        <v>980</v>
      </c>
      <c r="D340" t="s">
        <v>979</v>
      </c>
      <c r="E340" s="13" t="s">
        <v>982</v>
      </c>
      <c r="F340" s="3" t="s">
        <v>495</v>
      </c>
      <c r="H340" t="s">
        <v>558</v>
      </c>
      <c r="I340" t="s">
        <v>12</v>
      </c>
      <c r="J340" s="63">
        <v>3</v>
      </c>
      <c r="K340" s="25">
        <v>1005413.0941484499</v>
      </c>
      <c r="L340" s="17">
        <v>9.0945397366251676E-3</v>
      </c>
      <c r="M340" s="63">
        <v>2</v>
      </c>
      <c r="N340" s="25">
        <v>1026359.0613368599</v>
      </c>
      <c r="O340" s="17">
        <v>8.5146712190801964E-3</v>
      </c>
      <c r="P340" s="63">
        <v>2</v>
      </c>
      <c r="Q340" s="25">
        <v>926734.18920295394</v>
      </c>
      <c r="R340" s="66">
        <v>8.7291289776837543E-3</v>
      </c>
      <c r="S340" s="77">
        <f t="shared" si="5"/>
        <v>8.77944664446304E-3</v>
      </c>
      <c r="V340" s="80"/>
    </row>
    <row r="341" spans="1:22" x14ac:dyDescent="0.25">
      <c r="A341" s="18" t="s">
        <v>1962</v>
      </c>
      <c r="B341" s="18" t="s">
        <v>1959</v>
      </c>
      <c r="C341" s="18" t="s">
        <v>1961</v>
      </c>
      <c r="D341" t="s">
        <v>1960</v>
      </c>
      <c r="E341" s="13" t="s">
        <v>663</v>
      </c>
      <c r="F341" s="3" t="s">
        <v>495</v>
      </c>
      <c r="H341" t="s">
        <v>541</v>
      </c>
      <c r="I341" t="s">
        <v>547</v>
      </c>
      <c r="J341" s="63">
        <v>6</v>
      </c>
      <c r="K341" s="25">
        <v>1357040.90595971</v>
      </c>
      <c r="L341" s="17">
        <v>1.0632600807504349E-2</v>
      </c>
      <c r="M341" s="63">
        <v>3</v>
      </c>
      <c r="N341" s="25">
        <v>1122246.69806434</v>
      </c>
      <c r="O341" s="17">
        <v>8.0643112324259095E-3</v>
      </c>
      <c r="P341" s="63">
        <v>4</v>
      </c>
      <c r="Q341" s="25">
        <v>922704.264995893</v>
      </c>
      <c r="R341" s="66">
        <v>7.5281564371035021E-3</v>
      </c>
      <c r="S341" s="77">
        <f t="shared" si="5"/>
        <v>8.7416894923445856E-3</v>
      </c>
      <c r="V341" s="80"/>
    </row>
    <row r="342" spans="1:22" x14ac:dyDescent="0.25">
      <c r="A342" s="18" t="s">
        <v>780</v>
      </c>
      <c r="B342" s="18" t="s">
        <v>777</v>
      </c>
      <c r="C342" s="18" t="s">
        <v>779</v>
      </c>
      <c r="D342" t="s">
        <v>778</v>
      </c>
      <c r="E342" s="13" t="s">
        <v>781</v>
      </c>
      <c r="F342" s="3" t="s">
        <v>495</v>
      </c>
      <c r="H342" t="s">
        <v>563</v>
      </c>
      <c r="I342" t="s">
        <v>716</v>
      </c>
      <c r="J342" s="63">
        <v>2</v>
      </c>
      <c r="K342" s="25">
        <v>458561.036024603</v>
      </c>
      <c r="L342" s="17">
        <v>8.4189290236219884E-3</v>
      </c>
      <c r="M342" s="63">
        <v>1</v>
      </c>
      <c r="N342" s="25">
        <v>430504.68781677098</v>
      </c>
      <c r="O342" s="17">
        <v>7.2488640947571299E-3</v>
      </c>
      <c r="P342" s="63">
        <v>1</v>
      </c>
      <c r="Q342" s="25">
        <v>525158.89611113898</v>
      </c>
      <c r="R342" s="66">
        <v>1.0039913296790496E-2</v>
      </c>
      <c r="S342" s="77">
        <f t="shared" si="5"/>
        <v>8.5692354717232053E-3</v>
      </c>
      <c r="V342" s="80"/>
    </row>
    <row r="343" spans="1:22" x14ac:dyDescent="0.25">
      <c r="A343" s="18" t="s">
        <v>1292</v>
      </c>
      <c r="B343" s="18" t="s">
        <v>1289</v>
      </c>
      <c r="C343" s="18" t="s">
        <v>1291</v>
      </c>
      <c r="D343" t="s">
        <v>1290</v>
      </c>
      <c r="E343" s="13" t="s">
        <v>1293</v>
      </c>
      <c r="F343" s="3" t="s">
        <v>495</v>
      </c>
      <c r="H343" t="s">
        <v>541</v>
      </c>
      <c r="I343" t="s">
        <v>57</v>
      </c>
      <c r="J343" s="63">
        <v>2</v>
      </c>
      <c r="K343" s="25">
        <v>387808.48485928</v>
      </c>
      <c r="L343" s="17">
        <v>6.5637048317119988E-3</v>
      </c>
      <c r="M343" s="63">
        <v>2</v>
      </c>
      <c r="N343" s="25">
        <v>587244.499915116</v>
      </c>
      <c r="O343" s="17">
        <v>9.1155539995432539E-3</v>
      </c>
      <c r="P343" s="63">
        <v>2</v>
      </c>
      <c r="Q343" s="25">
        <v>490484.23032086098</v>
      </c>
      <c r="R343" s="66">
        <v>8.6444292074470911E-3</v>
      </c>
      <c r="S343" s="77">
        <f t="shared" si="5"/>
        <v>8.107896012900781E-3</v>
      </c>
      <c r="V343" s="80"/>
    </row>
    <row r="344" spans="1:22" x14ac:dyDescent="0.25">
      <c r="A344" s="18" t="s">
        <v>1727</v>
      </c>
      <c r="B344" s="18" t="s">
        <v>1724</v>
      </c>
      <c r="C344" s="18" t="s">
        <v>1726</v>
      </c>
      <c r="D344" t="s">
        <v>1725</v>
      </c>
      <c r="E344" s="13" t="s">
        <v>1728</v>
      </c>
      <c r="F344" s="3" t="s">
        <v>495</v>
      </c>
      <c r="H344" t="s">
        <v>563</v>
      </c>
      <c r="I344" t="s">
        <v>716</v>
      </c>
      <c r="J344" s="63">
        <v>1</v>
      </c>
      <c r="K344" s="25">
        <v>326817.791595724</v>
      </c>
      <c r="L344" s="17">
        <v>7.910872067347384E-3</v>
      </c>
      <c r="M344" s="63">
        <v>2</v>
      </c>
      <c r="N344" s="25">
        <v>378808.44263017899</v>
      </c>
      <c r="O344" s="17">
        <v>8.4095100565381789E-3</v>
      </c>
      <c r="P344" s="63">
        <v>1</v>
      </c>
      <c r="Q344" s="25">
        <v>313762.32055831503</v>
      </c>
      <c r="R344" s="66">
        <v>7.9085888093141776E-3</v>
      </c>
      <c r="S344" s="77">
        <f t="shared" si="5"/>
        <v>8.0763236443999135E-3</v>
      </c>
      <c r="V344" s="80"/>
    </row>
    <row r="345" spans="1:22" x14ac:dyDescent="0.25">
      <c r="A345" s="18" t="s">
        <v>1278</v>
      </c>
      <c r="B345" s="18" t="s">
        <v>1275</v>
      </c>
      <c r="C345" s="18" t="s">
        <v>1277</v>
      </c>
      <c r="D345" t="s">
        <v>1276</v>
      </c>
      <c r="E345" s="13" t="s">
        <v>1279</v>
      </c>
      <c r="F345" s="3" t="s">
        <v>495</v>
      </c>
      <c r="H345" t="s">
        <v>496</v>
      </c>
      <c r="I345" t="s">
        <v>172</v>
      </c>
      <c r="J345" s="63">
        <v>2</v>
      </c>
      <c r="K345" s="25">
        <v>704145.86925855302</v>
      </c>
      <c r="L345" s="17">
        <v>8.4048063605233099E-3</v>
      </c>
      <c r="M345" s="63">
        <v>2</v>
      </c>
      <c r="N345" s="25">
        <v>804669.11550597299</v>
      </c>
      <c r="O345" s="17">
        <v>8.8087601154740371E-3</v>
      </c>
      <c r="P345" s="63">
        <v>2</v>
      </c>
      <c r="Q345" s="25">
        <v>495268.04453860602</v>
      </c>
      <c r="R345" s="66">
        <v>6.1558059493195018E-3</v>
      </c>
      <c r="S345" s="77">
        <f t="shared" si="5"/>
        <v>7.789790808438949E-3</v>
      </c>
      <c r="V345" s="80"/>
    </row>
    <row r="346" spans="1:22" x14ac:dyDescent="0.25">
      <c r="A346" s="18" t="s">
        <v>939</v>
      </c>
      <c r="B346" s="18" t="s">
        <v>936</v>
      </c>
      <c r="C346" s="18" t="s">
        <v>938</v>
      </c>
      <c r="D346" t="s">
        <v>937</v>
      </c>
      <c r="E346" s="13" t="s">
        <v>721</v>
      </c>
      <c r="F346" s="3" t="s">
        <v>495</v>
      </c>
      <c r="H346" t="s">
        <v>541</v>
      </c>
      <c r="I346" t="s">
        <v>547</v>
      </c>
      <c r="J346" s="63">
        <v>4</v>
      </c>
      <c r="K346" s="25">
        <v>781362.87693827006</v>
      </c>
      <c r="L346" s="17">
        <v>8.549275040329974E-3</v>
      </c>
      <c r="M346" s="63">
        <v>3</v>
      </c>
      <c r="N346" s="25">
        <v>684287.66887268401</v>
      </c>
      <c r="O346" s="17">
        <v>6.866692563247785E-3</v>
      </c>
      <c r="P346" s="63">
        <v>2</v>
      </c>
      <c r="Q346" s="25">
        <v>639432.57657706796</v>
      </c>
      <c r="R346" s="66">
        <v>7.2853565403216908E-3</v>
      </c>
      <c r="S346" s="77">
        <f t="shared" si="5"/>
        <v>7.5671080479664836E-3</v>
      </c>
      <c r="V346" s="80"/>
    </row>
    <row r="347" spans="1:22" x14ac:dyDescent="0.25">
      <c r="A347" s="18" t="s">
        <v>708</v>
      </c>
      <c r="B347" s="18" t="s">
        <v>705</v>
      </c>
      <c r="C347" s="18" t="s">
        <v>707</v>
      </c>
      <c r="D347" t="s">
        <v>706</v>
      </c>
      <c r="E347" s="13" t="s">
        <v>709</v>
      </c>
      <c r="F347" s="3" t="s">
        <v>495</v>
      </c>
      <c r="G347" t="s">
        <v>710</v>
      </c>
      <c r="H347" t="s">
        <v>507</v>
      </c>
      <c r="I347" t="s">
        <v>17</v>
      </c>
      <c r="J347" s="63">
        <v>1</v>
      </c>
      <c r="K347" s="25">
        <v>640098.53285062395</v>
      </c>
      <c r="L347" s="17">
        <v>7.5777006975942182E-3</v>
      </c>
      <c r="M347" s="63">
        <v>2</v>
      </c>
      <c r="N347" s="25">
        <v>690228.13686164306</v>
      </c>
      <c r="O347" s="17">
        <v>7.4940338301657632E-3</v>
      </c>
      <c r="P347" s="63">
        <v>1</v>
      </c>
      <c r="Q347" s="25">
        <v>611703.77015186497</v>
      </c>
      <c r="R347" s="66">
        <v>7.5406938749674763E-3</v>
      </c>
      <c r="S347" s="77">
        <f t="shared" si="5"/>
        <v>7.5374761342424865E-3</v>
      </c>
      <c r="V347" s="80"/>
    </row>
    <row r="348" spans="1:22" x14ac:dyDescent="0.25">
      <c r="A348" s="18" t="s">
        <v>1100</v>
      </c>
      <c r="B348" s="18" t="s">
        <v>1097</v>
      </c>
      <c r="C348" s="18" t="s">
        <v>1099</v>
      </c>
      <c r="D348" t="s">
        <v>1098</v>
      </c>
      <c r="E348" s="13" t="s">
        <v>1101</v>
      </c>
      <c r="F348" s="3" t="s">
        <v>495</v>
      </c>
      <c r="H348" t="s">
        <v>577</v>
      </c>
      <c r="I348" t="s">
        <v>41</v>
      </c>
      <c r="J348" s="63">
        <v>1</v>
      </c>
      <c r="K348" s="25">
        <v>409381.11161939398</v>
      </c>
      <c r="L348" s="17">
        <v>1.0194132025396336E-2</v>
      </c>
      <c r="M348" s="63">
        <v>2</v>
      </c>
      <c r="N348" s="25">
        <v>360999.90325302799</v>
      </c>
      <c r="O348" s="17">
        <v>8.2444542575643345E-3</v>
      </c>
      <c r="P348" s="63">
        <v>0</v>
      </c>
      <c r="Q348" s="25">
        <v>150594.288930015</v>
      </c>
      <c r="R348" s="66">
        <v>3.9049051777712536E-3</v>
      </c>
      <c r="S348" s="77">
        <f t="shared" si="5"/>
        <v>7.4478304869106402E-3</v>
      </c>
      <c r="V348" s="80"/>
    </row>
    <row r="349" spans="1:22" x14ac:dyDescent="0.25">
      <c r="A349" s="18" t="s">
        <v>805</v>
      </c>
      <c r="B349" s="18" t="s">
        <v>8117</v>
      </c>
      <c r="C349" s="18" t="s">
        <v>804</v>
      </c>
      <c r="D349" t="s">
        <v>803</v>
      </c>
      <c r="E349" s="13" t="s">
        <v>806</v>
      </c>
      <c r="F349" s="3" t="s">
        <v>495</v>
      </c>
      <c r="G349" t="s">
        <v>807</v>
      </c>
      <c r="H349" t="s">
        <v>507</v>
      </c>
      <c r="I349" t="s">
        <v>808</v>
      </c>
      <c r="J349" s="63">
        <v>2</v>
      </c>
      <c r="K349" s="25">
        <v>660855.86603361997</v>
      </c>
      <c r="L349" s="17">
        <v>9.0900840061304521E-3</v>
      </c>
      <c r="M349" s="63">
        <v>0</v>
      </c>
      <c r="N349" s="25">
        <v>486292.16508712398</v>
      </c>
      <c r="O349" s="17">
        <v>6.1346641854421952E-3</v>
      </c>
      <c r="P349" s="63">
        <v>1</v>
      </c>
      <c r="Q349" s="25">
        <v>486449.14537338202</v>
      </c>
      <c r="R349" s="66">
        <v>6.9675184832081261E-3</v>
      </c>
      <c r="S349" s="77">
        <f t="shared" si="5"/>
        <v>7.3974222249269242E-3</v>
      </c>
      <c r="V349" s="80"/>
    </row>
    <row r="350" spans="1:22" x14ac:dyDescent="0.25">
      <c r="A350" s="18" t="s">
        <v>1854</v>
      </c>
      <c r="B350" s="18" t="s">
        <v>8131</v>
      </c>
      <c r="C350" s="18" t="s">
        <v>1853</v>
      </c>
      <c r="D350" t="s">
        <v>1852</v>
      </c>
      <c r="E350" s="13" t="s">
        <v>1855</v>
      </c>
      <c r="F350" s="3" t="s">
        <v>495</v>
      </c>
      <c r="H350" t="s">
        <v>558</v>
      </c>
      <c r="I350" t="s">
        <v>716</v>
      </c>
      <c r="J350" s="63">
        <v>3</v>
      </c>
      <c r="K350" s="25">
        <v>499655.86972752202</v>
      </c>
      <c r="L350" s="17">
        <v>7.8156108268033469E-3</v>
      </c>
      <c r="M350" s="63">
        <v>0</v>
      </c>
      <c r="N350" s="25">
        <v>465754.69742323301</v>
      </c>
      <c r="O350" s="17">
        <v>6.6816165778815452E-3</v>
      </c>
      <c r="P350" s="63">
        <v>2</v>
      </c>
      <c r="Q350" s="25">
        <v>452671.70826463198</v>
      </c>
      <c r="R350" s="66">
        <v>7.3731797497347444E-3</v>
      </c>
      <c r="S350" s="77">
        <f t="shared" si="5"/>
        <v>7.290135718139878E-3</v>
      </c>
      <c r="V350" s="80"/>
    </row>
    <row r="351" spans="1:22" x14ac:dyDescent="0.25">
      <c r="A351" s="18" t="s">
        <v>667</v>
      </c>
      <c r="B351" s="18" t="s">
        <v>664</v>
      </c>
      <c r="C351" s="18" t="s">
        <v>666</v>
      </c>
      <c r="D351" t="s">
        <v>665</v>
      </c>
      <c r="E351" s="13" t="s">
        <v>668</v>
      </c>
      <c r="F351" s="3" t="s">
        <v>495</v>
      </c>
      <c r="G351" t="s">
        <v>669</v>
      </c>
      <c r="H351" t="s">
        <v>507</v>
      </c>
      <c r="I351" t="s">
        <v>17</v>
      </c>
      <c r="J351" s="63">
        <v>4</v>
      </c>
      <c r="K351" s="25">
        <v>934101.37788213405</v>
      </c>
      <c r="L351" s="17">
        <v>7.5368770085191827E-3</v>
      </c>
      <c r="M351" s="63">
        <v>4</v>
      </c>
      <c r="N351" s="25">
        <v>923413.61905072595</v>
      </c>
      <c r="O351" s="17">
        <v>6.8332304157333835E-3</v>
      </c>
      <c r="P351" s="63">
        <v>3</v>
      </c>
      <c r="Q351" s="25">
        <v>850735.35375089606</v>
      </c>
      <c r="R351" s="66">
        <v>7.1477842276600817E-3</v>
      </c>
      <c r="S351" s="77">
        <f t="shared" si="5"/>
        <v>7.1726305506375496E-3</v>
      </c>
      <c r="V351" s="80"/>
    </row>
    <row r="352" spans="1:22" x14ac:dyDescent="0.25">
      <c r="A352" s="18" t="s">
        <v>1343</v>
      </c>
      <c r="B352" s="18" t="s">
        <v>1340</v>
      </c>
      <c r="C352" s="18" t="s">
        <v>1342</v>
      </c>
      <c r="D352" t="s">
        <v>1341</v>
      </c>
      <c r="E352" s="13" t="s">
        <v>1344</v>
      </c>
      <c r="F352" s="3" t="s">
        <v>495</v>
      </c>
      <c r="H352" t="s">
        <v>1345</v>
      </c>
      <c r="I352" t="s">
        <v>57</v>
      </c>
      <c r="J352" s="63">
        <v>3</v>
      </c>
      <c r="K352" s="25">
        <v>709316.14073238801</v>
      </c>
      <c r="L352" s="17">
        <v>7.1307346145689458E-3</v>
      </c>
      <c r="M352" s="63">
        <v>2</v>
      </c>
      <c r="N352" s="25">
        <v>665666.17901979794</v>
      </c>
      <c r="O352" s="17">
        <v>6.1373840081137372E-3</v>
      </c>
      <c r="P352" s="63">
        <v>3</v>
      </c>
      <c r="Q352" s="25">
        <v>777050.34153453703</v>
      </c>
      <c r="R352" s="66">
        <v>8.1343550382624863E-3</v>
      </c>
      <c r="S352" s="77">
        <f t="shared" si="5"/>
        <v>7.1341578869817228E-3</v>
      </c>
      <c r="V352" s="80"/>
    </row>
    <row r="353" spans="1:22" x14ac:dyDescent="0.25">
      <c r="A353" s="18" t="s">
        <v>1068</v>
      </c>
      <c r="B353" s="18" t="s">
        <v>1065</v>
      </c>
      <c r="C353" s="18" t="s">
        <v>1067</v>
      </c>
      <c r="D353" t="s">
        <v>1066</v>
      </c>
      <c r="E353" s="13" t="s">
        <v>1069</v>
      </c>
      <c r="F353" s="3" t="s">
        <v>495</v>
      </c>
      <c r="H353" t="s">
        <v>507</v>
      </c>
      <c r="I353" t="s">
        <v>17</v>
      </c>
      <c r="J353" s="63">
        <v>2</v>
      </c>
      <c r="K353" s="25">
        <v>606599.58642367297</v>
      </c>
      <c r="L353" s="17">
        <v>7.0087818614467945E-3</v>
      </c>
      <c r="M353" s="63">
        <v>1</v>
      </c>
      <c r="N353" s="25">
        <v>634985.417587189</v>
      </c>
      <c r="O353" s="17">
        <v>6.7287835719827323E-3</v>
      </c>
      <c r="P353" s="63">
        <v>1</v>
      </c>
      <c r="Q353" s="25">
        <v>596062.82848169503</v>
      </c>
      <c r="R353" s="66">
        <v>7.1715331475932179E-3</v>
      </c>
      <c r="S353" s="77">
        <f t="shared" si="5"/>
        <v>6.9696995270075819E-3</v>
      </c>
      <c r="V353" s="80"/>
    </row>
    <row r="354" spans="1:22" x14ac:dyDescent="0.25">
      <c r="A354" s="18" t="s">
        <v>1420</v>
      </c>
      <c r="B354" s="18" t="s">
        <v>1417</v>
      </c>
      <c r="C354" s="18" t="s">
        <v>1419</v>
      </c>
      <c r="D354" t="s">
        <v>1418</v>
      </c>
      <c r="E354" s="13" t="s">
        <v>1421</v>
      </c>
      <c r="F354" s="3" t="s">
        <v>495</v>
      </c>
      <c r="H354" t="s">
        <v>563</v>
      </c>
      <c r="I354" t="s">
        <v>716</v>
      </c>
      <c r="J354" s="63">
        <v>2</v>
      </c>
      <c r="K354" s="25">
        <v>568004.36719414894</v>
      </c>
      <c r="L354" s="17">
        <v>7.0720306162563853E-3</v>
      </c>
      <c r="M354" s="63">
        <v>1</v>
      </c>
      <c r="N354" s="25">
        <v>682436.64999173698</v>
      </c>
      <c r="O354" s="17">
        <v>7.7926859451244368E-3</v>
      </c>
      <c r="P354" s="63">
        <v>1</v>
      </c>
      <c r="Q354" s="25">
        <v>455835.00396111299</v>
      </c>
      <c r="R354" s="66">
        <v>5.9098936613869316E-3</v>
      </c>
      <c r="S354" s="77">
        <f t="shared" si="5"/>
        <v>6.9248700742559179E-3</v>
      </c>
      <c r="V354" s="80"/>
    </row>
    <row r="355" spans="1:22" x14ac:dyDescent="0.25">
      <c r="A355" s="18" t="s">
        <v>1268</v>
      </c>
      <c r="B355" s="18" t="s">
        <v>1265</v>
      </c>
      <c r="C355" s="18" t="s">
        <v>1267</v>
      </c>
      <c r="D355" t="s">
        <v>1266</v>
      </c>
      <c r="E355" s="13" t="s">
        <v>1269</v>
      </c>
      <c r="F355" s="3" t="s">
        <v>495</v>
      </c>
      <c r="H355" t="s">
        <v>507</v>
      </c>
      <c r="I355" t="s">
        <v>17</v>
      </c>
      <c r="J355" s="63">
        <v>3</v>
      </c>
      <c r="K355" s="25">
        <v>631777.21950409003</v>
      </c>
      <c r="L355" s="17">
        <v>6.7257582676467729E-3</v>
      </c>
      <c r="M355" s="63">
        <v>3</v>
      </c>
      <c r="N355" s="25">
        <v>686735.61864701996</v>
      </c>
      <c r="O355" s="17">
        <v>6.7050070629782917E-3</v>
      </c>
      <c r="P355" s="63">
        <v>3</v>
      </c>
      <c r="Q355" s="25">
        <v>659557.71822885994</v>
      </c>
      <c r="R355" s="66">
        <v>7.3115530626305103E-3</v>
      </c>
      <c r="S355" s="77">
        <f t="shared" si="5"/>
        <v>6.9141061310851919E-3</v>
      </c>
      <c r="V355" s="80"/>
    </row>
    <row r="356" spans="1:22" x14ac:dyDescent="0.25">
      <c r="A356" s="18" t="s">
        <v>1805</v>
      </c>
      <c r="B356" s="18" t="s">
        <v>1802</v>
      </c>
      <c r="C356" s="18" t="s">
        <v>1804</v>
      </c>
      <c r="D356" t="s">
        <v>1803</v>
      </c>
      <c r="E356" s="13" t="s">
        <v>1806</v>
      </c>
      <c r="F356" s="3" t="s">
        <v>495</v>
      </c>
      <c r="G356" t="s">
        <v>920</v>
      </c>
      <c r="H356" t="s">
        <v>507</v>
      </c>
      <c r="I356" t="s">
        <v>243</v>
      </c>
      <c r="J356" s="63">
        <v>3</v>
      </c>
      <c r="K356" s="25">
        <v>675856.34399027203</v>
      </c>
      <c r="L356" s="17">
        <v>7.2305456556823692E-3</v>
      </c>
      <c r="M356" s="63">
        <v>3</v>
      </c>
      <c r="N356" s="25">
        <v>697535.41512316302</v>
      </c>
      <c r="O356" s="17">
        <v>6.8440837411368905E-3</v>
      </c>
      <c r="P356" s="63">
        <v>3</v>
      </c>
      <c r="Q356" s="25">
        <v>588977.22069784906</v>
      </c>
      <c r="R356" s="66">
        <v>6.5613727955414584E-3</v>
      </c>
      <c r="S356" s="77">
        <f t="shared" si="5"/>
        <v>6.8786673974535724E-3</v>
      </c>
      <c r="V356" s="80"/>
    </row>
    <row r="357" spans="1:22" x14ac:dyDescent="0.25">
      <c r="A357" s="18" t="s">
        <v>1980</v>
      </c>
      <c r="B357" s="18" t="s">
        <v>8132</v>
      </c>
      <c r="C357" s="18" t="s">
        <v>1979</v>
      </c>
      <c r="D357" t="s">
        <v>1978</v>
      </c>
      <c r="E357" s="13" t="s">
        <v>1981</v>
      </c>
      <c r="F357" s="3" t="s">
        <v>495</v>
      </c>
      <c r="H357" t="s">
        <v>563</v>
      </c>
      <c r="I357" t="s">
        <v>716</v>
      </c>
      <c r="J357" s="63">
        <v>3</v>
      </c>
      <c r="K357" s="25">
        <v>936681.48506649304</v>
      </c>
      <c r="L357" s="17">
        <v>6.8555441228267903E-3</v>
      </c>
      <c r="M357" s="63">
        <v>4</v>
      </c>
      <c r="N357" s="25">
        <v>950319.04470398603</v>
      </c>
      <c r="O357" s="17">
        <v>6.3789882408771198E-3</v>
      </c>
      <c r="P357" s="63">
        <v>4</v>
      </c>
      <c r="Q357" s="25">
        <v>955026.47436078102</v>
      </c>
      <c r="R357" s="66">
        <v>7.2785512222517347E-3</v>
      </c>
      <c r="S357" s="77">
        <f t="shared" si="5"/>
        <v>6.8376945286518819E-3</v>
      </c>
      <c r="V357" s="80"/>
    </row>
    <row r="358" spans="1:22" x14ac:dyDescent="0.25">
      <c r="A358" s="18" t="s">
        <v>1244</v>
      </c>
      <c r="B358" s="18" t="s">
        <v>1241</v>
      </c>
      <c r="C358" s="18" t="s">
        <v>1243</v>
      </c>
      <c r="D358" t="s">
        <v>1242</v>
      </c>
      <c r="E358" s="13" t="s">
        <v>1245</v>
      </c>
      <c r="F358" s="3" t="s">
        <v>495</v>
      </c>
      <c r="H358" t="s">
        <v>507</v>
      </c>
      <c r="I358" t="s">
        <v>17</v>
      </c>
      <c r="J358" s="63">
        <v>2</v>
      </c>
      <c r="K358" s="25">
        <v>576220.57797572506</v>
      </c>
      <c r="L358" s="17">
        <v>7.300193284338845E-3</v>
      </c>
      <c r="M358" s="63">
        <v>1</v>
      </c>
      <c r="N358" s="25">
        <v>483368.41008480301</v>
      </c>
      <c r="O358" s="17">
        <v>5.6163767614482701E-3</v>
      </c>
      <c r="P358" s="63">
        <v>2</v>
      </c>
      <c r="Q358" s="25">
        <v>554192.18156160705</v>
      </c>
      <c r="R358" s="66">
        <v>7.3111471847723411E-3</v>
      </c>
      <c r="S358" s="77">
        <f t="shared" si="5"/>
        <v>6.7425724101864851E-3</v>
      </c>
      <c r="V358" s="80"/>
    </row>
    <row r="359" spans="1:22" x14ac:dyDescent="0.25">
      <c r="A359" s="18" t="s">
        <v>1800</v>
      </c>
      <c r="B359" s="18" t="s">
        <v>1797</v>
      </c>
      <c r="C359" s="18" t="s">
        <v>1799</v>
      </c>
      <c r="D359" t="s">
        <v>1798</v>
      </c>
      <c r="E359" s="13" t="s">
        <v>1801</v>
      </c>
      <c r="F359" s="3" t="s">
        <v>495</v>
      </c>
      <c r="H359" t="s">
        <v>496</v>
      </c>
      <c r="I359" t="s">
        <v>172</v>
      </c>
      <c r="J359" s="63">
        <v>1</v>
      </c>
      <c r="K359" s="25">
        <v>379005.94239111699</v>
      </c>
      <c r="L359" s="17">
        <v>6.1047156591391852E-3</v>
      </c>
      <c r="M359" s="63">
        <v>1</v>
      </c>
      <c r="N359" s="25">
        <v>454860.70627132402</v>
      </c>
      <c r="O359" s="17">
        <v>6.7193956966754243E-3</v>
      </c>
      <c r="P359" s="63">
        <v>4</v>
      </c>
      <c r="Q359" s="25">
        <v>423983.309480856</v>
      </c>
      <c r="R359" s="66">
        <v>7.1112790193343014E-3</v>
      </c>
      <c r="S359" s="77">
        <f t="shared" si="5"/>
        <v>6.6451301250496364E-3</v>
      </c>
      <c r="V359" s="80"/>
    </row>
    <row r="360" spans="1:22" x14ac:dyDescent="0.25">
      <c r="A360" s="18" t="s">
        <v>1559</v>
      </c>
      <c r="B360" s="18" t="s">
        <v>1556</v>
      </c>
      <c r="C360" s="18" t="s">
        <v>1558</v>
      </c>
      <c r="D360" t="s">
        <v>1557</v>
      </c>
      <c r="E360" s="13" t="s">
        <v>1560</v>
      </c>
      <c r="F360" s="3" t="s">
        <v>495</v>
      </c>
      <c r="H360" t="s">
        <v>1411</v>
      </c>
      <c r="I360" t="s">
        <v>243</v>
      </c>
      <c r="J360" s="63">
        <v>2</v>
      </c>
      <c r="K360" s="25">
        <v>603598.19383546396</v>
      </c>
      <c r="L360" s="17">
        <v>7.5586377822278658E-3</v>
      </c>
      <c r="M360" s="63">
        <v>2</v>
      </c>
      <c r="N360" s="25">
        <v>585032.92355949502</v>
      </c>
      <c r="O360" s="17">
        <v>6.7190563607350132E-3</v>
      </c>
      <c r="P360" s="63">
        <v>3</v>
      </c>
      <c r="Q360" s="25">
        <v>431284.13632199902</v>
      </c>
      <c r="R360" s="66">
        <v>5.6239133896645779E-3</v>
      </c>
      <c r="S360" s="77">
        <f t="shared" si="5"/>
        <v>6.6338691775424856E-3</v>
      </c>
      <c r="V360" s="80"/>
    </row>
    <row r="361" spans="1:22" x14ac:dyDescent="0.25">
      <c r="A361" s="18" t="s">
        <v>1692</v>
      </c>
      <c r="B361" s="18" t="s">
        <v>1689</v>
      </c>
      <c r="C361" s="18" t="s">
        <v>1691</v>
      </c>
      <c r="D361" t="s">
        <v>1690</v>
      </c>
      <c r="E361" s="13" t="s">
        <v>567</v>
      </c>
      <c r="F361" s="3" t="s">
        <v>495</v>
      </c>
      <c r="H361" t="s">
        <v>563</v>
      </c>
      <c r="I361" t="s">
        <v>553</v>
      </c>
      <c r="J361" s="63">
        <v>3</v>
      </c>
      <c r="K361" s="25">
        <v>1149663.7398502701</v>
      </c>
      <c r="L361" s="17">
        <v>6.5285689819836934E-3</v>
      </c>
      <c r="M361" s="63">
        <v>2</v>
      </c>
      <c r="N361" s="25">
        <v>1266690.0381227101</v>
      </c>
      <c r="O361" s="17">
        <v>6.5970517766673906E-3</v>
      </c>
      <c r="P361" s="63">
        <v>2</v>
      </c>
      <c r="Q361" s="25">
        <v>1129030.0541306201</v>
      </c>
      <c r="R361" s="66">
        <v>6.6762440406995232E-3</v>
      </c>
      <c r="S361" s="77">
        <f t="shared" si="5"/>
        <v>6.6006215997835363E-3</v>
      </c>
      <c r="V361" s="80"/>
    </row>
    <row r="362" spans="1:22" x14ac:dyDescent="0.25">
      <c r="A362" s="18" t="s">
        <v>527</v>
      </c>
      <c r="B362" s="18" t="s">
        <v>8103</v>
      </c>
      <c r="C362" s="18" t="s">
        <v>529</v>
      </c>
      <c r="D362" t="s">
        <v>528</v>
      </c>
      <c r="E362" s="13" t="s">
        <v>530</v>
      </c>
      <c r="F362" s="3" t="s">
        <v>495</v>
      </c>
      <c r="G362" t="s">
        <v>531</v>
      </c>
      <c r="H362" t="s">
        <v>507</v>
      </c>
      <c r="I362" t="s">
        <v>17</v>
      </c>
      <c r="J362" s="63">
        <v>3</v>
      </c>
      <c r="K362" s="25">
        <v>515143.752244075</v>
      </c>
      <c r="L362" s="17">
        <v>6.5841609704860218E-3</v>
      </c>
      <c r="M362" s="63">
        <v>2</v>
      </c>
      <c r="N362" s="25">
        <v>538413.22553261404</v>
      </c>
      <c r="O362" s="17">
        <v>6.3113184897664555E-3</v>
      </c>
      <c r="P362" s="63">
        <v>3</v>
      </c>
      <c r="Q362" s="25">
        <v>509781.27622457698</v>
      </c>
      <c r="R362" s="66">
        <v>6.7847745404167213E-3</v>
      </c>
      <c r="S362" s="77">
        <f t="shared" si="5"/>
        <v>6.5600846668897326E-3</v>
      </c>
      <c r="V362" s="80"/>
    </row>
    <row r="363" spans="1:22" x14ac:dyDescent="0.25">
      <c r="A363" s="18" t="s">
        <v>818</v>
      </c>
      <c r="B363" s="18" t="s">
        <v>815</v>
      </c>
      <c r="C363" s="18" t="s">
        <v>817</v>
      </c>
      <c r="D363" t="s">
        <v>816</v>
      </c>
      <c r="E363" s="13" t="s">
        <v>819</v>
      </c>
      <c r="F363" s="3" t="s">
        <v>495</v>
      </c>
      <c r="H363" t="s">
        <v>626</v>
      </c>
      <c r="I363" t="s">
        <v>243</v>
      </c>
      <c r="J363" s="63">
        <v>3</v>
      </c>
      <c r="K363" s="25">
        <v>701091.93368152704</v>
      </c>
      <c r="L363" s="17">
        <v>5.5031023978496284E-3</v>
      </c>
      <c r="M363" s="63">
        <v>1</v>
      </c>
      <c r="N363" s="25">
        <v>935425.93047553196</v>
      </c>
      <c r="O363" s="17">
        <v>6.7340200077334435E-3</v>
      </c>
      <c r="P363" s="63">
        <v>1</v>
      </c>
      <c r="Q363" s="25">
        <v>880210.54421627801</v>
      </c>
      <c r="R363" s="66">
        <v>7.1944687008518721E-3</v>
      </c>
      <c r="S363" s="77">
        <f t="shared" si="5"/>
        <v>6.4771970354783144E-3</v>
      </c>
      <c r="V363" s="80"/>
    </row>
    <row r="364" spans="1:22" x14ac:dyDescent="0.25">
      <c r="A364" s="18" t="s">
        <v>1165</v>
      </c>
      <c r="B364" s="18" t="s">
        <v>1162</v>
      </c>
      <c r="C364" s="18" t="s">
        <v>1164</v>
      </c>
      <c r="D364" t="s">
        <v>1163</v>
      </c>
      <c r="E364" s="13" t="s">
        <v>1166</v>
      </c>
      <c r="F364" s="3" t="s">
        <v>495</v>
      </c>
      <c r="G364" t="s">
        <v>1167</v>
      </c>
      <c r="H364" t="s">
        <v>501</v>
      </c>
      <c r="J364" s="63">
        <v>2</v>
      </c>
      <c r="K364" s="25">
        <v>330391.75630984502</v>
      </c>
      <c r="L364" s="17">
        <v>5.7956740219663972E-3</v>
      </c>
      <c r="M364" s="63">
        <v>2</v>
      </c>
      <c r="N364" s="25">
        <v>422791.23447856802</v>
      </c>
      <c r="O364" s="17">
        <v>6.801944703221232E-3</v>
      </c>
      <c r="P364" s="63">
        <v>2</v>
      </c>
      <c r="Q364" s="25">
        <v>366044.37063313997</v>
      </c>
      <c r="R364" s="66">
        <v>6.6863332390848865E-3</v>
      </c>
      <c r="S364" s="77">
        <f t="shared" si="5"/>
        <v>6.4279839880908391E-3</v>
      </c>
      <c r="V364" s="80"/>
    </row>
    <row r="365" spans="1:22" x14ac:dyDescent="0.25">
      <c r="A365" s="18" t="s">
        <v>1403</v>
      </c>
      <c r="B365" s="18" t="s">
        <v>1400</v>
      </c>
      <c r="C365" s="18" t="s">
        <v>1402</v>
      </c>
      <c r="D365" t="s">
        <v>1401</v>
      </c>
      <c r="E365" s="13" t="s">
        <v>1404</v>
      </c>
      <c r="F365" s="3" t="s">
        <v>495</v>
      </c>
      <c r="G365" t="s">
        <v>1405</v>
      </c>
      <c r="H365" t="s">
        <v>507</v>
      </c>
      <c r="I365" t="s">
        <v>17</v>
      </c>
      <c r="J365" s="63">
        <v>1</v>
      </c>
      <c r="K365" s="25">
        <v>379622.18193010398</v>
      </c>
      <c r="L365" s="17">
        <v>6.0919947177300237E-3</v>
      </c>
      <c r="M365" s="63">
        <v>1</v>
      </c>
      <c r="N365" s="25">
        <v>488698.58963073802</v>
      </c>
      <c r="O365" s="17">
        <v>7.1925252806361766E-3</v>
      </c>
      <c r="P365" s="63">
        <v>1</v>
      </c>
      <c r="Q365" s="25">
        <v>339318.72447531298</v>
      </c>
      <c r="R365" s="66">
        <v>5.6701598199813278E-3</v>
      </c>
      <c r="S365" s="77">
        <f t="shared" si="5"/>
        <v>6.3182266061158421E-3</v>
      </c>
      <c r="V365" s="80"/>
    </row>
    <row r="366" spans="1:22" x14ac:dyDescent="0.25">
      <c r="A366" s="18" t="s">
        <v>646</v>
      </c>
      <c r="B366" s="18" t="s">
        <v>643</v>
      </c>
      <c r="C366" s="18" t="s">
        <v>645</v>
      </c>
      <c r="D366" t="s">
        <v>644</v>
      </c>
      <c r="E366" s="13" t="s">
        <v>647</v>
      </c>
      <c r="F366" s="3" t="s">
        <v>495</v>
      </c>
      <c r="H366" t="s">
        <v>496</v>
      </c>
      <c r="I366" t="s">
        <v>172</v>
      </c>
      <c r="J366" s="63">
        <v>3</v>
      </c>
      <c r="K366" s="25">
        <v>434465.34202059801</v>
      </c>
      <c r="L366" s="17">
        <v>6.4247941683618958E-3</v>
      </c>
      <c r="M366" s="63">
        <v>3</v>
      </c>
      <c r="N366" s="25">
        <v>484564.98808686202</v>
      </c>
      <c r="O366" s="17">
        <v>6.5718627745736348E-3</v>
      </c>
      <c r="P366" s="63">
        <v>2</v>
      </c>
      <c r="Q366" s="25">
        <v>357018.71933124401</v>
      </c>
      <c r="R366" s="66">
        <v>5.4976185848709773E-3</v>
      </c>
      <c r="S366" s="77">
        <f t="shared" si="5"/>
        <v>6.1647585092688357E-3</v>
      </c>
      <c r="V366" s="80"/>
    </row>
    <row r="367" spans="1:22" x14ac:dyDescent="0.25">
      <c r="A367" s="18" t="s">
        <v>1539</v>
      </c>
      <c r="B367" s="18" t="s">
        <v>1536</v>
      </c>
      <c r="C367" s="18" t="s">
        <v>1538</v>
      </c>
      <c r="D367" t="s">
        <v>1537</v>
      </c>
      <c r="E367" s="13" t="s">
        <v>1540</v>
      </c>
      <c r="F367" s="3" t="s">
        <v>495</v>
      </c>
      <c r="G367" t="s">
        <v>692</v>
      </c>
      <c r="H367" t="s">
        <v>507</v>
      </c>
      <c r="I367" t="s">
        <v>693</v>
      </c>
      <c r="J367" s="63">
        <v>2</v>
      </c>
      <c r="K367" s="25">
        <v>747373.14905326196</v>
      </c>
      <c r="L367" s="17">
        <v>5.5544445725838627E-3</v>
      </c>
      <c r="M367" s="63">
        <v>4</v>
      </c>
      <c r="N367" s="25">
        <v>734312.99081221398</v>
      </c>
      <c r="O367" s="17">
        <v>5.0051457907295954E-3</v>
      </c>
      <c r="P367" s="63">
        <v>5</v>
      </c>
      <c r="Q367" s="25">
        <v>996841.11302897194</v>
      </c>
      <c r="R367" s="66">
        <v>7.714514953488215E-3</v>
      </c>
      <c r="S367" s="77">
        <f t="shared" si="5"/>
        <v>6.0913684389338916E-3</v>
      </c>
      <c r="V367" s="80"/>
    </row>
    <row r="368" spans="1:22" x14ac:dyDescent="0.25">
      <c r="A368" s="18" t="s">
        <v>1533</v>
      </c>
      <c r="B368" s="18" t="s">
        <v>1530</v>
      </c>
      <c r="C368" s="18" t="s">
        <v>1532</v>
      </c>
      <c r="D368" t="s">
        <v>1531</v>
      </c>
      <c r="E368" s="13" t="s">
        <v>1534</v>
      </c>
      <c r="F368" s="3" t="s">
        <v>495</v>
      </c>
      <c r="G368" t="s">
        <v>1535</v>
      </c>
      <c r="H368" t="s">
        <v>558</v>
      </c>
      <c r="I368" t="s">
        <v>12</v>
      </c>
      <c r="J368" s="63">
        <v>2</v>
      </c>
      <c r="K368" s="25">
        <v>441931.84699094598</v>
      </c>
      <c r="L368" s="17">
        <v>5.7158680355254669E-3</v>
      </c>
      <c r="M368" s="63">
        <v>2</v>
      </c>
      <c r="N368" s="25">
        <v>559961.72054518806</v>
      </c>
      <c r="O368" s="17">
        <v>6.6422865581995975E-3</v>
      </c>
      <c r="P368" s="63">
        <v>2</v>
      </c>
      <c r="Q368" s="25">
        <v>429461.69920576899</v>
      </c>
      <c r="R368" s="66">
        <v>5.7840344315310275E-3</v>
      </c>
      <c r="S368" s="77">
        <f t="shared" si="5"/>
        <v>6.0473963417520303E-3</v>
      </c>
      <c r="V368" s="80"/>
    </row>
    <row r="369" spans="1:22" x14ac:dyDescent="0.25">
      <c r="A369" s="18" t="s">
        <v>1283</v>
      </c>
      <c r="B369" s="18" t="s">
        <v>1280</v>
      </c>
      <c r="C369" s="18" t="s">
        <v>1282</v>
      </c>
      <c r="D369" t="s">
        <v>1281</v>
      </c>
      <c r="E369" s="13" t="s">
        <v>1284</v>
      </c>
      <c r="F369" s="3" t="s">
        <v>495</v>
      </c>
      <c r="G369" t="s">
        <v>506</v>
      </c>
      <c r="H369" t="s">
        <v>507</v>
      </c>
      <c r="I369" t="s">
        <v>17</v>
      </c>
      <c r="J369" s="63">
        <v>2</v>
      </c>
      <c r="K369" s="25">
        <v>723471.93881720502</v>
      </c>
      <c r="L369" s="17">
        <v>6.741250091991286E-3</v>
      </c>
      <c r="M369" s="63">
        <v>2</v>
      </c>
      <c r="N369" s="25">
        <v>623250.01989754802</v>
      </c>
      <c r="O369" s="17">
        <v>5.3261503728696778E-3</v>
      </c>
      <c r="P369" s="63">
        <v>3</v>
      </c>
      <c r="Q369" s="25">
        <v>600033.65425637795</v>
      </c>
      <c r="R369" s="66">
        <v>5.8220227091910562E-3</v>
      </c>
      <c r="S369" s="77">
        <f t="shared" si="5"/>
        <v>5.96314105801734E-3</v>
      </c>
      <c r="V369" s="80"/>
    </row>
    <row r="370" spans="1:22" x14ac:dyDescent="0.25">
      <c r="A370" s="18" t="s">
        <v>1307</v>
      </c>
      <c r="B370" s="18" t="s">
        <v>1304</v>
      </c>
      <c r="C370" s="18" t="s">
        <v>1306</v>
      </c>
      <c r="D370" t="s">
        <v>1305</v>
      </c>
      <c r="E370" s="13" t="s">
        <v>1308</v>
      </c>
      <c r="F370" s="3" t="s">
        <v>495</v>
      </c>
      <c r="H370" t="s">
        <v>512</v>
      </c>
      <c r="I370" t="s">
        <v>1055</v>
      </c>
      <c r="J370" s="63">
        <v>2</v>
      </c>
      <c r="K370" s="25">
        <v>672696.06194172497</v>
      </c>
      <c r="L370" s="17">
        <v>5.7602332491254824E-3</v>
      </c>
      <c r="M370" s="63">
        <v>3</v>
      </c>
      <c r="N370" s="25">
        <v>594395.58895588899</v>
      </c>
      <c r="O370" s="17">
        <v>4.6679816111373871E-3</v>
      </c>
      <c r="P370" s="63">
        <v>0</v>
      </c>
      <c r="Q370" s="25">
        <v>789475.80853606202</v>
      </c>
      <c r="R370" s="66">
        <v>7.0394632886380849E-3</v>
      </c>
      <c r="S370" s="77">
        <f t="shared" si="5"/>
        <v>5.8225593829669851E-3</v>
      </c>
      <c r="V370" s="80"/>
    </row>
    <row r="371" spans="1:22" x14ac:dyDescent="0.25">
      <c r="A371" s="18" t="s">
        <v>554</v>
      </c>
      <c r="B371" s="18" t="s">
        <v>8108</v>
      </c>
      <c r="C371" s="18" t="s">
        <v>556</v>
      </c>
      <c r="D371" t="s">
        <v>555</v>
      </c>
      <c r="E371" s="13" t="s">
        <v>557</v>
      </c>
      <c r="F371" s="3" t="s">
        <v>495</v>
      </c>
      <c r="H371" t="s">
        <v>558</v>
      </c>
      <c r="I371" t="s">
        <v>553</v>
      </c>
      <c r="J371" s="63">
        <v>3</v>
      </c>
      <c r="K371" s="25">
        <v>1035743.21247594</v>
      </c>
      <c r="L371" s="17">
        <v>5.6378138141160161E-3</v>
      </c>
      <c r="M371" s="63">
        <v>1</v>
      </c>
      <c r="N371" s="25">
        <v>879379.39285650803</v>
      </c>
      <c r="O371" s="17">
        <v>4.3900280185657399E-3</v>
      </c>
      <c r="P371" s="63">
        <v>5</v>
      </c>
      <c r="Q371" s="25">
        <v>1175992.28272221</v>
      </c>
      <c r="R371" s="66">
        <v>6.665652095948927E-3</v>
      </c>
      <c r="S371" s="77">
        <f t="shared" si="5"/>
        <v>5.564497976210228E-3</v>
      </c>
      <c r="V371" s="80"/>
    </row>
    <row r="372" spans="1:22" x14ac:dyDescent="0.25">
      <c r="A372" s="18" t="s">
        <v>508</v>
      </c>
      <c r="B372" s="18" t="s">
        <v>8099</v>
      </c>
      <c r="C372" s="18" t="s">
        <v>510</v>
      </c>
      <c r="D372" t="s">
        <v>509</v>
      </c>
      <c r="E372" s="13" t="s">
        <v>511</v>
      </c>
      <c r="F372" s="3" t="s">
        <v>495</v>
      </c>
      <c r="H372" t="s">
        <v>512</v>
      </c>
      <c r="I372" t="s">
        <v>243</v>
      </c>
      <c r="J372" s="63">
        <v>2</v>
      </c>
      <c r="K372" s="25">
        <v>470724.39072057401</v>
      </c>
      <c r="L372" s="17">
        <v>5.6497756342333352E-3</v>
      </c>
      <c r="M372" s="63">
        <v>2</v>
      </c>
      <c r="N372" s="25">
        <v>549812.80279030697</v>
      </c>
      <c r="O372" s="17">
        <v>6.0521784122924563E-3</v>
      </c>
      <c r="P372" s="63">
        <v>2</v>
      </c>
      <c r="Q372" s="25">
        <v>378694.50361623999</v>
      </c>
      <c r="R372" s="66">
        <v>4.7329622267417767E-3</v>
      </c>
      <c r="S372" s="77">
        <f t="shared" si="5"/>
        <v>5.4783054244225233E-3</v>
      </c>
      <c r="V372" s="80"/>
    </row>
    <row r="373" spans="1:22" x14ac:dyDescent="0.25">
      <c r="A373" s="18" t="s">
        <v>1507</v>
      </c>
      <c r="B373" s="18" t="s">
        <v>1504</v>
      </c>
      <c r="C373" s="18" t="s">
        <v>1506</v>
      </c>
      <c r="D373" t="s">
        <v>1505</v>
      </c>
      <c r="E373" s="13" t="s">
        <v>1508</v>
      </c>
      <c r="F373" s="3" t="s">
        <v>495</v>
      </c>
      <c r="H373" t="s">
        <v>563</v>
      </c>
      <c r="I373" t="s">
        <v>716</v>
      </c>
      <c r="J373" s="63">
        <v>3</v>
      </c>
      <c r="K373" s="25">
        <v>450217.99255617399</v>
      </c>
      <c r="L373" s="17">
        <v>6.2323266972917389E-3</v>
      </c>
      <c r="M373" s="63">
        <v>2</v>
      </c>
      <c r="N373" s="25">
        <v>403461.82094403502</v>
      </c>
      <c r="O373" s="17">
        <v>5.1222666438380396E-3</v>
      </c>
      <c r="P373" s="63">
        <v>1</v>
      </c>
      <c r="Q373" s="25">
        <v>301770.94885635399</v>
      </c>
      <c r="R373" s="66">
        <v>4.3499506446884285E-3</v>
      </c>
      <c r="S373" s="77">
        <f t="shared" si="5"/>
        <v>5.2348479952727357E-3</v>
      </c>
      <c r="V373" s="80"/>
    </row>
    <row r="374" spans="1:22" x14ac:dyDescent="0.25">
      <c r="A374" s="18" t="s">
        <v>918</v>
      </c>
      <c r="B374" s="18" t="s">
        <v>915</v>
      </c>
      <c r="C374" s="18" t="s">
        <v>917</v>
      </c>
      <c r="D374" t="s">
        <v>916</v>
      </c>
      <c r="E374" s="13" t="s">
        <v>919</v>
      </c>
      <c r="F374" s="3" t="s">
        <v>495</v>
      </c>
      <c r="G374" t="s">
        <v>920</v>
      </c>
      <c r="H374" t="s">
        <v>507</v>
      </c>
      <c r="I374" t="s">
        <v>243</v>
      </c>
      <c r="J374" s="63">
        <v>2</v>
      </c>
      <c r="K374" s="25">
        <v>544851.94822669402</v>
      </c>
      <c r="L374" s="17">
        <v>5.4145668510877246E-3</v>
      </c>
      <c r="M374" s="63">
        <v>0</v>
      </c>
      <c r="N374" s="25">
        <v>523055.80756769603</v>
      </c>
      <c r="O374" s="17">
        <v>4.7672246140169523E-3</v>
      </c>
      <c r="P374" s="63">
        <v>0</v>
      </c>
      <c r="Q374" s="25">
        <v>504642.58667685802</v>
      </c>
      <c r="R374" s="66">
        <v>5.2221416399876484E-3</v>
      </c>
      <c r="S374" s="77">
        <f t="shared" si="5"/>
        <v>5.1346443683641082E-3</v>
      </c>
      <c r="V374" s="80"/>
    </row>
    <row r="375" spans="1:22" x14ac:dyDescent="0.25">
      <c r="A375" s="18" t="s">
        <v>1767</v>
      </c>
      <c r="B375" s="18" t="s">
        <v>1764</v>
      </c>
      <c r="C375" s="18" t="s">
        <v>1766</v>
      </c>
      <c r="D375" t="s">
        <v>1765</v>
      </c>
      <c r="E375" s="13" t="s">
        <v>1768</v>
      </c>
      <c r="F375" s="3" t="s">
        <v>495</v>
      </c>
      <c r="G375" t="s">
        <v>920</v>
      </c>
      <c r="H375" t="s">
        <v>507</v>
      </c>
      <c r="I375" t="s">
        <v>17</v>
      </c>
      <c r="J375" s="63">
        <v>2</v>
      </c>
      <c r="K375" s="25">
        <v>468844.41629774601</v>
      </c>
      <c r="L375" s="17">
        <v>5.4755347531343012E-3</v>
      </c>
      <c r="M375" s="63">
        <v>1</v>
      </c>
      <c r="N375" s="25">
        <v>426042.40836732398</v>
      </c>
      <c r="O375" s="17">
        <v>4.5633417765061921E-3</v>
      </c>
      <c r="P375" s="63">
        <v>1</v>
      </c>
      <c r="Q375" s="25">
        <v>424268.071225219</v>
      </c>
      <c r="R375" s="66">
        <v>5.1596195374036076E-3</v>
      </c>
      <c r="S375" s="77">
        <f t="shared" si="5"/>
        <v>5.0661653556813672E-3</v>
      </c>
      <c r="V375" s="80"/>
    </row>
    <row r="376" spans="1:22" x14ac:dyDescent="0.25">
      <c r="A376" s="18" t="s">
        <v>966</v>
      </c>
      <c r="B376" s="18" t="s">
        <v>963</v>
      </c>
      <c r="C376" s="18" t="s">
        <v>965</v>
      </c>
      <c r="D376" t="s">
        <v>964</v>
      </c>
      <c r="E376" s="13" t="s">
        <v>967</v>
      </c>
      <c r="F376" s="3" t="s">
        <v>495</v>
      </c>
      <c r="H376" t="s">
        <v>541</v>
      </c>
      <c r="I376" t="s">
        <v>547</v>
      </c>
      <c r="J376" s="63">
        <v>3</v>
      </c>
      <c r="K376" s="25">
        <v>431207.10385399399</v>
      </c>
      <c r="L376" s="17">
        <v>4.9822594602100968E-3</v>
      </c>
      <c r="M376" s="63">
        <v>0</v>
      </c>
      <c r="N376" s="25">
        <v>372874.29158605798</v>
      </c>
      <c r="O376" s="17">
        <v>3.9512567346390529E-3</v>
      </c>
      <c r="P376" s="63">
        <v>0</v>
      </c>
      <c r="Q376" s="25">
        <v>481823.82182230899</v>
      </c>
      <c r="R376" s="66">
        <v>5.7970659205514464E-3</v>
      </c>
      <c r="S376" s="77">
        <f t="shared" si="5"/>
        <v>4.9101940384668656E-3</v>
      </c>
      <c r="V376" s="80"/>
    </row>
    <row r="377" spans="1:22" x14ac:dyDescent="0.25">
      <c r="A377" s="18" t="s">
        <v>1716</v>
      </c>
      <c r="B377" s="18" t="s">
        <v>1713</v>
      </c>
      <c r="C377" s="18" t="s">
        <v>1715</v>
      </c>
      <c r="D377" t="s">
        <v>1714</v>
      </c>
      <c r="E377" s="13" t="s">
        <v>1717</v>
      </c>
      <c r="F377" s="3" t="s">
        <v>495</v>
      </c>
      <c r="G377" t="s">
        <v>1718</v>
      </c>
      <c r="H377" t="s">
        <v>507</v>
      </c>
      <c r="I377" t="s">
        <v>17</v>
      </c>
      <c r="J377" s="63">
        <v>2</v>
      </c>
      <c r="K377" s="25">
        <v>481365.16513895098</v>
      </c>
      <c r="L377" s="17">
        <v>5.0623147477048226E-3</v>
      </c>
      <c r="M377" s="63">
        <v>2</v>
      </c>
      <c r="N377" s="25">
        <v>527343.80892147799</v>
      </c>
      <c r="O377" s="17">
        <v>5.0862852324544024E-3</v>
      </c>
      <c r="P377" s="63">
        <v>1</v>
      </c>
      <c r="Q377" s="25">
        <v>393664.46072253899</v>
      </c>
      <c r="R377" s="66">
        <v>4.3110219267954554E-3</v>
      </c>
      <c r="S377" s="77">
        <f t="shared" si="5"/>
        <v>4.8198739689848938E-3</v>
      </c>
      <c r="V377" s="80"/>
    </row>
    <row r="378" spans="1:22" x14ac:dyDescent="0.25">
      <c r="A378" s="18" t="s">
        <v>1214</v>
      </c>
      <c r="B378" s="18" t="s">
        <v>1211</v>
      </c>
      <c r="C378" s="18" t="s">
        <v>1213</v>
      </c>
      <c r="D378" t="s">
        <v>1212</v>
      </c>
      <c r="E378" s="13" t="s">
        <v>1215</v>
      </c>
      <c r="F378" s="3" t="s">
        <v>495</v>
      </c>
      <c r="H378" t="s">
        <v>541</v>
      </c>
      <c r="I378" t="s">
        <v>547</v>
      </c>
      <c r="J378" s="63">
        <v>1</v>
      </c>
      <c r="K378" s="25">
        <v>619663.30002883601</v>
      </c>
      <c r="L378" s="17">
        <v>4.2753121894611428E-3</v>
      </c>
      <c r="M378" s="63">
        <v>1</v>
      </c>
      <c r="N378" s="25">
        <v>834092.74598759296</v>
      </c>
      <c r="O378" s="17">
        <v>5.2778710591506791E-3</v>
      </c>
      <c r="P378" s="63">
        <v>0</v>
      </c>
      <c r="Q378" s="25">
        <v>668947.12368999398</v>
      </c>
      <c r="R378" s="66">
        <v>4.8059957842012668E-3</v>
      </c>
      <c r="S378" s="77">
        <f t="shared" si="5"/>
        <v>4.786393010937696E-3</v>
      </c>
      <c r="V378" s="80"/>
    </row>
    <row r="379" spans="1:22" x14ac:dyDescent="0.25">
      <c r="A379" s="18" t="s">
        <v>543</v>
      </c>
      <c r="B379" s="18" t="s">
        <v>8106</v>
      </c>
      <c r="C379" s="18" t="s">
        <v>545</v>
      </c>
      <c r="D379" t="s">
        <v>544</v>
      </c>
      <c r="E379" s="13" t="s">
        <v>546</v>
      </c>
      <c r="F379" s="3" t="s">
        <v>495</v>
      </c>
      <c r="H379" t="s">
        <v>541</v>
      </c>
      <c r="I379" t="s">
        <v>547</v>
      </c>
      <c r="J379" s="63">
        <v>0</v>
      </c>
      <c r="K379" s="25">
        <v>202475.375943219</v>
      </c>
      <c r="L379" s="17">
        <v>4.0058972022340347E-3</v>
      </c>
      <c r="M379" s="63">
        <v>1</v>
      </c>
      <c r="N379" s="25">
        <v>258955.32981850201</v>
      </c>
      <c r="O379" s="17">
        <v>4.6987767893155235E-3</v>
      </c>
      <c r="P379" s="63">
        <v>1</v>
      </c>
      <c r="Q379" s="25">
        <v>252083.95476228901</v>
      </c>
      <c r="R379" s="66">
        <v>5.1934066204609207E-3</v>
      </c>
      <c r="S379" s="77">
        <f t="shared" si="5"/>
        <v>4.6326935373368254E-3</v>
      </c>
      <c r="V379" s="80"/>
    </row>
    <row r="380" spans="1:22" x14ac:dyDescent="0.25">
      <c r="A380" s="18" t="s">
        <v>1048</v>
      </c>
      <c r="B380" s="18" t="s">
        <v>1045</v>
      </c>
      <c r="C380" s="18" t="s">
        <v>1047</v>
      </c>
      <c r="D380" t="s">
        <v>1046</v>
      </c>
      <c r="E380" s="13" t="s">
        <v>1049</v>
      </c>
      <c r="F380" s="3" t="s">
        <v>495</v>
      </c>
      <c r="H380" t="s">
        <v>563</v>
      </c>
      <c r="I380" t="s">
        <v>716</v>
      </c>
      <c r="J380" s="63">
        <v>1</v>
      </c>
      <c r="K380" s="25">
        <v>454042.41057719901</v>
      </c>
      <c r="L380" s="17">
        <v>4.6840209794128665E-3</v>
      </c>
      <c r="M380" s="63">
        <v>2</v>
      </c>
      <c r="N380" s="25">
        <v>515479.601316916</v>
      </c>
      <c r="O380" s="17">
        <v>4.8771517549923184E-3</v>
      </c>
      <c r="P380" s="63">
        <v>2</v>
      </c>
      <c r="Q380" s="25">
        <v>388725.98423100798</v>
      </c>
      <c r="R380" s="66">
        <v>4.1758560567835392E-3</v>
      </c>
      <c r="S380" s="77">
        <f t="shared" si="5"/>
        <v>4.579009597062908E-3</v>
      </c>
      <c r="V380" s="80"/>
    </row>
    <row r="381" spans="1:22" x14ac:dyDescent="0.25">
      <c r="A381" s="18" t="s">
        <v>1700</v>
      </c>
      <c r="B381" s="18" t="s">
        <v>1697</v>
      </c>
      <c r="C381" s="18" t="s">
        <v>1699</v>
      </c>
      <c r="D381" t="s">
        <v>1698</v>
      </c>
      <c r="E381" s="13" t="s">
        <v>1701</v>
      </c>
      <c r="F381" s="3" t="s">
        <v>495</v>
      </c>
      <c r="H381" t="s">
        <v>507</v>
      </c>
      <c r="I381" t="s">
        <v>17</v>
      </c>
      <c r="J381" s="63">
        <v>2</v>
      </c>
      <c r="K381" s="25">
        <v>501003.37499932002</v>
      </c>
      <c r="L381" s="17">
        <v>5.3999072412547451E-3</v>
      </c>
      <c r="M381" s="63">
        <v>2</v>
      </c>
      <c r="N381" s="25">
        <v>424183.04890452599</v>
      </c>
      <c r="O381" s="17">
        <v>4.193062460905725E-3</v>
      </c>
      <c r="P381" s="63">
        <v>1</v>
      </c>
      <c r="Q381" s="25">
        <v>333380.81154766103</v>
      </c>
      <c r="R381" s="66">
        <v>3.741672610870635E-3</v>
      </c>
      <c r="S381" s="77">
        <f t="shared" si="5"/>
        <v>4.4448807710103684E-3</v>
      </c>
      <c r="V381" s="80"/>
    </row>
    <row r="382" spans="1:22" x14ac:dyDescent="0.25">
      <c r="A382" s="18" t="s">
        <v>827</v>
      </c>
      <c r="B382" s="18" t="s">
        <v>824</v>
      </c>
      <c r="C382" s="18" t="s">
        <v>826</v>
      </c>
      <c r="D382" t="s">
        <v>825</v>
      </c>
      <c r="E382" s="13" t="s">
        <v>828</v>
      </c>
      <c r="F382" s="3" t="s">
        <v>495</v>
      </c>
      <c r="H382" t="s">
        <v>496</v>
      </c>
      <c r="I382" t="s">
        <v>172</v>
      </c>
      <c r="J382" s="63">
        <v>1</v>
      </c>
      <c r="K382" s="25">
        <v>340231.66811830999</v>
      </c>
      <c r="L382" s="17">
        <v>3.381115031118881E-3</v>
      </c>
      <c r="M382" s="63">
        <v>2</v>
      </c>
      <c r="N382" s="25">
        <v>540191.12677663704</v>
      </c>
      <c r="O382" s="17">
        <v>4.9233989921999739E-3</v>
      </c>
      <c r="P382" s="63">
        <v>1</v>
      </c>
      <c r="Q382" s="25">
        <v>384082.68013912102</v>
      </c>
      <c r="R382" s="66">
        <v>3.9745638004128891E-3</v>
      </c>
      <c r="S382" s="77">
        <f t="shared" si="5"/>
        <v>4.0930259412439145E-3</v>
      </c>
      <c r="V382" s="80"/>
    </row>
    <row r="383" spans="1:22" x14ac:dyDescent="0.25">
      <c r="A383" s="18" t="s">
        <v>1722</v>
      </c>
      <c r="B383" s="18" t="s">
        <v>1719</v>
      </c>
      <c r="C383" s="18" t="s">
        <v>1721</v>
      </c>
      <c r="D383" t="s">
        <v>1720</v>
      </c>
      <c r="E383" s="13" t="s">
        <v>1723</v>
      </c>
      <c r="F383" s="3" t="s">
        <v>495</v>
      </c>
      <c r="H383" t="s">
        <v>563</v>
      </c>
      <c r="I383" t="s">
        <v>716</v>
      </c>
      <c r="J383" s="63">
        <v>1</v>
      </c>
      <c r="K383" s="25">
        <v>287121.03438599501</v>
      </c>
      <c r="L383" s="17">
        <v>4.2898164796431708E-3</v>
      </c>
      <c r="M383" s="63">
        <v>2</v>
      </c>
      <c r="N383" s="25">
        <v>309200.90487994201</v>
      </c>
      <c r="O383" s="17">
        <v>4.2368865371580407E-3</v>
      </c>
      <c r="P383" s="63">
        <v>1</v>
      </c>
      <c r="Q383" s="25">
        <v>230237.146299204</v>
      </c>
      <c r="R383" s="66">
        <v>3.5820251793885352E-3</v>
      </c>
      <c r="S383" s="77">
        <f t="shared" si="5"/>
        <v>4.0362427320632492E-3</v>
      </c>
      <c r="V383" s="80"/>
    </row>
    <row r="384" spans="1:22" x14ac:dyDescent="0.25">
      <c r="A384" s="18" t="s">
        <v>1883</v>
      </c>
      <c r="B384" s="18" t="s">
        <v>1880</v>
      </c>
      <c r="C384" s="18" t="s">
        <v>1882</v>
      </c>
      <c r="D384" t="s">
        <v>1881</v>
      </c>
      <c r="E384" s="13" t="s">
        <v>1884</v>
      </c>
      <c r="F384" s="3" t="s">
        <v>495</v>
      </c>
      <c r="H384" t="s">
        <v>563</v>
      </c>
      <c r="I384" t="s">
        <v>716</v>
      </c>
      <c r="J384" s="63">
        <v>3</v>
      </c>
      <c r="K384" s="25">
        <v>585833.851508828</v>
      </c>
      <c r="L384" s="17">
        <v>4.0743479745598884E-3</v>
      </c>
      <c r="M384" s="63">
        <v>2</v>
      </c>
      <c r="N384" s="25">
        <v>545800.38608158496</v>
      </c>
      <c r="O384" s="17">
        <v>3.4813674737943306E-3</v>
      </c>
      <c r="P384" s="63">
        <v>0</v>
      </c>
      <c r="Q384" s="25">
        <v>547960.68075468903</v>
      </c>
      <c r="R384" s="66">
        <v>3.9683739346832551E-3</v>
      </c>
      <c r="S384" s="77">
        <f t="shared" si="5"/>
        <v>3.841363127679158E-3</v>
      </c>
      <c r="V384" s="80"/>
    </row>
    <row r="385" spans="1:22" x14ac:dyDescent="0.25">
      <c r="A385" s="18" t="s">
        <v>537</v>
      </c>
      <c r="B385" s="18" t="s">
        <v>8105</v>
      </c>
      <c r="C385" s="18" t="s">
        <v>539</v>
      </c>
      <c r="D385" t="s">
        <v>538</v>
      </c>
      <c r="E385" s="13" t="s">
        <v>540</v>
      </c>
      <c r="F385" s="3" t="s">
        <v>495</v>
      </c>
      <c r="H385" t="s">
        <v>541</v>
      </c>
      <c r="I385" t="s">
        <v>542</v>
      </c>
      <c r="J385" s="63">
        <v>3</v>
      </c>
      <c r="K385" s="25">
        <v>508673.45942040498</v>
      </c>
      <c r="L385" s="17">
        <v>4.3643482907161357E-3</v>
      </c>
      <c r="M385" s="63">
        <v>0</v>
      </c>
      <c r="N385" s="25">
        <v>257639.99932614699</v>
      </c>
      <c r="O385" s="17">
        <v>2.027337187676032E-3</v>
      </c>
      <c r="P385" s="63">
        <v>2</v>
      </c>
      <c r="Q385" s="25">
        <v>496073.75358072598</v>
      </c>
      <c r="R385" s="66">
        <v>4.4320648898340349E-3</v>
      </c>
      <c r="S385" s="77">
        <f t="shared" si="5"/>
        <v>3.6079167894087342E-3</v>
      </c>
      <c r="V385" s="80"/>
    </row>
    <row r="386" spans="1:22" x14ac:dyDescent="0.25">
      <c r="A386" s="18" t="s">
        <v>568</v>
      </c>
      <c r="B386" s="18" t="s">
        <v>8111</v>
      </c>
      <c r="C386" s="18" t="s">
        <v>570</v>
      </c>
      <c r="D386" t="s">
        <v>569</v>
      </c>
      <c r="E386" s="13" t="s">
        <v>571</v>
      </c>
      <c r="F386" s="3" t="s">
        <v>495</v>
      </c>
      <c r="H386" t="s">
        <v>496</v>
      </c>
      <c r="I386" t="s">
        <v>572</v>
      </c>
      <c r="J386" s="63">
        <v>0</v>
      </c>
      <c r="K386" s="25">
        <v>480962.08123697998</v>
      </c>
      <c r="L386" s="17">
        <v>5.1076646613335474E-3</v>
      </c>
      <c r="M386" s="63">
        <v>1</v>
      </c>
      <c r="N386" s="25">
        <v>250451.785817739</v>
      </c>
      <c r="O386" s="17">
        <v>2.4393158918383021E-3</v>
      </c>
      <c r="P386" s="63">
        <v>1</v>
      </c>
      <c r="Q386" s="25">
        <v>286249.37101084401</v>
      </c>
      <c r="R386" s="66">
        <v>3.1654511552335666E-3</v>
      </c>
      <c r="S386" s="77">
        <f t="shared" si="5"/>
        <v>3.5708105694684717E-3</v>
      </c>
      <c r="V386" s="80"/>
    </row>
    <row r="387" spans="1:22" x14ac:dyDescent="0.25">
      <c r="A387" s="18" t="s">
        <v>865</v>
      </c>
      <c r="B387" s="18" t="s">
        <v>862</v>
      </c>
      <c r="C387" s="18" t="s">
        <v>864</v>
      </c>
      <c r="D387" t="s">
        <v>863</v>
      </c>
      <c r="E387" s="13" t="s">
        <v>866</v>
      </c>
      <c r="F387" s="3" t="s">
        <v>495</v>
      </c>
      <c r="H387" t="s">
        <v>507</v>
      </c>
      <c r="I387" t="s">
        <v>17</v>
      </c>
      <c r="J387" s="63">
        <v>2</v>
      </c>
      <c r="K387" s="25">
        <v>525131.30009642197</v>
      </c>
      <c r="L387" s="17">
        <v>3.8112310236061001E-3</v>
      </c>
      <c r="M387" s="63">
        <v>1</v>
      </c>
      <c r="N387" s="25">
        <v>614732.95779801696</v>
      </c>
      <c r="O387" s="17">
        <v>4.0918173742247148E-3</v>
      </c>
      <c r="P387" s="63">
        <v>0</v>
      </c>
      <c r="Q387" s="25">
        <v>322058.50550007098</v>
      </c>
      <c r="R387" s="66">
        <v>2.4339501585111637E-3</v>
      </c>
      <c r="S387" s="77">
        <f t="shared" si="5"/>
        <v>3.4456661854473259E-3</v>
      </c>
      <c r="V387" s="80"/>
    </row>
    <row r="388" spans="1:22" x14ac:dyDescent="0.25">
      <c r="A388" s="18" t="s">
        <v>1192</v>
      </c>
      <c r="B388" s="18" t="s">
        <v>8123</v>
      </c>
      <c r="C388" s="18" t="s">
        <v>1191</v>
      </c>
      <c r="D388" t="s">
        <v>1190</v>
      </c>
      <c r="E388" s="13" t="s">
        <v>1193</v>
      </c>
      <c r="F388" s="3" t="s">
        <v>495</v>
      </c>
      <c r="G388" t="s">
        <v>1194</v>
      </c>
      <c r="H388" t="s">
        <v>563</v>
      </c>
      <c r="I388" t="s">
        <v>1195</v>
      </c>
      <c r="J388" s="63">
        <v>4</v>
      </c>
      <c r="K388" s="25">
        <v>363988.95092019299</v>
      </c>
      <c r="L388" s="17">
        <v>3.5440504122014314E-3</v>
      </c>
      <c r="M388" s="63">
        <v>2</v>
      </c>
      <c r="N388" s="25">
        <v>369834.87299802899</v>
      </c>
      <c r="O388" s="17">
        <v>3.3025691855645494E-3</v>
      </c>
      <c r="P388" s="63">
        <v>3</v>
      </c>
      <c r="Q388" s="25">
        <v>306002.93571804499</v>
      </c>
      <c r="R388" s="66">
        <v>3.1025359361817897E-3</v>
      </c>
      <c r="S388" s="77">
        <f t="shared" si="5"/>
        <v>3.3163851779825903E-3</v>
      </c>
      <c r="V388" s="80"/>
    </row>
    <row r="389" spans="1:22" x14ac:dyDescent="0.25">
      <c r="A389" s="18" t="s">
        <v>765</v>
      </c>
      <c r="B389" s="18" t="s">
        <v>762</v>
      </c>
      <c r="C389" s="18" t="s">
        <v>764</v>
      </c>
      <c r="D389" t="s">
        <v>763</v>
      </c>
      <c r="E389" s="13" t="s">
        <v>766</v>
      </c>
      <c r="F389" s="3" t="s">
        <v>495</v>
      </c>
      <c r="H389" t="s">
        <v>552</v>
      </c>
      <c r="I389" t="s">
        <v>12</v>
      </c>
      <c r="J389" s="63">
        <v>2</v>
      </c>
      <c r="K389" s="25">
        <v>235587.82459342599</v>
      </c>
      <c r="L389" s="17">
        <v>3.5816214568610131E-3</v>
      </c>
      <c r="M389" s="63">
        <v>2</v>
      </c>
      <c r="N389" s="25">
        <v>261409.30434417899</v>
      </c>
      <c r="O389" s="17">
        <v>3.6448550087601066E-3</v>
      </c>
      <c r="P389" s="63">
        <v>0</v>
      </c>
      <c r="Q389" s="25">
        <v>163919.26780781001</v>
      </c>
      <c r="R389" s="66">
        <v>2.5949941552463975E-3</v>
      </c>
      <c r="S389" s="77">
        <f t="shared" ref="S389:S453" si="6">AVERAGE(L389,O389,R389)</f>
        <v>3.2738235402891727E-3</v>
      </c>
      <c r="V389" s="80"/>
    </row>
    <row r="390" spans="1:22" x14ac:dyDescent="0.25">
      <c r="A390" s="18" t="s">
        <v>1777</v>
      </c>
      <c r="B390" s="18" t="s">
        <v>1774</v>
      </c>
      <c r="C390" s="18" t="s">
        <v>1776</v>
      </c>
      <c r="D390" t="s">
        <v>1775</v>
      </c>
      <c r="E390" s="13" t="s">
        <v>1778</v>
      </c>
      <c r="F390" s="3" t="s">
        <v>495</v>
      </c>
      <c r="H390" t="s">
        <v>563</v>
      </c>
      <c r="I390" t="s">
        <v>716</v>
      </c>
      <c r="J390" s="63">
        <v>1</v>
      </c>
      <c r="K390" s="25">
        <v>579483.49363123195</v>
      </c>
      <c r="L390" s="17">
        <v>3.3036891628444513E-3</v>
      </c>
      <c r="M390" s="63">
        <v>1</v>
      </c>
      <c r="N390" s="25">
        <v>526387.84796556295</v>
      </c>
      <c r="O390" s="17">
        <v>2.7523035986914109E-3</v>
      </c>
      <c r="P390" s="63">
        <v>2</v>
      </c>
      <c r="Q390" s="25">
        <v>622828.86332081095</v>
      </c>
      <c r="R390" s="66">
        <v>3.6974846253230932E-3</v>
      </c>
      <c r="S390" s="77">
        <f t="shared" si="6"/>
        <v>3.251159128952985E-3</v>
      </c>
      <c r="V390" s="80"/>
    </row>
    <row r="391" spans="1:22" x14ac:dyDescent="0.25">
      <c r="A391" s="18" t="s">
        <v>1878</v>
      </c>
      <c r="B391" s="18" t="s">
        <v>1875</v>
      </c>
      <c r="C391" s="18" t="s">
        <v>1877</v>
      </c>
      <c r="D391" t="s">
        <v>1876</v>
      </c>
      <c r="E391" s="13" t="s">
        <v>1879</v>
      </c>
      <c r="F391" s="3" t="s">
        <v>495</v>
      </c>
      <c r="H391" t="s">
        <v>1189</v>
      </c>
      <c r="I391" t="s">
        <v>243</v>
      </c>
      <c r="J391" s="63">
        <v>1</v>
      </c>
      <c r="K391" s="25">
        <v>235551.72172318099</v>
      </c>
      <c r="L391" s="17">
        <v>2.8115859162191072E-3</v>
      </c>
      <c r="M391" s="63">
        <v>2</v>
      </c>
      <c r="N391" s="25">
        <v>296582.892373387</v>
      </c>
      <c r="O391" s="17">
        <v>3.2467103594846767E-3</v>
      </c>
      <c r="P391" s="63">
        <v>2</v>
      </c>
      <c r="Q391" s="25">
        <v>269125.73162304598</v>
      </c>
      <c r="R391" s="66">
        <v>3.3450286125031314E-3</v>
      </c>
      <c r="S391" s="77">
        <f t="shared" si="6"/>
        <v>3.134441629402305E-3</v>
      </c>
      <c r="V391" s="80"/>
    </row>
    <row r="392" spans="1:22" x14ac:dyDescent="0.25">
      <c r="A392" s="18" t="s">
        <v>986</v>
      </c>
      <c r="B392" s="18" t="s">
        <v>983</v>
      </c>
      <c r="C392" s="18" t="s">
        <v>985</v>
      </c>
      <c r="D392" t="s">
        <v>984</v>
      </c>
      <c r="E392" s="13" t="s">
        <v>987</v>
      </c>
      <c r="F392" s="3" t="s">
        <v>495</v>
      </c>
      <c r="H392" t="s">
        <v>507</v>
      </c>
      <c r="I392" t="s">
        <v>17</v>
      </c>
      <c r="J392" s="63">
        <v>1</v>
      </c>
      <c r="K392" s="25">
        <v>270808.339585685</v>
      </c>
      <c r="L392" s="17">
        <v>3.0009376912905881E-3</v>
      </c>
      <c r="M392" s="63">
        <v>1</v>
      </c>
      <c r="N392" s="25">
        <v>257818.218874449</v>
      </c>
      <c r="O392" s="17">
        <v>2.6202390932745338E-3</v>
      </c>
      <c r="P392" s="63">
        <v>1</v>
      </c>
      <c r="Q392" s="25">
        <v>279386.340364145</v>
      </c>
      <c r="R392" s="66">
        <v>3.223885805482247E-3</v>
      </c>
      <c r="S392" s="77">
        <f t="shared" si="6"/>
        <v>2.9483541966824566E-3</v>
      </c>
      <c r="V392" s="80"/>
    </row>
    <row r="393" spans="1:22" x14ac:dyDescent="0.25">
      <c r="A393" s="18" t="s">
        <v>1386</v>
      </c>
      <c r="B393" s="18" t="s">
        <v>1383</v>
      </c>
      <c r="C393" s="18" t="s">
        <v>1385</v>
      </c>
      <c r="D393" t="s">
        <v>1384</v>
      </c>
      <c r="E393" s="13" t="s">
        <v>1387</v>
      </c>
      <c r="F393" s="3" t="s">
        <v>495</v>
      </c>
      <c r="G393" t="s">
        <v>1388</v>
      </c>
      <c r="H393" t="s">
        <v>507</v>
      </c>
      <c r="I393" t="s">
        <v>17</v>
      </c>
      <c r="J393" s="63">
        <v>2</v>
      </c>
      <c r="K393" s="25">
        <v>284107.57597937202</v>
      </c>
      <c r="L393" s="17">
        <v>3.1483119553928616E-3</v>
      </c>
      <c r="M393" s="63">
        <v>1</v>
      </c>
      <c r="N393" s="25">
        <v>299204.36761459103</v>
      </c>
      <c r="O393" s="17">
        <v>3.0408517455627021E-3</v>
      </c>
      <c r="P393" s="63">
        <v>0</v>
      </c>
      <c r="Q393" s="25">
        <v>229640.79695103801</v>
      </c>
      <c r="R393" s="66">
        <v>2.6498636428865818E-3</v>
      </c>
      <c r="S393" s="77">
        <f t="shared" si="6"/>
        <v>2.9463424479473817E-3</v>
      </c>
      <c r="V393" s="80"/>
    </row>
    <row r="394" spans="1:22" x14ac:dyDescent="0.25">
      <c r="A394" s="18" t="s">
        <v>977</v>
      </c>
      <c r="B394" s="18" t="s">
        <v>974</v>
      </c>
      <c r="C394" s="18" t="s">
        <v>976</v>
      </c>
      <c r="D394" t="s">
        <v>975</v>
      </c>
      <c r="E394" s="13" t="s">
        <v>978</v>
      </c>
      <c r="F394" s="3" t="s">
        <v>495</v>
      </c>
      <c r="H394" t="s">
        <v>496</v>
      </c>
      <c r="I394" t="s">
        <v>172</v>
      </c>
      <c r="J394" s="63">
        <v>1</v>
      </c>
      <c r="K394" s="25">
        <v>419509.04308161302</v>
      </c>
      <c r="L394" s="17">
        <v>2.8180799734970692E-3</v>
      </c>
      <c r="M394" s="63">
        <v>2</v>
      </c>
      <c r="N394" s="25">
        <v>479992.74082827102</v>
      </c>
      <c r="O394" s="17">
        <v>2.9571886473381223E-3</v>
      </c>
      <c r="P394" s="63">
        <v>2</v>
      </c>
      <c r="Q394" s="25">
        <v>397543.95908588398</v>
      </c>
      <c r="R394" s="66">
        <v>2.7808443580227111E-3</v>
      </c>
      <c r="S394" s="77">
        <f t="shared" si="6"/>
        <v>2.8520376596193006E-3</v>
      </c>
      <c r="V394" s="80"/>
    </row>
    <row r="395" spans="1:22" x14ac:dyDescent="0.25">
      <c r="A395" s="18" t="s">
        <v>619</v>
      </c>
      <c r="B395" s="18" t="s">
        <v>616</v>
      </c>
      <c r="C395" s="18" t="s">
        <v>618</v>
      </c>
      <c r="D395" t="s">
        <v>617</v>
      </c>
      <c r="E395" s="13" t="s">
        <v>620</v>
      </c>
      <c r="F395" s="3" t="s">
        <v>495</v>
      </c>
      <c r="H395" t="s">
        <v>496</v>
      </c>
      <c r="I395" t="s">
        <v>172</v>
      </c>
      <c r="J395" s="63">
        <v>1</v>
      </c>
      <c r="K395" s="25">
        <v>197532.070336251</v>
      </c>
      <c r="L395" s="17">
        <v>2.6579906270611004E-3</v>
      </c>
      <c r="M395" s="63">
        <v>2</v>
      </c>
      <c r="N395" s="25">
        <v>245679.10655888601</v>
      </c>
      <c r="O395" s="17">
        <v>3.0319108549991857E-3</v>
      </c>
      <c r="P395" s="63">
        <v>2</v>
      </c>
      <c r="Q395" s="25">
        <v>179341.527066993</v>
      </c>
      <c r="R395" s="66">
        <v>2.5129059243991091E-3</v>
      </c>
      <c r="S395" s="77">
        <f t="shared" si="6"/>
        <v>2.734269135486465E-3</v>
      </c>
      <c r="V395" s="80"/>
    </row>
    <row r="396" spans="1:22" x14ac:dyDescent="0.25">
      <c r="A396" s="18" t="s">
        <v>881</v>
      </c>
      <c r="B396" s="18" t="s">
        <v>878</v>
      </c>
      <c r="C396" s="18" t="s">
        <v>880</v>
      </c>
      <c r="D396" t="s">
        <v>879</v>
      </c>
      <c r="E396" s="13" t="s">
        <v>882</v>
      </c>
      <c r="F396" s="3" t="s">
        <v>495</v>
      </c>
      <c r="G396" t="s">
        <v>536</v>
      </c>
      <c r="H396" t="s">
        <v>507</v>
      </c>
      <c r="I396" t="s">
        <v>17</v>
      </c>
      <c r="J396" s="63">
        <v>1</v>
      </c>
      <c r="K396" s="25">
        <v>257582.825806454</v>
      </c>
      <c r="L396" s="17">
        <v>3.0830462089064723E-3</v>
      </c>
      <c r="M396" s="63">
        <v>3</v>
      </c>
      <c r="N396" s="25">
        <v>190897.23101294899</v>
      </c>
      <c r="O396" s="17">
        <v>2.0955360376606383E-3</v>
      </c>
      <c r="P396" s="63">
        <v>1</v>
      </c>
      <c r="Q396" s="25">
        <v>241143.16671021501</v>
      </c>
      <c r="R396" s="66">
        <v>3.0055061971760977E-3</v>
      </c>
      <c r="S396" s="77">
        <f t="shared" si="6"/>
        <v>2.728029481247736E-3</v>
      </c>
      <c r="V396" s="80"/>
    </row>
    <row r="397" spans="1:22" x14ac:dyDescent="0.25">
      <c r="A397" s="18" t="s">
        <v>1234</v>
      </c>
      <c r="B397" s="18" t="s">
        <v>1231</v>
      </c>
      <c r="C397" s="18" t="s">
        <v>1233</v>
      </c>
      <c r="D397" t="s">
        <v>1232</v>
      </c>
      <c r="E397" s="13" t="s">
        <v>1235</v>
      </c>
      <c r="F397" s="3" t="s">
        <v>495</v>
      </c>
      <c r="H397" t="s">
        <v>507</v>
      </c>
      <c r="I397" t="s">
        <v>553</v>
      </c>
      <c r="J397" s="63">
        <v>4</v>
      </c>
      <c r="K397" s="25">
        <v>760007.90150471602</v>
      </c>
      <c r="L397" s="17">
        <v>2.8911197776814615E-3</v>
      </c>
      <c r="M397" s="63">
        <v>2</v>
      </c>
      <c r="N397" s="25">
        <v>483648.02698274399</v>
      </c>
      <c r="O397" s="17">
        <v>1.687367856985708E-3</v>
      </c>
      <c r="P397" s="63">
        <v>2</v>
      </c>
      <c r="Q397" s="25">
        <v>907305.84566002502</v>
      </c>
      <c r="R397" s="66">
        <v>3.5940260734147068E-3</v>
      </c>
      <c r="S397" s="77">
        <f t="shared" si="6"/>
        <v>2.7241712360272924E-3</v>
      </c>
      <c r="V397" s="80"/>
    </row>
    <row r="398" spans="1:22" x14ac:dyDescent="0.25">
      <c r="A398" s="18" t="s">
        <v>1425</v>
      </c>
      <c r="B398" s="18" t="s">
        <v>1422</v>
      </c>
      <c r="C398" s="18" t="s">
        <v>1424</v>
      </c>
      <c r="D398" t="s">
        <v>1423</v>
      </c>
      <c r="E398" s="13" t="s">
        <v>1426</v>
      </c>
      <c r="F398" s="3" t="s">
        <v>495</v>
      </c>
      <c r="G398" t="s">
        <v>920</v>
      </c>
      <c r="H398" t="s">
        <v>507</v>
      </c>
      <c r="I398" t="s">
        <v>17</v>
      </c>
      <c r="J398" s="63">
        <v>2</v>
      </c>
      <c r="K398" s="25">
        <v>321649.80618023401</v>
      </c>
      <c r="L398" s="17">
        <v>2.7219806545884422E-3</v>
      </c>
      <c r="M398" s="63">
        <v>1</v>
      </c>
      <c r="N398" s="25">
        <v>330897.75793034898</v>
      </c>
      <c r="O398" s="17">
        <v>2.5681946626812985E-3</v>
      </c>
      <c r="P398" s="63">
        <v>1</v>
      </c>
      <c r="Q398" s="25">
        <v>279505.68221025402</v>
      </c>
      <c r="R398" s="66">
        <v>2.4630425746462398E-3</v>
      </c>
      <c r="S398" s="77">
        <f t="shared" si="6"/>
        <v>2.5844059639719935E-3</v>
      </c>
      <c r="V398" s="80"/>
    </row>
    <row r="399" spans="1:22" x14ac:dyDescent="0.25">
      <c r="A399" s="18" t="s">
        <v>1672</v>
      </c>
      <c r="B399" s="18" t="s">
        <v>1669</v>
      </c>
      <c r="C399" s="18" t="s">
        <v>1671</v>
      </c>
      <c r="D399" t="s">
        <v>1670</v>
      </c>
      <c r="E399" s="13" t="s">
        <v>1673</v>
      </c>
      <c r="F399" s="3" t="s">
        <v>495</v>
      </c>
      <c r="H399" t="s">
        <v>541</v>
      </c>
      <c r="I399" t="s">
        <v>547</v>
      </c>
      <c r="J399" s="63">
        <v>1</v>
      </c>
      <c r="K399" s="25">
        <v>388892.56812803698</v>
      </c>
      <c r="L399" s="17">
        <v>2.67886420665378E-3</v>
      </c>
      <c r="M399" s="63">
        <v>1</v>
      </c>
      <c r="N399" s="25">
        <v>436632.75064042897</v>
      </c>
      <c r="O399" s="17">
        <v>2.7584793548468983E-3</v>
      </c>
      <c r="P399" s="63">
        <v>2</v>
      </c>
      <c r="Q399" s="25">
        <v>318259.63924800802</v>
      </c>
      <c r="R399" s="66">
        <v>2.2828751425715645E-3</v>
      </c>
      <c r="S399" s="77">
        <f t="shared" si="6"/>
        <v>2.5734062346907476E-3</v>
      </c>
      <c r="V399" s="80"/>
    </row>
    <row r="400" spans="1:22" x14ac:dyDescent="0.25">
      <c r="A400" s="18" t="s">
        <v>1810</v>
      </c>
      <c r="B400" s="18" t="s">
        <v>1807</v>
      </c>
      <c r="C400" s="18" t="s">
        <v>1809</v>
      </c>
      <c r="D400" t="s">
        <v>1808</v>
      </c>
      <c r="E400" s="13" t="s">
        <v>1215</v>
      </c>
      <c r="F400" s="3" t="s">
        <v>495</v>
      </c>
      <c r="H400" t="s">
        <v>541</v>
      </c>
      <c r="I400" t="s">
        <v>547</v>
      </c>
      <c r="J400" s="63">
        <v>2</v>
      </c>
      <c r="K400" s="25">
        <v>390484.11219899601</v>
      </c>
      <c r="L400" s="17">
        <v>2.5751925063939056E-3</v>
      </c>
      <c r="M400" s="63">
        <v>1</v>
      </c>
      <c r="N400" s="25">
        <v>320263.35992291803</v>
      </c>
      <c r="O400" s="17">
        <v>1.9370728832249883E-3</v>
      </c>
      <c r="P400" s="63">
        <v>1</v>
      </c>
      <c r="Q400" s="25">
        <v>390118.73469914799</v>
      </c>
      <c r="R400" s="66">
        <v>2.6790614545630586E-3</v>
      </c>
      <c r="S400" s="77">
        <f t="shared" si="6"/>
        <v>2.397108948060651E-3</v>
      </c>
      <c r="V400" s="80"/>
    </row>
    <row r="401" spans="1:22" x14ac:dyDescent="0.25">
      <c r="A401" s="18" t="s">
        <v>2009</v>
      </c>
      <c r="B401" s="18" t="s">
        <v>2006</v>
      </c>
      <c r="C401" s="18" t="s">
        <v>2008</v>
      </c>
      <c r="D401" t="s">
        <v>2007</v>
      </c>
      <c r="E401" s="13" t="s">
        <v>721</v>
      </c>
      <c r="F401" s="3" t="s">
        <v>495</v>
      </c>
      <c r="H401" t="s">
        <v>541</v>
      </c>
      <c r="I401" t="s">
        <v>547</v>
      </c>
      <c r="J401" s="63">
        <v>2</v>
      </c>
      <c r="K401" s="25">
        <v>343600.966162636</v>
      </c>
      <c r="L401" s="17">
        <v>2.5319128417452281E-3</v>
      </c>
      <c r="M401" s="63">
        <v>2</v>
      </c>
      <c r="N401" s="25">
        <v>313972.13526090799</v>
      </c>
      <c r="O401" s="17">
        <v>2.1218655217869983E-3</v>
      </c>
      <c r="P401" s="63">
        <v>1</v>
      </c>
      <c r="Q401" s="25">
        <v>325121.68358051602</v>
      </c>
      <c r="R401" s="66">
        <v>2.4947087346982159E-3</v>
      </c>
      <c r="S401" s="77">
        <f t="shared" si="6"/>
        <v>2.3828290327434806E-3</v>
      </c>
      <c r="V401" s="80"/>
    </row>
    <row r="402" spans="1:22" x14ac:dyDescent="0.25">
      <c r="A402" s="18" t="s">
        <v>1409</v>
      </c>
      <c r="B402" s="18" t="s">
        <v>1406</v>
      </c>
      <c r="C402" s="18" t="s">
        <v>1408</v>
      </c>
      <c r="D402" t="s">
        <v>1407</v>
      </c>
      <c r="E402" s="13" t="s">
        <v>1410</v>
      </c>
      <c r="F402" s="3" t="s">
        <v>495</v>
      </c>
      <c r="H402" t="s">
        <v>1411</v>
      </c>
      <c r="I402" t="s">
        <v>243</v>
      </c>
      <c r="J402" s="63">
        <v>2</v>
      </c>
      <c r="K402" s="25">
        <v>197966.621014178</v>
      </c>
      <c r="L402" s="17">
        <v>2.2050278055296239E-3</v>
      </c>
      <c r="M402" s="63">
        <v>0</v>
      </c>
      <c r="N402" s="25">
        <v>171280.024012896</v>
      </c>
      <c r="O402" s="17">
        <v>1.7496903209962551E-3</v>
      </c>
      <c r="P402" s="63">
        <v>2</v>
      </c>
      <c r="Q402" s="25">
        <v>170552.11771464499</v>
      </c>
      <c r="R402" s="66">
        <v>1.9781478735997659E-3</v>
      </c>
      <c r="S402" s="77">
        <f t="shared" si="6"/>
        <v>1.9776220000418819E-3</v>
      </c>
      <c r="V402" s="80"/>
    </row>
    <row r="403" spans="1:22" x14ac:dyDescent="0.25">
      <c r="A403" s="18" t="s">
        <v>1942</v>
      </c>
      <c r="B403" s="18" t="s">
        <v>1939</v>
      </c>
      <c r="C403" s="18" t="s">
        <v>1941</v>
      </c>
      <c r="D403" t="s">
        <v>1940</v>
      </c>
      <c r="E403" s="13" t="s">
        <v>1943</v>
      </c>
      <c r="F403" s="3" t="s">
        <v>495</v>
      </c>
      <c r="H403" t="s">
        <v>541</v>
      </c>
      <c r="I403" t="s">
        <v>553</v>
      </c>
      <c r="J403" s="63">
        <v>2</v>
      </c>
      <c r="K403" s="25">
        <v>158257.14986336301</v>
      </c>
      <c r="L403" s="17">
        <v>1.8837950770342483E-3</v>
      </c>
      <c r="M403" s="63">
        <v>1</v>
      </c>
      <c r="N403" s="25">
        <v>209222.34775390799</v>
      </c>
      <c r="O403" s="17">
        <v>2.284077117976908E-3</v>
      </c>
      <c r="P403" s="63">
        <v>0</v>
      </c>
      <c r="Q403" s="25">
        <v>126868.095629862</v>
      </c>
      <c r="R403" s="66">
        <v>1.5725420803806216E-3</v>
      </c>
      <c r="S403" s="77">
        <f t="shared" si="6"/>
        <v>1.9134714251305928E-3</v>
      </c>
      <c r="V403" s="80"/>
    </row>
    <row r="404" spans="1:22" x14ac:dyDescent="0.25">
      <c r="A404" s="18" t="s">
        <v>1130</v>
      </c>
      <c r="B404" s="18" t="s">
        <v>8122</v>
      </c>
      <c r="C404" s="18" t="s">
        <v>1129</v>
      </c>
      <c r="D404" t="s">
        <v>1128</v>
      </c>
      <c r="E404" s="13" t="s">
        <v>1131</v>
      </c>
      <c r="F404" s="3" t="s">
        <v>495</v>
      </c>
      <c r="G404" t="s">
        <v>517</v>
      </c>
      <c r="H404" t="s">
        <v>507</v>
      </c>
      <c r="I404" t="s">
        <v>17</v>
      </c>
      <c r="J404" s="63">
        <v>2</v>
      </c>
      <c r="K404" s="25">
        <v>155959.502525544</v>
      </c>
      <c r="L404" s="17">
        <v>1.7736117888293226E-3</v>
      </c>
      <c r="M404" s="63">
        <v>2</v>
      </c>
      <c r="N404" s="25">
        <v>172513.308015366</v>
      </c>
      <c r="O404" s="17">
        <v>1.7992922232508415E-3</v>
      </c>
      <c r="P404" s="63">
        <v>2</v>
      </c>
      <c r="Q404" s="25">
        <v>177294.844887727</v>
      </c>
      <c r="R404" s="66">
        <v>2.0995313838891531E-3</v>
      </c>
      <c r="S404" s="77">
        <f t="shared" si="6"/>
        <v>1.890811798656439E-3</v>
      </c>
      <c r="V404" s="80"/>
    </row>
    <row r="405" spans="1:22" x14ac:dyDescent="0.25">
      <c r="A405" s="18" t="s">
        <v>641</v>
      </c>
      <c r="B405" s="18" t="s">
        <v>638</v>
      </c>
      <c r="C405" s="18" t="s">
        <v>640</v>
      </c>
      <c r="D405" t="s">
        <v>639</v>
      </c>
      <c r="E405" s="13" t="s">
        <v>642</v>
      </c>
      <c r="F405" s="3" t="s">
        <v>495</v>
      </c>
      <c r="H405" t="s">
        <v>541</v>
      </c>
      <c r="I405" t="s">
        <v>553</v>
      </c>
      <c r="J405" s="63">
        <v>2</v>
      </c>
      <c r="K405" s="25">
        <v>169301.932270441</v>
      </c>
      <c r="L405" s="17">
        <v>1.5809409014614225E-3</v>
      </c>
      <c r="M405" s="63">
        <v>1</v>
      </c>
      <c r="N405" s="25">
        <v>189121.398992239</v>
      </c>
      <c r="O405" s="17">
        <v>1.6196708528186531E-3</v>
      </c>
      <c r="P405" s="63">
        <v>1</v>
      </c>
      <c r="Q405" s="25">
        <v>194724.24168454099</v>
      </c>
      <c r="R405" s="66">
        <v>1.8934475495238994E-3</v>
      </c>
      <c r="S405" s="77">
        <f t="shared" si="6"/>
        <v>1.6980197679346582E-3</v>
      </c>
      <c r="V405" s="80"/>
    </row>
    <row r="406" spans="1:22" x14ac:dyDescent="0.25">
      <c r="A406" s="18" t="s">
        <v>1297</v>
      </c>
      <c r="B406" s="18" t="s">
        <v>1294</v>
      </c>
      <c r="C406" s="18" t="s">
        <v>1296</v>
      </c>
      <c r="D406" t="s">
        <v>1295</v>
      </c>
      <c r="E406" s="13" t="s">
        <v>1298</v>
      </c>
      <c r="F406" s="3" t="s">
        <v>495</v>
      </c>
      <c r="H406" t="s">
        <v>541</v>
      </c>
      <c r="I406" t="s">
        <v>547</v>
      </c>
      <c r="J406" s="63">
        <v>1</v>
      </c>
      <c r="K406" s="25">
        <v>123716.701089126</v>
      </c>
      <c r="L406" s="17">
        <v>1.44486117954839E-3</v>
      </c>
      <c r="M406" s="63">
        <v>1</v>
      </c>
      <c r="N406" s="25">
        <v>141328.99851996099</v>
      </c>
      <c r="O406" s="17">
        <v>1.5137754141645858E-3</v>
      </c>
      <c r="P406" s="63">
        <v>2</v>
      </c>
      <c r="Q406" s="25">
        <v>149164.18981518099</v>
      </c>
      <c r="R406" s="66">
        <v>1.8140192964057346E-3</v>
      </c>
      <c r="S406" s="77">
        <f t="shared" si="6"/>
        <v>1.5908852967062368E-3</v>
      </c>
      <c r="V406" s="80"/>
    </row>
    <row r="407" spans="1:22" x14ac:dyDescent="0.25">
      <c r="A407" s="18" t="s">
        <v>1371</v>
      </c>
      <c r="B407" s="18" t="s">
        <v>1368</v>
      </c>
      <c r="C407" s="18" t="s">
        <v>1370</v>
      </c>
      <c r="D407" t="s">
        <v>1369</v>
      </c>
      <c r="E407" s="13" t="s">
        <v>1372</v>
      </c>
      <c r="F407" s="3" t="s">
        <v>495</v>
      </c>
      <c r="G407" t="s">
        <v>814</v>
      </c>
      <c r="H407" t="s">
        <v>507</v>
      </c>
      <c r="I407" t="s">
        <v>17</v>
      </c>
      <c r="J407" s="63">
        <v>2</v>
      </c>
      <c r="K407" s="25">
        <v>191316.10249029199</v>
      </c>
      <c r="L407" s="17">
        <v>1.5237872182987989E-3</v>
      </c>
      <c r="M407" s="63">
        <v>1</v>
      </c>
      <c r="N407" s="25">
        <v>163386.30575447201</v>
      </c>
      <c r="O407" s="17">
        <v>1.1934956188304248E-3</v>
      </c>
      <c r="P407" s="63">
        <v>0</v>
      </c>
      <c r="Q407" s="25">
        <v>196354.31560289799</v>
      </c>
      <c r="R407" s="66">
        <v>1.6285188495752522E-3</v>
      </c>
      <c r="S407" s="77">
        <f t="shared" si="6"/>
        <v>1.4486005622348253E-3</v>
      </c>
      <c r="V407" s="80"/>
    </row>
    <row r="408" spans="1:22" x14ac:dyDescent="0.25">
      <c r="A408" s="71" t="s">
        <v>943</v>
      </c>
      <c r="B408" s="71" t="s">
        <v>940</v>
      </c>
      <c r="C408" s="71" t="s">
        <v>942</v>
      </c>
      <c r="D408" s="16" t="s">
        <v>941</v>
      </c>
      <c r="E408" s="45" t="s">
        <v>944</v>
      </c>
      <c r="F408" s="40" t="s">
        <v>495</v>
      </c>
      <c r="G408" s="16"/>
      <c r="H408" s="16" t="s">
        <v>507</v>
      </c>
      <c r="I408" s="16" t="s">
        <v>17</v>
      </c>
      <c r="J408" s="72">
        <v>1</v>
      </c>
      <c r="K408" s="73">
        <v>126633.057611335</v>
      </c>
      <c r="L408" s="30">
        <v>5.3897797263514186E-4</v>
      </c>
      <c r="M408" s="72">
        <v>0</v>
      </c>
      <c r="N408" s="73">
        <v>84908.957904286799</v>
      </c>
      <c r="O408" s="30">
        <v>3.3144373040466856E-4</v>
      </c>
      <c r="P408" s="72">
        <v>2</v>
      </c>
      <c r="Q408" s="73">
        <v>163458.52739535799</v>
      </c>
      <c r="R408" s="74">
        <v>7.2445438011567139E-4</v>
      </c>
      <c r="S408" s="78">
        <f t="shared" si="6"/>
        <v>5.316253610518273E-4</v>
      </c>
      <c r="T408" s="58"/>
      <c r="U408" s="58"/>
      <c r="V408" s="81"/>
    </row>
    <row r="409" spans="1:22" x14ac:dyDescent="0.25">
      <c r="A409" s="18" t="s">
        <v>2141</v>
      </c>
      <c r="B409" s="18" t="s">
        <v>2138</v>
      </c>
      <c r="C409" s="18" t="s">
        <v>2140</v>
      </c>
      <c r="D409" t="s">
        <v>2139</v>
      </c>
      <c r="E409" s="13" t="s">
        <v>2142</v>
      </c>
      <c r="F409" s="4" t="s">
        <v>2044</v>
      </c>
      <c r="H409" t="s">
        <v>2045</v>
      </c>
      <c r="I409" t="s">
        <v>17</v>
      </c>
      <c r="J409" s="63">
        <v>93</v>
      </c>
      <c r="K409" s="25">
        <v>435960602.195032</v>
      </c>
      <c r="L409" s="17">
        <v>4.0362038466681645</v>
      </c>
      <c r="M409" s="63">
        <v>82</v>
      </c>
      <c r="N409" s="25">
        <v>440711072.90092802</v>
      </c>
      <c r="O409" s="17">
        <v>3.7420723914108085</v>
      </c>
      <c r="P409" s="63">
        <v>81</v>
      </c>
      <c r="Q409" s="25">
        <v>402961016.01162499</v>
      </c>
      <c r="R409" s="66">
        <v>3.8847977928891986</v>
      </c>
      <c r="S409" s="77">
        <f t="shared" si="6"/>
        <v>3.8876913436560572</v>
      </c>
      <c r="T409" s="20">
        <f>SUM('R. pomeroyi'!L409:L439)</f>
        <v>6.5293489621342449</v>
      </c>
      <c r="U409" s="20">
        <f>SUM('R. pomeroyi'!O409:O439)</f>
        <v>6.2944890107940319</v>
      </c>
      <c r="V409" s="80">
        <f>SUM('R. pomeroyi'!R409:R439)</f>
        <v>6.5152693931023133</v>
      </c>
    </row>
    <row r="410" spans="1:22" x14ac:dyDescent="0.25">
      <c r="A410" s="18" t="s">
        <v>2188</v>
      </c>
      <c r="B410" s="18" t="s">
        <v>2185</v>
      </c>
      <c r="C410" s="18" t="s">
        <v>2187</v>
      </c>
      <c r="D410" t="s">
        <v>2186</v>
      </c>
      <c r="E410" s="13" t="s">
        <v>2137</v>
      </c>
      <c r="F410" s="4" t="s">
        <v>2044</v>
      </c>
      <c r="H410" t="s">
        <v>2045</v>
      </c>
      <c r="I410" t="s">
        <v>17</v>
      </c>
      <c r="J410" s="63">
        <v>7</v>
      </c>
      <c r="K410" s="25">
        <v>15842629.457203001</v>
      </c>
      <c r="L410" s="17">
        <v>0.6128877530317125</v>
      </c>
      <c r="M410" s="63">
        <v>6</v>
      </c>
      <c r="N410" s="25">
        <v>21183332.4534734</v>
      </c>
      <c r="O410" s="17">
        <v>0.75158886104393352</v>
      </c>
      <c r="P410" s="63">
        <v>6</v>
      </c>
      <c r="Q410" s="25">
        <v>17209389.67887</v>
      </c>
      <c r="R410" s="66">
        <v>0.69326405719527562</v>
      </c>
      <c r="S410" s="77">
        <f t="shared" si="6"/>
        <v>0.68591355709030732</v>
      </c>
      <c r="T410" s="20" t="s">
        <v>8174</v>
      </c>
      <c r="U410" s="69">
        <f>AVERAGE(T409:V409)</f>
        <v>6.4463691220101964</v>
      </c>
      <c r="V410" s="80"/>
    </row>
    <row r="411" spans="1:22" x14ac:dyDescent="0.25">
      <c r="A411" s="18" t="s">
        <v>2136</v>
      </c>
      <c r="B411" s="18" t="s">
        <v>2133</v>
      </c>
      <c r="C411" s="18" t="s">
        <v>2135</v>
      </c>
      <c r="D411" t="s">
        <v>2134</v>
      </c>
      <c r="E411" s="13" t="s">
        <v>2137</v>
      </c>
      <c r="F411" s="4" t="s">
        <v>2044</v>
      </c>
      <c r="H411" t="s">
        <v>2045</v>
      </c>
      <c r="I411" t="s">
        <v>17</v>
      </c>
      <c r="J411" s="63">
        <v>4</v>
      </c>
      <c r="K411" s="25">
        <v>7562069.21868023</v>
      </c>
      <c r="L411" s="17">
        <v>0.29254610948436932</v>
      </c>
      <c r="M411" s="63">
        <v>7</v>
      </c>
      <c r="N411" s="25">
        <v>10342100.7713177</v>
      </c>
      <c r="O411" s="17">
        <v>0.36693979838105101</v>
      </c>
      <c r="P411" s="63">
        <v>6</v>
      </c>
      <c r="Q411" s="25">
        <v>9041851.3854533006</v>
      </c>
      <c r="R411" s="66">
        <v>0.364242468385298</v>
      </c>
      <c r="S411" s="77">
        <f t="shared" si="6"/>
        <v>0.34124279208357278</v>
      </c>
      <c r="T411" s="20" t="s">
        <v>8085</v>
      </c>
      <c r="U411" s="70">
        <f>STDEV(T409:V409)</f>
        <v>0.13172028964175253</v>
      </c>
      <c r="V411" s="80"/>
    </row>
    <row r="412" spans="1:22" x14ac:dyDescent="0.25">
      <c r="A412" s="18" t="s">
        <v>2104</v>
      </c>
      <c r="B412" s="18" t="s">
        <v>2101</v>
      </c>
      <c r="C412" s="18" t="s">
        <v>2103</v>
      </c>
      <c r="D412" t="s">
        <v>2102</v>
      </c>
      <c r="E412" s="13" t="s">
        <v>2105</v>
      </c>
      <c r="F412" s="4" t="s">
        <v>2044</v>
      </c>
      <c r="G412" t="s">
        <v>2106</v>
      </c>
      <c r="H412" t="s">
        <v>2045</v>
      </c>
      <c r="I412" t="s">
        <v>17</v>
      </c>
      <c r="J412" s="63">
        <v>36</v>
      </c>
      <c r="K412" s="25">
        <v>37143516.003702402</v>
      </c>
      <c r="L412" s="17">
        <v>0.33810201586285704</v>
      </c>
      <c r="M412" s="63">
        <v>34</v>
      </c>
      <c r="N412" s="25">
        <v>35348878.046553098</v>
      </c>
      <c r="O412" s="17">
        <v>0.2951024104451031</v>
      </c>
      <c r="P412" s="63">
        <v>31</v>
      </c>
      <c r="Q412" s="25">
        <v>35470540.512533903</v>
      </c>
      <c r="R412" s="66">
        <v>0.33621113460514618</v>
      </c>
      <c r="S412" s="77">
        <f t="shared" si="6"/>
        <v>0.32313852030436879</v>
      </c>
      <c r="V412" s="80"/>
    </row>
    <row r="413" spans="1:22" x14ac:dyDescent="0.25">
      <c r="A413" s="18" t="s">
        <v>2114</v>
      </c>
      <c r="B413" s="18" t="s">
        <v>2111</v>
      </c>
      <c r="C413" s="18" t="s">
        <v>2113</v>
      </c>
      <c r="D413" t="s">
        <v>2112</v>
      </c>
      <c r="E413" s="13" t="s">
        <v>2115</v>
      </c>
      <c r="F413" s="4" t="s">
        <v>2044</v>
      </c>
      <c r="G413" t="s">
        <v>2116</v>
      </c>
      <c r="H413" t="s">
        <v>2058</v>
      </c>
      <c r="I413" t="s">
        <v>57</v>
      </c>
      <c r="J413" s="63">
        <v>28</v>
      </c>
      <c r="K413" s="25">
        <v>33618242.995349802</v>
      </c>
      <c r="L413" s="17">
        <v>0.23231602725478542</v>
      </c>
      <c r="M413" s="63">
        <v>24</v>
      </c>
      <c r="N413" s="25">
        <v>32833198.7437899</v>
      </c>
      <c r="O413" s="17">
        <v>0.20808929088001279</v>
      </c>
      <c r="P413" s="63">
        <v>24</v>
      </c>
      <c r="Q413" s="25">
        <v>32679529.703632802</v>
      </c>
      <c r="R413" s="66">
        <v>0.23515785797609556</v>
      </c>
      <c r="S413" s="77">
        <f t="shared" si="6"/>
        <v>0.22518772537029794</v>
      </c>
      <c r="V413" s="80"/>
    </row>
    <row r="414" spans="1:22" x14ac:dyDescent="0.25">
      <c r="A414" s="18" t="s">
        <v>2062</v>
      </c>
      <c r="B414" s="18" t="s">
        <v>2059</v>
      </c>
      <c r="C414" s="18" t="s">
        <v>2061</v>
      </c>
      <c r="D414" t="s">
        <v>2060</v>
      </c>
      <c r="E414" s="13" t="s">
        <v>2063</v>
      </c>
      <c r="F414" s="4" t="s">
        <v>2044</v>
      </c>
      <c r="H414" t="s">
        <v>2052</v>
      </c>
      <c r="I414" t="s">
        <v>23</v>
      </c>
      <c r="J414" s="63">
        <v>26</v>
      </c>
      <c r="K414" s="25">
        <v>20548933.392642699</v>
      </c>
      <c r="L414" s="17">
        <v>0.15647635437747559</v>
      </c>
      <c r="M414" s="63">
        <v>26</v>
      </c>
      <c r="N414" s="25">
        <v>20240020.384420399</v>
      </c>
      <c r="O414" s="17">
        <v>0.1413522593926724</v>
      </c>
      <c r="P414" s="63">
        <v>23</v>
      </c>
      <c r="Q414" s="25">
        <v>20054018.764614601</v>
      </c>
      <c r="R414" s="66">
        <v>0.15901584050517631</v>
      </c>
      <c r="S414" s="77">
        <f t="shared" si="6"/>
        <v>0.15228148475844144</v>
      </c>
      <c r="V414" s="80"/>
    </row>
    <row r="415" spans="1:22" x14ac:dyDescent="0.25">
      <c r="A415" s="18" t="s">
        <v>2125</v>
      </c>
      <c r="B415" s="18" t="s">
        <v>2122</v>
      </c>
      <c r="C415" s="18" t="s">
        <v>2124</v>
      </c>
      <c r="D415" t="s">
        <v>2123</v>
      </c>
      <c r="E415" s="13" t="s">
        <v>2126</v>
      </c>
      <c r="F415" s="4" t="s">
        <v>2044</v>
      </c>
      <c r="H415" t="s">
        <v>2045</v>
      </c>
      <c r="I415" t="s">
        <v>2127</v>
      </c>
      <c r="J415" s="63">
        <v>17</v>
      </c>
      <c r="K415" s="25">
        <v>13639025.2721912</v>
      </c>
      <c r="L415" s="17">
        <v>0.12931200193699172</v>
      </c>
      <c r="M415" s="63">
        <v>15</v>
      </c>
      <c r="N415" s="25">
        <v>12884854.5721024</v>
      </c>
      <c r="O415" s="17">
        <v>0.1120385286015755</v>
      </c>
      <c r="P415" s="63">
        <v>15</v>
      </c>
      <c r="Q415" s="25">
        <v>13548835.6957199</v>
      </c>
      <c r="R415" s="66">
        <v>0.13376331237807043</v>
      </c>
      <c r="S415" s="77">
        <f t="shared" si="6"/>
        <v>0.12503794763887921</v>
      </c>
      <c r="V415" s="80"/>
    </row>
    <row r="416" spans="1:22" x14ac:dyDescent="0.25">
      <c r="A416" s="18" t="s">
        <v>1985</v>
      </c>
      <c r="B416" s="18" t="s">
        <v>1982</v>
      </c>
      <c r="C416" s="18" t="s">
        <v>1984</v>
      </c>
      <c r="D416" t="s">
        <v>1983</v>
      </c>
      <c r="E416" s="13" t="s">
        <v>8178</v>
      </c>
      <c r="F416" s="4" t="s">
        <v>2044</v>
      </c>
      <c r="H416" t="s">
        <v>2045</v>
      </c>
      <c r="I416" t="s">
        <v>1195</v>
      </c>
      <c r="J416" s="63">
        <v>10</v>
      </c>
      <c r="K416" s="25">
        <v>9363911.9263385106</v>
      </c>
      <c r="L416" s="17">
        <v>8.5057113895245839E-2</v>
      </c>
      <c r="M416" s="63">
        <v>12</v>
      </c>
      <c r="N416" s="25">
        <v>8183846.8501943704</v>
      </c>
      <c r="O416" s="17">
        <v>6.8177832491672211E-2</v>
      </c>
      <c r="P416" s="63">
        <v>11</v>
      </c>
      <c r="Q416" s="25">
        <v>9218887.8963039406</v>
      </c>
      <c r="R416" s="66">
        <v>8.7198977696337568E-2</v>
      </c>
      <c r="S416" s="77">
        <f>AVERAGE(L416,O416,R416)</f>
        <v>8.0144641361085192E-2</v>
      </c>
      <c r="V416" s="80"/>
    </row>
    <row r="417" spans="1:22" x14ac:dyDescent="0.25">
      <c r="A417" s="18" t="s">
        <v>2087</v>
      </c>
      <c r="B417" s="18" t="s">
        <v>2084</v>
      </c>
      <c r="C417" s="18" t="s">
        <v>2086</v>
      </c>
      <c r="D417" t="s">
        <v>2085</v>
      </c>
      <c r="E417" s="13" t="s">
        <v>2088</v>
      </c>
      <c r="F417" s="4" t="s">
        <v>2044</v>
      </c>
      <c r="H417" t="s">
        <v>2045</v>
      </c>
      <c r="I417" t="s">
        <v>17</v>
      </c>
      <c r="J417" s="63">
        <v>7</v>
      </c>
      <c r="K417" s="25">
        <v>7570597.9617556697</v>
      </c>
      <c r="L417" s="17">
        <v>7.4212936335962876E-2</v>
      </c>
      <c r="M417" s="63">
        <v>7</v>
      </c>
      <c r="N417" s="25">
        <v>8114485.5231002597</v>
      </c>
      <c r="O417" s="17">
        <v>7.2952939551449686E-2</v>
      </c>
      <c r="P417" s="63">
        <v>6</v>
      </c>
      <c r="Q417" s="25">
        <v>7171155.9606919698</v>
      </c>
      <c r="R417" s="66">
        <v>7.3201189277096429E-2</v>
      </c>
      <c r="S417" s="77">
        <f t="shared" si="6"/>
        <v>7.3455688388169668E-2</v>
      </c>
      <c r="V417" s="80"/>
    </row>
    <row r="418" spans="1:22" x14ac:dyDescent="0.25">
      <c r="A418" s="18" t="s">
        <v>2073</v>
      </c>
      <c r="B418" s="18" t="s">
        <v>2070</v>
      </c>
      <c r="C418" s="18" t="s">
        <v>2072</v>
      </c>
      <c r="D418" t="s">
        <v>2071</v>
      </c>
      <c r="E418" s="13" t="s">
        <v>2043</v>
      </c>
      <c r="F418" s="4" t="s">
        <v>2044</v>
      </c>
      <c r="H418" t="s">
        <v>2045</v>
      </c>
      <c r="I418" t="s">
        <v>57</v>
      </c>
      <c r="J418" s="63">
        <v>8</v>
      </c>
      <c r="K418" s="25">
        <v>9469673.5463714805</v>
      </c>
      <c r="L418" s="17">
        <v>6.5024549132420215E-2</v>
      </c>
      <c r="M418" s="63">
        <v>9</v>
      </c>
      <c r="N418" s="25">
        <v>9014515.5717699807</v>
      </c>
      <c r="O418" s="17">
        <v>5.6769766713041597E-2</v>
      </c>
      <c r="P418" s="63">
        <v>10</v>
      </c>
      <c r="Q418" s="25">
        <v>9438885.0325986203</v>
      </c>
      <c r="R418" s="66">
        <v>6.7490489124009095E-2</v>
      </c>
      <c r="S418" s="77">
        <f t="shared" si="6"/>
        <v>6.3094934989823645E-2</v>
      </c>
      <c r="V418" s="80"/>
    </row>
    <row r="419" spans="1:22" x14ac:dyDescent="0.25">
      <c r="A419" s="18" t="s">
        <v>2040</v>
      </c>
      <c r="B419" s="18" t="s">
        <v>8133</v>
      </c>
      <c r="C419" s="18" t="s">
        <v>2042</v>
      </c>
      <c r="D419" t="s">
        <v>2041</v>
      </c>
      <c r="E419" s="13" t="s">
        <v>2043</v>
      </c>
      <c r="F419" s="4" t="s">
        <v>2044</v>
      </c>
      <c r="H419" t="s">
        <v>2045</v>
      </c>
      <c r="I419" t="s">
        <v>57</v>
      </c>
      <c r="J419" s="63">
        <v>14</v>
      </c>
      <c r="K419" s="25">
        <v>6901689.9368112804</v>
      </c>
      <c r="L419" s="17">
        <v>5.4271965079364069E-2</v>
      </c>
      <c r="M419" s="63">
        <v>12</v>
      </c>
      <c r="N419" s="25">
        <v>7310460.15075434</v>
      </c>
      <c r="O419" s="17">
        <v>5.2722645108939321E-2</v>
      </c>
      <c r="P419" s="63">
        <v>15</v>
      </c>
      <c r="Q419" s="25">
        <v>6323557.2097381996</v>
      </c>
      <c r="R419" s="66">
        <v>5.1779886207437717E-2</v>
      </c>
      <c r="S419" s="77">
        <f t="shared" si="6"/>
        <v>5.29248321319137E-2</v>
      </c>
      <c r="V419" s="80"/>
    </row>
    <row r="420" spans="1:22" x14ac:dyDescent="0.25">
      <c r="A420" s="18" t="s">
        <v>2183</v>
      </c>
      <c r="B420" s="18" t="s">
        <v>2180</v>
      </c>
      <c r="C420" s="18" t="s">
        <v>2182</v>
      </c>
      <c r="D420" t="s">
        <v>2181</v>
      </c>
      <c r="E420" s="13" t="s">
        <v>2184</v>
      </c>
      <c r="F420" s="4" t="s">
        <v>2044</v>
      </c>
      <c r="H420" t="s">
        <v>2052</v>
      </c>
      <c r="I420" t="s">
        <v>23</v>
      </c>
      <c r="J420" s="63">
        <v>9</v>
      </c>
      <c r="K420" s="25">
        <v>3203963.8942890698</v>
      </c>
      <c r="L420" s="17">
        <v>4.8881100450772812E-2</v>
      </c>
      <c r="M420" s="63">
        <v>11</v>
      </c>
      <c r="N420" s="25">
        <v>3835103.3829840799</v>
      </c>
      <c r="O420" s="17">
        <v>5.3661500355568333E-2</v>
      </c>
      <c r="P420" s="63">
        <v>8</v>
      </c>
      <c r="Q420" s="25">
        <v>3165352.99741966</v>
      </c>
      <c r="R420" s="66">
        <v>5.0286921290122154E-2</v>
      </c>
      <c r="S420" s="77">
        <f t="shared" si="6"/>
        <v>5.0943174032154433E-2</v>
      </c>
      <c r="V420" s="80"/>
    </row>
    <row r="421" spans="1:22" x14ac:dyDescent="0.25">
      <c r="A421" s="18" t="s">
        <v>2146</v>
      </c>
      <c r="B421" s="18" t="s">
        <v>2143</v>
      </c>
      <c r="C421" s="18" t="s">
        <v>2145</v>
      </c>
      <c r="D421" t="s">
        <v>2144</v>
      </c>
      <c r="E421" s="13" t="s">
        <v>2147</v>
      </c>
      <c r="F421" s="4" t="s">
        <v>2044</v>
      </c>
      <c r="H421" t="s">
        <v>2045</v>
      </c>
      <c r="I421" t="s">
        <v>2148</v>
      </c>
      <c r="J421" s="63">
        <v>12</v>
      </c>
      <c r="K421" s="25">
        <v>5916542.73849787</v>
      </c>
      <c r="L421" s="17">
        <v>5.4893740721114866E-2</v>
      </c>
      <c r="M421" s="63">
        <v>9</v>
      </c>
      <c r="N421" s="25">
        <v>5083872.3688414302</v>
      </c>
      <c r="O421" s="17">
        <v>4.3259533716372887E-2</v>
      </c>
      <c r="P421" s="63">
        <v>9</v>
      </c>
      <c r="Q421" s="25">
        <v>4782945.7205279795</v>
      </c>
      <c r="R421" s="66">
        <v>4.6209344749821218E-2</v>
      </c>
      <c r="S421" s="77">
        <f t="shared" si="6"/>
        <v>4.8120873062436322E-2</v>
      </c>
      <c r="V421" s="80"/>
    </row>
    <row r="422" spans="1:22" x14ac:dyDescent="0.25">
      <c r="A422" s="18" t="s">
        <v>2192</v>
      </c>
      <c r="B422" s="18" t="s">
        <v>2189</v>
      </c>
      <c r="C422" s="18" t="s">
        <v>2191</v>
      </c>
      <c r="D422" t="s">
        <v>2190</v>
      </c>
      <c r="E422" s="13" t="s">
        <v>2193</v>
      </c>
      <c r="F422" s="4" t="s">
        <v>2044</v>
      </c>
      <c r="H422" t="s">
        <v>2045</v>
      </c>
      <c r="I422" t="s">
        <v>17</v>
      </c>
      <c r="J422" s="63">
        <v>27</v>
      </c>
      <c r="K422" s="25">
        <v>16177864.0542506</v>
      </c>
      <c r="L422" s="17">
        <v>4.6421154325233194E-2</v>
      </c>
      <c r="M422" s="63">
        <v>18</v>
      </c>
      <c r="N422" s="25">
        <v>12109257.967334099</v>
      </c>
      <c r="O422" s="17">
        <v>3.1867255283969595E-2</v>
      </c>
      <c r="P422" s="63">
        <v>26</v>
      </c>
      <c r="Q422" s="25">
        <v>18093103.467432</v>
      </c>
      <c r="R422" s="66">
        <v>5.4061408687074333E-2</v>
      </c>
      <c r="S422" s="77">
        <f t="shared" si="6"/>
        <v>4.4116606098759038E-2</v>
      </c>
      <c r="V422" s="80"/>
    </row>
    <row r="423" spans="1:22" x14ac:dyDescent="0.25">
      <c r="A423" s="18" t="s">
        <v>2067</v>
      </c>
      <c r="B423" s="18" t="s">
        <v>2064</v>
      </c>
      <c r="C423" s="18" t="s">
        <v>2066</v>
      </c>
      <c r="D423" t="s">
        <v>2065</v>
      </c>
      <c r="E423" s="13" t="s">
        <v>2068</v>
      </c>
      <c r="F423" s="4" t="s">
        <v>2044</v>
      </c>
      <c r="H423" t="s">
        <v>2069</v>
      </c>
      <c r="I423" t="s">
        <v>41</v>
      </c>
      <c r="J423" s="63">
        <v>1</v>
      </c>
      <c r="K423" s="25">
        <v>660011.16484478104</v>
      </c>
      <c r="L423" s="17">
        <v>3.5746456435557392E-2</v>
      </c>
      <c r="M423" s="63">
        <v>2</v>
      </c>
      <c r="N423" s="25">
        <v>931845.02017505805</v>
      </c>
      <c r="O423" s="17">
        <v>4.6286866076880991E-2</v>
      </c>
      <c r="P423" s="63">
        <v>1</v>
      </c>
      <c r="Q423" s="25">
        <v>661713.99393406103</v>
      </c>
      <c r="R423" s="66">
        <v>3.7319135156850911E-2</v>
      </c>
      <c r="S423" s="77">
        <f t="shared" si="6"/>
        <v>3.9784152556429767E-2</v>
      </c>
      <c r="V423" s="80"/>
    </row>
    <row r="424" spans="1:22" x14ac:dyDescent="0.25">
      <c r="A424" s="18" t="s">
        <v>2158</v>
      </c>
      <c r="B424" s="18" t="s">
        <v>2155</v>
      </c>
      <c r="C424" s="18" t="s">
        <v>2157</v>
      </c>
      <c r="D424" t="s">
        <v>2156</v>
      </c>
      <c r="E424" s="13" t="s">
        <v>2147</v>
      </c>
      <c r="F424" s="4" t="s">
        <v>2044</v>
      </c>
      <c r="H424" t="s">
        <v>2045</v>
      </c>
      <c r="I424" t="s">
        <v>2148</v>
      </c>
      <c r="J424" s="63">
        <v>8</v>
      </c>
      <c r="K424" s="25">
        <v>4526603.9224026296</v>
      </c>
      <c r="L424" s="17">
        <v>4.1203797481759452E-2</v>
      </c>
      <c r="M424" s="63">
        <v>10</v>
      </c>
      <c r="N424" s="25">
        <v>4674006.1030564401</v>
      </c>
      <c r="O424" s="17">
        <v>3.9019922092875879E-2</v>
      </c>
      <c r="P424" s="63">
        <v>8</v>
      </c>
      <c r="Q424" s="25">
        <v>4109435.41012045</v>
      </c>
      <c r="R424" s="66">
        <v>3.8951702507463791E-2</v>
      </c>
      <c r="S424" s="77">
        <f t="shared" si="6"/>
        <v>3.9725140694033045E-2</v>
      </c>
      <c r="V424" s="80"/>
    </row>
    <row r="425" spans="1:22" x14ac:dyDescent="0.25">
      <c r="A425" s="18" t="s">
        <v>2152</v>
      </c>
      <c r="B425" s="18" t="s">
        <v>2149</v>
      </c>
      <c r="C425" s="18" t="s">
        <v>2151</v>
      </c>
      <c r="D425" t="s">
        <v>2150</v>
      </c>
      <c r="E425" s="13" t="s">
        <v>2153</v>
      </c>
      <c r="F425" s="4" t="s">
        <v>2044</v>
      </c>
      <c r="G425" t="s">
        <v>2154</v>
      </c>
      <c r="H425" t="s">
        <v>2045</v>
      </c>
      <c r="I425" t="s">
        <v>17</v>
      </c>
      <c r="J425" s="63">
        <v>5</v>
      </c>
      <c r="K425" s="25">
        <v>3130082.3376426902</v>
      </c>
      <c r="L425" s="17">
        <v>3.0071211230454763E-2</v>
      </c>
      <c r="M425" s="63">
        <v>5</v>
      </c>
      <c r="N425" s="25">
        <v>3383834.8842586102</v>
      </c>
      <c r="O425" s="17">
        <v>2.9815129289331024E-2</v>
      </c>
      <c r="P425" s="63">
        <v>4</v>
      </c>
      <c r="Q425" s="25">
        <v>2776194.6063468899</v>
      </c>
      <c r="R425" s="66">
        <v>2.7773115660918123E-2</v>
      </c>
      <c r="S425" s="77">
        <f t="shared" si="6"/>
        <v>2.9219818726901301E-2</v>
      </c>
      <c r="V425" s="80"/>
    </row>
    <row r="426" spans="1:22" x14ac:dyDescent="0.25">
      <c r="A426" s="18" t="s">
        <v>2092</v>
      </c>
      <c r="B426" s="18" t="s">
        <v>2089</v>
      </c>
      <c r="C426" s="18" t="s">
        <v>2091</v>
      </c>
      <c r="D426" t="s">
        <v>2090</v>
      </c>
      <c r="E426" s="13" t="s">
        <v>2093</v>
      </c>
      <c r="F426" s="4" t="s">
        <v>2044</v>
      </c>
      <c r="G426" t="s">
        <v>2094</v>
      </c>
      <c r="H426" t="s">
        <v>2045</v>
      </c>
      <c r="I426" t="s">
        <v>17</v>
      </c>
      <c r="J426" s="63">
        <v>7</v>
      </c>
      <c r="K426" s="25">
        <v>3566577.5876782602</v>
      </c>
      <c r="L426" s="17">
        <v>2.7158833398336923E-2</v>
      </c>
      <c r="M426" s="63">
        <v>4</v>
      </c>
      <c r="N426" s="25">
        <v>3576875.7968367999</v>
      </c>
      <c r="O426" s="17">
        <v>2.4980186079211066E-2</v>
      </c>
      <c r="P426" s="63">
        <v>7</v>
      </c>
      <c r="Q426" s="25">
        <v>3077948.7675743499</v>
      </c>
      <c r="R426" s="66">
        <v>2.4406210847440418E-2</v>
      </c>
      <c r="S426" s="77">
        <f t="shared" si="6"/>
        <v>2.5515076774996134E-2</v>
      </c>
      <c r="V426" s="80"/>
    </row>
    <row r="427" spans="1:22" x14ac:dyDescent="0.25">
      <c r="A427" s="18" t="s">
        <v>2131</v>
      </c>
      <c r="B427" s="18" t="s">
        <v>2128</v>
      </c>
      <c r="C427" s="18" t="s">
        <v>2130</v>
      </c>
      <c r="D427" t="s">
        <v>2129</v>
      </c>
      <c r="E427" s="13" t="s">
        <v>2132</v>
      </c>
      <c r="F427" s="4" t="s">
        <v>2044</v>
      </c>
      <c r="H427" t="s">
        <v>2045</v>
      </c>
      <c r="I427" t="s">
        <v>2127</v>
      </c>
      <c r="J427" s="63">
        <v>7</v>
      </c>
      <c r="K427" s="25">
        <v>2421686.2417246001</v>
      </c>
      <c r="L427" s="17">
        <v>2.9227732713932687E-2</v>
      </c>
      <c r="M427" s="63">
        <v>4</v>
      </c>
      <c r="N427" s="25">
        <v>2004864.6908444699</v>
      </c>
      <c r="O427" s="17">
        <v>2.2191910600271418E-2</v>
      </c>
      <c r="P427" s="63">
        <v>5</v>
      </c>
      <c r="Q427" s="25">
        <v>1823715.8738059299</v>
      </c>
      <c r="R427" s="66">
        <v>2.2919965955605737E-2</v>
      </c>
      <c r="S427" s="77">
        <f t="shared" si="6"/>
        <v>2.477986975660328E-2</v>
      </c>
      <c r="V427" s="80"/>
    </row>
    <row r="428" spans="1:22" x14ac:dyDescent="0.25">
      <c r="A428" s="18" t="s">
        <v>2120</v>
      </c>
      <c r="B428" s="18" t="s">
        <v>2117</v>
      </c>
      <c r="C428" s="18" t="s">
        <v>2119</v>
      </c>
      <c r="D428" t="s">
        <v>2118</v>
      </c>
      <c r="E428" s="13" t="s">
        <v>2121</v>
      </c>
      <c r="F428" s="4" t="s">
        <v>2044</v>
      </c>
      <c r="H428" t="s">
        <v>2058</v>
      </c>
      <c r="I428" t="s">
        <v>23</v>
      </c>
      <c r="J428" s="63">
        <v>2</v>
      </c>
      <c r="K428" s="25">
        <v>1195950.2039813199</v>
      </c>
      <c r="L428" s="17">
        <v>2.2239697585585735E-2</v>
      </c>
      <c r="M428" s="63">
        <v>2</v>
      </c>
      <c r="N428" s="25">
        <v>1562338.5174783</v>
      </c>
      <c r="O428" s="17">
        <v>2.6645464429787054E-2</v>
      </c>
      <c r="P428" s="63">
        <v>2</v>
      </c>
      <c r="Q428" s="25">
        <v>1098629.0756204501</v>
      </c>
      <c r="R428" s="66">
        <v>2.1273865349720197E-2</v>
      </c>
      <c r="S428" s="77">
        <f t="shared" si="6"/>
        <v>2.3386342455030993E-2</v>
      </c>
      <c r="V428" s="80"/>
    </row>
    <row r="429" spans="1:22" x14ac:dyDescent="0.25">
      <c r="A429" s="18" t="s">
        <v>2167</v>
      </c>
      <c r="B429" s="18" t="s">
        <v>2164</v>
      </c>
      <c r="C429" s="18" t="s">
        <v>2166</v>
      </c>
      <c r="D429" t="s">
        <v>2165</v>
      </c>
      <c r="E429" s="13" t="s">
        <v>2168</v>
      </c>
      <c r="F429" s="4" t="s">
        <v>2044</v>
      </c>
      <c r="H429" t="s">
        <v>2045</v>
      </c>
      <c r="I429" t="s">
        <v>17</v>
      </c>
      <c r="J429" s="63">
        <v>6</v>
      </c>
      <c r="K429" s="25">
        <v>2881988.0429634899</v>
      </c>
      <c r="L429" s="17">
        <v>2.364993510324884E-2</v>
      </c>
      <c r="M429" s="63">
        <v>9</v>
      </c>
      <c r="N429" s="25">
        <v>2660810.8368532099</v>
      </c>
      <c r="O429" s="17">
        <v>2.0025536207304327E-2</v>
      </c>
      <c r="P429" s="63">
        <v>6</v>
      </c>
      <c r="Q429" s="25">
        <v>2462473.20232879</v>
      </c>
      <c r="R429" s="66">
        <v>2.1042087829635403E-2</v>
      </c>
      <c r="S429" s="77">
        <f t="shared" si="6"/>
        <v>2.1572519713396188E-2</v>
      </c>
      <c r="V429" s="80"/>
    </row>
    <row r="430" spans="1:22" x14ac:dyDescent="0.25">
      <c r="A430" s="18" t="s">
        <v>2161</v>
      </c>
      <c r="B430" s="18" t="s">
        <v>8134</v>
      </c>
      <c r="C430" s="18" t="s">
        <v>2160</v>
      </c>
      <c r="D430" t="s">
        <v>2159</v>
      </c>
      <c r="E430" s="13" t="s">
        <v>2162</v>
      </c>
      <c r="F430" s="4" t="s">
        <v>2044</v>
      </c>
      <c r="G430" t="s">
        <v>2163</v>
      </c>
      <c r="H430" t="s">
        <v>2058</v>
      </c>
      <c r="I430" t="s">
        <v>12</v>
      </c>
      <c r="J430" s="63">
        <v>3</v>
      </c>
      <c r="K430" s="25">
        <v>1427775.0766006899</v>
      </c>
      <c r="L430" s="17">
        <v>1.9955830385515096E-2</v>
      </c>
      <c r="M430" s="63">
        <v>3</v>
      </c>
      <c r="N430" s="25">
        <v>1462587.10877038</v>
      </c>
      <c r="O430" s="17">
        <v>1.8748396211874147E-2</v>
      </c>
      <c r="P430" s="63">
        <v>3</v>
      </c>
      <c r="Q430" s="25">
        <v>1226807.1628656101</v>
      </c>
      <c r="R430" s="66">
        <v>1.7855246396604813E-2</v>
      </c>
      <c r="S430" s="77">
        <f t="shared" si="6"/>
        <v>1.8853157664664683E-2</v>
      </c>
      <c r="V430" s="80"/>
    </row>
    <row r="431" spans="1:22" x14ac:dyDescent="0.25">
      <c r="A431" s="18" t="s">
        <v>2177</v>
      </c>
      <c r="B431" s="18" t="s">
        <v>2174</v>
      </c>
      <c r="C431" s="18" t="s">
        <v>2176</v>
      </c>
      <c r="D431" t="s">
        <v>2175</v>
      </c>
      <c r="E431" s="13" t="s">
        <v>2178</v>
      </c>
      <c r="F431" s="4" t="s">
        <v>2044</v>
      </c>
      <c r="H431" t="s">
        <v>2179</v>
      </c>
      <c r="I431" t="s">
        <v>23</v>
      </c>
      <c r="J431" s="63">
        <v>3</v>
      </c>
      <c r="K431" s="25">
        <v>893079.939912025</v>
      </c>
      <c r="L431" s="17">
        <v>1.7914648219425025E-2</v>
      </c>
      <c r="M431" s="63">
        <v>3</v>
      </c>
      <c r="N431" s="25">
        <v>1076255.7028234899</v>
      </c>
      <c r="O431" s="17">
        <v>1.9800027346190803E-2</v>
      </c>
      <c r="P431" s="63">
        <v>4</v>
      </c>
      <c r="Q431" s="25">
        <v>713011.56914975902</v>
      </c>
      <c r="R431" s="66">
        <v>1.489340721185627E-2</v>
      </c>
      <c r="S431" s="77">
        <f t="shared" si="6"/>
        <v>1.7536027592490702E-2</v>
      </c>
      <c r="V431" s="80"/>
    </row>
    <row r="432" spans="1:22" x14ac:dyDescent="0.25">
      <c r="A432" s="18" t="s">
        <v>2172</v>
      </c>
      <c r="B432" s="18" t="s">
        <v>2169</v>
      </c>
      <c r="C432" s="18" t="s">
        <v>2171</v>
      </c>
      <c r="D432" t="s">
        <v>2170</v>
      </c>
      <c r="E432" s="13" t="s">
        <v>2173</v>
      </c>
      <c r="F432" s="4" t="s">
        <v>2044</v>
      </c>
      <c r="H432" t="s">
        <v>2045</v>
      </c>
      <c r="I432" t="s">
        <v>2148</v>
      </c>
      <c r="J432" s="63">
        <v>1</v>
      </c>
      <c r="K432" s="25">
        <v>1198230.5141769601</v>
      </c>
      <c r="L432" s="17">
        <v>1.1745994875654541E-2</v>
      </c>
      <c r="M432" s="63">
        <v>2</v>
      </c>
      <c r="N432" s="25">
        <v>1245635.5054277801</v>
      </c>
      <c r="O432" s="17">
        <v>1.119883342843076E-2</v>
      </c>
      <c r="P432" s="63">
        <v>1</v>
      </c>
      <c r="Q432" s="25">
        <v>1024931.11558575</v>
      </c>
      <c r="R432" s="66">
        <v>1.0462215157392664E-2</v>
      </c>
      <c r="S432" s="77">
        <f t="shared" si="6"/>
        <v>1.1135681153825988E-2</v>
      </c>
      <c r="V432" s="80"/>
    </row>
    <row r="433" spans="1:22" x14ac:dyDescent="0.25">
      <c r="A433" s="18" t="s">
        <v>2082</v>
      </c>
      <c r="B433" s="18" t="s">
        <v>2079</v>
      </c>
      <c r="C433" s="18" t="s">
        <v>2081</v>
      </c>
      <c r="D433" t="s">
        <v>2080</v>
      </c>
      <c r="E433" s="13" t="s">
        <v>2083</v>
      </c>
      <c r="F433" s="4" t="s">
        <v>2044</v>
      </c>
      <c r="H433" t="s">
        <v>2045</v>
      </c>
      <c r="I433" t="s">
        <v>17</v>
      </c>
      <c r="J433" s="63">
        <v>6</v>
      </c>
      <c r="K433" s="25">
        <v>1283863.9714524599</v>
      </c>
      <c r="L433" s="17">
        <v>1.2307002194183691E-2</v>
      </c>
      <c r="M433" s="63">
        <v>4</v>
      </c>
      <c r="N433" s="25">
        <v>1014881.9116021</v>
      </c>
      <c r="O433" s="17">
        <v>8.9223889800732151E-3</v>
      </c>
      <c r="P433" s="63">
        <v>1</v>
      </c>
      <c r="Q433" s="25">
        <v>916666.64763602905</v>
      </c>
      <c r="R433" s="66">
        <v>9.1500661504143998E-3</v>
      </c>
      <c r="S433" s="77">
        <f t="shared" si="6"/>
        <v>1.0126485774890436E-2</v>
      </c>
      <c r="V433" s="80"/>
    </row>
    <row r="434" spans="1:22" x14ac:dyDescent="0.25">
      <c r="A434" s="18" t="s">
        <v>2056</v>
      </c>
      <c r="B434" s="18" t="s">
        <v>2053</v>
      </c>
      <c r="C434" s="18" t="s">
        <v>2055</v>
      </c>
      <c r="D434" t="s">
        <v>2054</v>
      </c>
      <c r="E434" s="13" t="s">
        <v>2057</v>
      </c>
      <c r="F434" s="4" t="s">
        <v>2044</v>
      </c>
      <c r="H434" t="s">
        <v>2058</v>
      </c>
      <c r="I434" t="s">
        <v>41</v>
      </c>
      <c r="J434" s="63">
        <v>1</v>
      </c>
      <c r="K434" s="25">
        <v>660884.72277839005</v>
      </c>
      <c r="L434" s="17">
        <v>9.3885294862799239E-3</v>
      </c>
      <c r="M434" s="63">
        <v>2</v>
      </c>
      <c r="N434" s="25">
        <v>634029.17483933596</v>
      </c>
      <c r="O434" s="17">
        <v>8.2606358654031369E-3</v>
      </c>
      <c r="P434" s="63">
        <v>1</v>
      </c>
      <c r="Q434" s="25">
        <v>701115.41618867195</v>
      </c>
      <c r="R434" s="66">
        <v>1.0371484334360033E-2</v>
      </c>
      <c r="S434" s="77">
        <f t="shared" si="6"/>
        <v>9.340216562014364E-3</v>
      </c>
      <c r="V434" s="80"/>
    </row>
    <row r="435" spans="1:22" x14ac:dyDescent="0.25">
      <c r="A435" s="18" t="s">
        <v>2077</v>
      </c>
      <c r="B435" s="18" t="s">
        <v>2074</v>
      </c>
      <c r="C435" s="18" t="s">
        <v>2076</v>
      </c>
      <c r="D435" t="s">
        <v>2075</v>
      </c>
      <c r="E435" s="13" t="s">
        <v>2078</v>
      </c>
      <c r="F435" s="4" t="s">
        <v>2044</v>
      </c>
      <c r="H435" t="s">
        <v>2052</v>
      </c>
      <c r="I435" t="s">
        <v>716</v>
      </c>
      <c r="J435" s="63">
        <v>4</v>
      </c>
      <c r="K435" s="25">
        <v>1070162.2838663601</v>
      </c>
      <c r="L435" s="17">
        <v>8.1778338603739134E-3</v>
      </c>
      <c r="M435" s="63">
        <v>2</v>
      </c>
      <c r="N435" s="25">
        <v>1192226.22135436</v>
      </c>
      <c r="O435" s="17">
        <v>8.3556393394097692E-3</v>
      </c>
      <c r="P435" s="63">
        <v>2</v>
      </c>
      <c r="Q435" s="25">
        <v>1090584.8648731899</v>
      </c>
      <c r="R435" s="66">
        <v>8.6781598581178142E-3</v>
      </c>
      <c r="S435" s="77">
        <f t="shared" si="6"/>
        <v>8.4038776859671656E-3</v>
      </c>
      <c r="V435" s="80"/>
    </row>
    <row r="436" spans="1:22" x14ac:dyDescent="0.25">
      <c r="A436" s="18" t="s">
        <v>2098</v>
      </c>
      <c r="B436" s="18" t="s">
        <v>2095</v>
      </c>
      <c r="C436" s="18" t="s">
        <v>2097</v>
      </c>
      <c r="D436" t="s">
        <v>2096</v>
      </c>
      <c r="E436" s="13" t="s">
        <v>2099</v>
      </c>
      <c r="F436" s="4" t="s">
        <v>2044</v>
      </c>
      <c r="G436" t="s">
        <v>2100</v>
      </c>
      <c r="H436" t="s">
        <v>2045</v>
      </c>
      <c r="I436" t="s">
        <v>17</v>
      </c>
      <c r="J436" s="63">
        <v>2</v>
      </c>
      <c r="K436" s="25">
        <v>423741.67308989202</v>
      </c>
      <c r="L436" s="17">
        <v>5.8846181133377969E-3</v>
      </c>
      <c r="M436" s="63">
        <v>1</v>
      </c>
      <c r="N436" s="25">
        <v>512851.07083153399</v>
      </c>
      <c r="O436" s="17">
        <v>6.5319183624037488E-3</v>
      </c>
      <c r="P436" s="63">
        <v>1</v>
      </c>
      <c r="Q436" s="25">
        <v>402247.96689242602</v>
      </c>
      <c r="R436" s="66">
        <v>5.8168853259471971E-3</v>
      </c>
      <c r="S436" s="77">
        <f t="shared" si="6"/>
        <v>6.0778072672295807E-3</v>
      </c>
      <c r="V436" s="80"/>
    </row>
    <row r="437" spans="1:22" x14ac:dyDescent="0.25">
      <c r="A437" s="18" t="s">
        <v>2049</v>
      </c>
      <c r="B437" s="18" t="s">
        <v>2046</v>
      </c>
      <c r="C437" s="18" t="s">
        <v>2048</v>
      </c>
      <c r="D437" t="s">
        <v>2047</v>
      </c>
      <c r="E437" s="13" t="s">
        <v>2050</v>
      </c>
      <c r="F437" s="4" t="s">
        <v>2044</v>
      </c>
      <c r="G437" t="s">
        <v>2051</v>
      </c>
      <c r="H437" t="s">
        <v>2052</v>
      </c>
      <c r="I437" t="s">
        <v>41</v>
      </c>
      <c r="J437" s="63">
        <v>2</v>
      </c>
      <c r="K437" s="25">
        <v>447747.48632345302</v>
      </c>
      <c r="L437" s="17">
        <v>4.050133552111302E-3</v>
      </c>
      <c r="M437" s="63">
        <v>1</v>
      </c>
      <c r="N437" s="25">
        <v>453354.203822646</v>
      </c>
      <c r="O437" s="17">
        <v>3.7610249051727926E-3</v>
      </c>
      <c r="P437" s="63">
        <v>1</v>
      </c>
      <c r="Q437" s="25">
        <v>401684.32585646602</v>
      </c>
      <c r="R437" s="66">
        <v>3.7835598703126645E-3</v>
      </c>
      <c r="S437" s="77">
        <f t="shared" si="6"/>
        <v>3.8649061091989199E-3</v>
      </c>
      <c r="V437" s="80"/>
    </row>
    <row r="438" spans="1:22" x14ac:dyDescent="0.25">
      <c r="A438" s="18" t="s">
        <v>2110</v>
      </c>
      <c r="B438" s="18" t="s">
        <v>2107</v>
      </c>
      <c r="C438" s="18" t="s">
        <v>2109</v>
      </c>
      <c r="D438" t="s">
        <v>2108</v>
      </c>
      <c r="E438" s="13" t="s">
        <v>2083</v>
      </c>
      <c r="F438" s="4" t="s">
        <v>2044</v>
      </c>
      <c r="H438" t="s">
        <v>2045</v>
      </c>
      <c r="I438" t="s">
        <v>17</v>
      </c>
      <c r="J438" s="63">
        <v>2</v>
      </c>
      <c r="K438" s="25">
        <v>267345.73254213302</v>
      </c>
      <c r="L438" s="17">
        <v>2.6752049603629311E-3</v>
      </c>
      <c r="M438" s="63">
        <v>1</v>
      </c>
      <c r="N438" s="25">
        <v>219965.84026547099</v>
      </c>
      <c r="O438" s="17">
        <v>2.0186983181793724E-3</v>
      </c>
      <c r="P438" s="63">
        <v>1</v>
      </c>
      <c r="Q438" s="25">
        <v>211443.045142227</v>
      </c>
      <c r="R438" s="66">
        <v>2.2032143264295438E-3</v>
      </c>
      <c r="S438" s="77">
        <f t="shared" si="6"/>
        <v>2.2990392016572821E-3</v>
      </c>
      <c r="V438" s="80"/>
    </row>
    <row r="439" spans="1:22" x14ac:dyDescent="0.25">
      <c r="A439" s="71" t="s">
        <v>2197</v>
      </c>
      <c r="B439" s="71" t="s">
        <v>2194</v>
      </c>
      <c r="C439" s="71" t="s">
        <v>2196</v>
      </c>
      <c r="D439" s="16" t="s">
        <v>2195</v>
      </c>
      <c r="E439" s="45" t="s">
        <v>2198</v>
      </c>
      <c r="F439" s="41" t="s">
        <v>2044</v>
      </c>
      <c r="G439" s="16"/>
      <c r="H439" s="16" t="s">
        <v>2199</v>
      </c>
      <c r="I439" s="16" t="s">
        <v>41</v>
      </c>
      <c r="J439" s="72">
        <v>0</v>
      </c>
      <c r="K439" s="73">
        <v>100563.871264945</v>
      </c>
      <c r="L439" s="30">
        <v>1.3448339816571567E-3</v>
      </c>
      <c r="M439" s="72">
        <v>0</v>
      </c>
      <c r="N439" s="73">
        <v>108556.53523314701</v>
      </c>
      <c r="O439" s="30">
        <v>1.3314198850608713E-3</v>
      </c>
      <c r="P439" s="72">
        <v>2</v>
      </c>
      <c r="Q439" s="73">
        <v>121245.76934976</v>
      </c>
      <c r="R439" s="74">
        <v>1.6883901970848303E-3</v>
      </c>
      <c r="S439" s="78">
        <f t="shared" si="6"/>
        <v>1.4548813546009527E-3</v>
      </c>
      <c r="T439" s="58"/>
      <c r="U439" s="58"/>
      <c r="V439" s="81"/>
    </row>
    <row r="440" spans="1:22" x14ac:dyDescent="0.25">
      <c r="A440" s="18" t="s">
        <v>2260</v>
      </c>
      <c r="B440" s="18" t="s">
        <v>8136</v>
      </c>
      <c r="C440" s="18" t="s">
        <v>2259</v>
      </c>
      <c r="D440" t="s">
        <v>2258</v>
      </c>
      <c r="E440" s="13" t="s">
        <v>2252</v>
      </c>
      <c r="F440" s="5" t="s">
        <v>2204</v>
      </c>
      <c r="I440" t="s">
        <v>2127</v>
      </c>
      <c r="J440" s="63">
        <v>16</v>
      </c>
      <c r="K440" s="25">
        <v>24197773.458421402</v>
      </c>
      <c r="L440" s="17">
        <v>0.37444589721334337</v>
      </c>
      <c r="M440" s="63">
        <v>13</v>
      </c>
      <c r="N440" s="25">
        <v>24475651.802940302</v>
      </c>
      <c r="O440" s="17">
        <v>0.34736040332244511</v>
      </c>
      <c r="P440" s="63">
        <v>14</v>
      </c>
      <c r="Q440" s="25">
        <v>23343417.550664399</v>
      </c>
      <c r="R440" s="66">
        <v>0.37614703744774758</v>
      </c>
      <c r="S440" s="77">
        <f t="shared" si="6"/>
        <v>0.36598444599451202</v>
      </c>
      <c r="T440" s="20">
        <f>SUM('R. pomeroyi'!L440:L451)</f>
        <v>1.1200762985583066</v>
      </c>
      <c r="U440" s="20">
        <f>SUM('R. pomeroyi'!O440:O451)</f>
        <v>1.0786876397772929</v>
      </c>
      <c r="V440" s="80">
        <f>SUM('R. pomeroyi'!R440:R451)</f>
        <v>1.1904590361533951</v>
      </c>
    </row>
    <row r="441" spans="1:22" x14ac:dyDescent="0.25">
      <c r="A441" s="18" t="s">
        <v>2200</v>
      </c>
      <c r="B441" s="18" t="s">
        <v>8135</v>
      </c>
      <c r="C441" s="18" t="s">
        <v>2202</v>
      </c>
      <c r="D441" t="s">
        <v>2201</v>
      </c>
      <c r="E441" s="13" t="s">
        <v>2203</v>
      </c>
      <c r="F441" s="5" t="s">
        <v>2204</v>
      </c>
      <c r="I441" t="s">
        <v>23</v>
      </c>
      <c r="J441" s="63">
        <v>29</v>
      </c>
      <c r="K441" s="25">
        <v>43637362.343464799</v>
      </c>
      <c r="L441" s="17">
        <v>0.25865019853225441</v>
      </c>
      <c r="M441" s="63">
        <v>30</v>
      </c>
      <c r="N441" s="25">
        <v>43550609.1928</v>
      </c>
      <c r="O441" s="17">
        <v>0.23674506398117562</v>
      </c>
      <c r="P441" s="63">
        <v>35</v>
      </c>
      <c r="Q441" s="25">
        <v>45252366.4417096</v>
      </c>
      <c r="R441" s="66">
        <v>0.27930271467772017</v>
      </c>
      <c r="S441" s="77">
        <f t="shared" si="6"/>
        <v>0.25823265906371673</v>
      </c>
      <c r="T441" s="20" t="s">
        <v>8174</v>
      </c>
      <c r="U441" s="69">
        <f>AVERAGE(T440:V440)</f>
        <v>1.1297409914963314</v>
      </c>
      <c r="V441" s="80"/>
    </row>
    <row r="442" spans="1:22" x14ac:dyDescent="0.25">
      <c r="A442" s="18" t="s">
        <v>2251</v>
      </c>
      <c r="B442" s="18" t="s">
        <v>2248</v>
      </c>
      <c r="C442" s="18" t="s">
        <v>2250</v>
      </c>
      <c r="D442" t="s">
        <v>2249</v>
      </c>
      <c r="E442" s="13" t="s">
        <v>2252</v>
      </c>
      <c r="F442" s="5" t="s">
        <v>2204</v>
      </c>
      <c r="I442" t="s">
        <v>2127</v>
      </c>
      <c r="J442" s="63">
        <v>5</v>
      </c>
      <c r="K442" s="25">
        <v>5650244.5725517897</v>
      </c>
      <c r="L442" s="17">
        <v>0.17001077845442139</v>
      </c>
      <c r="M442" s="63">
        <v>6</v>
      </c>
      <c r="N442" s="25">
        <v>6975781.24293995</v>
      </c>
      <c r="O442" s="17">
        <v>0.19250164111870213</v>
      </c>
      <c r="P442" s="63">
        <v>5</v>
      </c>
      <c r="Q442" s="25">
        <v>7030070.7704262799</v>
      </c>
      <c r="R442" s="66">
        <v>0.22026649617406607</v>
      </c>
      <c r="S442" s="77">
        <f t="shared" si="6"/>
        <v>0.19425963858239656</v>
      </c>
      <c r="T442" s="20" t="s">
        <v>8085</v>
      </c>
      <c r="U442" s="70">
        <f>STDEV(T440:V440)</f>
        <v>5.6508990250717372E-2</v>
      </c>
      <c r="V442" s="80"/>
    </row>
    <row r="443" spans="1:22" x14ac:dyDescent="0.25">
      <c r="A443" s="18" t="s">
        <v>2214</v>
      </c>
      <c r="B443" s="18" t="s">
        <v>2211</v>
      </c>
      <c r="C443" s="18" t="s">
        <v>2213</v>
      </c>
      <c r="D443" t="s">
        <v>2212</v>
      </c>
      <c r="E443" s="13" t="s">
        <v>2215</v>
      </c>
      <c r="F443" s="5" t="s">
        <v>2204</v>
      </c>
      <c r="I443" t="s">
        <v>1055</v>
      </c>
      <c r="J443" s="63">
        <v>6</v>
      </c>
      <c r="K443" s="25">
        <v>6949865.99482866</v>
      </c>
      <c r="L443" s="17">
        <v>9.6206362469546072E-2</v>
      </c>
      <c r="M443" s="63">
        <v>6</v>
      </c>
      <c r="N443" s="25">
        <v>6775882.92988066</v>
      </c>
      <c r="O443" s="17">
        <v>8.6025188289361398E-2</v>
      </c>
      <c r="P443" s="63">
        <v>6</v>
      </c>
      <c r="Q443" s="25">
        <v>6798729.2233774103</v>
      </c>
      <c r="R443" s="66">
        <v>9.8001933852056133E-2</v>
      </c>
      <c r="S443" s="77">
        <f t="shared" si="6"/>
        <v>9.3411161536987863E-2</v>
      </c>
      <c r="V443" s="80"/>
    </row>
    <row r="444" spans="1:22" x14ac:dyDescent="0.25">
      <c r="A444" s="18" t="s">
        <v>2256</v>
      </c>
      <c r="B444" s="18" t="s">
        <v>2253</v>
      </c>
      <c r="C444" s="18" t="s">
        <v>2255</v>
      </c>
      <c r="D444" t="s">
        <v>2254</v>
      </c>
      <c r="E444" s="13" t="s">
        <v>2257</v>
      </c>
      <c r="F444" s="5" t="s">
        <v>2204</v>
      </c>
      <c r="I444" t="s">
        <v>1055</v>
      </c>
      <c r="J444" s="63">
        <v>5</v>
      </c>
      <c r="K444" s="25">
        <v>3210426.7315192102</v>
      </c>
      <c r="L444" s="17">
        <v>6.4102465006356871E-2</v>
      </c>
      <c r="M444" s="63">
        <v>5</v>
      </c>
      <c r="N444" s="25">
        <v>3262433.5243922099</v>
      </c>
      <c r="O444" s="17">
        <v>5.9742860504247659E-2</v>
      </c>
      <c r="P444" s="63">
        <v>4</v>
      </c>
      <c r="Q444" s="25">
        <v>3077716.07626198</v>
      </c>
      <c r="R444" s="66">
        <v>6.3991171023729851E-2</v>
      </c>
      <c r="S444" s="77">
        <f t="shared" si="6"/>
        <v>6.2612165511444787E-2</v>
      </c>
      <c r="V444" s="80"/>
    </row>
    <row r="445" spans="1:22" x14ac:dyDescent="0.25">
      <c r="A445" s="18" t="s">
        <v>2241</v>
      </c>
      <c r="B445" s="18" t="s">
        <v>2238</v>
      </c>
      <c r="C445" s="18" t="s">
        <v>2240</v>
      </c>
      <c r="D445" t="s">
        <v>2239</v>
      </c>
      <c r="E445" s="13" t="s">
        <v>2242</v>
      </c>
      <c r="F445" s="5" t="s">
        <v>2204</v>
      </c>
      <c r="I445" t="s">
        <v>1055</v>
      </c>
      <c r="J445" s="63">
        <v>3</v>
      </c>
      <c r="K445" s="25">
        <v>1694396.92257778</v>
      </c>
      <c r="L445" s="17">
        <v>4.7983886859796668E-2</v>
      </c>
      <c r="M445" s="63">
        <v>4</v>
      </c>
      <c r="N445" s="25">
        <v>2073755.4888536001</v>
      </c>
      <c r="O445" s="17">
        <v>5.3860476745851552E-2</v>
      </c>
      <c r="P445" s="63">
        <v>4</v>
      </c>
      <c r="Q445" s="25">
        <v>1658117.7016990101</v>
      </c>
      <c r="R445" s="66">
        <v>4.8896206137293965E-2</v>
      </c>
      <c r="S445" s="77">
        <f t="shared" si="6"/>
        <v>5.0246856580980735E-2</v>
      </c>
      <c r="V445" s="80"/>
    </row>
    <row r="446" spans="1:22" x14ac:dyDescent="0.25">
      <c r="A446" s="18" t="s">
        <v>2246</v>
      </c>
      <c r="B446" s="18" t="s">
        <v>2243</v>
      </c>
      <c r="C446" s="18" t="s">
        <v>2245</v>
      </c>
      <c r="D446" t="s">
        <v>2244</v>
      </c>
      <c r="E446" s="13" t="s">
        <v>2247</v>
      </c>
      <c r="F446" s="5" t="s">
        <v>2204</v>
      </c>
      <c r="I446" t="s">
        <v>23</v>
      </c>
      <c r="J446" s="63">
        <v>5</v>
      </c>
      <c r="K446" s="25">
        <v>2046307.36547849</v>
      </c>
      <c r="L446" s="17">
        <v>4.4554286406351805E-2</v>
      </c>
      <c r="M446" s="63">
        <v>5</v>
      </c>
      <c r="N446" s="25">
        <v>1842880.62763871</v>
      </c>
      <c r="O446" s="17">
        <v>3.6800032640865211E-2</v>
      </c>
      <c r="P446" s="63">
        <v>3</v>
      </c>
      <c r="Q446" s="25">
        <v>1824120.12934162</v>
      </c>
      <c r="R446" s="66">
        <v>4.1357244744030949E-2</v>
      </c>
      <c r="S446" s="77">
        <f t="shared" si="6"/>
        <v>4.0903854597082658E-2</v>
      </c>
      <c r="V446" s="80"/>
    </row>
    <row r="447" spans="1:22" x14ac:dyDescent="0.25">
      <c r="A447" s="18" t="s">
        <v>2225</v>
      </c>
      <c r="B447" s="18" t="s">
        <v>2222</v>
      </c>
      <c r="C447" s="18" t="s">
        <v>2224</v>
      </c>
      <c r="D447" t="s">
        <v>2223</v>
      </c>
      <c r="E447" s="13" t="s">
        <v>2226</v>
      </c>
      <c r="F447" s="5" t="s">
        <v>2204</v>
      </c>
      <c r="I447" t="s">
        <v>553</v>
      </c>
      <c r="J447" s="63">
        <v>7</v>
      </c>
      <c r="K447" s="25">
        <v>2712016.1787800398</v>
      </c>
      <c r="L447" s="17">
        <v>2.5997138174340864E-2</v>
      </c>
      <c r="M447" s="63">
        <v>6</v>
      </c>
      <c r="N447" s="25">
        <v>2754887.1545105702</v>
      </c>
      <c r="O447" s="17">
        <v>2.4219738777241647E-2</v>
      </c>
      <c r="P447" s="63">
        <v>5</v>
      </c>
      <c r="Q447" s="25">
        <v>2785432.82311932</v>
      </c>
      <c r="R447" s="66">
        <v>2.7803885583494174E-2</v>
      </c>
      <c r="S447" s="77">
        <f t="shared" si="6"/>
        <v>2.6006920845025563E-2</v>
      </c>
      <c r="V447" s="80"/>
    </row>
    <row r="448" spans="1:22" x14ac:dyDescent="0.25">
      <c r="A448" s="18" t="s">
        <v>2208</v>
      </c>
      <c r="B448" s="18" t="s">
        <v>2205</v>
      </c>
      <c r="C448" s="18" t="s">
        <v>2207</v>
      </c>
      <c r="D448" t="s">
        <v>2206</v>
      </c>
      <c r="E448" s="13" t="s">
        <v>2209</v>
      </c>
      <c r="F448" s="5" t="s">
        <v>2204</v>
      </c>
      <c r="I448" t="s">
        <v>2210</v>
      </c>
      <c r="J448" s="63">
        <v>3</v>
      </c>
      <c r="K448" s="25">
        <v>1620181.2546639401</v>
      </c>
      <c r="L448" s="17">
        <v>2.2645067028934436E-2</v>
      </c>
      <c r="M448" s="63">
        <v>2</v>
      </c>
      <c r="N448" s="25">
        <v>2050493.2623785799</v>
      </c>
      <c r="O448" s="17">
        <v>2.6284561023631494E-2</v>
      </c>
      <c r="P448" s="63">
        <v>3</v>
      </c>
      <c r="Q448" s="25">
        <v>1520778.2009262701</v>
      </c>
      <c r="R448" s="66">
        <v>2.2133771560884152E-2</v>
      </c>
      <c r="S448" s="77">
        <f t="shared" si="6"/>
        <v>2.3687799871150026E-2</v>
      </c>
      <c r="V448" s="80"/>
    </row>
    <row r="449" spans="1:22" x14ac:dyDescent="0.25">
      <c r="A449" s="18" t="s">
        <v>2230</v>
      </c>
      <c r="B449" s="18" t="s">
        <v>2227</v>
      </c>
      <c r="C449" s="18" t="s">
        <v>2229</v>
      </c>
      <c r="D449" t="s">
        <v>2228</v>
      </c>
      <c r="E449" s="13" t="s">
        <v>2231</v>
      </c>
      <c r="F449" s="5" t="s">
        <v>2204</v>
      </c>
      <c r="I449" t="s">
        <v>7</v>
      </c>
      <c r="J449" s="63">
        <v>5</v>
      </c>
      <c r="K449" s="25">
        <v>529351.686991664</v>
      </c>
      <c r="L449" s="17">
        <v>7.5447077046541695E-3</v>
      </c>
      <c r="M449" s="63">
        <v>4</v>
      </c>
      <c r="N449" s="25">
        <v>548397.59597668506</v>
      </c>
      <c r="O449" s="17">
        <v>7.1684627730002788E-3</v>
      </c>
      <c r="P449" s="63">
        <v>4</v>
      </c>
      <c r="Q449" s="25">
        <v>458673.58294024301</v>
      </c>
      <c r="R449" s="66">
        <v>6.8074017633068945E-3</v>
      </c>
      <c r="S449" s="77">
        <f t="shared" si="6"/>
        <v>7.1735240803204479E-3</v>
      </c>
      <c r="V449" s="80"/>
    </row>
    <row r="450" spans="1:22" x14ac:dyDescent="0.25">
      <c r="A450" s="18" t="s">
        <v>2235</v>
      </c>
      <c r="B450" s="18" t="s">
        <v>2232</v>
      </c>
      <c r="C450" s="18" t="s">
        <v>2234</v>
      </c>
      <c r="D450" t="s">
        <v>2233</v>
      </c>
      <c r="E450" s="13" t="s">
        <v>2236</v>
      </c>
      <c r="F450" s="5" t="s">
        <v>2204</v>
      </c>
      <c r="G450" t="s">
        <v>2237</v>
      </c>
      <c r="J450" s="63">
        <v>3</v>
      </c>
      <c r="K450" s="25">
        <v>498585.13291299599</v>
      </c>
      <c r="L450" s="17">
        <v>6.1722425082334888E-3</v>
      </c>
      <c r="M450" s="63">
        <v>2</v>
      </c>
      <c r="N450" s="25">
        <v>563458.57096744201</v>
      </c>
      <c r="O450" s="17">
        <v>6.3973191984444287E-3</v>
      </c>
      <c r="P450" s="63">
        <v>2</v>
      </c>
      <c r="Q450" s="25">
        <v>280508.90889719001</v>
      </c>
      <c r="R450" s="66">
        <v>3.6160119170339806E-3</v>
      </c>
      <c r="S450" s="77">
        <f t="shared" si="6"/>
        <v>5.3951912079039654E-3</v>
      </c>
      <c r="V450" s="80"/>
    </row>
    <row r="451" spans="1:22" x14ac:dyDescent="0.25">
      <c r="A451" s="71" t="s">
        <v>2219</v>
      </c>
      <c r="B451" s="71" t="s">
        <v>2216</v>
      </c>
      <c r="C451" s="71" t="s">
        <v>2218</v>
      </c>
      <c r="D451" s="16" t="s">
        <v>2217</v>
      </c>
      <c r="E451" s="45" t="s">
        <v>2220</v>
      </c>
      <c r="F451" s="43" t="s">
        <v>2204</v>
      </c>
      <c r="G451" s="16" t="s">
        <v>2221</v>
      </c>
      <c r="H451" s="16"/>
      <c r="I451" s="16" t="s">
        <v>57</v>
      </c>
      <c r="J451" s="72">
        <v>2</v>
      </c>
      <c r="K451" s="73">
        <v>327192.03489882802</v>
      </c>
      <c r="L451" s="30">
        <v>1.7632682000729579E-3</v>
      </c>
      <c r="M451" s="72">
        <v>2</v>
      </c>
      <c r="N451" s="73">
        <v>320057.96447384002</v>
      </c>
      <c r="O451" s="30">
        <v>1.581891402326193E-3</v>
      </c>
      <c r="P451" s="72">
        <v>2</v>
      </c>
      <c r="Q451" s="73">
        <v>380483.20720893901</v>
      </c>
      <c r="R451" s="74">
        <v>2.135161272031361E-3</v>
      </c>
      <c r="S451" s="78">
        <f t="shared" si="6"/>
        <v>1.8267736248101707E-3</v>
      </c>
      <c r="T451" s="58"/>
      <c r="U451" s="58"/>
      <c r="V451" s="81"/>
    </row>
    <row r="452" spans="1:22" x14ac:dyDescent="0.25">
      <c r="A452" s="18" t="s">
        <v>2426</v>
      </c>
      <c r="B452" s="18" t="s">
        <v>2423</v>
      </c>
      <c r="C452" s="18" t="s">
        <v>2425</v>
      </c>
      <c r="D452" t="s">
        <v>2424</v>
      </c>
      <c r="E452" s="13" t="s">
        <v>2427</v>
      </c>
      <c r="F452" s="6" t="s">
        <v>2265</v>
      </c>
      <c r="G452" t="s">
        <v>2428</v>
      </c>
      <c r="I452" t="s">
        <v>23</v>
      </c>
      <c r="J452" s="63">
        <v>28</v>
      </c>
      <c r="K452" s="25">
        <v>35794637.820440501</v>
      </c>
      <c r="L452" s="17">
        <v>0.39164671464180612</v>
      </c>
      <c r="M452" s="63">
        <v>28</v>
      </c>
      <c r="N452" s="25">
        <v>32582167.494486999</v>
      </c>
      <c r="O452" s="17">
        <v>0.32695566120235658</v>
      </c>
      <c r="P452" s="63">
        <v>25</v>
      </c>
      <c r="Q452" s="25">
        <v>28823491.563915402</v>
      </c>
      <c r="R452" s="66">
        <v>0.32839961627255099</v>
      </c>
      <c r="S452" s="77">
        <f t="shared" si="6"/>
        <v>0.34900066403890451</v>
      </c>
      <c r="T452" s="20">
        <f>SUM('R. pomeroyi'!L452:L495)</f>
        <v>2.3007669060671514</v>
      </c>
      <c r="U452" s="20">
        <f>SUM('R. pomeroyi'!O452:O495)</f>
        <v>2.2175221911313487</v>
      </c>
      <c r="V452" s="80">
        <f>SUM('R. pomeroyi'!R452:R495)</f>
        <v>2.2156851566765932</v>
      </c>
    </row>
    <row r="453" spans="1:22" x14ac:dyDescent="0.25">
      <c r="A453" s="18" t="s">
        <v>2390</v>
      </c>
      <c r="B453" s="18" t="s">
        <v>2387</v>
      </c>
      <c r="C453" s="18" t="s">
        <v>2389</v>
      </c>
      <c r="D453" t="s">
        <v>2388</v>
      </c>
      <c r="E453" s="13" t="s">
        <v>2391</v>
      </c>
      <c r="F453" s="6" t="s">
        <v>2265</v>
      </c>
      <c r="G453" t="s">
        <v>2392</v>
      </c>
      <c r="I453" t="s">
        <v>653</v>
      </c>
      <c r="J453" s="63">
        <v>12</v>
      </c>
      <c r="K453" s="25">
        <v>17342471.022971299</v>
      </c>
      <c r="L453" s="17">
        <v>0.29238127487310595</v>
      </c>
      <c r="M453" s="63">
        <v>10</v>
      </c>
      <c r="N453" s="25">
        <v>19890005.0655853</v>
      </c>
      <c r="O453" s="17">
        <v>0.30754299961557435</v>
      </c>
      <c r="P453" s="63">
        <v>12</v>
      </c>
      <c r="Q453" s="25">
        <v>16993339.044177201</v>
      </c>
      <c r="R453" s="66">
        <v>0.29832993779394523</v>
      </c>
      <c r="S453" s="77">
        <f t="shared" si="6"/>
        <v>0.29941807076087518</v>
      </c>
      <c r="T453" s="20" t="s">
        <v>8174</v>
      </c>
      <c r="U453" s="69">
        <f>AVERAGE(T452:V452)</f>
        <v>2.2446580846250312</v>
      </c>
      <c r="V453" s="80"/>
    </row>
    <row r="454" spans="1:22" x14ac:dyDescent="0.25">
      <c r="A454" s="18" t="s">
        <v>2301</v>
      </c>
      <c r="B454" s="18" t="s">
        <v>2298</v>
      </c>
      <c r="C454" s="18" t="s">
        <v>2300</v>
      </c>
      <c r="D454" t="s">
        <v>2299</v>
      </c>
      <c r="E454" s="13" t="s">
        <v>2264</v>
      </c>
      <c r="F454" s="6" t="s">
        <v>2265</v>
      </c>
      <c r="G454" t="s">
        <v>2266</v>
      </c>
      <c r="I454" t="s">
        <v>553</v>
      </c>
      <c r="J454" s="63">
        <v>21</v>
      </c>
      <c r="K454" s="25">
        <v>30716878.1855979</v>
      </c>
      <c r="L454" s="17">
        <v>0.26406949822981146</v>
      </c>
      <c r="M454" s="63">
        <v>17</v>
      </c>
      <c r="N454" s="25">
        <v>30426945.6760507</v>
      </c>
      <c r="O454" s="17">
        <v>0.23990091157162424</v>
      </c>
      <c r="P454" s="63">
        <v>21</v>
      </c>
      <c r="Q454" s="25">
        <v>30330667.921640001</v>
      </c>
      <c r="R454" s="66">
        <v>0.27152053221034167</v>
      </c>
      <c r="S454" s="77">
        <f t="shared" ref="S454:S517" si="7">AVERAGE(L454,O454,R454)</f>
        <v>0.25849698067059246</v>
      </c>
      <c r="T454" s="20" t="s">
        <v>8085</v>
      </c>
      <c r="U454" s="70">
        <f>STDEV(T452:V452)</f>
        <v>4.8600345231436304E-2</v>
      </c>
      <c r="V454" s="80"/>
    </row>
    <row r="455" spans="1:22" x14ac:dyDescent="0.25">
      <c r="A455" s="18" t="s">
        <v>2442</v>
      </c>
      <c r="B455" s="18" t="s">
        <v>2439</v>
      </c>
      <c r="C455" s="18" t="s">
        <v>2441</v>
      </c>
      <c r="D455" t="s">
        <v>2440</v>
      </c>
      <c r="E455" s="13" t="s">
        <v>2264</v>
      </c>
      <c r="F455" s="6" t="s">
        <v>2265</v>
      </c>
      <c r="G455" t="s">
        <v>2266</v>
      </c>
      <c r="I455" t="s">
        <v>553</v>
      </c>
      <c r="J455" s="63">
        <v>15</v>
      </c>
      <c r="K455" s="25">
        <v>17293553.406677999</v>
      </c>
      <c r="L455" s="17">
        <v>0.15513464990025644</v>
      </c>
      <c r="M455" s="63">
        <v>17</v>
      </c>
      <c r="N455" s="25">
        <v>19784932.930977099</v>
      </c>
      <c r="O455" s="17">
        <v>0.16277643293605915</v>
      </c>
      <c r="P455" s="63">
        <v>14</v>
      </c>
      <c r="Q455" s="25">
        <v>16917267.5434612</v>
      </c>
      <c r="R455" s="66">
        <v>0.15802810250681865</v>
      </c>
      <c r="S455" s="77">
        <f t="shared" si="7"/>
        <v>0.15864639511437809</v>
      </c>
      <c r="V455" s="80"/>
    </row>
    <row r="456" spans="1:22" x14ac:dyDescent="0.25">
      <c r="A456" s="18" t="s">
        <v>2437</v>
      </c>
      <c r="B456" s="18" t="s">
        <v>2434</v>
      </c>
      <c r="C456" s="18" t="s">
        <v>2436</v>
      </c>
      <c r="D456" t="s">
        <v>2435</v>
      </c>
      <c r="E456" s="13" t="s">
        <v>2311</v>
      </c>
      <c r="F456" s="6" t="s">
        <v>2265</v>
      </c>
      <c r="G456" t="s">
        <v>2438</v>
      </c>
      <c r="I456" t="s">
        <v>7</v>
      </c>
      <c r="J456" s="63">
        <v>21</v>
      </c>
      <c r="K456" s="25">
        <v>21744708.688247401</v>
      </c>
      <c r="L456" s="17">
        <v>0.13734130806104031</v>
      </c>
      <c r="M456" s="63">
        <v>19</v>
      </c>
      <c r="N456" s="25">
        <v>22927502.612459298</v>
      </c>
      <c r="O456" s="17">
        <v>0.13281181489096716</v>
      </c>
      <c r="P456" s="63">
        <v>24</v>
      </c>
      <c r="Q456" s="25">
        <v>20479346.2394653</v>
      </c>
      <c r="R456" s="66">
        <v>0.13469243721354671</v>
      </c>
      <c r="S456" s="77">
        <f t="shared" si="7"/>
        <v>0.13494852005518473</v>
      </c>
      <c r="V456" s="80"/>
    </row>
    <row r="457" spans="1:22" x14ac:dyDescent="0.25">
      <c r="A457" s="18" t="s">
        <v>2446</v>
      </c>
      <c r="B457" s="18" t="s">
        <v>2443</v>
      </c>
      <c r="C457" s="18" t="s">
        <v>2445</v>
      </c>
      <c r="D457" t="s">
        <v>2444</v>
      </c>
      <c r="E457" s="13" t="s">
        <v>2447</v>
      </c>
      <c r="F457" s="6" t="s">
        <v>2265</v>
      </c>
      <c r="G457" t="s">
        <v>2448</v>
      </c>
      <c r="I457" t="s">
        <v>41</v>
      </c>
      <c r="J457" s="63">
        <v>4</v>
      </c>
      <c r="K457" s="25">
        <v>4236934.8995057698</v>
      </c>
      <c r="L457" s="17">
        <v>9.6620635893952173E-2</v>
      </c>
      <c r="M457" s="63">
        <v>7</v>
      </c>
      <c r="N457" s="25">
        <v>4674719.3377822395</v>
      </c>
      <c r="O457" s="17">
        <v>9.7770090293514009E-2</v>
      </c>
      <c r="P457" s="63">
        <v>7</v>
      </c>
      <c r="Q457" s="25">
        <v>4461662.5826649396</v>
      </c>
      <c r="R457" s="66">
        <v>0.10594838983424322</v>
      </c>
      <c r="S457" s="77">
        <f t="shared" si="7"/>
        <v>0.10011303867390313</v>
      </c>
      <c r="V457" s="80"/>
    </row>
    <row r="458" spans="1:22" x14ac:dyDescent="0.25">
      <c r="A458" s="18" t="s">
        <v>2432</v>
      </c>
      <c r="B458" s="18" t="s">
        <v>2429</v>
      </c>
      <c r="C458" s="18" t="s">
        <v>2431</v>
      </c>
      <c r="D458" t="s">
        <v>2430</v>
      </c>
      <c r="E458" s="13" t="s">
        <v>2433</v>
      </c>
      <c r="F458" s="6" t="s">
        <v>2265</v>
      </c>
      <c r="G458" t="s">
        <v>2312</v>
      </c>
      <c r="I458" t="s">
        <v>57</v>
      </c>
      <c r="J458" s="63">
        <v>5</v>
      </c>
      <c r="K458" s="25">
        <v>8358991.4451400498</v>
      </c>
      <c r="L458" s="17">
        <v>0.1046765699497407</v>
      </c>
      <c r="M458" s="63">
        <v>4</v>
      </c>
      <c r="N458" s="25">
        <v>8367014.4222280597</v>
      </c>
      <c r="O458" s="17">
        <v>9.6094491797119985E-2</v>
      </c>
      <c r="P458" s="63">
        <v>5</v>
      </c>
      <c r="Q458" s="25">
        <v>7525741.0396069903</v>
      </c>
      <c r="R458" s="66">
        <v>9.8135109166627418E-2</v>
      </c>
      <c r="S458" s="77">
        <f t="shared" si="7"/>
        <v>9.963539030449603E-2</v>
      </c>
      <c r="V458" s="80"/>
    </row>
    <row r="459" spans="1:22" x14ac:dyDescent="0.25">
      <c r="A459" s="18" t="s">
        <v>2456</v>
      </c>
      <c r="B459" s="18" t="s">
        <v>2453</v>
      </c>
      <c r="C459" s="18" t="s">
        <v>2455</v>
      </c>
      <c r="D459" t="s">
        <v>2454</v>
      </c>
      <c r="E459" s="13" t="s">
        <v>2264</v>
      </c>
      <c r="F459" s="6" t="s">
        <v>2265</v>
      </c>
      <c r="G459" t="s">
        <v>2266</v>
      </c>
      <c r="I459" t="s">
        <v>553</v>
      </c>
      <c r="J459" s="63">
        <v>14</v>
      </c>
      <c r="K459" s="25">
        <v>9441435.2539904695</v>
      </c>
      <c r="L459" s="17">
        <v>8.5403212458571728E-2</v>
      </c>
      <c r="M459" s="63">
        <v>10</v>
      </c>
      <c r="N459" s="25">
        <v>8513216.2141135707</v>
      </c>
      <c r="O459" s="17">
        <v>7.0625612235257262E-2</v>
      </c>
      <c r="P459" s="63">
        <v>12</v>
      </c>
      <c r="Q459" s="25">
        <v>8229990.0327898497</v>
      </c>
      <c r="R459" s="66">
        <v>7.7520226747069251E-2</v>
      </c>
      <c r="S459" s="77">
        <f t="shared" si="7"/>
        <v>7.7849683813632761E-2</v>
      </c>
      <c r="V459" s="80"/>
    </row>
    <row r="460" spans="1:22" x14ac:dyDescent="0.25">
      <c r="A460" s="18" t="s">
        <v>2480</v>
      </c>
      <c r="B460" s="18" t="s">
        <v>2477</v>
      </c>
      <c r="C460" s="18" t="s">
        <v>2479</v>
      </c>
      <c r="D460" t="s">
        <v>2478</v>
      </c>
      <c r="E460" s="13" t="s">
        <v>2481</v>
      </c>
      <c r="F460" s="6" t="s">
        <v>2265</v>
      </c>
      <c r="G460" t="s">
        <v>2365</v>
      </c>
      <c r="H460" t="s">
        <v>541</v>
      </c>
      <c r="I460" t="s">
        <v>547</v>
      </c>
      <c r="J460" s="63">
        <v>11</v>
      </c>
      <c r="K460" s="25">
        <v>7786675.5460290397</v>
      </c>
      <c r="L460" s="17">
        <v>7.9571569365802189E-2</v>
      </c>
      <c r="M460" s="63">
        <v>13</v>
      </c>
      <c r="N460" s="25">
        <v>7959776.1437560497</v>
      </c>
      <c r="O460" s="17">
        <v>7.4600042174632758E-2</v>
      </c>
      <c r="P460" s="63">
        <v>13</v>
      </c>
      <c r="Q460" s="25">
        <v>6916485.0019806502</v>
      </c>
      <c r="R460" s="66">
        <v>7.3598814925917994E-2</v>
      </c>
      <c r="S460" s="77">
        <f t="shared" si="7"/>
        <v>7.5923475488784323E-2</v>
      </c>
      <c r="V460" s="80"/>
    </row>
    <row r="461" spans="1:22" x14ac:dyDescent="0.25">
      <c r="A461" s="18" t="s">
        <v>2363</v>
      </c>
      <c r="B461" s="18" t="s">
        <v>2360</v>
      </c>
      <c r="C461" s="18" t="s">
        <v>2362</v>
      </c>
      <c r="D461" t="s">
        <v>2361</v>
      </c>
      <c r="E461" s="13" t="s">
        <v>2364</v>
      </c>
      <c r="F461" s="6" t="s">
        <v>2265</v>
      </c>
      <c r="G461" t="s">
        <v>2365</v>
      </c>
      <c r="J461" s="63">
        <v>5</v>
      </c>
      <c r="K461" s="25">
        <v>2135681.09317949</v>
      </c>
      <c r="L461" s="17">
        <v>6.252394736099473E-2</v>
      </c>
      <c r="M461" s="63">
        <v>10</v>
      </c>
      <c r="N461" s="25">
        <v>3405592.5652535502</v>
      </c>
      <c r="O461" s="17">
        <v>9.1439754040656296E-2</v>
      </c>
      <c r="P461" s="63">
        <v>5</v>
      </c>
      <c r="Q461" s="25">
        <v>1903492.8497727099</v>
      </c>
      <c r="R461" s="66">
        <v>5.8028423631015361E-2</v>
      </c>
      <c r="S461" s="77">
        <f t="shared" si="7"/>
        <v>7.0664041677555467E-2</v>
      </c>
      <c r="V461" s="80"/>
    </row>
    <row r="462" spans="1:22" x14ac:dyDescent="0.25">
      <c r="A462" s="18" t="s">
        <v>2379</v>
      </c>
      <c r="B462" s="18" t="s">
        <v>2376</v>
      </c>
      <c r="C462" s="18" t="s">
        <v>2378</v>
      </c>
      <c r="D462" t="s">
        <v>2377</v>
      </c>
      <c r="E462" s="13" t="s">
        <v>2380</v>
      </c>
      <c r="F462" s="6" t="s">
        <v>2265</v>
      </c>
      <c r="G462" t="s">
        <v>2381</v>
      </c>
      <c r="I462" t="s">
        <v>172</v>
      </c>
      <c r="J462" s="63">
        <v>17</v>
      </c>
      <c r="K462" s="25">
        <v>11225301.4542093</v>
      </c>
      <c r="L462" s="17">
        <v>6.1800925887501724E-2</v>
      </c>
      <c r="M462" s="63">
        <v>17</v>
      </c>
      <c r="N462" s="25">
        <v>10923676.5418368</v>
      </c>
      <c r="O462" s="17">
        <v>5.5156687351700685E-2</v>
      </c>
      <c r="P462" s="63">
        <v>14</v>
      </c>
      <c r="Q462" s="25">
        <v>11425511.2752729</v>
      </c>
      <c r="R462" s="66">
        <v>6.5501636321045761E-2</v>
      </c>
      <c r="S462" s="77">
        <f t="shared" si="7"/>
        <v>6.0819749853416059E-2</v>
      </c>
      <c r="V462" s="80"/>
    </row>
    <row r="463" spans="1:22" x14ac:dyDescent="0.25">
      <c r="A463" s="18" t="s">
        <v>2406</v>
      </c>
      <c r="B463" s="18" t="s">
        <v>2403</v>
      </c>
      <c r="C463" s="18" t="s">
        <v>2405</v>
      </c>
      <c r="D463" t="s">
        <v>2404</v>
      </c>
      <c r="E463" s="13" t="s">
        <v>2407</v>
      </c>
      <c r="F463" s="6" t="s">
        <v>2265</v>
      </c>
      <c r="G463" t="s">
        <v>2276</v>
      </c>
      <c r="H463" t="s">
        <v>2408</v>
      </c>
      <c r="I463" t="s">
        <v>7</v>
      </c>
      <c r="J463" s="63">
        <v>4</v>
      </c>
      <c r="K463" s="25">
        <v>2726254.4104331499</v>
      </c>
      <c r="L463" s="17">
        <v>4.2037004624124234E-2</v>
      </c>
      <c r="M463" s="63">
        <v>3</v>
      </c>
      <c r="N463" s="25">
        <v>3687026.9205318699</v>
      </c>
      <c r="O463" s="17">
        <v>5.2140364659440247E-2</v>
      </c>
      <c r="P463" s="63">
        <v>3</v>
      </c>
      <c r="Q463" s="25">
        <v>3017567.3654440599</v>
      </c>
      <c r="R463" s="66">
        <v>4.8450904927826437E-2</v>
      </c>
      <c r="S463" s="77">
        <f t="shared" si="7"/>
        <v>4.7542758070463646E-2</v>
      </c>
      <c r="V463" s="80"/>
    </row>
    <row r="464" spans="1:22" x14ac:dyDescent="0.25">
      <c r="A464" s="18" t="s">
        <v>2341</v>
      </c>
      <c r="B464" s="18" t="s">
        <v>2338</v>
      </c>
      <c r="C464" s="18" t="s">
        <v>2340</v>
      </c>
      <c r="D464" t="s">
        <v>2339</v>
      </c>
      <c r="E464" s="13" t="s">
        <v>2342</v>
      </c>
      <c r="F464" s="6" t="s">
        <v>2265</v>
      </c>
      <c r="G464" t="s">
        <v>2343</v>
      </c>
      <c r="I464" t="s">
        <v>104</v>
      </c>
      <c r="J464" s="63">
        <v>8</v>
      </c>
      <c r="K464" s="25">
        <v>3919266.5585557502</v>
      </c>
      <c r="L464" s="17">
        <v>4.3879890797785245E-2</v>
      </c>
      <c r="M464" s="63">
        <v>7</v>
      </c>
      <c r="N464" s="25">
        <v>3959029.2948573302</v>
      </c>
      <c r="O464" s="17">
        <v>4.065199147605373E-2</v>
      </c>
      <c r="P464" s="63">
        <v>5</v>
      </c>
      <c r="Q464" s="25">
        <v>3352822.9522373099</v>
      </c>
      <c r="R464" s="66">
        <v>3.9088670058095132E-2</v>
      </c>
      <c r="S464" s="77">
        <f t="shared" si="7"/>
        <v>4.1206850777311371E-2</v>
      </c>
      <c r="V464" s="80"/>
    </row>
    <row r="465" spans="1:22" x14ac:dyDescent="0.25">
      <c r="A465" s="18" t="s">
        <v>2416</v>
      </c>
      <c r="B465" s="18" t="s">
        <v>2413</v>
      </c>
      <c r="C465" s="18" t="s">
        <v>2415</v>
      </c>
      <c r="D465" t="s">
        <v>2414</v>
      </c>
      <c r="E465" s="13" t="s">
        <v>2417</v>
      </c>
      <c r="F465" s="6" t="s">
        <v>2265</v>
      </c>
      <c r="G465" t="s">
        <v>2418</v>
      </c>
      <c r="J465" s="63">
        <v>7</v>
      </c>
      <c r="K465" s="25">
        <v>2567135.5466559199</v>
      </c>
      <c r="L465" s="17">
        <v>3.7962331846408903E-2</v>
      </c>
      <c r="M465" s="63">
        <v>8</v>
      </c>
      <c r="N465" s="25">
        <v>3410499.9929917902</v>
      </c>
      <c r="O465" s="17">
        <v>4.625455511162236E-2</v>
      </c>
      <c r="P465" s="63">
        <v>7</v>
      </c>
      <c r="Q465" s="25">
        <v>2353821.4263303699</v>
      </c>
      <c r="R465" s="66">
        <v>3.6245753284592279E-2</v>
      </c>
      <c r="S465" s="77">
        <f t="shared" si="7"/>
        <v>4.015421341420785E-2</v>
      </c>
      <c r="V465" s="80"/>
    </row>
    <row r="466" spans="1:22" x14ac:dyDescent="0.25">
      <c r="A466" s="18" t="s">
        <v>2385</v>
      </c>
      <c r="B466" s="18" t="s">
        <v>2382</v>
      </c>
      <c r="C466" s="18" t="s">
        <v>2384</v>
      </c>
      <c r="D466" t="s">
        <v>2383</v>
      </c>
      <c r="E466" s="13" t="s">
        <v>2386</v>
      </c>
      <c r="F466" s="6" t="s">
        <v>2265</v>
      </c>
      <c r="G466" t="s">
        <v>2286</v>
      </c>
      <c r="I466" t="s">
        <v>1577</v>
      </c>
      <c r="J466" s="63">
        <v>5</v>
      </c>
      <c r="K466" s="25">
        <v>3027395.1421013898</v>
      </c>
      <c r="L466" s="17">
        <v>3.7159178613772666E-2</v>
      </c>
      <c r="M466" s="63">
        <v>4</v>
      </c>
      <c r="N466" s="25">
        <v>3350660.0794840399</v>
      </c>
      <c r="O466" s="17">
        <v>3.7718962765137941E-2</v>
      </c>
      <c r="P466" s="63">
        <v>6</v>
      </c>
      <c r="Q466" s="25">
        <v>3188102.5032355301</v>
      </c>
      <c r="R466" s="66">
        <v>4.0748235686361066E-2</v>
      </c>
      <c r="S466" s="77">
        <f t="shared" si="7"/>
        <v>3.8542125688423891E-2</v>
      </c>
      <c r="V466" s="80"/>
    </row>
    <row r="467" spans="1:22" x14ac:dyDescent="0.25">
      <c r="A467" s="18" t="s">
        <v>2485</v>
      </c>
      <c r="B467" s="18" t="s">
        <v>2482</v>
      </c>
      <c r="C467" s="18" t="s">
        <v>2484</v>
      </c>
      <c r="D467" t="s">
        <v>2483</v>
      </c>
      <c r="E467" s="13" t="s">
        <v>2486</v>
      </c>
      <c r="F467" s="6" t="s">
        <v>2265</v>
      </c>
      <c r="G467" t="s">
        <v>2365</v>
      </c>
      <c r="H467" t="s">
        <v>541</v>
      </c>
      <c r="I467" t="s">
        <v>547</v>
      </c>
      <c r="J467" s="63">
        <v>8</v>
      </c>
      <c r="K467" s="25">
        <v>5271615.6583891101</v>
      </c>
      <c r="L467" s="17">
        <v>3.8068361974235292E-2</v>
      </c>
      <c r="M467" s="63">
        <v>8</v>
      </c>
      <c r="N467" s="25">
        <v>4881931.9039805299</v>
      </c>
      <c r="O467" s="17">
        <v>3.2332891320425557E-2</v>
      </c>
      <c r="P467" s="63">
        <v>7</v>
      </c>
      <c r="Q467" s="25">
        <v>4680467.6158091798</v>
      </c>
      <c r="R467" s="66">
        <v>3.5195669660479205E-2</v>
      </c>
      <c r="S467" s="77">
        <f t="shared" si="7"/>
        <v>3.5198974318380018E-2</v>
      </c>
      <c r="V467" s="80"/>
    </row>
    <row r="468" spans="1:22" x14ac:dyDescent="0.25">
      <c r="A468" s="18" t="s">
        <v>2284</v>
      </c>
      <c r="B468" s="18" t="s">
        <v>2281</v>
      </c>
      <c r="C468" s="18" t="s">
        <v>2283</v>
      </c>
      <c r="D468" t="s">
        <v>2282</v>
      </c>
      <c r="E468" s="13" t="s">
        <v>2285</v>
      </c>
      <c r="F468" s="6" t="s">
        <v>2265</v>
      </c>
      <c r="G468" t="s">
        <v>2286</v>
      </c>
      <c r="I468" t="s">
        <v>2287</v>
      </c>
      <c r="J468" s="63">
        <v>3</v>
      </c>
      <c r="K468" s="25">
        <v>2602714.80163131</v>
      </c>
      <c r="L468" s="17">
        <v>3.8098385515650889E-2</v>
      </c>
      <c r="M468" s="63">
        <v>2</v>
      </c>
      <c r="N468" s="25">
        <v>2474363.8000719501</v>
      </c>
      <c r="O468" s="17">
        <v>3.3218186402288817E-2</v>
      </c>
      <c r="P468" s="63">
        <v>2</v>
      </c>
      <c r="Q468" s="25">
        <v>2184409.2200472699</v>
      </c>
      <c r="R468" s="66">
        <v>3.3296112359847904E-2</v>
      </c>
      <c r="S468" s="77">
        <f t="shared" si="7"/>
        <v>3.4870894759262534E-2</v>
      </c>
      <c r="V468" s="80"/>
    </row>
    <row r="469" spans="1:22" x14ac:dyDescent="0.25">
      <c r="A469" s="18" t="s">
        <v>2470</v>
      </c>
      <c r="B469" s="18" t="s">
        <v>2467</v>
      </c>
      <c r="C469" s="18" t="s">
        <v>2469</v>
      </c>
      <c r="D469" t="s">
        <v>2468</v>
      </c>
      <c r="E469" s="13" t="s">
        <v>2471</v>
      </c>
      <c r="F469" s="6" t="s">
        <v>2265</v>
      </c>
      <c r="G469" t="s">
        <v>2276</v>
      </c>
      <c r="I469" t="s">
        <v>41</v>
      </c>
      <c r="J469" s="63">
        <v>6</v>
      </c>
      <c r="K469" s="25">
        <v>4109614.6658809502</v>
      </c>
      <c r="L469" s="17">
        <v>3.6865970655296877E-2</v>
      </c>
      <c r="M469" s="63">
        <v>4</v>
      </c>
      <c r="N469" s="25">
        <v>3453798.9387523602</v>
      </c>
      <c r="O469" s="17">
        <v>2.8415414562676201E-2</v>
      </c>
      <c r="P469" s="63">
        <v>2</v>
      </c>
      <c r="Q469" s="25">
        <v>3060025.6152281398</v>
      </c>
      <c r="R469" s="66">
        <v>2.8584405865453837E-2</v>
      </c>
      <c r="S469" s="77">
        <f t="shared" si="7"/>
        <v>3.1288597027808972E-2</v>
      </c>
      <c r="V469" s="80"/>
    </row>
    <row r="470" spans="1:22" x14ac:dyDescent="0.25">
      <c r="A470" s="18" t="s">
        <v>2411</v>
      </c>
      <c r="B470" s="18" t="s">
        <v>8141</v>
      </c>
      <c r="C470" s="18" t="s">
        <v>2410</v>
      </c>
      <c r="D470" t="s">
        <v>2409</v>
      </c>
      <c r="E470" s="13" t="s">
        <v>2412</v>
      </c>
      <c r="F470" s="6" t="s">
        <v>2265</v>
      </c>
      <c r="G470" t="s">
        <v>2266</v>
      </c>
      <c r="I470" t="s">
        <v>553</v>
      </c>
      <c r="J470" s="63">
        <v>5</v>
      </c>
      <c r="K470" s="25">
        <v>3257451.73705034</v>
      </c>
      <c r="L470" s="17">
        <v>3.0093787388660406E-2</v>
      </c>
      <c r="M470" s="63">
        <v>6</v>
      </c>
      <c r="N470" s="25">
        <v>3174643.5426583099</v>
      </c>
      <c r="O470" s="17">
        <v>2.6898384755331246E-2</v>
      </c>
      <c r="P470" s="63">
        <v>7</v>
      </c>
      <c r="Q470" s="25">
        <v>2713627.2378113102</v>
      </c>
      <c r="R470" s="66">
        <v>2.6105293817932203E-2</v>
      </c>
      <c r="S470" s="77">
        <f t="shared" si="7"/>
        <v>2.7699155320641284E-2</v>
      </c>
      <c r="V470" s="80"/>
    </row>
    <row r="471" spans="1:22" x14ac:dyDescent="0.25">
      <c r="A471" s="18" t="s">
        <v>2369</v>
      </c>
      <c r="B471" s="18" t="s">
        <v>2366</v>
      </c>
      <c r="C471" s="18" t="s">
        <v>2368</v>
      </c>
      <c r="D471" t="s">
        <v>2367</v>
      </c>
      <c r="E471" s="13" t="s">
        <v>2370</v>
      </c>
      <c r="F471" s="6" t="s">
        <v>2265</v>
      </c>
      <c r="G471" t="s">
        <v>2276</v>
      </c>
      <c r="I471" t="s">
        <v>41</v>
      </c>
      <c r="J471" s="63">
        <v>4</v>
      </c>
      <c r="K471" s="25">
        <v>2155990.0445733499</v>
      </c>
      <c r="L471" s="17">
        <v>2.9375910231889266E-2</v>
      </c>
      <c r="M471" s="63">
        <v>4</v>
      </c>
      <c r="N471" s="25">
        <v>2088444.8403389701</v>
      </c>
      <c r="O471" s="17">
        <v>2.6097563608979066E-2</v>
      </c>
      <c r="P471" s="63">
        <v>4</v>
      </c>
      <c r="Q471" s="25">
        <v>1649903.76212606</v>
      </c>
      <c r="R471" s="66">
        <v>2.3408992978276779E-2</v>
      </c>
      <c r="S471" s="77">
        <f t="shared" si="7"/>
        <v>2.6294155606381705E-2</v>
      </c>
      <c r="V471" s="80"/>
    </row>
    <row r="472" spans="1:22" x14ac:dyDescent="0.25">
      <c r="A472" s="18" t="s">
        <v>2277</v>
      </c>
      <c r="B472" s="18" t="s">
        <v>8140</v>
      </c>
      <c r="C472" s="18" t="s">
        <v>2279</v>
      </c>
      <c r="D472" t="s">
        <v>2278</v>
      </c>
      <c r="E472" s="13" t="s">
        <v>2280</v>
      </c>
      <c r="F472" s="6" t="s">
        <v>2265</v>
      </c>
      <c r="G472" t="s">
        <v>2276</v>
      </c>
      <c r="I472" t="s">
        <v>57</v>
      </c>
      <c r="J472" s="63">
        <v>5</v>
      </c>
      <c r="K472" s="25">
        <v>1559996.22224994</v>
      </c>
      <c r="L472" s="17">
        <v>2.5798470358854009E-2</v>
      </c>
      <c r="M472" s="63">
        <v>5</v>
      </c>
      <c r="N472" s="25">
        <v>1638166.5550109099</v>
      </c>
      <c r="O472" s="17">
        <v>2.4846249346088412E-2</v>
      </c>
      <c r="P472" s="63">
        <v>5</v>
      </c>
      <c r="Q472" s="25">
        <v>1494990.6429003801</v>
      </c>
      <c r="R472" s="66">
        <v>2.5744734751447226E-2</v>
      </c>
      <c r="S472" s="77">
        <f t="shared" si="7"/>
        <v>2.5463151485463215E-2</v>
      </c>
      <c r="V472" s="80"/>
    </row>
    <row r="473" spans="1:22" x14ac:dyDescent="0.25">
      <c r="A473" s="18" t="s">
        <v>2422</v>
      </c>
      <c r="B473" s="18" t="s">
        <v>2419</v>
      </c>
      <c r="C473" s="18" t="s">
        <v>2421</v>
      </c>
      <c r="D473" t="s">
        <v>2420</v>
      </c>
      <c r="E473" s="13" t="s">
        <v>2391</v>
      </c>
      <c r="F473" s="6" t="s">
        <v>2265</v>
      </c>
      <c r="G473" t="s">
        <v>2392</v>
      </c>
      <c r="I473" t="s">
        <v>653</v>
      </c>
      <c r="J473" s="63">
        <v>3</v>
      </c>
      <c r="K473" s="25">
        <v>1437352.1105814199</v>
      </c>
      <c r="L473" s="17">
        <v>2.4911212338313036E-2</v>
      </c>
      <c r="M473" s="63">
        <v>2</v>
      </c>
      <c r="N473" s="25">
        <v>2105064.8615400698</v>
      </c>
      <c r="O473" s="17">
        <v>3.3460278297676123E-2</v>
      </c>
      <c r="P473" s="63">
        <v>2</v>
      </c>
      <c r="Q473" s="25">
        <v>998327.81584784598</v>
      </c>
      <c r="R473" s="66">
        <v>1.801707978105458E-2</v>
      </c>
      <c r="S473" s="77">
        <f t="shared" si="7"/>
        <v>2.546285680568125E-2</v>
      </c>
      <c r="V473" s="80"/>
    </row>
    <row r="474" spans="1:22" x14ac:dyDescent="0.25">
      <c r="A474" s="18" t="s">
        <v>2305</v>
      </c>
      <c r="B474" s="18" t="s">
        <v>2302</v>
      </c>
      <c r="C474" s="18" t="s">
        <v>2304</v>
      </c>
      <c r="D474" t="s">
        <v>2303</v>
      </c>
      <c r="E474" s="13" t="s">
        <v>2306</v>
      </c>
      <c r="F474" s="6" t="s">
        <v>2265</v>
      </c>
      <c r="I474" t="s">
        <v>1577</v>
      </c>
      <c r="J474" s="63">
        <v>4</v>
      </c>
      <c r="K474" s="25">
        <v>2008080.8819613699</v>
      </c>
      <c r="L474" s="17">
        <v>2.5001937128233086E-2</v>
      </c>
      <c r="M474" s="63">
        <v>5</v>
      </c>
      <c r="N474" s="25">
        <v>2335670.34729326</v>
      </c>
      <c r="O474" s="17">
        <v>2.6670820636635666E-2</v>
      </c>
      <c r="P474" s="63">
        <v>5</v>
      </c>
      <c r="Q474" s="25">
        <v>1846999.2122569301</v>
      </c>
      <c r="R474" s="66">
        <v>2.3946315755152266E-2</v>
      </c>
      <c r="S474" s="77">
        <f t="shared" si="7"/>
        <v>2.5206357840007007E-2</v>
      </c>
      <c r="V474" s="80"/>
    </row>
    <row r="475" spans="1:22" x14ac:dyDescent="0.25">
      <c r="A475" s="18" t="s">
        <v>2475</v>
      </c>
      <c r="B475" s="18" t="s">
        <v>2472</v>
      </c>
      <c r="C475" s="18" t="s">
        <v>2474</v>
      </c>
      <c r="D475" t="s">
        <v>2473</v>
      </c>
      <c r="E475" s="13" t="s">
        <v>2476</v>
      </c>
      <c r="F475" s="6" t="s">
        <v>2265</v>
      </c>
      <c r="G475" t="s">
        <v>2276</v>
      </c>
      <c r="I475" t="s">
        <v>553</v>
      </c>
      <c r="J475" s="63">
        <v>5</v>
      </c>
      <c r="K475" s="25">
        <v>2614613.4668153599</v>
      </c>
      <c r="L475" s="17">
        <v>2.8110861072511241E-2</v>
      </c>
      <c r="M475" s="63">
        <v>3</v>
      </c>
      <c r="N475" s="25">
        <v>2138012.1644573701</v>
      </c>
      <c r="O475" s="17">
        <v>2.1081873411787983E-2</v>
      </c>
      <c r="P475" s="63">
        <v>4</v>
      </c>
      <c r="Q475" s="25">
        <v>2173486.9664781298</v>
      </c>
      <c r="R475" s="66">
        <v>2.4333424506603564E-2</v>
      </c>
      <c r="S475" s="77">
        <f t="shared" si="7"/>
        <v>2.450871966363426E-2</v>
      </c>
      <c r="V475" s="80"/>
    </row>
    <row r="476" spans="1:22" x14ac:dyDescent="0.25">
      <c r="A476" s="18" t="s">
        <v>2310</v>
      </c>
      <c r="B476" s="18" t="s">
        <v>2307</v>
      </c>
      <c r="C476" s="18" t="s">
        <v>2309</v>
      </c>
      <c r="D476" t="s">
        <v>2308</v>
      </c>
      <c r="E476" s="13" t="s">
        <v>2311</v>
      </c>
      <c r="F476" s="6" t="s">
        <v>2265</v>
      </c>
      <c r="G476" t="s">
        <v>2312</v>
      </c>
      <c r="I476" t="s">
        <v>57</v>
      </c>
      <c r="J476" s="63">
        <v>4</v>
      </c>
      <c r="K476" s="25">
        <v>1382009.7580678801</v>
      </c>
      <c r="L476" s="17">
        <v>1.8949411553393129E-2</v>
      </c>
      <c r="M476" s="63">
        <v>3</v>
      </c>
      <c r="N476" s="25">
        <v>1680145.99382362</v>
      </c>
      <c r="O476" s="17">
        <v>2.1128273675106248E-2</v>
      </c>
      <c r="P476" s="63">
        <v>4</v>
      </c>
      <c r="Q476" s="25">
        <v>1293781.9021797299</v>
      </c>
      <c r="R476" s="66">
        <v>1.8472480964965451E-2</v>
      </c>
      <c r="S476" s="77">
        <f t="shared" si="7"/>
        <v>1.9516722064488276E-2</v>
      </c>
      <c r="V476" s="80"/>
    </row>
    <row r="477" spans="1:22" x14ac:dyDescent="0.25">
      <c r="A477" s="18" t="s">
        <v>2295</v>
      </c>
      <c r="B477" s="18" t="s">
        <v>2292</v>
      </c>
      <c r="C477" s="18" t="s">
        <v>2294</v>
      </c>
      <c r="D477" t="s">
        <v>2293</v>
      </c>
      <c r="E477" s="13" t="s">
        <v>2296</v>
      </c>
      <c r="F477" s="6" t="s">
        <v>2265</v>
      </c>
      <c r="G477" t="s">
        <v>2297</v>
      </c>
      <c r="I477" t="s">
        <v>57</v>
      </c>
      <c r="J477" s="63">
        <v>24</v>
      </c>
      <c r="K477" s="25">
        <v>6626303.5438446896</v>
      </c>
      <c r="L477" s="17">
        <v>1.5879784398257699E-2</v>
      </c>
      <c r="M477" s="63">
        <v>16</v>
      </c>
      <c r="N477" s="25">
        <v>6016352.4528528899</v>
      </c>
      <c r="O477" s="17">
        <v>1.3223271646656752E-2</v>
      </c>
      <c r="P477" s="63">
        <v>21</v>
      </c>
      <c r="Q477" s="25">
        <v>7813024.8829581598</v>
      </c>
      <c r="R477" s="66">
        <v>1.9497189817657266E-2</v>
      </c>
      <c r="S477" s="77">
        <f t="shared" si="7"/>
        <v>1.6200081954190572E-2</v>
      </c>
      <c r="V477" s="80"/>
    </row>
    <row r="478" spans="1:22" x14ac:dyDescent="0.25">
      <c r="A478" s="18" t="s">
        <v>2401</v>
      </c>
      <c r="B478" s="18" t="s">
        <v>2398</v>
      </c>
      <c r="C478" s="18" t="s">
        <v>2400</v>
      </c>
      <c r="D478" t="s">
        <v>2399</v>
      </c>
      <c r="E478" s="13" t="s">
        <v>2402</v>
      </c>
      <c r="F478" s="6" t="s">
        <v>2265</v>
      </c>
      <c r="I478" t="s">
        <v>243</v>
      </c>
      <c r="J478" s="63">
        <v>2</v>
      </c>
      <c r="K478" s="25">
        <v>1339884.9646133699</v>
      </c>
      <c r="L478" s="17">
        <v>1.1294736304245632E-2</v>
      </c>
      <c r="M478" s="63">
        <v>2</v>
      </c>
      <c r="N478" s="25">
        <v>1343637.80089509</v>
      </c>
      <c r="O478" s="17">
        <v>1.0387790207231613E-2</v>
      </c>
      <c r="P478" s="63">
        <v>1</v>
      </c>
      <c r="Q478" s="25">
        <v>1277466.4310290299</v>
      </c>
      <c r="R478" s="66">
        <v>1.121340779207637E-2</v>
      </c>
      <c r="S478" s="77">
        <f t="shared" si="7"/>
        <v>1.0965311434517871E-2</v>
      </c>
      <c r="V478" s="80"/>
    </row>
    <row r="479" spans="1:22" x14ac:dyDescent="0.25">
      <c r="A479" s="18" t="s">
        <v>2452</v>
      </c>
      <c r="B479" s="18" t="s">
        <v>2449</v>
      </c>
      <c r="C479" s="18" t="s">
        <v>2451</v>
      </c>
      <c r="D479" t="s">
        <v>2450</v>
      </c>
      <c r="E479" s="13" t="s">
        <v>2264</v>
      </c>
      <c r="F479" s="6" t="s">
        <v>2265</v>
      </c>
      <c r="G479" t="s">
        <v>2266</v>
      </c>
      <c r="I479" t="s">
        <v>553</v>
      </c>
      <c r="J479" s="63">
        <v>3</v>
      </c>
      <c r="K479" s="25">
        <v>1738286.6574140999</v>
      </c>
      <c r="L479" s="17">
        <v>9.6933094876627927E-3</v>
      </c>
      <c r="M479" s="63">
        <v>4</v>
      </c>
      <c r="N479" s="25">
        <v>1914895.85229455</v>
      </c>
      <c r="O479" s="17">
        <v>9.7932809827360641E-3</v>
      </c>
      <c r="P479" s="63">
        <v>3</v>
      </c>
      <c r="Q479" s="25">
        <v>2007441.3467532699</v>
      </c>
      <c r="R479" s="66">
        <v>1.1656631964531117E-2</v>
      </c>
      <c r="S479" s="77">
        <f t="shared" si="7"/>
        <v>1.0381074144976658E-2</v>
      </c>
      <c r="V479" s="80"/>
    </row>
    <row r="480" spans="1:22" x14ac:dyDescent="0.25">
      <c r="A480" s="18" t="s">
        <v>2261</v>
      </c>
      <c r="B480" s="18" t="s">
        <v>8137</v>
      </c>
      <c r="C480" s="18" t="s">
        <v>2263</v>
      </c>
      <c r="D480" t="s">
        <v>2262</v>
      </c>
      <c r="E480" s="13" t="s">
        <v>2264</v>
      </c>
      <c r="F480" s="6" t="s">
        <v>2265</v>
      </c>
      <c r="G480" t="s">
        <v>2266</v>
      </c>
      <c r="I480" t="s">
        <v>553</v>
      </c>
      <c r="J480" s="63">
        <v>3</v>
      </c>
      <c r="K480" s="25">
        <v>773077.78178523097</v>
      </c>
      <c r="L480" s="17">
        <v>6.6725398463692654E-3</v>
      </c>
      <c r="M480" s="63">
        <v>4</v>
      </c>
      <c r="N480" s="25">
        <v>1336055.4987609601</v>
      </c>
      <c r="O480" s="17">
        <v>1.0576083163722784E-2</v>
      </c>
      <c r="P480" s="63">
        <v>4</v>
      </c>
      <c r="Q480" s="25">
        <v>1179443.9173063501</v>
      </c>
      <c r="R480" s="66">
        <v>1.0600462556662069E-2</v>
      </c>
      <c r="S480" s="77">
        <f t="shared" si="7"/>
        <v>9.2830285222513728E-3</v>
      </c>
      <c r="V480" s="80"/>
    </row>
    <row r="481" spans="1:22" x14ac:dyDescent="0.25">
      <c r="A481" s="18" t="s">
        <v>2321</v>
      </c>
      <c r="B481" s="18" t="s">
        <v>2318</v>
      </c>
      <c r="C481" s="18" t="s">
        <v>2320</v>
      </c>
      <c r="D481" t="s">
        <v>2319</v>
      </c>
      <c r="E481" s="13" t="s">
        <v>2322</v>
      </c>
      <c r="F481" s="6" t="s">
        <v>2265</v>
      </c>
      <c r="G481" t="s">
        <v>2286</v>
      </c>
      <c r="I481" t="s">
        <v>1577</v>
      </c>
      <c r="J481" s="63">
        <v>2</v>
      </c>
      <c r="K481" s="25">
        <v>514544.60319848498</v>
      </c>
      <c r="L481" s="17">
        <v>8.2878608093955065E-3</v>
      </c>
      <c r="M481" s="63">
        <v>2</v>
      </c>
      <c r="N481" s="25">
        <v>586360.71985030395</v>
      </c>
      <c r="O481" s="17">
        <v>8.6619697928170553E-3</v>
      </c>
      <c r="P481" s="63">
        <v>4</v>
      </c>
      <c r="Q481" s="25">
        <v>526921.74345278402</v>
      </c>
      <c r="R481" s="66">
        <v>8.8378185066646589E-3</v>
      </c>
      <c r="S481" s="77">
        <f t="shared" si="7"/>
        <v>8.5958830362924069E-3</v>
      </c>
      <c r="V481" s="80"/>
    </row>
    <row r="482" spans="1:22" x14ac:dyDescent="0.25">
      <c r="A482" s="18" t="s">
        <v>2291</v>
      </c>
      <c r="B482" s="18" t="s">
        <v>2288</v>
      </c>
      <c r="C482" s="18" t="s">
        <v>2290</v>
      </c>
      <c r="D482" t="s">
        <v>2289</v>
      </c>
      <c r="E482" s="13" t="s">
        <v>2264</v>
      </c>
      <c r="F482" s="6" t="s">
        <v>2265</v>
      </c>
      <c r="G482" t="s">
        <v>2266</v>
      </c>
      <c r="I482" t="s">
        <v>553</v>
      </c>
      <c r="J482" s="63">
        <v>3</v>
      </c>
      <c r="K482" s="25">
        <v>985997.69125371298</v>
      </c>
      <c r="L482" s="17">
        <v>8.8450535895091761E-3</v>
      </c>
      <c r="M482" s="63">
        <v>3</v>
      </c>
      <c r="N482" s="25">
        <v>957890.64386495401</v>
      </c>
      <c r="O482" s="17">
        <v>7.8808466369394165E-3</v>
      </c>
      <c r="P482" s="63">
        <v>3</v>
      </c>
      <c r="Q482" s="25">
        <v>856184.57530865597</v>
      </c>
      <c r="R482" s="66">
        <v>7.9978178204038377E-3</v>
      </c>
      <c r="S482" s="77">
        <f t="shared" si="7"/>
        <v>8.2412393489508101E-3</v>
      </c>
      <c r="V482" s="80"/>
    </row>
    <row r="483" spans="1:22" x14ac:dyDescent="0.25">
      <c r="A483" s="18" t="s">
        <v>2272</v>
      </c>
      <c r="B483" s="18" t="s">
        <v>8139</v>
      </c>
      <c r="C483" s="18" t="s">
        <v>2274</v>
      </c>
      <c r="D483" t="s">
        <v>2273</v>
      </c>
      <c r="E483" s="13" t="s">
        <v>2275</v>
      </c>
      <c r="F483" s="6" t="s">
        <v>2265</v>
      </c>
      <c r="G483" t="s">
        <v>2276</v>
      </c>
      <c r="I483" t="s">
        <v>716</v>
      </c>
      <c r="J483" s="63">
        <v>1</v>
      </c>
      <c r="K483" s="25">
        <v>800735.92862053204</v>
      </c>
      <c r="L483" s="17">
        <v>7.7965237425965438E-3</v>
      </c>
      <c r="M483" s="63">
        <v>4</v>
      </c>
      <c r="N483" s="25">
        <v>811186.12351228204</v>
      </c>
      <c r="O483" s="17">
        <v>7.2437687488802471E-3</v>
      </c>
      <c r="P483" s="63">
        <v>2</v>
      </c>
      <c r="Q483" s="25">
        <v>726067.98790897802</v>
      </c>
      <c r="R483" s="66">
        <v>7.3615372980422545E-3</v>
      </c>
      <c r="S483" s="77">
        <f t="shared" si="7"/>
        <v>7.4672765965063488E-3</v>
      </c>
      <c r="V483" s="80"/>
    </row>
    <row r="484" spans="1:22" x14ac:dyDescent="0.25">
      <c r="A484" s="18" t="s">
        <v>2460</v>
      </c>
      <c r="B484" s="18" t="s">
        <v>2457</v>
      </c>
      <c r="C484" s="18" t="s">
        <v>2459</v>
      </c>
      <c r="D484" t="s">
        <v>2458</v>
      </c>
      <c r="E484" s="13" t="s">
        <v>2461</v>
      </c>
      <c r="F484" s="6" t="s">
        <v>2265</v>
      </c>
      <c r="G484" t="s">
        <v>2276</v>
      </c>
      <c r="I484" t="s">
        <v>888</v>
      </c>
      <c r="J484" s="63">
        <v>3</v>
      </c>
      <c r="K484" s="25">
        <v>593311.47497131105</v>
      </c>
      <c r="L484" s="17">
        <v>6.5081469956045634E-3</v>
      </c>
      <c r="M484" s="63">
        <v>2</v>
      </c>
      <c r="N484" s="25">
        <v>656626.87438123696</v>
      </c>
      <c r="O484" s="17">
        <v>6.6058032363169993E-3</v>
      </c>
      <c r="P484" s="63">
        <v>2</v>
      </c>
      <c r="Q484" s="25">
        <v>579338.44984321704</v>
      </c>
      <c r="R484" s="66">
        <v>6.6173864197489772E-3</v>
      </c>
      <c r="S484" s="77">
        <f t="shared" si="7"/>
        <v>6.577112217223513E-3</v>
      </c>
      <c r="V484" s="80"/>
    </row>
    <row r="485" spans="1:22" x14ac:dyDescent="0.25">
      <c r="A485" s="18" t="s">
        <v>2316</v>
      </c>
      <c r="B485" s="18" t="s">
        <v>2313</v>
      </c>
      <c r="C485" s="18" t="s">
        <v>2315</v>
      </c>
      <c r="D485" t="s">
        <v>2314</v>
      </c>
      <c r="E485" s="13" t="s">
        <v>2317</v>
      </c>
      <c r="F485" s="6" t="s">
        <v>2265</v>
      </c>
      <c r="G485" t="s">
        <v>2276</v>
      </c>
      <c r="I485" t="s">
        <v>7</v>
      </c>
      <c r="J485" s="63">
        <v>1</v>
      </c>
      <c r="K485" s="25">
        <v>663510.61132415896</v>
      </c>
      <c r="L485" s="17">
        <v>6.3744545971923285E-3</v>
      </c>
      <c r="M485" s="63">
        <v>1</v>
      </c>
      <c r="N485" s="25">
        <v>620359.57896139706</v>
      </c>
      <c r="O485" s="17">
        <v>5.4660176058387812E-3</v>
      </c>
      <c r="P485" s="63">
        <v>1</v>
      </c>
      <c r="Q485" s="25">
        <v>596659.05726213998</v>
      </c>
      <c r="R485" s="66">
        <v>5.9689911397389902E-3</v>
      </c>
      <c r="S485" s="77">
        <f t="shared" si="7"/>
        <v>5.9364877809233675E-3</v>
      </c>
      <c r="V485" s="80"/>
    </row>
    <row r="486" spans="1:22" x14ac:dyDescent="0.25">
      <c r="A486" s="18" t="s">
        <v>2358</v>
      </c>
      <c r="B486" s="18" t="s">
        <v>2355</v>
      </c>
      <c r="C486" s="18" t="s">
        <v>2357</v>
      </c>
      <c r="D486" t="s">
        <v>2356</v>
      </c>
      <c r="E486" s="13" t="s">
        <v>2359</v>
      </c>
      <c r="F486" s="6" t="s">
        <v>2265</v>
      </c>
      <c r="G486" t="s">
        <v>2276</v>
      </c>
      <c r="I486" t="s">
        <v>41</v>
      </c>
      <c r="J486" s="63">
        <v>1</v>
      </c>
      <c r="K486" s="25">
        <v>337832.14739243902</v>
      </c>
      <c r="L486" s="17">
        <v>5.8317507448087122E-3</v>
      </c>
      <c r="M486" s="63">
        <v>1</v>
      </c>
      <c r="N486" s="25">
        <v>419961.60661520303</v>
      </c>
      <c r="O486" s="17">
        <v>6.648749069558927E-3</v>
      </c>
      <c r="P486" s="63">
        <v>0</v>
      </c>
      <c r="Q486" s="25">
        <v>285725.52630155702</v>
      </c>
      <c r="R486" s="66">
        <v>5.1360182516512389E-3</v>
      </c>
      <c r="S486" s="77">
        <f t="shared" si="7"/>
        <v>5.8721726886729582E-3</v>
      </c>
      <c r="V486" s="80"/>
    </row>
    <row r="487" spans="1:22" x14ac:dyDescent="0.25">
      <c r="A487" s="18" t="s">
        <v>2374</v>
      </c>
      <c r="B487" s="18" t="s">
        <v>2371</v>
      </c>
      <c r="C487" s="18" t="s">
        <v>2373</v>
      </c>
      <c r="D487" t="s">
        <v>2372</v>
      </c>
      <c r="E487" s="13" t="s">
        <v>2375</v>
      </c>
      <c r="F487" s="6" t="s">
        <v>2265</v>
      </c>
      <c r="G487" t="s">
        <v>2266</v>
      </c>
      <c r="I487" t="s">
        <v>7</v>
      </c>
      <c r="J487" s="63">
        <v>2</v>
      </c>
      <c r="K487" s="25">
        <v>615407.994708588</v>
      </c>
      <c r="L487" s="17">
        <v>6.2010663680051002E-3</v>
      </c>
      <c r="M487" s="63">
        <v>1</v>
      </c>
      <c r="N487" s="25">
        <v>616568.850572575</v>
      </c>
      <c r="O487" s="17">
        <v>5.6979311876756058E-3</v>
      </c>
      <c r="P487" s="63">
        <v>0</v>
      </c>
      <c r="Q487" s="25">
        <v>529749.50167451799</v>
      </c>
      <c r="R487" s="66">
        <v>5.558445346337192E-3</v>
      </c>
      <c r="S487" s="77">
        <f t="shared" si="7"/>
        <v>5.819147634005966E-3</v>
      </c>
      <c r="V487" s="80"/>
    </row>
    <row r="488" spans="1:22" x14ac:dyDescent="0.25">
      <c r="A488" s="18" t="s">
        <v>2267</v>
      </c>
      <c r="B488" s="18" t="s">
        <v>8138</v>
      </c>
      <c r="C488" s="18" t="s">
        <v>2269</v>
      </c>
      <c r="D488" t="s">
        <v>2268</v>
      </c>
      <c r="E488" s="13" t="s">
        <v>2270</v>
      </c>
      <c r="F488" s="6" t="s">
        <v>2265</v>
      </c>
      <c r="G488" t="s">
        <v>2271</v>
      </c>
      <c r="I488" t="s">
        <v>1577</v>
      </c>
      <c r="J488" s="63">
        <v>2</v>
      </c>
      <c r="K488" s="25">
        <v>542834.24876331701</v>
      </c>
      <c r="L488" s="17">
        <v>5.4069167753346215E-3</v>
      </c>
      <c r="M488" s="63">
        <v>1</v>
      </c>
      <c r="N488" s="25">
        <v>504528.17341873801</v>
      </c>
      <c r="O488" s="17">
        <v>4.6089313708073659E-3</v>
      </c>
      <c r="P488" s="63">
        <v>2</v>
      </c>
      <c r="Q488" s="25">
        <v>553584.32442653703</v>
      </c>
      <c r="R488" s="66">
        <v>5.7417696518113938E-3</v>
      </c>
      <c r="S488" s="77">
        <f t="shared" si="7"/>
        <v>5.2525392659844607E-3</v>
      </c>
      <c r="V488" s="80"/>
    </row>
    <row r="489" spans="1:22" x14ac:dyDescent="0.25">
      <c r="A489" s="18" t="s">
        <v>2331</v>
      </c>
      <c r="B489" s="18" t="s">
        <v>2328</v>
      </c>
      <c r="C489" s="18" t="s">
        <v>2330</v>
      </c>
      <c r="D489" t="s">
        <v>2329</v>
      </c>
      <c r="E489" s="13" t="s">
        <v>2332</v>
      </c>
      <c r="F489" s="6" t="s">
        <v>2265</v>
      </c>
      <c r="G489" t="s">
        <v>2276</v>
      </c>
      <c r="I489" t="s">
        <v>553</v>
      </c>
      <c r="J489" s="63">
        <v>1</v>
      </c>
      <c r="K489" s="25">
        <v>304782.06454554899</v>
      </c>
      <c r="L489" s="17">
        <v>3.6990729117269321E-3</v>
      </c>
      <c r="M489" s="63">
        <v>2</v>
      </c>
      <c r="N489" s="25">
        <v>391586.32078183402</v>
      </c>
      <c r="O489" s="17">
        <v>4.3587641643717924E-3</v>
      </c>
      <c r="P489" s="63">
        <v>2</v>
      </c>
      <c r="Q489" s="25">
        <v>342499.178610901</v>
      </c>
      <c r="R489" s="66">
        <v>4.3285511780839182E-3</v>
      </c>
      <c r="S489" s="77">
        <f t="shared" si="7"/>
        <v>4.1287960847275476E-3</v>
      </c>
      <c r="V489" s="80"/>
    </row>
    <row r="490" spans="1:22" x14ac:dyDescent="0.25">
      <c r="A490" s="18" t="s">
        <v>2326</v>
      </c>
      <c r="B490" s="18" t="s">
        <v>2323</v>
      </c>
      <c r="C490" s="18" t="s">
        <v>2325</v>
      </c>
      <c r="D490" t="s">
        <v>2324</v>
      </c>
      <c r="E490" s="13" t="s">
        <v>2327</v>
      </c>
      <c r="F490" s="6" t="s">
        <v>2265</v>
      </c>
      <c r="G490" t="s">
        <v>2276</v>
      </c>
      <c r="I490" t="s">
        <v>41</v>
      </c>
      <c r="J490" s="63">
        <v>2</v>
      </c>
      <c r="K490" s="25">
        <v>186829.41601884901</v>
      </c>
      <c r="L490" s="17">
        <v>3.2123023599317526E-3</v>
      </c>
      <c r="M490" s="63">
        <v>1</v>
      </c>
      <c r="N490" s="25">
        <v>233794.73921523499</v>
      </c>
      <c r="O490" s="17">
        <v>3.6867039929368876E-3</v>
      </c>
      <c r="P490" s="63">
        <v>1</v>
      </c>
      <c r="Q490" s="25">
        <v>288492.41109043499</v>
      </c>
      <c r="R490" s="66">
        <v>5.1651756038008263E-3</v>
      </c>
      <c r="S490" s="77">
        <f t="shared" si="7"/>
        <v>4.0213939855564887E-3</v>
      </c>
      <c r="V490" s="80"/>
    </row>
    <row r="491" spans="1:22" x14ac:dyDescent="0.25">
      <c r="A491" s="18" t="s">
        <v>2465</v>
      </c>
      <c r="B491" s="18" t="s">
        <v>2462</v>
      </c>
      <c r="C491" s="18" t="s">
        <v>2464</v>
      </c>
      <c r="D491" t="s">
        <v>2463</v>
      </c>
      <c r="E491" s="13" t="s">
        <v>2466</v>
      </c>
      <c r="F491" s="6" t="s">
        <v>2265</v>
      </c>
      <c r="G491" t="s">
        <v>2276</v>
      </c>
      <c r="I491" t="s">
        <v>547</v>
      </c>
      <c r="J491" s="63">
        <v>2</v>
      </c>
      <c r="K491" s="25">
        <v>415180.82149848202</v>
      </c>
      <c r="L491" s="17">
        <v>3.5342006529614826E-3</v>
      </c>
      <c r="M491" s="63">
        <v>3</v>
      </c>
      <c r="N491" s="25">
        <v>384432.61348459002</v>
      </c>
      <c r="O491" s="17">
        <v>3.0012800215067832E-3</v>
      </c>
      <c r="P491" s="63">
        <v>2</v>
      </c>
      <c r="Q491" s="25">
        <v>399902.18284690898</v>
      </c>
      <c r="R491" s="66">
        <v>3.5447632203431789E-3</v>
      </c>
      <c r="S491" s="77">
        <f t="shared" si="7"/>
        <v>3.3600812982704817E-3</v>
      </c>
      <c r="V491" s="80"/>
    </row>
    <row r="492" spans="1:22" x14ac:dyDescent="0.25">
      <c r="A492" s="18" t="s">
        <v>2336</v>
      </c>
      <c r="B492" s="18" t="s">
        <v>2333</v>
      </c>
      <c r="C492" s="18" t="s">
        <v>2335</v>
      </c>
      <c r="D492" t="s">
        <v>2334</v>
      </c>
      <c r="E492" s="13" t="s">
        <v>2337</v>
      </c>
      <c r="F492" s="6" t="s">
        <v>2265</v>
      </c>
      <c r="G492" t="s">
        <v>2276</v>
      </c>
      <c r="I492" t="s">
        <v>41</v>
      </c>
      <c r="J492" s="63">
        <v>2</v>
      </c>
      <c r="K492" s="25">
        <v>203016.89299364699</v>
      </c>
      <c r="L492" s="17">
        <v>2.6655690572405561E-3</v>
      </c>
      <c r="M492" s="63">
        <v>2</v>
      </c>
      <c r="N492" s="25">
        <v>183801.06813110801</v>
      </c>
      <c r="O492" s="17">
        <v>2.2132892087307781E-3</v>
      </c>
      <c r="P492" s="63">
        <v>3</v>
      </c>
      <c r="Q492" s="25">
        <v>282235.88597992301</v>
      </c>
      <c r="R492" s="66">
        <v>3.8587756704750861E-3</v>
      </c>
      <c r="S492" s="77">
        <f t="shared" si="7"/>
        <v>2.9125446454821399E-3</v>
      </c>
      <c r="V492" s="80"/>
    </row>
    <row r="493" spans="1:22" x14ac:dyDescent="0.25">
      <c r="A493" s="18" t="s">
        <v>2396</v>
      </c>
      <c r="B493" s="18" t="s">
        <v>2393</v>
      </c>
      <c r="C493" s="18" t="s">
        <v>2395</v>
      </c>
      <c r="D493" t="s">
        <v>2394</v>
      </c>
      <c r="E493" s="13" t="s">
        <v>2397</v>
      </c>
      <c r="F493" s="6" t="s">
        <v>2265</v>
      </c>
      <c r="G493" t="s">
        <v>2312</v>
      </c>
      <c r="I493" t="s">
        <v>57</v>
      </c>
      <c r="J493" s="63">
        <v>1</v>
      </c>
      <c r="K493" s="25">
        <v>147648.77534440201</v>
      </c>
      <c r="L493" s="17">
        <v>7.7826900148073551E-4</v>
      </c>
      <c r="M493" s="63">
        <v>0</v>
      </c>
      <c r="N493" s="25">
        <v>134885.84640452801</v>
      </c>
      <c r="O493" s="17">
        <v>6.5207663571216707E-4</v>
      </c>
      <c r="P493" s="63">
        <v>1</v>
      </c>
      <c r="Q493" s="25">
        <v>90773.401946722806</v>
      </c>
      <c r="R493" s="66">
        <v>4.9823935990560351E-4</v>
      </c>
      <c r="S493" s="77">
        <f t="shared" si="7"/>
        <v>6.4286166569950203E-4</v>
      </c>
      <c r="V493" s="80"/>
    </row>
    <row r="494" spans="1:22" x14ac:dyDescent="0.25">
      <c r="A494" s="18" t="s">
        <v>2347</v>
      </c>
      <c r="B494" s="18" t="s">
        <v>2344</v>
      </c>
      <c r="C494" s="18" t="s">
        <v>2346</v>
      </c>
      <c r="D494" t="s">
        <v>2345</v>
      </c>
      <c r="E494" s="13" t="s">
        <v>2348</v>
      </c>
      <c r="F494" s="6" t="s">
        <v>2265</v>
      </c>
      <c r="G494" t="s">
        <v>2312</v>
      </c>
      <c r="H494" t="s">
        <v>2349</v>
      </c>
      <c r="I494" t="s">
        <v>7</v>
      </c>
      <c r="J494" s="63">
        <v>1</v>
      </c>
      <c r="K494" s="25">
        <v>162073.51834269101</v>
      </c>
      <c r="L494" s="17">
        <v>4.5778167264776029E-4</v>
      </c>
      <c r="M494" s="63">
        <v>0</v>
      </c>
      <c r="N494" s="25">
        <v>77531.073475723504</v>
      </c>
      <c r="O494" s="17">
        <v>2.0084198871733001E-4</v>
      </c>
      <c r="P494" s="63">
        <v>3</v>
      </c>
      <c r="Q494" s="25">
        <v>219324.04747737301</v>
      </c>
      <c r="R494" s="66">
        <v>6.4507785149336061E-4</v>
      </c>
      <c r="S494" s="77">
        <f t="shared" si="7"/>
        <v>4.3456717095281702E-4</v>
      </c>
      <c r="V494" s="80"/>
    </row>
    <row r="495" spans="1:22" x14ac:dyDescent="0.25">
      <c r="A495" s="71" t="s">
        <v>2353</v>
      </c>
      <c r="B495" s="71" t="s">
        <v>2350</v>
      </c>
      <c r="C495" s="71" t="s">
        <v>2352</v>
      </c>
      <c r="D495" s="16" t="s">
        <v>2351</v>
      </c>
      <c r="E495" s="45" t="s">
        <v>2354</v>
      </c>
      <c r="F495" s="44" t="s">
        <v>2265</v>
      </c>
      <c r="G495" s="16" t="s">
        <v>2312</v>
      </c>
      <c r="H495" s="16" t="s">
        <v>2349</v>
      </c>
      <c r="I495" s="16" t="s">
        <v>7</v>
      </c>
      <c r="J495" s="72">
        <v>1</v>
      </c>
      <c r="K495" s="73">
        <v>71425.145803827996</v>
      </c>
      <c r="L495" s="30">
        <v>1.4454603046707776E-4</v>
      </c>
      <c r="M495" s="72">
        <v>0</v>
      </c>
      <c r="N495" s="73">
        <v>13191.163529171599</v>
      </c>
      <c r="O495" s="30">
        <v>2.4483331478539464E-5</v>
      </c>
      <c r="P495" s="72">
        <v>0</v>
      </c>
      <c r="Q495" s="73">
        <v>54948.995642950598</v>
      </c>
      <c r="R495" s="74">
        <v>1.157962059559884E-4</v>
      </c>
      <c r="S495" s="78">
        <f t="shared" si="7"/>
        <v>9.4941855967201874E-5</v>
      </c>
      <c r="T495" s="58"/>
      <c r="U495" s="58"/>
      <c r="V495" s="81"/>
    </row>
    <row r="496" spans="1:22" x14ac:dyDescent="0.25">
      <c r="A496" s="18" t="s">
        <v>2509</v>
      </c>
      <c r="B496" s="18" t="s">
        <v>2506</v>
      </c>
      <c r="C496" s="18" t="s">
        <v>2508</v>
      </c>
      <c r="D496" t="s">
        <v>2507</v>
      </c>
      <c r="E496" s="13" t="s">
        <v>2510</v>
      </c>
      <c r="F496" s="7" t="s">
        <v>2492</v>
      </c>
      <c r="G496" s="8" t="s">
        <v>2511</v>
      </c>
      <c r="H496" s="8"/>
      <c r="J496" s="63">
        <v>38</v>
      </c>
      <c r="K496" s="25">
        <v>84592126.904979393</v>
      </c>
      <c r="L496" s="17">
        <v>0.51190411833354899</v>
      </c>
      <c r="M496" s="63">
        <v>37</v>
      </c>
      <c r="N496" s="25">
        <v>83283960.579111904</v>
      </c>
      <c r="O496" s="17">
        <v>0.46222392720146693</v>
      </c>
      <c r="P496" s="63">
        <v>37</v>
      </c>
      <c r="Q496" s="25">
        <v>82047023.239524901</v>
      </c>
      <c r="R496" s="66">
        <v>0.51701250223020867</v>
      </c>
      <c r="S496" s="77">
        <f t="shared" si="7"/>
        <v>0.49704684925507481</v>
      </c>
      <c r="T496" s="20">
        <f>SUM('R. pomeroyi'!L496:L504)</f>
        <v>0.82336104807786192</v>
      </c>
      <c r="U496" s="20">
        <f>SUM('R. pomeroyi'!O496:O504)</f>
        <v>0.81779692439731899</v>
      </c>
      <c r="V496" s="80">
        <f>SUM('R. pomeroyi'!R496:R504)</f>
        <v>0.84839575114331256</v>
      </c>
    </row>
    <row r="497" spans="1:22" x14ac:dyDescent="0.25">
      <c r="A497" s="18" t="s">
        <v>2539</v>
      </c>
      <c r="B497" s="18" t="s">
        <v>2536</v>
      </c>
      <c r="C497" s="18" t="s">
        <v>2538</v>
      </c>
      <c r="D497" t="s">
        <v>2537</v>
      </c>
      <c r="E497" s="13" t="s">
        <v>2540</v>
      </c>
      <c r="F497" s="7" t="s">
        <v>2492</v>
      </c>
      <c r="G497" t="s">
        <v>2541</v>
      </c>
      <c r="J497" s="63">
        <v>6</v>
      </c>
      <c r="K497" s="25">
        <v>6494072.5950663397</v>
      </c>
      <c r="L497" s="17">
        <v>0.14579127410488571</v>
      </c>
      <c r="M497" s="63">
        <v>7</v>
      </c>
      <c r="N497" s="25">
        <v>8334380.5188229196</v>
      </c>
      <c r="O497" s="17">
        <v>0.17160110949595472</v>
      </c>
      <c r="P497" s="63">
        <v>6</v>
      </c>
      <c r="Q497" s="25">
        <v>6763372.9221430002</v>
      </c>
      <c r="R497" s="66">
        <v>0.15810924467386761</v>
      </c>
      <c r="S497" s="77">
        <f t="shared" si="7"/>
        <v>0.15850054275823602</v>
      </c>
      <c r="T497" s="20" t="s">
        <v>8174</v>
      </c>
      <c r="U497" s="69">
        <f>AVERAGE(T496:V496)</f>
        <v>0.82985124120616449</v>
      </c>
      <c r="V497" s="80"/>
    </row>
    <row r="498" spans="1:22" x14ac:dyDescent="0.25">
      <c r="A498" s="18" t="s">
        <v>2533</v>
      </c>
      <c r="B498" s="18" t="s">
        <v>2530</v>
      </c>
      <c r="C498" s="18" t="s">
        <v>2532</v>
      </c>
      <c r="D498" t="s">
        <v>2531</v>
      </c>
      <c r="E498" s="13" t="s">
        <v>2534</v>
      </c>
      <c r="F498" s="7" t="s">
        <v>2492</v>
      </c>
      <c r="G498" t="s">
        <v>2535</v>
      </c>
      <c r="J498" s="63">
        <v>5</v>
      </c>
      <c r="K498" s="25">
        <v>2951856.45368873</v>
      </c>
      <c r="L498" s="17">
        <v>7.1451920203877944E-2</v>
      </c>
      <c r="M498" s="63">
        <v>5</v>
      </c>
      <c r="N498" s="25">
        <v>3697317.0702661402</v>
      </c>
      <c r="O498" s="17">
        <v>8.2080074215685736E-2</v>
      </c>
      <c r="P498" s="63">
        <v>4</v>
      </c>
      <c r="Q498" s="25">
        <v>3135543.8126963601</v>
      </c>
      <c r="R498" s="66">
        <v>7.9033475606883161E-2</v>
      </c>
      <c r="S498" s="77">
        <f t="shared" si="7"/>
        <v>7.7521823342148952E-2</v>
      </c>
      <c r="T498" s="20" t="s">
        <v>8085</v>
      </c>
      <c r="U498" s="70">
        <f>STDEV(T496:V496)</f>
        <v>1.6299202578342054E-2</v>
      </c>
      <c r="V498" s="80"/>
    </row>
    <row r="499" spans="1:22" x14ac:dyDescent="0.25">
      <c r="A499" s="18" t="s">
        <v>2503</v>
      </c>
      <c r="B499" s="18" t="s">
        <v>2500</v>
      </c>
      <c r="C499" s="18" t="s">
        <v>2502</v>
      </c>
      <c r="D499" t="s">
        <v>2501</v>
      </c>
      <c r="E499" s="13" t="s">
        <v>2504</v>
      </c>
      <c r="F499" s="7" t="s">
        <v>2492</v>
      </c>
      <c r="G499" t="s">
        <v>2505</v>
      </c>
      <c r="J499" s="63">
        <v>5</v>
      </c>
      <c r="K499" s="25">
        <v>3354234.2883118298</v>
      </c>
      <c r="L499" s="17">
        <v>5.1720030877733782E-2</v>
      </c>
      <c r="M499" s="63">
        <v>6</v>
      </c>
      <c r="N499" s="25">
        <v>3673166.3202289999</v>
      </c>
      <c r="O499" s="17">
        <v>5.1944353952231827E-2</v>
      </c>
      <c r="P499" s="63">
        <v>4</v>
      </c>
      <c r="Q499" s="25">
        <v>3019576.6487448802</v>
      </c>
      <c r="R499" s="66">
        <v>4.8483166542031275E-2</v>
      </c>
      <c r="S499" s="77">
        <f t="shared" si="7"/>
        <v>5.071585045733229E-2</v>
      </c>
      <c r="V499" s="80"/>
    </row>
    <row r="500" spans="1:22" x14ac:dyDescent="0.25">
      <c r="A500" s="18" t="s">
        <v>2515</v>
      </c>
      <c r="B500" s="18" t="s">
        <v>2512</v>
      </c>
      <c r="C500" s="18" t="s">
        <v>2514</v>
      </c>
      <c r="D500" t="s">
        <v>2513</v>
      </c>
      <c r="E500" s="13" t="s">
        <v>2516</v>
      </c>
      <c r="F500" s="7" t="s">
        <v>2492</v>
      </c>
      <c r="G500" t="s">
        <v>2517</v>
      </c>
      <c r="I500" t="s">
        <v>57</v>
      </c>
      <c r="J500" s="63">
        <v>2</v>
      </c>
      <c r="K500" s="25">
        <v>1012009.3286966101</v>
      </c>
      <c r="L500" s="17">
        <v>1.5604501424104866E-2</v>
      </c>
      <c r="M500" s="63">
        <v>2</v>
      </c>
      <c r="N500" s="25">
        <v>1275662.5802046501</v>
      </c>
      <c r="O500" s="17">
        <v>1.8039876992457179E-2</v>
      </c>
      <c r="P500" s="63">
        <v>5</v>
      </c>
      <c r="Q500" s="25">
        <v>1063423.3960424</v>
      </c>
      <c r="R500" s="66">
        <v>1.707462323781277E-2</v>
      </c>
      <c r="S500" s="77">
        <f t="shared" si="7"/>
        <v>1.6906333884791607E-2</v>
      </c>
      <c r="V500" s="80"/>
    </row>
    <row r="501" spans="1:22" x14ac:dyDescent="0.25">
      <c r="A501" s="18" t="s">
        <v>2490</v>
      </c>
      <c r="B501" s="18" t="s">
        <v>2487</v>
      </c>
      <c r="C501" s="18" t="s">
        <v>2489</v>
      </c>
      <c r="D501" t="s">
        <v>2488</v>
      </c>
      <c r="E501" s="13" t="s">
        <v>2491</v>
      </c>
      <c r="F501" s="7" t="s">
        <v>2492</v>
      </c>
      <c r="G501" t="s">
        <v>2493</v>
      </c>
      <c r="I501" t="s">
        <v>41</v>
      </c>
      <c r="J501" s="63">
        <v>2</v>
      </c>
      <c r="K501" s="25">
        <v>455089.34215417999</v>
      </c>
      <c r="L501" s="17">
        <v>9.1712790159840605E-3</v>
      </c>
      <c r="M501" s="63">
        <v>1</v>
      </c>
      <c r="N501" s="25">
        <v>837588.53390078503</v>
      </c>
      <c r="O501" s="17">
        <v>1.5480904769421225E-2</v>
      </c>
      <c r="P501" s="63">
        <v>1</v>
      </c>
      <c r="Q501" s="25">
        <v>473778.19323912298</v>
      </c>
      <c r="R501" s="66">
        <v>9.9423224942420674E-3</v>
      </c>
      <c r="S501" s="77">
        <f t="shared" si="7"/>
        <v>1.1531502093215783E-2</v>
      </c>
      <c r="V501" s="80"/>
    </row>
    <row r="502" spans="1:22" x14ac:dyDescent="0.25">
      <c r="A502" s="18" t="s">
        <v>2497</v>
      </c>
      <c r="B502" s="18" t="s">
        <v>2494</v>
      </c>
      <c r="C502" s="18" t="s">
        <v>2496</v>
      </c>
      <c r="D502" t="s">
        <v>2495</v>
      </c>
      <c r="E502" s="13" t="s">
        <v>2498</v>
      </c>
      <c r="F502" s="7" t="s">
        <v>2492</v>
      </c>
      <c r="G502" t="s">
        <v>2499</v>
      </c>
      <c r="I502" t="s">
        <v>41</v>
      </c>
      <c r="J502" s="63">
        <v>5</v>
      </c>
      <c r="K502" s="25">
        <v>1263774.1284370399</v>
      </c>
      <c r="L502" s="17">
        <v>1.1360413084907707E-2</v>
      </c>
      <c r="M502" s="63">
        <v>4</v>
      </c>
      <c r="N502" s="25">
        <v>1320508.35190941</v>
      </c>
      <c r="O502" s="17">
        <v>1.0886748486659853E-2</v>
      </c>
      <c r="P502" s="63">
        <v>4</v>
      </c>
      <c r="Q502" s="25">
        <v>1199107.5840004201</v>
      </c>
      <c r="R502" s="66">
        <v>1.1224379710680746E-2</v>
      </c>
      <c r="S502" s="77">
        <f t="shared" si="7"/>
        <v>1.11571804274161E-2</v>
      </c>
      <c r="V502" s="80"/>
    </row>
    <row r="503" spans="1:22" x14ac:dyDescent="0.25">
      <c r="A503" s="18" t="s">
        <v>2527</v>
      </c>
      <c r="B503" s="18" t="s">
        <v>2524</v>
      </c>
      <c r="C503" s="18" t="s">
        <v>2526</v>
      </c>
      <c r="D503" t="s">
        <v>2525</v>
      </c>
      <c r="E503" s="13" t="s">
        <v>2528</v>
      </c>
      <c r="F503" s="7" t="s">
        <v>2492</v>
      </c>
      <c r="G503" t="s">
        <v>2529</v>
      </c>
      <c r="I503" t="s">
        <v>17</v>
      </c>
      <c r="J503" s="63">
        <v>2</v>
      </c>
      <c r="K503" s="25">
        <v>1230405.48689392</v>
      </c>
      <c r="L503" s="17">
        <v>6.2719275748534227E-3</v>
      </c>
      <c r="M503" s="63">
        <v>5</v>
      </c>
      <c r="N503" s="25">
        <v>1159415.87419424</v>
      </c>
      <c r="O503" s="17">
        <v>5.4203133262155506E-3</v>
      </c>
      <c r="P503" s="63">
        <v>5</v>
      </c>
      <c r="Q503" s="25">
        <v>1383971.1014654301</v>
      </c>
      <c r="R503" s="66">
        <v>7.3461422643729549E-3</v>
      </c>
      <c r="S503" s="77">
        <f t="shared" si="7"/>
        <v>6.3461277218139758E-3</v>
      </c>
      <c r="V503" s="80"/>
    </row>
    <row r="504" spans="1:22" x14ac:dyDescent="0.25">
      <c r="A504" s="71" t="s">
        <v>2521</v>
      </c>
      <c r="B504" s="71" t="s">
        <v>2518</v>
      </c>
      <c r="C504" s="71" t="s">
        <v>2520</v>
      </c>
      <c r="D504" s="16" t="s">
        <v>2519</v>
      </c>
      <c r="E504" s="45" t="s">
        <v>2522</v>
      </c>
      <c r="F504" s="75" t="s">
        <v>2492</v>
      </c>
      <c r="G504" s="16" t="s">
        <v>2523</v>
      </c>
      <c r="H504" s="16"/>
      <c r="I504" s="16"/>
      <c r="J504" s="72">
        <v>0</v>
      </c>
      <c r="K504" s="73">
        <v>159855.53162588101</v>
      </c>
      <c r="L504" s="30">
        <v>8.5583457965484868E-5</v>
      </c>
      <c r="M504" s="72">
        <v>2</v>
      </c>
      <c r="N504" s="73">
        <v>243609.70446981199</v>
      </c>
      <c r="O504" s="30">
        <v>1.1961595722609538E-4</v>
      </c>
      <c r="P504" s="72">
        <v>1</v>
      </c>
      <c r="Q504" s="73">
        <v>304745.51517973799</v>
      </c>
      <c r="R504" s="74">
        <v>1.6989438321337252E-4</v>
      </c>
      <c r="S504" s="78">
        <f t="shared" si="7"/>
        <v>1.2503126613498425E-4</v>
      </c>
      <c r="T504" s="58"/>
      <c r="U504" s="58"/>
      <c r="V504" s="81"/>
    </row>
    <row r="505" spans="1:22" x14ac:dyDescent="0.25">
      <c r="A505" s="18" t="s">
        <v>2700</v>
      </c>
      <c r="B505" s="18" t="s">
        <v>2697</v>
      </c>
      <c r="C505" s="18" t="s">
        <v>2699</v>
      </c>
      <c r="D505" t="s">
        <v>2698</v>
      </c>
      <c r="E505" s="13" t="s">
        <v>2701</v>
      </c>
      <c r="F505" s="1" t="s">
        <v>553</v>
      </c>
      <c r="I505" t="s">
        <v>553</v>
      </c>
      <c r="J505" s="63">
        <v>48</v>
      </c>
      <c r="K505" s="25">
        <v>192836418.97734901</v>
      </c>
      <c r="L505" s="17">
        <v>1.7627162878082732</v>
      </c>
      <c r="M505" s="63">
        <v>48</v>
      </c>
      <c r="N505" s="25">
        <v>199472977.38603699</v>
      </c>
      <c r="O505" s="17">
        <v>1.6722831120999653</v>
      </c>
      <c r="P505" s="63">
        <v>42</v>
      </c>
      <c r="Q505" s="25">
        <v>178396866.033133</v>
      </c>
      <c r="R505" s="66">
        <v>1.6980877052278496</v>
      </c>
      <c r="S505" s="77">
        <f t="shared" si="7"/>
        <v>1.7110290350453627</v>
      </c>
      <c r="T505" s="20">
        <f>SUM('R. pomeroyi'!L505:L544)</f>
        <v>6.4391556137774613</v>
      </c>
      <c r="U505" s="20">
        <f>SUM('R. pomeroyi'!O505:O544)</f>
        <v>6.1968234258757144</v>
      </c>
      <c r="V505" s="80">
        <f>SUM('R. pomeroyi'!R505:R544)</f>
        <v>6.3851284172384348</v>
      </c>
    </row>
    <row r="506" spans="1:22" x14ac:dyDescent="0.25">
      <c r="A506" s="18" t="s">
        <v>2710</v>
      </c>
      <c r="B506" s="18" t="s">
        <v>2707</v>
      </c>
      <c r="C506" s="18" t="s">
        <v>2709</v>
      </c>
      <c r="D506" t="s">
        <v>2708</v>
      </c>
      <c r="E506" s="13" t="s">
        <v>2711</v>
      </c>
      <c r="F506" s="1" t="s">
        <v>553</v>
      </c>
      <c r="I506" t="s">
        <v>553</v>
      </c>
      <c r="J506" s="63">
        <v>31</v>
      </c>
      <c r="K506" s="25">
        <v>103882366.837073</v>
      </c>
      <c r="L506" s="17">
        <v>0.87911072057331507</v>
      </c>
      <c r="M506" s="63">
        <v>33</v>
      </c>
      <c r="N506" s="25">
        <v>93021126.275704697</v>
      </c>
      <c r="O506" s="17">
        <v>0.72196427534620178</v>
      </c>
      <c r="P506" s="63">
        <v>33</v>
      </c>
      <c r="Q506" s="25">
        <v>93280657.875781998</v>
      </c>
      <c r="R506" s="66">
        <v>0.82200200697970571</v>
      </c>
      <c r="S506" s="77">
        <f t="shared" si="7"/>
        <v>0.80769233429974074</v>
      </c>
      <c r="T506" s="20" t="s">
        <v>8174</v>
      </c>
      <c r="U506" s="69">
        <f>AVERAGE(T505:V505)</f>
        <v>6.3403691522972032</v>
      </c>
      <c r="V506" s="80"/>
    </row>
    <row r="507" spans="1:22" x14ac:dyDescent="0.25">
      <c r="A507" s="18" t="s">
        <v>2715</v>
      </c>
      <c r="B507" s="18" t="s">
        <v>2712</v>
      </c>
      <c r="C507" s="18" t="s">
        <v>2714</v>
      </c>
      <c r="D507" t="s">
        <v>2713</v>
      </c>
      <c r="E507" s="13" t="s">
        <v>2716</v>
      </c>
      <c r="F507" s="1" t="s">
        <v>553</v>
      </c>
      <c r="I507" t="s">
        <v>553</v>
      </c>
      <c r="J507" s="63">
        <v>8</v>
      </c>
      <c r="K507" s="25">
        <v>26393468.563193802</v>
      </c>
      <c r="L507" s="17">
        <v>0.61483024714989831</v>
      </c>
      <c r="M507" s="63">
        <v>8</v>
      </c>
      <c r="N507" s="25">
        <v>26918853.4500723</v>
      </c>
      <c r="O507" s="17">
        <v>0.57510572307681396</v>
      </c>
      <c r="P507" s="63">
        <v>6</v>
      </c>
      <c r="Q507" s="25">
        <v>25971646.112422001</v>
      </c>
      <c r="R507" s="66">
        <v>0.62999596934686186</v>
      </c>
      <c r="S507" s="77">
        <f t="shared" si="7"/>
        <v>0.60664397985785801</v>
      </c>
      <c r="T507" s="20" t="s">
        <v>8085</v>
      </c>
      <c r="U507" s="70">
        <f>STDEV(T505:V505)</f>
        <v>0.12721543212940553</v>
      </c>
      <c r="V507" s="80"/>
    </row>
    <row r="508" spans="1:22" x14ac:dyDescent="0.25">
      <c r="A508" s="18" t="s">
        <v>2605</v>
      </c>
      <c r="B508" s="18" t="s">
        <v>2602</v>
      </c>
      <c r="C508" s="18" t="s">
        <v>2604</v>
      </c>
      <c r="D508" t="s">
        <v>2603</v>
      </c>
      <c r="E508" s="13" t="s">
        <v>2606</v>
      </c>
      <c r="F508" s="1" t="s">
        <v>553</v>
      </c>
      <c r="I508" t="s">
        <v>553</v>
      </c>
      <c r="J508" s="63">
        <v>14</v>
      </c>
      <c r="K508" s="25">
        <v>30113336.425726999</v>
      </c>
      <c r="L508" s="17">
        <v>0.51776183711895962</v>
      </c>
      <c r="M508" s="63">
        <v>13</v>
      </c>
      <c r="N508" s="25">
        <v>35925764.315557398</v>
      </c>
      <c r="O508" s="17">
        <v>0.56651257079630735</v>
      </c>
      <c r="P508" s="63">
        <v>13</v>
      </c>
      <c r="Q508" s="25">
        <v>29343130.343860701</v>
      </c>
      <c r="R508" s="66">
        <v>0.52536016603828806</v>
      </c>
      <c r="S508" s="77">
        <f t="shared" si="7"/>
        <v>0.53654485798451834</v>
      </c>
      <c r="V508" s="80"/>
    </row>
    <row r="509" spans="1:22" x14ac:dyDescent="0.25">
      <c r="A509" s="18" t="s">
        <v>2600</v>
      </c>
      <c r="B509" s="18" t="s">
        <v>2597</v>
      </c>
      <c r="C509" s="18" t="s">
        <v>2599</v>
      </c>
      <c r="D509" t="s">
        <v>2598</v>
      </c>
      <c r="E509" s="13" t="s">
        <v>2601</v>
      </c>
      <c r="F509" s="1" t="s">
        <v>553</v>
      </c>
      <c r="I509" t="s">
        <v>553</v>
      </c>
      <c r="J509" s="63">
        <v>16</v>
      </c>
      <c r="K509" s="25">
        <v>25645991.596032899</v>
      </c>
      <c r="L509" s="17">
        <v>0.35961079274368918</v>
      </c>
      <c r="M509" s="63">
        <v>16</v>
      </c>
      <c r="N509" s="25">
        <v>29956993.7579193</v>
      </c>
      <c r="O509" s="17">
        <v>0.38525104465531373</v>
      </c>
      <c r="P509" s="63">
        <v>13</v>
      </c>
      <c r="Q509" s="25">
        <v>23829451.284632798</v>
      </c>
      <c r="R509" s="66">
        <v>0.34794195646720738</v>
      </c>
      <c r="S509" s="77">
        <f t="shared" si="7"/>
        <v>0.36426793128873675</v>
      </c>
      <c r="V509" s="80"/>
    </row>
    <row r="510" spans="1:22" x14ac:dyDescent="0.25">
      <c r="A510" s="18" t="s">
        <v>2642</v>
      </c>
      <c r="B510" s="18" t="s">
        <v>2638</v>
      </c>
      <c r="C510" s="18" t="s">
        <v>2641</v>
      </c>
      <c r="D510" t="s">
        <v>2640</v>
      </c>
      <c r="E510" s="13" t="s">
        <v>2643</v>
      </c>
      <c r="F510" s="1" t="s">
        <v>553</v>
      </c>
      <c r="H510" t="s">
        <v>563</v>
      </c>
      <c r="I510" t="s">
        <v>716</v>
      </c>
      <c r="J510" s="63">
        <v>4</v>
      </c>
      <c r="K510" s="25">
        <v>10159614.0919383</v>
      </c>
      <c r="L510" s="17">
        <v>0.31442775679621071</v>
      </c>
      <c r="M510" s="63">
        <v>6</v>
      </c>
      <c r="N510" s="25">
        <v>12880126.6812346</v>
      </c>
      <c r="O510" s="17">
        <v>0.36559157115483576</v>
      </c>
      <c r="P510" s="63">
        <v>6</v>
      </c>
      <c r="Q510" s="25">
        <v>10633671.0264639</v>
      </c>
      <c r="R510" s="66">
        <v>0.34269393889023736</v>
      </c>
      <c r="S510" s="77">
        <f t="shared" si="7"/>
        <v>0.34090442228042789</v>
      </c>
      <c r="V510" s="80"/>
    </row>
    <row r="511" spans="1:22" x14ac:dyDescent="0.25">
      <c r="A511" s="18" t="s">
        <v>2554</v>
      </c>
      <c r="B511" s="18" t="s">
        <v>8145</v>
      </c>
      <c r="C511" s="18" t="s">
        <v>2556</v>
      </c>
      <c r="D511" t="s">
        <v>2555</v>
      </c>
      <c r="E511" s="13" t="s">
        <v>2557</v>
      </c>
      <c r="F511" s="1" t="s">
        <v>553</v>
      </c>
      <c r="I511" t="s">
        <v>553</v>
      </c>
      <c r="J511" s="63">
        <v>19</v>
      </c>
      <c r="K511" s="25">
        <v>25821176.091304101</v>
      </c>
      <c r="L511" s="17">
        <v>0.21189162819043617</v>
      </c>
      <c r="M511" s="63">
        <v>13</v>
      </c>
      <c r="N511" s="25">
        <v>20296990.8096352</v>
      </c>
      <c r="O511" s="17">
        <v>0.15275724178813307</v>
      </c>
      <c r="P511" s="63">
        <v>18</v>
      </c>
      <c r="Q511" s="25">
        <v>22766072.861260802</v>
      </c>
      <c r="R511" s="66">
        <v>0.19453844380092683</v>
      </c>
      <c r="S511" s="77">
        <f t="shared" si="7"/>
        <v>0.186395771259832</v>
      </c>
      <c r="V511" s="80"/>
    </row>
    <row r="512" spans="1:22" x14ac:dyDescent="0.25">
      <c r="A512" s="18" t="s">
        <v>2576</v>
      </c>
      <c r="B512" s="18" t="s">
        <v>2573</v>
      </c>
      <c r="C512" s="18" t="s">
        <v>2575</v>
      </c>
      <c r="D512" t="s">
        <v>2574</v>
      </c>
      <c r="E512" s="13" t="s">
        <v>2577</v>
      </c>
      <c r="F512" s="1" t="s">
        <v>553</v>
      </c>
      <c r="I512" t="s">
        <v>553</v>
      </c>
      <c r="J512" s="63">
        <v>18</v>
      </c>
      <c r="K512" s="25">
        <v>21478330.4955821</v>
      </c>
      <c r="L512" s="17">
        <v>0.16982110541667642</v>
      </c>
      <c r="M512" s="63">
        <v>19</v>
      </c>
      <c r="N512" s="25">
        <v>20919113.286163799</v>
      </c>
      <c r="O512" s="17">
        <v>0.15169343608684308</v>
      </c>
      <c r="P512" s="63">
        <v>18</v>
      </c>
      <c r="Q512" s="25">
        <v>20196409.783458099</v>
      </c>
      <c r="R512" s="66">
        <v>0.16628185240001433</v>
      </c>
      <c r="S512" s="77">
        <f t="shared" si="7"/>
        <v>0.1625987979678446</v>
      </c>
      <c r="V512" s="80"/>
    </row>
    <row r="513" spans="1:22" x14ac:dyDescent="0.25">
      <c r="A513" s="18" t="s">
        <v>2581</v>
      </c>
      <c r="B513" s="18" t="s">
        <v>2578</v>
      </c>
      <c r="C513" s="18" t="s">
        <v>2580</v>
      </c>
      <c r="D513" t="s">
        <v>2579</v>
      </c>
      <c r="E513" s="13" t="s">
        <v>2582</v>
      </c>
      <c r="F513" s="1" t="s">
        <v>553</v>
      </c>
      <c r="I513" t="s">
        <v>553</v>
      </c>
      <c r="J513" s="63">
        <v>16</v>
      </c>
      <c r="K513" s="25">
        <v>16777394.934470501</v>
      </c>
      <c r="L513" s="17">
        <v>0.15734547342685726</v>
      </c>
      <c r="M513" s="63">
        <v>16</v>
      </c>
      <c r="N513" s="25">
        <v>18852838.629457299</v>
      </c>
      <c r="O513" s="17">
        <v>0.16215817582718675</v>
      </c>
      <c r="P513" s="63">
        <v>20</v>
      </c>
      <c r="Q513" s="25">
        <v>17192185.970953699</v>
      </c>
      <c r="R513" s="66">
        <v>0.16789600533879639</v>
      </c>
      <c r="S513" s="77">
        <f t="shared" si="7"/>
        <v>0.1624665515309468</v>
      </c>
      <c r="V513" s="80"/>
    </row>
    <row r="514" spans="1:22" x14ac:dyDescent="0.25">
      <c r="A514" s="18" t="s">
        <v>2720</v>
      </c>
      <c r="B514" s="18" t="s">
        <v>2717</v>
      </c>
      <c r="C514" s="18" t="s">
        <v>2719</v>
      </c>
      <c r="D514" t="s">
        <v>2718</v>
      </c>
      <c r="E514" s="13" t="s">
        <v>2721</v>
      </c>
      <c r="F514" s="1" t="s">
        <v>553</v>
      </c>
      <c r="I514" t="s">
        <v>553</v>
      </c>
      <c r="J514" s="63">
        <v>6</v>
      </c>
      <c r="K514" s="25">
        <v>4815097.1133000096</v>
      </c>
      <c r="L514" s="17">
        <v>0.10980526158956314</v>
      </c>
      <c r="M514" s="63">
        <v>5</v>
      </c>
      <c r="N514" s="25">
        <v>6101701.7644787095</v>
      </c>
      <c r="O514" s="17">
        <v>0.12761491960289456</v>
      </c>
      <c r="P514" s="63">
        <v>4</v>
      </c>
      <c r="Q514" s="25">
        <v>5219943.6020561596</v>
      </c>
      <c r="R514" s="66">
        <v>0.12395482836648683</v>
      </c>
      <c r="S514" s="77">
        <f t="shared" si="7"/>
        <v>0.12045833651964817</v>
      </c>
      <c r="V514" s="80"/>
    </row>
    <row r="515" spans="1:22" x14ac:dyDescent="0.25">
      <c r="A515" s="18" t="s">
        <v>2629</v>
      </c>
      <c r="B515" s="18" t="s">
        <v>2626</v>
      </c>
      <c r="C515" s="18" t="s">
        <v>2628</v>
      </c>
      <c r="D515" t="s">
        <v>2627</v>
      </c>
      <c r="E515" s="13" t="s">
        <v>576</v>
      </c>
      <c r="F515" s="1" t="s">
        <v>553</v>
      </c>
      <c r="I515" t="s">
        <v>792</v>
      </c>
      <c r="J515" s="63">
        <v>15</v>
      </c>
      <c r="K515" s="25">
        <v>8835486.5927219391</v>
      </c>
      <c r="L515" s="17">
        <v>0.11193761964323995</v>
      </c>
      <c r="M515" s="63">
        <v>11</v>
      </c>
      <c r="N515" s="25">
        <v>9034768.4508906491</v>
      </c>
      <c r="O515" s="17">
        <v>0.10497720271737639</v>
      </c>
      <c r="P515" s="63">
        <v>11</v>
      </c>
      <c r="Q515" s="25">
        <v>8648692.8129382599</v>
      </c>
      <c r="R515" s="66">
        <v>0.11409736227800812</v>
      </c>
      <c r="S515" s="77">
        <f t="shared" si="7"/>
        <v>0.11033739487954149</v>
      </c>
      <c r="V515" s="80"/>
    </row>
    <row r="516" spans="1:22" x14ac:dyDescent="0.25">
      <c r="A516" s="18" t="s">
        <v>2672</v>
      </c>
      <c r="B516" s="18" t="s">
        <v>2669</v>
      </c>
      <c r="C516" s="18" t="s">
        <v>2671</v>
      </c>
      <c r="D516" t="s">
        <v>2670</v>
      </c>
      <c r="E516" s="13" t="s">
        <v>2673</v>
      </c>
      <c r="F516" s="1" t="s">
        <v>553</v>
      </c>
      <c r="I516" t="s">
        <v>553</v>
      </c>
      <c r="J516" s="63">
        <v>5</v>
      </c>
      <c r="K516" s="25">
        <v>4740031.3075412698</v>
      </c>
      <c r="L516" s="17">
        <v>0.10268876144121003</v>
      </c>
      <c r="M516" s="63">
        <v>7</v>
      </c>
      <c r="N516" s="25">
        <v>5461746.9714890299</v>
      </c>
      <c r="O516" s="17">
        <v>0.10851896834416966</v>
      </c>
      <c r="P516" s="63">
        <v>6</v>
      </c>
      <c r="Q516" s="25">
        <v>5054875.6507923296</v>
      </c>
      <c r="R516" s="66">
        <v>0.11403330704340016</v>
      </c>
      <c r="S516" s="77">
        <f t="shared" si="7"/>
        <v>0.10841367894292663</v>
      </c>
      <c r="V516" s="80"/>
    </row>
    <row r="517" spans="1:22" x14ac:dyDescent="0.25">
      <c r="A517" s="18" t="s">
        <v>2667</v>
      </c>
      <c r="B517" s="18" t="s">
        <v>2664</v>
      </c>
      <c r="C517" s="18" t="s">
        <v>2666</v>
      </c>
      <c r="D517" t="s">
        <v>2665</v>
      </c>
      <c r="E517" s="13" t="s">
        <v>2668</v>
      </c>
      <c r="F517" s="1" t="s">
        <v>553</v>
      </c>
      <c r="I517" t="s">
        <v>553</v>
      </c>
      <c r="J517" s="63">
        <v>10</v>
      </c>
      <c r="K517" s="25">
        <v>8521184.0683707204</v>
      </c>
      <c r="L517" s="17">
        <v>9.1162583579617248E-2</v>
      </c>
      <c r="M517" s="63">
        <v>8</v>
      </c>
      <c r="N517" s="25">
        <v>8135001.7979809297</v>
      </c>
      <c r="O517" s="17">
        <v>7.9819077759442303E-2</v>
      </c>
      <c r="P517" s="63">
        <v>9</v>
      </c>
      <c r="Q517" s="25">
        <v>7927038.2906223303</v>
      </c>
      <c r="R517" s="66">
        <v>8.8309448246025837E-2</v>
      </c>
      <c r="S517" s="77">
        <f t="shared" si="7"/>
        <v>8.6430369861695125E-2</v>
      </c>
      <c r="V517" s="80"/>
    </row>
    <row r="518" spans="1:22" x14ac:dyDescent="0.25">
      <c r="A518" s="18" t="s">
        <v>2652</v>
      </c>
      <c r="B518" s="18" t="s">
        <v>2649</v>
      </c>
      <c r="C518" s="18" t="s">
        <v>2651</v>
      </c>
      <c r="D518" t="s">
        <v>2650</v>
      </c>
      <c r="E518" s="13" t="s">
        <v>2653</v>
      </c>
      <c r="F518" s="1" t="s">
        <v>553</v>
      </c>
      <c r="I518" t="s">
        <v>553</v>
      </c>
      <c r="J518" s="63">
        <v>16</v>
      </c>
      <c r="K518" s="25">
        <v>13508790.4171739</v>
      </c>
      <c r="L518" s="17">
        <v>8.6841690402604754E-2</v>
      </c>
      <c r="M518" s="63">
        <v>12</v>
      </c>
      <c r="N518" s="25">
        <v>12698761.852184599</v>
      </c>
      <c r="O518" s="17">
        <v>7.486960772497922E-2</v>
      </c>
      <c r="P518" s="63">
        <v>11</v>
      </c>
      <c r="Q518" s="25">
        <v>14353364.581178499</v>
      </c>
      <c r="R518" s="66">
        <v>9.6082668949569738E-2</v>
      </c>
      <c r="S518" s="77">
        <f t="shared" ref="S518:S581" si="8">AVERAGE(L518,O518,R518)</f>
        <v>8.5931322359051251E-2</v>
      </c>
      <c r="V518" s="80"/>
    </row>
    <row r="519" spans="1:22" x14ac:dyDescent="0.25">
      <c r="A519" s="18" t="s">
        <v>2566</v>
      </c>
      <c r="B519" s="18" t="s">
        <v>2563</v>
      </c>
      <c r="C519" s="18" t="s">
        <v>2565</v>
      </c>
      <c r="D519" t="s">
        <v>2564</v>
      </c>
      <c r="E519" s="13" t="s">
        <v>2567</v>
      </c>
      <c r="F519" s="1" t="s">
        <v>553</v>
      </c>
      <c r="I519" t="s">
        <v>792</v>
      </c>
      <c r="J519" s="63">
        <v>5</v>
      </c>
      <c r="K519" s="25">
        <v>5862952.4017328797</v>
      </c>
      <c r="L519" s="17">
        <v>7.768556290627382E-2</v>
      </c>
      <c r="M519" s="63">
        <v>7</v>
      </c>
      <c r="N519" s="25">
        <v>7288968.4529749304</v>
      </c>
      <c r="O519" s="17">
        <v>8.8577290904898145E-2</v>
      </c>
      <c r="P519" s="63">
        <v>5</v>
      </c>
      <c r="Q519" s="25">
        <v>6213761.4460736597</v>
      </c>
      <c r="R519" s="66">
        <v>8.5734982197131659E-2</v>
      </c>
      <c r="S519" s="77">
        <f t="shared" si="8"/>
        <v>8.3999278669434532E-2</v>
      </c>
      <c r="V519" s="80"/>
    </row>
    <row r="520" spans="1:22" x14ac:dyDescent="0.25">
      <c r="A520" s="18" t="s">
        <v>2705</v>
      </c>
      <c r="B520" s="18" t="s">
        <v>2702</v>
      </c>
      <c r="C520" s="18" t="s">
        <v>2704</v>
      </c>
      <c r="D520" t="s">
        <v>2703</v>
      </c>
      <c r="E520" s="13" t="s">
        <v>2706</v>
      </c>
      <c r="F520" s="1" t="s">
        <v>553</v>
      </c>
      <c r="I520" t="s">
        <v>553</v>
      </c>
      <c r="J520" s="63">
        <v>6</v>
      </c>
      <c r="K520" s="25">
        <v>5047941.1030754903</v>
      </c>
      <c r="L520" s="17">
        <v>7.5161076446724692E-2</v>
      </c>
      <c r="M520" s="63">
        <v>7</v>
      </c>
      <c r="N520" s="25">
        <v>6407935.5622352604</v>
      </c>
      <c r="O520" s="17">
        <v>8.7504265231730743E-2</v>
      </c>
      <c r="P520" s="63">
        <v>3</v>
      </c>
      <c r="Q520" s="25">
        <v>5081173.1728921402</v>
      </c>
      <c r="R520" s="66">
        <v>7.8781137288637143E-2</v>
      </c>
      <c r="S520" s="77">
        <f t="shared" si="8"/>
        <v>8.0482159655697522E-2</v>
      </c>
      <c r="V520" s="80"/>
    </row>
    <row r="521" spans="1:22" x14ac:dyDescent="0.25">
      <c r="A521" s="18" t="s">
        <v>2676</v>
      </c>
      <c r="B521" s="18" t="s">
        <v>8147</v>
      </c>
      <c r="C521" s="18" t="s">
        <v>2675</v>
      </c>
      <c r="D521" t="s">
        <v>2674</v>
      </c>
      <c r="E521" s="13" t="s">
        <v>2677</v>
      </c>
      <c r="F521" s="1" t="s">
        <v>553</v>
      </c>
      <c r="I521" t="s">
        <v>553</v>
      </c>
      <c r="J521" s="63">
        <v>4</v>
      </c>
      <c r="K521" s="25">
        <v>3092955.1714015501</v>
      </c>
      <c r="L521" s="17">
        <v>7.283288340290496E-2</v>
      </c>
      <c r="M521" s="63">
        <v>3</v>
      </c>
      <c r="N521" s="25">
        <v>3240642.74890099</v>
      </c>
      <c r="O521" s="17">
        <v>6.9987005057434978E-2</v>
      </c>
      <c r="P521" s="63">
        <v>3</v>
      </c>
      <c r="Q521" s="25">
        <v>3425817.5091795302</v>
      </c>
      <c r="R521" s="66">
        <v>8.4003550082103084E-2</v>
      </c>
      <c r="S521" s="77">
        <f t="shared" si="8"/>
        <v>7.5607812847481012E-2</v>
      </c>
      <c r="V521" s="80"/>
    </row>
    <row r="522" spans="1:22" x14ac:dyDescent="0.25">
      <c r="A522" s="18" t="s">
        <v>2542</v>
      </c>
      <c r="B522" s="18" t="s">
        <v>8142</v>
      </c>
      <c r="C522" s="18" t="s">
        <v>2544</v>
      </c>
      <c r="D522" t="s">
        <v>2543</v>
      </c>
      <c r="E522" s="13" t="s">
        <v>2545</v>
      </c>
      <c r="F522" s="1" t="s">
        <v>553</v>
      </c>
      <c r="I522" t="s">
        <v>553</v>
      </c>
      <c r="J522" s="63">
        <v>11</v>
      </c>
      <c r="K522" s="25">
        <v>7956127.8300342401</v>
      </c>
      <c r="L522" s="17">
        <v>7.7119806348909359E-2</v>
      </c>
      <c r="M522" s="63">
        <v>8</v>
      </c>
      <c r="N522" s="25">
        <v>7708250.0953519903</v>
      </c>
      <c r="O522" s="17">
        <v>6.8525521504426506E-2</v>
      </c>
      <c r="P522" s="63">
        <v>8</v>
      </c>
      <c r="Q522" s="25">
        <v>7319542.4251680002</v>
      </c>
      <c r="R522" s="66">
        <v>7.388012945628103E-2</v>
      </c>
      <c r="S522" s="77">
        <f t="shared" si="8"/>
        <v>7.3175152436538965E-2</v>
      </c>
      <c r="V522" s="80"/>
    </row>
    <row r="523" spans="1:22" x14ac:dyDescent="0.25">
      <c r="A523" s="18" t="s">
        <v>2662</v>
      </c>
      <c r="B523" s="18" t="s">
        <v>2659</v>
      </c>
      <c r="C523" s="18" t="s">
        <v>2661</v>
      </c>
      <c r="D523" t="s">
        <v>2660</v>
      </c>
      <c r="E523" s="13" t="s">
        <v>2663</v>
      </c>
      <c r="F523" s="1" t="s">
        <v>553</v>
      </c>
      <c r="I523" t="s">
        <v>553</v>
      </c>
      <c r="J523" s="63">
        <v>10</v>
      </c>
      <c r="K523" s="25">
        <v>7531421.3082344905</v>
      </c>
      <c r="L523" s="17">
        <v>7.8822154735916181E-2</v>
      </c>
      <c r="M523" s="63">
        <v>9</v>
      </c>
      <c r="N523" s="25">
        <v>7083110.5479256399</v>
      </c>
      <c r="O523" s="17">
        <v>6.7987293763204282E-2</v>
      </c>
      <c r="P523" s="63">
        <v>5</v>
      </c>
      <c r="Q523" s="25">
        <v>6412552.9675322799</v>
      </c>
      <c r="R523" s="66">
        <v>6.9884660998607337E-2</v>
      </c>
      <c r="S523" s="77">
        <f t="shared" si="8"/>
        <v>7.2231369832575942E-2</v>
      </c>
      <c r="V523" s="80"/>
    </row>
    <row r="524" spans="1:22" x14ac:dyDescent="0.25">
      <c r="A524" s="18" t="s">
        <v>2657</v>
      </c>
      <c r="B524" s="18" t="s">
        <v>2654</v>
      </c>
      <c r="C524" s="18" t="s">
        <v>2656</v>
      </c>
      <c r="D524" t="s">
        <v>2655</v>
      </c>
      <c r="E524" s="13" t="s">
        <v>2658</v>
      </c>
      <c r="F524" s="1" t="s">
        <v>553</v>
      </c>
      <c r="I524" t="s">
        <v>553</v>
      </c>
      <c r="J524" s="63">
        <v>9</v>
      </c>
      <c r="K524" s="25">
        <v>7124593.7609586101</v>
      </c>
      <c r="L524" s="17">
        <v>7.1457539929995942E-2</v>
      </c>
      <c r="M524" s="63">
        <v>8</v>
      </c>
      <c r="N524" s="25">
        <v>6077466.8972030003</v>
      </c>
      <c r="O524" s="17">
        <v>5.5904006103986319E-2</v>
      </c>
      <c r="P524" s="63">
        <v>10</v>
      </c>
      <c r="Q524" s="25">
        <v>6672573.3454428799</v>
      </c>
      <c r="R524" s="66">
        <v>6.968845688097533E-2</v>
      </c>
      <c r="S524" s="77">
        <f t="shared" si="8"/>
        <v>6.5683334304985866E-2</v>
      </c>
      <c r="V524" s="80"/>
    </row>
    <row r="525" spans="1:22" x14ac:dyDescent="0.25">
      <c r="A525" s="18" t="s">
        <v>2561</v>
      </c>
      <c r="B525" s="18" t="s">
        <v>2558</v>
      </c>
      <c r="C525" s="18" t="s">
        <v>2560</v>
      </c>
      <c r="D525" t="s">
        <v>2559</v>
      </c>
      <c r="E525" s="13" t="s">
        <v>2562</v>
      </c>
      <c r="F525" s="1" t="s">
        <v>553</v>
      </c>
      <c r="I525" t="s">
        <v>792</v>
      </c>
      <c r="J525" s="63">
        <v>10</v>
      </c>
      <c r="K525" s="25">
        <v>5144271.8769103503</v>
      </c>
      <c r="L525" s="17">
        <v>6.816286899797723E-2</v>
      </c>
      <c r="M525" s="63">
        <v>11</v>
      </c>
      <c r="N525" s="25">
        <v>5371440.8975772597</v>
      </c>
      <c r="O525" s="17">
        <v>6.5275036657481911E-2</v>
      </c>
      <c r="P525" s="63">
        <v>5</v>
      </c>
      <c r="Q525" s="25">
        <v>4474737.7277540499</v>
      </c>
      <c r="R525" s="66">
        <v>6.1740632104285396E-2</v>
      </c>
      <c r="S525" s="77">
        <f t="shared" si="8"/>
        <v>6.5059512586581519E-2</v>
      </c>
      <c r="V525" s="80"/>
    </row>
    <row r="526" spans="1:22" x14ac:dyDescent="0.25">
      <c r="A526" s="18" t="s">
        <v>2571</v>
      </c>
      <c r="B526" s="18" t="s">
        <v>2568</v>
      </c>
      <c r="C526" s="18" t="s">
        <v>2570</v>
      </c>
      <c r="D526" t="s">
        <v>2569</v>
      </c>
      <c r="E526" s="13" t="s">
        <v>2572</v>
      </c>
      <c r="F526" s="1" t="s">
        <v>553</v>
      </c>
      <c r="I526" t="s">
        <v>553</v>
      </c>
      <c r="J526" s="63">
        <v>4</v>
      </c>
      <c r="K526" s="25">
        <v>2456693.44812096</v>
      </c>
      <c r="L526" s="17">
        <v>5.6922119445977457E-2</v>
      </c>
      <c r="M526" s="63">
        <v>6</v>
      </c>
      <c r="N526" s="25">
        <v>2384396.05108603</v>
      </c>
      <c r="O526" s="17">
        <v>5.0668828464471759E-2</v>
      </c>
      <c r="P526" s="63">
        <v>4</v>
      </c>
      <c r="Q526" s="25">
        <v>1915365.8978985499</v>
      </c>
      <c r="R526" s="66">
        <v>4.6212704216256832E-2</v>
      </c>
      <c r="S526" s="77">
        <f t="shared" si="8"/>
        <v>5.1267884042235347E-2</v>
      </c>
      <c r="V526" s="80"/>
    </row>
    <row r="527" spans="1:22" x14ac:dyDescent="0.25">
      <c r="A527" s="18" t="s">
        <v>2686</v>
      </c>
      <c r="B527" s="18" t="s">
        <v>2683</v>
      </c>
      <c r="C527" s="18" t="s">
        <v>2685</v>
      </c>
      <c r="D527" t="s">
        <v>2684</v>
      </c>
      <c r="E527" s="13" t="s">
        <v>2687</v>
      </c>
      <c r="F527" s="1" t="s">
        <v>553</v>
      </c>
      <c r="I527" t="s">
        <v>553</v>
      </c>
      <c r="J527" s="63">
        <v>8</v>
      </c>
      <c r="K527" s="25">
        <v>6103277.7515881099</v>
      </c>
      <c r="L527" s="17">
        <v>5.0563036481020507E-2</v>
      </c>
      <c r="M527" s="63">
        <v>7</v>
      </c>
      <c r="N527" s="25">
        <v>5805960.2934869202</v>
      </c>
      <c r="O527" s="17">
        <v>4.4114000935917615E-2</v>
      </c>
      <c r="P527" s="63">
        <v>7</v>
      </c>
      <c r="Q527" s="25">
        <v>6230412.5267863804</v>
      </c>
      <c r="R527" s="66">
        <v>5.3748500509296755E-2</v>
      </c>
      <c r="S527" s="77">
        <f t="shared" si="8"/>
        <v>4.9475179308744954E-2</v>
      </c>
      <c r="V527" s="80"/>
    </row>
    <row r="528" spans="1:22" x14ac:dyDescent="0.25">
      <c r="A528" s="18" t="s">
        <v>2695</v>
      </c>
      <c r="B528" s="18" t="s">
        <v>2692</v>
      </c>
      <c r="C528" s="18" t="s">
        <v>2694</v>
      </c>
      <c r="D528" t="s">
        <v>2693</v>
      </c>
      <c r="E528" s="13" t="s">
        <v>2696</v>
      </c>
      <c r="F528" s="1" t="s">
        <v>553</v>
      </c>
      <c r="I528" t="s">
        <v>553</v>
      </c>
      <c r="J528" s="63">
        <v>3</v>
      </c>
      <c r="K528" s="25">
        <v>3100625.2745994399</v>
      </c>
      <c r="L528" s="17">
        <v>4.8325481306900959E-2</v>
      </c>
      <c r="M528" s="63">
        <v>3</v>
      </c>
      <c r="N528" s="25">
        <v>3327271.3065758902</v>
      </c>
      <c r="O528" s="17">
        <v>4.7560618573103439E-2</v>
      </c>
      <c r="P528" s="63">
        <v>3</v>
      </c>
      <c r="Q528" s="25">
        <v>3117138.7514714398</v>
      </c>
      <c r="R528" s="66">
        <v>5.0589755075437448E-2</v>
      </c>
      <c r="S528" s="77">
        <f t="shared" si="8"/>
        <v>4.8825284985147287E-2</v>
      </c>
      <c r="V528" s="80"/>
    </row>
    <row r="529" spans="1:22" x14ac:dyDescent="0.25">
      <c r="A529" s="18" t="s">
        <v>2725</v>
      </c>
      <c r="B529" s="18" t="s">
        <v>2722</v>
      </c>
      <c r="C529" s="18" t="s">
        <v>2724</v>
      </c>
      <c r="D529" t="s">
        <v>2723</v>
      </c>
      <c r="E529" s="13" t="s">
        <v>2726</v>
      </c>
      <c r="F529" s="1" t="s">
        <v>553</v>
      </c>
      <c r="J529" s="63">
        <v>3</v>
      </c>
      <c r="K529" s="25">
        <v>1702461.3579251401</v>
      </c>
      <c r="L529" s="17">
        <v>4.0754013928745052E-2</v>
      </c>
      <c r="M529" s="63">
        <v>4</v>
      </c>
      <c r="N529" s="25">
        <v>2672082.1764326198</v>
      </c>
      <c r="O529" s="17">
        <v>5.8664491533933293E-2</v>
      </c>
      <c r="P529" s="63">
        <v>3</v>
      </c>
      <c r="Q529" s="25">
        <v>1676717.3339702401</v>
      </c>
      <c r="R529" s="66">
        <v>4.1795788011824868E-2</v>
      </c>
      <c r="S529" s="77">
        <f t="shared" si="8"/>
        <v>4.7071431158167733E-2</v>
      </c>
      <c r="V529" s="80"/>
    </row>
    <row r="530" spans="1:22" x14ac:dyDescent="0.25">
      <c r="A530" s="18" t="s">
        <v>2624</v>
      </c>
      <c r="B530" s="18" t="s">
        <v>2621</v>
      </c>
      <c r="C530" s="18" t="s">
        <v>2623</v>
      </c>
      <c r="D530" t="s">
        <v>2622</v>
      </c>
      <c r="E530" s="13" t="s">
        <v>2625</v>
      </c>
      <c r="F530" s="1" t="s">
        <v>553</v>
      </c>
      <c r="H530" t="s">
        <v>563</v>
      </c>
      <c r="I530" t="s">
        <v>716</v>
      </c>
      <c r="J530" s="63">
        <v>3</v>
      </c>
      <c r="K530" s="25">
        <v>2103017.89319157</v>
      </c>
      <c r="L530" s="17">
        <v>3.6302868923599879E-2</v>
      </c>
      <c r="M530" s="63">
        <v>5</v>
      </c>
      <c r="N530" s="25">
        <v>2992791.0815938599</v>
      </c>
      <c r="O530" s="17">
        <v>4.7381276301677752E-2</v>
      </c>
      <c r="P530" s="63">
        <v>3</v>
      </c>
      <c r="Q530" s="25">
        <v>2157674.9862036002</v>
      </c>
      <c r="R530" s="66">
        <v>3.8784977505220031E-2</v>
      </c>
      <c r="S530" s="77">
        <f t="shared" si="8"/>
        <v>4.0823040910165885E-2</v>
      </c>
      <c r="V530" s="80"/>
    </row>
    <row r="531" spans="1:22" x14ac:dyDescent="0.25">
      <c r="A531" s="18" t="s">
        <v>2615</v>
      </c>
      <c r="B531" s="18" t="s">
        <v>2612</v>
      </c>
      <c r="C531" s="18" t="s">
        <v>2614</v>
      </c>
      <c r="D531" t="s">
        <v>2613</v>
      </c>
      <c r="E531" s="13" t="s">
        <v>2616</v>
      </c>
      <c r="F531" s="1" t="s">
        <v>553</v>
      </c>
      <c r="I531" t="s">
        <v>553</v>
      </c>
      <c r="J531" s="63">
        <v>3</v>
      </c>
      <c r="K531" s="25">
        <v>985118.32858085004</v>
      </c>
      <c r="L531" s="17">
        <v>3.3609061057565198E-2</v>
      </c>
      <c r="M531" s="63">
        <v>3</v>
      </c>
      <c r="N531" s="25">
        <v>1210600.80405163</v>
      </c>
      <c r="O531" s="17">
        <v>3.7879244863775328E-2</v>
      </c>
      <c r="P531" s="63">
        <v>3</v>
      </c>
      <c r="Q531" s="25">
        <v>1049096.05125198</v>
      </c>
      <c r="R531" s="66">
        <v>3.727028982223151E-2</v>
      </c>
      <c r="S531" s="77">
        <f t="shared" si="8"/>
        <v>3.6252865247857348E-2</v>
      </c>
      <c r="V531" s="80"/>
    </row>
    <row r="532" spans="1:22" x14ac:dyDescent="0.25">
      <c r="A532" s="18" t="s">
        <v>2550</v>
      </c>
      <c r="B532" s="18" t="s">
        <v>8144</v>
      </c>
      <c r="C532" s="18" t="s">
        <v>2552</v>
      </c>
      <c r="D532" t="s">
        <v>2551</v>
      </c>
      <c r="E532" s="13" t="s">
        <v>2553</v>
      </c>
      <c r="F532" s="1" t="s">
        <v>553</v>
      </c>
      <c r="I532" t="s">
        <v>553</v>
      </c>
      <c r="J532" s="63">
        <v>8</v>
      </c>
      <c r="K532" s="25">
        <v>3327806.0323230098</v>
      </c>
      <c r="L532" s="17">
        <v>3.5514333799640502E-2</v>
      </c>
      <c r="M532" s="63">
        <v>7</v>
      </c>
      <c r="N532" s="25">
        <v>3686400.2067420199</v>
      </c>
      <c r="O532" s="17">
        <v>3.6081162672688301E-2</v>
      </c>
      <c r="P532" s="63">
        <v>6</v>
      </c>
      <c r="Q532" s="25">
        <v>3161498.8927471698</v>
      </c>
      <c r="R532" s="66">
        <v>3.5133242957963377E-2</v>
      </c>
      <c r="S532" s="77">
        <f t="shared" si="8"/>
        <v>3.5576246476764058E-2</v>
      </c>
      <c r="V532" s="80"/>
    </row>
    <row r="533" spans="1:22" x14ac:dyDescent="0.25">
      <c r="A533" s="18" t="s">
        <v>2681</v>
      </c>
      <c r="B533" s="18" t="s">
        <v>2678</v>
      </c>
      <c r="C533" s="18" t="s">
        <v>2680</v>
      </c>
      <c r="D533" t="s">
        <v>2679</v>
      </c>
      <c r="E533" s="13" t="s">
        <v>2682</v>
      </c>
      <c r="F533" s="1" t="s">
        <v>553</v>
      </c>
      <c r="I533" t="s">
        <v>553</v>
      </c>
      <c r="J533" s="63">
        <v>8</v>
      </c>
      <c r="K533" s="25">
        <v>3302823.3777937</v>
      </c>
      <c r="L533" s="17">
        <v>3.0001203175639903E-2</v>
      </c>
      <c r="M533" s="63">
        <v>7</v>
      </c>
      <c r="N533" s="25">
        <v>3081427.2583359401</v>
      </c>
      <c r="O533" s="17">
        <v>2.5670694393445381E-2</v>
      </c>
      <c r="P533" s="63">
        <v>8</v>
      </c>
      <c r="Q533" s="25">
        <v>3310556.7360291001</v>
      </c>
      <c r="R533" s="66">
        <v>3.131366453682545E-2</v>
      </c>
      <c r="S533" s="77">
        <f t="shared" si="8"/>
        <v>2.8995187368636915E-2</v>
      </c>
      <c r="V533" s="80"/>
    </row>
    <row r="534" spans="1:22" x14ac:dyDescent="0.25">
      <c r="A534" s="18" t="s">
        <v>2633</v>
      </c>
      <c r="B534" s="18" t="s">
        <v>2630</v>
      </c>
      <c r="C534" s="18" t="s">
        <v>2632</v>
      </c>
      <c r="D534" t="s">
        <v>2631</v>
      </c>
      <c r="E534" s="13" t="s">
        <v>576</v>
      </c>
      <c r="F534" s="1" t="s">
        <v>553</v>
      </c>
      <c r="I534" t="s">
        <v>792</v>
      </c>
      <c r="J534" s="63">
        <v>1</v>
      </c>
      <c r="K534" s="25">
        <v>1382174.68633662</v>
      </c>
      <c r="L534" s="17">
        <v>1.8147662597296065E-2</v>
      </c>
      <c r="M534" s="63">
        <v>2</v>
      </c>
      <c r="N534" s="25">
        <v>1463041.9086515999</v>
      </c>
      <c r="O534" s="17">
        <v>1.7617606367932831E-2</v>
      </c>
      <c r="P534" s="63">
        <v>2</v>
      </c>
      <c r="Q534" s="25">
        <v>1449770.2943867201</v>
      </c>
      <c r="R534" s="66">
        <v>1.9821499028493172E-2</v>
      </c>
      <c r="S534" s="77">
        <f t="shared" si="8"/>
        <v>1.8528922664574024E-2</v>
      </c>
      <c r="V534" s="80"/>
    </row>
    <row r="535" spans="1:22" x14ac:dyDescent="0.25">
      <c r="A535" s="18" t="s">
        <v>2619</v>
      </c>
      <c r="B535" s="18" t="s">
        <v>8146</v>
      </c>
      <c r="C535" s="18" t="s">
        <v>2618</v>
      </c>
      <c r="D535" t="s">
        <v>2617</v>
      </c>
      <c r="E535" s="13" t="s">
        <v>2620</v>
      </c>
      <c r="F535" s="1" t="s">
        <v>553</v>
      </c>
      <c r="I535" t="s">
        <v>553</v>
      </c>
      <c r="J535" s="63">
        <v>3</v>
      </c>
      <c r="K535" s="25">
        <v>1107227.75354121</v>
      </c>
      <c r="L535" s="17">
        <v>1.2931078697756187E-2</v>
      </c>
      <c r="M535" s="63">
        <v>3</v>
      </c>
      <c r="N535" s="25">
        <v>1099273.11967245</v>
      </c>
      <c r="O535" s="17">
        <v>1.1774318359562479E-2</v>
      </c>
      <c r="P535" s="63">
        <v>2</v>
      </c>
      <c r="Q535" s="25">
        <v>974104.07644336997</v>
      </c>
      <c r="R535" s="66">
        <v>1.1846298991501764E-2</v>
      </c>
      <c r="S535" s="77">
        <f t="shared" si="8"/>
        <v>1.2183898682940142E-2</v>
      </c>
      <c r="V535" s="80"/>
    </row>
    <row r="536" spans="1:22" x14ac:dyDescent="0.25">
      <c r="A536" s="18" t="s">
        <v>2596</v>
      </c>
      <c r="B536" s="18" t="s">
        <v>2593</v>
      </c>
      <c r="C536" s="18" t="s">
        <v>2595</v>
      </c>
      <c r="D536" t="s">
        <v>2594</v>
      </c>
      <c r="E536" s="13" t="s">
        <v>576</v>
      </c>
      <c r="F536" s="1" t="s">
        <v>553</v>
      </c>
      <c r="I536" t="s">
        <v>792</v>
      </c>
      <c r="J536" s="63">
        <v>0</v>
      </c>
      <c r="K536" s="25">
        <v>929962.41581397399</v>
      </c>
      <c r="L536" s="17">
        <v>1.2210210704327823E-2</v>
      </c>
      <c r="M536" s="63">
        <v>2</v>
      </c>
      <c r="N536" s="25">
        <v>920870.72555070999</v>
      </c>
      <c r="O536" s="17">
        <v>1.1088908569582565E-2</v>
      </c>
      <c r="P536" s="63">
        <v>1</v>
      </c>
      <c r="Q536" s="25">
        <v>820674.78127257305</v>
      </c>
      <c r="R536" s="66">
        <v>1.1220401219894245E-2</v>
      </c>
      <c r="S536" s="77">
        <f t="shared" si="8"/>
        <v>1.1506506831268212E-2</v>
      </c>
      <c r="V536" s="80"/>
    </row>
    <row r="537" spans="1:22" x14ac:dyDescent="0.25">
      <c r="A537" s="18" t="s">
        <v>2647</v>
      </c>
      <c r="B537" s="18" t="s">
        <v>2644</v>
      </c>
      <c r="C537" s="18" t="s">
        <v>2646</v>
      </c>
      <c r="D537" t="s">
        <v>2645</v>
      </c>
      <c r="E537" s="13" t="s">
        <v>2648</v>
      </c>
      <c r="F537" s="1" t="s">
        <v>553</v>
      </c>
      <c r="I537" t="s">
        <v>553</v>
      </c>
      <c r="J537" s="63">
        <v>2</v>
      </c>
      <c r="K537" s="25">
        <v>986774.46737416601</v>
      </c>
      <c r="L537" s="17">
        <v>1.1221854391103523E-2</v>
      </c>
      <c r="M537" s="63">
        <v>3</v>
      </c>
      <c r="N537" s="25">
        <v>1187271.11526603</v>
      </c>
      <c r="O537" s="17">
        <v>1.238308921882268E-2</v>
      </c>
      <c r="P537" s="63">
        <v>1</v>
      </c>
      <c r="Q537" s="25">
        <v>851067.98825410905</v>
      </c>
      <c r="R537" s="66">
        <v>1.0078375106137127E-2</v>
      </c>
      <c r="S537" s="77">
        <f t="shared" si="8"/>
        <v>1.1227772905354443E-2</v>
      </c>
      <c r="V537" s="80"/>
    </row>
    <row r="538" spans="1:22" x14ac:dyDescent="0.25">
      <c r="A538" s="18" t="s">
        <v>2586</v>
      </c>
      <c r="B538" s="18" t="s">
        <v>2583</v>
      </c>
      <c r="C538" s="18" t="s">
        <v>2585</v>
      </c>
      <c r="D538" t="s">
        <v>2584</v>
      </c>
      <c r="E538" s="13" t="s">
        <v>2587</v>
      </c>
      <c r="F538" s="1" t="s">
        <v>553</v>
      </c>
      <c r="H538" t="s">
        <v>563</v>
      </c>
      <c r="I538" t="s">
        <v>716</v>
      </c>
      <c r="J538" s="63">
        <v>3</v>
      </c>
      <c r="K538" s="25">
        <v>486984.26992473501</v>
      </c>
      <c r="L538" s="17">
        <v>9.9061986137723296E-3</v>
      </c>
      <c r="M538" s="63">
        <v>1</v>
      </c>
      <c r="N538" s="25">
        <v>528034.96856533701</v>
      </c>
      <c r="O538" s="17">
        <v>9.8511550880709727E-3</v>
      </c>
      <c r="P538" s="63">
        <v>2</v>
      </c>
      <c r="Q538" s="25">
        <v>493579.30654483801</v>
      </c>
      <c r="R538" s="66">
        <v>1.0455109328569509E-2</v>
      </c>
      <c r="S538" s="77">
        <f t="shared" si="8"/>
        <v>1.0070821010137605E-2</v>
      </c>
      <c r="V538" s="80"/>
    </row>
    <row r="539" spans="1:22" x14ac:dyDescent="0.25">
      <c r="A539" s="18" t="s">
        <v>2546</v>
      </c>
      <c r="B539" s="18" t="s">
        <v>8143</v>
      </c>
      <c r="C539" s="18" t="s">
        <v>2548</v>
      </c>
      <c r="D539" t="s">
        <v>2547</v>
      </c>
      <c r="E539" s="13" t="s">
        <v>2549</v>
      </c>
      <c r="F539" s="1" t="s">
        <v>553</v>
      </c>
      <c r="I539" t="s">
        <v>553</v>
      </c>
      <c r="J539" s="63">
        <v>1</v>
      </c>
      <c r="K539" s="25">
        <v>531437.61519666202</v>
      </c>
      <c r="L539" s="17">
        <v>8.6240790846150023E-3</v>
      </c>
      <c r="M539" s="63">
        <v>2</v>
      </c>
      <c r="N539" s="25">
        <v>759199.91835629195</v>
      </c>
      <c r="O539" s="17">
        <v>1.1299233068176942E-2</v>
      </c>
      <c r="P539" s="63">
        <v>2</v>
      </c>
      <c r="Q539" s="25">
        <v>538597.97740356997</v>
      </c>
      <c r="R539" s="66">
        <v>9.1013265179319906E-3</v>
      </c>
      <c r="S539" s="77">
        <f t="shared" si="8"/>
        <v>9.6748795569079771E-3</v>
      </c>
      <c r="V539" s="80"/>
    </row>
    <row r="540" spans="1:22" x14ac:dyDescent="0.25">
      <c r="A540" s="18" t="s">
        <v>2691</v>
      </c>
      <c r="B540" s="18" t="s">
        <v>2688</v>
      </c>
      <c r="C540" s="18" t="s">
        <v>2690</v>
      </c>
      <c r="D540" t="s">
        <v>2689</v>
      </c>
      <c r="E540" s="13" t="s">
        <v>576</v>
      </c>
      <c r="F540" s="1" t="s">
        <v>553</v>
      </c>
      <c r="I540" t="s">
        <v>792</v>
      </c>
      <c r="J540" s="63">
        <v>1</v>
      </c>
      <c r="K540" s="25">
        <v>703046.015179037</v>
      </c>
      <c r="L540" s="17">
        <v>9.5791799608582178E-3</v>
      </c>
      <c r="M540" s="63">
        <v>1</v>
      </c>
      <c r="N540" s="25">
        <v>733673.08820784301</v>
      </c>
      <c r="O540" s="17">
        <v>9.1681042840435576E-3</v>
      </c>
      <c r="P540" s="63">
        <v>2</v>
      </c>
      <c r="Q540" s="25">
        <v>618907.3119037</v>
      </c>
      <c r="R540" s="66">
        <v>8.7811163603195679E-3</v>
      </c>
      <c r="S540" s="77">
        <f t="shared" si="8"/>
        <v>9.1761335350737817E-3</v>
      </c>
      <c r="V540" s="80"/>
    </row>
    <row r="541" spans="1:22" x14ac:dyDescent="0.25">
      <c r="A541" s="18" t="s">
        <v>2637</v>
      </c>
      <c r="B541" s="18" t="s">
        <v>2634</v>
      </c>
      <c r="C541" s="18" t="s">
        <v>2636</v>
      </c>
      <c r="D541" t="s">
        <v>2635</v>
      </c>
      <c r="E541" s="13" t="s">
        <v>576</v>
      </c>
      <c r="F541" s="1" t="s">
        <v>553</v>
      </c>
      <c r="I541" t="s">
        <v>792</v>
      </c>
      <c r="J541" s="63">
        <v>2</v>
      </c>
      <c r="K541" s="25">
        <v>574313.40469794604</v>
      </c>
      <c r="L541" s="17">
        <v>7.5406140747569395E-3</v>
      </c>
      <c r="M541" s="63">
        <v>3</v>
      </c>
      <c r="N541" s="25">
        <v>594201.21799211402</v>
      </c>
      <c r="O541" s="17">
        <v>7.1552312343393255E-3</v>
      </c>
      <c r="P541" s="63">
        <v>2</v>
      </c>
      <c r="Q541" s="25">
        <v>542583.06784810696</v>
      </c>
      <c r="R541" s="66">
        <v>7.418285361390717E-3</v>
      </c>
      <c r="S541" s="77">
        <f t="shared" si="8"/>
        <v>7.3713768901623273E-3</v>
      </c>
      <c r="V541" s="80"/>
    </row>
    <row r="542" spans="1:22" x14ac:dyDescent="0.25">
      <c r="A542" s="18" t="s">
        <v>2730</v>
      </c>
      <c r="B542" s="18" t="s">
        <v>2727</v>
      </c>
      <c r="C542" s="18" t="s">
        <v>2729</v>
      </c>
      <c r="D542" t="s">
        <v>2728</v>
      </c>
      <c r="E542" s="13" t="s">
        <v>2731</v>
      </c>
      <c r="F542" s="1" t="s">
        <v>553</v>
      </c>
      <c r="I542" t="s">
        <v>553</v>
      </c>
      <c r="J542" s="63">
        <v>3</v>
      </c>
      <c r="K542" s="25">
        <v>490242.40007181402</v>
      </c>
      <c r="L542" s="17">
        <v>4.4718678535883389E-3</v>
      </c>
      <c r="M542" s="63">
        <v>2</v>
      </c>
      <c r="N542" s="25">
        <v>547743.92586204899</v>
      </c>
      <c r="O542" s="17">
        <v>4.5823476636492801E-3</v>
      </c>
      <c r="P542" s="63">
        <v>3</v>
      </c>
      <c r="Q542" s="25">
        <v>530857.13245563803</v>
      </c>
      <c r="R542" s="66">
        <v>5.0423766812150387E-3</v>
      </c>
      <c r="S542" s="77">
        <f t="shared" si="8"/>
        <v>4.6988640661508856E-3</v>
      </c>
      <c r="V542" s="80"/>
    </row>
    <row r="543" spans="1:22" x14ac:dyDescent="0.25">
      <c r="A543" s="18" t="s">
        <v>2610</v>
      </c>
      <c r="B543" s="18" t="s">
        <v>2607</v>
      </c>
      <c r="C543" s="18" t="s">
        <v>2609</v>
      </c>
      <c r="D543" t="s">
        <v>2608</v>
      </c>
      <c r="E543" s="13" t="s">
        <v>2611</v>
      </c>
      <c r="F543" s="1" t="s">
        <v>553</v>
      </c>
      <c r="I543" t="s">
        <v>553</v>
      </c>
      <c r="J543" s="63">
        <v>0</v>
      </c>
      <c r="K543" s="25">
        <v>89599.254704449297</v>
      </c>
      <c r="L543" s="17">
        <v>1.0031482812546892E-3</v>
      </c>
      <c r="M543" s="63">
        <v>1</v>
      </c>
      <c r="N543" s="25">
        <v>88701.977915533396</v>
      </c>
      <c r="O543" s="17">
        <v>9.1080711497016687E-4</v>
      </c>
      <c r="P543" s="63">
        <v>1</v>
      </c>
      <c r="Q543" s="25">
        <v>82371.776120215596</v>
      </c>
      <c r="R543" s="66">
        <v>9.6032603711264809E-4</v>
      </c>
      <c r="S543" s="77">
        <f t="shared" si="8"/>
        <v>9.5809381111250141E-4</v>
      </c>
      <c r="V543" s="80"/>
    </row>
    <row r="544" spans="1:22" x14ac:dyDescent="0.25">
      <c r="A544" s="71" t="s">
        <v>2591</v>
      </c>
      <c r="B544" s="71" t="s">
        <v>2588</v>
      </c>
      <c r="C544" s="71" t="s">
        <v>2590</v>
      </c>
      <c r="D544" s="16" t="s">
        <v>2589</v>
      </c>
      <c r="E544" s="45" t="s">
        <v>2592</v>
      </c>
      <c r="F544" s="38" t="s">
        <v>553</v>
      </c>
      <c r="G544" s="16"/>
      <c r="H544" s="16"/>
      <c r="I544" s="16" t="s">
        <v>553</v>
      </c>
      <c r="J544" s="72">
        <v>2</v>
      </c>
      <c r="K544" s="73">
        <v>87631.608310693802</v>
      </c>
      <c r="L544" s="30">
        <v>3.339427497882759E-4</v>
      </c>
      <c r="M544" s="72">
        <v>0</v>
      </c>
      <c r="N544" s="73">
        <v>27170.742306534699</v>
      </c>
      <c r="O544" s="30">
        <v>9.4960963924457803E-5</v>
      </c>
      <c r="P544" s="72">
        <v>2</v>
      </c>
      <c r="Q544" s="73">
        <v>142426.088857369</v>
      </c>
      <c r="R544" s="74">
        <v>5.6517158941102742E-4</v>
      </c>
      <c r="S544" s="78">
        <f t="shared" si="8"/>
        <v>3.3135843437458699E-4</v>
      </c>
      <c r="T544" s="58"/>
      <c r="U544" s="58"/>
      <c r="V544" s="81"/>
    </row>
    <row r="545" spans="1:22" x14ac:dyDescent="0.25">
      <c r="A545" s="18" t="s">
        <v>2952</v>
      </c>
      <c r="B545" s="18" t="s">
        <v>2949</v>
      </c>
      <c r="C545" s="18" t="s">
        <v>2951</v>
      </c>
      <c r="D545" t="s">
        <v>2950</v>
      </c>
      <c r="E545" s="13" t="s">
        <v>2953</v>
      </c>
      <c r="F545" s="9" t="s">
        <v>2736</v>
      </c>
      <c r="I545" t="s">
        <v>2148</v>
      </c>
      <c r="J545" s="63">
        <v>66</v>
      </c>
      <c r="K545" s="25">
        <v>339799235.99948603</v>
      </c>
      <c r="L545" s="17">
        <v>3.7654539603273935</v>
      </c>
      <c r="M545" s="63">
        <v>63</v>
      </c>
      <c r="N545" s="25">
        <v>350207468.398835</v>
      </c>
      <c r="O545" s="17">
        <v>3.5592026950670705</v>
      </c>
      <c r="P545" s="63">
        <v>67</v>
      </c>
      <c r="Q545" s="25">
        <v>326852518.38634998</v>
      </c>
      <c r="R545" s="66">
        <v>3.7716059888198905</v>
      </c>
      <c r="S545" s="77">
        <f t="shared" si="8"/>
        <v>3.6987542147381181</v>
      </c>
      <c r="T545" s="20">
        <f>SUM('R. pomeroyi'!L545:L708)</f>
        <v>18.947055153645838</v>
      </c>
      <c r="U545" s="20">
        <f>SUM('R. pomeroyi'!O545:O708)</f>
        <v>19.615143650048147</v>
      </c>
      <c r="V545" s="80">
        <f>SUM('R. pomeroyi'!R545:R708)</f>
        <v>20.100804083199186</v>
      </c>
    </row>
    <row r="546" spans="1:22" x14ac:dyDescent="0.25">
      <c r="A546" s="18" t="s">
        <v>2986</v>
      </c>
      <c r="B546" s="18" t="s">
        <v>2983</v>
      </c>
      <c r="C546" s="18" t="s">
        <v>2985</v>
      </c>
      <c r="D546" t="s">
        <v>2984</v>
      </c>
      <c r="E546" s="13" t="s">
        <v>2987</v>
      </c>
      <c r="F546" s="9" t="s">
        <v>2736</v>
      </c>
      <c r="I546" t="s">
        <v>1055</v>
      </c>
      <c r="J546" s="63">
        <v>60</v>
      </c>
      <c r="K546" s="25">
        <v>148034979.532011</v>
      </c>
      <c r="L546" s="17">
        <v>1.1747444624652066</v>
      </c>
      <c r="M546" s="63">
        <v>63</v>
      </c>
      <c r="N546" s="25">
        <v>158670444.33561799</v>
      </c>
      <c r="O546" s="17">
        <v>1.1548018494738599</v>
      </c>
      <c r="P546" s="63">
        <v>59</v>
      </c>
      <c r="Q546" s="25">
        <v>152785298.72304201</v>
      </c>
      <c r="R546" s="66">
        <v>1.2625255141974216</v>
      </c>
      <c r="S546" s="77">
        <f t="shared" si="8"/>
        <v>1.1973572753788293</v>
      </c>
      <c r="T546" s="20" t="s">
        <v>8174</v>
      </c>
      <c r="U546" s="69">
        <f>AVERAGE(T545:V545)</f>
        <v>19.554334295631058</v>
      </c>
      <c r="V546" s="80"/>
    </row>
    <row r="547" spans="1:22" x14ac:dyDescent="0.25">
      <c r="A547" s="18" t="s">
        <v>3492</v>
      </c>
      <c r="B547" s="18" t="s">
        <v>3489</v>
      </c>
      <c r="C547" s="18" t="s">
        <v>3491</v>
      </c>
      <c r="D547" t="s">
        <v>3490</v>
      </c>
      <c r="E547" s="13" t="s">
        <v>3493</v>
      </c>
      <c r="F547" s="9" t="s">
        <v>2736</v>
      </c>
      <c r="I547" t="s">
        <v>2800</v>
      </c>
      <c r="J547" s="63">
        <v>7</v>
      </c>
      <c r="K547" s="25">
        <v>15363657.208985001</v>
      </c>
      <c r="L547" s="17">
        <v>0.73151783260385472</v>
      </c>
      <c r="M547" s="63">
        <v>7</v>
      </c>
      <c r="N547" s="25">
        <v>20530961.486567099</v>
      </c>
      <c r="O547" s="17">
        <v>0.89654474954446595</v>
      </c>
      <c r="P547" s="63">
        <v>6</v>
      </c>
      <c r="Q547" s="25">
        <v>16748553.0590313</v>
      </c>
      <c r="R547" s="66">
        <v>0.830399615917778</v>
      </c>
      <c r="S547" s="77">
        <f t="shared" si="8"/>
        <v>0.81948739935536619</v>
      </c>
      <c r="T547" s="20" t="s">
        <v>8085</v>
      </c>
      <c r="U547" s="70">
        <f>STDEV(T545:V545)</f>
        <v>0.57927323544234433</v>
      </c>
      <c r="V547" s="80"/>
    </row>
    <row r="548" spans="1:22" x14ac:dyDescent="0.25">
      <c r="A548" s="18" t="s">
        <v>2917</v>
      </c>
      <c r="B548" s="18" t="s">
        <v>2914</v>
      </c>
      <c r="C548" s="18" t="s">
        <v>2916</v>
      </c>
      <c r="D548" t="s">
        <v>2915</v>
      </c>
      <c r="E548" s="13" t="s">
        <v>2918</v>
      </c>
      <c r="F548" s="9" t="s">
        <v>2736</v>
      </c>
      <c r="I548" t="s">
        <v>2148</v>
      </c>
      <c r="J548" s="63">
        <v>8</v>
      </c>
      <c r="K548" s="25">
        <v>13445596.094645999</v>
      </c>
      <c r="L548" s="17">
        <v>0.44813453109518203</v>
      </c>
      <c r="M548" s="63">
        <v>11</v>
      </c>
      <c r="N548" s="25">
        <v>18296238.151784498</v>
      </c>
      <c r="O548" s="17">
        <v>0.55927129294411793</v>
      </c>
      <c r="P548" s="63">
        <v>9</v>
      </c>
      <c r="Q548" s="25">
        <v>15630033.1638925</v>
      </c>
      <c r="R548" s="66">
        <v>0.54246008256551193</v>
      </c>
      <c r="S548" s="77">
        <f t="shared" si="8"/>
        <v>0.51662196886827061</v>
      </c>
      <c r="V548" s="80"/>
    </row>
    <row r="549" spans="1:22" x14ac:dyDescent="0.25">
      <c r="A549" s="18" t="s">
        <v>3375</v>
      </c>
      <c r="B549" s="18" t="s">
        <v>3372</v>
      </c>
      <c r="C549" s="18" t="s">
        <v>3374</v>
      </c>
      <c r="D549" t="s">
        <v>3373</v>
      </c>
      <c r="E549" s="13" t="s">
        <v>3376</v>
      </c>
      <c r="F549" s="9" t="s">
        <v>2736</v>
      </c>
      <c r="I549" t="s">
        <v>2148</v>
      </c>
      <c r="J549" s="63">
        <v>9</v>
      </c>
      <c r="K549" s="25">
        <v>14263831.913031001</v>
      </c>
      <c r="L549" s="17">
        <v>0.48663595404880483</v>
      </c>
      <c r="M549" s="63">
        <v>7</v>
      </c>
      <c r="N549" s="25">
        <v>16721927.389700901</v>
      </c>
      <c r="O549" s="17">
        <v>0.5232228328849966</v>
      </c>
      <c r="P549" s="63">
        <v>8</v>
      </c>
      <c r="Q549" s="25">
        <v>15113173.542389</v>
      </c>
      <c r="R549" s="66">
        <v>0.53691209435619924</v>
      </c>
      <c r="S549" s="77">
        <f t="shared" si="8"/>
        <v>0.51559029376333354</v>
      </c>
      <c r="V549" s="80"/>
    </row>
    <row r="550" spans="1:22" x14ac:dyDescent="0.25">
      <c r="A550" s="18" t="s">
        <v>3154</v>
      </c>
      <c r="B550" s="18" t="s">
        <v>3151</v>
      </c>
      <c r="C550" s="18" t="s">
        <v>3153</v>
      </c>
      <c r="D550" t="s">
        <v>3152</v>
      </c>
      <c r="E550" s="13" t="s">
        <v>3155</v>
      </c>
      <c r="F550" s="9" t="s">
        <v>2736</v>
      </c>
      <c r="I550" t="s">
        <v>2148</v>
      </c>
      <c r="J550" s="63">
        <v>8</v>
      </c>
      <c r="K550" s="25">
        <v>20660134.3230935</v>
      </c>
      <c r="L550" s="17">
        <v>0.46381792966561575</v>
      </c>
      <c r="M550" s="63">
        <v>8</v>
      </c>
      <c r="N550" s="25">
        <v>24945316.488899902</v>
      </c>
      <c r="O550" s="17">
        <v>0.51361273661014983</v>
      </c>
      <c r="P550" s="63">
        <v>10</v>
      </c>
      <c r="Q550" s="25">
        <v>20751425.4449955</v>
      </c>
      <c r="R550" s="66">
        <v>0.48511182819336957</v>
      </c>
      <c r="S550" s="77">
        <f t="shared" si="8"/>
        <v>0.48751416482304505</v>
      </c>
      <c r="V550" s="80"/>
    </row>
    <row r="551" spans="1:22" x14ac:dyDescent="0.25">
      <c r="A551" s="18" t="s">
        <v>3125</v>
      </c>
      <c r="B551" s="18" t="s">
        <v>3122</v>
      </c>
      <c r="C551" s="18" t="s">
        <v>3124</v>
      </c>
      <c r="D551" t="s">
        <v>3123</v>
      </c>
      <c r="E551" s="13" t="s">
        <v>3126</v>
      </c>
      <c r="F551" s="9" t="s">
        <v>2736</v>
      </c>
      <c r="I551" t="s">
        <v>2148</v>
      </c>
      <c r="J551" s="63">
        <v>9</v>
      </c>
      <c r="K551" s="25">
        <v>15107879.2891078</v>
      </c>
      <c r="L551" s="17">
        <v>0.40912425244257761</v>
      </c>
      <c r="M551" s="63">
        <v>10</v>
      </c>
      <c r="N551" s="25">
        <v>20006861.661246002</v>
      </c>
      <c r="O551" s="17">
        <v>0.49689320985951385</v>
      </c>
      <c r="P551" s="63">
        <v>8</v>
      </c>
      <c r="Q551" s="25">
        <v>16555596.0619964</v>
      </c>
      <c r="R551" s="66">
        <v>0.46684861791017107</v>
      </c>
      <c r="S551" s="77">
        <f t="shared" si="8"/>
        <v>0.45762202673742086</v>
      </c>
      <c r="V551" s="80"/>
    </row>
    <row r="552" spans="1:22" x14ac:dyDescent="0.25">
      <c r="A552" s="18" t="s">
        <v>3434</v>
      </c>
      <c r="B552" s="18" t="s">
        <v>3431</v>
      </c>
      <c r="C552" s="18" t="s">
        <v>3433</v>
      </c>
      <c r="D552" t="s">
        <v>3432</v>
      </c>
      <c r="E552" s="13" t="s">
        <v>3435</v>
      </c>
      <c r="F552" s="9" t="s">
        <v>2736</v>
      </c>
      <c r="I552" t="s">
        <v>2148</v>
      </c>
      <c r="J552" s="63">
        <v>8</v>
      </c>
      <c r="K552" s="25">
        <v>14167691.457793999</v>
      </c>
      <c r="L552" s="17">
        <v>0.39350131965438967</v>
      </c>
      <c r="M552" s="63">
        <v>8</v>
      </c>
      <c r="N552" s="25">
        <v>17798444.479523402</v>
      </c>
      <c r="O552" s="17">
        <v>0.45337913062957269</v>
      </c>
      <c r="P552" s="63">
        <v>7</v>
      </c>
      <c r="Q552" s="25">
        <v>16560694.950855199</v>
      </c>
      <c r="R552" s="66">
        <v>0.47896656478504712</v>
      </c>
      <c r="S552" s="77">
        <f t="shared" si="8"/>
        <v>0.44194900502300322</v>
      </c>
      <c r="V552" s="80"/>
    </row>
    <row r="553" spans="1:22" x14ac:dyDescent="0.25">
      <c r="A553" s="18" t="s">
        <v>3429</v>
      </c>
      <c r="B553" s="18" t="s">
        <v>3426</v>
      </c>
      <c r="C553" s="18" t="s">
        <v>3428</v>
      </c>
      <c r="D553" t="s">
        <v>3427</v>
      </c>
      <c r="E553" s="13" t="s">
        <v>3430</v>
      </c>
      <c r="F553" s="9" t="s">
        <v>2736</v>
      </c>
      <c r="I553" t="s">
        <v>2148</v>
      </c>
      <c r="J553" s="63">
        <v>39</v>
      </c>
      <c r="K553" s="25">
        <v>70621669.252201393</v>
      </c>
      <c r="L553" s="17">
        <v>0.43403081348875039</v>
      </c>
      <c r="M553" s="63">
        <v>40</v>
      </c>
      <c r="N553" s="25">
        <v>70341663.553152502</v>
      </c>
      <c r="O553" s="17">
        <v>0.39648575956956494</v>
      </c>
      <c r="P553" s="63">
        <v>41</v>
      </c>
      <c r="Q553" s="25">
        <v>77232101.047760203</v>
      </c>
      <c r="R553" s="66">
        <v>0.49426512863988398</v>
      </c>
      <c r="S553" s="77">
        <f t="shared" si="8"/>
        <v>0.44159390056606646</v>
      </c>
      <c r="V553" s="80"/>
    </row>
    <row r="554" spans="1:22" x14ac:dyDescent="0.25">
      <c r="A554" s="18" t="s">
        <v>3395</v>
      </c>
      <c r="B554" s="18" t="s">
        <v>3392</v>
      </c>
      <c r="C554" s="18" t="s">
        <v>3394</v>
      </c>
      <c r="D554" t="s">
        <v>3393</v>
      </c>
      <c r="E554" s="13" t="s">
        <v>3396</v>
      </c>
      <c r="F554" s="9" t="s">
        <v>2736</v>
      </c>
      <c r="I554" t="s">
        <v>2148</v>
      </c>
      <c r="J554" s="63">
        <v>37</v>
      </c>
      <c r="K554" s="25">
        <v>61655724.324034899</v>
      </c>
      <c r="L554" s="17">
        <v>0.37415098562313281</v>
      </c>
      <c r="M554" s="63">
        <v>36</v>
      </c>
      <c r="N554" s="25">
        <v>62261224.814619303</v>
      </c>
      <c r="O554" s="17">
        <v>0.34651618449033356</v>
      </c>
      <c r="P554" s="63">
        <v>36</v>
      </c>
      <c r="Q554" s="25">
        <v>62114989.2276178</v>
      </c>
      <c r="R554" s="66">
        <v>0.39250883883626053</v>
      </c>
      <c r="S554" s="77">
        <f t="shared" si="8"/>
        <v>0.37105866964990897</v>
      </c>
      <c r="V554" s="80"/>
    </row>
    <row r="555" spans="1:22" x14ac:dyDescent="0.25">
      <c r="A555" s="18" t="s">
        <v>2912</v>
      </c>
      <c r="B555" s="18" t="s">
        <v>2909</v>
      </c>
      <c r="C555" s="18" t="s">
        <v>2911</v>
      </c>
      <c r="D555" t="s">
        <v>2910</v>
      </c>
      <c r="E555" s="13" t="s">
        <v>2913</v>
      </c>
      <c r="F555" s="9" t="s">
        <v>2736</v>
      </c>
      <c r="I555" t="s">
        <v>2148</v>
      </c>
      <c r="J555" s="63">
        <v>6</v>
      </c>
      <c r="K555" s="25">
        <v>9508372.5242004693</v>
      </c>
      <c r="L555" s="17">
        <v>0.33768989028334728</v>
      </c>
      <c r="M555" s="63">
        <v>5</v>
      </c>
      <c r="N555" s="25">
        <v>11657906.4929868</v>
      </c>
      <c r="O555" s="17">
        <v>0.37972117180524723</v>
      </c>
      <c r="P555" s="63">
        <v>5</v>
      </c>
      <c r="Q555" s="25">
        <v>9938411.1504491195</v>
      </c>
      <c r="R555" s="66">
        <v>0.36754317896632172</v>
      </c>
      <c r="S555" s="77">
        <f t="shared" si="8"/>
        <v>0.36165141368497206</v>
      </c>
      <c r="V555" s="80"/>
    </row>
    <row r="556" spans="1:22" x14ac:dyDescent="0.25">
      <c r="A556" s="18" t="s">
        <v>2893</v>
      </c>
      <c r="B556" s="18" t="s">
        <v>2890</v>
      </c>
      <c r="C556" s="18" t="s">
        <v>2892</v>
      </c>
      <c r="D556" t="s">
        <v>2891</v>
      </c>
      <c r="E556" s="13" t="s">
        <v>2894</v>
      </c>
      <c r="F556" s="9" t="s">
        <v>2736</v>
      </c>
      <c r="I556" t="s">
        <v>2148</v>
      </c>
      <c r="J556" s="63">
        <v>9</v>
      </c>
      <c r="K556" s="25">
        <v>12427079.844086999</v>
      </c>
      <c r="L556" s="17">
        <v>0.30420582346101926</v>
      </c>
      <c r="M556" s="63">
        <v>10</v>
      </c>
      <c r="N556" s="25">
        <v>16534181.332199501</v>
      </c>
      <c r="O556" s="17">
        <v>0.37120473338088633</v>
      </c>
      <c r="P556" s="63">
        <v>9</v>
      </c>
      <c r="Q556" s="25">
        <v>14823395.389160801</v>
      </c>
      <c r="R556" s="66">
        <v>0.37785542768938113</v>
      </c>
      <c r="S556" s="77">
        <f t="shared" si="8"/>
        <v>0.35108866151042889</v>
      </c>
      <c r="V556" s="80"/>
    </row>
    <row r="557" spans="1:22" x14ac:dyDescent="0.25">
      <c r="A557" s="18" t="s">
        <v>3512</v>
      </c>
      <c r="B557" s="18" t="s">
        <v>3509</v>
      </c>
      <c r="C557" s="18" t="s">
        <v>3511</v>
      </c>
      <c r="D557" t="s">
        <v>3510</v>
      </c>
      <c r="E557" s="13" t="s">
        <v>3513</v>
      </c>
      <c r="F557" s="9" t="s">
        <v>2736</v>
      </c>
      <c r="I557" t="s">
        <v>2148</v>
      </c>
      <c r="J557" s="63">
        <v>12</v>
      </c>
      <c r="K557" s="25">
        <v>17916079.286938</v>
      </c>
      <c r="L557" s="17">
        <v>0.32210512461319829</v>
      </c>
      <c r="M557" s="63">
        <v>12</v>
      </c>
      <c r="N557" s="25">
        <v>22198895.648152899</v>
      </c>
      <c r="O557" s="17">
        <v>0.36603145031774548</v>
      </c>
      <c r="P557" s="63">
        <v>12</v>
      </c>
      <c r="Q557" s="25">
        <v>18776918.146209899</v>
      </c>
      <c r="R557" s="66">
        <v>0.35152685527399247</v>
      </c>
      <c r="S557" s="77">
        <f t="shared" si="8"/>
        <v>0.3465544767349788</v>
      </c>
      <c r="V557" s="80"/>
    </row>
    <row r="558" spans="1:22" x14ac:dyDescent="0.25">
      <c r="A558" s="18" t="s">
        <v>3370</v>
      </c>
      <c r="B558" s="18" t="s">
        <v>3367</v>
      </c>
      <c r="C558" s="18" t="s">
        <v>3369</v>
      </c>
      <c r="D558" t="s">
        <v>3368</v>
      </c>
      <c r="E558" s="13" t="s">
        <v>3371</v>
      </c>
      <c r="F558" s="9" t="s">
        <v>2736</v>
      </c>
      <c r="I558" t="s">
        <v>2148</v>
      </c>
      <c r="J558" s="63">
        <v>2</v>
      </c>
      <c r="K558" s="25">
        <v>9346643.6661633309</v>
      </c>
      <c r="L558" s="17">
        <v>0.33468944531748501</v>
      </c>
      <c r="M558" s="63">
        <v>2</v>
      </c>
      <c r="N558" s="25">
        <v>10023821.0692742</v>
      </c>
      <c r="O558" s="17">
        <v>0.32919407569463982</v>
      </c>
      <c r="P558" s="63">
        <v>2</v>
      </c>
      <c r="Q558" s="25">
        <v>9779707.7821297497</v>
      </c>
      <c r="R558" s="66">
        <v>0.36466303860119881</v>
      </c>
      <c r="S558" s="77">
        <f t="shared" si="8"/>
        <v>0.3428488532044412</v>
      </c>
      <c r="V558" s="80"/>
    </row>
    <row r="559" spans="1:22" x14ac:dyDescent="0.25">
      <c r="A559" s="18" t="s">
        <v>2962</v>
      </c>
      <c r="B559" s="18" t="s">
        <v>2959</v>
      </c>
      <c r="C559" s="18" t="s">
        <v>2961</v>
      </c>
      <c r="D559" t="s">
        <v>2960</v>
      </c>
      <c r="E559" s="13" t="s">
        <v>2963</v>
      </c>
      <c r="F559" s="9" t="s">
        <v>2736</v>
      </c>
      <c r="I559" t="s">
        <v>2800</v>
      </c>
      <c r="J559" s="63">
        <v>4</v>
      </c>
      <c r="K559" s="25">
        <v>6631901.7693482498</v>
      </c>
      <c r="L559" s="17">
        <v>0.30569049313125424</v>
      </c>
      <c r="M559" s="63">
        <v>5</v>
      </c>
      <c r="N559" s="25">
        <v>9197398.8653778397</v>
      </c>
      <c r="O559" s="17">
        <v>0.38881341700655814</v>
      </c>
      <c r="P559" s="63">
        <v>3</v>
      </c>
      <c r="Q559" s="25">
        <v>6914687.2809222396</v>
      </c>
      <c r="R559" s="66">
        <v>0.33189134621911709</v>
      </c>
      <c r="S559" s="77">
        <f t="shared" si="8"/>
        <v>0.34213175211897645</v>
      </c>
      <c r="V559" s="80"/>
    </row>
    <row r="560" spans="1:22" x14ac:dyDescent="0.25">
      <c r="A560" s="18" t="s">
        <v>2957</v>
      </c>
      <c r="B560" s="18" t="s">
        <v>2954</v>
      </c>
      <c r="C560" s="18" t="s">
        <v>2956</v>
      </c>
      <c r="D560" t="s">
        <v>2955</v>
      </c>
      <c r="E560" s="13" t="s">
        <v>2958</v>
      </c>
      <c r="F560" s="9" t="s">
        <v>2736</v>
      </c>
      <c r="I560" t="s">
        <v>2148</v>
      </c>
      <c r="J560" s="63">
        <v>34</v>
      </c>
      <c r="K560" s="25">
        <v>44441894.4369151</v>
      </c>
      <c r="L560" s="17">
        <v>0.34508816546836074</v>
      </c>
      <c r="M560" s="63">
        <v>26</v>
      </c>
      <c r="N560" s="25">
        <v>43442192.846189201</v>
      </c>
      <c r="O560" s="17">
        <v>0.30937243513718998</v>
      </c>
      <c r="P560" s="63">
        <v>32</v>
      </c>
      <c r="Q560" s="25">
        <v>45861570.048886798</v>
      </c>
      <c r="R560" s="66">
        <v>0.37082239805737416</v>
      </c>
      <c r="S560" s="77">
        <f t="shared" si="8"/>
        <v>0.34176099955430828</v>
      </c>
      <c r="V560" s="80"/>
    </row>
    <row r="561" spans="1:22" x14ac:dyDescent="0.25">
      <c r="A561" s="18" t="s">
        <v>3360</v>
      </c>
      <c r="B561" s="18" t="s">
        <v>3357</v>
      </c>
      <c r="C561" s="18" t="s">
        <v>3359</v>
      </c>
      <c r="D561" t="s">
        <v>3358</v>
      </c>
      <c r="E561" s="13" t="s">
        <v>3361</v>
      </c>
      <c r="F561" s="9" t="s">
        <v>2736</v>
      </c>
      <c r="I561" t="s">
        <v>2148</v>
      </c>
      <c r="J561" s="63">
        <v>16</v>
      </c>
      <c r="K561" s="25">
        <v>16268309.708667001</v>
      </c>
      <c r="L561" s="17">
        <v>0.3421739258371212</v>
      </c>
      <c r="M561" s="63">
        <v>15</v>
      </c>
      <c r="N561" s="25">
        <v>17125267.420671899</v>
      </c>
      <c r="O561" s="17">
        <v>0.33034992849063988</v>
      </c>
      <c r="P561" s="63">
        <v>15</v>
      </c>
      <c r="Q561" s="25">
        <v>15411073.603550199</v>
      </c>
      <c r="R561" s="66">
        <v>0.33753352333824221</v>
      </c>
      <c r="S561" s="77">
        <f t="shared" si="8"/>
        <v>0.33668579255533443</v>
      </c>
      <c r="V561" s="80"/>
    </row>
    <row r="562" spans="1:22" x14ac:dyDescent="0.25">
      <c r="A562" s="18" t="s">
        <v>3001</v>
      </c>
      <c r="B562" s="18" t="s">
        <v>2998</v>
      </c>
      <c r="C562" s="18" t="s">
        <v>3000</v>
      </c>
      <c r="D562" t="s">
        <v>2999</v>
      </c>
      <c r="E562" s="13" t="s">
        <v>3002</v>
      </c>
      <c r="F562" s="9" t="s">
        <v>2736</v>
      </c>
      <c r="I562" t="s">
        <v>2148</v>
      </c>
      <c r="J562" s="63">
        <v>4</v>
      </c>
      <c r="K562" s="25">
        <v>5675870.0246021803</v>
      </c>
      <c r="L562" s="17">
        <v>0.25886929303183548</v>
      </c>
      <c r="M562" s="63">
        <v>5</v>
      </c>
      <c r="N562" s="25">
        <v>7413062.3180040903</v>
      </c>
      <c r="O562" s="17">
        <v>0.31008311721513987</v>
      </c>
      <c r="P562" s="63">
        <v>4</v>
      </c>
      <c r="Q562" s="25">
        <v>6807290.6159243695</v>
      </c>
      <c r="R562" s="66">
        <v>0.32329718643141148</v>
      </c>
      <c r="S562" s="77">
        <f t="shared" si="8"/>
        <v>0.29741653222612896</v>
      </c>
      <c r="V562" s="80"/>
    </row>
    <row r="563" spans="1:22" x14ac:dyDescent="0.25">
      <c r="A563" s="18" t="s">
        <v>3507</v>
      </c>
      <c r="B563" s="18" t="s">
        <v>3504</v>
      </c>
      <c r="C563" s="18" t="s">
        <v>3506</v>
      </c>
      <c r="D563" t="s">
        <v>3505</v>
      </c>
      <c r="E563" s="13" t="s">
        <v>3508</v>
      </c>
      <c r="F563" s="9" t="s">
        <v>2736</v>
      </c>
      <c r="I563" t="s">
        <v>2148</v>
      </c>
      <c r="J563" s="63">
        <v>4</v>
      </c>
      <c r="K563" s="25">
        <v>13276061.2206231</v>
      </c>
      <c r="L563" s="17">
        <v>0.28059962520469489</v>
      </c>
      <c r="M563" s="63">
        <v>5</v>
      </c>
      <c r="N563" s="25">
        <v>14459490.4774343</v>
      </c>
      <c r="O563" s="17">
        <v>0.28028716061345815</v>
      </c>
      <c r="P563" s="63">
        <v>4</v>
      </c>
      <c r="Q563" s="25">
        <v>13357945.1761193</v>
      </c>
      <c r="R563" s="66">
        <v>0.29399302993561743</v>
      </c>
      <c r="S563" s="77">
        <f t="shared" si="8"/>
        <v>0.28495993858459018</v>
      </c>
      <c r="V563" s="80"/>
    </row>
    <row r="564" spans="1:22" x14ac:dyDescent="0.25">
      <c r="A564" s="18" t="s">
        <v>3120</v>
      </c>
      <c r="B564" s="18" t="s">
        <v>3117</v>
      </c>
      <c r="C564" s="18" t="s">
        <v>3119</v>
      </c>
      <c r="D564" t="s">
        <v>3118</v>
      </c>
      <c r="E564" s="13" t="s">
        <v>3121</v>
      </c>
      <c r="F564" s="9" t="s">
        <v>2736</v>
      </c>
      <c r="I564" t="s">
        <v>2148</v>
      </c>
      <c r="J564" s="63">
        <v>10</v>
      </c>
      <c r="K564" s="25">
        <v>9236419.4398693405</v>
      </c>
      <c r="L564" s="17">
        <v>0.26328842100203659</v>
      </c>
      <c r="M564" s="63">
        <v>11</v>
      </c>
      <c r="N564" s="25">
        <v>10909175.272097399</v>
      </c>
      <c r="O564" s="17">
        <v>0.28520189510637528</v>
      </c>
      <c r="P564" s="63">
        <v>9</v>
      </c>
      <c r="Q564" s="25">
        <v>9033290.7318016905</v>
      </c>
      <c r="R564" s="66">
        <v>0.26813508143172105</v>
      </c>
      <c r="S564" s="77">
        <f t="shared" si="8"/>
        <v>0.27220846584671093</v>
      </c>
      <c r="V564" s="80"/>
    </row>
    <row r="565" spans="1:22" x14ac:dyDescent="0.25">
      <c r="A565" s="18" t="s">
        <v>3144</v>
      </c>
      <c r="B565" s="18" t="s">
        <v>3141</v>
      </c>
      <c r="C565" s="18" t="s">
        <v>3143</v>
      </c>
      <c r="D565" t="s">
        <v>3142</v>
      </c>
      <c r="E565" s="13" t="s">
        <v>3145</v>
      </c>
      <c r="F565" s="9" t="s">
        <v>2736</v>
      </c>
      <c r="I565" t="s">
        <v>2148</v>
      </c>
      <c r="J565" s="63">
        <v>19</v>
      </c>
      <c r="K565" s="25">
        <v>15459079.277673099</v>
      </c>
      <c r="L565" s="17">
        <v>0.23017721793094165</v>
      </c>
      <c r="M565" s="63">
        <v>23</v>
      </c>
      <c r="N565" s="25">
        <v>20237722.966067102</v>
      </c>
      <c r="O565" s="17">
        <v>0.27635844039157198</v>
      </c>
      <c r="P565" s="63">
        <v>18</v>
      </c>
      <c r="Q565" s="25">
        <v>16415469.8731711</v>
      </c>
      <c r="R565" s="66">
        <v>0.2545139363946714</v>
      </c>
      <c r="S565" s="77">
        <f t="shared" si="8"/>
        <v>0.25368319823906166</v>
      </c>
      <c r="V565" s="80"/>
    </row>
    <row r="566" spans="1:22" x14ac:dyDescent="0.25">
      <c r="A566" s="18" t="s">
        <v>2863</v>
      </c>
      <c r="B566" s="18" t="s">
        <v>2860</v>
      </c>
      <c r="C566" s="18" t="s">
        <v>2862</v>
      </c>
      <c r="D566" t="s">
        <v>2861</v>
      </c>
      <c r="E566" s="13" t="s">
        <v>2864</v>
      </c>
      <c r="F566" s="9" t="s">
        <v>2736</v>
      </c>
      <c r="I566" t="s">
        <v>2148</v>
      </c>
      <c r="J566" s="63">
        <v>19</v>
      </c>
      <c r="K566" s="25">
        <v>14224806.6683002</v>
      </c>
      <c r="L566" s="17">
        <v>0.26227096337446387</v>
      </c>
      <c r="M566" s="63">
        <v>16</v>
      </c>
      <c r="N566" s="25">
        <v>14485075.018262001</v>
      </c>
      <c r="O566" s="17">
        <v>0.24493844818006247</v>
      </c>
      <c r="P566" s="63">
        <v>20</v>
      </c>
      <c r="Q566" s="25">
        <v>12844182.429863401</v>
      </c>
      <c r="R566" s="66">
        <v>0.24659816558834935</v>
      </c>
      <c r="S566" s="77">
        <f t="shared" si="8"/>
        <v>0.25126919238095857</v>
      </c>
      <c r="V566" s="80"/>
    </row>
    <row r="567" spans="1:22" x14ac:dyDescent="0.25">
      <c r="A567" s="18" t="s">
        <v>3149</v>
      </c>
      <c r="B567" s="18" t="s">
        <v>3146</v>
      </c>
      <c r="C567" s="18" t="s">
        <v>3148</v>
      </c>
      <c r="D567" t="s">
        <v>3147</v>
      </c>
      <c r="E567" s="13" t="s">
        <v>3150</v>
      </c>
      <c r="F567" s="9" t="s">
        <v>2736</v>
      </c>
      <c r="I567" t="s">
        <v>2148</v>
      </c>
      <c r="J567" s="63">
        <v>16</v>
      </c>
      <c r="K567" s="25">
        <v>13992653.3249883</v>
      </c>
      <c r="L567" s="17">
        <v>0.23590581829996554</v>
      </c>
      <c r="M567" s="63">
        <v>11</v>
      </c>
      <c r="N567" s="25">
        <v>16384953.4733172</v>
      </c>
      <c r="O567" s="17">
        <v>0.2533472325989729</v>
      </c>
      <c r="P567" s="63">
        <v>12</v>
      </c>
      <c r="Q567" s="25">
        <v>14927141.936117301</v>
      </c>
      <c r="R567" s="66">
        <v>0.26205640419851461</v>
      </c>
      <c r="S567" s="77">
        <f t="shared" si="8"/>
        <v>0.25043648503248434</v>
      </c>
      <c r="V567" s="80"/>
    </row>
    <row r="568" spans="1:22" x14ac:dyDescent="0.25">
      <c r="A568" s="18" t="s">
        <v>2922</v>
      </c>
      <c r="B568" s="18" t="s">
        <v>2919</v>
      </c>
      <c r="C568" s="18" t="s">
        <v>2921</v>
      </c>
      <c r="D568" t="s">
        <v>2920</v>
      </c>
      <c r="E568" s="13" t="s">
        <v>2923</v>
      </c>
      <c r="F568" s="9" t="s">
        <v>2736</v>
      </c>
      <c r="I568" t="s">
        <v>2287</v>
      </c>
      <c r="J568" s="63">
        <v>13</v>
      </c>
      <c r="K568" s="25">
        <v>19022278.402601302</v>
      </c>
      <c r="L568" s="17">
        <v>0.24384706602089562</v>
      </c>
      <c r="M568" s="63">
        <v>13</v>
      </c>
      <c r="N568" s="25">
        <v>21102432.288851399</v>
      </c>
      <c r="O568" s="17">
        <v>0.24809607334711378</v>
      </c>
      <c r="P568" s="63">
        <v>14</v>
      </c>
      <c r="Q568" s="25">
        <v>16985122.866322599</v>
      </c>
      <c r="R568" s="66">
        <v>0.22672699450419706</v>
      </c>
      <c r="S568" s="77">
        <f t="shared" si="8"/>
        <v>0.2395567112907355</v>
      </c>
      <c r="V568" s="80"/>
    </row>
    <row r="569" spans="1:22" x14ac:dyDescent="0.25">
      <c r="A569" s="18" t="s">
        <v>3454</v>
      </c>
      <c r="B569" s="18" t="s">
        <v>3451</v>
      </c>
      <c r="C569" s="18" t="s">
        <v>3453</v>
      </c>
      <c r="D569" t="s">
        <v>3452</v>
      </c>
      <c r="E569" s="13" t="s">
        <v>3455</v>
      </c>
      <c r="F569" s="9" t="s">
        <v>2736</v>
      </c>
      <c r="I569" t="s">
        <v>2148</v>
      </c>
      <c r="J569" s="63">
        <v>8</v>
      </c>
      <c r="K569" s="25">
        <v>12581442.864752401</v>
      </c>
      <c r="L569" s="17">
        <v>0.2349709463742464</v>
      </c>
      <c r="M569" s="63">
        <v>9</v>
      </c>
      <c r="N569" s="25">
        <v>13766265.080649201</v>
      </c>
      <c r="O569" s="17">
        <v>0.23579371157483528</v>
      </c>
      <c r="P569" s="63">
        <v>8</v>
      </c>
      <c r="Q569" s="25">
        <v>11545943.1034189</v>
      </c>
      <c r="R569" s="66">
        <v>0.22453945627917543</v>
      </c>
      <c r="S569" s="77">
        <f t="shared" si="8"/>
        <v>0.2317680380760857</v>
      </c>
      <c r="V569" s="80"/>
    </row>
    <row r="570" spans="1:22" x14ac:dyDescent="0.25">
      <c r="A570" s="18" t="s">
        <v>3517</v>
      </c>
      <c r="B570" s="18" t="s">
        <v>3514</v>
      </c>
      <c r="C570" s="18" t="s">
        <v>3516</v>
      </c>
      <c r="D570" t="s">
        <v>3515</v>
      </c>
      <c r="E570" s="13" t="s">
        <v>3518</v>
      </c>
      <c r="F570" s="9" t="s">
        <v>2736</v>
      </c>
      <c r="I570" t="s">
        <v>2148</v>
      </c>
      <c r="J570" s="63">
        <v>4</v>
      </c>
      <c r="K570" s="25">
        <v>4785177.5701274099</v>
      </c>
      <c r="L570" s="17">
        <v>0.19935926338830423</v>
      </c>
      <c r="M570" s="63">
        <v>4</v>
      </c>
      <c r="N570" s="25">
        <v>6572614.0673383102</v>
      </c>
      <c r="O570" s="17">
        <v>0.25113593959644587</v>
      </c>
      <c r="P570" s="63">
        <v>4</v>
      </c>
      <c r="Q570" s="25">
        <v>5456521.4901788598</v>
      </c>
      <c r="R570" s="66">
        <v>0.23671935521870718</v>
      </c>
      <c r="S570" s="77">
        <f t="shared" si="8"/>
        <v>0.22907151940115242</v>
      </c>
      <c r="V570" s="80"/>
    </row>
    <row r="571" spans="1:22" x14ac:dyDescent="0.25">
      <c r="A571" s="18" t="s">
        <v>3065</v>
      </c>
      <c r="B571" s="18" t="s">
        <v>3062</v>
      </c>
      <c r="C571" s="18" t="s">
        <v>3064</v>
      </c>
      <c r="D571" t="s">
        <v>3063</v>
      </c>
      <c r="E571" s="13" t="s">
        <v>3066</v>
      </c>
      <c r="F571" s="9" t="s">
        <v>2736</v>
      </c>
      <c r="I571" t="s">
        <v>1055</v>
      </c>
      <c r="J571" s="63">
        <v>14</v>
      </c>
      <c r="K571" s="25">
        <v>14839076.344532801</v>
      </c>
      <c r="L571" s="17">
        <v>0.22094571405571617</v>
      </c>
      <c r="M571" s="63">
        <v>13</v>
      </c>
      <c r="N571" s="25">
        <v>16651836.9322547</v>
      </c>
      <c r="O571" s="17">
        <v>0.22739098128622037</v>
      </c>
      <c r="P571" s="63">
        <v>10</v>
      </c>
      <c r="Q571" s="25">
        <v>15221753.7472906</v>
      </c>
      <c r="R571" s="66">
        <v>0.23600594408723269</v>
      </c>
      <c r="S571" s="77">
        <f t="shared" si="8"/>
        <v>0.22811421314305638</v>
      </c>
      <c r="V571" s="80"/>
    </row>
    <row r="572" spans="1:22" x14ac:dyDescent="0.25">
      <c r="A572" s="18" t="s">
        <v>2793</v>
      </c>
      <c r="B572" s="18" t="s">
        <v>2790</v>
      </c>
      <c r="C572" s="18" t="s">
        <v>2792</v>
      </c>
      <c r="D572" t="s">
        <v>2791</v>
      </c>
      <c r="E572" s="13" t="s">
        <v>2794</v>
      </c>
      <c r="F572" s="9" t="s">
        <v>2736</v>
      </c>
      <c r="I572" t="s">
        <v>2148</v>
      </c>
      <c r="J572" s="63">
        <v>9</v>
      </c>
      <c r="K572" s="25">
        <v>9310011.3352613691</v>
      </c>
      <c r="L572" s="17">
        <v>0.21571497969129555</v>
      </c>
      <c r="M572" s="63">
        <v>7</v>
      </c>
      <c r="N572" s="25">
        <v>10352983.1249109</v>
      </c>
      <c r="O572" s="17">
        <v>0.22000268194235101</v>
      </c>
      <c r="P572" s="63">
        <v>8</v>
      </c>
      <c r="Q572" s="25">
        <v>9945794.8624066692</v>
      </c>
      <c r="R572" s="66">
        <v>0.23996567792934079</v>
      </c>
      <c r="S572" s="77">
        <f t="shared" si="8"/>
        <v>0.2252277798543291</v>
      </c>
      <c r="V572" s="80"/>
    </row>
    <row r="573" spans="1:22" x14ac:dyDescent="0.25">
      <c r="A573" s="18" t="s">
        <v>2888</v>
      </c>
      <c r="B573" s="18" t="s">
        <v>2885</v>
      </c>
      <c r="C573" s="18" t="s">
        <v>2887</v>
      </c>
      <c r="D573" t="s">
        <v>2886</v>
      </c>
      <c r="E573" s="13" t="s">
        <v>2889</v>
      </c>
      <c r="F573" s="9" t="s">
        <v>2736</v>
      </c>
      <c r="I573" t="s">
        <v>2148</v>
      </c>
      <c r="J573" s="63">
        <v>7</v>
      </c>
      <c r="K573" s="25">
        <v>6072411.2779589202</v>
      </c>
      <c r="L573" s="17">
        <v>0.20239022215971617</v>
      </c>
      <c r="M573" s="63">
        <v>5</v>
      </c>
      <c r="N573" s="25">
        <v>7116950.4702941999</v>
      </c>
      <c r="O573" s="17">
        <v>0.21754778541470146</v>
      </c>
      <c r="P573" s="63">
        <v>4</v>
      </c>
      <c r="Q573" s="25">
        <v>6228515.8919499097</v>
      </c>
      <c r="R573" s="66">
        <v>0.2161685269365298</v>
      </c>
      <c r="S573" s="77">
        <f t="shared" si="8"/>
        <v>0.21203551150364916</v>
      </c>
      <c r="V573" s="80"/>
    </row>
    <row r="574" spans="1:22" x14ac:dyDescent="0.25">
      <c r="A574" s="18" t="s">
        <v>3135</v>
      </c>
      <c r="B574" s="18" t="s">
        <v>3132</v>
      </c>
      <c r="C574" s="18" t="s">
        <v>3134</v>
      </c>
      <c r="D574" t="s">
        <v>3133</v>
      </c>
      <c r="E574" s="13" t="s">
        <v>2749</v>
      </c>
      <c r="F574" s="9" t="s">
        <v>2736</v>
      </c>
      <c r="I574" t="s">
        <v>2287</v>
      </c>
      <c r="J574" s="63">
        <v>18</v>
      </c>
      <c r="K574" s="25">
        <v>13463131.654605901</v>
      </c>
      <c r="L574" s="17">
        <v>0.18756742010178123</v>
      </c>
      <c r="M574" s="63">
        <v>16</v>
      </c>
      <c r="N574" s="25">
        <v>17007349.7026335</v>
      </c>
      <c r="O574" s="17">
        <v>0.21731030843532353</v>
      </c>
      <c r="P574" s="63">
        <v>17</v>
      </c>
      <c r="Q574" s="25">
        <v>13685921.6977224</v>
      </c>
      <c r="R574" s="66">
        <v>0.19854771823946896</v>
      </c>
      <c r="S574" s="77">
        <f t="shared" si="8"/>
        <v>0.20114181559219124</v>
      </c>
      <c r="V574" s="80"/>
    </row>
    <row r="575" spans="1:22" x14ac:dyDescent="0.25">
      <c r="A575" s="18" t="s">
        <v>2798</v>
      </c>
      <c r="B575" s="18" t="s">
        <v>2795</v>
      </c>
      <c r="C575" s="18" t="s">
        <v>2797</v>
      </c>
      <c r="D575" t="s">
        <v>2796</v>
      </c>
      <c r="E575" s="13" t="s">
        <v>2799</v>
      </c>
      <c r="F575" s="9" t="s">
        <v>2736</v>
      </c>
      <c r="I575" t="s">
        <v>2800</v>
      </c>
      <c r="J575" s="63">
        <v>16</v>
      </c>
      <c r="K575" s="25">
        <v>17571496.944803499</v>
      </c>
      <c r="L575" s="17">
        <v>0.20466214555128401</v>
      </c>
      <c r="M575" s="63">
        <v>14</v>
      </c>
      <c r="N575" s="25">
        <v>17588086.8627153</v>
      </c>
      <c r="O575" s="17">
        <v>0.18787964783642239</v>
      </c>
      <c r="P575" s="63">
        <v>13</v>
      </c>
      <c r="Q575" s="25">
        <v>15527171.234523499</v>
      </c>
      <c r="R575" s="66">
        <v>0.18832181931721431</v>
      </c>
      <c r="S575" s="77">
        <f t="shared" si="8"/>
        <v>0.19362120423497356</v>
      </c>
      <c r="V575" s="80"/>
    </row>
    <row r="576" spans="1:22" x14ac:dyDescent="0.25">
      <c r="A576" s="18" t="s">
        <v>3010</v>
      </c>
      <c r="B576" s="18" t="s">
        <v>8156</v>
      </c>
      <c r="C576" s="18" t="s">
        <v>3009</v>
      </c>
      <c r="D576" t="s">
        <v>3008</v>
      </c>
      <c r="E576" s="13" t="s">
        <v>3011</v>
      </c>
      <c r="F576" s="9" t="s">
        <v>2736</v>
      </c>
      <c r="I576" t="s">
        <v>1055</v>
      </c>
      <c r="J576" s="63">
        <v>10</v>
      </c>
      <c r="K576" s="25">
        <v>18779835.5806472</v>
      </c>
      <c r="L576" s="17">
        <v>0.19191001098612565</v>
      </c>
      <c r="M576" s="63">
        <v>9</v>
      </c>
      <c r="N576" s="25">
        <v>18610617.3955887</v>
      </c>
      <c r="O576" s="17">
        <v>0.17442109143935569</v>
      </c>
      <c r="P576" s="63">
        <v>8</v>
      </c>
      <c r="Q576" s="25">
        <v>18633927.0774744</v>
      </c>
      <c r="R576" s="66">
        <v>0.19828495976285046</v>
      </c>
      <c r="S576" s="77">
        <f t="shared" si="8"/>
        <v>0.18820535406277727</v>
      </c>
      <c r="V576" s="80"/>
    </row>
    <row r="577" spans="1:22" x14ac:dyDescent="0.25">
      <c r="A577" s="18" t="s">
        <v>2883</v>
      </c>
      <c r="B577" s="18" t="s">
        <v>2880</v>
      </c>
      <c r="C577" s="18" t="s">
        <v>2882</v>
      </c>
      <c r="D577" t="s">
        <v>2881</v>
      </c>
      <c r="E577" s="13" t="s">
        <v>2884</v>
      </c>
      <c r="F577" s="9" t="s">
        <v>2736</v>
      </c>
      <c r="I577" t="s">
        <v>2148</v>
      </c>
      <c r="J577" s="63">
        <v>9</v>
      </c>
      <c r="K577" s="25">
        <v>7222932.9894182803</v>
      </c>
      <c r="L577" s="17">
        <v>0.16825669064292989</v>
      </c>
      <c r="M577" s="63">
        <v>7</v>
      </c>
      <c r="N577" s="25">
        <v>8205020.8230027696</v>
      </c>
      <c r="O577" s="17">
        <v>0.17529552074071142</v>
      </c>
      <c r="P577" s="63">
        <v>8</v>
      </c>
      <c r="Q577" s="25">
        <v>7162226.9324103696</v>
      </c>
      <c r="R577" s="66">
        <v>0.17373462118783217</v>
      </c>
      <c r="S577" s="77">
        <f t="shared" si="8"/>
        <v>0.17242894419049115</v>
      </c>
      <c r="V577" s="80"/>
    </row>
    <row r="578" spans="1:22" x14ac:dyDescent="0.25">
      <c r="A578" s="18" t="s">
        <v>2903</v>
      </c>
      <c r="B578" s="18" t="s">
        <v>2900</v>
      </c>
      <c r="C578" s="18" t="s">
        <v>2902</v>
      </c>
      <c r="D578" t="s">
        <v>2901</v>
      </c>
      <c r="E578" s="13" t="s">
        <v>2904</v>
      </c>
      <c r="F578" s="9" t="s">
        <v>2736</v>
      </c>
      <c r="I578" t="s">
        <v>2148</v>
      </c>
      <c r="J578" s="63">
        <v>13</v>
      </c>
      <c r="K578" s="25">
        <v>6759836.1302158404</v>
      </c>
      <c r="L578" s="17">
        <v>0.1541538118786189</v>
      </c>
      <c r="M578" s="63">
        <v>11</v>
      </c>
      <c r="N578" s="25">
        <v>6974963.4286168003</v>
      </c>
      <c r="O578" s="17">
        <v>0.14587887634198521</v>
      </c>
      <c r="P578" s="63">
        <v>13</v>
      </c>
      <c r="Q578" s="25">
        <v>6112259.69538581</v>
      </c>
      <c r="R578" s="66">
        <v>0.14514411634150681</v>
      </c>
      <c r="S578" s="77">
        <f t="shared" si="8"/>
        <v>0.14839226818737031</v>
      </c>
      <c r="V578" s="80"/>
    </row>
    <row r="579" spans="1:22" x14ac:dyDescent="0.25">
      <c r="A579" s="18" t="s">
        <v>2907</v>
      </c>
      <c r="B579" s="18" t="s">
        <v>8154</v>
      </c>
      <c r="C579" s="18" t="s">
        <v>2906</v>
      </c>
      <c r="D579" t="s">
        <v>2905</v>
      </c>
      <c r="E579" s="13" t="s">
        <v>2908</v>
      </c>
      <c r="F579" s="9" t="s">
        <v>2736</v>
      </c>
      <c r="I579" t="s">
        <v>2148</v>
      </c>
      <c r="J579" s="63">
        <v>8</v>
      </c>
      <c r="K579" s="25">
        <v>6387024.9680481805</v>
      </c>
      <c r="L579" s="17">
        <v>0.12811989202505078</v>
      </c>
      <c r="M579" s="63">
        <v>10</v>
      </c>
      <c r="N579" s="25">
        <v>8903590.6303796005</v>
      </c>
      <c r="O579" s="17">
        <v>0.16380060751205766</v>
      </c>
      <c r="P579" s="63">
        <v>8</v>
      </c>
      <c r="Q579" s="25">
        <v>6955470.6644784696</v>
      </c>
      <c r="R579" s="66">
        <v>0.14528608151439498</v>
      </c>
      <c r="S579" s="77">
        <f t="shared" si="8"/>
        <v>0.1457355270171678</v>
      </c>
      <c r="V579" s="80"/>
    </row>
    <row r="580" spans="1:22" x14ac:dyDescent="0.25">
      <c r="A580" s="18" t="s">
        <v>2927</v>
      </c>
      <c r="B580" s="18" t="s">
        <v>2924</v>
      </c>
      <c r="C580" s="18" t="s">
        <v>2926</v>
      </c>
      <c r="D580" t="s">
        <v>2925</v>
      </c>
      <c r="E580" s="13" t="s">
        <v>2928</v>
      </c>
      <c r="F580" s="9" t="s">
        <v>2736</v>
      </c>
      <c r="I580" t="s">
        <v>2148</v>
      </c>
      <c r="J580" s="63">
        <v>8</v>
      </c>
      <c r="K580" s="25">
        <v>4396640.39319418</v>
      </c>
      <c r="L580" s="17">
        <v>0.13607069754437001</v>
      </c>
      <c r="M580" s="63">
        <v>7</v>
      </c>
      <c r="N580" s="25">
        <v>4927818.6939321598</v>
      </c>
      <c r="O580" s="17">
        <v>0.13987199219908203</v>
      </c>
      <c r="P580" s="63">
        <v>10</v>
      </c>
      <c r="Q580" s="25">
        <v>4657963.7366547296</v>
      </c>
      <c r="R580" s="66">
        <v>0.15011334619526176</v>
      </c>
      <c r="S580" s="77">
        <f t="shared" si="8"/>
        <v>0.14201867864623793</v>
      </c>
      <c r="V580" s="80"/>
    </row>
    <row r="581" spans="1:22" x14ac:dyDescent="0.25">
      <c r="A581" s="18" t="s">
        <v>3105</v>
      </c>
      <c r="B581" s="18" t="s">
        <v>3102</v>
      </c>
      <c r="C581" s="18" t="s">
        <v>3104</v>
      </c>
      <c r="D581" t="s">
        <v>3103</v>
      </c>
      <c r="E581" s="13" t="s">
        <v>3106</v>
      </c>
      <c r="F581" s="9" t="s">
        <v>2736</v>
      </c>
      <c r="I581" t="s">
        <v>2800</v>
      </c>
      <c r="J581" s="63">
        <v>5</v>
      </c>
      <c r="K581" s="25">
        <v>5138636.3703087503</v>
      </c>
      <c r="L581" s="17">
        <v>0.1236935581520632</v>
      </c>
      <c r="M581" s="63">
        <v>6</v>
      </c>
      <c r="N581" s="25">
        <v>7433909.6272215704</v>
      </c>
      <c r="O581" s="17">
        <v>0.16411521558152053</v>
      </c>
      <c r="P581" s="63">
        <v>5</v>
      </c>
      <c r="Q581" s="25">
        <v>5330955.1751903696</v>
      </c>
      <c r="R581" s="66">
        <v>0.1336237834349977</v>
      </c>
      <c r="S581" s="77">
        <f t="shared" si="8"/>
        <v>0.14047751905619379</v>
      </c>
      <c r="V581" s="80"/>
    </row>
    <row r="582" spans="1:22" x14ac:dyDescent="0.25">
      <c r="A582" s="18" t="s">
        <v>2981</v>
      </c>
      <c r="B582" s="18" t="s">
        <v>2978</v>
      </c>
      <c r="C582" s="18" t="s">
        <v>2980</v>
      </c>
      <c r="D582" t="s">
        <v>2979</v>
      </c>
      <c r="E582" s="13" t="s">
        <v>2982</v>
      </c>
      <c r="F582" s="9" t="s">
        <v>2736</v>
      </c>
      <c r="I582" t="s">
        <v>1055</v>
      </c>
      <c r="J582" s="63">
        <v>5</v>
      </c>
      <c r="K582" s="25">
        <v>3057573.87584191</v>
      </c>
      <c r="L582" s="17">
        <v>0.1394520988325981</v>
      </c>
      <c r="M582" s="63">
        <v>6</v>
      </c>
      <c r="N582" s="25">
        <v>3473761.0563399098</v>
      </c>
      <c r="O582" s="17">
        <v>0.14530495099094942</v>
      </c>
      <c r="P582" s="63">
        <v>5</v>
      </c>
      <c r="Q582" s="25">
        <v>2834706.0117825302</v>
      </c>
      <c r="R582" s="66">
        <v>0.13462808181358277</v>
      </c>
      <c r="S582" s="77">
        <f t="shared" ref="S582:S644" si="9">AVERAGE(L582,O582,R582)</f>
        <v>0.13979504387904343</v>
      </c>
      <c r="V582" s="80"/>
    </row>
    <row r="583" spans="1:22" x14ac:dyDescent="0.25">
      <c r="A583" s="18" t="s">
        <v>2853</v>
      </c>
      <c r="B583" s="18" t="s">
        <v>2850</v>
      </c>
      <c r="C583" s="18" t="s">
        <v>2852</v>
      </c>
      <c r="D583" t="s">
        <v>2851</v>
      </c>
      <c r="E583" s="13" t="s">
        <v>2854</v>
      </c>
      <c r="F583" s="9" t="s">
        <v>2736</v>
      </c>
      <c r="I583" t="s">
        <v>2148</v>
      </c>
      <c r="J583" s="63">
        <v>3</v>
      </c>
      <c r="K583" s="25">
        <v>2526701.3620094499</v>
      </c>
      <c r="L583" s="17">
        <v>0.11899748654281656</v>
      </c>
      <c r="M583" s="63">
        <v>4</v>
      </c>
      <c r="N583" s="25">
        <v>3430444.07104155</v>
      </c>
      <c r="O583" s="17">
        <v>0.14817215296604597</v>
      </c>
      <c r="P583" s="63">
        <v>4</v>
      </c>
      <c r="Q583" s="25">
        <v>3093670.53896931</v>
      </c>
      <c r="R583" s="66">
        <v>0.15171812705229326</v>
      </c>
      <c r="S583" s="77">
        <f t="shared" si="9"/>
        <v>0.13962925552038527</v>
      </c>
      <c r="V583" s="80"/>
    </row>
    <row r="584" spans="1:22" x14ac:dyDescent="0.25">
      <c r="A584" s="18" t="s">
        <v>3035</v>
      </c>
      <c r="B584" s="18" t="s">
        <v>3032</v>
      </c>
      <c r="C584" s="18" t="s">
        <v>3034</v>
      </c>
      <c r="D584" t="s">
        <v>3033</v>
      </c>
      <c r="E584" s="13" t="s">
        <v>3036</v>
      </c>
      <c r="F584" s="9" t="s">
        <v>2736</v>
      </c>
      <c r="I584" t="s">
        <v>57</v>
      </c>
      <c r="J584" s="63">
        <v>16</v>
      </c>
      <c r="K584" s="25">
        <v>11899506.209529299</v>
      </c>
      <c r="L584" s="17">
        <v>0.1325412432139525</v>
      </c>
      <c r="M584" s="63">
        <v>11</v>
      </c>
      <c r="N584" s="25">
        <v>12409502.7675271</v>
      </c>
      <c r="O584" s="17">
        <v>0.12676777111546753</v>
      </c>
      <c r="P584" s="63">
        <v>13</v>
      </c>
      <c r="Q584" s="25">
        <v>12034452.499774201</v>
      </c>
      <c r="R584" s="66">
        <v>0.1395815363735082</v>
      </c>
      <c r="S584" s="77">
        <f t="shared" si="9"/>
        <v>0.13296351690097608</v>
      </c>
      <c r="V584" s="80"/>
    </row>
    <row r="585" spans="1:22" x14ac:dyDescent="0.25">
      <c r="A585" s="18" t="s">
        <v>2858</v>
      </c>
      <c r="B585" s="18" t="s">
        <v>2855</v>
      </c>
      <c r="C585" s="18" t="s">
        <v>2857</v>
      </c>
      <c r="D585" t="s">
        <v>2856</v>
      </c>
      <c r="E585" s="13" t="s">
        <v>2859</v>
      </c>
      <c r="F585" s="9" t="s">
        <v>2736</v>
      </c>
      <c r="I585" t="s">
        <v>2148</v>
      </c>
      <c r="J585" s="63">
        <v>6</v>
      </c>
      <c r="K585" s="25">
        <v>3361931.8145151399</v>
      </c>
      <c r="L585" s="17">
        <v>0.11560857740525261</v>
      </c>
      <c r="M585" s="63">
        <v>7</v>
      </c>
      <c r="N585" s="25">
        <v>4296767.2445805399</v>
      </c>
      <c r="O585" s="17">
        <v>0.13551125239590731</v>
      </c>
      <c r="P585" s="63">
        <v>7</v>
      </c>
      <c r="Q585" s="25">
        <v>3650839.8883108599</v>
      </c>
      <c r="R585" s="66">
        <v>0.13072946392738855</v>
      </c>
      <c r="S585" s="77">
        <f t="shared" si="9"/>
        <v>0.12728309790951617</v>
      </c>
      <c r="V585" s="80"/>
    </row>
    <row r="586" spans="1:22" x14ac:dyDescent="0.25">
      <c r="A586" s="18" t="s">
        <v>3258</v>
      </c>
      <c r="B586" s="18" t="s">
        <v>3255</v>
      </c>
      <c r="C586" s="18" t="s">
        <v>3257</v>
      </c>
      <c r="D586" t="s">
        <v>3256</v>
      </c>
      <c r="E586" s="13" t="s">
        <v>3259</v>
      </c>
      <c r="F586" s="9" t="s">
        <v>2736</v>
      </c>
      <c r="I586" t="s">
        <v>2800</v>
      </c>
      <c r="J586" s="63">
        <v>2</v>
      </c>
      <c r="K586" s="25">
        <v>2719404.8185436199</v>
      </c>
      <c r="L586" s="17">
        <v>0.11782720178629177</v>
      </c>
      <c r="M586" s="63">
        <v>5</v>
      </c>
      <c r="N586" s="25">
        <v>3372258.0593294101</v>
      </c>
      <c r="O586" s="17">
        <v>0.13400619527014451</v>
      </c>
      <c r="P586" s="63">
        <v>2</v>
      </c>
      <c r="Q586" s="25">
        <v>2841043.2074492001</v>
      </c>
      <c r="R586" s="66">
        <v>0.1281826002377878</v>
      </c>
      <c r="S586" s="77">
        <f t="shared" si="9"/>
        <v>0.12667199909807469</v>
      </c>
      <c r="V586" s="80"/>
    </row>
    <row r="587" spans="1:22" x14ac:dyDescent="0.25">
      <c r="A587" s="18" t="s">
        <v>2967</v>
      </c>
      <c r="B587" s="18" t="s">
        <v>2964</v>
      </c>
      <c r="C587" s="18" t="s">
        <v>2966</v>
      </c>
      <c r="D587" t="s">
        <v>2965</v>
      </c>
      <c r="E587" s="13" t="s">
        <v>2968</v>
      </c>
      <c r="F587" s="9" t="s">
        <v>2736</v>
      </c>
      <c r="I587" t="s">
        <v>2148</v>
      </c>
      <c r="J587" s="63">
        <v>5</v>
      </c>
      <c r="K587" s="25">
        <v>5740505.5845656097</v>
      </c>
      <c r="L587" s="17">
        <v>0.12015767036012256</v>
      </c>
      <c r="M587" s="63">
        <v>5</v>
      </c>
      <c r="N587" s="25">
        <v>6234828.81547633</v>
      </c>
      <c r="O587" s="17">
        <v>0.11969010941533871</v>
      </c>
      <c r="P587" s="63">
        <v>5</v>
      </c>
      <c r="Q587" s="25">
        <v>5934517.8425631197</v>
      </c>
      <c r="R587" s="66">
        <v>0.12934997019675618</v>
      </c>
      <c r="S587" s="77">
        <f t="shared" si="9"/>
        <v>0.12306591665740581</v>
      </c>
      <c r="V587" s="80"/>
    </row>
    <row r="588" spans="1:22" x14ac:dyDescent="0.25">
      <c r="A588" s="18" t="s">
        <v>2898</v>
      </c>
      <c r="B588" s="18" t="s">
        <v>2895</v>
      </c>
      <c r="C588" s="18" t="s">
        <v>2897</v>
      </c>
      <c r="D588" t="s">
        <v>2896</v>
      </c>
      <c r="E588" s="13" t="s">
        <v>2899</v>
      </c>
      <c r="F588" s="9" t="s">
        <v>2736</v>
      </c>
      <c r="I588" t="s">
        <v>2148</v>
      </c>
      <c r="J588" s="63">
        <v>4</v>
      </c>
      <c r="K588" s="25">
        <v>3358171.5004368802</v>
      </c>
      <c r="L588" s="17">
        <v>0.12227216764268943</v>
      </c>
      <c r="M588" s="63">
        <v>5</v>
      </c>
      <c r="N588" s="25">
        <v>3450747.3998594098</v>
      </c>
      <c r="O588" s="17">
        <v>0.11523125279332393</v>
      </c>
      <c r="P588" s="63">
        <v>4</v>
      </c>
      <c r="Q588" s="25">
        <v>3280411.77427981</v>
      </c>
      <c r="R588" s="66">
        <v>0.12437486981208769</v>
      </c>
      <c r="S588" s="77">
        <f t="shared" si="9"/>
        <v>0.12062609674936701</v>
      </c>
      <c r="V588" s="80"/>
    </row>
    <row r="589" spans="1:22" x14ac:dyDescent="0.25">
      <c r="A589" s="18" t="s">
        <v>3502</v>
      </c>
      <c r="B589" s="18" t="s">
        <v>3499</v>
      </c>
      <c r="C589" s="18" t="s">
        <v>3501</v>
      </c>
      <c r="D589" t="s">
        <v>3500</v>
      </c>
      <c r="E589" s="13" t="s">
        <v>3503</v>
      </c>
      <c r="F589" s="9" t="s">
        <v>2736</v>
      </c>
      <c r="I589" t="s">
        <v>2148</v>
      </c>
      <c r="J589" s="63">
        <v>2</v>
      </c>
      <c r="K589" s="25">
        <v>1738311.7406905801</v>
      </c>
      <c r="L589" s="17">
        <v>7.6855205647956351E-2</v>
      </c>
      <c r="M589" s="63">
        <v>2</v>
      </c>
      <c r="N589" s="25">
        <v>2345788.6183224102</v>
      </c>
      <c r="O589" s="17">
        <v>9.5118912125418092E-2</v>
      </c>
      <c r="P589" s="63">
        <v>2</v>
      </c>
      <c r="Q589" s="25">
        <v>2060418.8305612199</v>
      </c>
      <c r="R589" s="66">
        <v>9.4859465486216668E-2</v>
      </c>
      <c r="S589" s="77">
        <f t="shared" si="9"/>
        <v>8.8944527753197042E-2</v>
      </c>
      <c r="V589" s="80"/>
    </row>
    <row r="590" spans="1:22" x14ac:dyDescent="0.25">
      <c r="A590" s="18" t="s">
        <v>2838</v>
      </c>
      <c r="B590" s="18" t="s">
        <v>2835</v>
      </c>
      <c r="C590" s="18" t="s">
        <v>2837</v>
      </c>
      <c r="D590" t="s">
        <v>2836</v>
      </c>
      <c r="E590" s="13" t="s">
        <v>2839</v>
      </c>
      <c r="F590" s="9" t="s">
        <v>2736</v>
      </c>
      <c r="I590" t="s">
        <v>2287</v>
      </c>
      <c r="J590" s="63">
        <v>1</v>
      </c>
      <c r="K590" s="25">
        <v>1214439.83919516</v>
      </c>
      <c r="L590" s="17">
        <v>7.738179401610322E-2</v>
      </c>
      <c r="M590" s="63">
        <v>3</v>
      </c>
      <c r="N590" s="25">
        <v>1610910.7156297399</v>
      </c>
      <c r="O590" s="17">
        <v>9.4138361109419796E-2</v>
      </c>
      <c r="P590" s="63">
        <v>2</v>
      </c>
      <c r="Q590" s="25">
        <v>1332953.9239406399</v>
      </c>
      <c r="R590" s="66">
        <v>8.8441777674708455E-2</v>
      </c>
      <c r="S590" s="77">
        <f t="shared" si="9"/>
        <v>8.6653977600077162E-2</v>
      </c>
      <c r="V590" s="80"/>
    </row>
    <row r="591" spans="1:22" x14ac:dyDescent="0.25">
      <c r="A591" s="18" t="s">
        <v>3541</v>
      </c>
      <c r="B591" s="18" t="s">
        <v>3538</v>
      </c>
      <c r="C591" s="18" t="s">
        <v>3540</v>
      </c>
      <c r="D591" t="s">
        <v>3539</v>
      </c>
      <c r="E591" s="13" t="s">
        <v>3542</v>
      </c>
      <c r="F591" s="9" t="s">
        <v>2736</v>
      </c>
      <c r="I591" t="s">
        <v>2287</v>
      </c>
      <c r="J591" s="63">
        <v>11</v>
      </c>
      <c r="K591" s="25">
        <v>8724255.7497646306</v>
      </c>
      <c r="L591" s="17">
        <v>8.9363407866399208E-2</v>
      </c>
      <c r="M591" s="63">
        <v>12</v>
      </c>
      <c r="N591" s="25">
        <v>8173854.7745537404</v>
      </c>
      <c r="O591" s="17">
        <v>7.6787517174450134E-2</v>
      </c>
      <c r="P591" s="63">
        <v>14</v>
      </c>
      <c r="Q591" s="25">
        <v>8216673.3575160401</v>
      </c>
      <c r="R591" s="66">
        <v>8.7640913103674417E-2</v>
      </c>
      <c r="S591" s="77">
        <f t="shared" si="9"/>
        <v>8.459727938150792E-2</v>
      </c>
      <c r="V591" s="80"/>
    </row>
    <row r="592" spans="1:22" x14ac:dyDescent="0.25">
      <c r="A592" s="18" t="s">
        <v>3070</v>
      </c>
      <c r="B592" s="18" t="s">
        <v>3067</v>
      </c>
      <c r="C592" s="18" t="s">
        <v>3069</v>
      </c>
      <c r="D592" t="s">
        <v>3068</v>
      </c>
      <c r="E592" s="13" t="s">
        <v>3071</v>
      </c>
      <c r="F592" s="9" t="s">
        <v>2736</v>
      </c>
      <c r="I592" t="s">
        <v>1055</v>
      </c>
      <c r="J592" s="63">
        <v>15</v>
      </c>
      <c r="K592" s="25">
        <v>8651790.7616265994</v>
      </c>
      <c r="L592" s="17">
        <v>7.7292253640538391E-2</v>
      </c>
      <c r="M592" s="63">
        <v>14</v>
      </c>
      <c r="N592" s="25">
        <v>10092405.5401098</v>
      </c>
      <c r="O592" s="17">
        <v>8.2690768903415743E-2</v>
      </c>
      <c r="P592" s="63">
        <v>11</v>
      </c>
      <c r="Q592" s="25">
        <v>8955938.0355168693</v>
      </c>
      <c r="R592" s="66">
        <v>8.3314497646572519E-2</v>
      </c>
      <c r="S592" s="77">
        <f t="shared" si="9"/>
        <v>8.1099173396842208E-2</v>
      </c>
      <c r="V592" s="80"/>
    </row>
    <row r="593" spans="1:22" x14ac:dyDescent="0.25">
      <c r="A593" s="18" t="s">
        <v>3237</v>
      </c>
      <c r="B593" s="18" t="s">
        <v>3234</v>
      </c>
      <c r="C593" s="18" t="s">
        <v>3236</v>
      </c>
      <c r="D593" t="s">
        <v>3235</v>
      </c>
      <c r="E593" s="13" t="s">
        <v>3238</v>
      </c>
      <c r="F593" s="9" t="s">
        <v>2736</v>
      </c>
      <c r="G593" t="s">
        <v>3239</v>
      </c>
      <c r="I593" t="s">
        <v>17</v>
      </c>
      <c r="J593" s="63">
        <v>12</v>
      </c>
      <c r="K593" s="25">
        <v>8414972.9866845701</v>
      </c>
      <c r="L593" s="17">
        <v>7.3956697229318816E-2</v>
      </c>
      <c r="M593" s="63">
        <v>10</v>
      </c>
      <c r="N593" s="25">
        <v>8698101.2054913994</v>
      </c>
      <c r="O593" s="17">
        <v>7.0110265668613919E-2</v>
      </c>
      <c r="P593" s="63">
        <v>10</v>
      </c>
      <c r="Q593" s="25">
        <v>8472016.0785757396</v>
      </c>
      <c r="R593" s="66">
        <v>7.7533803736036105E-2</v>
      </c>
      <c r="S593" s="77">
        <f t="shared" si="9"/>
        <v>7.3866922211322947E-2</v>
      </c>
      <c r="V593" s="80"/>
    </row>
    <row r="594" spans="1:22" x14ac:dyDescent="0.25">
      <c r="A594" s="18" t="s">
        <v>3497</v>
      </c>
      <c r="B594" s="18" t="s">
        <v>3494</v>
      </c>
      <c r="C594" s="18" t="s">
        <v>3496</v>
      </c>
      <c r="D594" t="s">
        <v>3495</v>
      </c>
      <c r="E594" s="13" t="s">
        <v>3498</v>
      </c>
      <c r="F594" s="9" t="s">
        <v>2736</v>
      </c>
      <c r="I594" t="s">
        <v>172</v>
      </c>
      <c r="J594" s="63">
        <v>7</v>
      </c>
      <c r="K594" s="25">
        <v>7627682.0208642902</v>
      </c>
      <c r="L594" s="17">
        <v>7.4603732310798671E-2</v>
      </c>
      <c r="M594" s="63">
        <v>6</v>
      </c>
      <c r="N594" s="25">
        <v>8303662.7260060301</v>
      </c>
      <c r="O594" s="17">
        <v>7.4485210632177848E-2</v>
      </c>
      <c r="P594" s="63">
        <v>6</v>
      </c>
      <c r="Q594" s="25">
        <v>6874531.1695274496</v>
      </c>
      <c r="R594" s="66">
        <v>7.0014920130331726E-2</v>
      </c>
      <c r="S594" s="77">
        <f t="shared" si="9"/>
        <v>7.3034621024436086E-2</v>
      </c>
      <c r="V594" s="80"/>
    </row>
    <row r="595" spans="1:22" x14ac:dyDescent="0.25">
      <c r="A595" s="18" t="s">
        <v>3212</v>
      </c>
      <c r="B595" s="18" t="s">
        <v>3209</v>
      </c>
      <c r="C595" s="18" t="s">
        <v>3211</v>
      </c>
      <c r="D595" t="s">
        <v>3210</v>
      </c>
      <c r="E595" s="13" t="s">
        <v>3213</v>
      </c>
      <c r="F595" s="9" t="s">
        <v>2736</v>
      </c>
      <c r="I595" t="s">
        <v>2148</v>
      </c>
      <c r="J595" s="63">
        <v>4</v>
      </c>
      <c r="K595" s="25">
        <v>1718697.1437874399</v>
      </c>
      <c r="L595" s="17">
        <v>6.3648063500096719E-2</v>
      </c>
      <c r="M595" s="63">
        <v>5</v>
      </c>
      <c r="N595" s="25">
        <v>2103955.6478202301</v>
      </c>
      <c r="O595" s="17">
        <v>7.1458647867745112E-2</v>
      </c>
      <c r="P595" s="63">
        <v>4</v>
      </c>
      <c r="Q595" s="25">
        <v>2050048.32726105</v>
      </c>
      <c r="R595" s="66">
        <v>7.9055024189537831E-2</v>
      </c>
      <c r="S595" s="77">
        <f t="shared" si="9"/>
        <v>7.1387245185793216E-2</v>
      </c>
      <c r="V595" s="80"/>
    </row>
    <row r="596" spans="1:22" x14ac:dyDescent="0.25">
      <c r="A596" s="18" t="s">
        <v>3060</v>
      </c>
      <c r="B596" s="18" t="s">
        <v>3057</v>
      </c>
      <c r="C596" s="18" t="s">
        <v>3059</v>
      </c>
      <c r="D596" t="s">
        <v>3058</v>
      </c>
      <c r="E596" s="13" t="s">
        <v>3061</v>
      </c>
      <c r="F596" s="9" t="s">
        <v>2736</v>
      </c>
      <c r="I596" t="s">
        <v>1055</v>
      </c>
      <c r="J596" s="63">
        <v>8</v>
      </c>
      <c r="K596" s="25">
        <v>6363757.2334482204</v>
      </c>
      <c r="L596" s="17">
        <v>7.1992379965892181E-2</v>
      </c>
      <c r="M596" s="63">
        <v>5</v>
      </c>
      <c r="N596" s="25">
        <v>7129518.3577894298</v>
      </c>
      <c r="O596" s="17">
        <v>7.3971681862426197E-2</v>
      </c>
      <c r="P596" s="63">
        <v>5</v>
      </c>
      <c r="Q596" s="25">
        <v>5311517.1715969499</v>
      </c>
      <c r="R596" s="66">
        <v>6.2570705877943375E-2</v>
      </c>
      <c r="S596" s="77">
        <f t="shared" si="9"/>
        <v>6.9511589235420598E-2</v>
      </c>
      <c r="V596" s="80"/>
    </row>
    <row r="597" spans="1:22" x14ac:dyDescent="0.25">
      <c r="A597" s="18" t="s">
        <v>3293</v>
      </c>
      <c r="B597" s="18" t="s">
        <v>3290</v>
      </c>
      <c r="C597" s="18" t="s">
        <v>3292</v>
      </c>
      <c r="D597" t="s">
        <v>3291</v>
      </c>
      <c r="E597" s="13" t="s">
        <v>3294</v>
      </c>
      <c r="F597" s="9" t="s">
        <v>2736</v>
      </c>
      <c r="I597" t="s">
        <v>17</v>
      </c>
      <c r="J597" s="63">
        <v>6</v>
      </c>
      <c r="K597" s="25">
        <v>5253325.9786002096</v>
      </c>
      <c r="L597" s="17">
        <v>6.9607862696802206E-2</v>
      </c>
      <c r="M597" s="63">
        <v>4</v>
      </c>
      <c r="N597" s="25">
        <v>4993361.1362147303</v>
      </c>
      <c r="O597" s="17">
        <v>6.0680520818440976E-2</v>
      </c>
      <c r="P597" s="63">
        <v>4</v>
      </c>
      <c r="Q597" s="25">
        <v>4923843.7395723499</v>
      </c>
      <c r="R597" s="66">
        <v>6.7937216292787969E-2</v>
      </c>
      <c r="S597" s="77">
        <f t="shared" si="9"/>
        <v>6.6075199936010395E-2</v>
      </c>
      <c r="V597" s="80"/>
    </row>
    <row r="598" spans="1:22" x14ac:dyDescent="0.25">
      <c r="A598" s="18" t="s">
        <v>3025</v>
      </c>
      <c r="B598" s="18" t="s">
        <v>3022</v>
      </c>
      <c r="C598" s="18" t="s">
        <v>3024</v>
      </c>
      <c r="D598" t="s">
        <v>3023</v>
      </c>
      <c r="E598" s="13" t="s">
        <v>3026</v>
      </c>
      <c r="F598" s="9" t="s">
        <v>2736</v>
      </c>
      <c r="I598" t="s">
        <v>2148</v>
      </c>
      <c r="J598" s="63">
        <v>12</v>
      </c>
      <c r="K598" s="25">
        <v>6785968.8514662301</v>
      </c>
      <c r="L598" s="17">
        <v>6.3367355407314696E-2</v>
      </c>
      <c r="M598" s="63">
        <v>13</v>
      </c>
      <c r="N598" s="25">
        <v>6383664.4549767002</v>
      </c>
      <c r="O598" s="17">
        <v>5.4670890269400502E-2</v>
      </c>
      <c r="P598" s="63">
        <v>14</v>
      </c>
      <c r="Q598" s="25">
        <v>6404602.7697978197</v>
      </c>
      <c r="R598" s="66">
        <v>6.2276680680535837E-2</v>
      </c>
      <c r="S598" s="77">
        <f t="shared" si="9"/>
        <v>6.0104975452417018E-2</v>
      </c>
      <c r="V598" s="80"/>
    </row>
    <row r="599" spans="1:22" x14ac:dyDescent="0.25">
      <c r="A599" s="18" t="s">
        <v>3302</v>
      </c>
      <c r="B599" s="18" t="s">
        <v>3299</v>
      </c>
      <c r="C599" s="18" t="s">
        <v>3301</v>
      </c>
      <c r="D599" t="s">
        <v>3300</v>
      </c>
      <c r="E599" s="13" t="s">
        <v>3249</v>
      </c>
      <c r="F599" s="9" t="s">
        <v>2736</v>
      </c>
      <c r="I599" t="s">
        <v>57</v>
      </c>
      <c r="J599" s="63">
        <v>8</v>
      </c>
      <c r="K599" s="25">
        <v>5231136.1491397498</v>
      </c>
      <c r="L599" s="17">
        <v>5.8567509900930327E-2</v>
      </c>
      <c r="M599" s="63">
        <v>7</v>
      </c>
      <c r="N599" s="25">
        <v>5806383.9575286498</v>
      </c>
      <c r="O599" s="17">
        <v>5.9620945835071527E-2</v>
      </c>
      <c r="P599" s="63">
        <v>7</v>
      </c>
      <c r="Q599" s="25">
        <v>5093532.2676005503</v>
      </c>
      <c r="R599" s="66">
        <v>5.9382617297355757E-2</v>
      </c>
      <c r="S599" s="77">
        <f t="shared" si="9"/>
        <v>5.9190357677785875E-2</v>
      </c>
      <c r="V599" s="80"/>
    </row>
    <row r="600" spans="1:22" x14ac:dyDescent="0.25">
      <c r="A600" s="18" t="s">
        <v>3227</v>
      </c>
      <c r="B600" s="18" t="s">
        <v>3224</v>
      </c>
      <c r="C600" s="18" t="s">
        <v>3226</v>
      </c>
      <c r="D600" t="s">
        <v>3225</v>
      </c>
      <c r="E600" s="13" t="s">
        <v>3228</v>
      </c>
      <c r="F600" s="9" t="s">
        <v>2736</v>
      </c>
      <c r="I600" t="s">
        <v>2148</v>
      </c>
      <c r="J600" s="63">
        <v>9</v>
      </c>
      <c r="K600" s="25">
        <v>6169144.1130587403</v>
      </c>
      <c r="L600" s="17">
        <v>6.2162455489354014E-2</v>
      </c>
      <c r="M600" s="63">
        <v>10</v>
      </c>
      <c r="N600" s="25">
        <v>5868994.8080314295</v>
      </c>
      <c r="O600" s="17">
        <v>5.4237460302987171E-2</v>
      </c>
      <c r="P600" s="63">
        <v>8</v>
      </c>
      <c r="Q600" s="25">
        <v>5589637.8974024802</v>
      </c>
      <c r="R600" s="66">
        <v>5.864978949544393E-2</v>
      </c>
      <c r="S600" s="77">
        <f t="shared" si="9"/>
        <v>5.8349901762595045E-2</v>
      </c>
      <c r="V600" s="80"/>
    </row>
    <row r="601" spans="1:22" x14ac:dyDescent="0.25">
      <c r="A601" s="18" t="s">
        <v>3464</v>
      </c>
      <c r="B601" s="18" t="s">
        <v>3461</v>
      </c>
      <c r="C601" s="18" t="s">
        <v>3463</v>
      </c>
      <c r="D601" t="s">
        <v>3462</v>
      </c>
      <c r="E601" s="13" t="s">
        <v>3430</v>
      </c>
      <c r="F601" s="9" t="s">
        <v>2736</v>
      </c>
      <c r="I601" t="s">
        <v>2148</v>
      </c>
      <c r="J601" s="63">
        <v>19</v>
      </c>
      <c r="K601" s="25">
        <v>8710626.0362680908</v>
      </c>
      <c r="L601" s="17">
        <v>5.6499500432555909E-2</v>
      </c>
      <c r="M601" s="63">
        <v>13</v>
      </c>
      <c r="N601" s="25">
        <v>8222983.9117113696</v>
      </c>
      <c r="O601" s="17">
        <v>4.8916689015689532E-2</v>
      </c>
      <c r="P601" s="63">
        <v>16</v>
      </c>
      <c r="Q601" s="25">
        <v>8894099.4329211507</v>
      </c>
      <c r="R601" s="66">
        <v>6.0072645288742899E-2</v>
      </c>
      <c r="S601" s="77">
        <f t="shared" si="9"/>
        <v>5.5162944912329447E-2</v>
      </c>
      <c r="V601" s="80"/>
    </row>
    <row r="602" spans="1:22" x14ac:dyDescent="0.25">
      <c r="A602" s="18" t="s">
        <v>3263</v>
      </c>
      <c r="B602" s="18" t="s">
        <v>3260</v>
      </c>
      <c r="C602" s="18" t="s">
        <v>3262</v>
      </c>
      <c r="D602" t="s">
        <v>3261</v>
      </c>
      <c r="E602" s="13" t="s">
        <v>3264</v>
      </c>
      <c r="F602" s="9" t="s">
        <v>2736</v>
      </c>
      <c r="I602" t="s">
        <v>2148</v>
      </c>
      <c r="J602" s="63">
        <v>17</v>
      </c>
      <c r="K602" s="25">
        <v>7412423.86099023</v>
      </c>
      <c r="L602" s="17">
        <v>5.5278444561309467E-2</v>
      </c>
      <c r="M602" s="63">
        <v>15</v>
      </c>
      <c r="N602" s="25">
        <v>7242784.4771687696</v>
      </c>
      <c r="O602" s="17">
        <v>4.9537433835429766E-2</v>
      </c>
      <c r="P602" s="63">
        <v>14</v>
      </c>
      <c r="Q602" s="25">
        <v>7432013.0151254302</v>
      </c>
      <c r="R602" s="66">
        <v>5.7714052166828372E-2</v>
      </c>
      <c r="S602" s="77">
        <f t="shared" si="9"/>
        <v>5.4176643521189199E-2</v>
      </c>
      <c r="V602" s="80"/>
    </row>
    <row r="603" spans="1:22" x14ac:dyDescent="0.25">
      <c r="A603" s="18" t="s">
        <v>3040</v>
      </c>
      <c r="B603" s="18" t="s">
        <v>3037</v>
      </c>
      <c r="C603" s="18" t="s">
        <v>3039</v>
      </c>
      <c r="D603" t="s">
        <v>3038</v>
      </c>
      <c r="E603" s="13" t="s">
        <v>3041</v>
      </c>
      <c r="F603" s="9" t="s">
        <v>2736</v>
      </c>
      <c r="I603" t="s">
        <v>17</v>
      </c>
      <c r="J603" s="63">
        <v>13</v>
      </c>
      <c r="K603" s="25">
        <v>4833984.5919025503</v>
      </c>
      <c r="L603" s="17">
        <v>5.5704350919268703E-2</v>
      </c>
      <c r="M603" s="63">
        <v>10</v>
      </c>
      <c r="N603" s="25">
        <v>5042441.3495610198</v>
      </c>
      <c r="O603" s="17">
        <v>5.3291394661544811E-2</v>
      </c>
      <c r="P603" s="63">
        <v>10</v>
      </c>
      <c r="Q603" s="25">
        <v>4284487.3323633997</v>
      </c>
      <c r="R603" s="66">
        <v>5.1411734574032121E-2</v>
      </c>
      <c r="S603" s="77">
        <f t="shared" si="9"/>
        <v>5.3469160051615207E-2</v>
      </c>
      <c r="V603" s="80"/>
    </row>
    <row r="604" spans="1:22" x14ac:dyDescent="0.25">
      <c r="A604" s="18" t="s">
        <v>3030</v>
      </c>
      <c r="B604" s="18" t="s">
        <v>3027</v>
      </c>
      <c r="C604" s="18" t="s">
        <v>3029</v>
      </c>
      <c r="D604" t="s">
        <v>3028</v>
      </c>
      <c r="E604" s="13" t="s">
        <v>3031</v>
      </c>
      <c r="F604" s="9" t="s">
        <v>2736</v>
      </c>
      <c r="I604" t="s">
        <v>57</v>
      </c>
      <c r="J604" s="63">
        <v>7</v>
      </c>
      <c r="K604" s="25">
        <v>3131179.8320203298</v>
      </c>
      <c r="L604" s="17">
        <v>4.7770674373464279E-2</v>
      </c>
      <c r="M604" s="63">
        <v>5</v>
      </c>
      <c r="N604" s="25">
        <v>4135973.0123720299</v>
      </c>
      <c r="O604" s="17">
        <v>5.7871325779314434E-2</v>
      </c>
      <c r="P604" s="63">
        <v>4</v>
      </c>
      <c r="Q604" s="25">
        <v>3300254.2772842101</v>
      </c>
      <c r="R604" s="66">
        <v>5.2430053524667501E-2</v>
      </c>
      <c r="S604" s="77">
        <f t="shared" si="9"/>
        <v>5.2690684559148743E-2</v>
      </c>
      <c r="V604" s="80"/>
    </row>
    <row r="605" spans="1:22" x14ac:dyDescent="0.25">
      <c r="A605" s="18" t="s">
        <v>3278</v>
      </c>
      <c r="B605" s="18" t="s">
        <v>3275</v>
      </c>
      <c r="C605" s="18" t="s">
        <v>3277</v>
      </c>
      <c r="D605" t="s">
        <v>3276</v>
      </c>
      <c r="E605" s="13" t="s">
        <v>3279</v>
      </c>
      <c r="F605" s="9" t="s">
        <v>2736</v>
      </c>
      <c r="G605" t="s">
        <v>2754</v>
      </c>
      <c r="I605" t="s">
        <v>17</v>
      </c>
      <c r="J605" s="63">
        <v>8</v>
      </c>
      <c r="K605" s="25">
        <v>5512679.4369528303</v>
      </c>
      <c r="L605" s="17">
        <v>5.1700228745030684E-2</v>
      </c>
      <c r="M605" s="63">
        <v>8</v>
      </c>
      <c r="N605" s="25">
        <v>6592920.96940595</v>
      </c>
      <c r="O605" s="17">
        <v>5.6707430577654983E-2</v>
      </c>
      <c r="P605" s="63">
        <v>7</v>
      </c>
      <c r="Q605" s="25">
        <v>4909653.8176713604</v>
      </c>
      <c r="R605" s="66">
        <v>4.7946855913266188E-2</v>
      </c>
      <c r="S605" s="77">
        <f t="shared" si="9"/>
        <v>5.2118171745317292E-2</v>
      </c>
      <c r="V605" s="80"/>
    </row>
    <row r="606" spans="1:22" x14ac:dyDescent="0.25">
      <c r="A606" s="18" t="s">
        <v>2788</v>
      </c>
      <c r="B606" s="18" t="s">
        <v>2785</v>
      </c>
      <c r="C606" s="18" t="s">
        <v>2787</v>
      </c>
      <c r="D606" t="s">
        <v>2786</v>
      </c>
      <c r="E606" s="13" t="s">
        <v>2789</v>
      </c>
      <c r="F606" s="9" t="s">
        <v>2736</v>
      </c>
      <c r="I606" t="s">
        <v>2287</v>
      </c>
      <c r="J606" s="63">
        <v>11</v>
      </c>
      <c r="K606" s="25">
        <v>6734218.0097271698</v>
      </c>
      <c r="L606" s="17">
        <v>5.3933872981079919E-2</v>
      </c>
      <c r="M606" s="63">
        <v>13</v>
      </c>
      <c r="N606" s="25">
        <v>6125856.6756445402</v>
      </c>
      <c r="O606" s="17">
        <v>4.4995972428836094E-2</v>
      </c>
      <c r="P606" s="63">
        <v>11</v>
      </c>
      <c r="Q606" s="25">
        <v>6453289.0949331</v>
      </c>
      <c r="R606" s="66">
        <v>5.3818934389883805E-2</v>
      </c>
      <c r="S606" s="77">
        <f t="shared" si="9"/>
        <v>5.0916259933266601E-2</v>
      </c>
      <c r="V606" s="80"/>
    </row>
    <row r="607" spans="1:22" x14ac:dyDescent="0.25">
      <c r="A607" s="18" t="s">
        <v>3487</v>
      </c>
      <c r="B607" s="18" t="s">
        <v>8159</v>
      </c>
      <c r="C607" s="18" t="s">
        <v>3486</v>
      </c>
      <c r="D607" t="s">
        <v>3485</v>
      </c>
      <c r="E607" s="13" t="s">
        <v>3488</v>
      </c>
      <c r="F607" s="9" t="s">
        <v>2736</v>
      </c>
      <c r="I607" t="s">
        <v>17</v>
      </c>
      <c r="J607" s="63">
        <v>7</v>
      </c>
      <c r="K607" s="25">
        <v>5452884.5510514798</v>
      </c>
      <c r="L607" s="17">
        <v>5.0809515212837254E-2</v>
      </c>
      <c r="M607" s="63">
        <v>5</v>
      </c>
      <c r="N607" s="25">
        <v>5471417.0530102504</v>
      </c>
      <c r="O607" s="17">
        <v>4.6757463372093411E-2</v>
      </c>
      <c r="P607" s="63">
        <v>6</v>
      </c>
      <c r="Q607" s="25">
        <v>5494001.8733994504</v>
      </c>
      <c r="R607" s="66">
        <v>5.3307349420109312E-2</v>
      </c>
      <c r="S607" s="77">
        <f t="shared" si="9"/>
        <v>5.0291442668346654E-2</v>
      </c>
      <c r="V607" s="80"/>
    </row>
    <row r="608" spans="1:22" x14ac:dyDescent="0.25">
      <c r="A608" s="18" t="s">
        <v>3130</v>
      </c>
      <c r="B608" s="18" t="s">
        <v>3127</v>
      </c>
      <c r="C608" s="18" t="s">
        <v>3129</v>
      </c>
      <c r="D608" t="s">
        <v>3128</v>
      </c>
      <c r="E608" s="13" t="s">
        <v>3131</v>
      </c>
      <c r="F608" s="9" t="s">
        <v>2736</v>
      </c>
      <c r="I608" t="s">
        <v>2287</v>
      </c>
      <c r="J608" s="63">
        <v>5</v>
      </c>
      <c r="K608" s="25">
        <v>1598570.7107297599</v>
      </c>
      <c r="L608" s="17">
        <v>4.4399589453719059E-2</v>
      </c>
      <c r="M608" s="63">
        <v>6</v>
      </c>
      <c r="N608" s="25">
        <v>1965265.0238045501</v>
      </c>
      <c r="O608" s="17">
        <v>5.0061124665938879E-2</v>
      </c>
      <c r="P608" s="63">
        <v>5</v>
      </c>
      <c r="Q608" s="25">
        <v>1530377.35901575</v>
      </c>
      <c r="R608" s="66">
        <v>4.4261402594987953E-2</v>
      </c>
      <c r="S608" s="77">
        <f t="shared" si="9"/>
        <v>4.6240705571548635E-2</v>
      </c>
      <c r="V608" s="80"/>
    </row>
    <row r="609" spans="1:22" x14ac:dyDescent="0.25">
      <c r="A609" s="18" t="s">
        <v>3253</v>
      </c>
      <c r="B609" s="18" t="s">
        <v>3250</v>
      </c>
      <c r="C609" s="18" t="s">
        <v>3252</v>
      </c>
      <c r="D609" t="s">
        <v>3251</v>
      </c>
      <c r="E609" s="13" t="s">
        <v>3254</v>
      </c>
      <c r="F609" s="9" t="s">
        <v>2736</v>
      </c>
      <c r="I609" t="s">
        <v>2148</v>
      </c>
      <c r="J609" s="63">
        <v>7</v>
      </c>
      <c r="K609" s="25">
        <v>4591739.0574621996</v>
      </c>
      <c r="L609" s="17">
        <v>4.7940306270022319E-2</v>
      </c>
      <c r="M609" s="63">
        <v>6</v>
      </c>
      <c r="N609" s="25">
        <v>4408923.6883819997</v>
      </c>
      <c r="O609" s="17">
        <v>4.2217115898177539E-2</v>
      </c>
      <c r="P609" s="63">
        <v>7</v>
      </c>
      <c r="Q609" s="25">
        <v>4132396.0040719798</v>
      </c>
      <c r="R609" s="66">
        <v>4.4926757433641197E-2</v>
      </c>
      <c r="S609" s="77">
        <f t="shared" si="9"/>
        <v>4.5028059867280347E-2</v>
      </c>
      <c r="V609" s="80"/>
    </row>
    <row r="610" spans="1:22" x14ac:dyDescent="0.25">
      <c r="A610" s="18" t="s">
        <v>3306</v>
      </c>
      <c r="B610" s="18" t="s">
        <v>3303</v>
      </c>
      <c r="C610" s="18" t="s">
        <v>3305</v>
      </c>
      <c r="D610" t="s">
        <v>3304</v>
      </c>
      <c r="E610" s="13" t="s">
        <v>3307</v>
      </c>
      <c r="F610" s="9" t="s">
        <v>2736</v>
      </c>
      <c r="I610" t="s">
        <v>2148</v>
      </c>
      <c r="J610" s="63">
        <v>15</v>
      </c>
      <c r="K610" s="25">
        <v>5187500.5498150503</v>
      </c>
      <c r="L610" s="17">
        <v>4.4685011283090381E-2</v>
      </c>
      <c r="M610" s="63">
        <v>10</v>
      </c>
      <c r="N610" s="25">
        <v>5000645.6584445499</v>
      </c>
      <c r="O610" s="17">
        <v>3.950591931100008E-2</v>
      </c>
      <c r="P610" s="63">
        <v>14</v>
      </c>
      <c r="Q610" s="25">
        <v>5467830.9298138097</v>
      </c>
      <c r="R610" s="66">
        <v>4.9045405639794995E-2</v>
      </c>
      <c r="S610" s="77">
        <f t="shared" si="9"/>
        <v>4.4412112077961828E-2</v>
      </c>
      <c r="V610" s="80"/>
    </row>
    <row r="611" spans="1:22" x14ac:dyDescent="0.25">
      <c r="A611" s="18" t="s">
        <v>3324</v>
      </c>
      <c r="B611" s="18" t="s">
        <v>3321</v>
      </c>
      <c r="C611" s="18" t="s">
        <v>3323</v>
      </c>
      <c r="D611" t="s">
        <v>3322</v>
      </c>
      <c r="E611" s="13" t="s">
        <v>3325</v>
      </c>
      <c r="F611" s="9" t="s">
        <v>2736</v>
      </c>
      <c r="I611" t="s">
        <v>2148</v>
      </c>
      <c r="J611" s="63">
        <v>6</v>
      </c>
      <c r="K611" s="25">
        <v>5157711.8864591103</v>
      </c>
      <c r="L611" s="17">
        <v>4.505542630206541E-2</v>
      </c>
      <c r="M611" s="63">
        <v>6</v>
      </c>
      <c r="N611" s="25">
        <v>5167403.2551884204</v>
      </c>
      <c r="O611" s="17">
        <v>4.1399467352174195E-2</v>
      </c>
      <c r="P611" s="63">
        <v>7</v>
      </c>
      <c r="Q611" s="25">
        <v>5092655.9960590396</v>
      </c>
      <c r="R611" s="66">
        <v>4.6324837337506995E-2</v>
      </c>
      <c r="S611" s="77">
        <f t="shared" si="9"/>
        <v>4.4259910330582207E-2</v>
      </c>
      <c r="V611" s="80"/>
    </row>
    <row r="612" spans="1:22" x14ac:dyDescent="0.25">
      <c r="A612" s="18" t="s">
        <v>2763</v>
      </c>
      <c r="B612" s="18" t="s">
        <v>2760</v>
      </c>
      <c r="C612" s="18" t="s">
        <v>2762</v>
      </c>
      <c r="D612" t="s">
        <v>2761</v>
      </c>
      <c r="E612" s="13" t="s">
        <v>2764</v>
      </c>
      <c r="F612" s="9" t="s">
        <v>2736</v>
      </c>
      <c r="I612" t="s">
        <v>1055</v>
      </c>
      <c r="J612" s="63">
        <v>11</v>
      </c>
      <c r="K612" s="25">
        <v>6526905.3414423596</v>
      </c>
      <c r="L612" s="17">
        <v>4.4395564564537762E-2</v>
      </c>
      <c r="M612" s="63">
        <v>7</v>
      </c>
      <c r="N612" s="25">
        <v>6303058.8147716597</v>
      </c>
      <c r="O612" s="17">
        <v>3.9320225769753268E-2</v>
      </c>
      <c r="P612" s="63">
        <v>7</v>
      </c>
      <c r="Q612" s="25">
        <v>6439084.8732260903</v>
      </c>
      <c r="R612" s="66">
        <v>4.5607467332875781E-2</v>
      </c>
      <c r="S612" s="77">
        <f t="shared" si="9"/>
        <v>4.3107752555722266E-2</v>
      </c>
      <c r="V612" s="80"/>
    </row>
    <row r="613" spans="1:22" x14ac:dyDescent="0.25">
      <c r="A613" s="18" t="s">
        <v>3169</v>
      </c>
      <c r="B613" s="18" t="s">
        <v>3166</v>
      </c>
      <c r="C613" s="18" t="s">
        <v>3168</v>
      </c>
      <c r="D613" t="s">
        <v>3167</v>
      </c>
      <c r="E613" s="13" t="s">
        <v>3170</v>
      </c>
      <c r="F613" s="9" t="s">
        <v>2736</v>
      </c>
      <c r="I613" t="s">
        <v>2148</v>
      </c>
      <c r="J613" s="63">
        <v>16</v>
      </c>
      <c r="K613" s="25">
        <v>9210824.5936009604</v>
      </c>
      <c r="L613" s="17">
        <v>4.4841507709424813E-2</v>
      </c>
      <c r="M613" s="63">
        <v>13</v>
      </c>
      <c r="N613" s="25">
        <v>8414255.3221460003</v>
      </c>
      <c r="O613" s="17">
        <v>3.7569010354710337E-2</v>
      </c>
      <c r="P613" s="63">
        <v>18</v>
      </c>
      <c r="Q613" s="25">
        <v>9133314.4516012594</v>
      </c>
      <c r="R613" s="66">
        <v>4.6300922303325567E-2</v>
      </c>
      <c r="S613" s="77">
        <f t="shared" si="9"/>
        <v>4.2903813455820249E-2</v>
      </c>
      <c r="V613" s="80"/>
    </row>
    <row r="614" spans="1:22" x14ac:dyDescent="0.25">
      <c r="A614" s="18" t="s">
        <v>3478</v>
      </c>
      <c r="B614" s="18" t="s">
        <v>3475</v>
      </c>
      <c r="C614" s="18" t="s">
        <v>3477</v>
      </c>
      <c r="D614" t="s">
        <v>3476</v>
      </c>
      <c r="E614" s="13" t="s">
        <v>3479</v>
      </c>
      <c r="F614" s="9" t="s">
        <v>2736</v>
      </c>
      <c r="I614" t="s">
        <v>2148</v>
      </c>
      <c r="J614" s="63">
        <v>4</v>
      </c>
      <c r="K614" s="25">
        <v>1162009.3775949201</v>
      </c>
      <c r="L614" s="17">
        <v>4.1609832142087314E-2</v>
      </c>
      <c r="M614" s="63">
        <v>3</v>
      </c>
      <c r="N614" s="25">
        <v>1358047.4707873</v>
      </c>
      <c r="O614" s="17">
        <v>4.4599876514719049E-2</v>
      </c>
      <c r="P614" s="63">
        <v>2</v>
      </c>
      <c r="Q614" s="25">
        <v>1124537.81600172</v>
      </c>
      <c r="R614" s="66">
        <v>4.1931455023070018E-2</v>
      </c>
      <c r="S614" s="77">
        <f t="shared" si="9"/>
        <v>4.2713721226625458E-2</v>
      </c>
      <c r="V614" s="80"/>
    </row>
    <row r="615" spans="1:22" x14ac:dyDescent="0.25">
      <c r="A615" s="18" t="s">
        <v>2843</v>
      </c>
      <c r="B615" s="18" t="s">
        <v>2840</v>
      </c>
      <c r="C615" s="18" t="s">
        <v>2842</v>
      </c>
      <c r="D615" t="s">
        <v>2841</v>
      </c>
      <c r="E615" s="13" t="s">
        <v>2844</v>
      </c>
      <c r="F615" s="9" t="s">
        <v>2736</v>
      </c>
      <c r="I615" t="s">
        <v>2148</v>
      </c>
      <c r="J615" s="63">
        <v>8</v>
      </c>
      <c r="K615" s="25">
        <v>5038145.6478608698</v>
      </c>
      <c r="L615" s="17">
        <v>3.9834728464856063E-2</v>
      </c>
      <c r="M615" s="63">
        <v>10</v>
      </c>
      <c r="N615" s="25">
        <v>5078091.8316887803</v>
      </c>
      <c r="O615" s="17">
        <v>3.6823415418037811E-2</v>
      </c>
      <c r="P615" s="63">
        <v>10</v>
      </c>
      <c r="Q615" s="25">
        <v>5175377.3443342801</v>
      </c>
      <c r="R615" s="66">
        <v>4.2610114416960644E-2</v>
      </c>
      <c r="S615" s="77">
        <f t="shared" si="9"/>
        <v>3.9756086099951508E-2</v>
      </c>
      <c r="V615" s="80"/>
    </row>
    <row r="616" spans="1:22" x14ac:dyDescent="0.25">
      <c r="A616" s="18" t="s">
        <v>2758</v>
      </c>
      <c r="B616" s="18" t="s">
        <v>2755</v>
      </c>
      <c r="C616" s="18" t="s">
        <v>2757</v>
      </c>
      <c r="D616" t="s">
        <v>2756</v>
      </c>
      <c r="E616" s="13" t="s">
        <v>2759</v>
      </c>
      <c r="F616" s="9" t="s">
        <v>2736</v>
      </c>
      <c r="I616" t="s">
        <v>2148</v>
      </c>
      <c r="J616" s="63">
        <v>3</v>
      </c>
      <c r="K616" s="25">
        <v>1796105.66512873</v>
      </c>
      <c r="L616" s="17">
        <v>3.2836377353792412E-2</v>
      </c>
      <c r="M616" s="63">
        <v>2</v>
      </c>
      <c r="N616" s="25">
        <v>2602360.88377279</v>
      </c>
      <c r="O616" s="17">
        <v>4.3633821628887903E-2</v>
      </c>
      <c r="P616" s="63">
        <v>2</v>
      </c>
      <c r="Q616" s="25">
        <v>2067218.4404759</v>
      </c>
      <c r="R616" s="66">
        <v>3.9354034584222361E-2</v>
      </c>
      <c r="S616" s="77">
        <f t="shared" si="9"/>
        <v>3.8608077855634228E-2</v>
      </c>
      <c r="V616" s="80"/>
    </row>
    <row r="617" spans="1:22" x14ac:dyDescent="0.25">
      <c r="A617" s="18" t="s">
        <v>3288</v>
      </c>
      <c r="B617" s="18" t="s">
        <v>3285</v>
      </c>
      <c r="C617" s="18" t="s">
        <v>3287</v>
      </c>
      <c r="D617" t="s">
        <v>3286</v>
      </c>
      <c r="E617" s="13" t="s">
        <v>3289</v>
      </c>
      <c r="F617" s="9" t="s">
        <v>2736</v>
      </c>
      <c r="I617" t="s">
        <v>2148</v>
      </c>
      <c r="J617" s="63">
        <v>3</v>
      </c>
      <c r="K617" s="25">
        <v>1614502.91895191</v>
      </c>
      <c r="L617" s="17">
        <v>3.8436085234757826E-2</v>
      </c>
      <c r="M617" s="63">
        <v>2</v>
      </c>
      <c r="N617" s="25">
        <v>1722951.7234916601</v>
      </c>
      <c r="O617" s="17">
        <v>3.7618874362647332E-2</v>
      </c>
      <c r="P617" s="63">
        <v>3</v>
      </c>
      <c r="Q617" s="25">
        <v>1584881.4679477301</v>
      </c>
      <c r="R617" s="66">
        <v>3.9289512282654593E-2</v>
      </c>
      <c r="S617" s="77">
        <f t="shared" si="9"/>
        <v>3.8448157293353248E-2</v>
      </c>
      <c r="V617" s="80"/>
    </row>
    <row r="618" spans="1:22" x14ac:dyDescent="0.25">
      <c r="A618" s="18" t="s">
        <v>2868</v>
      </c>
      <c r="B618" s="18" t="s">
        <v>2865</v>
      </c>
      <c r="C618" s="18" t="s">
        <v>2867</v>
      </c>
      <c r="D618" t="s">
        <v>2866</v>
      </c>
      <c r="E618" s="13" t="s">
        <v>2869</v>
      </c>
      <c r="F618" s="9" t="s">
        <v>2736</v>
      </c>
      <c r="I618" t="s">
        <v>2148</v>
      </c>
      <c r="J618" s="63">
        <v>2</v>
      </c>
      <c r="K618" s="25">
        <v>1357720.4088399899</v>
      </c>
      <c r="L618" s="17">
        <v>4.2939944652293165E-2</v>
      </c>
      <c r="M618" s="63">
        <v>1</v>
      </c>
      <c r="N618" s="25">
        <v>1117221.4866587201</v>
      </c>
      <c r="O618" s="17">
        <v>3.240580303055321E-2</v>
      </c>
      <c r="P618" s="63">
        <v>1</v>
      </c>
      <c r="Q618" s="25">
        <v>1148703.6326305401</v>
      </c>
      <c r="R618" s="66">
        <v>3.7830202484577843E-2</v>
      </c>
      <c r="S618" s="77">
        <f t="shared" si="9"/>
        <v>3.7725316722474742E-2</v>
      </c>
      <c r="V618" s="80"/>
    </row>
    <row r="619" spans="1:22" x14ac:dyDescent="0.25">
      <c r="A619" s="18" t="s">
        <v>3444</v>
      </c>
      <c r="B619" s="18" t="s">
        <v>3441</v>
      </c>
      <c r="C619" s="18" t="s">
        <v>3443</v>
      </c>
      <c r="D619" t="s">
        <v>3442</v>
      </c>
      <c r="E619" s="13" t="s">
        <v>3445</v>
      </c>
      <c r="F619" s="9" t="s">
        <v>2736</v>
      </c>
      <c r="I619" t="s">
        <v>2287</v>
      </c>
      <c r="J619" s="63">
        <v>23</v>
      </c>
      <c r="K619" s="25">
        <v>12988631.420617299</v>
      </c>
      <c r="L619" s="17">
        <v>4.0840013467900331E-2</v>
      </c>
      <c r="M619" s="63">
        <v>15</v>
      </c>
      <c r="N619" s="25">
        <v>8403760.6055082306</v>
      </c>
      <c r="O619" s="17">
        <v>2.4234191216283275E-2</v>
      </c>
      <c r="P619" s="63">
        <v>24</v>
      </c>
      <c r="Q619" s="25">
        <v>13424502.617684601</v>
      </c>
      <c r="R619" s="66">
        <v>4.3954184302421422E-2</v>
      </c>
      <c r="S619" s="77">
        <f t="shared" si="9"/>
        <v>3.6342796328868339E-2</v>
      </c>
      <c r="V619" s="80"/>
    </row>
    <row r="620" spans="1:22" x14ac:dyDescent="0.25">
      <c r="A620" s="18" t="s">
        <v>2828</v>
      </c>
      <c r="B620" s="18" t="s">
        <v>2825</v>
      </c>
      <c r="C620" s="18" t="s">
        <v>2827</v>
      </c>
      <c r="D620" t="s">
        <v>2826</v>
      </c>
      <c r="E620" s="13" t="s">
        <v>2829</v>
      </c>
      <c r="F620" s="9" t="s">
        <v>2736</v>
      </c>
      <c r="I620" t="s">
        <v>17</v>
      </c>
      <c r="J620" s="63">
        <v>14</v>
      </c>
      <c r="K620" s="25">
        <v>5429389.0253042299</v>
      </c>
      <c r="L620" s="17">
        <v>3.5059049840627687E-2</v>
      </c>
      <c r="M620" s="63">
        <v>11</v>
      </c>
      <c r="N620" s="25">
        <v>4980418.2059023203</v>
      </c>
      <c r="O620" s="17">
        <v>2.949492983563036E-2</v>
      </c>
      <c r="P620" s="63">
        <v>13</v>
      </c>
      <c r="Q620" s="25">
        <v>5935939.1423709597</v>
      </c>
      <c r="R620" s="66">
        <v>3.9913347946129794E-2</v>
      </c>
      <c r="S620" s="77">
        <f t="shared" si="9"/>
        <v>3.4822442540795945E-2</v>
      </c>
      <c r="V620" s="80"/>
    </row>
    <row r="621" spans="1:22" x14ac:dyDescent="0.25">
      <c r="A621" s="18" t="s">
        <v>3537</v>
      </c>
      <c r="B621" s="18" t="s">
        <v>3534</v>
      </c>
      <c r="C621" s="18" t="s">
        <v>3536</v>
      </c>
      <c r="D621" t="s">
        <v>3535</v>
      </c>
      <c r="E621" s="13" t="s">
        <v>3011</v>
      </c>
      <c r="F621" s="9" t="s">
        <v>2736</v>
      </c>
      <c r="I621" t="s">
        <v>1055</v>
      </c>
      <c r="J621" s="63">
        <v>4</v>
      </c>
      <c r="K621" s="25">
        <v>3291002.0202319701</v>
      </c>
      <c r="L621" s="17">
        <v>3.2780124082795056E-2</v>
      </c>
      <c r="M621" s="63">
        <v>6</v>
      </c>
      <c r="N621" s="25">
        <v>3558088.5206154198</v>
      </c>
      <c r="O621" s="17">
        <v>3.2503607661099783E-2</v>
      </c>
      <c r="P621" s="63">
        <v>4</v>
      </c>
      <c r="Q621" s="25">
        <v>3751099.6931956401</v>
      </c>
      <c r="R621" s="66">
        <v>3.8906358848981366E-2</v>
      </c>
      <c r="S621" s="77">
        <f t="shared" si="9"/>
        <v>3.4730030197625404E-2</v>
      </c>
      <c r="V621" s="80"/>
    </row>
    <row r="622" spans="1:22" x14ac:dyDescent="0.25">
      <c r="A622" s="18" t="s">
        <v>3222</v>
      </c>
      <c r="B622" s="18" t="s">
        <v>3219</v>
      </c>
      <c r="C622" s="18" t="s">
        <v>3221</v>
      </c>
      <c r="D622" t="s">
        <v>3220</v>
      </c>
      <c r="E622" s="13" t="s">
        <v>3223</v>
      </c>
      <c r="F622" s="9" t="s">
        <v>2736</v>
      </c>
      <c r="I622" t="s">
        <v>1055</v>
      </c>
      <c r="J622" s="63">
        <v>8</v>
      </c>
      <c r="K622" s="25">
        <v>3304482.9085530299</v>
      </c>
      <c r="L622" s="17">
        <v>3.2320009887796264E-2</v>
      </c>
      <c r="M622" s="63">
        <v>7</v>
      </c>
      <c r="N622" s="25">
        <v>3874100.9290231299</v>
      </c>
      <c r="O622" s="17">
        <v>3.475131797018445E-2</v>
      </c>
      <c r="P622" s="63">
        <v>7</v>
      </c>
      <c r="Q622" s="25">
        <v>3459988.2818925399</v>
      </c>
      <c r="R622" s="66">
        <v>3.5238883530328349E-2</v>
      </c>
      <c r="S622" s="77">
        <f t="shared" si="9"/>
        <v>3.4103403796103021E-2</v>
      </c>
      <c r="V622" s="80"/>
    </row>
    <row r="623" spans="1:22" x14ac:dyDescent="0.25">
      <c r="A623" s="18" t="s">
        <v>3207</v>
      </c>
      <c r="B623" s="18" t="s">
        <v>3204</v>
      </c>
      <c r="C623" s="18" t="s">
        <v>3206</v>
      </c>
      <c r="D623" t="s">
        <v>3205</v>
      </c>
      <c r="E623" s="13" t="s">
        <v>3208</v>
      </c>
      <c r="F623" s="9" t="s">
        <v>2736</v>
      </c>
      <c r="I623" t="s">
        <v>2127</v>
      </c>
      <c r="J623" s="63">
        <v>2</v>
      </c>
      <c r="K623" s="25">
        <v>939790.355326658</v>
      </c>
      <c r="L623" s="17">
        <v>2.8277446726679357E-2</v>
      </c>
      <c r="M623" s="63">
        <v>1</v>
      </c>
      <c r="N623" s="25">
        <v>1329490.5575391999</v>
      </c>
      <c r="O623" s="17">
        <v>3.6688236810340738E-2</v>
      </c>
      <c r="P623" s="63">
        <v>1</v>
      </c>
      <c r="Q623" s="25">
        <v>1021583.19290234</v>
      </c>
      <c r="R623" s="66">
        <v>3.200829092610534E-2</v>
      </c>
      <c r="S623" s="77">
        <f t="shared" si="9"/>
        <v>3.2324658154375144E-2</v>
      </c>
      <c r="V623" s="80"/>
    </row>
    <row r="624" spans="1:22" x14ac:dyDescent="0.25">
      <c r="A624" s="18" t="s">
        <v>3100</v>
      </c>
      <c r="B624" s="18" t="s">
        <v>3097</v>
      </c>
      <c r="C624" s="18" t="s">
        <v>3099</v>
      </c>
      <c r="D624" t="s">
        <v>3098</v>
      </c>
      <c r="E624" s="13" t="s">
        <v>3101</v>
      </c>
      <c r="F624" s="9" t="s">
        <v>2736</v>
      </c>
      <c r="I624" t="s">
        <v>2737</v>
      </c>
      <c r="J624" s="63">
        <v>4</v>
      </c>
      <c r="K624" s="25">
        <v>1888407.43764188</v>
      </c>
      <c r="L624" s="17">
        <v>3.4966450296245524E-2</v>
      </c>
      <c r="M624" s="63">
        <v>5</v>
      </c>
      <c r="N624" s="25">
        <v>1858217.2506088801</v>
      </c>
      <c r="O624" s="17">
        <v>3.1556200414823418E-2</v>
      </c>
      <c r="P624" s="63">
        <v>5</v>
      </c>
      <c r="Q624" s="25">
        <v>1442029.3778454999</v>
      </c>
      <c r="R624" s="66">
        <v>2.7804141451608758E-2</v>
      </c>
      <c r="S624" s="77">
        <f t="shared" si="9"/>
        <v>3.1442264054225899E-2</v>
      </c>
      <c r="V624" s="80"/>
    </row>
    <row r="625" spans="1:22" x14ac:dyDescent="0.25">
      <c r="A625" s="18" t="s">
        <v>2873</v>
      </c>
      <c r="B625" s="18" t="s">
        <v>2870</v>
      </c>
      <c r="C625" s="18" t="s">
        <v>2872</v>
      </c>
      <c r="D625" t="s">
        <v>2871</v>
      </c>
      <c r="E625" s="13" t="s">
        <v>2874</v>
      </c>
      <c r="F625" s="9" t="s">
        <v>2736</v>
      </c>
      <c r="I625" t="s">
        <v>2148</v>
      </c>
      <c r="J625" s="63">
        <v>2</v>
      </c>
      <c r="K625" s="25">
        <v>747799.59391844703</v>
      </c>
      <c r="L625" s="17">
        <v>2.6558105730663518E-2</v>
      </c>
      <c r="M625" s="63">
        <v>1</v>
      </c>
      <c r="N625" s="25">
        <v>1147145.2017486901</v>
      </c>
      <c r="O625" s="17">
        <v>3.7364797916403437E-2</v>
      </c>
      <c r="P625" s="63">
        <v>2</v>
      </c>
      <c r="Q625" s="25">
        <v>777004.35621749202</v>
      </c>
      <c r="R625" s="66">
        <v>2.8735242166143562E-2</v>
      </c>
      <c r="S625" s="77">
        <f t="shared" si="9"/>
        <v>3.0886048604403509E-2</v>
      </c>
      <c r="V625" s="80"/>
    </row>
    <row r="626" spans="1:22" x14ac:dyDescent="0.25">
      <c r="A626" s="18" t="s">
        <v>2942</v>
      </c>
      <c r="B626" s="18" t="s">
        <v>2939</v>
      </c>
      <c r="C626" s="18" t="s">
        <v>2941</v>
      </c>
      <c r="D626" t="s">
        <v>2940</v>
      </c>
      <c r="E626" s="13" t="s">
        <v>2943</v>
      </c>
      <c r="F626" s="9" t="s">
        <v>2736</v>
      </c>
      <c r="I626" t="s">
        <v>2148</v>
      </c>
      <c r="J626" s="63">
        <v>4</v>
      </c>
      <c r="K626" s="25">
        <v>3497362.0485157799</v>
      </c>
      <c r="L626" s="17">
        <v>3.0613084855563667E-2</v>
      </c>
      <c r="M626" s="63">
        <v>5</v>
      </c>
      <c r="N626" s="25">
        <v>3562364.4189366498</v>
      </c>
      <c r="O626" s="17">
        <v>2.8598102670345842E-2</v>
      </c>
      <c r="P626" s="63">
        <v>1</v>
      </c>
      <c r="Q626" s="25">
        <v>3587592.6254763799</v>
      </c>
      <c r="R626" s="66">
        <v>3.2700106132142373E-2</v>
      </c>
      <c r="S626" s="77">
        <f t="shared" si="9"/>
        <v>3.0637097886017293E-2</v>
      </c>
      <c r="V626" s="80"/>
    </row>
    <row r="627" spans="1:22" x14ac:dyDescent="0.25">
      <c r="A627" s="18" t="s">
        <v>3339</v>
      </c>
      <c r="B627" s="18" t="s">
        <v>3336</v>
      </c>
      <c r="C627" s="18" t="s">
        <v>3338</v>
      </c>
      <c r="D627" t="s">
        <v>3337</v>
      </c>
      <c r="E627" s="13" t="s">
        <v>3340</v>
      </c>
      <c r="F627" s="9" t="s">
        <v>2736</v>
      </c>
      <c r="G627" t="s">
        <v>3341</v>
      </c>
      <c r="I627" t="s">
        <v>2127</v>
      </c>
      <c r="J627" s="63">
        <v>13</v>
      </c>
      <c r="K627" s="25">
        <v>5381743.81903979</v>
      </c>
      <c r="L627" s="17">
        <v>3.12157748855376E-2</v>
      </c>
      <c r="M627" s="63">
        <v>12</v>
      </c>
      <c r="N627" s="25">
        <v>5313933.23751212</v>
      </c>
      <c r="O627" s="17">
        <v>2.8268291918247618E-2</v>
      </c>
      <c r="P627" s="63">
        <v>10</v>
      </c>
      <c r="Q627" s="25">
        <v>5163465.0689196903</v>
      </c>
      <c r="R627" s="66">
        <v>3.1186876470138257E-2</v>
      </c>
      <c r="S627" s="77">
        <f t="shared" si="9"/>
        <v>3.0223647757974492E-2</v>
      </c>
      <c r="V627" s="80"/>
    </row>
    <row r="628" spans="1:22" x14ac:dyDescent="0.25">
      <c r="A628" s="18" t="s">
        <v>3085</v>
      </c>
      <c r="B628" s="18" t="s">
        <v>3082</v>
      </c>
      <c r="C628" s="18" t="s">
        <v>3084</v>
      </c>
      <c r="D628" t="s">
        <v>3083</v>
      </c>
      <c r="E628" s="13" t="s">
        <v>3086</v>
      </c>
      <c r="F628" s="9" t="s">
        <v>2736</v>
      </c>
      <c r="I628" t="s">
        <v>2148</v>
      </c>
      <c r="J628" s="63">
        <v>8</v>
      </c>
      <c r="K628" s="25">
        <v>4169628.3626043899</v>
      </c>
      <c r="L628" s="17">
        <v>3.1584428326835771E-2</v>
      </c>
      <c r="M628" s="63">
        <v>10</v>
      </c>
      <c r="N628" s="25">
        <v>4086086.3422779501</v>
      </c>
      <c r="O628" s="17">
        <v>2.8386744322781664E-2</v>
      </c>
      <c r="P628" s="63">
        <v>9</v>
      </c>
      <c r="Q628" s="25">
        <v>3882083.4660620699</v>
      </c>
      <c r="R628" s="66">
        <v>3.0621049980633294E-2</v>
      </c>
      <c r="S628" s="77">
        <f t="shared" si="9"/>
        <v>3.0197407543416908E-2</v>
      </c>
      <c r="V628" s="80"/>
    </row>
    <row r="629" spans="1:22" x14ac:dyDescent="0.25">
      <c r="A629" s="18" t="s">
        <v>3055</v>
      </c>
      <c r="B629" s="18" t="s">
        <v>3052</v>
      </c>
      <c r="C629" s="18" t="s">
        <v>3054</v>
      </c>
      <c r="D629" t="s">
        <v>3053</v>
      </c>
      <c r="E629" s="13" t="s">
        <v>3056</v>
      </c>
      <c r="F629" s="9" t="s">
        <v>2736</v>
      </c>
      <c r="I629" t="s">
        <v>2148</v>
      </c>
      <c r="J629" s="63">
        <v>6</v>
      </c>
      <c r="K629" s="25">
        <v>4531406.4277707497</v>
      </c>
      <c r="L629" s="17">
        <v>3.0299098831978042E-2</v>
      </c>
      <c r="M629" s="63">
        <v>7</v>
      </c>
      <c r="N629" s="25">
        <v>4600210.5478715999</v>
      </c>
      <c r="O629" s="17">
        <v>2.8210239879841236E-2</v>
      </c>
      <c r="P629" s="63">
        <v>6</v>
      </c>
      <c r="Q629" s="25">
        <v>4543161.6166862901</v>
      </c>
      <c r="R629" s="66">
        <v>3.1632565732077421E-2</v>
      </c>
      <c r="S629" s="77">
        <f t="shared" si="9"/>
        <v>3.0047301481298899E-2</v>
      </c>
      <c r="V629" s="80"/>
    </row>
    <row r="630" spans="1:22" x14ac:dyDescent="0.25">
      <c r="A630" s="18" t="s">
        <v>3449</v>
      </c>
      <c r="B630" s="18" t="s">
        <v>3446</v>
      </c>
      <c r="C630" s="18" t="s">
        <v>3448</v>
      </c>
      <c r="D630" t="s">
        <v>3447</v>
      </c>
      <c r="E630" s="13" t="s">
        <v>3450</v>
      </c>
      <c r="F630" s="9" t="s">
        <v>2736</v>
      </c>
      <c r="I630" t="s">
        <v>2148</v>
      </c>
      <c r="J630" s="63">
        <v>3</v>
      </c>
      <c r="K630" s="25">
        <v>727718.73467354302</v>
      </c>
      <c r="L630" s="17">
        <v>2.5224655515603694E-2</v>
      </c>
      <c r="M630" s="63">
        <v>2</v>
      </c>
      <c r="N630" s="25">
        <v>1044673.36356382</v>
      </c>
      <c r="O630" s="17">
        <v>3.3210436517800798E-2</v>
      </c>
      <c r="P630" s="63">
        <v>3</v>
      </c>
      <c r="Q630" s="25">
        <v>848397.244705074</v>
      </c>
      <c r="R630" s="66">
        <v>3.0622488127102075E-2</v>
      </c>
      <c r="S630" s="77">
        <f t="shared" si="9"/>
        <v>2.9685860053502194E-2</v>
      </c>
      <c r="V630" s="80"/>
    </row>
    <row r="631" spans="1:22" x14ac:dyDescent="0.25">
      <c r="A631" s="18" t="s">
        <v>2823</v>
      </c>
      <c r="B631" s="18" t="s">
        <v>8153</v>
      </c>
      <c r="C631" s="18" t="s">
        <v>2822</v>
      </c>
      <c r="D631" t="s">
        <v>2821</v>
      </c>
      <c r="E631" s="13" t="s">
        <v>2824</v>
      </c>
      <c r="F631" s="9" t="s">
        <v>2736</v>
      </c>
      <c r="I631" t="s">
        <v>1055</v>
      </c>
      <c r="J631" s="63">
        <v>6</v>
      </c>
      <c r="K631" s="25">
        <v>1904706.7677037399</v>
      </c>
      <c r="L631" s="17">
        <v>2.8070651714206734E-2</v>
      </c>
      <c r="M631" s="63">
        <v>4</v>
      </c>
      <c r="N631" s="25">
        <v>2058077.32093643</v>
      </c>
      <c r="O631" s="17">
        <v>2.7817521480610785E-2</v>
      </c>
      <c r="P631" s="63">
        <v>4</v>
      </c>
      <c r="Q631" s="25">
        <v>2107045.8205183102</v>
      </c>
      <c r="R631" s="66">
        <v>3.2335373974247017E-2</v>
      </c>
      <c r="S631" s="77">
        <f t="shared" si="9"/>
        <v>2.9407849056354848E-2</v>
      </c>
      <c r="V631" s="80"/>
    </row>
    <row r="632" spans="1:22" x14ac:dyDescent="0.25">
      <c r="A632" s="18" t="s">
        <v>2738</v>
      </c>
      <c r="B632" s="18" t="s">
        <v>8149</v>
      </c>
      <c r="C632" s="18" t="s">
        <v>2740</v>
      </c>
      <c r="D632" t="s">
        <v>2739</v>
      </c>
      <c r="E632" s="13" t="s">
        <v>2741</v>
      </c>
      <c r="F632" s="9" t="s">
        <v>2736</v>
      </c>
      <c r="I632" t="s">
        <v>1055</v>
      </c>
      <c r="J632" s="63">
        <v>23</v>
      </c>
      <c r="K632" s="25">
        <v>6218182.0533487899</v>
      </c>
      <c r="L632" s="17">
        <v>2.92533430450286E-2</v>
      </c>
      <c r="M632" s="63">
        <v>14</v>
      </c>
      <c r="N632" s="25">
        <v>5030418.0095387297</v>
      </c>
      <c r="O632" s="17">
        <v>2.1704436760559019E-2</v>
      </c>
      <c r="P632" s="63">
        <v>14</v>
      </c>
      <c r="Q632" s="25">
        <v>6634210.3001268599</v>
      </c>
      <c r="R632" s="66">
        <v>3.2499811538880319E-2</v>
      </c>
      <c r="S632" s="77">
        <f t="shared" si="9"/>
        <v>2.7819197114822645E-2</v>
      </c>
      <c r="V632" s="80"/>
    </row>
    <row r="633" spans="1:22" x14ac:dyDescent="0.25">
      <c r="A633" s="18" t="s">
        <v>3350</v>
      </c>
      <c r="B633" s="18" t="s">
        <v>3347</v>
      </c>
      <c r="C633" s="18" t="s">
        <v>3349</v>
      </c>
      <c r="D633" t="s">
        <v>3348</v>
      </c>
      <c r="E633" s="13" t="s">
        <v>3351</v>
      </c>
      <c r="F633" s="9" t="s">
        <v>2736</v>
      </c>
      <c r="I633" t="s">
        <v>1055</v>
      </c>
      <c r="J633" s="63">
        <v>10</v>
      </c>
      <c r="K633" s="25">
        <v>4006152.8291141498</v>
      </c>
      <c r="L633" s="17">
        <v>2.7164289863999262E-2</v>
      </c>
      <c r="M633" s="63">
        <v>13</v>
      </c>
      <c r="N633" s="25">
        <v>4385951.5491804201</v>
      </c>
      <c r="O633" s="17">
        <v>2.7275143688010726E-2</v>
      </c>
      <c r="P633" s="63">
        <v>11</v>
      </c>
      <c r="Q633" s="25">
        <v>3992550.23161826</v>
      </c>
      <c r="R633" s="66">
        <v>2.819036955687448E-2</v>
      </c>
      <c r="S633" s="77">
        <f t="shared" si="9"/>
        <v>2.7543267702961491E-2</v>
      </c>
      <c r="V633" s="80"/>
    </row>
    <row r="634" spans="1:22" x14ac:dyDescent="0.25">
      <c r="A634" s="18" t="s">
        <v>3316</v>
      </c>
      <c r="B634" s="18" t="s">
        <v>3313</v>
      </c>
      <c r="C634" s="18" t="s">
        <v>3315</v>
      </c>
      <c r="D634" t="s">
        <v>3314</v>
      </c>
      <c r="E634" s="13" t="s">
        <v>3317</v>
      </c>
      <c r="F634" s="9" t="s">
        <v>2736</v>
      </c>
      <c r="I634" t="s">
        <v>2287</v>
      </c>
      <c r="J634" s="63">
        <v>2</v>
      </c>
      <c r="K634" s="25">
        <v>663152.43798859301</v>
      </c>
      <c r="L634" s="17">
        <v>2.3551861630950632E-2</v>
      </c>
      <c r="M634" s="63">
        <v>1</v>
      </c>
      <c r="N634" s="25">
        <v>867186.02296141605</v>
      </c>
      <c r="O634" s="17">
        <v>2.8245971350871341E-2</v>
      </c>
      <c r="P634" s="63">
        <v>2</v>
      </c>
      <c r="Q634" s="25">
        <v>803936.20371234801</v>
      </c>
      <c r="R634" s="66">
        <v>2.9731238074729851E-2</v>
      </c>
      <c r="S634" s="77">
        <f t="shared" si="9"/>
        <v>2.717635701885061E-2</v>
      </c>
      <c r="V634" s="80"/>
    </row>
    <row r="635" spans="1:22" x14ac:dyDescent="0.25">
      <c r="A635" s="18" t="s">
        <v>2991</v>
      </c>
      <c r="B635" s="18" t="s">
        <v>2988</v>
      </c>
      <c r="C635" s="18" t="s">
        <v>2990</v>
      </c>
      <c r="D635" t="s">
        <v>2989</v>
      </c>
      <c r="E635" s="13" t="s">
        <v>2992</v>
      </c>
      <c r="F635" s="9" t="s">
        <v>2736</v>
      </c>
      <c r="I635" t="s">
        <v>2148</v>
      </c>
      <c r="J635" s="63">
        <v>8</v>
      </c>
      <c r="K635" s="25">
        <v>3578038.2505732002</v>
      </c>
      <c r="L635" s="17">
        <v>2.6143395132478028E-2</v>
      </c>
      <c r="M635" s="63">
        <v>5</v>
      </c>
      <c r="N635" s="25">
        <v>3740202.3900057301</v>
      </c>
      <c r="O635" s="17">
        <v>2.5063659714834485E-2</v>
      </c>
      <c r="P635" s="63">
        <v>10</v>
      </c>
      <c r="Q635" s="25">
        <v>3803454.8071813998</v>
      </c>
      <c r="R635" s="66">
        <v>2.8938419331043169E-2</v>
      </c>
      <c r="S635" s="77">
        <f t="shared" si="9"/>
        <v>2.6715158059451894E-2</v>
      </c>
      <c r="V635" s="80"/>
    </row>
    <row r="636" spans="1:22" x14ac:dyDescent="0.25">
      <c r="A636" s="18" t="s">
        <v>3095</v>
      </c>
      <c r="B636" s="18" t="s">
        <v>3092</v>
      </c>
      <c r="C636" s="18" t="s">
        <v>3094</v>
      </c>
      <c r="D636" t="s">
        <v>3093</v>
      </c>
      <c r="E636" s="13" t="s">
        <v>3096</v>
      </c>
      <c r="F636" s="9" t="s">
        <v>2736</v>
      </c>
      <c r="I636" t="s">
        <v>17</v>
      </c>
      <c r="J636" s="63">
        <v>11</v>
      </c>
      <c r="K636" s="25">
        <v>3781508.4761017901</v>
      </c>
      <c r="L636" s="17">
        <v>2.7037352005758082E-2</v>
      </c>
      <c r="M636" s="63">
        <v>8</v>
      </c>
      <c r="N636" s="25">
        <v>3537923.1294904202</v>
      </c>
      <c r="O636" s="17">
        <v>2.3199565111249536E-2</v>
      </c>
      <c r="P636" s="63">
        <v>8</v>
      </c>
      <c r="Q636" s="25">
        <v>3954692.54798852</v>
      </c>
      <c r="R636" s="66">
        <v>2.9443629207540078E-2</v>
      </c>
      <c r="S636" s="77">
        <f t="shared" si="9"/>
        <v>2.6560182108182565E-2</v>
      </c>
      <c r="V636" s="80"/>
    </row>
    <row r="637" spans="1:22" x14ac:dyDescent="0.25">
      <c r="A637" s="18" t="s">
        <v>3005</v>
      </c>
      <c r="B637" s="18" t="s">
        <v>8155</v>
      </c>
      <c r="C637" s="18" t="s">
        <v>3004</v>
      </c>
      <c r="D637" t="s">
        <v>3003</v>
      </c>
      <c r="E637" s="13" t="s">
        <v>3006</v>
      </c>
      <c r="F637" s="9" t="s">
        <v>2736</v>
      </c>
      <c r="I637" t="s">
        <v>3007</v>
      </c>
      <c r="J637" s="63">
        <v>1</v>
      </c>
      <c r="K637" s="25">
        <v>1405813.17797751</v>
      </c>
      <c r="L637" s="17">
        <v>2.9144259497618764E-2</v>
      </c>
      <c r="M637" s="63">
        <v>2</v>
      </c>
      <c r="N637" s="25">
        <v>1268101.49502714</v>
      </c>
      <c r="O637" s="17">
        <v>2.4110810182391307E-2</v>
      </c>
      <c r="P637" s="63">
        <v>1</v>
      </c>
      <c r="Q637" s="25">
        <v>1186614.92426853</v>
      </c>
      <c r="R637" s="66">
        <v>2.5616203142828843E-2</v>
      </c>
      <c r="S637" s="77">
        <f t="shared" si="9"/>
        <v>2.6290424274279637E-2</v>
      </c>
      <c r="V637" s="80"/>
    </row>
    <row r="638" spans="1:22" x14ac:dyDescent="0.25">
      <c r="A638" s="18" t="s">
        <v>3198</v>
      </c>
      <c r="B638" s="18" t="s">
        <v>3195</v>
      </c>
      <c r="C638" s="18" t="s">
        <v>3197</v>
      </c>
      <c r="D638" t="s">
        <v>3196</v>
      </c>
      <c r="E638" s="13" t="s">
        <v>2834</v>
      </c>
      <c r="F638" s="9" t="s">
        <v>2736</v>
      </c>
      <c r="I638" t="s">
        <v>2148</v>
      </c>
      <c r="J638" s="63">
        <v>8</v>
      </c>
      <c r="K638" s="25">
        <v>3041807.6821555099</v>
      </c>
      <c r="L638" s="17">
        <v>2.8161617829054252E-2</v>
      </c>
      <c r="M638" s="63">
        <v>8</v>
      </c>
      <c r="N638" s="25">
        <v>2610842.3773579202</v>
      </c>
      <c r="O638" s="17">
        <v>2.2168631058727066E-2</v>
      </c>
      <c r="P638" s="63">
        <v>8</v>
      </c>
      <c r="Q638" s="25">
        <v>2713822.6241724701</v>
      </c>
      <c r="R638" s="66">
        <v>2.6162958007763828E-2</v>
      </c>
      <c r="S638" s="77">
        <f t="shared" si="9"/>
        <v>2.5497735631848383E-2</v>
      </c>
      <c r="V638" s="80"/>
    </row>
    <row r="639" spans="1:22" x14ac:dyDescent="0.25">
      <c r="A639" s="18" t="s">
        <v>2848</v>
      </c>
      <c r="B639" s="18" t="s">
        <v>2845</v>
      </c>
      <c r="C639" s="18" t="s">
        <v>2847</v>
      </c>
      <c r="D639" t="s">
        <v>2846</v>
      </c>
      <c r="E639" s="13" t="s">
        <v>2849</v>
      </c>
      <c r="F639" s="9" t="s">
        <v>2736</v>
      </c>
      <c r="I639" t="s">
        <v>2148</v>
      </c>
      <c r="J639" s="63">
        <v>6</v>
      </c>
      <c r="K639" s="25">
        <v>1916707.52782202</v>
      </c>
      <c r="L639" s="17">
        <v>2.965988879861621E-2</v>
      </c>
      <c r="M639" s="63">
        <v>4</v>
      </c>
      <c r="N639" s="25">
        <v>1566509.5219252</v>
      </c>
      <c r="O639" s="17">
        <v>2.2232028128420185E-2</v>
      </c>
      <c r="P639" s="63">
        <v>3</v>
      </c>
      <c r="Q639" s="25">
        <v>1379021.8530522401</v>
      </c>
      <c r="R639" s="66">
        <v>2.2221038692191795E-2</v>
      </c>
      <c r="S639" s="77">
        <f t="shared" si="9"/>
        <v>2.4704318539742729E-2</v>
      </c>
      <c r="V639" s="80"/>
    </row>
    <row r="640" spans="1:22" x14ac:dyDescent="0.25">
      <c r="A640" s="18" t="s">
        <v>3419</v>
      </c>
      <c r="B640" s="18" t="s">
        <v>3416</v>
      </c>
      <c r="C640" s="18" t="s">
        <v>3418</v>
      </c>
      <c r="D640" t="s">
        <v>3417</v>
      </c>
      <c r="E640" s="13" t="s">
        <v>3420</v>
      </c>
      <c r="F640" s="9" t="s">
        <v>2736</v>
      </c>
      <c r="I640" t="s">
        <v>1055</v>
      </c>
      <c r="J640" s="63">
        <v>4</v>
      </c>
      <c r="K640" s="25">
        <v>1173717.11493858</v>
      </c>
      <c r="L640" s="17">
        <v>2.2907735724365105E-2</v>
      </c>
      <c r="M640" s="63">
        <v>4</v>
      </c>
      <c r="N640" s="25">
        <v>1500144.83594105</v>
      </c>
      <c r="O640" s="17">
        <v>2.6852473237374688E-2</v>
      </c>
      <c r="P640" s="63">
        <v>3</v>
      </c>
      <c r="Q640" s="25">
        <v>1103786.06685473</v>
      </c>
      <c r="R640" s="66">
        <v>2.2432783848949638E-2</v>
      </c>
      <c r="S640" s="77">
        <f t="shared" si="9"/>
        <v>2.4064330936896475E-2</v>
      </c>
      <c r="V640" s="80"/>
    </row>
    <row r="641" spans="1:22" x14ac:dyDescent="0.25">
      <c r="A641" s="18" t="s">
        <v>3217</v>
      </c>
      <c r="B641" s="18" t="s">
        <v>3214</v>
      </c>
      <c r="C641" s="18" t="s">
        <v>3216</v>
      </c>
      <c r="D641" t="s">
        <v>3215</v>
      </c>
      <c r="E641" s="13" t="s">
        <v>3218</v>
      </c>
      <c r="F641" s="9" t="s">
        <v>2736</v>
      </c>
      <c r="I641" t="s">
        <v>2148</v>
      </c>
      <c r="J641" s="63">
        <v>4</v>
      </c>
      <c r="K641" s="25">
        <v>1032476.85118706</v>
      </c>
      <c r="L641" s="17">
        <v>2.2367736030865146E-2</v>
      </c>
      <c r="M641" s="63">
        <v>2</v>
      </c>
      <c r="N641" s="25">
        <v>1416518.0559841001</v>
      </c>
      <c r="O641" s="17">
        <v>2.8144672186154903E-2</v>
      </c>
      <c r="P641" s="63">
        <v>3</v>
      </c>
      <c r="Q641" s="25">
        <v>901469.36671682098</v>
      </c>
      <c r="R641" s="66">
        <v>2.0336312935596273E-2</v>
      </c>
      <c r="S641" s="77">
        <f t="shared" si="9"/>
        <v>2.3616240384205442E-2</v>
      </c>
      <c r="V641" s="80"/>
    </row>
    <row r="642" spans="1:22" x14ac:dyDescent="0.25">
      <c r="A642" s="18" t="s">
        <v>2833</v>
      </c>
      <c r="B642" s="18" t="s">
        <v>2830</v>
      </c>
      <c r="C642" s="18" t="s">
        <v>2832</v>
      </c>
      <c r="D642" t="s">
        <v>2831</v>
      </c>
      <c r="E642" s="13" t="s">
        <v>2834</v>
      </c>
      <c r="F642" s="9" t="s">
        <v>2736</v>
      </c>
      <c r="I642" t="s">
        <v>2148</v>
      </c>
      <c r="J642" s="63">
        <v>8</v>
      </c>
      <c r="K642" s="25">
        <v>2632751.5684095598</v>
      </c>
      <c r="L642" s="17">
        <v>2.5750036867452777E-2</v>
      </c>
      <c r="M642" s="63">
        <v>6</v>
      </c>
      <c r="N642" s="25">
        <v>2443718.06097575</v>
      </c>
      <c r="O642" s="17">
        <v>2.1920550063692961E-2</v>
      </c>
      <c r="P642" s="63">
        <v>6</v>
      </c>
      <c r="Q642" s="25">
        <v>2103438.8045604802</v>
      </c>
      <c r="R642" s="66">
        <v>2.142285724925529E-2</v>
      </c>
      <c r="S642" s="77">
        <f t="shared" si="9"/>
        <v>2.3031148060133677E-2</v>
      </c>
      <c r="V642" s="80"/>
    </row>
    <row r="643" spans="1:22" x14ac:dyDescent="0.25">
      <c r="A643" s="18" t="s">
        <v>3193</v>
      </c>
      <c r="B643" s="18" t="s">
        <v>3190</v>
      </c>
      <c r="C643" s="18" t="s">
        <v>3192</v>
      </c>
      <c r="D643" t="s">
        <v>3191</v>
      </c>
      <c r="E643" s="13" t="s">
        <v>3194</v>
      </c>
      <c r="F643" s="9" t="s">
        <v>2736</v>
      </c>
      <c r="J643" s="63">
        <v>8</v>
      </c>
      <c r="K643" s="25">
        <v>3323549.96715069</v>
      </c>
      <c r="L643" s="17">
        <v>2.3453385527042993E-2</v>
      </c>
      <c r="M643" s="63">
        <v>4</v>
      </c>
      <c r="N643" s="25">
        <v>2945629.2474887101</v>
      </c>
      <c r="O643" s="17">
        <v>1.9063989394402528E-2</v>
      </c>
      <c r="P643" s="63">
        <v>7</v>
      </c>
      <c r="Q643" s="25">
        <v>3042652.9356591199</v>
      </c>
      <c r="R643" s="66">
        <v>2.2358120073142231E-2</v>
      </c>
      <c r="S643" s="77">
        <f t="shared" si="9"/>
        <v>2.1625164998195917E-2</v>
      </c>
      <c r="V643" s="80"/>
    </row>
    <row r="644" spans="1:22" x14ac:dyDescent="0.25">
      <c r="A644" s="18" t="s">
        <v>3202</v>
      </c>
      <c r="B644" s="18" t="s">
        <v>3199</v>
      </c>
      <c r="C644" s="18" t="s">
        <v>3201</v>
      </c>
      <c r="D644" t="s">
        <v>3200</v>
      </c>
      <c r="E644" s="13" t="s">
        <v>3203</v>
      </c>
      <c r="F644" s="9" t="s">
        <v>2736</v>
      </c>
      <c r="I644" t="s">
        <v>2148</v>
      </c>
      <c r="J644" s="63">
        <v>5</v>
      </c>
      <c r="K644" s="25">
        <v>1859465.2392680801</v>
      </c>
      <c r="L644" s="17">
        <v>2.0926617478065897E-2</v>
      </c>
      <c r="M644" s="63">
        <v>6</v>
      </c>
      <c r="N644" s="25">
        <v>1879524.8237360599</v>
      </c>
      <c r="O644" s="17">
        <v>1.9399539103638664E-2</v>
      </c>
      <c r="P644" s="63">
        <v>6</v>
      </c>
      <c r="Q644" s="25">
        <v>1859989.9722265201</v>
      </c>
      <c r="R644" s="66">
        <v>2.1797220213973383E-2</v>
      </c>
      <c r="S644" s="77">
        <f t="shared" si="9"/>
        <v>2.0707792265225983E-2</v>
      </c>
      <c r="V644" s="80"/>
    </row>
    <row r="645" spans="1:22" x14ac:dyDescent="0.25">
      <c r="A645" s="18" t="s">
        <v>3075</v>
      </c>
      <c r="B645" s="18" t="s">
        <v>3072</v>
      </c>
      <c r="C645" s="18" t="s">
        <v>3074</v>
      </c>
      <c r="D645" t="s">
        <v>3073</v>
      </c>
      <c r="E645" s="13" t="s">
        <v>3076</v>
      </c>
      <c r="F645" s="9" t="s">
        <v>2736</v>
      </c>
      <c r="I645" t="s">
        <v>2148</v>
      </c>
      <c r="J645" s="63">
        <v>3</v>
      </c>
      <c r="K645" s="25">
        <v>1506619.2335638199</v>
      </c>
      <c r="L645" s="17">
        <v>2.099011507613166E-2</v>
      </c>
      <c r="M645" s="63">
        <v>2</v>
      </c>
      <c r="N645" s="25">
        <v>1591680.13872208</v>
      </c>
      <c r="O645" s="17">
        <v>2.0337589802279E-2</v>
      </c>
      <c r="P645" s="63">
        <v>2</v>
      </c>
      <c r="Q645" s="25">
        <v>1383836.09218228</v>
      </c>
      <c r="R645" s="66">
        <v>2.0075922147497188E-2</v>
      </c>
      <c r="S645" s="77">
        <f t="shared" ref="S645:S708" si="10">AVERAGE(L645,O645,R645)</f>
        <v>2.0467875675302616E-2</v>
      </c>
      <c r="V645" s="80"/>
    </row>
    <row r="646" spans="1:22" x14ac:dyDescent="0.25">
      <c r="A646" s="18" t="s">
        <v>3532</v>
      </c>
      <c r="B646" s="18" t="s">
        <v>3529</v>
      </c>
      <c r="C646" s="18" t="s">
        <v>3531</v>
      </c>
      <c r="D646" t="s">
        <v>3530</v>
      </c>
      <c r="E646" s="13" t="s">
        <v>3533</v>
      </c>
      <c r="F646" s="9" t="s">
        <v>2736</v>
      </c>
      <c r="I646" t="s">
        <v>2737</v>
      </c>
      <c r="J646" s="63">
        <v>1</v>
      </c>
      <c r="K646" s="25">
        <v>845223.34135006403</v>
      </c>
      <c r="L646" s="17">
        <v>1.9903312417576185E-2</v>
      </c>
      <c r="M646" s="63">
        <v>2</v>
      </c>
      <c r="N646" s="25">
        <v>990027.82124028204</v>
      </c>
      <c r="O646" s="17">
        <v>2.1381277573914316E-2</v>
      </c>
      <c r="P646" s="63">
        <v>2</v>
      </c>
      <c r="Q646" s="25">
        <v>801371.49876303703</v>
      </c>
      <c r="R646" s="66">
        <v>1.9650215065551799E-2</v>
      </c>
      <c r="S646" s="77">
        <f t="shared" si="10"/>
        <v>2.0311601685680764E-2</v>
      </c>
      <c r="V646" s="80"/>
    </row>
    <row r="647" spans="1:22" x14ac:dyDescent="0.25">
      <c r="A647" s="18" t="s">
        <v>2819</v>
      </c>
      <c r="B647" s="18" t="s">
        <v>2816</v>
      </c>
      <c r="C647" s="18" t="s">
        <v>2818</v>
      </c>
      <c r="D647" t="s">
        <v>2817</v>
      </c>
      <c r="E647" s="13" t="s">
        <v>2820</v>
      </c>
      <c r="F647" s="9" t="s">
        <v>2736</v>
      </c>
      <c r="I647" t="s">
        <v>2148</v>
      </c>
      <c r="J647" s="63">
        <v>3</v>
      </c>
      <c r="K647" s="25">
        <v>1565736.20748865</v>
      </c>
      <c r="L647" s="17">
        <v>2.0071211885248207E-2</v>
      </c>
      <c r="M647" s="63">
        <v>3</v>
      </c>
      <c r="N647" s="25">
        <v>1612103.0891980799</v>
      </c>
      <c r="O647" s="17">
        <v>1.8953097007310307E-2</v>
      </c>
      <c r="P647" s="63">
        <v>4</v>
      </c>
      <c r="Q647" s="25">
        <v>1352507.3806791301</v>
      </c>
      <c r="R647" s="66">
        <v>1.805403092338731E-2</v>
      </c>
      <c r="S647" s="77">
        <f t="shared" si="10"/>
        <v>1.9026113271981941E-2</v>
      </c>
      <c r="V647" s="80"/>
    </row>
    <row r="648" spans="1:22" x14ac:dyDescent="0.25">
      <c r="A648" s="18" t="s">
        <v>3390</v>
      </c>
      <c r="B648" s="18" t="s">
        <v>3387</v>
      </c>
      <c r="C648" s="18" t="s">
        <v>3389</v>
      </c>
      <c r="D648" t="s">
        <v>3388</v>
      </c>
      <c r="E648" s="13" t="s">
        <v>3391</v>
      </c>
      <c r="F648" s="9" t="s">
        <v>2736</v>
      </c>
      <c r="I648" t="s">
        <v>57</v>
      </c>
      <c r="J648" s="63">
        <v>3</v>
      </c>
      <c r="K648" s="25">
        <v>1159341.98454133</v>
      </c>
      <c r="L648" s="17">
        <v>1.7261966760055775E-2</v>
      </c>
      <c r="M648" s="63">
        <v>3</v>
      </c>
      <c r="N648" s="25">
        <v>1438870.22990044</v>
      </c>
      <c r="O648" s="17">
        <v>1.9648649866780128E-2</v>
      </c>
      <c r="P648" s="63">
        <v>2</v>
      </c>
      <c r="Q648" s="25">
        <v>1235972.4234424999</v>
      </c>
      <c r="R648" s="66">
        <v>1.9163155803401038E-2</v>
      </c>
      <c r="S648" s="77">
        <f t="shared" si="10"/>
        <v>1.8691257476745646E-2</v>
      </c>
      <c r="V648" s="80"/>
    </row>
    <row r="649" spans="1:22" x14ac:dyDescent="0.25">
      <c r="A649" s="18" t="s">
        <v>3045</v>
      </c>
      <c r="B649" s="18" t="s">
        <v>3042</v>
      </c>
      <c r="C649" s="18" t="s">
        <v>3044</v>
      </c>
      <c r="D649" t="s">
        <v>3043</v>
      </c>
      <c r="E649" s="13" t="s">
        <v>3046</v>
      </c>
      <c r="F649" s="9" t="s">
        <v>2736</v>
      </c>
      <c r="I649" t="s">
        <v>1055</v>
      </c>
      <c r="J649" s="63">
        <v>1</v>
      </c>
      <c r="K649" s="25">
        <v>884496.27561760403</v>
      </c>
      <c r="L649" s="17">
        <v>1.766070254753957E-2</v>
      </c>
      <c r="M649" s="63">
        <v>2</v>
      </c>
      <c r="N649" s="25">
        <v>1086248.03908737</v>
      </c>
      <c r="O649" s="17">
        <v>1.9891766249643138E-2</v>
      </c>
      <c r="P649" s="63">
        <v>0</v>
      </c>
      <c r="Q649" s="25">
        <v>842928.66082273796</v>
      </c>
      <c r="R649" s="66">
        <v>1.7525980551469169E-2</v>
      </c>
      <c r="S649" s="77">
        <f t="shared" si="10"/>
        <v>1.8359483116217292E-2</v>
      </c>
      <c r="V649" s="80"/>
    </row>
    <row r="650" spans="1:22" x14ac:dyDescent="0.25">
      <c r="A650" s="18" t="s">
        <v>2972</v>
      </c>
      <c r="B650" s="18" t="s">
        <v>2969</v>
      </c>
      <c r="C650" s="18" t="s">
        <v>2971</v>
      </c>
      <c r="D650" t="s">
        <v>2970</v>
      </c>
      <c r="E650" s="13" t="s">
        <v>2973</v>
      </c>
      <c r="F650" s="9" t="s">
        <v>2736</v>
      </c>
      <c r="I650" t="s">
        <v>2148</v>
      </c>
      <c r="J650" s="63">
        <v>5</v>
      </c>
      <c r="K650" s="25">
        <v>1556656.0852707201</v>
      </c>
      <c r="L650" s="17">
        <v>1.8478704072860577E-2</v>
      </c>
      <c r="M650" s="63">
        <v>7</v>
      </c>
      <c r="N650" s="25">
        <v>1583301.2314633799</v>
      </c>
      <c r="O650" s="17">
        <v>1.7237519109050418E-2</v>
      </c>
      <c r="P650" s="63">
        <v>7</v>
      </c>
      <c r="Q650" s="25">
        <v>1449298.5450144799</v>
      </c>
      <c r="R650" s="66">
        <v>1.7914975982823492E-2</v>
      </c>
      <c r="S650" s="77">
        <f t="shared" si="10"/>
        <v>1.7877066388244826E-2</v>
      </c>
      <c r="V650" s="80"/>
    </row>
    <row r="651" spans="1:22" x14ac:dyDescent="0.25">
      <c r="A651" s="18" t="s">
        <v>3410</v>
      </c>
      <c r="B651" s="18" t="s">
        <v>3407</v>
      </c>
      <c r="C651" s="18" t="s">
        <v>3409</v>
      </c>
      <c r="D651" t="s">
        <v>3408</v>
      </c>
      <c r="E651" s="13" t="s">
        <v>3184</v>
      </c>
      <c r="F651" s="9" t="s">
        <v>2736</v>
      </c>
      <c r="I651" t="s">
        <v>1055</v>
      </c>
      <c r="J651" s="63">
        <v>2</v>
      </c>
      <c r="K651" s="25">
        <v>843319.17199550103</v>
      </c>
      <c r="L651" s="17">
        <v>1.8548015440355819E-2</v>
      </c>
      <c r="M651" s="63">
        <v>2</v>
      </c>
      <c r="N651" s="25">
        <v>785719.34427776199</v>
      </c>
      <c r="O651" s="17">
        <v>1.5849125155511047E-2</v>
      </c>
      <c r="P651" s="63">
        <v>2</v>
      </c>
      <c r="Q651" s="25">
        <v>812917.23332986899</v>
      </c>
      <c r="R651" s="66">
        <v>1.8617927842842115E-2</v>
      </c>
      <c r="S651" s="77">
        <f t="shared" si="10"/>
        <v>1.7671689479569659E-2</v>
      </c>
      <c r="V651" s="80"/>
    </row>
    <row r="652" spans="1:22" x14ac:dyDescent="0.25">
      <c r="A652" s="18" t="s">
        <v>3298</v>
      </c>
      <c r="B652" s="18" t="s">
        <v>3295</v>
      </c>
      <c r="C652" s="18" t="s">
        <v>3297</v>
      </c>
      <c r="D652" t="s">
        <v>3296</v>
      </c>
      <c r="E652" s="13" t="s">
        <v>2311</v>
      </c>
      <c r="F652" s="9" t="s">
        <v>2736</v>
      </c>
      <c r="I652" t="s">
        <v>57</v>
      </c>
      <c r="J652" s="63">
        <v>2</v>
      </c>
      <c r="K652" s="25">
        <v>2198189.8790923599</v>
      </c>
      <c r="L652" s="17">
        <v>1.7161052584585321E-2</v>
      </c>
      <c r="M652" s="63">
        <v>3</v>
      </c>
      <c r="N652" s="25">
        <v>2276216.7994631599</v>
      </c>
      <c r="O652" s="17">
        <v>1.6297639861341869E-2</v>
      </c>
      <c r="P652" s="63">
        <v>2</v>
      </c>
      <c r="Q652" s="25">
        <v>2265929.5440104799</v>
      </c>
      <c r="R652" s="66">
        <v>1.8420637550745959E-2</v>
      </c>
      <c r="S652" s="77">
        <f t="shared" si="10"/>
        <v>1.7293109998891051E-2</v>
      </c>
      <c r="V652" s="80"/>
    </row>
    <row r="653" spans="1:22" x14ac:dyDescent="0.25">
      <c r="A653" s="18" t="s">
        <v>3483</v>
      </c>
      <c r="B653" s="18" t="s">
        <v>3480</v>
      </c>
      <c r="C653" s="18" t="s">
        <v>3482</v>
      </c>
      <c r="D653" t="s">
        <v>3481</v>
      </c>
      <c r="E653" s="13" t="s">
        <v>3484</v>
      </c>
      <c r="F653" s="9" t="s">
        <v>2736</v>
      </c>
      <c r="I653" t="s">
        <v>2287</v>
      </c>
      <c r="J653" s="63">
        <v>3</v>
      </c>
      <c r="K653" s="25">
        <v>1292694.7402820601</v>
      </c>
      <c r="L653" s="17">
        <v>1.6425299754900303E-2</v>
      </c>
      <c r="M653" s="63">
        <v>3</v>
      </c>
      <c r="N653" s="25">
        <v>1446241.1513725901</v>
      </c>
      <c r="O653" s="17">
        <v>1.68535118733706E-2</v>
      </c>
      <c r="P653" s="63">
        <v>3</v>
      </c>
      <c r="Q653" s="25">
        <v>1275665.48736028</v>
      </c>
      <c r="R653" s="66">
        <v>1.6878492907081634E-2</v>
      </c>
      <c r="S653" s="77">
        <f t="shared" si="10"/>
        <v>1.6719101511784178E-2</v>
      </c>
      <c r="V653" s="80"/>
    </row>
    <row r="654" spans="1:22" x14ac:dyDescent="0.25">
      <c r="A654" s="18" t="s">
        <v>3283</v>
      </c>
      <c r="B654" s="18" t="s">
        <v>3280</v>
      </c>
      <c r="C654" s="18" t="s">
        <v>3282</v>
      </c>
      <c r="D654" t="s">
        <v>3281</v>
      </c>
      <c r="E654" s="13" t="s">
        <v>3284</v>
      </c>
      <c r="F654" s="9" t="s">
        <v>2736</v>
      </c>
      <c r="I654" t="s">
        <v>1055</v>
      </c>
      <c r="J654" s="63">
        <v>2</v>
      </c>
      <c r="K654" s="25">
        <v>1075419.29000199</v>
      </c>
      <c r="L654" s="17">
        <v>1.5741924038616687E-2</v>
      </c>
      <c r="M654" s="63">
        <v>1</v>
      </c>
      <c r="N654" s="25">
        <v>1192670.1638575301</v>
      </c>
      <c r="O654" s="17">
        <v>1.6011525798395352E-2</v>
      </c>
      <c r="P654" s="63">
        <v>1</v>
      </c>
      <c r="Q654" s="25">
        <v>1095681.1515965599</v>
      </c>
      <c r="R654" s="66">
        <v>1.6701047770406905E-2</v>
      </c>
      <c r="S654" s="77">
        <f t="shared" si="10"/>
        <v>1.6151499202472983E-2</v>
      </c>
      <c r="V654" s="80"/>
    </row>
    <row r="655" spans="1:22" x14ac:dyDescent="0.25">
      <c r="A655" s="18" t="s">
        <v>3080</v>
      </c>
      <c r="B655" s="18" t="s">
        <v>3077</v>
      </c>
      <c r="C655" s="18" t="s">
        <v>3079</v>
      </c>
      <c r="D655" t="s">
        <v>3078</v>
      </c>
      <c r="E655" s="13" t="s">
        <v>3081</v>
      </c>
      <c r="F655" s="9" t="s">
        <v>2736</v>
      </c>
      <c r="I655" t="s">
        <v>2148</v>
      </c>
      <c r="J655" s="63">
        <v>6</v>
      </c>
      <c r="K655" s="25">
        <v>2946761.99415759</v>
      </c>
      <c r="L655" s="17">
        <v>1.73711840636511E-2</v>
      </c>
      <c r="M655" s="63">
        <v>9</v>
      </c>
      <c r="N655" s="25">
        <v>2611889.9272296201</v>
      </c>
      <c r="O655" s="17">
        <v>1.4121200096144574E-2</v>
      </c>
      <c r="P655" s="63">
        <v>7</v>
      </c>
      <c r="Q655" s="25">
        <v>2613095.3964026901</v>
      </c>
      <c r="R655" s="66">
        <v>1.6040546636480683E-2</v>
      </c>
      <c r="S655" s="77">
        <f t="shared" si="10"/>
        <v>1.5844310265425453E-2</v>
      </c>
      <c r="V655" s="80"/>
    </row>
    <row r="656" spans="1:22" x14ac:dyDescent="0.25">
      <c r="A656" s="18" t="s">
        <v>3424</v>
      </c>
      <c r="B656" s="18" t="s">
        <v>3421</v>
      </c>
      <c r="C656" s="18" t="s">
        <v>3423</v>
      </c>
      <c r="D656" t="s">
        <v>3422</v>
      </c>
      <c r="E656" s="13" t="s">
        <v>3425</v>
      </c>
      <c r="F656" s="9" t="s">
        <v>2736</v>
      </c>
      <c r="I656" t="s">
        <v>2148</v>
      </c>
      <c r="J656" s="63">
        <v>7</v>
      </c>
      <c r="K656" s="25">
        <v>2970402.8504483299</v>
      </c>
      <c r="L656" s="17">
        <v>1.6128135476572936E-2</v>
      </c>
      <c r="M656" s="63">
        <v>8</v>
      </c>
      <c r="N656" s="25">
        <v>2651515.8799157599</v>
      </c>
      <c r="O656" s="17">
        <v>1.3203692959541359E-2</v>
      </c>
      <c r="P656" s="63">
        <v>6</v>
      </c>
      <c r="Q656" s="25">
        <v>3211555.4011212699</v>
      </c>
      <c r="R656" s="66">
        <v>1.8157822459570674E-2</v>
      </c>
      <c r="S656" s="77">
        <f t="shared" si="10"/>
        <v>1.5829883631894987E-2</v>
      </c>
      <c r="V656" s="80"/>
    </row>
    <row r="657" spans="1:22" x14ac:dyDescent="0.25">
      <c r="A657" s="18" t="s">
        <v>3334</v>
      </c>
      <c r="B657" s="18" t="s">
        <v>3331</v>
      </c>
      <c r="C657" s="18" t="s">
        <v>3333</v>
      </c>
      <c r="D657" t="s">
        <v>3332</v>
      </c>
      <c r="E657" s="13" t="s">
        <v>3335</v>
      </c>
      <c r="F657" s="9" t="s">
        <v>2736</v>
      </c>
      <c r="I657" t="s">
        <v>2148</v>
      </c>
      <c r="J657" s="63">
        <v>14</v>
      </c>
      <c r="K657" s="25">
        <v>3697498.9759975802</v>
      </c>
      <c r="L657" s="17">
        <v>1.5706506264650415E-2</v>
      </c>
      <c r="M657" s="63">
        <v>8</v>
      </c>
      <c r="N657" s="25">
        <v>3169460.7074188599</v>
      </c>
      <c r="O657" s="17">
        <v>1.2347791167742293E-2</v>
      </c>
      <c r="P657" s="63">
        <v>8</v>
      </c>
      <c r="Q657" s="25">
        <v>4218954.3427551901</v>
      </c>
      <c r="R657" s="66">
        <v>1.8661901475613939E-2</v>
      </c>
      <c r="S657" s="77">
        <f t="shared" si="10"/>
        <v>1.557206630266888E-2</v>
      </c>
      <c r="V657" s="80"/>
    </row>
    <row r="658" spans="1:22" x14ac:dyDescent="0.25">
      <c r="A658" s="18" t="s">
        <v>3439</v>
      </c>
      <c r="B658" s="18" t="s">
        <v>3436</v>
      </c>
      <c r="C658" s="18" t="s">
        <v>3438</v>
      </c>
      <c r="D658" t="s">
        <v>3437</v>
      </c>
      <c r="E658" s="13" t="s">
        <v>3440</v>
      </c>
      <c r="F658" s="9" t="s">
        <v>2736</v>
      </c>
      <c r="I658" t="s">
        <v>2287</v>
      </c>
      <c r="J658" s="63">
        <v>15</v>
      </c>
      <c r="K658" s="25">
        <v>6251527.7879488701</v>
      </c>
      <c r="L658" s="17">
        <v>1.916971716975913E-2</v>
      </c>
      <c r="M658" s="63">
        <v>6</v>
      </c>
      <c r="N658" s="25">
        <v>3701104.8045117198</v>
      </c>
      <c r="O658" s="17">
        <v>1.0408623436706984E-2</v>
      </c>
      <c r="P658" s="63">
        <v>12</v>
      </c>
      <c r="Q658" s="25">
        <v>5075820.3309881501</v>
      </c>
      <c r="R658" s="66">
        <v>1.6207473404893209E-2</v>
      </c>
      <c r="S658" s="77">
        <f t="shared" si="10"/>
        <v>1.5261938003786441E-2</v>
      </c>
      <c r="V658" s="80"/>
    </row>
    <row r="659" spans="1:22" x14ac:dyDescent="0.25">
      <c r="A659" s="18" t="s">
        <v>2996</v>
      </c>
      <c r="B659" s="18" t="s">
        <v>2993</v>
      </c>
      <c r="C659" s="18" t="s">
        <v>2995</v>
      </c>
      <c r="D659" t="s">
        <v>2994</v>
      </c>
      <c r="E659" s="13" t="s">
        <v>2997</v>
      </c>
      <c r="F659" s="9" t="s">
        <v>2736</v>
      </c>
      <c r="I659" t="s">
        <v>1055</v>
      </c>
      <c r="J659" s="63">
        <v>3</v>
      </c>
      <c r="K659" s="25">
        <v>923083.19985440397</v>
      </c>
      <c r="L659" s="17">
        <v>1.369713375206788E-2</v>
      </c>
      <c r="M659" s="63">
        <v>4</v>
      </c>
      <c r="N659" s="25">
        <v>1296640.6899852899</v>
      </c>
      <c r="O659" s="17">
        <v>1.7645780400972595E-2</v>
      </c>
      <c r="P659" s="63">
        <v>4</v>
      </c>
      <c r="Q659" s="25">
        <v>876728.59433633497</v>
      </c>
      <c r="R659" s="66">
        <v>1.354670140688051E-2</v>
      </c>
      <c r="S659" s="77">
        <f t="shared" si="10"/>
        <v>1.4963205186640328E-2</v>
      </c>
      <c r="V659" s="80"/>
    </row>
    <row r="660" spans="1:22" x14ac:dyDescent="0.25">
      <c r="A660" s="18" t="s">
        <v>3320</v>
      </c>
      <c r="B660" s="18" t="s">
        <v>8158</v>
      </c>
      <c r="C660" s="18" t="s">
        <v>3319</v>
      </c>
      <c r="D660" t="s">
        <v>3318</v>
      </c>
      <c r="E660" s="13" t="s">
        <v>3184</v>
      </c>
      <c r="F660" s="9" t="s">
        <v>2736</v>
      </c>
      <c r="I660" t="s">
        <v>1055</v>
      </c>
      <c r="J660" s="63">
        <v>4</v>
      </c>
      <c r="K660" s="25">
        <v>683896.94919665996</v>
      </c>
      <c r="L660" s="17">
        <v>1.3911782019452389E-2</v>
      </c>
      <c r="M660" s="63">
        <v>4</v>
      </c>
      <c r="N660" s="25">
        <v>819306.052573881</v>
      </c>
      <c r="O660" s="17">
        <v>1.5285182741646067E-2</v>
      </c>
      <c r="P660" s="63">
        <v>2</v>
      </c>
      <c r="Q660" s="25">
        <v>620634.09057604498</v>
      </c>
      <c r="R660" s="66">
        <v>1.3146412712139108E-2</v>
      </c>
      <c r="S660" s="77">
        <f t="shared" si="10"/>
        <v>1.4114459157745854E-2</v>
      </c>
      <c r="V660" s="80"/>
    </row>
    <row r="661" spans="1:22" x14ac:dyDescent="0.25">
      <c r="A661" s="18" t="s">
        <v>3139</v>
      </c>
      <c r="B661" s="18" t="s">
        <v>3136</v>
      </c>
      <c r="C661" s="18" t="s">
        <v>3138</v>
      </c>
      <c r="D661" t="s">
        <v>3137</v>
      </c>
      <c r="E661" s="13" t="s">
        <v>3140</v>
      </c>
      <c r="F661" s="9" t="s">
        <v>2736</v>
      </c>
      <c r="I661" t="s">
        <v>2127</v>
      </c>
      <c r="J661" s="63">
        <v>4</v>
      </c>
      <c r="K661" s="25">
        <v>1522158.5708844599</v>
      </c>
      <c r="L661" s="17">
        <v>1.4854178161244229E-2</v>
      </c>
      <c r="M661" s="63">
        <v>4</v>
      </c>
      <c r="N661" s="25">
        <v>1500811.4574794101</v>
      </c>
      <c r="O661" s="17">
        <v>1.3432202854943235E-2</v>
      </c>
      <c r="P661" s="63">
        <v>2</v>
      </c>
      <c r="Q661" s="25">
        <v>1322627.49541776</v>
      </c>
      <c r="R661" s="66">
        <v>1.3440202593755456E-2</v>
      </c>
      <c r="S661" s="77">
        <f t="shared" si="10"/>
        <v>1.3908861203314306E-2</v>
      </c>
      <c r="V661" s="80"/>
    </row>
    <row r="662" spans="1:22" x14ac:dyDescent="0.25">
      <c r="A662" s="18" t="s">
        <v>3090</v>
      </c>
      <c r="B662" s="18" t="s">
        <v>3087</v>
      </c>
      <c r="C662" s="18" t="s">
        <v>3089</v>
      </c>
      <c r="D662" t="s">
        <v>3088</v>
      </c>
      <c r="E662" s="13" t="s">
        <v>3091</v>
      </c>
      <c r="F662" s="9" t="s">
        <v>2736</v>
      </c>
      <c r="I662" t="s">
        <v>2287</v>
      </c>
      <c r="J662" s="63">
        <v>2</v>
      </c>
      <c r="K662" s="25">
        <v>744233.71174532198</v>
      </c>
      <c r="L662" s="17">
        <v>1.0820934684733864E-2</v>
      </c>
      <c r="M662" s="63">
        <v>2</v>
      </c>
      <c r="N662" s="25">
        <v>866106.67175519699</v>
      </c>
      <c r="O662" s="17">
        <v>1.1549393953163734E-2</v>
      </c>
      <c r="P662" s="63">
        <v>2</v>
      </c>
      <c r="Q662" s="25">
        <v>773399.56933416601</v>
      </c>
      <c r="R662" s="66">
        <v>1.1709514813529215E-2</v>
      </c>
      <c r="S662" s="77">
        <f t="shared" si="10"/>
        <v>1.1359947817142271E-2</v>
      </c>
      <c r="V662" s="80"/>
    </row>
    <row r="663" spans="1:22" x14ac:dyDescent="0.25">
      <c r="A663" s="18" t="s">
        <v>3243</v>
      </c>
      <c r="B663" s="18" t="s">
        <v>3240</v>
      </c>
      <c r="C663" s="18" t="s">
        <v>3242</v>
      </c>
      <c r="D663" t="s">
        <v>3241</v>
      </c>
      <c r="E663" s="13" t="s">
        <v>3244</v>
      </c>
      <c r="F663" s="9" t="s">
        <v>2736</v>
      </c>
      <c r="I663" t="s">
        <v>1055</v>
      </c>
      <c r="J663" s="63">
        <v>5</v>
      </c>
      <c r="K663" s="25">
        <v>1130020.8941087001</v>
      </c>
      <c r="L663" s="17">
        <v>1.1883953912223322E-2</v>
      </c>
      <c r="M663" s="63">
        <v>4</v>
      </c>
      <c r="N663" s="25">
        <v>1179880.4351773399</v>
      </c>
      <c r="O663" s="17">
        <v>1.1380068054232076E-2</v>
      </c>
      <c r="P663" s="63">
        <v>2</v>
      </c>
      <c r="Q663" s="25">
        <v>900167.82715599798</v>
      </c>
      <c r="R663" s="66">
        <v>9.8577434029547221E-3</v>
      </c>
      <c r="S663" s="77">
        <f t="shared" si="10"/>
        <v>1.1040588456470039E-2</v>
      </c>
      <c r="V663" s="80"/>
    </row>
    <row r="664" spans="1:22" x14ac:dyDescent="0.25">
      <c r="A664" s="18" t="s">
        <v>3273</v>
      </c>
      <c r="B664" s="18" t="s">
        <v>3270</v>
      </c>
      <c r="C664" s="18" t="s">
        <v>3272</v>
      </c>
      <c r="D664" t="s">
        <v>3271</v>
      </c>
      <c r="E664" s="13" t="s">
        <v>3274</v>
      </c>
      <c r="F664" s="9" t="s">
        <v>2736</v>
      </c>
      <c r="I664" t="s">
        <v>2148</v>
      </c>
      <c r="J664" s="63">
        <v>2</v>
      </c>
      <c r="K664" s="25">
        <v>920837.54936866404</v>
      </c>
      <c r="L664" s="17">
        <v>1.0639554753745773E-2</v>
      </c>
      <c r="M664" s="63">
        <v>2</v>
      </c>
      <c r="N664" s="25">
        <v>1102462.1420795601</v>
      </c>
      <c r="O664" s="17">
        <v>1.1682518912868175E-2</v>
      </c>
      <c r="P664" s="63">
        <v>1</v>
      </c>
      <c r="Q664" s="25">
        <v>835456.27426815196</v>
      </c>
      <c r="R664" s="66">
        <v>1.0051796686501118E-2</v>
      </c>
      <c r="S664" s="77">
        <f t="shared" si="10"/>
        <v>1.0791290117705021E-2</v>
      </c>
      <c r="V664" s="80"/>
    </row>
    <row r="665" spans="1:22" x14ac:dyDescent="0.25">
      <c r="A665" s="18" t="s">
        <v>3459</v>
      </c>
      <c r="B665" s="18" t="s">
        <v>3456</v>
      </c>
      <c r="C665" s="18" t="s">
        <v>3458</v>
      </c>
      <c r="D665" t="s">
        <v>3457</v>
      </c>
      <c r="E665" s="13" t="s">
        <v>3460</v>
      </c>
      <c r="F665" s="9" t="s">
        <v>2736</v>
      </c>
      <c r="I665" t="s">
        <v>2127</v>
      </c>
      <c r="J665" s="63">
        <v>0</v>
      </c>
      <c r="K665" s="25">
        <v>494749.69079016102</v>
      </c>
      <c r="L665" s="17">
        <v>8.6788119725340757E-3</v>
      </c>
      <c r="M665" s="63">
        <v>3</v>
      </c>
      <c r="N665" s="25">
        <v>690070.31066429103</v>
      </c>
      <c r="O665" s="17">
        <v>1.1101980627063185E-2</v>
      </c>
      <c r="P665" s="63">
        <v>0</v>
      </c>
      <c r="Q665" s="25">
        <v>551711.40798276197</v>
      </c>
      <c r="R665" s="66">
        <v>1.0077811930823573E-2</v>
      </c>
      <c r="S665" s="77">
        <f t="shared" si="10"/>
        <v>9.9528681768069442E-3</v>
      </c>
      <c r="V665" s="80"/>
    </row>
    <row r="666" spans="1:22" x14ac:dyDescent="0.25">
      <c r="A666" s="18" t="s">
        <v>3385</v>
      </c>
      <c r="B666" s="18" t="s">
        <v>3382</v>
      </c>
      <c r="C666" s="18" t="s">
        <v>3384</v>
      </c>
      <c r="D666" t="s">
        <v>3383</v>
      </c>
      <c r="E666" s="13" t="s">
        <v>3386</v>
      </c>
      <c r="F666" s="9" t="s">
        <v>2736</v>
      </c>
      <c r="I666" t="s">
        <v>17</v>
      </c>
      <c r="J666" s="63">
        <v>3</v>
      </c>
      <c r="K666" s="25">
        <v>736633.89975119499</v>
      </c>
      <c r="L666" s="17">
        <v>8.399236417734976E-3</v>
      </c>
      <c r="M666" s="63">
        <v>2</v>
      </c>
      <c r="N666" s="25">
        <v>842865.71957188204</v>
      </c>
      <c r="O666" s="17">
        <v>8.8141181912052089E-3</v>
      </c>
      <c r="P666" s="63">
        <v>3</v>
      </c>
      <c r="Q666" s="25">
        <v>1001921.70076414</v>
      </c>
      <c r="R666" s="66">
        <v>1.1896012861705807E-2</v>
      </c>
      <c r="S666" s="77">
        <f t="shared" si="10"/>
        <v>9.7031224902153299E-3</v>
      </c>
      <c r="V666" s="80"/>
    </row>
    <row r="667" spans="1:22" x14ac:dyDescent="0.25">
      <c r="A667" s="18" t="s">
        <v>2809</v>
      </c>
      <c r="B667" s="18" t="s">
        <v>2806</v>
      </c>
      <c r="C667" s="18" t="s">
        <v>2808</v>
      </c>
      <c r="D667" t="s">
        <v>2807</v>
      </c>
      <c r="E667" s="13" t="s">
        <v>2810</v>
      </c>
      <c r="F667" s="9" t="s">
        <v>2736</v>
      </c>
      <c r="J667" s="63">
        <v>2</v>
      </c>
      <c r="K667" s="25">
        <v>160068.95392850999</v>
      </c>
      <c r="L667" s="17">
        <v>1.0199288940881479E-2</v>
      </c>
      <c r="M667" s="63">
        <v>0</v>
      </c>
      <c r="N667" s="25">
        <v>167001.353288068</v>
      </c>
      <c r="O667" s="17">
        <v>9.7592210102396704E-3</v>
      </c>
      <c r="P667" s="63">
        <v>2</v>
      </c>
      <c r="Q667" s="25">
        <v>137631.56577626799</v>
      </c>
      <c r="R667" s="66">
        <v>9.1318837979194427E-3</v>
      </c>
      <c r="S667" s="77">
        <f t="shared" si="10"/>
        <v>9.6967979163468648E-3</v>
      </c>
      <c r="V667" s="80"/>
    </row>
    <row r="668" spans="1:22" x14ac:dyDescent="0.25">
      <c r="A668" s="18" t="s">
        <v>3164</v>
      </c>
      <c r="B668" s="18" t="s">
        <v>3161</v>
      </c>
      <c r="C668" s="18" t="s">
        <v>3163</v>
      </c>
      <c r="D668" t="s">
        <v>3162</v>
      </c>
      <c r="E668" s="13" t="s">
        <v>3165</v>
      </c>
      <c r="F668" s="9" t="s">
        <v>2736</v>
      </c>
      <c r="I668" t="s">
        <v>2127</v>
      </c>
      <c r="J668" s="63">
        <v>7</v>
      </c>
      <c r="K668" s="25">
        <v>1270847.7685048301</v>
      </c>
      <c r="L668" s="17">
        <v>9.0864158258394286E-3</v>
      </c>
      <c r="M668" s="63">
        <v>6</v>
      </c>
      <c r="N668" s="25">
        <v>1447888.4616334799</v>
      </c>
      <c r="O668" s="17">
        <v>9.4943788799422037E-3</v>
      </c>
      <c r="P668" s="63">
        <v>4</v>
      </c>
      <c r="Q668" s="25">
        <v>1190523.5955763699</v>
      </c>
      <c r="R668" s="66">
        <v>8.8637321070148649E-3</v>
      </c>
      <c r="S668" s="77">
        <f t="shared" si="10"/>
        <v>9.1481756042654985E-3</v>
      </c>
      <c r="V668" s="80"/>
    </row>
    <row r="669" spans="1:22" x14ac:dyDescent="0.25">
      <c r="A669" s="18" t="s">
        <v>2878</v>
      </c>
      <c r="B669" s="18" t="s">
        <v>2875</v>
      </c>
      <c r="C669" s="18" t="s">
        <v>2877</v>
      </c>
      <c r="D669" t="s">
        <v>2876</v>
      </c>
      <c r="E669" s="13" t="s">
        <v>2879</v>
      </c>
      <c r="F669" s="9" t="s">
        <v>2736</v>
      </c>
      <c r="I669" t="s">
        <v>2148</v>
      </c>
      <c r="J669" s="63">
        <v>2</v>
      </c>
      <c r="K669" s="25">
        <v>218202.58000309099</v>
      </c>
      <c r="L669" s="17">
        <v>9.1789786111176695E-3</v>
      </c>
      <c r="M669" s="63">
        <v>2</v>
      </c>
      <c r="N669" s="25">
        <v>219654.09820607299</v>
      </c>
      <c r="O669" s="17">
        <v>8.4743454046693374E-3</v>
      </c>
      <c r="P669" s="63">
        <v>1</v>
      </c>
      <c r="Q669" s="25">
        <v>179652.70795759099</v>
      </c>
      <c r="R669" s="66">
        <v>7.8695116322346735E-3</v>
      </c>
      <c r="S669" s="77">
        <f t="shared" si="10"/>
        <v>8.507611882673894E-3</v>
      </c>
      <c r="V669" s="80"/>
    </row>
    <row r="670" spans="1:22" x14ac:dyDescent="0.25">
      <c r="A670" s="18" t="s">
        <v>3400</v>
      </c>
      <c r="B670" s="18" t="s">
        <v>3397</v>
      </c>
      <c r="C670" s="18" t="s">
        <v>3399</v>
      </c>
      <c r="D670" t="s">
        <v>3398</v>
      </c>
      <c r="E670" s="13" t="s">
        <v>3401</v>
      </c>
      <c r="F670" s="9" t="s">
        <v>2736</v>
      </c>
      <c r="I670" t="s">
        <v>2800</v>
      </c>
      <c r="J670" s="63">
        <v>1</v>
      </c>
      <c r="K670" s="25">
        <v>489054.359714497</v>
      </c>
      <c r="L670" s="17">
        <v>8.0877467669542395E-3</v>
      </c>
      <c r="M670" s="63">
        <v>1</v>
      </c>
      <c r="N670" s="25">
        <v>541064.657951236</v>
      </c>
      <c r="O670" s="17">
        <v>8.2063861960134724E-3</v>
      </c>
      <c r="P670" s="63">
        <v>2</v>
      </c>
      <c r="Q670" s="25">
        <v>498384.65288183698</v>
      </c>
      <c r="R670" s="66">
        <v>8.582515719123468E-3</v>
      </c>
      <c r="S670" s="77">
        <f t="shared" si="10"/>
        <v>8.2922162273637266E-3</v>
      </c>
      <c r="V670" s="80"/>
    </row>
    <row r="671" spans="1:22" x14ac:dyDescent="0.25">
      <c r="A671" s="18" t="s">
        <v>3405</v>
      </c>
      <c r="B671" s="18" t="s">
        <v>3402</v>
      </c>
      <c r="C671" s="18" t="s">
        <v>3404</v>
      </c>
      <c r="D671" t="s">
        <v>3403</v>
      </c>
      <c r="E671" s="13" t="s">
        <v>3406</v>
      </c>
      <c r="F671" s="9" t="s">
        <v>2736</v>
      </c>
      <c r="I671" t="s">
        <v>2148</v>
      </c>
      <c r="J671" s="63">
        <v>4</v>
      </c>
      <c r="K671" s="25">
        <v>1616415.83432169</v>
      </c>
      <c r="L671" s="17">
        <v>8.2202533460228391E-3</v>
      </c>
      <c r="M671" s="63">
        <v>2</v>
      </c>
      <c r="N671" s="25">
        <v>1322620.5498478799</v>
      </c>
      <c r="O671" s="17">
        <v>6.16878660262865E-3</v>
      </c>
      <c r="P671" s="63">
        <v>4</v>
      </c>
      <c r="Q671" s="25">
        <v>1599593.01842453</v>
      </c>
      <c r="R671" s="66">
        <v>8.4707359420697903E-3</v>
      </c>
      <c r="S671" s="77">
        <f t="shared" si="10"/>
        <v>7.6199252969070931E-3</v>
      </c>
      <c r="V671" s="80"/>
    </row>
    <row r="672" spans="1:22" x14ac:dyDescent="0.25">
      <c r="A672" s="18" t="s">
        <v>3380</v>
      </c>
      <c r="B672" s="18" t="s">
        <v>3377</v>
      </c>
      <c r="C672" s="18" t="s">
        <v>3379</v>
      </c>
      <c r="D672" t="s">
        <v>3378</v>
      </c>
      <c r="E672" s="13" t="s">
        <v>3381</v>
      </c>
      <c r="F672" s="9" t="s">
        <v>2736</v>
      </c>
      <c r="I672" t="s">
        <v>1055</v>
      </c>
      <c r="J672" s="63">
        <v>1</v>
      </c>
      <c r="K672" s="25">
        <v>289470.750618394</v>
      </c>
      <c r="L672" s="17">
        <v>6.1481750063151859E-3</v>
      </c>
      <c r="M672" s="63">
        <v>2</v>
      </c>
      <c r="N672" s="25">
        <v>412663.92398856499</v>
      </c>
      <c r="O672" s="17">
        <v>8.038414775019459E-3</v>
      </c>
      <c r="P672" s="63">
        <v>1</v>
      </c>
      <c r="Q672" s="25">
        <v>359652.78660554701</v>
      </c>
      <c r="R672" s="66">
        <v>7.9543464135708071E-3</v>
      </c>
      <c r="S672" s="77">
        <f t="shared" si="10"/>
        <v>7.3803120649684846E-3</v>
      </c>
      <c r="V672" s="80"/>
    </row>
    <row r="673" spans="1:22" x14ac:dyDescent="0.25">
      <c r="A673" s="18" t="s">
        <v>2814</v>
      </c>
      <c r="B673" s="18" t="s">
        <v>2811</v>
      </c>
      <c r="C673" s="18" t="s">
        <v>2813</v>
      </c>
      <c r="D673" t="s">
        <v>2812</v>
      </c>
      <c r="E673" s="13" t="s">
        <v>2815</v>
      </c>
      <c r="F673" s="9" t="s">
        <v>2736</v>
      </c>
      <c r="I673" t="s">
        <v>2127</v>
      </c>
      <c r="J673" s="63">
        <v>1</v>
      </c>
      <c r="K673" s="25">
        <v>397888.78703773901</v>
      </c>
      <c r="L673" s="17">
        <v>6.1791565512217478E-3</v>
      </c>
      <c r="M673" s="63">
        <v>2</v>
      </c>
      <c r="N673" s="25">
        <v>628342.85960347904</v>
      </c>
      <c r="O673" s="17">
        <v>8.9494543364721426E-3</v>
      </c>
      <c r="P673" s="63">
        <v>0</v>
      </c>
      <c r="Q673" s="25">
        <v>323510.468133191</v>
      </c>
      <c r="R673" s="66">
        <v>5.2316101460083159E-3</v>
      </c>
      <c r="S673" s="77">
        <f t="shared" si="10"/>
        <v>6.7867403445674018E-3</v>
      </c>
      <c r="V673" s="80"/>
    </row>
    <row r="674" spans="1:22" x14ac:dyDescent="0.25">
      <c r="A674" s="18" t="s">
        <v>3311</v>
      </c>
      <c r="B674" s="18" t="s">
        <v>3308</v>
      </c>
      <c r="C674" s="18" t="s">
        <v>3310</v>
      </c>
      <c r="D674" t="s">
        <v>3309</v>
      </c>
      <c r="E674" s="13" t="s">
        <v>3312</v>
      </c>
      <c r="F674" s="9" t="s">
        <v>2736</v>
      </c>
      <c r="I674" t="s">
        <v>17</v>
      </c>
      <c r="J674" s="63">
        <v>2</v>
      </c>
      <c r="K674" s="25">
        <v>933813.32935459004</v>
      </c>
      <c r="L674" s="17">
        <v>6.7886826981963895E-3</v>
      </c>
      <c r="M674" s="63">
        <v>2</v>
      </c>
      <c r="N674" s="25">
        <v>940586.935650951</v>
      </c>
      <c r="O674" s="17">
        <v>6.2712881803676686E-3</v>
      </c>
      <c r="P674" s="63">
        <v>3</v>
      </c>
      <c r="Q674" s="25">
        <v>895700.36557825794</v>
      </c>
      <c r="R674" s="66">
        <v>6.7805938321453011E-3</v>
      </c>
      <c r="S674" s="77">
        <f t="shared" si="10"/>
        <v>6.6135215702364534E-3</v>
      </c>
      <c r="V674" s="80"/>
    </row>
    <row r="675" spans="1:22" x14ac:dyDescent="0.25">
      <c r="A675" s="18" t="s">
        <v>3110</v>
      </c>
      <c r="B675" s="18" t="s">
        <v>3107</v>
      </c>
      <c r="C675" s="18" t="s">
        <v>3109</v>
      </c>
      <c r="D675" t="s">
        <v>3108</v>
      </c>
      <c r="E675" s="13" t="s">
        <v>3111</v>
      </c>
      <c r="F675" s="9" t="s">
        <v>2736</v>
      </c>
      <c r="I675" t="s">
        <v>2148</v>
      </c>
      <c r="J675" s="63">
        <v>1</v>
      </c>
      <c r="K675" s="25">
        <v>255946.67127633901</v>
      </c>
      <c r="L675" s="17">
        <v>5.9303398254004543E-3</v>
      </c>
      <c r="M675" s="63">
        <v>2</v>
      </c>
      <c r="N675" s="25">
        <v>388853.44624535501</v>
      </c>
      <c r="O675" s="17">
        <v>8.2632029845253509E-3</v>
      </c>
      <c r="P675" s="63">
        <v>0</v>
      </c>
      <c r="Q675" s="25">
        <v>213590.58065021099</v>
      </c>
      <c r="R675" s="66">
        <v>5.1533747874472988E-3</v>
      </c>
      <c r="S675" s="77">
        <f t="shared" si="10"/>
        <v>6.4489725324577011E-3</v>
      </c>
      <c r="V675" s="80"/>
    </row>
    <row r="676" spans="1:22" x14ac:dyDescent="0.25">
      <c r="A676" s="18" t="s">
        <v>3527</v>
      </c>
      <c r="B676" s="18" t="s">
        <v>3524</v>
      </c>
      <c r="C676" s="18" t="s">
        <v>3526</v>
      </c>
      <c r="D676" t="s">
        <v>3525</v>
      </c>
      <c r="E676" s="13" t="s">
        <v>3528</v>
      </c>
      <c r="F676" s="9" t="s">
        <v>2736</v>
      </c>
      <c r="I676" t="s">
        <v>2800</v>
      </c>
      <c r="J676" s="63">
        <v>2</v>
      </c>
      <c r="K676" s="25">
        <v>1247211.7347205901</v>
      </c>
      <c r="L676" s="17">
        <v>5.7920225745341546E-3</v>
      </c>
      <c r="M676" s="63">
        <v>3</v>
      </c>
      <c r="N676" s="25">
        <v>1051798.03489519</v>
      </c>
      <c r="O676" s="17">
        <v>4.4797604049843578E-3</v>
      </c>
      <c r="P676" s="63">
        <v>5</v>
      </c>
      <c r="Q676" s="25">
        <v>1538913.91852674</v>
      </c>
      <c r="R676" s="66">
        <v>7.4419015841974308E-3</v>
      </c>
      <c r="S676" s="77">
        <f t="shared" si="10"/>
        <v>5.9045615212386477E-3</v>
      </c>
      <c r="V676" s="80"/>
    </row>
    <row r="677" spans="1:22" x14ac:dyDescent="0.25">
      <c r="A677" s="18" t="s">
        <v>2947</v>
      </c>
      <c r="B677" s="18" t="s">
        <v>2944</v>
      </c>
      <c r="C677" s="18" t="s">
        <v>2946</v>
      </c>
      <c r="D677" t="s">
        <v>2945</v>
      </c>
      <c r="E677" s="13" t="s">
        <v>2948</v>
      </c>
      <c r="F677" s="9" t="s">
        <v>2736</v>
      </c>
      <c r="I677" t="s">
        <v>57</v>
      </c>
      <c r="J677" s="63">
        <v>1</v>
      </c>
      <c r="K677" s="25">
        <v>390498.38845900999</v>
      </c>
      <c r="L677" s="17">
        <v>5.6211406422452329E-3</v>
      </c>
      <c r="M677" s="63">
        <v>2</v>
      </c>
      <c r="N677" s="25">
        <v>447411.402462831</v>
      </c>
      <c r="O677" s="17">
        <v>5.9066961145359548E-3</v>
      </c>
      <c r="P677" s="63">
        <v>2</v>
      </c>
      <c r="Q677" s="25">
        <v>387139.23508590303</v>
      </c>
      <c r="R677" s="66">
        <v>5.802991448507328E-3</v>
      </c>
      <c r="S677" s="77">
        <f t="shared" si="10"/>
        <v>5.7769427350961716E-3</v>
      </c>
      <c r="V677" s="80"/>
    </row>
    <row r="678" spans="1:22" x14ac:dyDescent="0.25">
      <c r="A678" s="18" t="s">
        <v>3178</v>
      </c>
      <c r="B678" s="18" t="s">
        <v>3175</v>
      </c>
      <c r="C678" s="18" t="s">
        <v>3177</v>
      </c>
      <c r="D678" t="s">
        <v>3176</v>
      </c>
      <c r="E678" s="13" t="s">
        <v>3179</v>
      </c>
      <c r="F678" s="9" t="s">
        <v>2736</v>
      </c>
      <c r="I678" t="s">
        <v>17</v>
      </c>
      <c r="J678" s="63">
        <v>2</v>
      </c>
      <c r="K678" s="25">
        <v>530763.50632583897</v>
      </c>
      <c r="L678" s="17">
        <v>4.7028799920382745E-3</v>
      </c>
      <c r="M678" s="63">
        <v>2</v>
      </c>
      <c r="N678" s="25">
        <v>588979.27137809806</v>
      </c>
      <c r="O678" s="17">
        <v>4.7862483192007022E-3</v>
      </c>
      <c r="P678" s="63">
        <v>2</v>
      </c>
      <c r="Q678" s="25">
        <v>589625.42901214596</v>
      </c>
      <c r="R678" s="66">
        <v>5.4402465805423539E-3</v>
      </c>
      <c r="S678" s="77">
        <f t="shared" si="10"/>
        <v>4.9764582972604441E-3</v>
      </c>
      <c r="V678" s="80"/>
    </row>
    <row r="679" spans="1:22" x14ac:dyDescent="0.25">
      <c r="A679" s="18" t="s">
        <v>2768</v>
      </c>
      <c r="B679" s="18" t="s">
        <v>2765</v>
      </c>
      <c r="C679" s="18" t="s">
        <v>2767</v>
      </c>
      <c r="D679" t="s">
        <v>2766</v>
      </c>
      <c r="E679" s="13" t="s">
        <v>2769</v>
      </c>
      <c r="F679" s="9" t="s">
        <v>2736</v>
      </c>
      <c r="I679" t="s">
        <v>1055</v>
      </c>
      <c r="J679" s="63">
        <v>1</v>
      </c>
      <c r="K679" s="25">
        <v>398820.101032209</v>
      </c>
      <c r="L679" s="17">
        <v>4.535485310983042E-3</v>
      </c>
      <c r="M679" s="63">
        <v>1</v>
      </c>
      <c r="N679" s="25">
        <v>533370.01695552003</v>
      </c>
      <c r="O679" s="17">
        <v>5.5629825586426991E-3</v>
      </c>
      <c r="P679" s="63">
        <v>0</v>
      </c>
      <c r="Q679" s="25">
        <v>398706.66530355299</v>
      </c>
      <c r="R679" s="66">
        <v>4.7214974428652834E-3</v>
      </c>
      <c r="S679" s="77">
        <f t="shared" si="10"/>
        <v>4.9399884374970076E-3</v>
      </c>
      <c r="V679" s="80"/>
    </row>
    <row r="680" spans="1:22" x14ac:dyDescent="0.25">
      <c r="A680" s="18" t="s">
        <v>3232</v>
      </c>
      <c r="B680" s="18" t="s">
        <v>3229</v>
      </c>
      <c r="C680" s="18" t="s">
        <v>3231</v>
      </c>
      <c r="D680" t="s">
        <v>3230</v>
      </c>
      <c r="E680" s="13" t="s">
        <v>3233</v>
      </c>
      <c r="F680" s="9" t="s">
        <v>2736</v>
      </c>
      <c r="I680" t="s">
        <v>1055</v>
      </c>
      <c r="J680" s="63">
        <v>0</v>
      </c>
      <c r="K680" s="25">
        <v>542077.96852926898</v>
      </c>
      <c r="L680" s="17">
        <v>5.7146763094770917E-3</v>
      </c>
      <c r="M680" s="63">
        <v>1</v>
      </c>
      <c r="N680" s="25">
        <v>474160.90585440799</v>
      </c>
      <c r="O680" s="17">
        <v>4.5844579919601834E-3</v>
      </c>
      <c r="P680" s="63">
        <v>2</v>
      </c>
      <c r="Q680" s="25">
        <v>397771.72538214998</v>
      </c>
      <c r="R680" s="66">
        <v>4.3665991489284543E-3</v>
      </c>
      <c r="S680" s="77">
        <f t="shared" si="10"/>
        <v>4.8885778167885767E-3</v>
      </c>
      <c r="V680" s="80"/>
    </row>
    <row r="681" spans="1:22" x14ac:dyDescent="0.25">
      <c r="A681" s="18" t="s">
        <v>3365</v>
      </c>
      <c r="B681" s="18" t="s">
        <v>3362</v>
      </c>
      <c r="C681" s="18" t="s">
        <v>3364</v>
      </c>
      <c r="D681" t="s">
        <v>3363</v>
      </c>
      <c r="E681" s="13" t="s">
        <v>3366</v>
      </c>
      <c r="F681" s="9" t="s">
        <v>2736</v>
      </c>
      <c r="I681" t="s">
        <v>29</v>
      </c>
      <c r="J681" s="63">
        <v>0</v>
      </c>
      <c r="K681" s="25">
        <v>237491.85792932301</v>
      </c>
      <c r="L681" s="17">
        <v>3.6882149424497632E-3</v>
      </c>
      <c r="M681" s="63">
        <v>2</v>
      </c>
      <c r="N681" s="25">
        <v>412570.384960695</v>
      </c>
      <c r="O681" s="17">
        <v>5.8762183167268018E-3</v>
      </c>
      <c r="P681" s="63">
        <v>1</v>
      </c>
      <c r="Q681" s="25">
        <v>289694.32305009401</v>
      </c>
      <c r="R681" s="66">
        <v>4.6847564731225724E-3</v>
      </c>
      <c r="S681" s="77">
        <f t="shared" si="10"/>
        <v>4.7497299107663793E-3</v>
      </c>
      <c r="V681" s="80"/>
    </row>
    <row r="682" spans="1:22" x14ac:dyDescent="0.25">
      <c r="A682" s="18" t="s">
        <v>3183</v>
      </c>
      <c r="B682" s="18" t="s">
        <v>3180</v>
      </c>
      <c r="C682" s="18" t="s">
        <v>3182</v>
      </c>
      <c r="D682" t="s">
        <v>3181</v>
      </c>
      <c r="E682" s="13" t="s">
        <v>3184</v>
      </c>
      <c r="F682" s="9" t="s">
        <v>2736</v>
      </c>
      <c r="I682" t="s">
        <v>1055</v>
      </c>
      <c r="J682" s="63">
        <v>1</v>
      </c>
      <c r="K682" s="25">
        <v>292242.338199916</v>
      </c>
      <c r="L682" s="17">
        <v>4.522273287623866E-3</v>
      </c>
      <c r="M682" s="63">
        <v>1</v>
      </c>
      <c r="N682" s="25">
        <v>356312.294270518</v>
      </c>
      <c r="O682" s="17">
        <v>5.0568125107779182E-3</v>
      </c>
      <c r="P682" s="63">
        <v>0</v>
      </c>
      <c r="Q682" s="25">
        <v>285223.48306929797</v>
      </c>
      <c r="R682" s="66">
        <v>4.5959837686230676E-3</v>
      </c>
      <c r="S682" s="77">
        <f t="shared" si="10"/>
        <v>4.7250231890082839E-3</v>
      </c>
      <c r="V682" s="80"/>
    </row>
    <row r="683" spans="1:22" x14ac:dyDescent="0.25">
      <c r="A683" s="18" t="s">
        <v>3414</v>
      </c>
      <c r="B683" s="18" t="s">
        <v>3411</v>
      </c>
      <c r="C683" s="18" t="s">
        <v>3413</v>
      </c>
      <c r="D683" t="s">
        <v>3412</v>
      </c>
      <c r="E683" s="13" t="s">
        <v>3415</v>
      </c>
      <c r="F683" s="9" t="s">
        <v>2736</v>
      </c>
      <c r="I683" t="s">
        <v>57</v>
      </c>
      <c r="J683" s="63">
        <v>1</v>
      </c>
      <c r="K683" s="25">
        <v>624469.91445171996</v>
      </c>
      <c r="L683" s="17">
        <v>5.781457907315676E-3</v>
      </c>
      <c r="M683" s="63">
        <v>2</v>
      </c>
      <c r="N683" s="25">
        <v>484096.60943972901</v>
      </c>
      <c r="O683" s="17">
        <v>4.1104584575918307E-3</v>
      </c>
      <c r="P683" s="63">
        <v>1</v>
      </c>
      <c r="Q683" s="25">
        <v>442186.56800029002</v>
      </c>
      <c r="R683" s="66">
        <v>4.262956800176472E-3</v>
      </c>
      <c r="S683" s="77">
        <f t="shared" si="10"/>
        <v>4.7182910550279929E-3</v>
      </c>
      <c r="V683" s="80"/>
    </row>
    <row r="684" spans="1:22" x14ac:dyDescent="0.25">
      <c r="A684" s="18" t="s">
        <v>3355</v>
      </c>
      <c r="B684" s="18" t="s">
        <v>3352</v>
      </c>
      <c r="C684" s="18" t="s">
        <v>3354</v>
      </c>
      <c r="D684" t="s">
        <v>3353</v>
      </c>
      <c r="E684" s="13" t="s">
        <v>3356</v>
      </c>
      <c r="F684" s="9" t="s">
        <v>2736</v>
      </c>
      <c r="I684" t="s">
        <v>2148</v>
      </c>
      <c r="J684" s="63">
        <v>4</v>
      </c>
      <c r="K684" s="25">
        <v>1091822.22700221</v>
      </c>
      <c r="L684" s="17">
        <v>4.8769903725668969E-3</v>
      </c>
      <c r="M684" s="63">
        <v>3</v>
      </c>
      <c r="N684" s="25">
        <v>807672.64020604501</v>
      </c>
      <c r="O684" s="17">
        <v>3.3087786343632642E-3</v>
      </c>
      <c r="P684" s="63">
        <v>5</v>
      </c>
      <c r="Q684" s="25">
        <v>1170897.8770007801</v>
      </c>
      <c r="R684" s="66">
        <v>5.4462619119789368E-3</v>
      </c>
      <c r="S684" s="77">
        <f t="shared" si="10"/>
        <v>4.5440103063030327E-3</v>
      </c>
      <c r="V684" s="80"/>
    </row>
    <row r="685" spans="1:22" x14ac:dyDescent="0.25">
      <c r="A685" s="18" t="s">
        <v>3473</v>
      </c>
      <c r="B685" s="18" t="s">
        <v>3470</v>
      </c>
      <c r="C685" s="18" t="s">
        <v>3472</v>
      </c>
      <c r="D685" t="s">
        <v>3471</v>
      </c>
      <c r="E685" s="13" t="s">
        <v>3474</v>
      </c>
      <c r="F685" s="9" t="s">
        <v>2736</v>
      </c>
      <c r="I685" t="s">
        <v>2800</v>
      </c>
      <c r="J685" s="63">
        <v>2</v>
      </c>
      <c r="K685" s="25">
        <v>251232.989016273</v>
      </c>
      <c r="L685" s="17">
        <v>5.0866820608344281E-3</v>
      </c>
      <c r="M685" s="63">
        <v>1</v>
      </c>
      <c r="N685" s="25">
        <v>223376.51320103399</v>
      </c>
      <c r="O685" s="17">
        <v>4.1478955311005303E-3</v>
      </c>
      <c r="P685" s="63">
        <v>0</v>
      </c>
      <c r="Q685" s="25">
        <v>198029.761396527</v>
      </c>
      <c r="R685" s="66">
        <v>4.1751100693686229E-3</v>
      </c>
      <c r="S685" s="77">
        <f t="shared" si="10"/>
        <v>4.4698958871011935E-3</v>
      </c>
      <c r="V685" s="80"/>
    </row>
    <row r="686" spans="1:22" x14ac:dyDescent="0.25">
      <c r="A686" s="18" t="s">
        <v>3050</v>
      </c>
      <c r="B686" s="18" t="s">
        <v>3047</v>
      </c>
      <c r="C686" s="18" t="s">
        <v>3049</v>
      </c>
      <c r="D686" t="s">
        <v>3048</v>
      </c>
      <c r="E686" s="13" t="s">
        <v>3051</v>
      </c>
      <c r="F686" s="9" t="s">
        <v>2736</v>
      </c>
      <c r="I686" t="s">
        <v>2287</v>
      </c>
      <c r="J686" s="63">
        <v>0</v>
      </c>
      <c r="K686" s="25">
        <v>111366.34772734001</v>
      </c>
      <c r="L686" s="17">
        <v>3.2168767313574937E-3</v>
      </c>
      <c r="M686" s="63">
        <v>2</v>
      </c>
      <c r="N686" s="25">
        <v>213169.48356898999</v>
      </c>
      <c r="O686" s="17">
        <v>5.6472608636327941E-3</v>
      </c>
      <c r="P686" s="63">
        <v>1</v>
      </c>
      <c r="Q686" s="25">
        <v>141264.72358399999</v>
      </c>
      <c r="R686" s="66">
        <v>4.2490682163019659E-3</v>
      </c>
      <c r="S686" s="77">
        <f t="shared" si="10"/>
        <v>4.3710686037640844E-3</v>
      </c>
      <c r="V686" s="80"/>
    </row>
    <row r="687" spans="1:22" x14ac:dyDescent="0.25">
      <c r="A687" s="18" t="s">
        <v>2746</v>
      </c>
      <c r="B687" s="18" t="s">
        <v>8151</v>
      </c>
      <c r="C687" s="18" t="s">
        <v>2748</v>
      </c>
      <c r="D687" t="s">
        <v>2747</v>
      </c>
      <c r="E687" s="13" t="s">
        <v>2749</v>
      </c>
      <c r="F687" s="9" t="s">
        <v>2736</v>
      </c>
      <c r="I687" t="s">
        <v>2287</v>
      </c>
      <c r="J687" s="63">
        <v>1</v>
      </c>
      <c r="K687" s="25">
        <v>241385.00230230601</v>
      </c>
      <c r="L687" s="17">
        <v>3.3308289926097961E-3</v>
      </c>
      <c r="M687" s="63">
        <v>1</v>
      </c>
      <c r="N687" s="25">
        <v>368323.44591909501</v>
      </c>
      <c r="O687" s="17">
        <v>4.6612649851578035E-3</v>
      </c>
      <c r="P687" s="63">
        <v>2</v>
      </c>
      <c r="Q687" s="25">
        <v>291717.81181248598</v>
      </c>
      <c r="R687" s="66">
        <v>4.191645420384367E-3</v>
      </c>
      <c r="S687" s="77">
        <f t="shared" si="10"/>
        <v>4.0612464660506557E-3</v>
      </c>
      <c r="V687" s="80"/>
    </row>
    <row r="688" spans="1:22" x14ac:dyDescent="0.25">
      <c r="A688" s="18" t="s">
        <v>3159</v>
      </c>
      <c r="B688" s="18" t="s">
        <v>3156</v>
      </c>
      <c r="C688" s="18" t="s">
        <v>3158</v>
      </c>
      <c r="D688" t="s">
        <v>3157</v>
      </c>
      <c r="E688" s="13" t="s">
        <v>3160</v>
      </c>
      <c r="F688" s="9" t="s">
        <v>2736</v>
      </c>
      <c r="I688" t="s">
        <v>1055</v>
      </c>
      <c r="J688" s="63">
        <v>2</v>
      </c>
      <c r="K688" s="25">
        <v>391597.38775539899</v>
      </c>
      <c r="L688" s="17">
        <v>3.9829227957803928E-3</v>
      </c>
      <c r="M688" s="63">
        <v>1</v>
      </c>
      <c r="N688" s="25">
        <v>456664.58547077898</v>
      </c>
      <c r="O688" s="17">
        <v>4.2598255063723365E-3</v>
      </c>
      <c r="P688" s="63">
        <v>1</v>
      </c>
      <c r="Q688" s="25">
        <v>344868.79151093698</v>
      </c>
      <c r="R688" s="66">
        <v>3.6525446584245551E-3</v>
      </c>
      <c r="S688" s="77">
        <f t="shared" si="10"/>
        <v>3.9650976535257612E-3</v>
      </c>
      <c r="V688" s="80"/>
    </row>
    <row r="689" spans="1:22" x14ac:dyDescent="0.25">
      <c r="A689" s="18" t="s">
        <v>2783</v>
      </c>
      <c r="B689" s="18" t="s">
        <v>2780</v>
      </c>
      <c r="C689" s="18" t="s">
        <v>2782</v>
      </c>
      <c r="D689" t="s">
        <v>2781</v>
      </c>
      <c r="E689" s="13" t="s">
        <v>2784</v>
      </c>
      <c r="F689" s="9" t="s">
        <v>2736</v>
      </c>
      <c r="I689" t="s">
        <v>2287</v>
      </c>
      <c r="J689" s="63">
        <v>1</v>
      </c>
      <c r="K689" s="25">
        <v>203168.69037325401</v>
      </c>
      <c r="L689" s="17">
        <v>4.252635271534984E-3</v>
      </c>
      <c r="M689" s="63">
        <v>1</v>
      </c>
      <c r="N689" s="25">
        <v>219378.13893868899</v>
      </c>
      <c r="O689" s="17">
        <v>4.2114056744794685E-3</v>
      </c>
      <c r="P689" s="63">
        <v>0</v>
      </c>
      <c r="Q689" s="25">
        <v>140331.34203914501</v>
      </c>
      <c r="R689" s="66">
        <v>3.0586907634259325E-3</v>
      </c>
      <c r="S689" s="77">
        <f t="shared" si="10"/>
        <v>3.8409105698134619E-3</v>
      </c>
      <c r="V689" s="80"/>
    </row>
    <row r="690" spans="1:22" x14ac:dyDescent="0.25">
      <c r="A690" s="18" t="s">
        <v>3248</v>
      </c>
      <c r="B690" s="18" t="s">
        <v>3245</v>
      </c>
      <c r="C690" s="18" t="s">
        <v>3247</v>
      </c>
      <c r="D690" t="s">
        <v>3246</v>
      </c>
      <c r="E690" s="13" t="s">
        <v>3249</v>
      </c>
      <c r="F690" s="9" t="s">
        <v>2736</v>
      </c>
      <c r="I690" t="s">
        <v>57</v>
      </c>
      <c r="J690" s="63">
        <v>0</v>
      </c>
      <c r="K690" s="25">
        <v>283143.66770743101</v>
      </c>
      <c r="L690" s="17">
        <v>3.1700607839403568E-3</v>
      </c>
      <c r="M690" s="63">
        <v>2</v>
      </c>
      <c r="N690" s="25">
        <v>414308.68435601302</v>
      </c>
      <c r="O690" s="17">
        <v>4.2541925938193092E-3</v>
      </c>
      <c r="P690" s="63">
        <v>1</v>
      </c>
      <c r="Q690" s="25">
        <v>292816.27736455301</v>
      </c>
      <c r="R690" s="66">
        <v>3.413779676587144E-3</v>
      </c>
      <c r="S690" s="77">
        <f t="shared" si="10"/>
        <v>3.6126776847822703E-3</v>
      </c>
      <c r="V690" s="80"/>
    </row>
    <row r="691" spans="1:22" x14ac:dyDescent="0.25">
      <c r="A691" s="18" t="s">
        <v>2977</v>
      </c>
      <c r="B691" s="18" t="s">
        <v>2974</v>
      </c>
      <c r="C691" s="18" t="s">
        <v>2976</v>
      </c>
      <c r="D691" t="s">
        <v>2975</v>
      </c>
      <c r="E691" s="13" t="s">
        <v>2749</v>
      </c>
      <c r="F691" s="9" t="s">
        <v>2736</v>
      </c>
      <c r="I691" t="s">
        <v>2287</v>
      </c>
      <c r="J691" s="63">
        <v>2</v>
      </c>
      <c r="K691" s="25">
        <v>250795.77472709399</v>
      </c>
      <c r="L691" s="17">
        <v>3.5395947413847141E-3</v>
      </c>
      <c r="M691" s="63">
        <v>1</v>
      </c>
      <c r="N691" s="25">
        <v>298834.60470412899</v>
      </c>
      <c r="O691" s="17">
        <v>3.8680901472016162E-3</v>
      </c>
      <c r="P691" s="63">
        <v>0</v>
      </c>
      <c r="Q691" s="25">
        <v>225393.62691186601</v>
      </c>
      <c r="R691" s="66">
        <v>3.3124893839558936E-3</v>
      </c>
      <c r="S691" s="77">
        <f t="shared" si="10"/>
        <v>3.5733914241807413E-3</v>
      </c>
      <c r="V691" s="80"/>
    </row>
    <row r="692" spans="1:22" x14ac:dyDescent="0.25">
      <c r="A692" s="18" t="s">
        <v>2750</v>
      </c>
      <c r="B692" s="18" t="s">
        <v>8152</v>
      </c>
      <c r="C692" s="18" t="s">
        <v>2752</v>
      </c>
      <c r="D692" t="s">
        <v>2751</v>
      </c>
      <c r="E692" s="13" t="s">
        <v>2753</v>
      </c>
      <c r="F692" s="9" t="s">
        <v>2736</v>
      </c>
      <c r="G692" t="s">
        <v>2754</v>
      </c>
      <c r="I692" t="s">
        <v>17</v>
      </c>
      <c r="J692" s="63">
        <v>1</v>
      </c>
      <c r="K692" s="25">
        <v>413311.57336394099</v>
      </c>
      <c r="L692" s="17">
        <v>3.7230956278610852E-3</v>
      </c>
      <c r="M692" s="63">
        <v>1</v>
      </c>
      <c r="N692" s="25">
        <v>360828.09956886701</v>
      </c>
      <c r="O692" s="17">
        <v>2.980981975820942E-3</v>
      </c>
      <c r="P692" s="63">
        <v>2</v>
      </c>
      <c r="Q692" s="25">
        <v>407794.16607586399</v>
      </c>
      <c r="R692" s="66">
        <v>3.8251385525108856E-3</v>
      </c>
      <c r="S692" s="77">
        <f t="shared" si="10"/>
        <v>3.5097387187309711E-3</v>
      </c>
      <c r="V692" s="80"/>
    </row>
    <row r="693" spans="1:22" x14ac:dyDescent="0.25">
      <c r="A693" s="18" t="s">
        <v>2742</v>
      </c>
      <c r="B693" s="18" t="s">
        <v>8150</v>
      </c>
      <c r="C693" s="18" t="s">
        <v>2744</v>
      </c>
      <c r="D693" t="s">
        <v>2743</v>
      </c>
      <c r="E693" s="13" t="s">
        <v>2745</v>
      </c>
      <c r="F693" s="9" t="s">
        <v>2736</v>
      </c>
      <c r="I693" t="s">
        <v>2127</v>
      </c>
      <c r="J693" s="63">
        <v>1</v>
      </c>
      <c r="K693" s="25">
        <v>179919.26859228199</v>
      </c>
      <c r="L693" s="17">
        <v>3.3457497728514324E-3</v>
      </c>
      <c r="M693" s="63">
        <v>1</v>
      </c>
      <c r="N693" s="25">
        <v>138402.09486836899</v>
      </c>
      <c r="O693" s="17">
        <v>2.3604283287948606E-3</v>
      </c>
      <c r="P693" s="63">
        <v>2</v>
      </c>
      <c r="Q693" s="25">
        <v>214728.434060381</v>
      </c>
      <c r="R693" s="66">
        <v>4.1580037287625785E-3</v>
      </c>
      <c r="S693" s="77">
        <f t="shared" si="10"/>
        <v>3.2880606101362907E-3</v>
      </c>
      <c r="V693" s="80"/>
    </row>
    <row r="694" spans="1:22" x14ac:dyDescent="0.25">
      <c r="A694" s="18" t="s">
        <v>3329</v>
      </c>
      <c r="B694" s="18" t="s">
        <v>3326</v>
      </c>
      <c r="C694" s="18" t="s">
        <v>3328</v>
      </c>
      <c r="D694" t="s">
        <v>3327</v>
      </c>
      <c r="E694" s="13" t="s">
        <v>3330</v>
      </c>
      <c r="F694" s="9" t="s">
        <v>2736</v>
      </c>
      <c r="I694" t="s">
        <v>57</v>
      </c>
      <c r="J694" s="63">
        <v>1</v>
      </c>
      <c r="K694" s="25">
        <v>517708.66545066802</v>
      </c>
      <c r="L694" s="17">
        <v>3.3680839387431258E-3</v>
      </c>
      <c r="M694" s="63">
        <v>2</v>
      </c>
      <c r="N694" s="25">
        <v>383081.09953595803</v>
      </c>
      <c r="O694" s="17">
        <v>2.2857070700955636E-3</v>
      </c>
      <c r="P694" s="63">
        <v>2</v>
      </c>
      <c r="Q694" s="25">
        <v>534508.11388961296</v>
      </c>
      <c r="R694" s="66">
        <v>3.6210232352248935E-3</v>
      </c>
      <c r="S694" s="77">
        <f t="shared" si="10"/>
        <v>3.0916047480211944E-3</v>
      </c>
      <c r="V694" s="80"/>
    </row>
    <row r="695" spans="1:22" x14ac:dyDescent="0.25">
      <c r="A695" s="18" t="s">
        <v>3020</v>
      </c>
      <c r="B695" s="18" t="s">
        <v>3017</v>
      </c>
      <c r="C695" s="18" t="s">
        <v>3019</v>
      </c>
      <c r="D695" t="s">
        <v>3018</v>
      </c>
      <c r="E695" s="13" t="s">
        <v>3021</v>
      </c>
      <c r="F695" s="9" t="s">
        <v>2736</v>
      </c>
      <c r="I695" t="s">
        <v>2800</v>
      </c>
      <c r="J695" s="63">
        <v>2</v>
      </c>
      <c r="K695" s="25">
        <v>249946.45811744299</v>
      </c>
      <c r="L695" s="17">
        <v>3.3632783872126568E-3</v>
      </c>
      <c r="M695" s="63">
        <v>1</v>
      </c>
      <c r="N695" s="25">
        <v>214470.513472413</v>
      </c>
      <c r="O695" s="17">
        <v>2.6467675130461433E-3</v>
      </c>
      <c r="P695" s="63">
        <v>0</v>
      </c>
      <c r="Q695" s="25">
        <v>208174.36883285001</v>
      </c>
      <c r="R695" s="66">
        <v>2.9169072735323594E-3</v>
      </c>
      <c r="S695" s="77">
        <f t="shared" si="10"/>
        <v>2.9756510579303868E-3</v>
      </c>
      <c r="V695" s="80"/>
    </row>
    <row r="696" spans="1:22" x14ac:dyDescent="0.25">
      <c r="A696" s="18" t="s">
        <v>2932</v>
      </c>
      <c r="B696" s="18" t="s">
        <v>2929</v>
      </c>
      <c r="C696" s="18" t="s">
        <v>2931</v>
      </c>
      <c r="D696" t="s">
        <v>2930</v>
      </c>
      <c r="E696" s="13" t="s">
        <v>2933</v>
      </c>
      <c r="F696" s="9" t="s">
        <v>2736</v>
      </c>
      <c r="I696" t="s">
        <v>2127</v>
      </c>
      <c r="J696" s="63">
        <v>2</v>
      </c>
      <c r="K696" s="25">
        <v>332748.21034034499</v>
      </c>
      <c r="L696" s="17">
        <v>2.8104124743756139E-3</v>
      </c>
      <c r="M696" s="63">
        <v>0</v>
      </c>
      <c r="N696" s="25">
        <v>373522.64382299798</v>
      </c>
      <c r="O696" s="17">
        <v>2.8933678092784459E-3</v>
      </c>
      <c r="P696" s="63">
        <v>1</v>
      </c>
      <c r="Q696" s="25">
        <v>277613.38888184499</v>
      </c>
      <c r="R696" s="66">
        <v>2.4415986777479516E-3</v>
      </c>
      <c r="S696" s="77">
        <f t="shared" si="10"/>
        <v>2.7151263204673371E-3</v>
      </c>
      <c r="V696" s="80"/>
    </row>
    <row r="697" spans="1:22" x14ac:dyDescent="0.25">
      <c r="A697" s="18" t="s">
        <v>3115</v>
      </c>
      <c r="B697" s="18" t="s">
        <v>3112</v>
      </c>
      <c r="C697" s="18" t="s">
        <v>3114</v>
      </c>
      <c r="D697" t="s">
        <v>3113</v>
      </c>
      <c r="E697" s="13" t="s">
        <v>3116</v>
      </c>
      <c r="F697" s="9" t="s">
        <v>2736</v>
      </c>
      <c r="I697" t="s">
        <v>2800</v>
      </c>
      <c r="J697" s="63">
        <v>1</v>
      </c>
      <c r="K697" s="25">
        <v>410208.66610768199</v>
      </c>
      <c r="L697" s="17">
        <v>2.405094216181456E-3</v>
      </c>
      <c r="M697" s="63">
        <v>2</v>
      </c>
      <c r="N697" s="25">
        <v>513078.20065055398</v>
      </c>
      <c r="O697" s="17">
        <v>2.7589459993694271E-3</v>
      </c>
      <c r="P697" s="63">
        <v>2</v>
      </c>
      <c r="Q697" s="25">
        <v>481845.91582927702</v>
      </c>
      <c r="R697" s="66">
        <v>2.9418124550317443E-3</v>
      </c>
      <c r="S697" s="77">
        <f t="shared" si="10"/>
        <v>2.7019508901942094E-3</v>
      </c>
      <c r="V697" s="80"/>
    </row>
    <row r="698" spans="1:22" x14ac:dyDescent="0.25">
      <c r="A698" s="18" t="s">
        <v>3522</v>
      </c>
      <c r="B698" s="18" t="s">
        <v>3519</v>
      </c>
      <c r="C698" s="18" t="s">
        <v>3521</v>
      </c>
      <c r="D698" t="s">
        <v>3520</v>
      </c>
      <c r="E698" s="13" t="s">
        <v>3523</v>
      </c>
      <c r="F698" s="9" t="s">
        <v>2736</v>
      </c>
      <c r="I698" t="s">
        <v>17</v>
      </c>
      <c r="J698" s="63">
        <v>2</v>
      </c>
      <c r="K698" s="25">
        <v>244195.495486039</v>
      </c>
      <c r="L698" s="17">
        <v>2.5681011997725702E-3</v>
      </c>
      <c r="M698" s="63">
        <v>1</v>
      </c>
      <c r="N698" s="25">
        <v>270046.84195360902</v>
      </c>
      <c r="O698" s="17">
        <v>2.6046295435016827E-3</v>
      </c>
      <c r="P698" s="63">
        <v>1</v>
      </c>
      <c r="Q698" s="25">
        <v>216941.264362385</v>
      </c>
      <c r="R698" s="66">
        <v>2.3757251182299211E-3</v>
      </c>
      <c r="S698" s="77">
        <f t="shared" si="10"/>
        <v>2.5161519538347246E-3</v>
      </c>
      <c r="V698" s="80"/>
    </row>
    <row r="699" spans="1:22" x14ac:dyDescent="0.25">
      <c r="A699" s="18" t="s">
        <v>2804</v>
      </c>
      <c r="B699" s="18" t="s">
        <v>2801</v>
      </c>
      <c r="C699" s="18" t="s">
        <v>2803</v>
      </c>
      <c r="D699" t="s">
        <v>2802</v>
      </c>
      <c r="E699" s="13" t="s">
        <v>2805</v>
      </c>
      <c r="F699" s="9" t="s">
        <v>2736</v>
      </c>
      <c r="I699" t="s">
        <v>2800</v>
      </c>
      <c r="J699" s="63">
        <v>2</v>
      </c>
      <c r="K699" s="25">
        <v>439731.62016017298</v>
      </c>
      <c r="L699" s="17">
        <v>2.3668106608076868E-3</v>
      </c>
      <c r="M699" s="63">
        <v>1</v>
      </c>
      <c r="N699" s="25">
        <v>578132.87806782604</v>
      </c>
      <c r="O699" s="17">
        <v>2.8538810209742132E-3</v>
      </c>
      <c r="P699" s="63">
        <v>2</v>
      </c>
      <c r="Q699" s="25">
        <v>415319.64996660402</v>
      </c>
      <c r="R699" s="66">
        <v>2.3277580513309287E-3</v>
      </c>
      <c r="S699" s="77">
        <f t="shared" si="10"/>
        <v>2.5161499110376091E-3</v>
      </c>
      <c r="V699" s="80"/>
    </row>
    <row r="700" spans="1:22" x14ac:dyDescent="0.25">
      <c r="A700" s="18" t="s">
        <v>2937</v>
      </c>
      <c r="B700" s="18" t="s">
        <v>2934</v>
      </c>
      <c r="C700" s="18" t="s">
        <v>2936</v>
      </c>
      <c r="D700" t="s">
        <v>2935</v>
      </c>
      <c r="E700" s="13" t="s">
        <v>2938</v>
      </c>
      <c r="F700" s="9" t="s">
        <v>2736</v>
      </c>
      <c r="I700" t="s">
        <v>2127</v>
      </c>
      <c r="J700" s="63">
        <v>1</v>
      </c>
      <c r="K700" s="25">
        <v>225445.40990798199</v>
      </c>
      <c r="L700" s="17">
        <v>2.1189083543757185E-3</v>
      </c>
      <c r="M700" s="63">
        <v>0</v>
      </c>
      <c r="N700" s="25">
        <v>257836.732621262</v>
      </c>
      <c r="O700" s="17">
        <v>2.2225315728210369E-3</v>
      </c>
      <c r="P700" s="63">
        <v>1</v>
      </c>
      <c r="Q700" s="25">
        <v>233231.43062548799</v>
      </c>
      <c r="R700" s="66">
        <v>2.2826398211562033E-3</v>
      </c>
      <c r="S700" s="77">
        <f t="shared" si="10"/>
        <v>2.2080265827843196E-3</v>
      </c>
      <c r="V700" s="80"/>
    </row>
    <row r="701" spans="1:22" x14ac:dyDescent="0.25">
      <c r="A701" s="18" t="s">
        <v>2732</v>
      </c>
      <c r="B701" s="18" t="s">
        <v>8148</v>
      </c>
      <c r="C701" s="18" t="s">
        <v>2734</v>
      </c>
      <c r="D701" t="s">
        <v>2733</v>
      </c>
      <c r="E701" s="13" t="s">
        <v>2735</v>
      </c>
      <c r="F701" s="9" t="s">
        <v>2736</v>
      </c>
      <c r="I701" t="s">
        <v>2737</v>
      </c>
      <c r="J701" s="63">
        <v>2</v>
      </c>
      <c r="K701" s="25">
        <v>172190.643382938</v>
      </c>
      <c r="L701" s="17">
        <v>1.9081147670931978E-3</v>
      </c>
      <c r="M701" s="63">
        <v>2</v>
      </c>
      <c r="N701" s="25">
        <v>238882.298483833</v>
      </c>
      <c r="O701" s="17">
        <v>2.4277909447641671E-3</v>
      </c>
      <c r="P701" s="63">
        <v>3</v>
      </c>
      <c r="Q701" s="25">
        <v>184046.62090322599</v>
      </c>
      <c r="R701" s="66">
        <v>2.1237448040714174E-3</v>
      </c>
      <c r="S701" s="77">
        <f t="shared" si="10"/>
        <v>2.1532168386429276E-3</v>
      </c>
      <c r="V701" s="80"/>
    </row>
    <row r="702" spans="1:22" x14ac:dyDescent="0.25">
      <c r="A702" s="18" t="s">
        <v>3173</v>
      </c>
      <c r="B702" s="18" t="s">
        <v>8157</v>
      </c>
      <c r="C702" s="18" t="s">
        <v>3172</v>
      </c>
      <c r="D702" t="s">
        <v>3171</v>
      </c>
      <c r="E702" s="13" t="s">
        <v>3174</v>
      </c>
      <c r="F702" s="9" t="s">
        <v>2736</v>
      </c>
      <c r="I702" t="s">
        <v>2800</v>
      </c>
      <c r="J702" s="63">
        <v>1</v>
      </c>
      <c r="K702" s="25">
        <v>504466.30525172502</v>
      </c>
      <c r="L702" s="17">
        <v>2.4531616171167892E-3</v>
      </c>
      <c r="M702" s="63">
        <v>0</v>
      </c>
      <c r="N702" s="25">
        <v>370586.432908463</v>
      </c>
      <c r="O702" s="17">
        <v>1.6527831908831159E-3</v>
      </c>
      <c r="P702" s="63">
        <v>0</v>
      </c>
      <c r="Q702" s="25">
        <v>419684.65056432103</v>
      </c>
      <c r="R702" s="66">
        <v>2.1251844045361589E-3</v>
      </c>
      <c r="S702" s="77">
        <f t="shared" si="10"/>
        <v>2.0770430708453545E-3</v>
      </c>
      <c r="V702" s="80"/>
    </row>
    <row r="703" spans="1:22" x14ac:dyDescent="0.25">
      <c r="A703" s="18" t="s">
        <v>3188</v>
      </c>
      <c r="B703" s="18" t="s">
        <v>3185</v>
      </c>
      <c r="C703" s="18" t="s">
        <v>3187</v>
      </c>
      <c r="D703" t="s">
        <v>3186</v>
      </c>
      <c r="E703" s="13" t="s">
        <v>3189</v>
      </c>
      <c r="F703" s="9" t="s">
        <v>2736</v>
      </c>
      <c r="I703" t="s">
        <v>2148</v>
      </c>
      <c r="J703" s="63">
        <v>2</v>
      </c>
      <c r="K703" s="25">
        <v>239552.76712755699</v>
      </c>
      <c r="L703" s="17">
        <v>2.232132342376078E-3</v>
      </c>
      <c r="M703" s="63">
        <v>0</v>
      </c>
      <c r="N703" s="25">
        <v>196297.06953933899</v>
      </c>
      <c r="O703" s="17">
        <v>1.6775093088517551E-3</v>
      </c>
      <c r="P703" s="63">
        <v>2</v>
      </c>
      <c r="Q703" s="25">
        <v>220779.26895181401</v>
      </c>
      <c r="R703" s="66">
        <v>2.142183039964714E-3</v>
      </c>
      <c r="S703" s="77">
        <f t="shared" si="10"/>
        <v>2.0172748970641824E-3</v>
      </c>
      <c r="V703" s="80"/>
    </row>
    <row r="704" spans="1:22" x14ac:dyDescent="0.25">
      <c r="A704" s="18" t="s">
        <v>3468</v>
      </c>
      <c r="B704" s="18" t="s">
        <v>3465</v>
      </c>
      <c r="C704" s="18" t="s">
        <v>3467</v>
      </c>
      <c r="D704" t="s">
        <v>3466</v>
      </c>
      <c r="E704" s="13" t="s">
        <v>3469</v>
      </c>
      <c r="F704" s="9" t="s">
        <v>2736</v>
      </c>
      <c r="I704" t="s">
        <v>2800</v>
      </c>
      <c r="J704" s="63">
        <v>2</v>
      </c>
      <c r="K704" s="25">
        <v>229289.897787466</v>
      </c>
      <c r="L704" s="17">
        <v>1.7040724970213467E-3</v>
      </c>
      <c r="M704" s="63">
        <v>1</v>
      </c>
      <c r="N704" s="25">
        <v>192351.308678095</v>
      </c>
      <c r="O704" s="17">
        <v>1.3110844490257644E-3</v>
      </c>
      <c r="P704" s="63">
        <v>1</v>
      </c>
      <c r="Q704" s="25">
        <v>177478.112383973</v>
      </c>
      <c r="R704" s="66">
        <v>1.3734962713794346E-3</v>
      </c>
      <c r="S704" s="77">
        <f t="shared" si="10"/>
        <v>1.4628844058088486E-3</v>
      </c>
      <c r="V704" s="80"/>
    </row>
    <row r="705" spans="1:22" x14ac:dyDescent="0.25">
      <c r="A705" s="18" t="s">
        <v>3268</v>
      </c>
      <c r="B705" s="18" t="s">
        <v>3265</v>
      </c>
      <c r="C705" s="18" t="s">
        <v>3267</v>
      </c>
      <c r="D705" t="s">
        <v>3266</v>
      </c>
      <c r="E705" s="13" t="s">
        <v>3269</v>
      </c>
      <c r="F705" s="9" t="s">
        <v>2736</v>
      </c>
      <c r="I705" t="s">
        <v>57</v>
      </c>
      <c r="J705" s="63">
        <v>2</v>
      </c>
      <c r="K705" s="25">
        <v>128631.389879993</v>
      </c>
      <c r="L705" s="17">
        <v>1.3829727324417029E-3</v>
      </c>
      <c r="M705" s="63">
        <v>1</v>
      </c>
      <c r="N705" s="25">
        <v>142156.25611330799</v>
      </c>
      <c r="O705" s="17">
        <v>1.4017320602266558E-3</v>
      </c>
      <c r="P705" s="63">
        <v>2</v>
      </c>
      <c r="Q705" s="25">
        <v>130860.330776758</v>
      </c>
      <c r="R705" s="66">
        <v>1.4650559349914753E-3</v>
      </c>
      <c r="S705" s="77">
        <f t="shared" si="10"/>
        <v>1.4165869092199448E-3</v>
      </c>
      <c r="V705" s="80"/>
    </row>
    <row r="706" spans="1:22" x14ac:dyDescent="0.25">
      <c r="A706" s="18" t="s">
        <v>2778</v>
      </c>
      <c r="B706" s="18" t="s">
        <v>2775</v>
      </c>
      <c r="C706" s="18" t="s">
        <v>2777</v>
      </c>
      <c r="D706" t="s">
        <v>2776</v>
      </c>
      <c r="E706" s="13" t="s">
        <v>2779</v>
      </c>
      <c r="F706" s="9" t="s">
        <v>2736</v>
      </c>
      <c r="I706" t="s">
        <v>2148</v>
      </c>
      <c r="J706" s="63">
        <v>2</v>
      </c>
      <c r="K706" s="25">
        <v>316773.72954264103</v>
      </c>
      <c r="L706" s="17">
        <v>1.6437447682678551E-3</v>
      </c>
      <c r="M706" s="63">
        <v>0</v>
      </c>
      <c r="N706" s="25">
        <v>185222.309914493</v>
      </c>
      <c r="O706" s="17">
        <v>8.8147681962026658E-4</v>
      </c>
      <c r="P706" s="63">
        <v>0</v>
      </c>
      <c r="Q706" s="25">
        <v>149451.405127481</v>
      </c>
      <c r="R706" s="66">
        <v>8.0754134273748883E-4</v>
      </c>
      <c r="S706" s="77">
        <f t="shared" si="10"/>
        <v>1.1109209768752034E-3</v>
      </c>
      <c r="V706" s="80"/>
    </row>
    <row r="707" spans="1:22" x14ac:dyDescent="0.25">
      <c r="A707" s="18" t="s">
        <v>3015</v>
      </c>
      <c r="B707" s="18" t="s">
        <v>3012</v>
      </c>
      <c r="C707" s="18" t="s">
        <v>3014</v>
      </c>
      <c r="D707" t="s">
        <v>3013</v>
      </c>
      <c r="E707" s="13" t="s">
        <v>3016</v>
      </c>
      <c r="F707" s="9" t="s">
        <v>2736</v>
      </c>
      <c r="J707" s="63">
        <v>2</v>
      </c>
      <c r="K707" s="25">
        <v>69114.657959794597</v>
      </c>
      <c r="L707" s="17">
        <v>1.0290793779944116E-3</v>
      </c>
      <c r="M707" s="63">
        <v>2</v>
      </c>
      <c r="N707" s="25">
        <v>37741.303045709603</v>
      </c>
      <c r="O707" s="17">
        <v>5.1538049342538677E-4</v>
      </c>
      <c r="P707" s="63">
        <v>0</v>
      </c>
      <c r="Q707" s="25">
        <v>36939.1977177726</v>
      </c>
      <c r="R707" s="66">
        <v>5.7272442951979922E-4</v>
      </c>
      <c r="S707" s="77">
        <f t="shared" si="10"/>
        <v>7.0572810031319924E-4</v>
      </c>
      <c r="V707" s="80"/>
    </row>
    <row r="708" spans="1:22" x14ac:dyDescent="0.25">
      <c r="A708" s="71" t="s">
        <v>3345</v>
      </c>
      <c r="B708" s="71" t="s">
        <v>3342</v>
      </c>
      <c r="C708" s="71" t="s">
        <v>3344</v>
      </c>
      <c r="D708" s="16" t="s">
        <v>3343</v>
      </c>
      <c r="E708" s="45" t="s">
        <v>3346</v>
      </c>
      <c r="F708" s="39" t="s">
        <v>2736</v>
      </c>
      <c r="G708" s="16"/>
      <c r="H708" s="16"/>
      <c r="I708" s="16" t="s">
        <v>2800</v>
      </c>
      <c r="J708" s="72">
        <v>2</v>
      </c>
      <c r="K708" s="73">
        <v>62945.462005111003</v>
      </c>
      <c r="L708" s="30">
        <v>3.0992274831247445E-4</v>
      </c>
      <c r="M708" s="72">
        <v>0</v>
      </c>
      <c r="N708" s="73">
        <v>35181.759230969699</v>
      </c>
      <c r="O708" s="30">
        <v>1.588689245154284E-4</v>
      </c>
      <c r="P708" s="72">
        <v>0</v>
      </c>
      <c r="Q708" s="73">
        <v>39101.323940246497</v>
      </c>
      <c r="R708" s="74">
        <v>2.0047491079153672E-4</v>
      </c>
      <c r="S708" s="78">
        <f t="shared" si="10"/>
        <v>2.2308886120647988E-4</v>
      </c>
      <c r="T708" s="58"/>
      <c r="U708" s="58"/>
      <c r="V708" s="81"/>
    </row>
    <row r="709" spans="1:22" x14ac:dyDescent="0.25">
      <c r="A709" s="18" t="s">
        <v>3619</v>
      </c>
      <c r="B709" s="18" t="s">
        <v>3616</v>
      </c>
      <c r="C709" s="18" t="s">
        <v>3618</v>
      </c>
      <c r="D709" t="s">
        <v>3617</v>
      </c>
      <c r="E709" s="13" t="s">
        <v>3620</v>
      </c>
      <c r="F709" s="10" t="s">
        <v>3546</v>
      </c>
      <c r="J709" s="63">
        <v>6</v>
      </c>
      <c r="K709" s="25">
        <v>26068330.571922999</v>
      </c>
      <c r="L709" s="17">
        <v>0.57334851857833369</v>
      </c>
      <c r="M709" s="63">
        <v>6</v>
      </c>
      <c r="N709" s="25">
        <v>25677461.2942385</v>
      </c>
      <c r="O709" s="17">
        <v>0.5179524988051063</v>
      </c>
      <c r="P709" s="63">
        <v>8</v>
      </c>
      <c r="Q709" s="25">
        <v>27196746.7343245</v>
      </c>
      <c r="R709" s="66">
        <v>0.62287653342716043</v>
      </c>
      <c r="S709" s="77">
        <f t="shared" ref="S709:S771" si="11">AVERAGE(L709,O709,R709)</f>
        <v>0.57139251693686688</v>
      </c>
      <c r="T709" s="20">
        <f>SUM('R. pomeroyi'!L709:L771)</f>
        <v>3.2198598610173685</v>
      </c>
      <c r="U709" s="20">
        <f>SUM('R. pomeroyi'!O709:O771)</f>
        <v>3.1708425981466748</v>
      </c>
      <c r="V709" s="80">
        <f>SUM('R. pomeroyi'!R709:R771)</f>
        <v>3.3114661123806739</v>
      </c>
    </row>
    <row r="710" spans="1:22" x14ac:dyDescent="0.25">
      <c r="A710" s="18" t="s">
        <v>3570</v>
      </c>
      <c r="B710" s="18" t="s">
        <v>8167</v>
      </c>
      <c r="C710" s="18" t="s">
        <v>3572</v>
      </c>
      <c r="D710" t="s">
        <v>3571</v>
      </c>
      <c r="E710" s="13" t="s">
        <v>3573</v>
      </c>
      <c r="F710" s="10" t="s">
        <v>3546</v>
      </c>
      <c r="I710" t="s">
        <v>553</v>
      </c>
      <c r="J710" s="63">
        <v>16</v>
      </c>
      <c r="K710" s="25">
        <v>21789246.060308199</v>
      </c>
      <c r="L710" s="17">
        <v>0.28871287527390582</v>
      </c>
      <c r="M710" s="63">
        <v>16</v>
      </c>
      <c r="N710" s="25">
        <v>23395529.5144796</v>
      </c>
      <c r="O710" s="17">
        <v>0.28430807967516869</v>
      </c>
      <c r="P710" s="63">
        <v>15</v>
      </c>
      <c r="Q710" s="25">
        <v>22269566.962471001</v>
      </c>
      <c r="R710" s="66">
        <v>0.30726653149385252</v>
      </c>
      <c r="S710" s="77">
        <f t="shared" si="11"/>
        <v>0.29342916214764236</v>
      </c>
      <c r="T710" s="20" t="s">
        <v>8174</v>
      </c>
      <c r="U710" s="69">
        <f>AVERAGE(T709:V709)</f>
        <v>3.2340561905149059</v>
      </c>
      <c r="V710" s="80"/>
    </row>
    <row r="711" spans="1:22" x14ac:dyDescent="0.25">
      <c r="A711" s="18" t="s">
        <v>3566</v>
      </c>
      <c r="B711" s="18" t="s">
        <v>8166</v>
      </c>
      <c r="C711" s="18" t="s">
        <v>3568</v>
      </c>
      <c r="D711" t="s">
        <v>3567</v>
      </c>
      <c r="E711" s="13" t="s">
        <v>3569</v>
      </c>
      <c r="F711" s="10" t="s">
        <v>3546</v>
      </c>
      <c r="J711" s="63">
        <v>13</v>
      </c>
      <c r="K711" s="25">
        <v>14697713.234884599</v>
      </c>
      <c r="L711" s="17">
        <v>0.24587915210474007</v>
      </c>
      <c r="M711" s="63">
        <v>12</v>
      </c>
      <c r="N711" s="25">
        <v>15085572.7131078</v>
      </c>
      <c r="O711" s="17">
        <v>0.23145475852579619</v>
      </c>
      <c r="P711" s="63">
        <v>10</v>
      </c>
      <c r="Q711" s="25">
        <v>13489101.427537</v>
      </c>
      <c r="R711" s="66">
        <v>0.23498194524189425</v>
      </c>
      <c r="S711" s="77">
        <f t="shared" si="11"/>
        <v>0.2374386186241435</v>
      </c>
      <c r="T711" s="20" t="s">
        <v>8085</v>
      </c>
      <c r="U711" s="70">
        <f>STDEV(T709:V709)</f>
        <v>7.1378533308564987E-2</v>
      </c>
      <c r="V711" s="80"/>
    </row>
    <row r="712" spans="1:22" x14ac:dyDescent="0.25">
      <c r="A712" s="18" t="s">
        <v>3578</v>
      </c>
      <c r="B712" s="18" t="s">
        <v>8169</v>
      </c>
      <c r="C712" s="18" t="s">
        <v>3580</v>
      </c>
      <c r="D712" t="s">
        <v>3579</v>
      </c>
      <c r="E712" s="13" t="s">
        <v>3581</v>
      </c>
      <c r="F712" s="10" t="s">
        <v>3546</v>
      </c>
      <c r="J712" s="63">
        <v>14</v>
      </c>
      <c r="K712" s="25">
        <v>7819872.9499670099</v>
      </c>
      <c r="L712" s="17">
        <v>0.16368204896560118</v>
      </c>
      <c r="M712" s="63">
        <v>14</v>
      </c>
      <c r="N712" s="25">
        <v>10705508.5823202</v>
      </c>
      <c r="O712" s="17">
        <v>0.20551382106661073</v>
      </c>
      <c r="P712" s="63">
        <v>13</v>
      </c>
      <c r="Q712" s="25">
        <v>9143269.7418479491</v>
      </c>
      <c r="R712" s="66">
        <v>0.19928858586060536</v>
      </c>
      <c r="S712" s="77">
        <f t="shared" si="11"/>
        <v>0.18949481863093909</v>
      </c>
      <c r="V712" s="80"/>
    </row>
    <row r="713" spans="1:22" x14ac:dyDescent="0.25">
      <c r="A713" s="18" t="s">
        <v>3723</v>
      </c>
      <c r="B713" s="18" t="s">
        <v>3720</v>
      </c>
      <c r="C713" s="18" t="s">
        <v>3722</v>
      </c>
      <c r="D713" t="s">
        <v>3721</v>
      </c>
      <c r="E713" s="13" t="s">
        <v>3724</v>
      </c>
      <c r="F713" s="10" t="s">
        <v>3546</v>
      </c>
      <c r="I713" t="s">
        <v>41</v>
      </c>
      <c r="J713" s="63">
        <v>7</v>
      </c>
      <c r="K713" s="25">
        <v>8607523.5935137104</v>
      </c>
      <c r="L713" s="17">
        <v>0.19323803564185582</v>
      </c>
      <c r="M713" s="63">
        <v>6</v>
      </c>
      <c r="N713" s="25">
        <v>8316175.5317273196</v>
      </c>
      <c r="O713" s="17">
        <v>0.17122627708016669</v>
      </c>
      <c r="P713" s="63">
        <v>7</v>
      </c>
      <c r="Q713" s="25">
        <v>8404984.0245243702</v>
      </c>
      <c r="R713" s="66">
        <v>0.19648564272756416</v>
      </c>
      <c r="S713" s="77">
        <f t="shared" si="11"/>
        <v>0.18698331848319558</v>
      </c>
      <c r="V713" s="80"/>
    </row>
    <row r="714" spans="1:22" x14ac:dyDescent="0.25">
      <c r="A714" s="18" t="s">
        <v>3793</v>
      </c>
      <c r="B714" s="18" t="s">
        <v>3790</v>
      </c>
      <c r="C714" s="18" t="s">
        <v>3792</v>
      </c>
      <c r="D714" t="s">
        <v>3791</v>
      </c>
      <c r="E714" s="13" t="s">
        <v>3794</v>
      </c>
      <c r="F714" s="10" t="s">
        <v>3546</v>
      </c>
      <c r="J714" s="63">
        <v>6</v>
      </c>
      <c r="K714" s="25">
        <v>4911460.2344504101</v>
      </c>
      <c r="L714" s="17">
        <v>0.12666979032020534</v>
      </c>
      <c r="M714" s="63">
        <v>7</v>
      </c>
      <c r="N714" s="25">
        <v>6286371.5632395297</v>
      </c>
      <c r="O714" s="17">
        <v>0.14869447803492244</v>
      </c>
      <c r="P714" s="63">
        <v>6</v>
      </c>
      <c r="Q714" s="25">
        <v>4953486.0644222498</v>
      </c>
      <c r="R714" s="66">
        <v>0.13303101428394631</v>
      </c>
      <c r="S714" s="77">
        <f t="shared" si="11"/>
        <v>0.13613176087969137</v>
      </c>
      <c r="V714" s="80"/>
    </row>
    <row r="715" spans="1:22" x14ac:dyDescent="0.25">
      <c r="A715" s="18" t="s">
        <v>3733</v>
      </c>
      <c r="B715" s="18" t="s">
        <v>3730</v>
      </c>
      <c r="C715" s="18" t="s">
        <v>3732</v>
      </c>
      <c r="D715" t="s">
        <v>3731</v>
      </c>
      <c r="E715" s="13" t="s">
        <v>3734</v>
      </c>
      <c r="F715" s="10" t="s">
        <v>3546</v>
      </c>
      <c r="I715" t="s">
        <v>41</v>
      </c>
      <c r="J715" s="63">
        <v>13</v>
      </c>
      <c r="K715" s="25">
        <v>12924097.2620828</v>
      </c>
      <c r="L715" s="17">
        <v>0.13175981879400264</v>
      </c>
      <c r="M715" s="63">
        <v>13</v>
      </c>
      <c r="N715" s="25">
        <v>12858429.825134199</v>
      </c>
      <c r="O715" s="17">
        <v>0.12022729736009452</v>
      </c>
      <c r="P715" s="63">
        <v>14</v>
      </c>
      <c r="Q715" s="25">
        <v>12384370.9780898</v>
      </c>
      <c r="R715" s="66">
        <v>0.13147290570372158</v>
      </c>
      <c r="S715" s="77">
        <f t="shared" si="11"/>
        <v>0.12782000728593959</v>
      </c>
      <c r="V715" s="80"/>
    </row>
    <row r="716" spans="1:22" x14ac:dyDescent="0.25">
      <c r="A716" s="18" t="s">
        <v>3550</v>
      </c>
      <c r="B716" s="18" t="s">
        <v>8162</v>
      </c>
      <c r="C716" s="18" t="s">
        <v>3552</v>
      </c>
      <c r="D716" t="s">
        <v>3551</v>
      </c>
      <c r="E716" s="13" t="s">
        <v>3553</v>
      </c>
      <c r="F716" s="10" t="s">
        <v>3546</v>
      </c>
      <c r="J716" s="63">
        <v>19</v>
      </c>
      <c r="K716" s="25">
        <v>18138516.521428298</v>
      </c>
      <c r="L716" s="17">
        <v>0.12299079478701998</v>
      </c>
      <c r="M716" s="63">
        <v>16</v>
      </c>
      <c r="N716" s="25">
        <v>17173360.974901799</v>
      </c>
      <c r="O716" s="17">
        <v>0.10679686789610075</v>
      </c>
      <c r="P716" s="63">
        <v>14</v>
      </c>
      <c r="Q716" s="25">
        <v>16297822.526227901</v>
      </c>
      <c r="R716" s="66">
        <v>0.11507473001798617</v>
      </c>
      <c r="S716" s="77">
        <f t="shared" si="11"/>
        <v>0.11495413090036898</v>
      </c>
      <c r="V716" s="80"/>
    </row>
    <row r="717" spans="1:22" x14ac:dyDescent="0.25">
      <c r="A717" s="18" t="s">
        <v>3574</v>
      </c>
      <c r="B717" s="18" t="s">
        <v>8168</v>
      </c>
      <c r="C717" s="18" t="s">
        <v>3576</v>
      </c>
      <c r="D717" t="s">
        <v>3575</v>
      </c>
      <c r="E717" s="13" t="s">
        <v>3577</v>
      </c>
      <c r="F717" s="10" t="s">
        <v>3546</v>
      </c>
      <c r="J717" s="63">
        <v>12</v>
      </c>
      <c r="K717" s="25">
        <v>10461063.275874401</v>
      </c>
      <c r="L717" s="17">
        <v>0.10540933528872266</v>
      </c>
      <c r="M717" s="63">
        <v>12</v>
      </c>
      <c r="N717" s="25">
        <v>10762384.641183199</v>
      </c>
      <c r="O717" s="17">
        <v>9.9459009393372627E-2</v>
      </c>
      <c r="P717" s="63">
        <v>15</v>
      </c>
      <c r="Q717" s="25">
        <v>10212921.6146903</v>
      </c>
      <c r="R717" s="66">
        <v>0.10716001891882938</v>
      </c>
      <c r="S717" s="77">
        <f t="shared" si="11"/>
        <v>0.10400945453364156</v>
      </c>
      <c r="V717" s="80"/>
    </row>
    <row r="718" spans="1:22" x14ac:dyDescent="0.25">
      <c r="A718" s="18" t="s">
        <v>3758</v>
      </c>
      <c r="B718" s="18" t="s">
        <v>3755</v>
      </c>
      <c r="C718" s="18" t="s">
        <v>3757</v>
      </c>
      <c r="D718" t="s">
        <v>3756</v>
      </c>
      <c r="E718" s="13" t="s">
        <v>3759</v>
      </c>
      <c r="F718" s="10" t="s">
        <v>3546</v>
      </c>
      <c r="I718" t="s">
        <v>41</v>
      </c>
      <c r="J718" s="63">
        <v>8</v>
      </c>
      <c r="K718" s="25">
        <v>8456704.1643097606</v>
      </c>
      <c r="L718" s="17">
        <v>9.8764058905304458E-2</v>
      </c>
      <c r="M718" s="63">
        <v>10</v>
      </c>
      <c r="N718" s="25">
        <v>9390844.0421870109</v>
      </c>
      <c r="O718" s="17">
        <v>0.10058536449127138</v>
      </c>
      <c r="P718" s="63">
        <v>9</v>
      </c>
      <c r="Q718" s="25">
        <v>7989619.2240891298</v>
      </c>
      <c r="R718" s="66">
        <v>9.7163558233310049E-2</v>
      </c>
      <c r="S718" s="77">
        <f t="shared" si="11"/>
        <v>9.8837660543295305E-2</v>
      </c>
      <c r="V718" s="80"/>
    </row>
    <row r="719" spans="1:22" x14ac:dyDescent="0.25">
      <c r="A719" s="18" t="s">
        <v>3748</v>
      </c>
      <c r="B719" s="18" t="s">
        <v>3745</v>
      </c>
      <c r="C719" s="18" t="s">
        <v>3747</v>
      </c>
      <c r="D719" t="s">
        <v>3746</v>
      </c>
      <c r="E719" s="13" t="s">
        <v>3749</v>
      </c>
      <c r="F719" s="10" t="s">
        <v>3546</v>
      </c>
      <c r="J719" s="63">
        <v>3</v>
      </c>
      <c r="K719" s="25">
        <v>2213585.3197486498</v>
      </c>
      <c r="L719" s="17">
        <v>7.5520393854347556E-2</v>
      </c>
      <c r="M719" s="63">
        <v>3</v>
      </c>
      <c r="N719" s="25">
        <v>2538019.9462687201</v>
      </c>
      <c r="O719" s="17">
        <v>7.9413691691021401E-2</v>
      </c>
      <c r="P719" s="63">
        <v>2</v>
      </c>
      <c r="Q719" s="25">
        <v>2307155.3057853598</v>
      </c>
      <c r="R719" s="66">
        <v>8.1964227020873998E-2</v>
      </c>
      <c r="S719" s="77">
        <f t="shared" si="11"/>
        <v>7.8966104188747652E-2</v>
      </c>
      <c r="V719" s="80"/>
    </row>
    <row r="720" spans="1:22" x14ac:dyDescent="0.25">
      <c r="A720" s="18" t="s">
        <v>3719</v>
      </c>
      <c r="B720" s="18" t="s">
        <v>3716</v>
      </c>
      <c r="C720" s="18" t="s">
        <v>3718</v>
      </c>
      <c r="D720" t="s">
        <v>3717</v>
      </c>
      <c r="E720" s="13" t="s">
        <v>2417</v>
      </c>
      <c r="F720" s="10" t="s">
        <v>3546</v>
      </c>
      <c r="J720" s="63">
        <v>5</v>
      </c>
      <c r="K720" s="25">
        <v>2741633.0080747898</v>
      </c>
      <c r="L720" s="17">
        <v>6.827029400292163E-2</v>
      </c>
      <c r="M720" s="63">
        <v>3</v>
      </c>
      <c r="N720" s="25">
        <v>3496395.4044363499</v>
      </c>
      <c r="O720" s="17">
        <v>7.9850082281128262E-2</v>
      </c>
      <c r="P720" s="63">
        <v>3</v>
      </c>
      <c r="Q720" s="25">
        <v>3016566.96996945</v>
      </c>
      <c r="R720" s="66">
        <v>7.8219486700466079E-2</v>
      </c>
      <c r="S720" s="77">
        <f t="shared" si="11"/>
        <v>7.5446620994838662E-2</v>
      </c>
      <c r="V720" s="80"/>
    </row>
    <row r="721" spans="1:22" x14ac:dyDescent="0.25">
      <c r="A721" s="18" t="s">
        <v>3547</v>
      </c>
      <c r="B721" s="18" t="s">
        <v>8161</v>
      </c>
      <c r="C721" s="18" t="s">
        <v>3549</v>
      </c>
      <c r="D721" t="s">
        <v>3548</v>
      </c>
      <c r="E721" s="13" t="s">
        <v>3208</v>
      </c>
      <c r="F721" s="10" t="s">
        <v>3546</v>
      </c>
      <c r="I721" t="s">
        <v>57</v>
      </c>
      <c r="J721" s="63">
        <v>3</v>
      </c>
      <c r="K721" s="25">
        <v>2949392.2352704299</v>
      </c>
      <c r="L721" s="17">
        <v>7.3443773998490461E-2</v>
      </c>
      <c r="M721" s="63">
        <v>2</v>
      </c>
      <c r="N721" s="25">
        <v>3151774.84714262</v>
      </c>
      <c r="O721" s="17">
        <v>7.1979696734700227E-2</v>
      </c>
      <c r="P721" s="63">
        <v>5</v>
      </c>
      <c r="Q721" s="25">
        <v>2784242.44015938</v>
      </c>
      <c r="R721" s="66">
        <v>7.2195318946002396E-2</v>
      </c>
      <c r="S721" s="77">
        <f t="shared" si="11"/>
        <v>7.2539596559731023E-2</v>
      </c>
      <c r="V721" s="80"/>
    </row>
    <row r="722" spans="1:22" x14ac:dyDescent="0.25">
      <c r="A722" s="18" t="s">
        <v>3783</v>
      </c>
      <c r="B722" s="18" t="s">
        <v>3780</v>
      </c>
      <c r="C722" s="18" t="s">
        <v>3782</v>
      </c>
      <c r="D722" t="s">
        <v>3781</v>
      </c>
      <c r="E722" s="13" t="s">
        <v>3784</v>
      </c>
      <c r="F722" s="10" t="s">
        <v>3546</v>
      </c>
      <c r="I722" t="s">
        <v>41</v>
      </c>
      <c r="J722" s="63">
        <v>6</v>
      </c>
      <c r="K722" s="25">
        <v>5318363.4328346904</v>
      </c>
      <c r="L722" s="17">
        <v>6.4188209939098809E-2</v>
      </c>
      <c r="M722" s="63">
        <v>9</v>
      </c>
      <c r="N722" s="25">
        <v>5278843.4427130399</v>
      </c>
      <c r="O722" s="17">
        <v>5.843168483563476E-2</v>
      </c>
      <c r="P722" s="63">
        <v>6</v>
      </c>
      <c r="Q722" s="25">
        <v>4603870.6435995698</v>
      </c>
      <c r="R722" s="66">
        <v>5.7860196278876889E-2</v>
      </c>
      <c r="S722" s="77">
        <f t="shared" si="11"/>
        <v>6.0160030351203486E-2</v>
      </c>
      <c r="V722" s="80"/>
    </row>
    <row r="723" spans="1:22" x14ac:dyDescent="0.25">
      <c r="A723" s="18" t="s">
        <v>3709</v>
      </c>
      <c r="B723" s="18" t="s">
        <v>3706</v>
      </c>
      <c r="C723" s="18" t="s">
        <v>3708</v>
      </c>
      <c r="D723" t="s">
        <v>3707</v>
      </c>
      <c r="E723" s="13" t="s">
        <v>3710</v>
      </c>
      <c r="F723" s="10" t="s">
        <v>3546</v>
      </c>
      <c r="I723" t="s">
        <v>41</v>
      </c>
      <c r="J723" s="63">
        <v>7</v>
      </c>
      <c r="K723" s="25">
        <v>4241090.8000319498</v>
      </c>
      <c r="L723" s="17">
        <v>5.9469021464289028E-2</v>
      </c>
      <c r="M723" s="63">
        <v>8</v>
      </c>
      <c r="N723" s="25">
        <v>4104368.1659885002</v>
      </c>
      <c r="O723" s="17">
        <v>5.278273702544263E-2</v>
      </c>
      <c r="P723" s="63">
        <v>8</v>
      </c>
      <c r="Q723" s="25">
        <v>4137230.7926475499</v>
      </c>
      <c r="R723" s="66">
        <v>6.0409119755035282E-2</v>
      </c>
      <c r="S723" s="77">
        <f t="shared" si="11"/>
        <v>5.7553626081588982E-2</v>
      </c>
      <c r="V723" s="80"/>
    </row>
    <row r="724" spans="1:22" x14ac:dyDescent="0.25">
      <c r="A724" s="18" t="s">
        <v>3614</v>
      </c>
      <c r="B724" s="18" t="s">
        <v>3611</v>
      </c>
      <c r="C724" s="18" t="s">
        <v>3613</v>
      </c>
      <c r="D724" t="s">
        <v>3612</v>
      </c>
      <c r="E724" s="13" t="s">
        <v>3615</v>
      </c>
      <c r="F724" s="10" t="s">
        <v>3546</v>
      </c>
      <c r="I724" t="s">
        <v>12</v>
      </c>
      <c r="J724" s="63">
        <v>5</v>
      </c>
      <c r="K724" s="25">
        <v>3284819.16381888</v>
      </c>
      <c r="L724" s="17">
        <v>5.3106584727923241E-2</v>
      </c>
      <c r="M724" s="63">
        <v>6</v>
      </c>
      <c r="N724" s="25">
        <v>4121555.4321728102</v>
      </c>
      <c r="O724" s="17">
        <v>6.1112552969115774E-2</v>
      </c>
      <c r="P724" s="63">
        <v>6</v>
      </c>
      <c r="Q724" s="25">
        <v>3376595.77943013</v>
      </c>
      <c r="R724" s="66">
        <v>5.6845424998623148E-2</v>
      </c>
      <c r="S724" s="77">
        <f t="shared" si="11"/>
        <v>5.7021520898554057E-2</v>
      </c>
      <c r="V724" s="80"/>
    </row>
    <row r="725" spans="1:22" x14ac:dyDescent="0.25">
      <c r="A725" s="18" t="s">
        <v>3827</v>
      </c>
      <c r="B725" s="18" t="s">
        <v>3824</v>
      </c>
      <c r="C725" s="18" t="s">
        <v>3826</v>
      </c>
      <c r="D725" t="s">
        <v>3825</v>
      </c>
      <c r="E725" s="13" t="s">
        <v>3828</v>
      </c>
      <c r="F725" s="10" t="s">
        <v>3546</v>
      </c>
      <c r="I725" t="s">
        <v>41</v>
      </c>
      <c r="J725" s="63">
        <v>5</v>
      </c>
      <c r="K725" s="25">
        <v>4692195.2907531597</v>
      </c>
      <c r="L725" s="17">
        <v>5.7757065156301135E-2</v>
      </c>
      <c r="M725" s="63">
        <v>5</v>
      </c>
      <c r="N725" s="25">
        <v>4362854.3196129901</v>
      </c>
      <c r="O725" s="17">
        <v>4.9252935947861128E-2</v>
      </c>
      <c r="P725" s="63">
        <v>5</v>
      </c>
      <c r="Q725" s="25">
        <v>4854217.7804449601</v>
      </c>
      <c r="R725" s="66">
        <v>6.2219688391148574E-2</v>
      </c>
      <c r="S725" s="77">
        <f t="shared" si="11"/>
        <v>5.6409896498436946E-2</v>
      </c>
      <c r="V725" s="80"/>
    </row>
    <row r="726" spans="1:22" x14ac:dyDescent="0.25">
      <c r="A726" s="18" t="s">
        <v>3543</v>
      </c>
      <c r="B726" s="18" t="s">
        <v>8160</v>
      </c>
      <c r="C726" s="18" t="s">
        <v>3545</v>
      </c>
      <c r="D726" t="s">
        <v>3544</v>
      </c>
      <c r="E726" s="13" t="s">
        <v>2417</v>
      </c>
      <c r="F726" s="10" t="s">
        <v>3546</v>
      </c>
      <c r="J726" s="63">
        <v>3</v>
      </c>
      <c r="K726" s="25">
        <v>1198643.3045774901</v>
      </c>
      <c r="L726" s="17">
        <v>5.3541425627657221E-2</v>
      </c>
      <c r="M726" s="63">
        <v>2</v>
      </c>
      <c r="N726" s="25">
        <v>1251479.5165561</v>
      </c>
      <c r="O726" s="17">
        <v>5.1269146428777244E-2</v>
      </c>
      <c r="P726" s="63">
        <v>3</v>
      </c>
      <c r="Q726" s="25">
        <v>1351351.84631843</v>
      </c>
      <c r="R726" s="66">
        <v>6.2856174179240998E-2</v>
      </c>
      <c r="S726" s="77">
        <f t="shared" si="11"/>
        <v>5.5888915411891817E-2</v>
      </c>
      <c r="V726" s="80"/>
    </row>
    <row r="727" spans="1:22" x14ac:dyDescent="0.25">
      <c r="A727" s="18" t="s">
        <v>3837</v>
      </c>
      <c r="B727" s="18" t="s">
        <v>3834</v>
      </c>
      <c r="C727" s="18" t="s">
        <v>3836</v>
      </c>
      <c r="D727" t="s">
        <v>3835</v>
      </c>
      <c r="E727" s="13" t="s">
        <v>3838</v>
      </c>
      <c r="F727" s="10" t="s">
        <v>3546</v>
      </c>
      <c r="J727" s="63">
        <v>3</v>
      </c>
      <c r="K727" s="25">
        <v>1378778.60663111</v>
      </c>
      <c r="L727" s="17">
        <v>5.2867380702040147E-2</v>
      </c>
      <c r="M727" s="63">
        <v>3</v>
      </c>
      <c r="N727" s="25">
        <v>1510214.26739008</v>
      </c>
      <c r="O727" s="17">
        <v>5.3108520244052465E-2</v>
      </c>
      <c r="P727" s="63">
        <v>2</v>
      </c>
      <c r="Q727" s="25">
        <v>1296538.4088829099</v>
      </c>
      <c r="R727" s="66">
        <v>5.1767617981633422E-2</v>
      </c>
      <c r="S727" s="77">
        <f t="shared" si="11"/>
        <v>5.2581172975908676E-2</v>
      </c>
      <c r="V727" s="80"/>
    </row>
    <row r="728" spans="1:22" x14ac:dyDescent="0.25">
      <c r="A728" s="18" t="s">
        <v>3773</v>
      </c>
      <c r="B728" s="18" t="s">
        <v>3770</v>
      </c>
      <c r="C728" s="18" t="s">
        <v>3772</v>
      </c>
      <c r="D728" t="s">
        <v>3771</v>
      </c>
      <c r="E728" s="13" t="s">
        <v>3774</v>
      </c>
      <c r="F728" s="10" t="s">
        <v>3546</v>
      </c>
      <c r="J728" s="63">
        <v>4</v>
      </c>
      <c r="K728" s="25">
        <v>2473041.16269089</v>
      </c>
      <c r="L728" s="17">
        <v>5.0071346789374291E-2</v>
      </c>
      <c r="M728" s="63">
        <v>5</v>
      </c>
      <c r="N728" s="25">
        <v>2587802.7231183001</v>
      </c>
      <c r="O728" s="17">
        <v>4.8053106375296653E-2</v>
      </c>
      <c r="P728" s="63">
        <v>6</v>
      </c>
      <c r="Q728" s="25">
        <v>2489624.3956230502</v>
      </c>
      <c r="R728" s="66">
        <v>5.2489362254485285E-2</v>
      </c>
      <c r="S728" s="77">
        <f t="shared" si="11"/>
        <v>5.0204605139718743E-2</v>
      </c>
      <c r="V728" s="80"/>
    </row>
    <row r="729" spans="1:22" x14ac:dyDescent="0.25">
      <c r="A729" s="18" t="s">
        <v>3658</v>
      </c>
      <c r="B729" s="18" t="s">
        <v>3655</v>
      </c>
      <c r="C729" s="18" t="s">
        <v>3657</v>
      </c>
      <c r="D729" t="s">
        <v>3656</v>
      </c>
      <c r="E729" s="13" t="s">
        <v>3659</v>
      </c>
      <c r="F729" s="10" t="s">
        <v>3546</v>
      </c>
      <c r="J729" s="63">
        <v>2</v>
      </c>
      <c r="K729" s="25">
        <v>1397461.3902259299</v>
      </c>
      <c r="L729" s="17">
        <v>4.4196812804255359E-2</v>
      </c>
      <c r="M729" s="63">
        <v>2</v>
      </c>
      <c r="N729" s="25">
        <v>1748914.7457685</v>
      </c>
      <c r="O729" s="17">
        <v>5.0728514842747971E-2</v>
      </c>
      <c r="P729" s="63">
        <v>2</v>
      </c>
      <c r="Q729" s="25">
        <v>1434857.59800042</v>
      </c>
      <c r="R729" s="66">
        <v>4.7254097512155611E-2</v>
      </c>
      <c r="S729" s="77">
        <f t="shared" si="11"/>
        <v>4.7393141719719645E-2</v>
      </c>
      <c r="V729" s="80"/>
    </row>
    <row r="730" spans="1:22" x14ac:dyDescent="0.25">
      <c r="A730" s="18" t="s">
        <v>3624</v>
      </c>
      <c r="B730" s="18" t="s">
        <v>3621</v>
      </c>
      <c r="C730" s="18" t="s">
        <v>3623</v>
      </c>
      <c r="D730" t="s">
        <v>3622</v>
      </c>
      <c r="E730" s="13" t="s">
        <v>3625</v>
      </c>
      <c r="F730" s="10" t="s">
        <v>3546</v>
      </c>
      <c r="J730" s="63">
        <v>3</v>
      </c>
      <c r="K730" s="25">
        <v>3392484.4637919599</v>
      </c>
      <c r="L730" s="17">
        <v>3.9197493877712972E-2</v>
      </c>
      <c r="M730" s="63">
        <v>4</v>
      </c>
      <c r="N730" s="25">
        <v>3528290.0480756201</v>
      </c>
      <c r="O730" s="17">
        <v>3.7388417836259319E-2</v>
      </c>
      <c r="P730" s="63">
        <v>4</v>
      </c>
      <c r="Q730" s="25">
        <v>2518936.8228824702</v>
      </c>
      <c r="R730" s="66">
        <v>3.0306602020477399E-2</v>
      </c>
      <c r="S730" s="77">
        <f t="shared" si="11"/>
        <v>3.5630837911483228E-2</v>
      </c>
      <c r="V730" s="80"/>
    </row>
    <row r="731" spans="1:22" x14ac:dyDescent="0.25">
      <c r="A731" s="18" t="s">
        <v>3609</v>
      </c>
      <c r="B731" s="18" t="s">
        <v>3606</v>
      </c>
      <c r="C731" s="18" t="s">
        <v>3608</v>
      </c>
      <c r="D731" t="s">
        <v>3607</v>
      </c>
      <c r="E731" s="13" t="s">
        <v>3610</v>
      </c>
      <c r="F731" s="10" t="s">
        <v>3546</v>
      </c>
      <c r="I731" t="s">
        <v>57</v>
      </c>
      <c r="J731" s="63">
        <v>5</v>
      </c>
      <c r="K731" s="25">
        <v>3306623.22833633</v>
      </c>
      <c r="L731" s="17">
        <v>3.4111995293241132E-2</v>
      </c>
      <c r="M731" s="63">
        <v>9</v>
      </c>
      <c r="N731" s="25">
        <v>3770079.5829140199</v>
      </c>
      <c r="O731" s="17">
        <v>3.5670180172591145E-2</v>
      </c>
      <c r="P731" s="63">
        <v>4</v>
      </c>
      <c r="Q731" s="25">
        <v>3370968.6132564102</v>
      </c>
      <c r="R731" s="66">
        <v>3.6212345641727546E-2</v>
      </c>
      <c r="S731" s="77">
        <f t="shared" si="11"/>
        <v>3.5331507035853277E-2</v>
      </c>
      <c r="V731" s="80"/>
    </row>
    <row r="732" spans="1:22" x14ac:dyDescent="0.25">
      <c r="A732" s="18" t="s">
        <v>3639</v>
      </c>
      <c r="B732" s="18" t="s">
        <v>3636</v>
      </c>
      <c r="C732" s="18" t="s">
        <v>3638</v>
      </c>
      <c r="D732" t="s">
        <v>3637</v>
      </c>
      <c r="E732" s="13" t="s">
        <v>3573</v>
      </c>
      <c r="F732" s="10" t="s">
        <v>3546</v>
      </c>
      <c r="I732" t="s">
        <v>553</v>
      </c>
      <c r="J732" s="63">
        <v>5</v>
      </c>
      <c r="K732" s="25">
        <v>2473321.5078379801</v>
      </c>
      <c r="L732" s="17">
        <v>3.0794491094637805E-2</v>
      </c>
      <c r="M732" s="63">
        <v>4</v>
      </c>
      <c r="N732" s="25">
        <v>2726903.1384295099</v>
      </c>
      <c r="O732" s="17">
        <v>3.1138274535537799E-2</v>
      </c>
      <c r="P732" s="63">
        <v>4</v>
      </c>
      <c r="Q732" s="25">
        <v>2380536.6572459601</v>
      </c>
      <c r="R732" s="66">
        <v>3.0863620343112845E-2</v>
      </c>
      <c r="S732" s="77">
        <f t="shared" si="11"/>
        <v>3.093212865776282E-2</v>
      </c>
      <c r="V732" s="80"/>
    </row>
    <row r="733" spans="1:22" x14ac:dyDescent="0.25">
      <c r="A733" s="18" t="s">
        <v>3778</v>
      </c>
      <c r="B733" s="18" t="s">
        <v>3775</v>
      </c>
      <c r="C733" s="18" t="s">
        <v>3777</v>
      </c>
      <c r="D733" t="s">
        <v>3776</v>
      </c>
      <c r="E733" s="13" t="s">
        <v>3779</v>
      </c>
      <c r="F733" s="10" t="s">
        <v>3546</v>
      </c>
      <c r="I733" t="s">
        <v>1055</v>
      </c>
      <c r="J733" s="63">
        <v>7</v>
      </c>
      <c r="K733" s="25">
        <v>3995538.2652268298</v>
      </c>
      <c r="L733" s="17">
        <v>2.6840294754710288E-2</v>
      </c>
      <c r="M733" s="63">
        <v>7</v>
      </c>
      <c r="N733" s="25">
        <v>3796638.28944798</v>
      </c>
      <c r="O733" s="17">
        <v>2.3390719676782943E-2</v>
      </c>
      <c r="P733" s="63">
        <v>8</v>
      </c>
      <c r="Q733" s="25">
        <v>4055573.3140895599</v>
      </c>
      <c r="R733" s="66">
        <v>2.8368983885369545E-2</v>
      </c>
      <c r="S733" s="77">
        <f t="shared" si="11"/>
        <v>2.619999943895426E-2</v>
      </c>
      <c r="V733" s="80"/>
    </row>
    <row r="734" spans="1:22" x14ac:dyDescent="0.25">
      <c r="A734" s="18" t="s">
        <v>3705</v>
      </c>
      <c r="B734" s="18" t="s">
        <v>3702</v>
      </c>
      <c r="C734" s="18" t="s">
        <v>3704</v>
      </c>
      <c r="D734" t="s">
        <v>3703</v>
      </c>
      <c r="E734" s="13" t="s">
        <v>2115</v>
      </c>
      <c r="F734" s="10" t="s">
        <v>3546</v>
      </c>
      <c r="I734" t="s">
        <v>41</v>
      </c>
      <c r="J734" s="63">
        <v>2</v>
      </c>
      <c r="K734" s="25">
        <v>1312611.7852372101</v>
      </c>
      <c r="L734" s="17">
        <v>2.9933286297674524E-2</v>
      </c>
      <c r="M734" s="63">
        <v>2</v>
      </c>
      <c r="N734" s="25">
        <v>1235156.7890278299</v>
      </c>
      <c r="O734" s="17">
        <v>2.5832864406184635E-2</v>
      </c>
      <c r="P734" s="63">
        <v>3</v>
      </c>
      <c r="Q734" s="25">
        <v>904997.52610073204</v>
      </c>
      <c r="R734" s="66">
        <v>2.1490426252062138E-2</v>
      </c>
      <c r="S734" s="77">
        <f t="shared" si="11"/>
        <v>2.575219231864043E-2</v>
      </c>
      <c r="V734" s="80"/>
    </row>
    <row r="735" spans="1:22" x14ac:dyDescent="0.25">
      <c r="A735" s="18" t="s">
        <v>3599</v>
      </c>
      <c r="B735" s="18" t="s">
        <v>3596</v>
      </c>
      <c r="C735" s="18" t="s">
        <v>3598</v>
      </c>
      <c r="D735" t="s">
        <v>3597</v>
      </c>
      <c r="E735" s="13" t="s">
        <v>3600</v>
      </c>
      <c r="F735" s="10" t="s">
        <v>3546</v>
      </c>
      <c r="I735" t="s">
        <v>547</v>
      </c>
      <c r="J735" s="63">
        <v>5</v>
      </c>
      <c r="K735" s="25">
        <v>2228415.8633322199</v>
      </c>
      <c r="L735" s="17">
        <v>2.8232012430658714E-2</v>
      </c>
      <c r="M735" s="63">
        <v>3</v>
      </c>
      <c r="N735" s="25">
        <v>2067537.8431221901</v>
      </c>
      <c r="O735" s="17">
        <v>2.4023232079831432E-2</v>
      </c>
      <c r="P735" s="63">
        <v>2</v>
      </c>
      <c r="Q735" s="25">
        <v>1833866.4968355901</v>
      </c>
      <c r="R735" s="66">
        <v>2.4193173995720442E-2</v>
      </c>
      <c r="S735" s="77">
        <f t="shared" si="11"/>
        <v>2.5482806168736865E-2</v>
      </c>
      <c r="V735" s="80"/>
    </row>
    <row r="736" spans="1:22" x14ac:dyDescent="0.25">
      <c r="A736" s="18" t="s">
        <v>3696</v>
      </c>
      <c r="B736" s="18" t="s">
        <v>3693</v>
      </c>
      <c r="C736" s="18" t="s">
        <v>3695</v>
      </c>
      <c r="D736" t="s">
        <v>3694</v>
      </c>
      <c r="E736" s="13" t="s">
        <v>3697</v>
      </c>
      <c r="F736" s="10" t="s">
        <v>3546</v>
      </c>
      <c r="J736" s="63">
        <v>2</v>
      </c>
      <c r="K736" s="25">
        <v>1106573.49751323</v>
      </c>
      <c r="L736" s="17">
        <v>2.4215128365582435E-2</v>
      </c>
      <c r="M736" s="63">
        <v>2</v>
      </c>
      <c r="N736" s="25">
        <v>1320582.2055784101</v>
      </c>
      <c r="O736" s="17">
        <v>2.6503566914018967E-2</v>
      </c>
      <c r="P736" s="63">
        <v>3</v>
      </c>
      <c r="Q736" s="25">
        <v>1028279.11826409</v>
      </c>
      <c r="R736" s="66">
        <v>2.3431336700496054E-2</v>
      </c>
      <c r="S736" s="77">
        <f t="shared" si="11"/>
        <v>2.471667732669915E-2</v>
      </c>
      <c r="V736" s="80"/>
    </row>
    <row r="737" spans="1:22" x14ac:dyDescent="0.25">
      <c r="A737" s="18" t="s">
        <v>3798</v>
      </c>
      <c r="B737" s="18" t="s">
        <v>3795</v>
      </c>
      <c r="C737" s="18" t="s">
        <v>3797</v>
      </c>
      <c r="D737" t="s">
        <v>3796</v>
      </c>
      <c r="E737" s="13" t="s">
        <v>3799</v>
      </c>
      <c r="F737" s="10" t="s">
        <v>3546</v>
      </c>
      <c r="J737" s="63">
        <v>5</v>
      </c>
      <c r="K737" s="25">
        <v>3277115.1011209898</v>
      </c>
      <c r="L737" s="17">
        <v>2.7951150214845708E-2</v>
      </c>
      <c r="M737" s="63">
        <v>2</v>
      </c>
      <c r="N737" s="25">
        <v>3209217.3831870002</v>
      </c>
      <c r="O737" s="17">
        <v>2.5103801903975913E-2</v>
      </c>
      <c r="P737" s="63">
        <v>2</v>
      </c>
      <c r="Q737" s="25">
        <v>2349373.27350308</v>
      </c>
      <c r="R737" s="66">
        <v>2.0866016676825992E-2</v>
      </c>
      <c r="S737" s="77">
        <f t="shared" si="11"/>
        <v>2.4640322931882536E-2</v>
      </c>
      <c r="V737" s="80"/>
    </row>
    <row r="738" spans="1:22" x14ac:dyDescent="0.25">
      <c r="A738" s="18" t="s">
        <v>3822</v>
      </c>
      <c r="B738" s="18" t="s">
        <v>3819</v>
      </c>
      <c r="C738" s="18" t="s">
        <v>3821</v>
      </c>
      <c r="D738" t="s">
        <v>3820</v>
      </c>
      <c r="E738" s="13" t="s">
        <v>3823</v>
      </c>
      <c r="F738" s="10" t="s">
        <v>3546</v>
      </c>
      <c r="J738" s="63">
        <v>9</v>
      </c>
      <c r="K738" s="25">
        <v>2978265.4195457799</v>
      </c>
      <c r="L738" s="17">
        <v>2.329299510760242E-2</v>
      </c>
      <c r="M738" s="63">
        <v>7</v>
      </c>
      <c r="N738" s="25">
        <v>3331983.1203729999</v>
      </c>
      <c r="O738" s="17">
        <v>2.3899956111527079E-2</v>
      </c>
      <c r="P738" s="63">
        <v>8</v>
      </c>
      <c r="Q738" s="25">
        <v>3189482.0320294201</v>
      </c>
      <c r="R738" s="66">
        <v>2.5975363493397661E-2</v>
      </c>
      <c r="S738" s="77">
        <f t="shared" si="11"/>
        <v>2.4389438237509053E-2</v>
      </c>
      <c r="V738" s="80"/>
    </row>
    <row r="739" spans="1:22" x14ac:dyDescent="0.25">
      <c r="A739" s="18" t="s">
        <v>3817</v>
      </c>
      <c r="B739" s="18" t="s">
        <v>3814</v>
      </c>
      <c r="C739" s="18" t="s">
        <v>3816</v>
      </c>
      <c r="D739" t="s">
        <v>3815</v>
      </c>
      <c r="E739" s="13" t="s">
        <v>3818</v>
      </c>
      <c r="F739" s="10" t="s">
        <v>3546</v>
      </c>
      <c r="J739" s="63">
        <v>2</v>
      </c>
      <c r="K739" s="25">
        <v>741383.92762149603</v>
      </c>
      <c r="L739" s="17">
        <v>1.8148536183275124E-2</v>
      </c>
      <c r="M739" s="63">
        <v>4</v>
      </c>
      <c r="N739" s="25">
        <v>1001440.19176439</v>
      </c>
      <c r="O739" s="17">
        <v>2.2483081073803084E-2</v>
      </c>
      <c r="P739" s="63">
        <v>2</v>
      </c>
      <c r="Q739" s="25">
        <v>742167.22873064002</v>
      </c>
      <c r="R739" s="66">
        <v>1.8918197097684983E-2</v>
      </c>
      <c r="S739" s="77">
        <f t="shared" si="11"/>
        <v>1.9849938118254397E-2</v>
      </c>
      <c r="V739" s="80"/>
    </row>
    <row r="740" spans="1:22" x14ac:dyDescent="0.25">
      <c r="A740" s="18" t="s">
        <v>3585</v>
      </c>
      <c r="B740" s="18" t="s">
        <v>3582</v>
      </c>
      <c r="C740" s="18" t="s">
        <v>3584</v>
      </c>
      <c r="D740" t="s">
        <v>3583</v>
      </c>
      <c r="E740" s="13" t="s">
        <v>2417</v>
      </c>
      <c r="F740" s="10" t="s">
        <v>3546</v>
      </c>
      <c r="J740" s="63">
        <v>0</v>
      </c>
      <c r="K740" s="25">
        <v>907120.38646843098</v>
      </c>
      <c r="L740" s="17">
        <v>1.9172677515465177E-2</v>
      </c>
      <c r="M740" s="63">
        <v>1</v>
      </c>
      <c r="N740" s="25">
        <v>1060049.9820507499</v>
      </c>
      <c r="O740" s="17">
        <v>2.0548331218243204E-2</v>
      </c>
      <c r="P740" s="63">
        <v>3</v>
      </c>
      <c r="Q740" s="25">
        <v>817642.86995973496</v>
      </c>
      <c r="R740" s="66">
        <v>1.7995380395366415E-2</v>
      </c>
      <c r="S740" s="77">
        <f t="shared" si="11"/>
        <v>1.9238796376358266E-2</v>
      </c>
      <c r="V740" s="80"/>
    </row>
    <row r="741" spans="1:22" x14ac:dyDescent="0.25">
      <c r="A741" s="18" t="s">
        <v>3743</v>
      </c>
      <c r="B741" s="18" t="s">
        <v>3740</v>
      </c>
      <c r="C741" s="18" t="s">
        <v>3742</v>
      </c>
      <c r="D741" t="s">
        <v>3741</v>
      </c>
      <c r="E741" s="13" t="s">
        <v>3744</v>
      </c>
      <c r="F741" s="10" t="s">
        <v>3546</v>
      </c>
      <c r="I741" t="s">
        <v>57</v>
      </c>
      <c r="J741" s="63">
        <v>2</v>
      </c>
      <c r="K741" s="25">
        <v>1089790.66707442</v>
      </c>
      <c r="L741" s="17">
        <v>1.5635358465374342E-2</v>
      </c>
      <c r="M741" s="63">
        <v>2</v>
      </c>
      <c r="N741" s="25">
        <v>1484420.1018902799</v>
      </c>
      <c r="O741" s="17">
        <v>1.9532325788748597E-2</v>
      </c>
      <c r="P741" s="63">
        <v>1</v>
      </c>
      <c r="Q741" s="25">
        <v>955358.37667577295</v>
      </c>
      <c r="R741" s="66">
        <v>1.4272847037285942E-2</v>
      </c>
      <c r="S741" s="77">
        <f t="shared" si="11"/>
        <v>1.6480177097136294E-2</v>
      </c>
      <c r="V741" s="80"/>
    </row>
    <row r="742" spans="1:22" x14ac:dyDescent="0.25">
      <c r="A742" s="18" t="s">
        <v>3812</v>
      </c>
      <c r="B742" s="18" t="s">
        <v>8171</v>
      </c>
      <c r="C742" s="18" t="s">
        <v>3811</v>
      </c>
      <c r="D742" t="s">
        <v>3810</v>
      </c>
      <c r="E742" s="13" t="s">
        <v>3813</v>
      </c>
      <c r="F742" s="10" t="s">
        <v>3546</v>
      </c>
      <c r="I742" t="s">
        <v>41</v>
      </c>
      <c r="J742" s="63">
        <v>3</v>
      </c>
      <c r="K742" s="25">
        <v>1384449.52200528</v>
      </c>
      <c r="L742" s="17">
        <v>1.6125228856204252E-2</v>
      </c>
      <c r="M742" s="63">
        <v>3</v>
      </c>
      <c r="N742" s="25">
        <v>1705504.0465307899</v>
      </c>
      <c r="O742" s="17">
        <v>1.8218553396223604E-2</v>
      </c>
      <c r="P742" s="63">
        <v>2</v>
      </c>
      <c r="Q742" s="25">
        <v>1225280.6747371301</v>
      </c>
      <c r="R742" s="66">
        <v>1.4860857934487758E-2</v>
      </c>
      <c r="S742" s="77">
        <f t="shared" si="11"/>
        <v>1.6401546728971872E-2</v>
      </c>
      <c r="V742" s="80"/>
    </row>
    <row r="743" spans="1:22" x14ac:dyDescent="0.25">
      <c r="A743" s="18" t="s">
        <v>3648</v>
      </c>
      <c r="B743" s="18" t="s">
        <v>3645</v>
      </c>
      <c r="C743" s="18" t="s">
        <v>3647</v>
      </c>
      <c r="D743" t="s">
        <v>3646</v>
      </c>
      <c r="E743" s="13" t="s">
        <v>3649</v>
      </c>
      <c r="F743" s="10" t="s">
        <v>3546</v>
      </c>
      <c r="J743" s="63">
        <v>4</v>
      </c>
      <c r="K743" s="25">
        <v>1567123.78780192</v>
      </c>
      <c r="L743" s="17">
        <v>1.4570990917459932E-2</v>
      </c>
      <c r="M743" s="63">
        <v>4</v>
      </c>
      <c r="N743" s="25">
        <v>2133692.2201676201</v>
      </c>
      <c r="O743" s="17">
        <v>1.819491087256626E-2</v>
      </c>
      <c r="P743" s="63">
        <v>4</v>
      </c>
      <c r="Q743" s="25">
        <v>1278840.2558250199</v>
      </c>
      <c r="R743" s="66">
        <v>1.2381738300007612E-2</v>
      </c>
      <c r="S743" s="77">
        <f t="shared" si="11"/>
        <v>1.5049213363344601E-2</v>
      </c>
      <c r="V743" s="80"/>
    </row>
    <row r="744" spans="1:22" x14ac:dyDescent="0.25">
      <c r="A744" s="18" t="s">
        <v>3803</v>
      </c>
      <c r="B744" s="18" t="s">
        <v>3800</v>
      </c>
      <c r="C744" s="18" t="s">
        <v>3802</v>
      </c>
      <c r="D744" t="s">
        <v>3801</v>
      </c>
      <c r="E744" s="13" t="s">
        <v>3804</v>
      </c>
      <c r="F744" s="10" t="s">
        <v>3546</v>
      </c>
      <c r="I744" t="s">
        <v>41</v>
      </c>
      <c r="J744" s="63">
        <v>1</v>
      </c>
      <c r="K744" s="25">
        <v>807642.56283709395</v>
      </c>
      <c r="L744" s="17">
        <v>1.3563481941629327E-2</v>
      </c>
      <c r="M744" s="63">
        <v>3</v>
      </c>
      <c r="N744" s="25">
        <v>1108410.7619113401</v>
      </c>
      <c r="O744" s="17">
        <v>1.7072027568872803E-2</v>
      </c>
      <c r="P744" s="63">
        <v>1</v>
      </c>
      <c r="Q744" s="25">
        <v>801639.55472252902</v>
      </c>
      <c r="R744" s="66">
        <v>1.4018794538117923E-2</v>
      </c>
      <c r="S744" s="77">
        <f t="shared" si="11"/>
        <v>1.4884768016206687E-2</v>
      </c>
      <c r="V744" s="80"/>
    </row>
    <row r="745" spans="1:22" x14ac:dyDescent="0.25">
      <c r="A745" s="18" t="s">
        <v>3629</v>
      </c>
      <c r="B745" s="18" t="s">
        <v>3626</v>
      </c>
      <c r="C745" s="18" t="s">
        <v>3628</v>
      </c>
      <c r="D745" t="s">
        <v>3627</v>
      </c>
      <c r="E745" s="13" t="s">
        <v>3630</v>
      </c>
      <c r="F745" s="10" t="s">
        <v>3546</v>
      </c>
      <c r="J745" s="63">
        <v>1</v>
      </c>
      <c r="K745" s="25">
        <v>720844.06266968197</v>
      </c>
      <c r="L745" s="17">
        <v>1.6099459540288935E-2</v>
      </c>
      <c r="M745" s="63">
        <v>2</v>
      </c>
      <c r="N745" s="25">
        <v>731981.47914676496</v>
      </c>
      <c r="O745" s="17">
        <v>1.499347977376435E-2</v>
      </c>
      <c r="P745" s="63">
        <v>1</v>
      </c>
      <c r="Q745" s="25">
        <v>520450.189406402</v>
      </c>
      <c r="R745" s="66">
        <v>1.2103993436672818E-2</v>
      </c>
      <c r="S745" s="77">
        <f t="shared" si="11"/>
        <v>1.4398977583575367E-2</v>
      </c>
      <c r="V745" s="80"/>
    </row>
    <row r="746" spans="1:22" x14ac:dyDescent="0.25">
      <c r="A746" s="18" t="s">
        <v>3753</v>
      </c>
      <c r="B746" s="18" t="s">
        <v>3750</v>
      </c>
      <c r="C746" s="18" t="s">
        <v>3752</v>
      </c>
      <c r="D746" t="s">
        <v>3751</v>
      </c>
      <c r="E746" s="13" t="s">
        <v>3754</v>
      </c>
      <c r="F746" s="10" t="s">
        <v>3546</v>
      </c>
      <c r="I746" t="s">
        <v>41</v>
      </c>
      <c r="J746" s="63">
        <v>2</v>
      </c>
      <c r="K746" s="25">
        <v>771542.98809623602</v>
      </c>
      <c r="L746" s="17">
        <v>1.290720077972385E-2</v>
      </c>
      <c r="M746" s="63">
        <v>2</v>
      </c>
      <c r="N746" s="25">
        <v>958599.70402022998</v>
      </c>
      <c r="O746" s="17">
        <v>1.470759295894134E-2</v>
      </c>
      <c r="P746" s="63">
        <v>2</v>
      </c>
      <c r="Q746" s="25">
        <v>793015.08806227299</v>
      </c>
      <c r="R746" s="66">
        <v>1.3814428559239492E-2</v>
      </c>
      <c r="S746" s="77">
        <f t="shared" si="11"/>
        <v>1.3809740765968227E-2</v>
      </c>
      <c r="V746" s="80"/>
    </row>
    <row r="747" spans="1:22" x14ac:dyDescent="0.25">
      <c r="A747" s="18" t="s">
        <v>3594</v>
      </c>
      <c r="B747" s="18" t="s">
        <v>3591</v>
      </c>
      <c r="C747" s="18" t="s">
        <v>3593</v>
      </c>
      <c r="D747" t="s">
        <v>3592</v>
      </c>
      <c r="E747" s="13" t="s">
        <v>3595</v>
      </c>
      <c r="F747" s="10" t="s">
        <v>3546</v>
      </c>
      <c r="I747" t="s">
        <v>57</v>
      </c>
      <c r="J747" s="63">
        <v>4</v>
      </c>
      <c r="K747" s="25">
        <v>921680.99666337704</v>
      </c>
      <c r="L747" s="17">
        <v>1.4313575436668226E-2</v>
      </c>
      <c r="M747" s="63">
        <v>1</v>
      </c>
      <c r="N747" s="25">
        <v>993536.55865714396</v>
      </c>
      <c r="O747" s="17">
        <v>1.4150889004975572E-2</v>
      </c>
      <c r="P747" s="63">
        <v>1</v>
      </c>
      <c r="Q747" s="25">
        <v>559654.21951165795</v>
      </c>
      <c r="R747" s="66">
        <v>9.0503800694576794E-3</v>
      </c>
      <c r="S747" s="77">
        <f t="shared" si="11"/>
        <v>1.250494817036716E-2</v>
      </c>
      <c r="V747" s="80"/>
    </row>
    <row r="748" spans="1:22" x14ac:dyDescent="0.25">
      <c r="A748" s="18" t="s">
        <v>3676</v>
      </c>
      <c r="B748" s="18" t="s">
        <v>3673</v>
      </c>
      <c r="C748" s="18" t="s">
        <v>3675</v>
      </c>
      <c r="D748" t="s">
        <v>3674</v>
      </c>
      <c r="E748" s="13" t="s">
        <v>3677</v>
      </c>
      <c r="F748" s="10" t="s">
        <v>3546</v>
      </c>
      <c r="I748" t="s">
        <v>57</v>
      </c>
      <c r="J748" s="63">
        <v>4</v>
      </c>
      <c r="K748" s="25">
        <v>1454436.4911682899</v>
      </c>
      <c r="L748" s="17">
        <v>1.2189220135596994E-2</v>
      </c>
      <c r="M748" s="63">
        <v>4</v>
      </c>
      <c r="N748" s="25">
        <v>1363138.90520524</v>
      </c>
      <c r="O748" s="17">
        <v>1.0477402921593342E-2</v>
      </c>
      <c r="P748" s="63">
        <v>4</v>
      </c>
      <c r="Q748" s="25">
        <v>1356553.00179225</v>
      </c>
      <c r="R748" s="66">
        <v>1.1838521362139412E-2</v>
      </c>
      <c r="S748" s="77">
        <f t="shared" si="11"/>
        <v>1.1501714806443249E-2</v>
      </c>
      <c r="V748" s="80"/>
    </row>
    <row r="749" spans="1:22" x14ac:dyDescent="0.25">
      <c r="A749" s="18" t="s">
        <v>3634</v>
      </c>
      <c r="B749" s="18" t="s">
        <v>3631</v>
      </c>
      <c r="C749" s="18" t="s">
        <v>3633</v>
      </c>
      <c r="D749" t="s">
        <v>3632</v>
      </c>
      <c r="E749" s="13" t="s">
        <v>3635</v>
      </c>
      <c r="F749" s="10" t="s">
        <v>3546</v>
      </c>
      <c r="I749" t="s">
        <v>41</v>
      </c>
      <c r="J749" s="63">
        <v>1</v>
      </c>
      <c r="K749" s="25">
        <v>428136.69726217998</v>
      </c>
      <c r="L749" s="17">
        <v>7.9958782164066544E-3</v>
      </c>
      <c r="M749" s="63">
        <v>5</v>
      </c>
      <c r="N749" s="25">
        <v>658540.47100008396</v>
      </c>
      <c r="O749" s="17">
        <v>1.1279726270680482E-2</v>
      </c>
      <c r="P749" s="63">
        <v>5</v>
      </c>
      <c r="Q749" s="25">
        <v>740591.45179300301</v>
      </c>
      <c r="R749" s="66">
        <v>1.4402634797443723E-2</v>
      </c>
      <c r="S749" s="77">
        <f t="shared" si="11"/>
        <v>1.1226079761510285E-2</v>
      </c>
      <c r="V749" s="80"/>
    </row>
    <row r="750" spans="1:22" x14ac:dyDescent="0.25">
      <c r="A750" s="18" t="s">
        <v>3808</v>
      </c>
      <c r="B750" s="18" t="s">
        <v>3805</v>
      </c>
      <c r="C750" s="18" t="s">
        <v>3807</v>
      </c>
      <c r="D750" t="s">
        <v>3806</v>
      </c>
      <c r="E750" s="13" t="s">
        <v>3809</v>
      </c>
      <c r="F750" s="10" t="s">
        <v>3546</v>
      </c>
      <c r="J750" s="63">
        <v>3</v>
      </c>
      <c r="K750" s="25">
        <v>356098.804834946</v>
      </c>
      <c r="L750" s="17">
        <v>8.0780930246538117E-3</v>
      </c>
      <c r="M750" s="63">
        <v>3</v>
      </c>
      <c r="N750" s="25">
        <v>515422.21695127699</v>
      </c>
      <c r="O750" s="17">
        <v>1.0723433005852991E-2</v>
      </c>
      <c r="P750" s="63">
        <v>3</v>
      </c>
      <c r="Q750" s="25">
        <v>447028.97259715397</v>
      </c>
      <c r="R750" s="66">
        <v>1.0559747716769362E-2</v>
      </c>
      <c r="S750" s="77">
        <f t="shared" si="11"/>
        <v>9.7870912490920555E-3</v>
      </c>
      <c r="V750" s="80"/>
    </row>
    <row r="751" spans="1:22" x14ac:dyDescent="0.25">
      <c r="A751" s="18" t="s">
        <v>3701</v>
      </c>
      <c r="B751" s="18" t="s">
        <v>3698</v>
      </c>
      <c r="C751" s="18" t="s">
        <v>3700</v>
      </c>
      <c r="D751" t="s">
        <v>3699</v>
      </c>
      <c r="E751" s="13" t="s">
        <v>3590</v>
      </c>
      <c r="F751" s="10" t="s">
        <v>3546</v>
      </c>
      <c r="J751" s="63">
        <v>1</v>
      </c>
      <c r="K751" s="25">
        <v>1231640.9064656401</v>
      </c>
      <c r="L751" s="17">
        <v>9.580774330778764E-3</v>
      </c>
      <c r="M751" s="63">
        <v>1</v>
      </c>
      <c r="N751" s="25">
        <v>1280371.9600891999</v>
      </c>
      <c r="O751" s="17">
        <v>9.1345053599729293E-3</v>
      </c>
      <c r="P751" s="63">
        <v>1</v>
      </c>
      <c r="Q751" s="25">
        <v>1165459.63419582</v>
      </c>
      <c r="R751" s="66">
        <v>9.4404626781227786E-3</v>
      </c>
      <c r="S751" s="77">
        <f t="shared" si="11"/>
        <v>9.38524745629149E-3</v>
      </c>
      <c r="V751" s="80"/>
    </row>
    <row r="752" spans="1:22" x14ac:dyDescent="0.25">
      <c r="A752" s="18" t="s">
        <v>3691</v>
      </c>
      <c r="B752" s="18" t="s">
        <v>3688</v>
      </c>
      <c r="C752" s="18" t="s">
        <v>3690</v>
      </c>
      <c r="D752" t="s">
        <v>3689</v>
      </c>
      <c r="E752" s="13" t="s">
        <v>3692</v>
      </c>
      <c r="F752" s="10" t="s">
        <v>3546</v>
      </c>
      <c r="J752" s="63">
        <v>3</v>
      </c>
      <c r="K752" s="25">
        <v>690164.01873188699</v>
      </c>
      <c r="L752" s="17">
        <v>7.6675992827207216E-3</v>
      </c>
      <c r="M752" s="63">
        <v>3</v>
      </c>
      <c r="N752" s="25">
        <v>849359.59184806503</v>
      </c>
      <c r="O752" s="17">
        <v>8.6542824298379058E-3</v>
      </c>
      <c r="P752" s="63">
        <v>3</v>
      </c>
      <c r="Q752" s="25">
        <v>681352.42505800503</v>
      </c>
      <c r="R752" s="66">
        <v>7.8823994139483114E-3</v>
      </c>
      <c r="S752" s="77">
        <f t="shared" si="11"/>
        <v>8.0680937088356466E-3</v>
      </c>
      <c r="V752" s="80"/>
    </row>
    <row r="753" spans="1:22" x14ac:dyDescent="0.25">
      <c r="A753" s="18" t="s">
        <v>3763</v>
      </c>
      <c r="B753" s="18" t="s">
        <v>3760</v>
      </c>
      <c r="C753" s="18" t="s">
        <v>3762</v>
      </c>
      <c r="D753" t="s">
        <v>3761</v>
      </c>
      <c r="E753" s="13" t="s">
        <v>3764</v>
      </c>
      <c r="F753" s="10" t="s">
        <v>3546</v>
      </c>
      <c r="I753" t="s">
        <v>57</v>
      </c>
      <c r="J753" s="63">
        <v>3</v>
      </c>
      <c r="K753" s="25">
        <v>498796.82931401901</v>
      </c>
      <c r="L753" s="17">
        <v>6.9492029662631821E-3</v>
      </c>
      <c r="M753" s="63">
        <v>2</v>
      </c>
      <c r="N753" s="25">
        <v>403113.26290824398</v>
      </c>
      <c r="O753" s="17">
        <v>5.1507535876325001E-3</v>
      </c>
      <c r="P753" s="63">
        <v>1</v>
      </c>
      <c r="Q753" s="25">
        <v>440789.34697058401</v>
      </c>
      <c r="R753" s="66">
        <v>6.3947259817977928E-3</v>
      </c>
      <c r="S753" s="77">
        <f t="shared" si="11"/>
        <v>6.1648941785644911E-3</v>
      </c>
      <c r="V753" s="80"/>
    </row>
    <row r="754" spans="1:22" x14ac:dyDescent="0.25">
      <c r="A754" s="18" t="s">
        <v>3686</v>
      </c>
      <c r="B754" s="18" t="s">
        <v>3683</v>
      </c>
      <c r="C754" s="18" t="s">
        <v>3685</v>
      </c>
      <c r="D754" t="s">
        <v>3684</v>
      </c>
      <c r="E754" s="13" t="s">
        <v>3687</v>
      </c>
      <c r="F754" s="10" t="s">
        <v>3546</v>
      </c>
      <c r="I754" t="s">
        <v>57</v>
      </c>
      <c r="J754" s="63">
        <v>1</v>
      </c>
      <c r="K754" s="25">
        <v>486453.86882459099</v>
      </c>
      <c r="L754" s="17">
        <v>6.1629303118770819E-3</v>
      </c>
      <c r="M754" s="63">
        <v>1</v>
      </c>
      <c r="N754" s="25">
        <v>539300.92568742996</v>
      </c>
      <c r="O754" s="17">
        <v>6.2662704538904929E-3</v>
      </c>
      <c r="P754" s="63">
        <v>0</v>
      </c>
      <c r="Q754" s="25">
        <v>397445.36367867602</v>
      </c>
      <c r="R754" s="66">
        <v>5.2432741717363136E-3</v>
      </c>
      <c r="S754" s="77">
        <f t="shared" si="11"/>
        <v>5.8908249791679622E-3</v>
      </c>
      <c r="V754" s="80"/>
    </row>
    <row r="755" spans="1:22" x14ac:dyDescent="0.25">
      <c r="A755" s="18" t="s">
        <v>3738</v>
      </c>
      <c r="B755" s="18" t="s">
        <v>3735</v>
      </c>
      <c r="C755" s="18" t="s">
        <v>3737</v>
      </c>
      <c r="D755" t="s">
        <v>3736</v>
      </c>
      <c r="E755" s="13" t="s">
        <v>3739</v>
      </c>
      <c r="F755" s="10" t="s">
        <v>3546</v>
      </c>
      <c r="J755" s="63">
        <v>1</v>
      </c>
      <c r="K755" s="25">
        <v>337113.33867487899</v>
      </c>
      <c r="L755" s="17">
        <v>6.1892159347524105E-3</v>
      </c>
      <c r="M755" s="63">
        <v>2</v>
      </c>
      <c r="N755" s="25">
        <v>383668.06861663598</v>
      </c>
      <c r="O755" s="17">
        <v>6.4602262544551899E-3</v>
      </c>
      <c r="P755" s="63">
        <v>1</v>
      </c>
      <c r="Q755" s="25">
        <v>194454.24778376799</v>
      </c>
      <c r="R755" s="66">
        <v>3.7175487312481508E-3</v>
      </c>
      <c r="S755" s="77">
        <f t="shared" si="11"/>
        <v>5.4556636401519171E-3</v>
      </c>
      <c r="V755" s="80"/>
    </row>
    <row r="756" spans="1:22" x14ac:dyDescent="0.25">
      <c r="A756" s="18" t="s">
        <v>3667</v>
      </c>
      <c r="B756" s="18" t="s">
        <v>8170</v>
      </c>
      <c r="C756" s="18" t="s">
        <v>3666</v>
      </c>
      <c r="D756" t="s">
        <v>3665</v>
      </c>
      <c r="E756" s="13" t="s">
        <v>2427</v>
      </c>
      <c r="F756" s="10" t="s">
        <v>3546</v>
      </c>
      <c r="J756" s="63">
        <v>2</v>
      </c>
      <c r="K756" s="25">
        <v>501333.82895018603</v>
      </c>
      <c r="L756" s="17">
        <v>5.7012979316175957E-3</v>
      </c>
      <c r="M756" s="63">
        <v>2</v>
      </c>
      <c r="N756" s="25">
        <v>482650.21841113199</v>
      </c>
      <c r="O756" s="17">
        <v>5.033981404264286E-3</v>
      </c>
      <c r="P756" s="63">
        <v>2</v>
      </c>
      <c r="Q756" s="25">
        <v>408479.61013488501</v>
      </c>
      <c r="R756" s="66">
        <v>4.8372289769625853E-3</v>
      </c>
      <c r="S756" s="77">
        <f t="shared" si="11"/>
        <v>5.1908361042814896E-3</v>
      </c>
      <c r="V756" s="80"/>
    </row>
    <row r="757" spans="1:22" x14ac:dyDescent="0.25">
      <c r="A757" s="18" t="s">
        <v>3832</v>
      </c>
      <c r="B757" s="18" t="s">
        <v>3829</v>
      </c>
      <c r="C757" s="18" t="s">
        <v>3831</v>
      </c>
      <c r="D757" t="s">
        <v>3830</v>
      </c>
      <c r="E757" s="13" t="s">
        <v>3833</v>
      </c>
      <c r="F757" s="10" t="s">
        <v>3546</v>
      </c>
      <c r="J757" s="63">
        <v>0</v>
      </c>
      <c r="K757" s="25">
        <v>269962.20824609202</v>
      </c>
      <c r="L757" s="17">
        <v>4.6233221091197306E-3</v>
      </c>
      <c r="M757" s="63">
        <v>2</v>
      </c>
      <c r="N757" s="25">
        <v>335403.52169686498</v>
      </c>
      <c r="O757" s="17">
        <v>5.2680655801699517E-3</v>
      </c>
      <c r="P757" s="63">
        <v>0</v>
      </c>
      <c r="Q757" s="25">
        <v>279301.68325243698</v>
      </c>
      <c r="R757" s="66">
        <v>4.9808592599086378E-3</v>
      </c>
      <c r="S757" s="77">
        <f t="shared" si="11"/>
        <v>4.9574156497327734E-3</v>
      </c>
      <c r="V757" s="80"/>
    </row>
    <row r="758" spans="1:22" x14ac:dyDescent="0.25">
      <c r="A758" s="18" t="s">
        <v>3714</v>
      </c>
      <c r="B758" s="18" t="s">
        <v>3711</v>
      </c>
      <c r="C758" s="18" t="s">
        <v>3713</v>
      </c>
      <c r="D758" t="s">
        <v>3712</v>
      </c>
      <c r="E758" s="13" t="s">
        <v>3715</v>
      </c>
      <c r="F758" s="10" t="s">
        <v>3546</v>
      </c>
      <c r="I758" t="s">
        <v>41</v>
      </c>
      <c r="J758" s="63">
        <v>1</v>
      </c>
      <c r="K758" s="25">
        <v>428213.577117729</v>
      </c>
      <c r="L758" s="17">
        <v>3.8573323359467871E-3</v>
      </c>
      <c r="M758" s="63">
        <v>1</v>
      </c>
      <c r="N758" s="25">
        <v>520052.55395894201</v>
      </c>
      <c r="O758" s="17">
        <v>4.2964150843118366E-3</v>
      </c>
      <c r="P758" s="63">
        <v>2</v>
      </c>
      <c r="Q758" s="25">
        <v>473926.89429484698</v>
      </c>
      <c r="R758" s="66">
        <v>4.4454682907398985E-3</v>
      </c>
      <c r="S758" s="77">
        <f t="shared" si="11"/>
        <v>4.1997385703328406E-3</v>
      </c>
      <c r="V758" s="80"/>
    </row>
    <row r="759" spans="1:22" x14ac:dyDescent="0.25">
      <c r="A759" s="18" t="s">
        <v>3643</v>
      </c>
      <c r="B759" s="18" t="s">
        <v>3640</v>
      </c>
      <c r="C759" s="18" t="s">
        <v>3642</v>
      </c>
      <c r="D759" t="s">
        <v>3641</v>
      </c>
      <c r="E759" s="13" t="s">
        <v>3644</v>
      </c>
      <c r="F759" s="10" t="s">
        <v>3546</v>
      </c>
      <c r="J759" s="63">
        <v>1</v>
      </c>
      <c r="K759" s="25">
        <v>356693.69078023097</v>
      </c>
      <c r="L759" s="17">
        <v>4.3535022751694675E-3</v>
      </c>
      <c r="M759" s="63">
        <v>2</v>
      </c>
      <c r="N759" s="25">
        <v>353436.13714554498</v>
      </c>
      <c r="O759" s="17">
        <v>3.9562768468262843E-3</v>
      </c>
      <c r="P759" s="63">
        <v>1</v>
      </c>
      <c r="Q759" s="25">
        <v>303859.548485026</v>
      </c>
      <c r="R759" s="66">
        <v>3.8618533125056634E-3</v>
      </c>
      <c r="S759" s="77">
        <f t="shared" si="11"/>
        <v>4.0572108115004722E-3</v>
      </c>
      <c r="V759" s="80"/>
    </row>
    <row r="760" spans="1:22" x14ac:dyDescent="0.25">
      <c r="A760" s="18" t="s">
        <v>3728</v>
      </c>
      <c r="B760" s="18" t="s">
        <v>3725</v>
      </c>
      <c r="C760" s="18" t="s">
        <v>3727</v>
      </c>
      <c r="D760" t="s">
        <v>3726</v>
      </c>
      <c r="E760" s="13" t="s">
        <v>3729</v>
      </c>
      <c r="F760" s="10" t="s">
        <v>3546</v>
      </c>
      <c r="I760" t="s">
        <v>57</v>
      </c>
      <c r="J760" s="63">
        <v>2</v>
      </c>
      <c r="K760" s="25">
        <v>439720.95104929502</v>
      </c>
      <c r="L760" s="17">
        <v>3.9121896396324745E-3</v>
      </c>
      <c r="M760" s="63">
        <v>2</v>
      </c>
      <c r="N760" s="25">
        <v>372385.56341160298</v>
      </c>
      <c r="O760" s="17">
        <v>3.0385609365507485E-3</v>
      </c>
      <c r="P760" s="63">
        <v>3</v>
      </c>
      <c r="Q760" s="25">
        <v>407992.12177721498</v>
      </c>
      <c r="R760" s="66">
        <v>3.7798455506517325E-3</v>
      </c>
      <c r="S760" s="77">
        <f t="shared" si="11"/>
        <v>3.5768653756116518E-3</v>
      </c>
      <c r="V760" s="80"/>
    </row>
    <row r="761" spans="1:22" x14ac:dyDescent="0.25">
      <c r="A761" s="18" t="s">
        <v>3604</v>
      </c>
      <c r="B761" s="18" t="s">
        <v>3601</v>
      </c>
      <c r="C761" s="18" t="s">
        <v>3603</v>
      </c>
      <c r="D761" t="s">
        <v>3602</v>
      </c>
      <c r="E761" s="13" t="s">
        <v>3605</v>
      </c>
      <c r="F761" s="10" t="s">
        <v>3546</v>
      </c>
      <c r="I761" t="s">
        <v>57</v>
      </c>
      <c r="J761" s="63">
        <v>1</v>
      </c>
      <c r="K761" s="25">
        <v>202623.256832307</v>
      </c>
      <c r="L761" s="17">
        <v>2.9963557341910639E-3</v>
      </c>
      <c r="M761" s="63">
        <v>1</v>
      </c>
      <c r="N761" s="25">
        <v>283063.18832363101</v>
      </c>
      <c r="O761" s="17">
        <v>3.83901535589841E-3</v>
      </c>
      <c r="P761" s="63">
        <v>1</v>
      </c>
      <c r="Q761" s="25">
        <v>199705.58331398299</v>
      </c>
      <c r="R761" s="66">
        <v>3.0752032509275928E-3</v>
      </c>
      <c r="S761" s="77">
        <f t="shared" si="11"/>
        <v>3.3035247803390225E-3</v>
      </c>
      <c r="V761" s="80"/>
    </row>
    <row r="762" spans="1:22" x14ac:dyDescent="0.25">
      <c r="A762" s="18" t="s">
        <v>3653</v>
      </c>
      <c r="B762" s="18" t="s">
        <v>3650</v>
      </c>
      <c r="C762" s="18" t="s">
        <v>3652</v>
      </c>
      <c r="D762" t="s">
        <v>3651</v>
      </c>
      <c r="E762" s="13" t="s">
        <v>3654</v>
      </c>
      <c r="F762" s="10" t="s">
        <v>3546</v>
      </c>
      <c r="I762" t="s">
        <v>41</v>
      </c>
      <c r="J762" s="63">
        <v>2</v>
      </c>
      <c r="K762" s="25">
        <v>483793.02343123598</v>
      </c>
      <c r="L762" s="17">
        <v>3.9476330970766339E-3</v>
      </c>
      <c r="M762" s="63">
        <v>1</v>
      </c>
      <c r="N762" s="25">
        <v>310867.78261108702</v>
      </c>
      <c r="O762" s="17">
        <v>2.3264047176444987E-3</v>
      </c>
      <c r="P762" s="63">
        <v>1</v>
      </c>
      <c r="Q762" s="25">
        <v>367447.65343440103</v>
      </c>
      <c r="R762" s="66">
        <v>3.1221387227616227E-3</v>
      </c>
      <c r="S762" s="77">
        <f t="shared" si="11"/>
        <v>3.1320588458275851E-3</v>
      </c>
      <c r="V762" s="80"/>
    </row>
    <row r="763" spans="1:22" x14ac:dyDescent="0.25">
      <c r="A763" s="18" t="s">
        <v>3589</v>
      </c>
      <c r="B763" s="18" t="s">
        <v>3586</v>
      </c>
      <c r="C763" s="18" t="s">
        <v>3588</v>
      </c>
      <c r="D763" t="s">
        <v>3587</v>
      </c>
      <c r="E763" s="13" t="s">
        <v>3590</v>
      </c>
      <c r="F763" s="10" t="s">
        <v>3546</v>
      </c>
      <c r="I763" t="s">
        <v>29</v>
      </c>
      <c r="J763" s="63">
        <v>0</v>
      </c>
      <c r="K763" s="25">
        <v>375392.669817977</v>
      </c>
      <c r="L763" s="17">
        <v>2.6620504331373355E-3</v>
      </c>
      <c r="M763" s="63">
        <v>3</v>
      </c>
      <c r="N763" s="25">
        <v>479654.03721514798</v>
      </c>
      <c r="O763" s="17">
        <v>3.119542951057729E-3</v>
      </c>
      <c r="P763" s="63">
        <v>0</v>
      </c>
      <c r="Q763" s="25">
        <v>319623.00058506097</v>
      </c>
      <c r="R763" s="66">
        <v>2.3601959053481114E-3</v>
      </c>
      <c r="S763" s="77">
        <f t="shared" si="11"/>
        <v>2.7139297631810586E-3</v>
      </c>
      <c r="V763" s="80"/>
    </row>
    <row r="764" spans="1:22" x14ac:dyDescent="0.25">
      <c r="A764" s="18" t="s">
        <v>3768</v>
      </c>
      <c r="B764" s="18" t="s">
        <v>3765</v>
      </c>
      <c r="C764" s="18" t="s">
        <v>3767</v>
      </c>
      <c r="D764" t="s">
        <v>3766</v>
      </c>
      <c r="E764" s="13" t="s">
        <v>3769</v>
      </c>
      <c r="F764" s="10" t="s">
        <v>3546</v>
      </c>
      <c r="I764" t="s">
        <v>57</v>
      </c>
      <c r="J764" s="63">
        <v>2</v>
      </c>
      <c r="K764" s="25">
        <v>316491.67363062699</v>
      </c>
      <c r="L764" s="17">
        <v>2.911475118983725E-3</v>
      </c>
      <c r="M764" s="63">
        <v>1</v>
      </c>
      <c r="N764" s="25">
        <v>285236.93918951799</v>
      </c>
      <c r="O764" s="17">
        <v>2.4065170107937009E-3</v>
      </c>
      <c r="P764" s="63">
        <v>0</v>
      </c>
      <c r="Q764" s="25">
        <v>274991.56254057703</v>
      </c>
      <c r="R764" s="66">
        <v>2.6342057908768221E-3</v>
      </c>
      <c r="S764" s="77">
        <f t="shared" si="11"/>
        <v>2.6507326402180828E-3</v>
      </c>
      <c r="V764" s="80"/>
    </row>
    <row r="765" spans="1:22" x14ac:dyDescent="0.25">
      <c r="A765" s="18" t="s">
        <v>3671</v>
      </c>
      <c r="B765" s="18" t="s">
        <v>3668</v>
      </c>
      <c r="C765" s="18" t="s">
        <v>3670</v>
      </c>
      <c r="D765" t="s">
        <v>3669</v>
      </c>
      <c r="E765" s="13" t="s">
        <v>3672</v>
      </c>
      <c r="F765" s="10" t="s">
        <v>3546</v>
      </c>
      <c r="J765" s="63">
        <v>1</v>
      </c>
      <c r="K765" s="25">
        <v>82713.237629373296</v>
      </c>
      <c r="L765" s="17">
        <v>1.2315547764275214E-3</v>
      </c>
      <c r="M765" s="63">
        <v>3</v>
      </c>
      <c r="N765" s="25">
        <v>338847.593463653</v>
      </c>
      <c r="O765" s="17">
        <v>4.6271703895277953E-3</v>
      </c>
      <c r="P765" s="63">
        <v>0</v>
      </c>
      <c r="Q765" s="25">
        <v>66548.101252782697</v>
      </c>
      <c r="R765" s="66">
        <v>1.0317961861767255E-3</v>
      </c>
      <c r="S765" s="77">
        <f t="shared" si="11"/>
        <v>2.2968404507106807E-3</v>
      </c>
      <c r="V765" s="80"/>
    </row>
    <row r="766" spans="1:22" x14ac:dyDescent="0.25">
      <c r="A766" s="18" t="s">
        <v>3562</v>
      </c>
      <c r="B766" s="18" t="s">
        <v>8165</v>
      </c>
      <c r="C766" s="18" t="s">
        <v>3564</v>
      </c>
      <c r="D766" t="s">
        <v>3563</v>
      </c>
      <c r="E766" s="13" t="s">
        <v>3565</v>
      </c>
      <c r="F766" s="10" t="s">
        <v>3546</v>
      </c>
      <c r="J766" s="63">
        <v>2</v>
      </c>
      <c r="K766" s="25">
        <v>256694.67450039601</v>
      </c>
      <c r="L766" s="17">
        <v>2.5509507306052844E-3</v>
      </c>
      <c r="M766" s="63">
        <v>0</v>
      </c>
      <c r="N766" s="25">
        <v>228393.51915224499</v>
      </c>
      <c r="O766" s="17">
        <v>2.0816195718152387E-3</v>
      </c>
      <c r="P766" s="63">
        <v>1</v>
      </c>
      <c r="Q766" s="25">
        <v>212157.42358625299</v>
      </c>
      <c r="R766" s="66">
        <v>2.1954471247423962E-3</v>
      </c>
      <c r="S766" s="77">
        <f t="shared" si="11"/>
        <v>2.2760058090543068E-3</v>
      </c>
      <c r="V766" s="80"/>
    </row>
    <row r="767" spans="1:22" x14ac:dyDescent="0.25">
      <c r="A767" s="18" t="s">
        <v>3681</v>
      </c>
      <c r="B767" s="18" t="s">
        <v>3678</v>
      </c>
      <c r="C767" s="18" t="s">
        <v>3680</v>
      </c>
      <c r="D767" t="s">
        <v>3679</v>
      </c>
      <c r="E767" s="13" t="s">
        <v>3682</v>
      </c>
      <c r="F767" s="10" t="s">
        <v>3546</v>
      </c>
      <c r="I767" t="s">
        <v>41</v>
      </c>
      <c r="J767" s="63">
        <v>2</v>
      </c>
      <c r="K767" s="25">
        <v>132081.69700311401</v>
      </c>
      <c r="L767" s="17">
        <v>1.9334040782463169E-3</v>
      </c>
      <c r="M767" s="63">
        <v>2</v>
      </c>
      <c r="N767" s="25">
        <v>211627.58113835199</v>
      </c>
      <c r="O767" s="17">
        <v>2.8410876516682111E-3</v>
      </c>
      <c r="P767" s="63">
        <v>2</v>
      </c>
      <c r="Q767" s="25">
        <v>109122.904204551</v>
      </c>
      <c r="R767" s="66">
        <v>1.663318597121193E-3</v>
      </c>
      <c r="S767" s="77">
        <f t="shared" si="11"/>
        <v>2.1459367756785737E-3</v>
      </c>
      <c r="V767" s="80"/>
    </row>
    <row r="768" spans="1:22" x14ac:dyDescent="0.25">
      <c r="A768" s="18" t="s">
        <v>3663</v>
      </c>
      <c r="B768" s="18" t="s">
        <v>3660</v>
      </c>
      <c r="C768" s="18" t="s">
        <v>3662</v>
      </c>
      <c r="D768" t="s">
        <v>3661</v>
      </c>
      <c r="E768" s="13" t="s">
        <v>3664</v>
      </c>
      <c r="F768" s="10" t="s">
        <v>3546</v>
      </c>
      <c r="J768" s="63">
        <v>3</v>
      </c>
      <c r="K768" s="25">
        <v>183028.40482244999</v>
      </c>
      <c r="L768" s="17">
        <v>2.1846585603462697E-3</v>
      </c>
      <c r="M768" s="63">
        <v>1</v>
      </c>
      <c r="N768" s="25">
        <v>147416.80487486199</v>
      </c>
      <c r="O768" s="17">
        <v>1.6137804298798958E-3</v>
      </c>
      <c r="P768" s="63">
        <v>1</v>
      </c>
      <c r="Q768" s="25">
        <v>177858.43386723701</v>
      </c>
      <c r="R768" s="66">
        <v>2.2106453614558646E-3</v>
      </c>
      <c r="S768" s="77">
        <f t="shared" si="11"/>
        <v>2.0030281172273433E-3</v>
      </c>
      <c r="V768" s="80"/>
    </row>
    <row r="769" spans="1:22" x14ac:dyDescent="0.25">
      <c r="A769" s="18" t="s">
        <v>3554</v>
      </c>
      <c r="B769" s="18" t="s">
        <v>8163</v>
      </c>
      <c r="C769" s="18" t="s">
        <v>3556</v>
      </c>
      <c r="D769" t="s">
        <v>3555</v>
      </c>
      <c r="E769" s="13" t="s">
        <v>3557</v>
      </c>
      <c r="F769" s="10" t="s">
        <v>3546</v>
      </c>
      <c r="I769" t="s">
        <v>2800</v>
      </c>
      <c r="J769" s="63">
        <v>2</v>
      </c>
      <c r="K769" s="25">
        <v>223997.03691334301</v>
      </c>
      <c r="L769" s="17">
        <v>1.5832645948774687E-3</v>
      </c>
      <c r="M769" s="63">
        <v>1</v>
      </c>
      <c r="N769" s="25">
        <v>207988.36822926201</v>
      </c>
      <c r="O769" s="17">
        <v>1.3482879362134302E-3</v>
      </c>
      <c r="P769" s="63">
        <v>2</v>
      </c>
      <c r="Q769" s="25">
        <v>217342.86415707599</v>
      </c>
      <c r="R769" s="66">
        <v>1.5996911786291435E-3</v>
      </c>
      <c r="S769" s="77">
        <f t="shared" si="11"/>
        <v>1.5104145699066807E-3</v>
      </c>
      <c r="V769" s="80"/>
    </row>
    <row r="770" spans="1:22" x14ac:dyDescent="0.25">
      <c r="A770" s="18" t="s">
        <v>3558</v>
      </c>
      <c r="B770" s="18" t="s">
        <v>8164</v>
      </c>
      <c r="C770" s="18" t="s">
        <v>3560</v>
      </c>
      <c r="D770" t="s">
        <v>3559</v>
      </c>
      <c r="E770" s="13" t="s">
        <v>3561</v>
      </c>
      <c r="F770" s="10" t="s">
        <v>3546</v>
      </c>
      <c r="I770" t="s">
        <v>41</v>
      </c>
      <c r="J770" s="63">
        <v>2</v>
      </c>
      <c r="K770" s="25">
        <v>364131.86428486602</v>
      </c>
      <c r="L770" s="17">
        <v>1.6001233801389446E-3</v>
      </c>
      <c r="M770" s="63">
        <v>1</v>
      </c>
      <c r="N770" s="25">
        <v>211528.39829352099</v>
      </c>
      <c r="O770" s="17">
        <v>8.5250285380976355E-4</v>
      </c>
      <c r="P770" s="63">
        <v>0</v>
      </c>
      <c r="Q770" s="25">
        <v>276924.49776520499</v>
      </c>
      <c r="R770" s="66">
        <v>1.2671723861410146E-3</v>
      </c>
      <c r="S770" s="77">
        <f t="shared" si="11"/>
        <v>1.2399328733632409E-3</v>
      </c>
      <c r="V770" s="80"/>
    </row>
    <row r="771" spans="1:22" x14ac:dyDescent="0.25">
      <c r="A771" s="71" t="s">
        <v>3788</v>
      </c>
      <c r="B771" s="71" t="s">
        <v>3785</v>
      </c>
      <c r="C771" s="71" t="s">
        <v>3787</v>
      </c>
      <c r="D771" s="16" t="s">
        <v>3786</v>
      </c>
      <c r="E771" s="45" t="s">
        <v>3789</v>
      </c>
      <c r="F771" s="46" t="s">
        <v>3546</v>
      </c>
      <c r="G771" s="16"/>
      <c r="H771" s="16"/>
      <c r="I771" s="16"/>
      <c r="J771" s="72">
        <v>1</v>
      </c>
      <c r="K771" s="73">
        <v>133004.83943598301</v>
      </c>
      <c r="L771" s="30">
        <v>1.0057372196564166E-3</v>
      </c>
      <c r="M771" s="72">
        <v>0</v>
      </c>
      <c r="N771" s="73">
        <v>143249.503929242</v>
      </c>
      <c r="O771" s="30">
        <v>9.9344214509099584E-4</v>
      </c>
      <c r="P771" s="72">
        <v>1</v>
      </c>
      <c r="Q771" s="73">
        <v>116212.698289215</v>
      </c>
      <c r="R771" s="74">
        <v>9.1506132759843037E-4</v>
      </c>
      <c r="S771" s="78">
        <f t="shared" si="11"/>
        <v>9.7141356411528082E-4</v>
      </c>
      <c r="T771" s="58"/>
      <c r="U771" s="58"/>
      <c r="V771" s="81"/>
    </row>
  </sheetData>
  <mergeCells count="6">
    <mergeCell ref="J2:R2"/>
    <mergeCell ref="T3:V3"/>
    <mergeCell ref="G4:H4"/>
    <mergeCell ref="J3:L3"/>
    <mergeCell ref="M3:O3"/>
    <mergeCell ref="P3:R3"/>
  </mergeCells>
  <conditionalFormatting sqref="D4">
    <cfRule type="colorScale" priority="10">
      <colorScale>
        <cfvo type="min"/>
        <cfvo type="percentile" val="50"/>
        <cfvo type="max"/>
        <color rgb="FF00B0F0"/>
        <color rgb="FFFFEB84"/>
        <color rgb="FFFF0000"/>
      </colorScale>
    </cfRule>
    <cfRule type="colorScale" priority="11">
      <colorScale>
        <cfvo type="min"/>
        <cfvo type="max"/>
        <color rgb="FF00B0F0"/>
        <color rgb="FFFF0000"/>
      </colorScale>
    </cfRule>
  </conditionalFormatting>
  <conditionalFormatting sqref="J4:L4">
    <cfRule type="colorScale" priority="4">
      <colorScale>
        <cfvo type="min"/>
        <cfvo type="max"/>
        <color theme="0"/>
        <color theme="4"/>
      </colorScale>
    </cfRule>
  </conditionalFormatting>
  <conditionalFormatting sqref="M4:O4">
    <cfRule type="colorScale" priority="3">
      <colorScale>
        <cfvo type="min"/>
        <cfvo type="max"/>
        <color theme="0"/>
        <color theme="4"/>
      </colorScale>
    </cfRule>
  </conditionalFormatting>
  <conditionalFormatting sqref="P4:R4">
    <cfRule type="colorScale" priority="2">
      <colorScale>
        <cfvo type="min"/>
        <cfvo type="max"/>
        <color theme="0"/>
        <color theme="4"/>
      </colorScale>
    </cfRule>
  </conditionalFormatting>
  <conditionalFormatting sqref="S5:S771">
    <cfRule type="colorScale" priority="1">
      <colorScale>
        <cfvo type="min"/>
        <cfvo type="max"/>
        <color theme="0"/>
        <color theme="9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Synechococcus</vt:lpstr>
      <vt:lpstr>R. pomeroyi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Christie-Oleza, Joseph</dc:creator>
  <cp:lastModifiedBy>Christie-Oleza, Joseph</cp:lastModifiedBy>
  <dcterms:created xsi:type="dcterms:W3CDTF">2016-08-22T08:16:46Z</dcterms:created>
  <dcterms:modified xsi:type="dcterms:W3CDTF">2017-03-20T22:41:11Z</dcterms:modified>
</cp:coreProperties>
</file>