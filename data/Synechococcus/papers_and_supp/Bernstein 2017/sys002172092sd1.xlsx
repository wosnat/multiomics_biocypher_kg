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0" windowWidth="27795" windowHeight="12405"/>
  </bookViews>
  <sheets>
    <sheet name="Exp_Data_BP1_AX_CC" sheetId="2" r:id="rId1"/>
    <sheet name="Fig4_Genes" sheetId="1" r:id="rId2"/>
  </sheets>
  <calcPr calcId="145621"/>
</workbook>
</file>

<file path=xl/calcChain.xml><?xml version="1.0" encoding="utf-8"?>
<calcChain xmlns="http://schemas.openxmlformats.org/spreadsheetml/2006/main">
  <c r="K29" i="1" l="1"/>
  <c r="K28" i="1"/>
  <c r="K27" i="1"/>
  <c r="K26" i="1"/>
  <c r="K25" i="1"/>
  <c r="K24" i="1"/>
  <c r="K23" i="1"/>
  <c r="K22" i="1"/>
  <c r="K21" i="1"/>
  <c r="K20" i="1"/>
  <c r="K19" i="1"/>
  <c r="K18" i="1"/>
  <c r="J29" i="1"/>
  <c r="J28" i="1"/>
  <c r="J27" i="1"/>
  <c r="J26" i="1"/>
  <c r="J25" i="1"/>
  <c r="J24" i="1"/>
  <c r="J23" i="1"/>
  <c r="J22" i="1"/>
  <c r="J21" i="1"/>
  <c r="J20" i="1"/>
  <c r="J19" i="1"/>
  <c r="J18" i="1"/>
  <c r="I29" i="1"/>
  <c r="I28" i="1"/>
  <c r="I27" i="1"/>
  <c r="I26" i="1"/>
  <c r="I25" i="1"/>
  <c r="I24" i="1"/>
  <c r="I23" i="1"/>
  <c r="I22" i="1"/>
  <c r="I21" i="1"/>
  <c r="I20" i="1"/>
  <c r="I19" i="1"/>
  <c r="I18" i="1"/>
  <c r="H29" i="1"/>
  <c r="H28" i="1"/>
  <c r="H27" i="1"/>
  <c r="H26" i="1"/>
  <c r="H25" i="1"/>
  <c r="H24" i="1"/>
  <c r="H23" i="1"/>
  <c r="H22" i="1"/>
  <c r="H21" i="1"/>
  <c r="H20" i="1"/>
  <c r="H19" i="1"/>
  <c r="H18" i="1"/>
</calcChain>
</file>

<file path=xl/sharedStrings.xml><?xml version="1.0" encoding="utf-8"?>
<sst xmlns="http://schemas.openxmlformats.org/spreadsheetml/2006/main" count="16394" uniqueCount="6116">
  <si>
    <t>Locus_Tag</t>
  </si>
  <si>
    <t>T8A_Low_Light_AX</t>
  </si>
  <si>
    <t>T8B_Low_Light_AX</t>
  </si>
  <si>
    <t>T9A_Mid_Light_AX</t>
  </si>
  <si>
    <t>T9B_Mid_Light_AX</t>
  </si>
  <si>
    <t>T10A_High_Light_AX</t>
  </si>
  <si>
    <t>T10B_High_Light_AX</t>
  </si>
  <si>
    <t>M14A_Low_Light_CC</t>
  </si>
  <si>
    <t>M14B_Low_Light_CC</t>
  </si>
  <si>
    <t>M13A_Mid_Light_CC</t>
  </si>
  <si>
    <t>M13B_Mid_Light_CC</t>
  </si>
  <si>
    <t>T18A_High_Light_CC</t>
  </si>
  <si>
    <t>T18B_High_Light_CC</t>
  </si>
  <si>
    <t>T10A_Low_Oxygen_AX</t>
  </si>
  <si>
    <t>T10B_Low_Oxygen_AX</t>
  </si>
  <si>
    <t>T15A_Mid_Oxygen_AX</t>
  </si>
  <si>
    <t>T15B_Mid_Oxygen_AX</t>
  </si>
  <si>
    <t>T16A_High_Oxygen_AX</t>
  </si>
  <si>
    <t>T16B_High_Oxygen_AX</t>
  </si>
  <si>
    <t>T18A_Low_Oxygen_CC</t>
  </si>
  <si>
    <t>T18B_Low_Oxygen_CC</t>
  </si>
  <si>
    <t>T19A_Mid_Oxygen_CC</t>
  </si>
  <si>
    <t>T19B_Mid_Oxygen_CC</t>
  </si>
  <si>
    <t>T20A_High_Oxygen_CC</t>
  </si>
  <si>
    <t>T20B_High_Oxygen_CC</t>
  </si>
  <si>
    <t>tll0893</t>
  </si>
  <si>
    <t>tlr1198</t>
  </si>
  <si>
    <t>tll1519</t>
  </si>
  <si>
    <t>tlr1289</t>
  </si>
  <si>
    <t>Low_Light_AX</t>
  </si>
  <si>
    <t>Mid_Light_AX</t>
  </si>
  <si>
    <t>High_Light_AX</t>
  </si>
  <si>
    <t>Low_Light_CC</t>
  </si>
  <si>
    <t>Mid_Light_CC</t>
  </si>
  <si>
    <t>High_Light_CC</t>
  </si>
  <si>
    <t>Low_Oxygen_AX</t>
  </si>
  <si>
    <t>Mid_Oxygen_AX</t>
  </si>
  <si>
    <t>High_Oxygen_AX</t>
  </si>
  <si>
    <t>Low_Oxygen_CC</t>
  </si>
  <si>
    <t>Mid_Oxygen_CC</t>
  </si>
  <si>
    <t>High_Oxygen_CC</t>
  </si>
  <si>
    <t>Condition</t>
  </si>
  <si>
    <t>tlr0001</t>
  </si>
  <si>
    <t>tll0002</t>
  </si>
  <si>
    <t>tsl0003</t>
  </si>
  <si>
    <t>tsr0004</t>
  </si>
  <si>
    <t>tlr0005</t>
  </si>
  <si>
    <t>tlr0006</t>
  </si>
  <si>
    <t>tll0007</t>
  </si>
  <si>
    <t>tll0008</t>
  </si>
  <si>
    <t>tll0009</t>
  </si>
  <si>
    <t>tlr0010</t>
  </si>
  <si>
    <t>tlr0011</t>
  </si>
  <si>
    <t>tlr0012</t>
  </si>
  <si>
    <t>tll0013</t>
  </si>
  <si>
    <t>tll0014</t>
  </si>
  <si>
    <t>tll0015</t>
  </si>
  <si>
    <t>tll0016</t>
  </si>
  <si>
    <t>tsl0017</t>
  </si>
  <si>
    <t>tlr0018</t>
  </si>
  <si>
    <t>tll0019</t>
  </si>
  <si>
    <t>tll0020</t>
  </si>
  <si>
    <t>tll0021</t>
  </si>
  <si>
    <t>tll0022</t>
  </si>
  <si>
    <t>tsl0023</t>
  </si>
  <si>
    <t>tll0024</t>
  </si>
  <si>
    <t>tll0025</t>
  </si>
  <si>
    <t>tll0026</t>
  </si>
  <si>
    <t>tlr0027</t>
  </si>
  <si>
    <t>tlr0028</t>
  </si>
  <si>
    <t>tlr0029</t>
  </si>
  <si>
    <t>tll0030</t>
  </si>
  <si>
    <t>tll0032</t>
  </si>
  <si>
    <t>tsr0033</t>
  </si>
  <si>
    <t>tsl0034</t>
  </si>
  <si>
    <t>tlr0035</t>
  </si>
  <si>
    <t>tlr0036</t>
  </si>
  <si>
    <t>tll0037</t>
  </si>
  <si>
    <t>tsl0038</t>
  </si>
  <si>
    <t>tll0039</t>
  </si>
  <si>
    <t>tsl0040</t>
  </si>
  <si>
    <t>tlr0041</t>
  </si>
  <si>
    <t>tlr0042</t>
  </si>
  <si>
    <t>tll0043</t>
  </si>
  <si>
    <t>tll0044</t>
  </si>
  <si>
    <t>tll0045</t>
  </si>
  <si>
    <t>tll0046</t>
  </si>
  <si>
    <t>tll0047</t>
  </si>
  <si>
    <t>tll0048</t>
  </si>
  <si>
    <t>tll0049</t>
  </si>
  <si>
    <t>tlr0050</t>
  </si>
  <si>
    <t>tlr0051</t>
  </si>
  <si>
    <t>tlr0052</t>
  </si>
  <si>
    <t>tlr0053</t>
  </si>
  <si>
    <t>tll0054</t>
  </si>
  <si>
    <t>tlr0055</t>
  </si>
  <si>
    <t>tlr0056</t>
  </si>
  <si>
    <t>tlr0057</t>
  </si>
  <si>
    <t>tlr0058</t>
  </si>
  <si>
    <t>tlr0059</t>
  </si>
  <si>
    <t>tll0060</t>
  </si>
  <si>
    <t>tll0061</t>
  </si>
  <si>
    <t>tll0062</t>
  </si>
  <si>
    <t>tsl0063</t>
  </si>
  <si>
    <t>tll0064</t>
  </si>
  <si>
    <t>tll0065</t>
  </si>
  <si>
    <t>tlr0066</t>
  </si>
  <si>
    <t>tlr0067</t>
  </si>
  <si>
    <t>tsl0068</t>
  </si>
  <si>
    <t>tlr0069</t>
  </si>
  <si>
    <t>tll0070</t>
  </si>
  <si>
    <t>tll0071</t>
  </si>
  <si>
    <t>tll0072</t>
  </si>
  <si>
    <t>tll0073</t>
  </si>
  <si>
    <t>tlr0074</t>
  </si>
  <si>
    <t>tll0075</t>
  </si>
  <si>
    <t>tll0076</t>
  </si>
  <si>
    <t>tll0077</t>
  </si>
  <si>
    <t>tll0078</t>
  </si>
  <si>
    <t>tll0079</t>
  </si>
  <si>
    <t>tll0080</t>
  </si>
  <si>
    <t>tlr0081</t>
  </si>
  <si>
    <t>tlr0082</t>
  </si>
  <si>
    <t>tlr0083</t>
  </si>
  <si>
    <t>tlr0084</t>
  </si>
  <si>
    <t>tsr0085</t>
  </si>
  <si>
    <t>tlr0086</t>
  </si>
  <si>
    <t>tlr0087</t>
  </si>
  <si>
    <t>tlr0088</t>
  </si>
  <si>
    <t>tsr0089</t>
  </si>
  <si>
    <t>tsr0090</t>
  </si>
  <si>
    <t>tlr0091</t>
  </si>
  <si>
    <t>tlr0092</t>
  </si>
  <si>
    <t>tlr0093</t>
  </si>
  <si>
    <t>tlr0094</t>
  </si>
  <si>
    <t>tlr0095</t>
  </si>
  <si>
    <t>tlr0096</t>
  </si>
  <si>
    <t>tlr0097</t>
  </si>
  <si>
    <t>tlr0098</t>
  </si>
  <si>
    <t>tlr0099</t>
  </si>
  <si>
    <t>tlr0100</t>
  </si>
  <si>
    <t>tsr0101</t>
  </si>
  <si>
    <t>tsr0102</t>
  </si>
  <si>
    <t>tlr0103</t>
  </si>
  <si>
    <t>tlr0104</t>
  </si>
  <si>
    <t>tlr0105</t>
  </si>
  <si>
    <t>tlr0106</t>
  </si>
  <si>
    <t>tlr0107</t>
  </si>
  <si>
    <t>tlr0108</t>
  </si>
  <si>
    <t>tlr0109</t>
  </si>
  <si>
    <t>tsr0110</t>
  </si>
  <si>
    <t>tlr0111</t>
  </si>
  <si>
    <t>tlr0112</t>
  </si>
  <si>
    <t>tll0113</t>
  </si>
  <si>
    <t>rTEt01</t>
  </si>
  <si>
    <t>tll0114</t>
  </si>
  <si>
    <t>tlr0115</t>
  </si>
  <si>
    <t>tlr0116</t>
  </si>
  <si>
    <t>tsl0117</t>
  </si>
  <si>
    <t>tll0118</t>
  </si>
  <si>
    <t>tll0119</t>
  </si>
  <si>
    <t>tll0120</t>
  </si>
  <si>
    <t>tll0121</t>
  </si>
  <si>
    <t>tll0122</t>
  </si>
  <si>
    <t>tsr0123</t>
  </si>
  <si>
    <t>tsr0124</t>
  </si>
  <si>
    <t>tlr0125</t>
  </si>
  <si>
    <t>tll0126</t>
  </si>
  <si>
    <t>tlr0127</t>
  </si>
  <si>
    <t>tll0128</t>
  </si>
  <si>
    <t>tlr0129</t>
  </si>
  <si>
    <t>tll0130</t>
  </si>
  <si>
    <t>rTEt02</t>
  </si>
  <si>
    <t>tll0131</t>
  </si>
  <si>
    <t>tlr0132</t>
  </si>
  <si>
    <t>tll0133</t>
  </si>
  <si>
    <t>tll0135</t>
  </si>
  <si>
    <t>tlr0136</t>
  </si>
  <si>
    <t>tlr0137</t>
  </si>
  <si>
    <t>tll0138</t>
  </si>
  <si>
    <t>tll0139</t>
  </si>
  <si>
    <t>tlr0140</t>
  </si>
  <si>
    <t>tll0141</t>
  </si>
  <si>
    <t>tll0142</t>
  </si>
  <si>
    <t>tlr0143</t>
  </si>
  <si>
    <t>tlr0144</t>
  </si>
  <si>
    <t>tll0145</t>
  </si>
  <si>
    <t>tll0146</t>
  </si>
  <si>
    <t>tlr0147</t>
  </si>
  <si>
    <t>tlr0148</t>
  </si>
  <si>
    <t>tsr0149</t>
  </si>
  <si>
    <t>tll0150</t>
  </si>
  <si>
    <t>tlr0151</t>
  </si>
  <si>
    <t>tlr0152</t>
  </si>
  <si>
    <t>tll0153</t>
  </si>
  <si>
    <t>tll0154</t>
  </si>
  <si>
    <t>tll0155</t>
  </si>
  <si>
    <t>tll0156</t>
  </si>
  <si>
    <t>tlr0157</t>
  </si>
  <si>
    <t>tll0158</t>
  </si>
  <si>
    <t>tlr0159</t>
  </si>
  <si>
    <t>tlr0160</t>
  </si>
  <si>
    <t>tll0161</t>
  </si>
  <si>
    <t>tll0162</t>
  </si>
  <si>
    <t>tsl0163</t>
  </si>
  <si>
    <t>tlr0164</t>
  </si>
  <si>
    <t>tll0165</t>
  </si>
  <si>
    <t>tsl0166</t>
  </si>
  <si>
    <t>tll0167</t>
  </si>
  <si>
    <t>tll0168</t>
  </si>
  <si>
    <t>tll0169</t>
  </si>
  <si>
    <t>tll0170</t>
  </si>
  <si>
    <t>tlr0171</t>
  </si>
  <si>
    <t>tll0172</t>
  </si>
  <si>
    <t>tll0173</t>
  </si>
  <si>
    <t>rTEt03</t>
  </si>
  <si>
    <t>tlr0174</t>
  </si>
  <si>
    <t>tll0175</t>
  </si>
  <si>
    <t>tsl0176</t>
  </si>
  <si>
    <t>tlr0177</t>
  </si>
  <si>
    <t>tll0178</t>
  </si>
  <si>
    <t>tlr0179</t>
  </si>
  <si>
    <t>tll0180</t>
  </si>
  <si>
    <t>tll0181</t>
  </si>
  <si>
    <t>tll0182</t>
  </si>
  <si>
    <t>tll0183</t>
  </si>
  <si>
    <t>tll0184</t>
  </si>
  <si>
    <t>tll0185</t>
  </si>
  <si>
    <t>tll0186</t>
  </si>
  <si>
    <t>tll0187</t>
  </si>
  <si>
    <t>tll0188</t>
  </si>
  <si>
    <t>tlr0189</t>
  </si>
  <si>
    <t>tlr0190</t>
  </si>
  <si>
    <t>tlr0191</t>
  </si>
  <si>
    <t>tlr0192</t>
  </si>
  <si>
    <t>tlr0193</t>
  </si>
  <si>
    <t>tlr0194</t>
  </si>
  <si>
    <t>tlr0195</t>
  </si>
  <si>
    <t>tlr0196</t>
  </si>
  <si>
    <t>tsr0197</t>
  </si>
  <si>
    <t>tlr0198</t>
  </si>
  <si>
    <t>tll0199</t>
  </si>
  <si>
    <t>tll0200</t>
  </si>
  <si>
    <t>tll0201</t>
  </si>
  <si>
    <t>tll0202</t>
  </si>
  <si>
    <t>tll0203</t>
  </si>
  <si>
    <t>tll0204</t>
  </si>
  <si>
    <t>tlr0206</t>
  </si>
  <si>
    <t>tlr0207</t>
  </si>
  <si>
    <t>tlr0208</t>
  </si>
  <si>
    <t>tlr0209</t>
  </si>
  <si>
    <t>tll0210</t>
  </si>
  <si>
    <t>tll0211</t>
  </si>
  <si>
    <t>tll0212</t>
  </si>
  <si>
    <t>tlr0213</t>
  </si>
  <si>
    <t>tll0214</t>
  </si>
  <si>
    <t>tll0216</t>
  </si>
  <si>
    <t>tll0217</t>
  </si>
  <si>
    <t>rTEt04</t>
  </si>
  <si>
    <t>tll0218</t>
  </si>
  <si>
    <t>tsr0219</t>
  </si>
  <si>
    <t>tll0220</t>
  </si>
  <si>
    <t>tlr0221</t>
  </si>
  <si>
    <t>tll0223</t>
  </si>
  <si>
    <t>tsl0224</t>
  </si>
  <si>
    <t>tlr0225</t>
  </si>
  <si>
    <t>tlr0226</t>
  </si>
  <si>
    <t>tlr0227</t>
  </si>
  <si>
    <t>tlr0228</t>
  </si>
  <si>
    <t>tlr0229</t>
  </si>
  <si>
    <t>tlr0230</t>
  </si>
  <si>
    <t>tll0231</t>
  </si>
  <si>
    <t>tll0232</t>
  </si>
  <si>
    <t>tll0233</t>
  </si>
  <si>
    <t>tlr0234</t>
  </si>
  <si>
    <t>tsr0235</t>
  </si>
  <si>
    <t>tll0236</t>
  </si>
  <si>
    <t>tsl0237</t>
  </si>
  <si>
    <t>tlr0238</t>
  </si>
  <si>
    <t>tlr0241</t>
  </si>
  <si>
    <t>tlr0242</t>
  </si>
  <si>
    <t>tlr0243</t>
  </si>
  <si>
    <t>tlr0244</t>
  </si>
  <si>
    <t>tlr0245</t>
  </si>
  <si>
    <t>tlr0246</t>
  </si>
  <si>
    <t>tlr0247</t>
  </si>
  <si>
    <t>tll0248</t>
  </si>
  <si>
    <t>tlr0249</t>
  </si>
  <si>
    <t>tlr0250</t>
  </si>
  <si>
    <t>rTEs02</t>
  </si>
  <si>
    <t>tll0251</t>
  </si>
  <si>
    <t>tlr0252</t>
  </si>
  <si>
    <t>tsl0253</t>
  </si>
  <si>
    <t>tlr0254</t>
  </si>
  <si>
    <t>tll0255</t>
  </si>
  <si>
    <t>tlr0257</t>
  </si>
  <si>
    <t>tsr0258</t>
  </si>
  <si>
    <t>tll0259</t>
  </si>
  <si>
    <t>tll0260</t>
  </si>
  <si>
    <t>rTEt05</t>
  </si>
  <si>
    <t>tlr0261</t>
  </si>
  <si>
    <t>tlr0262</t>
  </si>
  <si>
    <t>tlr0263</t>
  </si>
  <si>
    <t>tlr0264</t>
  </si>
  <si>
    <t>tlr0265</t>
  </si>
  <si>
    <t>tll0266</t>
  </si>
  <si>
    <t>tlr0267</t>
  </si>
  <si>
    <t>tll0268</t>
  </si>
  <si>
    <t>tll0269</t>
  </si>
  <si>
    <t>tlr0270</t>
  </si>
  <si>
    <t>tlr0271</t>
  </si>
  <si>
    <t>tsr0272</t>
  </si>
  <si>
    <t>tlr0273</t>
  </si>
  <si>
    <t>tlr0274</t>
  </si>
  <si>
    <t>tlr0275</t>
  </si>
  <si>
    <t>tlr0276</t>
  </si>
  <si>
    <t>tll0277</t>
  </si>
  <si>
    <t>tll0278</t>
  </si>
  <si>
    <t>tlr0279</t>
  </si>
  <si>
    <t>tll0280</t>
  </si>
  <si>
    <t>tlr0281</t>
  </si>
  <si>
    <t>tll0282</t>
  </si>
  <si>
    <t>tlr0283</t>
  </si>
  <si>
    <t>tlr0284</t>
  </si>
  <si>
    <t>tlr0285</t>
  </si>
  <si>
    <t>tll0286</t>
  </si>
  <si>
    <t>tll0287</t>
  </si>
  <si>
    <t>tll0288</t>
  </si>
  <si>
    <t>tlr0289</t>
  </si>
  <si>
    <t>tll0290</t>
  </si>
  <si>
    <t>tlr0291</t>
  </si>
  <si>
    <t>tll0292</t>
  </si>
  <si>
    <t>tsr0293</t>
  </si>
  <si>
    <t>tlr0294</t>
  </si>
  <si>
    <t>tlr0295</t>
  </si>
  <si>
    <t>tlr0296</t>
  </si>
  <si>
    <t>tlr0297</t>
  </si>
  <si>
    <t>tlr0298</t>
  </si>
  <si>
    <t>tlr0299</t>
  </si>
  <si>
    <t>tll0300</t>
  </si>
  <si>
    <t>tlr0301</t>
  </si>
  <si>
    <t>tlr0301a</t>
  </si>
  <si>
    <t>tlr0302</t>
  </si>
  <si>
    <t>tll0303</t>
  </si>
  <si>
    <t>rTEt06</t>
  </si>
  <si>
    <t>tlr0304</t>
  </si>
  <si>
    <t>tsr0305</t>
  </si>
  <si>
    <t>tll0306</t>
  </si>
  <si>
    <t>tll0307</t>
  </si>
  <si>
    <t>tlr0310</t>
  </si>
  <si>
    <t>tlr0311</t>
  </si>
  <si>
    <t>tll0312</t>
  </si>
  <si>
    <t>tlr0313</t>
  </si>
  <si>
    <t>tll0314</t>
  </si>
  <si>
    <t>tll0315</t>
  </si>
  <si>
    <t>tll0316</t>
  </si>
  <si>
    <t>tlr0317</t>
  </si>
  <si>
    <t>tlr0318</t>
  </si>
  <si>
    <t>tlr0319</t>
  </si>
  <si>
    <t>tlr0320</t>
  </si>
  <si>
    <t>tll0321</t>
  </si>
  <si>
    <t>tll0322</t>
  </si>
  <si>
    <t>tlr0323</t>
  </si>
  <si>
    <t>tlr0324</t>
  </si>
  <si>
    <t>tlr0325</t>
  </si>
  <si>
    <t>tlr0326</t>
  </si>
  <si>
    <t>tll0327</t>
  </si>
  <si>
    <t>tll0328</t>
  </si>
  <si>
    <t>tll0329</t>
  </si>
  <si>
    <t>tll0330</t>
  </si>
  <si>
    <t>tll0331</t>
  </si>
  <si>
    <t>tll0332</t>
  </si>
  <si>
    <t>tlr0333</t>
  </si>
  <si>
    <t>tlr0334</t>
  </si>
  <si>
    <t>tlr0335</t>
  </si>
  <si>
    <t>tll0336</t>
  </si>
  <si>
    <t>tll0337</t>
  </si>
  <si>
    <t>tsr0338</t>
  </si>
  <si>
    <t>tlr0339</t>
  </si>
  <si>
    <t>rTEt07</t>
  </si>
  <si>
    <t>tll0340</t>
  </si>
  <si>
    <t>tlr0341</t>
  </si>
  <si>
    <t>tlr0342</t>
  </si>
  <si>
    <t>tlr0343</t>
  </si>
  <si>
    <t>tlr0344</t>
  </si>
  <si>
    <t>tlr0345</t>
  </si>
  <si>
    <t>tlr0346</t>
  </si>
  <si>
    <t>tlr0347</t>
  </si>
  <si>
    <t>tlr0348</t>
  </si>
  <si>
    <t>tlr0349</t>
  </si>
  <si>
    <t>tlr0350</t>
  </si>
  <si>
    <t>rTEt08</t>
  </si>
  <si>
    <t>tlr0351</t>
  </si>
  <si>
    <t>tlr0352</t>
  </si>
  <si>
    <t>tlr0353</t>
  </si>
  <si>
    <t>tlr0354</t>
  </si>
  <si>
    <t>rTEt09</t>
  </si>
  <si>
    <t>tlr0355</t>
  </si>
  <si>
    <t>tlr0356</t>
  </si>
  <si>
    <t>tll0357</t>
  </si>
  <si>
    <t>tll0358</t>
  </si>
  <si>
    <t>tlr0359</t>
  </si>
  <si>
    <t>tll0360</t>
  </si>
  <si>
    <t>tlr0361</t>
  </si>
  <si>
    <t>tlr0362</t>
  </si>
  <si>
    <t>tlr0363</t>
  </si>
  <si>
    <t>tlr0364</t>
  </si>
  <si>
    <t>tll0365</t>
  </si>
  <si>
    <t>tll0366</t>
  </si>
  <si>
    <t>tsl0367</t>
  </si>
  <si>
    <t>tsl0368</t>
  </si>
  <si>
    <t>tll0369</t>
  </si>
  <si>
    <t>tll0370</t>
  </si>
  <si>
    <t>tll0371</t>
  </si>
  <si>
    <t>tlr0372</t>
  </si>
  <si>
    <t>tsr0373</t>
  </si>
  <si>
    <t>tlr0374</t>
  </si>
  <si>
    <t>tsr0375</t>
  </si>
  <si>
    <t>tlr0376</t>
  </si>
  <si>
    <t>rTEt10</t>
  </si>
  <si>
    <t>tlr0377</t>
  </si>
  <si>
    <t>rTEt11</t>
  </si>
  <si>
    <t>tll0378</t>
  </si>
  <si>
    <t>tlr0379</t>
  </si>
  <si>
    <t>tll0380</t>
  </si>
  <si>
    <t>tll0381</t>
  </si>
  <si>
    <t>tll0383</t>
  </si>
  <si>
    <t>tll0384</t>
  </si>
  <si>
    <t>tll0385</t>
  </si>
  <si>
    <t>tll0386</t>
  </si>
  <si>
    <t>tll0390</t>
  </si>
  <si>
    <t>tll0391</t>
  </si>
  <si>
    <t>tll0392</t>
  </si>
  <si>
    <t>tlr0393</t>
  </si>
  <si>
    <t>tll0394</t>
  </si>
  <si>
    <t>rTEt12</t>
  </si>
  <si>
    <t>tll0395</t>
  </si>
  <si>
    <t>tll0396</t>
  </si>
  <si>
    <t>tll0397</t>
  </si>
  <si>
    <t>tll0398</t>
  </si>
  <si>
    <t>tll0399</t>
  </si>
  <si>
    <t>tlr0401</t>
  </si>
  <si>
    <t>tlr0402</t>
  </si>
  <si>
    <t>tll0403</t>
  </si>
  <si>
    <t>tll0404</t>
  </si>
  <si>
    <t>tlr0405</t>
  </si>
  <si>
    <t>tlr0406</t>
  </si>
  <si>
    <t>tlr0407</t>
  </si>
  <si>
    <t>tlr0408</t>
  </si>
  <si>
    <t>tlr0409</t>
  </si>
  <si>
    <t>tlr0410</t>
  </si>
  <si>
    <t>tsr0411</t>
  </si>
  <si>
    <t>tlr0412</t>
  </si>
  <si>
    <t>tlr0413</t>
  </si>
  <si>
    <t>tlr0414</t>
  </si>
  <si>
    <t>tll0415</t>
  </si>
  <si>
    <t>tlr0416</t>
  </si>
  <si>
    <t>tlr0417</t>
  </si>
  <si>
    <t>tll0418</t>
  </si>
  <si>
    <t>tlr0419</t>
  </si>
  <si>
    <t>tlr0420</t>
  </si>
  <si>
    <t>tlr0421</t>
  </si>
  <si>
    <t>tll0422</t>
  </si>
  <si>
    <t>tll0423</t>
  </si>
  <si>
    <t>tll0424</t>
  </si>
  <si>
    <t>tll0425</t>
  </si>
  <si>
    <t>tll0426</t>
  </si>
  <si>
    <t>tsr0427</t>
  </si>
  <si>
    <t>tlr0428</t>
  </si>
  <si>
    <t>tlr0429</t>
  </si>
  <si>
    <t>tlr0430</t>
  </si>
  <si>
    <t>tlr0431</t>
  </si>
  <si>
    <t>tlr0432</t>
  </si>
  <si>
    <t>tlr0433</t>
  </si>
  <si>
    <t>tlr0434</t>
  </si>
  <si>
    <t>tlr0435</t>
  </si>
  <si>
    <t>tlr0436</t>
  </si>
  <si>
    <t>tlr0437</t>
  </si>
  <si>
    <t>tlr0438</t>
  </si>
  <si>
    <t>tll0439</t>
  </si>
  <si>
    <t>tlr0440</t>
  </si>
  <si>
    <t>tll0443</t>
  </si>
  <si>
    <t>tll0444</t>
  </si>
  <si>
    <t>tlr0445</t>
  </si>
  <si>
    <t>tsr0446</t>
  </si>
  <si>
    <t>tll0447</t>
  </si>
  <si>
    <t>tsl0448</t>
  </si>
  <si>
    <t>tlr0449</t>
  </si>
  <si>
    <t>tlr0450</t>
  </si>
  <si>
    <t>tll0451</t>
  </si>
  <si>
    <t>tll0452</t>
  </si>
  <si>
    <t>tll0453</t>
  </si>
  <si>
    <t>tll0454</t>
  </si>
  <si>
    <t>tlr0455</t>
  </si>
  <si>
    <t>tll0456</t>
  </si>
  <si>
    <t>tll0457</t>
  </si>
  <si>
    <t>tll0458</t>
  </si>
  <si>
    <t>tlr0459</t>
  </si>
  <si>
    <t>tll0460</t>
  </si>
  <si>
    <t>tlr0461</t>
  </si>
  <si>
    <t>tlr0462</t>
  </si>
  <si>
    <t>tll0463</t>
  </si>
  <si>
    <t>tll0464</t>
  </si>
  <si>
    <t>tll0465</t>
  </si>
  <si>
    <t>tll0466</t>
  </si>
  <si>
    <t>tll0467</t>
  </si>
  <si>
    <t>tll0471</t>
  </si>
  <si>
    <t>tlr0472</t>
  </si>
  <si>
    <t>tsr0473</t>
  </si>
  <si>
    <t>tlr0474</t>
  </si>
  <si>
    <t>tll0476</t>
  </si>
  <si>
    <t>tsl0477</t>
  </si>
  <si>
    <t>tlr0479</t>
  </si>
  <si>
    <t>tll0480</t>
  </si>
  <si>
    <t>tlr0481</t>
  </si>
  <si>
    <t>tlr0482</t>
  </si>
  <si>
    <t>tlr0483</t>
  </si>
  <si>
    <t>tlr0484</t>
  </si>
  <si>
    <t>tlr0485</t>
  </si>
  <si>
    <t>tll0486</t>
  </si>
  <si>
    <t>tll0487</t>
  </si>
  <si>
    <t>tll0488</t>
  </si>
  <si>
    <t>tlr0489</t>
  </si>
  <si>
    <t>tll0490</t>
  </si>
  <si>
    <t>tlr0491</t>
  </si>
  <si>
    <t>tlr0492</t>
  </si>
  <si>
    <t>tlr0493</t>
  </si>
  <si>
    <t>tlr0494</t>
  </si>
  <si>
    <t>tll0495</t>
  </si>
  <si>
    <t>tlr0496</t>
  </si>
  <si>
    <t>tlr0497</t>
  </si>
  <si>
    <t>tlr0498</t>
  </si>
  <si>
    <t>tlr0499</t>
  </si>
  <si>
    <t>tll0500</t>
  </si>
  <si>
    <t>tlr0501</t>
  </si>
  <si>
    <t>tll0502</t>
  </si>
  <si>
    <t>tlr0503</t>
  </si>
  <si>
    <t>tlr0504</t>
  </si>
  <si>
    <t>tlr0505</t>
  </si>
  <si>
    <t>tll0506</t>
  </si>
  <si>
    <t>tll0507</t>
  </si>
  <si>
    <t>tlr0508</t>
  </si>
  <si>
    <t>tlr0509</t>
  </si>
  <si>
    <t>tlr0510</t>
  </si>
  <si>
    <t>tll0511</t>
  </si>
  <si>
    <t>tll0513</t>
  </si>
  <si>
    <t>tll0514</t>
  </si>
  <si>
    <t>tll0515</t>
  </si>
  <si>
    <t>tlr0516</t>
  </si>
  <si>
    <t>tll0517</t>
  </si>
  <si>
    <t>tll0518</t>
  </si>
  <si>
    <t>tll0519</t>
  </si>
  <si>
    <t>tll0520</t>
  </si>
  <si>
    <t>tll0521</t>
  </si>
  <si>
    <t>tll0523</t>
  </si>
  <si>
    <t>tsr0524</t>
  </si>
  <si>
    <t>tlr0525</t>
  </si>
  <si>
    <t>tlr0526</t>
  </si>
  <si>
    <t>tll0527</t>
  </si>
  <si>
    <t>tlr0528</t>
  </si>
  <si>
    <t>tll0529</t>
  </si>
  <si>
    <t>tll0530</t>
  </si>
  <si>
    <t>tll0531</t>
  </si>
  <si>
    <t>rTEt13</t>
  </si>
  <si>
    <t>tlr0532</t>
  </si>
  <si>
    <t>tll0533</t>
  </si>
  <si>
    <t>tsr0534</t>
  </si>
  <si>
    <t>tlr0535</t>
  </si>
  <si>
    <t>tlr0536</t>
  </si>
  <si>
    <t>tlr0537</t>
  </si>
  <si>
    <t>tll0538</t>
  </si>
  <si>
    <t>tll0539</t>
  </si>
  <si>
    <t>tll0540</t>
  </si>
  <si>
    <t>tll0541</t>
  </si>
  <si>
    <t>tsl0542</t>
  </si>
  <si>
    <t>tsl0543</t>
  </si>
  <si>
    <t>tsl0546</t>
  </si>
  <si>
    <t>tlr0547</t>
  </si>
  <si>
    <t>tlr0548</t>
  </si>
  <si>
    <t>tsr0549</t>
  </si>
  <si>
    <t>tlr0550</t>
  </si>
  <si>
    <t>tlr0551</t>
  </si>
  <si>
    <t>tll0552</t>
  </si>
  <si>
    <t>tll0553</t>
  </si>
  <si>
    <t>tll0554</t>
  </si>
  <si>
    <t>tll0555</t>
  </si>
  <si>
    <t>tlr0556</t>
  </si>
  <si>
    <t>tsr0557</t>
  </si>
  <si>
    <t>tlr0558</t>
  </si>
  <si>
    <t>tll0559</t>
  </si>
  <si>
    <t>tlr0560</t>
  </si>
  <si>
    <t>tll0561</t>
  </si>
  <si>
    <t>tll0562</t>
  </si>
  <si>
    <t>tlr0563</t>
  </si>
  <si>
    <t>tsr0564</t>
  </si>
  <si>
    <t>tll0565</t>
  </si>
  <si>
    <t>tll0567</t>
  </si>
  <si>
    <t>tll0568</t>
  </si>
  <si>
    <t>tll0569</t>
  </si>
  <si>
    <t>tll0570</t>
  </si>
  <si>
    <t>tll0571</t>
  </si>
  <si>
    <t>tll0572</t>
  </si>
  <si>
    <t>tll0573</t>
  </si>
  <si>
    <t>tll0574</t>
  </si>
  <si>
    <t>tlr0575</t>
  </si>
  <si>
    <t>tlr0576</t>
  </si>
  <si>
    <t>tlr0577</t>
  </si>
  <si>
    <t>tll0578</t>
  </si>
  <si>
    <t>tll0579</t>
  </si>
  <si>
    <t>tll0580</t>
  </si>
  <si>
    <t>tll0581</t>
  </si>
  <si>
    <t>tlr0582</t>
  </si>
  <si>
    <t>tll0583</t>
  </si>
  <si>
    <t>tll0584</t>
  </si>
  <si>
    <t>tlr0585</t>
  </si>
  <si>
    <t>tll0586</t>
  </si>
  <si>
    <t>tlr0587</t>
  </si>
  <si>
    <t>tlr0588</t>
  </si>
  <si>
    <t>tlr0589</t>
  </si>
  <si>
    <t>tll0590</t>
  </si>
  <si>
    <t>tll0591</t>
  </si>
  <si>
    <t>tlr0592</t>
  </si>
  <si>
    <t>tlr0593</t>
  </si>
  <si>
    <t>tlr0594</t>
  </si>
  <si>
    <t>tlr0595</t>
  </si>
  <si>
    <t>tll0596</t>
  </si>
  <si>
    <t>tlr0597</t>
  </si>
  <si>
    <t>tlr0598</t>
  </si>
  <si>
    <t>tll0599</t>
  </si>
  <si>
    <t>tll0600</t>
  </si>
  <si>
    <t>tll0601</t>
  </si>
  <si>
    <t>tsl0602</t>
  </si>
  <si>
    <t>tlr0603</t>
  </si>
  <si>
    <t>tll0604</t>
  </si>
  <si>
    <t>tlr0605</t>
  </si>
  <si>
    <t>tll0606</t>
  </si>
  <si>
    <t>tll0607</t>
  </si>
  <si>
    <t>tsr0608</t>
  </si>
  <si>
    <t>tlr0609</t>
  </si>
  <si>
    <t>tlr0610</t>
  </si>
  <si>
    <t>tlr0611</t>
  </si>
  <si>
    <t>tlr0612</t>
  </si>
  <si>
    <t>tlr0613</t>
  </si>
  <si>
    <t>tll0614</t>
  </si>
  <si>
    <t>tlr0615</t>
  </si>
  <si>
    <t>tll0616</t>
  </si>
  <si>
    <t>tll0617</t>
  </si>
  <si>
    <t>tll0618</t>
  </si>
  <si>
    <t>tlr0620</t>
  </si>
  <si>
    <t>tll0621</t>
  </si>
  <si>
    <t>tlr0622</t>
  </si>
  <si>
    <t>tll0623</t>
  </si>
  <si>
    <t>tll0624</t>
  </si>
  <si>
    <t>tll0625</t>
  </si>
  <si>
    <t>tlr0626</t>
  </si>
  <si>
    <t>tll0627</t>
  </si>
  <si>
    <t>tlr0628</t>
  </si>
  <si>
    <t>tsr0629</t>
  </si>
  <si>
    <t>tlr0630</t>
  </si>
  <si>
    <t>tlr0631</t>
  </si>
  <si>
    <t>tll0632</t>
  </si>
  <si>
    <t>tll0633</t>
  </si>
  <si>
    <t>tll0634</t>
  </si>
  <si>
    <t>tll0635</t>
  </si>
  <si>
    <t>rTEt14</t>
  </si>
  <si>
    <t>tlr0636</t>
  </si>
  <si>
    <t>tlr0637</t>
  </si>
  <si>
    <t>tll0638</t>
  </si>
  <si>
    <t>tll0639</t>
  </si>
  <si>
    <t>tll0640</t>
  </si>
  <si>
    <t>tll0641</t>
  </si>
  <si>
    <t>tll0642</t>
  </si>
  <si>
    <t>tll0643</t>
  </si>
  <si>
    <t>tll0644</t>
  </si>
  <si>
    <t>tll0645</t>
  </si>
  <si>
    <t>tll0646</t>
  </si>
  <si>
    <t>rTEs03</t>
  </si>
  <si>
    <t>tll0647</t>
  </si>
  <si>
    <t>tlr0648</t>
  </si>
  <si>
    <t>tll0649</t>
  </si>
  <si>
    <t>tll0650</t>
  </si>
  <si>
    <t>tlr0651</t>
  </si>
  <si>
    <t>tlr0652</t>
  </si>
  <si>
    <t>tlr0653</t>
  </si>
  <si>
    <t>tlr0654</t>
  </si>
  <si>
    <t>tlr0655</t>
  </si>
  <si>
    <t>tlr0656</t>
  </si>
  <si>
    <t>tll0657</t>
  </si>
  <si>
    <t>tlr0658</t>
  </si>
  <si>
    <t>tlr0659</t>
  </si>
  <si>
    <t>tll0660</t>
  </si>
  <si>
    <t>tll0661</t>
  </si>
  <si>
    <t>tll0662</t>
  </si>
  <si>
    <t>tll0663</t>
  </si>
  <si>
    <t>tll0664</t>
  </si>
  <si>
    <t>tll0665</t>
  </si>
  <si>
    <t>tll0666</t>
  </si>
  <si>
    <t>tlr0667</t>
  </si>
  <si>
    <t>tlr0668</t>
  </si>
  <si>
    <t>tlr0669</t>
  </si>
  <si>
    <t>tlr0670</t>
  </si>
  <si>
    <t>tlr0671</t>
  </si>
  <si>
    <t>tlr0672</t>
  </si>
  <si>
    <t>tlr0673</t>
  </si>
  <si>
    <t>tlr0674</t>
  </si>
  <si>
    <t>tlr0675</t>
  </si>
  <si>
    <t>tlr0676</t>
  </si>
  <si>
    <t>tlr0677</t>
  </si>
  <si>
    <t>tlr0678</t>
  </si>
  <si>
    <t>tlr0679</t>
  </si>
  <si>
    <t>tlr0680</t>
  </si>
  <si>
    <t>tlr0681</t>
  </si>
  <si>
    <t>tlr0682</t>
  </si>
  <si>
    <t>tll0683</t>
  </si>
  <si>
    <t>tll0684</t>
  </si>
  <si>
    <t>tll0685</t>
  </si>
  <si>
    <t>tsr0686</t>
  </si>
  <si>
    <t>tll0687</t>
  </si>
  <si>
    <t>tsr0688</t>
  </si>
  <si>
    <t>tll0689</t>
  </si>
  <si>
    <t>tlr0690</t>
  </si>
  <si>
    <t>tlr0691</t>
  </si>
  <si>
    <t>tsr0692</t>
  </si>
  <si>
    <t>tlr0693</t>
  </si>
  <si>
    <t>tlr0694</t>
  </si>
  <si>
    <t>tsr0695</t>
  </si>
  <si>
    <t>tlr0696</t>
  </si>
  <si>
    <t>tll0697</t>
  </si>
  <si>
    <t>tll0698</t>
  </si>
  <si>
    <t>tlr0699</t>
  </si>
  <si>
    <t>tlr0700</t>
  </si>
  <si>
    <t>tlr0701</t>
  </si>
  <si>
    <t>tsl0702</t>
  </si>
  <si>
    <t>tlr0703</t>
  </si>
  <si>
    <t>tlr0704</t>
  </si>
  <si>
    <t>tlr0705</t>
  </si>
  <si>
    <t>tsr0706</t>
  </si>
  <si>
    <t>tlr0707</t>
  </si>
  <si>
    <t>tlr0708</t>
  </si>
  <si>
    <t>tll0709</t>
  </si>
  <si>
    <t>tlr0710</t>
  </si>
  <si>
    <t>tlr0711</t>
  </si>
  <si>
    <t>tlr0712</t>
  </si>
  <si>
    <t>tll0713</t>
  </si>
  <si>
    <t>tlr0714</t>
  </si>
  <si>
    <t>tlr0715</t>
  </si>
  <si>
    <t>tll0716</t>
  </si>
  <si>
    <t>tll0717</t>
  </si>
  <si>
    <t>tll0719</t>
  </si>
  <si>
    <t>tll0720</t>
  </si>
  <si>
    <t>tlr0722</t>
  </si>
  <si>
    <t>tlr0723</t>
  </si>
  <si>
    <t>tlr0724</t>
  </si>
  <si>
    <t>tlr0725</t>
  </si>
  <si>
    <t>tsr0726</t>
  </si>
  <si>
    <t>tsr0727</t>
  </si>
  <si>
    <t>tlr0728</t>
  </si>
  <si>
    <t>tlr0729</t>
  </si>
  <si>
    <t>tll0730</t>
  </si>
  <si>
    <t>tlr0731</t>
  </si>
  <si>
    <t>tlr0732</t>
  </si>
  <si>
    <t>tlr0733</t>
  </si>
  <si>
    <t>tll0734</t>
  </si>
  <si>
    <t>tll0735</t>
  </si>
  <si>
    <t>tll0736</t>
  </si>
  <si>
    <t>tlr0737</t>
  </si>
  <si>
    <t>tlr0738</t>
  </si>
  <si>
    <t>tlr0739</t>
  </si>
  <si>
    <t>tlr0740</t>
  </si>
  <si>
    <t>tlr0741</t>
  </si>
  <si>
    <t>tlr0742</t>
  </si>
  <si>
    <t>tlr0743</t>
  </si>
  <si>
    <t>tll0744</t>
  </si>
  <si>
    <t>tll0745</t>
  </si>
  <si>
    <t>tll0746</t>
  </si>
  <si>
    <t>tll0747</t>
  </si>
  <si>
    <t>rTEt15</t>
  </si>
  <si>
    <t>tll0748</t>
  </si>
  <si>
    <t>tlr0749</t>
  </si>
  <si>
    <t>tlr0750</t>
  </si>
  <si>
    <t>tlr0751</t>
  </si>
  <si>
    <t>tlr0754</t>
  </si>
  <si>
    <t>tlr0755</t>
  </si>
  <si>
    <t>tlr0756</t>
  </si>
  <si>
    <t>tlr0757</t>
  </si>
  <si>
    <t>tlr0758</t>
  </si>
  <si>
    <t>tll0759</t>
  </si>
  <si>
    <t>tll0760</t>
  </si>
  <si>
    <t>tll0761</t>
  </si>
  <si>
    <t>tll0762</t>
  </si>
  <si>
    <t>tll0763</t>
  </si>
  <si>
    <t>tlr0764</t>
  </si>
  <si>
    <t>tlr0765</t>
  </si>
  <si>
    <t>tlr0766</t>
  </si>
  <si>
    <t>tlr0767</t>
  </si>
  <si>
    <t>tll0768</t>
  </si>
  <si>
    <t>tll0769</t>
  </si>
  <si>
    <t>tll0770</t>
  </si>
  <si>
    <t>tll0771</t>
  </si>
  <si>
    <t>tll0772</t>
  </si>
  <si>
    <t>tlr0773</t>
  </si>
  <si>
    <t>tlr0776</t>
  </si>
  <si>
    <t>tlr0777</t>
  </si>
  <si>
    <t>tlr0778</t>
  </si>
  <si>
    <t>tlr0779</t>
  </si>
  <si>
    <t>tll0780</t>
  </si>
  <si>
    <t>tlr0781</t>
  </si>
  <si>
    <t>tlr0782</t>
  </si>
  <si>
    <t>tlr0783</t>
  </si>
  <si>
    <t>tlr0784</t>
  </si>
  <si>
    <t>tsl0785</t>
  </si>
  <si>
    <t>tlr0786</t>
  </si>
  <si>
    <t>tll0787</t>
  </si>
  <si>
    <t>tll0788</t>
  </si>
  <si>
    <t>tll0789</t>
  </si>
  <si>
    <t>tll0790</t>
  </si>
  <si>
    <t>tll0791</t>
  </si>
  <si>
    <t>tll0792</t>
  </si>
  <si>
    <t>tll0793</t>
  </si>
  <si>
    <t>tll0794</t>
  </si>
  <si>
    <t>tll0795</t>
  </si>
  <si>
    <t>tlr0796</t>
  </si>
  <si>
    <t>tlr0797</t>
  </si>
  <si>
    <t>tll0798</t>
  </si>
  <si>
    <t>tll0799</t>
  </si>
  <si>
    <t>tlr0800</t>
  </si>
  <si>
    <t>tlr0801</t>
  </si>
  <si>
    <t>tsr0802</t>
  </si>
  <si>
    <t>tlr0803</t>
  </si>
  <si>
    <t>tsr0804</t>
  </si>
  <si>
    <t>tlr0805</t>
  </si>
  <si>
    <t>tlr0806</t>
  </si>
  <si>
    <t>tll0807</t>
  </si>
  <si>
    <t>tll0808</t>
  </si>
  <si>
    <t>tlr0809</t>
  </si>
  <si>
    <t>tll0810</t>
  </si>
  <si>
    <t>tsl0811</t>
  </si>
  <si>
    <t>tll0812</t>
  </si>
  <si>
    <t>tsr0813</t>
  </si>
  <si>
    <t>tll0814</t>
  </si>
  <si>
    <t>tlr0816</t>
  </si>
  <si>
    <t>tsl0817</t>
  </si>
  <si>
    <t>tlr0818</t>
  </si>
  <si>
    <t>tll0819</t>
  </si>
  <si>
    <t>tll0820</t>
  </si>
  <si>
    <t>tlr0821</t>
  </si>
  <si>
    <t>tlr0822</t>
  </si>
  <si>
    <t>tlr0823</t>
  </si>
  <si>
    <t>tll0824</t>
  </si>
  <si>
    <t>tsl0825</t>
  </si>
  <si>
    <t>tll0826</t>
  </si>
  <si>
    <t>tsl0827</t>
  </si>
  <si>
    <t>tsl2479</t>
  </si>
  <si>
    <t>tlr0828</t>
  </si>
  <si>
    <t>tlr0829</t>
  </si>
  <si>
    <t>tll0830</t>
  </si>
  <si>
    <t>tll0831</t>
  </si>
  <si>
    <t>tll0832</t>
  </si>
  <si>
    <t>tlr0833</t>
  </si>
  <si>
    <t>tll0834</t>
  </si>
  <si>
    <t>tll0835</t>
  </si>
  <si>
    <t>tsl0836</t>
  </si>
  <si>
    <t>tlr0837</t>
  </si>
  <si>
    <t>tlr0838</t>
  </si>
  <si>
    <t>tll0839</t>
  </si>
  <si>
    <t>tll0840</t>
  </si>
  <si>
    <t>tlr0841</t>
  </si>
  <si>
    <t>tlr0842</t>
  </si>
  <si>
    <t>tlr0843</t>
  </si>
  <si>
    <t>tlr0844</t>
  </si>
  <si>
    <t>tlr0845</t>
  </si>
  <si>
    <t>tlr0846</t>
  </si>
  <si>
    <t>tll0847</t>
  </si>
  <si>
    <t>tsl0848</t>
  </si>
  <si>
    <t>tlr0849</t>
  </si>
  <si>
    <t>tlr0850</t>
  </si>
  <si>
    <t>tlr0851</t>
  </si>
  <si>
    <t>tll0852</t>
  </si>
  <si>
    <t>tll0853</t>
  </si>
  <si>
    <t>tll0854</t>
  </si>
  <si>
    <t>tll0855</t>
  </si>
  <si>
    <t>tll0856</t>
  </si>
  <si>
    <t>tll0857</t>
  </si>
  <si>
    <t>tll0858</t>
  </si>
  <si>
    <t>tll0859</t>
  </si>
  <si>
    <t>tll0860</t>
  </si>
  <si>
    <t>tlr0861</t>
  </si>
  <si>
    <t>tlr0862</t>
  </si>
  <si>
    <t>tlr0863</t>
  </si>
  <si>
    <t>tsr0864</t>
  </si>
  <si>
    <t>tsl0865</t>
  </si>
  <si>
    <t>tsl0866</t>
  </si>
  <si>
    <t>tll0867</t>
  </si>
  <si>
    <t>tll0868</t>
  </si>
  <si>
    <t>tll0869</t>
  </si>
  <si>
    <t>tlr0870</t>
  </si>
  <si>
    <t>tll0871</t>
  </si>
  <si>
    <t>tlr0872</t>
  </si>
  <si>
    <t>tlr0873</t>
  </si>
  <si>
    <t>tll0874</t>
  </si>
  <si>
    <t>tsl0875</t>
  </si>
  <si>
    <t>tll0876</t>
  </si>
  <si>
    <t>tsr0877</t>
  </si>
  <si>
    <t>tlr0878</t>
  </si>
  <si>
    <t>tll0879</t>
  </si>
  <si>
    <t>tll0880</t>
  </si>
  <si>
    <t>tll0881</t>
  </si>
  <si>
    <t>tlr0882</t>
  </si>
  <si>
    <t>tlr0883</t>
  </si>
  <si>
    <t>tlr0884</t>
  </si>
  <si>
    <t>tll0885</t>
  </si>
  <si>
    <t>tll0886</t>
  </si>
  <si>
    <t>tll0887</t>
  </si>
  <si>
    <t>tll0888</t>
  </si>
  <si>
    <t>tll0889</t>
  </si>
  <si>
    <t>tlr0890</t>
  </si>
  <si>
    <t>tll0891</t>
  </si>
  <si>
    <t>tlr0892</t>
  </si>
  <si>
    <t>tlr0894</t>
  </si>
  <si>
    <t>tll0895</t>
  </si>
  <si>
    <t>tlr0896</t>
  </si>
  <si>
    <t>tlr0897</t>
  </si>
  <si>
    <t>tlr0898</t>
  </si>
  <si>
    <t>tll0899</t>
  </si>
  <si>
    <t>tlr0900</t>
  </si>
  <si>
    <t>tll0901</t>
  </si>
  <si>
    <t>tll0902</t>
  </si>
  <si>
    <t>tlr0903</t>
  </si>
  <si>
    <t>tlr0904</t>
  </si>
  <si>
    <t>tlr0905</t>
  </si>
  <si>
    <t>tlr0906</t>
  </si>
  <si>
    <t>tsr0907</t>
  </si>
  <si>
    <t>tlr0908</t>
  </si>
  <si>
    <t>tlr0909</t>
  </si>
  <si>
    <t>tlr0910</t>
  </si>
  <si>
    <t>tlr0911</t>
  </si>
  <si>
    <t>tll0912</t>
  </si>
  <si>
    <t>tll0913</t>
  </si>
  <si>
    <t>tll0914</t>
  </si>
  <si>
    <t>tll0915</t>
  </si>
  <si>
    <t>tll0916</t>
  </si>
  <si>
    <t>tlr0917</t>
  </si>
  <si>
    <t>tll0918</t>
  </si>
  <si>
    <t>tsl0919</t>
  </si>
  <si>
    <t>tll0920</t>
  </si>
  <si>
    <t>tsl0921</t>
  </si>
  <si>
    <t>tll0922</t>
  </si>
  <si>
    <t>tll0923</t>
  </si>
  <si>
    <t>tlr0924</t>
  </si>
  <si>
    <t>tll0925</t>
  </si>
  <si>
    <t>tlr0926</t>
  </si>
  <si>
    <t>tlr0927</t>
  </si>
  <si>
    <t>tlr0928</t>
  </si>
  <si>
    <t>tlr0930</t>
  </si>
  <si>
    <t>tll0931</t>
  </si>
  <si>
    <t>tll0932</t>
  </si>
  <si>
    <t>tll0933</t>
  </si>
  <si>
    <t>tsr0934</t>
  </si>
  <si>
    <t>tsr0935</t>
  </si>
  <si>
    <t>tlr0936</t>
  </si>
  <si>
    <t>tlr0937</t>
  </si>
  <si>
    <t>tlr0938</t>
  </si>
  <si>
    <t>tlr0939</t>
  </si>
  <si>
    <t>tlr0940</t>
  </si>
  <si>
    <t>tll0941</t>
  </si>
  <si>
    <t>tlr0942</t>
  </si>
  <si>
    <t>tll0943</t>
  </si>
  <si>
    <t>tll0944</t>
  </si>
  <si>
    <t>tll0945</t>
  </si>
  <si>
    <t>tll0946</t>
  </si>
  <si>
    <t>tll0947</t>
  </si>
  <si>
    <t>tll0948</t>
  </si>
  <si>
    <t>tlr0949</t>
  </si>
  <si>
    <t>tll0950</t>
  </si>
  <si>
    <t>tlr0951</t>
  </si>
  <si>
    <t>tll0952</t>
  </si>
  <si>
    <t>tlr0953</t>
  </si>
  <si>
    <t>tlr0954</t>
  </si>
  <si>
    <t>tsl0955</t>
  </si>
  <si>
    <t>tll0956</t>
  </si>
  <si>
    <t>tll0957</t>
  </si>
  <si>
    <t>tll0958</t>
  </si>
  <si>
    <t>tlr0959</t>
  </si>
  <si>
    <t>tlr0960</t>
  </si>
  <si>
    <t>tlr0961</t>
  </si>
  <si>
    <t>tlr0962</t>
  </si>
  <si>
    <t>tlr0963</t>
  </si>
  <si>
    <t>tll0964</t>
  </si>
  <si>
    <t>tlr0965</t>
  </si>
  <si>
    <t>tlr0966</t>
  </si>
  <si>
    <t>tlr0967</t>
  </si>
  <si>
    <t>tsr0968</t>
  </si>
  <si>
    <t>tlr0969</t>
  </si>
  <si>
    <t>tll0970</t>
  </si>
  <si>
    <t>tll0971</t>
  </si>
  <si>
    <t>tsl0972</t>
  </si>
  <si>
    <t>tlr0973</t>
  </si>
  <si>
    <t>tlr0974</t>
  </si>
  <si>
    <t>tlr0975</t>
  </si>
  <si>
    <t>tlr0976</t>
  </si>
  <si>
    <t>tlr0977</t>
  </si>
  <si>
    <t>tll0978</t>
  </si>
  <si>
    <t>tlr0979</t>
  </si>
  <si>
    <t>tll0980</t>
  </si>
  <si>
    <t>tlr0981</t>
  </si>
  <si>
    <t>tlr0982</t>
  </si>
  <si>
    <t>tsr0983</t>
  </si>
  <si>
    <t>tlr0984</t>
  </si>
  <si>
    <t>tll0985</t>
  </si>
  <si>
    <t>tll0986</t>
  </si>
  <si>
    <t>tll0987</t>
  </si>
  <si>
    <t>tsl0988</t>
  </si>
  <si>
    <t>tll0989</t>
  </si>
  <si>
    <t>tll0990</t>
  </si>
  <si>
    <t>tll0991</t>
  </si>
  <si>
    <t>tll0992</t>
  </si>
  <si>
    <t>tll0993</t>
  </si>
  <si>
    <t>tll0994</t>
  </si>
  <si>
    <t>tll0995</t>
  </si>
  <si>
    <t>tlr0996</t>
  </si>
  <si>
    <t>tlr0997</t>
  </si>
  <si>
    <t>tlr0998</t>
  </si>
  <si>
    <t>tlr0999</t>
  </si>
  <si>
    <t>tlr1001</t>
  </si>
  <si>
    <t>tsr1002</t>
  </si>
  <si>
    <t>tll1003</t>
  </si>
  <si>
    <t>tlr1004</t>
  </si>
  <si>
    <t>tlr1005</t>
  </si>
  <si>
    <t>tlr1006</t>
  </si>
  <si>
    <t>tlr1007</t>
  </si>
  <si>
    <t>tll1008</t>
  </si>
  <si>
    <t>tsl1009</t>
  </si>
  <si>
    <t>tll1010</t>
  </si>
  <si>
    <t>tll1011</t>
  </si>
  <si>
    <t>tsr1012</t>
  </si>
  <si>
    <t>tsl1013</t>
  </si>
  <si>
    <t>tlr1014</t>
  </si>
  <si>
    <t>tll2478</t>
  </si>
  <si>
    <t>tll1015</t>
  </si>
  <si>
    <t>tsl1016</t>
  </si>
  <si>
    <t>tlr1017</t>
  </si>
  <si>
    <t>tlr1018</t>
  </si>
  <si>
    <t>tll1019</t>
  </si>
  <si>
    <t>tll1020</t>
  </si>
  <si>
    <t>tll1021</t>
  </si>
  <si>
    <t>tll1022</t>
  </si>
  <si>
    <t>tll1023</t>
  </si>
  <si>
    <t>tll1024</t>
  </si>
  <si>
    <t>tll1025</t>
  </si>
  <si>
    <t>tsr1026</t>
  </si>
  <si>
    <t>tll1027</t>
  </si>
  <si>
    <t>tll1028</t>
  </si>
  <si>
    <t>tll1029</t>
  </si>
  <si>
    <t>tll1030</t>
  </si>
  <si>
    <t>tll1031</t>
  </si>
  <si>
    <t>tlr1032</t>
  </si>
  <si>
    <t>tll1033</t>
  </si>
  <si>
    <t>tll1034</t>
  </si>
  <si>
    <t>tll1035</t>
  </si>
  <si>
    <t>tlr1036</t>
  </si>
  <si>
    <t>tll1037</t>
  </si>
  <si>
    <t>tlr1038</t>
  </si>
  <si>
    <t>tll1039</t>
  </si>
  <si>
    <t>tlr1040</t>
  </si>
  <si>
    <t>tlr1041</t>
  </si>
  <si>
    <t>tll1042</t>
  </si>
  <si>
    <t>tll1043</t>
  </si>
  <si>
    <t>tll1044</t>
  </si>
  <si>
    <t>tlr1045</t>
  </si>
  <si>
    <t>tlr1046</t>
  </si>
  <si>
    <t>tlr1047</t>
  </si>
  <si>
    <t>tll1048</t>
  </si>
  <si>
    <t>tll1049</t>
  </si>
  <si>
    <t>tlr1050</t>
  </si>
  <si>
    <t>tsl1051</t>
  </si>
  <si>
    <t>tll1052</t>
  </si>
  <si>
    <t>rTEt16</t>
  </si>
  <si>
    <t>tlr1053</t>
  </si>
  <si>
    <t>tlr1054</t>
  </si>
  <si>
    <t>tsr1055</t>
  </si>
  <si>
    <t>tlr1056</t>
  </si>
  <si>
    <t>tll1057</t>
  </si>
  <si>
    <t>tll1058</t>
  </si>
  <si>
    <t>tll1059</t>
  </si>
  <si>
    <t>tlr1060</t>
  </si>
  <si>
    <t>tll1061</t>
  </si>
  <si>
    <t>tll1062</t>
  </si>
  <si>
    <t>tll1063</t>
  </si>
  <si>
    <t>tlr1064</t>
  </si>
  <si>
    <t>tlr1065</t>
  </si>
  <si>
    <t>tlr1066</t>
  </si>
  <si>
    <t>tlr1067</t>
  </si>
  <si>
    <t>tsr1068</t>
  </si>
  <si>
    <t>tsr1069</t>
  </si>
  <si>
    <t>tlr1070</t>
  </si>
  <si>
    <t>tlr1071</t>
  </si>
  <si>
    <t>tlr1072</t>
  </si>
  <si>
    <t>tlr1073</t>
  </si>
  <si>
    <t>tsr1074</t>
  </si>
  <si>
    <t>tlr1075</t>
  </si>
  <si>
    <t>tlr1076</t>
  </si>
  <si>
    <t>tll1077</t>
  </si>
  <si>
    <t>tll1078</t>
  </si>
  <si>
    <t>tlr1079</t>
  </si>
  <si>
    <t>tll1080</t>
  </si>
  <si>
    <t>tsl1081</t>
  </si>
  <si>
    <t>tlr1082</t>
  </si>
  <si>
    <t>tlr1083</t>
  </si>
  <si>
    <t>tll1084</t>
  </si>
  <si>
    <t>tll1085</t>
  </si>
  <si>
    <t>tll1086</t>
  </si>
  <si>
    <t>tsr1087</t>
  </si>
  <si>
    <t>tlr1088</t>
  </si>
  <si>
    <t>tll1089</t>
  </si>
  <si>
    <t>rTEt17</t>
  </si>
  <si>
    <t>tlr1090</t>
  </si>
  <si>
    <t>tlr1091</t>
  </si>
  <si>
    <t>rTEt18</t>
  </si>
  <si>
    <t>tll1092</t>
  </si>
  <si>
    <t>tll1093</t>
  </si>
  <si>
    <t>tll1094</t>
  </si>
  <si>
    <t>tll1095</t>
  </si>
  <si>
    <t>tll1096</t>
  </si>
  <si>
    <t>tlr1097</t>
  </si>
  <si>
    <t>tlr1098</t>
  </si>
  <si>
    <t>tll1099</t>
  </si>
  <si>
    <t>tsl1100</t>
  </si>
  <si>
    <t>tlr1101</t>
  </si>
  <si>
    <t>tlr1102</t>
  </si>
  <si>
    <t>tlr1103</t>
  </si>
  <si>
    <t>tll1104</t>
  </si>
  <si>
    <t>tll1105</t>
  </si>
  <si>
    <t>tll1106</t>
  </si>
  <si>
    <t>tll1107</t>
  </si>
  <si>
    <t>tll1108</t>
  </si>
  <si>
    <t>tll1109</t>
  </si>
  <si>
    <t>tll1110</t>
  </si>
  <si>
    <t>tll1111</t>
  </si>
  <si>
    <t>tll1112</t>
  </si>
  <si>
    <t>tlr1113</t>
  </si>
  <si>
    <t>tll1114</t>
  </si>
  <si>
    <t>tlr1115</t>
  </si>
  <si>
    <t>tll1116</t>
  </si>
  <si>
    <t>tll1117</t>
  </si>
  <si>
    <t>tlr1118</t>
  </si>
  <si>
    <t>tlr1120</t>
  </si>
  <si>
    <t>tlr1121</t>
  </si>
  <si>
    <t>tlr1122</t>
  </si>
  <si>
    <t>tlr1123</t>
  </si>
  <si>
    <t>tlr1124</t>
  </si>
  <si>
    <t>tll1125</t>
  </si>
  <si>
    <t>tll1126</t>
  </si>
  <si>
    <t>tlr1127</t>
  </si>
  <si>
    <t>tlr1128</t>
  </si>
  <si>
    <t>tlr1129</t>
  </si>
  <si>
    <t>tlr1130</t>
  </si>
  <si>
    <t>tsr1131</t>
  </si>
  <si>
    <t>tlr1132</t>
  </si>
  <si>
    <t>tll1133</t>
  </si>
  <si>
    <t>tlr1134</t>
  </si>
  <si>
    <t>tlr1135</t>
  </si>
  <si>
    <t>tlr1136</t>
  </si>
  <si>
    <t>tlr1137</t>
  </si>
  <si>
    <t>tsl1138</t>
  </si>
  <si>
    <t>tlr1139</t>
  </si>
  <si>
    <t>tlr1140</t>
  </si>
  <si>
    <t>tll1141</t>
  </si>
  <si>
    <t>tlr1142</t>
  </si>
  <si>
    <t>tlr1143</t>
  </si>
  <si>
    <t>tll1144</t>
  </si>
  <si>
    <t>tsr1145</t>
  </si>
  <si>
    <t>tlr1146</t>
  </si>
  <si>
    <t>tlr1147</t>
  </si>
  <si>
    <t>tll1148</t>
  </si>
  <si>
    <t>tll1149</t>
  </si>
  <si>
    <t>tll1150</t>
  </si>
  <si>
    <t>tlr1151</t>
  </si>
  <si>
    <t>tll1152</t>
  </si>
  <si>
    <t>tlr1153</t>
  </si>
  <si>
    <t>tlr1154</t>
  </si>
  <si>
    <t>tll1155</t>
  </si>
  <si>
    <t>tll1156</t>
  </si>
  <si>
    <t>tlr1157</t>
  </si>
  <si>
    <t>tlr1158</t>
  </si>
  <si>
    <t>tlr1159</t>
  </si>
  <si>
    <t>tsl1160</t>
  </si>
  <si>
    <t>tlr1161</t>
  </si>
  <si>
    <t>tll1162</t>
  </si>
  <si>
    <t>tlr1163</t>
  </si>
  <si>
    <t>tll1164</t>
  </si>
  <si>
    <t>tlr1165</t>
  </si>
  <si>
    <t>tlr1166</t>
  </si>
  <si>
    <t>tll1167</t>
  </si>
  <si>
    <t>tlr1168</t>
  </si>
  <si>
    <t>tlr1169</t>
  </si>
  <si>
    <t>tlr1170</t>
  </si>
  <si>
    <t>tlr1171</t>
  </si>
  <si>
    <t>tsl1172</t>
  </si>
  <si>
    <t>tlr1173</t>
  </si>
  <si>
    <t>tlr1174</t>
  </si>
  <si>
    <t>tll1175</t>
  </si>
  <si>
    <t>tlr1176</t>
  </si>
  <si>
    <t>tlr1177</t>
  </si>
  <si>
    <t>tlr1178</t>
  </si>
  <si>
    <t>tlr1179</t>
  </si>
  <si>
    <t>tlr1180</t>
  </si>
  <si>
    <t>tll1181</t>
  </si>
  <si>
    <t>tll1182</t>
  </si>
  <si>
    <t>tll1183</t>
  </si>
  <si>
    <t>tlr1184</t>
  </si>
  <si>
    <t>tlr1185</t>
  </si>
  <si>
    <t>tll1186</t>
  </si>
  <si>
    <t>tll1187</t>
  </si>
  <si>
    <t>tsl1188</t>
  </si>
  <si>
    <t>tll1189</t>
  </si>
  <si>
    <t>tll1190</t>
  </si>
  <si>
    <t>tll1191</t>
  </si>
  <si>
    <t>tll1192</t>
  </si>
  <si>
    <t>tll1193</t>
  </si>
  <si>
    <t>tlr1194</t>
  </si>
  <si>
    <t>tll1195</t>
  </si>
  <si>
    <t>tsr1196</t>
  </si>
  <si>
    <t>tlr1197</t>
  </si>
  <si>
    <t>rTEt19</t>
  </si>
  <si>
    <t>tll1199</t>
  </si>
  <si>
    <t>tll1200</t>
  </si>
  <si>
    <t>tll1201</t>
  </si>
  <si>
    <t>tll1202</t>
  </si>
  <si>
    <t>tll1203</t>
  </si>
  <si>
    <t>tsl1204</t>
  </si>
  <si>
    <t>tll1205</t>
  </si>
  <si>
    <t>tlr1206</t>
  </si>
  <si>
    <t>tsr1207</t>
  </si>
  <si>
    <t>tlr1208</t>
  </si>
  <si>
    <t>tlr1209</t>
  </si>
  <si>
    <t>tlr1210</t>
  </si>
  <si>
    <t>tlr1211</t>
  </si>
  <si>
    <t>tsr1212</t>
  </si>
  <si>
    <t>tll1213</t>
  </si>
  <si>
    <t>tlr1214</t>
  </si>
  <si>
    <t>tlr1215</t>
  </si>
  <si>
    <t>tlr1216</t>
  </si>
  <si>
    <t>tlr1217</t>
  </si>
  <si>
    <t>tlr1218</t>
  </si>
  <si>
    <t>tlr1219</t>
  </si>
  <si>
    <t>tlr1220</t>
  </si>
  <si>
    <t>tll1221</t>
  </si>
  <si>
    <t>tlr1222</t>
  </si>
  <si>
    <t>tsl1223</t>
  </si>
  <si>
    <t>tlr1224</t>
  </si>
  <si>
    <t>tll1225</t>
  </si>
  <si>
    <t>tlr1226</t>
  </si>
  <si>
    <t>tll1227</t>
  </si>
  <si>
    <t>tlr1228</t>
  </si>
  <si>
    <t>tsl1229</t>
  </si>
  <si>
    <t>tll1230</t>
  </si>
  <si>
    <t>tll1231</t>
  </si>
  <si>
    <t>tsr1232</t>
  </si>
  <si>
    <t>tlr1233</t>
  </si>
  <si>
    <t>tlr1234</t>
  </si>
  <si>
    <t>tlr1235</t>
  </si>
  <si>
    <t>tlr1236</t>
  </si>
  <si>
    <t>tll1237</t>
  </si>
  <si>
    <t>tll1238</t>
  </si>
  <si>
    <t>tlr1239</t>
  </si>
  <si>
    <t>tlr1240</t>
  </si>
  <si>
    <t>tll1241</t>
  </si>
  <si>
    <t>tsr1242</t>
  </si>
  <si>
    <t>tll1243</t>
  </si>
  <si>
    <t>tsl1244</t>
  </si>
  <si>
    <t>tlr1246</t>
  </si>
  <si>
    <t>tlr1247</t>
  </si>
  <si>
    <t>tsl1248</t>
  </si>
  <si>
    <t>tlr1249</t>
  </si>
  <si>
    <t>tlr1250</t>
  </si>
  <si>
    <t>tll1251</t>
  </si>
  <si>
    <t>tlr1252</t>
  </si>
  <si>
    <t>tlr1253</t>
  </si>
  <si>
    <t>tlr1254</t>
  </si>
  <si>
    <t>tsr1255</t>
  </si>
  <si>
    <t>tlr1256</t>
  </si>
  <si>
    <t>tlr1257</t>
  </si>
  <si>
    <t>tlr1258</t>
  </si>
  <si>
    <t>tlr1259</t>
  </si>
  <si>
    <t>tlr1260</t>
  </si>
  <si>
    <t>tlr1261</t>
  </si>
  <si>
    <t>tsl1262</t>
  </si>
  <si>
    <t>tlr1263</t>
  </si>
  <si>
    <t>tll1264</t>
  </si>
  <si>
    <t>tlr1265</t>
  </si>
  <si>
    <t>tlr1266</t>
  </si>
  <si>
    <t>tlr1267</t>
  </si>
  <si>
    <t>tll1268</t>
  </si>
  <si>
    <t>tll1269</t>
  </si>
  <si>
    <t>tlr1270</t>
  </si>
  <si>
    <t>tlr1271</t>
  </si>
  <si>
    <t>tlr1272</t>
  </si>
  <si>
    <t>tll1273</t>
  </si>
  <si>
    <t>tlr1274</t>
  </si>
  <si>
    <t>tll1275</t>
  </si>
  <si>
    <t>tll1276</t>
  </si>
  <si>
    <t>tll1277</t>
  </si>
  <si>
    <t>tll1278</t>
  </si>
  <si>
    <t>tlr1279</t>
  </si>
  <si>
    <t>tlr1280</t>
  </si>
  <si>
    <t>tlr1281</t>
  </si>
  <si>
    <t>tll1282</t>
  </si>
  <si>
    <t>tll1283</t>
  </si>
  <si>
    <t>tll1284</t>
  </si>
  <si>
    <t>tll1285</t>
  </si>
  <si>
    <t>tsl1286</t>
  </si>
  <si>
    <t>tlr1287</t>
  </si>
  <si>
    <t>tlr1288</t>
  </si>
  <si>
    <t>rTEt20</t>
  </si>
  <si>
    <t>tlr1290</t>
  </si>
  <si>
    <t>tll1291</t>
  </si>
  <si>
    <t>tll1292</t>
  </si>
  <si>
    <t>tsl1293</t>
  </si>
  <si>
    <t>tlr1294</t>
  </si>
  <si>
    <t>tlr1295</t>
  </si>
  <si>
    <t>tlr1296</t>
  </si>
  <si>
    <t>tll1297</t>
  </si>
  <si>
    <t>tll1298</t>
  </si>
  <si>
    <t>tll1299</t>
  </si>
  <si>
    <t>tll1300</t>
  </si>
  <si>
    <t>tll1301</t>
  </si>
  <si>
    <t>tlr1302</t>
  </si>
  <si>
    <t>tlr1303</t>
  </si>
  <si>
    <t>rTEt21</t>
  </si>
  <si>
    <t>tll1304</t>
  </si>
  <si>
    <t>tsr1305</t>
  </si>
  <si>
    <t>tlr1306</t>
  </si>
  <si>
    <t>tll1307</t>
  </si>
  <si>
    <t>tll1308</t>
  </si>
  <si>
    <t>tll1309</t>
  </si>
  <si>
    <t>tll1310</t>
  </si>
  <si>
    <t>tll1311</t>
  </si>
  <si>
    <t>tll1312</t>
  </si>
  <si>
    <t>tll1313</t>
  </si>
  <si>
    <t>tlr1314</t>
  </si>
  <si>
    <t>tlr1315</t>
  </si>
  <si>
    <t>tll1316</t>
  </si>
  <si>
    <t>tlr1317</t>
  </si>
  <si>
    <t>tll1318</t>
  </si>
  <si>
    <t>tll1319</t>
  </si>
  <si>
    <t>tsr1320</t>
  </si>
  <si>
    <t>tsr1321</t>
  </si>
  <si>
    <t>tsr1322</t>
  </si>
  <si>
    <t>tlr1323</t>
  </si>
  <si>
    <t>tll1324</t>
  </si>
  <si>
    <t>tll1325</t>
  </si>
  <si>
    <t>tlr1326</t>
  </si>
  <si>
    <t>tll1327</t>
  </si>
  <si>
    <t>tlr1328</t>
  </si>
  <si>
    <t>tll1329</t>
  </si>
  <si>
    <t>tlr1330</t>
  </si>
  <si>
    <t>tlr1331</t>
  </si>
  <si>
    <t>tsr1332</t>
  </si>
  <si>
    <t>tlr1333</t>
  </si>
  <si>
    <t>tll1334</t>
  </si>
  <si>
    <t>tsr1335</t>
  </si>
  <si>
    <t>tlr1336</t>
  </si>
  <si>
    <t>tll1337</t>
  </si>
  <si>
    <t>tll1338</t>
  </si>
  <si>
    <t>tll1339</t>
  </si>
  <si>
    <t>tll1340</t>
  </si>
  <si>
    <t>tlr1341</t>
  </si>
  <si>
    <t>tlr1342</t>
  </si>
  <si>
    <t>tlr1343</t>
  </si>
  <si>
    <t>tlr1344</t>
  </si>
  <si>
    <t>tlr1345</t>
  </si>
  <si>
    <t>tlr1346</t>
  </si>
  <si>
    <t>tsr1347</t>
  </si>
  <si>
    <t>tsr1348</t>
  </si>
  <si>
    <t>tlr1349</t>
  </si>
  <si>
    <t>tlr1350</t>
  </si>
  <si>
    <t>tlr1351</t>
  </si>
  <si>
    <t>tlr1352</t>
  </si>
  <si>
    <t>tlr1353</t>
  </si>
  <si>
    <t>tlr1354</t>
  </si>
  <si>
    <t>tlr1355</t>
  </si>
  <si>
    <t>tlr1356</t>
  </si>
  <si>
    <t>tll1357</t>
  </si>
  <si>
    <t>tll1358</t>
  </si>
  <si>
    <t>tll1359</t>
  </si>
  <si>
    <t>tll1360</t>
  </si>
  <si>
    <t>tsl1361</t>
  </si>
  <si>
    <t>tll1362</t>
  </si>
  <si>
    <t>tll1363</t>
  </si>
  <si>
    <t>tll1364</t>
  </si>
  <si>
    <t>tll1365</t>
  </si>
  <si>
    <t>tll1366</t>
  </si>
  <si>
    <t>tll1367</t>
  </si>
  <si>
    <t>tll1368</t>
  </si>
  <si>
    <t>tlr1369</t>
  </si>
  <si>
    <t>tlr1370</t>
  </si>
  <si>
    <t>tlr1371</t>
  </si>
  <si>
    <t>tlr1372</t>
  </si>
  <si>
    <t>tll1373</t>
  </si>
  <si>
    <t>tll1374</t>
  </si>
  <si>
    <t>tll1375</t>
  </si>
  <si>
    <t>tll1376</t>
  </si>
  <si>
    <t>tlr1377</t>
  </si>
  <si>
    <t>tlr1378</t>
  </si>
  <si>
    <t>tlr1380</t>
  </si>
  <si>
    <t>tlr1381</t>
  </si>
  <si>
    <t>tll1382</t>
  </si>
  <si>
    <t>tll1383</t>
  </si>
  <si>
    <t>tll1384</t>
  </si>
  <si>
    <t>tsl1385</t>
  </si>
  <si>
    <t>tsl1386</t>
  </si>
  <si>
    <t>tsr1387</t>
  </si>
  <si>
    <t>tll1388</t>
  </si>
  <si>
    <t>tlr1389</t>
  </si>
  <si>
    <t>tlr1391</t>
  </si>
  <si>
    <t>tlr1392</t>
  </si>
  <si>
    <t>tlr1393</t>
  </si>
  <si>
    <t>rTEt22</t>
  </si>
  <si>
    <t>tll1394</t>
  </si>
  <si>
    <t>tll1395</t>
  </si>
  <si>
    <t>tll1396</t>
  </si>
  <si>
    <t>tll1397</t>
  </si>
  <si>
    <t>tll1398</t>
  </si>
  <si>
    <t>tll1399</t>
  </si>
  <si>
    <t>tll1400</t>
  </si>
  <si>
    <t>tll1401</t>
  </si>
  <si>
    <t>tlr1402</t>
  </si>
  <si>
    <t>tll1403</t>
  </si>
  <si>
    <t>tll1404</t>
  </si>
  <si>
    <t>tll1405</t>
  </si>
  <si>
    <t>tll1406</t>
  </si>
  <si>
    <t>tll1407</t>
  </si>
  <si>
    <t>tll1408</t>
  </si>
  <si>
    <t>tll1409</t>
  </si>
  <si>
    <t>tll1410</t>
  </si>
  <si>
    <t>tll1411</t>
  </si>
  <si>
    <t>tlr1412</t>
  </si>
  <si>
    <t>tll1413</t>
  </si>
  <si>
    <t>tsr1414</t>
  </si>
  <si>
    <t>tlr1415</t>
  </si>
  <si>
    <t>tsr1416</t>
  </si>
  <si>
    <t>tll1417</t>
  </si>
  <si>
    <t>tll1418</t>
  </si>
  <si>
    <t>tll1419</t>
  </si>
  <si>
    <t>tll1420</t>
  </si>
  <si>
    <t>tlr1421</t>
  </si>
  <si>
    <t>tsr1422</t>
  </si>
  <si>
    <t>tlr1423</t>
  </si>
  <si>
    <t>tlr1424</t>
  </si>
  <si>
    <t>tlr1425</t>
  </si>
  <si>
    <t>tlr1426</t>
  </si>
  <si>
    <t>tsr1427</t>
  </si>
  <si>
    <t>tll1428</t>
  </si>
  <si>
    <t>tlr1429</t>
  </si>
  <si>
    <t>tlr1430</t>
  </si>
  <si>
    <t>tlr1431</t>
  </si>
  <si>
    <t>tsr1432</t>
  </si>
  <si>
    <t>tll1433</t>
  </si>
  <si>
    <t>tlr1434</t>
  </si>
  <si>
    <t>tll1435</t>
  </si>
  <si>
    <t>tlr1436</t>
  </si>
  <si>
    <t>tlr1437</t>
  </si>
  <si>
    <t>tlr1438</t>
  </si>
  <si>
    <t>tlr1439</t>
  </si>
  <si>
    <t>tll1440</t>
  </si>
  <si>
    <t>tll1441</t>
  </si>
  <si>
    <t>tlr1442</t>
  </si>
  <si>
    <t>tsr1443</t>
  </si>
  <si>
    <t>tlr1444</t>
  </si>
  <si>
    <t>tlr1445</t>
  </si>
  <si>
    <t>tlr1446</t>
  </si>
  <si>
    <t>tlr1447</t>
  </si>
  <si>
    <t>tlr1448</t>
  </si>
  <si>
    <t>tlr1449</t>
  </si>
  <si>
    <t>tll1450</t>
  </si>
  <si>
    <t>tll1451</t>
  </si>
  <si>
    <t>tll1452</t>
  </si>
  <si>
    <t>tll1453</t>
  </si>
  <si>
    <t>tll1454</t>
  </si>
  <si>
    <t>tsl1455</t>
  </si>
  <si>
    <t>tsl1456</t>
  </si>
  <si>
    <t>tll1457</t>
  </si>
  <si>
    <t>tll1458</t>
  </si>
  <si>
    <t>rTEt23</t>
  </si>
  <si>
    <t>tlr1459</t>
  </si>
  <si>
    <t>tlr1460</t>
  </si>
  <si>
    <t>tlr1461</t>
  </si>
  <si>
    <t>tll1462</t>
  </si>
  <si>
    <t>tll1463</t>
  </si>
  <si>
    <t>tll1464</t>
  </si>
  <si>
    <t>tll1465</t>
  </si>
  <si>
    <t>tll1466</t>
  </si>
  <si>
    <t>tll1467</t>
  </si>
  <si>
    <t>tlr1468</t>
  </si>
  <si>
    <t>tlr1469</t>
  </si>
  <si>
    <t>tll1470</t>
  </si>
  <si>
    <t>tlr1471</t>
  </si>
  <si>
    <t>tlr1472</t>
  </si>
  <si>
    <t>tlr1473</t>
  </si>
  <si>
    <t>tlr1474</t>
  </si>
  <si>
    <t>tlr1475</t>
  </si>
  <si>
    <t>tlr1476</t>
  </si>
  <si>
    <t>tlr1477</t>
  </si>
  <si>
    <t>tlr1478</t>
  </si>
  <si>
    <t>tsl1479</t>
  </si>
  <si>
    <t>tll1480</t>
  </si>
  <si>
    <t>tll1481</t>
  </si>
  <si>
    <t>tll1482</t>
  </si>
  <si>
    <t>tsr1483</t>
  </si>
  <si>
    <t>tlr1484</t>
  </si>
  <si>
    <t>tlr1485</t>
  </si>
  <si>
    <t>tll1486</t>
  </si>
  <si>
    <t>tll1487</t>
  </si>
  <si>
    <t>tll1488</t>
  </si>
  <si>
    <t>tlr1489</t>
  </si>
  <si>
    <t>tlr1490</t>
  </si>
  <si>
    <t>tlr1491</t>
  </si>
  <si>
    <t>tll1492</t>
  </si>
  <si>
    <t>tll1493</t>
  </si>
  <si>
    <t>tlr1494</t>
  </si>
  <si>
    <t>tll1495</t>
  </si>
  <si>
    <t>tll1496</t>
  </si>
  <si>
    <t>tlr1497</t>
  </si>
  <si>
    <t>tlr1498</t>
  </si>
  <si>
    <t>tll1499</t>
  </si>
  <si>
    <t>tlr1500</t>
  </si>
  <si>
    <t>tlr1501</t>
  </si>
  <si>
    <t>tlr1502</t>
  </si>
  <si>
    <t>tlr1503</t>
  </si>
  <si>
    <t>tll1504</t>
  </si>
  <si>
    <t>tll1505</t>
  </si>
  <si>
    <t>tll1506</t>
  </si>
  <si>
    <t>tlr1507</t>
  </si>
  <si>
    <t>tlr1508</t>
  </si>
  <si>
    <t>tlr1509</t>
  </si>
  <si>
    <t>tsr1510</t>
  </si>
  <si>
    <t>tll1511</t>
  </si>
  <si>
    <t>tlr1512</t>
  </si>
  <si>
    <t>tlr1513</t>
  </si>
  <si>
    <t>tlr1514</t>
  </si>
  <si>
    <t>tll1515</t>
  </si>
  <si>
    <t>tsl1516</t>
  </si>
  <si>
    <t>tsl1517</t>
  </si>
  <si>
    <t>tll1518</t>
  </si>
  <si>
    <t>tlr1520</t>
  </si>
  <si>
    <t>tlr1521</t>
  </si>
  <si>
    <t>tlr1522</t>
  </si>
  <si>
    <t>tll1523</t>
  </si>
  <si>
    <t>tsl1524</t>
  </si>
  <si>
    <t>tll1525</t>
  </si>
  <si>
    <t>tlr1526</t>
  </si>
  <si>
    <t>tlr1527</t>
  </si>
  <si>
    <t>tlr1528</t>
  </si>
  <si>
    <t>tll1529</t>
  </si>
  <si>
    <t>tlr1530</t>
  </si>
  <si>
    <t>tsr1531</t>
  </si>
  <si>
    <t>tlr1532</t>
  </si>
  <si>
    <t>tlr1533</t>
  </si>
  <si>
    <t>tll1534</t>
  </si>
  <si>
    <t>tsr1535</t>
  </si>
  <si>
    <t>tlr1536</t>
  </si>
  <si>
    <t>tll1537</t>
  </si>
  <si>
    <t>rTEt24</t>
  </si>
  <si>
    <t>tll1538</t>
  </si>
  <si>
    <t>tll1539</t>
  </si>
  <si>
    <t>tlr1540</t>
  </si>
  <si>
    <t>tsr1541</t>
  </si>
  <si>
    <t>tsr1542</t>
  </si>
  <si>
    <t>tsr1543</t>
  </si>
  <si>
    <t>tsr1544</t>
  </si>
  <si>
    <t>tll1545</t>
  </si>
  <si>
    <t>tlr1546</t>
  </si>
  <si>
    <t>tlr1547</t>
  </si>
  <si>
    <t>tlr1548</t>
  </si>
  <si>
    <t>tlr1549</t>
  </si>
  <si>
    <t>tll1550</t>
  </si>
  <si>
    <t>tll1551</t>
  </si>
  <si>
    <t>tlr1552</t>
  </si>
  <si>
    <t>tlr1553</t>
  </si>
  <si>
    <t>rTEt25</t>
  </si>
  <si>
    <t>tll1554</t>
  </si>
  <si>
    <t>tll1555</t>
  </si>
  <si>
    <t>tll1556</t>
  </si>
  <si>
    <t>tsl1557</t>
  </si>
  <si>
    <t>tll1558</t>
  </si>
  <si>
    <t>tll1559</t>
  </si>
  <si>
    <t>tll1560</t>
  </si>
  <si>
    <t>tll1561</t>
  </si>
  <si>
    <t>tll1562</t>
  </si>
  <si>
    <t>tlr1563</t>
  </si>
  <si>
    <t>tlr1564</t>
  </si>
  <si>
    <t>tlr1565</t>
  </si>
  <si>
    <t>tll1566</t>
  </si>
  <si>
    <t>tsl1567</t>
  </si>
  <si>
    <t>tlr1568</t>
  </si>
  <si>
    <t>tll1569</t>
  </si>
  <si>
    <t>tll1570</t>
  </si>
  <si>
    <t>tll1571</t>
  </si>
  <si>
    <t>tll1572</t>
  </si>
  <si>
    <t>tlr1573</t>
  </si>
  <si>
    <t>tll1574</t>
  </si>
  <si>
    <t>tlr1575</t>
  </si>
  <si>
    <t>tlr1576</t>
  </si>
  <si>
    <t>tlr1577</t>
  </si>
  <si>
    <t>tlr1578</t>
  </si>
  <si>
    <t>tll1579</t>
  </si>
  <si>
    <t>tlr1580</t>
  </si>
  <si>
    <t>tsl1581</t>
  </si>
  <si>
    <t>tll1582</t>
  </si>
  <si>
    <t>tlr1583</t>
  </si>
  <si>
    <t>tsr1584</t>
  </si>
  <si>
    <t>tlr1585</t>
  </si>
  <si>
    <t>tlr1586</t>
  </si>
  <si>
    <t>tll1587</t>
  </si>
  <si>
    <t>tll1588</t>
  </si>
  <si>
    <t>tll1589</t>
  </si>
  <si>
    <t>tll1590</t>
  </si>
  <si>
    <t>tll1591</t>
  </si>
  <si>
    <t>tlr1592</t>
  </si>
  <si>
    <t>tlr1593</t>
  </si>
  <si>
    <t>tlr1594</t>
  </si>
  <si>
    <t>tlr1595</t>
  </si>
  <si>
    <t>tll1596</t>
  </si>
  <si>
    <t>tlr1597</t>
  </si>
  <si>
    <t>tlr1598</t>
  </si>
  <si>
    <t>tlr1599</t>
  </si>
  <si>
    <t>tlr1600</t>
  </si>
  <si>
    <t>tll1601</t>
  </si>
  <si>
    <t>tll1602</t>
  </si>
  <si>
    <t>tll1603</t>
  </si>
  <si>
    <t>tll1604</t>
  </si>
  <si>
    <t>tlr1605</t>
  </si>
  <si>
    <t>tlr1606</t>
  </si>
  <si>
    <t>tlr1607</t>
  </si>
  <si>
    <t>tll1608</t>
  </si>
  <si>
    <t>tsl1609</t>
  </si>
  <si>
    <t>tlr1610</t>
  </si>
  <si>
    <t>tlr1611</t>
  </si>
  <si>
    <t>tlr1612</t>
  </si>
  <si>
    <t>tlr1613</t>
  </si>
  <si>
    <t>tll1614</t>
  </si>
  <si>
    <t>tlr1615</t>
  </si>
  <si>
    <t>tlr1616</t>
  </si>
  <si>
    <t>tll1617</t>
  </si>
  <si>
    <t>tll1618</t>
  </si>
  <si>
    <t>tll1619</t>
  </si>
  <si>
    <t>tlr1620</t>
  </si>
  <si>
    <t>tlr1621</t>
  </si>
  <si>
    <t>tll1622</t>
  </si>
  <si>
    <t>tll1623</t>
  </si>
  <si>
    <t>tll1624</t>
  </si>
  <si>
    <t>tll1625</t>
  </si>
  <si>
    <t>tlr1626</t>
  </si>
  <si>
    <t>tlr1627</t>
  </si>
  <si>
    <t>tlr1628</t>
  </si>
  <si>
    <t>tll1629</t>
  </si>
  <si>
    <t>tlr1630</t>
  </si>
  <si>
    <t>tlr1631</t>
  </si>
  <si>
    <t>tll1632</t>
  </si>
  <si>
    <t>tll1633</t>
  </si>
  <si>
    <t>tll1634</t>
  </si>
  <si>
    <t>tlr1636</t>
  </si>
  <si>
    <t>tlr1637</t>
  </si>
  <si>
    <t>tll1638</t>
  </si>
  <si>
    <t>tll1639</t>
  </si>
  <si>
    <t>tlr1640</t>
  </si>
  <si>
    <t>tll1641</t>
  </si>
  <si>
    <t>tll1642</t>
  </si>
  <si>
    <t>tlr1643</t>
  </si>
  <si>
    <t>tlr1644</t>
  </si>
  <si>
    <t>tlr1645</t>
  </si>
  <si>
    <t>tll1646</t>
  </si>
  <si>
    <t>tll1647</t>
  </si>
  <si>
    <t>tsr1648</t>
  </si>
  <si>
    <t>tlr1649</t>
  </si>
  <si>
    <t>tll1650</t>
  </si>
  <si>
    <t>tll1651</t>
  </si>
  <si>
    <t>tll1652</t>
  </si>
  <si>
    <t>tlr1653</t>
  </si>
  <si>
    <t>tll1654</t>
  </si>
  <si>
    <t>tll1655</t>
  </si>
  <si>
    <t>tlr1656</t>
  </si>
  <si>
    <t>tlr1657</t>
  </si>
  <si>
    <t>tll1658</t>
  </si>
  <si>
    <t>tll1659</t>
  </si>
  <si>
    <t>tlr1660</t>
  </si>
  <si>
    <t>tlr1661</t>
  </si>
  <si>
    <t>tlr1662</t>
  </si>
  <si>
    <t>tll1663</t>
  </si>
  <si>
    <t>tll1664</t>
  </si>
  <si>
    <t>tll1665</t>
  </si>
  <si>
    <t>tlr1666</t>
  </si>
  <si>
    <t>tll1667</t>
  </si>
  <si>
    <t>tll1668</t>
  </si>
  <si>
    <t>tlr1669</t>
  </si>
  <si>
    <t>tll1670</t>
  </si>
  <si>
    <t>tll1671</t>
  </si>
  <si>
    <t>tll1672</t>
  </si>
  <si>
    <t>tll1673</t>
  </si>
  <si>
    <t>tlr1674</t>
  </si>
  <si>
    <t>tlr1675</t>
  </si>
  <si>
    <t>tlr1676</t>
  </si>
  <si>
    <t>tsr1677</t>
  </si>
  <si>
    <t>tlr1678</t>
  </si>
  <si>
    <t>tlr1679</t>
  </si>
  <si>
    <t>tll1680</t>
  </si>
  <si>
    <t>tll1681</t>
  </si>
  <si>
    <t>tlr1682</t>
  </si>
  <si>
    <t>tlr1683</t>
  </si>
  <si>
    <t>tlr1684</t>
  </si>
  <si>
    <t>tlr1685</t>
  </si>
  <si>
    <t>tlr1686</t>
  </si>
  <si>
    <t>tll1687</t>
  </si>
  <si>
    <t>tll1688</t>
  </si>
  <si>
    <t>tlr1689</t>
  </si>
  <si>
    <t>tlr1690</t>
  </si>
  <si>
    <t>rTEt26</t>
  </si>
  <si>
    <t>tlr1691</t>
  </si>
  <si>
    <t>rTEt27</t>
  </si>
  <si>
    <t>tll1692</t>
  </si>
  <si>
    <t>tll1693</t>
  </si>
  <si>
    <t>tll1694</t>
  </si>
  <si>
    <t>tll1695</t>
  </si>
  <si>
    <t>tll1696</t>
  </si>
  <si>
    <t>tlr1697</t>
  </si>
  <si>
    <t>tll1698</t>
  </si>
  <si>
    <t>tll1699</t>
  </si>
  <si>
    <t>tlr1700</t>
  </si>
  <si>
    <t>tsr1701</t>
  </si>
  <si>
    <t>tll1702</t>
  </si>
  <si>
    <t>tsl1703</t>
  </si>
  <si>
    <t>tll1704</t>
  </si>
  <si>
    <t>tll1705</t>
  </si>
  <si>
    <t>tll1706</t>
  </si>
  <si>
    <t>tlr1707</t>
  </si>
  <si>
    <t>tll1708</t>
  </si>
  <si>
    <t>tlr1709</t>
  </si>
  <si>
    <t>tlr1710</t>
  </si>
  <si>
    <t>tll1711</t>
  </si>
  <si>
    <t>tll1712</t>
  </si>
  <si>
    <t>tll1713</t>
  </si>
  <si>
    <t>tll1714</t>
  </si>
  <si>
    <t>tll1715</t>
  </si>
  <si>
    <t>tll1716</t>
  </si>
  <si>
    <t>tll1717</t>
  </si>
  <si>
    <t>tlr1718</t>
  </si>
  <si>
    <t>tll1719</t>
  </si>
  <si>
    <t>tll1720</t>
  </si>
  <si>
    <t>tll1721</t>
  </si>
  <si>
    <t>tlr1722</t>
  </si>
  <si>
    <t>tll1723</t>
  </si>
  <si>
    <t>tll1724</t>
  </si>
  <si>
    <t>tlr1725</t>
  </si>
  <si>
    <t>tll1726</t>
  </si>
  <si>
    <t>tlr1727</t>
  </si>
  <si>
    <t>tsl1728</t>
  </si>
  <si>
    <t>tll1729</t>
  </si>
  <si>
    <t>tll1730</t>
  </si>
  <si>
    <t>tll1731</t>
  </si>
  <si>
    <t>tlr1732</t>
  </si>
  <si>
    <t>tlr1733</t>
  </si>
  <si>
    <t>tsr1734</t>
  </si>
  <si>
    <t>tlr1735</t>
  </si>
  <si>
    <t>tlr1736</t>
  </si>
  <si>
    <t>tll1737</t>
  </si>
  <si>
    <t>tll1738</t>
  </si>
  <si>
    <t>tlr1739</t>
  </si>
  <si>
    <t>tlr1740</t>
  </si>
  <si>
    <t>tlr1741</t>
  </si>
  <si>
    <t>tll1742</t>
  </si>
  <si>
    <t>tlr1743</t>
  </si>
  <si>
    <t>tlr1744</t>
  </si>
  <si>
    <t>tlr1745</t>
  </si>
  <si>
    <t>tlr1746</t>
  </si>
  <si>
    <t>tlr1747</t>
  </si>
  <si>
    <t>tlr1748</t>
  </si>
  <si>
    <t>tlr1749</t>
  </si>
  <si>
    <t>tlr1750</t>
  </si>
  <si>
    <t>tlr1751</t>
  </si>
  <si>
    <t>tlr1752</t>
  </si>
  <si>
    <t>tlr1753</t>
  </si>
  <si>
    <t>rTEt28</t>
  </si>
  <si>
    <t>tlr1754</t>
  </si>
  <si>
    <t>tsr1755</t>
  </si>
  <si>
    <t>tlr1756</t>
  </si>
  <si>
    <t>tlr1757</t>
  </si>
  <si>
    <t>tlr1758</t>
  </si>
  <si>
    <t>tll1759</t>
  </si>
  <si>
    <t>tlr1760</t>
  </si>
  <si>
    <t>tlr1761</t>
  </si>
  <si>
    <t>tlr1762</t>
  </si>
  <si>
    <t>tlr1763</t>
  </si>
  <si>
    <t>tlr1764</t>
  </si>
  <si>
    <t>tlr1765</t>
  </si>
  <si>
    <t>tlr1766</t>
  </si>
  <si>
    <t>tll1767</t>
  </si>
  <si>
    <t>tll1768</t>
  </si>
  <si>
    <t>tlr1769</t>
  </si>
  <si>
    <t>tlr1770</t>
  </si>
  <si>
    <t>tll1771</t>
  </si>
  <si>
    <t>tll1772</t>
  </si>
  <si>
    <t>tlr1773</t>
  </si>
  <si>
    <t>tll1774</t>
  </si>
  <si>
    <t>tsr1775</t>
  </si>
  <si>
    <t>tsr1776</t>
  </si>
  <si>
    <t>tll1777</t>
  </si>
  <si>
    <t>tsl1778</t>
  </si>
  <si>
    <t>tsr1779</t>
  </si>
  <si>
    <t>tll1780</t>
  </si>
  <si>
    <t>tll1781</t>
  </si>
  <si>
    <t>tlr1782</t>
  </si>
  <si>
    <t>tll1783</t>
  </si>
  <si>
    <t>tll1784</t>
  </si>
  <si>
    <t>tlr1785</t>
  </si>
  <si>
    <t>tll1786</t>
  </si>
  <si>
    <t>tsr1787</t>
  </si>
  <si>
    <t>tlr1788</t>
  </si>
  <si>
    <t>tlr1789</t>
  </si>
  <si>
    <t>tlr1790</t>
  </si>
  <si>
    <t>tlr1791</t>
  </si>
  <si>
    <t>tlr1792</t>
  </si>
  <si>
    <t>tlr1793</t>
  </si>
  <si>
    <t>tlr1794</t>
  </si>
  <si>
    <t>tlr1795</t>
  </si>
  <si>
    <t>tll1796</t>
  </si>
  <si>
    <t>tll1797</t>
  </si>
  <si>
    <t>tll1798</t>
  </si>
  <si>
    <t>tlr1799</t>
  </si>
  <si>
    <t>tll1800</t>
  </si>
  <si>
    <t>tll1801</t>
  </si>
  <si>
    <t>tll1802</t>
  </si>
  <si>
    <t>tll1803</t>
  </si>
  <si>
    <t>tll1804</t>
  </si>
  <si>
    <t>tll1805</t>
  </si>
  <si>
    <t>tll1806</t>
  </si>
  <si>
    <t>tll1807</t>
  </si>
  <si>
    <t>tlr1808</t>
  </si>
  <si>
    <t>tlr1809</t>
  </si>
  <si>
    <t>tlr1810</t>
  </si>
  <si>
    <t>tlr1811</t>
  </si>
  <si>
    <t>tll1812</t>
  </si>
  <si>
    <t>tll1813</t>
  </si>
  <si>
    <t>tsl1814</t>
  </si>
  <si>
    <t>tsl1815</t>
  </si>
  <si>
    <t>tll1816</t>
  </si>
  <si>
    <t>tll1817</t>
  </si>
  <si>
    <t>tll1818</t>
  </si>
  <si>
    <t>tlr1819</t>
  </si>
  <si>
    <t>tsr1820</t>
  </si>
  <si>
    <t>tlr1821</t>
  </si>
  <si>
    <t>tlr1822</t>
  </si>
  <si>
    <t>tlr1823</t>
  </si>
  <si>
    <t>tll1824</t>
  </si>
  <si>
    <t>tsl1825</t>
  </si>
  <si>
    <t>tll1826</t>
  </si>
  <si>
    <t>tlr1827</t>
  </si>
  <si>
    <t>tlr1828</t>
  </si>
  <si>
    <t>tll1829</t>
  </si>
  <si>
    <t>tll1830</t>
  </si>
  <si>
    <t>tll1831</t>
  </si>
  <si>
    <t>tll1832</t>
  </si>
  <si>
    <t>tlr1833</t>
  </si>
  <si>
    <t>tlr1834</t>
  </si>
  <si>
    <t>tll1835</t>
  </si>
  <si>
    <t>tlr1836</t>
  </si>
  <si>
    <t>tsl1837</t>
  </si>
  <si>
    <t>tlr1838</t>
  </si>
  <si>
    <t>rTEt29</t>
  </si>
  <si>
    <t>tlr1839</t>
  </si>
  <si>
    <t>tsr1840</t>
  </si>
  <si>
    <t>tll1841</t>
  </si>
  <si>
    <t>tll1842</t>
  </si>
  <si>
    <t>tlr1843</t>
  </si>
  <si>
    <t>tlr1844</t>
  </si>
  <si>
    <t>tll1845</t>
  </si>
  <si>
    <t>tll1846</t>
  </si>
  <si>
    <t>tlr1848</t>
  </si>
  <si>
    <t>tlr1849</t>
  </si>
  <si>
    <t>tll1850</t>
  </si>
  <si>
    <t>tll1851</t>
  </si>
  <si>
    <t>tll1852</t>
  </si>
  <si>
    <t>tlr1853</t>
  </si>
  <si>
    <t>tlr1854</t>
  </si>
  <si>
    <t>tlr1855</t>
  </si>
  <si>
    <t>tlr1856</t>
  </si>
  <si>
    <t>tll1857</t>
  </si>
  <si>
    <t>tsl1858</t>
  </si>
  <si>
    <t>tll1859</t>
  </si>
  <si>
    <t>tll1860</t>
  </si>
  <si>
    <t>tlr1861</t>
  </si>
  <si>
    <t>tll1862</t>
  </si>
  <si>
    <t>tll1863</t>
  </si>
  <si>
    <t>tsl1864</t>
  </si>
  <si>
    <t>tsl1865</t>
  </si>
  <si>
    <t>tlr1866</t>
  </si>
  <si>
    <t>tll1867</t>
  </si>
  <si>
    <t>tll1868</t>
  </si>
  <si>
    <t>tll1869</t>
  </si>
  <si>
    <t>tll1870</t>
  </si>
  <si>
    <t>tll1871</t>
  </si>
  <si>
    <t>tsl1872</t>
  </si>
  <si>
    <t>tlr1873</t>
  </si>
  <si>
    <t>tlr1874</t>
  </si>
  <si>
    <t>tlr1875</t>
  </si>
  <si>
    <t>tlr1876</t>
  </si>
  <si>
    <t>tlr1877</t>
  </si>
  <si>
    <t>tlr1878</t>
  </si>
  <si>
    <t>tlr1879</t>
  </si>
  <si>
    <t>tll1880</t>
  </si>
  <si>
    <t>tll1881</t>
  </si>
  <si>
    <t>tlr1882</t>
  </si>
  <si>
    <t>tll1883</t>
  </si>
  <si>
    <t>tll1884</t>
  </si>
  <si>
    <t>tll1885</t>
  </si>
  <si>
    <t>tll1886</t>
  </si>
  <si>
    <t>tsl1887</t>
  </si>
  <si>
    <t>tll1888</t>
  </si>
  <si>
    <t>tsl1889</t>
  </si>
  <si>
    <t>tlr1890</t>
  </si>
  <si>
    <t>tll1891</t>
  </si>
  <si>
    <t>tlr1892</t>
  </si>
  <si>
    <t>tll1893</t>
  </si>
  <si>
    <t>tll1894</t>
  </si>
  <si>
    <t>tll1895</t>
  </si>
  <si>
    <t>tll1896</t>
  </si>
  <si>
    <t>tll1897</t>
  </si>
  <si>
    <t>tll1898</t>
  </si>
  <si>
    <t>tll1899</t>
  </si>
  <si>
    <t>tlr1900</t>
  </si>
  <si>
    <t>tlr1901</t>
  </si>
  <si>
    <t>tlr1902</t>
  </si>
  <si>
    <t>tll1903</t>
  </si>
  <si>
    <t>tlr1904</t>
  </si>
  <si>
    <t>tlr1905</t>
  </si>
  <si>
    <t>tll1906</t>
  </si>
  <si>
    <t>tll1907</t>
  </si>
  <si>
    <t>tsl1908</t>
  </si>
  <si>
    <t>tll1909</t>
  </si>
  <si>
    <t>tll1910</t>
  </si>
  <si>
    <t>tll1911</t>
  </si>
  <si>
    <t>tll1912</t>
  </si>
  <si>
    <t>tll1913</t>
  </si>
  <si>
    <t>tll1914</t>
  </si>
  <si>
    <t>tsr1915</t>
  </si>
  <si>
    <t>tsr1916</t>
  </si>
  <si>
    <t>tlr1917</t>
  </si>
  <si>
    <t>tlr1918</t>
  </si>
  <si>
    <t>tlr1919</t>
  </si>
  <si>
    <t>tll1920</t>
  </si>
  <si>
    <t>tsr1921</t>
  </si>
  <si>
    <t>tlr1922</t>
  </si>
  <si>
    <t>rTEt30</t>
  </si>
  <si>
    <t>tll1923</t>
  </si>
  <si>
    <t>tll1924</t>
  </si>
  <si>
    <t>tlr1925</t>
  </si>
  <si>
    <t>tlr1926</t>
  </si>
  <si>
    <t>tll1927</t>
  </si>
  <si>
    <t>tlr1928</t>
  </si>
  <si>
    <t>tll1929</t>
  </si>
  <si>
    <t>tlr1930</t>
  </si>
  <si>
    <t>tlr1933</t>
  </si>
  <si>
    <t>tlr1934</t>
  </si>
  <si>
    <t>tll1935</t>
  </si>
  <si>
    <t>tsl1936</t>
  </si>
  <si>
    <t>tll1937</t>
  </si>
  <si>
    <t>tll1938</t>
  </si>
  <si>
    <t>tll1939</t>
  </si>
  <si>
    <t>tll1941</t>
  </si>
  <si>
    <t>tll1940</t>
  </si>
  <si>
    <t>tll1942</t>
  </si>
  <si>
    <t>tll1943</t>
  </si>
  <si>
    <t>tll1944</t>
  </si>
  <si>
    <t>tsr1945</t>
  </si>
  <si>
    <t>tll1946</t>
  </si>
  <si>
    <t>tlr1947</t>
  </si>
  <si>
    <t>tlr1948</t>
  </si>
  <si>
    <t>tlr1949</t>
  </si>
  <si>
    <t>tlr1950</t>
  </si>
  <si>
    <t>tlr1951</t>
  </si>
  <si>
    <t>tlr1952</t>
  </si>
  <si>
    <t>tlr1953</t>
  </si>
  <si>
    <t>tlr1954</t>
  </si>
  <si>
    <t>tlr1955</t>
  </si>
  <si>
    <t>tll1956</t>
  </si>
  <si>
    <t>tlr1957</t>
  </si>
  <si>
    <t>tlr1958</t>
  </si>
  <si>
    <t>tlr1959</t>
  </si>
  <si>
    <t>tsr1960</t>
  </si>
  <si>
    <t>tlr1961</t>
  </si>
  <si>
    <t>tlr1962</t>
  </si>
  <si>
    <t>tlr1963</t>
  </si>
  <si>
    <t>tlr1964</t>
  </si>
  <si>
    <t>tlr1965</t>
  </si>
  <si>
    <t>tlr1966</t>
  </si>
  <si>
    <t>tsr1967</t>
  </si>
  <si>
    <t>tll1968</t>
  </si>
  <si>
    <t>tll1969</t>
  </si>
  <si>
    <t>tll1970</t>
  </si>
  <si>
    <t>tll1971</t>
  </si>
  <si>
    <t>tsl1972</t>
  </si>
  <si>
    <t>tlr1973</t>
  </si>
  <si>
    <t>tll1974</t>
  </si>
  <si>
    <t>tll1975</t>
  </si>
  <si>
    <t>rTEt31</t>
  </si>
  <si>
    <t>tlr1976</t>
  </si>
  <si>
    <t>tlr1977</t>
  </si>
  <si>
    <t>tll1978</t>
  </si>
  <si>
    <t>tll1979</t>
  </si>
  <si>
    <t>tll1980</t>
  </si>
  <si>
    <t>tlr1981</t>
  </si>
  <si>
    <t>tlr1982</t>
  </si>
  <si>
    <t>tll1983</t>
  </si>
  <si>
    <t>tsr1984</t>
  </si>
  <si>
    <t>tll1985</t>
  </si>
  <si>
    <t>tlr1986</t>
  </si>
  <si>
    <t>tll1987</t>
  </si>
  <si>
    <t>tlr1988</t>
  </si>
  <si>
    <t>tlr1989</t>
  </si>
  <si>
    <t>tlr1990</t>
  </si>
  <si>
    <t>tlr1991</t>
  </si>
  <si>
    <t>tlr1992</t>
  </si>
  <si>
    <t>tlr1993</t>
  </si>
  <si>
    <t>tsr1994</t>
  </si>
  <si>
    <t>tlr1995</t>
  </si>
  <si>
    <t>tlr1996</t>
  </si>
  <si>
    <t>tlr1997</t>
  </si>
  <si>
    <t>tsl1998</t>
  </si>
  <si>
    <t>tlr1999</t>
  </si>
  <si>
    <t>tlr2000</t>
  </si>
  <si>
    <t>tlr2001</t>
  </si>
  <si>
    <t>tlr2002</t>
  </si>
  <si>
    <t>tlr2003</t>
  </si>
  <si>
    <t>tll2004</t>
  </si>
  <si>
    <t>tsr2005</t>
  </si>
  <si>
    <t>tlr2006</t>
  </si>
  <si>
    <t>rTEt32</t>
  </si>
  <si>
    <t>tlr2007</t>
  </si>
  <si>
    <t>tlr2008</t>
  </si>
  <si>
    <t>tll2009</t>
  </si>
  <si>
    <t>tll2010</t>
  </si>
  <si>
    <t>tll2011</t>
  </si>
  <si>
    <t>tlr2012</t>
  </si>
  <si>
    <t>tsr2013</t>
  </si>
  <si>
    <t>tlr2014</t>
  </si>
  <si>
    <t>tlr2015</t>
  </si>
  <si>
    <t>tlr2016</t>
  </si>
  <si>
    <t>tlr2017</t>
  </si>
  <si>
    <t>tlr2018</t>
  </si>
  <si>
    <t>tlr2019</t>
  </si>
  <si>
    <t>tlr2020</t>
  </si>
  <si>
    <t>tll2021</t>
  </si>
  <si>
    <t>tlr2022</t>
  </si>
  <si>
    <t>tll2023</t>
  </si>
  <si>
    <t>tll2024</t>
  </si>
  <si>
    <t>tlr2025</t>
  </si>
  <si>
    <t>tlr2026</t>
  </si>
  <si>
    <t>tll2027</t>
  </si>
  <si>
    <t>tll2028</t>
  </si>
  <si>
    <t>tsl2029</t>
  </si>
  <si>
    <t>tll2030</t>
  </si>
  <si>
    <t>tll2031</t>
  </si>
  <si>
    <t>tlr2032</t>
  </si>
  <si>
    <t>tlr2033</t>
  </si>
  <si>
    <t>tlr2034</t>
  </si>
  <si>
    <t>tlr2035</t>
  </si>
  <si>
    <t>tll2036</t>
  </si>
  <si>
    <t>tlr2037</t>
  </si>
  <si>
    <t>tlr2038</t>
  </si>
  <si>
    <t>tll2039</t>
  </si>
  <si>
    <t>tll2040</t>
  </si>
  <si>
    <t>tlr2041</t>
  </si>
  <si>
    <t>tlr2042</t>
  </si>
  <si>
    <t>tll2043</t>
  </si>
  <si>
    <t>tll2044</t>
  </si>
  <si>
    <t>tll2045</t>
  </si>
  <si>
    <t>tll2046</t>
  </si>
  <si>
    <t>tlr2047</t>
  </si>
  <si>
    <t>tlr2048</t>
  </si>
  <si>
    <t>tll2049</t>
  </si>
  <si>
    <t>tll2050</t>
  </si>
  <si>
    <t>tll2051</t>
  </si>
  <si>
    <t>tsl2052</t>
  </si>
  <si>
    <t>tll2053</t>
  </si>
  <si>
    <t>tll2054</t>
  </si>
  <si>
    <t>tlr2055</t>
  </si>
  <si>
    <t>tll2056</t>
  </si>
  <si>
    <t>tll2057</t>
  </si>
  <si>
    <t>tll2058</t>
  </si>
  <si>
    <t>tlr2059</t>
  </si>
  <si>
    <t>tsr2060</t>
  </si>
  <si>
    <t>tsr2061</t>
  </si>
  <si>
    <t>tlr2062</t>
  </si>
  <si>
    <t>tlr2063</t>
  </si>
  <si>
    <t>tll2064</t>
  </si>
  <si>
    <t>tlr2065</t>
  </si>
  <si>
    <t>tlr2066</t>
  </si>
  <si>
    <t>tll2067</t>
  </si>
  <si>
    <t>tlr2068</t>
  </si>
  <si>
    <t>tll2069</t>
  </si>
  <si>
    <t>tll2070</t>
  </si>
  <si>
    <t>tll2071</t>
  </si>
  <si>
    <t>tlr2072</t>
  </si>
  <si>
    <t>tlr2073</t>
  </si>
  <si>
    <t>tlr2074</t>
  </si>
  <si>
    <t>tlr2075</t>
  </si>
  <si>
    <t>rTEt33</t>
  </si>
  <si>
    <t>tll2076</t>
  </si>
  <si>
    <t>tll2077</t>
  </si>
  <si>
    <t>tlr2078</t>
  </si>
  <si>
    <t>tll2079</t>
  </si>
  <si>
    <t>tll2080</t>
  </si>
  <si>
    <t>tlr2081</t>
  </si>
  <si>
    <t>tlr2082</t>
  </si>
  <si>
    <t>tsl2083</t>
  </si>
  <si>
    <t>tll2084</t>
  </si>
  <si>
    <t>tlr2085</t>
  </si>
  <si>
    <t>tll2086</t>
  </si>
  <si>
    <t>tll2087</t>
  </si>
  <si>
    <t>tlr2088</t>
  </si>
  <si>
    <t>tlr2089</t>
  </si>
  <si>
    <t>tll2090</t>
  </si>
  <si>
    <t>tll2091</t>
  </si>
  <si>
    <t>tsr2092</t>
  </si>
  <si>
    <t>tll2093</t>
  </si>
  <si>
    <t>tsl2094</t>
  </si>
  <si>
    <t>tll2095</t>
  </si>
  <si>
    <t>tll2096</t>
  </si>
  <si>
    <t>tsl2097</t>
  </si>
  <si>
    <t>tll2098</t>
  </si>
  <si>
    <t>tll2099</t>
  </si>
  <si>
    <t>tll2100</t>
  </si>
  <si>
    <t>rTEt34</t>
  </si>
  <si>
    <t>tll2101</t>
  </si>
  <si>
    <t>tll2102</t>
  </si>
  <si>
    <t>tll2103</t>
  </si>
  <si>
    <t>tlr2105</t>
  </si>
  <si>
    <t>rTEs04</t>
  </si>
  <si>
    <t>tlr2106</t>
  </si>
  <si>
    <t>tlr2107</t>
  </si>
  <si>
    <t>tll2108</t>
  </si>
  <si>
    <t>tlr2109</t>
  </si>
  <si>
    <t>tlr2110</t>
  </si>
  <si>
    <t>tll2111</t>
  </si>
  <si>
    <t>tll2112</t>
  </si>
  <si>
    <t>tll2113</t>
  </si>
  <si>
    <t>tll2114</t>
  </si>
  <si>
    <t>tll2115</t>
  </si>
  <si>
    <t>tll2116</t>
  </si>
  <si>
    <t>tll2117</t>
  </si>
  <si>
    <t>tll2118</t>
  </si>
  <si>
    <t>tlr2119</t>
  </si>
  <si>
    <t>tsr2120</t>
  </si>
  <si>
    <t>tsr2121</t>
  </si>
  <si>
    <t>tsr2122</t>
  </si>
  <si>
    <t>tll2123</t>
  </si>
  <si>
    <t>tlr2124</t>
  </si>
  <si>
    <t>tlr2125</t>
  </si>
  <si>
    <t>tlr2126</t>
  </si>
  <si>
    <t>tlr2127</t>
  </si>
  <si>
    <t>tlr2128</t>
  </si>
  <si>
    <t>tlr2129</t>
  </si>
  <si>
    <t>tlr2130</t>
  </si>
  <si>
    <t>tsl2131</t>
  </si>
  <si>
    <t>tlr2132</t>
  </si>
  <si>
    <t>tlr2133</t>
  </si>
  <si>
    <t>tlr2134</t>
  </si>
  <si>
    <t>tlr2135</t>
  </si>
  <si>
    <t>tll2136</t>
  </si>
  <si>
    <t>tll2137</t>
  </si>
  <si>
    <t>tsr2138</t>
  </si>
  <si>
    <t>tlr2139</t>
  </si>
  <si>
    <t>tlr2140</t>
  </si>
  <si>
    <t>tll2141</t>
  </si>
  <si>
    <t>tsr2142</t>
  </si>
  <si>
    <t>tlr2143</t>
  </si>
  <si>
    <t>tlr2144</t>
  </si>
  <si>
    <t>tll2145</t>
  </si>
  <si>
    <t>tlr2146</t>
  </si>
  <si>
    <t>tll2147</t>
  </si>
  <si>
    <t>tll2148</t>
  </si>
  <si>
    <t>tll2149</t>
  </si>
  <si>
    <t>tll2150</t>
  </si>
  <si>
    <t>tlr2151</t>
  </si>
  <si>
    <t>tlr2152</t>
  </si>
  <si>
    <t>tll2153</t>
  </si>
  <si>
    <t>tlr2154</t>
  </si>
  <si>
    <t>tlr2155</t>
  </si>
  <si>
    <t>tlr2156</t>
  </si>
  <si>
    <t>tll2157</t>
  </si>
  <si>
    <t>tll2158</t>
  </si>
  <si>
    <t>tsl2159</t>
  </si>
  <si>
    <t>tlr2160</t>
  </si>
  <si>
    <t>tlr2161</t>
  </si>
  <si>
    <t>tlr2162</t>
  </si>
  <si>
    <t>tll2163</t>
  </si>
  <si>
    <t>tlr2164</t>
  </si>
  <si>
    <t>tlr2165</t>
  </si>
  <si>
    <t>tlr2166</t>
  </si>
  <si>
    <t>tlr2167</t>
  </si>
  <si>
    <t>tll2168</t>
  </si>
  <si>
    <t>tlr2169</t>
  </si>
  <si>
    <t>tlr2170</t>
  </si>
  <si>
    <t>tlr2171</t>
  </si>
  <si>
    <t>tll2172</t>
  </si>
  <si>
    <t>tsl2173</t>
  </si>
  <si>
    <t>tsl2174</t>
  </si>
  <si>
    <t>tlr2175</t>
  </si>
  <si>
    <t>tlr2176</t>
  </si>
  <si>
    <t>tll2177</t>
  </si>
  <si>
    <t>tll2178</t>
  </si>
  <si>
    <t>tlr2179</t>
  </si>
  <si>
    <t>tll2180</t>
  </si>
  <si>
    <t>tll2181</t>
  </si>
  <si>
    <t>tlr2182</t>
  </si>
  <si>
    <t>tll2183</t>
  </si>
  <si>
    <t>tlr2184</t>
  </si>
  <si>
    <t>tsr2185</t>
  </si>
  <si>
    <t>tlr2186</t>
  </si>
  <si>
    <t>tlr2187</t>
  </si>
  <si>
    <t>tlr2188</t>
  </si>
  <si>
    <t>tlr2189</t>
  </si>
  <si>
    <t>tll2190</t>
  </si>
  <si>
    <t>tll2191</t>
  </si>
  <si>
    <t>tll2192</t>
  </si>
  <si>
    <t>tll2193</t>
  </si>
  <si>
    <t>tll2194</t>
  </si>
  <si>
    <t>tsr2195</t>
  </si>
  <si>
    <t>tlr2196</t>
  </si>
  <si>
    <t>tsl2197</t>
  </si>
  <si>
    <t>tll2198</t>
  </si>
  <si>
    <t>tll2200</t>
  </si>
  <si>
    <t>tll2201</t>
  </si>
  <si>
    <t>tll2202</t>
  </si>
  <si>
    <t>tlr2203</t>
  </si>
  <si>
    <t>tll2204</t>
  </si>
  <si>
    <t>tll2205</t>
  </si>
  <si>
    <t>tlr2206</t>
  </si>
  <si>
    <t>tsr2207</t>
  </si>
  <si>
    <t>tsl2208</t>
  </si>
  <si>
    <t>tlr2209</t>
  </si>
  <si>
    <t>tlr2210</t>
  </si>
  <si>
    <t>tlr2211</t>
  </si>
  <si>
    <t>tsr2212</t>
  </si>
  <si>
    <t>tsl2213</t>
  </si>
  <si>
    <t>tsl2214</t>
  </si>
  <si>
    <t>tll2215</t>
  </si>
  <si>
    <t>tlr2216</t>
  </si>
  <si>
    <t>tlr2217</t>
  </si>
  <si>
    <t>tsr2218</t>
  </si>
  <si>
    <t>tll2219</t>
  </si>
  <si>
    <t>tlr2220</t>
  </si>
  <si>
    <t>tlr2221</t>
  </si>
  <si>
    <t>tll2222</t>
  </si>
  <si>
    <t>tll2223</t>
  </si>
  <si>
    <t>tll2224</t>
  </si>
  <si>
    <t>tlr2225</t>
  </si>
  <si>
    <t>tsl2226</t>
  </si>
  <si>
    <t>tll2227</t>
  </si>
  <si>
    <t>tll2228</t>
  </si>
  <si>
    <t>tll2229</t>
  </si>
  <si>
    <t>tll2230</t>
  </si>
  <si>
    <t>tll2231</t>
  </si>
  <si>
    <t>tsl2232</t>
  </si>
  <si>
    <t>tll2233</t>
  </si>
  <si>
    <t>tlr2234</t>
  </si>
  <si>
    <t>tlr2235</t>
  </si>
  <si>
    <t>tlr2236</t>
  </si>
  <si>
    <t>tlr2239</t>
  </si>
  <si>
    <t>tlr2240</t>
  </si>
  <si>
    <t>tlr2241</t>
  </si>
  <si>
    <t>tlr2242</t>
  </si>
  <si>
    <t>tlr2243</t>
  </si>
  <si>
    <t>tsr2244</t>
  </si>
  <si>
    <t>tlr2245</t>
  </si>
  <si>
    <t>tsl2246</t>
  </si>
  <si>
    <t>rTEr01</t>
  </si>
  <si>
    <t>PNNL_EXON</t>
  </si>
  <si>
    <t>rTEr02</t>
  </si>
  <si>
    <t>tll2247</t>
  </si>
  <si>
    <t>rTEt35</t>
  </si>
  <si>
    <t>rTEt36</t>
  </si>
  <si>
    <t>rTEr03</t>
  </si>
  <si>
    <t>tsr2248</t>
  </si>
  <si>
    <t>tlr2249</t>
  </si>
  <si>
    <t>tsl2250</t>
  </si>
  <si>
    <t>tlr2251</t>
  </si>
  <si>
    <t>tll2252</t>
  </si>
  <si>
    <t>tll2253</t>
  </si>
  <si>
    <t>tll2254</t>
  </si>
  <si>
    <t>tsl2255</t>
  </si>
  <si>
    <t>tlr2256</t>
  </si>
  <si>
    <t>tsr2257</t>
  </si>
  <si>
    <t>tlr2258</t>
  </si>
  <si>
    <t>tlr2259</t>
  </si>
  <si>
    <t>tlr2260</t>
  </si>
  <si>
    <t>tlr2261</t>
  </si>
  <si>
    <t>tlr2262</t>
  </si>
  <si>
    <t>tlr2263</t>
  </si>
  <si>
    <t>tll2264</t>
  </si>
  <si>
    <t>tll2265</t>
  </si>
  <si>
    <t>rTEt37</t>
  </si>
  <si>
    <t>tll2266</t>
  </si>
  <si>
    <t>tll2267</t>
  </si>
  <si>
    <t>tll2268</t>
  </si>
  <si>
    <t>tlr2269</t>
  </si>
  <si>
    <t>tlr2270</t>
  </si>
  <si>
    <t>tlr2271</t>
  </si>
  <si>
    <t>tll2272</t>
  </si>
  <si>
    <t>tsr2273</t>
  </si>
  <si>
    <t>tll2274</t>
  </si>
  <si>
    <t>tll2275</t>
  </si>
  <si>
    <t>tlr2276</t>
  </si>
  <si>
    <t>tsr2277</t>
  </si>
  <si>
    <t>tlr2278</t>
  </si>
  <si>
    <t>tlr2279</t>
  </si>
  <si>
    <t>tll2280</t>
  </si>
  <si>
    <t>tlr2281</t>
  </si>
  <si>
    <t>rTEt38</t>
  </si>
  <si>
    <t>tsr2282</t>
  </si>
  <si>
    <t>tlr2283</t>
  </si>
  <si>
    <t>tsr2284</t>
  </si>
  <si>
    <t>tll2285</t>
  </si>
  <si>
    <t>tlr2286</t>
  </si>
  <si>
    <t>tlr2287</t>
  </si>
  <si>
    <t>tll2288</t>
  </si>
  <si>
    <t>tlr2289</t>
  </si>
  <si>
    <t>tlr2290</t>
  </si>
  <si>
    <t>tll2291</t>
  </si>
  <si>
    <t>tll2292</t>
  </si>
  <si>
    <t>tll2293</t>
  </si>
  <si>
    <t>tll2294</t>
  </si>
  <si>
    <t>tsr2295</t>
  </si>
  <si>
    <t>tll2296</t>
  </si>
  <si>
    <t>tll2297</t>
  </si>
  <si>
    <t>tlr2298</t>
  </si>
  <si>
    <t>tlr2299</t>
  </si>
  <si>
    <t>tlr2300</t>
  </si>
  <si>
    <t>tlr2301</t>
  </si>
  <si>
    <t>tlr2302</t>
  </si>
  <si>
    <t>tlr2303</t>
  </si>
  <si>
    <t>tlr2304</t>
  </si>
  <si>
    <t>tlr2305</t>
  </si>
  <si>
    <t>tll2306</t>
  </si>
  <si>
    <t>tll2307</t>
  </si>
  <si>
    <t>tll2308</t>
  </si>
  <si>
    <t>tlr2309</t>
  </si>
  <si>
    <t>tll2310</t>
  </si>
  <si>
    <t>tll2311</t>
  </si>
  <si>
    <t>rTEt39</t>
  </si>
  <si>
    <t>tlr2312</t>
  </si>
  <si>
    <t>tll2313</t>
  </si>
  <si>
    <t>tlr2314</t>
  </si>
  <si>
    <t>tlr2315</t>
  </si>
  <si>
    <t>tlr2316</t>
  </si>
  <si>
    <t>tlr2317</t>
  </si>
  <si>
    <t>tlr2318</t>
  </si>
  <si>
    <t>tsl2319</t>
  </si>
  <si>
    <t>tll2320</t>
  </si>
  <si>
    <t>tll2321</t>
  </si>
  <si>
    <t>tlr2322</t>
  </si>
  <si>
    <t>tlr2323</t>
  </si>
  <si>
    <t>tlr2324</t>
  </si>
  <si>
    <t>tlr2325</t>
  </si>
  <si>
    <t>tlr2326</t>
  </si>
  <si>
    <t>tll2327</t>
  </si>
  <si>
    <t>tlr2328</t>
  </si>
  <si>
    <t>tll2329</t>
  </si>
  <si>
    <t>tlr2330</t>
  </si>
  <si>
    <t>tsl2331</t>
  </si>
  <si>
    <t>tll2332</t>
  </si>
  <si>
    <t>tll2333</t>
  </si>
  <si>
    <t>tll2334</t>
  </si>
  <si>
    <t>tll2335</t>
  </si>
  <si>
    <t>tll2336</t>
  </si>
  <si>
    <t>tlr2337</t>
  </si>
  <si>
    <t>tlr2338</t>
  </si>
  <si>
    <t>tll2339</t>
  </si>
  <si>
    <t>tlr2340</t>
  </si>
  <si>
    <t>tlr2341</t>
  </si>
  <si>
    <t>tlr2342</t>
  </si>
  <si>
    <t>tlr2343</t>
  </si>
  <si>
    <t>tlr2344</t>
  </si>
  <si>
    <t>tll2345</t>
  </si>
  <si>
    <t>tll2346</t>
  </si>
  <si>
    <t>tll2347</t>
  </si>
  <si>
    <t>tlr2348</t>
  </si>
  <si>
    <t>tll2349</t>
  </si>
  <si>
    <t>tll2350</t>
  </si>
  <si>
    <t>tll2351</t>
  </si>
  <si>
    <t>tll2352</t>
  </si>
  <si>
    <t>tll2353</t>
  </si>
  <si>
    <t>tlr2354</t>
  </si>
  <si>
    <t>tlr2355</t>
  </si>
  <si>
    <t>tsr2356</t>
  </si>
  <si>
    <t>tll2357</t>
  </si>
  <si>
    <t>rTEt40</t>
  </si>
  <si>
    <t>tlr2358</t>
  </si>
  <si>
    <t>tll2359</t>
  </si>
  <si>
    <t>tlr2360</t>
  </si>
  <si>
    <t>tll2361</t>
  </si>
  <si>
    <t>tll2362</t>
  </si>
  <si>
    <t>tll2363</t>
  </si>
  <si>
    <t>tll2364</t>
  </si>
  <si>
    <t>tll2365</t>
  </si>
  <si>
    <t>tll2366</t>
  </si>
  <si>
    <t>tll2367</t>
  </si>
  <si>
    <t>tlr2368</t>
  </si>
  <si>
    <t>tll2369</t>
  </si>
  <si>
    <t>tlr2370</t>
  </si>
  <si>
    <t>tll2371</t>
  </si>
  <si>
    <t>tll2372</t>
  </si>
  <si>
    <t>tll2373</t>
  </si>
  <si>
    <t>tll2374</t>
  </si>
  <si>
    <t>tll2375</t>
  </si>
  <si>
    <t>tlr2376</t>
  </si>
  <si>
    <t>tlr2377</t>
  </si>
  <si>
    <t>tlr2378</t>
  </si>
  <si>
    <t>tsl2379</t>
  </si>
  <si>
    <t>tlr2380</t>
  </si>
  <si>
    <t>tlr2381</t>
  </si>
  <si>
    <t>tll2382</t>
  </si>
  <si>
    <t>tll2383</t>
  </si>
  <si>
    <t>tlr2384</t>
  </si>
  <si>
    <t>tll2385</t>
  </si>
  <si>
    <t>tlr2386</t>
  </si>
  <si>
    <t>tlr2387</t>
  </si>
  <si>
    <t>tlr2388</t>
  </si>
  <si>
    <t>tlr2389</t>
  </si>
  <si>
    <t>tll2390</t>
  </si>
  <si>
    <t>tll2391</t>
  </si>
  <si>
    <t>tll2392</t>
  </si>
  <si>
    <t>tlr2393</t>
  </si>
  <si>
    <t>tlr2394</t>
  </si>
  <si>
    <t>tll2395</t>
  </si>
  <si>
    <t>tll2396</t>
  </si>
  <si>
    <t>tll2397</t>
  </si>
  <si>
    <t>tll2398</t>
  </si>
  <si>
    <t>tlr2399</t>
  </si>
  <si>
    <t>tsr2400</t>
  </si>
  <si>
    <t>tlr2401</t>
  </si>
  <si>
    <t>tlr2402</t>
  </si>
  <si>
    <t>tlr2403</t>
  </si>
  <si>
    <t>tlr2404</t>
  </si>
  <si>
    <t>tsr2405</t>
  </si>
  <si>
    <t>tll2406</t>
  </si>
  <si>
    <t>tll2407</t>
  </si>
  <si>
    <t>tll2408</t>
  </si>
  <si>
    <t>tll2409</t>
  </si>
  <si>
    <t>tll2410</t>
  </si>
  <si>
    <t>tlr2411</t>
  </si>
  <si>
    <t>tsr2412</t>
  </si>
  <si>
    <t>tlr2413</t>
  </si>
  <si>
    <t>tlr2414</t>
  </si>
  <si>
    <t>tlr2415</t>
  </si>
  <si>
    <t>tll2416</t>
  </si>
  <si>
    <t>tll2417</t>
  </si>
  <si>
    <t>tll2418</t>
  </si>
  <si>
    <t>tlr2419</t>
  </si>
  <si>
    <t>tlr2420</t>
  </si>
  <si>
    <t>tll2421</t>
  </si>
  <si>
    <t>tll2422</t>
  </si>
  <si>
    <t>tlr2423</t>
  </si>
  <si>
    <t>tll2424</t>
  </si>
  <si>
    <t>tll2425</t>
  </si>
  <si>
    <t>tlr2426</t>
  </si>
  <si>
    <t>tll2427</t>
  </si>
  <si>
    <t>tsl2428</t>
  </si>
  <si>
    <t>tll2429</t>
  </si>
  <si>
    <t>tll2430</t>
  </si>
  <si>
    <t>tll2431</t>
  </si>
  <si>
    <t>rTEt41</t>
  </si>
  <si>
    <t>tlr2432</t>
  </si>
  <si>
    <t>tlr2433</t>
  </si>
  <si>
    <t>tlr2434</t>
  </si>
  <si>
    <t>tll2435</t>
  </si>
  <si>
    <t>tlr2436</t>
  </si>
  <si>
    <t>tlr2437</t>
  </si>
  <si>
    <t>tll2438</t>
  </si>
  <si>
    <t>tll2439</t>
  </si>
  <si>
    <t>tll2440</t>
  </si>
  <si>
    <t>tll2441</t>
  </si>
  <si>
    <t>tll2442</t>
  </si>
  <si>
    <t>tlr2443</t>
  </si>
  <si>
    <t>tll2444</t>
  </si>
  <si>
    <t>tll2445</t>
  </si>
  <si>
    <t>tll2446</t>
  </si>
  <si>
    <t>tll2447</t>
  </si>
  <si>
    <t>tsr2448</t>
  </si>
  <si>
    <t>tll2449</t>
  </si>
  <si>
    <t>tll2450</t>
  </si>
  <si>
    <t>tlr2451</t>
  </si>
  <si>
    <t>tll2453</t>
  </si>
  <si>
    <t>tll2454</t>
  </si>
  <si>
    <t>tll2455</t>
  </si>
  <si>
    <t>tll2456</t>
  </si>
  <si>
    <t>tsl2457</t>
  </si>
  <si>
    <t>tll2458</t>
  </si>
  <si>
    <t>tlr2459</t>
  </si>
  <si>
    <t>tlr2460</t>
  </si>
  <si>
    <t>rTEt42</t>
  </si>
  <si>
    <t>tlr2461</t>
  </si>
  <si>
    <t>tlr2462</t>
  </si>
  <si>
    <t>tll2463</t>
  </si>
  <si>
    <t>tll2464</t>
  </si>
  <si>
    <t>tlr2465</t>
  </si>
  <si>
    <t>tll2466</t>
  </si>
  <si>
    <t>tll2467</t>
  </si>
  <si>
    <t>tsl2468</t>
  </si>
  <si>
    <t>tlr2469</t>
  </si>
  <si>
    <t>tll2470</t>
  </si>
  <si>
    <t>tlr2471</t>
  </si>
  <si>
    <t>tlr2472</t>
  </si>
  <si>
    <t>tlr2473</t>
  </si>
  <si>
    <t>tll2474</t>
  </si>
  <si>
    <t>tll2475</t>
  </si>
  <si>
    <t>tll2476</t>
  </si>
  <si>
    <t>tlr2477</t>
  </si>
  <si>
    <t>All_Normalized_Values</t>
  </si>
  <si>
    <t>Replicate_Averages</t>
  </si>
  <si>
    <t>Low_Light or Low_Ox set to 0, others changed accordingly</t>
  </si>
  <si>
    <t>Intracellular trafficking_ assembly_ and processing</t>
  </si>
  <si>
    <t>Peptidases</t>
  </si>
  <si>
    <t>periplasmic stress response system</t>
  </si>
  <si>
    <t>heat shock peptidase HtrA</t>
  </si>
  <si>
    <t>htrA</t>
  </si>
  <si>
    <t>Carbohydrate metabolism</t>
  </si>
  <si>
    <t>Starch and sucrose metabolism</t>
  </si>
  <si>
    <t>cellulose biosynthesis</t>
  </si>
  <si>
    <t>UDP-forming cellullose synthase catalytic subunit CelA</t>
  </si>
  <si>
    <t>celA</t>
  </si>
  <si>
    <t>Unknown function</t>
  </si>
  <si>
    <t>General</t>
  </si>
  <si>
    <t>gliding motility</t>
  </si>
  <si>
    <t>membrane PIN/TRAM domain protein YCF81</t>
  </si>
  <si>
    <t>ycf81</t>
  </si>
  <si>
    <t>None</t>
  </si>
  <si>
    <t>hypothetical protein</t>
  </si>
  <si>
    <t>N-acyl-L-amino acid amidohydrolase Ama</t>
  </si>
  <si>
    <t>ama</t>
  </si>
  <si>
    <t>Regulatory functions</t>
  </si>
  <si>
    <t>Small molecule interactions</t>
  </si>
  <si>
    <t>adenylate cyclase</t>
  </si>
  <si>
    <t>Terpenoids and polyketides metabolism</t>
  </si>
  <si>
    <t>Carotenoid metabolism</t>
  </si>
  <si>
    <t>carotenoid cleavage</t>
  </si>
  <si>
    <t>all-trans-8'-apo-beta-carotenal 15_15'-oxygenase Diox1</t>
  </si>
  <si>
    <t>diox1</t>
  </si>
  <si>
    <t>Transport and binding proteins</t>
  </si>
  <si>
    <t>Cofactors and prosthetic groups</t>
  </si>
  <si>
    <t>folic acid uptake</t>
  </si>
  <si>
    <t>folate transporter Fbp</t>
  </si>
  <si>
    <t>fbp</t>
  </si>
  <si>
    <t>protein of unknown function DUF212</t>
  </si>
  <si>
    <t>Terpenoid backbone biosynthesis</t>
  </si>
  <si>
    <t>C10-C20 isoprenoid biosynthesis</t>
  </si>
  <si>
    <t>geranylgeranyl diphosphate synthase type II CrtE</t>
  </si>
  <si>
    <t>crtE</t>
  </si>
  <si>
    <t>Prosthetic groups_ cofactors_ and carriers</t>
  </si>
  <si>
    <t>One carbon pool by folate</t>
  </si>
  <si>
    <t>folic acid biosynthesis</t>
  </si>
  <si>
    <t>bifunctional methylenetetrahydrofolate dehydrogenase (NADP+) / methenyltetrahydrofolate cyclohydrolase FolD</t>
  </si>
  <si>
    <t>folD</t>
  </si>
  <si>
    <t>pentapeptide repeat protein</t>
  </si>
  <si>
    <t>DNA interactions</t>
  </si>
  <si>
    <t>Iron homeostasis</t>
  </si>
  <si>
    <t>Fur family transcriptional regulator</t>
  </si>
  <si>
    <t>Cations and iron carrying compounds</t>
  </si>
  <si>
    <t>CAC2 family Ca2::H+ antiporter</t>
  </si>
  <si>
    <t>Glycan biosynthesis and metabolism</t>
  </si>
  <si>
    <t>Polysacharide and lipopolysaccharide metabolism</t>
  </si>
  <si>
    <t>KDO(2)-lipid A (Re LPS) biosynthesis and delivery</t>
  </si>
  <si>
    <t>UDP-3-O-[3-hydroxymyristoyl] glucosamine N-acyltransferase LpxD</t>
  </si>
  <si>
    <t>lpxD</t>
  </si>
  <si>
    <t>Enzymes of unknown specificity</t>
  </si>
  <si>
    <t>phosphate homeostasis</t>
  </si>
  <si>
    <t>phosphate starvation-inducible ATPase PhoH</t>
  </si>
  <si>
    <t>phoH</t>
  </si>
  <si>
    <t>KH domain RNA binding protein YlqC</t>
  </si>
  <si>
    <t>ylqC</t>
  </si>
  <si>
    <t>Energy metabolism</t>
  </si>
  <si>
    <t>Carbon fixation in prokaryotes</t>
  </si>
  <si>
    <t>Calvin-Benson cycle_ Embden-Meyerhof pathway</t>
  </si>
  <si>
    <t>glyceraldehyde 3-phosphate dehydrogenase GapA</t>
  </si>
  <si>
    <t>gapA</t>
  </si>
  <si>
    <t>rhodanese-like domain-containing protein</t>
  </si>
  <si>
    <t>Oxidative phosphorylation</t>
  </si>
  <si>
    <t>NAD(P)H:quinone oxidoreductase (complex I) NdhABCDEFGHIJKLMNOPQS</t>
  </si>
  <si>
    <t>NADH-plastoquinone oxidoreductase subunit NdhB</t>
  </si>
  <si>
    <t>ndhB</t>
  </si>
  <si>
    <t>Peptidoglycan metabolism</t>
  </si>
  <si>
    <t>peptidoglycan recycling</t>
  </si>
  <si>
    <t>muramoyltetrapeptide carboxypeptidase IdcA</t>
  </si>
  <si>
    <t>idcA</t>
  </si>
  <si>
    <t>Fe2+-responsive transcriptional regulator of iron homeostasis Fur</t>
  </si>
  <si>
    <t>fur</t>
  </si>
  <si>
    <t>peptidoglycan biosynthesis</t>
  </si>
  <si>
    <t>bifunctional peptidoglycan transglycosylase / transpeptidase McrB</t>
  </si>
  <si>
    <t>mrcB</t>
  </si>
  <si>
    <t>Nucleic acid metabolism</t>
  </si>
  <si>
    <t>Purine metabolism</t>
  </si>
  <si>
    <t>guanine ribonucleotide biosynthesis from IMP</t>
  </si>
  <si>
    <t>guanylate kinase Gmk</t>
  </si>
  <si>
    <t>gmk</t>
  </si>
  <si>
    <t>DNA replication_ recombination_ and repair</t>
  </si>
  <si>
    <t>DNA Repair</t>
  </si>
  <si>
    <t>putative DNA repair protein RAD32</t>
  </si>
  <si>
    <t>Protein interactions</t>
  </si>
  <si>
    <t>NmrA family protein</t>
  </si>
  <si>
    <t>Translation</t>
  </si>
  <si>
    <t>tRNA and rRNA base modification</t>
  </si>
  <si>
    <t>tRNA N6-threonylcarbamoyladenosine modification</t>
  </si>
  <si>
    <t>tRNA threonylcarbamoyl adenosine modification protein YeaZ</t>
  </si>
  <si>
    <t>yeaZ</t>
  </si>
  <si>
    <t>hopanoid biosynthesis</t>
  </si>
  <si>
    <t>hopanoid biosynthesis associated glycosyl transferase protein HpnI</t>
  </si>
  <si>
    <t>hpnI</t>
  </si>
  <si>
    <t>Thiamine metabolism</t>
  </si>
  <si>
    <t>thiamine: hydroxyethylthiazole from 1-deoxy-D-xylulose-5-phosphate_ cysteine_ either Tyr or Gly</t>
  </si>
  <si>
    <t>thiazole synthase ThiG</t>
  </si>
  <si>
    <t>thiG</t>
  </si>
  <si>
    <t>protein of unknown function DUF1838</t>
  </si>
  <si>
    <t>uncharacterized protein</t>
  </si>
  <si>
    <t>Unknown substrate</t>
  </si>
  <si>
    <t>UPF0118 family permease</t>
  </si>
  <si>
    <t>UDP-N-acetylmuramoylalanine--D-glutamate ligase MurD</t>
  </si>
  <si>
    <t>murD</t>
  </si>
  <si>
    <t>SH3 domain protein</t>
  </si>
  <si>
    <t>AAA family ATPase Ycf46</t>
  </si>
  <si>
    <t>ycf46</t>
  </si>
  <si>
    <t>protein of unknown function DUF177 YceD</t>
  </si>
  <si>
    <t>yceD</t>
  </si>
  <si>
    <t>Signal transduction</t>
  </si>
  <si>
    <t>pixDE light intensity sensor</t>
  </si>
  <si>
    <t>flavin-binding BLUF protein PixD</t>
  </si>
  <si>
    <t>pixD</t>
  </si>
  <si>
    <t>protein of unknown function DUF2752</t>
  </si>
  <si>
    <t>queuosine (Q-tRNA) biosynthesis from preQ0</t>
  </si>
  <si>
    <t>tRNA-guanine transglycosylase Tgt</t>
  </si>
  <si>
    <t>tgt</t>
  </si>
  <si>
    <t>redox regulatory system FtrCV</t>
  </si>
  <si>
    <t>ferredoxin-thioredoxin reductase beta subunit FtrC</t>
  </si>
  <si>
    <t>ftrC</t>
  </si>
  <si>
    <t>Mobile and extrachromosomal element functions</t>
  </si>
  <si>
    <t>Selfish genetic elements</t>
  </si>
  <si>
    <t>group II intron</t>
  </si>
  <si>
    <t>retron-type reverse transcriptase</t>
  </si>
  <si>
    <t>Chaperone and folding catalysis</t>
  </si>
  <si>
    <t>DnaJ domain-containing protein</t>
  </si>
  <si>
    <t>Cell motility and adherance</t>
  </si>
  <si>
    <t>Surface structures and assembly platforms</t>
  </si>
  <si>
    <t>T2bSS type IVa pilus complex</t>
  </si>
  <si>
    <t>type IV fimbrial assembly protein PilC</t>
  </si>
  <si>
    <t>pilC</t>
  </si>
  <si>
    <t>pilin retraction protein PilT</t>
  </si>
  <si>
    <t>pilT</t>
  </si>
  <si>
    <t>type IV fimbrial assembly ATPase PilB</t>
  </si>
  <si>
    <t>pilB</t>
  </si>
  <si>
    <t>SbcC-like exonuclease</t>
  </si>
  <si>
    <t>Ubiquinone and other terpenoid-quinone biosynthesis</t>
  </si>
  <si>
    <t>phylloquinone biosynthesis via SEPHCHC</t>
  </si>
  <si>
    <t>2-succinyl-5-enolpyruvyl-6-hydroxy-3-cyclohexene-1-carboxylic-acid synthase MenD</t>
  </si>
  <si>
    <t>menD</t>
  </si>
  <si>
    <t>Defense and invasion systems</t>
  </si>
  <si>
    <t>Protein_ prosthetic group_ membrane repair</t>
  </si>
  <si>
    <t>FtsH2-FtsH3 photosystem II repair complex</t>
  </si>
  <si>
    <t>ATP-dependent metalloprotease FtsH3</t>
  </si>
  <si>
    <t>ftsH3</t>
  </si>
  <si>
    <t>Amino acid metabolism</t>
  </si>
  <si>
    <t>Histidine metabolism</t>
  </si>
  <si>
    <t>histidine biosynthesis from ribose-5-phosphate</t>
  </si>
  <si>
    <t>imidazoleglycerol-phosphate dehydratase HisB</t>
  </si>
  <si>
    <t>hisB</t>
  </si>
  <si>
    <t>periplasmic protein of unknown function</t>
  </si>
  <si>
    <t>protein of unknown function DUF2062</t>
  </si>
  <si>
    <t>multidrug efflux transporter MFS family</t>
  </si>
  <si>
    <t>Anions</t>
  </si>
  <si>
    <t>CIC family chloride carrier/channel</t>
  </si>
  <si>
    <t>lycopene biosynthesis from isopentyl pyrophosphate (IPP)</t>
  </si>
  <si>
    <t>zeta-carotene isomerase nnrU</t>
  </si>
  <si>
    <t>nnrU</t>
  </si>
  <si>
    <t>Porphyrin and chlorophyll metabolism</t>
  </si>
  <si>
    <t>chlorophyll biosynthesis from chlorophyllide a</t>
  </si>
  <si>
    <t>geranylgeranyl reductase ChlP</t>
  </si>
  <si>
    <t>chlP</t>
  </si>
  <si>
    <t>cation-transporting ATPase E1-E2 family</t>
  </si>
  <si>
    <t>DNA damage response</t>
  </si>
  <si>
    <t>universal stress protein UspA family</t>
  </si>
  <si>
    <t>Insertion element</t>
  </si>
  <si>
    <t>ISTe12 transposase OrfA TnpA_ISTel2</t>
  </si>
  <si>
    <t>tnpA_ISTel2</t>
  </si>
  <si>
    <t>CPA1 family Na:H antiporter</t>
  </si>
  <si>
    <t>heat shock</t>
  </si>
  <si>
    <t>co-chaperone GrpE</t>
  </si>
  <si>
    <t>grpE</t>
  </si>
  <si>
    <t>Carbohydrates_ organic alcohols_ and acids</t>
  </si>
  <si>
    <t>multiple sugar uptake system</t>
  </si>
  <si>
    <t>ABC-type multiple sugar uptake system ATPase component</t>
  </si>
  <si>
    <t>Glutamate inactivation</t>
  </si>
  <si>
    <t>glutamine synthetase inactivating factor IF17 GifB</t>
  </si>
  <si>
    <t>gifB</t>
  </si>
  <si>
    <t>Ribosomal proteins: synthesis and modification</t>
  </si>
  <si>
    <t>ribosome large subunit</t>
  </si>
  <si>
    <t>LSU ribosomal protein L21 RplU</t>
  </si>
  <si>
    <t>rplU</t>
  </si>
  <si>
    <t>putative phosphopeptide binding protein</t>
  </si>
  <si>
    <t>iron-sulfur cluster assembly_ ISC system</t>
  </si>
  <si>
    <t>transcriptional repressor of Fe-S cluster biogenesis system IscR</t>
  </si>
  <si>
    <t>iscR</t>
  </si>
  <si>
    <t>Natural products biosynthesis</t>
  </si>
  <si>
    <t>Anti-microbial compounds</t>
  </si>
  <si>
    <t>bacteriocin</t>
  </si>
  <si>
    <t>FMN-dependent non-ribosomal peptide synthetase</t>
  </si>
  <si>
    <t>coenzyme B12 biosynthesis upper pathway</t>
  </si>
  <si>
    <t>precorrin-6Y C5_15-methyltransferase (decarboxylating) CobL</t>
  </si>
  <si>
    <t>cobL</t>
  </si>
  <si>
    <t>precorrin-8X methylmutase CobH</t>
  </si>
  <si>
    <t>cobH</t>
  </si>
  <si>
    <t>YebC family transcriptional regulator</t>
  </si>
  <si>
    <t>Folate biosynthesis</t>
  </si>
  <si>
    <t>tetrahydrofolate biosynthesis from GTP and PABA</t>
  </si>
  <si>
    <t>2-amino-4-hydroxy-6-hydroxymethyldihydropteridine diphosphokinase FolK</t>
  </si>
  <si>
    <t>folK</t>
  </si>
  <si>
    <t>ATP phosphoribosyltransferase catalytic subunit HisG</t>
  </si>
  <si>
    <t>hisG</t>
  </si>
  <si>
    <t>histidine biosynthesis</t>
  </si>
  <si>
    <t>ATP phosphoribosyltransferase regulatory subunit HisZ</t>
  </si>
  <si>
    <t>hisZ</t>
  </si>
  <si>
    <t>TPR repeat domain protein with DnaJ domain</t>
  </si>
  <si>
    <t>formyltetrahydrofolate deformylase PurU</t>
  </si>
  <si>
    <t>purU</t>
  </si>
  <si>
    <t>nucleotide excision repair</t>
  </si>
  <si>
    <t>excinuclease ABC subunit UvrA</t>
  </si>
  <si>
    <t>uvrA</t>
  </si>
  <si>
    <t>chaperone system: GroEL/GroES</t>
  </si>
  <si>
    <t>chaperonin GroEL</t>
  </si>
  <si>
    <t>groEL1</t>
  </si>
  <si>
    <t>chaperonin GroES</t>
  </si>
  <si>
    <t>groES</t>
  </si>
  <si>
    <t>ABC-type multiple sugar uptake system permease component</t>
  </si>
  <si>
    <t>ammonium uptake</t>
  </si>
  <si>
    <t>ammonium permease Amt</t>
  </si>
  <si>
    <t>amt</t>
  </si>
  <si>
    <t>membrane protein of unknown function DUF3120</t>
  </si>
  <si>
    <t>Protein export_ secretion_ and sorting</t>
  </si>
  <si>
    <t>Sec protein export system</t>
  </si>
  <si>
    <t>preprotein translocase subunit SecF</t>
  </si>
  <si>
    <t>secF</t>
  </si>
  <si>
    <t>preprotein translocase subunit SecD</t>
  </si>
  <si>
    <t>secD</t>
  </si>
  <si>
    <t>Pyruvate metabolism</t>
  </si>
  <si>
    <t>pyruvate dehydrogenase complex PdhABCD-AceE</t>
  </si>
  <si>
    <t>pyruvate dehydrogenase E1 component beta subunit PdhB</t>
  </si>
  <si>
    <t>pdhB</t>
  </si>
  <si>
    <t>membrane protease</t>
  </si>
  <si>
    <t>intramembrane C-terminal tripeptide endopeptidase M79 family</t>
  </si>
  <si>
    <t>clpXP degradation machine</t>
  </si>
  <si>
    <t>ATP-dependent Clp protease adaptor protein ClpS</t>
  </si>
  <si>
    <t>clpS</t>
  </si>
  <si>
    <t>Transfer RNA biogenesis</t>
  </si>
  <si>
    <t>tRNA aminoacylation</t>
  </si>
  <si>
    <t>class II lysyl-tRNA synthetase LysS</t>
  </si>
  <si>
    <t>lysS</t>
  </si>
  <si>
    <t>ABC-type export system hybrid permease / ATPase MdlB</t>
  </si>
  <si>
    <t>mdlB</t>
  </si>
  <si>
    <t>phosphoribosylformimino-5-aminoimidazole carboxamide ribotide isomerase HisA</t>
  </si>
  <si>
    <t>hisA</t>
  </si>
  <si>
    <t>7-cyano-7-deazaguanine reductase QueF1</t>
  </si>
  <si>
    <t>queF1</t>
  </si>
  <si>
    <t>NADH dehydrogenase I</t>
  </si>
  <si>
    <t>NDH-1 complex sensory subunit CupS</t>
  </si>
  <si>
    <t>cupS</t>
  </si>
  <si>
    <t>P-FAT family ABC-type export system hybrid permease / ATPase</t>
  </si>
  <si>
    <t>Nicotinate and nicotinamide metabolism</t>
  </si>
  <si>
    <t>NAD(P) biosynthesis from L-aspartate and DHAP</t>
  </si>
  <si>
    <t>quinolinate synthase NadA</t>
  </si>
  <si>
    <t>nadA</t>
  </si>
  <si>
    <t>myxoxanthophyll biosynthesis</t>
  </si>
  <si>
    <t>C-3'_4' desaturase CrtD</t>
  </si>
  <si>
    <t>crtD</t>
  </si>
  <si>
    <t>bifunctional phosphoribosyl-ATP pyrophosphohydrolase / phosphoribosyl-AMP cyclohydrolase HisIE</t>
  </si>
  <si>
    <t>hisIE</t>
  </si>
  <si>
    <t>Alanine_ aspartate and glutamate metabolism</t>
  </si>
  <si>
    <t>aspartate-asparagine interconversion</t>
  </si>
  <si>
    <t>asparagine synthetase [glutamine-hydrolyzing] AsnB</t>
  </si>
  <si>
    <t>asnB</t>
  </si>
  <si>
    <t>protein of unknown function DUF2949</t>
  </si>
  <si>
    <t>peptidoglycan bioysnthesis and recycling</t>
  </si>
  <si>
    <t>N-acetylmuramoyl-L-alanine amidase AmiA</t>
  </si>
  <si>
    <t>amiA</t>
  </si>
  <si>
    <t>Amino acids_ peptides and amines</t>
  </si>
  <si>
    <t>APC family amino acid-polyamine transporter</t>
  </si>
  <si>
    <t>Translation factors</t>
  </si>
  <si>
    <t>release factors</t>
  </si>
  <si>
    <t>ribosome recycling factor Frr</t>
  </si>
  <si>
    <t>frr</t>
  </si>
  <si>
    <t>Pyrimidine metabolism</t>
  </si>
  <si>
    <t>uridylate kinase PyrH</t>
  </si>
  <si>
    <t>pyrH</t>
  </si>
  <si>
    <t>uncharacterized isomerase yddE PhzC-PhzF family</t>
  </si>
  <si>
    <t>yddE</t>
  </si>
  <si>
    <t>integral membrane protein TerC family</t>
  </si>
  <si>
    <t>extracytoplasmic TPR repeat domain protein</t>
  </si>
  <si>
    <t>Glycine_ serine and threonine metabolism</t>
  </si>
  <si>
    <t>homoserine biosynthesis from aspartate</t>
  </si>
  <si>
    <t>homoserine dehydrogenase ThrA</t>
  </si>
  <si>
    <t>thrA</t>
  </si>
  <si>
    <t>COG2187 family uncharacterized protein</t>
  </si>
  <si>
    <t>nucleoid associated proteins</t>
  </si>
  <si>
    <t>DnaJ-class molecular chaperone CbpA</t>
  </si>
  <si>
    <t>cbpA</t>
  </si>
  <si>
    <t>photosystem II</t>
  </si>
  <si>
    <t>hemoprotein associated with the PsbA2-Photosystem II complex</t>
  </si>
  <si>
    <t>Sulfur metabolism</t>
  </si>
  <si>
    <t>sulfide reduction to polysulfide</t>
  </si>
  <si>
    <t>sulfide quinone reductase Sqr</t>
  </si>
  <si>
    <t>sqr</t>
  </si>
  <si>
    <t>Other glycan degradation</t>
  </si>
  <si>
    <t>mannose hydrolysis from N-glycans</t>
  </si>
  <si>
    <t>alpha-mannosidase Ams1</t>
  </si>
  <si>
    <t>ams1</t>
  </si>
  <si>
    <t>possible alpha/beta hydrolase superfamily</t>
  </si>
  <si>
    <t>haloacid dehalogenase superfamily subfamily IA hydrolase</t>
  </si>
  <si>
    <t>Na-dependent K uptake system KtrAB</t>
  </si>
  <si>
    <t>Na-dependent potassium uptake system permease component KtrB</t>
  </si>
  <si>
    <t>ktrB</t>
  </si>
  <si>
    <t>transglutaminase-like superfamily protein</t>
  </si>
  <si>
    <t>ClpP3-ClpR-ClpC proteolytic complex</t>
  </si>
  <si>
    <t>Clp3 protease chaperone ClpC</t>
  </si>
  <si>
    <t>clpC</t>
  </si>
  <si>
    <t>UvrD/REP helicase domain-containing protein</t>
  </si>
  <si>
    <t>glycosyltransferase family 2</t>
  </si>
  <si>
    <t>protein of unknown function DUF3110</t>
  </si>
  <si>
    <t>Accesory functions</t>
  </si>
  <si>
    <t>TonB energy transduction system</t>
  </si>
  <si>
    <t>biopolymer transport system component ExbB</t>
  </si>
  <si>
    <t>exbB</t>
  </si>
  <si>
    <t>lipid-A-disaccharide synthase LpxB</t>
  </si>
  <si>
    <t>lpxB</t>
  </si>
  <si>
    <t>Metabolism of other amino acids and amines</t>
  </si>
  <si>
    <t>Glutathione metabolism</t>
  </si>
  <si>
    <t>glutathione biosynthesis</t>
  </si>
  <si>
    <t>glutamate-cysteine ligase GshA</t>
  </si>
  <si>
    <t>gshA</t>
  </si>
  <si>
    <t>Fatty acid and lipid metabolism</t>
  </si>
  <si>
    <t>Biosynthesis</t>
  </si>
  <si>
    <t>digalactosyldiacylglycerol biosynthesis</t>
  </si>
  <si>
    <t>digalactosyldiacylglycerol (DGDG) synthase DgdA</t>
  </si>
  <si>
    <t>dgdA</t>
  </si>
  <si>
    <t>intermembrane phospholipid trafficking MlaACDEF</t>
  </si>
  <si>
    <t>ABC-type phospholipid uptake system ATPase component MlaF</t>
  </si>
  <si>
    <t>mlaF</t>
  </si>
  <si>
    <t>Iron-sulfur cluster repair</t>
  </si>
  <si>
    <t>IscA FeS stabilizing protein IaiH</t>
  </si>
  <si>
    <t>iaiH</t>
  </si>
  <si>
    <t>Nitrogen metabolism</t>
  </si>
  <si>
    <t>urease</t>
  </si>
  <si>
    <t>urease beta subunit UreB</t>
  </si>
  <si>
    <t>ureB</t>
  </si>
  <si>
    <t>Vitamin B6 metabolism</t>
  </si>
  <si>
    <t>pyridoxal biosynthesis from erythrose-4P</t>
  </si>
  <si>
    <t>pyridoxamine 5'-phosphate oxidase PdxH</t>
  </si>
  <si>
    <t>pdxH</t>
  </si>
  <si>
    <t>membrane protein of unknown function DUF2339</t>
  </si>
  <si>
    <t>polyketide cyclase / dehydrase family enzyme</t>
  </si>
  <si>
    <t>zeta-carotene desaturase CrtQ</t>
  </si>
  <si>
    <t>crtQ</t>
  </si>
  <si>
    <t>family S33 unassigned peptidase</t>
  </si>
  <si>
    <t>Phenylalanine_ tyrosine and tryptophan biosynthesis</t>
  </si>
  <si>
    <t>chorismate from erythrose-4P</t>
  </si>
  <si>
    <t>3-deoxy-7-phosphoheptulonate synthase AroA2</t>
  </si>
  <si>
    <t>aroA2</t>
  </si>
  <si>
    <t>NmrA family protein Ycf39-like</t>
  </si>
  <si>
    <t>bilin biosynthesis</t>
  </si>
  <si>
    <t>heme oxygenase (decyclizing) Hox1</t>
  </si>
  <si>
    <t>hox1</t>
  </si>
  <si>
    <t>Arginine and proline metabolism</t>
  </si>
  <si>
    <t>arginine biosynthesis from ornithine_ carbamoyl-p_ and aspartate (urea cycle)</t>
  </si>
  <si>
    <t>argininosuccinate lyase ArgH</t>
  </si>
  <si>
    <t>argH</t>
  </si>
  <si>
    <t>TPR repeat-containing glycosyltransferase family 2</t>
  </si>
  <si>
    <t>UDP-N-acetylenolpyruvoylglucosamine reductase MurB</t>
  </si>
  <si>
    <t>murB</t>
  </si>
  <si>
    <t>UDP-N-acetylmuramate--alanine ligase MurC</t>
  </si>
  <si>
    <t>murC</t>
  </si>
  <si>
    <t>peptidase U62 modulator of DNA gyrase TldD/PmbA family</t>
  </si>
  <si>
    <t>glycosyltransferase family 41</t>
  </si>
  <si>
    <t>SpoIID/LytB domain protein</t>
  </si>
  <si>
    <t>cyanopterin biosynthesis</t>
  </si>
  <si>
    <t>UDP-glucose tetrahydrobiopterin glucosyltransferase PgtA</t>
  </si>
  <si>
    <t>pgtA</t>
  </si>
  <si>
    <t>F1/F0 ATPase AtpABCDEFGH</t>
  </si>
  <si>
    <t>F-type H+-transporting ATPase gamma subunit AtpG</t>
  </si>
  <si>
    <t>atpG</t>
  </si>
  <si>
    <t>alpha-ribazole from nicotinate mononucleotide and dimethylbenzimidazole</t>
  </si>
  <si>
    <t>alpha-ribazole-5'-phosphate phosphatase CobC</t>
  </si>
  <si>
    <t>cobC</t>
  </si>
  <si>
    <t>uridine monophosphate biosynthesis from glutamine</t>
  </si>
  <si>
    <t>orotidine 5'-phosphate decarboxylase PyrF</t>
  </si>
  <si>
    <t>pyrF</t>
  </si>
  <si>
    <t>membrane protein of unknown function DUF3611</t>
  </si>
  <si>
    <t>thiosulfate to sulfite</t>
  </si>
  <si>
    <t>thiosulfate/3-mercaptopyruvate sulfurtransferase SseA</t>
  </si>
  <si>
    <t>sseA</t>
  </si>
  <si>
    <t>Glycerolipid and glycerophospholid metabolism</t>
  </si>
  <si>
    <t>sulfolipid sulfoquinovosyldiacylglycerol biosynthesis</t>
  </si>
  <si>
    <t>UDP-sulfoquinovose synthase SqdB</t>
  </si>
  <si>
    <t>sqdB</t>
  </si>
  <si>
    <t>putative 2-phosphosulfolactate phosphatase</t>
  </si>
  <si>
    <t>photosystem II repair</t>
  </si>
  <si>
    <t>photosystem II repair protein Psb32</t>
  </si>
  <si>
    <t>psb32</t>
  </si>
  <si>
    <t>replication restart_ PriA/PriB primosome pathway</t>
  </si>
  <si>
    <t>primosomal protein N' (replication factor Y) PriA</t>
  </si>
  <si>
    <t>priA</t>
  </si>
  <si>
    <t>Sulfoquinovosyldiacylglycerol biosynthesis</t>
  </si>
  <si>
    <t>sulfoquinovosyldiacylglycerol biosynthesis protein SqdX</t>
  </si>
  <si>
    <t>sqdX</t>
  </si>
  <si>
    <t>uroporhyrinogen III biosynthesis from 5-aminolevulinate</t>
  </si>
  <si>
    <t>porphobilinogen synthase HemB</t>
  </si>
  <si>
    <t>hemB</t>
  </si>
  <si>
    <t>Cofactor NAD synth</t>
  </si>
  <si>
    <t>ADP-ribose pyrophosphatase NudF</t>
  </si>
  <si>
    <t>nudF</t>
  </si>
  <si>
    <t>cytoplasmic protease</t>
  </si>
  <si>
    <t>methionine aminopeptidase Map</t>
  </si>
  <si>
    <t>map</t>
  </si>
  <si>
    <t>single strand breaks repair</t>
  </si>
  <si>
    <t>FAD-dependent deoxyribopyrimidine photolyase PhrA</t>
  </si>
  <si>
    <t>phrA</t>
  </si>
  <si>
    <t>tryptophan biosynthesis from ribose-5-phosphate</t>
  </si>
  <si>
    <t>tryptophan synthase alpha subunit TrpA</t>
  </si>
  <si>
    <t>trpA</t>
  </si>
  <si>
    <t>ABC-type transport system ATPase component</t>
  </si>
  <si>
    <t>Photosynthesis</t>
  </si>
  <si>
    <t>photosystem II other common subunits</t>
  </si>
  <si>
    <t>photosystem II oxygen-evolving enhancer protein 1 PsbO</t>
  </si>
  <si>
    <t>psbO</t>
  </si>
  <si>
    <t>NADH-plastoquinone oxidoreductase subunit NdhM</t>
  </si>
  <si>
    <t>ndhM</t>
  </si>
  <si>
    <t>chlorophyllide a biosynthesis from protoporphyrin IX</t>
  </si>
  <si>
    <t>magnesium-protoporphyrin O-methyltransferase BchM</t>
  </si>
  <si>
    <t>bchM</t>
  </si>
  <si>
    <t>Cell structure_ growth_ and death</t>
  </si>
  <si>
    <t>Cell division</t>
  </si>
  <si>
    <t>cell division export system FtsEX</t>
  </si>
  <si>
    <t>ABC-type septal ring translocating system permease component FtsX</t>
  </si>
  <si>
    <t>ftsX</t>
  </si>
  <si>
    <t>ABC-type septal ring translocating system ATPase component FtsE</t>
  </si>
  <si>
    <t>ftsE</t>
  </si>
  <si>
    <t>polysaccharide biosynthesis</t>
  </si>
  <si>
    <t>UDP-N-acetyl-D-mannosaminuronic acid transferase RffM</t>
  </si>
  <si>
    <t>rffM</t>
  </si>
  <si>
    <t>dTDP-4-dehydro-L-rhamnose biosynthesis from 4_6-dideoxy-4-oxo-dTDP-D-glucose</t>
  </si>
  <si>
    <t>dTDP-4-dehydrorhamnose 3_5-epimerase RfbC</t>
  </si>
  <si>
    <t>rfbC</t>
  </si>
  <si>
    <t>Polyketide sugar unit biosynthesis</t>
  </si>
  <si>
    <t>4_6-dideoxy-4-oxo-dTDP-D-glucose biosynthesis from glucose-1-phosphate</t>
  </si>
  <si>
    <t>glucose-1-phosphate thymidylyltransferase RfbA</t>
  </si>
  <si>
    <t>rfbA</t>
  </si>
  <si>
    <t>dTDP-glucose 4_6-dehydratase RfbB</t>
  </si>
  <si>
    <t>rfbB</t>
  </si>
  <si>
    <t>D-Alanine metabolism</t>
  </si>
  <si>
    <t>alanine racemase Alr</t>
  </si>
  <si>
    <t>alr</t>
  </si>
  <si>
    <t>chorismate biosynthesis via shikimate</t>
  </si>
  <si>
    <t>chorismate synthase AroC</t>
  </si>
  <si>
    <t>aroC</t>
  </si>
  <si>
    <t>Iron sulfur clusters</t>
  </si>
  <si>
    <t>iron binding protein from the HesB/IscA/SufA family</t>
  </si>
  <si>
    <t>cell division inhibitor SulA</t>
  </si>
  <si>
    <t>sulA</t>
  </si>
  <si>
    <t>Pentose phosphate pathway</t>
  </si>
  <si>
    <t>pentose phosphate cycle_ non-oxidative phase</t>
  </si>
  <si>
    <t>transaldolase TalA</t>
  </si>
  <si>
    <t>talA</t>
  </si>
  <si>
    <t>ribosomal protein modification factors</t>
  </si>
  <si>
    <t>ribosomal-protein-alanine acetyltransferase RimI</t>
  </si>
  <si>
    <t>rimI</t>
  </si>
  <si>
    <t>prepilin peptidase PilD</t>
  </si>
  <si>
    <t>pilD</t>
  </si>
  <si>
    <t>Two-component systems</t>
  </si>
  <si>
    <t>two component signal transduction system histidine kinase</t>
  </si>
  <si>
    <t>M79 family C-terminal endopeptidase</t>
  </si>
  <si>
    <t>Electron transport</t>
  </si>
  <si>
    <t>photosynthetic electron transport</t>
  </si>
  <si>
    <t>2Fe-2S ferredoxin PetF</t>
  </si>
  <si>
    <t>petF</t>
  </si>
  <si>
    <t>1_4-dihydroxy-2-naphthoyl-CoA thioesterease DncH</t>
  </si>
  <si>
    <t>dncH</t>
  </si>
  <si>
    <t>iron-sulfur cluster assembly SUF system</t>
  </si>
  <si>
    <t>Fe-S cluster assembly protein SufB</t>
  </si>
  <si>
    <t>sufB</t>
  </si>
  <si>
    <t>HAD superfamily phosphatase YqeG</t>
  </si>
  <si>
    <t>yqeG</t>
  </si>
  <si>
    <t>IPP biosynthesis via deoxyxylulose</t>
  </si>
  <si>
    <t>4-diphosphocytidyl-2-C-methyl-D-erythritol kinase IspE</t>
  </si>
  <si>
    <t>ispE</t>
  </si>
  <si>
    <t>tRNA threonylcarbamoyladenosine modification protein TsaD</t>
  </si>
  <si>
    <t>tsaD</t>
  </si>
  <si>
    <t>glutamyl-tRNA synthetase GltX</t>
  </si>
  <si>
    <t>gltX</t>
  </si>
  <si>
    <t>arginine degradation (L-arginine deiminase pathway)</t>
  </si>
  <si>
    <t>L-arginine deiminase ArcA</t>
  </si>
  <si>
    <t>arcA</t>
  </si>
  <si>
    <t>oxidoreductase short-chain dehydrogenase/reductase family</t>
  </si>
  <si>
    <t>iron (III) transport system AfuABC</t>
  </si>
  <si>
    <t>ABC-type FeII uptake system substrate-binding component FutA1</t>
  </si>
  <si>
    <t>futA1</t>
  </si>
  <si>
    <t>PedR controlled uncharacterized protein</t>
  </si>
  <si>
    <t>RND-type exporter Rnd3</t>
  </si>
  <si>
    <t>RND-type export system MFP component</t>
  </si>
  <si>
    <t>DNA replication elongation factor_ DNA polymerase III</t>
  </si>
  <si>
    <t>DNA polymerase III delta prime subunit HolB</t>
  </si>
  <si>
    <t>holB</t>
  </si>
  <si>
    <t>CCA adding factors</t>
  </si>
  <si>
    <t>tRNA nucleotidyltransferase A-adding</t>
  </si>
  <si>
    <t>D-alanine-D-alanine ligase Ddl</t>
  </si>
  <si>
    <t>ddl</t>
  </si>
  <si>
    <t>peptide chain release factor PrfB</t>
  </si>
  <si>
    <t>pfrB</t>
  </si>
  <si>
    <t>DNA gyrase modulation</t>
  </si>
  <si>
    <t>TldE/TldD proteolytic complex component TldD</t>
  </si>
  <si>
    <t>tldD</t>
  </si>
  <si>
    <t>LSU ribosomal protein L25 RplY</t>
  </si>
  <si>
    <t>rplY</t>
  </si>
  <si>
    <t>adenosine monophosphate (AMP) biosynthesis from inosine monophosphate (IMP)</t>
  </si>
  <si>
    <t>adenylosuccinate synthase PurA</t>
  </si>
  <si>
    <t>purA</t>
  </si>
  <si>
    <t>monovalent cation/H+ antiporter YbaL</t>
  </si>
  <si>
    <t>ybaL</t>
  </si>
  <si>
    <t>allosteric effector of glucose-6-phosphate dehydrogenase OpcA</t>
  </si>
  <si>
    <t>opcA</t>
  </si>
  <si>
    <t>pentose phosphate pathway_ oxidative phase</t>
  </si>
  <si>
    <t>glucose-6-phosphate 1-dehydrogenase Zwf</t>
  </si>
  <si>
    <t>zwf</t>
  </si>
  <si>
    <t>Calvin-Benson cycle</t>
  </si>
  <si>
    <t>fructose-1_6-bisphosphatase Fbp</t>
  </si>
  <si>
    <t>FAD-binding protein</t>
  </si>
  <si>
    <t>KaiB domain protein</t>
  </si>
  <si>
    <t>pilus retraction protein PilT</t>
  </si>
  <si>
    <t>AEC family efflux carrier</t>
  </si>
  <si>
    <t>ABC-type export system hybrid permease / ATPase</t>
  </si>
  <si>
    <t>ATP-independent intracellular protease PfpI</t>
  </si>
  <si>
    <t>pfpI</t>
  </si>
  <si>
    <t>histone deacetylase family protein</t>
  </si>
  <si>
    <t>Taxis</t>
  </si>
  <si>
    <t>blue light phototaxis adaptor protein CheW family</t>
  </si>
  <si>
    <t>pixI2</t>
  </si>
  <si>
    <t>T2bSS twitching motility chemosensory response system ChpABC/pilGHJK</t>
  </si>
  <si>
    <t>blue light phototaxis signal transduction system hybrid histidine kinase / response regulator PixL</t>
  </si>
  <si>
    <t>pixL</t>
  </si>
  <si>
    <t>blue light-responsive cyanobacteriochrome PixJ</t>
  </si>
  <si>
    <t>pixJ</t>
  </si>
  <si>
    <t>T2bSS twitching motility Pil-Chp system</t>
  </si>
  <si>
    <t>blue light phototaxis adaptor protein PixI</t>
  </si>
  <si>
    <t>pixI1</t>
  </si>
  <si>
    <t>T2bSS type IVa pili ChpA-ChpB/PilGH chemosensory system</t>
  </si>
  <si>
    <t>blue light phototaxis signal transduction system response regulator PixH</t>
  </si>
  <si>
    <t>pixH</t>
  </si>
  <si>
    <t>blue light phototaxis signal transduction system response regulator PixG</t>
  </si>
  <si>
    <t>pixG</t>
  </si>
  <si>
    <t>Porins and secretins</t>
  </si>
  <si>
    <t>OprB family carbohydrate-selective porin</t>
  </si>
  <si>
    <t>Biotin and lipoate metabolism</t>
  </si>
  <si>
    <t>lipoic acid metabolism</t>
  </si>
  <si>
    <t>lipoyl synthase LipA2</t>
  </si>
  <si>
    <t>lipA2</t>
  </si>
  <si>
    <t>glycogen biosynthesis</t>
  </si>
  <si>
    <t>1_4-alpha-glucan branching enzyme GlgB</t>
  </si>
  <si>
    <t>glgB</t>
  </si>
  <si>
    <t>FMN-dependent dihydroorotate dehydrogenase PyrD</t>
  </si>
  <si>
    <t>pyrD</t>
  </si>
  <si>
    <t>biotin uptake system BioYNM and biotin uptake system BioY-EcfA12T</t>
  </si>
  <si>
    <t>ABC-type biotin uptake system ATPase component CbiO</t>
  </si>
  <si>
    <t>cbiO</t>
  </si>
  <si>
    <t xml:space="preserve">reductive citrate cycle (Arnon-Buchanan cycle) </t>
  </si>
  <si>
    <t>putative phosphoenolpyruvate synthase</t>
  </si>
  <si>
    <t>other ribosome maturation factor</t>
  </si>
  <si>
    <t>guanosine-3'_5'-bis(diphosphate) 3'-pyrophosphohydrolase SpoT</t>
  </si>
  <si>
    <t>spoT</t>
  </si>
  <si>
    <t>purine (inosine-5'-phosphate) biosynthesis from ribose-5-phosphate</t>
  </si>
  <si>
    <t>phosphoribosylaminoimidazole carboxylase catalytic subunit PurE</t>
  </si>
  <si>
    <t>purE</t>
  </si>
  <si>
    <t>shikimate dehydrogenase AroE</t>
  </si>
  <si>
    <t>aroE</t>
  </si>
  <si>
    <t>nitrogen homeostasis GlnA regulatory system GlnBDE</t>
  </si>
  <si>
    <t>nitrogen regulatory protein P-II GlnB</t>
  </si>
  <si>
    <t>glnB</t>
  </si>
  <si>
    <t>hopanid biosynthesis associated radical SAM protein HpnH</t>
  </si>
  <si>
    <t>hpnH</t>
  </si>
  <si>
    <t>RNA-binding protein Jag</t>
  </si>
  <si>
    <t>jag</t>
  </si>
  <si>
    <t>membrane protein insertase yidC</t>
  </si>
  <si>
    <t>yidC</t>
  </si>
  <si>
    <t>ISTel3 transposase TnpA_ISTel3</t>
  </si>
  <si>
    <t>tnpA_ISTel3</t>
  </si>
  <si>
    <t>oxidoreductase aldo/keto reductase family</t>
  </si>
  <si>
    <t>starvation induced DNA binding protein DpsA</t>
  </si>
  <si>
    <t>dpsA</t>
  </si>
  <si>
    <t>Transcription</t>
  </si>
  <si>
    <t>Transcription factors</t>
  </si>
  <si>
    <t>RNA polymerase sigma factors</t>
  </si>
  <si>
    <t>group 1 RNA polymerase sigma-70 subunit SigA</t>
  </si>
  <si>
    <t>sigA</t>
  </si>
  <si>
    <t>divalent cation tolerance-related protein</t>
  </si>
  <si>
    <t>1-deoxy-D-xylulose-5-phosphate synthase Dxs</t>
  </si>
  <si>
    <t>dxs</t>
  </si>
  <si>
    <t>protein of unknown function DUF3529</t>
  </si>
  <si>
    <t>diguanylate cyclase/phosphodiesterase with PAS/PAC sensor(s)</t>
  </si>
  <si>
    <t>nuclease PD-(D/E)XK superfamily</t>
  </si>
  <si>
    <t>Amino sugar and nucleotide sugar metabolism</t>
  </si>
  <si>
    <t>carotenoid biosynthesis</t>
  </si>
  <si>
    <t>GDP-L-fucose synthase FcI</t>
  </si>
  <si>
    <t>fcI</t>
  </si>
  <si>
    <t>GDP-4-keto-6-deoxymannose biosynthesis from b-D-fructose-6-phosphate</t>
  </si>
  <si>
    <t>GDP-mannose 4_6-dehydratase Gmd</t>
  </si>
  <si>
    <t>gmd</t>
  </si>
  <si>
    <t>heterocyst-specific glycolipid layer formation</t>
  </si>
  <si>
    <t>ABC-type glycolipid export system outer membrane secretin component HgdD</t>
  </si>
  <si>
    <t>hgdD</t>
  </si>
  <si>
    <t>cytochrome b561</t>
  </si>
  <si>
    <t>Zn-dependent protease with chaperone function</t>
  </si>
  <si>
    <t>RNA polymerase</t>
  </si>
  <si>
    <t>RNA polymerase RpoABCEZ</t>
  </si>
  <si>
    <t>DNA-directed RNA polymerase delta subunit RpoC2</t>
  </si>
  <si>
    <t>rpoC2</t>
  </si>
  <si>
    <t>DNA-directed RNA polymerase gamma subunit RpoC1</t>
  </si>
  <si>
    <t>rpoC1</t>
  </si>
  <si>
    <t>DNA-directed RNA polymerase beta subunit RpoB</t>
  </si>
  <si>
    <t>rpoB</t>
  </si>
  <si>
    <t>T1SS:Heterocyst specific glycolipid layer formation</t>
  </si>
  <si>
    <t>ABC-type glycolipid export system ATPase component DevA</t>
  </si>
  <si>
    <t>devA</t>
  </si>
  <si>
    <t>ABC-type glycolipid export system permease component DevC</t>
  </si>
  <si>
    <t>devC</t>
  </si>
  <si>
    <t>ABC-type glycolipid export system membrane fusion component DevB</t>
  </si>
  <si>
    <t>devB</t>
  </si>
  <si>
    <t>23S rRNA modification</t>
  </si>
  <si>
    <t>23S rRNA pseudouridine2457 synthase RluE</t>
  </si>
  <si>
    <t>rluE</t>
  </si>
  <si>
    <t>DNA gyrase</t>
  </si>
  <si>
    <t>DNA gyrase subunit B GyrB</t>
  </si>
  <si>
    <t>gyrB</t>
  </si>
  <si>
    <t>putative amino transferase</t>
  </si>
  <si>
    <t>P-type cation-transporting ATPase</t>
  </si>
  <si>
    <t>conserved hypothetical with ubiquitin ligase domain</t>
  </si>
  <si>
    <t>biotin biosynthesis</t>
  </si>
  <si>
    <t>biotin synthase BioB</t>
  </si>
  <si>
    <t>bioB</t>
  </si>
  <si>
    <t>phenylalanyl-tRNA synthetase beta subunit PheT</t>
  </si>
  <si>
    <t>pheT</t>
  </si>
  <si>
    <t>DNA replication elongation factors_ Rnase H</t>
  </si>
  <si>
    <t>ribonuclease HII RnhB</t>
  </si>
  <si>
    <t>rnhB</t>
  </si>
  <si>
    <t>Pentose and glucuronate interconversions</t>
  </si>
  <si>
    <t>glucuronate pathway</t>
  </si>
  <si>
    <t>UDP-glucose dehydrogenase UgdH</t>
  </si>
  <si>
    <t>ugdH</t>
  </si>
  <si>
    <t>multifunctional complex type dihydroorotase PyrC</t>
  </si>
  <si>
    <t>pyrC</t>
  </si>
  <si>
    <t>Enzyme assembly</t>
  </si>
  <si>
    <t>c-type cytochrome biogenesis_ system II</t>
  </si>
  <si>
    <t>c-type cytochrome biogenesis protein CcsB</t>
  </si>
  <si>
    <t>ccsB</t>
  </si>
  <si>
    <t>protoporphyrin IX biosynthesis from uroporphyrinogen III</t>
  </si>
  <si>
    <t>oxygen-dependent coproporphyrinogen III oxidase HemF</t>
  </si>
  <si>
    <t>hemF</t>
  </si>
  <si>
    <t>protein of unknown function DUF2930</t>
  </si>
  <si>
    <t>haloacid dehalogenase superfamily enzyme</t>
  </si>
  <si>
    <t>tryptophan biosynthesis from chorismate</t>
  </si>
  <si>
    <t>indole-3-glycerol phosphate synthase TrpC</t>
  </si>
  <si>
    <t>trpC</t>
  </si>
  <si>
    <t>pentapeptide repeat protein RfrL</t>
  </si>
  <si>
    <t>rfrL</t>
  </si>
  <si>
    <t>ABC-type uptake system substrate-binding component</t>
  </si>
  <si>
    <t>Glycolysis / Gluconeogenesis</t>
  </si>
  <si>
    <t>Embden-Meyerhof pathway_ Pentose phosphate pathway</t>
  </si>
  <si>
    <t>glucose-6-phosphate isomerase Pgi</t>
  </si>
  <si>
    <t>pgi</t>
  </si>
  <si>
    <t>NADH-plastoquinone oxidoreductase subunit NdhD2</t>
  </si>
  <si>
    <t>ndhD2</t>
  </si>
  <si>
    <t>NADH-plastoquinone oxidoreductase subunit NdhF1</t>
  </si>
  <si>
    <t>ndhF1</t>
  </si>
  <si>
    <t>RNA degradation</t>
  </si>
  <si>
    <t>endoribonuclease L-PSP</t>
  </si>
  <si>
    <t>ATP-dependent metalloprotease involved in photosystem II repair FtsH2</t>
  </si>
  <si>
    <t>ftsH2</t>
  </si>
  <si>
    <t>Double strand breaks repair</t>
  </si>
  <si>
    <t>ATP-dependent DNA helicase RecG</t>
  </si>
  <si>
    <t>recG</t>
  </si>
  <si>
    <t>glycine cleavage system GcvHLPT</t>
  </si>
  <si>
    <t>glycine dehydrogenase [decarboxylating] complex aminomethyltransferase GcvT</t>
  </si>
  <si>
    <t>gcvT</t>
  </si>
  <si>
    <t>protein of unknown function DUF255</t>
  </si>
  <si>
    <t>tetrahydrofolate biosynthesis from GTP and PABA_ cyanopterine biosynthesis</t>
  </si>
  <si>
    <t>dihydroneopterin aldolase FolB</t>
  </si>
  <si>
    <t>folB</t>
  </si>
  <si>
    <t>light-induced Na+-dependent proton extrusion protein PcxA</t>
  </si>
  <si>
    <t>pcxA</t>
  </si>
  <si>
    <t>chitobiose uptake system ChiEFG?</t>
  </si>
  <si>
    <t>carbamoyl-phosphate synthase small subunit CarA</t>
  </si>
  <si>
    <t>carA</t>
  </si>
  <si>
    <t>chaperone system: DnaK-DnaJ-GrpE</t>
  </si>
  <si>
    <t>heat-inducible transcriptional repressor HrcA</t>
  </si>
  <si>
    <t>hrcA</t>
  </si>
  <si>
    <t>recombinase family protein</t>
  </si>
  <si>
    <t>glycogen metabolism</t>
  </si>
  <si>
    <t>starch synthase GlgA</t>
  </si>
  <si>
    <t>glgA</t>
  </si>
  <si>
    <t>pyrimidine ribonucleotide biosynthesis from UMP</t>
  </si>
  <si>
    <t>CTP synthase PyrG</t>
  </si>
  <si>
    <t>pyrG</t>
  </si>
  <si>
    <t>Fur-regulated ArsR family transcriptional regulator</t>
  </si>
  <si>
    <t>hopanoid 2-methyltransferase HpnR</t>
  </si>
  <si>
    <t>hpnR</t>
  </si>
  <si>
    <t>3'_5'-cyclic-nucleotide phosphodiesterase CpdA</t>
  </si>
  <si>
    <t>cpdA</t>
  </si>
  <si>
    <t>DMT superfamily transporter</t>
  </si>
  <si>
    <t>UDP-N-acetylglucosamine 1-carboxyvinyltransferase MurA</t>
  </si>
  <si>
    <t>murA</t>
  </si>
  <si>
    <t>rRNA transcription factors</t>
  </si>
  <si>
    <t>transcription antitermination protein NusB</t>
  </si>
  <si>
    <t>nusB</t>
  </si>
  <si>
    <t>membrane protein of unknown function DUF502</t>
  </si>
  <si>
    <t>molecular chaperone DnaJ</t>
  </si>
  <si>
    <t>dnaJ</t>
  </si>
  <si>
    <t>molecular chaperone DnaK</t>
  </si>
  <si>
    <t>dnaK</t>
  </si>
  <si>
    <t>conserved hypothetical thylakoid membrane protein</t>
  </si>
  <si>
    <t>protein of unknown function DUF520 YajQ</t>
  </si>
  <si>
    <t>yajQ</t>
  </si>
  <si>
    <t>neutral amino acid uptake sysetm NatABCDE</t>
  </si>
  <si>
    <t>ABC-type neutral amino acid uptake system substrate-binding component NatB</t>
  </si>
  <si>
    <t>natB</t>
  </si>
  <si>
    <t>protein of unknown function DUF88</t>
  </si>
  <si>
    <t>acyltransferase domain-containing protein</t>
  </si>
  <si>
    <t>molecular chaperone Hsp33 HslO</t>
  </si>
  <si>
    <t>hslO</t>
  </si>
  <si>
    <t>ABC-type oligopeptide uptake system substrate-binding component OppA</t>
  </si>
  <si>
    <t>oppA</t>
  </si>
  <si>
    <t>thiol redox pathways thioreoxin system</t>
  </si>
  <si>
    <t>m-type thioredoxin TrxA</t>
  </si>
  <si>
    <t>trxA</t>
  </si>
  <si>
    <t>protein of unknown function DUF307</t>
  </si>
  <si>
    <t>manganese uptake system MntABC</t>
  </si>
  <si>
    <t>ABC-type Mn uptake system ATPase component MntA</t>
  </si>
  <si>
    <t>mntA</t>
  </si>
  <si>
    <t>ABC-type Mn uptake system substrate-binding component MntC</t>
  </si>
  <si>
    <t>mntC</t>
  </si>
  <si>
    <t>pyrimidine deoxyribonucleotide biosynthesis</t>
  </si>
  <si>
    <t>deoxycytidine triphosphate deaminase Dcd</t>
  </si>
  <si>
    <t>dcd</t>
  </si>
  <si>
    <t>arginyl-tRNA synthetase ArgS</t>
  </si>
  <si>
    <t>argS</t>
  </si>
  <si>
    <t>hypothetical protein of Cupin superfamily</t>
  </si>
  <si>
    <t>group 2 RNA polymerase sigma-70 subunit SigB</t>
  </si>
  <si>
    <t>sigB</t>
  </si>
  <si>
    <t>lipoyl(octanoyl) transferase LipB</t>
  </si>
  <si>
    <t>lipB</t>
  </si>
  <si>
    <t>Photosynthesis - antenna proteins</t>
  </si>
  <si>
    <t>phycobilisome turnover</t>
  </si>
  <si>
    <t>phycocyanin alpha phycocyanobilin lyase related protein NblB</t>
  </si>
  <si>
    <t>nblB</t>
  </si>
  <si>
    <t>protein of unknown function DUF1821</t>
  </si>
  <si>
    <t>chemotaxis sensory transduction system sensor CheY</t>
  </si>
  <si>
    <t>cheY</t>
  </si>
  <si>
    <t>DNA replication</t>
  </si>
  <si>
    <t>protein of unknown function DUF721</t>
  </si>
  <si>
    <t>putative photosynthetic reaction center subunit with PRC barrel</t>
  </si>
  <si>
    <t>phycobilisome</t>
  </si>
  <si>
    <t>allophycocyanin alpha subunit</t>
  </si>
  <si>
    <t>allophycocyanin subunit beta</t>
  </si>
  <si>
    <t>4-vinyl reductase 4VR</t>
  </si>
  <si>
    <t>DNA replication elongation factors and DNA single strand breaks repair</t>
  </si>
  <si>
    <t>DNA ligase (NAD+) LigA</t>
  </si>
  <si>
    <t>ligA</t>
  </si>
  <si>
    <t>NAD(P) biosynthesis common pathway</t>
  </si>
  <si>
    <t>NAD kinase (phosphorylating) PpnK</t>
  </si>
  <si>
    <t>ppnK</t>
  </si>
  <si>
    <t>photosystem II biogenesis</t>
  </si>
  <si>
    <t>chaperone-like protein for quinone binding in Photosystem II Ycf39</t>
  </si>
  <si>
    <t>ycf39</t>
  </si>
  <si>
    <t>pentapeptide repeat protein RfrC</t>
  </si>
  <si>
    <t>rfrC</t>
  </si>
  <si>
    <t>Sulfur relay system</t>
  </si>
  <si>
    <t>putative redox sensory protein SufA</t>
  </si>
  <si>
    <t>sufA</t>
  </si>
  <si>
    <t>dihydrolipoamide dehydrogenase PdhD</t>
  </si>
  <si>
    <t>pdhD</t>
  </si>
  <si>
    <t>protein of unknown function DUF362</t>
  </si>
  <si>
    <t>intramembrane metalloprotease family M50</t>
  </si>
  <si>
    <t>Detoxification and inactivation</t>
  </si>
  <si>
    <t>peroxide detoxification</t>
  </si>
  <si>
    <t>monothiol glutaredoxin GrxD</t>
  </si>
  <si>
    <t>grxD</t>
  </si>
  <si>
    <t>two component signal transduction system hybrid histidine kinase / response regulator with PAS sensory domain</t>
  </si>
  <si>
    <t>branched-chain amino acid uptake system LivFGHKM</t>
  </si>
  <si>
    <t>ABC-type branched-chain amino acid uptake system substrate-binding component LivK</t>
  </si>
  <si>
    <t>livK</t>
  </si>
  <si>
    <t>branched chain amino acid biosynthesis</t>
  </si>
  <si>
    <t>acetolactate synthase regulatory subunit IlvH</t>
  </si>
  <si>
    <t>ilvH</t>
  </si>
  <si>
    <t>heat shock response</t>
  </si>
  <si>
    <t>DnaJ family molecular chaperone</t>
  </si>
  <si>
    <t>reduction of oxidized methionine</t>
  </si>
  <si>
    <t>methionine-S-sulfoxide reductase MsrA</t>
  </si>
  <si>
    <t>msrA</t>
  </si>
  <si>
    <t>acetyl-CoA biosynthesis from acetate_ direct</t>
  </si>
  <si>
    <t>acetyl-CoA synthetase Acs</t>
  </si>
  <si>
    <t>acs</t>
  </si>
  <si>
    <t>protein of unknown function DUF2214</t>
  </si>
  <si>
    <t>oxidative stress</t>
  </si>
  <si>
    <t>alkylhydroperoxidase AhpD family</t>
  </si>
  <si>
    <t xml:space="preserve">queuosine biosynthesis radical SAM protein QueE </t>
  </si>
  <si>
    <t>queE</t>
  </si>
  <si>
    <t>circadian clock input_ redox state ETS</t>
  </si>
  <si>
    <t>class II cyanobacteriochrome controlling circadium rythym CikA</t>
  </si>
  <si>
    <t>cikA</t>
  </si>
  <si>
    <t>ECF-type biotin uptake system substrate-binding component BioY</t>
  </si>
  <si>
    <t>bioY</t>
  </si>
  <si>
    <t>FHA domain protein</t>
  </si>
  <si>
    <t>common component sulfur relay systems</t>
  </si>
  <si>
    <t>cysteine desulfurase IscS2</t>
  </si>
  <si>
    <t>iscS2</t>
  </si>
  <si>
    <t>3' processing factors</t>
  </si>
  <si>
    <t>ribonuclease Z RnZ</t>
  </si>
  <si>
    <t>rnz</t>
  </si>
  <si>
    <t>protein of unknown function DUF3386</t>
  </si>
  <si>
    <t>alpha/beta hydrolase fold protein</t>
  </si>
  <si>
    <t>carbon-nitrogen hydrolase family protein</t>
  </si>
  <si>
    <t>S-adenosylmethionine:tRNA ribosyltransferase-isomerase QueA</t>
  </si>
  <si>
    <t>queA</t>
  </si>
  <si>
    <t>phosphoprotein phosphatase</t>
  </si>
  <si>
    <t>phosphate signalling cascade PhoBRU-PstABCS</t>
  </si>
  <si>
    <t>two component signal transduction system controlling phosphate regulon histidine kinase SphS</t>
  </si>
  <si>
    <t>sphS</t>
  </si>
  <si>
    <t>short-chain dehydrogenase/reductase family</t>
  </si>
  <si>
    <t>D-alanyl-D-alanine carboxypeptidase VanY</t>
  </si>
  <si>
    <t>vanY</t>
  </si>
  <si>
    <t>soluble lytic transglycosylase Slt</t>
  </si>
  <si>
    <t>slt</t>
  </si>
  <si>
    <t>protein of unknown function DUF1400</t>
  </si>
  <si>
    <t>Microcompartments</t>
  </si>
  <si>
    <t>B-carboxysome</t>
  </si>
  <si>
    <t>carboxysome structural protein CcmN</t>
  </si>
  <si>
    <t>ccmN</t>
  </si>
  <si>
    <t>carbon concentration mechanism - carboxysome</t>
  </si>
  <si>
    <t>carboxysome structural protein CcmM</t>
  </si>
  <si>
    <t>ccmM</t>
  </si>
  <si>
    <t>carboxysome minor structural protein CcmL</t>
  </si>
  <si>
    <t>ccmL</t>
  </si>
  <si>
    <t>carboxysome major structural protein CcmK1</t>
  </si>
  <si>
    <t>ccmK1</t>
  </si>
  <si>
    <t>carboxysome major structural protein CcmK2</t>
  </si>
  <si>
    <t>ccmK2</t>
  </si>
  <si>
    <t>ABC1 family kinase-like protein</t>
  </si>
  <si>
    <t>transcription-repair coupling factor Mfd</t>
  </si>
  <si>
    <t>mfd</t>
  </si>
  <si>
    <t>allophycocyanin biosynthesis</t>
  </si>
  <si>
    <t>allophycocyanin beta subunit ApcB</t>
  </si>
  <si>
    <t>apcB</t>
  </si>
  <si>
    <t>allophycocyanin alpha subunit ApcA</t>
  </si>
  <si>
    <t>apcA</t>
  </si>
  <si>
    <t>protein of unknown function DUF3067</t>
  </si>
  <si>
    <t>Fructose and mannose metabolism</t>
  </si>
  <si>
    <t>sugar alcohol (iditol_ glucitol_ xylitol_ galctitol) degradation</t>
  </si>
  <si>
    <t>NAD-dependent L-iditol 2-dehydrogenase GutB</t>
  </si>
  <si>
    <t>gutB</t>
  </si>
  <si>
    <t>phospho-N-acetylmuramoyl-pentapeptide-transferase MraY</t>
  </si>
  <si>
    <t>mraY</t>
  </si>
  <si>
    <t>Cysteine and methionine metabolism</t>
  </si>
  <si>
    <t>methionine degradation</t>
  </si>
  <si>
    <t>S-adenosylmethionine synthetase MetK</t>
  </si>
  <si>
    <t>metK</t>
  </si>
  <si>
    <t>6S RNA (eubacterial RNA polymerase regulator)</t>
  </si>
  <si>
    <t>5-formyltetrahydrofolate cyclo-ligase YgfA</t>
  </si>
  <si>
    <t>ygfA</t>
  </si>
  <si>
    <t>transporter with N-terminal DUF21 domain_ CBS_ and CorC domains</t>
  </si>
  <si>
    <t>hopene-associated glycosyltransferase HpnB</t>
  </si>
  <si>
    <t>hpnB</t>
  </si>
  <si>
    <t>Ribosome biogeneses GTPases</t>
  </si>
  <si>
    <t>ribosome biogenesis GTPase RsgA</t>
  </si>
  <si>
    <t>rsgA</t>
  </si>
  <si>
    <t>carboxylesterase YvaK</t>
  </si>
  <si>
    <t>ybaK</t>
  </si>
  <si>
    <t>pyruvate formate-lyase system</t>
  </si>
  <si>
    <t>formate C-acetyltransferase PflD</t>
  </si>
  <si>
    <t>pflD</t>
  </si>
  <si>
    <t>tRNA modification</t>
  </si>
  <si>
    <t>tRNA dihydrouridine synthase DusB</t>
  </si>
  <si>
    <t>dusB</t>
  </si>
  <si>
    <t>glycosyl transferase family 2</t>
  </si>
  <si>
    <t>alpha-1_2-fucosyltransferase</t>
  </si>
  <si>
    <t>Aminoacyl-tRNA biosynthesis</t>
  </si>
  <si>
    <t>GatABC aspartyl/glutamyl-tRNA(Asn/Gln) amidotransferase complex</t>
  </si>
  <si>
    <t>bifunctional aspartyl-tRNA / glutamyl-tRNA amidotransferase subunit A GatA</t>
  </si>
  <si>
    <t>gatA</t>
  </si>
  <si>
    <t>acetyltransferase</t>
  </si>
  <si>
    <t>glycosyl transferase family 41</t>
  </si>
  <si>
    <t>T2bSS type IVa pili</t>
  </si>
  <si>
    <t>type IV pilus major pilin protein PilA</t>
  </si>
  <si>
    <t>pilA</t>
  </si>
  <si>
    <t>glycosly transferase family 2</t>
  </si>
  <si>
    <t>type IV pilus minor pilin protein</t>
  </si>
  <si>
    <t>chemotaxis signal transduction system histidine kinase PilL</t>
  </si>
  <si>
    <t>pilL</t>
  </si>
  <si>
    <t>chemotaxis signal transduction system methyl-accepting receptor</t>
  </si>
  <si>
    <t>chemotaxis adaptor protein CheW</t>
  </si>
  <si>
    <t>cheW</t>
  </si>
  <si>
    <t>chemotaxis signal transduction system response regulator CheY</t>
  </si>
  <si>
    <t>chemotaxis signal transduction system response regulator PatA</t>
  </si>
  <si>
    <t>patA</t>
  </si>
  <si>
    <t>methionine biosynthesis from homoserine</t>
  </si>
  <si>
    <t>B12-dependent 5-methyltetrahydrofolate--homocysteine methyltransferase MetH</t>
  </si>
  <si>
    <t>metH</t>
  </si>
  <si>
    <t>peptidoglycan lytic transglycolase</t>
  </si>
  <si>
    <t>outer membrane biogenesis</t>
  </si>
  <si>
    <t>NAD-dependent epimerase/dehydratase family protein Ycf39</t>
  </si>
  <si>
    <t>plastoquinone 9 biosynthesis</t>
  </si>
  <si>
    <t>3-octaprenyl-4-hydroxybenzoate carboxy-lyase UbiX</t>
  </si>
  <si>
    <t>ubiX</t>
  </si>
  <si>
    <t>programmed cell death</t>
  </si>
  <si>
    <t>polysaccharide deacetylase caspase activity</t>
  </si>
  <si>
    <t>glycyl-tRNA synthetase alpha subunit GlyQ</t>
  </si>
  <si>
    <t>glyQ</t>
  </si>
  <si>
    <t>sulfate reduction to sulfide_ assimilatory</t>
  </si>
  <si>
    <t>phosphoadenosine phosphosulfate reductase CysH</t>
  </si>
  <si>
    <t>cysH</t>
  </si>
  <si>
    <t>cell division protein YlmE</t>
  </si>
  <si>
    <t>ylmE</t>
  </si>
  <si>
    <t>23S rRNA (guanosine2251-2'-O)-methyltransferase RlmB</t>
  </si>
  <si>
    <t>rlmB</t>
  </si>
  <si>
    <t>cellulose degradation</t>
  </si>
  <si>
    <t>beta-glucosidase BglX</t>
  </si>
  <si>
    <t>bglX</t>
  </si>
  <si>
    <t>assimilatory and dissimilatory sulfate reduction</t>
  </si>
  <si>
    <t>sulfate adenylyltransferase Met3</t>
  </si>
  <si>
    <t>met3</t>
  </si>
  <si>
    <t>two component signal transduction system response regulator LuxR family</t>
  </si>
  <si>
    <t>two component signal transduction system response regulator with GGDEF sensory domain</t>
  </si>
  <si>
    <t>protein of unknown function DUF3318</t>
  </si>
  <si>
    <t>Valine_ leucine and isoleucine metabolism</t>
  </si>
  <si>
    <t>dihydroxy-acid dehydratase IlvD</t>
  </si>
  <si>
    <t>ilvD</t>
  </si>
  <si>
    <t>methionine salvage pathway</t>
  </si>
  <si>
    <t>methylthioribose-1-phosphate isomerase MtnA</t>
  </si>
  <si>
    <t>mtnA</t>
  </si>
  <si>
    <t>aspartate biosynthesis</t>
  </si>
  <si>
    <t>L-asparaginase II AnsA2</t>
  </si>
  <si>
    <t>ansA2</t>
  </si>
  <si>
    <t>protein of unknown function DUF1230 YCF36</t>
  </si>
  <si>
    <t>ycf36</t>
  </si>
  <si>
    <t>Base excision repair</t>
  </si>
  <si>
    <t>A/G-specific adenine glycosylase MutY</t>
  </si>
  <si>
    <t>mutY</t>
  </si>
  <si>
    <t>protein of unknown function DUF760</t>
  </si>
  <si>
    <t>TldE/TldD proteolytic complex component TldE</t>
  </si>
  <si>
    <t>tldE</t>
  </si>
  <si>
    <t>protein of unknown function DUF2237</t>
  </si>
  <si>
    <t>FeS cluster assembly sulfur acceptor protein SufE</t>
  </si>
  <si>
    <t>sufE</t>
  </si>
  <si>
    <t>protein of unknown function DUF2518 Ycf51</t>
  </si>
  <si>
    <t>ycf51</t>
  </si>
  <si>
    <t>Fe-S cluster assembly scaffold IscU</t>
  </si>
  <si>
    <t>iscU</t>
  </si>
  <si>
    <t>MAPEG family membrane protein</t>
  </si>
  <si>
    <t>bifunctional 6-pyruvoyltetrahydropterin / 6-carboxytetrahydropterin synthase QueD</t>
  </si>
  <si>
    <t>queD</t>
  </si>
  <si>
    <t>Biosynthesis of steroids and steroid-like compounds</t>
  </si>
  <si>
    <t>farnesyl-diphosphate farnesyltransferase FdfT1</t>
  </si>
  <si>
    <t>fdfT1</t>
  </si>
  <si>
    <t>coenzyme B12 biosynthesis from cob(II)yrinate diamide</t>
  </si>
  <si>
    <t>bifunctional adenosylcobinamide kinase / adenosylcobinamide-phosphate guanylyltransferase CobP</t>
  </si>
  <si>
    <t>cobP</t>
  </si>
  <si>
    <t>ABC-type nickel transport system permease component NikC</t>
  </si>
  <si>
    <t>nikC</t>
  </si>
  <si>
    <t>ornithine carbamoyltransferase ArgF</t>
  </si>
  <si>
    <t>argF</t>
  </si>
  <si>
    <t>1-acylglycerol-3-phosphate biosynthesis_ PlsX/Y pathway</t>
  </si>
  <si>
    <t>acyl-phosphate glycerol 3-phosphate acyltransferase PlsY</t>
  </si>
  <si>
    <t>plsY</t>
  </si>
  <si>
    <t>protein of unknown function DUF3086</t>
  </si>
  <si>
    <t>protein of unknown function DUF3119</t>
  </si>
  <si>
    <t>proline-rich protein</t>
  </si>
  <si>
    <t>bifunctional biotin operon repressor / biotin-[acetyl-CoA-carboxylase] ligase BirA</t>
  </si>
  <si>
    <t>birA</t>
  </si>
  <si>
    <t>ABC-type transport system permease component</t>
  </si>
  <si>
    <t>proton channel MotA/TolQ/ExbB family</t>
  </si>
  <si>
    <t>BASS family bile acid:Na+ symporter</t>
  </si>
  <si>
    <t>DUF309 domain protein YpuF</t>
  </si>
  <si>
    <t>ypuF</t>
  </si>
  <si>
    <t>ISTel2 transposase OrfB TnpB_ISTel2</t>
  </si>
  <si>
    <t>tnpB_ISTel2</t>
  </si>
  <si>
    <t>aspartyl-tRNA synthetase AspS</t>
  </si>
  <si>
    <t>aspS</t>
  </si>
  <si>
    <t>carboxysome structural protein CcmO</t>
  </si>
  <si>
    <t>ccmO</t>
  </si>
  <si>
    <t>Pantothenate and CoA biosynthesis</t>
  </si>
  <si>
    <t>coenzyme A biosynthesis from pantothenate</t>
  </si>
  <si>
    <t>type III pantothenate kinase CoaX</t>
  </si>
  <si>
    <t>coaX</t>
  </si>
  <si>
    <t>transcriptional repressor CalA</t>
  </si>
  <si>
    <t>calA</t>
  </si>
  <si>
    <t>metallo-beta lactamase domain protein</t>
  </si>
  <si>
    <t>thymidylate synthase complementing protein</t>
  </si>
  <si>
    <t>thy1</t>
  </si>
  <si>
    <t>protein containing domains DUF403</t>
  </si>
  <si>
    <t>oligopeptidase A PrlC</t>
  </si>
  <si>
    <t>prlC</t>
  </si>
  <si>
    <t>peptidase M23B</t>
  </si>
  <si>
    <t>MreBCD system</t>
  </si>
  <si>
    <t>cell elongation-specific transpeptidase MrdA</t>
  </si>
  <si>
    <t>mrdA</t>
  </si>
  <si>
    <t>phosphoketolase</t>
  </si>
  <si>
    <t>DNA degradation</t>
  </si>
  <si>
    <t>putative deoxyribonuclease YcfH</t>
  </si>
  <si>
    <t>ycfH</t>
  </si>
  <si>
    <t>circadian clock</t>
  </si>
  <si>
    <t>circadian phase modifier CpmA-like</t>
  </si>
  <si>
    <t>intramembrane metalloprotease</t>
  </si>
  <si>
    <t>molecular chaperone HtpG</t>
  </si>
  <si>
    <t>htpG</t>
  </si>
  <si>
    <t>coproporphyrinogen III oxidase HemN-like</t>
  </si>
  <si>
    <t>UPF0182 family membrane protein</t>
  </si>
  <si>
    <t>Chlorophyll biosynthesis | thylakoid membrane formation</t>
  </si>
  <si>
    <t>photosynthetic pigment/protein complex formation Pitt</t>
  </si>
  <si>
    <t>pitT</t>
  </si>
  <si>
    <t>UDP-sugar metabolism</t>
  </si>
  <si>
    <t>bifunctional polysaccharide chain length determinant / protein tyrosine autokinase</t>
  </si>
  <si>
    <t>wzc</t>
  </si>
  <si>
    <t>NAD-dependent epimerase/dehydratase family protein</t>
  </si>
  <si>
    <t>Lipopolysaccharide biosynthesis unusual sugar</t>
  </si>
  <si>
    <t>UDP-N-acetyl-D-galactosamine dehydrogenase WbpO</t>
  </si>
  <si>
    <t>wbpO</t>
  </si>
  <si>
    <t>glycosyl transferase family 4</t>
  </si>
  <si>
    <t>membrane protein</t>
  </si>
  <si>
    <t>serine/threonine protein kinases</t>
  </si>
  <si>
    <t>serine/threonine protein kinase</t>
  </si>
  <si>
    <t>menaquinone-specific isochorismate synthase MenF</t>
  </si>
  <si>
    <t>menF</t>
  </si>
  <si>
    <t>O-succinylbenzoic acid--CoA ligase MenE</t>
  </si>
  <si>
    <t>menE</t>
  </si>
  <si>
    <t>threonine biosynthesis from aspartate semialdehyde</t>
  </si>
  <si>
    <t>threonine synthase ThrC</t>
  </si>
  <si>
    <t>thrC</t>
  </si>
  <si>
    <t>threonine biosynthesis from homoserine</t>
  </si>
  <si>
    <t>membrane protein RDD family</t>
  </si>
  <si>
    <t>UDP-N-acetylglucosamine biosynthesis from fructose-6-phosphate</t>
  </si>
  <si>
    <t>glutamine--fructose-6-phosphate transaminase (isomerizing) GlmS</t>
  </si>
  <si>
    <t>glmS</t>
  </si>
  <si>
    <t>TIGR00268 family adenine nucleotide alpha hydrolase</t>
  </si>
  <si>
    <t>DNA repair_ single strand breaks</t>
  </si>
  <si>
    <t>single-stranded-DNA-specific exonuclease RecJ</t>
  </si>
  <si>
    <t>recJ</t>
  </si>
  <si>
    <t>orange carotenoid binding protein beta subunit OcpB</t>
  </si>
  <si>
    <t>ocpB</t>
  </si>
  <si>
    <t>orange carotenoid binding protein alpha subunit OcpA</t>
  </si>
  <si>
    <t>ocpA</t>
  </si>
  <si>
    <t>Calvin-Benson cycle_ Pentose phosphate pathway</t>
  </si>
  <si>
    <t>ribose 5-phosphate isomerase RpiA</t>
  </si>
  <si>
    <t>rpiA</t>
  </si>
  <si>
    <t>phosphatidylglycerol biosynthesis</t>
  </si>
  <si>
    <t>CDP-diacylglycerol--glycerol-3-phosphate 3-phosphatidyltransferase PgsA</t>
  </si>
  <si>
    <t>pgsA</t>
  </si>
  <si>
    <t>bifunctional fructose-1_6-bisphosphatase II / sedoheptulose-1_7-bisphosphatase GlpX</t>
  </si>
  <si>
    <t>glpX</t>
  </si>
  <si>
    <t>family 57 glycoside hydrolase</t>
  </si>
  <si>
    <t>fumarylacetoacetate (FAA) hydrolase family protein</t>
  </si>
  <si>
    <t>two component signal transduction system hybrid histidine kinase / response regulator with GAF and PAS sensory domains</t>
  </si>
  <si>
    <t>cytochrome c6c (soluble cytochrome f) PetJ</t>
  </si>
  <si>
    <t>petJ</t>
  </si>
  <si>
    <t>photosystem II other subunits in cyanobacteria</t>
  </si>
  <si>
    <t>photosystem II cytochrome c550 PsbV2</t>
  </si>
  <si>
    <t>psbV2</t>
  </si>
  <si>
    <t>photosystem II cytochrome c550 PsbV</t>
  </si>
  <si>
    <t>psbV</t>
  </si>
  <si>
    <t>FGGY family carbohydrate kinase</t>
  </si>
  <si>
    <t>protein of unknown function DUF1817</t>
  </si>
  <si>
    <t>cobalt uptake system CbiOMNQ and nickel uptake system CbiKLMNOQ</t>
  </si>
  <si>
    <t>ECF-type cobalt uptake system ATPase component CbiO</t>
  </si>
  <si>
    <t>pyruvate dehydrogenase dihydrolipoamide acetyltransferase E2 component PdhC</t>
  </si>
  <si>
    <t>pdhC</t>
  </si>
  <si>
    <t>protein of unknown function DUF2869</t>
  </si>
  <si>
    <t>Fatty acid degradation</t>
  </si>
  <si>
    <t>Fatty acid activation</t>
  </si>
  <si>
    <t>long-chain-fatty-acid:[acyl-carrier protein] ligase (AMP-forming) FadD</t>
  </si>
  <si>
    <t>fadD</t>
  </si>
  <si>
    <t>M50 family intramembrane metalloprotease</t>
  </si>
  <si>
    <t>precorrin-3B C17-methyltransferase CobJ</t>
  </si>
  <si>
    <t>cobJ</t>
  </si>
  <si>
    <t>tetrahydrofolate biosynthesis from GTP_ cyanopterine biosynthesis</t>
  </si>
  <si>
    <t>Zn-dependent GTP cyclohydrolase I FolE</t>
  </si>
  <si>
    <t>folE</t>
  </si>
  <si>
    <t>tetrahydroopterin biosynthesis</t>
  </si>
  <si>
    <t>sepiapterin reductase Spr</t>
  </si>
  <si>
    <t>spr</t>
  </si>
  <si>
    <t>acetyl-CoA carboxylase complex</t>
  </si>
  <si>
    <t>acetyl-CoA carboxylase complex carboxyl transferase alpha subunit AccA</t>
  </si>
  <si>
    <t>accA</t>
  </si>
  <si>
    <t>Heptadecane biosynthesis</t>
  </si>
  <si>
    <t>fatty aldehyde-generating acyl-ACP reductase</t>
  </si>
  <si>
    <t>long-chain fatty aldehyde decarbonylase</t>
  </si>
  <si>
    <t>Embden-Meyerhof pathway</t>
  </si>
  <si>
    <t>6-phosphofructokinase 1 PfkA</t>
  </si>
  <si>
    <t>pfkA</t>
  </si>
  <si>
    <t>ABC-type neutral amino acid transport system ATPase component NatA</t>
  </si>
  <si>
    <t>natA</t>
  </si>
  <si>
    <t>ABC-type netural amino acid transport system permease component NatC</t>
  </si>
  <si>
    <t>natC</t>
  </si>
  <si>
    <t>ABC type tranport system permease component YCF38</t>
  </si>
  <si>
    <t>ycf38</t>
  </si>
  <si>
    <t>NAD(P) biosynthesis</t>
  </si>
  <si>
    <t>putative HD superfamily hydrolase of NAD metabolism</t>
  </si>
  <si>
    <t>class II (B12-dependent) ribonucleotide reductase</t>
  </si>
  <si>
    <t>adenosylcobalamin-dependent ribonucleotide-triphosphate reductase NrdJ</t>
  </si>
  <si>
    <t>nrdJ</t>
  </si>
  <si>
    <t>cobalamin 5'-phosphate synthase CobS</t>
  </si>
  <si>
    <t>cobS</t>
  </si>
  <si>
    <t>periplasmic processing peptidase PqqE</t>
  </si>
  <si>
    <t>pqqE</t>
  </si>
  <si>
    <t>DNA polymerase I PolA</t>
  </si>
  <si>
    <t>polA</t>
  </si>
  <si>
    <t>assimilatory nitrate reduction</t>
  </si>
  <si>
    <t>Mot1-like molybdenum uptake transporter</t>
  </si>
  <si>
    <t>family 3 glycosyl transferase</t>
  </si>
  <si>
    <t>nitrite-responsive transcriptional regulator of nitrogen assimilation NtcB</t>
  </si>
  <si>
    <t>ntcB</t>
  </si>
  <si>
    <t>Moco biosynthesis sulfur relay</t>
  </si>
  <si>
    <t>molybdopterin synthase catalytic subunit MoaE</t>
  </si>
  <si>
    <t>moaE</t>
  </si>
  <si>
    <t>bifunctional molybdenum cofactor biosynthesis protein / molybdopterin-guanine dinucleotide biosynthesis protein MoaC-MobA</t>
  </si>
  <si>
    <t>moaC-MobA</t>
  </si>
  <si>
    <t>molybdenum cofactor biosynthesis protein MoaA</t>
  </si>
  <si>
    <t>moaA</t>
  </si>
  <si>
    <t>Molybdopterin and tungstate</t>
  </si>
  <si>
    <t>molybdopterin biosynthesis</t>
  </si>
  <si>
    <t>molybdopterin biosynthesis protein MoeA</t>
  </si>
  <si>
    <t>moeA</t>
  </si>
  <si>
    <t>urease active site biosynthesis UreEFGH</t>
  </si>
  <si>
    <t>urease accessory protein UreF</t>
  </si>
  <si>
    <t>ureF</t>
  </si>
  <si>
    <t>urease accessory protein UreE</t>
  </si>
  <si>
    <t>ureE</t>
  </si>
  <si>
    <t>two component signal transduction system hydrid histidine kinase / response regulator with GAF domain</t>
  </si>
  <si>
    <t>ferredoxin-dependent glutamate synthase GlsF</t>
  </si>
  <si>
    <t>glsF</t>
  </si>
  <si>
    <t>oxygen and nitric oxide detoxification:photosystem I</t>
  </si>
  <si>
    <t>flavodiiron protein Flv1</t>
  </si>
  <si>
    <t>flv1</t>
  </si>
  <si>
    <t>D-alanyl-D-alanine carboxypeptidase DacB</t>
  </si>
  <si>
    <t>dacB</t>
  </si>
  <si>
    <t>acetyltransferase GNAT family</t>
  </si>
  <si>
    <t>ABC-type multiple sugar uptake system ChiG-like permease component</t>
  </si>
  <si>
    <t>RND type transport system FtsX family permease component</t>
  </si>
  <si>
    <t>peptidyl-tRNA hydrolase Pth1</t>
  </si>
  <si>
    <t>pth1</t>
  </si>
  <si>
    <t>photosystem I biogenesis</t>
  </si>
  <si>
    <t>photosystem I assembly protein Ycf4</t>
  </si>
  <si>
    <t>ycf4</t>
  </si>
  <si>
    <t>Chromosome and assoicated proteins</t>
  </si>
  <si>
    <t>putative Spo0A activation inhibitor Soj</t>
  </si>
  <si>
    <t>soj</t>
  </si>
  <si>
    <t>leucine biosynthesis from pyruvate and acetyl-CoA</t>
  </si>
  <si>
    <t>2-isopropylmalate synthase LeuA</t>
  </si>
  <si>
    <t>leuA</t>
  </si>
  <si>
    <t>sirohydrochlorin cobaltochelatase CbiX</t>
  </si>
  <si>
    <t>cbiX</t>
  </si>
  <si>
    <t>ergothioneine biosynthesis</t>
  </si>
  <si>
    <t>ergothioneine biosynthesis protein EgtB</t>
  </si>
  <si>
    <t>egtB</t>
  </si>
  <si>
    <t>ergothioneine biosynthesis protein EgtC</t>
  </si>
  <si>
    <t>egtC</t>
  </si>
  <si>
    <t>FMN-dependent isopentenyl-diphosphate delta-isomerase Idi</t>
  </si>
  <si>
    <t>idi</t>
  </si>
  <si>
    <t>Isoprenoid biosynthesis</t>
  </si>
  <si>
    <t>geranylgeranyl reductase family protein</t>
  </si>
  <si>
    <t>CDF family iron uptake facilitator</t>
  </si>
  <si>
    <t>periplasmic carboxyl-terminal serine protease CtpC</t>
  </si>
  <si>
    <t>ctpC</t>
  </si>
  <si>
    <t>ornithine biosynthesis from glutamate_ acetylated branch</t>
  </si>
  <si>
    <t>acetylglutamate kinase ArgB</t>
  </si>
  <si>
    <t>argB</t>
  </si>
  <si>
    <t>protein of unknown function DUF3571</t>
  </si>
  <si>
    <t>extracellular protein with SCP domain</t>
  </si>
  <si>
    <t>magnesium chelatase subunit BchD</t>
  </si>
  <si>
    <t>bchD</t>
  </si>
  <si>
    <t>ECF-type Co2+/Ni2+ uptake system permease component NikK</t>
  </si>
  <si>
    <t>nikK</t>
  </si>
  <si>
    <t>nickel uptake system CibKL</t>
  </si>
  <si>
    <t>ECF-type Co2+/Ni2+ uptake system accessory component NikL</t>
  </si>
  <si>
    <t>nikL</t>
  </si>
  <si>
    <t>fructose degradation</t>
  </si>
  <si>
    <t>fructokinase ScrK</t>
  </si>
  <si>
    <t>scrK</t>
  </si>
  <si>
    <t>DnaJ-class molecular chaperone</t>
  </si>
  <si>
    <t>pyruvate dehydrogenase anaplerotic reactions</t>
  </si>
  <si>
    <t>oxaloacetate decarboxylating malate dehydrogenase MaeA</t>
  </si>
  <si>
    <t>maeA</t>
  </si>
  <si>
    <t>modulation of nucleotide pools</t>
  </si>
  <si>
    <t>Nudix hydrolase family protein</t>
  </si>
  <si>
    <t>BCP-A family peroxiredoxin PrxQ-B1</t>
  </si>
  <si>
    <t>prxQ-B1</t>
  </si>
  <si>
    <t>2-Cys family peroxiredoxin</t>
  </si>
  <si>
    <t>16S and 23S rRNA modification</t>
  </si>
  <si>
    <t>bifunctional 23S rRNA (cytidine1920-2'-O)/16S rRNA (cytidine1409-2'-O)-methyltransferase TlyA</t>
  </si>
  <si>
    <t>tlyA</t>
  </si>
  <si>
    <t>glutathione upake system GsiABCD</t>
  </si>
  <si>
    <t>ABC-type glutathione uptake system substrate-binding component GsiB</t>
  </si>
  <si>
    <t>gsiB</t>
  </si>
  <si>
    <t>branched-chain amino acid aminotransferase IlvE</t>
  </si>
  <si>
    <t>ilvE</t>
  </si>
  <si>
    <t>protein of unknown function DUF389</t>
  </si>
  <si>
    <t>signal transduction protein with MEKHLA (PAS) sensory domain</t>
  </si>
  <si>
    <t>class V pyridoxal-phosphate-dependent aminotransferase</t>
  </si>
  <si>
    <t>NAD(P)-dependent glyceraldehyde-3-phosphate dehydrogenase Gap2</t>
  </si>
  <si>
    <t>gap2</t>
  </si>
  <si>
    <t>radical SAM domain protein</t>
  </si>
  <si>
    <t>Glyoxylate and dicarboxylate metabolism</t>
  </si>
  <si>
    <t>glyoxylate formation from ribulose 1_5 P</t>
  </si>
  <si>
    <t>phosphoglycolate phosphatase Gph</t>
  </si>
  <si>
    <t>gph</t>
  </si>
  <si>
    <t>Restriction-modification systems</t>
  </si>
  <si>
    <t>type III restriction-modification</t>
  </si>
  <si>
    <t>type III restriction-modification system restriction enzyme component Res</t>
  </si>
  <si>
    <t>res</t>
  </si>
  <si>
    <t>type III restriction-modification system methylation component</t>
  </si>
  <si>
    <t>ISTel1 transposase TnpA_ISTel1</t>
  </si>
  <si>
    <t>tnpA_ISTel1</t>
  </si>
  <si>
    <t>serine/threonine protein kinase with FHA domain protein</t>
  </si>
  <si>
    <t>FHA domain containing protein</t>
  </si>
  <si>
    <t>ABC-type FeII uptake system ATPase component FutC</t>
  </si>
  <si>
    <t>futC</t>
  </si>
  <si>
    <t>glucokinase GlcK</t>
  </si>
  <si>
    <t>glcK</t>
  </si>
  <si>
    <t>phosphoribosylaminoimidazole-succinocarboxamide synthase PurC</t>
  </si>
  <si>
    <t>purC</t>
  </si>
  <si>
    <t>Mg protoporphyrin monomethylester oxidative cyclase auxiliary protein Ycf54</t>
  </si>
  <si>
    <t>ycf54</t>
  </si>
  <si>
    <t>ribulose bisphosphate carboxylase small subunit RbcS</t>
  </si>
  <si>
    <t>rbcS</t>
  </si>
  <si>
    <t>photorespiration (oxidative C2 cycle)</t>
  </si>
  <si>
    <t>rubisco chaperone RbcX</t>
  </si>
  <si>
    <t>rbcX</t>
  </si>
  <si>
    <t>Calvin-Benson cycle_ photorespiration</t>
  </si>
  <si>
    <t>ribulose bisophosphate carboxylase large subunit RbcL</t>
  </si>
  <si>
    <t>rbcL</t>
  </si>
  <si>
    <t>magnesium chelatase subunit BchI</t>
  </si>
  <si>
    <t>bchI</t>
  </si>
  <si>
    <t>7_8-didemethyl-8-hydroxy-5-deazariboflavin (FO) biosynthesis</t>
  </si>
  <si>
    <t>7_8-didemethyl-8-hydroxy-5-deazariboflavin synthase subunit CofG</t>
  </si>
  <si>
    <t>cofG</t>
  </si>
  <si>
    <t>CHAD domain protein</t>
  </si>
  <si>
    <t>resistance to reactive oxygen species (ROS)</t>
  </si>
  <si>
    <t>Mn-superoxide dismutase SodB</t>
  </si>
  <si>
    <t>sodB</t>
  </si>
  <si>
    <t>photosystem I assembly</t>
  </si>
  <si>
    <t>photosystem I assembly protein Ycf3</t>
  </si>
  <si>
    <t>ycf3</t>
  </si>
  <si>
    <t>ferredoxin (2Fe-2S)</t>
  </si>
  <si>
    <t>Citrate cycle (TCA cycle)</t>
  </si>
  <si>
    <t>citrate cycle_ second carbon oxidation</t>
  </si>
  <si>
    <t>fumarate hydratase class II FumC</t>
  </si>
  <si>
    <t>fumC</t>
  </si>
  <si>
    <t>23S rRNA pseudouridine1911/1915/1917 synthase RluD</t>
  </si>
  <si>
    <t>rluD</t>
  </si>
  <si>
    <t>chlorophyll synthase BchG</t>
  </si>
  <si>
    <t>bchG</t>
  </si>
  <si>
    <t>UDP-glycosyltransferase / glycogen phosphorylase superfamily enzyme</t>
  </si>
  <si>
    <t>allophycocyanin B alpha subunit ApcD</t>
  </si>
  <si>
    <t>apcD</t>
  </si>
  <si>
    <t>MoxR-like ATPase</t>
  </si>
  <si>
    <t>Riboflavin metabolism</t>
  </si>
  <si>
    <t>riboflavin_ FAD and FMN from GTP and ribulose-5-P</t>
  </si>
  <si>
    <t>bifunctional riboflavin kinase / FMN adenylyltransferase RibF</t>
  </si>
  <si>
    <t>ribF</t>
  </si>
  <si>
    <t>aspartate carbamoyltransferase catalytic subunit PyrB</t>
  </si>
  <si>
    <t>pyrB</t>
  </si>
  <si>
    <t>phosphoribosyltransferase</t>
  </si>
  <si>
    <t>phytoene synthase CrtB</t>
  </si>
  <si>
    <t>crtB</t>
  </si>
  <si>
    <t>15-cis-phytoene desaturase CrtP</t>
  </si>
  <si>
    <t>crtP</t>
  </si>
  <si>
    <t>chorismate pyruvate-lyase YCF21</t>
  </si>
  <si>
    <t>ycf21</t>
  </si>
  <si>
    <t>formamidopyrimidine-DNA glycosylase MutM</t>
  </si>
  <si>
    <t>mutM</t>
  </si>
  <si>
    <t>3-deoxy-7-phosphoheptulonate synthase AroF</t>
  </si>
  <si>
    <t>aroF</t>
  </si>
  <si>
    <t>lipopolysaccharide export LptABCDFG</t>
  </si>
  <si>
    <t>ABC-type lipopolysaccharide export system permease component LptG</t>
  </si>
  <si>
    <t>lptG</t>
  </si>
  <si>
    <t>ABC-type lipopolysaccharide export system ATPase component LptB</t>
  </si>
  <si>
    <t>lptB</t>
  </si>
  <si>
    <t>ABC-type lipopolysaccharide export porin system periplasmic chaperone LptA</t>
  </si>
  <si>
    <t>lptA</t>
  </si>
  <si>
    <t>GTP-binding and nucleic acid-binding protein YchF</t>
  </si>
  <si>
    <t>ychF</t>
  </si>
  <si>
    <t>glutamine biosynthesis</t>
  </si>
  <si>
    <t>type I glutamine synthetase GlnA</t>
  </si>
  <si>
    <t>glnA</t>
  </si>
  <si>
    <t>CO2 fixation</t>
  </si>
  <si>
    <t>carboxysome major structural protein CcmK3</t>
  </si>
  <si>
    <t>ccmK3</t>
  </si>
  <si>
    <t>cytochrome (quinone) oxidase_ bd type CydAB</t>
  </si>
  <si>
    <t>cytochrome d ubiquinol oxidase subunit II CydB</t>
  </si>
  <si>
    <t>cydB</t>
  </si>
  <si>
    <t>cytochrome d ubiquinol oxidase subunit I CydA</t>
  </si>
  <si>
    <t>cydA</t>
  </si>
  <si>
    <t>decarboxylating glycine dehydrogenase GcvP</t>
  </si>
  <si>
    <t>gcvP</t>
  </si>
  <si>
    <t>UbiE/COQ5 family methyltransferase</t>
  </si>
  <si>
    <t>glutathione reductase Gor</t>
  </si>
  <si>
    <t>gor</t>
  </si>
  <si>
    <t>DNA gyrase alpha subunit GyrA</t>
  </si>
  <si>
    <t>gyrA</t>
  </si>
  <si>
    <t>RND-type exporter Rnd1</t>
  </si>
  <si>
    <t>RND-type export system HAE1 family permease component</t>
  </si>
  <si>
    <t>RND type export system MFP component</t>
  </si>
  <si>
    <t>tRNA methyltransferase MnmC2</t>
  </si>
  <si>
    <t>mnmC2</t>
  </si>
  <si>
    <t>cobyrinic acid diamide biosynthesis_ aerobic pathway</t>
  </si>
  <si>
    <t>GTPase involved in cobalt insertion for B12 biosynthesis CobW</t>
  </si>
  <si>
    <t>cobW</t>
  </si>
  <si>
    <t>glycolate oxidase FAD-binding subunit GlcD</t>
  </si>
  <si>
    <t>glcD</t>
  </si>
  <si>
    <t>ribosome-binding factor RbfA</t>
  </si>
  <si>
    <t>rbfA</t>
  </si>
  <si>
    <t>protein of unknown function TIGR03492</t>
  </si>
  <si>
    <t>UPF0061 family protein of unknown function</t>
  </si>
  <si>
    <t>yidU</t>
  </si>
  <si>
    <t>peptidase M48 Ste24p</t>
  </si>
  <si>
    <t>ste24p</t>
  </si>
  <si>
    <t>glyoxalase pathway_ glutathione dependent</t>
  </si>
  <si>
    <t>hydroxyacylglutathione hydrolase GloB</t>
  </si>
  <si>
    <t>gloB</t>
  </si>
  <si>
    <t>endonuclease III Nth</t>
  </si>
  <si>
    <t>nth</t>
  </si>
  <si>
    <t>Zn-dependent intramembrane protease RseP</t>
  </si>
  <si>
    <t>rseP</t>
  </si>
  <si>
    <t>hydroxymethylbilane synthase HemC</t>
  </si>
  <si>
    <t>hemC</t>
  </si>
  <si>
    <t>putative FeS-containing Cyanobacterial-specific oxidoreductase</t>
  </si>
  <si>
    <t>nitrogen assimilation</t>
  </si>
  <si>
    <t>2-oxoglutarate-responsive transcriptional activator of nitrogen assimilation NtcA</t>
  </si>
  <si>
    <t>ntcA</t>
  </si>
  <si>
    <t>segregation and condensation protein A ScpA</t>
  </si>
  <si>
    <t>scpA</t>
  </si>
  <si>
    <t>two component signal transduction system histidine kinase with DICT and GAF sensory domains</t>
  </si>
  <si>
    <t>glycolate oxidase FeS subunit GlcF</t>
  </si>
  <si>
    <t>glcF</t>
  </si>
  <si>
    <t>glycolate oxidase FAD-binding subunit GlcE</t>
  </si>
  <si>
    <t>glcE</t>
  </si>
  <si>
    <t>two component signal transduction system response regulator with PAS sensory domain</t>
  </si>
  <si>
    <t>Protein modification and repair</t>
  </si>
  <si>
    <t>lipoprotein system lgt/lsp/lnt</t>
  </si>
  <si>
    <t>apolipoprotein N-acyltransferase Int</t>
  </si>
  <si>
    <t>cutE</t>
  </si>
  <si>
    <t>putative NurA family nuclease</t>
  </si>
  <si>
    <t>Fnr-Crp family transcriptional regulator CysR</t>
  </si>
  <si>
    <t>cysR</t>
  </si>
  <si>
    <t>anthranilate synthase aminase component TrpE</t>
  </si>
  <si>
    <t>trpE</t>
  </si>
  <si>
    <t>aldose 1- epimerase family protein</t>
  </si>
  <si>
    <t>bifunctional exopolyphosphatase / guanosine-5'-triphosphate_3'-diphosphate pyrophosphatase Ppx-GppA</t>
  </si>
  <si>
    <t>ppx-gppA</t>
  </si>
  <si>
    <t>translation elongation</t>
  </si>
  <si>
    <t>elongation factor Tsf</t>
  </si>
  <si>
    <t>tsf</t>
  </si>
  <si>
    <t>ribosome small subunit</t>
  </si>
  <si>
    <t>SSU ribosomal protein S2 RpsB</t>
  </si>
  <si>
    <t>rpsB</t>
  </si>
  <si>
    <t>thylakoid biogenesis</t>
  </si>
  <si>
    <t>ring forming protein essential for thylakoid formation Vipp1</t>
  </si>
  <si>
    <t>vipp1</t>
  </si>
  <si>
    <t>fatty acid biosynthesis_ elongation</t>
  </si>
  <si>
    <t>enoyl-[acyl-carrier protein] reductase I FabI</t>
  </si>
  <si>
    <t>fabI</t>
  </si>
  <si>
    <t>Rieske 2Fe-2S family protein</t>
  </si>
  <si>
    <t>photosystem II stability/assembly factor Ycf48</t>
  </si>
  <si>
    <t>ycf48</t>
  </si>
  <si>
    <t>photosystem I assembly protein membrane-associated rubredoxin RubA</t>
  </si>
  <si>
    <t>rubA</t>
  </si>
  <si>
    <t>glyoxalase superfamily protein</t>
  </si>
  <si>
    <t>phycobilin biosynthesis</t>
  </si>
  <si>
    <t>phycocyanobilin lyase subunit CpcS</t>
  </si>
  <si>
    <t>cpcS</t>
  </si>
  <si>
    <t>Nucleosides_ purines and pyrimidines</t>
  </si>
  <si>
    <t xml:space="preserve">competence-related DNA transformation transporter </t>
  </si>
  <si>
    <t>competence protein ComEC</t>
  </si>
  <si>
    <t>comEC</t>
  </si>
  <si>
    <t>16S rRNA modification</t>
  </si>
  <si>
    <t>16S rRNA (guanine527-N7)-methyltransferase GidB</t>
  </si>
  <si>
    <t>gidB</t>
  </si>
  <si>
    <t>polyphosphate:nucleotide phosphotransferase PPK2 family</t>
  </si>
  <si>
    <t>protein of unknown function DUF1997</t>
  </si>
  <si>
    <t>ABC-type FeII uptake system permease component FutB</t>
  </si>
  <si>
    <t>futB</t>
  </si>
  <si>
    <t>nicotinate-nucleotide pyrophosphorylase (carboxylating) NadC</t>
  </si>
  <si>
    <t>nadC</t>
  </si>
  <si>
    <t>anthranilate phosphoribosyltransferase TrpD</t>
  </si>
  <si>
    <t>trpD</t>
  </si>
  <si>
    <t>adenosylcobyric acid synthase CobQ</t>
  </si>
  <si>
    <t>cobQ</t>
  </si>
  <si>
    <t>Biosynthesis of unsaturated fatty acids</t>
  </si>
  <si>
    <t>alkene biosynthesis (1-nonadecene and 1_14-nonadecadiene)</t>
  </si>
  <si>
    <t>syn-2 delta 9 acyl-lipid fatty acid desaturase DesF</t>
  </si>
  <si>
    <t>desF</t>
  </si>
  <si>
    <t>oxygen-independent coproporphyrinogen III oxidase HemN</t>
  </si>
  <si>
    <t>hemN</t>
  </si>
  <si>
    <t>heme oxygenase 2 Hox2</t>
  </si>
  <si>
    <t>hox2</t>
  </si>
  <si>
    <t>protein of unknown function DUF3181</t>
  </si>
  <si>
    <t>photosystem I main subunits</t>
  </si>
  <si>
    <t>photosystem I subunit II PsaD</t>
  </si>
  <si>
    <t>psaD</t>
  </si>
  <si>
    <t>tocopherol biosynthesis and Plastiquione-9 biosynthesis</t>
  </si>
  <si>
    <t>bifunctional 2-methyl-6-phytyl-1_4-benzoquinone methyltransferase / 2-methyl-6-solanyl-1_4-benzoquinone methyltransferase Vte3</t>
  </si>
  <si>
    <t>vte3</t>
  </si>
  <si>
    <t>4'-phosphopantetheinyl transferase AcpT</t>
  </si>
  <si>
    <t>acpT</t>
  </si>
  <si>
    <t>NADH-dependent dehydrogenase family protein</t>
  </si>
  <si>
    <t>putative endonuclease YraN</t>
  </si>
  <si>
    <t>yraN</t>
  </si>
  <si>
    <t>5-aminolevulinate biosynthesis (glutamate pathway)</t>
  </si>
  <si>
    <t>glutamyl-tRNA reductase HemA</t>
  </si>
  <si>
    <t>hemA</t>
  </si>
  <si>
    <t>valine--pyruvate aminotransferase AvtA</t>
  </si>
  <si>
    <t>avtA</t>
  </si>
  <si>
    <t>ClpP1-ClpP2-ClpX proteolytic complex</t>
  </si>
  <si>
    <t>ClpP3 protease chaperone ClpR</t>
  </si>
  <si>
    <t>clpR</t>
  </si>
  <si>
    <t>chain length determinant protein-tyrosine kinase Wzz</t>
  </si>
  <si>
    <t>wzz</t>
  </si>
  <si>
    <t>polysaccharide secretin Wza</t>
  </si>
  <si>
    <t>wza</t>
  </si>
  <si>
    <t>5_ 10-methylenetetrahydrofolate reductase MetF</t>
  </si>
  <si>
    <t>metF</t>
  </si>
  <si>
    <t>phosphoglucosamine mutase GlmM</t>
  </si>
  <si>
    <t>glmM</t>
  </si>
  <si>
    <t>N-acetylmuramoyl-L-alanine amidase</t>
  </si>
  <si>
    <t>putative anion permease YbiR</t>
  </si>
  <si>
    <t>ybiR</t>
  </si>
  <si>
    <t>calcium:proton antiporter ChaA</t>
  </si>
  <si>
    <t>chaA</t>
  </si>
  <si>
    <t>protein of unknown function DUF3084</t>
  </si>
  <si>
    <t>5'-nucleotidase SurE</t>
  </si>
  <si>
    <t>surE</t>
  </si>
  <si>
    <t>dITP degradation</t>
  </si>
  <si>
    <t>dITP/XTP pyrophosphatase RdgB</t>
  </si>
  <si>
    <t>rdgB</t>
  </si>
  <si>
    <t>TIGR02281 family clan AA aspartic protease</t>
  </si>
  <si>
    <t>ferredoxin</t>
  </si>
  <si>
    <t>putative enzyme of poly-gamma-glutamate biosynthesis (capsule formation)-like</t>
  </si>
  <si>
    <t>CBS pair BON associated domain protein</t>
  </si>
  <si>
    <t>phenylalanine and tyrosine biosynthesis from chorismate</t>
  </si>
  <si>
    <t>chorismate mutase II AroH</t>
  </si>
  <si>
    <t>aroH</t>
  </si>
  <si>
    <t>signal recognition system</t>
  </si>
  <si>
    <t>signal peptide peptidase SppA</t>
  </si>
  <si>
    <t>sppA</t>
  </si>
  <si>
    <t>S layer domain-containing lipoprotein</t>
  </si>
  <si>
    <t>putrescine biosynthesis from arginine utilizing agmatinase</t>
  </si>
  <si>
    <t>biosynthetic arginine decarboxylase SpeA</t>
  </si>
  <si>
    <t>speA</t>
  </si>
  <si>
    <t>Sodium:hydrogen antiport MrpABCD1D2EFG</t>
  </si>
  <si>
    <t>Na+/H+ antiporter complex subunit B MrpB</t>
  </si>
  <si>
    <t>mrpB</t>
  </si>
  <si>
    <t>Na+/H+ antiporter complex subunit A MrpA</t>
  </si>
  <si>
    <t>mrpA</t>
  </si>
  <si>
    <t>Na+/H+ antiporter complex subunit E MrpE</t>
  </si>
  <si>
    <t>mrpE</t>
  </si>
  <si>
    <t>Na+/H+ antiporter complex subunit D MrpD1</t>
  </si>
  <si>
    <t>MrpD1</t>
  </si>
  <si>
    <t>Na+/H+ antiporter complex subunit C MrpC</t>
  </si>
  <si>
    <t>mrpC</t>
  </si>
  <si>
    <t>citrate cycle_ 2-OGDH bypass</t>
  </si>
  <si>
    <t>TPP-dependent 2-oxoglutarate decarboxylase Kgd</t>
  </si>
  <si>
    <t>kgd</t>
  </si>
  <si>
    <t>SSU ribosomal protein S14 RpsN</t>
  </si>
  <si>
    <t>rpsN</t>
  </si>
  <si>
    <t>adenylosuccinate lyase PurB</t>
  </si>
  <si>
    <t>purB</t>
  </si>
  <si>
    <t>protein of unknown function TIGR00730</t>
  </si>
  <si>
    <t>two component signal transduction system histidine kinase with FHA and GAF sensory domains</t>
  </si>
  <si>
    <t>FtsH1-FtsH3 regulating Fur</t>
  </si>
  <si>
    <t>ATP-dependent metalloprotease controlling Fur FtsH1</t>
  </si>
  <si>
    <t>ftsH1</t>
  </si>
  <si>
    <t>ABC-type export system ATPase component DevA family</t>
  </si>
  <si>
    <t>arsenical resistance system</t>
  </si>
  <si>
    <t>arsenite-activated anion-transporting ATPase ArsA</t>
  </si>
  <si>
    <t>arsA</t>
  </si>
  <si>
    <t>chlorophyll biosynthesis</t>
  </si>
  <si>
    <t>putative 38-divinyl(proto)chlorophyll(ide) CvrA</t>
  </si>
  <si>
    <t>cvrA</t>
  </si>
  <si>
    <t>phosphoketolase Xfp</t>
  </si>
  <si>
    <t>xfp</t>
  </si>
  <si>
    <t>protein of unknown function DUF2233</t>
  </si>
  <si>
    <t>preprotein translocase subunit SecA</t>
  </si>
  <si>
    <t>secA</t>
  </si>
  <si>
    <t>protein of unknown function DUF1092</t>
  </si>
  <si>
    <t>diguanylate cyclase/phosphodiesterase (GGDEF &amp; EAL domains) with PAS/PAC sensor(s)</t>
  </si>
  <si>
    <t>protein of unknown function DUF482</t>
  </si>
  <si>
    <t>pentapeptide repeat protein RfrM</t>
  </si>
  <si>
    <t>rfrM</t>
  </si>
  <si>
    <t>DUF1292 and DUF3727 domain protein</t>
  </si>
  <si>
    <t>transketolase TktA</t>
  </si>
  <si>
    <t>tktA</t>
  </si>
  <si>
    <t>fatty acid biosynthesis from acetyl-CoA</t>
  </si>
  <si>
    <t>3-oxoacyl-(acyl carrier protein) synthase II FabF</t>
  </si>
  <si>
    <t>fabF</t>
  </si>
  <si>
    <t>DNA topoisomerase I TopA</t>
  </si>
  <si>
    <t>topA</t>
  </si>
  <si>
    <t>inorganic pyrophosphatase Ppa</t>
  </si>
  <si>
    <t>ppa</t>
  </si>
  <si>
    <t>putative permease DUF318 family</t>
  </si>
  <si>
    <t>MerR family transcriptional regulator</t>
  </si>
  <si>
    <t>short-chain dehydrogenase/reductase SDR</t>
  </si>
  <si>
    <t>heme O biosynthesis from protoporphyrin IX</t>
  </si>
  <si>
    <t>protoheme IX farnesyltransferase cyoE</t>
  </si>
  <si>
    <t>cyoE</t>
  </si>
  <si>
    <t>heme A biosynthesis from heme O</t>
  </si>
  <si>
    <t>cytochrome c oxidase assembly protein subunit Cox15</t>
  </si>
  <si>
    <t>cox15</t>
  </si>
  <si>
    <t>S-layer formation</t>
  </si>
  <si>
    <t>polysaccharide pyruvyl transferase CsaB</t>
  </si>
  <si>
    <t>csaB</t>
  </si>
  <si>
    <t>cobalamin uptake</t>
  </si>
  <si>
    <t>sirohydrochlorin cobaltochelatase CbiK</t>
  </si>
  <si>
    <t>cbiK</t>
  </si>
  <si>
    <t>histidyl-tRNA synthetase HisS</t>
  </si>
  <si>
    <t>hisS</t>
  </si>
  <si>
    <t>recFOR recombination pathway</t>
  </si>
  <si>
    <t>DNA repair protein RecN</t>
  </si>
  <si>
    <t>recN</t>
  </si>
  <si>
    <t>aldehyde dehydrogenase family protein</t>
  </si>
  <si>
    <t>PKHD-type hydroxylase</t>
  </si>
  <si>
    <t>two component signal transduction system response regulator</t>
  </si>
  <si>
    <t>bifunctional ornithine acetyltransferase / N-acetylglutamate synthase protein ArgJ</t>
  </si>
  <si>
    <t>argJ</t>
  </si>
  <si>
    <t>phosphoenolpyruvate carboxylase PepC</t>
  </si>
  <si>
    <t>pepC</t>
  </si>
  <si>
    <t>phosphoribulokinase PrkB</t>
  </si>
  <si>
    <t>prkB</t>
  </si>
  <si>
    <t>copper trafficking to periplasmic binding proteins</t>
  </si>
  <si>
    <t>P-type copper uptake ATPase CtaA</t>
  </si>
  <si>
    <t>ctaA</t>
  </si>
  <si>
    <t>protein of unknown function DUF81</t>
  </si>
  <si>
    <t>thioredoxin reductase (NADPH) TrxB</t>
  </si>
  <si>
    <t>trxB</t>
  </si>
  <si>
    <t>tmRNA trans-translation system</t>
  </si>
  <si>
    <t>tmRNA-binding protein SmpB</t>
  </si>
  <si>
    <t>smpB</t>
  </si>
  <si>
    <t>adenosylmethionine-8-amino-7-oxononanoate aminotransferase BioA</t>
  </si>
  <si>
    <t>bioA</t>
  </si>
  <si>
    <t>transcription elongation factor NusA</t>
  </si>
  <si>
    <t>nusA</t>
  </si>
  <si>
    <t>ribosome maturation factor rimP</t>
  </si>
  <si>
    <t>rimP</t>
  </si>
  <si>
    <t>glyceraldehyde-3-phosphate dehydrogenase Gap</t>
  </si>
  <si>
    <t>gap</t>
  </si>
  <si>
    <t>type II restriction-modification system</t>
  </si>
  <si>
    <t>type II restriction-modification system sequence-specific DNA-methyltransferase</t>
  </si>
  <si>
    <t>family 4 uracil-DNA glycosylase</t>
  </si>
  <si>
    <t>tRNA modification factors - methyltransferases</t>
  </si>
  <si>
    <t>RNA methyltransferase SpoU</t>
  </si>
  <si>
    <t>spoU</t>
  </si>
  <si>
    <t>glutamine amidotransferease class I</t>
  </si>
  <si>
    <t>protein containing domains DUF404 and DUF407</t>
  </si>
  <si>
    <t>glycogen system</t>
  </si>
  <si>
    <t>1 to 4 alpha-D-glucan branching enzyme</t>
  </si>
  <si>
    <t>iron complex uptake system fhuABCD</t>
  </si>
  <si>
    <t>ABC-type metal transport system BtuF family substrate-binding component</t>
  </si>
  <si>
    <t>CHAT domain protein</t>
  </si>
  <si>
    <t>protein of unknown function DUF1822</t>
  </si>
  <si>
    <t>RNA polymerase sigma factor</t>
  </si>
  <si>
    <t>tRNA (guanine-N(7)-)-methyltransferase TrmB</t>
  </si>
  <si>
    <t>trmB</t>
  </si>
  <si>
    <t>Lysine biosynthesis</t>
  </si>
  <si>
    <t>lysine biosynthesis via diaminopimelate (DAP)</t>
  </si>
  <si>
    <t>4-hydroxy-tetrahydrodipicolinate reductase DapB</t>
  </si>
  <si>
    <t>dapB</t>
  </si>
  <si>
    <t>cytochrome c oxidase_ mitochondrial_ caa3-type CoxABCD</t>
  </si>
  <si>
    <t>aa3-type cytochrome c oxidase subunit III CoxC</t>
  </si>
  <si>
    <t>coxC</t>
  </si>
  <si>
    <t>aa3-type cytochrome c oxidase subunit I CoxA</t>
  </si>
  <si>
    <t>coxA</t>
  </si>
  <si>
    <t>aa3-type cytochrome c oxidase subunit II CoxB</t>
  </si>
  <si>
    <t>coxB</t>
  </si>
  <si>
    <t>protein of unknown function COG4222 family</t>
  </si>
  <si>
    <t>periplasmic targeting factor Tic22</t>
  </si>
  <si>
    <t>tic22</t>
  </si>
  <si>
    <t>magnesium and cobalt transport protein CorA</t>
  </si>
  <si>
    <t>corA</t>
  </si>
  <si>
    <t>tocopherol biosynthesis</t>
  </si>
  <si>
    <t>phytol kinase</t>
  </si>
  <si>
    <t>biosynthesis of UDP-N-acetyl-D-mannosamine (UDP-mannAc)</t>
  </si>
  <si>
    <t>UDP-N-acetylglucosamine 2-epimerase WecB</t>
  </si>
  <si>
    <t>wecB</t>
  </si>
  <si>
    <t>aminotransferase class IV</t>
  </si>
  <si>
    <t>protein of unknown function DUF1825</t>
  </si>
  <si>
    <t>pyridoxal phosphate biosynthesis_ PdxA/PdxJ pathway</t>
  </si>
  <si>
    <t>4-hydroxythreonine-4-phosphate dehydrogenase PdxA</t>
  </si>
  <si>
    <t>pdxA</t>
  </si>
  <si>
    <t>SSU ribosomal protein S1 RpsA</t>
  </si>
  <si>
    <t>rpsA</t>
  </si>
  <si>
    <t>K+ uptake permease (KUP) family</t>
  </si>
  <si>
    <t>LL-diaminopimelate aminotransferase DapL2</t>
  </si>
  <si>
    <t>dapL2</t>
  </si>
  <si>
    <t>glycerol metabolism</t>
  </si>
  <si>
    <t>iron-dependent glycerol dehydrogenase GldA</t>
  </si>
  <si>
    <t>gldA</t>
  </si>
  <si>
    <t>FAD-dependent oxidoreductase family</t>
  </si>
  <si>
    <t>DNA polymerase III alpha subunit DnaE</t>
  </si>
  <si>
    <t>dnaE</t>
  </si>
  <si>
    <t>photosystem II lipoprotein PsbQ</t>
  </si>
  <si>
    <t>psbQ</t>
  </si>
  <si>
    <t>protein with fibronectin-binding N-terminal domain and C-terminal domain of unknown function DUF814</t>
  </si>
  <si>
    <t>NUDIX hydrolase</t>
  </si>
  <si>
    <t>Rho termination factor-like protein</t>
  </si>
  <si>
    <t>exopolysaccharide synthesis protein ExoD</t>
  </si>
  <si>
    <t>exoD</t>
  </si>
  <si>
    <t>starch phosphorylase GlgP</t>
  </si>
  <si>
    <t>glgP</t>
  </si>
  <si>
    <t>protein of unknown function DUF58</t>
  </si>
  <si>
    <t>thioredoxin TrxC</t>
  </si>
  <si>
    <t>trxC</t>
  </si>
  <si>
    <t>periplasmic TPR domain-containing protein</t>
  </si>
  <si>
    <t>murein amino sugar recycling</t>
  </si>
  <si>
    <t>N-acetylglucosamine-6-phosphate deacetylase NagA</t>
  </si>
  <si>
    <t>nagA</t>
  </si>
  <si>
    <t>protein of unknown function with HAS barrel docking and DUF87 domains</t>
  </si>
  <si>
    <t>leucyl-tRNA synthetase LeuS</t>
  </si>
  <si>
    <t>leuS</t>
  </si>
  <si>
    <t>manganese homeostasis response system ManRS</t>
  </si>
  <si>
    <t>Mn-responsive two component signal transduction system response regulator ManR</t>
  </si>
  <si>
    <t>manR</t>
  </si>
  <si>
    <t>nitric oxide stress response</t>
  </si>
  <si>
    <t>nitric oxide response protein NnrS</t>
  </si>
  <si>
    <t>nnrS</t>
  </si>
  <si>
    <t>LL-diaminopimelate aminotransferase DapL1</t>
  </si>
  <si>
    <t>dapL1</t>
  </si>
  <si>
    <t>alanyl-tRNA synthetase AlaS</t>
  </si>
  <si>
    <t>alaS</t>
  </si>
  <si>
    <t>phosphatidylethanolamine biosynthesis</t>
  </si>
  <si>
    <t>phosphatidate cytidylyltransferase CdsA</t>
  </si>
  <si>
    <t>cdsA</t>
  </si>
  <si>
    <t>glycerol-3-phosphate dehydrogenase (NAD(P)+) GpsA</t>
  </si>
  <si>
    <t>gpsA</t>
  </si>
  <si>
    <t>conserved hypothetical protein</t>
  </si>
  <si>
    <t>ABC-type branched-chain amino acid uptake system ATPase component LivG</t>
  </si>
  <si>
    <t>livG</t>
  </si>
  <si>
    <t>penicillin binidng protein PbpA</t>
  </si>
  <si>
    <t>pbpA</t>
  </si>
  <si>
    <t>tRNA (cytidine/uridine-2'-O-)methyltransferase TrmJ</t>
  </si>
  <si>
    <t>trmJ</t>
  </si>
  <si>
    <t>transcriptional regulator controlling phycobilisome degradation PlmA</t>
  </si>
  <si>
    <t>plmA</t>
  </si>
  <si>
    <t>proline biosynthesis from glutamate</t>
  </si>
  <si>
    <t>glutamate 5-kinase ProB</t>
  </si>
  <si>
    <t>proB</t>
  </si>
  <si>
    <t>L-threonylcarbamoyladenylate synthase TsaC</t>
  </si>
  <si>
    <t>cyclic 3'_5'-AMP-responsive transcriptional regulator Crp</t>
  </si>
  <si>
    <t>crp</t>
  </si>
  <si>
    <t>putative activity regulator of membrane protease YbbK</t>
  </si>
  <si>
    <t>DNA-3-methyladenine glycosylase Mpg</t>
  </si>
  <si>
    <t>mpg</t>
  </si>
  <si>
    <t>acyl-CoA dehydrogenase family protein</t>
  </si>
  <si>
    <t>prolipoprotein diacylglyceryl transferase Lgt</t>
  </si>
  <si>
    <t>lgt</t>
  </si>
  <si>
    <t>LSU ribosomal protein L20 RplT</t>
  </si>
  <si>
    <t>rplT</t>
  </si>
  <si>
    <t>AbrB family CO2 responsive transcriptional repressor of low CO2-dependent gene expression</t>
  </si>
  <si>
    <t>S-adenosyl-l-methionine hydroxide adenosyltransferase family protein</t>
  </si>
  <si>
    <t>FAD-binding oxidoreductase</t>
  </si>
  <si>
    <t>prenyltransferase family protein</t>
  </si>
  <si>
    <t>inosine-5'-monophosphate dehydrogenase catalytic subunit GuaB</t>
  </si>
  <si>
    <t>guaB</t>
  </si>
  <si>
    <t>glycyl-tRNA synthetase beta subunit GlyS</t>
  </si>
  <si>
    <t>glyS</t>
  </si>
  <si>
    <t>tRNA degradation factors</t>
  </si>
  <si>
    <t>polynucleotide phosphorylase/polyadenylase PnpA</t>
  </si>
  <si>
    <t>pnpA</t>
  </si>
  <si>
    <t>N-terminal acetyltransferase</t>
  </si>
  <si>
    <t>nitroreductase</t>
  </si>
  <si>
    <t>threonyl-tRNA synthetase ThrS</t>
  </si>
  <si>
    <t>thrS</t>
  </si>
  <si>
    <t>recombination protein RecR</t>
  </si>
  <si>
    <t>recR</t>
  </si>
  <si>
    <t>peptide chain release factor 3 PrfC</t>
  </si>
  <si>
    <t>prfC</t>
  </si>
  <si>
    <t>molecular chaperone DnaK family</t>
  </si>
  <si>
    <t>N-acetyl-gamma-glutamyl-phosphate reductase ArgC</t>
  </si>
  <si>
    <t>argC</t>
  </si>
  <si>
    <t>UDP-N-acetylglucosamine O-acyltransferase LpxA</t>
  </si>
  <si>
    <t>lpxA</t>
  </si>
  <si>
    <t>type I restriction-modification system</t>
  </si>
  <si>
    <t>type I restriction-modification system restriction subunit HsdR family</t>
  </si>
  <si>
    <t>type I restriction-modification system DNA-methyltransferase subunit M.TelBI</t>
  </si>
  <si>
    <t>mtelBI</t>
  </si>
  <si>
    <t>type I restriction-modification system specificity subunit S.TelBI</t>
  </si>
  <si>
    <t>stelBI</t>
  </si>
  <si>
    <t>type I restriction-modification system restriction subunit TelBI</t>
  </si>
  <si>
    <t>telBI</t>
  </si>
  <si>
    <t>Toxin-antitoxin systems</t>
  </si>
  <si>
    <t>toxin-antitoxin system toxin HepN family</t>
  </si>
  <si>
    <t>type I restriction-modification system DNA-methyltransferase subunit HsdM</t>
  </si>
  <si>
    <t>hsdM</t>
  </si>
  <si>
    <t>group I mobile intron endonuclease</t>
  </si>
  <si>
    <t>histidinol dehydrogenase HisD</t>
  </si>
  <si>
    <t>hisD</t>
  </si>
  <si>
    <t>ruvABC Holliday junction complex</t>
  </si>
  <si>
    <t>Holliday junction ATP-dependent DNA helicase RuvB</t>
  </si>
  <si>
    <t>ruvB</t>
  </si>
  <si>
    <t>ketol-acid reductoisomerase IlvC</t>
  </si>
  <si>
    <t>ilvC</t>
  </si>
  <si>
    <t>Xaa-Pro aminopeptidase PepP</t>
  </si>
  <si>
    <t>pepP</t>
  </si>
  <si>
    <t>Cofactor B12 synth: from L-threonine</t>
  </si>
  <si>
    <t>L-threonine 3-O-phosphate decarboxylase CobD</t>
  </si>
  <si>
    <t>cobD</t>
  </si>
  <si>
    <t>DNA-binding protein HupB</t>
  </si>
  <si>
    <t>hupB</t>
  </si>
  <si>
    <t>phosphoglycerate kinase Pgk</t>
  </si>
  <si>
    <t>pgk</t>
  </si>
  <si>
    <t>phosphoribosylanthranilate isomerase TrpF</t>
  </si>
  <si>
    <t>trpF</t>
  </si>
  <si>
    <t>pyruvate kinase Pyk</t>
  </si>
  <si>
    <t>pyk</t>
  </si>
  <si>
    <t>DUF819 domain-containing protein</t>
  </si>
  <si>
    <t>Zn-dependent protease</t>
  </si>
  <si>
    <t>diaminopimelate epimerase DapF</t>
  </si>
  <si>
    <t>dapF</t>
  </si>
  <si>
    <t>protein of unknown function DUF111</t>
  </si>
  <si>
    <t>methylated-DNA-protein-cysteine methyltransferase related protein YbaZ</t>
  </si>
  <si>
    <t>ybaZ</t>
  </si>
  <si>
    <t>nicotinate-nucleotide--dimethylbenzimidazole phosphoribosyltransferase CobT</t>
  </si>
  <si>
    <t>cobT</t>
  </si>
  <si>
    <t>Zn-binding protein YfiH</t>
  </si>
  <si>
    <t>yfiH</t>
  </si>
  <si>
    <t>chromophore attachment</t>
  </si>
  <si>
    <t>phycocyanobilin:ferredoxin oxidoreductase PcyA</t>
  </si>
  <si>
    <t>pcyA</t>
  </si>
  <si>
    <t>cysteine biosynthesis from serine</t>
  </si>
  <si>
    <t>pyridoxyal phosphate-dependent cysteine synthase CysK</t>
  </si>
  <si>
    <t>cysK</t>
  </si>
  <si>
    <t>bifunctional pyrimidine regulatory protein / uracil phosphoribosyltransferase PyrR</t>
  </si>
  <si>
    <t>pyrR</t>
  </si>
  <si>
    <t>PLP-dependent L-cyst(e)ine lyase C-DES</t>
  </si>
  <si>
    <t>c-des</t>
  </si>
  <si>
    <t>putative holliday junction resolvase-like protein RuvX</t>
  </si>
  <si>
    <t>ruvX</t>
  </si>
  <si>
    <t>carbamoyl-phosphate synthase large subunit CarB</t>
  </si>
  <si>
    <t>carB</t>
  </si>
  <si>
    <t>T2bSS secretion: type IVa pili</t>
  </si>
  <si>
    <t>pilin protein</t>
  </si>
  <si>
    <t>type IV fimbrial biogenesis protein FimT</t>
  </si>
  <si>
    <t>fimT</t>
  </si>
  <si>
    <t>single stranded DNA uptake competence transporter ComA</t>
  </si>
  <si>
    <t>comA</t>
  </si>
  <si>
    <t>light-independent protochlorophyllide reductase</t>
  </si>
  <si>
    <t>light-independent protochlorophyllide reductase subunit ChlN</t>
  </si>
  <si>
    <t>chlN</t>
  </si>
  <si>
    <t>uncharacterized protein in light-independent protochlorphyllide reductase operon</t>
  </si>
  <si>
    <t>light-independent protochlorophyllide reductase FeS subunit ChlL</t>
  </si>
  <si>
    <t>chlL</t>
  </si>
  <si>
    <t>DNA polymerase III beta subunit DnaN</t>
  </si>
  <si>
    <t>dnaN</t>
  </si>
  <si>
    <t>peptidoglycan lipid II flippase MurJ</t>
  </si>
  <si>
    <t>murJ</t>
  </si>
  <si>
    <t>Mn-responsive two component signal transduction system histidine kinase ManS</t>
  </si>
  <si>
    <t>manS</t>
  </si>
  <si>
    <t>CHAT and TPR repeat domain protein</t>
  </si>
  <si>
    <t>GTPase ObgE</t>
  </si>
  <si>
    <t>obgE</t>
  </si>
  <si>
    <t>aspartate-oxaloacetate interconversion</t>
  </si>
  <si>
    <t>aspartate aminotransferase AspB</t>
  </si>
  <si>
    <t>aspB</t>
  </si>
  <si>
    <t>elongation factor G FusA</t>
  </si>
  <si>
    <t>fusA</t>
  </si>
  <si>
    <t>protein of unknown function DUF39</t>
  </si>
  <si>
    <t>circadian timing response system RpaAB-SasA</t>
  </si>
  <si>
    <t>two component signal transduction system response regulator of photosystem I RpaB</t>
  </si>
  <si>
    <t>rpaB</t>
  </si>
  <si>
    <t>phycobilisome core-membrane linker phycobiliprotein ApcE</t>
  </si>
  <si>
    <t>apcE</t>
  </si>
  <si>
    <t>thiamine: TPP from HMP-PP and HET-P</t>
  </si>
  <si>
    <t>thiamine-monophosphate kinase ThiL</t>
  </si>
  <si>
    <t>thiL</t>
  </si>
  <si>
    <t>protein of unknown function DUF2396</t>
  </si>
  <si>
    <t>pentose interconversion</t>
  </si>
  <si>
    <t>ribulose-phosphate 3-epimerase Rpe</t>
  </si>
  <si>
    <t>rpe</t>
  </si>
  <si>
    <t>tRNA modification factors - methylthiotransferases</t>
  </si>
  <si>
    <t>tRNA-(MS[2]IO[6]A)-hydroxylase MiaE</t>
  </si>
  <si>
    <t>miaE</t>
  </si>
  <si>
    <t>universal stress protein</t>
  </si>
  <si>
    <t>2-heptaprenyl-1_4-naphthoquinone methyltransferase MenG</t>
  </si>
  <si>
    <t>menG</t>
  </si>
  <si>
    <t>PAS domain sensory protein</t>
  </si>
  <si>
    <t>protein of unknown function DUF490</t>
  </si>
  <si>
    <t>cytoskeleton protein</t>
  </si>
  <si>
    <t>cell division tubulin protein FtsZ</t>
  </si>
  <si>
    <t>ftsZ</t>
  </si>
  <si>
    <t>ABC-type Mn uptake system permease component MntB</t>
  </si>
  <si>
    <t>mntB</t>
  </si>
  <si>
    <t>ISTel5 transposase TnpA_ISTel5</t>
  </si>
  <si>
    <t>tnpA_ISTel5</t>
  </si>
  <si>
    <t>adenosylhomocysteinase AhcY</t>
  </si>
  <si>
    <t>ahcY</t>
  </si>
  <si>
    <t>light-independent protochlorophyllide reductase subunit ChlB</t>
  </si>
  <si>
    <t>chlB</t>
  </si>
  <si>
    <t>nicotinamide nucleotide repair</t>
  </si>
  <si>
    <t>bifunctional NAD(P)H-hydrate epimerase / ADP-dependent NAD(P)H-hydrate dehydratase NnrE-nnr</t>
  </si>
  <si>
    <t>nnrE-nnr</t>
  </si>
  <si>
    <t>anhydro-N-acetylmuramic acid kinase AnmK</t>
  </si>
  <si>
    <t>anmK</t>
  </si>
  <si>
    <t>photosystem I assembly related protein Ycf37</t>
  </si>
  <si>
    <t>ycf37</t>
  </si>
  <si>
    <t>outer membrane lipid asymmetry maintenance protein MlaD</t>
  </si>
  <si>
    <t>mlaD</t>
  </si>
  <si>
    <t>L-aspartate oxidase NadB</t>
  </si>
  <si>
    <t>nadB</t>
  </si>
  <si>
    <t>photosystem II protein PsbU</t>
  </si>
  <si>
    <t>psbU</t>
  </si>
  <si>
    <t>outer membrane protein</t>
  </si>
  <si>
    <t>transposase OrfB</t>
  </si>
  <si>
    <t>glutamate hydrolyzing GMP synthase GuaA</t>
  </si>
  <si>
    <t>guaA</t>
  </si>
  <si>
    <t>serine/threonine protein phosphatase PppA</t>
  </si>
  <si>
    <t>pppA</t>
  </si>
  <si>
    <t>protein of unknown function DUF3370</t>
  </si>
  <si>
    <t>DUF88 domain protein</t>
  </si>
  <si>
    <t>23S rRNA m2A2503 methyltransferase RlmN</t>
  </si>
  <si>
    <t>rlmN</t>
  </si>
  <si>
    <t>photosystem I</t>
  </si>
  <si>
    <t>cytochrome CytM</t>
  </si>
  <si>
    <t>cytM</t>
  </si>
  <si>
    <t>protein of unknown function DUF1537</t>
  </si>
  <si>
    <t>tyrosine biosynthesis from prephanate</t>
  </si>
  <si>
    <t>arogenate dehydrogenase (NADP+) TyrAa</t>
  </si>
  <si>
    <t>tyrAa</t>
  </si>
  <si>
    <t>ECF-type cobalt transport system ATPase component CbiO</t>
  </si>
  <si>
    <t>ECF-type cobalt transport system permease component CbiQ</t>
  </si>
  <si>
    <t>cbiQ</t>
  </si>
  <si>
    <t>ECF-type cobalt transport system substrate-binding component CbiN</t>
  </si>
  <si>
    <t>cbiN</t>
  </si>
  <si>
    <t>ECF-type cobalt transport system substrate-binding component CbiM</t>
  </si>
  <si>
    <t>cbiM</t>
  </si>
  <si>
    <t>DNA replication and repair protein RecF</t>
  </si>
  <si>
    <t>recF</t>
  </si>
  <si>
    <t>protein of unknown function DUF427</t>
  </si>
  <si>
    <t>Protease:Arg/Pro metabolism</t>
  </si>
  <si>
    <t>pantothenate biosynthesis from aspartate and 2-oxoisovalerate</t>
  </si>
  <si>
    <t>bifunctional pantoate ligase / cytidylate kinase PanC-cmk</t>
  </si>
  <si>
    <t>panC-cmk</t>
  </si>
  <si>
    <t>heat shock proteins</t>
  </si>
  <si>
    <t>protein complex disaggregase ClpB2</t>
  </si>
  <si>
    <t>clpB2</t>
  </si>
  <si>
    <t>potassium homeostasis</t>
  </si>
  <si>
    <t>potassium voltage-gated channel</t>
  </si>
  <si>
    <t>naphthoate synthase MenB</t>
  </si>
  <si>
    <t>menB</t>
  </si>
  <si>
    <t>D-alanyl-D-alanine carboxypeptidase family protein DdpX</t>
  </si>
  <si>
    <t>ddpX</t>
  </si>
  <si>
    <t>photosystem II reaction center protein Psb27</t>
  </si>
  <si>
    <t>psb27</t>
  </si>
  <si>
    <t>mismatch excision repair</t>
  </si>
  <si>
    <t>DNA mismatch repair protein MutL</t>
  </si>
  <si>
    <t>mutL</t>
  </si>
  <si>
    <t>bifunctional phosphopantothenoylcysteine decarboxylase / phosphopantothenate--cysteine ligase CoaB-CoaC</t>
  </si>
  <si>
    <t>coaB-coaC</t>
  </si>
  <si>
    <t>Dps family DNA-binding stress response protein</t>
  </si>
  <si>
    <t>Na+/H+ antiporter NhaS5</t>
  </si>
  <si>
    <t>nhaS5</t>
  </si>
  <si>
    <t>tryptophan synthase beta subunit TrpB</t>
  </si>
  <si>
    <t>trpB</t>
  </si>
  <si>
    <t>protein of unknown function DUF1350</t>
  </si>
  <si>
    <t>NADPH2:quinone reductase Qor</t>
  </si>
  <si>
    <t>qor</t>
  </si>
  <si>
    <t>urease alpha subunit UreC</t>
  </si>
  <si>
    <t>ureC</t>
  </si>
  <si>
    <t>ABC-type drug export system ATPase component</t>
  </si>
  <si>
    <t>ABC-type lipopolysaccharide export system permease component LptF</t>
  </si>
  <si>
    <t>lptF</t>
  </si>
  <si>
    <t>bifunctional mannose-1-phosphate guyanyltranferase / mannose-6-phosphate isomerase AlgA</t>
  </si>
  <si>
    <t>algA</t>
  </si>
  <si>
    <t>two component signal transduction system histidine kinase controlling circadian rhythm SasA</t>
  </si>
  <si>
    <t>sasA</t>
  </si>
  <si>
    <t>superoxide dismutase Sod2</t>
  </si>
  <si>
    <t>sod2</t>
  </si>
  <si>
    <t>malonyl CoA-acyl carrier protein transacylase FabD</t>
  </si>
  <si>
    <t>fabD</t>
  </si>
  <si>
    <t>1-acyl-sn-glycerol-3-phosphate acyltransferase PlsC</t>
  </si>
  <si>
    <t>plsC</t>
  </si>
  <si>
    <t>tyrosyl-tRNA synthetase TyrS</t>
  </si>
  <si>
    <t>tyrS</t>
  </si>
  <si>
    <t>Zn-dependent proteinase family M16</t>
  </si>
  <si>
    <t>cytochrome c biogenesis system II</t>
  </si>
  <si>
    <t>c-type cytochrome biogenesis protein CcdA</t>
  </si>
  <si>
    <t>ccdA</t>
  </si>
  <si>
    <t>ABC-type neutral amino acid uptake sytem ATPase component NatE</t>
  </si>
  <si>
    <t>natE</t>
  </si>
  <si>
    <t>outer membrane transport energizing sytem membrane anchored component ExbD</t>
  </si>
  <si>
    <t>exbD</t>
  </si>
  <si>
    <t>GTP-binding protein Era</t>
  </si>
  <si>
    <t>era</t>
  </si>
  <si>
    <t>Ni2+ binding GTPase regulating urease expression/maturation UreG</t>
  </si>
  <si>
    <t>ureG</t>
  </si>
  <si>
    <t>serine proteinase</t>
  </si>
  <si>
    <t>protein of unknown function DUF928</t>
  </si>
  <si>
    <t>cell division protein ZipS</t>
  </si>
  <si>
    <t>zipS</t>
  </si>
  <si>
    <t>6_7-dimethyl-8-ribityllumazine synthase RibH</t>
  </si>
  <si>
    <t>ribH</t>
  </si>
  <si>
    <t>aspartate semialdehyde biosynthesis from aspartate</t>
  </si>
  <si>
    <t>aspartate-semialdehyde dehydrogenase Asd</t>
  </si>
  <si>
    <t>asd</t>
  </si>
  <si>
    <t>LSU ribosomal protein L3 RplC</t>
  </si>
  <si>
    <t>rplC</t>
  </si>
  <si>
    <t>LSU ribosomal protein L4 RplD</t>
  </si>
  <si>
    <t>rplD</t>
  </si>
  <si>
    <t>LSU ribosomal protein L23 RplW</t>
  </si>
  <si>
    <t>rplW</t>
  </si>
  <si>
    <t>LSU ribosomal protein L2 RplB</t>
  </si>
  <si>
    <t>rplB</t>
  </si>
  <si>
    <t>LSU ribosomal protein L22 RplV</t>
  </si>
  <si>
    <t>rplV</t>
  </si>
  <si>
    <t>SSU ribosomal protein S3 RpsC</t>
  </si>
  <si>
    <t>rpsC</t>
  </si>
  <si>
    <t>LSU ribosomal protein L16 RplP</t>
  </si>
  <si>
    <t>rplP</t>
  </si>
  <si>
    <t>LSU ribosomal protein L14 RplN</t>
  </si>
  <si>
    <t>rplN</t>
  </si>
  <si>
    <t>LSU ribosomal protein L24 RplX</t>
  </si>
  <si>
    <t>rplX</t>
  </si>
  <si>
    <t>LSU ribosomal protein L5 RplE</t>
  </si>
  <si>
    <t>rplE</t>
  </si>
  <si>
    <t>SSU ribosomal protein S8 RpsH</t>
  </si>
  <si>
    <t>rpsH</t>
  </si>
  <si>
    <t>LSU ribosomal protein L6 RplF</t>
  </si>
  <si>
    <t>rplF</t>
  </si>
  <si>
    <t>LSU ribosomal protein L18 RplR</t>
  </si>
  <si>
    <t>rplR</t>
  </si>
  <si>
    <t>SSU ribosomal protein S5 RpsE</t>
  </si>
  <si>
    <t>rpsE</t>
  </si>
  <si>
    <t>LSU ribosomal protein L15 RplO</t>
  </si>
  <si>
    <t>rplO</t>
  </si>
  <si>
    <t>preprotein translocase subunit SecY</t>
  </si>
  <si>
    <t>secY</t>
  </si>
  <si>
    <t>adenylate kinase Adk</t>
  </si>
  <si>
    <t>adk</t>
  </si>
  <si>
    <t>SSU ribosomal protein S13 RpsM</t>
  </si>
  <si>
    <t>rpsM</t>
  </si>
  <si>
    <t>SSU ribosomal protein S11 RpsK</t>
  </si>
  <si>
    <t>rpsK</t>
  </si>
  <si>
    <t>DNA-directed RNA polymerase alpha subunit RpoA</t>
  </si>
  <si>
    <t>rpoA</t>
  </si>
  <si>
    <t>LSU ribosomal protein L17 RplQ</t>
  </si>
  <si>
    <t>rplQ</t>
  </si>
  <si>
    <t>tRNA modification factors - pseudoridine synthases</t>
  </si>
  <si>
    <t>tRNA pseudouridine38-40 synthase TruA</t>
  </si>
  <si>
    <t>truA</t>
  </si>
  <si>
    <t>LSU ribosomal protein L13 RplM</t>
  </si>
  <si>
    <t>rplM</t>
  </si>
  <si>
    <t>SSU ribosomal protein S9 RpsI</t>
  </si>
  <si>
    <t>rpsI</t>
  </si>
  <si>
    <t>agmatine to putrescine via N-carbamoylputrescine</t>
  </si>
  <si>
    <t>agmatine deiminase AguA</t>
  </si>
  <si>
    <t>aguA</t>
  </si>
  <si>
    <t>N-carbamoylputrescine amidase AguB</t>
  </si>
  <si>
    <t>aguB</t>
  </si>
  <si>
    <t>cysteine desulfurase IscS1</t>
  </si>
  <si>
    <t>iscS1</t>
  </si>
  <si>
    <t>pentapeptide repeat protein with N-terminal DnaJ domain RfrJ</t>
  </si>
  <si>
    <t>rfrJ</t>
  </si>
  <si>
    <t>cell division protein FtsQ</t>
  </si>
  <si>
    <t>ftsQ</t>
  </si>
  <si>
    <t>periplasmic peptidyl-prolyl cis-trans isomerase B cyclophilin type PpiB</t>
  </si>
  <si>
    <t>ppib</t>
  </si>
  <si>
    <t>tetrapyrrole transporter PucC</t>
  </si>
  <si>
    <t>pucC</t>
  </si>
  <si>
    <t>tRNA threonylcarbamoyladenosine biosynthesis protein</t>
  </si>
  <si>
    <t>uroporphyrin-III C-methyltransferase CobA</t>
  </si>
  <si>
    <t>cobA</t>
  </si>
  <si>
    <t>SSU ribosomal protein S4 RpsD</t>
  </si>
  <si>
    <t>rpsD</t>
  </si>
  <si>
    <t>peptide chain release factor 1 PrfA</t>
  </si>
  <si>
    <t>prfA</t>
  </si>
  <si>
    <t>2_3-bisphosphoglycerate-independent phosphoglycerate mutase GpmI</t>
  </si>
  <si>
    <t>gpmI</t>
  </si>
  <si>
    <t>proteosome-type protease AnbU</t>
  </si>
  <si>
    <t>anbU</t>
  </si>
  <si>
    <t>2Fe-2S ferredoxin</t>
  </si>
  <si>
    <t>protein of unknown function DUF839</t>
  </si>
  <si>
    <t>tRNA modification factors</t>
  </si>
  <si>
    <t>tRNA(adenine34) deaminase TadA</t>
  </si>
  <si>
    <t>tadA</t>
  </si>
  <si>
    <t>photosystem I biogenesis protein BtpA</t>
  </si>
  <si>
    <t>btpA</t>
  </si>
  <si>
    <t>outer membrane morn repeat domain protein</t>
  </si>
  <si>
    <t>bifunctional dihydrofolate synthase / folylpolyglutamate synthase FolC</t>
  </si>
  <si>
    <t>folC</t>
  </si>
  <si>
    <t>TehB family methyltransferase</t>
  </si>
  <si>
    <t>zinc homeostasis</t>
  </si>
  <si>
    <t>Zn2+-responsive transcriptional regulator of zinc homeostasis Zur</t>
  </si>
  <si>
    <t>zur</t>
  </si>
  <si>
    <t>family 116 glycosyl hydrolase</t>
  </si>
  <si>
    <t>two component signal transduction system histidine kinase with GAF sensory domain Hik2</t>
  </si>
  <si>
    <t>hik2</t>
  </si>
  <si>
    <t>dethiobiotin synthetase BioD</t>
  </si>
  <si>
    <t>bioD</t>
  </si>
  <si>
    <t>Glutathione: Non-redox reactions</t>
  </si>
  <si>
    <t>glutathione S-transferase Gst</t>
  </si>
  <si>
    <t>gst</t>
  </si>
  <si>
    <t>protein of unknown function DUF3531</t>
  </si>
  <si>
    <t xml:space="preserve">16S rRNA (cytosine967-C5)-methyltransferase RsmB </t>
  </si>
  <si>
    <t>rsmB</t>
  </si>
  <si>
    <t>polyphosphate kinase/exopolyphosphatase system</t>
  </si>
  <si>
    <t>polyphosphate kinase Ppk</t>
  </si>
  <si>
    <t>ppk</t>
  </si>
  <si>
    <t>bifunctional succinate-semialdehyde dehydrogenase / glutarate-semialdehyde dehydrogenase GabD</t>
  </si>
  <si>
    <t>gabD</t>
  </si>
  <si>
    <t>phospholipid/glycerol acyltransferase</t>
  </si>
  <si>
    <t>pyruvate formate lyase activating enzyme PflA</t>
  </si>
  <si>
    <t>pflA</t>
  </si>
  <si>
    <t>bifunctional acetaldehyde dehydrogenase / alcohol dehydrogenase</t>
  </si>
  <si>
    <t>lipoate-protein ligase LplA</t>
  </si>
  <si>
    <t>lplA</t>
  </si>
  <si>
    <t>FHA domain-containing protein</t>
  </si>
  <si>
    <t>PHP family metal-dependent phosphoesterase</t>
  </si>
  <si>
    <t>N-linked glycosylation</t>
  </si>
  <si>
    <t>O-antigen exporter</t>
  </si>
  <si>
    <t>FkbM family methyltransferase</t>
  </si>
  <si>
    <t>alpha-1_4-N-acetylgalactosamine transferase PglJ</t>
  </si>
  <si>
    <t>pglJ</t>
  </si>
  <si>
    <t>glycosyl transferase group 1</t>
  </si>
  <si>
    <t>asparagine synthetase [glutamine-hydrolyzing]</t>
  </si>
  <si>
    <t>glycosyltransferase family 4</t>
  </si>
  <si>
    <t>hypothetical thylakoid membrane protein</t>
  </si>
  <si>
    <t>protein with HAS-barrel and DUF87 domains</t>
  </si>
  <si>
    <t>metal-binding protein of unknown function DUF2227</t>
  </si>
  <si>
    <t>periplasmic GerMN domain protein</t>
  </si>
  <si>
    <t>photosynthesis response system NblRS</t>
  </si>
  <si>
    <t>two component signal transduction system response regulator OmpR family</t>
  </si>
  <si>
    <t>lipoprotein of unknown function DUF192</t>
  </si>
  <si>
    <t>flotillin family protein YqiK</t>
  </si>
  <si>
    <t>yqiK</t>
  </si>
  <si>
    <t>group 2 RNA polymerase sigma-70 subunit SigD</t>
  </si>
  <si>
    <t>sigD</t>
  </si>
  <si>
    <t>cob(I)alamin adenosyltransferase CobO</t>
  </si>
  <si>
    <t>cobO</t>
  </si>
  <si>
    <t>nucleoside-diphosphate kinase Ndk</t>
  </si>
  <si>
    <t>ndk</t>
  </si>
  <si>
    <t>magnesium chelatase subunit BchH</t>
  </si>
  <si>
    <t>bchH</t>
  </si>
  <si>
    <t>sulfate uptake system CysAPUW</t>
  </si>
  <si>
    <t>ABC-type sulfate/thiosulfate uptake system substrate-binding component CysP</t>
  </si>
  <si>
    <t>cysP</t>
  </si>
  <si>
    <t>ABC-type sulfate/thiosulfate uptake system permease component CysU</t>
  </si>
  <si>
    <t>cysU</t>
  </si>
  <si>
    <t>ABC-type sulfate/thiosulfate uptake system permease component CysW</t>
  </si>
  <si>
    <t>cysW</t>
  </si>
  <si>
    <t>3-methyl-2-oxobutanoate hydroxymethyltransferase PanB</t>
  </si>
  <si>
    <t>panB</t>
  </si>
  <si>
    <t>histidinol-phosphate aminotransferase HisC</t>
  </si>
  <si>
    <t>hisC</t>
  </si>
  <si>
    <t>ECF-type biotin uptake system permease component CbiQ</t>
  </si>
  <si>
    <t>para-aminobenzoic acid (PABA) biosynthesis from chorismate</t>
  </si>
  <si>
    <t>aminodeoxychorismate synthase aminase subunit PabB</t>
  </si>
  <si>
    <t>pabB</t>
  </si>
  <si>
    <t>single-stranded DNA-binding protein</t>
  </si>
  <si>
    <t>transcription antitermination protein NusG</t>
  </si>
  <si>
    <t>nusG</t>
  </si>
  <si>
    <t>LSU ribosomal protein L11 RlpK</t>
  </si>
  <si>
    <t>rplK</t>
  </si>
  <si>
    <t>LSU ribosomal protein L1 RplA</t>
  </si>
  <si>
    <t>rplA</t>
  </si>
  <si>
    <t>LSU ribosomal protein L10 RplJ</t>
  </si>
  <si>
    <t>rplJ</t>
  </si>
  <si>
    <t>LSU ribosomal protein L7/L12 RplL</t>
  </si>
  <si>
    <t>rplL</t>
  </si>
  <si>
    <t>ribonuclease HI RnhA</t>
  </si>
  <si>
    <t>rnhA</t>
  </si>
  <si>
    <t>30S ribosomal component Ycf65</t>
  </si>
  <si>
    <t>ycf65</t>
  </si>
  <si>
    <t>cytochrome B6-F complex</t>
  </si>
  <si>
    <t>cytochrome b6f complex subunit PetL</t>
  </si>
  <si>
    <t>petL</t>
  </si>
  <si>
    <t>isocitrate dehydrogenase Idh3</t>
  </si>
  <si>
    <t>idh3</t>
  </si>
  <si>
    <t>translation elongation factor</t>
  </si>
  <si>
    <t>GTP-binding protein LepA</t>
  </si>
  <si>
    <t>lepA</t>
  </si>
  <si>
    <t>haloacid dehalogenase superfamily protein</t>
  </si>
  <si>
    <t>carboxysome structural protein</t>
  </si>
  <si>
    <t>group 3 RNA polymerase sigma-70 subunit SigH</t>
  </si>
  <si>
    <t>sigH</t>
  </si>
  <si>
    <t>putative periplasmic protein</t>
  </si>
  <si>
    <t>cell division</t>
  </si>
  <si>
    <t>dynamin GTPase domain protein</t>
  </si>
  <si>
    <t>serine biosynthesis</t>
  </si>
  <si>
    <t>D-3-phosphoglycerate dehydrogenase SerA</t>
  </si>
  <si>
    <t>serA</t>
  </si>
  <si>
    <t>50S ribosomal protein L11 methyltransferase PrmA</t>
  </si>
  <si>
    <t>prmA</t>
  </si>
  <si>
    <t>lytic transglycolase RlpA</t>
  </si>
  <si>
    <t>rlpA</t>
  </si>
  <si>
    <t>phosphomethylpyrimidine synthase ThiC</t>
  </si>
  <si>
    <t>thiC</t>
  </si>
  <si>
    <t>inorganic phosphate transporter PitH</t>
  </si>
  <si>
    <t>pitH</t>
  </si>
  <si>
    <t>ferredoxin--sulfite reductase beta subunit Sir</t>
  </si>
  <si>
    <t>sir</t>
  </si>
  <si>
    <t>3-phosphoshikimate 1-carboxyvinyltransferase AroA</t>
  </si>
  <si>
    <t>aroA</t>
  </si>
  <si>
    <t>two component signal transduction system twitching motility response regualator PilG</t>
  </si>
  <si>
    <t>pilG</t>
  </si>
  <si>
    <t>two component signal transduction system twitching motility response regualator PilH</t>
  </si>
  <si>
    <t>pilH</t>
  </si>
  <si>
    <t>pilin-mediated motility/competence modulating chemotaxis signal transduction system adaptor protein PilI</t>
  </si>
  <si>
    <t>pilI</t>
  </si>
  <si>
    <t>pilin-mediated motility/competence modulating chemotaxis signal transduction system methyl-accepting protein</t>
  </si>
  <si>
    <t>pilJ</t>
  </si>
  <si>
    <t>pilin-mediated motility/competence modulating chemotaxis signal transduction system histidine kinase PilL</t>
  </si>
  <si>
    <t>DEAD/DEAH box helicase protein</t>
  </si>
  <si>
    <t>pterin-binding enzyme</t>
  </si>
  <si>
    <t>diheme cytochrome c</t>
  </si>
  <si>
    <t>protein of unknown function DUF1980</t>
  </si>
  <si>
    <t>thiol redox system periplasmic thioreoxin system</t>
  </si>
  <si>
    <t>periplasmic thioredoxin TrxA</t>
  </si>
  <si>
    <t>N-acetylmuramoyl-L-alanine amidase family 2</t>
  </si>
  <si>
    <t>TldE/PmbA family protein</t>
  </si>
  <si>
    <t>oxygen-dependent protoporphyrinogen oxidase HemY</t>
  </si>
  <si>
    <t>hemY</t>
  </si>
  <si>
    <t>class II fructose-bisphosphate aldolase FbaA</t>
  </si>
  <si>
    <t>fbaA</t>
  </si>
  <si>
    <t>bifunctional glucosamine-1-phosphate N-acetyltransferase / UDP-N-acetylglucosamine diphosphorylase GlmU</t>
  </si>
  <si>
    <t>glmU</t>
  </si>
  <si>
    <t>4-hydroxybenzoate solanesyltransferase PlqA</t>
  </si>
  <si>
    <t>plqA</t>
  </si>
  <si>
    <t>thylakoid signal peptidase I LepB1</t>
  </si>
  <si>
    <t>lepB1</t>
  </si>
  <si>
    <t>beta-Alanine metabolism</t>
  </si>
  <si>
    <t>beta-alanine--pyruvate transaminase</t>
  </si>
  <si>
    <t>glyoxylase family protein</t>
  </si>
  <si>
    <t>Na-dependent potassium uptake system NAD-binding component KtrA</t>
  </si>
  <si>
    <t>ktrA</t>
  </si>
  <si>
    <t>ECF-type Co2+/Ni2+ uptake system permease component NikQ</t>
  </si>
  <si>
    <t>nikQ</t>
  </si>
  <si>
    <t>gamma-carotene 1' hydroxylase CruF</t>
  </si>
  <si>
    <t>cruF</t>
  </si>
  <si>
    <t>proline-glutamate interconversion</t>
  </si>
  <si>
    <t>bifunctional proline dehydrogenase / 1-pyrroline-5-carboxylate dehydrogenase PutA</t>
  </si>
  <si>
    <t>putA</t>
  </si>
  <si>
    <t>protein of unknown function DUF185</t>
  </si>
  <si>
    <t>photooxidative damage repair</t>
  </si>
  <si>
    <t>plastoglobulin-like protein Pgl1</t>
  </si>
  <si>
    <t>pgl1</t>
  </si>
  <si>
    <t>riboflavin (B2)_ FMN_ and FAD biosynthesis and salvage</t>
  </si>
  <si>
    <t>NADPH-dependent FMN reductase SsuE</t>
  </si>
  <si>
    <t>ssuE</t>
  </si>
  <si>
    <t>rRNA processing factors</t>
  </si>
  <si>
    <t>ribonuclease III family protein</t>
  </si>
  <si>
    <t>F0 ATP synthase complex locus membrane protein AtpI</t>
  </si>
  <si>
    <t>atpI</t>
  </si>
  <si>
    <t>F0 ATP synthase complex subunit A AtpB</t>
  </si>
  <si>
    <t>atpB</t>
  </si>
  <si>
    <t>F0 ATP synthase complex subunit C AtpE</t>
  </si>
  <si>
    <t>atpE</t>
  </si>
  <si>
    <t>F0 ATP synthase complex B' subunit AtpG</t>
  </si>
  <si>
    <t>F0 ATP synthase complex B subunit AtpF</t>
  </si>
  <si>
    <t>atpF</t>
  </si>
  <si>
    <t>F1 ATP synthase complex delta subunit AtpH</t>
  </si>
  <si>
    <t>atpH</t>
  </si>
  <si>
    <t>F1 ATP synthase complex alpha subunit AtpA</t>
  </si>
  <si>
    <t>atpA</t>
  </si>
  <si>
    <t>nucleotide sugar biosynthesis</t>
  </si>
  <si>
    <t>bifunctional mannose-1-phosphate guanylyltransferase / phosphomannomutase</t>
  </si>
  <si>
    <t>low temperature/osmotic stress-responsive two component signal transduction system histidine kinase with PAS domain NblS</t>
  </si>
  <si>
    <t>nblS</t>
  </si>
  <si>
    <t>porin</t>
  </si>
  <si>
    <t>lipid-linked murein precursor export</t>
  </si>
  <si>
    <t>cell division protein FtsW</t>
  </si>
  <si>
    <t>ftsW</t>
  </si>
  <si>
    <t>serine/threonine protein kinase regulating cellular motility SpkA</t>
  </si>
  <si>
    <t>spkA</t>
  </si>
  <si>
    <t>osmoprotection</t>
  </si>
  <si>
    <t>high-affinity Na+(Li+):H+ thylakoid membrane antiporter NhaS3</t>
  </si>
  <si>
    <t>nhaS3</t>
  </si>
  <si>
    <t>methylenetetrahydrofolate--tRNA-(uracil-5-)-methyltransferase TrmFO</t>
  </si>
  <si>
    <t>trmFO</t>
  </si>
  <si>
    <t>photosystem II main subunits</t>
  </si>
  <si>
    <t>photosystem II P680 reaction center protein PsbD2</t>
  </si>
  <si>
    <t>psbD2</t>
  </si>
  <si>
    <t>cytosine deaminase CodA</t>
  </si>
  <si>
    <t>codA</t>
  </si>
  <si>
    <t>D-Glutamine and D-glutamate metabolism</t>
  </si>
  <si>
    <t>glutamate racemase MurI</t>
  </si>
  <si>
    <t>murI</t>
  </si>
  <si>
    <t>conserved hypothetical membrane protein</t>
  </si>
  <si>
    <t>protein of unknown function DUF2996</t>
  </si>
  <si>
    <t>glutamate-1-semialdehyde 2_1-aminomutase HemL</t>
  </si>
  <si>
    <t>hemL</t>
  </si>
  <si>
    <t>circadian clock core oscillator KaiABC</t>
  </si>
  <si>
    <t>circadian clock protein KaiA</t>
  </si>
  <si>
    <t>kaiA</t>
  </si>
  <si>
    <t>circadian clock system KaiB</t>
  </si>
  <si>
    <t>kaiB</t>
  </si>
  <si>
    <t>circadian clock system KaiC</t>
  </si>
  <si>
    <t>kaiC</t>
  </si>
  <si>
    <t>NAD+ kinase NadK</t>
  </si>
  <si>
    <t>nadK</t>
  </si>
  <si>
    <t>metal-dependent phosphohydrolase with GAF domain</t>
  </si>
  <si>
    <t>WD-40 repeat protein</t>
  </si>
  <si>
    <t>iron-sulfur cluster redox status-responsive transcriptional repressor of iron-sulfur cluster biogenesis SufR</t>
  </si>
  <si>
    <t>sufR</t>
  </si>
  <si>
    <t>photosystem II reaction center protein Psb28</t>
  </si>
  <si>
    <t>psb28</t>
  </si>
  <si>
    <t>3-dehydroquinate dehydratase II AroQ</t>
  </si>
  <si>
    <t>aroQ</t>
  </si>
  <si>
    <t>HNH endonuclease family protein</t>
  </si>
  <si>
    <t>Crp family transcriptional repressor</t>
  </si>
  <si>
    <t>group 2 RNA polymerase sigma-70 subunit SigE</t>
  </si>
  <si>
    <t>sigE</t>
  </si>
  <si>
    <t>zinc uptake system ZnuABC</t>
  </si>
  <si>
    <t>ABC-type zinc uptake system permease component ZntB</t>
  </si>
  <si>
    <t>zntB</t>
  </si>
  <si>
    <t>predicted transcriptional regulator of cysteine synthase_ Rrf2 family</t>
  </si>
  <si>
    <t>cell division trigger factor Tig</t>
  </si>
  <si>
    <t>tig</t>
  </si>
  <si>
    <t>ATP-dependent protease ClpP2</t>
  </si>
  <si>
    <t>clpP2</t>
  </si>
  <si>
    <t>ClpP1/P2 protease ATP-binding regulatory subunit ClpX</t>
  </si>
  <si>
    <t>clpX</t>
  </si>
  <si>
    <t>glucose degradation (glycolysis)</t>
  </si>
  <si>
    <t>pyruvate kinase family protein</t>
  </si>
  <si>
    <t>F1 ATP synthase complex beta subunit AtpD</t>
  </si>
  <si>
    <t>atpD</t>
  </si>
  <si>
    <t>F1 ATP synthase complex epsilon subunit AtpC</t>
  </si>
  <si>
    <t>atpC</t>
  </si>
  <si>
    <t>FtsH/HflKC protease complex</t>
  </si>
  <si>
    <t>ATP-dependent metalloprotease FtsH</t>
  </si>
  <si>
    <t>ftsH4</t>
  </si>
  <si>
    <t>holliday junction DNA helicase RuvA</t>
  </si>
  <si>
    <t>ruvA</t>
  </si>
  <si>
    <t>tRNA uridine 5-carboxymethylaminomethyl modification enzyme GidA</t>
  </si>
  <si>
    <t>gidA</t>
  </si>
  <si>
    <t>urease accessory protein UreH</t>
  </si>
  <si>
    <t>ureH</t>
  </si>
  <si>
    <t>ABC-type branched-chain amino acid uptake system permease component LivM</t>
  </si>
  <si>
    <t>livM</t>
  </si>
  <si>
    <t>anti-sigma factors</t>
  </si>
  <si>
    <t>anti-sigma B factor RsbW</t>
  </si>
  <si>
    <t>rsbW</t>
  </si>
  <si>
    <t>major facilitator family transporter</t>
  </si>
  <si>
    <t>precorrin-4 C11-methyltransferase CobM</t>
  </si>
  <si>
    <t>cobM</t>
  </si>
  <si>
    <t>light-dependent protochlorophyllide oxidoreductase Por</t>
  </si>
  <si>
    <t>por</t>
  </si>
  <si>
    <t>6-phosphogluconate dehydrogenase Gnd</t>
  </si>
  <si>
    <t>gnd</t>
  </si>
  <si>
    <t>sucrose degradation</t>
  </si>
  <si>
    <t>sucrose phosphate synthase Sps</t>
  </si>
  <si>
    <t>sps</t>
  </si>
  <si>
    <t>epoxyqueuosine (oQ) reductase QueG</t>
  </si>
  <si>
    <t>queG</t>
  </si>
  <si>
    <t>extracytoplasmic disulfide bond formation system</t>
  </si>
  <si>
    <t>bifunctional protein disulfide isomerase / oxidoreductase DsbAB</t>
  </si>
  <si>
    <t>dsbAB</t>
  </si>
  <si>
    <t>inorganic phosphate-responsive two component signal transduction system response regulator of phosphate metabolism SphR</t>
  </si>
  <si>
    <t>sphR</t>
  </si>
  <si>
    <t>ribonuclease PH Rph</t>
  </si>
  <si>
    <t>rph</t>
  </si>
  <si>
    <t>competence membrane protein ComM</t>
  </si>
  <si>
    <t>comM</t>
  </si>
  <si>
    <t>ABC-type multiple sugar uptake system substrate-binding component</t>
  </si>
  <si>
    <t>ribonuclease E Rne</t>
  </si>
  <si>
    <t>rne</t>
  </si>
  <si>
    <t>glutamine degradation</t>
  </si>
  <si>
    <t>glutaminase GlsA</t>
  </si>
  <si>
    <t>glsA</t>
  </si>
  <si>
    <t>chromosomal replication initiator protein DnaA</t>
  </si>
  <si>
    <t>dnaA</t>
  </si>
  <si>
    <t>2-C-methyl-D-erythritol 4-phosphate cytidylyltransferase IspD</t>
  </si>
  <si>
    <t>ispD</t>
  </si>
  <si>
    <t>mannose-1-phosphate guanylyltransferase GmpP</t>
  </si>
  <si>
    <t>gmpP</t>
  </si>
  <si>
    <t>ArsP family  organo-arsenical exporter</t>
  </si>
  <si>
    <t>lipoyl synthase LipA1</t>
  </si>
  <si>
    <t>lipA1</t>
  </si>
  <si>
    <t>3-oxoacyl-[acyl-carrier-protein] synthase II FabB</t>
  </si>
  <si>
    <t>fabB</t>
  </si>
  <si>
    <t>exopolysaccharide biosynthesis polyprenyl glycosylphosphotransferase</t>
  </si>
  <si>
    <t>protease_ periplasmic</t>
  </si>
  <si>
    <t>periplasmic processing metalloprotease YmxG</t>
  </si>
  <si>
    <t>ymxG</t>
  </si>
  <si>
    <t>NADH-plastoquinone oxidoreductase subunit NdhS</t>
  </si>
  <si>
    <t>ndhS</t>
  </si>
  <si>
    <t>HAS barrel domain protein</t>
  </si>
  <si>
    <t>tRNA dimethylallyltransferase MiaA</t>
  </si>
  <si>
    <t>miaA</t>
  </si>
  <si>
    <t>protein of unknown function UPF0081</t>
  </si>
  <si>
    <t>exoribonuclease II Rnb</t>
  </si>
  <si>
    <t>rnb</t>
  </si>
  <si>
    <t>Fe-S cluster protein</t>
  </si>
  <si>
    <t>16S rRNA pseudouridylate 516 synthase RsuA</t>
  </si>
  <si>
    <t>rsuA</t>
  </si>
  <si>
    <t>enolase Eno</t>
  </si>
  <si>
    <t>eno</t>
  </si>
  <si>
    <t>16S rRNA (adenine1518-N6/adenine1519-N6)-dimethyltransferase RsmA</t>
  </si>
  <si>
    <t>rsmA</t>
  </si>
  <si>
    <t>NADH-plastoquinone oxidoreductase subunit NdhA</t>
  </si>
  <si>
    <t>ndhA</t>
  </si>
  <si>
    <t>NADH-plastoquinone oxidoreductase subunit NdhI</t>
  </si>
  <si>
    <t>ndhI</t>
  </si>
  <si>
    <t>NADH-plastoquinone oxidoreductase subunit NdhG</t>
  </si>
  <si>
    <t>ndhG</t>
  </si>
  <si>
    <t>NADH-plastoquinone oxidoreductase K subunit NdhE</t>
  </si>
  <si>
    <t>ndhE</t>
  </si>
  <si>
    <t>periplasmic stress-inducible serine peptidase HhoB</t>
  </si>
  <si>
    <t>hhoB</t>
  </si>
  <si>
    <t>protein of unknown function DUF3326</t>
  </si>
  <si>
    <t>protein of unknown function DUF2887</t>
  </si>
  <si>
    <t>phenylalanyl-tRNA synthetase alpha subunit PheS</t>
  </si>
  <si>
    <t>pheS</t>
  </si>
  <si>
    <t>CobQ/CobB/MinD/ParA nucleotide binding domain-containing protein</t>
  </si>
  <si>
    <t>citrate cycle_ first carbon oxidation</t>
  </si>
  <si>
    <t>bifunctional aconitate hydratase 2/2-methylisocitrate dehydratase AcnB</t>
  </si>
  <si>
    <t>acnB</t>
  </si>
  <si>
    <t>NAD(P) transhydrogenase alpha chain part 1 PntA</t>
  </si>
  <si>
    <t>pntA</t>
  </si>
  <si>
    <t>NAD(P) transhydrogenase beta subunit PntB</t>
  </si>
  <si>
    <t>pntB</t>
  </si>
  <si>
    <t>L-asparagine amidopeptidase AnsA1</t>
  </si>
  <si>
    <t>ansA1</t>
  </si>
  <si>
    <t>NADH-plastoquinone oxidoreductase subunit NdhK</t>
  </si>
  <si>
    <t>ndhK</t>
  </si>
  <si>
    <t>protein of unknown function DUF3007</t>
  </si>
  <si>
    <t>maltose degradation</t>
  </si>
  <si>
    <t>4-alpha-glucanotransferase MalQ</t>
  </si>
  <si>
    <t>malQ</t>
  </si>
  <si>
    <t>pyridoxal-phosphate-dependent aminotransferase DegT/DnrJ/EryC1/StrS family</t>
  </si>
  <si>
    <t>lactate oxidation</t>
  </si>
  <si>
    <t>fermentative lactate dehydrogenase LdhA</t>
  </si>
  <si>
    <t>ldhA</t>
  </si>
  <si>
    <t>argininosuccinate synthase ArgG</t>
  </si>
  <si>
    <t>argG</t>
  </si>
  <si>
    <t>CC-adding tRNA nucleotidyltransferase PcnB</t>
  </si>
  <si>
    <t>pcnB</t>
  </si>
  <si>
    <t>protein of unknown function DUF500</t>
  </si>
  <si>
    <t>DNA-binding protein YbaB/EbfC family</t>
  </si>
  <si>
    <t>hyperosmotic stress-responsive two component signal transduction system response regulator LuxR subfamily</t>
  </si>
  <si>
    <t>photosystem I P700 chlorophyll a apoprotein A1 PsaA</t>
  </si>
  <si>
    <t>psaA</t>
  </si>
  <si>
    <t>photosystem I P700 chlorophyll a apoprotein A2 PsaB</t>
  </si>
  <si>
    <t>psaB</t>
  </si>
  <si>
    <t>biosynthesis of undecaprenyl phosphate (Und-P)</t>
  </si>
  <si>
    <t>undecaprenyl-diphosphatase UppP</t>
  </si>
  <si>
    <t>uppP</t>
  </si>
  <si>
    <t>group 3 RNA polymerase sigma-70 subunit SigF</t>
  </si>
  <si>
    <t>sigF</t>
  </si>
  <si>
    <t>light-dependent circadian clock protein complex redox sensing component LdpA</t>
  </si>
  <si>
    <t>ldpA</t>
  </si>
  <si>
    <t>ATPase-like protein Ycf45</t>
  </si>
  <si>
    <t>ycf45</t>
  </si>
  <si>
    <t>uroporphyrinogen decarboxylase HemE</t>
  </si>
  <si>
    <t>hemE</t>
  </si>
  <si>
    <t>protein of unknown function DUF55</t>
  </si>
  <si>
    <t>hypothetical cyanobacterial membrane protein in cluster with PxcA</t>
  </si>
  <si>
    <t>methionyl-tRNA synthetase MetG</t>
  </si>
  <si>
    <t>metG</t>
  </si>
  <si>
    <t>lipopolysaccharde export component LptC</t>
  </si>
  <si>
    <t>lptC</t>
  </si>
  <si>
    <t>2OG-Fe(II) oxygenase superfamily protein</t>
  </si>
  <si>
    <t>cell division protein ZipN</t>
  </si>
  <si>
    <t>zipN</t>
  </si>
  <si>
    <t>glutamate-5-semialdehyde dehydrogenase ProA</t>
  </si>
  <si>
    <t>proA</t>
  </si>
  <si>
    <t>phosphoenolpyruvate synthase PpsA</t>
  </si>
  <si>
    <t>ppsA</t>
  </si>
  <si>
    <t>cobalt-precorrin-5B (C1)-methyltransferase CbiD</t>
  </si>
  <si>
    <t>cbiD</t>
  </si>
  <si>
    <t>prolyl-tRNA synthetase ProS</t>
  </si>
  <si>
    <t>proS</t>
  </si>
  <si>
    <t>methyltransferase type 11</t>
  </si>
  <si>
    <t>cell wall degradation product uptake permease AmpG</t>
  </si>
  <si>
    <t>ampG</t>
  </si>
  <si>
    <t>3-dehydroquinate synthase AroB</t>
  </si>
  <si>
    <t>aroB</t>
  </si>
  <si>
    <t>plastoquinol—plastocyanin reductase (cytochrome b6-f complex)</t>
  </si>
  <si>
    <t>plastoquinol—plastocyanin reductase cytochrome cn subunit PetB</t>
  </si>
  <si>
    <t>petB</t>
  </si>
  <si>
    <t>cytochrome b6-f complex subunit IV PetD</t>
  </si>
  <si>
    <t>petD</t>
  </si>
  <si>
    <t>ATP-dependent DNA helicase RecQ</t>
  </si>
  <si>
    <t>recQ</t>
  </si>
  <si>
    <t>CbbY family protein</t>
  </si>
  <si>
    <t>lysophosphatidic acid acyltransferase</t>
  </si>
  <si>
    <t>nucleoside triphosphate pyrophosphohydrolase MazG</t>
  </si>
  <si>
    <t>mazG</t>
  </si>
  <si>
    <t>cation transporting ATPase</t>
  </si>
  <si>
    <t>deoxyhypusine synthase</t>
  </si>
  <si>
    <t>peptidyl-prolyl cis-trans isomerase PpiB</t>
  </si>
  <si>
    <t>ppiB</t>
  </si>
  <si>
    <t>GTP-binding domain protein</t>
  </si>
  <si>
    <t>small-conductance mechanosensitive channel</t>
  </si>
  <si>
    <t>ribosome activity modulation</t>
  </si>
  <si>
    <t>light-repressed ribosomal subunit interface protein LrtA</t>
  </si>
  <si>
    <t>lrtA</t>
  </si>
  <si>
    <t>manganese homeostasis</t>
  </si>
  <si>
    <t>pentapeptide repeat-containing protein RfrA</t>
  </si>
  <si>
    <t>rfrA</t>
  </si>
  <si>
    <t>pyridoxine 5'-phosphate synthase PdxJ</t>
  </si>
  <si>
    <t>pdxJ</t>
  </si>
  <si>
    <t>protein of unknown function DUF3038</t>
  </si>
  <si>
    <t>zinc-dependent gamma carbonic anhydrase CagA</t>
  </si>
  <si>
    <t>cagA</t>
  </si>
  <si>
    <t>glycerol-3-phosphate acyltransferase PlsX</t>
  </si>
  <si>
    <t>plsX</t>
  </si>
  <si>
    <t>3-oxoacyl-[acyl-carrier-protein] synthase III FabH</t>
  </si>
  <si>
    <t>fabH</t>
  </si>
  <si>
    <t>SMC-ScpA-ScpB complex</t>
  </si>
  <si>
    <t>segregation and condensation protein ScpB</t>
  </si>
  <si>
    <t>scpB</t>
  </si>
  <si>
    <t>late competence development protein ComFB</t>
  </si>
  <si>
    <t>comFB</t>
  </si>
  <si>
    <t>(R)-citramalate synthase CimA</t>
  </si>
  <si>
    <t>cimA</t>
  </si>
  <si>
    <t>serine O-acetyltransferase CysE</t>
  </si>
  <si>
    <t>cysE</t>
  </si>
  <si>
    <t>leucyl/phenylalanyl-tRNA--protein transferase Aat</t>
  </si>
  <si>
    <t>aat</t>
  </si>
  <si>
    <t>small heat shock molecular chaperone HspA</t>
  </si>
  <si>
    <t>hspA</t>
  </si>
  <si>
    <t>ribosome biogenesis GTPase Der</t>
  </si>
  <si>
    <t>der</t>
  </si>
  <si>
    <t>shikimate kinase AroK</t>
  </si>
  <si>
    <t>aroK</t>
  </si>
  <si>
    <t>membrane protein of unknown function DUF4126</t>
  </si>
  <si>
    <t>ABC-type nitrate/sulfonate/bicarbonate transport system ATPase component</t>
  </si>
  <si>
    <t>membrane protein related to metalloendopeptidase</t>
  </si>
  <si>
    <t>dephospho-CoA kinase CoaE</t>
  </si>
  <si>
    <t>coaE</t>
  </si>
  <si>
    <t>cobaltochelatase subunit CobN</t>
  </si>
  <si>
    <t>cobN</t>
  </si>
  <si>
    <t>ABC-type export system membrane fusion component</t>
  </si>
  <si>
    <t>NADH-plastoquinone oxidoreductase dehydrogenase subunit NdhF3</t>
  </si>
  <si>
    <t>ndhF3</t>
  </si>
  <si>
    <t>NADH-plastoquinone oxidoreductase subunit NdhD3</t>
  </si>
  <si>
    <t>ndhD3</t>
  </si>
  <si>
    <t>high-affinity CO2 hydration protein CupA</t>
  </si>
  <si>
    <t>cupA</t>
  </si>
  <si>
    <t>glutathione synthase GshB</t>
  </si>
  <si>
    <t>gshB</t>
  </si>
  <si>
    <t>leucine and isoleucine biosynthesis from pyruvate and acetyl-CoA</t>
  </si>
  <si>
    <t>3-isopropylmalate/(R)-2-methylmalate dehydratase large subunit LeuC</t>
  </si>
  <si>
    <t>leuC</t>
  </si>
  <si>
    <t>light sensory transduction</t>
  </si>
  <si>
    <t>class II cyanobacteriochrome</t>
  </si>
  <si>
    <t>cob(I)alamin adenosyltransferase</t>
  </si>
  <si>
    <t>Sensory transduction: light</t>
  </si>
  <si>
    <t>blue light-activated diguanylate cyclase SesA</t>
  </si>
  <si>
    <t>sesA</t>
  </si>
  <si>
    <t>ABC-type glutathione uptake system ATPase component GsiA</t>
  </si>
  <si>
    <t>gsiA</t>
  </si>
  <si>
    <t>PAPS to APS</t>
  </si>
  <si>
    <t>3'(2')_ 5'-bisphosphate nucleotidase CysQ</t>
  </si>
  <si>
    <t>cysQ</t>
  </si>
  <si>
    <t>fused signal recognition particle receptor FtsY</t>
  </si>
  <si>
    <t>ftsY</t>
  </si>
  <si>
    <t>lysine biosynthesis</t>
  </si>
  <si>
    <t>bifunctional acetylornithine/N-succinyldiaminopimelate aminotransferase ArgD</t>
  </si>
  <si>
    <t>argD</t>
  </si>
  <si>
    <t>YtxH-like protein</t>
  </si>
  <si>
    <t>rod shape-determining protein MreB</t>
  </si>
  <si>
    <t>mreB</t>
  </si>
  <si>
    <t>rod shape-determining protein MreC</t>
  </si>
  <si>
    <t>mreC</t>
  </si>
  <si>
    <t>rod shape-determining protein MreD</t>
  </si>
  <si>
    <t>mreD</t>
  </si>
  <si>
    <t>23S rRNA (uracil1939-C5)-methyltransferase RumA</t>
  </si>
  <si>
    <t>rumA</t>
  </si>
  <si>
    <t>dTDP-L-rhamnose biosynthesis from dTDP-4-dehydro-L-rhamnose</t>
  </si>
  <si>
    <t>dTDP-4-dehydrorhamnose reductase RmlD</t>
  </si>
  <si>
    <t>rmlD</t>
  </si>
  <si>
    <t>twin-arginine protein export system TatABCE</t>
  </si>
  <si>
    <t>sec-independent protein translocase protein TatC</t>
  </si>
  <si>
    <t>tatC</t>
  </si>
  <si>
    <t>CO2 fixation: microcompartment</t>
  </si>
  <si>
    <t>plastoquinol—plastocyanin reductase iron-sulfur subunit PetC</t>
  </si>
  <si>
    <t>petC</t>
  </si>
  <si>
    <t>plastoquinol—plastocyanin reductase cytochrome f subunit PetA</t>
  </si>
  <si>
    <t>petA</t>
  </si>
  <si>
    <t>tRNA modification GTPase MnmE</t>
  </si>
  <si>
    <t>mnmE</t>
  </si>
  <si>
    <t>lipopolysaccharide biosynthesis</t>
  </si>
  <si>
    <t>MinCDE system</t>
  </si>
  <si>
    <t>cell division inhibitor minD</t>
  </si>
  <si>
    <t>minD</t>
  </si>
  <si>
    <t>triosephosphate isomerase TpiA</t>
  </si>
  <si>
    <t>tpiA</t>
  </si>
  <si>
    <t>tetratricopeptide repeat domain protein</t>
  </si>
  <si>
    <t>membrane-bound lytic transglycosylase A MltA</t>
  </si>
  <si>
    <t>mltA</t>
  </si>
  <si>
    <t>pectinesterase family protein</t>
  </si>
  <si>
    <t>VWA domain protein</t>
  </si>
  <si>
    <t>TCA cycle</t>
  </si>
  <si>
    <t>succinate dehydrogenase cytochrome b556 subunit SdhC</t>
  </si>
  <si>
    <t>sdhC</t>
  </si>
  <si>
    <t>urease gamma subunit UreA</t>
  </si>
  <si>
    <t>ureA</t>
  </si>
  <si>
    <t>threonine synthase ThrCII</t>
  </si>
  <si>
    <t>thrCII</t>
  </si>
  <si>
    <t>transglutaminase-like domain-containing protein</t>
  </si>
  <si>
    <t>(E)-4-hydroxy-3-methylbut-2-en-1-yl diphosphate synthase IspG</t>
  </si>
  <si>
    <t>ispG</t>
  </si>
  <si>
    <t>Cell cycle regulation</t>
  </si>
  <si>
    <t>histidine triad nucleotide-binding protein</t>
  </si>
  <si>
    <t>ISTel4 transposase TnpA_ISTel4</t>
  </si>
  <si>
    <t>tnpA_ISTel4</t>
  </si>
  <si>
    <t>GTPase of unknown function DUF697</t>
  </si>
  <si>
    <t>Zn(II)-responsive transcriptional repressor of zinc resistance SmtB</t>
  </si>
  <si>
    <t>smtB</t>
  </si>
  <si>
    <t>beta-helix repeat protein</t>
  </si>
  <si>
    <t>1-deoxy-D-xylulose-5-phosphate reductoisomerase Dxr</t>
  </si>
  <si>
    <t>dxr</t>
  </si>
  <si>
    <t>4-hydroxy-3-methylbut-2-enyl diphosphate reductase IspH</t>
  </si>
  <si>
    <t>ispH</t>
  </si>
  <si>
    <t>family S33 protease</t>
  </si>
  <si>
    <t>glutamate salvage</t>
  </si>
  <si>
    <t>Na:glutamate symporter GltS</t>
  </si>
  <si>
    <t>gltS</t>
  </si>
  <si>
    <t>sucrose biosynthesis</t>
  </si>
  <si>
    <t>sucrose-phosphate synthase SpsA</t>
  </si>
  <si>
    <t>spsA</t>
  </si>
  <si>
    <t>iron starvation-induced chlorophyll a(b) binding protein IsiA</t>
  </si>
  <si>
    <t>isiA</t>
  </si>
  <si>
    <t>rRNA small subunit methyltransferase RsmD</t>
  </si>
  <si>
    <t>rsmD</t>
  </si>
  <si>
    <t>methylglyoxal detoxification</t>
  </si>
  <si>
    <t>methylglyoxal reductase SakR1</t>
  </si>
  <si>
    <t>sakR1</t>
  </si>
  <si>
    <t>precorrin-6A reductase CobK</t>
  </si>
  <si>
    <t>cobK</t>
  </si>
  <si>
    <t>16S rRNA processing protein RimM</t>
  </si>
  <si>
    <t>rimM</t>
  </si>
  <si>
    <t>translation initiation</t>
  </si>
  <si>
    <t>translation initiation factor InfB</t>
  </si>
  <si>
    <t>infB</t>
  </si>
  <si>
    <t>ABC-type polar amino acid uptake system substrate-binding component</t>
  </si>
  <si>
    <t>ergothioneine biosynthesis protein EgtD</t>
  </si>
  <si>
    <t>egtD</t>
  </si>
  <si>
    <t>ATP-dependent protease  ClpP3</t>
  </si>
  <si>
    <t>clpP3</t>
  </si>
  <si>
    <t>chloroplast import component Tic20 family protein YCF60</t>
  </si>
  <si>
    <t>ycf60</t>
  </si>
  <si>
    <t>lipopolysaccharide secretin LptD</t>
  </si>
  <si>
    <t>lptD</t>
  </si>
  <si>
    <t>6-phosphogluconolactonase PglS</t>
  </si>
  <si>
    <t>pglS</t>
  </si>
  <si>
    <t>utilization of deoxynucleosides</t>
  </si>
  <si>
    <t>deoxyribose-phosphate aldolase DeoC</t>
  </si>
  <si>
    <t>deoC</t>
  </si>
  <si>
    <t>putative ribonuclease D Rnd</t>
  </si>
  <si>
    <t>rnd</t>
  </si>
  <si>
    <t>oxygen and nitric oxide detoxification_ photosystem II protection</t>
  </si>
  <si>
    <t>NAD(P)H:oxygen oxidoreductase Flv4</t>
  </si>
  <si>
    <t>flv4</t>
  </si>
  <si>
    <t>B12-independent 5-methyltetrahydropteroyltriglutamate--homocysteine methyltransferase MetE</t>
  </si>
  <si>
    <t>metE</t>
  </si>
  <si>
    <t>periplasmic FKBP-type peptidyl-prolyl cis-trans isomerase YtfC</t>
  </si>
  <si>
    <t>ytfC</t>
  </si>
  <si>
    <t>DNA repair protein RadA</t>
  </si>
  <si>
    <t>radA</t>
  </si>
  <si>
    <t>high affinity urea uptake system UrtABCDE</t>
  </si>
  <si>
    <t>ABC-type high affinity urea uptake system substrate-binding component UrtA</t>
  </si>
  <si>
    <t>urtA</t>
  </si>
  <si>
    <t>ABC-type high affinity urea uptake system permease component UrtB</t>
  </si>
  <si>
    <t>urtB</t>
  </si>
  <si>
    <t>ABC-type high affinity urea uptake system permease component UrtC</t>
  </si>
  <si>
    <t>urtC</t>
  </si>
  <si>
    <t>ABC-type high affinity urea uptake system ATPase component UrtD</t>
  </si>
  <si>
    <t>urtD</t>
  </si>
  <si>
    <t>ABC-type high affinity urea uptake system ATPase component UrtE</t>
  </si>
  <si>
    <t>urtE</t>
  </si>
  <si>
    <t>NADH-plastoquinone oxidoreductase subunit NdhN</t>
  </si>
  <si>
    <t>ndhN</t>
  </si>
  <si>
    <t>DNA polymerase III gamma and tau subunits DnaX</t>
  </si>
  <si>
    <t>dnaX</t>
  </si>
  <si>
    <t>photosystem II biogenesis protein Psb29</t>
  </si>
  <si>
    <t>psb29</t>
  </si>
  <si>
    <t>nucleotide phosphatase YjjG</t>
  </si>
  <si>
    <t>yjjG</t>
  </si>
  <si>
    <t>type II NADH dehydrogenase Ndh</t>
  </si>
  <si>
    <t>ndh</t>
  </si>
  <si>
    <t>crossover junction endodeoxyribonuclease RuvC</t>
  </si>
  <si>
    <t>ruvC</t>
  </si>
  <si>
    <t>lycopene cyclase CruA</t>
  </si>
  <si>
    <t>cruA</t>
  </si>
  <si>
    <t>small-conductance mechanosensitive channel mscS</t>
  </si>
  <si>
    <t>mscS</t>
  </si>
  <si>
    <t>flavoprotein HI0933 family</t>
  </si>
  <si>
    <t>ABC-type oligopeptide transport system permease component OppC</t>
  </si>
  <si>
    <t>oppC</t>
  </si>
  <si>
    <t>two component signal transduction system response regulator with spoIIE domain</t>
  </si>
  <si>
    <t>hydrolase of unknown specificity RsbQ</t>
  </si>
  <si>
    <t>rsbQ</t>
  </si>
  <si>
    <t>GGDEF domain protein</t>
  </si>
  <si>
    <t>RND-type HME family export system permease component</t>
  </si>
  <si>
    <t>coenzyme A biosynthesis from panthenate</t>
  </si>
  <si>
    <t>pantetheine-phosphate adenylyltransferase CoaD</t>
  </si>
  <si>
    <t>coaD</t>
  </si>
  <si>
    <t>cell division protein Cdv3</t>
  </si>
  <si>
    <t>cdv3</t>
  </si>
  <si>
    <t>protein of unknown function DUF565 Ycf20</t>
  </si>
  <si>
    <t>ycf20</t>
  </si>
  <si>
    <t>pyruvate dehydrogenase E1 component alpha subunit PdhA</t>
  </si>
  <si>
    <t>pdhA</t>
  </si>
  <si>
    <t>N-acetylmuramic acid 6-phosphate etherase MurQ</t>
  </si>
  <si>
    <t>murQ</t>
  </si>
  <si>
    <t>O-succinylbenzoate synthase MenC</t>
  </si>
  <si>
    <t>menC</t>
  </si>
  <si>
    <t>NAD salvage</t>
  </si>
  <si>
    <t>nicotinate phosphoribosyltransferase PncB</t>
  </si>
  <si>
    <t>pncB</t>
  </si>
  <si>
    <t>NAD(P) biosynthesis common pathway from nicotinic acid mononucleotide route 1</t>
  </si>
  <si>
    <t>nicotinate-nucleotide adenylyltransferase NadD</t>
  </si>
  <si>
    <t>nadD</t>
  </si>
  <si>
    <t>adenosine diphosphate ribose-responsive transcriptional regulator of NAD biosynthesis NrtR</t>
  </si>
  <si>
    <t>nrtR</t>
  </si>
  <si>
    <t>NAD biosynthesis from aspartate</t>
  </si>
  <si>
    <t>NAD+ synthetase NadE</t>
  </si>
  <si>
    <t>nadE</t>
  </si>
  <si>
    <t>imidazole glycerol phosphate synthase cyclase subunit HisF</t>
  </si>
  <si>
    <t>hisF</t>
  </si>
  <si>
    <t>peroxide detoxification_ periplasmic</t>
  </si>
  <si>
    <t>BCP-B family periplasmic peroxiredoxin PrxQ-B2</t>
  </si>
  <si>
    <t>prxQ-B2</t>
  </si>
  <si>
    <t>ABC-type oligopeptide uptake system permease component OppB</t>
  </si>
  <si>
    <t>oppB</t>
  </si>
  <si>
    <t>BCP-A family peroxiredoxin</t>
  </si>
  <si>
    <t>transcriptional regulator of RuBisCO operon RbcR</t>
  </si>
  <si>
    <t>rbcR</t>
  </si>
  <si>
    <t xml:space="preserve">protein of unknown function DUF3464 </t>
  </si>
  <si>
    <t>diguanylate cyclase</t>
  </si>
  <si>
    <t>ferredoxin--NADP+ reductase PetH</t>
  </si>
  <si>
    <t>petH</t>
  </si>
  <si>
    <t>methionine-R-sulfoxide reductase MsrB</t>
  </si>
  <si>
    <t>msrB</t>
  </si>
  <si>
    <t>circadian input kinase A / phytochrome-like protein</t>
  </si>
  <si>
    <t>cell division inhibitor SepF</t>
  </si>
  <si>
    <t>cdv2</t>
  </si>
  <si>
    <t>pyrroline-5-carboxylate reductase ProC</t>
  </si>
  <si>
    <t>proC</t>
  </si>
  <si>
    <t>lysine biosynthesis via diaminopimelate (DAP) utilizing ammonia and NADPH</t>
  </si>
  <si>
    <t>4-hydroxy-tetrahydrodipicolinate synthase DapA</t>
  </si>
  <si>
    <t>dapA</t>
  </si>
  <si>
    <t>bacterial RNA degradation</t>
  </si>
  <si>
    <t>RNA-metabolising metallo-beta-lactamase</t>
  </si>
  <si>
    <t>ribosome-associated protein YbeB</t>
  </si>
  <si>
    <t>ybeB</t>
  </si>
  <si>
    <t>calcium homeostasis</t>
  </si>
  <si>
    <t>P-type calcium uptake ATPase PacL</t>
  </si>
  <si>
    <t>pacL</t>
  </si>
  <si>
    <t>hypothetical extracytoplasmic protein</t>
  </si>
  <si>
    <t>2_3-bisphosphoglycerate-dependent phosphoglycerate mutase GpmA</t>
  </si>
  <si>
    <t>gpmA</t>
  </si>
  <si>
    <t>adenosine deaminase Add</t>
  </si>
  <si>
    <t>add</t>
  </si>
  <si>
    <t>3-isopropylmalate/(R)-2-methylmalate dehydratase small subunit LeuD</t>
  </si>
  <si>
    <t>leuD</t>
  </si>
  <si>
    <t>UDP-N-acetylmuramoyl-L-alanyl-D-glutamate--2_6-diaminopimelate ligase MurE</t>
  </si>
  <si>
    <t>murE</t>
  </si>
  <si>
    <t>Rad3-related DNA helicase</t>
  </si>
  <si>
    <t>zinc-regulated outer membrane porin OmpZ</t>
  </si>
  <si>
    <t>ompZ</t>
  </si>
  <si>
    <t>protein of unknown function DUF561 Ycf23</t>
  </si>
  <si>
    <t>ycf23</t>
  </si>
  <si>
    <t>NOL1/NOP2/sun family putative RNA methylase</t>
  </si>
  <si>
    <t>glycogen phosphorylase GlgP</t>
  </si>
  <si>
    <t>Fatty Acid Biosynthesis FASII</t>
  </si>
  <si>
    <t>hydrocarbon oxygenase MocD-like</t>
  </si>
  <si>
    <t>amylo-alpha-1_6-glucosidase</t>
  </si>
  <si>
    <t>protein lysine acetyltransferase Pka</t>
  </si>
  <si>
    <t>pka</t>
  </si>
  <si>
    <t>phosphoribosylaminoimidazole carboxylase ATPase subunit PurK</t>
  </si>
  <si>
    <t>purK</t>
  </si>
  <si>
    <t>protein of unknown function DUF2103</t>
  </si>
  <si>
    <t>heat stress-responsive two component signal transduction system response regulator Rre1</t>
  </si>
  <si>
    <t>rre1</t>
  </si>
  <si>
    <t>DHH phosphatase family</t>
  </si>
  <si>
    <t>phosphohistidine phosphatase SixA</t>
  </si>
  <si>
    <t>sixA</t>
  </si>
  <si>
    <t>5'-nucleotidase</t>
  </si>
  <si>
    <t>SSU ribosomal protein S6 RpsF</t>
  </si>
  <si>
    <t>rpsF</t>
  </si>
  <si>
    <t>TPR-repeat domain protein</t>
  </si>
  <si>
    <t>5'-methylthioadenosine phosphorylase MtaP</t>
  </si>
  <si>
    <t>mtaP</t>
  </si>
  <si>
    <t>glucose-1-phosphate adenylyltransferase GlgC</t>
  </si>
  <si>
    <t>glgC</t>
  </si>
  <si>
    <t>NADH-plastoquinone oxidoreductasee subunit NdhH</t>
  </si>
  <si>
    <t>ndhH</t>
  </si>
  <si>
    <t>2-C family peroxiredoxin</t>
  </si>
  <si>
    <t>GTPase with DUF697 domain</t>
  </si>
  <si>
    <t>translation elongation factor P Efp</t>
  </si>
  <si>
    <t>efp</t>
  </si>
  <si>
    <t>acetyl-CoA carboxylase complex biotin carboxyl carrier protein AccB</t>
  </si>
  <si>
    <t>accB</t>
  </si>
  <si>
    <t>acetolactate synthase catalytic subunit IlvB</t>
  </si>
  <si>
    <t>ilvB</t>
  </si>
  <si>
    <t>septum formation protein Maf</t>
  </si>
  <si>
    <t>maf</t>
  </si>
  <si>
    <t>LSU ribosomal protein L19 RplS</t>
  </si>
  <si>
    <t>rplS</t>
  </si>
  <si>
    <t>molecular chaperone GrpE</t>
  </si>
  <si>
    <t>tRNA-i(6)A37 thiotransferase enzyme MiaB</t>
  </si>
  <si>
    <t>miaB</t>
  </si>
  <si>
    <t>DNA replication initiation factor</t>
  </si>
  <si>
    <t>DNA primase DnaG</t>
  </si>
  <si>
    <t>dnaG</t>
  </si>
  <si>
    <t>cbMCalpha family metacaspase</t>
  </si>
  <si>
    <t>serine/threonine protein kinase regulator of Mn uptake SpkB</t>
  </si>
  <si>
    <t>spkB</t>
  </si>
  <si>
    <t>acetylornithine aminotransferase ArgD</t>
  </si>
  <si>
    <t>two component signal transduction system controlling glycogen catabolism response regulator NrrA</t>
  </si>
  <si>
    <t>nrrA</t>
  </si>
  <si>
    <t>8-amino-7-oxononanoate synthase BioF</t>
  </si>
  <si>
    <t>bioF</t>
  </si>
  <si>
    <t>DNA transformation</t>
  </si>
  <si>
    <t>Competence-related genes</t>
  </si>
  <si>
    <t>competence protein ComF</t>
  </si>
  <si>
    <t>comF</t>
  </si>
  <si>
    <t>adenylylsulfate kinase CysC2</t>
  </si>
  <si>
    <t>cysC2</t>
  </si>
  <si>
    <t>putative acetyl transferase</t>
  </si>
  <si>
    <t>WxcM domain protein</t>
  </si>
  <si>
    <t>DegT/DnrJ/EryC1 family pyridoxal phosphate-dependent aminotransferase</t>
  </si>
  <si>
    <t>MOP flippase superfamily transporter</t>
  </si>
  <si>
    <t>assimilatory ferredoxin-nitrite reductase NirA</t>
  </si>
  <si>
    <t>nirA</t>
  </si>
  <si>
    <t>nitrate/nitrite uptake system NrtABCD</t>
  </si>
  <si>
    <t>ABC-type nitrate/nitrite uptake system substrate-binding component NrtA</t>
  </si>
  <si>
    <t>nrtA</t>
  </si>
  <si>
    <t>ABC-type nitrate/nitrite uptake system permease component NrtB</t>
  </si>
  <si>
    <t>nrtB</t>
  </si>
  <si>
    <t>ABC-type nitrate/nitrite uptake system ATPase component NrtC</t>
  </si>
  <si>
    <t>nrtC</t>
  </si>
  <si>
    <t>ABC-type nitrate/nitrite uptake system ATPase component NrtD</t>
  </si>
  <si>
    <t>nrtD</t>
  </si>
  <si>
    <t>assimilatory ferredoxin-nitrate reductase large subunit NarB</t>
  </si>
  <si>
    <t>narB</t>
  </si>
  <si>
    <t>nitrite reductase</t>
  </si>
  <si>
    <t>nitrate reductase associated protein NarM</t>
  </si>
  <si>
    <t>narM</t>
  </si>
  <si>
    <t>DNA gyrase subunit A GyrA</t>
  </si>
  <si>
    <t>dihydroflavonol 4-reductase</t>
  </si>
  <si>
    <t>SAM-dependent methyltransferase UbiE/COQ5 family</t>
  </si>
  <si>
    <t>hemerythrin-like metal-binding domain protein</t>
  </si>
  <si>
    <t>TCA cycle second carbon oxidation</t>
  </si>
  <si>
    <t>succinate dehydrogenase flavoprotein subunit SdhA</t>
  </si>
  <si>
    <t>sdhA</t>
  </si>
  <si>
    <t>potassium channel protein</t>
  </si>
  <si>
    <t>potassium channel protein TrkA</t>
  </si>
  <si>
    <t>trkA</t>
  </si>
  <si>
    <t>heat shock-indubible protein complex disaggregase ClpB1</t>
  </si>
  <si>
    <t>clpB1</t>
  </si>
  <si>
    <t>major facilitator superfamily permease</t>
  </si>
  <si>
    <t>creatinine amidohydrolase</t>
  </si>
  <si>
    <t>protein of unknown function DUF2232</t>
  </si>
  <si>
    <t>60 kDa chaperonin protein GroEL2</t>
  </si>
  <si>
    <t>groEL2</t>
  </si>
  <si>
    <t>thioredoxin-like protein</t>
  </si>
  <si>
    <t>carboxymethylenebutenolidase</t>
  </si>
  <si>
    <t>oxygen-dependent Mg protoporphyrin IX monomethyl ester oxidative cyclase AcsF1</t>
  </si>
  <si>
    <t>acsF1</t>
  </si>
  <si>
    <t>NADH-plastoquinone oxidoreductasee subunit NdhC</t>
  </si>
  <si>
    <t>ndhC</t>
  </si>
  <si>
    <t>NADH-plastoquinone oxidoreductase subunit NdhJ</t>
  </si>
  <si>
    <t>ndhJ</t>
  </si>
  <si>
    <t>DNA protecting protein DprA</t>
  </si>
  <si>
    <t>dprA</t>
  </si>
  <si>
    <t>fructose metabolism</t>
  </si>
  <si>
    <t>protein of unknown function DUF2499 Ycf49</t>
  </si>
  <si>
    <t>ycf49</t>
  </si>
  <si>
    <t>putative outer membrane protein with SLH domain</t>
  </si>
  <si>
    <t>protein of unknown function DUF3172</t>
  </si>
  <si>
    <t>ABC-type phospholipid uptake system permease component MlaE</t>
  </si>
  <si>
    <t>mlaE</t>
  </si>
  <si>
    <t>protein of unknown function DUF1818</t>
  </si>
  <si>
    <t>GAF domain protein</t>
  </si>
  <si>
    <t>ferrous iron uptake system FeoAB</t>
  </si>
  <si>
    <t>ferrous iron uptake system permease component FeoB</t>
  </si>
  <si>
    <t>feoB</t>
  </si>
  <si>
    <t>precorrin-2/cobalt-factor-2 C20-methyltransferase CobI</t>
  </si>
  <si>
    <t>cobI</t>
  </si>
  <si>
    <t>anti-sigma regulatory factor (Ser/Thr protein kinase) essential for photomixotrophic growth PmgA</t>
  </si>
  <si>
    <t>pmgA</t>
  </si>
  <si>
    <t>protein of unknown function DUF1830</t>
  </si>
  <si>
    <t>riboflavin biosynthesis from GTP</t>
  </si>
  <si>
    <t>5-amino-6-(5-phosphoribosylamino)uracil reductase RibD2</t>
  </si>
  <si>
    <t>ribD2</t>
  </si>
  <si>
    <t>anthranilate synthase amidotransferase subunit TrpG</t>
  </si>
  <si>
    <t>trpG</t>
  </si>
  <si>
    <t>periplasmic Zn-dependent hydrolase</t>
  </si>
  <si>
    <t>ABC-2 export system 2</t>
  </si>
  <si>
    <t>ABC-type transport system for gliding motility ATPase component</t>
  </si>
  <si>
    <t xml:space="preserve">ABC-2 type transport system </t>
  </si>
  <si>
    <t>gldF</t>
  </si>
  <si>
    <t>ABC-type transport system for gliding motility auxiliary component GldG</t>
  </si>
  <si>
    <t>gldG</t>
  </si>
  <si>
    <t>photosystem II P680 reaction center D1 protein PsbA3</t>
  </si>
  <si>
    <t>psbA3</t>
  </si>
  <si>
    <t>single-strand DNA-binding protein Ssb</t>
  </si>
  <si>
    <t>ssb</t>
  </si>
  <si>
    <t>bifunctional peptidoglycan transglycosylase / transpeptidase MrcB</t>
  </si>
  <si>
    <t>membrane protein of unknown function DUF1517</t>
  </si>
  <si>
    <t>Xre family transcriptional regulator with DUF4115 domain</t>
  </si>
  <si>
    <t>WD-repeat protein involved in the control of a high-affinity transport of inorganic carbon HatR</t>
  </si>
  <si>
    <t>hatR</t>
  </si>
  <si>
    <t>3-oxoacyl-[acyl-carrier-protein] reductase FabG</t>
  </si>
  <si>
    <t>fabG</t>
  </si>
  <si>
    <t>valyl-tRNA synthetase ValS</t>
  </si>
  <si>
    <t>valS</t>
  </si>
  <si>
    <t>ribosome biogenesis GTPase RbgA</t>
  </si>
  <si>
    <t>rbgA</t>
  </si>
  <si>
    <t>RNA-binding protein</t>
  </si>
  <si>
    <t>16S rRNA (cytidine1402-2'-O)-methyltransferase RsmI</t>
  </si>
  <si>
    <t>rsmI</t>
  </si>
  <si>
    <t>biosynthesis of UDP-N-acetylglucosamine</t>
  </si>
  <si>
    <t>phosphoacetylglucosamine mutase Pgm</t>
  </si>
  <si>
    <t>pgm</t>
  </si>
  <si>
    <t>glycoside-pentoside-hexuronide:cation family symporter</t>
  </si>
  <si>
    <t>dihydropteroate synthase FolP</t>
  </si>
  <si>
    <t>folP</t>
  </si>
  <si>
    <t>universal stress family protein</t>
  </si>
  <si>
    <t>photosystem II CP47 chlorophyll apoprotein PsbB</t>
  </si>
  <si>
    <t>psbB</t>
  </si>
  <si>
    <t>gmpA</t>
  </si>
  <si>
    <t>imidazole glycerol phosphate synthase glutamine amidotransferase subunit HisH</t>
  </si>
  <si>
    <t>hisH</t>
  </si>
  <si>
    <t>serine/threonine protein kinase with CHASE2 domain</t>
  </si>
  <si>
    <t>pyrimidine (uridine-5'-phosphate) de novo biosynthesis</t>
  </si>
  <si>
    <t>ribose-phosphate pyrophosphokinase PrsA</t>
  </si>
  <si>
    <t>prsA</t>
  </si>
  <si>
    <t>bifunctional phosphoribosylaminoimidazolecarboxamide formyltransferase / IMP cyclohydrolase PurH</t>
  </si>
  <si>
    <t>purH</t>
  </si>
  <si>
    <t>autoinducer 2 family exporter</t>
  </si>
  <si>
    <t>seryl-tRNA synthetase SerS</t>
  </si>
  <si>
    <t>serS</t>
  </si>
  <si>
    <t>UDP-N-acetylmuramoyl-tripeptide--D-alanyl-D-alanine ligase MurF</t>
  </si>
  <si>
    <t>murF</t>
  </si>
  <si>
    <t>Mo-dependent nitrogenase C-terminal domain protein</t>
  </si>
  <si>
    <t>ribosomal protein S12 methylthiotransferase RimO</t>
  </si>
  <si>
    <t>rimO</t>
  </si>
  <si>
    <t>anti sigma b factor antagonist RsbV</t>
  </si>
  <si>
    <t>rsbV</t>
  </si>
  <si>
    <t>DNA polymerase III delta subunit HolA</t>
  </si>
  <si>
    <t>holA</t>
  </si>
  <si>
    <t>nickel homeostasis - cytoplasmic sensing</t>
  </si>
  <si>
    <t>internal nickel-responsive sensor InrS</t>
  </si>
  <si>
    <t>inrS</t>
  </si>
  <si>
    <t>YggT family putative K+ uptake protein</t>
  </si>
  <si>
    <t>type II restriction-modification system GATC-specific DNA-methyltransferase DamP</t>
  </si>
  <si>
    <t>damP</t>
  </si>
  <si>
    <t>rod shape determining protein RodA</t>
  </si>
  <si>
    <t>rodA</t>
  </si>
  <si>
    <t>rRNA maturation factor YbeY</t>
  </si>
  <si>
    <t>ybeY</t>
  </si>
  <si>
    <t>phosphatidylglycerol biosynthesis from triacylglycerol</t>
  </si>
  <si>
    <t>diacylglycerol kinase DgkA</t>
  </si>
  <si>
    <t>dgkA</t>
  </si>
  <si>
    <t>ABC-type netural amino acid transport system permease protein NatD</t>
  </si>
  <si>
    <t>natD</t>
  </si>
  <si>
    <t>LPS inner core biosynthesis_ ketodeoxyoctonate and heptose type</t>
  </si>
  <si>
    <t>D-glycero-beta-D-manno-heptose 7-phosphate kinase RfaEb</t>
  </si>
  <si>
    <t>rafE2</t>
  </si>
  <si>
    <t>posttranslational regulator of chlorophyll biosynthesis Ycf53</t>
  </si>
  <si>
    <t>ycf53</t>
  </si>
  <si>
    <t>7_8-didemethyl-8-hydroxy-5-deazariboflavin synthase subunit CofH</t>
  </si>
  <si>
    <t>cofH</t>
  </si>
  <si>
    <t>3-isopropylmalate dehydrogenase LeuB</t>
  </si>
  <si>
    <t>leuB</t>
  </si>
  <si>
    <t>tRNA pseudouridine55 synthase TruB</t>
  </si>
  <si>
    <t>truB</t>
  </si>
  <si>
    <t>periplasmic carboxyl-terminal processing serine protease CtpA</t>
  </si>
  <si>
    <t>ctpA</t>
  </si>
  <si>
    <t>tRNA (Guanine37-N1) -methyltransferase TrmD</t>
  </si>
  <si>
    <t>trmD</t>
  </si>
  <si>
    <t>helicase SNF2 family</t>
  </si>
  <si>
    <t>c-type cytochrome biogenesis protein CcsA</t>
  </si>
  <si>
    <t>ccsA</t>
  </si>
  <si>
    <t>tRNA(Ile) lysidine synthetase TilS</t>
  </si>
  <si>
    <t>tilS</t>
  </si>
  <si>
    <t>translation initiation factor InfC</t>
  </si>
  <si>
    <t>infC</t>
  </si>
  <si>
    <t>Zn-dependent hydroxylase</t>
  </si>
  <si>
    <t>rhodanese-related sulfurtransferase with DUF2892 domain</t>
  </si>
  <si>
    <t>sulfoacetate export translocase</t>
  </si>
  <si>
    <t>photosystem II P680 reaction center protein PsbD1</t>
  </si>
  <si>
    <t>psbD1</t>
  </si>
  <si>
    <t>photosystem II CP43 chlorophyll apoprotein PsbC</t>
  </si>
  <si>
    <t>psbC</t>
  </si>
  <si>
    <t>3'-phosphoadenosine-5'-phosphosulfate (PAPS) 3'-phosphatase CysQ</t>
  </si>
  <si>
    <t>protease with TPR repeat domains</t>
  </si>
  <si>
    <t>acetyl-CoA carboxylase complex carboxyl transferase beta subunit AccD</t>
  </si>
  <si>
    <t>accD</t>
  </si>
  <si>
    <t>caspase-hemoglobinase domain protein</t>
  </si>
  <si>
    <t>ABC-type peptide export system hybrid permease / ATPase</t>
  </si>
  <si>
    <t>delta-9 acyl-lipid desaturase DesC</t>
  </si>
  <si>
    <t>desC</t>
  </si>
  <si>
    <t>Inositol phosphate metabolism</t>
  </si>
  <si>
    <t>myo-inositol degradation</t>
  </si>
  <si>
    <t>myo-inositol-1(or 4)-monophosphatase SuhB</t>
  </si>
  <si>
    <t>suhB</t>
  </si>
  <si>
    <t>Iron homeostasis?</t>
  </si>
  <si>
    <t>protein of unknown function DUF3598</t>
  </si>
  <si>
    <t>protein of unknown function DUF1049</t>
  </si>
  <si>
    <t>peptide deformylase Def</t>
  </si>
  <si>
    <t>def</t>
  </si>
  <si>
    <t>glycine cleavage system protein GcvH</t>
  </si>
  <si>
    <t>gcvH</t>
  </si>
  <si>
    <t>ABC-type branched-chain amino acid uptake system permease component LivH</t>
  </si>
  <si>
    <t>livH</t>
  </si>
  <si>
    <t>N-acetyltransferase GNAT family Ycf52</t>
  </si>
  <si>
    <t>ycf52</t>
  </si>
  <si>
    <t>phosphoribosylformylglycinamidine synthase PurL</t>
  </si>
  <si>
    <t>purL</t>
  </si>
  <si>
    <t>amidophosphoribosyltransferase PurF</t>
  </si>
  <si>
    <t>purF</t>
  </si>
  <si>
    <t>prolyl oligopeptidase family protein</t>
  </si>
  <si>
    <t>riboflavin synthase RibE</t>
  </si>
  <si>
    <t>ribE</t>
  </si>
  <si>
    <t>chromosome partitioning ATPase Soj</t>
  </si>
  <si>
    <t>sulfate/thiosulfate ABC uptake system ATPase component CysA</t>
  </si>
  <si>
    <t>cysA</t>
  </si>
  <si>
    <t>putative phosphatase</t>
  </si>
  <si>
    <t>sugar fermentation stimulation protein SfsA</t>
  </si>
  <si>
    <t>sfsA</t>
  </si>
  <si>
    <t>protein of unknown function DUF2605</t>
  </si>
  <si>
    <t>Stress response</t>
  </si>
  <si>
    <t>DNA repair protein RadC</t>
  </si>
  <si>
    <t>radC</t>
  </si>
  <si>
    <t>low oxygen-dependent Mg protoporphyrin IX monomethyl ester oxidative cyclase AcsF2</t>
  </si>
  <si>
    <t>acsF2</t>
  </si>
  <si>
    <t>protein of unknown function UPF0227</t>
  </si>
  <si>
    <t>bifunctional 3_4-dihydroxy 2-butanone 4-phosphate synthase / GTP cyclohydrolase II RibB-RibA</t>
  </si>
  <si>
    <t>ribA-ribB</t>
  </si>
  <si>
    <t>7-cyano-7-deazaguanine synthase QueC</t>
  </si>
  <si>
    <t>queC</t>
  </si>
  <si>
    <t>hscA</t>
  </si>
  <si>
    <t>kefA</t>
  </si>
  <si>
    <t>ferrous iron uptake system accessory component FeoA</t>
  </si>
  <si>
    <t>feoA</t>
  </si>
  <si>
    <t>ferritin biosynthesis</t>
  </si>
  <si>
    <t>ferritin FtnA</t>
  </si>
  <si>
    <t>ftnA</t>
  </si>
  <si>
    <t>RND-type exporter Rnd4</t>
  </si>
  <si>
    <t>RND-type transport system membrane fusion component</t>
  </si>
  <si>
    <t>glyoxalase family protein</t>
  </si>
  <si>
    <t>cytosol aminopeptidase PepA</t>
  </si>
  <si>
    <t>pepA</t>
  </si>
  <si>
    <t>16S rRNA (uracil1498-N3)-methyltransferase RsmE</t>
  </si>
  <si>
    <t>rsmE</t>
  </si>
  <si>
    <t>SSU ribosomal protein S12 RpsL</t>
  </si>
  <si>
    <t>rpsL</t>
  </si>
  <si>
    <t>SSU ribosomal protein S7 RpsG</t>
  </si>
  <si>
    <t>rpsG</t>
  </si>
  <si>
    <t>translation elongation factor G FusA</t>
  </si>
  <si>
    <t>translation elongation factor Tu TufA</t>
  </si>
  <si>
    <t>tufA</t>
  </si>
  <si>
    <t>SSU ribosomal protein S10 RpsJ</t>
  </si>
  <si>
    <t>rpsJ</t>
  </si>
  <si>
    <t>glycyl aminopeptidase M61 family</t>
  </si>
  <si>
    <t>UvrABC system excinuclease subunit UvrC</t>
  </si>
  <si>
    <t>uvrC</t>
  </si>
  <si>
    <t>succinate dehydrogenase iron-sulfur subunit SdhB</t>
  </si>
  <si>
    <t>sdhB</t>
  </si>
  <si>
    <t>solanesyl diphosphate synthase SdsA</t>
  </si>
  <si>
    <t>sdsA</t>
  </si>
  <si>
    <t>septum formation and cell wall maintenance protein ConR</t>
  </si>
  <si>
    <t>conR</t>
  </si>
  <si>
    <t>FtsH modulation</t>
  </si>
  <si>
    <t>prohibitin family protein</t>
  </si>
  <si>
    <t>diaminopimelate decarboxylase LysA</t>
  </si>
  <si>
    <t>lysA</t>
  </si>
  <si>
    <t>protein with nucleotide-binding domain of DisA bacterial checkpoint controller</t>
  </si>
  <si>
    <t>undecaprenyl diphosphate synthase UppS</t>
  </si>
  <si>
    <t>uppS</t>
  </si>
  <si>
    <t>Pyrimidine conversions</t>
  </si>
  <si>
    <t>uracil phosphoribosyltransferase Upp</t>
  </si>
  <si>
    <t>upp</t>
  </si>
  <si>
    <t>homoserine kinase ThrB1</t>
  </si>
  <si>
    <t>thrB1</t>
  </si>
  <si>
    <t>rubisco biosynthesis</t>
  </si>
  <si>
    <t>rubisco accumulation factor Raf1</t>
  </si>
  <si>
    <t>raf1</t>
  </si>
  <si>
    <t>ADP-heptose synthase RfaEa</t>
  </si>
  <si>
    <t>rfaEa</t>
  </si>
  <si>
    <t>transglutaminase-like protein</t>
  </si>
  <si>
    <t>exodeoxyribonuclease III XthA</t>
  </si>
  <si>
    <t>xthA</t>
  </si>
  <si>
    <t>Prx-like1 family peroxiredoxin</t>
  </si>
  <si>
    <t>Omp85 family outer membrane protein</t>
  </si>
  <si>
    <t>UDP-3-O-[3-hydroxymyristoyl] N-acetylglucosamine deacetylase LpxC</t>
  </si>
  <si>
    <t>lpxC</t>
  </si>
  <si>
    <t>beta-hydroxyacyl-(acyl-carrier-protein) dehydratase FabZ</t>
  </si>
  <si>
    <t>fabZ</t>
  </si>
  <si>
    <t>tRNA (cytidine(34)-2'-O)-methyltransferase TrmL</t>
  </si>
  <si>
    <t>trmL</t>
  </si>
  <si>
    <t>family 2 glycoside transferase (celluose synthase homolog)</t>
  </si>
  <si>
    <t>polymorphic toxins</t>
  </si>
  <si>
    <t>Uma2 family endonuclease toxin</t>
  </si>
  <si>
    <t>acetyl-CoA carboxylase complex biotin carboxylase subunit AccC</t>
  </si>
  <si>
    <t>accC</t>
  </si>
  <si>
    <t>UDP-N-acetylglucosamine--N-acetylmuramyl-(pentapeptide) pyrophosphoryl-undecaprenol N-acetylglucosamine transferase MurG</t>
  </si>
  <si>
    <t>murG</t>
  </si>
  <si>
    <t>protein-tyrosine phosphatase</t>
  </si>
  <si>
    <t>phosphoribosylformylglycinamidine cyclo-ligase PurM</t>
  </si>
  <si>
    <t>purM</t>
  </si>
  <si>
    <t>fructosamine kinase family protein</t>
  </si>
  <si>
    <t>signal peptidase I LepB2</t>
  </si>
  <si>
    <t>lepB2</t>
  </si>
  <si>
    <t>FAD-dependent oxidoreductase</t>
  </si>
  <si>
    <t>cysteinyl-tRNA synthetase CysS</t>
  </si>
  <si>
    <t>cysS</t>
  </si>
  <si>
    <t>orotate phosphoribosyltransferase PyrE</t>
  </si>
  <si>
    <t>pyrE</t>
  </si>
  <si>
    <t>aspartate kinase LysC</t>
  </si>
  <si>
    <t>lysC</t>
  </si>
  <si>
    <t>release factor glutamine methyltransferase HemK</t>
  </si>
  <si>
    <t>hemK</t>
  </si>
  <si>
    <t>M23 peptidase domain-containing protein</t>
  </si>
  <si>
    <t>phosphoribosylamine--glycine ligase PurD</t>
  </si>
  <si>
    <t>purD</t>
  </si>
  <si>
    <t>Fur-regulated photosystem II P680 reaction center D1 protein PsbA1</t>
  </si>
  <si>
    <t>psbA1</t>
  </si>
  <si>
    <t>photosystem II P680 reaction center D1 protein PsbA2</t>
  </si>
  <si>
    <t>psbA2</t>
  </si>
  <si>
    <t>cobyrinic acid a_c-diamide synthase CobB</t>
  </si>
  <si>
    <t>cobB</t>
  </si>
  <si>
    <t>family M23 peptidase</t>
  </si>
  <si>
    <t>glycerolipid biosynthesis</t>
  </si>
  <si>
    <t>monoglucosyldiacylglycerol synthase MgdA</t>
  </si>
  <si>
    <t>mgdA</t>
  </si>
  <si>
    <t>ABC-type transport system substrate-binding component</t>
  </si>
  <si>
    <t>ribonucleotide reduction</t>
  </si>
  <si>
    <t>deoxyribonucleotide-responsive transcriptional repressor of deoxyribonucleotide biosynthesis NrdR</t>
  </si>
  <si>
    <t>nrdR</t>
  </si>
  <si>
    <t>Lysine degradation</t>
  </si>
  <si>
    <t>cadaverine biosynthesis</t>
  </si>
  <si>
    <t>lysine decarboxylase LdcC</t>
  </si>
  <si>
    <t>ldcC</t>
  </si>
  <si>
    <t>3'-5' exoribonuclease RNase R Zam</t>
  </si>
  <si>
    <t>zam</t>
  </si>
  <si>
    <t>methionyl-tRNA formyltransferase Fmt</t>
  </si>
  <si>
    <t>fmt</t>
  </si>
  <si>
    <t>ATPase AAA family Ycf46-like</t>
  </si>
  <si>
    <t>protein of unknown function DUF1257</t>
  </si>
  <si>
    <t>type II restriction-modification system RGATCY-specific methyltransferase</t>
  </si>
  <si>
    <t>NUDIX family hydrolase</t>
  </si>
  <si>
    <t>ABC-type polar amino acid transport system ATPase component</t>
  </si>
  <si>
    <t>beta-carotene oxygenase CrtR</t>
  </si>
  <si>
    <t>crtR</t>
  </si>
  <si>
    <t>putative endo-1_4-beta-xylanase</t>
  </si>
  <si>
    <t>iron-sulfur cluster assembly ATPase SufC</t>
  </si>
  <si>
    <t>sufC</t>
  </si>
  <si>
    <t>Fe-S cluster assembly protein SufD</t>
  </si>
  <si>
    <t>sufD</t>
  </si>
  <si>
    <t>2_2?- ?-hydroxylase CrtG</t>
  </si>
  <si>
    <t>crtG</t>
  </si>
  <si>
    <t>type IV pilus</t>
  </si>
  <si>
    <t>type IV pilus biogenesis protein PilI</t>
  </si>
  <si>
    <t>chromosome segregation protein SMC</t>
  </si>
  <si>
    <t>smc</t>
  </si>
  <si>
    <t>bifunctional 2-dehydro-3-deoxyphosphogluconate aldolase / (4S)-4-hydroxy-2-oxoglutarate aldolase Eda</t>
  </si>
  <si>
    <t>eda</t>
  </si>
  <si>
    <t>cellulose synthase CelA</t>
  </si>
  <si>
    <t>protein of unknown function DUF1823</t>
  </si>
  <si>
    <t>thiamine-phosphate pyrophosphorylase ThiE</t>
  </si>
  <si>
    <t>thiE</t>
  </si>
  <si>
    <t>phycobilisome biogenesis</t>
  </si>
  <si>
    <t>phycobiliprotein asparagine N-methyltransferase CpcM</t>
  </si>
  <si>
    <t>cpcM</t>
  </si>
  <si>
    <t>folate-binding protein YgfZ</t>
  </si>
  <si>
    <t>ygfZ</t>
  </si>
  <si>
    <t>uncharacterized protein CofD-related</t>
  </si>
  <si>
    <t>membrane protein of unknown function DUF3177</t>
  </si>
  <si>
    <t>2'_5' RNA ligase LigT</t>
  </si>
  <si>
    <t>ligT</t>
  </si>
  <si>
    <t>circadian clock input_ light sensing</t>
  </si>
  <si>
    <t>circadian period extender Pex</t>
  </si>
  <si>
    <t>pex</t>
  </si>
  <si>
    <t>phycocyanin biosynthesis</t>
  </si>
  <si>
    <t>phycocyanin beta subunit CpcB</t>
  </si>
  <si>
    <t>cpcB</t>
  </si>
  <si>
    <t>phycocyanin alpha subunit CpcA</t>
  </si>
  <si>
    <t>cpcA</t>
  </si>
  <si>
    <t>phycocyanin-associated rod linker protein CpcC</t>
  </si>
  <si>
    <t>cpcC</t>
  </si>
  <si>
    <t>phycocyanobilin lyase alpha subunit CpcE</t>
  </si>
  <si>
    <t>cpcE</t>
  </si>
  <si>
    <t>phycocyanobilin lyase beta subunit CpcF</t>
  </si>
  <si>
    <t>cpcF</t>
  </si>
  <si>
    <t>phycobilisome rod-core linker protein CpcG</t>
  </si>
  <si>
    <t>cpcG</t>
  </si>
  <si>
    <t>metalloendopeptidase</t>
  </si>
  <si>
    <t>signal recognition particle subunit Ffh</t>
  </si>
  <si>
    <t>ffh</t>
  </si>
  <si>
    <t>phosphoglucomutase Pgm</t>
  </si>
  <si>
    <t>exonuclease SbcD</t>
  </si>
  <si>
    <t>sbcD</t>
  </si>
  <si>
    <t>beta-lactamase superfamily hydrolase</t>
  </si>
  <si>
    <t>predicted acetyltransferases and hydrolases with the alpha/beta hydrolase fold COG1075 family</t>
  </si>
  <si>
    <t>roadblock/LC7 family protein</t>
  </si>
  <si>
    <t>putative GTPase</t>
  </si>
  <si>
    <t>aminopeptidase PepN</t>
  </si>
  <si>
    <t>pepN</t>
  </si>
  <si>
    <t>tryptophanyl-tRNA synthetase TrpS</t>
  </si>
  <si>
    <t>trpS</t>
  </si>
  <si>
    <t>bicarbonate uptake system CmpABCD</t>
  </si>
  <si>
    <t>high-affinity ABC-type bicarbonate uptake system substrate-binding component CmpA</t>
  </si>
  <si>
    <t>cmpA</t>
  </si>
  <si>
    <t>high-affinity ABC-type bicarbonate uptake system permease component CmpB</t>
  </si>
  <si>
    <t>cmpB</t>
  </si>
  <si>
    <t>high-affinity ABC-type bicarbonate uptake system ATPase component CmpC</t>
  </si>
  <si>
    <t>cmpC</t>
  </si>
  <si>
    <t>high-affinity ABC-type bicarbonate uptake system ATPase component CmpD</t>
  </si>
  <si>
    <t>cmpD</t>
  </si>
  <si>
    <t>ABC-type branched-chain amino acid uptake system ATPase component LivF</t>
  </si>
  <si>
    <t>livF</t>
  </si>
  <si>
    <t>repeat motif-containing protein</t>
  </si>
  <si>
    <t>periplasmic protein of unknown function DUF2233</t>
  </si>
  <si>
    <t>uncharacterized protein YCF66</t>
  </si>
  <si>
    <t>ycf66</t>
  </si>
  <si>
    <t>conserved hypothetical periplasmic protein</t>
  </si>
  <si>
    <t>septum site-determining protein MinC</t>
  </si>
  <si>
    <t>minC</t>
  </si>
  <si>
    <t>septum site-determining protein MinD</t>
  </si>
  <si>
    <t>cell division topological specificity factor MinE</t>
  </si>
  <si>
    <t>minE</t>
  </si>
  <si>
    <t>2'-O-glycosyltransferase CruG</t>
  </si>
  <si>
    <t>cruG</t>
  </si>
  <si>
    <t>putative aluminum resistance protein</t>
  </si>
  <si>
    <t>BioD-like N-terminal domain of phosphotransacetylase</t>
  </si>
  <si>
    <t>excinuclease ABC subunit UvrB</t>
  </si>
  <si>
    <t>uvrB</t>
  </si>
  <si>
    <t>allophycocyanin beta subunit ApcF</t>
  </si>
  <si>
    <t>apcF</t>
  </si>
  <si>
    <t>2-C-methyl-D-erythritol 2_4-cyclodiphosphate synthase IspF</t>
  </si>
  <si>
    <t>ispF</t>
  </si>
  <si>
    <t>transcriptional regulator of carbon dixoide fixation CcmR</t>
  </si>
  <si>
    <t>ccmR</t>
  </si>
  <si>
    <t>family S9 protease</t>
  </si>
  <si>
    <t>protein of unknown function DUF151</t>
  </si>
  <si>
    <t>large-conductive mechanosensitive channel MscL</t>
  </si>
  <si>
    <t>mscL</t>
  </si>
  <si>
    <t>dTMP kinase Tmk</t>
  </si>
  <si>
    <t>tmk</t>
  </si>
  <si>
    <t>RDD family protein</t>
  </si>
  <si>
    <t>ABC-type zinc uptake system substrate-binding component ZntA</t>
  </si>
  <si>
    <t>zntA</t>
  </si>
  <si>
    <t>ABC-type zinc uptake system ATPase component ZntC</t>
  </si>
  <si>
    <t>zntC</t>
  </si>
  <si>
    <t>protein of unknown function DUF1815</t>
  </si>
  <si>
    <t>cysteine desulfurase SufS</t>
  </si>
  <si>
    <t>sufS</t>
  </si>
  <si>
    <t>16S rRNA (cytosine1402-N4)-methyltransferase MraW</t>
  </si>
  <si>
    <t>mraW</t>
  </si>
  <si>
    <t>chromosome partitioning proteins_ divisome</t>
  </si>
  <si>
    <t>cell division protein (peptidoglycan synthetase) FtsI</t>
  </si>
  <si>
    <t>ftsI</t>
  </si>
  <si>
    <t>photosystem II oxygen-evolving enhancer protein 2 PsbP</t>
  </si>
  <si>
    <t>psbP</t>
  </si>
  <si>
    <t>photosystem II assembly chaperone</t>
  </si>
  <si>
    <t>tetratricopeptide repeat protein</t>
  </si>
  <si>
    <t>SOS response</t>
  </si>
  <si>
    <t>recombination protein RecA</t>
  </si>
  <si>
    <t>recA</t>
  </si>
  <si>
    <t>phenylalanine biosynthesis from chorismate</t>
  </si>
  <si>
    <t>prephenate dehydratase PheA2</t>
  </si>
  <si>
    <t>pheA2</t>
  </si>
  <si>
    <t>alanine biosynthesis</t>
  </si>
  <si>
    <t>alanine dehydrogenase Ald</t>
  </si>
  <si>
    <t>ald</t>
  </si>
  <si>
    <t>group 3 RNA polymerase sigma-70 subunit SigG</t>
  </si>
  <si>
    <t>sigG</t>
  </si>
  <si>
    <t>putative SigG anti-sigma factor SapG</t>
  </si>
  <si>
    <t>sapG</t>
  </si>
  <si>
    <t>inositol monophosphatase family protein</t>
  </si>
  <si>
    <t>NADH-plastoquinone oxidoreductase subunit NdhF4</t>
  </si>
  <si>
    <t>ndhF4</t>
  </si>
  <si>
    <t>NADH-plastoquinone oxidoreductase subunit NdhD4</t>
  </si>
  <si>
    <t>ndhD4</t>
  </si>
  <si>
    <t>constitutive CO2-uptake system NdhD4-NdhF4-CupB</t>
  </si>
  <si>
    <t>consitutive low-affinity CO2 hydration protein CupB</t>
  </si>
  <si>
    <t>cupB</t>
  </si>
  <si>
    <t>serine-glycine interconversion</t>
  </si>
  <si>
    <t>glycine hydroxymethyltransferase GlyA</t>
  </si>
  <si>
    <t>glyA</t>
  </si>
  <si>
    <t>biosynthesis of Und-PP-GlcNAc</t>
  </si>
  <si>
    <t xml:space="preserve"> UDP-GlcNAc:undecaprenyl-phosphate GlcNAc-1-phosphate transferase WecA</t>
  </si>
  <si>
    <t>wecA</t>
  </si>
  <si>
    <t>NAD(P) biosynthesis common pathway from nicotinic acid mononucleotide route 2</t>
  </si>
  <si>
    <t>nicotinamide mononucleotide deamidase PncC</t>
  </si>
  <si>
    <t>pncC</t>
  </si>
  <si>
    <t>Adhesins</t>
  </si>
  <si>
    <t>adhesin</t>
  </si>
  <si>
    <t>LPS inner core_ ADP-L-glycero-D-manno-heptose biosynthesis</t>
  </si>
  <si>
    <t>ADP-heptose:LPS heptosyltransferase</t>
  </si>
  <si>
    <t>D-glycero-D-manno-heptose 1_7-bisphosphate phosphatase GmhB</t>
  </si>
  <si>
    <t>gmhB</t>
  </si>
  <si>
    <t>protein of unknown function DUF1257 Ycf35</t>
  </si>
  <si>
    <t>ycf35</t>
  </si>
  <si>
    <t>4Fe-4S type iron-sulfur protein</t>
  </si>
  <si>
    <t>medium affinity high-flux Na+/bicarbonate symporter BicA</t>
  </si>
  <si>
    <t>bicA</t>
  </si>
  <si>
    <t>bifunctional diaminohydroxyphosphoribosylaminopyrimidine deaminase / 5-amino-6-(5-phosphoribosylamino)uracil reductase RibD</t>
  </si>
  <si>
    <t>ribD</t>
  </si>
  <si>
    <t>M23 family aminopeptidase NlpD</t>
  </si>
  <si>
    <t>nlpD</t>
  </si>
  <si>
    <t>bifunctional uroporphyrin-III synthase / uroporphyrin-III methyltransferase HemD-CobA</t>
  </si>
  <si>
    <t>hemD-cobA</t>
  </si>
  <si>
    <t>phycocyanobilin lyase CpcT</t>
  </si>
  <si>
    <t>cpcT</t>
  </si>
  <si>
    <t>photosystem II ETS energy balancing protein with S4 RNA binding domain YlmH</t>
  </si>
  <si>
    <t>ylmH</t>
  </si>
  <si>
    <t xml:space="preserve">membrane protein of unknown function DUF218 </t>
  </si>
  <si>
    <t>ABC-type phosphate uptake system substrate-binding component PstS</t>
  </si>
  <si>
    <t>pstS</t>
  </si>
  <si>
    <t>ABC-type phosphate uptake system permease component PstC</t>
  </si>
  <si>
    <t>pstC</t>
  </si>
  <si>
    <t>ABC-type phosphate uptake system permease component PstA</t>
  </si>
  <si>
    <t>pstA</t>
  </si>
  <si>
    <t>ABC-type phosphate uptake system ATPase component PstB</t>
  </si>
  <si>
    <t>pstB</t>
  </si>
  <si>
    <t>cyanophycin-like storage polymers</t>
  </si>
  <si>
    <t>cyanophycinase CphB</t>
  </si>
  <si>
    <t>cphB</t>
  </si>
  <si>
    <t>cyanophycin synthetase CphA</t>
  </si>
  <si>
    <t>cphA</t>
  </si>
  <si>
    <t>glutathione metabolism</t>
  </si>
  <si>
    <t>5-oxoprolinase (ATP-hydrolysing)</t>
  </si>
  <si>
    <t>DNA double-strand break repair ATPase sbcC</t>
  </si>
  <si>
    <t>sbcC</t>
  </si>
  <si>
    <t>von Willebrand factor type A domain-containing protein</t>
  </si>
  <si>
    <t>stomatin/prohibitin-family protease subunit YbbK</t>
  </si>
  <si>
    <t>ybbK</t>
  </si>
  <si>
    <t>phosphoribosylformylglycinamidine synthase glutamine amidotransferase subunit PurQ</t>
  </si>
  <si>
    <t>purQ</t>
  </si>
  <si>
    <t>NlpC/P60 family peptidase</t>
  </si>
  <si>
    <t>1_4-dihydroxy-2-naphthoate octaprenyltransferase MenA</t>
  </si>
  <si>
    <t>menA</t>
  </si>
  <si>
    <t>Galactose metabolism</t>
  </si>
  <si>
    <t>Leloir pathway (galactose/glucose interconversion)</t>
  </si>
  <si>
    <t>UDP-glucose 4-epimerase GalE</t>
  </si>
  <si>
    <t>galE</t>
  </si>
  <si>
    <t>Bestrophin family anion channel YnE</t>
  </si>
  <si>
    <t>yneE</t>
  </si>
  <si>
    <t>site-specific recombinase</t>
  </si>
  <si>
    <t>heme biosynthesis from protoporphyrin IX</t>
  </si>
  <si>
    <t>ferrochelatase HemH</t>
  </si>
  <si>
    <t>hemH</t>
  </si>
  <si>
    <t>histine phosphotransferase domain protein</t>
  </si>
  <si>
    <t>protein of unknown function DUF1995</t>
  </si>
  <si>
    <t>3-octaprenyl-4-hydroxybenzoate carboxy-lyase UbiD</t>
  </si>
  <si>
    <t>ubiD</t>
  </si>
  <si>
    <t>DNA recombination and repair protein RecO</t>
  </si>
  <si>
    <t>recO</t>
  </si>
  <si>
    <t>sigma factor SigG modulating serine phosphatase RsbU</t>
  </si>
  <si>
    <t>rsbU</t>
  </si>
  <si>
    <t>DNA mismatch repair protein MutS</t>
  </si>
  <si>
    <t>mutS</t>
  </si>
  <si>
    <t>major facilitator superfamily sugar transporter</t>
  </si>
  <si>
    <t>Mn++ or Mg++ dependent protein serine/threonine phosphatase</t>
  </si>
  <si>
    <t>bicarbonate uptake permease IctB</t>
  </si>
  <si>
    <t>ictB</t>
  </si>
  <si>
    <t>arsenite detoxification system ArsABCR</t>
  </si>
  <si>
    <t>tRNA thiolation sulfur relay system</t>
  </si>
  <si>
    <t>tRNA-specific 2-thiouridylase MnmA</t>
  </si>
  <si>
    <t>mnmA</t>
  </si>
  <si>
    <t>radical SAM/uncharacterized protein TIGR03936 system</t>
  </si>
  <si>
    <t>Fe-S oxidoreductase</t>
  </si>
  <si>
    <t>N-acetylneuraminate and N-acetylmannosamine degradation</t>
  </si>
  <si>
    <t>N-acylglucosamine-6-phosphate 2-epimerase NanE</t>
  </si>
  <si>
    <t>nanE</t>
  </si>
  <si>
    <t>1-Cys family peroxiredoxin</t>
  </si>
  <si>
    <t>autoinducer exporter family protein</t>
  </si>
  <si>
    <t>glycoside hydrolase family 57 with DUF3536 domain</t>
  </si>
  <si>
    <t>zinc chaperone YciC</t>
  </si>
  <si>
    <t>yciC</t>
  </si>
  <si>
    <t>sulfur relay protein DrsE/DrsF family</t>
  </si>
  <si>
    <t>GTP-binding protein TypA</t>
  </si>
  <si>
    <t>typA</t>
  </si>
  <si>
    <t>y-type thioredoxinTrxQ</t>
  </si>
  <si>
    <t>trxQ</t>
  </si>
  <si>
    <t>transmembrane protein of unknown function DUF445</t>
  </si>
  <si>
    <t>2-octaprenyl-6-methoxyphenol hydroxylase UbiH</t>
  </si>
  <si>
    <t>ubiH</t>
  </si>
  <si>
    <t>methyltransferase family 12</t>
  </si>
  <si>
    <t>uncharacterized conserved protein</t>
  </si>
  <si>
    <t>2Fe-2S ferredoxin Fdx</t>
  </si>
  <si>
    <t>fdx</t>
  </si>
  <si>
    <t>SWIM zinc finger domain-containing protein</t>
  </si>
  <si>
    <t>squalene-hopene/tetraprenyl-beta-curcumene cyclase Shc</t>
  </si>
  <si>
    <t>shc</t>
  </si>
  <si>
    <t>adenylylsulfate kinase CysC1</t>
  </si>
  <si>
    <t>cysC1</t>
  </si>
  <si>
    <t>putative fucosyl transferase</t>
  </si>
  <si>
    <t>DUF3685 domain protein</t>
  </si>
  <si>
    <t>carboxyl-terminal processing protease</t>
  </si>
  <si>
    <t>phosphoribosylglycinamide formyltransferase 1 PurN</t>
  </si>
  <si>
    <t>purN</t>
  </si>
  <si>
    <t>isoleucyl-tRNA synthetase IleS</t>
  </si>
  <si>
    <t>ileS</t>
  </si>
  <si>
    <t>Purine Utilization</t>
  </si>
  <si>
    <t>hypoxanthine/guanine permease PbuG</t>
  </si>
  <si>
    <t>pbuG</t>
  </si>
  <si>
    <t>adenine phosphoribosyltransferase Aprt</t>
  </si>
  <si>
    <t>aprT</t>
  </si>
  <si>
    <t>acetyl-CoA -- acetate interconversion via acetyl phosphate</t>
  </si>
  <si>
    <t>acetate kinase AckA</t>
  </si>
  <si>
    <t>ackA</t>
  </si>
  <si>
    <t>T2bSS type IVb pilus complex</t>
  </si>
  <si>
    <t>type IV pilus assembly protein PilM</t>
  </si>
  <si>
    <t>pilM</t>
  </si>
  <si>
    <t>type IV pilus assembly protein PilN</t>
  </si>
  <si>
    <t>pilN</t>
  </si>
  <si>
    <t>type IV pilus assembly protein PilO</t>
  </si>
  <si>
    <t>pilO</t>
  </si>
  <si>
    <t>type IV pilus secretin PilQ</t>
  </si>
  <si>
    <t>pilQ</t>
  </si>
  <si>
    <t>protein of unknown function DUF3353 with DnaJ domain</t>
  </si>
  <si>
    <t>membrane protein with LytR/CpsA/Psr domain</t>
  </si>
  <si>
    <t>glucokinase Glck</t>
  </si>
  <si>
    <t>glck</t>
  </si>
  <si>
    <t>family 2 glycosyl transferase</t>
  </si>
  <si>
    <t>periplasmic tetratricopeptide repeat protein involved in photosystem II biogenesis PratA</t>
  </si>
  <si>
    <t>pratA</t>
  </si>
  <si>
    <t>glycine oxidase ThiO</t>
  </si>
  <si>
    <t>thiO</t>
  </si>
  <si>
    <t>low complexity protein</t>
  </si>
  <si>
    <t>adenosylcobinamide-phosphate synthase CbiB</t>
  </si>
  <si>
    <t>cbiB</t>
  </si>
  <si>
    <t>WcaG family nucleoside-diphosphate-sugar epimerase</t>
  </si>
  <si>
    <t>integral membrane protein of unknown function DUF92</t>
  </si>
  <si>
    <t>hemolytic protein hlpA homolog</t>
  </si>
  <si>
    <t>glycosyltransferase</t>
  </si>
  <si>
    <t>citrate synthase GltA</t>
  </si>
  <si>
    <t>gltA</t>
  </si>
  <si>
    <t>aspartyl-tRNA(Asn) / glutamyl-tRNA(Gln) amidotransferase subunit GatB</t>
  </si>
  <si>
    <t>gatB</t>
  </si>
  <si>
    <t>protein of unknown function DUF541</t>
  </si>
  <si>
    <t>adenylyltransferase and sulfurtransferase MoeB</t>
  </si>
  <si>
    <t>moeB</t>
  </si>
  <si>
    <t>photosystem I other common subunits</t>
  </si>
  <si>
    <t>photosystem I reaction center subunit XI PsaL</t>
  </si>
  <si>
    <t>psaL</t>
  </si>
  <si>
    <t>photosystem I subunit III plastocyanin (cyt c553) docking protein PsaF</t>
  </si>
  <si>
    <t>psaF</t>
  </si>
  <si>
    <t>LSU ribosomal protien L9 RplI</t>
  </si>
  <si>
    <t>rplI</t>
  </si>
  <si>
    <t>replicative DNA helicase DnaB</t>
  </si>
  <si>
    <t>dnaB</t>
  </si>
  <si>
    <t>MRP-like protein</t>
  </si>
  <si>
    <t>lipoprotein signal peptidase LspA</t>
  </si>
  <si>
    <t>lspA</t>
  </si>
  <si>
    <t>osmotic stress-responsive two component signal transduction system response regulator of energy transfer from phycobilisomes to photosystems RpaA</t>
  </si>
  <si>
    <t>rpaA</t>
  </si>
  <si>
    <t>GHKL domain protein</t>
  </si>
  <si>
    <t>predicted Zn-dependent hydrolase</t>
  </si>
  <si>
    <t xml:space="preserve">phosphorus metabolism </t>
  </si>
  <si>
    <t>PsiE family phosphate starvation-inducible membrane protein</t>
  </si>
  <si>
    <t>periplasmic stress-inducible serine protease HhoA</t>
  </si>
  <si>
    <t>hhoA</t>
  </si>
  <si>
    <t>probable olichyl-phosphate-mannose-protein mannosyltransferase</t>
  </si>
  <si>
    <t>protein of unknown function DUF552 Ycf50</t>
  </si>
  <si>
    <t>ycf50</t>
  </si>
  <si>
    <t>ATP-dependent DNA helicase II PcrA</t>
  </si>
  <si>
    <t>pcrA</t>
  </si>
  <si>
    <t>uncharacterized protein similar to the N-terminal domain of Lon protease</t>
  </si>
  <si>
    <t>LSU ribosomal protein L28 RpmB</t>
  </si>
  <si>
    <t>rpmB</t>
  </si>
  <si>
    <t>protein of unknown function DUF1768</t>
  </si>
  <si>
    <t>two component signal transduction system response regulator with FHA domain</t>
  </si>
  <si>
    <t>DNA mismatch repair protein MutS2</t>
  </si>
  <si>
    <t>mutS2</t>
  </si>
  <si>
    <t>asparaginyl-tRNA synthetase AsnS</t>
  </si>
  <si>
    <t>asnS</t>
  </si>
  <si>
    <t>protein of unknown function DUF129</t>
  </si>
  <si>
    <t>NADH-plastoquinone oxidoreductase subunit NdhO</t>
  </si>
  <si>
    <t>ndhO</t>
  </si>
  <si>
    <t>protein of unknown function COG2832</t>
  </si>
  <si>
    <t>SSU ribosomal protein S21 RpsU</t>
  </si>
  <si>
    <t>rpsU</t>
  </si>
  <si>
    <t>SSU ribosomal protein S16 RpsP</t>
  </si>
  <si>
    <t>rpsP</t>
  </si>
  <si>
    <t>photosystem I high light stabilizing complex</t>
  </si>
  <si>
    <t>CAB/ELIP/HLIP family protein</t>
  </si>
  <si>
    <t>protein of unknown function COG4995</t>
  </si>
  <si>
    <t>protein of unknown function DUF3143</t>
  </si>
  <si>
    <t>ParB-like nuclease domain protein</t>
  </si>
  <si>
    <t>LSU ribosomal protein L27 RpmA</t>
  </si>
  <si>
    <t>rpmA</t>
  </si>
  <si>
    <t>photosystem II protein PsbK</t>
  </si>
  <si>
    <t>psbK</t>
  </si>
  <si>
    <t>Cofactor NAD salvage</t>
  </si>
  <si>
    <t>nicotinamidase PncA</t>
  </si>
  <si>
    <t>pncA</t>
  </si>
  <si>
    <t>LSU ribosomal protein L34 RpmH</t>
  </si>
  <si>
    <t>rpmH</t>
  </si>
  <si>
    <t>thiamine biosynthesis sulfur relay ThiIFS-IscS</t>
  </si>
  <si>
    <t>sulfur carrier protein ThiS</t>
  </si>
  <si>
    <t>thiS</t>
  </si>
  <si>
    <t>photosystem II protein PsbY</t>
  </si>
  <si>
    <t>psbY</t>
  </si>
  <si>
    <t>TPR repeat-containing protein</t>
  </si>
  <si>
    <t>BolA family protein</t>
  </si>
  <si>
    <t>phycobilisome small core linker polypeptide ApcC</t>
  </si>
  <si>
    <t>apcC</t>
  </si>
  <si>
    <t>predicted redox regulator of disulfide bond formation SirA family</t>
  </si>
  <si>
    <t>photosystem I iron-sulfur center subunit VII PsaC</t>
  </si>
  <si>
    <t>psaC</t>
  </si>
  <si>
    <t>zinc resistance</t>
  </si>
  <si>
    <t>metallothionein SmtA</t>
  </si>
  <si>
    <t>smtA</t>
  </si>
  <si>
    <t>preprotein translocase subunit SecG</t>
  </si>
  <si>
    <t>secG</t>
  </si>
  <si>
    <t>SSU ribosomal protein S20 RspT</t>
  </si>
  <si>
    <t>rpsT</t>
  </si>
  <si>
    <t>Invasion response</t>
  </si>
  <si>
    <t>CRISPR system_ Myxan subtype</t>
  </si>
  <si>
    <t>type I CRISPR-CAS system crRNA and target binding complex cascade protein Cas5</t>
  </si>
  <si>
    <t>cas5</t>
  </si>
  <si>
    <t>nitrile hydratase</t>
  </si>
  <si>
    <t>putative chaperone YjiA</t>
  </si>
  <si>
    <t>yjiA</t>
  </si>
  <si>
    <t>iron-sulfur cluster assembly scaffold protein Nfu</t>
  </si>
  <si>
    <t>nfU</t>
  </si>
  <si>
    <t>molybdopterin synthase sulfur carrier subunit MoaD</t>
  </si>
  <si>
    <t>moaD</t>
  </si>
  <si>
    <t>sec-independent protein translocase protein TatA</t>
  </si>
  <si>
    <t>tatA</t>
  </si>
  <si>
    <t>photosystem II reaction center phosphoprotein PsbH</t>
  </si>
  <si>
    <t>psbH</t>
  </si>
  <si>
    <t>type III restriction-modification system helicase</t>
  </si>
  <si>
    <t>uncharacterized conserved 2 transmembrane protein</t>
  </si>
  <si>
    <t>ferredoxin-thioredoxin reductase alpha subunit FtrV</t>
  </si>
  <si>
    <t>ftrV</t>
  </si>
  <si>
    <t>bifunctional aspartyl/glutamyl-tRNA amidotransferase subunit GatC</t>
  </si>
  <si>
    <t>gatC</t>
  </si>
  <si>
    <t>photosystem I subunit IV PsaE</t>
  </si>
  <si>
    <t>psaE</t>
  </si>
  <si>
    <t>3'-5'-bisphosphate nucleotidase CysQ</t>
  </si>
  <si>
    <t>co-activator of the NtcA global nitrogen control transcription factor PipX</t>
  </si>
  <si>
    <t>pipX</t>
  </si>
  <si>
    <t>protein of unknown function DUF1816</t>
  </si>
  <si>
    <t>Na+/H+ antiporter complex subunit G MrpG</t>
  </si>
  <si>
    <t>mrpG</t>
  </si>
  <si>
    <t>Na+/H+ antiporter complex subunit F MrpF</t>
  </si>
  <si>
    <t>mrpF</t>
  </si>
  <si>
    <t>Tyrosine metabolism</t>
  </si>
  <si>
    <t>homogentisate pathway (Phe and Tyr degradation)</t>
  </si>
  <si>
    <t>4a-hydroxytetrahydrobiopterin dehydratase PcbD</t>
  </si>
  <si>
    <t>protein of unknown function DUF3493</t>
  </si>
  <si>
    <t>photosynthesis and CO2 fixation</t>
  </si>
  <si>
    <t>thioredoxin-responsive transcriptional regulator of photosynthesis and carbon fixation PedR</t>
  </si>
  <si>
    <t>pedR</t>
  </si>
  <si>
    <t>acyl carrier protein AcpP</t>
  </si>
  <si>
    <t>acpP</t>
  </si>
  <si>
    <t>small redox-active disulfide protein 2</t>
  </si>
  <si>
    <t>lipoprotein</t>
  </si>
  <si>
    <t>protein of unknown function DUF448</t>
  </si>
  <si>
    <t>photosystem II protein PsbM</t>
  </si>
  <si>
    <t>psbM</t>
  </si>
  <si>
    <t>protein of unknown function DUF2839</t>
  </si>
  <si>
    <t>LSU ribosomal protein L35 RpmI</t>
  </si>
  <si>
    <t>rpmI</t>
  </si>
  <si>
    <t>high light-inducible protein HliA</t>
  </si>
  <si>
    <t>hliA</t>
  </si>
  <si>
    <t>protein of unknown function DUF3146</t>
  </si>
  <si>
    <t>toxin-antitoxin system Mnt family antidote</t>
  </si>
  <si>
    <t>transcriptional regulator of arsenate resistance ArsR</t>
  </si>
  <si>
    <t>arsR</t>
  </si>
  <si>
    <t>RNA-binding protein RbpB</t>
  </si>
  <si>
    <t>rbpB</t>
  </si>
  <si>
    <t>protein of unknown function DUF370</t>
  </si>
  <si>
    <t>two component signal transduction system NblS histidine kinase activator SipA</t>
  </si>
  <si>
    <t>sipA</t>
  </si>
  <si>
    <t>hypothetical chloroplast protein family YCF34</t>
  </si>
  <si>
    <t>ycf34</t>
  </si>
  <si>
    <t>protein of unknown function DUF2555</t>
  </si>
  <si>
    <t>cytochrome b6-f complex subunit VIII PetN</t>
  </si>
  <si>
    <t>petN</t>
  </si>
  <si>
    <t>phycobilisome degradation protein NblA</t>
  </si>
  <si>
    <t>nblA</t>
  </si>
  <si>
    <t>SSU ribosomal protein S19 RpsS</t>
  </si>
  <si>
    <t>rpsS</t>
  </si>
  <si>
    <t>LSU ribosomal protein L29 RpmC</t>
  </si>
  <si>
    <t>rpmC</t>
  </si>
  <si>
    <t>SSU ribosomal protein S17 RpsQ</t>
  </si>
  <si>
    <t>rpsQ</t>
  </si>
  <si>
    <t>translation initiation factor InfA</t>
  </si>
  <si>
    <t>infA</t>
  </si>
  <si>
    <t>LSU ribosomal protein L36 RpmJ</t>
  </si>
  <si>
    <t>rpmJ</t>
  </si>
  <si>
    <t>LSU ribosomal protein L31 RpmE</t>
  </si>
  <si>
    <t>rpmE</t>
  </si>
  <si>
    <t>YCII-related domain protein</t>
  </si>
  <si>
    <t>photosystem I other subunits in cyanobacteria</t>
  </si>
  <si>
    <t>photosystem I subunit XII PsaM</t>
  </si>
  <si>
    <t>psaM</t>
  </si>
  <si>
    <t>preprotein translocase subunit SecE</t>
  </si>
  <si>
    <t>secE</t>
  </si>
  <si>
    <t>protein of unknown function DUF2811</t>
  </si>
  <si>
    <t>toxin-antitoxin system UPF0150 family toxin</t>
  </si>
  <si>
    <t>glutaredoxin-like domain protein</t>
  </si>
  <si>
    <t>anti-anti-sigma factor</t>
  </si>
  <si>
    <t>high light inducible protein HliC</t>
  </si>
  <si>
    <t>hliC</t>
  </si>
  <si>
    <t>putative peroxiredoxin</t>
  </si>
  <si>
    <t>cytochrome b6f complex regulatory protein PetP</t>
  </si>
  <si>
    <t>petP</t>
  </si>
  <si>
    <t>membrane protein insertion efficiency factor YidD</t>
  </si>
  <si>
    <t>yidD</t>
  </si>
  <si>
    <t>LD-transpeptidase YkuD family</t>
  </si>
  <si>
    <t>NAD(P) transhydrogenase alpha chain part 2 PntC</t>
  </si>
  <si>
    <t>pntC</t>
  </si>
  <si>
    <t>NADH-plastoquinone oxidoreductase subunit NdhL</t>
  </si>
  <si>
    <t>ndhL</t>
  </si>
  <si>
    <t>WD40-like beta-propeller protein</t>
  </si>
  <si>
    <t>protein of unknown function UPF0367</t>
  </si>
  <si>
    <t>photosystem I 4.8K protein PsaX</t>
  </si>
  <si>
    <t>psaX</t>
  </si>
  <si>
    <t>cytochrome b6-f complex subunit V PetG</t>
  </si>
  <si>
    <t>petG</t>
  </si>
  <si>
    <t>dithiolic glutaredoxin 3 GrxC</t>
  </si>
  <si>
    <t>grxC</t>
  </si>
  <si>
    <t>ThiS domain-containing protein</t>
  </si>
  <si>
    <t>ABC-type amino acid uptake system substrate-binding component</t>
  </si>
  <si>
    <t>photosystem II reaction center I protein PsbI</t>
  </si>
  <si>
    <t>psbI</t>
  </si>
  <si>
    <t>TM2 domain containing protein</t>
  </si>
  <si>
    <t>SSU ribosomal protein S15 RpsO</t>
  </si>
  <si>
    <t>rpsO</t>
  </si>
  <si>
    <t>photosystem II reaction center protein Ycf12</t>
  </si>
  <si>
    <t>ycf12</t>
  </si>
  <si>
    <t>High affinity phosphate transport</t>
  </si>
  <si>
    <t>phosphate transport system regulatory protein phoU</t>
  </si>
  <si>
    <t>phoU</t>
  </si>
  <si>
    <t>photosystem I and II biogenesis</t>
  </si>
  <si>
    <t>photosystem II reaction center protein PsbN</t>
  </si>
  <si>
    <t>psbN</t>
  </si>
  <si>
    <t>cytochrome b6-f complex subunit VII PetM</t>
  </si>
  <si>
    <t>petM</t>
  </si>
  <si>
    <t>protein of unknown function DUF3288</t>
  </si>
  <si>
    <t>RNA-binding protein RbpD</t>
  </si>
  <si>
    <t>rbpD</t>
  </si>
  <si>
    <t>protein of unknown function DUF751 YCF33</t>
  </si>
  <si>
    <t>ycf33</t>
  </si>
  <si>
    <t>photosystem II reaction center protein PsbT</t>
  </si>
  <si>
    <t>psbT</t>
  </si>
  <si>
    <t>CDF family cation diffusion facilitator</t>
  </si>
  <si>
    <t>photosystem II cytochrome b559 alpha subunit PsbE</t>
  </si>
  <si>
    <t>psbE</t>
  </si>
  <si>
    <t>photosystem II cytochrome b559 beta subunit PsbF</t>
  </si>
  <si>
    <t>psbF</t>
  </si>
  <si>
    <t>photosystem II reaction center protein PsbL</t>
  </si>
  <si>
    <t>psbL</t>
  </si>
  <si>
    <t>photosystem II reaction center protein PsbJ</t>
  </si>
  <si>
    <t>psbJ</t>
  </si>
  <si>
    <t>protein of unknown function DUF3285</t>
  </si>
  <si>
    <t>protein of unknown function DUF2973</t>
  </si>
  <si>
    <t>high light-inducible protein</t>
  </si>
  <si>
    <t>protein of unknown function DUF3155</t>
  </si>
  <si>
    <t>light-responsive redox sensor mediating association/dissociation of PRK/CP12/GAPDH complex CP12</t>
  </si>
  <si>
    <t>cp12</t>
  </si>
  <si>
    <t>LSU ribosomal protein L32 RpmF</t>
  </si>
  <si>
    <t>rpmF</t>
  </si>
  <si>
    <t>high light inducible protein HliD</t>
  </si>
  <si>
    <t>hliD</t>
  </si>
  <si>
    <t>phycocyanin-associated rod-terminating linker protein CpcD</t>
  </si>
  <si>
    <t>cpcD</t>
  </si>
  <si>
    <t>photosystem II reaction center protein PsbZ</t>
  </si>
  <si>
    <t>psbZ</t>
  </si>
  <si>
    <t>protein of unknown function DUF167</t>
  </si>
  <si>
    <t>photosystem II protein PsbX</t>
  </si>
  <si>
    <t>psbX</t>
  </si>
  <si>
    <t>LSU ribosomal protein L33 RpmG</t>
  </si>
  <si>
    <t>rpmG</t>
  </si>
  <si>
    <t>SSU ribosomal protein S18 RpsR</t>
  </si>
  <si>
    <t>rpsR</t>
  </si>
  <si>
    <t>protein of unknown function DUF29</t>
  </si>
  <si>
    <t>protein of unknown function DUF2997</t>
  </si>
  <si>
    <t>phosphoribosylformylglycinamidine synthase subunit PurS</t>
  </si>
  <si>
    <t>purS</t>
  </si>
  <si>
    <t>DNA-directed RNA polymerase omega subunit RpoZ</t>
  </si>
  <si>
    <t>rpoZ</t>
  </si>
  <si>
    <t>alternative photosystem I reaction center subunit X PsaK</t>
  </si>
  <si>
    <t>psaK</t>
  </si>
  <si>
    <t>protein of unknown function DUF2256</t>
  </si>
  <si>
    <t>membrane protein of unknown function DUF3593 Ycf49</t>
  </si>
  <si>
    <t>RNA chaperone Hfq</t>
  </si>
  <si>
    <t>hfq</t>
  </si>
  <si>
    <t>pyruvate kinase PykF</t>
  </si>
  <si>
    <t>pykF</t>
  </si>
  <si>
    <t>photosystem I reaction center subunit VIII PsaI</t>
  </si>
  <si>
    <t>psaI</t>
  </si>
  <si>
    <t>photosystem I reaction centre subunit IX PsaJ</t>
  </si>
  <si>
    <t>psaJ</t>
  </si>
  <si>
    <t>protein of unknown function DUF4327</t>
  </si>
  <si>
    <t>Main Role</t>
  </si>
  <si>
    <t>Subrole</t>
  </si>
  <si>
    <t>Subsystem</t>
  </si>
  <si>
    <t>Product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</si>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</sst>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0" borderId="0" xfId="0"/>
    <xf numFmtId="0" fontId="0" fillId="0" borderId="13" xfId="0" applyBorder="1"/>
    <xf numFmtId="0" fontId="0" fillId="0" borderId="0" xfId="0" applyFont="1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Font="1" applyBorder="1"/>
    <xf numFmtId="0" fontId="0" fillId="0" borderId="16" xfId="0" applyBorder="1"/>
    <xf numFmtId="0" fontId="0" fillId="0" borderId="17" xfId="0" applyBorder="1"/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0" fontId="16" fillId="0" borderId="11" xfId="0" applyFont="1" applyFill="1" applyBorder="1" applyAlignment="1">
      <alignment horizontal="center"/>
    </xf>
    <xf numFmtId="0" fontId="16" fillId="0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Fig4_Genes!$G$18:$G$20</c:f>
              <c:strCache>
                <c:ptCount val="3"/>
                <c:pt idx="0">
                  <c:v>Low_Light_AX</c:v>
                </c:pt>
                <c:pt idx="1">
                  <c:v>Mid_Light_AX</c:v>
                </c:pt>
                <c:pt idx="2">
                  <c:v>High_Light_AX</c:v>
                </c:pt>
              </c:strCache>
            </c:strRef>
          </c:cat>
          <c:val>
            <c:numRef>
              <c:f>Fig4_Genes!$H$18:$H$20</c:f>
              <c:numCache>
                <c:formatCode>General</c:formatCode>
                <c:ptCount val="3"/>
                <c:pt idx="0">
                  <c:v>0</c:v>
                </c:pt>
                <c:pt idx="1">
                  <c:v>-0.52602687800000014</c:v>
                </c:pt>
                <c:pt idx="2">
                  <c:v>-0.82349056400000009</c:v>
                </c:pt>
              </c:numCache>
            </c:numRef>
          </c:val>
          <c:smooth val="0"/>
        </c:ser>
        <c:ser>
          <c:idx val="1"/>
          <c:order val="1"/>
          <c:tx>
            <c:v>Bianry</c:v>
          </c:tx>
          <c:val>
            <c:numRef>
              <c:f>Fig4_Genes!$H$21:$H$23</c:f>
              <c:numCache>
                <c:formatCode>General</c:formatCode>
                <c:ptCount val="3"/>
                <c:pt idx="0">
                  <c:v>0</c:v>
                </c:pt>
                <c:pt idx="1">
                  <c:v>-0.65829740299999973</c:v>
                </c:pt>
                <c:pt idx="2">
                  <c:v>-0.42043567549999983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519680"/>
        <c:axId val="94521216"/>
      </c:lineChart>
      <c:catAx>
        <c:axId val="94519680"/>
        <c:scaling>
          <c:orientation val="minMax"/>
        </c:scaling>
        <c:delete val="0"/>
        <c:axPos val="b"/>
        <c:majorTickMark val="out"/>
        <c:minorTickMark val="none"/>
        <c:tickLblPos val="nextTo"/>
        <c:crossAx val="94521216"/>
        <c:crosses val="autoZero"/>
        <c:auto val="1"/>
        <c:lblAlgn val="ctr"/>
        <c:lblOffset val="100"/>
        <c:noMultiLvlLbl val="0"/>
      </c:catAx>
      <c:valAx>
        <c:axId val="94521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45196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Fig4_Genes!$G$18:$G$20</c:f>
              <c:strCache>
                <c:ptCount val="3"/>
                <c:pt idx="0">
                  <c:v>Low_Light_AX</c:v>
                </c:pt>
                <c:pt idx="1">
                  <c:v>Mid_Light_AX</c:v>
                </c:pt>
                <c:pt idx="2">
                  <c:v>High_Light_AX</c:v>
                </c:pt>
              </c:strCache>
            </c:strRef>
          </c:cat>
          <c:val>
            <c:numRef>
              <c:f>Fig4_Genes!$I$18:$I$20</c:f>
              <c:numCache>
                <c:formatCode>General</c:formatCode>
                <c:ptCount val="3"/>
                <c:pt idx="0">
                  <c:v>0</c:v>
                </c:pt>
                <c:pt idx="1">
                  <c:v>0.70034634999999934</c:v>
                </c:pt>
                <c:pt idx="2">
                  <c:v>1.3134132405000001</c:v>
                </c:pt>
              </c:numCache>
            </c:numRef>
          </c:val>
          <c:smooth val="0"/>
        </c:ser>
        <c:ser>
          <c:idx val="1"/>
          <c:order val="1"/>
          <c:tx>
            <c:v>Binary</c:v>
          </c:tx>
          <c:val>
            <c:numRef>
              <c:f>Fig4_Genes!$I$21:$I$23</c:f>
              <c:numCache>
                <c:formatCode>General</c:formatCode>
                <c:ptCount val="3"/>
                <c:pt idx="0">
                  <c:v>0</c:v>
                </c:pt>
                <c:pt idx="1">
                  <c:v>1.8753656885000005</c:v>
                </c:pt>
                <c:pt idx="2">
                  <c:v>2.2641711989999997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537984"/>
        <c:axId val="94552064"/>
      </c:lineChart>
      <c:catAx>
        <c:axId val="94537984"/>
        <c:scaling>
          <c:orientation val="minMax"/>
        </c:scaling>
        <c:delete val="0"/>
        <c:axPos val="b"/>
        <c:majorTickMark val="out"/>
        <c:minorTickMark val="none"/>
        <c:tickLblPos val="nextTo"/>
        <c:crossAx val="94552064"/>
        <c:crosses val="autoZero"/>
        <c:auto val="1"/>
        <c:lblAlgn val="ctr"/>
        <c:lblOffset val="100"/>
        <c:noMultiLvlLbl val="0"/>
      </c:catAx>
      <c:valAx>
        <c:axId val="94552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45379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Fig4_Genes!$G$18:$G$20</c:f>
              <c:strCache>
                <c:ptCount val="3"/>
                <c:pt idx="0">
                  <c:v>Low_Light_AX</c:v>
                </c:pt>
                <c:pt idx="1">
                  <c:v>Mid_Light_AX</c:v>
                </c:pt>
                <c:pt idx="2">
                  <c:v>High_Light_AX</c:v>
                </c:pt>
              </c:strCache>
            </c:strRef>
          </c:cat>
          <c:val>
            <c:numRef>
              <c:f>Fig4_Genes!$J$18:$J$20</c:f>
              <c:numCache>
                <c:formatCode>General</c:formatCode>
                <c:ptCount val="3"/>
                <c:pt idx="0">
                  <c:v>-4.999982650133461E-10</c:v>
                </c:pt>
                <c:pt idx="1">
                  <c:v>0.31779802450000005</c:v>
                </c:pt>
                <c:pt idx="2">
                  <c:v>0.3361457295000001</c:v>
                </c:pt>
              </c:numCache>
            </c:numRef>
          </c:val>
          <c:smooth val="0"/>
        </c:ser>
        <c:ser>
          <c:idx val="1"/>
          <c:order val="1"/>
          <c:tx>
            <c:v>Binary</c:v>
          </c:tx>
          <c:val>
            <c:numRef>
              <c:f>Fig4_Genes!$J$21:$J$23</c:f>
              <c:numCache>
                <c:formatCode>General</c:formatCode>
                <c:ptCount val="3"/>
                <c:pt idx="0">
                  <c:v>0</c:v>
                </c:pt>
                <c:pt idx="1">
                  <c:v>1.7291320980000009</c:v>
                </c:pt>
                <c:pt idx="2">
                  <c:v>1.8474110929999998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699904"/>
        <c:axId val="94701440"/>
      </c:lineChart>
      <c:catAx>
        <c:axId val="94699904"/>
        <c:scaling>
          <c:orientation val="minMax"/>
        </c:scaling>
        <c:delete val="0"/>
        <c:axPos val="b"/>
        <c:majorTickMark val="out"/>
        <c:minorTickMark val="none"/>
        <c:tickLblPos val="nextTo"/>
        <c:crossAx val="94701440"/>
        <c:crosses val="autoZero"/>
        <c:auto val="1"/>
        <c:lblAlgn val="ctr"/>
        <c:lblOffset val="100"/>
        <c:noMultiLvlLbl val="0"/>
      </c:catAx>
      <c:valAx>
        <c:axId val="94701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46999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Fig4_Genes!$G$18:$G$20</c:f>
              <c:strCache>
                <c:ptCount val="3"/>
                <c:pt idx="0">
                  <c:v>Low_Light_AX</c:v>
                </c:pt>
                <c:pt idx="1">
                  <c:v>Mid_Light_AX</c:v>
                </c:pt>
                <c:pt idx="2">
                  <c:v>High_Light_AX</c:v>
                </c:pt>
              </c:strCache>
            </c:strRef>
          </c:cat>
          <c:val>
            <c:numRef>
              <c:f>Fig4_Genes!$K$18:$K$20</c:f>
              <c:numCache>
                <c:formatCode>General</c:formatCode>
                <c:ptCount val="3"/>
                <c:pt idx="0">
                  <c:v>0</c:v>
                </c:pt>
                <c:pt idx="1">
                  <c:v>0.1251689770000004</c:v>
                </c:pt>
                <c:pt idx="2">
                  <c:v>0.4420038135000004</c:v>
                </c:pt>
              </c:numCache>
            </c:numRef>
          </c:val>
          <c:smooth val="0"/>
        </c:ser>
        <c:ser>
          <c:idx val="1"/>
          <c:order val="1"/>
          <c:tx>
            <c:v>Binary</c:v>
          </c:tx>
          <c:val>
            <c:numRef>
              <c:f>Fig4_Genes!$K$21:$K$23</c:f>
              <c:numCache>
                <c:formatCode>General</c:formatCode>
                <c:ptCount val="3"/>
                <c:pt idx="0">
                  <c:v>0</c:v>
                </c:pt>
                <c:pt idx="1">
                  <c:v>3.4957584999997238E-3</c:v>
                </c:pt>
                <c:pt idx="2">
                  <c:v>-0.10831435099999975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742784"/>
        <c:axId val="94744576"/>
      </c:lineChart>
      <c:catAx>
        <c:axId val="94742784"/>
        <c:scaling>
          <c:orientation val="minMax"/>
        </c:scaling>
        <c:delete val="0"/>
        <c:axPos val="b"/>
        <c:majorTickMark val="out"/>
        <c:minorTickMark val="none"/>
        <c:tickLblPos val="nextTo"/>
        <c:crossAx val="94744576"/>
        <c:crosses val="autoZero"/>
        <c:auto val="1"/>
        <c:lblAlgn val="ctr"/>
        <c:lblOffset val="100"/>
        <c:noMultiLvlLbl val="0"/>
      </c:catAx>
      <c:valAx>
        <c:axId val="94744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47427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Fig4_Genes!$G$24:$G$26</c:f>
              <c:strCache>
                <c:ptCount val="3"/>
                <c:pt idx="0">
                  <c:v>Low_Oxygen_AX</c:v>
                </c:pt>
                <c:pt idx="1">
                  <c:v>Mid_Oxygen_AX</c:v>
                </c:pt>
                <c:pt idx="2">
                  <c:v>High_Oxygen_AX</c:v>
                </c:pt>
              </c:strCache>
            </c:strRef>
          </c:cat>
          <c:val>
            <c:numRef>
              <c:f>Fig4_Genes!$H$24:$H$26</c:f>
              <c:numCache>
                <c:formatCode>General</c:formatCode>
                <c:ptCount val="3"/>
                <c:pt idx="0">
                  <c:v>0</c:v>
                </c:pt>
                <c:pt idx="1">
                  <c:v>-0.34117745050000003</c:v>
                </c:pt>
                <c:pt idx="2">
                  <c:v>-0.11896410299999971</c:v>
                </c:pt>
              </c:numCache>
            </c:numRef>
          </c:val>
          <c:smooth val="0"/>
        </c:ser>
        <c:ser>
          <c:idx val="1"/>
          <c:order val="1"/>
          <c:tx>
            <c:v>Binary</c:v>
          </c:tx>
          <c:val>
            <c:numRef>
              <c:f>Fig4_Genes!$H$27:$H$29</c:f>
              <c:numCache>
                <c:formatCode>General</c:formatCode>
                <c:ptCount val="3"/>
                <c:pt idx="0">
                  <c:v>-5.000000413701855E-10</c:v>
                </c:pt>
                <c:pt idx="1">
                  <c:v>0.32840674050000018</c:v>
                </c:pt>
                <c:pt idx="2">
                  <c:v>-0.12892125250000008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762880"/>
        <c:axId val="94764416"/>
      </c:lineChart>
      <c:catAx>
        <c:axId val="94762880"/>
        <c:scaling>
          <c:orientation val="minMax"/>
        </c:scaling>
        <c:delete val="0"/>
        <c:axPos val="b"/>
        <c:majorTickMark val="out"/>
        <c:minorTickMark val="none"/>
        <c:tickLblPos val="nextTo"/>
        <c:crossAx val="94764416"/>
        <c:crosses val="autoZero"/>
        <c:auto val="1"/>
        <c:lblAlgn val="ctr"/>
        <c:lblOffset val="100"/>
        <c:noMultiLvlLbl val="0"/>
      </c:catAx>
      <c:valAx>
        <c:axId val="94764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47628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Fig4_Genes!$G$24:$G$26</c:f>
              <c:strCache>
                <c:ptCount val="3"/>
                <c:pt idx="0">
                  <c:v>Low_Oxygen_AX</c:v>
                </c:pt>
                <c:pt idx="1">
                  <c:v>Mid_Oxygen_AX</c:v>
                </c:pt>
                <c:pt idx="2">
                  <c:v>High_Oxygen_AX</c:v>
                </c:pt>
              </c:strCache>
            </c:strRef>
          </c:cat>
          <c:val>
            <c:numRef>
              <c:f>Fig4_Genes!$I$24:$I$26</c:f>
              <c:numCache>
                <c:formatCode>General</c:formatCode>
                <c:ptCount val="3"/>
                <c:pt idx="0">
                  <c:v>-4.999991531917658E-10</c:v>
                </c:pt>
                <c:pt idx="1">
                  <c:v>-0.62475900050000011</c:v>
                </c:pt>
                <c:pt idx="2">
                  <c:v>-0.23861385149999936</c:v>
                </c:pt>
              </c:numCache>
            </c:numRef>
          </c:val>
          <c:smooth val="0"/>
        </c:ser>
        <c:ser>
          <c:idx val="1"/>
          <c:order val="1"/>
          <c:tx>
            <c:v>Binary</c:v>
          </c:tx>
          <c:val>
            <c:numRef>
              <c:f>Fig4_Genes!$I$27:$I$29</c:f>
              <c:numCache>
                <c:formatCode>General</c:formatCode>
                <c:ptCount val="3"/>
                <c:pt idx="0">
                  <c:v>0</c:v>
                </c:pt>
                <c:pt idx="1">
                  <c:v>0.40414488749999933</c:v>
                </c:pt>
                <c:pt idx="2">
                  <c:v>2.8015573500000279E-2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867840"/>
        <c:axId val="94869376"/>
      </c:lineChart>
      <c:catAx>
        <c:axId val="94867840"/>
        <c:scaling>
          <c:orientation val="minMax"/>
        </c:scaling>
        <c:delete val="0"/>
        <c:axPos val="b"/>
        <c:majorTickMark val="out"/>
        <c:minorTickMark val="none"/>
        <c:tickLblPos val="nextTo"/>
        <c:crossAx val="94869376"/>
        <c:crosses val="autoZero"/>
        <c:auto val="1"/>
        <c:lblAlgn val="ctr"/>
        <c:lblOffset val="100"/>
        <c:noMultiLvlLbl val="0"/>
      </c:catAx>
      <c:valAx>
        <c:axId val="94869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48678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Fig4_Genes!$G$24:$G$26</c:f>
              <c:strCache>
                <c:ptCount val="3"/>
                <c:pt idx="0">
                  <c:v>Low_Oxygen_AX</c:v>
                </c:pt>
                <c:pt idx="1">
                  <c:v>Mid_Oxygen_AX</c:v>
                </c:pt>
                <c:pt idx="2">
                  <c:v>High_Oxygen_AX</c:v>
                </c:pt>
              </c:strCache>
            </c:strRef>
          </c:cat>
          <c:val>
            <c:numRef>
              <c:f>Fig4_Genes!$J$24:$J$26</c:f>
              <c:numCache>
                <c:formatCode>General</c:formatCode>
                <c:ptCount val="3"/>
                <c:pt idx="0">
                  <c:v>-5.000000413701855E-10</c:v>
                </c:pt>
                <c:pt idx="1">
                  <c:v>-3.3583816999998461E-2</c:v>
                </c:pt>
                <c:pt idx="2">
                  <c:v>0.46130483399999989</c:v>
                </c:pt>
              </c:numCache>
            </c:numRef>
          </c:val>
          <c:smooth val="0"/>
        </c:ser>
        <c:ser>
          <c:idx val="1"/>
          <c:order val="1"/>
          <c:tx>
            <c:v>Binary</c:v>
          </c:tx>
          <c:val>
            <c:numRef>
              <c:f>Fig4_Genes!$J$27:$J$29</c:f>
              <c:numCache>
                <c:formatCode>General</c:formatCode>
                <c:ptCount val="3"/>
                <c:pt idx="0">
                  <c:v>0</c:v>
                </c:pt>
                <c:pt idx="1">
                  <c:v>8.6990867500000846E-2</c:v>
                </c:pt>
                <c:pt idx="2">
                  <c:v>9.3704033999999936E-2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171328"/>
        <c:axId val="95172864"/>
      </c:lineChart>
      <c:catAx>
        <c:axId val="95171328"/>
        <c:scaling>
          <c:orientation val="minMax"/>
        </c:scaling>
        <c:delete val="0"/>
        <c:axPos val="b"/>
        <c:majorTickMark val="out"/>
        <c:minorTickMark val="none"/>
        <c:tickLblPos val="nextTo"/>
        <c:crossAx val="95172864"/>
        <c:crosses val="autoZero"/>
        <c:auto val="1"/>
        <c:lblAlgn val="ctr"/>
        <c:lblOffset val="100"/>
        <c:noMultiLvlLbl val="0"/>
      </c:catAx>
      <c:valAx>
        <c:axId val="95172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51713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cat>
            <c:strRef>
              <c:f>Fig4_Genes!$G$24:$G$26</c:f>
              <c:strCache>
                <c:ptCount val="3"/>
                <c:pt idx="0">
                  <c:v>Low_Oxygen_AX</c:v>
                </c:pt>
                <c:pt idx="1">
                  <c:v>Mid_Oxygen_AX</c:v>
                </c:pt>
                <c:pt idx="2">
                  <c:v>High_Oxygen_AX</c:v>
                </c:pt>
              </c:strCache>
            </c:strRef>
          </c:cat>
          <c:val>
            <c:numRef>
              <c:f>Fig4_Genes!$K$24:$K$26</c:f>
              <c:numCache>
                <c:formatCode>General</c:formatCode>
                <c:ptCount val="3"/>
                <c:pt idx="0">
                  <c:v>-5.000000413701855E-10</c:v>
                </c:pt>
                <c:pt idx="1">
                  <c:v>0.20696553099999981</c:v>
                </c:pt>
                <c:pt idx="2">
                  <c:v>0.25691467299999893</c:v>
                </c:pt>
              </c:numCache>
            </c:numRef>
          </c:val>
          <c:smooth val="0"/>
        </c:ser>
        <c:ser>
          <c:idx val="1"/>
          <c:order val="1"/>
          <c:tx>
            <c:v>Binary</c:v>
          </c:tx>
          <c:val>
            <c:numRef>
              <c:f>Fig4_Genes!$K$27:$K$29</c:f>
              <c:numCache>
                <c:formatCode>General</c:formatCode>
                <c:ptCount val="3"/>
                <c:pt idx="0">
                  <c:v>0</c:v>
                </c:pt>
                <c:pt idx="1">
                  <c:v>0.36628945050000006</c:v>
                </c:pt>
                <c:pt idx="2">
                  <c:v>0.59097729349999994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189248"/>
        <c:axId val="95191040"/>
      </c:lineChart>
      <c:catAx>
        <c:axId val="95189248"/>
        <c:scaling>
          <c:orientation val="minMax"/>
        </c:scaling>
        <c:delete val="0"/>
        <c:axPos val="b"/>
        <c:majorTickMark val="out"/>
        <c:minorTickMark val="none"/>
        <c:tickLblPos val="nextTo"/>
        <c:crossAx val="95191040"/>
        <c:crosses val="autoZero"/>
        <c:auto val="1"/>
        <c:lblAlgn val="ctr"/>
        <c:lblOffset val="100"/>
        <c:noMultiLvlLbl val="0"/>
      </c:catAx>
      <c:valAx>
        <c:axId val="95191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51892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29</xdr:row>
      <xdr:rowOff>52387</xdr:rowOff>
    </xdr:from>
    <xdr:to>
      <xdr:col>3</xdr:col>
      <xdr:colOff>571500</xdr:colOff>
      <xdr:row>42</xdr:row>
      <xdr:rowOff>142875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771525</xdr:colOff>
      <xdr:row>29</xdr:row>
      <xdr:rowOff>33337</xdr:rowOff>
    </xdr:from>
    <xdr:to>
      <xdr:col>7</xdr:col>
      <xdr:colOff>333375</xdr:colOff>
      <xdr:row>42</xdr:row>
      <xdr:rowOff>114300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466725</xdr:colOff>
      <xdr:row>30</xdr:row>
      <xdr:rowOff>14287</xdr:rowOff>
    </xdr:from>
    <xdr:to>
      <xdr:col>10</xdr:col>
      <xdr:colOff>790575</xdr:colOff>
      <xdr:row>43</xdr:row>
      <xdr:rowOff>123825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866775</xdr:colOff>
      <xdr:row>29</xdr:row>
      <xdr:rowOff>14287</xdr:rowOff>
    </xdr:from>
    <xdr:to>
      <xdr:col>17</xdr:col>
      <xdr:colOff>495300</xdr:colOff>
      <xdr:row>42</xdr:row>
      <xdr:rowOff>142875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180975</xdr:colOff>
      <xdr:row>43</xdr:row>
      <xdr:rowOff>80963</xdr:rowOff>
    </xdr:from>
    <xdr:to>
      <xdr:col>3</xdr:col>
      <xdr:colOff>771525</xdr:colOff>
      <xdr:row>57</xdr:row>
      <xdr:rowOff>57151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904875</xdr:colOff>
      <xdr:row>43</xdr:row>
      <xdr:rowOff>119062</xdr:rowOff>
    </xdr:from>
    <xdr:to>
      <xdr:col>7</xdr:col>
      <xdr:colOff>1057275</xdr:colOff>
      <xdr:row>58</xdr:row>
      <xdr:rowOff>4762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1190625</xdr:colOff>
      <xdr:row>44</xdr:row>
      <xdr:rowOff>33337</xdr:rowOff>
    </xdr:from>
    <xdr:to>
      <xdr:col>12</xdr:col>
      <xdr:colOff>9525</xdr:colOff>
      <xdr:row>58</xdr:row>
      <xdr:rowOff>109537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76200</xdr:colOff>
      <xdr:row>44</xdr:row>
      <xdr:rowOff>33337</xdr:rowOff>
    </xdr:from>
    <xdr:to>
      <xdr:col>19</xdr:col>
      <xdr:colOff>381000</xdr:colOff>
      <xdr:row>58</xdr:row>
      <xdr:rowOff>109537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480"/>
  <sheetViews>
    <sheetView tabSelected="1" workbookViewId="0">
      <pane ySplit="1" topLeftCell="A2460" activePane="bottomLeft" state="frozen"/>
      <selection pane="bottomLeft" activeCell="J2465" sqref="J2465"/>
    </sheetView>
  </sheetViews>
  <sheetFormatPr defaultRowHeight="15" x14ac:dyDescent="0.25"/>
  <cols>
    <col min="1" max="2" width="9.140625" style="1"/>
    <col min="3" max="3" width="30.85546875" style="1" customWidth="1"/>
    <col min="4" max="4" width="12.85546875" style="1" customWidth="1"/>
    <col min="5" max="6" width="9.140625" style="1"/>
    <col min="7" max="7" width="11.85546875" style="1" bestFit="1" customWidth="1"/>
    <col min="8" max="8" width="17.85546875" style="1" bestFit="1" customWidth="1"/>
    <col min="9" max="10" width="17.7109375" style="1" bestFit="1" customWidth="1"/>
    <col min="11" max="11" width="17.5703125" style="1" bestFit="1" customWidth="1"/>
    <col min="12" max="12" width="19.28515625" style="1" bestFit="1" customWidth="1"/>
    <col min="13" max="13" width="19.140625" style="1" bestFit="1" customWidth="1"/>
    <col min="14" max="14" width="19.42578125" style="1" bestFit="1" customWidth="1"/>
    <col min="15" max="16" width="19.28515625" style="1" bestFit="1" customWidth="1"/>
    <col min="17" max="18" width="19.140625" style="1" bestFit="1" customWidth="1"/>
    <col min="19" max="19" width="19" style="1" bestFit="1" customWidth="1"/>
    <col min="20" max="20" width="21.42578125" style="1" bestFit="1" customWidth="1"/>
    <col min="21" max="22" width="21.140625" style="1" bestFit="1" customWidth="1"/>
    <col min="23" max="23" width="21" style="1" bestFit="1" customWidth="1"/>
    <col min="24" max="24" width="21.85546875" style="1" bestFit="1" customWidth="1"/>
    <col min="25" max="25" width="21.7109375" style="1" bestFit="1" customWidth="1"/>
    <col min="26" max="26" width="21.140625" style="1" bestFit="1" customWidth="1"/>
    <col min="27" max="28" width="21" style="1" bestFit="1" customWidth="1"/>
    <col min="29" max="29" width="20.85546875" style="1" bestFit="1" customWidth="1"/>
    <col min="30" max="30" width="21.7109375" style="1" bestFit="1" customWidth="1"/>
    <col min="31" max="31" width="21.5703125" style="1" bestFit="1" customWidth="1"/>
  </cols>
  <sheetData>
    <row r="1" spans="1:31" x14ac:dyDescent="0.25">
      <c r="A1" s="1" t="s">
        <v>0</v>
      </c>
      <c r="B1" s="1" t="s">
        <v>6111</v>
      </c>
      <c r="C1" s="1" t="s">
        <v>6112</v>
      </c>
      <c r="D1" s="1" t="s">
        <v>6113</v>
      </c>
      <c r="E1" s="1" t="s">
        <v>6114</v>
      </c>
      <c r="F1" s="1" t="s">
        <v>6115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</row>
    <row r="2" spans="1:31" x14ac:dyDescent="0.25">
      <c r="A2" s="1" t="s">
        <v>2276</v>
      </c>
      <c r="B2" s="1" t="s">
        <v>2535</v>
      </c>
      <c r="C2" s="1" t="s">
        <v>2535</v>
      </c>
      <c r="D2" s="1" t="s">
        <v>2535</v>
      </c>
      <c r="E2" s="1" t="s">
        <v>2535</v>
      </c>
      <c r="F2" s="1" t="s">
        <v>2535</v>
      </c>
      <c r="G2" s="1" t="s">
        <v>2276</v>
      </c>
      <c r="H2" s="1">
        <v>6.6155784799999999</v>
      </c>
      <c r="I2" s="1">
        <v>7.0388012209999999</v>
      </c>
      <c r="J2" s="1">
        <v>7.3732517919999996</v>
      </c>
      <c r="K2" s="1">
        <v>7.2340224260000001</v>
      </c>
      <c r="L2" s="1">
        <v>6.1777105819999996</v>
      </c>
      <c r="M2" s="1">
        <v>6.6504511339999999</v>
      </c>
      <c r="N2" s="1">
        <v>6.282777512</v>
      </c>
      <c r="O2" s="1">
        <v>5.6647442659999996</v>
      </c>
      <c r="P2" s="1">
        <v>7.1300695420000002</v>
      </c>
      <c r="Q2" s="1">
        <v>7.4049921110000003</v>
      </c>
      <c r="R2" s="1">
        <v>7.3151545530000002</v>
      </c>
      <c r="S2" s="1">
        <v>7.4721490179999996</v>
      </c>
      <c r="T2" s="1">
        <v>6.1777105819999996</v>
      </c>
      <c r="U2" s="1">
        <v>6.6504511339999999</v>
      </c>
      <c r="V2" s="1">
        <v>6.71671408</v>
      </c>
      <c r="W2" s="1">
        <v>6.1843530070000003</v>
      </c>
      <c r="X2" s="1">
        <v>6.3988765150000004</v>
      </c>
      <c r="Y2" s="1">
        <v>6.0488320509999998</v>
      </c>
      <c r="Z2" s="1">
        <v>7.3151545530000002</v>
      </c>
      <c r="AA2" s="1">
        <v>7.4721490179999996</v>
      </c>
      <c r="AB2" s="1">
        <v>6.4527679449999997</v>
      </c>
      <c r="AC2" s="1">
        <v>6.2044385320000002</v>
      </c>
      <c r="AD2" s="1">
        <v>6.7654508829999997</v>
      </c>
      <c r="AE2" s="1">
        <v>6.7869708700000002</v>
      </c>
    </row>
    <row r="3" spans="1:31" x14ac:dyDescent="0.25">
      <c r="A3" s="1" t="s">
        <v>2275</v>
      </c>
      <c r="B3" s="1" t="s">
        <v>2535</v>
      </c>
      <c r="C3" s="1" t="s">
        <v>2535</v>
      </c>
      <c r="D3" s="1" t="s">
        <v>2535</v>
      </c>
      <c r="E3" s="1" t="s">
        <v>2535</v>
      </c>
      <c r="F3" s="1" t="s">
        <v>2535</v>
      </c>
      <c r="G3" s="1" t="s">
        <v>2275</v>
      </c>
      <c r="H3" s="1">
        <v>21.268295899999998</v>
      </c>
      <c r="I3" s="1">
        <v>21.850945830000001</v>
      </c>
      <c r="J3" s="1">
        <v>20.887151360000001</v>
      </c>
      <c r="K3" s="1">
        <v>21.035983680000001</v>
      </c>
      <c r="L3" s="1">
        <v>20.602043290000001</v>
      </c>
      <c r="M3" s="1">
        <v>20.62695957</v>
      </c>
      <c r="N3" s="1">
        <v>21.30389714</v>
      </c>
      <c r="O3" s="1">
        <v>20.942699529999999</v>
      </c>
      <c r="P3" s="1">
        <v>21.186887760000001</v>
      </c>
      <c r="Q3" s="1">
        <v>21.311805840000002</v>
      </c>
      <c r="R3" s="1">
        <v>20.470110269999999</v>
      </c>
      <c r="S3" s="1">
        <v>20.536951890000001</v>
      </c>
      <c r="T3" s="1">
        <v>20.602043290000001</v>
      </c>
      <c r="U3" s="1">
        <v>20.62695957</v>
      </c>
      <c r="V3" s="1">
        <v>21.13816271</v>
      </c>
      <c r="W3" s="1">
        <v>21.381414400000001</v>
      </c>
      <c r="X3" s="1">
        <v>21.040122920000002</v>
      </c>
      <c r="Y3" s="1">
        <v>21.27672948</v>
      </c>
      <c r="Z3" s="1">
        <v>20.470110269999999</v>
      </c>
      <c r="AA3" s="1">
        <v>20.536951890000001</v>
      </c>
      <c r="AB3" s="1">
        <v>21.010953239999999</v>
      </c>
      <c r="AC3" s="1">
        <v>20.592444990000001</v>
      </c>
      <c r="AD3" s="1">
        <v>20.48262218</v>
      </c>
      <c r="AE3" s="1">
        <v>21.013235399999999</v>
      </c>
    </row>
    <row r="4" spans="1:31" x14ac:dyDescent="0.25">
      <c r="A4" s="1" t="s">
        <v>2277</v>
      </c>
      <c r="B4" s="1" t="s">
        <v>2535</v>
      </c>
      <c r="C4" s="1" t="s">
        <v>2535</v>
      </c>
      <c r="D4" s="1" t="s">
        <v>2535</v>
      </c>
      <c r="E4" s="1" t="s">
        <v>2535</v>
      </c>
      <c r="F4" s="1" t="s">
        <v>2535</v>
      </c>
      <c r="G4" s="1" t="s">
        <v>2277</v>
      </c>
      <c r="H4" s="1">
        <v>23.99561091</v>
      </c>
      <c r="I4" s="1">
        <v>23.6525155</v>
      </c>
      <c r="J4" s="1">
        <v>24.281977739999999</v>
      </c>
      <c r="K4" s="1">
        <v>24.296453759999999</v>
      </c>
      <c r="L4" s="1">
        <v>23.76545131</v>
      </c>
      <c r="M4" s="1">
        <v>24.10545522</v>
      </c>
      <c r="N4" s="1">
        <v>23.02830969</v>
      </c>
      <c r="O4" s="1">
        <v>23.42807539</v>
      </c>
      <c r="P4" s="1">
        <v>23.91613435</v>
      </c>
      <c r="Q4" s="1">
        <v>24.060735709999999</v>
      </c>
      <c r="R4" s="1">
        <v>24.714864739999999</v>
      </c>
      <c r="S4" s="1">
        <v>24.15864771</v>
      </c>
      <c r="T4" s="1">
        <v>23.76545131</v>
      </c>
      <c r="U4" s="1">
        <v>24.10545522</v>
      </c>
      <c r="V4" s="1">
        <v>23.889543539999998</v>
      </c>
      <c r="W4" s="1">
        <v>23.877048850000001</v>
      </c>
      <c r="X4" s="1">
        <v>23.990677259999998</v>
      </c>
      <c r="Y4" s="1">
        <v>23.752168739999998</v>
      </c>
      <c r="Z4" s="1">
        <v>24.714864739999999</v>
      </c>
      <c r="AA4" s="1">
        <v>24.15864771</v>
      </c>
      <c r="AB4" s="1">
        <v>24.279203089999999</v>
      </c>
      <c r="AC4" s="1">
        <v>24.181668940000002</v>
      </c>
      <c r="AD4" s="1">
        <v>24.2397235</v>
      </c>
      <c r="AE4" s="1">
        <v>24.220688920000001</v>
      </c>
    </row>
    <row r="5" spans="1:31" x14ac:dyDescent="0.25">
      <c r="A5" s="1" t="s">
        <v>2281</v>
      </c>
      <c r="B5" s="1" t="s">
        <v>2535</v>
      </c>
      <c r="C5" s="1" t="s">
        <v>2535</v>
      </c>
      <c r="D5" s="1" t="s">
        <v>2535</v>
      </c>
      <c r="E5" s="1" t="s">
        <v>2535</v>
      </c>
      <c r="F5" s="1" t="s">
        <v>2535</v>
      </c>
      <c r="G5" s="1" t="s">
        <v>2281</v>
      </c>
      <c r="H5" s="1">
        <v>22.818259510000001</v>
      </c>
      <c r="I5" s="1">
        <v>22.367151920000001</v>
      </c>
      <c r="J5" s="1">
        <v>23.072060919999998</v>
      </c>
      <c r="K5" s="1">
        <v>23.121545789999999</v>
      </c>
      <c r="L5" s="1">
        <v>22.459996950000001</v>
      </c>
      <c r="M5" s="1">
        <v>22.768718069999998</v>
      </c>
      <c r="N5" s="1">
        <v>21.706230770000001</v>
      </c>
      <c r="O5" s="1">
        <v>22.213370489999999</v>
      </c>
      <c r="P5" s="1">
        <v>22.736510859999999</v>
      </c>
      <c r="Q5" s="1">
        <v>22.783983429999999</v>
      </c>
      <c r="R5" s="1">
        <v>23.452582580000001</v>
      </c>
      <c r="S5" s="1">
        <v>22.963036240000001</v>
      </c>
      <c r="T5" s="1">
        <v>22.459996950000001</v>
      </c>
      <c r="U5" s="1">
        <v>22.768718069999998</v>
      </c>
      <c r="V5" s="1">
        <v>22.808007830000001</v>
      </c>
      <c r="W5" s="1">
        <v>22.722020109999999</v>
      </c>
      <c r="X5" s="1">
        <v>22.833218930000001</v>
      </c>
      <c r="Y5" s="1">
        <v>22.534217389999998</v>
      </c>
      <c r="Z5" s="1">
        <v>23.452582580000001</v>
      </c>
      <c r="AA5" s="1">
        <v>22.963036240000001</v>
      </c>
      <c r="AB5" s="1">
        <v>23.097964560000001</v>
      </c>
      <c r="AC5" s="1">
        <v>22.96795277</v>
      </c>
      <c r="AD5" s="1">
        <v>22.93498353</v>
      </c>
      <c r="AE5" s="1">
        <v>23.073167919999999</v>
      </c>
    </row>
    <row r="6" spans="1:31" x14ac:dyDescent="0.25">
      <c r="A6" s="1" t="s">
        <v>289</v>
      </c>
      <c r="B6" s="1" t="s">
        <v>2535</v>
      </c>
      <c r="C6" s="1" t="s">
        <v>2535</v>
      </c>
      <c r="D6" s="1" t="s">
        <v>2535</v>
      </c>
      <c r="E6" s="1" t="s">
        <v>2535</v>
      </c>
      <c r="F6" s="1" t="s">
        <v>2535</v>
      </c>
      <c r="G6" s="1" t="s">
        <v>289</v>
      </c>
      <c r="H6" s="1">
        <v>16.733116240000001</v>
      </c>
      <c r="I6" s="1">
        <v>16.674431930000001</v>
      </c>
      <c r="J6" s="1">
        <v>16.939874490000001</v>
      </c>
      <c r="K6" s="1">
        <v>16.863218249999999</v>
      </c>
      <c r="L6" s="1">
        <v>16.878212869999999</v>
      </c>
      <c r="M6" s="1">
        <v>16.843338070000001</v>
      </c>
      <c r="N6" s="1">
        <v>16.471577369999999</v>
      </c>
      <c r="O6" s="1">
        <v>16.324065239999999</v>
      </c>
      <c r="P6" s="1">
        <v>16.63460036</v>
      </c>
      <c r="Q6" s="1">
        <v>16.58977002</v>
      </c>
      <c r="R6" s="1">
        <v>16.915052970000001</v>
      </c>
      <c r="S6" s="1">
        <v>16.525072170000001</v>
      </c>
      <c r="T6" s="1">
        <v>16.878212869999999</v>
      </c>
      <c r="U6" s="1">
        <v>16.843338070000001</v>
      </c>
      <c r="V6" s="1">
        <v>16.659737329999999</v>
      </c>
      <c r="W6" s="1">
        <v>16.661961089999998</v>
      </c>
      <c r="X6" s="1">
        <v>16.53439285</v>
      </c>
      <c r="Y6" s="1">
        <v>16.832744559999998</v>
      </c>
      <c r="Z6" s="1">
        <v>16.915052970000001</v>
      </c>
      <c r="AA6" s="1">
        <v>16.525072170000001</v>
      </c>
      <c r="AB6" s="1">
        <v>16.866596600000001</v>
      </c>
      <c r="AC6" s="1">
        <v>16.91717701</v>
      </c>
      <c r="AD6" s="1">
        <v>16.700442630000001</v>
      </c>
      <c r="AE6" s="1">
        <v>16.663839899999999</v>
      </c>
    </row>
    <row r="7" spans="1:31" x14ac:dyDescent="0.25">
      <c r="A7" s="1" t="s">
        <v>676</v>
      </c>
      <c r="B7" s="1" t="s">
        <v>2535</v>
      </c>
      <c r="C7" s="1" t="s">
        <v>2535</v>
      </c>
      <c r="D7" s="1" t="s">
        <v>2535</v>
      </c>
      <c r="E7" s="1" t="s">
        <v>2535</v>
      </c>
      <c r="F7" s="1" t="s">
        <v>2535</v>
      </c>
      <c r="G7" s="1" t="s">
        <v>676</v>
      </c>
      <c r="H7" s="1">
        <v>1.7393328349999999</v>
      </c>
      <c r="I7" s="1">
        <v>1.7393328349999999</v>
      </c>
      <c r="J7" s="1">
        <v>1.7393328349999999</v>
      </c>
      <c r="K7" s="1">
        <v>1.7393328349999999</v>
      </c>
      <c r="L7" s="1">
        <v>2.315629231</v>
      </c>
      <c r="M7" s="1">
        <v>1.7393328349999999</v>
      </c>
      <c r="N7" s="1">
        <v>1.7393328349999999</v>
      </c>
      <c r="O7" s="1">
        <v>1.7393328349999999</v>
      </c>
      <c r="P7" s="1">
        <v>2.5478783159999998</v>
      </c>
      <c r="Q7" s="1">
        <v>1.7393328349999999</v>
      </c>
      <c r="R7" s="1">
        <v>1.7393328349999999</v>
      </c>
      <c r="S7" s="1">
        <v>1.7393328349999999</v>
      </c>
      <c r="T7" s="1">
        <v>2.315629231</v>
      </c>
      <c r="U7" s="1">
        <v>1.7393328349999999</v>
      </c>
      <c r="V7" s="1">
        <v>2.5140266200000001</v>
      </c>
      <c r="W7" s="1">
        <v>1.7393328349999999</v>
      </c>
      <c r="X7" s="1">
        <v>1.7393328349999999</v>
      </c>
      <c r="Y7" s="1">
        <v>1.7393328349999999</v>
      </c>
      <c r="Z7" s="1">
        <v>1.7393328349999999</v>
      </c>
      <c r="AA7" s="1">
        <v>1.7393328349999999</v>
      </c>
      <c r="AB7" s="1">
        <v>1.7393328349999999</v>
      </c>
      <c r="AC7" s="1">
        <v>1.7393328349999999</v>
      </c>
      <c r="AD7" s="1">
        <v>1.7393328349999999</v>
      </c>
      <c r="AE7" s="1">
        <v>1.7393328349999999</v>
      </c>
    </row>
    <row r="8" spans="1:31" x14ac:dyDescent="0.25">
      <c r="A8" s="1" t="s">
        <v>2136</v>
      </c>
      <c r="B8" s="1" t="s">
        <v>2535</v>
      </c>
      <c r="C8" s="1" t="s">
        <v>2535</v>
      </c>
      <c r="D8" s="1" t="s">
        <v>2535</v>
      </c>
      <c r="E8" s="1" t="s">
        <v>2535</v>
      </c>
      <c r="F8" s="1" t="s">
        <v>2535</v>
      </c>
      <c r="G8" s="1" t="s">
        <v>2136</v>
      </c>
      <c r="H8" s="1">
        <v>14.72011897</v>
      </c>
      <c r="I8" s="1">
        <v>14.86153086</v>
      </c>
      <c r="J8" s="1">
        <v>14.494948490000001</v>
      </c>
      <c r="K8" s="1">
        <v>14.54839228</v>
      </c>
      <c r="L8" s="1">
        <v>14.12240441</v>
      </c>
      <c r="M8" s="1">
        <v>14.254328620000001</v>
      </c>
      <c r="N8" s="1">
        <v>14.30336245</v>
      </c>
      <c r="O8" s="1">
        <v>14.01281753</v>
      </c>
      <c r="P8" s="1">
        <v>14.45320849</v>
      </c>
      <c r="Q8" s="1">
        <v>14.466484360000001</v>
      </c>
      <c r="R8" s="1">
        <v>14.3030454</v>
      </c>
      <c r="S8" s="1">
        <v>14.188738239999999</v>
      </c>
      <c r="T8" s="1">
        <v>14.12240441</v>
      </c>
      <c r="U8" s="1">
        <v>14.254328620000001</v>
      </c>
      <c r="V8" s="1">
        <v>14.57228145</v>
      </c>
      <c r="W8" s="1">
        <v>14.37677431</v>
      </c>
      <c r="X8" s="1">
        <v>14.33454674</v>
      </c>
      <c r="Y8" s="1">
        <v>14.527934070000001</v>
      </c>
      <c r="Z8" s="1">
        <v>14.3030454</v>
      </c>
      <c r="AA8" s="1">
        <v>14.188738239999999</v>
      </c>
      <c r="AB8" s="1">
        <v>14.202803250000001</v>
      </c>
      <c r="AC8" s="1">
        <v>14.059173789999999</v>
      </c>
      <c r="AD8" s="1">
        <v>14.15401906</v>
      </c>
      <c r="AE8" s="1">
        <v>14.194217950000001</v>
      </c>
    </row>
    <row r="9" spans="1:31" x14ac:dyDescent="0.25">
      <c r="A9" s="1" t="s">
        <v>154</v>
      </c>
      <c r="B9" s="1" t="s">
        <v>2535</v>
      </c>
      <c r="C9" s="1" t="s">
        <v>2535</v>
      </c>
      <c r="D9" s="1" t="s">
        <v>2535</v>
      </c>
      <c r="E9" s="1" t="s">
        <v>2535</v>
      </c>
      <c r="F9" s="1" t="s">
        <v>2535</v>
      </c>
      <c r="G9" s="1" t="s">
        <v>154</v>
      </c>
      <c r="H9" s="1">
        <v>14.904776869999999</v>
      </c>
      <c r="I9" s="1">
        <v>14.97817817</v>
      </c>
      <c r="J9" s="1">
        <v>14.76227306</v>
      </c>
      <c r="K9" s="1">
        <v>14.66524862</v>
      </c>
      <c r="L9" s="1">
        <v>14.070154309999999</v>
      </c>
      <c r="M9" s="1">
        <v>14.379056800000001</v>
      </c>
      <c r="N9" s="1">
        <v>14.35545261</v>
      </c>
      <c r="O9" s="1">
        <v>14.443912170000001</v>
      </c>
      <c r="P9" s="1">
        <v>14.64173523</v>
      </c>
      <c r="Q9" s="1">
        <v>14.73370197</v>
      </c>
      <c r="R9" s="1">
        <v>14.84008306</v>
      </c>
      <c r="S9" s="1">
        <v>14.625377090000001</v>
      </c>
      <c r="T9" s="1">
        <v>14.070154309999999</v>
      </c>
      <c r="U9" s="1">
        <v>14.379056800000001</v>
      </c>
      <c r="V9" s="1">
        <v>14.32287979</v>
      </c>
      <c r="W9" s="1">
        <v>14.436830029999999</v>
      </c>
      <c r="X9" s="1">
        <v>14.124112500000001</v>
      </c>
      <c r="Y9" s="1">
        <v>14.3590503</v>
      </c>
      <c r="Z9" s="1">
        <v>14.84008306</v>
      </c>
      <c r="AA9" s="1">
        <v>14.625377090000001</v>
      </c>
      <c r="AB9" s="1">
        <v>14.44178456</v>
      </c>
      <c r="AC9" s="1">
        <v>14.52549041</v>
      </c>
      <c r="AD9" s="1">
        <v>14.318884199999999</v>
      </c>
      <c r="AE9" s="1">
        <v>14.24943893</v>
      </c>
    </row>
    <row r="10" spans="1:31" x14ac:dyDescent="0.25">
      <c r="A10" s="1" t="s">
        <v>172</v>
      </c>
      <c r="B10" s="1" t="s">
        <v>2535</v>
      </c>
      <c r="C10" s="1" t="s">
        <v>2535</v>
      </c>
      <c r="D10" s="1" t="s">
        <v>2535</v>
      </c>
      <c r="E10" s="1" t="s">
        <v>2535</v>
      </c>
      <c r="F10" s="1" t="s">
        <v>2535</v>
      </c>
      <c r="G10" s="1" t="s">
        <v>172</v>
      </c>
      <c r="H10" s="1">
        <v>17.4585677</v>
      </c>
      <c r="I10" s="1">
        <v>18.559513750000001</v>
      </c>
      <c r="J10" s="1">
        <v>16.826944189999999</v>
      </c>
      <c r="K10" s="1">
        <v>16.667947300000002</v>
      </c>
      <c r="L10" s="1">
        <v>16.13864508</v>
      </c>
      <c r="M10" s="1">
        <v>16.311920820000001</v>
      </c>
      <c r="N10" s="1">
        <v>17.327965689999999</v>
      </c>
      <c r="O10" s="1">
        <v>17.032942779999999</v>
      </c>
      <c r="P10" s="1">
        <v>16.887678789999999</v>
      </c>
      <c r="Q10" s="1">
        <v>17.01391907</v>
      </c>
      <c r="R10" s="1">
        <v>16.4061713</v>
      </c>
      <c r="S10" s="1">
        <v>16.97787276</v>
      </c>
      <c r="T10" s="1">
        <v>16.13864508</v>
      </c>
      <c r="U10" s="1">
        <v>16.311920820000001</v>
      </c>
      <c r="V10" s="1">
        <v>18.151018579999999</v>
      </c>
      <c r="W10" s="1">
        <v>17.803763310000001</v>
      </c>
      <c r="X10" s="1">
        <v>16.379695250000001</v>
      </c>
      <c r="Y10" s="1">
        <v>18.11040066</v>
      </c>
      <c r="Z10" s="1">
        <v>16.4061713</v>
      </c>
      <c r="AA10" s="1">
        <v>16.97787276</v>
      </c>
      <c r="AB10" s="1">
        <v>16.510638289999999</v>
      </c>
      <c r="AC10" s="1">
        <v>16.2863051</v>
      </c>
      <c r="AD10" s="1">
        <v>16.335990460000001</v>
      </c>
      <c r="AE10" s="1">
        <v>16.75770936</v>
      </c>
    </row>
    <row r="11" spans="1:31" x14ac:dyDescent="0.25">
      <c r="A11" s="1" t="s">
        <v>215</v>
      </c>
      <c r="B11" s="1" t="s">
        <v>2535</v>
      </c>
      <c r="C11" s="1" t="s">
        <v>2535</v>
      </c>
      <c r="D11" s="1" t="s">
        <v>2535</v>
      </c>
      <c r="E11" s="1" t="s">
        <v>2535</v>
      </c>
      <c r="F11" s="1" t="s">
        <v>2535</v>
      </c>
      <c r="G11" s="1" t="s">
        <v>215</v>
      </c>
      <c r="H11" s="1">
        <v>18.07397254</v>
      </c>
      <c r="I11" s="1">
        <v>18.749035150000001</v>
      </c>
      <c r="J11" s="1">
        <v>17.429183009999999</v>
      </c>
      <c r="K11" s="1">
        <v>17.138594510000001</v>
      </c>
      <c r="L11" s="1">
        <v>16.853805789999999</v>
      </c>
      <c r="M11" s="1">
        <v>16.55280978</v>
      </c>
      <c r="N11" s="1">
        <v>17.72480886</v>
      </c>
      <c r="O11" s="1">
        <v>17.469028680000001</v>
      </c>
      <c r="P11" s="1">
        <v>17.490544809999999</v>
      </c>
      <c r="Q11" s="1">
        <v>17.533849180000001</v>
      </c>
      <c r="R11" s="1">
        <v>16.6932957</v>
      </c>
      <c r="S11" s="1">
        <v>16.80559251</v>
      </c>
      <c r="T11" s="1">
        <v>16.853805789999999</v>
      </c>
      <c r="U11" s="1">
        <v>16.55280978</v>
      </c>
      <c r="V11" s="1">
        <v>17.488245559999999</v>
      </c>
      <c r="W11" s="1">
        <v>17.372143959999999</v>
      </c>
      <c r="X11" s="1">
        <v>16.872852640000001</v>
      </c>
      <c r="Y11" s="1">
        <v>17.603835180000001</v>
      </c>
      <c r="Z11" s="1">
        <v>16.6932957</v>
      </c>
      <c r="AA11" s="1">
        <v>16.80559251</v>
      </c>
      <c r="AB11" s="1">
        <v>16.89849079</v>
      </c>
      <c r="AC11" s="1">
        <v>16.844794629999999</v>
      </c>
      <c r="AD11" s="1">
        <v>16.724449790000001</v>
      </c>
      <c r="AE11" s="1">
        <v>17.210044669999998</v>
      </c>
    </row>
    <row r="12" spans="1:31" x14ac:dyDescent="0.25">
      <c r="A12" s="1" t="s">
        <v>258</v>
      </c>
      <c r="B12" s="1" t="s">
        <v>2535</v>
      </c>
      <c r="C12" s="1" t="s">
        <v>2535</v>
      </c>
      <c r="D12" s="1" t="s">
        <v>2535</v>
      </c>
      <c r="E12" s="1" t="s">
        <v>2535</v>
      </c>
      <c r="F12" s="1" t="s">
        <v>2535</v>
      </c>
      <c r="G12" s="1" t="s">
        <v>258</v>
      </c>
      <c r="H12" s="1">
        <v>18.25664299</v>
      </c>
      <c r="I12" s="1">
        <v>19.319867439999999</v>
      </c>
      <c r="J12" s="1">
        <v>17.70756446</v>
      </c>
      <c r="K12" s="1">
        <v>17.675732709999998</v>
      </c>
      <c r="L12" s="1">
        <v>16.918553200000002</v>
      </c>
      <c r="M12" s="1">
        <v>17.06596562</v>
      </c>
      <c r="N12" s="1">
        <v>18.47547131</v>
      </c>
      <c r="O12" s="1">
        <v>17.905818880000002</v>
      </c>
      <c r="P12" s="1">
        <v>17.860377679999999</v>
      </c>
      <c r="Q12" s="1">
        <v>18.17720169</v>
      </c>
      <c r="R12" s="1">
        <v>17.207676660000001</v>
      </c>
      <c r="S12" s="1">
        <v>17.552144819999999</v>
      </c>
      <c r="T12" s="1">
        <v>16.918553200000002</v>
      </c>
      <c r="U12" s="1">
        <v>17.06596562</v>
      </c>
      <c r="V12" s="1">
        <v>18.400495289999999</v>
      </c>
      <c r="W12" s="1">
        <v>18.28490378</v>
      </c>
      <c r="X12" s="1">
        <v>17.26424192</v>
      </c>
      <c r="Y12" s="1">
        <v>18.335436789999999</v>
      </c>
      <c r="Z12" s="1">
        <v>17.207676660000001</v>
      </c>
      <c r="AA12" s="1">
        <v>17.552144819999999</v>
      </c>
      <c r="AB12" s="1">
        <v>17.345315289999998</v>
      </c>
      <c r="AC12" s="1">
        <v>17.111217669999998</v>
      </c>
      <c r="AD12" s="1">
        <v>17.207803349999999</v>
      </c>
      <c r="AE12" s="1">
        <v>17.506155029999999</v>
      </c>
    </row>
    <row r="13" spans="1:31" x14ac:dyDescent="0.25">
      <c r="A13" s="1" t="s">
        <v>299</v>
      </c>
      <c r="B13" s="1" t="s">
        <v>2535</v>
      </c>
      <c r="C13" s="1" t="s">
        <v>2535</v>
      </c>
      <c r="D13" s="1" t="s">
        <v>2535</v>
      </c>
      <c r="E13" s="1" t="s">
        <v>2535</v>
      </c>
      <c r="F13" s="1" t="s">
        <v>2535</v>
      </c>
      <c r="G13" s="1" t="s">
        <v>299</v>
      </c>
      <c r="H13" s="1">
        <v>16.492838429999999</v>
      </c>
      <c r="I13" s="1">
        <v>17.684130929999998</v>
      </c>
      <c r="J13" s="1">
        <v>15.322229119999999</v>
      </c>
      <c r="K13" s="1">
        <v>15.301908790000001</v>
      </c>
      <c r="L13" s="1">
        <v>14.30226042</v>
      </c>
      <c r="M13" s="1">
        <v>14.68058085</v>
      </c>
      <c r="N13" s="1">
        <v>16.521522239999999</v>
      </c>
      <c r="O13" s="1">
        <v>15.95122705</v>
      </c>
      <c r="P13" s="1">
        <v>15.47115919</v>
      </c>
      <c r="Q13" s="1">
        <v>15.843690840000001</v>
      </c>
      <c r="R13" s="1">
        <v>14.405417119999999</v>
      </c>
      <c r="S13" s="1">
        <v>14.929357359999999</v>
      </c>
      <c r="T13" s="1">
        <v>14.30226042</v>
      </c>
      <c r="U13" s="1">
        <v>14.68058085</v>
      </c>
      <c r="V13" s="1">
        <v>16.462615230000001</v>
      </c>
      <c r="W13" s="1">
        <v>16.256323689999999</v>
      </c>
      <c r="X13" s="1">
        <v>14.97625921</v>
      </c>
      <c r="Y13" s="1">
        <v>16.260987159999999</v>
      </c>
      <c r="Z13" s="1">
        <v>14.405417119999999</v>
      </c>
      <c r="AA13" s="1">
        <v>14.929357359999999</v>
      </c>
      <c r="AB13" s="1">
        <v>14.58225768</v>
      </c>
      <c r="AC13" s="1">
        <v>14.38846537</v>
      </c>
      <c r="AD13" s="1">
        <v>14.678390370000001</v>
      </c>
      <c r="AE13" s="1">
        <v>15.30642681</v>
      </c>
    </row>
    <row r="14" spans="1:31" x14ac:dyDescent="0.25">
      <c r="A14" s="1" t="s">
        <v>344</v>
      </c>
      <c r="B14" s="1" t="s">
        <v>2535</v>
      </c>
      <c r="C14" s="1" t="s">
        <v>2535</v>
      </c>
      <c r="D14" s="1" t="s">
        <v>2535</v>
      </c>
      <c r="E14" s="1" t="s">
        <v>2535</v>
      </c>
      <c r="F14" s="1" t="s">
        <v>2535</v>
      </c>
      <c r="G14" s="1" t="s">
        <v>344</v>
      </c>
      <c r="H14" s="1">
        <v>15.27389282</v>
      </c>
      <c r="I14" s="1">
        <v>16.19323241</v>
      </c>
      <c r="J14" s="1">
        <v>14.965500459999999</v>
      </c>
      <c r="K14" s="1">
        <v>15.0017573</v>
      </c>
      <c r="L14" s="1">
        <v>13.729990989999999</v>
      </c>
      <c r="M14" s="1">
        <v>14.1581998</v>
      </c>
      <c r="N14" s="1">
        <v>15.16140036</v>
      </c>
      <c r="O14" s="1">
        <v>14.818136559999999</v>
      </c>
      <c r="P14" s="1">
        <v>14.91554116</v>
      </c>
      <c r="Q14" s="1">
        <v>15.487381770000001</v>
      </c>
      <c r="R14" s="1">
        <v>14.92708835</v>
      </c>
      <c r="S14" s="1">
        <v>15.004797910000001</v>
      </c>
      <c r="T14" s="1">
        <v>13.729990989999999</v>
      </c>
      <c r="U14" s="1">
        <v>14.1581998</v>
      </c>
      <c r="V14" s="1">
        <v>16.000298659999999</v>
      </c>
      <c r="W14" s="1">
        <v>16.418104190000001</v>
      </c>
      <c r="X14" s="1">
        <v>14.743328330000001</v>
      </c>
      <c r="Y14" s="1">
        <v>15.67047296</v>
      </c>
      <c r="Z14" s="1">
        <v>14.92708835</v>
      </c>
      <c r="AA14" s="1">
        <v>15.004797910000001</v>
      </c>
      <c r="AB14" s="1">
        <v>14.932942969999999</v>
      </c>
      <c r="AC14" s="1">
        <v>14.60722595</v>
      </c>
      <c r="AD14" s="1">
        <v>14.79404261</v>
      </c>
      <c r="AE14" s="1">
        <v>14.74609244</v>
      </c>
    </row>
    <row r="15" spans="1:31" x14ac:dyDescent="0.25">
      <c r="A15" s="1" t="s">
        <v>379</v>
      </c>
      <c r="B15" s="1" t="s">
        <v>2535</v>
      </c>
      <c r="C15" s="1" t="s">
        <v>2535</v>
      </c>
      <c r="D15" s="1" t="s">
        <v>2535</v>
      </c>
      <c r="E15" s="1" t="s">
        <v>2535</v>
      </c>
      <c r="F15" s="1" t="s">
        <v>2535</v>
      </c>
      <c r="G15" s="1" t="s">
        <v>379</v>
      </c>
      <c r="H15" s="1">
        <v>15.491426690000001</v>
      </c>
      <c r="I15" s="1">
        <v>16.02447935</v>
      </c>
      <c r="J15" s="1">
        <v>15.413101559999999</v>
      </c>
      <c r="K15" s="1">
        <v>15.131439759999999</v>
      </c>
      <c r="L15" s="1">
        <v>13.96180803</v>
      </c>
      <c r="M15" s="1">
        <v>14.30813371</v>
      </c>
      <c r="N15" s="1">
        <v>15.282191770000001</v>
      </c>
      <c r="O15" s="1">
        <v>14.453528260000001</v>
      </c>
      <c r="P15" s="1">
        <v>15.311455329999999</v>
      </c>
      <c r="Q15" s="1">
        <v>15.341618990000001</v>
      </c>
      <c r="R15" s="1">
        <v>15.110344319999999</v>
      </c>
      <c r="S15" s="1">
        <v>14.934652270000001</v>
      </c>
      <c r="T15" s="1">
        <v>13.96180803</v>
      </c>
      <c r="U15" s="1">
        <v>14.30813371</v>
      </c>
      <c r="V15" s="1">
        <v>15.02412103</v>
      </c>
      <c r="W15" s="1">
        <v>15.19083786</v>
      </c>
      <c r="X15" s="1">
        <v>14.67483242</v>
      </c>
      <c r="Y15" s="1">
        <v>15.170124059999999</v>
      </c>
      <c r="Z15" s="1">
        <v>15.110344319999999</v>
      </c>
      <c r="AA15" s="1">
        <v>14.934652270000001</v>
      </c>
      <c r="AB15" s="1">
        <v>14.89075712</v>
      </c>
      <c r="AC15" s="1">
        <v>14.792904650000001</v>
      </c>
      <c r="AD15" s="1">
        <v>14.52352653</v>
      </c>
      <c r="AE15" s="1">
        <v>15.01169805</v>
      </c>
    </row>
    <row r="16" spans="1:31" x14ac:dyDescent="0.25">
      <c r="A16" s="1" t="s">
        <v>391</v>
      </c>
      <c r="B16" s="1" t="s">
        <v>2535</v>
      </c>
      <c r="C16" s="1" t="s">
        <v>2535</v>
      </c>
      <c r="D16" s="1" t="s">
        <v>2535</v>
      </c>
      <c r="E16" s="1" t="s">
        <v>2535</v>
      </c>
      <c r="F16" s="1" t="s">
        <v>2535</v>
      </c>
      <c r="G16" s="1" t="s">
        <v>391</v>
      </c>
      <c r="H16" s="1">
        <v>19.6734917</v>
      </c>
      <c r="I16" s="1">
        <v>20.358110480000001</v>
      </c>
      <c r="J16" s="1">
        <v>18.884200310000001</v>
      </c>
      <c r="K16" s="1">
        <v>18.596491060000002</v>
      </c>
      <c r="L16" s="1">
        <v>18.169364470000001</v>
      </c>
      <c r="M16" s="1">
        <v>18.370428789999998</v>
      </c>
      <c r="N16" s="1">
        <v>19.757065310000002</v>
      </c>
      <c r="O16" s="1">
        <v>19.082563889999999</v>
      </c>
      <c r="P16" s="1">
        <v>18.959858690000001</v>
      </c>
      <c r="Q16" s="1">
        <v>19.260850120000001</v>
      </c>
      <c r="R16" s="1">
        <v>18.206478130000001</v>
      </c>
      <c r="S16" s="1">
        <v>18.603102490000001</v>
      </c>
      <c r="T16" s="1">
        <v>18.169364470000001</v>
      </c>
      <c r="U16" s="1">
        <v>18.370428789999998</v>
      </c>
      <c r="V16" s="1">
        <v>19.275074719999999</v>
      </c>
      <c r="W16" s="1">
        <v>19.477797500000001</v>
      </c>
      <c r="X16" s="1">
        <v>18.310787090000002</v>
      </c>
      <c r="Y16" s="1">
        <v>19.375776210000001</v>
      </c>
      <c r="Z16" s="1">
        <v>18.206478130000001</v>
      </c>
      <c r="AA16" s="1">
        <v>18.603102490000001</v>
      </c>
      <c r="AB16" s="1">
        <v>18.45208435</v>
      </c>
      <c r="AC16" s="1">
        <v>18.253820260000001</v>
      </c>
      <c r="AD16" s="1">
        <v>18.289321340000001</v>
      </c>
      <c r="AE16" s="1">
        <v>18.538065540000002</v>
      </c>
    </row>
    <row r="17" spans="1:31" x14ac:dyDescent="0.25">
      <c r="A17" s="1" t="s">
        <v>396</v>
      </c>
      <c r="B17" s="1" t="s">
        <v>2535</v>
      </c>
      <c r="C17" s="1" t="s">
        <v>2535</v>
      </c>
      <c r="D17" s="1" t="s">
        <v>2535</v>
      </c>
      <c r="E17" s="1" t="s">
        <v>2535</v>
      </c>
      <c r="F17" s="1" t="s">
        <v>2535</v>
      </c>
      <c r="G17" s="1" t="s">
        <v>396</v>
      </c>
      <c r="H17" s="1">
        <v>18.255619920000001</v>
      </c>
      <c r="I17" s="1">
        <v>19.37973526</v>
      </c>
      <c r="J17" s="1">
        <v>17.685070320000001</v>
      </c>
      <c r="K17" s="1">
        <v>17.442887389999999</v>
      </c>
      <c r="L17" s="1">
        <v>16.772651069999998</v>
      </c>
      <c r="M17" s="1">
        <v>17.04910645</v>
      </c>
      <c r="N17" s="1">
        <v>18.17552976</v>
      </c>
      <c r="O17" s="1">
        <v>17.770406650000002</v>
      </c>
      <c r="P17" s="1">
        <v>17.537144099999999</v>
      </c>
      <c r="Q17" s="1">
        <v>17.725849010000001</v>
      </c>
      <c r="R17" s="1">
        <v>17.233005609999999</v>
      </c>
      <c r="S17" s="1">
        <v>17.49517535</v>
      </c>
      <c r="T17" s="1">
        <v>16.772651069999998</v>
      </c>
      <c r="U17" s="1">
        <v>17.04910645</v>
      </c>
      <c r="V17" s="1">
        <v>18.023003060000001</v>
      </c>
      <c r="W17" s="1">
        <v>18.093609399999998</v>
      </c>
      <c r="X17" s="1">
        <v>16.968957620000001</v>
      </c>
      <c r="Y17" s="1">
        <v>18.1460452</v>
      </c>
      <c r="Z17" s="1">
        <v>17.233005609999999</v>
      </c>
      <c r="AA17" s="1">
        <v>17.49517535</v>
      </c>
      <c r="AB17" s="1">
        <v>17.415678660000001</v>
      </c>
      <c r="AC17" s="1">
        <v>17.114671449999999</v>
      </c>
      <c r="AD17" s="1">
        <v>17.073244509999999</v>
      </c>
      <c r="AE17" s="1">
        <v>17.31239098</v>
      </c>
    </row>
    <row r="18" spans="1:31" x14ac:dyDescent="0.25">
      <c r="A18" s="1" t="s">
        <v>419</v>
      </c>
      <c r="B18" s="1" t="s">
        <v>2535</v>
      </c>
      <c r="C18" s="1" t="s">
        <v>2535</v>
      </c>
      <c r="D18" s="1" t="s">
        <v>2535</v>
      </c>
      <c r="E18" s="1" t="s">
        <v>2535</v>
      </c>
      <c r="F18" s="1" t="s">
        <v>2535</v>
      </c>
      <c r="G18" s="1" t="s">
        <v>419</v>
      </c>
      <c r="H18" s="1">
        <v>17.49975774</v>
      </c>
      <c r="I18" s="1">
        <v>18.337605100000001</v>
      </c>
      <c r="J18" s="1">
        <v>17.312754689999998</v>
      </c>
      <c r="K18" s="1">
        <v>17.042604010000002</v>
      </c>
      <c r="L18" s="1">
        <v>16.00846778</v>
      </c>
      <c r="M18" s="1">
        <v>16.478751549999998</v>
      </c>
      <c r="N18" s="1">
        <v>17.20466832</v>
      </c>
      <c r="O18" s="1">
        <v>16.806331749999998</v>
      </c>
      <c r="P18" s="1">
        <v>17.218248580000001</v>
      </c>
      <c r="Q18" s="1">
        <v>17.401958969999999</v>
      </c>
      <c r="R18" s="1">
        <v>16.817735559999999</v>
      </c>
      <c r="S18" s="1">
        <v>17.051185329999999</v>
      </c>
      <c r="T18" s="1">
        <v>16.00846778</v>
      </c>
      <c r="U18" s="1">
        <v>16.478751549999998</v>
      </c>
      <c r="V18" s="1">
        <v>17.97473364</v>
      </c>
      <c r="W18" s="1">
        <v>17.653206839999999</v>
      </c>
      <c r="X18" s="1">
        <v>16.44429946</v>
      </c>
      <c r="Y18" s="1">
        <v>17.81104822</v>
      </c>
      <c r="Z18" s="1">
        <v>16.817735559999999</v>
      </c>
      <c r="AA18" s="1">
        <v>17.051185329999999</v>
      </c>
      <c r="AB18" s="1">
        <v>16.655924750000001</v>
      </c>
      <c r="AC18" s="1">
        <v>16.566993700000001</v>
      </c>
      <c r="AD18" s="1">
        <v>16.31325996</v>
      </c>
      <c r="AE18" s="1">
        <v>16.718048280000001</v>
      </c>
    </row>
    <row r="19" spans="1:31" x14ac:dyDescent="0.25">
      <c r="A19" s="1" t="s">
        <v>421</v>
      </c>
      <c r="B19" s="1" t="s">
        <v>2535</v>
      </c>
      <c r="C19" s="1" t="s">
        <v>2535</v>
      </c>
      <c r="D19" s="1" t="s">
        <v>2535</v>
      </c>
      <c r="E19" s="1" t="s">
        <v>2535</v>
      </c>
      <c r="F19" s="1" t="s">
        <v>2535</v>
      </c>
      <c r="G19" s="1" t="s">
        <v>421</v>
      </c>
      <c r="H19" s="1">
        <v>17.881108319999999</v>
      </c>
      <c r="I19" s="1">
        <v>18.79669419</v>
      </c>
      <c r="J19" s="1">
        <v>16.642704800000001</v>
      </c>
      <c r="K19" s="1">
        <v>16.497947060000001</v>
      </c>
      <c r="L19" s="1">
        <v>15.69696845</v>
      </c>
      <c r="M19" s="1">
        <v>15.902529120000001</v>
      </c>
      <c r="N19" s="1">
        <v>17.725780360000002</v>
      </c>
      <c r="O19" s="1">
        <v>17.17094268</v>
      </c>
      <c r="P19" s="1">
        <v>16.84334359</v>
      </c>
      <c r="Q19" s="1">
        <v>17.157956240000001</v>
      </c>
      <c r="R19" s="1">
        <v>16.34485433</v>
      </c>
      <c r="S19" s="1">
        <v>16.559445220000001</v>
      </c>
      <c r="T19" s="1">
        <v>15.69696845</v>
      </c>
      <c r="U19" s="1">
        <v>15.902529120000001</v>
      </c>
      <c r="V19" s="1">
        <v>17.679662</v>
      </c>
      <c r="W19" s="1">
        <v>17.822013370000001</v>
      </c>
      <c r="X19" s="1">
        <v>16.88305613</v>
      </c>
      <c r="Y19" s="1">
        <v>17.863057869999999</v>
      </c>
      <c r="Z19" s="1">
        <v>16.34485433</v>
      </c>
      <c r="AA19" s="1">
        <v>16.559445220000001</v>
      </c>
      <c r="AB19" s="1">
        <v>16.574745249999999</v>
      </c>
      <c r="AC19" s="1">
        <v>16.46140655</v>
      </c>
      <c r="AD19" s="1">
        <v>16.7006595</v>
      </c>
      <c r="AE19" s="1">
        <v>16.937827550000002</v>
      </c>
    </row>
    <row r="20" spans="1:31" x14ac:dyDescent="0.25">
      <c r="A20" s="1" t="s">
        <v>435</v>
      </c>
      <c r="B20" s="1" t="s">
        <v>2535</v>
      </c>
      <c r="C20" s="1" t="s">
        <v>2535</v>
      </c>
      <c r="D20" s="1" t="s">
        <v>2535</v>
      </c>
      <c r="E20" s="1" t="s">
        <v>2535</v>
      </c>
      <c r="F20" s="1" t="s">
        <v>2535</v>
      </c>
      <c r="G20" s="1" t="s">
        <v>435</v>
      </c>
      <c r="H20" s="1">
        <v>19.664290520000002</v>
      </c>
      <c r="I20" s="1">
        <v>20.722358459999999</v>
      </c>
      <c r="J20" s="1">
        <v>18.86607403</v>
      </c>
      <c r="K20" s="1">
        <v>18.638119549999999</v>
      </c>
      <c r="L20" s="1">
        <v>18.085856799999998</v>
      </c>
      <c r="M20" s="1">
        <v>18.262484669999999</v>
      </c>
      <c r="N20" s="1">
        <v>19.41981913</v>
      </c>
      <c r="O20" s="1">
        <v>19.177330680000001</v>
      </c>
      <c r="P20" s="1">
        <v>18.884426470000001</v>
      </c>
      <c r="Q20" s="1">
        <v>18.969137239999998</v>
      </c>
      <c r="R20" s="1">
        <v>18.346467499999999</v>
      </c>
      <c r="S20" s="1">
        <v>18.613580800000001</v>
      </c>
      <c r="T20" s="1">
        <v>18.085856799999998</v>
      </c>
      <c r="U20" s="1">
        <v>18.262484669999999</v>
      </c>
      <c r="V20" s="1">
        <v>19.820979380000001</v>
      </c>
      <c r="W20" s="1">
        <v>19.582607190000001</v>
      </c>
      <c r="X20" s="1">
        <v>18.295105490000001</v>
      </c>
      <c r="Y20" s="1">
        <v>19.850952110000001</v>
      </c>
      <c r="Z20" s="1">
        <v>18.346467499999999</v>
      </c>
      <c r="AA20" s="1">
        <v>18.613580800000001</v>
      </c>
      <c r="AB20" s="1">
        <v>18.59162912</v>
      </c>
      <c r="AC20" s="1">
        <v>18.365421850000001</v>
      </c>
      <c r="AD20" s="1">
        <v>18.254592639999998</v>
      </c>
      <c r="AE20" s="1">
        <v>18.635979979999998</v>
      </c>
    </row>
    <row r="21" spans="1:31" x14ac:dyDescent="0.25">
      <c r="A21" s="1" t="s">
        <v>563</v>
      </c>
      <c r="B21" s="1" t="s">
        <v>2535</v>
      </c>
      <c r="C21" s="1" t="s">
        <v>2535</v>
      </c>
      <c r="D21" s="1" t="s">
        <v>2535</v>
      </c>
      <c r="E21" s="1" t="s">
        <v>2535</v>
      </c>
      <c r="F21" s="1" t="s">
        <v>2535</v>
      </c>
      <c r="G21" s="1" t="s">
        <v>563</v>
      </c>
      <c r="H21" s="1">
        <v>18.231943640000001</v>
      </c>
      <c r="I21" s="1">
        <v>19.049731699999999</v>
      </c>
      <c r="J21" s="1">
        <v>17.907489099999999</v>
      </c>
      <c r="K21" s="1">
        <v>17.70640701</v>
      </c>
      <c r="L21" s="1">
        <v>17.024410639999999</v>
      </c>
      <c r="M21" s="1">
        <v>17.334850169999999</v>
      </c>
      <c r="N21" s="1">
        <v>18.176814199999999</v>
      </c>
      <c r="O21" s="1">
        <v>17.60469398</v>
      </c>
      <c r="P21" s="1">
        <v>17.826016370000001</v>
      </c>
      <c r="Q21" s="1">
        <v>18.423358449999998</v>
      </c>
      <c r="R21" s="1">
        <v>17.34203239</v>
      </c>
      <c r="S21" s="1">
        <v>17.880658629999999</v>
      </c>
      <c r="T21" s="1">
        <v>17.024410639999999</v>
      </c>
      <c r="U21" s="1">
        <v>17.334850169999999</v>
      </c>
      <c r="V21" s="1">
        <v>18.755003080000002</v>
      </c>
      <c r="W21" s="1">
        <v>18.868196770000001</v>
      </c>
      <c r="X21" s="1">
        <v>17.292390529999999</v>
      </c>
      <c r="Y21" s="1">
        <v>18.63084095</v>
      </c>
      <c r="Z21" s="1">
        <v>17.34203239</v>
      </c>
      <c r="AA21" s="1">
        <v>17.880658629999999</v>
      </c>
      <c r="AB21" s="1">
        <v>17.7571428</v>
      </c>
      <c r="AC21" s="1">
        <v>17.363898030000001</v>
      </c>
      <c r="AD21" s="1">
        <v>17.58052305</v>
      </c>
      <c r="AE21" s="1">
        <v>17.796375269999999</v>
      </c>
    </row>
    <row r="22" spans="1:31" x14ac:dyDescent="0.25">
      <c r="A22" s="1" t="s">
        <v>664</v>
      </c>
      <c r="B22" s="1" t="s">
        <v>2535</v>
      </c>
      <c r="C22" s="1" t="s">
        <v>2535</v>
      </c>
      <c r="D22" s="1" t="s">
        <v>2535</v>
      </c>
      <c r="E22" s="1" t="s">
        <v>2535</v>
      </c>
      <c r="F22" s="1" t="s">
        <v>2535</v>
      </c>
      <c r="G22" s="1" t="s">
        <v>664</v>
      </c>
      <c r="H22" s="1">
        <v>18.745408619999999</v>
      </c>
      <c r="I22" s="1">
        <v>19.476536790000001</v>
      </c>
      <c r="J22" s="1">
        <v>17.68766196</v>
      </c>
      <c r="K22" s="1">
        <v>17.55132618</v>
      </c>
      <c r="L22" s="1">
        <v>16.64014242</v>
      </c>
      <c r="M22" s="1">
        <v>16.747403739999999</v>
      </c>
      <c r="N22" s="1">
        <v>18.854138209999999</v>
      </c>
      <c r="O22" s="1">
        <v>18.277673719999999</v>
      </c>
      <c r="P22" s="1">
        <v>17.93548753</v>
      </c>
      <c r="Q22" s="1">
        <v>18.023351940000001</v>
      </c>
      <c r="R22" s="1">
        <v>17.091801520000001</v>
      </c>
      <c r="S22" s="1">
        <v>17.068569549999999</v>
      </c>
      <c r="T22" s="1">
        <v>16.64014242</v>
      </c>
      <c r="U22" s="1">
        <v>16.747403739999999</v>
      </c>
      <c r="V22" s="1">
        <v>17.508521680000001</v>
      </c>
      <c r="W22" s="1">
        <v>17.380194800000002</v>
      </c>
      <c r="X22" s="1">
        <v>17.26686286</v>
      </c>
      <c r="Y22" s="1">
        <v>17.817003410000002</v>
      </c>
      <c r="Z22" s="1">
        <v>17.091801520000001</v>
      </c>
      <c r="AA22" s="1">
        <v>17.068569549999999</v>
      </c>
      <c r="AB22" s="1">
        <v>16.934770520000001</v>
      </c>
      <c r="AC22" s="1">
        <v>17.11424156</v>
      </c>
      <c r="AD22" s="1">
        <v>17.230048839999998</v>
      </c>
      <c r="AE22" s="1">
        <v>17.774506370000001</v>
      </c>
    </row>
    <row r="23" spans="1:31" x14ac:dyDescent="0.25">
      <c r="A23" s="1" t="s">
        <v>776</v>
      </c>
      <c r="B23" s="1" t="s">
        <v>2535</v>
      </c>
      <c r="C23" s="1" t="s">
        <v>2535</v>
      </c>
      <c r="D23" s="1" t="s">
        <v>2535</v>
      </c>
      <c r="E23" s="1" t="s">
        <v>2535</v>
      </c>
      <c r="F23" s="1" t="s">
        <v>2535</v>
      </c>
      <c r="G23" s="1" t="s">
        <v>776</v>
      </c>
      <c r="H23" s="1">
        <v>16.77807941</v>
      </c>
      <c r="I23" s="1">
        <v>17.415928910000002</v>
      </c>
      <c r="J23" s="1">
        <v>15.980162139999999</v>
      </c>
      <c r="K23" s="1">
        <v>16.15794721</v>
      </c>
      <c r="L23" s="1">
        <v>15.14617571</v>
      </c>
      <c r="M23" s="1">
        <v>15.51536752</v>
      </c>
      <c r="N23" s="1">
        <v>16.64110848</v>
      </c>
      <c r="O23" s="1">
        <v>16.267070109999999</v>
      </c>
      <c r="P23" s="1">
        <v>16.218240460000001</v>
      </c>
      <c r="Q23" s="1">
        <v>16.621369309999999</v>
      </c>
      <c r="R23" s="1">
        <v>15.70190421</v>
      </c>
      <c r="S23" s="1">
        <v>16.03319201</v>
      </c>
      <c r="T23" s="1">
        <v>15.14617571</v>
      </c>
      <c r="U23" s="1">
        <v>15.51536752</v>
      </c>
      <c r="V23" s="1">
        <v>16.4439545</v>
      </c>
      <c r="W23" s="1">
        <v>16.665288669999999</v>
      </c>
      <c r="X23" s="1">
        <v>15.853967969999999</v>
      </c>
      <c r="Y23" s="1">
        <v>16.262797849999998</v>
      </c>
      <c r="Z23" s="1">
        <v>15.70190421</v>
      </c>
      <c r="AA23" s="1">
        <v>16.03319201</v>
      </c>
      <c r="AB23" s="1">
        <v>15.627265899999999</v>
      </c>
      <c r="AC23" s="1">
        <v>15.407693549999999</v>
      </c>
      <c r="AD23" s="1">
        <v>15.621888</v>
      </c>
      <c r="AE23" s="1">
        <v>16.076211260000001</v>
      </c>
    </row>
    <row r="24" spans="1:31" x14ac:dyDescent="0.25">
      <c r="A24" s="1" t="s">
        <v>1076</v>
      </c>
      <c r="B24" s="1" t="s">
        <v>2535</v>
      </c>
      <c r="C24" s="1" t="s">
        <v>2535</v>
      </c>
      <c r="D24" s="1" t="s">
        <v>2535</v>
      </c>
      <c r="E24" s="1" t="s">
        <v>2535</v>
      </c>
      <c r="F24" s="1" t="s">
        <v>2535</v>
      </c>
      <c r="G24" s="1" t="s">
        <v>1076</v>
      </c>
      <c r="H24" s="1">
        <v>14.13227532</v>
      </c>
      <c r="I24" s="1">
        <v>14.90878919</v>
      </c>
      <c r="J24" s="1">
        <v>13.56807746</v>
      </c>
      <c r="K24" s="1">
        <v>13.71429964</v>
      </c>
      <c r="L24" s="1">
        <v>12.313516140000001</v>
      </c>
      <c r="M24" s="1">
        <v>12.739957990000001</v>
      </c>
      <c r="N24" s="1">
        <v>13.84801996</v>
      </c>
      <c r="O24" s="1">
        <v>13.609304939999999</v>
      </c>
      <c r="P24" s="1">
        <v>13.543783599999999</v>
      </c>
      <c r="Q24" s="1">
        <v>14.048073309999999</v>
      </c>
      <c r="R24" s="1">
        <v>13.5344949</v>
      </c>
      <c r="S24" s="1">
        <v>13.6391825</v>
      </c>
      <c r="T24" s="1">
        <v>12.313516140000001</v>
      </c>
      <c r="U24" s="1">
        <v>12.739957990000001</v>
      </c>
      <c r="V24" s="1">
        <v>14.600730629999999</v>
      </c>
      <c r="W24" s="1">
        <v>14.6453899</v>
      </c>
      <c r="X24" s="1">
        <v>13.17531235</v>
      </c>
      <c r="Y24" s="1">
        <v>14.259757349999999</v>
      </c>
      <c r="Z24" s="1">
        <v>13.5344949</v>
      </c>
      <c r="AA24" s="1">
        <v>13.6391825</v>
      </c>
      <c r="AB24" s="1">
        <v>13.113145250000001</v>
      </c>
      <c r="AC24" s="1">
        <v>12.936763600000001</v>
      </c>
      <c r="AD24" s="1">
        <v>13.15950756</v>
      </c>
      <c r="AE24" s="1">
        <v>13.540393809999999</v>
      </c>
    </row>
    <row r="25" spans="1:31" x14ac:dyDescent="0.25">
      <c r="A25" s="1" t="s">
        <v>1114</v>
      </c>
      <c r="B25" s="1" t="s">
        <v>2535</v>
      </c>
      <c r="C25" s="1" t="s">
        <v>2535</v>
      </c>
      <c r="D25" s="1" t="s">
        <v>2535</v>
      </c>
      <c r="E25" s="1" t="s">
        <v>2535</v>
      </c>
      <c r="F25" s="1" t="s">
        <v>2535</v>
      </c>
      <c r="G25" s="1" t="s">
        <v>1114</v>
      </c>
      <c r="H25" s="1">
        <v>16.058966000000002</v>
      </c>
      <c r="I25" s="1">
        <v>17.015612820000001</v>
      </c>
      <c r="J25" s="1">
        <v>15.5386542</v>
      </c>
      <c r="K25" s="1">
        <v>15.665634069999999</v>
      </c>
      <c r="L25" s="1">
        <v>14.470452180000001</v>
      </c>
      <c r="M25" s="1">
        <v>14.90079227</v>
      </c>
      <c r="N25" s="1">
        <v>15.97520435</v>
      </c>
      <c r="O25" s="1">
        <v>15.65938145</v>
      </c>
      <c r="P25" s="1">
        <v>15.7590319</v>
      </c>
      <c r="Q25" s="1">
        <v>15.98459916</v>
      </c>
      <c r="R25" s="1">
        <v>15.256051169999999</v>
      </c>
      <c r="S25" s="1">
        <v>15.401127430000001</v>
      </c>
      <c r="T25" s="1">
        <v>14.470452180000001</v>
      </c>
      <c r="U25" s="1">
        <v>14.90079227</v>
      </c>
      <c r="V25" s="1">
        <v>16.367069260000001</v>
      </c>
      <c r="W25" s="1">
        <v>16.467735489999999</v>
      </c>
      <c r="X25" s="1">
        <v>15.23070064</v>
      </c>
      <c r="Y25" s="1">
        <v>16.066420489999999</v>
      </c>
      <c r="Z25" s="1">
        <v>15.256051169999999</v>
      </c>
      <c r="AA25" s="1">
        <v>15.401127430000001</v>
      </c>
      <c r="AB25" s="1">
        <v>14.98794996</v>
      </c>
      <c r="AC25" s="1">
        <v>14.8613953</v>
      </c>
      <c r="AD25" s="1">
        <v>14.855267449999999</v>
      </c>
      <c r="AE25" s="1">
        <v>15.45779727</v>
      </c>
    </row>
    <row r="26" spans="1:31" x14ac:dyDescent="0.25">
      <c r="A26" s="1" t="s">
        <v>1117</v>
      </c>
      <c r="B26" s="1" t="s">
        <v>2535</v>
      </c>
      <c r="C26" s="1" t="s">
        <v>2535</v>
      </c>
      <c r="D26" s="1" t="s">
        <v>2535</v>
      </c>
      <c r="E26" s="1" t="s">
        <v>2535</v>
      </c>
      <c r="F26" s="1" t="s">
        <v>2535</v>
      </c>
      <c r="G26" s="1" t="s">
        <v>1117</v>
      </c>
      <c r="H26" s="1">
        <v>19.20333248</v>
      </c>
      <c r="I26" s="1">
        <v>19.773757150000002</v>
      </c>
      <c r="J26" s="1">
        <v>18.888888940000001</v>
      </c>
      <c r="K26" s="1">
        <v>18.494594630000002</v>
      </c>
      <c r="L26" s="1">
        <v>17.781883069999999</v>
      </c>
      <c r="M26" s="1">
        <v>18.08840975</v>
      </c>
      <c r="N26" s="1">
        <v>18.917130910000001</v>
      </c>
      <c r="O26" s="1">
        <v>18.76698867</v>
      </c>
      <c r="P26" s="1">
        <v>18.662540029999999</v>
      </c>
      <c r="Q26" s="1">
        <v>18.775538279999999</v>
      </c>
      <c r="R26" s="1">
        <v>18.740886</v>
      </c>
      <c r="S26" s="1">
        <v>19.138709349999999</v>
      </c>
      <c r="T26" s="1">
        <v>17.781883069999999</v>
      </c>
      <c r="U26" s="1">
        <v>18.08840975</v>
      </c>
      <c r="V26" s="1">
        <v>19.526494450000001</v>
      </c>
      <c r="W26" s="1">
        <v>19.857721340000001</v>
      </c>
      <c r="X26" s="1">
        <v>18.039078660000001</v>
      </c>
      <c r="Y26" s="1">
        <v>19.68877814</v>
      </c>
      <c r="Z26" s="1">
        <v>18.740886</v>
      </c>
      <c r="AA26" s="1">
        <v>19.138709349999999</v>
      </c>
      <c r="AB26" s="1">
        <v>18.957662819999999</v>
      </c>
      <c r="AC26" s="1">
        <v>18.658172180000001</v>
      </c>
      <c r="AD26" s="1">
        <v>18.443076269999999</v>
      </c>
      <c r="AE26" s="1">
        <v>18.590012680000001</v>
      </c>
    </row>
    <row r="27" spans="1:31" x14ac:dyDescent="0.25">
      <c r="A27" s="1" t="s">
        <v>1223</v>
      </c>
      <c r="B27" s="1" t="s">
        <v>2535</v>
      </c>
      <c r="C27" s="1" t="s">
        <v>2535</v>
      </c>
      <c r="D27" s="1" t="s">
        <v>2535</v>
      </c>
      <c r="E27" s="1" t="s">
        <v>2535</v>
      </c>
      <c r="F27" s="1" t="s">
        <v>2535</v>
      </c>
      <c r="G27" s="1" t="s">
        <v>1223</v>
      </c>
      <c r="H27" s="1">
        <v>17.246616490000001</v>
      </c>
      <c r="I27" s="1">
        <v>18.125430470000001</v>
      </c>
      <c r="J27" s="1">
        <v>16.752655069999999</v>
      </c>
      <c r="K27" s="1">
        <v>16.43724855</v>
      </c>
      <c r="L27" s="1">
        <v>16.078652649999999</v>
      </c>
      <c r="M27" s="1">
        <v>15.712782689999999</v>
      </c>
      <c r="N27" s="1">
        <v>17.152248400000001</v>
      </c>
      <c r="O27" s="1">
        <v>16.82060207</v>
      </c>
      <c r="P27" s="1">
        <v>16.673897610000001</v>
      </c>
      <c r="Q27" s="1">
        <v>16.81850683</v>
      </c>
      <c r="R27" s="1">
        <v>16.25534729</v>
      </c>
      <c r="S27" s="1">
        <v>16.294712570000002</v>
      </c>
      <c r="T27" s="1">
        <v>16.078652649999999</v>
      </c>
      <c r="U27" s="1">
        <v>15.712782689999999</v>
      </c>
      <c r="V27" s="1">
        <v>17.009042560000001</v>
      </c>
      <c r="W27" s="1">
        <v>16.919646369999999</v>
      </c>
      <c r="X27" s="1">
        <v>16.280543120000001</v>
      </c>
      <c r="Y27" s="1">
        <v>17.304312809999999</v>
      </c>
      <c r="Z27" s="1">
        <v>16.25534729</v>
      </c>
      <c r="AA27" s="1">
        <v>16.294712570000002</v>
      </c>
      <c r="AB27" s="1">
        <v>16.585728400000001</v>
      </c>
      <c r="AC27" s="1">
        <v>16.475069690000002</v>
      </c>
      <c r="AD27" s="1">
        <v>16.433102160000001</v>
      </c>
      <c r="AE27" s="1">
        <v>16.753440569999999</v>
      </c>
    </row>
    <row r="28" spans="1:31" x14ac:dyDescent="0.25">
      <c r="A28" s="1" t="s">
        <v>1313</v>
      </c>
      <c r="B28" s="1" t="s">
        <v>2535</v>
      </c>
      <c r="C28" s="1" t="s">
        <v>2535</v>
      </c>
      <c r="D28" s="1" t="s">
        <v>2535</v>
      </c>
      <c r="E28" s="1" t="s">
        <v>2535</v>
      </c>
      <c r="F28" s="1" t="s">
        <v>2535</v>
      </c>
      <c r="G28" s="1" t="s">
        <v>1313</v>
      </c>
      <c r="H28" s="1">
        <v>15.602264590000001</v>
      </c>
      <c r="I28" s="1">
        <v>16.756454340000001</v>
      </c>
      <c r="J28" s="1">
        <v>14.93758119</v>
      </c>
      <c r="K28" s="1">
        <v>14.86075243</v>
      </c>
      <c r="L28" s="1">
        <v>14.420107140000001</v>
      </c>
      <c r="M28" s="1">
        <v>14.52591969</v>
      </c>
      <c r="N28" s="1">
        <v>15.583791570000001</v>
      </c>
      <c r="O28" s="1">
        <v>15.034736860000001</v>
      </c>
      <c r="P28" s="1">
        <v>15.04576196</v>
      </c>
      <c r="Q28" s="1">
        <v>15.285296410000001</v>
      </c>
      <c r="R28" s="1">
        <v>14.408635179999999</v>
      </c>
      <c r="S28" s="1">
        <v>14.52251555</v>
      </c>
      <c r="T28" s="1">
        <v>14.420107140000001</v>
      </c>
      <c r="U28" s="1">
        <v>14.52591969</v>
      </c>
      <c r="V28" s="1">
        <v>15.95660685</v>
      </c>
      <c r="W28" s="1">
        <v>15.615881399999999</v>
      </c>
      <c r="X28" s="1">
        <v>14.181971920000001</v>
      </c>
      <c r="Y28" s="1">
        <v>15.849886959999999</v>
      </c>
      <c r="Z28" s="1">
        <v>14.408635179999999</v>
      </c>
      <c r="AA28" s="1">
        <v>14.52251555</v>
      </c>
      <c r="AB28" s="1">
        <v>14.308307409999999</v>
      </c>
      <c r="AC28" s="1">
        <v>14.077112489999999</v>
      </c>
      <c r="AD28" s="1">
        <v>14.24906169</v>
      </c>
      <c r="AE28" s="1">
        <v>14.94137169</v>
      </c>
    </row>
    <row r="29" spans="1:31" x14ac:dyDescent="0.25">
      <c r="A29" s="1" t="s">
        <v>1328</v>
      </c>
      <c r="B29" s="1" t="s">
        <v>2535</v>
      </c>
      <c r="C29" s="1" t="s">
        <v>2535</v>
      </c>
      <c r="D29" s="1" t="s">
        <v>2535</v>
      </c>
      <c r="E29" s="1" t="s">
        <v>2535</v>
      </c>
      <c r="F29" s="1" t="s">
        <v>2535</v>
      </c>
      <c r="G29" s="1" t="s">
        <v>1328</v>
      </c>
      <c r="H29" s="1">
        <v>16.788182979999998</v>
      </c>
      <c r="I29" s="1">
        <v>18.280920609999999</v>
      </c>
      <c r="J29" s="1">
        <v>16.47447592</v>
      </c>
      <c r="K29" s="1">
        <v>16.5401746</v>
      </c>
      <c r="L29" s="1">
        <v>15.552134519999999</v>
      </c>
      <c r="M29" s="1">
        <v>15.926074720000001</v>
      </c>
      <c r="N29" s="1">
        <v>16.969402729999999</v>
      </c>
      <c r="O29" s="1">
        <v>16.452589140000001</v>
      </c>
      <c r="P29" s="1">
        <v>16.662145540000001</v>
      </c>
      <c r="Q29" s="1">
        <v>16.943695680000001</v>
      </c>
      <c r="R29" s="1">
        <v>16.359749140000002</v>
      </c>
      <c r="S29" s="1">
        <v>16.79749254</v>
      </c>
      <c r="T29" s="1">
        <v>15.552134519999999</v>
      </c>
      <c r="U29" s="1">
        <v>15.926074720000001</v>
      </c>
      <c r="V29" s="1">
        <v>18.12463559</v>
      </c>
      <c r="W29" s="1">
        <v>18.282127070000001</v>
      </c>
      <c r="X29" s="1">
        <v>16.172048029999999</v>
      </c>
      <c r="Y29" s="1">
        <v>17.833689400000001</v>
      </c>
      <c r="Z29" s="1">
        <v>16.359749140000002</v>
      </c>
      <c r="AA29" s="1">
        <v>16.79749254</v>
      </c>
      <c r="AB29" s="1">
        <v>16.506517800000001</v>
      </c>
      <c r="AC29" s="1">
        <v>16.363649129999999</v>
      </c>
      <c r="AD29" s="1">
        <v>16.259556719999999</v>
      </c>
      <c r="AE29" s="1">
        <v>16.42783537</v>
      </c>
    </row>
    <row r="30" spans="1:31" x14ac:dyDescent="0.25">
      <c r="A30" s="1" t="s">
        <v>1417</v>
      </c>
      <c r="B30" s="1" t="s">
        <v>2535</v>
      </c>
      <c r="C30" s="1" t="s">
        <v>2535</v>
      </c>
      <c r="D30" s="1" t="s">
        <v>2535</v>
      </c>
      <c r="E30" s="1" t="s">
        <v>2535</v>
      </c>
      <c r="F30" s="1" t="s">
        <v>2535</v>
      </c>
      <c r="G30" s="1" t="s">
        <v>1417</v>
      </c>
      <c r="H30" s="1">
        <v>16.300977840000002</v>
      </c>
      <c r="I30" s="1">
        <v>17.420451880000002</v>
      </c>
      <c r="J30" s="1">
        <v>15.725614119999999</v>
      </c>
      <c r="K30" s="1">
        <v>15.9055953</v>
      </c>
      <c r="L30" s="1">
        <v>15.06817483</v>
      </c>
      <c r="M30" s="1">
        <v>15.262069220000001</v>
      </c>
      <c r="N30" s="1">
        <v>15.97624444</v>
      </c>
      <c r="O30" s="1">
        <v>15.84241727</v>
      </c>
      <c r="P30" s="1">
        <v>15.846130309999999</v>
      </c>
      <c r="Q30" s="1">
        <v>15.87539484</v>
      </c>
      <c r="R30" s="1">
        <v>15.948872679999999</v>
      </c>
      <c r="S30" s="1">
        <v>15.81337164</v>
      </c>
      <c r="T30" s="1">
        <v>15.06817483</v>
      </c>
      <c r="U30" s="1">
        <v>15.262069220000001</v>
      </c>
      <c r="V30" s="1">
        <v>17.42776473</v>
      </c>
      <c r="W30" s="1">
        <v>17.153270330000002</v>
      </c>
      <c r="X30" s="1">
        <v>15.722766590000001</v>
      </c>
      <c r="Y30" s="1">
        <v>16.785281730000001</v>
      </c>
      <c r="Z30" s="1">
        <v>15.948872679999999</v>
      </c>
      <c r="AA30" s="1">
        <v>15.81337164</v>
      </c>
      <c r="AB30" s="1">
        <v>15.69148635</v>
      </c>
      <c r="AC30" s="1">
        <v>15.412327749999999</v>
      </c>
      <c r="AD30" s="1">
        <v>15.10865445</v>
      </c>
      <c r="AE30" s="1">
        <v>15.7223515</v>
      </c>
    </row>
    <row r="31" spans="1:31" x14ac:dyDescent="0.25">
      <c r="A31" s="1" t="s">
        <v>1483</v>
      </c>
      <c r="B31" s="1" t="s">
        <v>2535</v>
      </c>
      <c r="C31" s="1" t="s">
        <v>2535</v>
      </c>
      <c r="D31" s="1" t="s">
        <v>2535</v>
      </c>
      <c r="E31" s="1" t="s">
        <v>2535</v>
      </c>
      <c r="F31" s="1" t="s">
        <v>2535</v>
      </c>
      <c r="G31" s="1" t="s">
        <v>1483</v>
      </c>
      <c r="H31" s="1">
        <v>16.984889599999999</v>
      </c>
      <c r="I31" s="1">
        <v>17.3579686</v>
      </c>
      <c r="J31" s="1">
        <v>16.028336849999999</v>
      </c>
      <c r="K31" s="1">
        <v>15.936936940000001</v>
      </c>
      <c r="L31" s="1">
        <v>14.92100392</v>
      </c>
      <c r="M31" s="1">
        <v>15.093209269999999</v>
      </c>
      <c r="N31" s="1">
        <v>16.768040169999999</v>
      </c>
      <c r="O31" s="1">
        <v>16.242676599999999</v>
      </c>
      <c r="P31" s="1">
        <v>16.093333879999999</v>
      </c>
      <c r="Q31" s="1">
        <v>16.185904359999999</v>
      </c>
      <c r="R31" s="1">
        <v>15.602306499999999</v>
      </c>
      <c r="S31" s="1">
        <v>15.55027872</v>
      </c>
      <c r="T31" s="1">
        <v>14.92100392</v>
      </c>
      <c r="U31" s="1">
        <v>15.093209269999999</v>
      </c>
      <c r="V31" s="1">
        <v>15.712364750000001</v>
      </c>
      <c r="W31" s="1">
        <v>15.688056380000001</v>
      </c>
      <c r="X31" s="1">
        <v>15.33919363</v>
      </c>
      <c r="Y31" s="1">
        <v>15.85137608</v>
      </c>
      <c r="Z31" s="1">
        <v>15.602306499999999</v>
      </c>
      <c r="AA31" s="1">
        <v>15.55027872</v>
      </c>
      <c r="AB31" s="1">
        <v>15.460425730000001</v>
      </c>
      <c r="AC31" s="1">
        <v>15.45661735</v>
      </c>
      <c r="AD31" s="1">
        <v>15.21534542</v>
      </c>
      <c r="AE31" s="1">
        <v>15.86027812</v>
      </c>
    </row>
    <row r="32" spans="1:31" x14ac:dyDescent="0.25">
      <c r="A32" s="1" t="s">
        <v>1562</v>
      </c>
      <c r="B32" s="1" t="s">
        <v>2535</v>
      </c>
      <c r="C32" s="1" t="s">
        <v>2535</v>
      </c>
      <c r="D32" s="1" t="s">
        <v>2535</v>
      </c>
      <c r="E32" s="1" t="s">
        <v>2535</v>
      </c>
      <c r="F32" s="1" t="s">
        <v>2535</v>
      </c>
      <c r="G32" s="1" t="s">
        <v>1562</v>
      </c>
      <c r="H32" s="1">
        <v>19.010430100000001</v>
      </c>
      <c r="I32" s="1">
        <v>19.66047494</v>
      </c>
      <c r="J32" s="1">
        <v>18.73374433</v>
      </c>
      <c r="K32" s="1">
        <v>18.406135030000002</v>
      </c>
      <c r="L32" s="1">
        <v>17.665048479999999</v>
      </c>
      <c r="M32" s="1">
        <v>18.051343129999999</v>
      </c>
      <c r="N32" s="1">
        <v>18.842227940000001</v>
      </c>
      <c r="O32" s="1">
        <v>18.585034610000001</v>
      </c>
      <c r="P32" s="1">
        <v>18.364109769999999</v>
      </c>
      <c r="Q32" s="1">
        <v>18.518070460000001</v>
      </c>
      <c r="R32" s="1">
        <v>18.379151199999999</v>
      </c>
      <c r="S32" s="1">
        <v>18.524982390000002</v>
      </c>
      <c r="T32" s="1">
        <v>17.665048479999999</v>
      </c>
      <c r="U32" s="1">
        <v>18.051343129999999</v>
      </c>
      <c r="V32" s="1">
        <v>18.351580559999999</v>
      </c>
      <c r="W32" s="1">
        <v>18.641836680000001</v>
      </c>
      <c r="X32" s="1">
        <v>17.93959813</v>
      </c>
      <c r="Y32" s="1">
        <v>18.690936780000001</v>
      </c>
      <c r="Z32" s="1">
        <v>18.379151199999999</v>
      </c>
      <c r="AA32" s="1">
        <v>18.524982390000002</v>
      </c>
      <c r="AB32" s="1">
        <v>18.313535160000001</v>
      </c>
      <c r="AC32" s="1">
        <v>17.983899180000002</v>
      </c>
      <c r="AD32" s="1">
        <v>17.901289609999999</v>
      </c>
      <c r="AE32" s="1">
        <v>18.176570680000001</v>
      </c>
    </row>
    <row r="33" spans="1:31" x14ac:dyDescent="0.25">
      <c r="A33" s="1" t="s">
        <v>1579</v>
      </c>
      <c r="B33" s="1" t="s">
        <v>2535</v>
      </c>
      <c r="C33" s="1" t="s">
        <v>2535</v>
      </c>
      <c r="D33" s="1" t="s">
        <v>2535</v>
      </c>
      <c r="E33" s="1" t="s">
        <v>2535</v>
      </c>
      <c r="F33" s="1" t="s">
        <v>2535</v>
      </c>
      <c r="G33" s="1" t="s">
        <v>1579</v>
      </c>
      <c r="H33" s="1">
        <v>18.600567389999998</v>
      </c>
      <c r="I33" s="1">
        <v>19.963540819999999</v>
      </c>
      <c r="J33" s="1">
        <v>17.778565329999999</v>
      </c>
      <c r="K33" s="1">
        <v>17.819087270000001</v>
      </c>
      <c r="L33" s="1">
        <v>17.241558120000001</v>
      </c>
      <c r="M33" s="1">
        <v>17.074399979999999</v>
      </c>
      <c r="N33" s="1">
        <v>19.067373839999998</v>
      </c>
      <c r="O33" s="1">
        <v>18.446814639999999</v>
      </c>
      <c r="P33" s="1">
        <v>17.733209120000001</v>
      </c>
      <c r="Q33" s="1">
        <v>18.2880577</v>
      </c>
      <c r="R33" s="1">
        <v>17.073366279999998</v>
      </c>
      <c r="S33" s="1">
        <v>17.238280700000001</v>
      </c>
      <c r="T33" s="1">
        <v>17.241558120000001</v>
      </c>
      <c r="U33" s="1">
        <v>17.074399979999999</v>
      </c>
      <c r="V33" s="1">
        <v>18.676708770000001</v>
      </c>
      <c r="W33" s="1">
        <v>17.881599059999999</v>
      </c>
      <c r="X33" s="1">
        <v>17.689111130000001</v>
      </c>
      <c r="Y33" s="1">
        <v>18.63059187</v>
      </c>
      <c r="Z33" s="1">
        <v>17.073366279999998</v>
      </c>
      <c r="AA33" s="1">
        <v>17.238280700000001</v>
      </c>
      <c r="AB33" s="1">
        <v>17.50012138</v>
      </c>
      <c r="AC33" s="1">
        <v>16.910234630000001</v>
      </c>
      <c r="AD33" s="1">
        <v>17.314204190000002</v>
      </c>
      <c r="AE33" s="1">
        <v>17.958467559999999</v>
      </c>
    </row>
    <row r="34" spans="1:31" x14ac:dyDescent="0.25">
      <c r="A34" s="1" t="s">
        <v>1716</v>
      </c>
      <c r="B34" s="1" t="s">
        <v>2535</v>
      </c>
      <c r="C34" s="1" t="s">
        <v>2535</v>
      </c>
      <c r="D34" s="1" t="s">
        <v>2535</v>
      </c>
      <c r="E34" s="1" t="s">
        <v>2535</v>
      </c>
      <c r="F34" s="1" t="s">
        <v>2535</v>
      </c>
      <c r="G34" s="1" t="s">
        <v>1716</v>
      </c>
      <c r="H34" s="1">
        <v>16.52341161</v>
      </c>
      <c r="I34" s="1">
        <v>17.622509829999998</v>
      </c>
      <c r="J34" s="1">
        <v>14.98158645</v>
      </c>
      <c r="K34" s="1">
        <v>15.22730945</v>
      </c>
      <c r="L34" s="1">
        <v>14.520326320000001</v>
      </c>
      <c r="M34" s="1">
        <v>14.537271909999999</v>
      </c>
      <c r="N34" s="1">
        <v>16.62844518</v>
      </c>
      <c r="O34" s="1">
        <v>15.265666299999999</v>
      </c>
      <c r="P34" s="1">
        <v>14.85394441</v>
      </c>
      <c r="Q34" s="1">
        <v>15.33611857</v>
      </c>
      <c r="R34" s="1">
        <v>14.710029889999999</v>
      </c>
      <c r="S34" s="1">
        <v>14.91362316</v>
      </c>
      <c r="T34" s="1">
        <v>14.520326320000001</v>
      </c>
      <c r="U34" s="1">
        <v>14.537271909999999</v>
      </c>
      <c r="V34" s="1">
        <v>15.83989085</v>
      </c>
      <c r="W34" s="1">
        <v>15.793855629999999</v>
      </c>
      <c r="X34" s="1">
        <v>15.24728039</v>
      </c>
      <c r="Y34" s="1">
        <v>16.10097859</v>
      </c>
      <c r="Z34" s="1">
        <v>14.710029889999999</v>
      </c>
      <c r="AA34" s="1">
        <v>14.91362316</v>
      </c>
      <c r="AB34" s="1">
        <v>14.855292329999999</v>
      </c>
      <c r="AC34" s="1">
        <v>14.22165616</v>
      </c>
      <c r="AD34" s="1">
        <v>14.707038689999999</v>
      </c>
      <c r="AE34" s="1">
        <v>15.4629846</v>
      </c>
    </row>
    <row r="35" spans="1:31" x14ac:dyDescent="0.25">
      <c r="A35" s="1" t="s">
        <v>1718</v>
      </c>
      <c r="B35" s="1" t="s">
        <v>2535</v>
      </c>
      <c r="C35" s="1" t="s">
        <v>2535</v>
      </c>
      <c r="D35" s="1" t="s">
        <v>2535</v>
      </c>
      <c r="E35" s="1" t="s">
        <v>2535</v>
      </c>
      <c r="F35" s="1" t="s">
        <v>2535</v>
      </c>
      <c r="G35" s="1" t="s">
        <v>1718</v>
      </c>
      <c r="H35" s="1">
        <v>19.313286829999999</v>
      </c>
      <c r="I35" s="1">
        <v>20.18558754</v>
      </c>
      <c r="J35" s="1">
        <v>18.774171129999999</v>
      </c>
      <c r="K35" s="1">
        <v>18.61670148</v>
      </c>
      <c r="L35" s="1">
        <v>17.8339265</v>
      </c>
      <c r="M35" s="1">
        <v>18.02496532</v>
      </c>
      <c r="N35" s="1">
        <v>19.176029960000001</v>
      </c>
      <c r="O35" s="1">
        <v>18.6302488</v>
      </c>
      <c r="P35" s="1">
        <v>18.578123810000001</v>
      </c>
      <c r="Q35" s="1">
        <v>18.87278006</v>
      </c>
      <c r="R35" s="1">
        <v>18.01975376</v>
      </c>
      <c r="S35" s="1">
        <v>18.477875699999998</v>
      </c>
      <c r="T35" s="1">
        <v>17.8339265</v>
      </c>
      <c r="U35" s="1">
        <v>18.02496532</v>
      </c>
      <c r="V35" s="1">
        <v>19.278004790000001</v>
      </c>
      <c r="W35" s="1">
        <v>19.11531269</v>
      </c>
      <c r="X35" s="1">
        <v>18.335093050000001</v>
      </c>
      <c r="Y35" s="1">
        <v>19.378168519999999</v>
      </c>
      <c r="Z35" s="1">
        <v>18.01975376</v>
      </c>
      <c r="AA35" s="1">
        <v>18.477875699999998</v>
      </c>
      <c r="AB35" s="1">
        <v>18.190950390000001</v>
      </c>
      <c r="AC35" s="1">
        <v>17.841327790000001</v>
      </c>
      <c r="AD35" s="1">
        <v>18.018440479999999</v>
      </c>
      <c r="AE35" s="1">
        <v>18.645346109999998</v>
      </c>
    </row>
    <row r="36" spans="1:31" x14ac:dyDescent="0.25">
      <c r="A36" s="1" t="s">
        <v>1781</v>
      </c>
      <c r="B36" s="1" t="s">
        <v>2535</v>
      </c>
      <c r="C36" s="1" t="s">
        <v>2535</v>
      </c>
      <c r="D36" s="1" t="s">
        <v>2535</v>
      </c>
      <c r="E36" s="1" t="s">
        <v>2535</v>
      </c>
      <c r="F36" s="1" t="s">
        <v>2535</v>
      </c>
      <c r="G36" s="1" t="s">
        <v>1781</v>
      </c>
      <c r="H36" s="1">
        <v>19.55868985</v>
      </c>
      <c r="I36" s="1">
        <v>20.385736309999999</v>
      </c>
      <c r="J36" s="1">
        <v>18.797679330000001</v>
      </c>
      <c r="K36" s="1">
        <v>18.81532928</v>
      </c>
      <c r="L36" s="1">
        <v>17.983006509999999</v>
      </c>
      <c r="M36" s="1">
        <v>18.431790800000002</v>
      </c>
      <c r="N36" s="1">
        <v>19.54287746</v>
      </c>
      <c r="O36" s="1">
        <v>19.196763369999999</v>
      </c>
      <c r="P36" s="1">
        <v>18.67565067</v>
      </c>
      <c r="Q36" s="1">
        <v>19.391508829999999</v>
      </c>
      <c r="R36" s="1">
        <v>18.39208314</v>
      </c>
      <c r="S36" s="1">
        <v>18.71619857</v>
      </c>
      <c r="T36" s="1">
        <v>17.983006509999999</v>
      </c>
      <c r="U36" s="1">
        <v>18.431790800000002</v>
      </c>
      <c r="V36" s="1">
        <v>19.791525279999998</v>
      </c>
      <c r="W36" s="1">
        <v>19.545674980000001</v>
      </c>
      <c r="X36" s="1">
        <v>18.327919300000001</v>
      </c>
      <c r="Y36" s="1">
        <v>19.515686240000001</v>
      </c>
      <c r="Z36" s="1">
        <v>18.39208314</v>
      </c>
      <c r="AA36" s="1">
        <v>18.71619857</v>
      </c>
      <c r="AB36" s="1">
        <v>18.450066840000002</v>
      </c>
      <c r="AC36" s="1">
        <v>17.853108039999999</v>
      </c>
      <c r="AD36" s="1">
        <v>18.36140378</v>
      </c>
      <c r="AE36" s="1">
        <v>18.67304356</v>
      </c>
    </row>
    <row r="37" spans="1:31" x14ac:dyDescent="0.25">
      <c r="A37" s="1" t="s">
        <v>1867</v>
      </c>
      <c r="B37" s="1" t="s">
        <v>2535</v>
      </c>
      <c r="C37" s="1" t="s">
        <v>2535</v>
      </c>
      <c r="D37" s="1" t="s">
        <v>2535</v>
      </c>
      <c r="E37" s="1" t="s">
        <v>2535</v>
      </c>
      <c r="F37" s="1" t="s">
        <v>2535</v>
      </c>
      <c r="G37" s="1" t="s">
        <v>1867</v>
      </c>
      <c r="H37" s="1">
        <v>19.222413499999998</v>
      </c>
      <c r="I37" s="1">
        <v>20.096475720000001</v>
      </c>
      <c r="J37" s="1">
        <v>18.397422410000001</v>
      </c>
      <c r="K37" s="1">
        <v>18.19110744</v>
      </c>
      <c r="L37" s="1">
        <v>17.659987699999999</v>
      </c>
      <c r="M37" s="1">
        <v>17.808065160000002</v>
      </c>
      <c r="N37" s="1">
        <v>18.973583340000001</v>
      </c>
      <c r="O37" s="1">
        <v>18.480471359999999</v>
      </c>
      <c r="P37" s="1">
        <v>18.48012533</v>
      </c>
      <c r="Q37" s="1">
        <v>18.454064859999999</v>
      </c>
      <c r="R37" s="1">
        <v>17.839646630000001</v>
      </c>
      <c r="S37" s="1">
        <v>18.05811675</v>
      </c>
      <c r="T37" s="1">
        <v>17.659987699999999</v>
      </c>
      <c r="U37" s="1">
        <v>17.808065160000002</v>
      </c>
      <c r="V37" s="1">
        <v>18.925556870000001</v>
      </c>
      <c r="W37" s="1">
        <v>18.684138560000001</v>
      </c>
      <c r="X37" s="1">
        <v>17.98489914</v>
      </c>
      <c r="Y37" s="1">
        <v>18.98143834</v>
      </c>
      <c r="Z37" s="1">
        <v>17.839646630000001</v>
      </c>
      <c r="AA37" s="1">
        <v>18.05811675</v>
      </c>
      <c r="AB37" s="1">
        <v>17.68258599</v>
      </c>
      <c r="AC37" s="1">
        <v>17.560242630000001</v>
      </c>
      <c r="AD37" s="1">
        <v>17.658286789999998</v>
      </c>
      <c r="AE37" s="1">
        <v>18.269220069999999</v>
      </c>
    </row>
    <row r="38" spans="1:31" x14ac:dyDescent="0.25">
      <c r="A38" s="1" t="s">
        <v>1951</v>
      </c>
      <c r="B38" s="1" t="s">
        <v>2535</v>
      </c>
      <c r="C38" s="1" t="s">
        <v>2535</v>
      </c>
      <c r="D38" s="1" t="s">
        <v>2535</v>
      </c>
      <c r="E38" s="1" t="s">
        <v>2535</v>
      </c>
      <c r="F38" s="1" t="s">
        <v>2535</v>
      </c>
      <c r="G38" s="1" t="s">
        <v>1951</v>
      </c>
      <c r="H38" s="1">
        <v>19.48993939</v>
      </c>
      <c r="I38" s="1">
        <v>20.362390649999998</v>
      </c>
      <c r="J38" s="1">
        <v>19.053479710000001</v>
      </c>
      <c r="K38" s="1">
        <v>18.79082953</v>
      </c>
      <c r="L38" s="1">
        <v>18.15091065</v>
      </c>
      <c r="M38" s="1">
        <v>18.390847749999999</v>
      </c>
      <c r="N38" s="1">
        <v>19.333925529999998</v>
      </c>
      <c r="O38" s="1">
        <v>18.926690279999999</v>
      </c>
      <c r="P38" s="1">
        <v>18.920695009999999</v>
      </c>
      <c r="Q38" s="1">
        <v>19.429248510000001</v>
      </c>
      <c r="R38" s="1">
        <v>18.416495829999999</v>
      </c>
      <c r="S38" s="1">
        <v>18.95518289</v>
      </c>
      <c r="T38" s="1">
        <v>18.15091065</v>
      </c>
      <c r="U38" s="1">
        <v>18.390847749999999</v>
      </c>
      <c r="V38" s="1">
        <v>19.930988330000002</v>
      </c>
      <c r="W38" s="1">
        <v>19.804706119999999</v>
      </c>
      <c r="X38" s="1">
        <v>18.35645938</v>
      </c>
      <c r="Y38" s="1">
        <v>19.684742849999999</v>
      </c>
      <c r="Z38" s="1">
        <v>18.416495829999999</v>
      </c>
      <c r="AA38" s="1">
        <v>18.95518289</v>
      </c>
      <c r="AB38" s="1">
        <v>18.636088569999998</v>
      </c>
      <c r="AC38" s="1">
        <v>18.226093840000001</v>
      </c>
      <c r="AD38" s="1">
        <v>18.416804339999999</v>
      </c>
      <c r="AE38" s="1">
        <v>18.70413065</v>
      </c>
    </row>
    <row r="39" spans="1:31" x14ac:dyDescent="0.25">
      <c r="A39" s="1" t="s">
        <v>2003</v>
      </c>
      <c r="B39" s="1" t="s">
        <v>2535</v>
      </c>
      <c r="C39" s="1" t="s">
        <v>2535</v>
      </c>
      <c r="D39" s="1" t="s">
        <v>2535</v>
      </c>
      <c r="E39" s="1" t="s">
        <v>2535</v>
      </c>
      <c r="F39" s="1" t="s">
        <v>2535</v>
      </c>
      <c r="G39" s="1" t="s">
        <v>2003</v>
      </c>
      <c r="H39" s="1">
        <v>17.6276303</v>
      </c>
      <c r="I39" s="1">
        <v>18.409649600000002</v>
      </c>
      <c r="J39" s="1">
        <v>17.26763115</v>
      </c>
      <c r="K39" s="1">
        <v>17.11570803</v>
      </c>
      <c r="L39" s="1">
        <v>16.298079950000002</v>
      </c>
      <c r="M39" s="1">
        <v>16.667181889999998</v>
      </c>
      <c r="N39" s="1">
        <v>17.45596162</v>
      </c>
      <c r="O39" s="1">
        <v>17.080301739999999</v>
      </c>
      <c r="P39" s="1">
        <v>16.94856897</v>
      </c>
      <c r="Q39" s="1">
        <v>17.42071984</v>
      </c>
      <c r="R39" s="1">
        <v>17.51721646</v>
      </c>
      <c r="S39" s="1">
        <v>17.59720798</v>
      </c>
      <c r="T39" s="1">
        <v>16.298079950000002</v>
      </c>
      <c r="U39" s="1">
        <v>16.667181889999998</v>
      </c>
      <c r="V39" s="1">
        <v>18.16394657</v>
      </c>
      <c r="W39" s="1">
        <v>18.279734560000001</v>
      </c>
      <c r="X39" s="1">
        <v>16.947335460000001</v>
      </c>
      <c r="Y39" s="1">
        <v>17.61328739</v>
      </c>
      <c r="Z39" s="1">
        <v>17.51721646</v>
      </c>
      <c r="AA39" s="1">
        <v>17.59720798</v>
      </c>
      <c r="AB39" s="1">
        <v>17.620317750000002</v>
      </c>
      <c r="AC39" s="1">
        <v>16.856058959999999</v>
      </c>
      <c r="AD39" s="1">
        <v>17.068210780000001</v>
      </c>
      <c r="AE39" s="1">
        <v>17.09711935</v>
      </c>
    </row>
    <row r="40" spans="1:31" x14ac:dyDescent="0.25">
      <c r="A40" s="1" t="s">
        <v>2035</v>
      </c>
      <c r="B40" s="1" t="s">
        <v>2535</v>
      </c>
      <c r="C40" s="1" t="s">
        <v>2535</v>
      </c>
      <c r="D40" s="1" t="s">
        <v>2535</v>
      </c>
      <c r="E40" s="1" t="s">
        <v>2535</v>
      </c>
      <c r="F40" s="1" t="s">
        <v>2535</v>
      </c>
      <c r="G40" s="1" t="s">
        <v>2035</v>
      </c>
      <c r="H40" s="1">
        <v>16.804843980000001</v>
      </c>
      <c r="I40" s="1">
        <v>17.675549459999999</v>
      </c>
      <c r="J40" s="1">
        <v>16.592739030000001</v>
      </c>
      <c r="K40" s="1">
        <v>16.357724820000001</v>
      </c>
      <c r="L40" s="1">
        <v>15.273634210000001</v>
      </c>
      <c r="M40" s="1">
        <v>15.740638540000001</v>
      </c>
      <c r="N40" s="1">
        <v>16.89407199</v>
      </c>
      <c r="O40" s="1">
        <v>16.355940780000001</v>
      </c>
      <c r="P40" s="1">
        <v>16.475013870000002</v>
      </c>
      <c r="Q40" s="1">
        <v>16.60796659</v>
      </c>
      <c r="R40" s="1">
        <v>16.300047729999999</v>
      </c>
      <c r="S40" s="1">
        <v>16.438771410000001</v>
      </c>
      <c r="T40" s="1">
        <v>15.273634210000001</v>
      </c>
      <c r="U40" s="1">
        <v>15.740638540000001</v>
      </c>
      <c r="V40" s="1">
        <v>16.86310009</v>
      </c>
      <c r="W40" s="1">
        <v>17.140528280000002</v>
      </c>
      <c r="X40" s="1">
        <v>15.934751759999999</v>
      </c>
      <c r="Y40" s="1">
        <v>16.973747490000001</v>
      </c>
      <c r="Z40" s="1">
        <v>16.300047729999999</v>
      </c>
      <c r="AA40" s="1">
        <v>16.438771410000001</v>
      </c>
      <c r="AB40" s="1">
        <v>16.163971620000002</v>
      </c>
      <c r="AC40" s="1">
        <v>16.092650859999999</v>
      </c>
      <c r="AD40" s="1">
        <v>15.8363084</v>
      </c>
      <c r="AE40" s="1">
        <v>16.151474360000002</v>
      </c>
    </row>
    <row r="41" spans="1:31" x14ac:dyDescent="0.25">
      <c r="A41" s="1" t="s">
        <v>2105</v>
      </c>
      <c r="B41" s="1" t="s">
        <v>2535</v>
      </c>
      <c r="C41" s="1" t="s">
        <v>2535</v>
      </c>
      <c r="D41" s="1" t="s">
        <v>2535</v>
      </c>
      <c r="E41" s="1" t="s">
        <v>2535</v>
      </c>
      <c r="F41" s="1" t="s">
        <v>2535</v>
      </c>
      <c r="G41" s="1" t="s">
        <v>2105</v>
      </c>
      <c r="H41" s="1">
        <v>18.477119810000001</v>
      </c>
      <c r="I41" s="1">
        <v>19.516030270000002</v>
      </c>
      <c r="J41" s="1">
        <v>17.546499610000001</v>
      </c>
      <c r="K41" s="1">
        <v>17.33704221</v>
      </c>
      <c r="L41" s="1">
        <v>16.746253759999998</v>
      </c>
      <c r="M41" s="1">
        <v>16.92480188</v>
      </c>
      <c r="N41" s="1">
        <v>18.201695999999998</v>
      </c>
      <c r="O41" s="1">
        <v>17.908534169999999</v>
      </c>
      <c r="P41" s="1">
        <v>17.338332009999998</v>
      </c>
      <c r="Q41" s="1">
        <v>17.736069700000002</v>
      </c>
      <c r="R41" s="1">
        <v>17.014994479999999</v>
      </c>
      <c r="S41" s="1">
        <v>17.230466079999999</v>
      </c>
      <c r="T41" s="1">
        <v>16.746253759999998</v>
      </c>
      <c r="U41" s="1">
        <v>16.92480188</v>
      </c>
      <c r="V41" s="1">
        <v>18.44015035</v>
      </c>
      <c r="W41" s="1">
        <v>18.323759500000001</v>
      </c>
      <c r="X41" s="1">
        <v>16.894630639999999</v>
      </c>
      <c r="Y41" s="1">
        <v>18.539968609999999</v>
      </c>
      <c r="Z41" s="1">
        <v>17.014994479999999</v>
      </c>
      <c r="AA41" s="1">
        <v>17.230466079999999</v>
      </c>
      <c r="AB41" s="1">
        <v>17.074602760000001</v>
      </c>
      <c r="AC41" s="1">
        <v>16.5689578</v>
      </c>
      <c r="AD41" s="1">
        <v>16.938066589999998</v>
      </c>
      <c r="AE41" s="1">
        <v>17.315189159999999</v>
      </c>
    </row>
    <row r="42" spans="1:31" x14ac:dyDescent="0.25">
      <c r="A42" s="1" t="s">
        <v>2131</v>
      </c>
      <c r="B42" s="1" t="s">
        <v>2535</v>
      </c>
      <c r="C42" s="1" t="s">
        <v>2535</v>
      </c>
      <c r="D42" s="1" t="s">
        <v>2535</v>
      </c>
      <c r="E42" s="1" t="s">
        <v>2535</v>
      </c>
      <c r="F42" s="1" t="s">
        <v>2535</v>
      </c>
      <c r="G42" s="1" t="s">
        <v>2131</v>
      </c>
      <c r="H42" s="1">
        <v>19.680154989999998</v>
      </c>
      <c r="I42" s="1">
        <v>20.42728176</v>
      </c>
      <c r="J42" s="1">
        <v>18.821550859999999</v>
      </c>
      <c r="K42" s="1">
        <v>18.782103540000001</v>
      </c>
      <c r="L42" s="1">
        <v>18.24577815</v>
      </c>
      <c r="M42" s="1">
        <v>18.365557370000001</v>
      </c>
      <c r="N42" s="1">
        <v>19.749046159999999</v>
      </c>
      <c r="O42" s="1">
        <v>19.194912729999999</v>
      </c>
      <c r="P42" s="1">
        <v>19.091779800000001</v>
      </c>
      <c r="Q42" s="1">
        <v>19.327462220000001</v>
      </c>
      <c r="R42" s="1">
        <v>18.041663830000001</v>
      </c>
      <c r="S42" s="1">
        <v>18.613056629999999</v>
      </c>
      <c r="T42" s="1">
        <v>18.24577815</v>
      </c>
      <c r="U42" s="1">
        <v>18.365557370000001</v>
      </c>
      <c r="V42" s="1">
        <v>19.863275510000001</v>
      </c>
      <c r="W42" s="1">
        <v>19.945274040000001</v>
      </c>
      <c r="X42" s="1">
        <v>18.84964488</v>
      </c>
      <c r="Y42" s="1">
        <v>19.90889486</v>
      </c>
      <c r="Z42" s="1">
        <v>18.041663830000001</v>
      </c>
      <c r="AA42" s="1">
        <v>18.613056629999999</v>
      </c>
      <c r="AB42" s="1">
        <v>18.64457385</v>
      </c>
      <c r="AC42" s="1">
        <v>18.401667010000001</v>
      </c>
      <c r="AD42" s="1">
        <v>18.415351560000001</v>
      </c>
      <c r="AE42" s="1">
        <v>18.912777470000002</v>
      </c>
    </row>
    <row r="43" spans="1:31" x14ac:dyDescent="0.25">
      <c r="A43" s="1" t="s">
        <v>2279</v>
      </c>
      <c r="B43" s="1" t="s">
        <v>2535</v>
      </c>
      <c r="C43" s="1" t="s">
        <v>2535</v>
      </c>
      <c r="D43" s="1" t="s">
        <v>2535</v>
      </c>
      <c r="E43" s="1" t="s">
        <v>2535</v>
      </c>
      <c r="F43" s="1" t="s">
        <v>2535</v>
      </c>
      <c r="G43" s="1" t="s">
        <v>2279</v>
      </c>
      <c r="H43" s="1">
        <v>17.80437796</v>
      </c>
      <c r="I43" s="1">
        <v>18.60461729</v>
      </c>
      <c r="J43" s="1">
        <v>17.239907550000002</v>
      </c>
      <c r="K43" s="1">
        <v>16.959892350000001</v>
      </c>
      <c r="L43" s="1">
        <v>16.21991598</v>
      </c>
      <c r="M43" s="1">
        <v>16.455325439999999</v>
      </c>
      <c r="N43" s="1">
        <v>17.499768150000001</v>
      </c>
      <c r="O43" s="1">
        <v>17.312738670000002</v>
      </c>
      <c r="P43" s="1">
        <v>16.926097599999999</v>
      </c>
      <c r="Q43" s="1">
        <v>17.074366130000001</v>
      </c>
      <c r="R43" s="1">
        <v>16.986191340000001</v>
      </c>
      <c r="S43" s="1">
        <v>17.185746600000002</v>
      </c>
      <c r="T43" s="1">
        <v>16.21991598</v>
      </c>
      <c r="U43" s="1">
        <v>16.455325439999999</v>
      </c>
      <c r="V43" s="1">
        <v>18.044210440000001</v>
      </c>
      <c r="W43" s="1">
        <v>18.000174860000001</v>
      </c>
      <c r="X43" s="1">
        <v>16.488868180000001</v>
      </c>
      <c r="Y43" s="1">
        <v>18.165693009999998</v>
      </c>
      <c r="Z43" s="1">
        <v>16.986191340000001</v>
      </c>
      <c r="AA43" s="1">
        <v>17.185746600000002</v>
      </c>
      <c r="AB43" s="1">
        <v>16.902723030000001</v>
      </c>
      <c r="AC43" s="1">
        <v>16.29912513</v>
      </c>
      <c r="AD43" s="1">
        <v>16.390325740000002</v>
      </c>
      <c r="AE43" s="1">
        <v>16.986600930000002</v>
      </c>
    </row>
    <row r="44" spans="1:31" x14ac:dyDescent="0.25">
      <c r="A44" s="1" t="s">
        <v>2280</v>
      </c>
      <c r="B44" s="1" t="s">
        <v>2535</v>
      </c>
      <c r="C44" s="1" t="s">
        <v>2535</v>
      </c>
      <c r="D44" s="1" t="s">
        <v>2535</v>
      </c>
      <c r="E44" s="1" t="s">
        <v>2535</v>
      </c>
      <c r="F44" s="1" t="s">
        <v>2535</v>
      </c>
      <c r="G44" s="1" t="s">
        <v>2280</v>
      </c>
      <c r="H44" s="1">
        <v>18.2683103</v>
      </c>
      <c r="I44" s="1">
        <v>18.976621300000001</v>
      </c>
      <c r="J44" s="1">
        <v>17.918798299999999</v>
      </c>
      <c r="K44" s="1">
        <v>17.564404320000001</v>
      </c>
      <c r="L44" s="1">
        <v>17.818997809999999</v>
      </c>
      <c r="M44" s="1">
        <v>17.437159430000001</v>
      </c>
      <c r="N44" s="1">
        <v>18.067552899999999</v>
      </c>
      <c r="O44" s="1">
        <v>17.838988279999999</v>
      </c>
      <c r="P44" s="1">
        <v>17.77240742</v>
      </c>
      <c r="Q44" s="1">
        <v>17.88959286</v>
      </c>
      <c r="R44" s="1">
        <v>17.391562350000001</v>
      </c>
      <c r="S44" s="1">
        <v>17.783813769999998</v>
      </c>
      <c r="T44" s="1">
        <v>17.818997809999999</v>
      </c>
      <c r="U44" s="1">
        <v>17.437159430000001</v>
      </c>
      <c r="V44" s="1">
        <v>18.734137690000001</v>
      </c>
      <c r="W44" s="1">
        <v>18.283012880000001</v>
      </c>
      <c r="X44" s="1">
        <v>17.141395469999999</v>
      </c>
      <c r="Y44" s="1">
        <v>18.808150520000002</v>
      </c>
      <c r="Z44" s="1">
        <v>17.391562350000001</v>
      </c>
      <c r="AA44" s="1">
        <v>17.783813769999998</v>
      </c>
      <c r="AB44" s="1">
        <v>17.537087710000002</v>
      </c>
      <c r="AC44" s="1">
        <v>17.294752639999999</v>
      </c>
      <c r="AD44" s="1">
        <v>17.143209550000002</v>
      </c>
      <c r="AE44" s="1">
        <v>17.86333247</v>
      </c>
    </row>
    <row r="45" spans="1:31" x14ac:dyDescent="0.25">
      <c r="A45" s="1" t="s">
        <v>2300</v>
      </c>
      <c r="B45" s="1" t="s">
        <v>2535</v>
      </c>
      <c r="C45" s="1" t="s">
        <v>2535</v>
      </c>
      <c r="D45" s="1" t="s">
        <v>2535</v>
      </c>
      <c r="E45" s="1" t="s">
        <v>2535</v>
      </c>
      <c r="F45" s="1" t="s">
        <v>2535</v>
      </c>
      <c r="G45" s="1" t="s">
        <v>2300</v>
      </c>
      <c r="H45" s="1">
        <v>16.25753456</v>
      </c>
      <c r="I45" s="1">
        <v>17.049910579999999</v>
      </c>
      <c r="J45" s="1">
        <v>14.951480760000001</v>
      </c>
      <c r="K45" s="1">
        <v>14.887486129999999</v>
      </c>
      <c r="L45" s="1">
        <v>14.396753800000001</v>
      </c>
      <c r="M45" s="1">
        <v>14.50524017</v>
      </c>
      <c r="N45" s="1">
        <v>15.888863239999999</v>
      </c>
      <c r="O45" s="1">
        <v>15.48146161</v>
      </c>
      <c r="P45" s="1">
        <v>15.20076373</v>
      </c>
      <c r="Q45" s="1">
        <v>15.232026149999999</v>
      </c>
      <c r="R45" s="1">
        <v>14.891533880000001</v>
      </c>
      <c r="S45" s="1">
        <v>15.149665669999999</v>
      </c>
      <c r="T45" s="1">
        <v>14.396753800000001</v>
      </c>
      <c r="U45" s="1">
        <v>14.50524017</v>
      </c>
      <c r="V45" s="1">
        <v>16.5812712</v>
      </c>
      <c r="W45" s="1">
        <v>16.68049744</v>
      </c>
      <c r="X45" s="1">
        <v>15.06978185</v>
      </c>
      <c r="Y45" s="1">
        <v>16.49540541</v>
      </c>
      <c r="Z45" s="1">
        <v>14.891533880000001</v>
      </c>
      <c r="AA45" s="1">
        <v>15.149665669999999</v>
      </c>
      <c r="AB45" s="1">
        <v>15.111992880000001</v>
      </c>
      <c r="AC45" s="1">
        <v>15.112150639999999</v>
      </c>
      <c r="AD45" s="1">
        <v>14.924321920000001</v>
      </c>
      <c r="AE45" s="1">
        <v>15.412809620000001</v>
      </c>
    </row>
    <row r="46" spans="1:31" x14ac:dyDescent="0.25">
      <c r="A46" s="1" t="s">
        <v>2317</v>
      </c>
      <c r="B46" s="1" t="s">
        <v>2535</v>
      </c>
      <c r="C46" s="1" t="s">
        <v>2535</v>
      </c>
      <c r="D46" s="1" t="s">
        <v>2535</v>
      </c>
      <c r="E46" s="1" t="s">
        <v>2535</v>
      </c>
      <c r="F46" s="1" t="s">
        <v>2535</v>
      </c>
      <c r="G46" s="1" t="s">
        <v>2317</v>
      </c>
      <c r="H46" s="1">
        <v>16.199441749999998</v>
      </c>
      <c r="I46" s="1">
        <v>17.43982832</v>
      </c>
      <c r="J46" s="1">
        <v>15.29005521</v>
      </c>
      <c r="K46" s="1">
        <v>15.73036418</v>
      </c>
      <c r="L46" s="1">
        <v>14.854437649999999</v>
      </c>
      <c r="M46" s="1">
        <v>15.101902190000001</v>
      </c>
      <c r="N46" s="1">
        <v>16.181898069999999</v>
      </c>
      <c r="O46" s="1">
        <v>15.90115655</v>
      </c>
      <c r="P46" s="1">
        <v>15.734232329999999</v>
      </c>
      <c r="Q46" s="1">
        <v>15.35974813</v>
      </c>
      <c r="R46" s="1">
        <v>15.721930199999999</v>
      </c>
      <c r="S46" s="1">
        <v>15.755814900000001</v>
      </c>
      <c r="T46" s="1">
        <v>14.854437649999999</v>
      </c>
      <c r="U46" s="1">
        <v>15.101902190000001</v>
      </c>
      <c r="V46" s="1">
        <v>17.104080150000001</v>
      </c>
      <c r="W46" s="1">
        <v>16.930163830000001</v>
      </c>
      <c r="X46" s="1">
        <v>15.379563940000001</v>
      </c>
      <c r="Y46" s="1">
        <v>16.751929879999999</v>
      </c>
      <c r="Z46" s="1">
        <v>15.721930199999999</v>
      </c>
      <c r="AA46" s="1">
        <v>15.755814900000001</v>
      </c>
      <c r="AB46" s="1">
        <v>15.81583296</v>
      </c>
      <c r="AC46" s="1">
        <v>15.62673496</v>
      </c>
      <c r="AD46" s="1">
        <v>15.447893929999999</v>
      </c>
      <c r="AE46" s="1">
        <v>15.52445969</v>
      </c>
    </row>
    <row r="47" spans="1:31" x14ac:dyDescent="0.25">
      <c r="A47" s="1" t="s">
        <v>2348</v>
      </c>
      <c r="B47" s="1" t="s">
        <v>2535</v>
      </c>
      <c r="C47" s="1" t="s">
        <v>2535</v>
      </c>
      <c r="D47" s="1" t="s">
        <v>2535</v>
      </c>
      <c r="E47" s="1" t="s">
        <v>2535</v>
      </c>
      <c r="F47" s="1" t="s">
        <v>2535</v>
      </c>
      <c r="G47" s="1" t="s">
        <v>2348</v>
      </c>
      <c r="H47" s="1">
        <v>17.710044020000002</v>
      </c>
      <c r="I47" s="1">
        <v>18.09568028</v>
      </c>
      <c r="J47" s="1">
        <v>16.578580890000001</v>
      </c>
      <c r="K47" s="1">
        <v>16.579119599999999</v>
      </c>
      <c r="L47" s="1">
        <v>16.43297261</v>
      </c>
      <c r="M47" s="1">
        <v>16.097761479999999</v>
      </c>
      <c r="N47" s="1">
        <v>17.47814232</v>
      </c>
      <c r="O47" s="1">
        <v>17.27136922</v>
      </c>
      <c r="P47" s="1">
        <v>16.758076599999999</v>
      </c>
      <c r="Q47" s="1">
        <v>16.78111337</v>
      </c>
      <c r="R47" s="1">
        <v>16.46367369</v>
      </c>
      <c r="S47" s="1">
        <v>16.577362300000001</v>
      </c>
      <c r="T47" s="1">
        <v>16.43297261</v>
      </c>
      <c r="U47" s="1">
        <v>16.097761479999999</v>
      </c>
      <c r="V47" s="1">
        <v>16.50856572</v>
      </c>
      <c r="W47" s="1">
        <v>16.597274580000001</v>
      </c>
      <c r="X47" s="1">
        <v>16.361912950000001</v>
      </c>
      <c r="Y47" s="1">
        <v>16.88946864</v>
      </c>
      <c r="Z47" s="1">
        <v>16.46367369</v>
      </c>
      <c r="AA47" s="1">
        <v>16.577362300000001</v>
      </c>
      <c r="AB47" s="1">
        <v>16.774158029999999</v>
      </c>
      <c r="AC47" s="1">
        <v>16.655305240000001</v>
      </c>
      <c r="AD47" s="1">
        <v>16.5566715</v>
      </c>
      <c r="AE47" s="1">
        <v>16.679556850000001</v>
      </c>
    </row>
    <row r="48" spans="1:31" x14ac:dyDescent="0.25">
      <c r="A48" s="1" t="s">
        <v>2395</v>
      </c>
      <c r="B48" s="1" t="s">
        <v>2535</v>
      </c>
      <c r="C48" s="1" t="s">
        <v>2535</v>
      </c>
      <c r="D48" s="1" t="s">
        <v>2535</v>
      </c>
      <c r="E48" s="1" t="s">
        <v>2535</v>
      </c>
      <c r="F48" s="1" t="s">
        <v>2535</v>
      </c>
      <c r="G48" s="1" t="s">
        <v>2395</v>
      </c>
      <c r="H48" s="1">
        <v>18.43051844</v>
      </c>
      <c r="I48" s="1">
        <v>19.556344379999999</v>
      </c>
      <c r="J48" s="1">
        <v>17.71558147</v>
      </c>
      <c r="K48" s="1">
        <v>17.697092399999999</v>
      </c>
      <c r="L48" s="1">
        <v>16.872388310000002</v>
      </c>
      <c r="M48" s="1">
        <v>17.163139709999999</v>
      </c>
      <c r="N48" s="1">
        <v>18.577377850000001</v>
      </c>
      <c r="O48" s="1">
        <v>18.147010989999998</v>
      </c>
      <c r="P48" s="1">
        <v>17.81643403</v>
      </c>
      <c r="Q48" s="1">
        <v>17.68185158</v>
      </c>
      <c r="R48" s="1">
        <v>17.315340119999998</v>
      </c>
      <c r="S48" s="1">
        <v>17.503661560000001</v>
      </c>
      <c r="T48" s="1">
        <v>16.872388310000002</v>
      </c>
      <c r="U48" s="1">
        <v>17.163139709999999</v>
      </c>
      <c r="V48" s="1">
        <v>18.492468800000001</v>
      </c>
      <c r="W48" s="1">
        <v>18.29364473</v>
      </c>
      <c r="X48" s="1">
        <v>17.808748820000002</v>
      </c>
      <c r="Y48" s="1">
        <v>18.665551000000001</v>
      </c>
      <c r="Z48" s="1">
        <v>17.315340119999998</v>
      </c>
      <c r="AA48" s="1">
        <v>17.503661560000001</v>
      </c>
      <c r="AB48" s="1">
        <v>17.269547320000001</v>
      </c>
      <c r="AC48" s="1">
        <v>17.131163820000001</v>
      </c>
      <c r="AD48" s="1">
        <v>17.190695250000001</v>
      </c>
      <c r="AE48" s="1">
        <v>18.152472939999999</v>
      </c>
    </row>
    <row r="49" spans="1:31" x14ac:dyDescent="0.25">
      <c r="A49" s="1" t="s">
        <v>2470</v>
      </c>
      <c r="B49" s="1" t="s">
        <v>2535</v>
      </c>
      <c r="C49" s="1" t="s">
        <v>2535</v>
      </c>
      <c r="D49" s="1" t="s">
        <v>2535</v>
      </c>
      <c r="E49" s="1" t="s">
        <v>2535</v>
      </c>
      <c r="F49" s="1" t="s">
        <v>2535</v>
      </c>
      <c r="G49" s="1" t="s">
        <v>2470</v>
      </c>
      <c r="H49" s="1">
        <v>18.138885080000001</v>
      </c>
      <c r="I49" s="1">
        <v>18.78959352</v>
      </c>
      <c r="J49" s="1">
        <v>17.3046556</v>
      </c>
      <c r="K49" s="1">
        <v>17.24054551</v>
      </c>
      <c r="L49" s="1">
        <v>16.48150849</v>
      </c>
      <c r="M49" s="1">
        <v>16.62699748</v>
      </c>
      <c r="N49" s="1">
        <v>18.227466840000002</v>
      </c>
      <c r="O49" s="1">
        <v>17.619301589999999</v>
      </c>
      <c r="P49" s="1">
        <v>17.32792036</v>
      </c>
      <c r="Q49" s="1">
        <v>17.803496200000001</v>
      </c>
      <c r="R49" s="1">
        <v>16.605298300000001</v>
      </c>
      <c r="S49" s="1">
        <v>17.133151219999998</v>
      </c>
      <c r="T49" s="1">
        <v>16.48150849</v>
      </c>
      <c r="U49" s="1">
        <v>16.62699748</v>
      </c>
      <c r="V49" s="1">
        <v>17.644940179999999</v>
      </c>
      <c r="W49" s="1">
        <v>17.81640762</v>
      </c>
      <c r="X49" s="1">
        <v>16.817449889999999</v>
      </c>
      <c r="Y49" s="1">
        <v>17.805934629999999</v>
      </c>
      <c r="Z49" s="1">
        <v>16.605298300000001</v>
      </c>
      <c r="AA49" s="1">
        <v>17.133151219999998</v>
      </c>
      <c r="AB49" s="1">
        <v>16.981139540000001</v>
      </c>
      <c r="AC49" s="1">
        <v>16.63522408</v>
      </c>
      <c r="AD49" s="1">
        <v>16.817841779999998</v>
      </c>
      <c r="AE49" s="1">
        <v>17.191944960000001</v>
      </c>
    </row>
    <row r="50" spans="1:31" x14ac:dyDescent="0.25">
      <c r="A50" s="1" t="s">
        <v>2499</v>
      </c>
      <c r="B50" s="1" t="s">
        <v>2535</v>
      </c>
      <c r="C50" s="1" t="s">
        <v>2535</v>
      </c>
      <c r="D50" s="1" t="s">
        <v>2535</v>
      </c>
      <c r="E50" s="1" t="s">
        <v>2535</v>
      </c>
      <c r="F50" s="1" t="s">
        <v>2535</v>
      </c>
      <c r="G50" s="1" t="s">
        <v>2499</v>
      </c>
      <c r="H50" s="1">
        <v>17.077204689999999</v>
      </c>
      <c r="I50" s="1">
        <v>17.862174580000001</v>
      </c>
      <c r="J50" s="1">
        <v>16.367578420000001</v>
      </c>
      <c r="K50" s="1">
        <v>16.431281349999999</v>
      </c>
      <c r="L50" s="1">
        <v>15.85476145</v>
      </c>
      <c r="M50" s="1">
        <v>16.05497712</v>
      </c>
      <c r="N50" s="1">
        <v>16.974374650000001</v>
      </c>
      <c r="O50" s="1">
        <v>16.857869699999998</v>
      </c>
      <c r="P50" s="1">
        <v>16.52897398</v>
      </c>
      <c r="Q50" s="1">
        <v>16.408449690000001</v>
      </c>
      <c r="R50" s="1">
        <v>16.24397489</v>
      </c>
      <c r="S50" s="1">
        <v>16.661744469999999</v>
      </c>
      <c r="T50" s="1">
        <v>15.85476145</v>
      </c>
      <c r="U50" s="1">
        <v>16.05497712</v>
      </c>
      <c r="V50" s="1">
        <v>17.922349830000002</v>
      </c>
      <c r="W50" s="1">
        <v>18.03767685</v>
      </c>
      <c r="X50" s="1">
        <v>16.36894947</v>
      </c>
      <c r="Y50" s="1">
        <v>17.77541742</v>
      </c>
      <c r="Z50" s="1">
        <v>16.24397489</v>
      </c>
      <c r="AA50" s="1">
        <v>16.661744469999999</v>
      </c>
      <c r="AB50" s="1">
        <v>16.485320890000001</v>
      </c>
      <c r="AC50" s="1">
        <v>16.1634034</v>
      </c>
      <c r="AD50" s="1">
        <v>15.78688183</v>
      </c>
      <c r="AE50" s="1">
        <v>16.4765579</v>
      </c>
    </row>
    <row r="51" spans="1:31" x14ac:dyDescent="0.25">
      <c r="A51" s="1" t="s">
        <v>43</v>
      </c>
      <c r="B51" s="1" t="s">
        <v>2520</v>
      </c>
      <c r="C51" s="1" t="s">
        <v>2521</v>
      </c>
      <c r="D51" s="1" t="s">
        <v>2522</v>
      </c>
      <c r="E51" s="1" t="s">
        <v>2523</v>
      </c>
      <c r="F51" s="1" t="s">
        <v>2524</v>
      </c>
      <c r="G51" s="1" t="s">
        <v>43</v>
      </c>
      <c r="H51" s="1">
        <v>4.9322401630000003</v>
      </c>
      <c r="I51" s="1">
        <v>4.9575946069999999</v>
      </c>
      <c r="J51" s="1">
        <v>4.5940881259999999</v>
      </c>
      <c r="K51" s="1">
        <v>4.5171444090000001</v>
      </c>
      <c r="L51" s="1">
        <v>4.1645832880000002</v>
      </c>
      <c r="M51" s="1">
        <v>4.1823509169999999</v>
      </c>
      <c r="N51" s="1">
        <v>4.9930900400000002</v>
      </c>
      <c r="O51" s="1">
        <v>5.0070106360000004</v>
      </c>
      <c r="P51" s="1">
        <v>5.0554269730000003</v>
      </c>
      <c r="Q51" s="1">
        <v>4.683187717</v>
      </c>
      <c r="R51" s="1">
        <v>4.45403635</v>
      </c>
      <c r="S51" s="1">
        <v>4.6864044680000001</v>
      </c>
      <c r="T51" s="1">
        <v>4.1645832880000002</v>
      </c>
      <c r="U51" s="1">
        <v>4.1823509169999999</v>
      </c>
      <c r="V51" s="1">
        <v>4.8059579570000004</v>
      </c>
      <c r="W51" s="1">
        <v>4.69862249</v>
      </c>
      <c r="X51" s="1">
        <v>4.9146300209999998</v>
      </c>
      <c r="Y51" s="1">
        <v>5.3269702959999998</v>
      </c>
      <c r="Z51" s="1">
        <v>4.45403635</v>
      </c>
      <c r="AA51" s="1">
        <v>4.6864044680000001</v>
      </c>
      <c r="AB51" s="1">
        <v>4.8804215500000003</v>
      </c>
      <c r="AC51" s="1">
        <v>5.1103036370000003</v>
      </c>
      <c r="AD51" s="1">
        <v>4.6264106470000002</v>
      </c>
      <c r="AE51" s="1">
        <v>4.4595659249999997</v>
      </c>
    </row>
    <row r="52" spans="1:31" x14ac:dyDescent="0.25">
      <c r="A52" s="1" t="s">
        <v>48</v>
      </c>
      <c r="B52" s="1" t="s">
        <v>2525</v>
      </c>
      <c r="C52" s="1" t="s">
        <v>2526</v>
      </c>
      <c r="D52" s="1" t="s">
        <v>2527</v>
      </c>
      <c r="E52" s="1" t="s">
        <v>2528</v>
      </c>
      <c r="F52" s="1" t="s">
        <v>2529</v>
      </c>
      <c r="G52" s="1" t="s">
        <v>48</v>
      </c>
      <c r="H52" s="1">
        <v>7.8025536249999998</v>
      </c>
      <c r="I52" s="1">
        <v>8.0521877550000003</v>
      </c>
      <c r="J52" s="1">
        <v>5.8022574259999997</v>
      </c>
      <c r="K52" s="1">
        <v>6.3412685260000003</v>
      </c>
      <c r="L52" s="1">
        <v>5.6176953479999998</v>
      </c>
      <c r="M52" s="1">
        <v>5.7197461279999997</v>
      </c>
      <c r="N52" s="1">
        <v>7.9508890750000001</v>
      </c>
      <c r="O52" s="1">
        <v>7.9960001299999997</v>
      </c>
      <c r="P52" s="1">
        <v>6.1736452379999998</v>
      </c>
      <c r="Q52" s="1">
        <v>6.2209780280000002</v>
      </c>
      <c r="R52" s="1">
        <v>5.8420803340000003</v>
      </c>
      <c r="S52" s="1">
        <v>5.9168316079999999</v>
      </c>
      <c r="T52" s="1">
        <v>5.6176953479999998</v>
      </c>
      <c r="U52" s="1">
        <v>5.7197461279999997</v>
      </c>
      <c r="V52" s="1">
        <v>6.1215697740000001</v>
      </c>
      <c r="W52" s="1">
        <v>5.8015499779999997</v>
      </c>
      <c r="X52" s="1">
        <v>5.9183192990000002</v>
      </c>
      <c r="Y52" s="1">
        <v>6.4644452860000001</v>
      </c>
      <c r="Z52" s="1">
        <v>5.8420803340000003</v>
      </c>
      <c r="AA52" s="1">
        <v>5.9168316079999999</v>
      </c>
      <c r="AB52" s="1">
        <v>6.3685053089999997</v>
      </c>
      <c r="AC52" s="1">
        <v>5.8439382809999998</v>
      </c>
      <c r="AD52" s="1">
        <v>6.190389411</v>
      </c>
      <c r="AE52" s="1">
        <v>6.3103436119999996</v>
      </c>
    </row>
    <row r="53" spans="1:31" x14ac:dyDescent="0.25">
      <c r="A53" s="1" t="s">
        <v>49</v>
      </c>
      <c r="B53" s="1" t="s">
        <v>2530</v>
      </c>
      <c r="C53" s="1" t="s">
        <v>2531</v>
      </c>
      <c r="D53" s="1" t="s">
        <v>2532</v>
      </c>
      <c r="E53" s="1" t="s">
        <v>2533</v>
      </c>
      <c r="F53" s="1" t="s">
        <v>2534</v>
      </c>
      <c r="G53" s="1" t="s">
        <v>49</v>
      </c>
      <c r="H53" s="1">
        <v>10.118079679999999</v>
      </c>
      <c r="I53" s="1">
        <v>9.8860044760000001</v>
      </c>
      <c r="J53" s="1">
        <v>8.8992975869999995</v>
      </c>
      <c r="K53" s="1">
        <v>9.2961812239999997</v>
      </c>
      <c r="L53" s="1">
        <v>7.9539711520000003</v>
      </c>
      <c r="M53" s="1">
        <v>8.1354505079999999</v>
      </c>
      <c r="N53" s="1">
        <v>9.0888680019999999</v>
      </c>
      <c r="O53" s="1">
        <v>9.5865916759999994</v>
      </c>
      <c r="P53" s="1">
        <v>8.7579610339999991</v>
      </c>
      <c r="Q53" s="1">
        <v>9.0512539780000001</v>
      </c>
      <c r="R53" s="1">
        <v>8.4836848739999997</v>
      </c>
      <c r="S53" s="1">
        <v>8.6771654310000006</v>
      </c>
      <c r="T53" s="1">
        <v>7.9539711520000003</v>
      </c>
      <c r="U53" s="1">
        <v>8.1354505079999999</v>
      </c>
      <c r="V53" s="1">
        <v>8.6081990069999996</v>
      </c>
      <c r="W53" s="1">
        <v>8.8238334849999998</v>
      </c>
      <c r="X53" s="1">
        <v>8.6446858940000002</v>
      </c>
      <c r="Y53" s="1">
        <v>9.134612486</v>
      </c>
      <c r="Z53" s="1">
        <v>8.4836848739999997</v>
      </c>
      <c r="AA53" s="1">
        <v>8.6771654310000006</v>
      </c>
      <c r="AB53" s="1">
        <v>8.8553262729999993</v>
      </c>
      <c r="AC53" s="1">
        <v>8.7572882389999993</v>
      </c>
      <c r="AD53" s="1">
        <v>9.3211978280000007</v>
      </c>
      <c r="AE53" s="1">
        <v>9.330252819</v>
      </c>
    </row>
    <row r="54" spans="1:31" x14ac:dyDescent="0.25">
      <c r="A54" s="1" t="s">
        <v>50</v>
      </c>
      <c r="B54" s="1" t="s">
        <v>2530</v>
      </c>
      <c r="C54" s="1" t="s">
        <v>2531</v>
      </c>
      <c r="D54" s="1" t="s">
        <v>2535</v>
      </c>
      <c r="E54" s="1" t="s">
        <v>2536</v>
      </c>
      <c r="G54" s="1" t="s">
        <v>50</v>
      </c>
      <c r="H54" s="1">
        <v>6.9183184219999996</v>
      </c>
      <c r="I54" s="1">
        <v>6.949622572</v>
      </c>
      <c r="J54" s="1">
        <v>5.7428701560000004</v>
      </c>
      <c r="K54" s="1">
        <v>6.2947097530000002</v>
      </c>
      <c r="L54" s="1">
        <v>4.8288685039999999</v>
      </c>
      <c r="M54" s="1">
        <v>5.029201552</v>
      </c>
      <c r="N54" s="1">
        <v>6.5880735220000002</v>
      </c>
      <c r="O54" s="1">
        <v>6.6689049149999997</v>
      </c>
      <c r="P54" s="1">
        <v>5.6913184689999996</v>
      </c>
      <c r="Q54" s="1">
        <v>5.6144419360000004</v>
      </c>
      <c r="R54" s="1">
        <v>5.2891602459999998</v>
      </c>
      <c r="S54" s="1">
        <v>4.9261733090000002</v>
      </c>
      <c r="T54" s="1">
        <v>4.8288685039999999</v>
      </c>
      <c r="U54" s="1">
        <v>5.029201552</v>
      </c>
      <c r="V54" s="1">
        <v>5.9476095180000002</v>
      </c>
      <c r="W54" s="1">
        <v>5.6472737119999996</v>
      </c>
      <c r="X54" s="1">
        <v>5.5811786620000001</v>
      </c>
      <c r="Y54" s="1">
        <v>6.1840201749999997</v>
      </c>
      <c r="Z54" s="1">
        <v>5.2891602459999998</v>
      </c>
      <c r="AA54" s="1">
        <v>4.9261733090000002</v>
      </c>
      <c r="AB54" s="1">
        <v>5.3028471579999996</v>
      </c>
      <c r="AC54" s="1">
        <v>5.7882226870000002</v>
      </c>
      <c r="AD54" s="1">
        <v>6.3296964060000001</v>
      </c>
      <c r="AE54" s="1">
        <v>6.017118505</v>
      </c>
    </row>
    <row r="55" spans="1:31" x14ac:dyDescent="0.25">
      <c r="A55" s="1" t="s">
        <v>54</v>
      </c>
      <c r="B55" s="1" t="s">
        <v>2520</v>
      </c>
      <c r="C55" s="1" t="s">
        <v>2521</v>
      </c>
      <c r="D55" s="1" t="s">
        <v>2535</v>
      </c>
      <c r="E55" s="1" t="s">
        <v>2537</v>
      </c>
      <c r="F55" s="1" t="s">
        <v>2538</v>
      </c>
      <c r="G55" s="1" t="s">
        <v>54</v>
      </c>
      <c r="H55" s="1">
        <v>6.0673720150000001</v>
      </c>
      <c r="I55" s="1">
        <v>6.4707161060000002</v>
      </c>
      <c r="J55" s="1">
        <v>5.5826322800000003</v>
      </c>
      <c r="K55" s="1">
        <v>5.6105789259999996</v>
      </c>
      <c r="L55" s="1">
        <v>5.7971864540000002</v>
      </c>
      <c r="M55" s="1">
        <v>5.6184934039999996</v>
      </c>
      <c r="N55" s="1">
        <v>6.2948737059999997</v>
      </c>
      <c r="O55" s="1">
        <v>6.1439115280000003</v>
      </c>
      <c r="P55" s="1">
        <v>5.4627121560000003</v>
      </c>
      <c r="Q55" s="1">
        <v>4.8155696649999999</v>
      </c>
      <c r="R55" s="1">
        <v>4.8735636449999999</v>
      </c>
      <c r="S55" s="1">
        <v>5.8319244149999996</v>
      </c>
      <c r="T55" s="1">
        <v>5.7971864540000002</v>
      </c>
      <c r="U55" s="1">
        <v>5.6184934039999996</v>
      </c>
      <c r="V55" s="1">
        <v>6.2949812820000002</v>
      </c>
      <c r="W55" s="1">
        <v>5.6472737119999996</v>
      </c>
      <c r="X55" s="1">
        <v>6.21570512</v>
      </c>
      <c r="Y55" s="1">
        <v>6.2095953220000002</v>
      </c>
      <c r="Z55" s="1">
        <v>4.8735636449999999</v>
      </c>
      <c r="AA55" s="1">
        <v>5.8319244149999996</v>
      </c>
      <c r="AB55" s="1">
        <v>6.2160685200000003</v>
      </c>
      <c r="AC55" s="1">
        <v>5.8710041640000004</v>
      </c>
      <c r="AD55" s="1">
        <v>5.980763981</v>
      </c>
      <c r="AE55" s="1">
        <v>6.0451310640000004</v>
      </c>
    </row>
    <row r="56" spans="1:31" x14ac:dyDescent="0.25">
      <c r="A56" s="1" t="s">
        <v>55</v>
      </c>
      <c r="B56" s="1" t="s">
        <v>2539</v>
      </c>
      <c r="C56" s="1" t="s">
        <v>2540</v>
      </c>
      <c r="D56" s="1" t="s">
        <v>2535</v>
      </c>
      <c r="E56" s="1" t="s">
        <v>2541</v>
      </c>
      <c r="G56" s="1" t="s">
        <v>55</v>
      </c>
      <c r="H56" s="1">
        <v>3.8023684370000002</v>
      </c>
      <c r="I56" s="1">
        <v>2.8927893610000002</v>
      </c>
      <c r="J56" s="1">
        <v>4.2018709520000002</v>
      </c>
      <c r="K56" s="1">
        <v>3.607491666</v>
      </c>
      <c r="L56" s="1">
        <v>4.2932354009999996</v>
      </c>
      <c r="M56" s="1">
        <v>3.9942443089999999</v>
      </c>
      <c r="N56" s="1">
        <v>3.9164981490000002</v>
      </c>
      <c r="O56" s="1">
        <v>3.050193165</v>
      </c>
      <c r="P56" s="1">
        <v>3.86011382</v>
      </c>
      <c r="Q56" s="1">
        <v>4.2835653880000004</v>
      </c>
      <c r="R56" s="1">
        <v>3.968758995</v>
      </c>
      <c r="S56" s="1">
        <v>3.9182367880000002</v>
      </c>
      <c r="T56" s="1">
        <v>4.2932354009999996</v>
      </c>
      <c r="U56" s="1">
        <v>3.9942443089999999</v>
      </c>
      <c r="V56" s="1">
        <v>4.5826682710000002</v>
      </c>
      <c r="W56" s="1">
        <v>4.4367165279999998</v>
      </c>
      <c r="X56" s="1">
        <v>4.9146300209999998</v>
      </c>
      <c r="Y56" s="1">
        <v>4.8250325140000001</v>
      </c>
      <c r="Z56" s="1">
        <v>3.968758995</v>
      </c>
      <c r="AA56" s="1">
        <v>3.9182367880000002</v>
      </c>
      <c r="AB56" s="1">
        <v>4.705867896</v>
      </c>
      <c r="AC56" s="1">
        <v>4.2557864319999998</v>
      </c>
      <c r="AD56" s="1">
        <v>5.0634297190000002</v>
      </c>
      <c r="AE56" s="1">
        <v>5.1494525009999998</v>
      </c>
    </row>
    <row r="57" spans="1:31" x14ac:dyDescent="0.25">
      <c r="A57" s="1" t="s">
        <v>56</v>
      </c>
      <c r="B57" s="1" t="s">
        <v>2542</v>
      </c>
      <c r="C57" s="1" t="s">
        <v>2543</v>
      </c>
      <c r="D57" s="1" t="s">
        <v>2544</v>
      </c>
      <c r="E57" s="1" t="s">
        <v>2545</v>
      </c>
      <c r="F57" s="1" t="s">
        <v>2546</v>
      </c>
      <c r="G57" s="1" t="s">
        <v>56</v>
      </c>
      <c r="H57" s="1">
        <v>5.5896774330000003</v>
      </c>
      <c r="I57" s="1">
        <v>5.5529645800000003</v>
      </c>
      <c r="J57" s="1">
        <v>6.5019279570000004</v>
      </c>
      <c r="K57" s="1">
        <v>6.2947097530000002</v>
      </c>
      <c r="L57" s="1">
        <v>6.4782437829999999</v>
      </c>
      <c r="M57" s="1">
        <v>6.4651725329999996</v>
      </c>
      <c r="N57" s="1">
        <v>5.3372793730000003</v>
      </c>
      <c r="O57" s="1">
        <v>5.3342335859999999</v>
      </c>
      <c r="P57" s="1">
        <v>6.3931504810000002</v>
      </c>
      <c r="Q57" s="1">
        <v>6.289960497</v>
      </c>
      <c r="R57" s="1">
        <v>6.8978352640000002</v>
      </c>
      <c r="S57" s="1">
        <v>6.4967339439999998</v>
      </c>
      <c r="T57" s="1">
        <v>6.4782437829999999</v>
      </c>
      <c r="U57" s="1">
        <v>6.4651725329999996</v>
      </c>
      <c r="V57" s="1">
        <v>7.1058621789999998</v>
      </c>
      <c r="W57" s="1">
        <v>6.9149645719999997</v>
      </c>
      <c r="X57" s="1">
        <v>7.0730669339999999</v>
      </c>
      <c r="Y57" s="1">
        <v>7.1319704259999996</v>
      </c>
      <c r="Z57" s="1">
        <v>6.8978352640000002</v>
      </c>
      <c r="AA57" s="1">
        <v>6.4967339439999998</v>
      </c>
      <c r="AB57" s="1">
        <v>6.6077920450000001</v>
      </c>
      <c r="AC57" s="1">
        <v>6.6566026520000001</v>
      </c>
      <c r="AD57" s="1">
        <v>7.1252068360000003</v>
      </c>
      <c r="AE57" s="1">
        <v>7.1763997049999997</v>
      </c>
    </row>
    <row r="58" spans="1:31" x14ac:dyDescent="0.25">
      <c r="A58" s="1" t="s">
        <v>57</v>
      </c>
      <c r="B58" s="1" t="s">
        <v>2547</v>
      </c>
      <c r="C58" s="1" t="s">
        <v>2548</v>
      </c>
      <c r="D58" s="1" t="s">
        <v>2549</v>
      </c>
      <c r="E58" s="1" t="s">
        <v>2550</v>
      </c>
      <c r="F58" s="1" t="s">
        <v>2551</v>
      </c>
      <c r="G58" s="1" t="s">
        <v>57</v>
      </c>
      <c r="H58" s="1">
        <v>6.2825651889999996</v>
      </c>
      <c r="I58" s="1">
        <v>6.659404447</v>
      </c>
      <c r="J58" s="1">
        <v>6.8494908560000001</v>
      </c>
      <c r="K58" s="1">
        <v>6.8716784979999996</v>
      </c>
      <c r="L58" s="1">
        <v>6.3212530779999998</v>
      </c>
      <c r="M58" s="1">
        <v>6.5662231340000003</v>
      </c>
      <c r="N58" s="1">
        <v>5.8460635029999999</v>
      </c>
      <c r="O58" s="1">
        <v>5.984507765</v>
      </c>
      <c r="P58" s="1">
        <v>6.8082443379999997</v>
      </c>
      <c r="Q58" s="1">
        <v>6.8115059909999998</v>
      </c>
      <c r="R58" s="1">
        <v>7.0241430190000003</v>
      </c>
      <c r="S58" s="1">
        <v>6.8810329960000001</v>
      </c>
      <c r="T58" s="1">
        <v>6.3212530779999998</v>
      </c>
      <c r="U58" s="1">
        <v>6.5662231340000003</v>
      </c>
      <c r="V58" s="1">
        <v>7.1263832059999999</v>
      </c>
      <c r="W58" s="1">
        <v>6.7547022720000003</v>
      </c>
      <c r="X58" s="1">
        <v>7.3917611580000004</v>
      </c>
      <c r="Y58" s="1">
        <v>7.4959140870000001</v>
      </c>
      <c r="Z58" s="1">
        <v>7.0241430190000003</v>
      </c>
      <c r="AA58" s="1">
        <v>6.8810329960000001</v>
      </c>
      <c r="AB58" s="1">
        <v>6.7025789319999998</v>
      </c>
      <c r="AC58" s="1">
        <v>6.8988724469999996</v>
      </c>
      <c r="AD58" s="1">
        <v>7.4939684189999998</v>
      </c>
      <c r="AE58" s="1">
        <v>7.2321794349999999</v>
      </c>
    </row>
    <row r="59" spans="1:31" x14ac:dyDescent="0.25">
      <c r="A59" s="1" t="s">
        <v>60</v>
      </c>
      <c r="B59" s="1" t="s">
        <v>2530</v>
      </c>
      <c r="C59" s="1" t="s">
        <v>2531</v>
      </c>
      <c r="D59" s="1" t="s">
        <v>2535</v>
      </c>
      <c r="E59" s="1" t="s">
        <v>2552</v>
      </c>
      <c r="G59" s="1" t="s">
        <v>60</v>
      </c>
      <c r="H59" s="1">
        <v>4.3886087140000001</v>
      </c>
      <c r="I59" s="1">
        <v>4.66484875</v>
      </c>
      <c r="J59" s="1">
        <v>5.2817155790000001</v>
      </c>
      <c r="K59" s="1">
        <v>5.4059688240000003</v>
      </c>
      <c r="L59" s="1">
        <v>5.1940340669999996</v>
      </c>
      <c r="M59" s="1">
        <v>5.2628748920000001</v>
      </c>
      <c r="N59" s="1">
        <v>4.8006971780000001</v>
      </c>
      <c r="O59" s="1">
        <v>4.7507950320000001</v>
      </c>
      <c r="P59" s="1">
        <v>5.1467681949999999</v>
      </c>
      <c r="Q59" s="1">
        <v>5.1511590549999999</v>
      </c>
      <c r="R59" s="1">
        <v>4.9894654599999999</v>
      </c>
      <c r="S59" s="1">
        <v>5.6453330910000004</v>
      </c>
      <c r="T59" s="1">
        <v>5.1940340669999996</v>
      </c>
      <c r="U59" s="1">
        <v>5.2628748920000001</v>
      </c>
      <c r="V59" s="1">
        <v>5.5807524949999996</v>
      </c>
      <c r="W59" s="1">
        <v>5.427589942</v>
      </c>
      <c r="X59" s="1">
        <v>5.3550813679999996</v>
      </c>
      <c r="Y59" s="1">
        <v>5.3269702959999998</v>
      </c>
      <c r="Z59" s="1">
        <v>4.9894654599999999</v>
      </c>
      <c r="AA59" s="1">
        <v>5.6453330910000004</v>
      </c>
      <c r="AB59" s="1">
        <v>5.4196851610000003</v>
      </c>
      <c r="AC59" s="1">
        <v>5.3988312660000002</v>
      </c>
      <c r="AD59" s="1">
        <v>5.0634297190000002</v>
      </c>
      <c r="AE59" s="1">
        <v>5.2004631630000002</v>
      </c>
    </row>
    <row r="60" spans="1:31" x14ac:dyDescent="0.25">
      <c r="A60" s="1" t="s">
        <v>61</v>
      </c>
      <c r="B60" s="1" t="s">
        <v>2542</v>
      </c>
      <c r="C60" s="1" t="s">
        <v>2553</v>
      </c>
      <c r="D60" s="1" t="s">
        <v>2554</v>
      </c>
      <c r="E60" s="1" t="s">
        <v>2555</v>
      </c>
      <c r="F60" s="1" t="s">
        <v>2556</v>
      </c>
      <c r="G60" s="1" t="s">
        <v>61</v>
      </c>
      <c r="H60" s="1">
        <v>6.0380558219999996</v>
      </c>
      <c r="I60" s="1">
        <v>5.7776224090000001</v>
      </c>
      <c r="J60" s="1">
        <v>8.1530455439999994</v>
      </c>
      <c r="K60" s="1">
        <v>7.7208665190000003</v>
      </c>
      <c r="L60" s="1">
        <v>8.054091562</v>
      </c>
      <c r="M60" s="1">
        <v>8.1607757250000006</v>
      </c>
      <c r="N60" s="1">
        <v>6.8148420840000004</v>
      </c>
      <c r="O60" s="1">
        <v>6.8735777320000002</v>
      </c>
      <c r="P60" s="1">
        <v>7.8821029039999999</v>
      </c>
      <c r="Q60" s="1">
        <v>7.8623512399999997</v>
      </c>
      <c r="R60" s="1">
        <v>8.6408236909999996</v>
      </c>
      <c r="S60" s="1">
        <v>8.1856816890000008</v>
      </c>
      <c r="T60" s="1">
        <v>8.054091562</v>
      </c>
      <c r="U60" s="1">
        <v>8.1607757250000006</v>
      </c>
      <c r="V60" s="1">
        <v>7.9782402399999999</v>
      </c>
      <c r="W60" s="1">
        <v>7.8579126600000002</v>
      </c>
      <c r="X60" s="1">
        <v>7.8061879100000002</v>
      </c>
      <c r="Y60" s="1">
        <v>7.8444431989999996</v>
      </c>
      <c r="Z60" s="1">
        <v>8.6408236909999996</v>
      </c>
      <c r="AA60" s="1">
        <v>8.1856816890000008</v>
      </c>
      <c r="AB60" s="1">
        <v>8.1772528500000004</v>
      </c>
      <c r="AC60" s="1">
        <v>8.156148366</v>
      </c>
      <c r="AD60" s="1">
        <v>7.8807978030000001</v>
      </c>
      <c r="AE60" s="1">
        <v>7.9200449969999998</v>
      </c>
    </row>
    <row r="61" spans="1:31" x14ac:dyDescent="0.25">
      <c r="A61" s="1" t="s">
        <v>62</v>
      </c>
      <c r="B61" s="1" t="s">
        <v>2557</v>
      </c>
      <c r="C61" s="1" t="s">
        <v>2558</v>
      </c>
      <c r="D61" s="1" t="s">
        <v>2559</v>
      </c>
      <c r="E61" s="1" t="s">
        <v>2560</v>
      </c>
      <c r="F61" s="1" t="s">
        <v>2561</v>
      </c>
      <c r="G61" s="1" t="s">
        <v>62</v>
      </c>
      <c r="H61" s="1">
        <v>5.7062998909999996</v>
      </c>
      <c r="I61" s="1">
        <v>5.9189259930000002</v>
      </c>
      <c r="J61" s="1">
        <v>6.0670821549999996</v>
      </c>
      <c r="K61" s="1">
        <v>5.6848657879999998</v>
      </c>
      <c r="L61" s="1">
        <v>7.4201917110000002</v>
      </c>
      <c r="M61" s="1">
        <v>7.0263375510000001</v>
      </c>
      <c r="N61" s="1">
        <v>6.421619185</v>
      </c>
      <c r="O61" s="1">
        <v>6.45474543</v>
      </c>
      <c r="P61" s="1">
        <v>6.6624064440000001</v>
      </c>
      <c r="Q61" s="1">
        <v>6.4790268769999999</v>
      </c>
      <c r="R61" s="1">
        <v>6.6932924079999996</v>
      </c>
      <c r="S61" s="1">
        <v>6.3621547329999997</v>
      </c>
      <c r="T61" s="1">
        <v>7.4201917110000002</v>
      </c>
      <c r="U61" s="1">
        <v>7.0263375510000001</v>
      </c>
      <c r="V61" s="1">
        <v>6.8584365429999998</v>
      </c>
      <c r="W61" s="1">
        <v>6.7357424699999999</v>
      </c>
      <c r="X61" s="1">
        <v>6.5419998750000001</v>
      </c>
      <c r="Y61" s="1">
        <v>6.4855214879999998</v>
      </c>
      <c r="Z61" s="1">
        <v>6.6932924079999996</v>
      </c>
      <c r="AA61" s="1">
        <v>6.3621547329999997</v>
      </c>
      <c r="AB61" s="1">
        <v>6.3971449009999999</v>
      </c>
      <c r="AC61" s="1">
        <v>6.6092721640000001</v>
      </c>
      <c r="AD61" s="1">
        <v>6.1407817189999996</v>
      </c>
      <c r="AE61" s="1">
        <v>6.2987649059999997</v>
      </c>
    </row>
    <row r="62" spans="1:31" x14ac:dyDescent="0.25">
      <c r="A62" s="1" t="s">
        <v>63</v>
      </c>
      <c r="B62" s="1" t="s">
        <v>2530</v>
      </c>
      <c r="C62" s="1" t="s">
        <v>2531</v>
      </c>
      <c r="D62" s="1" t="s">
        <v>2535</v>
      </c>
      <c r="E62" s="1" t="s">
        <v>2536</v>
      </c>
      <c r="G62" s="1" t="s">
        <v>63</v>
      </c>
      <c r="H62" s="1">
        <v>4.0684382540000001</v>
      </c>
      <c r="I62" s="1">
        <v>4.3763156859999999</v>
      </c>
      <c r="J62" s="1">
        <v>4.0065844400000001</v>
      </c>
      <c r="K62" s="1">
        <v>4.1384138449999996</v>
      </c>
      <c r="L62" s="1">
        <v>4.0714409539999998</v>
      </c>
      <c r="M62" s="1">
        <v>4.6692867769999999</v>
      </c>
      <c r="N62" s="1">
        <v>4.1002678350000004</v>
      </c>
      <c r="O62" s="1">
        <v>4.0289865369999998</v>
      </c>
      <c r="P62" s="1">
        <v>3.86011382</v>
      </c>
      <c r="Q62" s="1">
        <v>4.3733115800000002</v>
      </c>
      <c r="R62" s="1">
        <v>4.7472384160000001</v>
      </c>
      <c r="S62" s="1">
        <v>4.4749637470000003</v>
      </c>
      <c r="T62" s="1">
        <v>4.0714409539999998</v>
      </c>
      <c r="U62" s="1">
        <v>4.6692867769999999</v>
      </c>
      <c r="V62" s="1">
        <v>4.4559512029999997</v>
      </c>
      <c r="W62" s="1">
        <v>4.69862249</v>
      </c>
      <c r="X62" s="1">
        <v>4.7537743670000001</v>
      </c>
      <c r="Y62" s="1">
        <v>4.8904630100000004</v>
      </c>
      <c r="Z62" s="1">
        <v>4.7472384160000001</v>
      </c>
      <c r="AA62" s="1">
        <v>4.4749637470000003</v>
      </c>
      <c r="AB62" s="1">
        <v>5.3028471579999996</v>
      </c>
      <c r="AC62" s="1">
        <v>4.7474570290000004</v>
      </c>
      <c r="AD62" s="1">
        <v>4.6978214539999996</v>
      </c>
      <c r="AE62" s="1">
        <v>4.8625108150000003</v>
      </c>
    </row>
    <row r="63" spans="1:31" x14ac:dyDescent="0.25">
      <c r="A63" s="1" t="s">
        <v>65</v>
      </c>
      <c r="B63" s="1" t="s">
        <v>2530</v>
      </c>
      <c r="C63" s="1" t="s">
        <v>2531</v>
      </c>
      <c r="D63" s="1" t="s">
        <v>2535</v>
      </c>
      <c r="E63" s="1" t="s">
        <v>2562</v>
      </c>
      <c r="G63" s="1" t="s">
        <v>65</v>
      </c>
      <c r="H63" s="1">
        <v>4.2900513550000001</v>
      </c>
      <c r="I63" s="1">
        <v>3.9003964459999998</v>
      </c>
      <c r="J63" s="1">
        <v>3.6453331530000002</v>
      </c>
      <c r="K63" s="1">
        <v>3.762021974</v>
      </c>
      <c r="L63" s="1">
        <v>4.2088403679999997</v>
      </c>
      <c r="M63" s="1">
        <v>3.4067547010000001</v>
      </c>
      <c r="N63" s="1">
        <v>4.0417975630000003</v>
      </c>
      <c r="O63" s="1">
        <v>3.88533178</v>
      </c>
      <c r="P63" s="1">
        <v>3.7419514989999998</v>
      </c>
      <c r="Q63" s="1">
        <v>3.7137735799999998</v>
      </c>
      <c r="R63" s="1">
        <v>3.8462631940000001</v>
      </c>
      <c r="S63" s="1">
        <v>4.6194390810000003</v>
      </c>
      <c r="T63" s="1">
        <v>4.2088403679999997</v>
      </c>
      <c r="U63" s="1">
        <v>3.4067547010000001</v>
      </c>
      <c r="V63" s="1">
        <v>3.7819764450000002</v>
      </c>
      <c r="W63" s="1">
        <v>4.2295768090000001</v>
      </c>
      <c r="X63" s="1">
        <v>4.0600950219999996</v>
      </c>
      <c r="Y63" s="1">
        <v>3.6154848500000001</v>
      </c>
      <c r="Z63" s="1">
        <v>3.8462631940000001</v>
      </c>
      <c r="AA63" s="1">
        <v>4.6194390810000003</v>
      </c>
      <c r="AB63" s="1">
        <v>3.1218319999999999</v>
      </c>
      <c r="AC63" s="1">
        <v>3.4716344729999999</v>
      </c>
      <c r="AD63" s="1">
        <v>3.5727029510000001</v>
      </c>
      <c r="AE63" s="1">
        <v>3.5108161330000001</v>
      </c>
    </row>
    <row r="64" spans="1:31" x14ac:dyDescent="0.25">
      <c r="A64" s="1" t="s">
        <v>66</v>
      </c>
      <c r="B64" s="1" t="s">
        <v>2539</v>
      </c>
      <c r="C64" s="1" t="s">
        <v>2563</v>
      </c>
      <c r="D64" s="1" t="s">
        <v>2564</v>
      </c>
      <c r="E64" s="1" t="s">
        <v>2565</v>
      </c>
      <c r="G64" s="1" t="s">
        <v>66</v>
      </c>
      <c r="H64" s="1">
        <v>4.7972697699999998</v>
      </c>
      <c r="I64" s="1">
        <v>4.66484875</v>
      </c>
      <c r="J64" s="1">
        <v>4.1077874330000004</v>
      </c>
      <c r="K64" s="1">
        <v>3.762021974</v>
      </c>
      <c r="L64" s="1">
        <v>3.918224124</v>
      </c>
      <c r="M64" s="1">
        <v>4.1225413939999997</v>
      </c>
      <c r="N64" s="1">
        <v>4.6173662499999999</v>
      </c>
      <c r="O64" s="1">
        <v>4.8663619410000001</v>
      </c>
      <c r="P64" s="1">
        <v>3.9684043939999998</v>
      </c>
      <c r="Q64" s="1">
        <v>4.2835653880000004</v>
      </c>
      <c r="R64" s="1">
        <v>3.8462631940000001</v>
      </c>
      <c r="S64" s="1">
        <v>4.4749637470000003</v>
      </c>
      <c r="T64" s="1">
        <v>3.918224124</v>
      </c>
      <c r="U64" s="1">
        <v>4.1225413939999997</v>
      </c>
      <c r="V64" s="1">
        <v>4.0758289169999999</v>
      </c>
      <c r="W64" s="1">
        <v>5.0488589419999998</v>
      </c>
      <c r="X64" s="1">
        <v>4.1686775799999998</v>
      </c>
      <c r="Y64" s="1">
        <v>4.8904630100000004</v>
      </c>
      <c r="Z64" s="1">
        <v>3.8462631940000001</v>
      </c>
      <c r="AA64" s="1">
        <v>4.4749637470000003</v>
      </c>
      <c r="AB64" s="1">
        <v>3.990981031</v>
      </c>
      <c r="AC64" s="1">
        <v>3.4716344729999999</v>
      </c>
      <c r="AD64" s="1">
        <v>4.3870463700000002</v>
      </c>
      <c r="AE64" s="1">
        <v>3.7492737119999999</v>
      </c>
    </row>
    <row r="65" spans="1:31" x14ac:dyDescent="0.25">
      <c r="A65" s="1" t="s">
        <v>67</v>
      </c>
      <c r="B65" s="1" t="s">
        <v>2547</v>
      </c>
      <c r="C65" s="1" t="s">
        <v>2566</v>
      </c>
      <c r="D65" s="1" t="s">
        <v>2535</v>
      </c>
      <c r="E65" s="1" t="s">
        <v>2567</v>
      </c>
      <c r="G65" s="1" t="s">
        <v>67</v>
      </c>
      <c r="H65" s="1">
        <v>1.7393328349999999</v>
      </c>
      <c r="I65" s="1">
        <v>2.8927893610000002</v>
      </c>
      <c r="J65" s="1">
        <v>2.5640169199999998</v>
      </c>
      <c r="K65" s="1">
        <v>2.620638279</v>
      </c>
      <c r="L65" s="1">
        <v>2.7248816410000001</v>
      </c>
      <c r="M65" s="1">
        <v>1.7393328349999999</v>
      </c>
      <c r="N65" s="1">
        <v>1.7393328349999999</v>
      </c>
      <c r="O65" s="1">
        <v>1.7393328349999999</v>
      </c>
      <c r="P65" s="1">
        <v>2.8687501260000001</v>
      </c>
      <c r="Q65" s="1">
        <v>2.597100669</v>
      </c>
      <c r="R65" s="1">
        <v>2.9339002829999998</v>
      </c>
      <c r="S65" s="1">
        <v>3.1475403900000001</v>
      </c>
      <c r="T65" s="1">
        <v>2.7248816410000001</v>
      </c>
      <c r="U65" s="1">
        <v>1.7393328349999999</v>
      </c>
      <c r="V65" s="1">
        <v>1.7393328349999999</v>
      </c>
      <c r="W65" s="1">
        <v>3.0218530750000001</v>
      </c>
      <c r="X65" s="1">
        <v>3.0884111989999998</v>
      </c>
      <c r="Y65" s="1">
        <v>2.624795792</v>
      </c>
      <c r="Z65" s="1">
        <v>2.9339002829999998</v>
      </c>
      <c r="AA65" s="1">
        <v>3.1475403900000001</v>
      </c>
      <c r="AB65" s="1">
        <v>3.1218319999999999</v>
      </c>
      <c r="AC65" s="1">
        <v>2.5506926650000001</v>
      </c>
      <c r="AD65" s="1">
        <v>3.3987395579999999</v>
      </c>
      <c r="AE65" s="1">
        <v>1.7393328349999999</v>
      </c>
    </row>
    <row r="66" spans="1:31" x14ac:dyDescent="0.25">
      <c r="A66" s="1" t="s">
        <v>71</v>
      </c>
      <c r="B66" s="1" t="s">
        <v>2530</v>
      </c>
      <c r="C66" s="1" t="s">
        <v>2531</v>
      </c>
      <c r="D66" s="1" t="s">
        <v>2535</v>
      </c>
      <c r="E66" s="1" t="s">
        <v>2536</v>
      </c>
      <c r="G66" s="1" t="s">
        <v>71</v>
      </c>
      <c r="H66" s="1">
        <v>6.6546803429999999</v>
      </c>
      <c r="I66" s="1">
        <v>6.4889292899999997</v>
      </c>
      <c r="J66" s="1">
        <v>4.9532699769999997</v>
      </c>
      <c r="K66" s="1">
        <v>5.0014827119999996</v>
      </c>
      <c r="L66" s="1">
        <v>5.4841512059999999</v>
      </c>
      <c r="M66" s="1">
        <v>5.6393255609999997</v>
      </c>
      <c r="N66" s="1">
        <v>5.9870940719999997</v>
      </c>
      <c r="O66" s="1">
        <v>6.3799106659999998</v>
      </c>
      <c r="P66" s="1">
        <v>5.660815296</v>
      </c>
      <c r="Q66" s="1">
        <v>4.611970812</v>
      </c>
      <c r="R66" s="1">
        <v>4.9327063119999996</v>
      </c>
      <c r="S66" s="1">
        <v>5.2672271329999996</v>
      </c>
      <c r="T66" s="1">
        <v>5.4841512059999999</v>
      </c>
      <c r="U66" s="1">
        <v>5.6393255609999997</v>
      </c>
      <c r="V66" s="1">
        <v>5.4230002329999998</v>
      </c>
      <c r="W66" s="1">
        <v>5.3792812999999997</v>
      </c>
      <c r="X66" s="1">
        <v>5.7596503070000002</v>
      </c>
      <c r="Y66" s="1">
        <v>5.5841077690000001</v>
      </c>
      <c r="Z66" s="1">
        <v>4.9327063119999996</v>
      </c>
      <c r="AA66" s="1">
        <v>5.2672271329999996</v>
      </c>
      <c r="AB66" s="1">
        <v>4.9601840040000003</v>
      </c>
      <c r="AC66" s="1">
        <v>5.2411914069999996</v>
      </c>
      <c r="AD66" s="1">
        <v>5.6310130599999999</v>
      </c>
      <c r="AE66" s="1">
        <v>5.2736981710000004</v>
      </c>
    </row>
    <row r="67" spans="1:31" x14ac:dyDescent="0.25">
      <c r="A67" s="1" t="s">
        <v>72</v>
      </c>
      <c r="B67" s="1" t="s">
        <v>2568</v>
      </c>
      <c r="C67" s="1" t="s">
        <v>2569</v>
      </c>
      <c r="D67" s="1" t="s">
        <v>2570</v>
      </c>
      <c r="E67" s="1" t="s">
        <v>2571</v>
      </c>
      <c r="F67" s="1" t="s">
        <v>2572</v>
      </c>
      <c r="G67" s="1" t="s">
        <v>72</v>
      </c>
      <c r="H67" s="1">
        <v>5.6296178589999997</v>
      </c>
      <c r="I67" s="1">
        <v>6.0227272230000004</v>
      </c>
      <c r="J67" s="1">
        <v>5.9141206909999999</v>
      </c>
      <c r="K67" s="1">
        <v>5.7895293819999996</v>
      </c>
      <c r="L67" s="1">
        <v>6.1777105819999996</v>
      </c>
      <c r="M67" s="1">
        <v>6.1108364430000002</v>
      </c>
      <c r="N67" s="1">
        <v>5.2649372489999999</v>
      </c>
      <c r="O67" s="1">
        <v>5.4612405070000003</v>
      </c>
      <c r="P67" s="1">
        <v>5.9144375350000002</v>
      </c>
      <c r="Q67" s="1">
        <v>6.0722034220000003</v>
      </c>
      <c r="R67" s="1">
        <v>6.2855941240000002</v>
      </c>
      <c r="S67" s="1">
        <v>6.2136668149999998</v>
      </c>
      <c r="T67" s="1">
        <v>6.1777105819999996</v>
      </c>
      <c r="U67" s="1">
        <v>6.1108364430000002</v>
      </c>
      <c r="V67" s="1">
        <v>6.1419042490000004</v>
      </c>
      <c r="W67" s="1">
        <v>5.9736131119999998</v>
      </c>
      <c r="X67" s="1">
        <v>5.8252409690000002</v>
      </c>
      <c r="Y67" s="1">
        <v>5.9909787290000001</v>
      </c>
      <c r="Z67" s="1">
        <v>6.2855941240000002</v>
      </c>
      <c r="AA67" s="1">
        <v>6.2136668149999998</v>
      </c>
      <c r="AB67" s="1">
        <v>5.8098709350000002</v>
      </c>
      <c r="AC67" s="1">
        <v>6.526755767</v>
      </c>
      <c r="AD67" s="1">
        <v>5.8322684330000003</v>
      </c>
      <c r="AE67" s="1">
        <v>5.6481534240000002</v>
      </c>
    </row>
    <row r="68" spans="1:31" x14ac:dyDescent="0.25">
      <c r="A68" s="1" t="s">
        <v>77</v>
      </c>
      <c r="B68" s="1" t="s">
        <v>2530</v>
      </c>
      <c r="C68" s="1" t="s">
        <v>2573</v>
      </c>
      <c r="D68" s="1" t="s">
        <v>2574</v>
      </c>
      <c r="E68" s="1" t="s">
        <v>2575</v>
      </c>
      <c r="F68" s="1" t="s">
        <v>2576</v>
      </c>
      <c r="G68" s="1" t="s">
        <v>77</v>
      </c>
      <c r="H68" s="1">
        <v>8.9475838890000006</v>
      </c>
      <c r="I68" s="1">
        <v>10.15448557</v>
      </c>
      <c r="J68" s="1">
        <v>8.6603889289999998</v>
      </c>
      <c r="K68" s="1">
        <v>8.7805489399999992</v>
      </c>
      <c r="L68" s="1">
        <v>8.5870956560000007</v>
      </c>
      <c r="M68" s="1">
        <v>8.5647507730000001</v>
      </c>
      <c r="N68" s="1">
        <v>9.5202177930000005</v>
      </c>
      <c r="O68" s="1">
        <v>9.2497044479999992</v>
      </c>
      <c r="P68" s="1">
        <v>8.5121515730000006</v>
      </c>
      <c r="Q68" s="1">
        <v>8.8340618989999999</v>
      </c>
      <c r="R68" s="1">
        <v>8.0414571119999998</v>
      </c>
      <c r="S68" s="1">
        <v>8.3108541319999993</v>
      </c>
      <c r="T68" s="1">
        <v>8.5870956560000007</v>
      </c>
      <c r="U68" s="1">
        <v>8.5647507730000001</v>
      </c>
      <c r="V68" s="1">
        <v>9.6285999429999993</v>
      </c>
      <c r="W68" s="1">
        <v>9.1585219040000005</v>
      </c>
      <c r="X68" s="1">
        <v>7.9264868230000003</v>
      </c>
      <c r="Y68" s="1">
        <v>9.259000275</v>
      </c>
      <c r="Z68" s="1">
        <v>8.0414571119999998</v>
      </c>
      <c r="AA68" s="1">
        <v>8.3108541319999993</v>
      </c>
      <c r="AB68" s="1">
        <v>8.0021531350000004</v>
      </c>
      <c r="AC68" s="1">
        <v>7.6409603700000002</v>
      </c>
      <c r="AD68" s="1">
        <v>7.6257906120000003</v>
      </c>
      <c r="AE68" s="1">
        <v>8.4242961009999995</v>
      </c>
    </row>
    <row r="69" spans="1:31" x14ac:dyDescent="0.25">
      <c r="A69" s="1" t="s">
        <v>79</v>
      </c>
      <c r="B69" s="1" t="s">
        <v>2530</v>
      </c>
      <c r="C69" s="1" t="s">
        <v>2531</v>
      </c>
      <c r="D69" s="1" t="s">
        <v>2535</v>
      </c>
      <c r="E69" s="1" t="s">
        <v>2577</v>
      </c>
      <c r="F69" s="1" t="s">
        <v>2578</v>
      </c>
      <c r="G69" s="1" t="s">
        <v>79</v>
      </c>
      <c r="H69" s="1">
        <v>6.0081283179999998</v>
      </c>
      <c r="I69" s="1">
        <v>6.8262016389999998</v>
      </c>
      <c r="J69" s="1">
        <v>6.2697260589999999</v>
      </c>
      <c r="K69" s="1">
        <v>6.6307692840000003</v>
      </c>
      <c r="L69" s="1">
        <v>6.1339192999999996</v>
      </c>
      <c r="M69" s="1">
        <v>5.7583226490000001</v>
      </c>
      <c r="N69" s="1">
        <v>6.4543317939999998</v>
      </c>
      <c r="O69" s="1">
        <v>6.3277659169999998</v>
      </c>
      <c r="P69" s="1">
        <v>5.6296473389999999</v>
      </c>
      <c r="Q69" s="1">
        <v>5.8154013029999998</v>
      </c>
      <c r="R69" s="1">
        <v>5.7142579380000003</v>
      </c>
      <c r="S69" s="1">
        <v>6.0973467069999998</v>
      </c>
      <c r="T69" s="1">
        <v>6.1339192999999996</v>
      </c>
      <c r="U69" s="1">
        <v>5.7583226490000001</v>
      </c>
      <c r="V69" s="1">
        <v>5.9705432629999997</v>
      </c>
      <c r="W69" s="1">
        <v>6.265991681</v>
      </c>
      <c r="X69" s="1">
        <v>5.9771755410000003</v>
      </c>
      <c r="Y69" s="1">
        <v>5.503438128</v>
      </c>
      <c r="Z69" s="1">
        <v>5.7142579380000003</v>
      </c>
      <c r="AA69" s="1">
        <v>6.0973467069999998</v>
      </c>
      <c r="AB69" s="1">
        <v>5.9325296429999996</v>
      </c>
      <c r="AC69" s="1">
        <v>5.7003611899999997</v>
      </c>
      <c r="AD69" s="1">
        <v>5.5571020090000003</v>
      </c>
      <c r="AE69" s="1">
        <v>5.592176748</v>
      </c>
    </row>
    <row r="70" spans="1:31" x14ac:dyDescent="0.25">
      <c r="A70" s="1" t="s">
        <v>83</v>
      </c>
      <c r="B70" s="1" t="s">
        <v>2579</v>
      </c>
      <c r="C70" s="1" t="s">
        <v>2580</v>
      </c>
      <c r="D70" s="1" t="s">
        <v>2581</v>
      </c>
      <c r="E70" s="1" t="s">
        <v>2582</v>
      </c>
      <c r="F70" s="1" t="s">
        <v>2583</v>
      </c>
      <c r="G70" s="1" t="s">
        <v>83</v>
      </c>
      <c r="H70" s="1">
        <v>6.0961014899999997</v>
      </c>
      <c r="I70" s="1">
        <v>6.4522693780000004</v>
      </c>
      <c r="J70" s="1">
        <v>7.9844571359999996</v>
      </c>
      <c r="K70" s="1">
        <v>7.9100805850000002</v>
      </c>
      <c r="L70" s="1">
        <v>7.7663399929999999</v>
      </c>
      <c r="M70" s="1">
        <v>7.9065140700000001</v>
      </c>
      <c r="N70" s="1">
        <v>6.1290762189999999</v>
      </c>
      <c r="O70" s="1">
        <v>6.0979208290000004</v>
      </c>
      <c r="P70" s="1">
        <v>7.6772809349999998</v>
      </c>
      <c r="Q70" s="1">
        <v>7.877346996</v>
      </c>
      <c r="R70" s="1">
        <v>8.1314762389999995</v>
      </c>
      <c r="S70" s="1">
        <v>7.9976985410000001</v>
      </c>
      <c r="T70" s="1">
        <v>7.7663399929999999</v>
      </c>
      <c r="U70" s="1">
        <v>7.9065140700000001</v>
      </c>
      <c r="V70" s="1">
        <v>7.6920807379999996</v>
      </c>
      <c r="W70" s="1">
        <v>8.0993547170000006</v>
      </c>
      <c r="X70" s="1">
        <v>7.9339139879999996</v>
      </c>
      <c r="Y70" s="1">
        <v>8.2032439739999994</v>
      </c>
      <c r="Z70" s="1">
        <v>8.1314762389999995</v>
      </c>
      <c r="AA70" s="1">
        <v>7.9976985410000001</v>
      </c>
      <c r="AB70" s="1">
        <v>7.9548424219999996</v>
      </c>
      <c r="AC70" s="1">
        <v>8.0361326519999992</v>
      </c>
      <c r="AD70" s="1">
        <v>8.1167500839999995</v>
      </c>
      <c r="AE70" s="1">
        <v>8.0939852309999996</v>
      </c>
    </row>
    <row r="71" spans="1:31" x14ac:dyDescent="0.25">
      <c r="A71" s="1" t="s">
        <v>84</v>
      </c>
      <c r="B71" s="1" t="s">
        <v>2530</v>
      </c>
      <c r="C71" s="1" t="s">
        <v>2573</v>
      </c>
      <c r="D71" s="1" t="s">
        <v>2535</v>
      </c>
      <c r="E71" s="1" t="s">
        <v>2584</v>
      </c>
      <c r="G71" s="1" t="s">
        <v>84</v>
      </c>
      <c r="H71" s="1">
        <v>4.995162745</v>
      </c>
      <c r="I71" s="1">
        <v>5.1546023129999998</v>
      </c>
      <c r="J71" s="1">
        <v>6.1378545859999996</v>
      </c>
      <c r="K71" s="1">
        <v>6.4514685810000003</v>
      </c>
      <c r="L71" s="1">
        <v>5.9184294340000001</v>
      </c>
      <c r="M71" s="1">
        <v>6.0026802679999998</v>
      </c>
      <c r="N71" s="1">
        <v>4.9930900400000002</v>
      </c>
      <c r="O71" s="1">
        <v>4.9384407589999997</v>
      </c>
      <c r="P71" s="1">
        <v>6.4115387159999999</v>
      </c>
      <c r="Q71" s="1">
        <v>6.3980489909999996</v>
      </c>
      <c r="R71" s="1">
        <v>6.4143264479999997</v>
      </c>
      <c r="S71" s="1">
        <v>6.4213797350000004</v>
      </c>
      <c r="T71" s="1">
        <v>5.9184294340000001</v>
      </c>
      <c r="U71" s="1">
        <v>6.0026802679999998</v>
      </c>
      <c r="V71" s="1">
        <v>6.6186760830000004</v>
      </c>
      <c r="W71" s="1">
        <v>6.3925275360000002</v>
      </c>
      <c r="X71" s="1">
        <v>6.430767253</v>
      </c>
      <c r="Y71" s="1">
        <v>6.3310590680000001</v>
      </c>
      <c r="Z71" s="1">
        <v>6.4143264479999997</v>
      </c>
      <c r="AA71" s="1">
        <v>6.4213797350000004</v>
      </c>
      <c r="AB71" s="1">
        <v>6.9924202729999996</v>
      </c>
      <c r="AC71" s="1">
        <v>6.5768311190000004</v>
      </c>
      <c r="AD71" s="1">
        <v>7.06008602</v>
      </c>
      <c r="AE71" s="1">
        <v>6.2634584459999996</v>
      </c>
    </row>
    <row r="72" spans="1:31" x14ac:dyDescent="0.25">
      <c r="A72" s="1" t="s">
        <v>85</v>
      </c>
      <c r="B72" s="1" t="s">
        <v>2579</v>
      </c>
      <c r="C72" s="1" t="s">
        <v>2585</v>
      </c>
      <c r="D72" s="1" t="s">
        <v>2586</v>
      </c>
      <c r="E72" s="1" t="s">
        <v>2587</v>
      </c>
      <c r="F72" s="1" t="s">
        <v>2588</v>
      </c>
      <c r="G72" s="1" t="s">
        <v>85</v>
      </c>
      <c r="H72" s="1">
        <v>7.1951035379999997</v>
      </c>
      <c r="I72" s="1">
        <v>6.7527702749999996</v>
      </c>
      <c r="J72" s="1">
        <v>8.8545768169999999</v>
      </c>
      <c r="K72" s="1">
        <v>8.4713738910000007</v>
      </c>
      <c r="L72" s="1">
        <v>8.3898868760000003</v>
      </c>
      <c r="M72" s="1">
        <v>8.7212703739999995</v>
      </c>
      <c r="N72" s="1">
        <v>6.3653884090000004</v>
      </c>
      <c r="O72" s="1">
        <v>6.4178147000000001</v>
      </c>
      <c r="P72" s="1">
        <v>8.5988263909999993</v>
      </c>
      <c r="Q72" s="1">
        <v>8.7752407209999994</v>
      </c>
      <c r="R72" s="1">
        <v>8.7134076460000003</v>
      </c>
      <c r="S72" s="1">
        <v>8.8121762159999992</v>
      </c>
      <c r="T72" s="1">
        <v>8.3898868760000003</v>
      </c>
      <c r="U72" s="1">
        <v>8.7212703739999995</v>
      </c>
      <c r="V72" s="1">
        <v>8.7798578769999995</v>
      </c>
      <c r="W72" s="1">
        <v>8.9276359010000004</v>
      </c>
      <c r="X72" s="1">
        <v>9.2759892720000003</v>
      </c>
      <c r="Y72" s="1">
        <v>8.7602028020000002</v>
      </c>
      <c r="Z72" s="1">
        <v>8.7134076460000003</v>
      </c>
      <c r="AA72" s="1">
        <v>8.8121762159999992</v>
      </c>
      <c r="AB72" s="1">
        <v>8.9257134090000001</v>
      </c>
      <c r="AC72" s="1">
        <v>8.8551086849999994</v>
      </c>
      <c r="AD72" s="1">
        <v>9.0765951030000007</v>
      </c>
      <c r="AE72" s="1">
        <v>9.1855622130000008</v>
      </c>
    </row>
    <row r="73" spans="1:31" x14ac:dyDescent="0.25">
      <c r="A73" s="1" t="s">
        <v>86</v>
      </c>
      <c r="B73" s="1" t="s">
        <v>2568</v>
      </c>
      <c r="C73" s="1" t="s">
        <v>2589</v>
      </c>
      <c r="D73" s="1" t="s">
        <v>2590</v>
      </c>
      <c r="E73" s="1" t="s">
        <v>2591</v>
      </c>
      <c r="F73" s="1" t="s">
        <v>2592</v>
      </c>
      <c r="G73" s="1" t="s">
        <v>86</v>
      </c>
      <c r="H73" s="1">
        <v>4.4805534380000003</v>
      </c>
      <c r="I73" s="1">
        <v>5.0595268689999999</v>
      </c>
      <c r="J73" s="1">
        <v>4.6607313550000002</v>
      </c>
      <c r="K73" s="1">
        <v>5.2180867539999998</v>
      </c>
      <c r="L73" s="1">
        <v>5.2153292420000001</v>
      </c>
      <c r="M73" s="1">
        <v>4.6276332350000002</v>
      </c>
      <c r="N73" s="1">
        <v>5.428348615</v>
      </c>
      <c r="O73" s="1">
        <v>5.4367285829999998</v>
      </c>
      <c r="P73" s="1">
        <v>5.0074447400000004</v>
      </c>
      <c r="Q73" s="1">
        <v>4.9365262349999997</v>
      </c>
      <c r="R73" s="1">
        <v>4.6083586160000003</v>
      </c>
      <c r="S73" s="1">
        <v>4.6194390810000003</v>
      </c>
      <c r="T73" s="1">
        <v>5.2153292420000001</v>
      </c>
      <c r="U73" s="1">
        <v>4.6276332350000002</v>
      </c>
      <c r="V73" s="1">
        <v>4.7533922439999996</v>
      </c>
      <c r="W73" s="1">
        <v>4.1128053839999996</v>
      </c>
      <c r="X73" s="1">
        <v>4.3167291810000004</v>
      </c>
      <c r="Y73" s="1">
        <v>4.5275934409999996</v>
      </c>
      <c r="Z73" s="1">
        <v>4.6083586160000003</v>
      </c>
      <c r="AA73" s="1">
        <v>4.6194390810000003</v>
      </c>
      <c r="AB73" s="1">
        <v>4.6096720080000004</v>
      </c>
      <c r="AC73" s="1">
        <v>5.1103036370000003</v>
      </c>
      <c r="AD73" s="1">
        <v>4.2005997429999997</v>
      </c>
      <c r="AE73" s="1">
        <v>5.175187158</v>
      </c>
    </row>
    <row r="74" spans="1:31" x14ac:dyDescent="0.25">
      <c r="A74" s="1" t="s">
        <v>87</v>
      </c>
      <c r="B74" s="1" t="s">
        <v>2530</v>
      </c>
      <c r="C74" s="1" t="s">
        <v>2531</v>
      </c>
      <c r="D74" s="1" t="s">
        <v>2535</v>
      </c>
      <c r="E74" s="1" t="s">
        <v>2536</v>
      </c>
      <c r="G74" s="1" t="s">
        <v>87</v>
      </c>
      <c r="H74" s="1">
        <v>5.6296178589999997</v>
      </c>
      <c r="I74" s="1">
        <v>5.5873017430000003</v>
      </c>
      <c r="J74" s="1">
        <v>4.7243317210000004</v>
      </c>
      <c r="K74" s="1">
        <v>4.3408695499999999</v>
      </c>
      <c r="L74" s="1">
        <v>4.5867597299999998</v>
      </c>
      <c r="M74" s="1">
        <v>4.5846937370000003</v>
      </c>
      <c r="N74" s="1">
        <v>5.2649372489999999</v>
      </c>
      <c r="O74" s="1">
        <v>5.5552821830000001</v>
      </c>
      <c r="P74" s="1">
        <v>4.161525224</v>
      </c>
      <c r="Q74" s="1">
        <v>3.8492287269999999</v>
      </c>
      <c r="R74" s="1">
        <v>5.1472208640000003</v>
      </c>
      <c r="S74" s="1">
        <v>4.8699614389999999</v>
      </c>
      <c r="T74" s="1">
        <v>4.5867597299999998</v>
      </c>
      <c r="U74" s="1">
        <v>4.5846937370000003</v>
      </c>
      <c r="V74" s="1">
        <v>5.0428039150000004</v>
      </c>
      <c r="W74" s="1">
        <v>4.4367165279999998</v>
      </c>
      <c r="X74" s="1">
        <v>4.1154863700000002</v>
      </c>
      <c r="Y74" s="1">
        <v>5.1254702539999997</v>
      </c>
      <c r="Z74" s="1">
        <v>5.1472208640000003</v>
      </c>
      <c r="AA74" s="1">
        <v>4.8699614389999999</v>
      </c>
      <c r="AB74" s="1">
        <v>4.139369361</v>
      </c>
      <c r="AC74" s="1">
        <v>4.4881955270000002</v>
      </c>
      <c r="AD74" s="1">
        <v>4.4715299570000004</v>
      </c>
      <c r="AE74" s="1">
        <v>4.9843711490000002</v>
      </c>
    </row>
    <row r="75" spans="1:31" x14ac:dyDescent="0.25">
      <c r="A75" s="1" t="s">
        <v>88</v>
      </c>
      <c r="B75" s="1" t="s">
        <v>2539</v>
      </c>
      <c r="C75" s="1" t="s">
        <v>2563</v>
      </c>
      <c r="D75" s="1" t="s">
        <v>2564</v>
      </c>
      <c r="E75" s="1" t="s">
        <v>2593</v>
      </c>
      <c r="F75" s="1" t="s">
        <v>2594</v>
      </c>
      <c r="G75" s="1" t="s">
        <v>88</v>
      </c>
      <c r="H75" s="1">
        <v>8.0787247109999996</v>
      </c>
      <c r="I75" s="1">
        <v>7.9243509469999998</v>
      </c>
      <c r="J75" s="1">
        <v>7.1292697699999996</v>
      </c>
      <c r="K75" s="1">
        <v>7.9556132220000002</v>
      </c>
      <c r="L75" s="1">
        <v>6.5213350950000004</v>
      </c>
      <c r="M75" s="1">
        <v>6.5770251660000003</v>
      </c>
      <c r="N75" s="1">
        <v>7.5735753020000001</v>
      </c>
      <c r="O75" s="1">
        <v>7.648738936</v>
      </c>
      <c r="P75" s="1">
        <v>6.9151345580000001</v>
      </c>
      <c r="Q75" s="1">
        <v>6.987770662</v>
      </c>
      <c r="R75" s="1">
        <v>7.1769818540000001</v>
      </c>
      <c r="S75" s="1">
        <v>7.1726569370000002</v>
      </c>
      <c r="T75" s="1">
        <v>6.5213350950000004</v>
      </c>
      <c r="U75" s="1">
        <v>6.5770251660000003</v>
      </c>
      <c r="V75" s="1">
        <v>6.6041092590000003</v>
      </c>
      <c r="W75" s="1">
        <v>7.176254965</v>
      </c>
      <c r="X75" s="1">
        <v>6.7833281259999998</v>
      </c>
      <c r="Y75" s="1">
        <v>7.1452643309999999</v>
      </c>
      <c r="Z75" s="1">
        <v>7.1769818540000001</v>
      </c>
      <c r="AA75" s="1">
        <v>7.1726569370000002</v>
      </c>
      <c r="AB75" s="1">
        <v>7.0476086139999996</v>
      </c>
      <c r="AC75" s="1">
        <v>6.8723966970000001</v>
      </c>
      <c r="AD75" s="1">
        <v>7.2819147590000002</v>
      </c>
      <c r="AE75" s="1">
        <v>6.9437330570000002</v>
      </c>
    </row>
    <row r="76" spans="1:31" x14ac:dyDescent="0.25">
      <c r="A76" s="1" t="s">
        <v>89</v>
      </c>
      <c r="B76" s="1" t="s">
        <v>2568</v>
      </c>
      <c r="C76" s="1" t="s">
        <v>2589</v>
      </c>
      <c r="D76" s="1" t="s">
        <v>2595</v>
      </c>
      <c r="E76" s="1" t="s">
        <v>2596</v>
      </c>
      <c r="F76" s="1" t="s">
        <v>2597</v>
      </c>
      <c r="G76" s="1" t="s">
        <v>89</v>
      </c>
      <c r="H76" s="1">
        <v>6.2317126350000001</v>
      </c>
      <c r="I76" s="1">
        <v>6.7972768459999999</v>
      </c>
      <c r="J76" s="1">
        <v>6.6382173169999996</v>
      </c>
      <c r="K76" s="1">
        <v>6.0361807939999998</v>
      </c>
      <c r="L76" s="1">
        <v>7.0427144589999999</v>
      </c>
      <c r="M76" s="1">
        <v>6.7962126380000001</v>
      </c>
      <c r="N76" s="1">
        <v>6.8480269140000001</v>
      </c>
      <c r="O76" s="1">
        <v>6.7893960399999997</v>
      </c>
      <c r="P76" s="1">
        <v>6.7802345329999998</v>
      </c>
      <c r="Q76" s="1">
        <v>6.8726890640000002</v>
      </c>
      <c r="R76" s="1">
        <v>6.9970160760000004</v>
      </c>
      <c r="S76" s="1">
        <v>7.2178550819999998</v>
      </c>
      <c r="T76" s="1">
        <v>7.0427144589999999</v>
      </c>
      <c r="U76" s="1">
        <v>6.7962126380000001</v>
      </c>
      <c r="V76" s="1">
        <v>7.0424851190000002</v>
      </c>
      <c r="W76" s="1">
        <v>7.0438401490000002</v>
      </c>
      <c r="X76" s="1">
        <v>6.9611542279999998</v>
      </c>
      <c r="Y76" s="1">
        <v>6.8365428660000003</v>
      </c>
      <c r="Z76" s="1">
        <v>6.9970160760000004</v>
      </c>
      <c r="AA76" s="1">
        <v>7.2178550819999998</v>
      </c>
      <c r="AB76" s="1">
        <v>6.8954646989999997</v>
      </c>
      <c r="AC76" s="1">
        <v>6.9248703330000003</v>
      </c>
      <c r="AD76" s="1">
        <v>6.554572984</v>
      </c>
      <c r="AE76" s="1">
        <v>6.8197180370000003</v>
      </c>
    </row>
    <row r="77" spans="1:31" x14ac:dyDescent="0.25">
      <c r="A77" s="1" t="s">
        <v>94</v>
      </c>
      <c r="B77" s="1" t="s">
        <v>2598</v>
      </c>
      <c r="C77" s="1" t="s">
        <v>2599</v>
      </c>
      <c r="D77" s="1" t="s">
        <v>2600</v>
      </c>
      <c r="E77" s="1" t="s">
        <v>2601</v>
      </c>
      <c r="F77" s="1" t="s">
        <v>2602</v>
      </c>
      <c r="G77" s="1" t="s">
        <v>94</v>
      </c>
      <c r="H77" s="1">
        <v>2.640460343</v>
      </c>
      <c r="I77" s="1">
        <v>2.8927893610000002</v>
      </c>
      <c r="J77" s="1">
        <v>2.8907526730000002</v>
      </c>
      <c r="K77" s="1">
        <v>2.9677134359999999</v>
      </c>
      <c r="L77" s="1">
        <v>2.9964092330000001</v>
      </c>
      <c r="M77" s="1">
        <v>2.3994532390000001</v>
      </c>
      <c r="N77" s="1">
        <v>2.628425199</v>
      </c>
      <c r="O77" s="1">
        <v>3.050193165</v>
      </c>
      <c r="P77" s="1">
        <v>3.106446558</v>
      </c>
      <c r="Q77" s="1">
        <v>3.185675432</v>
      </c>
      <c r="R77" s="1">
        <v>3.1834741979999999</v>
      </c>
      <c r="S77" s="1">
        <v>1.7393328349999999</v>
      </c>
      <c r="T77" s="1">
        <v>2.9964092330000001</v>
      </c>
      <c r="U77" s="1">
        <v>2.3994532390000001</v>
      </c>
      <c r="V77" s="1">
        <v>3.0516113059999999</v>
      </c>
      <c r="W77" s="1">
        <v>1.7393328349999999</v>
      </c>
      <c r="X77" s="1">
        <v>2.7988456519999998</v>
      </c>
      <c r="Y77" s="1">
        <v>2.9733498090000001</v>
      </c>
      <c r="Z77" s="1">
        <v>3.1834741979999999</v>
      </c>
      <c r="AA77" s="1">
        <v>1.7393328349999999</v>
      </c>
      <c r="AB77" s="1">
        <v>2.73487305</v>
      </c>
      <c r="AC77" s="1">
        <v>3.1109927919999998</v>
      </c>
      <c r="AD77" s="1">
        <v>2.6025990879999998</v>
      </c>
      <c r="AE77" s="1">
        <v>2.6144016259999998</v>
      </c>
    </row>
    <row r="78" spans="1:31" x14ac:dyDescent="0.25">
      <c r="A78" s="1" t="s">
        <v>100</v>
      </c>
      <c r="B78" s="1" t="s">
        <v>2598</v>
      </c>
      <c r="C78" s="1" t="s">
        <v>2603</v>
      </c>
      <c r="D78" s="1" t="s">
        <v>2604</v>
      </c>
      <c r="E78" s="1" t="s">
        <v>2605</v>
      </c>
      <c r="G78" s="1" t="s">
        <v>100</v>
      </c>
      <c r="H78" s="1">
        <v>6.5548587630000004</v>
      </c>
      <c r="I78" s="1">
        <v>6.5766895930000002</v>
      </c>
      <c r="J78" s="1">
        <v>5.5483108110000003</v>
      </c>
      <c r="K78" s="1">
        <v>5.6482047069999997</v>
      </c>
      <c r="L78" s="1">
        <v>6.155981819</v>
      </c>
      <c r="M78" s="1">
        <v>6.0500341449999997</v>
      </c>
      <c r="N78" s="1">
        <v>7.3194458109999996</v>
      </c>
      <c r="O78" s="1">
        <v>7.0447066889999999</v>
      </c>
      <c r="P78" s="1">
        <v>6.1519221809999998</v>
      </c>
      <c r="Q78" s="1">
        <v>5.8154013029999998</v>
      </c>
      <c r="R78" s="1">
        <v>5.6804358580000001</v>
      </c>
      <c r="S78" s="1">
        <v>5.6117239269999999</v>
      </c>
      <c r="T78" s="1">
        <v>6.155981819</v>
      </c>
      <c r="U78" s="1">
        <v>6.0500341449999997</v>
      </c>
      <c r="V78" s="1">
        <v>6.1215697740000001</v>
      </c>
      <c r="W78" s="1">
        <v>6.2922055309999996</v>
      </c>
      <c r="X78" s="1">
        <v>5.8252409690000002</v>
      </c>
      <c r="Y78" s="1">
        <v>6.0488320509999998</v>
      </c>
      <c r="Z78" s="1">
        <v>5.6804358580000001</v>
      </c>
      <c r="AA78" s="1">
        <v>5.6117239269999999</v>
      </c>
      <c r="AB78" s="1">
        <v>5.5276660309999999</v>
      </c>
      <c r="AC78" s="1">
        <v>5.7595305120000004</v>
      </c>
      <c r="AD78" s="1">
        <v>5.9522696560000004</v>
      </c>
      <c r="AE78" s="1">
        <v>5.9593974410000001</v>
      </c>
    </row>
    <row r="79" spans="1:31" x14ac:dyDescent="0.25">
      <c r="A79" s="1" t="s">
        <v>101</v>
      </c>
      <c r="B79" s="1" t="s">
        <v>2539</v>
      </c>
      <c r="C79" s="1" t="s">
        <v>2606</v>
      </c>
      <c r="D79" s="1" t="s">
        <v>2535</v>
      </c>
      <c r="E79" s="1" t="s">
        <v>2607</v>
      </c>
      <c r="G79" s="1" t="s">
        <v>101</v>
      </c>
      <c r="H79" s="1">
        <v>8.8791450919999999</v>
      </c>
      <c r="I79" s="1">
        <v>9.1811693519999995</v>
      </c>
      <c r="J79" s="1">
        <v>7.6397835939999998</v>
      </c>
      <c r="K79" s="1">
        <v>7.7895320029999997</v>
      </c>
      <c r="L79" s="1">
        <v>7.3502848729999997</v>
      </c>
      <c r="M79" s="1">
        <v>7.2178377009999997</v>
      </c>
      <c r="N79" s="1">
        <v>8.9957748199999994</v>
      </c>
      <c r="O79" s="1">
        <v>8.7512715920000002</v>
      </c>
      <c r="P79" s="1">
        <v>7.8555227590000003</v>
      </c>
      <c r="Q79" s="1">
        <v>7.7928710350000001</v>
      </c>
      <c r="R79" s="1">
        <v>6.8830922379999997</v>
      </c>
      <c r="S79" s="1">
        <v>7.5448838030000003</v>
      </c>
      <c r="T79" s="1">
        <v>7.3502848729999997</v>
      </c>
      <c r="U79" s="1">
        <v>7.2178377009999997</v>
      </c>
      <c r="V79" s="1">
        <v>7.562576688</v>
      </c>
      <c r="W79" s="1">
        <v>7.46795381</v>
      </c>
      <c r="X79" s="1">
        <v>7.5157469749999999</v>
      </c>
      <c r="Y79" s="1">
        <v>7.9841119819999999</v>
      </c>
      <c r="Z79" s="1">
        <v>6.8830922379999997</v>
      </c>
      <c r="AA79" s="1">
        <v>7.5448838030000003</v>
      </c>
      <c r="AB79" s="1">
        <v>7.4673828389999999</v>
      </c>
      <c r="AC79" s="1">
        <v>7.4661767489999997</v>
      </c>
      <c r="AD79" s="1">
        <v>7.6347609089999997</v>
      </c>
      <c r="AE79" s="1">
        <v>8.0290054309999999</v>
      </c>
    </row>
    <row r="80" spans="1:31" x14ac:dyDescent="0.25">
      <c r="A80" s="1" t="s">
        <v>102</v>
      </c>
      <c r="B80" s="1" t="s">
        <v>2608</v>
      </c>
      <c r="C80" s="1" t="s">
        <v>2609</v>
      </c>
      <c r="D80" s="1" t="s">
        <v>2610</v>
      </c>
      <c r="E80" s="1" t="s">
        <v>2611</v>
      </c>
      <c r="F80" s="1" t="s">
        <v>2612</v>
      </c>
      <c r="G80" s="1" t="s">
        <v>102</v>
      </c>
      <c r="H80" s="1">
        <v>6.5956218609999997</v>
      </c>
      <c r="I80" s="1">
        <v>6.9627053569999999</v>
      </c>
      <c r="J80" s="1">
        <v>7.2511161680000003</v>
      </c>
      <c r="K80" s="1">
        <v>6.6493796840000003</v>
      </c>
      <c r="L80" s="1">
        <v>6.3016040330000003</v>
      </c>
      <c r="M80" s="1">
        <v>6.6194403580000003</v>
      </c>
      <c r="N80" s="1">
        <v>6.6831081809999997</v>
      </c>
      <c r="O80" s="1">
        <v>6.3926566659999997</v>
      </c>
      <c r="P80" s="1">
        <v>7.0025694749999996</v>
      </c>
      <c r="Q80" s="1">
        <v>6.5742324390000002</v>
      </c>
      <c r="R80" s="1">
        <v>6.4941616399999997</v>
      </c>
      <c r="S80" s="1">
        <v>6.8236915869999999</v>
      </c>
      <c r="T80" s="1">
        <v>6.3016040330000003</v>
      </c>
      <c r="U80" s="1">
        <v>6.6194403580000003</v>
      </c>
      <c r="V80" s="1">
        <v>6.6755125270000004</v>
      </c>
      <c r="W80" s="1">
        <v>6.8808600269999998</v>
      </c>
      <c r="X80" s="1">
        <v>6.4516415819999997</v>
      </c>
      <c r="Y80" s="1">
        <v>6.421343255</v>
      </c>
      <c r="Z80" s="1">
        <v>6.4941616399999997</v>
      </c>
      <c r="AA80" s="1">
        <v>6.8236915869999999</v>
      </c>
      <c r="AB80" s="1">
        <v>6.3971449009999999</v>
      </c>
      <c r="AC80" s="1">
        <v>6.5436419069999996</v>
      </c>
      <c r="AD80" s="1">
        <v>6.3516560770000003</v>
      </c>
      <c r="AE80" s="1">
        <v>6.4105584240000004</v>
      </c>
    </row>
    <row r="81" spans="1:31" x14ac:dyDescent="0.25">
      <c r="A81" s="1" t="s">
        <v>104</v>
      </c>
      <c r="B81" s="1" t="s">
        <v>2542</v>
      </c>
      <c r="C81" s="1" t="s">
        <v>2531</v>
      </c>
      <c r="D81" s="1" t="s">
        <v>2613</v>
      </c>
      <c r="E81" s="1" t="s">
        <v>2614</v>
      </c>
      <c r="F81" s="1" t="s">
        <v>2615</v>
      </c>
      <c r="G81" s="1" t="s">
        <v>104</v>
      </c>
      <c r="H81" s="1">
        <v>4.3886087140000001</v>
      </c>
      <c r="I81" s="1">
        <v>4.4542943209999999</v>
      </c>
      <c r="J81" s="1">
        <v>5.7122264270000001</v>
      </c>
      <c r="K81" s="1">
        <v>5.5719358019999996</v>
      </c>
      <c r="L81" s="1">
        <v>6.1991155779999998</v>
      </c>
      <c r="M81" s="1">
        <v>6.0186391370000001</v>
      </c>
      <c r="N81" s="1">
        <v>5.7786343999999996</v>
      </c>
      <c r="O81" s="1">
        <v>5.7664208490000002</v>
      </c>
      <c r="P81" s="1">
        <v>5.2736118430000003</v>
      </c>
      <c r="Q81" s="1">
        <v>5.5022716190000001</v>
      </c>
      <c r="R81" s="1">
        <v>5.458747732</v>
      </c>
      <c r="S81" s="1">
        <v>5.505875713</v>
      </c>
      <c r="T81" s="1">
        <v>6.1991155779999998</v>
      </c>
      <c r="U81" s="1">
        <v>6.0186391370000001</v>
      </c>
      <c r="V81" s="1">
        <v>5.3892424569999999</v>
      </c>
      <c r="W81" s="1">
        <v>5.5634106699999997</v>
      </c>
      <c r="X81" s="1">
        <v>5.5620422200000004</v>
      </c>
      <c r="Y81" s="1">
        <v>5.2297915760000002</v>
      </c>
      <c r="Z81" s="1">
        <v>5.458747732</v>
      </c>
      <c r="AA81" s="1">
        <v>5.505875713</v>
      </c>
      <c r="AB81" s="1">
        <v>5.3028471579999996</v>
      </c>
      <c r="AC81" s="1">
        <v>5.198889973</v>
      </c>
      <c r="AD81" s="1">
        <v>5.6310130599999999</v>
      </c>
      <c r="AE81" s="1">
        <v>5.2736981710000004</v>
      </c>
    </row>
    <row r="82" spans="1:31" x14ac:dyDescent="0.25">
      <c r="A82" s="1" t="s">
        <v>105</v>
      </c>
      <c r="B82" s="1" t="s">
        <v>2557</v>
      </c>
      <c r="C82" s="1" t="s">
        <v>2616</v>
      </c>
      <c r="D82" s="1" t="s">
        <v>2617</v>
      </c>
      <c r="E82" s="1" t="s">
        <v>2618</v>
      </c>
      <c r="F82" s="1" t="s">
        <v>2619</v>
      </c>
      <c r="G82" s="1" t="s">
        <v>105</v>
      </c>
      <c r="H82" s="1">
        <v>6.3556221559999999</v>
      </c>
      <c r="I82" s="1">
        <v>7.1910618560000001</v>
      </c>
      <c r="J82" s="1">
        <v>6.3905084429999999</v>
      </c>
      <c r="K82" s="1">
        <v>6.4725304650000002</v>
      </c>
      <c r="L82" s="1">
        <v>6.6818509820000003</v>
      </c>
      <c r="M82" s="1">
        <v>6.8683115939999997</v>
      </c>
      <c r="N82" s="1">
        <v>6.7283719059999996</v>
      </c>
      <c r="O82" s="1">
        <v>6.5825832039999996</v>
      </c>
      <c r="P82" s="1">
        <v>6.7077294260000002</v>
      </c>
      <c r="Q82" s="1">
        <v>6.7638501550000001</v>
      </c>
      <c r="R82" s="1">
        <v>6.868196749</v>
      </c>
      <c r="S82" s="1">
        <v>6.5856947659999996</v>
      </c>
      <c r="T82" s="1">
        <v>6.6818509820000003</v>
      </c>
      <c r="U82" s="1">
        <v>6.8683115939999997</v>
      </c>
      <c r="V82" s="1">
        <v>6.71671408</v>
      </c>
      <c r="W82" s="1">
        <v>6.5309970670000004</v>
      </c>
      <c r="X82" s="1">
        <v>6.5125064950000002</v>
      </c>
      <c r="Y82" s="1">
        <v>6.1579814659999998</v>
      </c>
      <c r="Z82" s="1">
        <v>6.868196749</v>
      </c>
      <c r="AA82" s="1">
        <v>6.5856947659999996</v>
      </c>
      <c r="AB82" s="1">
        <v>6.1502584210000002</v>
      </c>
      <c r="AC82" s="1">
        <v>6.384018502</v>
      </c>
      <c r="AD82" s="1">
        <v>6.4566895009999996</v>
      </c>
      <c r="AE82" s="1">
        <v>6.1901317870000003</v>
      </c>
    </row>
    <row r="83" spans="1:31" x14ac:dyDescent="0.25">
      <c r="A83" s="1" t="s">
        <v>110</v>
      </c>
      <c r="B83" s="1" t="s">
        <v>2530</v>
      </c>
      <c r="C83" s="1" t="s">
        <v>2531</v>
      </c>
      <c r="D83" s="1" t="s">
        <v>2535</v>
      </c>
      <c r="E83" s="1" t="s">
        <v>2620</v>
      </c>
      <c r="G83" s="1" t="s">
        <v>110</v>
      </c>
      <c r="H83" s="1">
        <v>5.9144073309999996</v>
      </c>
      <c r="I83" s="1">
        <v>5.7776224090000001</v>
      </c>
      <c r="J83" s="1">
        <v>5.5826322800000003</v>
      </c>
      <c r="K83" s="1">
        <v>5.3612725399999999</v>
      </c>
      <c r="L83" s="1">
        <v>6.0656220599999999</v>
      </c>
      <c r="M83" s="1">
        <v>5.7391643339999998</v>
      </c>
      <c r="N83" s="1">
        <v>6.3422656530000001</v>
      </c>
      <c r="O83" s="1">
        <v>5.9503866380000003</v>
      </c>
      <c r="P83" s="1">
        <v>5.5318451900000003</v>
      </c>
      <c r="Q83" s="1">
        <v>5.6144419360000004</v>
      </c>
      <c r="R83" s="1">
        <v>5.6102934549999999</v>
      </c>
      <c r="S83" s="1">
        <v>5.2672271329999996</v>
      </c>
      <c r="T83" s="1">
        <v>6.0656220599999999</v>
      </c>
      <c r="U83" s="1">
        <v>5.7391643339999998</v>
      </c>
      <c r="V83" s="1">
        <v>5.5807524949999996</v>
      </c>
      <c r="W83" s="1">
        <v>5.8376547490000004</v>
      </c>
      <c r="X83" s="1">
        <v>5.2147349050000003</v>
      </c>
      <c r="Y83" s="1">
        <v>5.6227961889999998</v>
      </c>
      <c r="Z83" s="1">
        <v>5.6102934549999999</v>
      </c>
      <c r="AA83" s="1">
        <v>5.2672271329999996</v>
      </c>
      <c r="AB83" s="1">
        <v>5.4196851610000003</v>
      </c>
      <c r="AC83" s="1">
        <v>5.5741318</v>
      </c>
      <c r="AD83" s="1">
        <v>5.396704357</v>
      </c>
      <c r="AE83" s="1">
        <v>5.6481534240000002</v>
      </c>
    </row>
    <row r="84" spans="1:31" x14ac:dyDescent="0.25">
      <c r="A84" s="1" t="s">
        <v>111</v>
      </c>
      <c r="B84" s="1" t="s">
        <v>2530</v>
      </c>
      <c r="C84" s="1" t="s">
        <v>2531</v>
      </c>
      <c r="D84" s="1" t="s">
        <v>2535</v>
      </c>
      <c r="E84" s="1" t="s">
        <v>2621</v>
      </c>
      <c r="G84" s="1" t="s">
        <v>111</v>
      </c>
      <c r="H84" s="1">
        <v>6.9183184219999996</v>
      </c>
      <c r="I84" s="1">
        <v>6.8823647440000002</v>
      </c>
      <c r="J84" s="1">
        <v>6.931337622</v>
      </c>
      <c r="K84" s="1">
        <v>6.7038094560000001</v>
      </c>
      <c r="L84" s="1">
        <v>6.9946302029999998</v>
      </c>
      <c r="M84" s="1">
        <v>7.0728423080000002</v>
      </c>
      <c r="N84" s="1">
        <v>6.8064250089999998</v>
      </c>
      <c r="O84" s="1">
        <v>6.6371378139999999</v>
      </c>
      <c r="P84" s="1">
        <v>7.085000398</v>
      </c>
      <c r="Q84" s="1">
        <v>7.1693867569999998</v>
      </c>
      <c r="R84" s="1">
        <v>6.9124289210000001</v>
      </c>
      <c r="S84" s="1">
        <v>6.8669102400000002</v>
      </c>
      <c r="T84" s="1">
        <v>6.9946302029999998</v>
      </c>
      <c r="U84" s="1">
        <v>7.0728423080000002</v>
      </c>
      <c r="V84" s="1">
        <v>7.562576688</v>
      </c>
      <c r="W84" s="1">
        <v>7.3852544990000002</v>
      </c>
      <c r="X84" s="1">
        <v>6.6721667949999999</v>
      </c>
      <c r="Y84" s="1">
        <v>7.4322781100000004</v>
      </c>
      <c r="Z84" s="1">
        <v>6.9124289210000001</v>
      </c>
      <c r="AA84" s="1">
        <v>6.8669102400000002</v>
      </c>
      <c r="AB84" s="1">
        <v>6.7025789319999998</v>
      </c>
      <c r="AC84" s="1">
        <v>6.6566026520000001</v>
      </c>
      <c r="AD84" s="1">
        <v>7.0467010940000003</v>
      </c>
      <c r="AE84" s="1">
        <v>6.7952277360000002</v>
      </c>
    </row>
    <row r="85" spans="1:31" x14ac:dyDescent="0.25">
      <c r="A85" s="1" t="s">
        <v>112</v>
      </c>
      <c r="B85" s="1" t="s">
        <v>2547</v>
      </c>
      <c r="C85" s="1" t="s">
        <v>2622</v>
      </c>
      <c r="D85" s="1" t="s">
        <v>2535</v>
      </c>
      <c r="E85" s="1" t="s">
        <v>2623</v>
      </c>
      <c r="G85" s="1" t="s">
        <v>112</v>
      </c>
      <c r="H85" s="1">
        <v>8.0715256699999998</v>
      </c>
      <c r="I85" s="1">
        <v>8.5096104409999995</v>
      </c>
      <c r="J85" s="1">
        <v>7.7490950649999997</v>
      </c>
      <c r="K85" s="1">
        <v>7.9254184179999996</v>
      </c>
      <c r="L85" s="1">
        <v>7.9254145899999999</v>
      </c>
      <c r="M85" s="1">
        <v>7.8273831129999998</v>
      </c>
      <c r="N85" s="1">
        <v>7.9508890750000001</v>
      </c>
      <c r="O85" s="1">
        <v>7.6698081980000001</v>
      </c>
      <c r="P85" s="1">
        <v>7.6848500819999996</v>
      </c>
      <c r="Q85" s="1">
        <v>8.0057223559999997</v>
      </c>
      <c r="R85" s="1">
        <v>7.4412330640000004</v>
      </c>
      <c r="S85" s="1">
        <v>7.4998563479999998</v>
      </c>
      <c r="T85" s="1">
        <v>7.9254145899999999</v>
      </c>
      <c r="U85" s="1">
        <v>7.8273831129999998</v>
      </c>
      <c r="V85" s="1">
        <v>7.7917695350000002</v>
      </c>
      <c r="W85" s="1">
        <v>7.8313872460000002</v>
      </c>
      <c r="X85" s="1">
        <v>7.5881506270000001</v>
      </c>
      <c r="Y85" s="1">
        <v>7.5468792069999999</v>
      </c>
      <c r="Z85" s="1">
        <v>7.4412330640000004</v>
      </c>
      <c r="AA85" s="1">
        <v>7.4998563479999998</v>
      </c>
      <c r="AB85" s="1">
        <v>7.7146702569999999</v>
      </c>
      <c r="AC85" s="1">
        <v>7.317156314</v>
      </c>
      <c r="AD85" s="1">
        <v>7.4128505269999998</v>
      </c>
      <c r="AE85" s="1">
        <v>7.6050630579999998</v>
      </c>
    </row>
    <row r="86" spans="1:31" x14ac:dyDescent="0.25">
      <c r="A86" s="1" t="s">
        <v>113</v>
      </c>
      <c r="B86" s="1" t="s">
        <v>2568</v>
      </c>
      <c r="C86" s="1" t="s">
        <v>2589</v>
      </c>
      <c r="D86" s="1" t="s">
        <v>2595</v>
      </c>
      <c r="E86" s="1" t="s">
        <v>2624</v>
      </c>
      <c r="F86" s="1" t="s">
        <v>2625</v>
      </c>
      <c r="G86" s="1" t="s">
        <v>113</v>
      </c>
      <c r="H86" s="1">
        <v>6.5340358859999998</v>
      </c>
      <c r="I86" s="1">
        <v>6.5246782330000004</v>
      </c>
      <c r="J86" s="1">
        <v>5.6161485820000001</v>
      </c>
      <c r="K86" s="1">
        <v>5.8227835140000002</v>
      </c>
      <c r="L86" s="1">
        <v>6.0182159679999998</v>
      </c>
      <c r="M86" s="1">
        <v>5.659858549</v>
      </c>
      <c r="N86" s="1">
        <v>5.8127456459999998</v>
      </c>
      <c r="O86" s="1">
        <v>6.0664210660000002</v>
      </c>
      <c r="P86" s="1">
        <v>5.426847231</v>
      </c>
      <c r="Q86" s="1">
        <v>5.4628336309999996</v>
      </c>
      <c r="R86" s="1">
        <v>5.7472990829999997</v>
      </c>
      <c r="S86" s="1">
        <v>5.032286365</v>
      </c>
      <c r="T86" s="1">
        <v>6.0182159679999998</v>
      </c>
      <c r="U86" s="1">
        <v>5.659858549</v>
      </c>
      <c r="V86" s="1">
        <v>5.1679192199999999</v>
      </c>
      <c r="W86" s="1">
        <v>5.427589942</v>
      </c>
      <c r="X86" s="1">
        <v>5.5426459120000002</v>
      </c>
      <c r="Y86" s="1">
        <v>5.5443425189999997</v>
      </c>
      <c r="Z86" s="1">
        <v>5.7472990829999997</v>
      </c>
      <c r="AA86" s="1">
        <v>5.032286365</v>
      </c>
      <c r="AB86" s="1">
        <v>5.3624643089999999</v>
      </c>
      <c r="AC86" s="1">
        <v>5.9492644930000003</v>
      </c>
      <c r="AD86" s="1">
        <v>5.7351750150000003</v>
      </c>
      <c r="AE86" s="1">
        <v>5.3205054189999998</v>
      </c>
    </row>
    <row r="87" spans="1:31" x14ac:dyDescent="0.25">
      <c r="A87" s="1" t="s">
        <v>115</v>
      </c>
      <c r="B87" s="1" t="s">
        <v>2530</v>
      </c>
      <c r="C87" s="1" t="s">
        <v>2531</v>
      </c>
      <c r="D87" s="1" t="s">
        <v>2535</v>
      </c>
      <c r="E87" s="1" t="s">
        <v>2626</v>
      </c>
      <c r="G87" s="1" t="s">
        <v>115</v>
      </c>
      <c r="H87" s="1">
        <v>5.1686839359999999</v>
      </c>
      <c r="I87" s="1">
        <v>4.903725959</v>
      </c>
      <c r="J87" s="1">
        <v>5.4770890750000003</v>
      </c>
      <c r="K87" s="1">
        <v>5.3612725399999999</v>
      </c>
      <c r="L87" s="1">
        <v>4.8833754540000003</v>
      </c>
      <c r="M87" s="1">
        <v>4.7490378550000001</v>
      </c>
      <c r="N87" s="1">
        <v>5.1355241630000004</v>
      </c>
      <c r="O87" s="1">
        <v>5.6219600229999998</v>
      </c>
      <c r="P87" s="1">
        <v>5.4627121560000003</v>
      </c>
      <c r="Q87" s="1">
        <v>4.993318082</v>
      </c>
      <c r="R87" s="1">
        <v>4.8118229140000004</v>
      </c>
      <c r="S87" s="1">
        <v>4.5490843459999999</v>
      </c>
      <c r="T87" s="1">
        <v>4.8833754540000003</v>
      </c>
      <c r="U87" s="1">
        <v>4.7490378550000001</v>
      </c>
      <c r="V87" s="1">
        <v>5.1679192199999999</v>
      </c>
      <c r="W87" s="1">
        <v>4.9854391920000003</v>
      </c>
      <c r="X87" s="1">
        <v>4.7537743670000001</v>
      </c>
      <c r="Y87" s="1">
        <v>4.6081171230000004</v>
      </c>
      <c r="Z87" s="1">
        <v>4.8118229140000004</v>
      </c>
      <c r="AA87" s="1">
        <v>4.5490843459999999</v>
      </c>
      <c r="AB87" s="1">
        <v>4.3946012420000002</v>
      </c>
      <c r="AC87" s="1">
        <v>4.9660712470000004</v>
      </c>
      <c r="AD87" s="1">
        <v>3.984188064</v>
      </c>
      <c r="AE87" s="1">
        <v>5.1232419389999997</v>
      </c>
    </row>
    <row r="88" spans="1:31" x14ac:dyDescent="0.25">
      <c r="A88" s="1" t="s">
        <v>116</v>
      </c>
      <c r="B88" s="1" t="s">
        <v>2530</v>
      </c>
      <c r="C88" s="1" t="s">
        <v>2573</v>
      </c>
      <c r="D88" s="1" t="s">
        <v>2535</v>
      </c>
      <c r="E88" s="1" t="s">
        <v>2627</v>
      </c>
      <c r="F88" s="1" t="s">
        <v>2628</v>
      </c>
      <c r="G88" s="1" t="s">
        <v>116</v>
      </c>
      <c r="H88" s="1">
        <v>6.3316799680000004</v>
      </c>
      <c r="I88" s="1">
        <v>6.9885198099999997</v>
      </c>
      <c r="J88" s="1">
        <v>7.0087830479999997</v>
      </c>
      <c r="K88" s="1">
        <v>6.363994462</v>
      </c>
      <c r="L88" s="1">
        <v>7.1175827470000002</v>
      </c>
      <c r="M88" s="1">
        <v>6.8683115939999997</v>
      </c>
      <c r="N88" s="1">
        <v>7.0397207819999998</v>
      </c>
      <c r="O88" s="1">
        <v>7.1830668309999997</v>
      </c>
      <c r="P88" s="1">
        <v>6.2775910990000003</v>
      </c>
      <c r="Q88" s="1">
        <v>6.4985786230000002</v>
      </c>
      <c r="R88" s="1">
        <v>6.532477096</v>
      </c>
      <c r="S88" s="1">
        <v>6.4019078089999999</v>
      </c>
      <c r="T88" s="1">
        <v>7.1175827470000002</v>
      </c>
      <c r="U88" s="1">
        <v>6.8683115939999997</v>
      </c>
      <c r="V88" s="1">
        <v>6.8827702540000004</v>
      </c>
      <c r="W88" s="1">
        <v>6.7734156700000003</v>
      </c>
      <c r="X88" s="1">
        <v>6.430767253</v>
      </c>
      <c r="Y88" s="1">
        <v>6.6990194939999999</v>
      </c>
      <c r="Z88" s="1">
        <v>6.532477096</v>
      </c>
      <c r="AA88" s="1">
        <v>6.4019078089999999</v>
      </c>
      <c r="AB88" s="1">
        <v>6.6559655099999997</v>
      </c>
      <c r="AC88" s="1">
        <v>6.6566026520000001</v>
      </c>
      <c r="AD88" s="1">
        <v>6.53552176</v>
      </c>
      <c r="AE88" s="1">
        <v>6.4736876839999997</v>
      </c>
    </row>
    <row r="89" spans="1:31" x14ac:dyDescent="0.25">
      <c r="A89" s="1" t="s">
        <v>117</v>
      </c>
      <c r="B89" s="1" t="s">
        <v>2530</v>
      </c>
      <c r="C89" s="1" t="s">
        <v>2531</v>
      </c>
      <c r="D89" s="1" t="s">
        <v>2535</v>
      </c>
      <c r="E89" s="1" t="s">
        <v>2629</v>
      </c>
      <c r="F89" s="1" t="s">
        <v>2630</v>
      </c>
      <c r="G89" s="1" t="s">
        <v>117</v>
      </c>
      <c r="H89" s="1">
        <v>6.512907255</v>
      </c>
      <c r="I89" s="1">
        <v>6.7376237200000002</v>
      </c>
      <c r="J89" s="1">
        <v>6.4839470649999997</v>
      </c>
      <c r="K89" s="1">
        <v>6.270852401</v>
      </c>
      <c r="L89" s="1">
        <v>7.0068025479999996</v>
      </c>
      <c r="M89" s="1">
        <v>6.6401882609999996</v>
      </c>
      <c r="N89" s="1">
        <v>6.5278870189999996</v>
      </c>
      <c r="O89" s="1">
        <v>6.2598073259999998</v>
      </c>
      <c r="P89" s="1">
        <v>6.6624064440000001</v>
      </c>
      <c r="Q89" s="1">
        <v>6.289960497</v>
      </c>
      <c r="R89" s="1">
        <v>6.3726832150000003</v>
      </c>
      <c r="S89" s="1">
        <v>6.3212713310000002</v>
      </c>
      <c r="T89" s="1">
        <v>7.0068025479999996</v>
      </c>
      <c r="U89" s="1">
        <v>6.6401882609999996</v>
      </c>
      <c r="V89" s="1">
        <v>7.0207244439999998</v>
      </c>
      <c r="W89" s="1">
        <v>6.657303325</v>
      </c>
      <c r="X89" s="1">
        <v>5.7928210719999997</v>
      </c>
      <c r="Y89" s="1">
        <v>6.6438618839999997</v>
      </c>
      <c r="Z89" s="1">
        <v>6.3726832150000003</v>
      </c>
      <c r="AA89" s="1">
        <v>6.3212713310000002</v>
      </c>
      <c r="AB89" s="1">
        <v>5.7665348979999997</v>
      </c>
      <c r="AC89" s="1">
        <v>5.8163513240000002</v>
      </c>
      <c r="AD89" s="1">
        <v>6.0893990919999998</v>
      </c>
      <c r="AE89" s="1">
        <v>6.1901317870000003</v>
      </c>
    </row>
    <row r="90" spans="1:31" x14ac:dyDescent="0.25">
      <c r="A90" s="1" t="s">
        <v>118</v>
      </c>
      <c r="B90" s="1" t="s">
        <v>2631</v>
      </c>
      <c r="C90" s="1" t="s">
        <v>2531</v>
      </c>
      <c r="D90" s="1" t="s">
        <v>2632</v>
      </c>
      <c r="E90" s="1" t="s">
        <v>2633</v>
      </c>
      <c r="F90" s="1" t="s">
        <v>2634</v>
      </c>
      <c r="G90" s="1" t="s">
        <v>118</v>
      </c>
      <c r="H90" s="1">
        <v>5.7790807539999998</v>
      </c>
      <c r="I90" s="1">
        <v>5.9455889470000001</v>
      </c>
      <c r="J90" s="1">
        <v>6.0670821549999996</v>
      </c>
      <c r="K90" s="1">
        <v>6.2947097530000002</v>
      </c>
      <c r="L90" s="1">
        <v>5.5187262759999998</v>
      </c>
      <c r="M90" s="1">
        <v>4.930560163</v>
      </c>
      <c r="N90" s="1">
        <v>6.1425317259999996</v>
      </c>
      <c r="O90" s="1">
        <v>6.2458213499999999</v>
      </c>
      <c r="P90" s="1">
        <v>5.0074447400000004</v>
      </c>
      <c r="Q90" s="1">
        <v>5.1511590549999999</v>
      </c>
      <c r="R90" s="1">
        <v>5.57388789</v>
      </c>
      <c r="S90" s="1">
        <v>5.0824952919999999</v>
      </c>
      <c r="T90" s="1">
        <v>5.5187262759999998</v>
      </c>
      <c r="U90" s="1">
        <v>4.930560163</v>
      </c>
      <c r="V90" s="1">
        <v>5.3892424569999999</v>
      </c>
      <c r="W90" s="1">
        <v>5.6472737119999996</v>
      </c>
      <c r="X90" s="1">
        <v>5.0029944190000002</v>
      </c>
      <c r="Y90" s="1">
        <v>5.2792112080000004</v>
      </c>
      <c r="Z90" s="1">
        <v>5.57388789</v>
      </c>
      <c r="AA90" s="1">
        <v>5.0824952919999999</v>
      </c>
      <c r="AB90" s="1">
        <v>4.7958605490000004</v>
      </c>
      <c r="AC90" s="1">
        <v>5.1103036370000003</v>
      </c>
      <c r="AD90" s="1">
        <v>5.0634297190000002</v>
      </c>
      <c r="AE90" s="1">
        <v>5.4097399240000001</v>
      </c>
    </row>
    <row r="91" spans="1:31" x14ac:dyDescent="0.25">
      <c r="A91" s="1" t="s">
        <v>119</v>
      </c>
      <c r="B91" s="1" t="s">
        <v>2530</v>
      </c>
      <c r="C91" s="1" t="s">
        <v>2531</v>
      </c>
      <c r="D91" s="1" t="s">
        <v>2535</v>
      </c>
      <c r="E91" s="1" t="s">
        <v>2635</v>
      </c>
      <c r="G91" s="1" t="s">
        <v>119</v>
      </c>
      <c r="H91" s="1">
        <v>4.5667504939999999</v>
      </c>
      <c r="I91" s="1">
        <v>3.9003964459999998</v>
      </c>
      <c r="J91" s="1">
        <v>4.5940881259999999</v>
      </c>
      <c r="K91" s="1">
        <v>4.7454889089999996</v>
      </c>
      <c r="L91" s="1">
        <v>5.3368026579999999</v>
      </c>
      <c r="M91" s="1">
        <v>4.9970812499999999</v>
      </c>
      <c r="N91" s="1">
        <v>3.9806352139999999</v>
      </c>
      <c r="O91" s="1">
        <v>4.2189785100000003</v>
      </c>
      <c r="P91" s="1">
        <v>4.2485661720000003</v>
      </c>
      <c r="Q91" s="1">
        <v>4.683187717</v>
      </c>
      <c r="R91" s="1">
        <v>5.1472208640000003</v>
      </c>
      <c r="S91" s="1">
        <v>5.0824952919999999</v>
      </c>
      <c r="T91" s="1">
        <v>5.3368026579999999</v>
      </c>
      <c r="U91" s="1">
        <v>4.9970812499999999</v>
      </c>
      <c r="V91" s="1">
        <v>4.8059579570000004</v>
      </c>
      <c r="W91" s="1">
        <v>4.8493412630000003</v>
      </c>
      <c r="X91" s="1">
        <v>4.3167291810000004</v>
      </c>
      <c r="Y91" s="1">
        <v>5.1254702539999997</v>
      </c>
      <c r="Z91" s="1">
        <v>5.1472208640000003</v>
      </c>
      <c r="AA91" s="1">
        <v>5.0824952919999999</v>
      </c>
      <c r="AB91" s="1">
        <v>4.9601840040000003</v>
      </c>
      <c r="AC91" s="1">
        <v>3.9750819590000002</v>
      </c>
      <c r="AD91" s="1">
        <v>4.0967699450000001</v>
      </c>
      <c r="AE91" s="1">
        <v>4.7290680490000003</v>
      </c>
    </row>
    <row r="92" spans="1:31" x14ac:dyDescent="0.25">
      <c r="A92" s="1" t="s">
        <v>120</v>
      </c>
      <c r="B92" s="1" t="s">
        <v>2608</v>
      </c>
      <c r="C92" s="1" t="s">
        <v>2609</v>
      </c>
      <c r="D92" s="1" t="s">
        <v>2636</v>
      </c>
      <c r="E92" s="1" t="s">
        <v>2637</v>
      </c>
      <c r="F92" s="1" t="s">
        <v>2638</v>
      </c>
      <c r="G92" s="1" t="s">
        <v>120</v>
      </c>
      <c r="H92" s="1">
        <v>4.7245801409999997</v>
      </c>
      <c r="I92" s="1">
        <v>5.4447012069999996</v>
      </c>
      <c r="J92" s="1">
        <v>6.3710695580000003</v>
      </c>
      <c r="K92" s="1">
        <v>5.6482047069999997</v>
      </c>
      <c r="L92" s="1">
        <v>6.4247703999999999</v>
      </c>
      <c r="M92" s="1">
        <v>6.8054248829999997</v>
      </c>
      <c r="N92" s="1">
        <v>4.8006971780000001</v>
      </c>
      <c r="O92" s="1">
        <v>4.2189785100000003</v>
      </c>
      <c r="P92" s="1">
        <v>6.1074648529999997</v>
      </c>
      <c r="Q92" s="1">
        <v>6.2209780280000002</v>
      </c>
      <c r="R92" s="1">
        <v>6.4143264479999997</v>
      </c>
      <c r="S92" s="1">
        <v>6.6531047939999999</v>
      </c>
      <c r="T92" s="1">
        <v>6.4247703999999999</v>
      </c>
      <c r="U92" s="1">
        <v>6.8054248829999997</v>
      </c>
      <c r="V92" s="1">
        <v>6.6473747999999997</v>
      </c>
      <c r="W92" s="1">
        <v>6.6773173909999999</v>
      </c>
      <c r="X92" s="1">
        <v>6.1145484569999997</v>
      </c>
      <c r="Y92" s="1">
        <v>6.2594192150000003</v>
      </c>
      <c r="Z92" s="1">
        <v>6.4143264479999997</v>
      </c>
      <c r="AA92" s="1">
        <v>6.6531047939999999</v>
      </c>
      <c r="AB92" s="1">
        <v>5.851934376</v>
      </c>
      <c r="AC92" s="1">
        <v>6.047382313</v>
      </c>
      <c r="AD92" s="1">
        <v>5.893524276</v>
      </c>
      <c r="AE92" s="1">
        <v>5.7368382310000001</v>
      </c>
    </row>
    <row r="93" spans="1:31" x14ac:dyDescent="0.25">
      <c r="A93" s="1" t="s">
        <v>153</v>
      </c>
      <c r="B93" s="1" t="s">
        <v>2539</v>
      </c>
      <c r="C93" s="1" t="s">
        <v>2606</v>
      </c>
      <c r="D93" s="1" t="s">
        <v>2639</v>
      </c>
      <c r="E93" s="1" t="s">
        <v>2640</v>
      </c>
      <c r="F93" s="1" t="s">
        <v>2641</v>
      </c>
      <c r="G93" s="1" t="s">
        <v>153</v>
      </c>
      <c r="H93" s="1">
        <v>4.995162745</v>
      </c>
      <c r="I93" s="1">
        <v>4.903725959</v>
      </c>
      <c r="J93" s="1">
        <v>5.0051223570000003</v>
      </c>
      <c r="K93" s="1">
        <v>6.2219157379999999</v>
      </c>
      <c r="L93" s="1">
        <v>4.2932354009999996</v>
      </c>
      <c r="M93" s="1">
        <v>4.2945656129999996</v>
      </c>
      <c r="N93" s="1">
        <v>5.3835417159999999</v>
      </c>
      <c r="O93" s="1">
        <v>4.9028628039999997</v>
      </c>
      <c r="P93" s="1">
        <v>4.7394495640000001</v>
      </c>
      <c r="Q93" s="1">
        <v>4.4575363990000003</v>
      </c>
      <c r="R93" s="1">
        <v>4.9327063119999996</v>
      </c>
      <c r="S93" s="1">
        <v>4.0285685429999996</v>
      </c>
      <c r="T93" s="1">
        <v>4.2932354009999996</v>
      </c>
      <c r="U93" s="1">
        <v>4.2945656129999996</v>
      </c>
      <c r="V93" s="1">
        <v>3.6670520409999998</v>
      </c>
      <c r="W93" s="1">
        <v>3.8431653940000001</v>
      </c>
      <c r="X93" s="1">
        <v>4.6102919370000004</v>
      </c>
      <c r="Y93" s="1">
        <v>4.5275934409999996</v>
      </c>
      <c r="Z93" s="1">
        <v>4.9327063119999996</v>
      </c>
      <c r="AA93" s="1">
        <v>4.0285685429999996</v>
      </c>
      <c r="AB93" s="1">
        <v>4.3946012420000002</v>
      </c>
      <c r="AC93" s="1">
        <v>4.6238605430000002</v>
      </c>
      <c r="AD93" s="1">
        <v>4.5511338559999999</v>
      </c>
      <c r="AE93" s="1">
        <v>4.8625108150000003</v>
      </c>
    </row>
    <row r="94" spans="1:31" x14ac:dyDescent="0.25">
      <c r="A94" s="1" t="s">
        <v>155</v>
      </c>
      <c r="B94" s="1" t="s">
        <v>2642</v>
      </c>
      <c r="C94" s="1" t="s">
        <v>2643</v>
      </c>
      <c r="D94" s="1" t="s">
        <v>2644</v>
      </c>
      <c r="E94" s="1" t="s">
        <v>2645</v>
      </c>
      <c r="G94" s="1" t="s">
        <v>155</v>
      </c>
      <c r="H94" s="1">
        <v>14.400597599999999</v>
      </c>
      <c r="I94" s="1">
        <v>14.029409749999999</v>
      </c>
      <c r="J94" s="1">
        <v>14.49200364</v>
      </c>
      <c r="K94" s="1">
        <v>14.38780193</v>
      </c>
      <c r="L94" s="1">
        <v>13.896195540000001</v>
      </c>
      <c r="M94" s="1">
        <v>14.18814027</v>
      </c>
      <c r="N94" s="1">
        <v>13.629902</v>
      </c>
      <c r="O94" s="1">
        <v>13.94781478</v>
      </c>
      <c r="P94" s="1">
        <v>14.335700170000001</v>
      </c>
      <c r="Q94" s="1">
        <v>14.39446165</v>
      </c>
      <c r="R94" s="1">
        <v>14.63919546</v>
      </c>
      <c r="S94" s="1">
        <v>14.376702229999999</v>
      </c>
      <c r="T94" s="1">
        <v>13.896195540000001</v>
      </c>
      <c r="U94" s="1">
        <v>14.18814027</v>
      </c>
      <c r="V94" s="1">
        <v>13.626987160000001</v>
      </c>
      <c r="W94" s="1">
        <v>13.70326519</v>
      </c>
      <c r="X94" s="1">
        <v>13.83006952</v>
      </c>
      <c r="Y94" s="1">
        <v>13.68658806</v>
      </c>
      <c r="Z94" s="1">
        <v>14.63919546</v>
      </c>
      <c r="AA94" s="1">
        <v>14.376702229999999</v>
      </c>
      <c r="AB94" s="1">
        <v>14.172626230000001</v>
      </c>
      <c r="AC94" s="1">
        <v>14.30623552</v>
      </c>
      <c r="AD94" s="1">
        <v>14.08556027</v>
      </c>
      <c r="AE94" s="1">
        <v>13.902750149999999</v>
      </c>
    </row>
    <row r="95" spans="1:31" x14ac:dyDescent="0.25">
      <c r="A95" s="1" t="s">
        <v>159</v>
      </c>
      <c r="B95" s="1" t="s">
        <v>2520</v>
      </c>
      <c r="C95" s="1" t="s">
        <v>2646</v>
      </c>
      <c r="D95" s="1" t="s">
        <v>2535</v>
      </c>
      <c r="E95" s="1" t="s">
        <v>2647</v>
      </c>
      <c r="G95" s="1" t="s">
        <v>159</v>
      </c>
      <c r="H95" s="1">
        <v>4.4805534380000003</v>
      </c>
      <c r="I95" s="1">
        <v>4.9575946069999999</v>
      </c>
      <c r="J95" s="1">
        <v>4.2898244959999996</v>
      </c>
      <c r="K95" s="1">
        <v>4.3408695499999999</v>
      </c>
      <c r="L95" s="1">
        <v>3.8051274570000002</v>
      </c>
      <c r="M95" s="1">
        <v>4.239619416</v>
      </c>
      <c r="N95" s="1">
        <v>4.730225151</v>
      </c>
      <c r="O95" s="1">
        <v>4.8288877169999997</v>
      </c>
      <c r="P95" s="1">
        <v>4.6160325330000003</v>
      </c>
      <c r="Q95" s="1">
        <v>4.3733115800000002</v>
      </c>
      <c r="R95" s="1">
        <v>4.9327063119999996</v>
      </c>
      <c r="S95" s="1">
        <v>4.7503017500000002</v>
      </c>
      <c r="T95" s="1">
        <v>3.8051274570000002</v>
      </c>
      <c r="U95" s="1">
        <v>4.239619416</v>
      </c>
      <c r="V95" s="1">
        <v>4.7533922439999996</v>
      </c>
      <c r="W95" s="1">
        <v>4.7760085830000003</v>
      </c>
      <c r="X95" s="1">
        <v>4.8838989719999999</v>
      </c>
      <c r="Y95" s="1">
        <v>4.7564010139999997</v>
      </c>
      <c r="Z95" s="1">
        <v>4.9327063119999996</v>
      </c>
      <c r="AA95" s="1">
        <v>4.7503017500000002</v>
      </c>
      <c r="AB95" s="1">
        <v>4.9601840040000003</v>
      </c>
      <c r="AC95" s="1">
        <v>4.9145215069999999</v>
      </c>
      <c r="AD95" s="1">
        <v>4.6978214539999996</v>
      </c>
      <c r="AE95" s="1">
        <v>5.5339175159999998</v>
      </c>
    </row>
    <row r="96" spans="1:31" x14ac:dyDescent="0.25">
      <c r="A96" s="1" t="s">
        <v>160</v>
      </c>
      <c r="B96" s="1" t="s">
        <v>2535</v>
      </c>
      <c r="C96" s="1" t="s">
        <v>2535</v>
      </c>
      <c r="D96" s="1" t="s">
        <v>2535</v>
      </c>
      <c r="E96" s="1" t="s">
        <v>2535</v>
      </c>
      <c r="F96" s="1" t="s">
        <v>2535</v>
      </c>
      <c r="G96" s="1" t="s">
        <v>160</v>
      </c>
      <c r="H96" s="1">
        <v>6.0380558219999996</v>
      </c>
      <c r="I96" s="1">
        <v>5.6856247609999997</v>
      </c>
      <c r="J96" s="1">
        <v>5.2817155790000001</v>
      </c>
      <c r="K96" s="1">
        <v>5.5322182199999999</v>
      </c>
      <c r="L96" s="1">
        <v>4.8563863139999999</v>
      </c>
      <c r="M96" s="1">
        <v>5.4159199769999997</v>
      </c>
      <c r="N96" s="1">
        <v>6.2207206929999996</v>
      </c>
      <c r="O96" s="1">
        <v>6.2458213499999999</v>
      </c>
      <c r="P96" s="1">
        <v>5.5977847030000003</v>
      </c>
      <c r="Q96" s="1">
        <v>5.4222740280000004</v>
      </c>
      <c r="R96" s="1">
        <v>6.3078659510000001</v>
      </c>
      <c r="S96" s="1">
        <v>6.4019078089999999</v>
      </c>
      <c r="T96" s="1">
        <v>4.8563863139999999</v>
      </c>
      <c r="U96" s="1">
        <v>5.4159199769999997</v>
      </c>
      <c r="V96" s="1">
        <v>5.695500268</v>
      </c>
      <c r="W96" s="1">
        <v>5.9072448660000001</v>
      </c>
      <c r="X96" s="1">
        <v>6.3441015869999999</v>
      </c>
      <c r="Y96" s="1">
        <v>6.4644452860000001</v>
      </c>
      <c r="Z96" s="1">
        <v>6.3078659510000001</v>
      </c>
      <c r="AA96" s="1">
        <v>6.4019078089999999</v>
      </c>
      <c r="AB96" s="1">
        <v>6.339283708</v>
      </c>
      <c r="AC96" s="1">
        <v>6.4210524800000002</v>
      </c>
      <c r="AD96" s="1">
        <v>6.7490106299999999</v>
      </c>
      <c r="AE96" s="1">
        <v>7.0441256169999997</v>
      </c>
    </row>
    <row r="97" spans="1:31" x14ac:dyDescent="0.25">
      <c r="A97" s="1" t="s">
        <v>161</v>
      </c>
      <c r="B97" s="1" t="s">
        <v>2648</v>
      </c>
      <c r="C97" s="1" t="s">
        <v>2649</v>
      </c>
      <c r="D97" s="1" t="s">
        <v>2650</v>
      </c>
      <c r="E97" s="1" t="s">
        <v>2651</v>
      </c>
      <c r="F97" s="1" t="s">
        <v>2652</v>
      </c>
      <c r="G97" s="1" t="s">
        <v>161</v>
      </c>
      <c r="H97" s="1">
        <v>7.1272614729999999</v>
      </c>
      <c r="I97" s="1">
        <v>6.8404490640000004</v>
      </c>
      <c r="J97" s="1">
        <v>6.6053357520000002</v>
      </c>
      <c r="K97" s="1">
        <v>6.7038094560000001</v>
      </c>
      <c r="L97" s="1">
        <v>5.9566674209999997</v>
      </c>
      <c r="M97" s="1">
        <v>6.0186391370000001</v>
      </c>
      <c r="N97" s="1">
        <v>6.5782156179999998</v>
      </c>
      <c r="O97" s="1">
        <v>6.9786739019999997</v>
      </c>
      <c r="P97" s="1">
        <v>6.3171519470000002</v>
      </c>
      <c r="Q97" s="1">
        <v>5.8765740600000003</v>
      </c>
      <c r="R97" s="1">
        <v>6.7913170000000003</v>
      </c>
      <c r="S97" s="1">
        <v>6.6531047939999999</v>
      </c>
      <c r="T97" s="1">
        <v>5.9566674209999997</v>
      </c>
      <c r="U97" s="1">
        <v>6.0186391370000001</v>
      </c>
      <c r="V97" s="1">
        <v>6.730190017</v>
      </c>
      <c r="W97" s="1">
        <v>6.6970570279999997</v>
      </c>
      <c r="X97" s="1">
        <v>6.4823958849999999</v>
      </c>
      <c r="Y97" s="1">
        <v>6.8200537160000003</v>
      </c>
      <c r="Z97" s="1">
        <v>6.7913170000000003</v>
      </c>
      <c r="AA97" s="1">
        <v>6.6531047939999999</v>
      </c>
      <c r="AB97" s="1">
        <v>6.53236668</v>
      </c>
      <c r="AC97" s="1">
        <v>6.7024263700000004</v>
      </c>
      <c r="AD97" s="1">
        <v>6.9636701729999997</v>
      </c>
      <c r="AE97" s="1">
        <v>6.9511406329999996</v>
      </c>
    </row>
    <row r="98" spans="1:31" x14ac:dyDescent="0.25">
      <c r="A98" s="1" t="s">
        <v>162</v>
      </c>
      <c r="B98" s="1" t="s">
        <v>2648</v>
      </c>
      <c r="C98" s="1" t="s">
        <v>2649</v>
      </c>
      <c r="D98" s="1" t="s">
        <v>2650</v>
      </c>
      <c r="E98" s="1" t="s">
        <v>2653</v>
      </c>
      <c r="F98" s="1" t="s">
        <v>2654</v>
      </c>
      <c r="G98" s="1" t="s">
        <v>162</v>
      </c>
      <c r="H98" s="1">
        <v>9.2027780190000001</v>
      </c>
      <c r="I98" s="1">
        <v>8.5834146540000003</v>
      </c>
      <c r="J98" s="1">
        <v>8.3090828759999997</v>
      </c>
      <c r="K98" s="1">
        <v>8.3171308489999998</v>
      </c>
      <c r="L98" s="1">
        <v>7.9157686820000004</v>
      </c>
      <c r="M98" s="1">
        <v>7.9855831869999996</v>
      </c>
      <c r="N98" s="1">
        <v>7.9622918</v>
      </c>
      <c r="O98" s="1">
        <v>8.4287079009999992</v>
      </c>
      <c r="P98" s="1">
        <v>8.2156707309999994</v>
      </c>
      <c r="Q98" s="1">
        <v>8.1298733429999999</v>
      </c>
      <c r="R98" s="1">
        <v>8.1438894400000006</v>
      </c>
      <c r="S98" s="1">
        <v>8.0977751680000001</v>
      </c>
      <c r="T98" s="1">
        <v>7.9157686820000004</v>
      </c>
      <c r="U98" s="1">
        <v>7.9855831869999996</v>
      </c>
      <c r="V98" s="1">
        <v>7.8545949110000004</v>
      </c>
      <c r="W98" s="1">
        <v>8.0769501730000002</v>
      </c>
      <c r="X98" s="1">
        <v>8.2840777560000003</v>
      </c>
      <c r="Y98" s="1">
        <v>7.9542224490000004</v>
      </c>
      <c r="Z98" s="1">
        <v>8.1438894400000006</v>
      </c>
      <c r="AA98" s="1">
        <v>8.0977751680000001</v>
      </c>
      <c r="AB98" s="1">
        <v>8.3110094659999998</v>
      </c>
      <c r="AC98" s="1">
        <v>8.2871113489999999</v>
      </c>
      <c r="AD98" s="1">
        <v>8.3083056880000008</v>
      </c>
      <c r="AE98" s="1">
        <v>8.1204928639999991</v>
      </c>
    </row>
    <row r="99" spans="1:31" x14ac:dyDescent="0.25">
      <c r="A99" s="1" t="s">
        <v>163</v>
      </c>
      <c r="B99" s="1" t="s">
        <v>2648</v>
      </c>
      <c r="C99" s="1" t="s">
        <v>2649</v>
      </c>
      <c r="D99" s="1" t="s">
        <v>2650</v>
      </c>
      <c r="E99" s="1" t="s">
        <v>2655</v>
      </c>
      <c r="F99" s="1" t="s">
        <v>2656</v>
      </c>
      <c r="G99" s="1" t="s">
        <v>163</v>
      </c>
      <c r="H99" s="1">
        <v>9.4195418899999996</v>
      </c>
      <c r="I99" s="1">
        <v>8.6973006799999997</v>
      </c>
      <c r="J99" s="1">
        <v>8.2358584419999996</v>
      </c>
      <c r="K99" s="1">
        <v>8.3171308489999998</v>
      </c>
      <c r="L99" s="1">
        <v>7.896281127</v>
      </c>
      <c r="M99" s="1">
        <v>8.1317960439999997</v>
      </c>
      <c r="N99" s="1">
        <v>8.4136959299999994</v>
      </c>
      <c r="O99" s="1">
        <v>8.6777881640000007</v>
      </c>
      <c r="P99" s="1">
        <v>8.2156707309999994</v>
      </c>
      <c r="Q99" s="1">
        <v>8.1547020969999995</v>
      </c>
      <c r="R99" s="1">
        <v>8.2681581980000001</v>
      </c>
      <c r="S99" s="1">
        <v>8.2138322539999997</v>
      </c>
      <c r="T99" s="1">
        <v>7.896281127</v>
      </c>
      <c r="U99" s="1">
        <v>8.1317960439999997</v>
      </c>
      <c r="V99" s="1">
        <v>8.011704173</v>
      </c>
      <c r="W99" s="1">
        <v>8.4053539060000002</v>
      </c>
      <c r="X99" s="1">
        <v>8.272408317</v>
      </c>
      <c r="Y99" s="1">
        <v>8.1114408220000005</v>
      </c>
      <c r="Z99" s="1">
        <v>8.2681581980000001</v>
      </c>
      <c r="AA99" s="1">
        <v>8.2138322539999997</v>
      </c>
      <c r="AB99" s="1">
        <v>8.1183556590000006</v>
      </c>
      <c r="AC99" s="1">
        <v>8.1172423140000003</v>
      </c>
      <c r="AD99" s="1">
        <v>8.4266401030000004</v>
      </c>
      <c r="AE99" s="1">
        <v>8.3252236929999999</v>
      </c>
    </row>
    <row r="100" spans="1:31" x14ac:dyDescent="0.25">
      <c r="A100" s="1" t="s">
        <v>167</v>
      </c>
      <c r="B100" s="1" t="s">
        <v>2530</v>
      </c>
      <c r="C100" s="1" t="s">
        <v>2531</v>
      </c>
      <c r="D100" s="1" t="s">
        <v>2535</v>
      </c>
      <c r="E100" s="1" t="s">
        <v>2536</v>
      </c>
      <c r="G100" s="1" t="s">
        <v>167</v>
      </c>
      <c r="H100" s="1">
        <v>5.2221022919999998</v>
      </c>
      <c r="I100" s="1">
        <v>5.0595268689999999</v>
      </c>
      <c r="J100" s="1">
        <v>5.5826322800000003</v>
      </c>
      <c r="K100" s="1">
        <v>5.0014827119999996</v>
      </c>
      <c r="L100" s="1">
        <v>6.1777105819999996</v>
      </c>
      <c r="M100" s="1">
        <v>6.5553394090000001</v>
      </c>
      <c r="N100" s="1">
        <v>4.4061149080000002</v>
      </c>
      <c r="O100" s="1">
        <v>4.8288877169999997</v>
      </c>
      <c r="P100" s="1">
        <v>6.5001108719999996</v>
      </c>
      <c r="Q100" s="1">
        <v>6.4187248529999996</v>
      </c>
      <c r="R100" s="1">
        <v>6.7431387049999998</v>
      </c>
      <c r="S100" s="1">
        <v>6.6028455509999997</v>
      </c>
      <c r="T100" s="1">
        <v>6.1777105819999996</v>
      </c>
      <c r="U100" s="1">
        <v>6.5553394090000001</v>
      </c>
      <c r="V100" s="1">
        <v>6.1009432270000001</v>
      </c>
      <c r="W100" s="1">
        <v>6.0977940090000002</v>
      </c>
      <c r="X100" s="1">
        <v>6.5709008840000003</v>
      </c>
      <c r="Y100" s="1">
        <v>6.1314620050000004</v>
      </c>
      <c r="Z100" s="1">
        <v>6.7431387049999998</v>
      </c>
      <c r="AA100" s="1">
        <v>6.6028455509999997</v>
      </c>
      <c r="AB100" s="1">
        <v>6.679460873</v>
      </c>
      <c r="AC100" s="1">
        <v>6.526755767</v>
      </c>
      <c r="AD100" s="1">
        <v>6.2617300800000004</v>
      </c>
      <c r="AE100" s="1">
        <v>6.2149920930000002</v>
      </c>
    </row>
    <row r="101" spans="1:31" x14ac:dyDescent="0.25">
      <c r="A101" s="1" t="s">
        <v>169</v>
      </c>
      <c r="B101" s="1" t="s">
        <v>2598</v>
      </c>
      <c r="C101" s="1" t="s">
        <v>2603</v>
      </c>
      <c r="D101" s="1" t="s">
        <v>2604</v>
      </c>
      <c r="E101" s="1" t="s">
        <v>2657</v>
      </c>
      <c r="G101" s="1" t="s">
        <v>169</v>
      </c>
      <c r="H101" s="1">
        <v>8.0201003810000007</v>
      </c>
      <c r="I101" s="1">
        <v>7.8559156569999997</v>
      </c>
      <c r="J101" s="1">
        <v>6.331385225</v>
      </c>
      <c r="K101" s="1">
        <v>7.0502802620000002</v>
      </c>
      <c r="L101" s="1">
        <v>7.1343212879999998</v>
      </c>
      <c r="M101" s="1">
        <v>6.7682169480000001</v>
      </c>
      <c r="N101" s="1">
        <v>7.5435205999999999</v>
      </c>
      <c r="O101" s="1">
        <v>7.7707700849999997</v>
      </c>
      <c r="P101" s="1">
        <v>6.7371710150000004</v>
      </c>
      <c r="Q101" s="1">
        <v>6.6284720950000002</v>
      </c>
      <c r="R101" s="1">
        <v>6.474614356</v>
      </c>
      <c r="S101" s="1">
        <v>6.3003852350000003</v>
      </c>
      <c r="T101" s="1">
        <v>7.1343212879999998</v>
      </c>
      <c r="U101" s="1">
        <v>6.7682169480000001</v>
      </c>
      <c r="V101" s="1">
        <v>7.0097196070000001</v>
      </c>
      <c r="W101" s="1">
        <v>6.8281395839999997</v>
      </c>
      <c r="X101" s="1">
        <v>6.7667750739999999</v>
      </c>
      <c r="Y101" s="1">
        <v>7.2099543309999996</v>
      </c>
      <c r="Z101" s="1">
        <v>6.474614356</v>
      </c>
      <c r="AA101" s="1">
        <v>6.3003852350000003</v>
      </c>
      <c r="AB101" s="1">
        <v>6.7025789319999998</v>
      </c>
      <c r="AC101" s="1">
        <v>6.5436419069999996</v>
      </c>
      <c r="AD101" s="1">
        <v>6.9493542489999998</v>
      </c>
      <c r="AE101" s="1">
        <v>6.9437330570000002</v>
      </c>
    </row>
    <row r="102" spans="1:31" x14ac:dyDescent="0.25">
      <c r="A102" s="1" t="s">
        <v>171</v>
      </c>
      <c r="B102" s="1" t="s">
        <v>2557</v>
      </c>
      <c r="C102" s="1" t="s">
        <v>2658</v>
      </c>
      <c r="D102" s="1" t="s">
        <v>2659</v>
      </c>
      <c r="E102" s="1" t="s">
        <v>2660</v>
      </c>
      <c r="F102" s="1" t="s">
        <v>2661</v>
      </c>
      <c r="G102" s="1" t="s">
        <v>171</v>
      </c>
      <c r="H102" s="1">
        <v>4.6479005740000003</v>
      </c>
      <c r="I102" s="1">
        <v>4.8477128089999999</v>
      </c>
      <c r="J102" s="1">
        <v>4.8994370109999998</v>
      </c>
      <c r="K102" s="1">
        <v>4.4318297590000002</v>
      </c>
      <c r="L102" s="1">
        <v>5.8387509910000004</v>
      </c>
      <c r="M102" s="1">
        <v>5.6801009100000002</v>
      </c>
      <c r="N102" s="1">
        <v>4.6936110280000003</v>
      </c>
      <c r="O102" s="1">
        <v>4.9384407589999997</v>
      </c>
      <c r="P102" s="1">
        <v>5.2325771159999999</v>
      </c>
      <c r="Q102" s="1">
        <v>5.2000913229999997</v>
      </c>
      <c r="R102" s="1">
        <v>5.1472208640000003</v>
      </c>
      <c r="S102" s="1">
        <v>5.3915434019999999</v>
      </c>
      <c r="T102" s="1">
        <v>5.8387509910000004</v>
      </c>
      <c r="U102" s="1">
        <v>5.6801009100000002</v>
      </c>
      <c r="V102" s="1">
        <v>4.8566239800000002</v>
      </c>
      <c r="W102" s="1">
        <v>4.3370700810000002</v>
      </c>
      <c r="X102" s="1">
        <v>5.2147349050000003</v>
      </c>
      <c r="Y102" s="1">
        <v>4.2532353330000001</v>
      </c>
      <c r="Z102" s="1">
        <v>5.1472208640000003</v>
      </c>
      <c r="AA102" s="1">
        <v>5.3915434019999999</v>
      </c>
      <c r="AB102" s="1">
        <v>5.1755434500000002</v>
      </c>
      <c r="AC102" s="1">
        <v>4.9660712470000004</v>
      </c>
      <c r="AD102" s="1">
        <v>4.8924744240000004</v>
      </c>
      <c r="AE102" s="1">
        <v>4.9247587419999999</v>
      </c>
    </row>
    <row r="103" spans="1:31" x14ac:dyDescent="0.25">
      <c r="A103" s="1" t="s">
        <v>173</v>
      </c>
      <c r="B103" s="1" t="s">
        <v>2662</v>
      </c>
      <c r="C103" s="1" t="s">
        <v>2663</v>
      </c>
      <c r="D103" s="1" t="s">
        <v>2664</v>
      </c>
      <c r="E103" s="1" t="s">
        <v>2665</v>
      </c>
      <c r="F103" s="1" t="s">
        <v>2666</v>
      </c>
      <c r="G103" s="1" t="s">
        <v>173</v>
      </c>
      <c r="H103" s="1">
        <v>8.7362411810000005</v>
      </c>
      <c r="I103" s="1">
        <v>8.0884290350000008</v>
      </c>
      <c r="J103" s="1">
        <v>8.6033106929999992</v>
      </c>
      <c r="K103" s="1">
        <v>8.7025828250000004</v>
      </c>
      <c r="L103" s="1">
        <v>8.3086866500000003</v>
      </c>
      <c r="M103" s="1">
        <v>8.4867938590000005</v>
      </c>
      <c r="N103" s="1">
        <v>7.593269265</v>
      </c>
      <c r="O103" s="1">
        <v>7.949379564</v>
      </c>
      <c r="P103" s="1">
        <v>8.8003800489999993</v>
      </c>
      <c r="Q103" s="1">
        <v>8.7832235129999994</v>
      </c>
      <c r="R103" s="1">
        <v>8.8484598390000002</v>
      </c>
      <c r="S103" s="1">
        <v>8.7710898050000008</v>
      </c>
      <c r="T103" s="1">
        <v>8.3086866500000003</v>
      </c>
      <c r="U103" s="1">
        <v>8.4867938590000005</v>
      </c>
      <c r="V103" s="1">
        <v>9.1364990049999992</v>
      </c>
      <c r="W103" s="1">
        <v>9.0166421220000004</v>
      </c>
      <c r="X103" s="1">
        <v>9.4900970410000003</v>
      </c>
      <c r="Y103" s="1">
        <v>9.3819520999999995</v>
      </c>
      <c r="Z103" s="1">
        <v>8.8484598390000002</v>
      </c>
      <c r="AA103" s="1">
        <v>8.7710898050000008</v>
      </c>
      <c r="AB103" s="1">
        <v>9.0021628509999996</v>
      </c>
      <c r="AC103" s="1">
        <v>9.2918355540000004</v>
      </c>
      <c r="AD103" s="1">
        <v>9.5326782889999997</v>
      </c>
      <c r="AE103" s="1">
        <v>9.4500368619999993</v>
      </c>
    </row>
    <row r="104" spans="1:31" x14ac:dyDescent="0.25">
      <c r="A104" s="1" t="s">
        <v>175</v>
      </c>
      <c r="B104" s="1" t="s">
        <v>2667</v>
      </c>
      <c r="C104" s="1" t="s">
        <v>2668</v>
      </c>
      <c r="D104" s="1" t="s">
        <v>2669</v>
      </c>
      <c r="E104" s="1" t="s">
        <v>2670</v>
      </c>
      <c r="F104" s="1" t="s">
        <v>2671</v>
      </c>
      <c r="G104" s="1" t="s">
        <v>175</v>
      </c>
      <c r="H104" s="1">
        <v>6.0961014899999997</v>
      </c>
      <c r="I104" s="1">
        <v>5.7776224090000001</v>
      </c>
      <c r="J104" s="1">
        <v>7.4858426619999996</v>
      </c>
      <c r="K104" s="1">
        <v>7.2705230040000002</v>
      </c>
      <c r="L104" s="1">
        <v>7.0661679120000001</v>
      </c>
      <c r="M104" s="1">
        <v>7.5214473450000003</v>
      </c>
      <c r="N104" s="1">
        <v>5.910461819</v>
      </c>
      <c r="O104" s="1">
        <v>5.861353501</v>
      </c>
      <c r="P104" s="1">
        <v>7.5083952590000003</v>
      </c>
      <c r="Q104" s="1">
        <v>7.6946952670000002</v>
      </c>
      <c r="R104" s="1">
        <v>7.410732061</v>
      </c>
      <c r="S104" s="1">
        <v>7.424752894</v>
      </c>
      <c r="T104" s="1">
        <v>7.0661679120000001</v>
      </c>
      <c r="U104" s="1">
        <v>7.5214473450000003</v>
      </c>
      <c r="V104" s="1">
        <v>7.1058621789999998</v>
      </c>
      <c r="W104" s="1">
        <v>7.2314139690000001</v>
      </c>
      <c r="X104" s="1">
        <v>7.0181969110000004</v>
      </c>
      <c r="Y104" s="1">
        <v>7.3882379680000003</v>
      </c>
      <c r="Z104" s="1">
        <v>7.410732061</v>
      </c>
      <c r="AA104" s="1">
        <v>7.424752894</v>
      </c>
      <c r="AB104" s="1">
        <v>7.4673828389999999</v>
      </c>
      <c r="AC104" s="1">
        <v>7.5011434670000003</v>
      </c>
      <c r="AD104" s="1">
        <v>7.3379235500000002</v>
      </c>
      <c r="AE104" s="1">
        <v>7.2199691680000004</v>
      </c>
    </row>
    <row r="105" spans="1:31" x14ac:dyDescent="0.25">
      <c r="A105" s="1" t="s">
        <v>176</v>
      </c>
      <c r="B105" s="1" t="s">
        <v>2530</v>
      </c>
      <c r="C105" s="1" t="s">
        <v>2531</v>
      </c>
      <c r="D105" s="1" t="s">
        <v>2535</v>
      </c>
      <c r="E105" s="1" t="s">
        <v>2672</v>
      </c>
      <c r="G105" s="1" t="s">
        <v>176</v>
      </c>
      <c r="H105" s="1">
        <v>4.4805534380000003</v>
      </c>
      <c r="I105" s="1">
        <v>4.2055918060000002</v>
      </c>
      <c r="J105" s="1">
        <v>4.9532699769999997</v>
      </c>
      <c r="K105" s="1">
        <v>4.6734567340000002</v>
      </c>
      <c r="L105" s="1">
        <v>5.9566674209999997</v>
      </c>
      <c r="M105" s="1">
        <v>5.7958869929999999</v>
      </c>
      <c r="N105" s="1">
        <v>5.6524063629999999</v>
      </c>
      <c r="O105" s="1">
        <v>5.2522077749999996</v>
      </c>
      <c r="P105" s="1">
        <v>6.3171519470000002</v>
      </c>
      <c r="Q105" s="1">
        <v>6.1485161530000001</v>
      </c>
      <c r="R105" s="1">
        <v>6.0146875240000002</v>
      </c>
      <c r="S105" s="1">
        <v>5.7723891209999998</v>
      </c>
      <c r="T105" s="1">
        <v>5.9566674209999997</v>
      </c>
      <c r="U105" s="1">
        <v>5.7958869929999999</v>
      </c>
      <c r="V105" s="1">
        <v>5.8765220630000004</v>
      </c>
      <c r="W105" s="1">
        <v>5.6874298530000003</v>
      </c>
      <c r="X105" s="1">
        <v>6.2754923570000001</v>
      </c>
      <c r="Y105" s="1">
        <v>5.4613266610000002</v>
      </c>
      <c r="Z105" s="1">
        <v>6.0146875240000002</v>
      </c>
      <c r="AA105" s="1">
        <v>5.7723891209999998</v>
      </c>
      <c r="AB105" s="1">
        <v>5.9325296429999996</v>
      </c>
      <c r="AC105" s="1">
        <v>6.2668248259999997</v>
      </c>
      <c r="AD105" s="1">
        <v>5.7351750150000003</v>
      </c>
      <c r="AE105" s="1">
        <v>5.820347505</v>
      </c>
    </row>
    <row r="106" spans="1:31" x14ac:dyDescent="0.25">
      <c r="A106" s="1" t="s">
        <v>179</v>
      </c>
      <c r="B106" s="1" t="s">
        <v>2530</v>
      </c>
      <c r="C106" s="1" t="s">
        <v>2531</v>
      </c>
      <c r="D106" s="1" t="s">
        <v>2535</v>
      </c>
      <c r="E106" s="1" t="s">
        <v>2673</v>
      </c>
      <c r="G106" s="1" t="s">
        <v>179</v>
      </c>
      <c r="H106" s="1">
        <v>6.4914637309999996</v>
      </c>
      <c r="I106" s="1">
        <v>6.8685279430000001</v>
      </c>
      <c r="J106" s="1">
        <v>5.8869626679999998</v>
      </c>
      <c r="K106" s="1">
        <v>6.1452362870000004</v>
      </c>
      <c r="L106" s="1">
        <v>7.5422545559999996</v>
      </c>
      <c r="M106" s="1">
        <v>7.2917753100000002</v>
      </c>
      <c r="N106" s="1">
        <v>6.8232102509999999</v>
      </c>
      <c r="O106" s="1">
        <v>6.6155634619999999</v>
      </c>
      <c r="P106" s="1">
        <v>6.5171892439999999</v>
      </c>
      <c r="Q106" s="1">
        <v>6.7311802209999998</v>
      </c>
      <c r="R106" s="1">
        <v>5.7795948069999996</v>
      </c>
      <c r="S106" s="1">
        <v>5.5773053920000004</v>
      </c>
      <c r="T106" s="1">
        <v>7.5422545559999996</v>
      </c>
      <c r="U106" s="1">
        <v>7.2917753100000002</v>
      </c>
      <c r="V106" s="1">
        <v>5.519727617</v>
      </c>
      <c r="W106" s="1">
        <v>5.5195577800000004</v>
      </c>
      <c r="X106" s="1">
        <v>6.5125064950000002</v>
      </c>
      <c r="Y106" s="1">
        <v>6.1314620050000004</v>
      </c>
      <c r="Z106" s="1">
        <v>5.7795948069999996</v>
      </c>
      <c r="AA106" s="1">
        <v>5.5773053920000004</v>
      </c>
      <c r="AB106" s="1">
        <v>5.5276660309999999</v>
      </c>
      <c r="AC106" s="1">
        <v>5.5065733579999998</v>
      </c>
      <c r="AD106" s="1">
        <v>5.893524276</v>
      </c>
      <c r="AE106" s="1">
        <v>6.5826869190000004</v>
      </c>
    </row>
    <row r="107" spans="1:31" x14ac:dyDescent="0.25">
      <c r="A107" s="1" t="s">
        <v>180</v>
      </c>
      <c r="B107" s="1" t="s">
        <v>2547</v>
      </c>
      <c r="C107" s="1" t="s">
        <v>2622</v>
      </c>
      <c r="D107" s="1" t="s">
        <v>2535</v>
      </c>
      <c r="E107" s="1" t="s">
        <v>2674</v>
      </c>
      <c r="G107" s="1" t="s">
        <v>180</v>
      </c>
      <c r="H107" s="1">
        <v>3.4660955969999998</v>
      </c>
      <c r="I107" s="1">
        <v>4.2936285989999998</v>
      </c>
      <c r="J107" s="1">
        <v>4.5940881259999999</v>
      </c>
      <c r="K107" s="1">
        <v>3.8998480660000001</v>
      </c>
      <c r="L107" s="1">
        <v>5.2569846910000004</v>
      </c>
      <c r="M107" s="1">
        <v>4.9642129490000002</v>
      </c>
      <c r="N107" s="1">
        <v>3.622455167</v>
      </c>
      <c r="O107" s="1">
        <v>3.9591193910000002</v>
      </c>
      <c r="P107" s="1">
        <v>4.6160325330000003</v>
      </c>
      <c r="Q107" s="1">
        <v>4.7509440400000003</v>
      </c>
      <c r="R107" s="1">
        <v>4.8118229140000004</v>
      </c>
      <c r="S107" s="1">
        <v>5.3915434019999999</v>
      </c>
      <c r="T107" s="1">
        <v>5.2569846910000004</v>
      </c>
      <c r="U107" s="1">
        <v>4.9642129490000002</v>
      </c>
      <c r="V107" s="1">
        <v>4.7533922439999996</v>
      </c>
      <c r="W107" s="1">
        <v>4.69862249</v>
      </c>
      <c r="X107" s="1">
        <v>5.0029944190000002</v>
      </c>
      <c r="Y107" s="1">
        <v>4.4420910779999998</v>
      </c>
      <c r="Z107" s="1">
        <v>4.8118229140000004</v>
      </c>
      <c r="AA107" s="1">
        <v>5.3915434019999999</v>
      </c>
      <c r="AB107" s="1">
        <v>5.3028471579999996</v>
      </c>
      <c r="AC107" s="1">
        <v>5.2411914069999996</v>
      </c>
      <c r="AD107" s="1">
        <v>4.8924744240000004</v>
      </c>
      <c r="AE107" s="1">
        <v>4.8303216779999998</v>
      </c>
    </row>
    <row r="108" spans="1:31" x14ac:dyDescent="0.25">
      <c r="A108" s="1" t="s">
        <v>182</v>
      </c>
      <c r="B108" s="1" t="s">
        <v>2530</v>
      </c>
      <c r="C108" s="1" t="s">
        <v>2531</v>
      </c>
      <c r="D108" s="1" t="s">
        <v>2535</v>
      </c>
      <c r="E108" s="1" t="s">
        <v>2621</v>
      </c>
      <c r="G108" s="1" t="s">
        <v>182</v>
      </c>
      <c r="H108" s="1">
        <v>5.1131742039999999</v>
      </c>
      <c r="I108" s="1">
        <v>5.0595268689999999</v>
      </c>
      <c r="J108" s="1">
        <v>4.2018709520000002</v>
      </c>
      <c r="K108" s="1">
        <v>4.5974987220000001</v>
      </c>
      <c r="L108" s="1">
        <v>4.3727018190000004</v>
      </c>
      <c r="M108" s="1">
        <v>4.239619416</v>
      </c>
      <c r="N108" s="1">
        <v>6.9121873169999999</v>
      </c>
      <c r="O108" s="1">
        <v>6.9005793139999998</v>
      </c>
      <c r="P108" s="1">
        <v>5.3134950500000002</v>
      </c>
      <c r="Q108" s="1">
        <v>5.5406489910000003</v>
      </c>
      <c r="R108" s="1">
        <v>4.6795267799999998</v>
      </c>
      <c r="S108" s="1">
        <v>5.032286365</v>
      </c>
      <c r="T108" s="1">
        <v>4.3727018190000004</v>
      </c>
      <c r="U108" s="1">
        <v>4.239619416</v>
      </c>
      <c r="V108" s="1">
        <v>3.6670520409999998</v>
      </c>
      <c r="W108" s="1">
        <v>3.6840067150000002</v>
      </c>
      <c r="X108" s="1">
        <v>4.3627028770000003</v>
      </c>
      <c r="Y108" s="1">
        <v>4.4420910779999998</v>
      </c>
      <c r="Z108" s="1">
        <v>4.6795267799999998</v>
      </c>
      <c r="AA108" s="1">
        <v>5.032286365</v>
      </c>
      <c r="AB108" s="1">
        <v>4.8804215500000003</v>
      </c>
      <c r="AC108" s="1">
        <v>4.4881955270000002</v>
      </c>
      <c r="AD108" s="1">
        <v>5.0634297190000002</v>
      </c>
      <c r="AE108" s="1">
        <v>5.49371411</v>
      </c>
    </row>
    <row r="109" spans="1:31" x14ac:dyDescent="0.25">
      <c r="A109" s="1" t="s">
        <v>183</v>
      </c>
      <c r="B109" s="1" t="s">
        <v>2530</v>
      </c>
      <c r="C109" s="1" t="s">
        <v>2531</v>
      </c>
      <c r="D109" s="1" t="s">
        <v>2535</v>
      </c>
      <c r="E109" s="1" t="s">
        <v>2536</v>
      </c>
      <c r="G109" s="1" t="s">
        <v>183</v>
      </c>
      <c r="H109" s="1">
        <v>3.4660955969999998</v>
      </c>
      <c r="I109" s="1">
        <v>4.1114152529999997</v>
      </c>
      <c r="J109" s="1">
        <v>5.3631085470000004</v>
      </c>
      <c r="K109" s="1">
        <v>5.7554847420000002</v>
      </c>
      <c r="L109" s="1">
        <v>4.8833754540000003</v>
      </c>
      <c r="M109" s="1">
        <v>4.896083601</v>
      </c>
      <c r="N109" s="1">
        <v>5.5139471840000001</v>
      </c>
      <c r="O109" s="1">
        <v>5.3342335859999999</v>
      </c>
      <c r="P109" s="1">
        <v>4.9062897479999998</v>
      </c>
      <c r="Q109" s="1">
        <v>4.9365262349999997</v>
      </c>
      <c r="R109" s="1">
        <v>5.2891602459999998</v>
      </c>
      <c r="S109" s="1">
        <v>4.8699614389999999</v>
      </c>
      <c r="T109" s="1">
        <v>4.8833754540000003</v>
      </c>
      <c r="U109" s="1">
        <v>4.896083601</v>
      </c>
      <c r="V109" s="1">
        <v>4.9527859210000003</v>
      </c>
      <c r="W109" s="1">
        <v>5.329276363</v>
      </c>
      <c r="X109" s="1">
        <v>4.7537743670000001</v>
      </c>
      <c r="Y109" s="1">
        <v>4.5275934409999996</v>
      </c>
      <c r="Z109" s="1">
        <v>5.2891602459999998</v>
      </c>
      <c r="AA109" s="1">
        <v>4.8699614389999999</v>
      </c>
      <c r="AB109" s="1">
        <v>5.2406211000000003</v>
      </c>
      <c r="AC109" s="1">
        <v>5.1103036370000003</v>
      </c>
      <c r="AD109" s="1">
        <v>4.83054469</v>
      </c>
      <c r="AE109" s="1">
        <v>4.8303216779999998</v>
      </c>
    </row>
    <row r="110" spans="1:31" x14ac:dyDescent="0.25">
      <c r="A110" s="1" t="s">
        <v>186</v>
      </c>
      <c r="B110" s="1" t="s">
        <v>2547</v>
      </c>
      <c r="C110" s="1" t="s">
        <v>2675</v>
      </c>
      <c r="D110" s="1" t="s">
        <v>2535</v>
      </c>
      <c r="E110" s="1" t="s">
        <v>2676</v>
      </c>
      <c r="G110" s="1" t="s">
        <v>186</v>
      </c>
      <c r="H110" s="1">
        <v>8.6852774440000005</v>
      </c>
      <c r="I110" s="1">
        <v>8.3693770999999995</v>
      </c>
      <c r="J110" s="1">
        <v>6.7325823309999997</v>
      </c>
      <c r="K110" s="1">
        <v>7.1710555979999997</v>
      </c>
      <c r="L110" s="1">
        <v>6.2716175139999999</v>
      </c>
      <c r="M110" s="1">
        <v>6.4178773749999998</v>
      </c>
      <c r="N110" s="1">
        <v>8.0468405169999997</v>
      </c>
      <c r="O110" s="1">
        <v>8.5782475910000002</v>
      </c>
      <c r="P110" s="1">
        <v>6.6313784599999996</v>
      </c>
      <c r="Q110" s="1">
        <v>6.8270471480000001</v>
      </c>
      <c r="R110" s="1">
        <v>6.6932924079999996</v>
      </c>
      <c r="S110" s="1">
        <v>6.7791357530000003</v>
      </c>
      <c r="T110" s="1">
        <v>6.2716175139999999</v>
      </c>
      <c r="U110" s="1">
        <v>6.4178773749999998</v>
      </c>
      <c r="V110" s="1">
        <v>6.71671408</v>
      </c>
      <c r="W110" s="1">
        <v>7.0126858380000003</v>
      </c>
      <c r="X110" s="1">
        <v>6.6178157469999999</v>
      </c>
      <c r="Y110" s="1">
        <v>6.9770204600000003</v>
      </c>
      <c r="Z110" s="1">
        <v>6.6932924079999996</v>
      </c>
      <c r="AA110" s="1">
        <v>6.7791357530000003</v>
      </c>
      <c r="AB110" s="1">
        <v>6.8547782980000003</v>
      </c>
      <c r="AC110" s="1">
        <v>6.526755767</v>
      </c>
      <c r="AD110" s="1">
        <v>6.9636701729999997</v>
      </c>
      <c r="AE110" s="1">
        <v>7.4775490939999996</v>
      </c>
    </row>
    <row r="111" spans="1:31" x14ac:dyDescent="0.25">
      <c r="A111" s="1" t="s">
        <v>187</v>
      </c>
      <c r="B111" s="1" t="s">
        <v>2542</v>
      </c>
      <c r="C111" s="1" t="s">
        <v>2543</v>
      </c>
      <c r="D111" s="1" t="s">
        <v>2677</v>
      </c>
      <c r="E111" s="1" t="s">
        <v>2678</v>
      </c>
      <c r="F111" s="1" t="s">
        <v>2679</v>
      </c>
      <c r="G111" s="1" t="s">
        <v>187</v>
      </c>
      <c r="H111" s="1">
        <v>5.1686839359999999</v>
      </c>
      <c r="I111" s="1">
        <v>4.8477128089999999</v>
      </c>
      <c r="J111" s="1">
        <v>6.1606909930000002</v>
      </c>
      <c r="K111" s="1">
        <v>6.8233399239999999</v>
      </c>
      <c r="L111" s="1">
        <v>6.61977583</v>
      </c>
      <c r="M111" s="1">
        <v>6.4996506539999999</v>
      </c>
      <c r="N111" s="1">
        <v>5.2399813159999997</v>
      </c>
      <c r="O111" s="1">
        <v>4.9731423550000002</v>
      </c>
      <c r="P111" s="1">
        <v>6.1074648529999997</v>
      </c>
      <c r="Q111" s="1">
        <v>6.3557835540000003</v>
      </c>
      <c r="R111" s="1">
        <v>6.6061768719999998</v>
      </c>
      <c r="S111" s="1">
        <v>5.9707657090000001</v>
      </c>
      <c r="T111" s="1">
        <v>6.61977583</v>
      </c>
      <c r="U111" s="1">
        <v>6.4996506539999999</v>
      </c>
      <c r="V111" s="1">
        <v>6.1817294079999998</v>
      </c>
      <c r="W111" s="1">
        <v>6.0370461979999996</v>
      </c>
      <c r="X111" s="1">
        <v>6.4095855210000003</v>
      </c>
      <c r="Y111" s="1">
        <v>6.3769095809999996</v>
      </c>
      <c r="Z111" s="1">
        <v>6.6061768719999998</v>
      </c>
      <c r="AA111" s="1">
        <v>5.9707657090000001</v>
      </c>
      <c r="AB111" s="1">
        <v>6.1161870470000004</v>
      </c>
      <c r="AC111" s="1">
        <v>5.9236494000000004</v>
      </c>
      <c r="AD111" s="1">
        <v>6.190389411</v>
      </c>
      <c r="AE111" s="1">
        <v>6.1901317870000003</v>
      </c>
    </row>
    <row r="112" spans="1:31" x14ac:dyDescent="0.25">
      <c r="A112" s="1" t="s">
        <v>191</v>
      </c>
      <c r="B112" s="1" t="s">
        <v>2557</v>
      </c>
      <c r="C112" s="1" t="s">
        <v>2680</v>
      </c>
      <c r="D112" s="1" t="s">
        <v>2681</v>
      </c>
      <c r="E112" s="1" t="s">
        <v>2682</v>
      </c>
      <c r="F112" s="1" t="s">
        <v>2683</v>
      </c>
      <c r="G112" s="1" t="s">
        <v>191</v>
      </c>
      <c r="H112" s="1">
        <v>6.8012610130000004</v>
      </c>
      <c r="I112" s="1">
        <v>7.1799039379999998</v>
      </c>
      <c r="J112" s="1">
        <v>9.5930476179999999</v>
      </c>
      <c r="K112" s="1">
        <v>9.3958802299999995</v>
      </c>
      <c r="L112" s="1">
        <v>9.4850463139999999</v>
      </c>
      <c r="M112" s="1">
        <v>9.7920459040000001</v>
      </c>
      <c r="N112" s="1">
        <v>7.49723015</v>
      </c>
      <c r="O112" s="1">
        <v>7.5555921899999996</v>
      </c>
      <c r="P112" s="1">
        <v>9.3897888839999997</v>
      </c>
      <c r="Q112" s="1">
        <v>9.2486586370000001</v>
      </c>
      <c r="R112" s="1">
        <v>9.8012822679999996</v>
      </c>
      <c r="S112" s="1">
        <v>9.6510831410000009</v>
      </c>
      <c r="T112" s="1">
        <v>9.4850463139999999</v>
      </c>
      <c r="U112" s="1">
        <v>9.7920459040000001</v>
      </c>
      <c r="V112" s="1">
        <v>9.831152779</v>
      </c>
      <c r="W112" s="1">
        <v>9.6783651380000002</v>
      </c>
      <c r="X112" s="1">
        <v>9.9517267339999993</v>
      </c>
      <c r="Y112" s="1">
        <v>9.7621099999999998</v>
      </c>
      <c r="Z112" s="1">
        <v>9.8012822679999996</v>
      </c>
      <c r="AA112" s="1">
        <v>9.6510831410000009</v>
      </c>
      <c r="AB112" s="1">
        <v>9.8732074809999997</v>
      </c>
      <c r="AC112" s="1">
        <v>9.8899371699999996</v>
      </c>
      <c r="AD112" s="1">
        <v>9.9305819349999993</v>
      </c>
      <c r="AE112" s="1">
        <v>9.7033512159999997</v>
      </c>
    </row>
    <row r="113" spans="1:31" x14ac:dyDescent="0.25">
      <c r="A113" s="1" t="s">
        <v>194</v>
      </c>
      <c r="B113" s="1" t="s">
        <v>2547</v>
      </c>
      <c r="C113" s="1" t="s">
        <v>2622</v>
      </c>
      <c r="D113" s="1" t="s">
        <v>2535</v>
      </c>
      <c r="E113" s="1" t="s">
        <v>2684</v>
      </c>
      <c r="G113" s="1" t="s">
        <v>194</v>
      </c>
      <c r="H113" s="1">
        <v>5.946332924</v>
      </c>
      <c r="I113" s="1">
        <v>5.6208330609999999</v>
      </c>
      <c r="J113" s="1">
        <v>6.6861728490000001</v>
      </c>
      <c r="K113" s="1">
        <v>6.5734492549999999</v>
      </c>
      <c r="L113" s="1">
        <v>6.8054930130000004</v>
      </c>
      <c r="M113" s="1">
        <v>7.0184387069999996</v>
      </c>
      <c r="N113" s="1">
        <v>5.3135718379999997</v>
      </c>
      <c r="O113" s="1">
        <v>5.6647442659999996</v>
      </c>
      <c r="P113" s="1">
        <v>6.5340672829999997</v>
      </c>
      <c r="Q113" s="1">
        <v>6.6807419020000003</v>
      </c>
      <c r="R113" s="1">
        <v>6.9553432400000004</v>
      </c>
      <c r="S113" s="1">
        <v>6.6531047939999999</v>
      </c>
      <c r="T113" s="1">
        <v>6.8054930130000004</v>
      </c>
      <c r="U113" s="1">
        <v>7.0184387069999996</v>
      </c>
      <c r="V113" s="1">
        <v>6.6330969629999998</v>
      </c>
      <c r="W113" s="1">
        <v>6.8101283480000001</v>
      </c>
      <c r="X113" s="1">
        <v>6.6810290930000003</v>
      </c>
      <c r="Y113" s="1">
        <v>6.4855214879999998</v>
      </c>
      <c r="Z113" s="1">
        <v>6.9553432400000004</v>
      </c>
      <c r="AA113" s="1">
        <v>6.6531047939999999</v>
      </c>
      <c r="AB113" s="1">
        <v>6.769786034</v>
      </c>
      <c r="AC113" s="1">
        <v>6.8589740600000004</v>
      </c>
      <c r="AD113" s="1">
        <v>6.3516560770000003</v>
      </c>
      <c r="AE113" s="1">
        <v>6.684008929</v>
      </c>
    </row>
    <row r="114" spans="1:31" x14ac:dyDescent="0.25">
      <c r="A114" s="1" t="s">
        <v>195</v>
      </c>
      <c r="B114" s="1" t="s">
        <v>2662</v>
      </c>
      <c r="C114" s="1" t="s">
        <v>2531</v>
      </c>
      <c r="D114" s="1" t="s">
        <v>2685</v>
      </c>
      <c r="E114" s="1" t="s">
        <v>2686</v>
      </c>
      <c r="G114" s="1" t="s">
        <v>195</v>
      </c>
      <c r="H114" s="1">
        <v>2.640460343</v>
      </c>
      <c r="I114" s="1">
        <v>2.8927893610000002</v>
      </c>
      <c r="J114" s="1">
        <v>3.8969924050000002</v>
      </c>
      <c r="K114" s="1">
        <v>3.4309024589999999</v>
      </c>
      <c r="L114" s="1">
        <v>4.2516940449999998</v>
      </c>
      <c r="M114" s="1">
        <v>3.8521266660000002</v>
      </c>
      <c r="N114" s="1">
        <v>3.7779028299999999</v>
      </c>
      <c r="O114" s="1">
        <v>3.193511794</v>
      </c>
      <c r="P114" s="1">
        <v>4.161525224</v>
      </c>
      <c r="Q114" s="1">
        <v>4.0840108080000004</v>
      </c>
      <c r="R114" s="1">
        <v>3.968758995</v>
      </c>
      <c r="S114" s="1">
        <v>4.3966315629999997</v>
      </c>
      <c r="T114" s="1">
        <v>4.2516940449999998</v>
      </c>
      <c r="U114" s="1">
        <v>3.8521266660000002</v>
      </c>
      <c r="V114" s="1">
        <v>3.0516113059999999</v>
      </c>
      <c r="W114" s="1">
        <v>3.9848641250000001</v>
      </c>
      <c r="X114" s="1">
        <v>4.5325909299999996</v>
      </c>
      <c r="Y114" s="1">
        <v>3.9087436480000002</v>
      </c>
      <c r="Z114" s="1">
        <v>3.968758995</v>
      </c>
      <c r="AA114" s="1">
        <v>4.3966315629999997</v>
      </c>
      <c r="AB114" s="1">
        <v>3.990981031</v>
      </c>
      <c r="AC114" s="1">
        <v>4.6870272159999997</v>
      </c>
      <c r="AD114" s="1">
        <v>4.2970121150000002</v>
      </c>
      <c r="AE114" s="1">
        <v>3.67472814</v>
      </c>
    </row>
    <row r="115" spans="1:31" x14ac:dyDescent="0.25">
      <c r="A115" s="1" t="s">
        <v>196</v>
      </c>
      <c r="B115" s="1" t="s">
        <v>2535</v>
      </c>
      <c r="C115" s="1" t="s">
        <v>2535</v>
      </c>
      <c r="D115" s="1" t="s">
        <v>2535</v>
      </c>
      <c r="E115" s="1" t="s">
        <v>2535</v>
      </c>
      <c r="F115" s="1" t="s">
        <v>2535</v>
      </c>
      <c r="G115" s="1" t="s">
        <v>196</v>
      </c>
      <c r="H115" s="1">
        <v>1.7393328349999999</v>
      </c>
      <c r="I115" s="1">
        <v>2.8927893610000002</v>
      </c>
      <c r="J115" s="1">
        <v>2.5640169199999998</v>
      </c>
      <c r="K115" s="1">
        <v>1.7393328349999999</v>
      </c>
      <c r="L115" s="1">
        <v>3.4685048369999998</v>
      </c>
      <c r="M115" s="1">
        <v>2.8639998100000001</v>
      </c>
      <c r="N115" s="1">
        <v>2.628425199</v>
      </c>
      <c r="O115" s="1">
        <v>1.7393328349999999</v>
      </c>
      <c r="P115" s="1">
        <v>1.7393328349999999</v>
      </c>
      <c r="Q115" s="1">
        <v>2.935765398</v>
      </c>
      <c r="R115" s="1">
        <v>1.7393328349999999</v>
      </c>
      <c r="S115" s="1">
        <v>2.5733617299999998</v>
      </c>
      <c r="T115" s="1">
        <v>3.4685048369999998</v>
      </c>
      <c r="U115" s="1">
        <v>2.8639998100000001</v>
      </c>
      <c r="V115" s="1">
        <v>2.8225047829999999</v>
      </c>
      <c r="W115" s="1">
        <v>3.0218530750000001</v>
      </c>
      <c r="X115" s="1">
        <v>2.9542167930000001</v>
      </c>
      <c r="Y115" s="1">
        <v>2.624795792</v>
      </c>
      <c r="Z115" s="1">
        <v>1.7393328349999999</v>
      </c>
      <c r="AA115" s="1">
        <v>2.5733617299999998</v>
      </c>
      <c r="AB115" s="1">
        <v>2.73487305</v>
      </c>
      <c r="AC115" s="1">
        <v>3.6175630609999998</v>
      </c>
      <c r="AD115" s="1">
        <v>2.9432342459999998</v>
      </c>
      <c r="AE115" s="1">
        <v>2.6144016259999998</v>
      </c>
    </row>
    <row r="116" spans="1:31" x14ac:dyDescent="0.25">
      <c r="A116" s="1" t="s">
        <v>197</v>
      </c>
      <c r="B116" s="1" t="s">
        <v>2642</v>
      </c>
      <c r="C116" s="1" t="s">
        <v>2643</v>
      </c>
      <c r="D116" s="1" t="s">
        <v>2687</v>
      </c>
      <c r="E116" s="1" t="s">
        <v>2688</v>
      </c>
      <c r="F116" s="1" t="s">
        <v>2689</v>
      </c>
      <c r="G116" s="1" t="s">
        <v>197</v>
      </c>
      <c r="H116" s="1">
        <v>2.640460343</v>
      </c>
      <c r="I116" s="1">
        <v>2.5655118899999998</v>
      </c>
      <c r="J116" s="1">
        <v>2.5640169199999998</v>
      </c>
      <c r="K116" s="1">
        <v>2.9677134359999999</v>
      </c>
      <c r="L116" s="1">
        <v>2.9964092330000001</v>
      </c>
      <c r="M116" s="1">
        <v>1.7393328349999999</v>
      </c>
      <c r="N116" s="1">
        <v>1.7393328349999999</v>
      </c>
      <c r="O116" s="1">
        <v>2.411448644</v>
      </c>
      <c r="P116" s="1">
        <v>2.5478783159999998</v>
      </c>
      <c r="Q116" s="1">
        <v>2.597100669</v>
      </c>
      <c r="R116" s="1">
        <v>2.9339002829999998</v>
      </c>
      <c r="S116" s="1">
        <v>2.5733617299999998</v>
      </c>
      <c r="T116" s="1">
        <v>2.9964092330000001</v>
      </c>
      <c r="U116" s="1">
        <v>1.7393328349999999</v>
      </c>
      <c r="V116" s="1">
        <v>1.7393328349999999</v>
      </c>
      <c r="W116" s="1">
        <v>1.7393328349999999</v>
      </c>
      <c r="X116" s="1">
        <v>2.3600830049999999</v>
      </c>
      <c r="Y116" s="1">
        <v>1.7393328349999999</v>
      </c>
      <c r="Z116" s="1">
        <v>2.9339002829999998</v>
      </c>
      <c r="AA116" s="1">
        <v>2.5733617299999998</v>
      </c>
      <c r="AB116" s="1">
        <v>2.73487305</v>
      </c>
      <c r="AC116" s="1">
        <v>1.7393328349999999</v>
      </c>
      <c r="AD116" s="1">
        <v>2.6025990879999998</v>
      </c>
      <c r="AE116" s="1">
        <v>1.7393328349999999</v>
      </c>
    </row>
    <row r="117" spans="1:31" x14ac:dyDescent="0.25">
      <c r="A117" s="1" t="s">
        <v>199</v>
      </c>
      <c r="B117" s="1" t="s">
        <v>2547</v>
      </c>
      <c r="C117" s="1" t="s">
        <v>2566</v>
      </c>
      <c r="D117" s="1" t="s">
        <v>2535</v>
      </c>
      <c r="E117" s="1" t="s">
        <v>2690</v>
      </c>
      <c r="G117" s="1" t="s">
        <v>199</v>
      </c>
      <c r="H117" s="1">
        <v>4.183793842</v>
      </c>
      <c r="I117" s="1">
        <v>3.7806045529999999</v>
      </c>
      <c r="J117" s="1">
        <v>5.0051223570000003</v>
      </c>
      <c r="K117" s="1">
        <v>4.3408695499999999</v>
      </c>
      <c r="L117" s="1">
        <v>4.4107687259999997</v>
      </c>
      <c r="M117" s="1">
        <v>4.5846937370000003</v>
      </c>
      <c r="N117" s="1">
        <v>4.0417975630000003</v>
      </c>
      <c r="O117" s="1">
        <v>3.434496577</v>
      </c>
      <c r="P117" s="1">
        <v>4.2485661720000003</v>
      </c>
      <c r="Q117" s="1">
        <v>4.993318082</v>
      </c>
      <c r="R117" s="1">
        <v>4.3698765340000003</v>
      </c>
      <c r="S117" s="1">
        <v>4.3966315629999997</v>
      </c>
      <c r="T117" s="1">
        <v>4.4107687259999997</v>
      </c>
      <c r="U117" s="1">
        <v>4.5846937370000003</v>
      </c>
      <c r="V117" s="1">
        <v>3.9849921849999999</v>
      </c>
      <c r="W117" s="1">
        <v>3.9848641250000001</v>
      </c>
      <c r="X117" s="1">
        <v>4.3627028770000003</v>
      </c>
      <c r="Y117" s="1">
        <v>4.2532353330000001</v>
      </c>
      <c r="Z117" s="1">
        <v>4.3698765340000003</v>
      </c>
      <c r="AA117" s="1">
        <v>4.3966315629999997</v>
      </c>
      <c r="AB117" s="1">
        <v>3.8237667059999998</v>
      </c>
      <c r="AC117" s="1">
        <v>4.5576875899999996</v>
      </c>
      <c r="AD117" s="1">
        <v>4.2005997429999997</v>
      </c>
      <c r="AE117" s="1">
        <v>4.8625108150000003</v>
      </c>
    </row>
    <row r="118" spans="1:31" x14ac:dyDescent="0.25">
      <c r="A118" s="1" t="s">
        <v>202</v>
      </c>
      <c r="B118" s="1" t="s">
        <v>2520</v>
      </c>
      <c r="C118" s="1" t="s">
        <v>2646</v>
      </c>
      <c r="D118" s="1" t="s">
        <v>2691</v>
      </c>
      <c r="E118" s="1" t="s">
        <v>2692</v>
      </c>
      <c r="F118" s="1" t="s">
        <v>2693</v>
      </c>
      <c r="G118" s="1" t="s">
        <v>202</v>
      </c>
      <c r="H118" s="1">
        <v>4.0684382540000001</v>
      </c>
      <c r="I118" s="1">
        <v>4.3763156859999999</v>
      </c>
      <c r="J118" s="1">
        <v>4.7243317210000004</v>
      </c>
      <c r="K118" s="1">
        <v>4.0244910950000001</v>
      </c>
      <c r="L118" s="1">
        <v>4.961369199</v>
      </c>
      <c r="M118" s="1">
        <v>4.896083601</v>
      </c>
      <c r="N118" s="1">
        <v>5.0227480880000002</v>
      </c>
      <c r="O118" s="1">
        <v>4.2767880749999998</v>
      </c>
      <c r="P118" s="1">
        <v>4.4805784009999998</v>
      </c>
      <c r="Q118" s="1">
        <v>4.2835653880000004</v>
      </c>
      <c r="R118" s="1">
        <v>4.3698765340000003</v>
      </c>
      <c r="S118" s="1">
        <v>4.7503017500000002</v>
      </c>
      <c r="T118" s="1">
        <v>4.961369199</v>
      </c>
      <c r="U118" s="1">
        <v>4.896083601</v>
      </c>
      <c r="V118" s="1">
        <v>4.4559512029999997</v>
      </c>
      <c r="W118" s="1">
        <v>4.6166922860000001</v>
      </c>
      <c r="X118" s="1">
        <v>4.8524813179999997</v>
      </c>
      <c r="Y118" s="1">
        <v>4.3509215530000001</v>
      </c>
      <c r="Z118" s="1">
        <v>4.3698765340000003</v>
      </c>
      <c r="AA118" s="1">
        <v>4.7503017500000002</v>
      </c>
      <c r="AB118" s="1">
        <v>4.8804215500000003</v>
      </c>
      <c r="AC118" s="1">
        <v>4.7474570290000004</v>
      </c>
      <c r="AD118" s="1">
        <v>4.6264106470000002</v>
      </c>
      <c r="AE118" s="1">
        <v>4.5815229759999996</v>
      </c>
    </row>
    <row r="119" spans="1:31" x14ac:dyDescent="0.25">
      <c r="A119" s="1" t="s">
        <v>203</v>
      </c>
      <c r="B119" s="1" t="s">
        <v>2547</v>
      </c>
      <c r="C119" s="1" t="s">
        <v>2694</v>
      </c>
      <c r="D119" s="1" t="s">
        <v>2695</v>
      </c>
      <c r="E119" s="1" t="s">
        <v>2696</v>
      </c>
      <c r="G119" s="1" t="s">
        <v>203</v>
      </c>
      <c r="H119" s="1">
        <v>4.5667504939999999</v>
      </c>
      <c r="I119" s="1">
        <v>4.5981535630000003</v>
      </c>
      <c r="J119" s="1">
        <v>4.0065844400000001</v>
      </c>
      <c r="K119" s="1">
        <v>4.2434183680000004</v>
      </c>
      <c r="L119" s="1">
        <v>5.6647229430000001</v>
      </c>
      <c r="M119" s="1">
        <v>4.930560163</v>
      </c>
      <c r="N119" s="1">
        <v>5.3605984370000002</v>
      </c>
      <c r="O119" s="1">
        <v>5.0724039640000003</v>
      </c>
      <c r="P119" s="1">
        <v>4.7394495640000001</v>
      </c>
      <c r="Q119" s="1">
        <v>5.0479127070000001</v>
      </c>
      <c r="R119" s="1">
        <v>4.8735636449999999</v>
      </c>
      <c r="S119" s="1">
        <v>4.8699614389999999</v>
      </c>
      <c r="T119" s="1">
        <v>5.6647229430000001</v>
      </c>
      <c r="U119" s="1">
        <v>4.930560163</v>
      </c>
      <c r="V119" s="1">
        <v>4.5826682710000002</v>
      </c>
      <c r="W119" s="1">
        <v>4.8493412630000003</v>
      </c>
      <c r="X119" s="1">
        <v>5.2147349050000003</v>
      </c>
      <c r="Y119" s="1">
        <v>4.7564010139999997</v>
      </c>
      <c r="Z119" s="1">
        <v>4.8735636449999999</v>
      </c>
      <c r="AA119" s="1">
        <v>4.8699614389999999</v>
      </c>
      <c r="AB119" s="1">
        <v>5.4196851610000003</v>
      </c>
      <c r="AC119" s="1">
        <v>5.5065733579999998</v>
      </c>
      <c r="AD119" s="1">
        <v>5.7012900599999998</v>
      </c>
      <c r="AE119" s="1">
        <v>5.3205054189999998</v>
      </c>
    </row>
    <row r="120" spans="1:31" x14ac:dyDescent="0.25">
      <c r="A120" s="1" t="s">
        <v>206</v>
      </c>
      <c r="B120" s="1" t="s">
        <v>2539</v>
      </c>
      <c r="C120" s="1" t="s">
        <v>2606</v>
      </c>
      <c r="D120" s="1" t="s">
        <v>2697</v>
      </c>
      <c r="E120" s="1" t="s">
        <v>2698</v>
      </c>
      <c r="F120" s="1" t="s">
        <v>2699</v>
      </c>
      <c r="G120" s="1" t="s">
        <v>206</v>
      </c>
      <c r="H120" s="1">
        <v>11.77021231</v>
      </c>
      <c r="I120" s="1">
        <v>11.537549820000001</v>
      </c>
      <c r="J120" s="1">
        <v>7.2511161680000003</v>
      </c>
      <c r="K120" s="1">
        <v>8.4450126060000006</v>
      </c>
      <c r="L120" s="1">
        <v>5.7251137559999998</v>
      </c>
      <c r="M120" s="1">
        <v>5.3915279009999999</v>
      </c>
      <c r="N120" s="1">
        <v>10.420994220000001</v>
      </c>
      <c r="O120" s="1">
        <v>11.010064659999999</v>
      </c>
      <c r="P120" s="1">
        <v>7.2265994510000002</v>
      </c>
      <c r="Q120" s="1">
        <v>7.2173337469999996</v>
      </c>
      <c r="R120" s="1">
        <v>7.369033473</v>
      </c>
      <c r="S120" s="1">
        <v>7.7042077559999997</v>
      </c>
      <c r="T120" s="1">
        <v>5.7251137559999998</v>
      </c>
      <c r="U120" s="1">
        <v>5.3915279009999999</v>
      </c>
      <c r="V120" s="1">
        <v>7.4285667269999998</v>
      </c>
      <c r="W120" s="1">
        <v>7.795243567</v>
      </c>
      <c r="X120" s="1">
        <v>6.4823958849999999</v>
      </c>
      <c r="Y120" s="1">
        <v>9.1445709540000006</v>
      </c>
      <c r="Z120" s="1">
        <v>7.369033473</v>
      </c>
      <c r="AA120" s="1">
        <v>7.7042077559999997</v>
      </c>
      <c r="AB120" s="1">
        <v>8.2098591180000007</v>
      </c>
      <c r="AC120" s="1">
        <v>7.1943210840000003</v>
      </c>
      <c r="AD120" s="1">
        <v>8.9743271169999996</v>
      </c>
      <c r="AE120" s="1">
        <v>8.5539331040000004</v>
      </c>
    </row>
    <row r="121" spans="1:31" x14ac:dyDescent="0.25">
      <c r="A121" s="1" t="s">
        <v>208</v>
      </c>
      <c r="B121" s="1" t="s">
        <v>2608</v>
      </c>
      <c r="C121" s="1" t="s">
        <v>2700</v>
      </c>
      <c r="D121" s="1" t="s">
        <v>2701</v>
      </c>
      <c r="E121" s="1" t="s">
        <v>2702</v>
      </c>
      <c r="F121" s="1" t="s">
        <v>2703</v>
      </c>
      <c r="G121" s="1" t="s">
        <v>208</v>
      </c>
      <c r="H121" s="1">
        <v>7.2850176099999997</v>
      </c>
      <c r="I121" s="1">
        <v>7.0753932370000001</v>
      </c>
      <c r="J121" s="1">
        <v>8.7457553749999999</v>
      </c>
      <c r="K121" s="1">
        <v>8.913384508</v>
      </c>
      <c r="L121" s="1">
        <v>8.453487226</v>
      </c>
      <c r="M121" s="1">
        <v>8.5038572400000003</v>
      </c>
      <c r="N121" s="1">
        <v>7.259069942</v>
      </c>
      <c r="O121" s="1">
        <v>7.4003656099999997</v>
      </c>
      <c r="P121" s="1">
        <v>8.4601796749999991</v>
      </c>
      <c r="Q121" s="1">
        <v>8.4686872359999992</v>
      </c>
      <c r="R121" s="1">
        <v>9.0232325790000001</v>
      </c>
      <c r="S121" s="1">
        <v>8.5982126890000004</v>
      </c>
      <c r="T121" s="1">
        <v>8.453487226</v>
      </c>
      <c r="U121" s="1">
        <v>8.5038572400000003</v>
      </c>
      <c r="V121" s="1">
        <v>8.4544572900000006</v>
      </c>
      <c r="W121" s="1">
        <v>8.3125212810000004</v>
      </c>
      <c r="X121" s="1">
        <v>8.5822565700000002</v>
      </c>
      <c r="Y121" s="1">
        <v>8.4903313419999993</v>
      </c>
      <c r="Z121" s="1">
        <v>9.0232325790000001</v>
      </c>
      <c r="AA121" s="1">
        <v>8.5982126890000004</v>
      </c>
      <c r="AB121" s="1">
        <v>8.8757897630000002</v>
      </c>
      <c r="AC121" s="1">
        <v>8.7317603380000008</v>
      </c>
      <c r="AD121" s="1">
        <v>8.7030609670000008</v>
      </c>
      <c r="AE121" s="1">
        <v>8.4322529950000007</v>
      </c>
    </row>
    <row r="122" spans="1:31" x14ac:dyDescent="0.25">
      <c r="A122" s="1" t="s">
        <v>209</v>
      </c>
      <c r="B122" s="1" t="s">
        <v>2530</v>
      </c>
      <c r="C122" s="1" t="s">
        <v>2531</v>
      </c>
      <c r="D122" s="1" t="s">
        <v>2535</v>
      </c>
      <c r="E122" s="1" t="s">
        <v>2704</v>
      </c>
      <c r="G122" s="1" t="s">
        <v>209</v>
      </c>
      <c r="H122" s="1">
        <v>2.640460343</v>
      </c>
      <c r="I122" s="1">
        <v>3.3322126910000001</v>
      </c>
      <c r="J122" s="1">
        <v>1.7393328349999999</v>
      </c>
      <c r="K122" s="1">
        <v>2.9677134359999999</v>
      </c>
      <c r="L122" s="1">
        <v>3.3025959560000002</v>
      </c>
      <c r="M122" s="1">
        <v>2.8639998100000001</v>
      </c>
      <c r="N122" s="1">
        <v>2.628425199</v>
      </c>
      <c r="O122" s="1">
        <v>2.6816282820000001</v>
      </c>
      <c r="P122" s="1">
        <v>3.3003929539999999</v>
      </c>
      <c r="Q122" s="1">
        <v>1.7393328349999999</v>
      </c>
      <c r="R122" s="1">
        <v>1.7393328349999999</v>
      </c>
      <c r="S122" s="1">
        <v>2.9034795349999998</v>
      </c>
      <c r="T122" s="1">
        <v>3.3025959560000002</v>
      </c>
      <c r="U122" s="1">
        <v>2.8639998100000001</v>
      </c>
      <c r="V122" s="1">
        <v>3.2389700330000002</v>
      </c>
      <c r="W122" s="1">
        <v>1.7393328349999999</v>
      </c>
      <c r="X122" s="1">
        <v>2.6106888979999998</v>
      </c>
      <c r="Y122" s="1">
        <v>3.9087436480000002</v>
      </c>
      <c r="Z122" s="1">
        <v>1.7393328349999999</v>
      </c>
      <c r="AA122" s="1">
        <v>2.9034795349999998</v>
      </c>
      <c r="AB122" s="1">
        <v>2.73487305</v>
      </c>
      <c r="AC122" s="1">
        <v>3.3054795530000001</v>
      </c>
      <c r="AD122" s="1">
        <v>1.7393328349999999</v>
      </c>
      <c r="AE122" s="1">
        <v>1.7393328349999999</v>
      </c>
    </row>
    <row r="123" spans="1:31" x14ac:dyDescent="0.25">
      <c r="A123" s="1" t="s">
        <v>210</v>
      </c>
      <c r="B123" s="1" t="s">
        <v>2539</v>
      </c>
      <c r="C123" s="1" t="s">
        <v>2563</v>
      </c>
      <c r="D123" s="1" t="s">
        <v>2705</v>
      </c>
      <c r="E123" s="1" t="s">
        <v>2706</v>
      </c>
      <c r="F123" s="1" t="s">
        <v>2707</v>
      </c>
      <c r="G123" s="1" t="s">
        <v>210</v>
      </c>
      <c r="H123" s="1">
        <v>2.9945681560000001</v>
      </c>
      <c r="I123" s="1">
        <v>2.8927893610000002</v>
      </c>
      <c r="J123" s="1">
        <v>2.8907526730000002</v>
      </c>
      <c r="K123" s="1">
        <v>3.4309024589999999</v>
      </c>
      <c r="L123" s="1">
        <v>3.6142294740000001</v>
      </c>
      <c r="M123" s="1">
        <v>2.8639998100000001</v>
      </c>
      <c r="N123" s="1">
        <v>4.2617896110000002</v>
      </c>
      <c r="O123" s="1">
        <v>3.3203005989999999</v>
      </c>
      <c r="P123" s="1">
        <v>3.106446558</v>
      </c>
      <c r="Q123" s="1">
        <v>3.185675432</v>
      </c>
      <c r="R123" s="1">
        <v>2.595728008</v>
      </c>
      <c r="S123" s="1">
        <v>1.7393328349999999</v>
      </c>
      <c r="T123" s="1">
        <v>3.6142294740000001</v>
      </c>
      <c r="U123" s="1">
        <v>2.8639998100000001</v>
      </c>
      <c r="V123" s="1">
        <v>3.5405335899999999</v>
      </c>
      <c r="W123" s="1">
        <v>3.6840067150000002</v>
      </c>
      <c r="X123" s="1">
        <v>3.8785046219999999</v>
      </c>
      <c r="Y123" s="1">
        <v>3.9087436480000002</v>
      </c>
      <c r="Z123" s="1">
        <v>2.595728008</v>
      </c>
      <c r="AA123" s="1">
        <v>1.7393328349999999</v>
      </c>
      <c r="AB123" s="1">
        <v>3.404153038</v>
      </c>
      <c r="AC123" s="1">
        <v>3.4716344729999999</v>
      </c>
      <c r="AD123" s="1">
        <v>4.0967699450000001</v>
      </c>
      <c r="AE123" s="1">
        <v>3.67472814</v>
      </c>
    </row>
    <row r="124" spans="1:31" x14ac:dyDescent="0.25">
      <c r="A124" s="1" t="s">
        <v>211</v>
      </c>
      <c r="B124" s="1" t="s">
        <v>2708</v>
      </c>
      <c r="C124" s="1" t="s">
        <v>2709</v>
      </c>
      <c r="D124" s="1" t="s">
        <v>2710</v>
      </c>
      <c r="E124" s="1" t="s">
        <v>2711</v>
      </c>
      <c r="G124" s="1" t="s">
        <v>211</v>
      </c>
      <c r="H124" s="1">
        <v>6.1242673779999999</v>
      </c>
      <c r="I124" s="1">
        <v>6.854556928</v>
      </c>
      <c r="J124" s="1">
        <v>5.0551375939999996</v>
      </c>
      <c r="K124" s="1">
        <v>5.8227835140000002</v>
      </c>
      <c r="L124" s="1">
        <v>6.1668872849999996</v>
      </c>
      <c r="M124" s="1">
        <v>6.0026802679999998</v>
      </c>
      <c r="N124" s="1">
        <v>6.8643369359999999</v>
      </c>
      <c r="O124" s="1">
        <v>6.2316979249999997</v>
      </c>
      <c r="P124" s="1">
        <v>5.9651829550000004</v>
      </c>
      <c r="Q124" s="1">
        <v>5.6499570400000003</v>
      </c>
      <c r="R124" s="1">
        <v>5.1472208640000003</v>
      </c>
      <c r="S124" s="1">
        <v>5.032286365</v>
      </c>
      <c r="T124" s="1">
        <v>6.1668872849999996</v>
      </c>
      <c r="U124" s="1">
        <v>6.0026802679999998</v>
      </c>
      <c r="V124" s="1">
        <v>6.1419042490000004</v>
      </c>
      <c r="W124" s="1">
        <v>5.6874298530000003</v>
      </c>
      <c r="X124" s="1">
        <v>6.2518750860000001</v>
      </c>
      <c r="Y124" s="1">
        <v>6.7169455439999997</v>
      </c>
      <c r="Z124" s="1">
        <v>5.1472208640000003</v>
      </c>
      <c r="AA124" s="1">
        <v>5.032286365</v>
      </c>
      <c r="AB124" s="1">
        <v>5.9711898400000001</v>
      </c>
      <c r="AC124" s="1">
        <v>5.6386390840000002</v>
      </c>
      <c r="AD124" s="1">
        <v>5.5945353439999996</v>
      </c>
      <c r="AE124" s="1">
        <v>6.017118505</v>
      </c>
    </row>
    <row r="125" spans="1:31" x14ac:dyDescent="0.25">
      <c r="A125" s="1" t="s">
        <v>213</v>
      </c>
      <c r="B125" s="1" t="s">
        <v>2557</v>
      </c>
      <c r="C125" s="1" t="s">
        <v>2680</v>
      </c>
      <c r="D125" s="1" t="s">
        <v>2712</v>
      </c>
      <c r="E125" s="1" t="s">
        <v>2713</v>
      </c>
      <c r="F125" s="1" t="s">
        <v>2714</v>
      </c>
      <c r="G125" s="1" t="s">
        <v>213</v>
      </c>
      <c r="H125" s="1">
        <v>4.995162745</v>
      </c>
      <c r="I125" s="1">
        <v>5.5873017430000003</v>
      </c>
      <c r="J125" s="1">
        <v>3.8969924050000002</v>
      </c>
      <c r="K125" s="1">
        <v>2.620638279</v>
      </c>
      <c r="L125" s="1">
        <v>4.4838783849999997</v>
      </c>
      <c r="M125" s="1">
        <v>3.8521266660000002</v>
      </c>
      <c r="N125" s="1">
        <v>4.730225151</v>
      </c>
      <c r="O125" s="1">
        <v>4.9028628039999997</v>
      </c>
      <c r="P125" s="1">
        <v>4.2485661720000003</v>
      </c>
      <c r="Q125" s="1">
        <v>3.9718447549999998</v>
      </c>
      <c r="R125" s="1">
        <v>3.5594063970000001</v>
      </c>
      <c r="S125" s="1">
        <v>4.1304223819999999</v>
      </c>
      <c r="T125" s="1">
        <v>4.4838783849999997</v>
      </c>
      <c r="U125" s="1">
        <v>3.8521266660000002</v>
      </c>
      <c r="V125" s="1">
        <v>4.4559512029999997</v>
      </c>
      <c r="W125" s="1">
        <v>4.2295768090000001</v>
      </c>
      <c r="X125" s="1">
        <v>3.8119046220000001</v>
      </c>
      <c r="Y125" s="1">
        <v>3.9087436480000002</v>
      </c>
      <c r="Z125" s="1">
        <v>3.5594063970000001</v>
      </c>
      <c r="AA125" s="1">
        <v>4.1304223819999999</v>
      </c>
      <c r="AB125" s="1">
        <v>4.2729702720000002</v>
      </c>
      <c r="AC125" s="1">
        <v>4.415017905</v>
      </c>
      <c r="AD125" s="1">
        <v>4.5511338559999999</v>
      </c>
      <c r="AE125" s="1">
        <v>4.0105905760000002</v>
      </c>
    </row>
    <row r="126" spans="1:31" x14ac:dyDescent="0.25">
      <c r="A126" s="1" t="s">
        <v>214</v>
      </c>
      <c r="B126" s="1" t="s">
        <v>2557</v>
      </c>
      <c r="C126" s="1" t="s">
        <v>2680</v>
      </c>
      <c r="D126" s="1" t="s">
        <v>2712</v>
      </c>
      <c r="E126" s="1" t="s">
        <v>2715</v>
      </c>
      <c r="F126" s="1" t="s">
        <v>2716</v>
      </c>
      <c r="G126" s="1" t="s">
        <v>214</v>
      </c>
      <c r="H126" s="1">
        <v>5.1131742039999999</v>
      </c>
      <c r="I126" s="1">
        <v>5.3676718369999996</v>
      </c>
      <c r="J126" s="1">
        <v>2.8907526730000002</v>
      </c>
      <c r="K126" s="1">
        <v>3.607491666</v>
      </c>
      <c r="L126" s="1">
        <v>4.4478088219999998</v>
      </c>
      <c r="M126" s="1">
        <v>3.9251125939999998</v>
      </c>
      <c r="N126" s="1">
        <v>4.9001796750000004</v>
      </c>
      <c r="O126" s="1">
        <v>4.0289865369999998</v>
      </c>
      <c r="P126" s="1">
        <v>3.9684043939999998</v>
      </c>
      <c r="Q126" s="1">
        <v>3.56206471</v>
      </c>
      <c r="R126" s="1">
        <v>2.9339002829999998</v>
      </c>
      <c r="S126" s="1">
        <v>3.3463386960000001</v>
      </c>
      <c r="T126" s="1">
        <v>4.4478088219999998</v>
      </c>
      <c r="U126" s="1">
        <v>3.9251125939999998</v>
      </c>
      <c r="V126" s="1">
        <v>3.887436229</v>
      </c>
      <c r="W126" s="1">
        <v>3.8431653940000001</v>
      </c>
      <c r="X126" s="1">
        <v>3.7416722899999999</v>
      </c>
      <c r="Y126" s="1">
        <v>3.7705059300000001</v>
      </c>
      <c r="Z126" s="1">
        <v>2.9339002829999998</v>
      </c>
      <c r="AA126" s="1">
        <v>3.3463386960000001</v>
      </c>
      <c r="AB126" s="1">
        <v>3.1218319999999999</v>
      </c>
      <c r="AC126" s="1">
        <v>2.5506926650000001</v>
      </c>
      <c r="AD126" s="1">
        <v>3.5727029510000001</v>
      </c>
      <c r="AE126" s="1">
        <v>3.8196998459999998</v>
      </c>
    </row>
    <row r="127" spans="1:31" x14ac:dyDescent="0.25">
      <c r="A127" s="1" t="s">
        <v>217</v>
      </c>
      <c r="B127" s="1" t="s">
        <v>2539</v>
      </c>
      <c r="C127" s="1" t="s">
        <v>2563</v>
      </c>
      <c r="D127" s="1" t="s">
        <v>2535</v>
      </c>
      <c r="E127" s="1" t="s">
        <v>2717</v>
      </c>
      <c r="G127" s="1" t="s">
        <v>217</v>
      </c>
      <c r="H127" s="1">
        <v>6.5753846300000003</v>
      </c>
      <c r="I127" s="1">
        <v>6.4146507100000001</v>
      </c>
      <c r="J127" s="1">
        <v>6.6703645099999997</v>
      </c>
      <c r="K127" s="1">
        <v>6.4300937310000004</v>
      </c>
      <c r="L127" s="1">
        <v>7.3502848729999997</v>
      </c>
      <c r="M127" s="1">
        <v>7.1399009050000002</v>
      </c>
      <c r="N127" s="1">
        <v>6.8232102509999999</v>
      </c>
      <c r="O127" s="1">
        <v>6.6263910580000003</v>
      </c>
      <c r="P127" s="1">
        <v>6.7660226430000003</v>
      </c>
      <c r="Q127" s="1">
        <v>6.6635286550000004</v>
      </c>
      <c r="R127" s="1">
        <v>6.8379355119999996</v>
      </c>
      <c r="S127" s="1">
        <v>6.8810329960000001</v>
      </c>
      <c r="T127" s="1">
        <v>7.3502848729999997</v>
      </c>
      <c r="U127" s="1">
        <v>7.1399009050000002</v>
      </c>
      <c r="V127" s="1">
        <v>6.821147324</v>
      </c>
      <c r="W127" s="1">
        <v>6.8101283480000001</v>
      </c>
      <c r="X127" s="1">
        <v>6.7415831510000004</v>
      </c>
      <c r="Y127" s="1">
        <v>6.6058798599999999</v>
      </c>
      <c r="Z127" s="1">
        <v>6.8379355119999996</v>
      </c>
      <c r="AA127" s="1">
        <v>6.8810329960000001</v>
      </c>
      <c r="AB127" s="1">
        <v>6.679460873</v>
      </c>
      <c r="AC127" s="1">
        <v>6.9119300409999997</v>
      </c>
      <c r="AD127" s="1">
        <v>6.554572984</v>
      </c>
      <c r="AE127" s="1">
        <v>6.6570753529999998</v>
      </c>
    </row>
    <row r="128" spans="1:31" x14ac:dyDescent="0.25">
      <c r="A128" s="1" t="s">
        <v>220</v>
      </c>
      <c r="B128" s="1" t="s">
        <v>2557</v>
      </c>
      <c r="C128" s="1" t="s">
        <v>2718</v>
      </c>
      <c r="D128" s="1" t="s">
        <v>2719</v>
      </c>
      <c r="E128" s="1" t="s">
        <v>2720</v>
      </c>
      <c r="F128" s="1" t="s">
        <v>2721</v>
      </c>
      <c r="G128" s="1" t="s">
        <v>220</v>
      </c>
      <c r="H128" s="1">
        <v>6.5956218609999997</v>
      </c>
      <c r="I128" s="1">
        <v>7.0632988579999996</v>
      </c>
      <c r="J128" s="1">
        <v>6.4286153060000002</v>
      </c>
      <c r="K128" s="1">
        <v>6.3181776090000001</v>
      </c>
      <c r="L128" s="1">
        <v>6.7844310559999998</v>
      </c>
      <c r="M128" s="1">
        <v>6.6194403580000003</v>
      </c>
      <c r="N128" s="1">
        <v>6.282777512</v>
      </c>
      <c r="O128" s="1">
        <v>6.4668479379999999</v>
      </c>
      <c r="P128" s="1">
        <v>6.2775910990000003</v>
      </c>
      <c r="Q128" s="1">
        <v>6.9023327999999999</v>
      </c>
      <c r="R128" s="1">
        <v>5.458747732</v>
      </c>
      <c r="S128" s="1">
        <v>5.6781703969999997</v>
      </c>
      <c r="T128" s="1">
        <v>6.7844310559999998</v>
      </c>
      <c r="U128" s="1">
        <v>6.6194403580000003</v>
      </c>
      <c r="V128" s="1">
        <v>6.9185169750000002</v>
      </c>
      <c r="W128" s="1">
        <v>6.657303325</v>
      </c>
      <c r="X128" s="1">
        <v>6.0057221949999997</v>
      </c>
      <c r="Y128" s="1">
        <v>6.5062933870000004</v>
      </c>
      <c r="Z128" s="1">
        <v>5.458747732</v>
      </c>
      <c r="AA128" s="1">
        <v>5.6781703969999997</v>
      </c>
      <c r="AB128" s="1">
        <v>5.2406211000000003</v>
      </c>
      <c r="AC128" s="1">
        <v>5.6386390840000002</v>
      </c>
      <c r="AD128" s="1">
        <v>5.7351750150000003</v>
      </c>
      <c r="AE128" s="1">
        <v>6.4319108390000004</v>
      </c>
    </row>
    <row r="129" spans="1:31" x14ac:dyDescent="0.25">
      <c r="A129" s="1" t="s">
        <v>222</v>
      </c>
      <c r="B129" s="1" t="s">
        <v>2667</v>
      </c>
      <c r="C129" s="1" t="s">
        <v>2668</v>
      </c>
      <c r="D129" s="1" t="s">
        <v>2669</v>
      </c>
      <c r="E129" s="1" t="s">
        <v>2722</v>
      </c>
      <c r="F129" s="1" t="s">
        <v>2723</v>
      </c>
      <c r="G129" s="1" t="s">
        <v>222</v>
      </c>
      <c r="H129" s="1">
        <v>6.1242673779999999</v>
      </c>
      <c r="I129" s="1">
        <v>6.3563108719999999</v>
      </c>
      <c r="J129" s="1">
        <v>6.3513642939999997</v>
      </c>
      <c r="K129" s="1">
        <v>6.5339269729999998</v>
      </c>
      <c r="L129" s="1">
        <v>6.777341389</v>
      </c>
      <c r="M129" s="1">
        <v>6.8944446109999999</v>
      </c>
      <c r="N129" s="1">
        <v>7.1233975809999999</v>
      </c>
      <c r="O129" s="1">
        <v>7.1757189309999996</v>
      </c>
      <c r="P129" s="1">
        <v>6.7077294260000002</v>
      </c>
      <c r="Q129" s="1">
        <v>6.9456850320000001</v>
      </c>
      <c r="R129" s="1">
        <v>6.5512588940000001</v>
      </c>
      <c r="S129" s="1">
        <v>6.8669102400000002</v>
      </c>
      <c r="T129" s="1">
        <v>6.777341389</v>
      </c>
      <c r="U129" s="1">
        <v>6.8944446109999999</v>
      </c>
      <c r="V129" s="1">
        <v>6.258213456</v>
      </c>
      <c r="W129" s="1">
        <v>6.5309970670000004</v>
      </c>
      <c r="X129" s="1">
        <v>6.8788394439999996</v>
      </c>
      <c r="Y129" s="1">
        <v>6.6249961490000002</v>
      </c>
      <c r="Z129" s="1">
        <v>6.5512588940000001</v>
      </c>
      <c r="AA129" s="1">
        <v>6.8669102400000002</v>
      </c>
      <c r="AB129" s="1">
        <v>6.6320802959999998</v>
      </c>
      <c r="AC129" s="1">
        <v>6.7757000749999996</v>
      </c>
      <c r="AD129" s="1">
        <v>6.6638698749999996</v>
      </c>
      <c r="AE129" s="1">
        <v>6.5042429439999996</v>
      </c>
    </row>
    <row r="130" spans="1:31" x14ac:dyDescent="0.25">
      <c r="A130" s="1" t="s">
        <v>223</v>
      </c>
      <c r="B130" s="1" t="s">
        <v>2539</v>
      </c>
      <c r="C130" s="1" t="s">
        <v>2606</v>
      </c>
      <c r="D130" s="1" t="s">
        <v>2724</v>
      </c>
      <c r="E130" s="1" t="s">
        <v>2725</v>
      </c>
      <c r="F130" s="1" t="s">
        <v>2726</v>
      </c>
      <c r="G130" s="1" t="s">
        <v>223</v>
      </c>
      <c r="H130" s="1">
        <v>7.0992043760000003</v>
      </c>
      <c r="I130" s="1">
        <v>7.3686145730000003</v>
      </c>
      <c r="J130" s="1">
        <v>6.7627112289999998</v>
      </c>
      <c r="K130" s="1">
        <v>6.9637453809999998</v>
      </c>
      <c r="L130" s="1">
        <v>7.0719721079999998</v>
      </c>
      <c r="M130" s="1">
        <v>6.9116068830000001</v>
      </c>
      <c r="N130" s="1">
        <v>7.8805119330000002</v>
      </c>
      <c r="O130" s="1">
        <v>7.6802284939999996</v>
      </c>
      <c r="P130" s="1">
        <v>6.8082443379999997</v>
      </c>
      <c r="Q130" s="1">
        <v>6.4790268769999999</v>
      </c>
      <c r="R130" s="1">
        <v>6.6590761939999998</v>
      </c>
      <c r="S130" s="1">
        <v>6.6856618179999998</v>
      </c>
      <c r="T130" s="1">
        <v>7.0719721079999998</v>
      </c>
      <c r="U130" s="1">
        <v>6.9116068830000001</v>
      </c>
      <c r="V130" s="1">
        <v>7.1862491420000003</v>
      </c>
      <c r="W130" s="1">
        <v>6.863500084</v>
      </c>
      <c r="X130" s="1">
        <v>7.1063290629999996</v>
      </c>
      <c r="Y130" s="1">
        <v>6.9469657070000004</v>
      </c>
      <c r="Z130" s="1">
        <v>6.6590761939999998</v>
      </c>
      <c r="AA130" s="1">
        <v>6.6856618179999998</v>
      </c>
      <c r="AB130" s="1">
        <v>6.6077920450000001</v>
      </c>
      <c r="AC130" s="1">
        <v>6.8723966970000001</v>
      </c>
      <c r="AD130" s="1">
        <v>6.9636701729999997</v>
      </c>
      <c r="AE130" s="1">
        <v>7.1763997049999997</v>
      </c>
    </row>
    <row r="131" spans="1:31" x14ac:dyDescent="0.25">
      <c r="A131" s="1" t="s">
        <v>224</v>
      </c>
      <c r="B131" s="1" t="s">
        <v>2520</v>
      </c>
      <c r="C131" s="1" t="s">
        <v>2646</v>
      </c>
      <c r="D131" s="1" t="s">
        <v>2535</v>
      </c>
      <c r="E131" s="1" t="s">
        <v>2727</v>
      </c>
      <c r="G131" s="1" t="s">
        <v>224</v>
      </c>
      <c r="H131" s="1">
        <v>6.6738400520000001</v>
      </c>
      <c r="I131" s="1">
        <v>6.7223161380000001</v>
      </c>
      <c r="J131" s="1">
        <v>7.0459985720000002</v>
      </c>
      <c r="K131" s="1">
        <v>7.5233248289999999</v>
      </c>
      <c r="L131" s="1">
        <v>7.4110643600000001</v>
      </c>
      <c r="M131" s="1">
        <v>6.8770753869999997</v>
      </c>
      <c r="N131" s="1">
        <v>7.9043546280000001</v>
      </c>
      <c r="O131" s="1">
        <v>7.6380877180000004</v>
      </c>
      <c r="P131" s="1">
        <v>6.7802345329999998</v>
      </c>
      <c r="Q131" s="1">
        <v>6.3980489909999996</v>
      </c>
      <c r="R131" s="1">
        <v>6.7267142719999997</v>
      </c>
      <c r="S131" s="1">
        <v>6.5149715439999998</v>
      </c>
      <c r="T131" s="1">
        <v>7.4110643600000001</v>
      </c>
      <c r="U131" s="1">
        <v>6.8770753869999997</v>
      </c>
      <c r="V131" s="1">
        <v>6.0372236819999996</v>
      </c>
      <c r="W131" s="1">
        <v>6.8459283500000003</v>
      </c>
      <c r="X131" s="1">
        <v>6.6632496019999996</v>
      </c>
      <c r="Y131" s="1">
        <v>6.1044436219999998</v>
      </c>
      <c r="Z131" s="1">
        <v>6.7267142719999997</v>
      </c>
      <c r="AA131" s="1">
        <v>6.5149715439999998</v>
      </c>
      <c r="AB131" s="1">
        <v>6.557950226</v>
      </c>
      <c r="AC131" s="1">
        <v>6.4923770970000003</v>
      </c>
      <c r="AD131" s="1">
        <v>6.6102586299999997</v>
      </c>
      <c r="AE131" s="1">
        <v>6.7786663870000003</v>
      </c>
    </row>
    <row r="132" spans="1:31" x14ac:dyDescent="0.25">
      <c r="A132" s="1" t="s">
        <v>225</v>
      </c>
      <c r="B132" s="1" t="s">
        <v>2557</v>
      </c>
      <c r="C132" s="1" t="s">
        <v>2558</v>
      </c>
      <c r="D132" s="1" t="s">
        <v>2535</v>
      </c>
      <c r="E132" s="1" t="s">
        <v>2728</v>
      </c>
      <c r="F132" s="1" t="s">
        <v>2729</v>
      </c>
      <c r="G132" s="1" t="s">
        <v>225</v>
      </c>
      <c r="H132" s="1">
        <v>2.9945681560000001</v>
      </c>
      <c r="I132" s="1">
        <v>3.7806045529999999</v>
      </c>
      <c r="J132" s="1">
        <v>4.5240842389999996</v>
      </c>
      <c r="K132" s="1">
        <v>4.4318297590000002</v>
      </c>
      <c r="L132" s="1">
        <v>4.9098563420000003</v>
      </c>
      <c r="M132" s="1">
        <v>5.5973531489999999</v>
      </c>
      <c r="N132" s="1">
        <v>3.344961128</v>
      </c>
      <c r="O132" s="1">
        <v>1.7393328349999999</v>
      </c>
      <c r="P132" s="1">
        <v>4.3303557189999999</v>
      </c>
      <c r="Q132" s="1">
        <v>4.2835653880000004</v>
      </c>
      <c r="R132" s="1">
        <v>4.8735636449999999</v>
      </c>
      <c r="S132" s="1">
        <v>4.8699614389999999</v>
      </c>
      <c r="T132" s="1">
        <v>4.9098563420000003</v>
      </c>
      <c r="U132" s="1">
        <v>5.5973531489999999</v>
      </c>
      <c r="V132" s="1">
        <v>4.4559512029999997</v>
      </c>
      <c r="W132" s="1">
        <v>3.8431653940000001</v>
      </c>
      <c r="X132" s="1">
        <v>4.3627028770000003</v>
      </c>
      <c r="Y132" s="1">
        <v>5.2297915760000002</v>
      </c>
      <c r="Z132" s="1">
        <v>4.8735636449999999</v>
      </c>
      <c r="AA132" s="1">
        <v>4.8699614389999999</v>
      </c>
      <c r="AB132" s="1">
        <v>4.705867896</v>
      </c>
      <c r="AC132" s="1">
        <v>4.3377211620000002</v>
      </c>
      <c r="AD132" s="1">
        <v>4.6264106470000002</v>
      </c>
      <c r="AE132" s="1">
        <v>4.2286559190000004</v>
      </c>
    </row>
    <row r="133" spans="1:31" x14ac:dyDescent="0.25">
      <c r="A133" s="1" t="s">
        <v>226</v>
      </c>
      <c r="B133" s="1" t="s">
        <v>2598</v>
      </c>
      <c r="C133" s="1" t="s">
        <v>2603</v>
      </c>
      <c r="D133" s="1" t="s">
        <v>2730</v>
      </c>
      <c r="E133" s="1" t="s">
        <v>2731</v>
      </c>
      <c r="F133" s="1" t="s">
        <v>2732</v>
      </c>
      <c r="G133" s="1" t="s">
        <v>226</v>
      </c>
      <c r="H133" s="1">
        <v>4.7245801409999997</v>
      </c>
      <c r="I133" s="1">
        <v>4.903725959</v>
      </c>
      <c r="J133" s="1">
        <v>5.4400990890000003</v>
      </c>
      <c r="K133" s="1">
        <v>5.3151275040000003</v>
      </c>
      <c r="L133" s="1">
        <v>6.3972692809999998</v>
      </c>
      <c r="M133" s="1">
        <v>6.1833887049999996</v>
      </c>
      <c r="N133" s="1">
        <v>5.3135718379999997</v>
      </c>
      <c r="O133" s="1">
        <v>5.0724039640000003</v>
      </c>
      <c r="P133" s="1">
        <v>6.1298655379999998</v>
      </c>
      <c r="Q133" s="1">
        <v>6.2673322389999999</v>
      </c>
      <c r="R133" s="1">
        <v>5.57388789</v>
      </c>
      <c r="S133" s="1">
        <v>6.2576799799999998</v>
      </c>
      <c r="T133" s="1">
        <v>6.3972692809999998</v>
      </c>
      <c r="U133" s="1">
        <v>6.1833887049999996</v>
      </c>
      <c r="V133" s="1">
        <v>6.2394706979999999</v>
      </c>
      <c r="W133" s="1">
        <v>6.156075682</v>
      </c>
      <c r="X133" s="1">
        <v>6.6361617290000003</v>
      </c>
      <c r="Y133" s="1">
        <v>6.4430557039999998</v>
      </c>
      <c r="Z133" s="1">
        <v>5.57388789</v>
      </c>
      <c r="AA133" s="1">
        <v>6.2576799799999998</v>
      </c>
      <c r="AB133" s="1">
        <v>6.2789960090000001</v>
      </c>
      <c r="AC133" s="1">
        <v>6.4571567910000001</v>
      </c>
      <c r="AD133" s="1">
        <v>6.4362874889999997</v>
      </c>
      <c r="AE133" s="1">
        <v>6.2634584459999996</v>
      </c>
    </row>
    <row r="134" spans="1:31" x14ac:dyDescent="0.25">
      <c r="A134" s="1" t="s">
        <v>227</v>
      </c>
      <c r="B134" s="1" t="s">
        <v>2520</v>
      </c>
      <c r="C134" s="1" t="s">
        <v>2646</v>
      </c>
      <c r="D134" s="1" t="s">
        <v>2733</v>
      </c>
      <c r="E134" s="1" t="s">
        <v>2734</v>
      </c>
      <c r="F134" s="1" t="s">
        <v>2735</v>
      </c>
      <c r="G134" s="1" t="s">
        <v>227</v>
      </c>
      <c r="H134" s="1">
        <v>10.73075053</v>
      </c>
      <c r="I134" s="1">
        <v>10.200737950000001</v>
      </c>
      <c r="J134" s="1">
        <v>12.1262382</v>
      </c>
      <c r="K134" s="1">
        <v>11.90990517</v>
      </c>
      <c r="L134" s="1">
        <v>11.77968965</v>
      </c>
      <c r="M134" s="1">
        <v>12.086520459999999</v>
      </c>
      <c r="N134" s="1">
        <v>8.9487857399999999</v>
      </c>
      <c r="O134" s="1">
        <v>9.0229324470000005</v>
      </c>
      <c r="P134" s="1">
        <v>11.905628119999999</v>
      </c>
      <c r="Q134" s="1">
        <v>11.926472390000001</v>
      </c>
      <c r="R134" s="1">
        <v>12.341988389999999</v>
      </c>
      <c r="S134" s="1">
        <v>12.25241055</v>
      </c>
      <c r="T134" s="1">
        <v>11.77968965</v>
      </c>
      <c r="U134" s="1">
        <v>12.086520459999999</v>
      </c>
      <c r="V134" s="1">
        <v>11.907842029999999</v>
      </c>
      <c r="W134" s="1">
        <v>11.987380549999999</v>
      </c>
      <c r="X134" s="1">
        <v>11.925927189999999</v>
      </c>
      <c r="Y134" s="1">
        <v>11.76027612</v>
      </c>
      <c r="Z134" s="1">
        <v>12.341988389999999</v>
      </c>
      <c r="AA134" s="1">
        <v>12.25241055</v>
      </c>
      <c r="AB134" s="1">
        <v>12.130554289999999</v>
      </c>
      <c r="AC134" s="1">
        <v>12.10209517</v>
      </c>
      <c r="AD134" s="1">
        <v>11.952610290000001</v>
      </c>
      <c r="AE134" s="1">
        <v>11.91105424</v>
      </c>
    </row>
    <row r="135" spans="1:31" x14ac:dyDescent="0.25">
      <c r="A135" s="1" t="s">
        <v>228</v>
      </c>
      <c r="B135" s="1" t="s">
        <v>2520</v>
      </c>
      <c r="C135" s="1" t="s">
        <v>2646</v>
      </c>
      <c r="D135" s="1" t="s">
        <v>2733</v>
      </c>
      <c r="E135" s="1" t="s">
        <v>2736</v>
      </c>
      <c r="F135" s="1" t="s">
        <v>2737</v>
      </c>
      <c r="G135" s="1" t="s">
        <v>228</v>
      </c>
      <c r="H135" s="1">
        <v>8.4334411150000008</v>
      </c>
      <c r="I135" s="1">
        <v>7.6928463459999996</v>
      </c>
      <c r="J135" s="1">
        <v>9.6404255150000004</v>
      </c>
      <c r="K135" s="1">
        <v>9.3166798649999993</v>
      </c>
      <c r="L135" s="1">
        <v>9.5868039219999996</v>
      </c>
      <c r="M135" s="1">
        <v>9.8807097909999992</v>
      </c>
      <c r="N135" s="1">
        <v>6.2207206929999996</v>
      </c>
      <c r="O135" s="1">
        <v>6.45474543</v>
      </c>
      <c r="P135" s="1">
        <v>9.7843225189999998</v>
      </c>
      <c r="Q135" s="1">
        <v>9.6640798060000002</v>
      </c>
      <c r="R135" s="1">
        <v>10.08006679</v>
      </c>
      <c r="S135" s="1">
        <v>10.00203291</v>
      </c>
      <c r="T135" s="1">
        <v>9.5868039219999996</v>
      </c>
      <c r="U135" s="1">
        <v>9.8807097909999992</v>
      </c>
      <c r="V135" s="1">
        <v>9.6482349799999998</v>
      </c>
      <c r="W135" s="1">
        <v>9.7743048619999993</v>
      </c>
      <c r="X135" s="1">
        <v>9.7233164819999995</v>
      </c>
      <c r="Y135" s="1">
        <v>9.3421212350000005</v>
      </c>
      <c r="Z135" s="1">
        <v>10.08006679</v>
      </c>
      <c r="AA135" s="1">
        <v>10.00203291</v>
      </c>
      <c r="AB135" s="1">
        <v>9.9158253980000008</v>
      </c>
      <c r="AC135" s="1">
        <v>9.9512595360000002</v>
      </c>
      <c r="AD135" s="1">
        <v>9.6074704939999993</v>
      </c>
      <c r="AE135" s="1">
        <v>9.3653057480000008</v>
      </c>
    </row>
    <row r="136" spans="1:31" x14ac:dyDescent="0.25">
      <c r="A136" s="1" t="s">
        <v>229</v>
      </c>
      <c r="B136" s="1" t="s">
        <v>2547</v>
      </c>
      <c r="C136" s="1" t="s">
        <v>2694</v>
      </c>
      <c r="D136" s="1" t="s">
        <v>2695</v>
      </c>
      <c r="E136" s="1" t="s">
        <v>2738</v>
      </c>
      <c r="G136" s="1" t="s">
        <v>229</v>
      </c>
      <c r="H136" s="1">
        <v>6.7114110580000004</v>
      </c>
      <c r="I136" s="1">
        <v>6.0227272230000004</v>
      </c>
      <c r="J136" s="1">
        <v>6.5019279570000004</v>
      </c>
      <c r="K136" s="1">
        <v>7.0220088839999999</v>
      </c>
      <c r="L136" s="1">
        <v>6.1884529439999998</v>
      </c>
      <c r="M136" s="1">
        <v>5.8857020010000003</v>
      </c>
      <c r="N136" s="1">
        <v>6.1154934519999999</v>
      </c>
      <c r="O136" s="1">
        <v>6.1287443579999996</v>
      </c>
      <c r="P136" s="1">
        <v>6.4653336469999996</v>
      </c>
      <c r="Q136" s="1">
        <v>6.2673322389999999</v>
      </c>
      <c r="R136" s="1">
        <v>6.3514004780000004</v>
      </c>
      <c r="S136" s="1">
        <v>5.8024660560000001</v>
      </c>
      <c r="T136" s="1">
        <v>6.1884529439999998</v>
      </c>
      <c r="U136" s="1">
        <v>5.8857020010000003</v>
      </c>
      <c r="V136" s="1">
        <v>6.433314288</v>
      </c>
      <c r="W136" s="1">
        <v>6.4165513509999998</v>
      </c>
      <c r="X136" s="1">
        <v>6.1910758819999998</v>
      </c>
      <c r="Y136" s="1">
        <v>5.9909787290000001</v>
      </c>
      <c r="Z136" s="1">
        <v>6.3514004780000004</v>
      </c>
      <c r="AA136" s="1">
        <v>5.8024660560000001</v>
      </c>
      <c r="AB136" s="1">
        <v>6.4527679449999997</v>
      </c>
      <c r="AC136" s="1">
        <v>6.0234746389999998</v>
      </c>
      <c r="AD136" s="1">
        <v>6.5162149180000002</v>
      </c>
      <c r="AE136" s="1">
        <v>6.2272627849999997</v>
      </c>
    </row>
    <row r="137" spans="1:31" x14ac:dyDescent="0.25">
      <c r="A137" s="1" t="s">
        <v>230</v>
      </c>
      <c r="B137" s="1" t="s">
        <v>2547</v>
      </c>
      <c r="C137" s="1" t="s">
        <v>2566</v>
      </c>
      <c r="D137" s="1" t="s">
        <v>2739</v>
      </c>
      <c r="E137" s="1" t="s">
        <v>2740</v>
      </c>
      <c r="F137" s="1" t="s">
        <v>2741</v>
      </c>
      <c r="G137" s="1" t="s">
        <v>230</v>
      </c>
      <c r="H137" s="1">
        <v>8.1759109589999994</v>
      </c>
      <c r="I137" s="1">
        <v>7.8698649889999999</v>
      </c>
      <c r="J137" s="1">
        <v>8.5176412619999997</v>
      </c>
      <c r="K137" s="1">
        <v>8.6107051079999994</v>
      </c>
      <c r="L137" s="1">
        <v>7.9539711520000003</v>
      </c>
      <c r="M137" s="1">
        <v>8.1643575839999993</v>
      </c>
      <c r="N137" s="1">
        <v>7.3659893219999999</v>
      </c>
      <c r="O137" s="1">
        <v>7.2958072559999998</v>
      </c>
      <c r="P137" s="1">
        <v>8.3214150700000005</v>
      </c>
      <c r="Q137" s="1">
        <v>8.4437214560000005</v>
      </c>
      <c r="R137" s="1">
        <v>8.4934176969999999</v>
      </c>
      <c r="S137" s="1">
        <v>8.3160575510000001</v>
      </c>
      <c r="T137" s="1">
        <v>7.9539711520000003</v>
      </c>
      <c r="U137" s="1">
        <v>8.1643575839999993</v>
      </c>
      <c r="V137" s="1">
        <v>8.1281616769999996</v>
      </c>
      <c r="W137" s="1">
        <v>7.8579126600000002</v>
      </c>
      <c r="X137" s="1">
        <v>7.777576474</v>
      </c>
      <c r="Y137" s="1">
        <v>7.7605754830000002</v>
      </c>
      <c r="Z137" s="1">
        <v>8.4934176969999999</v>
      </c>
      <c r="AA137" s="1">
        <v>8.3160575510000001</v>
      </c>
      <c r="AB137" s="1">
        <v>8.2017763959999996</v>
      </c>
      <c r="AC137" s="1">
        <v>8.1059307710000006</v>
      </c>
      <c r="AD137" s="1">
        <v>7.9614378129999999</v>
      </c>
      <c r="AE137" s="1">
        <v>8.0567229969999996</v>
      </c>
    </row>
    <row r="138" spans="1:31" x14ac:dyDescent="0.25">
      <c r="A138" s="1" t="s">
        <v>241</v>
      </c>
      <c r="B138" s="1" t="s">
        <v>2530</v>
      </c>
      <c r="C138" s="1" t="s">
        <v>2531</v>
      </c>
      <c r="D138" s="1" t="s">
        <v>2535</v>
      </c>
      <c r="E138" s="1" t="s">
        <v>2536</v>
      </c>
      <c r="G138" s="1" t="s">
        <v>241</v>
      </c>
      <c r="H138" s="1">
        <v>3.9421380259999999</v>
      </c>
      <c r="I138" s="1">
        <v>3.7806045529999999</v>
      </c>
      <c r="J138" s="1">
        <v>2.8907526730000002</v>
      </c>
      <c r="K138" s="1">
        <v>3.607491666</v>
      </c>
      <c r="L138" s="1">
        <v>4.1188213390000001</v>
      </c>
      <c r="M138" s="1">
        <v>2.8639998100000001</v>
      </c>
      <c r="N138" s="1">
        <v>3.622455167</v>
      </c>
      <c r="O138" s="1">
        <v>3.6346882059999999</v>
      </c>
      <c r="P138" s="1">
        <v>3.3003929539999999</v>
      </c>
      <c r="Q138" s="1">
        <v>3.56206471</v>
      </c>
      <c r="R138" s="1">
        <v>3.1834741979999999</v>
      </c>
      <c r="S138" s="1">
        <v>3.6647387380000001</v>
      </c>
      <c r="T138" s="1">
        <v>4.1188213390000001</v>
      </c>
      <c r="U138" s="1">
        <v>2.8639998100000001</v>
      </c>
      <c r="V138" s="1">
        <v>3.2389700330000002</v>
      </c>
      <c r="W138" s="1">
        <v>3.6840067150000002</v>
      </c>
      <c r="X138" s="1">
        <v>4.1154863700000002</v>
      </c>
      <c r="Y138" s="1">
        <v>3.229986142</v>
      </c>
      <c r="Z138" s="1">
        <v>3.1834741979999999</v>
      </c>
      <c r="AA138" s="1">
        <v>3.6647387380000001</v>
      </c>
      <c r="AB138" s="1">
        <v>3.8237667059999998</v>
      </c>
      <c r="AC138" s="1">
        <v>4.2557864319999998</v>
      </c>
      <c r="AD138" s="1">
        <v>3.3987395579999999</v>
      </c>
      <c r="AE138" s="1">
        <v>3.419797387</v>
      </c>
    </row>
    <row r="139" spans="1:31" x14ac:dyDescent="0.25">
      <c r="A139" s="1" t="s">
        <v>242</v>
      </c>
      <c r="B139" s="1" t="s">
        <v>2530</v>
      </c>
      <c r="C139" s="1" t="s">
        <v>2531</v>
      </c>
      <c r="D139" s="1" t="s">
        <v>2535</v>
      </c>
      <c r="E139" s="1" t="s">
        <v>2742</v>
      </c>
      <c r="G139" s="1" t="s">
        <v>242</v>
      </c>
      <c r="H139" s="1">
        <v>2.9945681560000001</v>
      </c>
      <c r="I139" s="1">
        <v>3.7806045529999999</v>
      </c>
      <c r="J139" s="1">
        <v>3.329519721</v>
      </c>
      <c r="K139" s="1">
        <v>2.9677134359999999</v>
      </c>
      <c r="L139" s="1">
        <v>3.6811173419999998</v>
      </c>
      <c r="M139" s="1">
        <v>4.059937712</v>
      </c>
      <c r="N139" s="1">
        <v>3.7779028299999999</v>
      </c>
      <c r="O139" s="1">
        <v>3.7238257350000001</v>
      </c>
      <c r="P139" s="1">
        <v>3.106446558</v>
      </c>
      <c r="Q139" s="1">
        <v>3.185675432</v>
      </c>
      <c r="R139" s="1">
        <v>3.7109484589999999</v>
      </c>
      <c r="S139" s="1">
        <v>2.9034795349999998</v>
      </c>
      <c r="T139" s="1">
        <v>3.6811173419999998</v>
      </c>
      <c r="U139" s="1">
        <v>4.059937712</v>
      </c>
      <c r="V139" s="1">
        <v>3.0516113059999999</v>
      </c>
      <c r="W139" s="1">
        <v>2.6606351240000001</v>
      </c>
      <c r="X139" s="1">
        <v>3.7416722899999999</v>
      </c>
      <c r="Y139" s="1">
        <v>3.7705059300000001</v>
      </c>
      <c r="Z139" s="1">
        <v>3.7109484589999999</v>
      </c>
      <c r="AA139" s="1">
        <v>2.9034795349999998</v>
      </c>
      <c r="AB139" s="1">
        <v>3.990981031</v>
      </c>
      <c r="AC139" s="1">
        <v>4.3377211620000002</v>
      </c>
      <c r="AD139" s="1">
        <v>3.984188064</v>
      </c>
      <c r="AE139" s="1">
        <v>4.0105905760000002</v>
      </c>
    </row>
    <row r="140" spans="1:31" x14ac:dyDescent="0.25">
      <c r="A140" s="1" t="s">
        <v>243</v>
      </c>
      <c r="B140" s="1" t="s">
        <v>2530</v>
      </c>
      <c r="C140" s="1" t="s">
        <v>2531</v>
      </c>
      <c r="D140" s="1" t="s">
        <v>2535</v>
      </c>
      <c r="E140" s="1" t="s">
        <v>2536</v>
      </c>
      <c r="G140" s="1" t="s">
        <v>243</v>
      </c>
      <c r="H140" s="1">
        <v>4.2900513550000001</v>
      </c>
      <c r="I140" s="1">
        <v>4.8477128089999999</v>
      </c>
      <c r="J140" s="1">
        <v>4.1077874330000004</v>
      </c>
      <c r="K140" s="1">
        <v>4.941717659</v>
      </c>
      <c r="L140" s="1">
        <v>4.6825378889999998</v>
      </c>
      <c r="M140" s="1">
        <v>4.6276332350000002</v>
      </c>
      <c r="N140" s="1">
        <v>5.0227480880000002</v>
      </c>
      <c r="O140" s="1">
        <v>5.4853382609999999</v>
      </c>
      <c r="P140" s="1">
        <v>4.5499605860000001</v>
      </c>
      <c r="Q140" s="1">
        <v>4.18747588</v>
      </c>
      <c r="R140" s="1">
        <v>4.1841942410000001</v>
      </c>
      <c r="S140" s="1">
        <v>4.0285685429999996</v>
      </c>
      <c r="T140" s="1">
        <v>4.6825378889999998</v>
      </c>
      <c r="U140" s="1">
        <v>4.6276332350000002</v>
      </c>
      <c r="V140" s="1">
        <v>3.9849921849999999</v>
      </c>
      <c r="W140" s="1">
        <v>4.6166922860000001</v>
      </c>
      <c r="X140" s="1">
        <v>4.3167291810000004</v>
      </c>
      <c r="Y140" s="1">
        <v>4.6081171230000004</v>
      </c>
      <c r="Z140" s="1">
        <v>4.1841942410000001</v>
      </c>
      <c r="AA140" s="1">
        <v>4.0285685429999996</v>
      </c>
      <c r="AB140" s="1">
        <v>5.4196851610000003</v>
      </c>
      <c r="AC140" s="1">
        <v>4.6870272159999997</v>
      </c>
      <c r="AD140" s="1">
        <v>4.95179218</v>
      </c>
      <c r="AE140" s="1">
        <v>4.3257514669999999</v>
      </c>
    </row>
    <row r="141" spans="1:31" x14ac:dyDescent="0.25">
      <c r="A141" s="1" t="s">
        <v>244</v>
      </c>
      <c r="B141" s="1" t="s">
        <v>2520</v>
      </c>
      <c r="C141" s="1" t="s">
        <v>2743</v>
      </c>
      <c r="D141" s="1" t="s">
        <v>2744</v>
      </c>
      <c r="E141" s="1" t="s">
        <v>2745</v>
      </c>
      <c r="F141" s="1" t="s">
        <v>2746</v>
      </c>
      <c r="G141" s="1" t="s">
        <v>244</v>
      </c>
      <c r="H141" s="1">
        <v>7.0560670449999998</v>
      </c>
      <c r="I141" s="1">
        <v>6.4889292899999997</v>
      </c>
      <c r="J141" s="1">
        <v>7.0822770159999999</v>
      </c>
      <c r="K141" s="1">
        <v>7.209164833</v>
      </c>
      <c r="L141" s="1">
        <v>7.3879899020000002</v>
      </c>
      <c r="M141" s="1">
        <v>7.2983125720000004</v>
      </c>
      <c r="N141" s="1">
        <v>6.9355293360000001</v>
      </c>
      <c r="O141" s="1">
        <v>6.9005793139999998</v>
      </c>
      <c r="P141" s="1">
        <v>7.0146380060000002</v>
      </c>
      <c r="Q141" s="1">
        <v>7.0552915670000003</v>
      </c>
      <c r="R141" s="1">
        <v>7.270552726</v>
      </c>
      <c r="S141" s="1">
        <v>7.0654596190000003</v>
      </c>
      <c r="T141" s="1">
        <v>7.3879899020000002</v>
      </c>
      <c r="U141" s="1">
        <v>7.2983125720000004</v>
      </c>
      <c r="V141" s="1">
        <v>7.1466161049999997</v>
      </c>
      <c r="W141" s="1">
        <v>6.8101283480000001</v>
      </c>
      <c r="X141" s="1">
        <v>7.0730669339999999</v>
      </c>
      <c r="Y141" s="1">
        <v>6.5865062539999997</v>
      </c>
      <c r="Z141" s="1">
        <v>7.270552726</v>
      </c>
      <c r="AA141" s="1">
        <v>7.0654596190000003</v>
      </c>
      <c r="AB141" s="1">
        <v>6.8547782980000003</v>
      </c>
      <c r="AC141" s="1">
        <v>6.8039964739999998</v>
      </c>
      <c r="AD141" s="1">
        <v>6.7323805009999997</v>
      </c>
      <c r="AE141" s="1">
        <v>6.875292773</v>
      </c>
    </row>
    <row r="142" spans="1:31" x14ac:dyDescent="0.25">
      <c r="A142" s="1" t="s">
        <v>245</v>
      </c>
      <c r="B142" s="1" t="s">
        <v>2520</v>
      </c>
      <c r="C142" s="1" t="s">
        <v>2743</v>
      </c>
      <c r="D142" s="1" t="s">
        <v>2744</v>
      </c>
      <c r="E142" s="1" t="s">
        <v>2747</v>
      </c>
      <c r="F142" s="1" t="s">
        <v>2748</v>
      </c>
      <c r="G142" s="1" t="s">
        <v>245</v>
      </c>
      <c r="H142" s="1">
        <v>7.2082969639999996</v>
      </c>
      <c r="I142" s="1">
        <v>7.298132742</v>
      </c>
      <c r="J142" s="1">
        <v>8.1643658670000008</v>
      </c>
      <c r="K142" s="1">
        <v>7.8061993789999997</v>
      </c>
      <c r="L142" s="1">
        <v>7.5505902989999996</v>
      </c>
      <c r="M142" s="1">
        <v>7.73404632</v>
      </c>
      <c r="N142" s="1">
        <v>7.6554779960000001</v>
      </c>
      <c r="O142" s="1">
        <v>7.949379564</v>
      </c>
      <c r="P142" s="1">
        <v>7.4912292100000002</v>
      </c>
      <c r="Q142" s="1">
        <v>7.5430688720000001</v>
      </c>
      <c r="R142" s="1">
        <v>7.6207251070000002</v>
      </c>
      <c r="S142" s="1">
        <v>7.8690676440000003</v>
      </c>
      <c r="T142" s="1">
        <v>7.5505902989999996</v>
      </c>
      <c r="U142" s="1">
        <v>7.73404632</v>
      </c>
      <c r="V142" s="1">
        <v>7.8235243289999996</v>
      </c>
      <c r="W142" s="1">
        <v>7.7581706329999998</v>
      </c>
      <c r="X142" s="1">
        <v>7.4602402149999998</v>
      </c>
      <c r="Y142" s="1">
        <v>7.5165168270000002</v>
      </c>
      <c r="Z142" s="1">
        <v>7.6207251070000002</v>
      </c>
      <c r="AA142" s="1">
        <v>7.8690676440000003</v>
      </c>
      <c r="AB142" s="1">
        <v>7.5839343819999998</v>
      </c>
      <c r="AC142" s="1">
        <v>7.7023418179999998</v>
      </c>
      <c r="AD142" s="1">
        <v>7.4741128190000001</v>
      </c>
      <c r="AE142" s="1">
        <v>7.387629553</v>
      </c>
    </row>
    <row r="143" spans="1:31" x14ac:dyDescent="0.25">
      <c r="A143" s="1" t="s">
        <v>246</v>
      </c>
      <c r="B143" s="1" t="s">
        <v>2525</v>
      </c>
      <c r="C143" s="1" t="s">
        <v>2749</v>
      </c>
      <c r="D143" s="1" t="s">
        <v>2750</v>
      </c>
      <c r="E143" s="1" t="s">
        <v>2751</v>
      </c>
      <c r="F143" s="1" t="s">
        <v>2752</v>
      </c>
      <c r="G143" s="1" t="s">
        <v>246</v>
      </c>
      <c r="H143" s="1">
        <v>7.0705901190000002</v>
      </c>
      <c r="I143" s="1">
        <v>6.6432373650000001</v>
      </c>
      <c r="J143" s="1">
        <v>7.5215002159999997</v>
      </c>
      <c r="K143" s="1">
        <v>7.4824236539999998</v>
      </c>
      <c r="L143" s="1">
        <v>8.0715714260000002</v>
      </c>
      <c r="M143" s="1">
        <v>8.1207767630000003</v>
      </c>
      <c r="N143" s="1">
        <v>7.061099928</v>
      </c>
      <c r="O143" s="1">
        <v>7.3749283979999998</v>
      </c>
      <c r="P143" s="1">
        <v>7.5832093260000004</v>
      </c>
      <c r="Q143" s="1">
        <v>7.6164118910000003</v>
      </c>
      <c r="R143" s="1">
        <v>8.1925007060000006</v>
      </c>
      <c r="S143" s="1">
        <v>7.8112757269999999</v>
      </c>
      <c r="T143" s="1">
        <v>8.0715714260000002</v>
      </c>
      <c r="U143" s="1">
        <v>8.1207767630000003</v>
      </c>
      <c r="V143" s="1">
        <v>7.3347060300000004</v>
      </c>
      <c r="W143" s="1">
        <v>7.2314139690000001</v>
      </c>
      <c r="X143" s="1">
        <v>7.8733972420000002</v>
      </c>
      <c r="Y143" s="1">
        <v>7.2350386169999998</v>
      </c>
      <c r="Z143" s="1">
        <v>8.1925007060000006</v>
      </c>
      <c r="AA143" s="1">
        <v>7.8112757269999999</v>
      </c>
      <c r="AB143" s="1">
        <v>8.0114318480000009</v>
      </c>
      <c r="AC143" s="1">
        <v>7.8655192139999999</v>
      </c>
      <c r="AD143" s="1">
        <v>7.6347609089999997</v>
      </c>
      <c r="AE143" s="1">
        <v>7.3319911790000001</v>
      </c>
    </row>
    <row r="144" spans="1:31" x14ac:dyDescent="0.25">
      <c r="A144" s="1" t="s">
        <v>251</v>
      </c>
      <c r="B144" s="1" t="s">
        <v>2520</v>
      </c>
      <c r="C144" s="1" t="s">
        <v>2521</v>
      </c>
      <c r="D144" s="1" t="s">
        <v>2753</v>
      </c>
      <c r="E144" s="1" t="s">
        <v>2754</v>
      </c>
      <c r="G144" s="1" t="s">
        <v>251</v>
      </c>
      <c r="H144" s="1">
        <v>6.3556221559999999</v>
      </c>
      <c r="I144" s="1">
        <v>6.2746491359999998</v>
      </c>
      <c r="J144" s="1">
        <v>6.4657385989999998</v>
      </c>
      <c r="K144" s="1">
        <v>6.5137511750000003</v>
      </c>
      <c r="L144" s="1">
        <v>6.5382166509999999</v>
      </c>
      <c r="M144" s="1">
        <v>6.4417193250000002</v>
      </c>
      <c r="N144" s="1">
        <v>6.5582948950000004</v>
      </c>
      <c r="O144" s="1">
        <v>6.3277659169999998</v>
      </c>
      <c r="P144" s="1">
        <v>6.1519221809999998</v>
      </c>
      <c r="Q144" s="1">
        <v>6.6461070910000002</v>
      </c>
      <c r="R144" s="1">
        <v>6.474614356</v>
      </c>
      <c r="S144" s="1">
        <v>6.6531047939999999</v>
      </c>
      <c r="T144" s="1">
        <v>6.5382166509999999</v>
      </c>
      <c r="U144" s="1">
        <v>6.4417193250000002</v>
      </c>
      <c r="V144" s="1">
        <v>6.5289779240000003</v>
      </c>
      <c r="W144" s="1">
        <v>6.8980132320000003</v>
      </c>
      <c r="X144" s="1">
        <v>6.8555488320000002</v>
      </c>
      <c r="Y144" s="1">
        <v>6.3541670720000001</v>
      </c>
      <c r="Z144" s="1">
        <v>6.474614356</v>
      </c>
      <c r="AA144" s="1">
        <v>6.6531047939999999</v>
      </c>
      <c r="AB144" s="1">
        <v>6.1835402750000004</v>
      </c>
      <c r="AC144" s="1">
        <v>6.1168053020000004</v>
      </c>
      <c r="AD144" s="1">
        <v>6.6813055940000003</v>
      </c>
      <c r="AE144" s="1">
        <v>6.9511406329999996</v>
      </c>
    </row>
    <row r="145" spans="1:31" x14ac:dyDescent="0.25">
      <c r="A145" s="1" t="s">
        <v>252</v>
      </c>
      <c r="B145" s="1" t="s">
        <v>2539</v>
      </c>
      <c r="C145" s="1" t="s">
        <v>2606</v>
      </c>
      <c r="D145" s="1" t="s">
        <v>2755</v>
      </c>
      <c r="E145" s="1" t="s">
        <v>2756</v>
      </c>
      <c r="F145" s="1" t="s">
        <v>2757</v>
      </c>
      <c r="G145" s="1" t="s">
        <v>252</v>
      </c>
      <c r="H145" s="1">
        <v>5.0553993879999997</v>
      </c>
      <c r="I145" s="1">
        <v>5.1078624770000003</v>
      </c>
      <c r="J145" s="1">
        <v>6.6543806500000002</v>
      </c>
      <c r="K145" s="1">
        <v>6.3412685260000003</v>
      </c>
      <c r="L145" s="1">
        <v>6.7630564729999998</v>
      </c>
      <c r="M145" s="1">
        <v>6.9864030259999996</v>
      </c>
      <c r="N145" s="1">
        <v>5.5139471840000001</v>
      </c>
      <c r="O145" s="1">
        <v>5.2800788330000001</v>
      </c>
      <c r="P145" s="1">
        <v>7.085000398</v>
      </c>
      <c r="Q145" s="1">
        <v>6.7638501550000001</v>
      </c>
      <c r="R145" s="1">
        <v>7.2009502379999999</v>
      </c>
      <c r="S145" s="1">
        <v>7.04051486</v>
      </c>
      <c r="T145" s="1">
        <v>6.7630564729999998</v>
      </c>
      <c r="U145" s="1">
        <v>6.9864030259999996</v>
      </c>
      <c r="V145" s="1">
        <v>6.5745257170000002</v>
      </c>
      <c r="W145" s="1">
        <v>6.595535302</v>
      </c>
      <c r="X145" s="1">
        <v>7.0390188040000004</v>
      </c>
      <c r="Y145" s="1">
        <v>7.0209587190000002</v>
      </c>
      <c r="Z145" s="1">
        <v>7.2009502379999999</v>
      </c>
      <c r="AA145" s="1">
        <v>7.04051486</v>
      </c>
      <c r="AB145" s="1">
        <v>6.9924202729999996</v>
      </c>
      <c r="AC145" s="1">
        <v>7.1175143109999999</v>
      </c>
      <c r="AD145" s="1">
        <v>7.2116984139999998</v>
      </c>
      <c r="AE145" s="1">
        <v>7.0647574909999999</v>
      </c>
    </row>
    <row r="146" spans="1:31" x14ac:dyDescent="0.25">
      <c r="A146" s="1" t="s">
        <v>253</v>
      </c>
      <c r="B146" s="1" t="s">
        <v>2608</v>
      </c>
      <c r="C146" s="1" t="s">
        <v>2758</v>
      </c>
      <c r="D146" s="1" t="s">
        <v>2759</v>
      </c>
      <c r="E146" s="1" t="s">
        <v>2760</v>
      </c>
      <c r="F146" s="1" t="s">
        <v>2761</v>
      </c>
      <c r="G146" s="1" t="s">
        <v>253</v>
      </c>
      <c r="H146" s="1">
        <v>6.0081283179999998</v>
      </c>
      <c r="I146" s="1">
        <v>5.4817092260000004</v>
      </c>
      <c r="J146" s="1">
        <v>7.5302784919999999</v>
      </c>
      <c r="K146" s="1">
        <v>7.2584585600000002</v>
      </c>
      <c r="L146" s="1">
        <v>7.700447789</v>
      </c>
      <c r="M146" s="1">
        <v>7.592309792</v>
      </c>
      <c r="N146" s="1">
        <v>7.061099928</v>
      </c>
      <c r="O146" s="1">
        <v>7.1078454000000004</v>
      </c>
      <c r="P146" s="1">
        <v>7.5169022410000004</v>
      </c>
      <c r="Q146" s="1">
        <v>7.3841412809999998</v>
      </c>
      <c r="R146" s="1">
        <v>7.593828061</v>
      </c>
      <c r="S146" s="1">
        <v>7.5971237819999997</v>
      </c>
      <c r="T146" s="1">
        <v>7.700447789</v>
      </c>
      <c r="U146" s="1">
        <v>7.592309792</v>
      </c>
      <c r="V146" s="1">
        <v>7.085044688</v>
      </c>
      <c r="W146" s="1">
        <v>7.2845395589999997</v>
      </c>
      <c r="X146" s="1">
        <v>7.4550865460000004</v>
      </c>
      <c r="Y146" s="1">
        <v>7.2350386169999998</v>
      </c>
      <c r="Z146" s="1">
        <v>7.593828061</v>
      </c>
      <c r="AA146" s="1">
        <v>7.5971237819999997</v>
      </c>
      <c r="AB146" s="1">
        <v>7.5461211700000002</v>
      </c>
      <c r="AC146" s="1">
        <v>7.3935912940000001</v>
      </c>
      <c r="AD146" s="1">
        <v>7.1752643049999998</v>
      </c>
      <c r="AE146" s="1">
        <v>7.2199691680000004</v>
      </c>
    </row>
    <row r="147" spans="1:31" x14ac:dyDescent="0.25">
      <c r="A147" s="1" t="s">
        <v>255</v>
      </c>
      <c r="B147" s="1" t="s">
        <v>2547</v>
      </c>
      <c r="C147" s="1" t="s">
        <v>2622</v>
      </c>
      <c r="D147" s="1" t="s">
        <v>2535</v>
      </c>
      <c r="E147" s="1" t="s">
        <v>2762</v>
      </c>
      <c r="F147" s="1" t="s">
        <v>2763</v>
      </c>
      <c r="G147" s="1" t="s">
        <v>255</v>
      </c>
      <c r="H147" s="1">
        <v>4.4805534380000003</v>
      </c>
      <c r="I147" s="1">
        <v>5.1078624770000003</v>
      </c>
      <c r="J147" s="1">
        <v>5.5483108110000003</v>
      </c>
      <c r="K147" s="1">
        <v>4.941717659</v>
      </c>
      <c r="L147" s="1">
        <v>6.4428166300000003</v>
      </c>
      <c r="M147" s="1">
        <v>6.211413758</v>
      </c>
      <c r="N147" s="1">
        <v>4.5776172920000002</v>
      </c>
      <c r="O147" s="1">
        <v>4.8288877169999997</v>
      </c>
      <c r="P147" s="1">
        <v>6.1519221809999998</v>
      </c>
      <c r="Q147" s="1">
        <v>5.9637007390000001</v>
      </c>
      <c r="R147" s="1">
        <v>5.8111782390000002</v>
      </c>
      <c r="S147" s="1">
        <v>5.8890842929999998</v>
      </c>
      <c r="T147" s="1">
        <v>6.4428166300000003</v>
      </c>
      <c r="U147" s="1">
        <v>6.211413758</v>
      </c>
      <c r="V147" s="1">
        <v>5.2455869269999997</v>
      </c>
      <c r="W147" s="1">
        <v>5.872872095</v>
      </c>
      <c r="X147" s="1">
        <v>5.9771755410000003</v>
      </c>
      <c r="Y147" s="1">
        <v>5.2792112080000004</v>
      </c>
      <c r="Z147" s="1">
        <v>5.8111782390000002</v>
      </c>
      <c r="AA147" s="1">
        <v>5.8890842929999998</v>
      </c>
      <c r="AB147" s="1">
        <v>5.8098709350000002</v>
      </c>
      <c r="AC147" s="1">
        <v>5.8710041640000004</v>
      </c>
      <c r="AD147" s="1">
        <v>5.5945353439999996</v>
      </c>
      <c r="AE147" s="1">
        <v>5.4312016559999998</v>
      </c>
    </row>
    <row r="148" spans="1:31" x14ac:dyDescent="0.25">
      <c r="A148" s="1" t="s">
        <v>256</v>
      </c>
      <c r="B148" s="1" t="s">
        <v>2667</v>
      </c>
      <c r="C148" s="1" t="s">
        <v>2668</v>
      </c>
      <c r="D148" s="1" t="s">
        <v>2669</v>
      </c>
      <c r="E148" s="1" t="s">
        <v>2764</v>
      </c>
      <c r="F148" s="1" t="s">
        <v>2765</v>
      </c>
      <c r="G148" s="1" t="s">
        <v>256</v>
      </c>
      <c r="H148" s="1">
        <v>4.995162745</v>
      </c>
      <c r="I148" s="1">
        <v>5.4067069720000003</v>
      </c>
      <c r="J148" s="1">
        <v>6.1146491980000004</v>
      </c>
      <c r="K148" s="1">
        <v>6.0642310579999998</v>
      </c>
      <c r="L148" s="1">
        <v>6.2614813600000003</v>
      </c>
      <c r="M148" s="1">
        <v>6.2923515759999997</v>
      </c>
      <c r="N148" s="1">
        <v>6.2079811459999998</v>
      </c>
      <c r="O148" s="1">
        <v>5.7859173799999999</v>
      </c>
      <c r="P148" s="1">
        <v>6.038086302</v>
      </c>
      <c r="Q148" s="1">
        <v>5.9062084209999997</v>
      </c>
      <c r="R148" s="1">
        <v>5.987323913</v>
      </c>
      <c r="S148" s="1">
        <v>5.7416668729999998</v>
      </c>
      <c r="T148" s="1">
        <v>6.2614813600000003</v>
      </c>
      <c r="U148" s="1">
        <v>6.2923515759999997</v>
      </c>
      <c r="V148" s="1">
        <v>5.8270932010000003</v>
      </c>
      <c r="W148" s="1">
        <v>5.9736131119999998</v>
      </c>
      <c r="X148" s="1">
        <v>6.2518750860000001</v>
      </c>
      <c r="Y148" s="1">
        <v>5.417933841</v>
      </c>
      <c r="Z148" s="1">
        <v>5.987323913</v>
      </c>
      <c r="AA148" s="1">
        <v>5.7416668729999998</v>
      </c>
      <c r="AB148" s="1">
        <v>6.4527679449999997</v>
      </c>
      <c r="AC148" s="1">
        <v>5.8975684140000002</v>
      </c>
      <c r="AD148" s="1">
        <v>6.008703369</v>
      </c>
      <c r="AE148" s="1">
        <v>5.7368382310000001</v>
      </c>
    </row>
    <row r="149" spans="1:31" x14ac:dyDescent="0.25">
      <c r="A149" s="1" t="s">
        <v>257</v>
      </c>
      <c r="B149" s="1" t="s">
        <v>2535</v>
      </c>
      <c r="C149" s="1" t="s">
        <v>2535</v>
      </c>
      <c r="D149" s="1" t="s">
        <v>2535</v>
      </c>
      <c r="E149" s="1" t="s">
        <v>2535</v>
      </c>
      <c r="F149" s="1" t="s">
        <v>2535</v>
      </c>
      <c r="G149" s="1" t="s">
        <v>257</v>
      </c>
      <c r="H149" s="1">
        <v>4.7972697699999998</v>
      </c>
      <c r="I149" s="1">
        <v>4.8477128089999999</v>
      </c>
      <c r="J149" s="1">
        <v>3.329519721</v>
      </c>
      <c r="K149" s="1">
        <v>4.1384138449999996</v>
      </c>
      <c r="L149" s="1">
        <v>3.4685048369999998</v>
      </c>
      <c r="M149" s="1">
        <v>3.5095973119999999</v>
      </c>
      <c r="N149" s="1">
        <v>4.730225151</v>
      </c>
      <c r="O149" s="1">
        <v>4.385526188</v>
      </c>
      <c r="P149" s="1">
        <v>4.161525224</v>
      </c>
      <c r="Q149" s="1">
        <v>3.7137735799999998</v>
      </c>
      <c r="R149" s="1">
        <v>2.595728008</v>
      </c>
      <c r="S149" s="1">
        <v>3.5159502420000002</v>
      </c>
      <c r="T149" s="1">
        <v>3.4685048369999998</v>
      </c>
      <c r="U149" s="1">
        <v>3.5095973119999999</v>
      </c>
      <c r="V149" s="1">
        <v>4.0758289169999999</v>
      </c>
      <c r="W149" s="1">
        <v>4.2295768090000001</v>
      </c>
      <c r="X149" s="1">
        <v>3.6673381269999998</v>
      </c>
      <c r="Y149" s="1">
        <v>1.7393328349999999</v>
      </c>
      <c r="Z149" s="1">
        <v>2.595728008</v>
      </c>
      <c r="AA149" s="1">
        <v>3.5159502420000002</v>
      </c>
      <c r="AB149" s="1">
        <v>4.3946012420000002</v>
      </c>
      <c r="AC149" s="1">
        <v>3.4716344729999999</v>
      </c>
      <c r="AD149" s="1">
        <v>4.3870463700000002</v>
      </c>
      <c r="AE149" s="1">
        <v>4.6199010239999998</v>
      </c>
    </row>
    <row r="150" spans="1:31" x14ac:dyDescent="0.25">
      <c r="A150" s="1" t="s">
        <v>259</v>
      </c>
      <c r="B150" s="1" t="s">
        <v>2608</v>
      </c>
      <c r="C150" s="1" t="s">
        <v>2609</v>
      </c>
      <c r="D150" s="1" t="s">
        <v>2636</v>
      </c>
      <c r="E150" s="1" t="s">
        <v>2766</v>
      </c>
      <c r="F150" s="1" t="s">
        <v>2767</v>
      </c>
      <c r="G150" s="1" t="s">
        <v>259</v>
      </c>
      <c r="H150" s="1">
        <v>7.3097097360000003</v>
      </c>
      <c r="I150" s="1">
        <v>6.6268866429999997</v>
      </c>
      <c r="J150" s="1">
        <v>6.8494908560000001</v>
      </c>
      <c r="K150" s="1">
        <v>7.3969663560000001</v>
      </c>
      <c r="L150" s="1">
        <v>6.8193651099999997</v>
      </c>
      <c r="M150" s="1">
        <v>6.5662231340000003</v>
      </c>
      <c r="N150" s="1">
        <v>5.910461819</v>
      </c>
      <c r="O150" s="1">
        <v>6.0012687509999996</v>
      </c>
      <c r="P150" s="1">
        <v>6.7077294260000002</v>
      </c>
      <c r="Q150" s="1">
        <v>6.5742324390000002</v>
      </c>
      <c r="R150" s="1">
        <v>6.8379355119999996</v>
      </c>
      <c r="S150" s="1">
        <v>6.5507675829999998</v>
      </c>
      <c r="T150" s="1">
        <v>6.8193651099999997</v>
      </c>
      <c r="U150" s="1">
        <v>6.5662231340000003</v>
      </c>
      <c r="V150" s="1">
        <v>6.6330969629999998</v>
      </c>
      <c r="W150" s="1">
        <v>6.5088246730000003</v>
      </c>
      <c r="X150" s="1">
        <v>6.4202153790000001</v>
      </c>
      <c r="Y150" s="1">
        <v>7.0775333739999997</v>
      </c>
      <c r="Z150" s="1">
        <v>6.8379355119999996</v>
      </c>
      <c r="AA150" s="1">
        <v>6.5507675829999998</v>
      </c>
      <c r="AB150" s="1">
        <v>6.6077920450000001</v>
      </c>
      <c r="AC150" s="1">
        <v>6.7024263700000004</v>
      </c>
      <c r="AD150" s="1">
        <v>6.8603357530000002</v>
      </c>
      <c r="AE150" s="1">
        <v>6.701688721</v>
      </c>
    </row>
    <row r="151" spans="1:31" x14ac:dyDescent="0.25">
      <c r="A151" s="1" t="s">
        <v>261</v>
      </c>
      <c r="B151" s="1" t="s">
        <v>2539</v>
      </c>
      <c r="C151" s="1" t="s">
        <v>2606</v>
      </c>
      <c r="D151" s="1" t="s">
        <v>2768</v>
      </c>
      <c r="E151" s="1" t="s">
        <v>2769</v>
      </c>
      <c r="F151" s="1" t="s">
        <v>2770</v>
      </c>
      <c r="G151" s="1" t="s">
        <v>261</v>
      </c>
      <c r="H151" s="1">
        <v>3.9421380259999999</v>
      </c>
      <c r="I151" s="1">
        <v>5.009480355</v>
      </c>
      <c r="J151" s="1">
        <v>5.9141206909999999</v>
      </c>
      <c r="K151" s="1">
        <v>5.9783799200000001</v>
      </c>
      <c r="L151" s="1">
        <v>5.6016693059999998</v>
      </c>
      <c r="M151" s="1">
        <v>5.5758954550000004</v>
      </c>
      <c r="N151" s="1">
        <v>5.0802595029999997</v>
      </c>
      <c r="O151" s="1">
        <v>4.9384407589999997</v>
      </c>
      <c r="P151" s="1">
        <v>5.834784151</v>
      </c>
      <c r="Q151" s="1">
        <v>5.2473923969999996</v>
      </c>
      <c r="R151" s="1">
        <v>6.0937807429999999</v>
      </c>
      <c r="S151" s="1">
        <v>5.505875713</v>
      </c>
      <c r="T151" s="1">
        <v>5.6016693059999998</v>
      </c>
      <c r="U151" s="1">
        <v>5.5758954550000004</v>
      </c>
      <c r="V151" s="1">
        <v>6.1619548430000002</v>
      </c>
      <c r="W151" s="1">
        <v>5.6874298530000003</v>
      </c>
      <c r="X151" s="1">
        <v>6.5613315610000003</v>
      </c>
      <c r="Y151" s="1">
        <v>6.1840201749999997</v>
      </c>
      <c r="Z151" s="1">
        <v>6.0937807429999999</v>
      </c>
      <c r="AA151" s="1">
        <v>5.505875713</v>
      </c>
      <c r="AB151" s="1">
        <v>6.0812876019999997</v>
      </c>
      <c r="AC151" s="1">
        <v>6.1830263060000004</v>
      </c>
      <c r="AD151" s="1">
        <v>6.3516560770000003</v>
      </c>
      <c r="AE151" s="1">
        <v>6.031193128</v>
      </c>
    </row>
    <row r="152" spans="1:31" x14ac:dyDescent="0.25">
      <c r="A152" s="1" t="s">
        <v>263</v>
      </c>
      <c r="B152" s="1" t="s">
        <v>2547</v>
      </c>
      <c r="C152" s="1" t="s">
        <v>2622</v>
      </c>
      <c r="D152" s="1" t="s">
        <v>2535</v>
      </c>
      <c r="E152" s="1" t="s">
        <v>2771</v>
      </c>
      <c r="G152" s="1" t="s">
        <v>263</v>
      </c>
      <c r="H152" s="1">
        <v>4.5667504939999999</v>
      </c>
      <c r="I152" s="1">
        <v>4.66484875</v>
      </c>
      <c r="J152" s="1">
        <v>5.8022574259999997</v>
      </c>
      <c r="K152" s="1">
        <v>6.0075713720000001</v>
      </c>
      <c r="L152" s="1">
        <v>6.1777105819999996</v>
      </c>
      <c r="M152" s="1">
        <v>5.9030088159999998</v>
      </c>
      <c r="N152" s="1">
        <v>5.5139471840000001</v>
      </c>
      <c r="O152" s="1">
        <v>5.600077969</v>
      </c>
      <c r="P152" s="1">
        <v>5.426847231</v>
      </c>
      <c r="Q152" s="1">
        <v>5.9637007390000001</v>
      </c>
      <c r="R152" s="1">
        <v>5.8111782390000002</v>
      </c>
      <c r="S152" s="1">
        <v>5.8890842929999998</v>
      </c>
      <c r="T152" s="1">
        <v>6.1777105819999996</v>
      </c>
      <c r="U152" s="1">
        <v>5.9030088159999998</v>
      </c>
      <c r="V152" s="1">
        <v>5.3546652259999998</v>
      </c>
      <c r="W152" s="1">
        <v>5.5634106699999997</v>
      </c>
      <c r="X152" s="1">
        <v>6.1910758819999998</v>
      </c>
      <c r="Y152" s="1">
        <v>5.417933841</v>
      </c>
      <c r="Z152" s="1">
        <v>5.8111782390000002</v>
      </c>
      <c r="AA152" s="1">
        <v>5.8890842929999998</v>
      </c>
      <c r="AB152" s="1">
        <v>5.8927983030000002</v>
      </c>
      <c r="AC152" s="1">
        <v>6.1168053020000004</v>
      </c>
      <c r="AD152" s="1">
        <v>6.008703369</v>
      </c>
      <c r="AE152" s="1">
        <v>6.0995676599999999</v>
      </c>
    </row>
    <row r="153" spans="1:31" x14ac:dyDescent="0.25">
      <c r="A153" s="1" t="s">
        <v>271</v>
      </c>
      <c r="B153" s="1" t="s">
        <v>2557</v>
      </c>
      <c r="C153" s="1" t="s">
        <v>2772</v>
      </c>
      <c r="D153" s="1" t="s">
        <v>2773</v>
      </c>
      <c r="E153" s="1" t="s">
        <v>2774</v>
      </c>
      <c r="F153" s="1" t="s">
        <v>2775</v>
      </c>
      <c r="G153" s="1" t="s">
        <v>271</v>
      </c>
      <c r="H153" s="1">
        <v>4.995162745</v>
      </c>
      <c r="I153" s="1">
        <v>5.1546023129999998</v>
      </c>
      <c r="J153" s="1">
        <v>4.5940881259999999</v>
      </c>
      <c r="K153" s="1">
        <v>4.941717659</v>
      </c>
      <c r="L153" s="1">
        <v>5.2773631679999999</v>
      </c>
      <c r="M153" s="1">
        <v>4.4472617469999998</v>
      </c>
      <c r="N153" s="1">
        <v>5.0227480880000002</v>
      </c>
      <c r="O153" s="1">
        <v>5.1349072580000001</v>
      </c>
      <c r="P153" s="1">
        <v>4.6160325330000003</v>
      </c>
      <c r="Q153" s="1">
        <v>4.8155696649999999</v>
      </c>
      <c r="R153" s="1">
        <v>4.9894654599999999</v>
      </c>
      <c r="S153" s="1">
        <v>4.8699614389999999</v>
      </c>
      <c r="T153" s="1">
        <v>5.2773631679999999</v>
      </c>
      <c r="U153" s="1">
        <v>4.4472617469999998</v>
      </c>
      <c r="V153" s="1">
        <v>4.998512388</v>
      </c>
      <c r="W153" s="1">
        <v>4.3370700810000002</v>
      </c>
      <c r="X153" s="1">
        <v>5.0861518739999996</v>
      </c>
      <c r="Y153" s="1">
        <v>4.8250325140000001</v>
      </c>
      <c r="Z153" s="1">
        <v>4.9894654599999999</v>
      </c>
      <c r="AA153" s="1">
        <v>4.8699614389999999</v>
      </c>
      <c r="AB153" s="1">
        <v>4.6096720080000004</v>
      </c>
      <c r="AC153" s="1">
        <v>4.6870272159999997</v>
      </c>
      <c r="AD153" s="1">
        <v>5.1668950269999998</v>
      </c>
      <c r="AE153" s="1">
        <v>5.0965372069999999</v>
      </c>
    </row>
    <row r="154" spans="1:31" x14ac:dyDescent="0.25">
      <c r="A154" s="1" t="s">
        <v>272</v>
      </c>
      <c r="B154" s="1" t="s">
        <v>2542</v>
      </c>
      <c r="C154" s="1" t="s">
        <v>2543</v>
      </c>
      <c r="D154" s="1" t="s">
        <v>2776</v>
      </c>
      <c r="E154" s="1" t="s">
        <v>2777</v>
      </c>
      <c r="F154" s="1" t="s">
        <v>2778</v>
      </c>
      <c r="G154" s="1" t="s">
        <v>272</v>
      </c>
      <c r="H154" s="1">
        <v>4.183793842</v>
      </c>
      <c r="I154" s="1">
        <v>4.4542943209999999</v>
      </c>
      <c r="J154" s="1">
        <v>4.4503473070000004</v>
      </c>
      <c r="K154" s="1">
        <v>4.1384138449999996</v>
      </c>
      <c r="L154" s="1">
        <v>4.8288685039999999</v>
      </c>
      <c r="M154" s="1">
        <v>4.494607383</v>
      </c>
      <c r="N154" s="1">
        <v>4.4510307109999996</v>
      </c>
      <c r="O154" s="1">
        <v>4.3322392709999997</v>
      </c>
      <c r="P154" s="1">
        <v>4.161525224</v>
      </c>
      <c r="Q154" s="1">
        <v>4.3733115800000002</v>
      </c>
      <c r="R154" s="1">
        <v>4.45403635</v>
      </c>
      <c r="S154" s="1">
        <v>4.6194390810000003</v>
      </c>
      <c r="T154" s="1">
        <v>4.8288685039999999</v>
      </c>
      <c r="U154" s="1">
        <v>4.494607383</v>
      </c>
      <c r="V154" s="1">
        <v>5.0428039150000004</v>
      </c>
      <c r="W154" s="1">
        <v>4.9854391920000003</v>
      </c>
      <c r="X154" s="1">
        <v>5.1646924079999996</v>
      </c>
      <c r="Y154" s="1">
        <v>4.4420910779999998</v>
      </c>
      <c r="Z154" s="1">
        <v>4.45403635</v>
      </c>
      <c r="AA154" s="1">
        <v>4.6194390810000003</v>
      </c>
      <c r="AB154" s="1">
        <v>5.0356743460000004</v>
      </c>
      <c r="AC154" s="1">
        <v>4.7474570290000004</v>
      </c>
      <c r="AD154" s="1">
        <v>4.6264106470000002</v>
      </c>
      <c r="AE154" s="1">
        <v>5.0132584360000001</v>
      </c>
    </row>
    <row r="155" spans="1:31" x14ac:dyDescent="0.25">
      <c r="A155" s="1" t="s">
        <v>273</v>
      </c>
      <c r="B155" s="1" t="s">
        <v>2667</v>
      </c>
      <c r="C155" s="1" t="s">
        <v>2668</v>
      </c>
      <c r="D155" s="1" t="s">
        <v>2724</v>
      </c>
      <c r="E155" s="1" t="s">
        <v>2779</v>
      </c>
      <c r="F155" s="1" t="s">
        <v>2780</v>
      </c>
      <c r="G155" s="1" t="s">
        <v>273</v>
      </c>
      <c r="H155" s="1">
        <v>5.5062820300000004</v>
      </c>
      <c r="I155" s="1">
        <v>5.6856247609999997</v>
      </c>
      <c r="J155" s="1">
        <v>6.9961611450000003</v>
      </c>
      <c r="K155" s="1">
        <v>6.6858938820000002</v>
      </c>
      <c r="L155" s="1">
        <v>7.7483365739999996</v>
      </c>
      <c r="M155" s="1">
        <v>7.498923778</v>
      </c>
      <c r="N155" s="1">
        <v>6.5978643630000002</v>
      </c>
      <c r="O155" s="1">
        <v>6.6478049300000004</v>
      </c>
      <c r="P155" s="1">
        <v>7.0735093620000002</v>
      </c>
      <c r="Q155" s="1">
        <v>6.5925403830000002</v>
      </c>
      <c r="R155" s="1">
        <v>7.0375173359999996</v>
      </c>
      <c r="S155" s="1">
        <v>6.8669102400000002</v>
      </c>
      <c r="T155" s="1">
        <v>7.7483365739999996</v>
      </c>
      <c r="U155" s="1">
        <v>7.498923778</v>
      </c>
      <c r="V155" s="1">
        <v>6.8706547860000002</v>
      </c>
      <c r="W155" s="1">
        <v>6.9646536269999997</v>
      </c>
      <c r="X155" s="1">
        <v>7.0181969110000004</v>
      </c>
      <c r="Y155" s="1">
        <v>6.6249961490000002</v>
      </c>
      <c r="Z155" s="1">
        <v>7.0375173359999996</v>
      </c>
      <c r="AA155" s="1">
        <v>6.8669102400000002</v>
      </c>
      <c r="AB155" s="1">
        <v>7.1852104319999999</v>
      </c>
      <c r="AC155" s="1">
        <v>7.3269352899999998</v>
      </c>
      <c r="AD155" s="1">
        <v>6.6813055940000003</v>
      </c>
      <c r="AE155" s="1">
        <v>6.6750869430000002</v>
      </c>
    </row>
    <row r="156" spans="1:31" x14ac:dyDescent="0.25">
      <c r="A156" s="1" t="s">
        <v>276</v>
      </c>
      <c r="B156" s="1" t="s">
        <v>2667</v>
      </c>
      <c r="C156" s="1" t="s">
        <v>2781</v>
      </c>
      <c r="D156" s="1" t="s">
        <v>2782</v>
      </c>
      <c r="E156" s="1" t="s">
        <v>2783</v>
      </c>
      <c r="F156" s="1" t="s">
        <v>2784</v>
      </c>
      <c r="G156" s="1" t="s">
        <v>276</v>
      </c>
      <c r="H156" s="1">
        <v>7.4384370559999997</v>
      </c>
      <c r="I156" s="1">
        <v>7.7617995710000001</v>
      </c>
      <c r="J156" s="1">
        <v>7.7862100549999997</v>
      </c>
      <c r="K156" s="1">
        <v>7.6207723439999997</v>
      </c>
      <c r="L156" s="1">
        <v>8.3711880969999992</v>
      </c>
      <c r="M156" s="1">
        <v>8.3072872540000002</v>
      </c>
      <c r="N156" s="1">
        <v>7.6648147560000002</v>
      </c>
      <c r="O156" s="1">
        <v>7.4620616200000001</v>
      </c>
      <c r="P156" s="1">
        <v>7.8352611239999996</v>
      </c>
      <c r="Q156" s="1">
        <v>7.6946952670000002</v>
      </c>
      <c r="R156" s="1">
        <v>7.9665624140000002</v>
      </c>
      <c r="S156" s="1">
        <v>7.8831608610000004</v>
      </c>
      <c r="T156" s="1">
        <v>8.3711880969999992</v>
      </c>
      <c r="U156" s="1">
        <v>8.3072872540000002</v>
      </c>
      <c r="V156" s="1">
        <v>7.8969988879999997</v>
      </c>
      <c r="W156" s="1">
        <v>7.6710982799999998</v>
      </c>
      <c r="X156" s="1">
        <v>7.777576474</v>
      </c>
      <c r="Y156" s="1">
        <v>7.4959140870000001</v>
      </c>
      <c r="Z156" s="1">
        <v>7.9665624140000002</v>
      </c>
      <c r="AA156" s="1">
        <v>7.8831608610000004</v>
      </c>
      <c r="AB156" s="1">
        <v>7.8240379579999999</v>
      </c>
      <c r="AC156" s="1">
        <v>7.8384344979999998</v>
      </c>
      <c r="AD156" s="1">
        <v>7.5424430249999999</v>
      </c>
      <c r="AE156" s="1">
        <v>7.6915952790000004</v>
      </c>
    </row>
    <row r="157" spans="1:31" x14ac:dyDescent="0.25">
      <c r="A157" s="1" t="s">
        <v>286</v>
      </c>
      <c r="B157" s="1" t="s">
        <v>2530</v>
      </c>
      <c r="C157" s="1" t="s">
        <v>2531</v>
      </c>
      <c r="D157" s="1" t="s">
        <v>2535</v>
      </c>
      <c r="E157" s="1" t="s">
        <v>2785</v>
      </c>
      <c r="G157" s="1" t="s">
        <v>286</v>
      </c>
      <c r="H157" s="1">
        <v>7.1133012090000003</v>
      </c>
      <c r="I157" s="1">
        <v>7.4544475050000001</v>
      </c>
      <c r="J157" s="1">
        <v>4.1077874330000004</v>
      </c>
      <c r="K157" s="1">
        <v>5.0014827119999996</v>
      </c>
      <c r="L157" s="1">
        <v>2.315629231</v>
      </c>
      <c r="M157" s="1">
        <v>1.7393328349999999</v>
      </c>
      <c r="N157" s="1">
        <v>6.5582948950000004</v>
      </c>
      <c r="O157" s="1">
        <v>6.8644635369999998</v>
      </c>
      <c r="P157" s="1">
        <v>3.3003929539999999</v>
      </c>
      <c r="Q157" s="1">
        <v>3.56206471</v>
      </c>
      <c r="R157" s="1">
        <v>3.386455024</v>
      </c>
      <c r="S157" s="1">
        <v>3.3463386960000001</v>
      </c>
      <c r="T157" s="1">
        <v>2.315629231</v>
      </c>
      <c r="U157" s="1">
        <v>1.7393328349999999</v>
      </c>
      <c r="V157" s="1">
        <v>3.2389700330000002</v>
      </c>
      <c r="W157" s="1">
        <v>3.6840067150000002</v>
      </c>
      <c r="X157" s="1">
        <v>2.9542167930000001</v>
      </c>
      <c r="Y157" s="1">
        <v>3.9087436480000002</v>
      </c>
      <c r="Z157" s="1">
        <v>3.386455024</v>
      </c>
      <c r="AA157" s="1">
        <v>3.3463386960000001</v>
      </c>
      <c r="AB157" s="1">
        <v>3.8237667059999998</v>
      </c>
      <c r="AC157" s="1">
        <v>3.4716344729999999</v>
      </c>
      <c r="AD157" s="1">
        <v>3.8610926929999998</v>
      </c>
      <c r="AE157" s="1">
        <v>3.9499994520000001</v>
      </c>
    </row>
    <row r="158" spans="1:31" x14ac:dyDescent="0.25">
      <c r="A158" s="1" t="s">
        <v>290</v>
      </c>
      <c r="B158" s="1" t="s">
        <v>2568</v>
      </c>
      <c r="C158" s="1" t="s">
        <v>2589</v>
      </c>
      <c r="D158" s="1" t="s">
        <v>2786</v>
      </c>
      <c r="E158" s="1" t="s">
        <v>2787</v>
      </c>
      <c r="F158" s="1" t="s">
        <v>2788</v>
      </c>
      <c r="G158" s="1" t="s">
        <v>290</v>
      </c>
      <c r="H158" s="1">
        <v>5.5062820300000004</v>
      </c>
      <c r="I158" s="1">
        <v>5.3676718369999996</v>
      </c>
      <c r="J158" s="1">
        <v>6.1606909930000002</v>
      </c>
      <c r="K158" s="1">
        <v>5.8227835140000002</v>
      </c>
      <c r="L158" s="1">
        <v>6.6355473729999996</v>
      </c>
      <c r="M158" s="1">
        <v>6.5770251660000003</v>
      </c>
      <c r="N158" s="1">
        <v>5.894631425</v>
      </c>
      <c r="O158" s="1">
        <v>5.8051520590000001</v>
      </c>
      <c r="P158" s="1">
        <v>6.9903989949999996</v>
      </c>
      <c r="Q158" s="1">
        <v>7.0286617009999999</v>
      </c>
      <c r="R158" s="1">
        <v>6.9553432400000004</v>
      </c>
      <c r="S158" s="1">
        <v>6.9761954739999998</v>
      </c>
      <c r="T158" s="1">
        <v>6.6355473729999996</v>
      </c>
      <c r="U158" s="1">
        <v>6.5770251660000003</v>
      </c>
      <c r="V158" s="1">
        <v>6.2204802570000002</v>
      </c>
      <c r="W158" s="1">
        <v>5.872872095</v>
      </c>
      <c r="X158" s="1">
        <v>6.6270179660000004</v>
      </c>
      <c r="Y158" s="1">
        <v>6.1579814659999998</v>
      </c>
      <c r="Z158" s="1">
        <v>6.9553432400000004</v>
      </c>
      <c r="AA158" s="1">
        <v>6.9761954739999998</v>
      </c>
      <c r="AB158" s="1">
        <v>6.1502584210000002</v>
      </c>
      <c r="AC158" s="1">
        <v>5.9744301399999999</v>
      </c>
      <c r="AD158" s="1">
        <v>6.3073961189999999</v>
      </c>
      <c r="AE158" s="1">
        <v>6.3779233900000003</v>
      </c>
    </row>
    <row r="159" spans="1:31" x14ac:dyDescent="0.25">
      <c r="A159" s="1" t="s">
        <v>294</v>
      </c>
      <c r="B159" s="1" t="s">
        <v>2547</v>
      </c>
      <c r="C159" s="1" t="s">
        <v>2789</v>
      </c>
      <c r="D159" s="1" t="s">
        <v>2535</v>
      </c>
      <c r="E159" s="1" t="s">
        <v>2790</v>
      </c>
      <c r="G159" s="1" t="s">
        <v>294</v>
      </c>
      <c r="H159" s="1">
        <v>1.7393328349999999</v>
      </c>
      <c r="I159" s="1">
        <v>3.3322126910000001</v>
      </c>
      <c r="J159" s="1">
        <v>3.329519721</v>
      </c>
      <c r="K159" s="1">
        <v>2.620638279</v>
      </c>
      <c r="L159" s="1">
        <v>2.5490970000000002</v>
      </c>
      <c r="M159" s="1">
        <v>2.8639998100000001</v>
      </c>
      <c r="N159" s="1">
        <v>2.8201075470000001</v>
      </c>
      <c r="O159" s="1">
        <v>3.193511794</v>
      </c>
      <c r="P159" s="1">
        <v>3.106446558</v>
      </c>
      <c r="Q159" s="1">
        <v>2.935765398</v>
      </c>
      <c r="R159" s="1">
        <v>2.9339002829999998</v>
      </c>
      <c r="S159" s="1">
        <v>2.5733617299999998</v>
      </c>
      <c r="T159" s="1">
        <v>2.5490970000000002</v>
      </c>
      <c r="U159" s="1">
        <v>2.8639998100000001</v>
      </c>
      <c r="V159" s="1">
        <v>3.3993802240000002</v>
      </c>
      <c r="W159" s="1">
        <v>3.2870366010000001</v>
      </c>
      <c r="X159" s="1">
        <v>3.2074401739999998</v>
      </c>
      <c r="Y159" s="1">
        <v>3.229986142</v>
      </c>
      <c r="Z159" s="1">
        <v>2.9339002829999998</v>
      </c>
      <c r="AA159" s="1">
        <v>2.5733617299999998</v>
      </c>
      <c r="AB159" s="1">
        <v>3.1218319999999999</v>
      </c>
      <c r="AC159" s="1">
        <v>1.7393328349999999</v>
      </c>
      <c r="AD159" s="1">
        <v>2.6025990879999998</v>
      </c>
      <c r="AE159" s="1">
        <v>2.803297787</v>
      </c>
    </row>
    <row r="160" spans="1:31" x14ac:dyDescent="0.25">
      <c r="A160" s="1" t="s">
        <v>297</v>
      </c>
      <c r="B160" s="1" t="s">
        <v>2608</v>
      </c>
      <c r="C160" s="1" t="s">
        <v>2791</v>
      </c>
      <c r="D160" s="1" t="s">
        <v>2792</v>
      </c>
      <c r="E160" s="1" t="s">
        <v>2793</v>
      </c>
      <c r="F160" s="1" t="s">
        <v>2794</v>
      </c>
      <c r="G160" s="1" t="s">
        <v>297</v>
      </c>
      <c r="H160" s="1">
        <v>6.5753846300000003</v>
      </c>
      <c r="I160" s="1">
        <v>6.0475452040000004</v>
      </c>
      <c r="J160" s="1">
        <v>7.1407823549999998</v>
      </c>
      <c r="K160" s="1">
        <v>6.9785336400000002</v>
      </c>
      <c r="L160" s="1">
        <v>6.7914859910000001</v>
      </c>
      <c r="M160" s="1">
        <v>6.8416956539999996</v>
      </c>
      <c r="N160" s="1">
        <v>6.421619185</v>
      </c>
      <c r="O160" s="1">
        <v>6.2736585109999998</v>
      </c>
      <c r="P160" s="1">
        <v>6.5835451750000002</v>
      </c>
      <c r="Q160" s="1">
        <v>6.7638501550000001</v>
      </c>
      <c r="R160" s="1">
        <v>7.2127865880000002</v>
      </c>
      <c r="S160" s="1">
        <v>7.1020852879999996</v>
      </c>
      <c r="T160" s="1">
        <v>6.7914859910000001</v>
      </c>
      <c r="U160" s="1">
        <v>6.8416956539999996</v>
      </c>
      <c r="V160" s="1">
        <v>7.085044688</v>
      </c>
      <c r="W160" s="1">
        <v>7.1041979590000004</v>
      </c>
      <c r="X160" s="1">
        <v>6.8555488320000002</v>
      </c>
      <c r="Y160" s="1">
        <v>6.6438618839999997</v>
      </c>
      <c r="Z160" s="1">
        <v>7.2127865880000002</v>
      </c>
      <c r="AA160" s="1">
        <v>7.1020852879999996</v>
      </c>
      <c r="AB160" s="1">
        <v>6.8547782980000003</v>
      </c>
      <c r="AC160" s="1">
        <v>6.9504073259999997</v>
      </c>
      <c r="AD160" s="1">
        <v>6.6462203879999997</v>
      </c>
      <c r="AE160" s="1">
        <v>6.6388355429999999</v>
      </c>
    </row>
    <row r="161" spans="1:31" x14ac:dyDescent="0.25">
      <c r="A161" s="1" t="s">
        <v>298</v>
      </c>
      <c r="B161" s="1" t="s">
        <v>2598</v>
      </c>
      <c r="C161" s="1" t="s">
        <v>2795</v>
      </c>
      <c r="D161" s="1" t="s">
        <v>2535</v>
      </c>
      <c r="E161" s="1" t="s">
        <v>2796</v>
      </c>
      <c r="F161" s="1" t="s">
        <v>2797</v>
      </c>
      <c r="G161" s="1" t="s">
        <v>298</v>
      </c>
      <c r="H161" s="1">
        <v>5.6684727009999998</v>
      </c>
      <c r="I161" s="1">
        <v>5.4447012069999996</v>
      </c>
      <c r="J161" s="1">
        <v>5.9926388770000001</v>
      </c>
      <c r="K161" s="1">
        <v>5.9783799200000001</v>
      </c>
      <c r="L161" s="1">
        <v>5.5357047289999999</v>
      </c>
      <c r="M161" s="1">
        <v>6.0344224830000002</v>
      </c>
      <c r="N161" s="1">
        <v>5.8624363539999997</v>
      </c>
      <c r="O161" s="1">
        <v>5.6856657850000003</v>
      </c>
      <c r="P161" s="1">
        <v>5.9898979399999996</v>
      </c>
      <c r="Q161" s="1">
        <v>5.5780218530000001</v>
      </c>
      <c r="R161" s="1">
        <v>6.4941616399999997</v>
      </c>
      <c r="S161" s="1">
        <v>6.168262747</v>
      </c>
      <c r="T161" s="1">
        <v>5.5357047289999999</v>
      </c>
      <c r="U161" s="1">
        <v>6.0344224830000002</v>
      </c>
      <c r="V161" s="1">
        <v>6.5893934979999997</v>
      </c>
      <c r="W161" s="1">
        <v>6.3680955829999997</v>
      </c>
      <c r="X161" s="1">
        <v>6.3880871680000002</v>
      </c>
      <c r="Y161" s="1">
        <v>5.8995743010000004</v>
      </c>
      <c r="Z161" s="1">
        <v>6.4941616399999997</v>
      </c>
      <c r="AA161" s="1">
        <v>6.168262747</v>
      </c>
      <c r="AB161" s="1">
        <v>6.0812876019999997</v>
      </c>
      <c r="AC161" s="1">
        <v>6.139219926</v>
      </c>
      <c r="AD161" s="1">
        <v>6.0361091350000002</v>
      </c>
      <c r="AE161" s="1">
        <v>5.7539342490000003</v>
      </c>
    </row>
    <row r="162" spans="1:31" x14ac:dyDescent="0.25">
      <c r="A162" s="1" t="s">
        <v>305</v>
      </c>
      <c r="B162" s="1" t="s">
        <v>2530</v>
      </c>
      <c r="C162" s="1" t="s">
        <v>2531</v>
      </c>
      <c r="D162" s="1" t="s">
        <v>2535</v>
      </c>
      <c r="E162" s="1" t="s">
        <v>2798</v>
      </c>
      <c r="F162" s="1" t="s">
        <v>2799</v>
      </c>
      <c r="G162" s="1" t="s">
        <v>305</v>
      </c>
      <c r="H162" s="1">
        <v>4.3886087140000001</v>
      </c>
      <c r="I162" s="1">
        <v>5.3275363779999996</v>
      </c>
      <c r="J162" s="1">
        <v>5.2392025899999997</v>
      </c>
      <c r="K162" s="1">
        <v>5.2180867539999998</v>
      </c>
      <c r="L162" s="1">
        <v>5.8791437640000002</v>
      </c>
      <c r="M162" s="1">
        <v>5.3667108829999997</v>
      </c>
      <c r="N162" s="1">
        <v>5.0517962220000001</v>
      </c>
      <c r="O162" s="1">
        <v>4.6680836990000003</v>
      </c>
      <c r="P162" s="1">
        <v>5.0554269730000003</v>
      </c>
      <c r="Q162" s="1">
        <v>5.3375178869999997</v>
      </c>
      <c r="R162" s="1">
        <v>5.0440296189999998</v>
      </c>
      <c r="S162" s="1">
        <v>5.3512993040000003</v>
      </c>
      <c r="T162" s="1">
        <v>5.8791437640000002</v>
      </c>
      <c r="U162" s="1">
        <v>5.3667108829999997</v>
      </c>
      <c r="V162" s="1">
        <v>5.6392772100000004</v>
      </c>
      <c r="W162" s="1">
        <v>5.0488589419999998</v>
      </c>
      <c r="X162" s="1">
        <v>5.1899342839999996</v>
      </c>
      <c r="Y162" s="1">
        <v>4.9529845589999999</v>
      </c>
      <c r="Z162" s="1">
        <v>5.0440296189999998</v>
      </c>
      <c r="AA162" s="1">
        <v>5.3512993040000003</v>
      </c>
      <c r="AB162" s="1">
        <v>4.8804215500000003</v>
      </c>
      <c r="AC162" s="1">
        <v>5.2822693689999998</v>
      </c>
      <c r="AD162" s="1">
        <v>4.3870463700000002</v>
      </c>
      <c r="AE162" s="1">
        <v>4.5815229759999996</v>
      </c>
    </row>
    <row r="163" spans="1:31" x14ac:dyDescent="0.25">
      <c r="A163" s="1" t="s">
        <v>307</v>
      </c>
      <c r="B163" s="1" t="s">
        <v>2547</v>
      </c>
      <c r="C163" s="1" t="s">
        <v>2622</v>
      </c>
      <c r="D163" s="1" t="s">
        <v>2535</v>
      </c>
      <c r="E163" s="1" t="s">
        <v>2800</v>
      </c>
      <c r="G163" s="1" t="s">
        <v>307</v>
      </c>
      <c r="H163" s="1">
        <v>6.9657132009999998</v>
      </c>
      <c r="I163" s="1">
        <v>6.7825936330000003</v>
      </c>
      <c r="J163" s="1">
        <v>6.5886089180000003</v>
      </c>
      <c r="K163" s="1">
        <v>7.2824873019999998</v>
      </c>
      <c r="L163" s="1">
        <v>5.5690677470000001</v>
      </c>
      <c r="M163" s="1">
        <v>5.8504486010000001</v>
      </c>
      <c r="N163" s="1">
        <v>6.233348286</v>
      </c>
      <c r="O163" s="1">
        <v>6.6263910580000003</v>
      </c>
      <c r="P163" s="1">
        <v>5.9400346730000004</v>
      </c>
      <c r="Q163" s="1">
        <v>5.8463140779999998</v>
      </c>
      <c r="R163" s="1">
        <v>6.474614356</v>
      </c>
      <c r="S163" s="1">
        <v>6.636545935</v>
      </c>
      <c r="T163" s="1">
        <v>5.5690677470000001</v>
      </c>
      <c r="U163" s="1">
        <v>5.8504486010000001</v>
      </c>
      <c r="V163" s="1">
        <v>6.3484277020000004</v>
      </c>
      <c r="W163" s="1">
        <v>6.3680955829999997</v>
      </c>
      <c r="X163" s="1">
        <v>5.8091227329999997</v>
      </c>
      <c r="Y163" s="1">
        <v>6.3075735850000001</v>
      </c>
      <c r="Z163" s="1">
        <v>6.474614356</v>
      </c>
      <c r="AA163" s="1">
        <v>6.636545935</v>
      </c>
      <c r="AB163" s="1">
        <v>6.1502584210000002</v>
      </c>
      <c r="AC163" s="1">
        <v>6.139219926</v>
      </c>
      <c r="AD163" s="1">
        <v>6.4966454860000002</v>
      </c>
      <c r="AE163" s="1">
        <v>6.3332249579999997</v>
      </c>
    </row>
    <row r="164" spans="1:31" x14ac:dyDescent="0.25">
      <c r="A164" s="1" t="s">
        <v>308</v>
      </c>
      <c r="B164" s="1" t="s">
        <v>2530</v>
      </c>
      <c r="C164" s="1" t="s">
        <v>2531</v>
      </c>
      <c r="D164" s="1" t="s">
        <v>2535</v>
      </c>
      <c r="E164" s="1" t="s">
        <v>2801</v>
      </c>
      <c r="G164" s="1" t="s">
        <v>308</v>
      </c>
      <c r="H164" s="1">
        <v>7.9113985979999999</v>
      </c>
      <c r="I164" s="1">
        <v>7.5700486260000002</v>
      </c>
      <c r="J164" s="1">
        <v>7.5733856289999997</v>
      </c>
      <c r="K164" s="1">
        <v>7.9997521799999998</v>
      </c>
      <c r="L164" s="1">
        <v>6.9321762820000004</v>
      </c>
      <c r="M164" s="1">
        <v>7.1326022050000004</v>
      </c>
      <c r="N164" s="1">
        <v>6.7104368150000004</v>
      </c>
      <c r="O164" s="1">
        <v>7.130826946</v>
      </c>
      <c r="P164" s="1">
        <v>7.6772809349999998</v>
      </c>
      <c r="Q164" s="1">
        <v>7.5710115289999997</v>
      </c>
      <c r="R164" s="1">
        <v>7.6118150590000004</v>
      </c>
      <c r="S164" s="1">
        <v>7.579919909</v>
      </c>
      <c r="T164" s="1">
        <v>6.9321762820000004</v>
      </c>
      <c r="U164" s="1">
        <v>7.1326022050000004</v>
      </c>
      <c r="V164" s="1">
        <v>7.698945406</v>
      </c>
      <c r="W164" s="1">
        <v>7.5461654500000002</v>
      </c>
      <c r="X164" s="1">
        <v>7.3917611580000004</v>
      </c>
      <c r="Y164" s="1">
        <v>7.7862518840000003</v>
      </c>
      <c r="Z164" s="1">
        <v>7.6118150590000004</v>
      </c>
      <c r="AA164" s="1">
        <v>7.579919909</v>
      </c>
      <c r="AB164" s="1">
        <v>7.6684897779999996</v>
      </c>
      <c r="AC164" s="1">
        <v>7.6487774760000002</v>
      </c>
      <c r="AD164" s="1">
        <v>7.7953800959999997</v>
      </c>
      <c r="AE164" s="1">
        <v>7.5573444179999996</v>
      </c>
    </row>
    <row r="165" spans="1:31" x14ac:dyDescent="0.25">
      <c r="A165" s="1" t="s">
        <v>316</v>
      </c>
      <c r="B165" s="1" t="s">
        <v>2667</v>
      </c>
      <c r="C165" s="1" t="s">
        <v>2802</v>
      </c>
      <c r="D165" s="1" t="s">
        <v>2803</v>
      </c>
      <c r="E165" s="1" t="s">
        <v>2804</v>
      </c>
      <c r="F165" s="1" t="s">
        <v>2805</v>
      </c>
      <c r="G165" s="1" t="s">
        <v>316</v>
      </c>
      <c r="H165" s="1">
        <v>6.4475933449999996</v>
      </c>
      <c r="I165" s="1">
        <v>6.8960698870000003</v>
      </c>
      <c r="J165" s="1">
        <v>7.6478724060000003</v>
      </c>
      <c r="K165" s="1">
        <v>7.492758244</v>
      </c>
      <c r="L165" s="1">
        <v>7.4382748569999997</v>
      </c>
      <c r="M165" s="1">
        <v>7.498923778</v>
      </c>
      <c r="N165" s="1">
        <v>6.664596564</v>
      </c>
      <c r="O165" s="1">
        <v>6.3670506839999996</v>
      </c>
      <c r="P165" s="1">
        <v>7.4562714860000003</v>
      </c>
      <c r="Q165" s="1">
        <v>7.4153055109999997</v>
      </c>
      <c r="R165" s="1">
        <v>7.5195484720000003</v>
      </c>
      <c r="S165" s="1">
        <v>7.6141247969999997</v>
      </c>
      <c r="T165" s="1">
        <v>7.4382748569999997</v>
      </c>
      <c r="U165" s="1">
        <v>7.498923778</v>
      </c>
      <c r="V165" s="1">
        <v>7.5321471390000001</v>
      </c>
      <c r="W165" s="1">
        <v>7.4564261309999997</v>
      </c>
      <c r="X165" s="1">
        <v>7.4447236070000002</v>
      </c>
      <c r="Y165" s="1">
        <v>7.2225510460000004</v>
      </c>
      <c r="Z165" s="1">
        <v>7.5195484720000003</v>
      </c>
      <c r="AA165" s="1">
        <v>7.6141247969999997</v>
      </c>
      <c r="AB165" s="1">
        <v>7.340573268</v>
      </c>
      <c r="AC165" s="1">
        <v>7.1943210840000003</v>
      </c>
      <c r="AD165" s="1">
        <v>7.0733477520000001</v>
      </c>
      <c r="AE165" s="1">
        <v>7.1952338439999997</v>
      </c>
    </row>
    <row r="166" spans="1:31" x14ac:dyDescent="0.25">
      <c r="A166" s="1" t="s">
        <v>317</v>
      </c>
      <c r="B166" s="1" t="s">
        <v>2530</v>
      </c>
      <c r="C166" s="1" t="s">
        <v>2531</v>
      </c>
      <c r="D166" s="1" t="s">
        <v>2535</v>
      </c>
      <c r="E166" s="1" t="s">
        <v>2806</v>
      </c>
      <c r="G166" s="1" t="s">
        <v>317</v>
      </c>
      <c r="H166" s="1">
        <v>4.8663747150000001</v>
      </c>
      <c r="I166" s="1">
        <v>4.7893724280000001</v>
      </c>
      <c r="J166" s="1">
        <v>5.4021237849999997</v>
      </c>
      <c r="K166" s="1">
        <v>5.0588199180000002</v>
      </c>
      <c r="L166" s="1">
        <v>6.957483667</v>
      </c>
      <c r="M166" s="1">
        <v>6.928567084</v>
      </c>
      <c r="N166" s="1">
        <v>5.0227480880000002</v>
      </c>
      <c r="O166" s="1">
        <v>4.7507950320000001</v>
      </c>
      <c r="P166" s="1">
        <v>6.1298655379999998</v>
      </c>
      <c r="Q166" s="1">
        <v>5.9637007390000001</v>
      </c>
      <c r="R166" s="1">
        <v>6.532477096</v>
      </c>
      <c r="S166" s="1">
        <v>6.0227453090000003</v>
      </c>
      <c r="T166" s="1">
        <v>6.957483667</v>
      </c>
      <c r="U166" s="1">
        <v>6.928567084</v>
      </c>
      <c r="V166" s="1">
        <v>5.8765220630000004</v>
      </c>
      <c r="W166" s="1">
        <v>5.8015499779999997</v>
      </c>
      <c r="X166" s="1">
        <v>5.7427722369999996</v>
      </c>
      <c r="Y166" s="1">
        <v>5.4613266610000002</v>
      </c>
      <c r="Z166" s="1">
        <v>6.532477096</v>
      </c>
      <c r="AA166" s="1">
        <v>6.0227453090000003</v>
      </c>
      <c r="AB166" s="1">
        <v>5.851934376</v>
      </c>
      <c r="AC166" s="1">
        <v>6.384018502</v>
      </c>
      <c r="AD166" s="1">
        <v>5.5571020090000003</v>
      </c>
      <c r="AE166" s="1">
        <v>6.031193128</v>
      </c>
    </row>
    <row r="167" spans="1:31" x14ac:dyDescent="0.25">
      <c r="A167" s="1" t="s">
        <v>319</v>
      </c>
      <c r="B167" s="1" t="s">
        <v>2520</v>
      </c>
      <c r="C167" s="1" t="s">
        <v>2646</v>
      </c>
      <c r="D167" s="1" t="s">
        <v>2807</v>
      </c>
      <c r="E167" s="1" t="s">
        <v>2808</v>
      </c>
      <c r="F167" s="1" t="s">
        <v>2809</v>
      </c>
      <c r="G167" s="1" t="s">
        <v>319</v>
      </c>
      <c r="H167" s="1">
        <v>6.4696957609999997</v>
      </c>
      <c r="I167" s="1">
        <v>6.7068440599999999</v>
      </c>
      <c r="J167" s="1">
        <v>6.1831700180000002</v>
      </c>
      <c r="K167" s="1">
        <v>6.9488037440000001</v>
      </c>
      <c r="L167" s="1">
        <v>6.1991155779999998</v>
      </c>
      <c r="M167" s="1">
        <v>6.0654778350000003</v>
      </c>
      <c r="N167" s="1">
        <v>6.4543317939999998</v>
      </c>
      <c r="O167" s="1">
        <v>6.3009667690000004</v>
      </c>
      <c r="P167" s="1">
        <v>5.8883751269999998</v>
      </c>
      <c r="Q167" s="1">
        <v>5.9062084209999997</v>
      </c>
      <c r="R167" s="1">
        <v>6.474614356</v>
      </c>
      <c r="S167" s="1">
        <v>6.1911441390000004</v>
      </c>
      <c r="T167" s="1">
        <v>6.1991155779999998</v>
      </c>
      <c r="U167" s="1">
        <v>6.0654778350000003</v>
      </c>
      <c r="V167" s="1">
        <v>5.9006116210000004</v>
      </c>
      <c r="W167" s="1">
        <v>5.4743148909999997</v>
      </c>
      <c r="X167" s="1">
        <v>6.3662625530000003</v>
      </c>
      <c r="Y167" s="1">
        <v>6.0488320509999998</v>
      </c>
      <c r="Z167" s="1">
        <v>6.474614356</v>
      </c>
      <c r="AA167" s="1">
        <v>6.1911441390000004</v>
      </c>
      <c r="AB167" s="1">
        <v>6.008835446</v>
      </c>
      <c r="AC167" s="1">
        <v>5.8710041640000004</v>
      </c>
      <c r="AD167" s="1">
        <v>6.3516560770000003</v>
      </c>
      <c r="AE167" s="1">
        <v>6.2987649059999997</v>
      </c>
    </row>
    <row r="168" spans="1:31" x14ac:dyDescent="0.25">
      <c r="A168" s="1" t="s">
        <v>321</v>
      </c>
      <c r="B168" s="1" t="s">
        <v>2530</v>
      </c>
      <c r="C168" s="1" t="s">
        <v>2531</v>
      </c>
      <c r="D168" s="1" t="s">
        <v>2535</v>
      </c>
      <c r="E168" s="1" t="s">
        <v>2562</v>
      </c>
      <c r="G168" s="1" t="s">
        <v>321</v>
      </c>
      <c r="H168" s="1">
        <v>6.4914637309999996</v>
      </c>
      <c r="I168" s="1">
        <v>6.8262016389999998</v>
      </c>
      <c r="J168" s="1">
        <v>4.0065844400000001</v>
      </c>
      <c r="K168" s="1">
        <v>4.4318297590000002</v>
      </c>
      <c r="L168" s="1">
        <v>2.7248816410000001</v>
      </c>
      <c r="M168" s="1">
        <v>3.2940962960000002</v>
      </c>
      <c r="N168" s="1">
        <v>6.5482301630000004</v>
      </c>
      <c r="O168" s="1">
        <v>6.9358116760000001</v>
      </c>
      <c r="P168" s="1">
        <v>3.106446558</v>
      </c>
      <c r="Q168" s="1">
        <v>4.2835653880000004</v>
      </c>
      <c r="R168" s="1">
        <v>2.595728008</v>
      </c>
      <c r="S168" s="1">
        <v>3.6647387380000001</v>
      </c>
      <c r="T168" s="1">
        <v>2.7248816410000001</v>
      </c>
      <c r="U168" s="1">
        <v>3.2940962960000002</v>
      </c>
      <c r="V168" s="1">
        <v>3.9849921849999999</v>
      </c>
      <c r="W168" s="1">
        <v>4.8493412630000003</v>
      </c>
      <c r="X168" s="1">
        <v>3.6673381269999998</v>
      </c>
      <c r="Y168" s="1">
        <v>4.0337379980000003</v>
      </c>
      <c r="Z168" s="1">
        <v>2.595728008</v>
      </c>
      <c r="AA168" s="1">
        <v>3.6647387380000001</v>
      </c>
      <c r="AB168" s="1">
        <v>3.404153038</v>
      </c>
      <c r="AC168" s="1">
        <v>4.0753403910000001</v>
      </c>
      <c r="AD168" s="1">
        <v>4.3870463700000002</v>
      </c>
      <c r="AE168" s="1">
        <v>4.6936201110000004</v>
      </c>
    </row>
    <row r="169" spans="1:31" x14ac:dyDescent="0.25">
      <c r="A169" s="1" t="s">
        <v>325</v>
      </c>
      <c r="B169" s="1" t="s">
        <v>2530</v>
      </c>
      <c r="C169" s="1" t="s">
        <v>2531</v>
      </c>
      <c r="D169" s="1" t="s">
        <v>2535</v>
      </c>
      <c r="E169" s="1" t="s">
        <v>2536</v>
      </c>
      <c r="G169" s="1" t="s">
        <v>325</v>
      </c>
      <c r="H169" s="1">
        <v>3.2549621289999999</v>
      </c>
      <c r="I169" s="1">
        <v>2.5655118899999998</v>
      </c>
      <c r="J169" s="1">
        <v>2.5640169199999998</v>
      </c>
      <c r="K169" s="1">
        <v>1.7393328349999999</v>
      </c>
      <c r="L169" s="1">
        <v>2.5490970000000002</v>
      </c>
      <c r="M169" s="1">
        <v>2.8639998100000001</v>
      </c>
      <c r="N169" s="1">
        <v>2.9782685729999998</v>
      </c>
      <c r="O169" s="1">
        <v>2.411448644</v>
      </c>
      <c r="P169" s="1">
        <v>3.106446558</v>
      </c>
      <c r="Q169" s="1">
        <v>1.7393328349999999</v>
      </c>
      <c r="R169" s="1">
        <v>2.9339002829999998</v>
      </c>
      <c r="S169" s="1">
        <v>2.5733617299999998</v>
      </c>
      <c r="T169" s="1">
        <v>2.5490970000000002</v>
      </c>
      <c r="U169" s="1">
        <v>2.8639998100000001</v>
      </c>
      <c r="V169" s="1">
        <v>2.8225047829999999</v>
      </c>
      <c r="W169" s="1">
        <v>3.50175473</v>
      </c>
      <c r="X169" s="1">
        <v>3.3149070109999998</v>
      </c>
      <c r="Y169" s="1">
        <v>2.624795792</v>
      </c>
      <c r="Z169" s="1">
        <v>2.9339002829999998</v>
      </c>
      <c r="AA169" s="1">
        <v>2.5733617299999998</v>
      </c>
      <c r="AB169" s="1">
        <v>2.73487305</v>
      </c>
      <c r="AC169" s="1">
        <v>2.5506926650000001</v>
      </c>
      <c r="AD169" s="1">
        <v>3.3987395579999999</v>
      </c>
      <c r="AE169" s="1">
        <v>2.803297787</v>
      </c>
    </row>
    <row r="170" spans="1:31" x14ac:dyDescent="0.25">
      <c r="A170" s="1" t="s">
        <v>326</v>
      </c>
      <c r="B170" s="1" t="s">
        <v>2530</v>
      </c>
      <c r="C170" s="1" t="s">
        <v>2531</v>
      </c>
      <c r="D170" s="1" t="s">
        <v>2810</v>
      </c>
      <c r="E170" s="1" t="s">
        <v>2811</v>
      </c>
      <c r="G170" s="1" t="s">
        <v>326</v>
      </c>
      <c r="H170" s="1">
        <v>3.2549621289999999</v>
      </c>
      <c r="I170" s="1">
        <v>2.5655118899999998</v>
      </c>
      <c r="J170" s="1">
        <v>2.5640169199999998</v>
      </c>
      <c r="K170" s="1">
        <v>3.22334677</v>
      </c>
      <c r="L170" s="1">
        <v>3.1084154310000001</v>
      </c>
      <c r="M170" s="1">
        <v>3.4067547010000001</v>
      </c>
      <c r="N170" s="1">
        <v>3.23577855</v>
      </c>
      <c r="O170" s="1">
        <v>2.883783352</v>
      </c>
      <c r="P170" s="1">
        <v>3.3003929539999999</v>
      </c>
      <c r="Q170" s="1">
        <v>2.597100669</v>
      </c>
      <c r="R170" s="1">
        <v>2.9339002829999998</v>
      </c>
      <c r="S170" s="1">
        <v>3.5159502420000002</v>
      </c>
      <c r="T170" s="1">
        <v>3.1084154310000001</v>
      </c>
      <c r="U170" s="1">
        <v>3.4067547010000001</v>
      </c>
      <c r="V170" s="1">
        <v>3.0516113059999999</v>
      </c>
      <c r="W170" s="1">
        <v>3.2870366010000001</v>
      </c>
      <c r="X170" s="1">
        <v>2.7988456519999998</v>
      </c>
      <c r="Y170" s="1">
        <v>3.4382968329999999</v>
      </c>
      <c r="Z170" s="1">
        <v>2.9339002829999998</v>
      </c>
      <c r="AA170" s="1">
        <v>3.5159502420000002</v>
      </c>
      <c r="AB170" s="1">
        <v>2.73487305</v>
      </c>
      <c r="AC170" s="1">
        <v>3.1109927919999998</v>
      </c>
      <c r="AD170" s="1">
        <v>3.1944880649999998</v>
      </c>
      <c r="AE170" s="1">
        <v>3.419797387</v>
      </c>
    </row>
    <row r="171" spans="1:31" x14ac:dyDescent="0.25">
      <c r="A171" s="1" t="s">
        <v>327</v>
      </c>
      <c r="B171" s="1" t="s">
        <v>2579</v>
      </c>
      <c r="C171" s="1" t="s">
        <v>2812</v>
      </c>
      <c r="D171" s="1" t="s">
        <v>2813</v>
      </c>
      <c r="E171" s="1" t="s">
        <v>2814</v>
      </c>
      <c r="F171" s="1" t="s">
        <v>2815</v>
      </c>
      <c r="G171" s="1" t="s">
        <v>327</v>
      </c>
      <c r="H171" s="1">
        <v>3.6455184960000002</v>
      </c>
      <c r="I171" s="1">
        <v>4.1114152529999997</v>
      </c>
      <c r="J171" s="1">
        <v>3.4977151119999998</v>
      </c>
      <c r="K171" s="1">
        <v>3.22334677</v>
      </c>
      <c r="L171" s="1">
        <v>3.6811173419999998</v>
      </c>
      <c r="M171" s="1">
        <v>3.5095973119999999</v>
      </c>
      <c r="N171" s="1">
        <v>3.8490531570000002</v>
      </c>
      <c r="O171" s="1">
        <v>3.8071106499999998</v>
      </c>
      <c r="P171" s="1">
        <v>3.3003929539999999</v>
      </c>
      <c r="Q171" s="1">
        <v>3.388910638</v>
      </c>
      <c r="R171" s="1">
        <v>2.9339002829999998</v>
      </c>
      <c r="S171" s="1">
        <v>3.6647387380000001</v>
      </c>
      <c r="T171" s="1">
        <v>3.6811173419999998</v>
      </c>
      <c r="U171" s="1">
        <v>3.5095973119999999</v>
      </c>
      <c r="V171" s="1">
        <v>3.0516113059999999</v>
      </c>
      <c r="W171" s="1">
        <v>3.6840067150000002</v>
      </c>
      <c r="X171" s="1">
        <v>3.2074401739999998</v>
      </c>
      <c r="Y171" s="1">
        <v>3.7705059300000001</v>
      </c>
      <c r="Z171" s="1">
        <v>2.9339002829999998</v>
      </c>
      <c r="AA171" s="1">
        <v>3.6647387380000001</v>
      </c>
      <c r="AB171" s="1">
        <v>2.73487305</v>
      </c>
      <c r="AC171" s="1">
        <v>3.1109927919999998</v>
      </c>
      <c r="AD171" s="1">
        <v>3.1944880649999998</v>
      </c>
      <c r="AE171" s="1">
        <v>3.213378847</v>
      </c>
    </row>
    <row r="172" spans="1:31" x14ac:dyDescent="0.25">
      <c r="A172" s="1" t="s">
        <v>329</v>
      </c>
      <c r="B172" s="1" t="s">
        <v>2568</v>
      </c>
      <c r="C172" s="1" t="s">
        <v>2816</v>
      </c>
      <c r="D172" s="1" t="s">
        <v>2817</v>
      </c>
      <c r="E172" s="1" t="s">
        <v>2818</v>
      </c>
      <c r="F172" s="1" t="s">
        <v>2819</v>
      </c>
      <c r="G172" s="1" t="s">
        <v>329</v>
      </c>
      <c r="H172" s="1">
        <v>6.1789942880000002</v>
      </c>
      <c r="I172" s="1">
        <v>6.2534876759999998</v>
      </c>
      <c r="J172" s="1">
        <v>6.311124607</v>
      </c>
      <c r="K172" s="1">
        <v>6.2219157379999999</v>
      </c>
      <c r="L172" s="1">
        <v>6.433821816</v>
      </c>
      <c r="M172" s="1">
        <v>6.6504511339999999</v>
      </c>
      <c r="N172" s="1">
        <v>6.1425317259999996</v>
      </c>
      <c r="O172" s="1">
        <v>6.3670506839999996</v>
      </c>
      <c r="P172" s="1">
        <v>6.0141943849999997</v>
      </c>
      <c r="Q172" s="1">
        <v>6.2673322389999999</v>
      </c>
      <c r="R172" s="1">
        <v>6.0415391009999997</v>
      </c>
      <c r="S172" s="1">
        <v>6.168262747</v>
      </c>
      <c r="T172" s="1">
        <v>6.433821816</v>
      </c>
      <c r="U172" s="1">
        <v>6.6504511339999999</v>
      </c>
      <c r="V172" s="1">
        <v>6.1817294079999998</v>
      </c>
      <c r="W172" s="1">
        <v>6.4863052449999996</v>
      </c>
      <c r="X172" s="1">
        <v>6.1660170440000002</v>
      </c>
      <c r="Y172" s="1">
        <v>5.7678626939999997</v>
      </c>
      <c r="Z172" s="1">
        <v>6.0415391009999997</v>
      </c>
      <c r="AA172" s="1">
        <v>6.168262747</v>
      </c>
      <c r="AB172" s="1">
        <v>5.9711898400000001</v>
      </c>
      <c r="AC172" s="1">
        <v>6.0708982899999997</v>
      </c>
      <c r="AD172" s="1">
        <v>5.9522696560000004</v>
      </c>
      <c r="AE172" s="1">
        <v>5.9445968479999998</v>
      </c>
    </row>
    <row r="173" spans="1:31" x14ac:dyDescent="0.25">
      <c r="A173" s="1" t="s">
        <v>331</v>
      </c>
      <c r="B173" s="1" t="s">
        <v>2530</v>
      </c>
      <c r="C173" s="1" t="s">
        <v>2573</v>
      </c>
      <c r="D173" s="1" t="s">
        <v>2535</v>
      </c>
      <c r="E173" s="1" t="s">
        <v>2820</v>
      </c>
      <c r="G173" s="1" t="s">
        <v>331</v>
      </c>
      <c r="H173" s="1">
        <v>3.4660955969999998</v>
      </c>
      <c r="I173" s="1">
        <v>3.3322126910000001</v>
      </c>
      <c r="J173" s="1">
        <v>3.7773371739999999</v>
      </c>
      <c r="K173" s="1">
        <v>3.762021974</v>
      </c>
      <c r="L173" s="1">
        <v>3.2097511390000002</v>
      </c>
      <c r="M173" s="1">
        <v>3.5095973119999999</v>
      </c>
      <c r="N173" s="1">
        <v>3.444746345</v>
      </c>
      <c r="O173" s="1">
        <v>3.050193165</v>
      </c>
      <c r="P173" s="1">
        <v>4.0684607960000001</v>
      </c>
      <c r="Q173" s="1">
        <v>3.388910638</v>
      </c>
      <c r="R173" s="1">
        <v>3.7109484589999999</v>
      </c>
      <c r="S173" s="1">
        <v>4.0285685429999996</v>
      </c>
      <c r="T173" s="1">
        <v>3.2097511390000002</v>
      </c>
      <c r="U173" s="1">
        <v>3.5095973119999999</v>
      </c>
      <c r="V173" s="1">
        <v>4.3163797720000003</v>
      </c>
      <c r="W173" s="1">
        <v>3.50175473</v>
      </c>
      <c r="X173" s="1">
        <v>3.8119046220000001</v>
      </c>
      <c r="Y173" s="1">
        <v>3.7705059300000001</v>
      </c>
      <c r="Z173" s="1">
        <v>3.7109484589999999</v>
      </c>
      <c r="AA173" s="1">
        <v>4.0285685429999996</v>
      </c>
      <c r="AB173" s="1">
        <v>4.3946012420000002</v>
      </c>
      <c r="AC173" s="1">
        <v>3.9750819590000002</v>
      </c>
      <c r="AD173" s="1">
        <v>4.4715299570000004</v>
      </c>
      <c r="AE173" s="1">
        <v>3.9499994520000001</v>
      </c>
    </row>
    <row r="174" spans="1:31" x14ac:dyDescent="0.25">
      <c r="A174" s="1" t="s">
        <v>339</v>
      </c>
      <c r="B174" s="1" t="s">
        <v>2530</v>
      </c>
      <c r="C174" s="1" t="s">
        <v>2573</v>
      </c>
      <c r="D174" s="1" t="s">
        <v>2535</v>
      </c>
      <c r="E174" s="1" t="s">
        <v>2821</v>
      </c>
      <c r="G174" s="1" t="s">
        <v>339</v>
      </c>
      <c r="H174" s="1">
        <v>4.6479005740000003</v>
      </c>
      <c r="I174" s="1">
        <v>5.7476087250000001</v>
      </c>
      <c r="J174" s="1">
        <v>5.0051223570000003</v>
      </c>
      <c r="K174" s="1">
        <v>5.3612725399999999</v>
      </c>
      <c r="L174" s="1">
        <v>6.1001767109999996</v>
      </c>
      <c r="M174" s="1">
        <v>5.8504486010000001</v>
      </c>
      <c r="N174" s="1">
        <v>5.1355241630000004</v>
      </c>
      <c r="O174" s="1">
        <v>4.9028628039999997</v>
      </c>
      <c r="P174" s="1">
        <v>5.6296473389999999</v>
      </c>
      <c r="Q174" s="1">
        <v>5.1511590549999999</v>
      </c>
      <c r="R174" s="1">
        <v>5.4981688889999996</v>
      </c>
      <c r="S174" s="1">
        <v>5.4306817489999997</v>
      </c>
      <c r="T174" s="1">
        <v>6.1001767109999996</v>
      </c>
      <c r="U174" s="1">
        <v>5.8504486010000001</v>
      </c>
      <c r="V174" s="1">
        <v>5.519727617</v>
      </c>
      <c r="W174" s="1">
        <v>5.427589942</v>
      </c>
      <c r="X174" s="1">
        <v>5.5426459120000002</v>
      </c>
      <c r="Y174" s="1">
        <v>5.5841077690000001</v>
      </c>
      <c r="Z174" s="1">
        <v>5.4981688889999996</v>
      </c>
      <c r="AA174" s="1">
        <v>5.4306817489999997</v>
      </c>
      <c r="AB174" s="1">
        <v>5.2406211000000003</v>
      </c>
      <c r="AC174" s="1">
        <v>5.1552886820000001</v>
      </c>
      <c r="AD174" s="1">
        <v>4.6978214539999996</v>
      </c>
      <c r="AE174" s="1">
        <v>5.2004631630000002</v>
      </c>
    </row>
    <row r="175" spans="1:31" x14ac:dyDescent="0.25">
      <c r="A175" s="1" t="s">
        <v>343</v>
      </c>
      <c r="B175" s="1" t="s">
        <v>2547</v>
      </c>
      <c r="C175" s="1" t="s">
        <v>2566</v>
      </c>
      <c r="D175" s="1" t="s">
        <v>2822</v>
      </c>
      <c r="E175" s="1" t="s">
        <v>2823</v>
      </c>
      <c r="F175" s="1" t="s">
        <v>2824</v>
      </c>
      <c r="G175" s="1" t="s">
        <v>343</v>
      </c>
      <c r="H175" s="1">
        <v>5.1131742039999999</v>
      </c>
      <c r="I175" s="1">
        <v>4.9575946069999999</v>
      </c>
      <c r="J175" s="1">
        <v>5.0551375939999996</v>
      </c>
      <c r="K175" s="1">
        <v>4.941717659</v>
      </c>
      <c r="L175" s="1">
        <v>5.5187262759999998</v>
      </c>
      <c r="M175" s="1">
        <v>5.2895531800000004</v>
      </c>
      <c r="N175" s="1">
        <v>5.6896218779999996</v>
      </c>
      <c r="O175" s="1">
        <v>5.3605571169999999</v>
      </c>
      <c r="P175" s="1">
        <v>5.2325771159999999</v>
      </c>
      <c r="Q175" s="1">
        <v>5.5780218530000001</v>
      </c>
      <c r="R175" s="1">
        <v>5.3334881589999998</v>
      </c>
      <c r="S175" s="1">
        <v>5.3512993040000003</v>
      </c>
      <c r="T175" s="1">
        <v>5.5187262759999998</v>
      </c>
      <c r="U175" s="1">
        <v>5.2895531800000004</v>
      </c>
      <c r="V175" s="1">
        <v>4.3879408260000003</v>
      </c>
      <c r="W175" s="1">
        <v>4.69862249</v>
      </c>
      <c r="X175" s="1">
        <v>5.3989469190000001</v>
      </c>
      <c r="Y175" s="1">
        <v>4.7564010139999997</v>
      </c>
      <c r="Z175" s="1">
        <v>5.3334881589999998</v>
      </c>
      <c r="AA175" s="1">
        <v>5.3512993040000003</v>
      </c>
      <c r="AB175" s="1">
        <v>5.3624643089999999</v>
      </c>
      <c r="AC175" s="1">
        <v>5.0638423939999999</v>
      </c>
      <c r="AD175" s="1">
        <v>4.83054469</v>
      </c>
      <c r="AE175" s="1">
        <v>5.175187158</v>
      </c>
    </row>
    <row r="176" spans="1:31" x14ac:dyDescent="0.25">
      <c r="A176" s="1" t="s">
        <v>347</v>
      </c>
      <c r="B176" s="1" t="s">
        <v>2530</v>
      </c>
      <c r="C176" s="1" t="s">
        <v>2573</v>
      </c>
      <c r="D176" s="1" t="s">
        <v>2535</v>
      </c>
      <c r="E176" s="1" t="s">
        <v>2825</v>
      </c>
      <c r="G176" s="1" t="s">
        <v>347</v>
      </c>
      <c r="H176" s="1">
        <v>8.114190572</v>
      </c>
      <c r="I176" s="1">
        <v>8.2411086870000005</v>
      </c>
      <c r="J176" s="1">
        <v>7.6559160940000002</v>
      </c>
      <c r="K176" s="1">
        <v>7.5630976069999996</v>
      </c>
      <c r="L176" s="1">
        <v>7.4201917110000002</v>
      </c>
      <c r="M176" s="1">
        <v>7.6081796500000003</v>
      </c>
      <c r="N176" s="1">
        <v>8.4219776989999993</v>
      </c>
      <c r="O176" s="1">
        <v>8.5156318110000004</v>
      </c>
      <c r="P176" s="1">
        <v>7.6388274789999997</v>
      </c>
      <c r="Q176" s="1">
        <v>7.5524433919999998</v>
      </c>
      <c r="R176" s="1">
        <v>7.1278149910000002</v>
      </c>
      <c r="S176" s="1">
        <v>7.4814440869999999</v>
      </c>
      <c r="T176" s="1">
        <v>7.4201917110000002</v>
      </c>
      <c r="U176" s="1">
        <v>7.6081796500000003</v>
      </c>
      <c r="V176" s="1">
        <v>7.621574356</v>
      </c>
      <c r="W176" s="1">
        <v>7.5019939039999999</v>
      </c>
      <c r="X176" s="1">
        <v>7.6022050520000004</v>
      </c>
      <c r="Y176" s="1">
        <v>7.5961041060000003</v>
      </c>
      <c r="Z176" s="1">
        <v>7.1278149910000002</v>
      </c>
      <c r="AA176" s="1">
        <v>7.4814440869999999</v>
      </c>
      <c r="AB176" s="1">
        <v>7.4401512089999997</v>
      </c>
      <c r="AC176" s="1">
        <v>7.2773631549999998</v>
      </c>
      <c r="AD176" s="1">
        <v>7.3705131210000001</v>
      </c>
      <c r="AE176" s="1">
        <v>7.735134908</v>
      </c>
    </row>
    <row r="177" spans="1:31" x14ac:dyDescent="0.25">
      <c r="A177" s="1" t="s">
        <v>348</v>
      </c>
      <c r="B177" s="1" t="s">
        <v>2520</v>
      </c>
      <c r="C177" s="1" t="s">
        <v>2646</v>
      </c>
      <c r="D177" s="1" t="s">
        <v>2826</v>
      </c>
      <c r="E177" s="1" t="s">
        <v>2827</v>
      </c>
      <c r="F177" s="1" t="s">
        <v>2828</v>
      </c>
      <c r="G177" s="1" t="s">
        <v>348</v>
      </c>
      <c r="H177" s="1">
        <v>11.410411549999999</v>
      </c>
      <c r="I177" s="1">
        <v>11.111902600000001</v>
      </c>
      <c r="J177" s="1">
        <v>11.02507875</v>
      </c>
      <c r="K177" s="1">
        <v>11.150828349999999</v>
      </c>
      <c r="L177" s="1">
        <v>10.375373939999999</v>
      </c>
      <c r="M177" s="1">
        <v>10.686184170000001</v>
      </c>
      <c r="N177" s="1">
        <v>10.35909002</v>
      </c>
      <c r="O177" s="1">
        <v>10.64889982</v>
      </c>
      <c r="P177" s="1">
        <v>10.74397456</v>
      </c>
      <c r="Q177" s="1">
        <v>10.72390661</v>
      </c>
      <c r="R177" s="1">
        <v>10.912915160000001</v>
      </c>
      <c r="S177" s="1">
        <v>10.84009178</v>
      </c>
      <c r="T177" s="1">
        <v>10.375373939999999</v>
      </c>
      <c r="U177" s="1">
        <v>10.686184170000001</v>
      </c>
      <c r="V177" s="1">
        <v>10.70494543</v>
      </c>
      <c r="W177" s="1">
        <v>10.804469490000001</v>
      </c>
      <c r="X177" s="1">
        <v>10.7127754</v>
      </c>
      <c r="Y177" s="1">
        <v>10.770568300000001</v>
      </c>
      <c r="Z177" s="1">
        <v>10.912915160000001</v>
      </c>
      <c r="AA177" s="1">
        <v>10.84009178</v>
      </c>
      <c r="AB177" s="1">
        <v>10.796091799999999</v>
      </c>
      <c r="AC177" s="1">
        <v>10.797047640000001</v>
      </c>
      <c r="AD177" s="1">
        <v>10.86120491</v>
      </c>
      <c r="AE177" s="1">
        <v>10.86563715</v>
      </c>
    </row>
    <row r="178" spans="1:31" x14ac:dyDescent="0.25">
      <c r="A178" s="1" t="s">
        <v>351</v>
      </c>
      <c r="B178" s="1" t="s">
        <v>2598</v>
      </c>
      <c r="C178" s="1" t="s">
        <v>2603</v>
      </c>
      <c r="D178" s="1" t="s">
        <v>2730</v>
      </c>
      <c r="E178" s="1" t="s">
        <v>2829</v>
      </c>
      <c r="G178" s="1" t="s">
        <v>351</v>
      </c>
      <c r="H178" s="1">
        <v>6.7480265230000001</v>
      </c>
      <c r="I178" s="1">
        <v>6.8960698870000003</v>
      </c>
      <c r="J178" s="1">
        <v>5.8310524639999999</v>
      </c>
      <c r="K178" s="1">
        <v>5.7554847420000002</v>
      </c>
      <c r="L178" s="1">
        <v>5.8250296969999997</v>
      </c>
      <c r="M178" s="1">
        <v>5.5973531489999999</v>
      </c>
      <c r="N178" s="1">
        <v>6.9121873169999999</v>
      </c>
      <c r="O178" s="1">
        <v>6.7304105019999998</v>
      </c>
      <c r="P178" s="1">
        <v>5.8618301099999996</v>
      </c>
      <c r="Q178" s="1">
        <v>5.7838067430000004</v>
      </c>
      <c r="R178" s="1">
        <v>5.0965654090000001</v>
      </c>
      <c r="S178" s="1">
        <v>5.2672271329999996</v>
      </c>
      <c r="T178" s="1">
        <v>5.8250296969999997</v>
      </c>
      <c r="U178" s="1">
        <v>5.5973531489999999</v>
      </c>
      <c r="V178" s="1">
        <v>5.8765220630000004</v>
      </c>
      <c r="W178" s="1">
        <v>6.0677414089999999</v>
      </c>
      <c r="X178" s="1">
        <v>5.3550813679999996</v>
      </c>
      <c r="Y178" s="1">
        <v>5.8019430659999998</v>
      </c>
      <c r="Z178" s="1">
        <v>5.0965654090000001</v>
      </c>
      <c r="AA178" s="1">
        <v>5.2672271329999996</v>
      </c>
      <c r="AB178" s="1">
        <v>5.7665348979999997</v>
      </c>
      <c r="AC178" s="1">
        <v>5.2822693689999998</v>
      </c>
      <c r="AD178" s="1">
        <v>5.9231977699999998</v>
      </c>
      <c r="AE178" s="1">
        <v>6.0451310640000004</v>
      </c>
    </row>
    <row r="179" spans="1:31" x14ac:dyDescent="0.25">
      <c r="A179" s="1" t="s">
        <v>353</v>
      </c>
      <c r="B179" s="1" t="s">
        <v>2530</v>
      </c>
      <c r="C179" s="1" t="s">
        <v>2573</v>
      </c>
      <c r="D179" s="1" t="s">
        <v>2535</v>
      </c>
      <c r="E179" s="1" t="s">
        <v>2830</v>
      </c>
      <c r="G179" s="1" t="s">
        <v>353</v>
      </c>
      <c r="H179" s="1">
        <v>3.8023684370000002</v>
      </c>
      <c r="I179" s="1">
        <v>4.9575946069999999</v>
      </c>
      <c r="J179" s="1">
        <v>3.1324899180000001</v>
      </c>
      <c r="K179" s="1">
        <v>3.4309024589999999</v>
      </c>
      <c r="L179" s="1">
        <v>3.918224124</v>
      </c>
      <c r="M179" s="1">
        <v>2.8639998100000001</v>
      </c>
      <c r="N179" s="1">
        <v>4.6936110280000003</v>
      </c>
      <c r="O179" s="1">
        <v>4.1585876539999997</v>
      </c>
      <c r="P179" s="1">
        <v>3.106446558</v>
      </c>
      <c r="Q179" s="1">
        <v>3.8492287269999999</v>
      </c>
      <c r="R179" s="1">
        <v>2.595728008</v>
      </c>
      <c r="S179" s="1">
        <v>3.3463386960000001</v>
      </c>
      <c r="T179" s="1">
        <v>3.918224124</v>
      </c>
      <c r="U179" s="1">
        <v>2.8639998100000001</v>
      </c>
      <c r="V179" s="1">
        <v>4.3879408260000003</v>
      </c>
      <c r="W179" s="1">
        <v>3.2870366010000001</v>
      </c>
      <c r="X179" s="1">
        <v>3.5883256710000002</v>
      </c>
      <c r="Y179" s="1">
        <v>3.4382968329999999</v>
      </c>
      <c r="Z179" s="1">
        <v>2.595728008</v>
      </c>
      <c r="AA179" s="1">
        <v>3.3463386960000001</v>
      </c>
      <c r="AB179" s="1">
        <v>3.1218319999999999</v>
      </c>
      <c r="AC179" s="1">
        <v>3.6175630609999998</v>
      </c>
      <c r="AD179" s="1">
        <v>3.725077481</v>
      </c>
      <c r="AE179" s="1">
        <v>3.213378847</v>
      </c>
    </row>
    <row r="180" spans="1:31" x14ac:dyDescent="0.25">
      <c r="A180" s="1" t="s">
        <v>354</v>
      </c>
      <c r="B180" s="1" t="s">
        <v>2530</v>
      </c>
      <c r="C180" s="1" t="s">
        <v>2531</v>
      </c>
      <c r="D180" s="1" t="s">
        <v>2535</v>
      </c>
      <c r="E180" s="1" t="s">
        <v>2831</v>
      </c>
      <c r="G180" s="1" t="s">
        <v>354</v>
      </c>
      <c r="H180" s="1">
        <v>4.2900513550000001</v>
      </c>
      <c r="I180" s="1">
        <v>3.7806045529999999</v>
      </c>
      <c r="J180" s="1">
        <v>3.329519721</v>
      </c>
      <c r="K180" s="1">
        <v>4.4318297590000002</v>
      </c>
      <c r="L180" s="1">
        <v>3.2097511390000002</v>
      </c>
      <c r="M180" s="1">
        <v>3.4067547010000001</v>
      </c>
      <c r="N180" s="1">
        <v>4.1562881980000004</v>
      </c>
      <c r="O180" s="1">
        <v>4.4368189940000002</v>
      </c>
      <c r="P180" s="1">
        <v>3.86011382</v>
      </c>
      <c r="Q180" s="1">
        <v>3.56206471</v>
      </c>
      <c r="R180" s="1">
        <v>4.1841942410000001</v>
      </c>
      <c r="S180" s="1">
        <v>4.6194390810000003</v>
      </c>
      <c r="T180" s="1">
        <v>3.2097511390000002</v>
      </c>
      <c r="U180" s="1">
        <v>3.4067547010000001</v>
      </c>
      <c r="V180" s="1">
        <v>3.2389700330000002</v>
      </c>
      <c r="W180" s="1">
        <v>3.8431653940000001</v>
      </c>
      <c r="X180" s="1">
        <v>3.7416722899999999</v>
      </c>
      <c r="Y180" s="1">
        <v>2.9733498090000001</v>
      </c>
      <c r="Z180" s="1">
        <v>4.1841942410000001</v>
      </c>
      <c r="AA180" s="1">
        <v>4.6194390810000003</v>
      </c>
      <c r="AB180" s="1">
        <v>4.139369361</v>
      </c>
      <c r="AC180" s="1">
        <v>3.8665622239999999</v>
      </c>
      <c r="AD180" s="1">
        <v>3.5727029510000001</v>
      </c>
      <c r="AE180" s="1">
        <v>3.8196998459999998</v>
      </c>
    </row>
    <row r="181" spans="1:31" x14ac:dyDescent="0.25">
      <c r="A181" s="1" t="s">
        <v>355</v>
      </c>
      <c r="B181" s="1" t="s">
        <v>2547</v>
      </c>
      <c r="C181" s="1" t="s">
        <v>2832</v>
      </c>
      <c r="D181" s="1" t="s">
        <v>2833</v>
      </c>
      <c r="E181" s="1" t="s">
        <v>2834</v>
      </c>
      <c r="F181" s="1" t="s">
        <v>2835</v>
      </c>
      <c r="G181" s="1" t="s">
        <v>355</v>
      </c>
      <c r="H181" s="1">
        <v>4.183793842</v>
      </c>
      <c r="I181" s="1">
        <v>4.1114152529999997</v>
      </c>
      <c r="J181" s="1">
        <v>4.8434621079999998</v>
      </c>
      <c r="K181" s="1">
        <v>5.8870623049999997</v>
      </c>
      <c r="L181" s="1">
        <v>5.2569846910000004</v>
      </c>
      <c r="M181" s="1">
        <v>5.4634864729999997</v>
      </c>
      <c r="N181" s="1">
        <v>4.4061149080000002</v>
      </c>
      <c r="O181" s="1">
        <v>4.0289865369999998</v>
      </c>
      <c r="P181" s="1">
        <v>5.4976972829999999</v>
      </c>
      <c r="Q181" s="1">
        <v>5.1004769559999996</v>
      </c>
      <c r="R181" s="1">
        <v>5.1472208640000003</v>
      </c>
      <c r="S181" s="1">
        <v>4.8114074450000004</v>
      </c>
      <c r="T181" s="1">
        <v>5.2569846910000004</v>
      </c>
      <c r="U181" s="1">
        <v>5.4634864729999997</v>
      </c>
      <c r="V181" s="1">
        <v>4.998512388</v>
      </c>
      <c r="W181" s="1">
        <v>4.6166922860000001</v>
      </c>
      <c r="X181" s="1">
        <v>5.4415021479999997</v>
      </c>
      <c r="Y181" s="1">
        <v>4.6081171230000004</v>
      </c>
      <c r="Z181" s="1">
        <v>5.1472208640000003</v>
      </c>
      <c r="AA181" s="1">
        <v>4.8114074450000004</v>
      </c>
      <c r="AB181" s="1">
        <v>4.9601840040000003</v>
      </c>
      <c r="AC181" s="1">
        <v>5.198889973</v>
      </c>
      <c r="AD181" s="1">
        <v>4.8924744240000004</v>
      </c>
      <c r="AE181" s="1">
        <v>5.3205054189999998</v>
      </c>
    </row>
    <row r="182" spans="1:31" x14ac:dyDescent="0.25">
      <c r="A182" s="1" t="s">
        <v>360</v>
      </c>
      <c r="B182" s="1" t="s">
        <v>2568</v>
      </c>
      <c r="C182" s="1" t="s">
        <v>2569</v>
      </c>
      <c r="D182" s="1" t="s">
        <v>2570</v>
      </c>
      <c r="E182" s="1" t="s">
        <v>2836</v>
      </c>
      <c r="F182" s="1" t="s">
        <v>2837</v>
      </c>
      <c r="G182" s="1" t="s">
        <v>360</v>
      </c>
      <c r="H182" s="1">
        <v>4.7245801409999997</v>
      </c>
      <c r="I182" s="1">
        <v>5.1546023129999998</v>
      </c>
      <c r="J182" s="1">
        <v>5.9926388770000001</v>
      </c>
      <c r="K182" s="1">
        <v>5.9181521149999998</v>
      </c>
      <c r="L182" s="1">
        <v>6.7702166439999996</v>
      </c>
      <c r="M182" s="1">
        <v>6.2252239280000001</v>
      </c>
      <c r="N182" s="1">
        <v>5.9870940719999997</v>
      </c>
      <c r="O182" s="1">
        <v>6.2598073259999998</v>
      </c>
      <c r="P182" s="1">
        <v>5.8883751269999998</v>
      </c>
      <c r="Q182" s="1">
        <v>6.4391077020000003</v>
      </c>
      <c r="R182" s="1">
        <v>6.0937807429999999</v>
      </c>
      <c r="S182" s="1">
        <v>5.9168316079999999</v>
      </c>
      <c r="T182" s="1">
        <v>6.7702166439999996</v>
      </c>
      <c r="U182" s="1">
        <v>6.2252239280000001</v>
      </c>
      <c r="V182" s="1">
        <v>5.9243031000000004</v>
      </c>
      <c r="W182" s="1">
        <v>5.9408128590000002</v>
      </c>
      <c r="X182" s="1">
        <v>5.9915198639999998</v>
      </c>
      <c r="Y182" s="1">
        <v>5.8677638710000002</v>
      </c>
      <c r="Z182" s="1">
        <v>6.0937807429999999</v>
      </c>
      <c r="AA182" s="1">
        <v>5.9168316079999999</v>
      </c>
      <c r="AB182" s="1">
        <v>5.3028471579999996</v>
      </c>
      <c r="AC182" s="1">
        <v>6.1612901029999998</v>
      </c>
      <c r="AD182" s="1">
        <v>5.5945353439999996</v>
      </c>
      <c r="AE182" s="1">
        <v>5.7539342490000003</v>
      </c>
    </row>
    <row r="183" spans="1:31" x14ac:dyDescent="0.25">
      <c r="A183" s="1" t="s">
        <v>361</v>
      </c>
      <c r="B183" s="1" t="s">
        <v>2838</v>
      </c>
      <c r="C183" s="1" t="s">
        <v>2839</v>
      </c>
      <c r="D183" s="1" t="s">
        <v>2840</v>
      </c>
      <c r="E183" s="1" t="s">
        <v>2841</v>
      </c>
      <c r="F183" s="1" t="s">
        <v>2842</v>
      </c>
      <c r="G183" s="1" t="s">
        <v>361</v>
      </c>
      <c r="H183" s="1">
        <v>5.1131742039999999</v>
      </c>
      <c r="I183" s="1">
        <v>5.5873017430000003</v>
      </c>
      <c r="J183" s="1">
        <v>5.6488969620000002</v>
      </c>
      <c r="K183" s="1">
        <v>5.5719358019999996</v>
      </c>
      <c r="L183" s="1">
        <v>6.5213350950000004</v>
      </c>
      <c r="M183" s="1">
        <v>6.0500341449999997</v>
      </c>
      <c r="N183" s="1">
        <v>5.7786343999999996</v>
      </c>
      <c r="O183" s="1">
        <v>5.984507765</v>
      </c>
      <c r="P183" s="1">
        <v>5.4976972829999999</v>
      </c>
      <c r="Q183" s="1">
        <v>5.5406489910000003</v>
      </c>
      <c r="R183" s="1">
        <v>5.4981688889999996</v>
      </c>
      <c r="S183" s="1">
        <v>5.8890842929999998</v>
      </c>
      <c r="T183" s="1">
        <v>6.5213350950000004</v>
      </c>
      <c r="U183" s="1">
        <v>6.0500341449999997</v>
      </c>
      <c r="V183" s="1">
        <v>5.9243031000000004</v>
      </c>
      <c r="W183" s="1">
        <v>5.2236621110000003</v>
      </c>
      <c r="X183" s="1">
        <v>5.9480492979999999</v>
      </c>
      <c r="Y183" s="1">
        <v>5.0702808140000002</v>
      </c>
      <c r="Z183" s="1">
        <v>5.4981688889999996</v>
      </c>
      <c r="AA183" s="1">
        <v>5.8890842929999998</v>
      </c>
      <c r="AB183" s="1">
        <v>5.3028471579999996</v>
      </c>
      <c r="AC183" s="1">
        <v>5.5407520860000004</v>
      </c>
      <c r="AD183" s="1">
        <v>5.3091856960000001</v>
      </c>
      <c r="AE183" s="1">
        <v>5.3658215939999998</v>
      </c>
    </row>
    <row r="184" spans="1:31" x14ac:dyDescent="0.25">
      <c r="A184" s="1" t="s">
        <v>366</v>
      </c>
      <c r="B184" s="1" t="s">
        <v>2843</v>
      </c>
      <c r="C184" s="1" t="s">
        <v>2844</v>
      </c>
      <c r="D184" s="1" t="s">
        <v>2845</v>
      </c>
      <c r="E184" s="1" t="s">
        <v>2846</v>
      </c>
      <c r="F184" s="1" t="s">
        <v>2847</v>
      </c>
      <c r="G184" s="1" t="s">
        <v>366</v>
      </c>
      <c r="H184" s="1">
        <v>6.4475933449999996</v>
      </c>
      <c r="I184" s="1">
        <v>6.1427370300000002</v>
      </c>
      <c r="J184" s="1">
        <v>6.5716853950000003</v>
      </c>
      <c r="K184" s="1">
        <v>6.6858938820000002</v>
      </c>
      <c r="L184" s="1">
        <v>6.7558605199999997</v>
      </c>
      <c r="M184" s="1">
        <v>6.5770251660000003</v>
      </c>
      <c r="N184" s="1">
        <v>6.4968226539999998</v>
      </c>
      <c r="O184" s="1">
        <v>6.6155634619999999</v>
      </c>
      <c r="P184" s="1">
        <v>6.5001108719999996</v>
      </c>
      <c r="Q184" s="1">
        <v>6.2209780280000002</v>
      </c>
      <c r="R184" s="1">
        <v>6.474614356</v>
      </c>
      <c r="S184" s="1">
        <v>6.2136668149999998</v>
      </c>
      <c r="T184" s="1">
        <v>6.7558605199999997</v>
      </c>
      <c r="U184" s="1">
        <v>6.5770251660000003</v>
      </c>
      <c r="V184" s="1">
        <v>5.8520207290000004</v>
      </c>
      <c r="W184" s="1">
        <v>5.872872095</v>
      </c>
      <c r="X184" s="1">
        <v>6.2518750860000001</v>
      </c>
      <c r="Y184" s="1">
        <v>5.8352313850000002</v>
      </c>
      <c r="Z184" s="1">
        <v>6.474614356</v>
      </c>
      <c r="AA184" s="1">
        <v>6.2136668149999998</v>
      </c>
      <c r="AB184" s="1">
        <v>6.7477303849999997</v>
      </c>
      <c r="AC184" s="1">
        <v>6.4210524800000002</v>
      </c>
      <c r="AD184" s="1">
        <v>6.284744441</v>
      </c>
      <c r="AE184" s="1">
        <v>6.2634584459999996</v>
      </c>
    </row>
    <row r="185" spans="1:31" x14ac:dyDescent="0.25">
      <c r="A185" s="1" t="s">
        <v>367</v>
      </c>
      <c r="B185" s="1" t="s">
        <v>2547</v>
      </c>
      <c r="C185" s="1" t="s">
        <v>2694</v>
      </c>
      <c r="D185" s="1" t="s">
        <v>2848</v>
      </c>
      <c r="E185" s="1" t="s">
        <v>2849</v>
      </c>
      <c r="F185" s="1" t="s">
        <v>2850</v>
      </c>
      <c r="G185" s="1" t="s">
        <v>367</v>
      </c>
      <c r="H185" s="1">
        <v>6.6927481100000001</v>
      </c>
      <c r="I185" s="1">
        <v>6.4889292899999997</v>
      </c>
      <c r="J185" s="1">
        <v>6.4096880770000002</v>
      </c>
      <c r="K185" s="1">
        <v>6.5734492549999999</v>
      </c>
      <c r="L185" s="1">
        <v>6.7702166439999996</v>
      </c>
      <c r="M185" s="1">
        <v>6.8944446109999999</v>
      </c>
      <c r="N185" s="1">
        <v>6.6552507179999996</v>
      </c>
      <c r="O185" s="1">
        <v>6.6478049300000004</v>
      </c>
      <c r="P185" s="1">
        <v>6.7802345329999998</v>
      </c>
      <c r="Q185" s="1">
        <v>6.8424223910000004</v>
      </c>
      <c r="R185" s="1">
        <v>7.1526080929999996</v>
      </c>
      <c r="S185" s="1">
        <v>6.4595501860000004</v>
      </c>
      <c r="T185" s="1">
        <v>6.7702166439999996</v>
      </c>
      <c r="U185" s="1">
        <v>6.8944446109999999</v>
      </c>
      <c r="V185" s="1">
        <v>6.5443212659999999</v>
      </c>
      <c r="W185" s="1">
        <v>6.5743425210000002</v>
      </c>
      <c r="X185" s="1">
        <v>6.4722173280000002</v>
      </c>
      <c r="Y185" s="1">
        <v>6.5267696659999999</v>
      </c>
      <c r="Z185" s="1">
        <v>7.1526080929999996</v>
      </c>
      <c r="AA185" s="1">
        <v>6.4595501860000004</v>
      </c>
      <c r="AB185" s="1">
        <v>6.8547782980000003</v>
      </c>
      <c r="AC185" s="1">
        <v>6.7024263700000004</v>
      </c>
      <c r="AD185" s="1">
        <v>6.5919351060000002</v>
      </c>
      <c r="AE185" s="1">
        <v>6.6296282299999998</v>
      </c>
    </row>
    <row r="186" spans="1:31" x14ac:dyDescent="0.25">
      <c r="A186" s="1" t="s">
        <v>368</v>
      </c>
      <c r="B186" s="1" t="s">
        <v>2662</v>
      </c>
      <c r="C186" s="1" t="s">
        <v>2663</v>
      </c>
      <c r="D186" s="1" t="s">
        <v>2851</v>
      </c>
      <c r="E186" s="1" t="s">
        <v>2852</v>
      </c>
      <c r="F186" s="1" t="s">
        <v>2853</v>
      </c>
      <c r="G186" s="1" t="s">
        <v>368</v>
      </c>
      <c r="H186" s="1">
        <v>6.6352621809999999</v>
      </c>
      <c r="I186" s="1">
        <v>6.395465862</v>
      </c>
      <c r="J186" s="1">
        <v>5.3631085470000004</v>
      </c>
      <c r="K186" s="1">
        <v>5.166960875</v>
      </c>
      <c r="L186" s="1">
        <v>5.4123805689999998</v>
      </c>
      <c r="M186" s="1">
        <v>5.0606078119999998</v>
      </c>
      <c r="N186" s="1">
        <v>6.1017809820000002</v>
      </c>
      <c r="O186" s="1">
        <v>6.1884751419999997</v>
      </c>
      <c r="P186" s="1">
        <v>5.3900565609999997</v>
      </c>
      <c r="Q186" s="1">
        <v>5.5406489910000003</v>
      </c>
      <c r="R186" s="1">
        <v>5.3334881589999998</v>
      </c>
      <c r="S186" s="1">
        <v>5.4687741709999997</v>
      </c>
      <c r="T186" s="1">
        <v>5.4123805689999998</v>
      </c>
      <c r="U186" s="1">
        <v>5.0606078119999998</v>
      </c>
      <c r="V186" s="1">
        <v>5.3546652259999998</v>
      </c>
      <c r="W186" s="1">
        <v>5.726489559</v>
      </c>
      <c r="X186" s="1">
        <v>5.1128189019999999</v>
      </c>
      <c r="Y186" s="1">
        <v>5.2297915760000002</v>
      </c>
      <c r="Z186" s="1">
        <v>5.3334881589999998</v>
      </c>
      <c r="AA186" s="1">
        <v>5.4687741709999997</v>
      </c>
      <c r="AB186" s="1">
        <v>5.6280506069999996</v>
      </c>
      <c r="AC186" s="1">
        <v>5.471555994</v>
      </c>
      <c r="AD186" s="1">
        <v>5.0634297190000002</v>
      </c>
      <c r="AE186" s="1">
        <v>4.7636391339999999</v>
      </c>
    </row>
    <row r="187" spans="1:31" x14ac:dyDescent="0.25">
      <c r="A187" s="1" t="s">
        <v>369</v>
      </c>
      <c r="B187" s="1" t="s">
        <v>2579</v>
      </c>
      <c r="C187" s="1" t="s">
        <v>2854</v>
      </c>
      <c r="D187" s="1" t="s">
        <v>2855</v>
      </c>
      <c r="E187" s="1" t="s">
        <v>2856</v>
      </c>
      <c r="F187" s="1" t="s">
        <v>2857</v>
      </c>
      <c r="G187" s="1" t="s">
        <v>369</v>
      </c>
      <c r="H187" s="1">
        <v>4.3886087140000001</v>
      </c>
      <c r="I187" s="1">
        <v>4.3763156859999999</v>
      </c>
      <c r="J187" s="1">
        <v>4.2898244959999996</v>
      </c>
      <c r="K187" s="1">
        <v>4.1384138449999996</v>
      </c>
      <c r="L187" s="1">
        <v>3.7446308510000001</v>
      </c>
      <c r="M187" s="1">
        <v>4.5403831759999997</v>
      </c>
      <c r="N187" s="1">
        <v>4.6560102480000003</v>
      </c>
      <c r="O187" s="1">
        <v>4.8288877169999997</v>
      </c>
      <c r="P187" s="1">
        <v>3.9684043939999998</v>
      </c>
      <c r="Q187" s="1">
        <v>3.9718447549999998</v>
      </c>
      <c r="R187" s="1">
        <v>3.8462631940000001</v>
      </c>
      <c r="S187" s="1">
        <v>4.6194390810000003</v>
      </c>
      <c r="T187" s="1">
        <v>3.7446308510000001</v>
      </c>
      <c r="U187" s="1">
        <v>4.5403831759999997</v>
      </c>
      <c r="V187" s="1">
        <v>4.7533922439999996</v>
      </c>
      <c r="W187" s="1">
        <v>4.5296290450000001</v>
      </c>
      <c r="X187" s="1">
        <v>4.0600950219999996</v>
      </c>
      <c r="Y187" s="1">
        <v>4.7564010139999997</v>
      </c>
      <c r="Z187" s="1">
        <v>3.8462631940000001</v>
      </c>
      <c r="AA187" s="1">
        <v>4.6194390810000003</v>
      </c>
      <c r="AB187" s="1">
        <v>3.6315729079999999</v>
      </c>
      <c r="AC187" s="1">
        <v>4.2557864319999998</v>
      </c>
      <c r="AD187" s="1">
        <v>4.6264106470000002</v>
      </c>
      <c r="AE187" s="1">
        <v>4.1773695330000002</v>
      </c>
    </row>
    <row r="188" spans="1:31" x14ac:dyDescent="0.25">
      <c r="A188" s="1" t="s">
        <v>370</v>
      </c>
      <c r="B188" s="1" t="s">
        <v>2557</v>
      </c>
      <c r="C188" s="1" t="s">
        <v>2858</v>
      </c>
      <c r="D188" s="1" t="s">
        <v>2859</v>
      </c>
      <c r="E188" s="1" t="s">
        <v>2860</v>
      </c>
      <c r="F188" s="1" t="s">
        <v>2861</v>
      </c>
      <c r="G188" s="1" t="s">
        <v>370</v>
      </c>
      <c r="H188" s="1">
        <v>5.3712699940000004</v>
      </c>
      <c r="I188" s="1">
        <v>5.6208330609999999</v>
      </c>
      <c r="J188" s="1">
        <v>5.6161485820000001</v>
      </c>
      <c r="K188" s="1">
        <v>5.3612725399999999</v>
      </c>
      <c r="L188" s="1">
        <v>5.2569846910000004</v>
      </c>
      <c r="M188" s="1">
        <v>5.5095176620000004</v>
      </c>
      <c r="N188" s="1">
        <v>5.5749368700000002</v>
      </c>
      <c r="O188" s="1">
        <v>6.0178362080000003</v>
      </c>
      <c r="P188" s="1">
        <v>5.2325771159999999</v>
      </c>
      <c r="Q188" s="1">
        <v>5.2473923969999996</v>
      </c>
      <c r="R188" s="1">
        <v>6.3078659510000001</v>
      </c>
      <c r="S188" s="1">
        <v>5.9440521669999997</v>
      </c>
      <c r="T188" s="1">
        <v>5.2569846910000004</v>
      </c>
      <c r="U188" s="1">
        <v>5.5095176620000004</v>
      </c>
      <c r="V188" s="1">
        <v>6.0800160549999998</v>
      </c>
      <c r="W188" s="1">
        <v>6.0370461979999996</v>
      </c>
      <c r="X188" s="1">
        <v>5.8252409690000002</v>
      </c>
      <c r="Y188" s="1">
        <v>5.503438128</v>
      </c>
      <c r="Z188" s="1">
        <v>6.3078659510000001</v>
      </c>
      <c r="AA188" s="1">
        <v>5.9440521669999997</v>
      </c>
      <c r="AB188" s="1">
        <v>5.6280506069999996</v>
      </c>
      <c r="AC188" s="1">
        <v>6.0940352600000001</v>
      </c>
      <c r="AD188" s="1">
        <v>5.4791562909999998</v>
      </c>
      <c r="AE188" s="1">
        <v>5.5536024810000004</v>
      </c>
    </row>
    <row r="189" spans="1:31" x14ac:dyDescent="0.25">
      <c r="A189" s="1" t="s">
        <v>371</v>
      </c>
      <c r="B189" s="1" t="s">
        <v>2530</v>
      </c>
      <c r="C189" s="1" t="s">
        <v>2531</v>
      </c>
      <c r="D189" s="1" t="s">
        <v>2535</v>
      </c>
      <c r="E189" s="1" t="s">
        <v>2862</v>
      </c>
      <c r="G189" s="1" t="s">
        <v>371</v>
      </c>
      <c r="H189" s="1">
        <v>6.2573638139999996</v>
      </c>
      <c r="I189" s="1">
        <v>6.0959298439999996</v>
      </c>
      <c r="J189" s="1">
        <v>4.7243317210000004</v>
      </c>
      <c r="K189" s="1">
        <v>3.607491666</v>
      </c>
      <c r="L189" s="1">
        <v>3.918224124</v>
      </c>
      <c r="M189" s="1">
        <v>3.7747836370000001</v>
      </c>
      <c r="N189" s="1">
        <v>5.1081614489999998</v>
      </c>
      <c r="O189" s="1">
        <v>5.7664208490000002</v>
      </c>
      <c r="P189" s="1">
        <v>4.4805784009999998</v>
      </c>
      <c r="Q189" s="1">
        <v>4.5369064569999997</v>
      </c>
      <c r="R189" s="1">
        <v>3.8462631940000001</v>
      </c>
      <c r="S189" s="1">
        <v>4.5490843459999999</v>
      </c>
      <c r="T189" s="1">
        <v>3.918224124</v>
      </c>
      <c r="U189" s="1">
        <v>3.7747836370000001</v>
      </c>
      <c r="V189" s="1">
        <v>4.0758289169999999</v>
      </c>
      <c r="W189" s="1">
        <v>4.4367165279999998</v>
      </c>
      <c r="X189" s="1">
        <v>4.3627028770000003</v>
      </c>
      <c r="Y189" s="1">
        <v>4.4420910779999998</v>
      </c>
      <c r="Z189" s="1">
        <v>3.8462631940000001</v>
      </c>
      <c r="AA189" s="1">
        <v>4.5490843459999999</v>
      </c>
      <c r="AB189" s="1">
        <v>3.990981031</v>
      </c>
      <c r="AC189" s="1">
        <v>3.6175630609999998</v>
      </c>
      <c r="AD189" s="1">
        <v>4.6264106470000002</v>
      </c>
      <c r="AE189" s="1">
        <v>4.6936201110000004</v>
      </c>
    </row>
    <row r="190" spans="1:31" x14ac:dyDescent="0.25">
      <c r="A190" s="1" t="s">
        <v>375</v>
      </c>
      <c r="B190" s="1" t="s">
        <v>2530</v>
      </c>
      <c r="C190" s="1" t="s">
        <v>2573</v>
      </c>
      <c r="D190" s="1" t="s">
        <v>2535</v>
      </c>
      <c r="E190" s="1" t="s">
        <v>2863</v>
      </c>
      <c r="G190" s="1" t="s">
        <v>375</v>
      </c>
      <c r="H190" s="1">
        <v>4.3886087140000001</v>
      </c>
      <c r="I190" s="1">
        <v>4.2055918060000002</v>
      </c>
      <c r="J190" s="1">
        <v>5.8592801899999998</v>
      </c>
      <c r="K190" s="1">
        <v>5.6848657879999998</v>
      </c>
      <c r="L190" s="1">
        <v>5.8658055969999996</v>
      </c>
      <c r="M190" s="1">
        <v>6.0344224830000002</v>
      </c>
      <c r="N190" s="1">
        <v>4.2617896110000002</v>
      </c>
      <c r="O190" s="1">
        <v>4.0289865369999998</v>
      </c>
      <c r="P190" s="1">
        <v>5.8883751269999998</v>
      </c>
      <c r="Q190" s="1">
        <v>5.9637007390000001</v>
      </c>
      <c r="R190" s="1">
        <v>6.3078659510000001</v>
      </c>
      <c r="S190" s="1">
        <v>6.5149715439999998</v>
      </c>
      <c r="T190" s="1">
        <v>5.8658055969999996</v>
      </c>
      <c r="U190" s="1">
        <v>6.0344224830000002</v>
      </c>
      <c r="V190" s="1">
        <v>6.2204802570000002</v>
      </c>
      <c r="W190" s="1">
        <v>6.1843530070000003</v>
      </c>
      <c r="X190" s="1">
        <v>6.5025394790000002</v>
      </c>
      <c r="Y190" s="1">
        <v>6.5469586450000001</v>
      </c>
      <c r="Z190" s="1">
        <v>6.3078659510000001</v>
      </c>
      <c r="AA190" s="1">
        <v>6.5149715439999998</v>
      </c>
      <c r="AB190" s="1">
        <v>6.5830868880000004</v>
      </c>
      <c r="AC190" s="1">
        <v>6.346005549</v>
      </c>
      <c r="AD190" s="1">
        <v>6.2617300800000004</v>
      </c>
      <c r="AE190" s="1">
        <v>6.4941297889999996</v>
      </c>
    </row>
    <row r="191" spans="1:31" x14ac:dyDescent="0.25">
      <c r="A191" s="1" t="s">
        <v>376</v>
      </c>
      <c r="B191" s="1" t="s">
        <v>2542</v>
      </c>
      <c r="C191" s="1" t="s">
        <v>2543</v>
      </c>
      <c r="D191" s="1" t="s">
        <v>2677</v>
      </c>
      <c r="E191" s="1" t="s">
        <v>2864</v>
      </c>
      <c r="F191" s="1" t="s">
        <v>2865</v>
      </c>
      <c r="G191" s="1" t="s">
        <v>376</v>
      </c>
      <c r="H191" s="1">
        <v>4.7245801409999997</v>
      </c>
      <c r="I191" s="1">
        <v>5.3676718369999996</v>
      </c>
      <c r="J191" s="1">
        <v>6.1146491980000004</v>
      </c>
      <c r="K191" s="1">
        <v>5.7895293819999996</v>
      </c>
      <c r="L191" s="1">
        <v>6.4782437829999999</v>
      </c>
      <c r="M191" s="1">
        <v>6.5221854410000004</v>
      </c>
      <c r="N191" s="1">
        <v>4.8006971780000001</v>
      </c>
      <c r="O191" s="1">
        <v>4.5801520279999997</v>
      </c>
      <c r="P191" s="1">
        <v>5.8883751269999998</v>
      </c>
      <c r="Q191" s="1">
        <v>6.098094251</v>
      </c>
      <c r="R191" s="1">
        <v>6.474614356</v>
      </c>
      <c r="S191" s="1">
        <v>6.5507675829999998</v>
      </c>
      <c r="T191" s="1">
        <v>6.4782437829999999</v>
      </c>
      <c r="U191" s="1">
        <v>6.5221854410000004</v>
      </c>
      <c r="V191" s="1">
        <v>7.0097196070000001</v>
      </c>
      <c r="W191" s="1">
        <v>6.9808429480000003</v>
      </c>
      <c r="X191" s="1">
        <v>6.894159889</v>
      </c>
      <c r="Y191" s="1">
        <v>6.9006741439999999</v>
      </c>
      <c r="Z191" s="1">
        <v>6.474614356</v>
      </c>
      <c r="AA191" s="1">
        <v>6.5507675829999998</v>
      </c>
      <c r="AB191" s="1">
        <v>6.5830868880000004</v>
      </c>
      <c r="AC191" s="1">
        <v>6.6409981050000004</v>
      </c>
      <c r="AD191" s="1">
        <v>6.7155560489999999</v>
      </c>
      <c r="AE191" s="1">
        <v>6.8277897879999996</v>
      </c>
    </row>
    <row r="192" spans="1:31" x14ac:dyDescent="0.25">
      <c r="A192" s="1" t="s">
        <v>380</v>
      </c>
      <c r="B192" s="1" t="s">
        <v>2520</v>
      </c>
      <c r="C192" s="1" t="s">
        <v>2521</v>
      </c>
      <c r="D192" s="1" t="s">
        <v>2535</v>
      </c>
      <c r="E192" s="1" t="s">
        <v>2866</v>
      </c>
      <c r="G192" s="1" t="s">
        <v>380</v>
      </c>
      <c r="H192" s="1">
        <v>3.2549621289999999</v>
      </c>
      <c r="I192" s="1">
        <v>2.8927893610000002</v>
      </c>
      <c r="J192" s="1">
        <v>3.1324899180000001</v>
      </c>
      <c r="K192" s="1">
        <v>2.620638279</v>
      </c>
      <c r="L192" s="1">
        <v>1.7393328349999999</v>
      </c>
      <c r="M192" s="1">
        <v>2.3994532390000001</v>
      </c>
      <c r="N192" s="1">
        <v>2.8201075470000001</v>
      </c>
      <c r="O192" s="1">
        <v>3.434496577</v>
      </c>
      <c r="P192" s="1">
        <v>2.5478783159999998</v>
      </c>
      <c r="Q192" s="1">
        <v>2.597100669</v>
      </c>
      <c r="R192" s="1">
        <v>2.595728008</v>
      </c>
      <c r="S192" s="1">
        <v>1.7393328349999999</v>
      </c>
      <c r="T192" s="1">
        <v>1.7393328349999999</v>
      </c>
      <c r="U192" s="1">
        <v>2.3994532390000001</v>
      </c>
      <c r="V192" s="1">
        <v>3.2389700330000002</v>
      </c>
      <c r="W192" s="1">
        <v>3.0218530750000001</v>
      </c>
      <c r="X192" s="1">
        <v>2.3600830049999999</v>
      </c>
      <c r="Y192" s="1">
        <v>3.229986142</v>
      </c>
      <c r="Z192" s="1">
        <v>2.595728008</v>
      </c>
      <c r="AA192" s="1">
        <v>1.7393328349999999</v>
      </c>
      <c r="AB192" s="1">
        <v>3.404153038</v>
      </c>
      <c r="AC192" s="1">
        <v>2.5506926650000001</v>
      </c>
      <c r="AD192" s="1">
        <v>2.6025990879999998</v>
      </c>
      <c r="AE192" s="1">
        <v>2.6144016259999998</v>
      </c>
    </row>
    <row r="193" spans="1:31" x14ac:dyDescent="0.25">
      <c r="A193" s="1" t="s">
        <v>399</v>
      </c>
      <c r="B193" s="1" t="s">
        <v>2530</v>
      </c>
      <c r="C193" s="1" t="s">
        <v>2531</v>
      </c>
      <c r="D193" s="1" t="s">
        <v>2535</v>
      </c>
      <c r="E193" s="1" t="s">
        <v>2536</v>
      </c>
      <c r="G193" s="1" t="s">
        <v>399</v>
      </c>
      <c r="H193" s="1">
        <v>1.7393328349999999</v>
      </c>
      <c r="I193" s="1">
        <v>3.3322126910000001</v>
      </c>
      <c r="J193" s="1">
        <v>3.329519721</v>
      </c>
      <c r="K193" s="1">
        <v>3.8998480660000001</v>
      </c>
      <c r="L193" s="1">
        <v>3.6142294740000001</v>
      </c>
      <c r="M193" s="1">
        <v>3.2940962960000002</v>
      </c>
      <c r="N193" s="1">
        <v>3.9164981490000002</v>
      </c>
      <c r="O193" s="1">
        <v>3.7238257350000001</v>
      </c>
      <c r="P193" s="1">
        <v>3.466113682</v>
      </c>
      <c r="Q193" s="1">
        <v>3.9718447549999998</v>
      </c>
      <c r="R193" s="1">
        <v>3.386455024</v>
      </c>
      <c r="S193" s="1">
        <v>3.6647387380000001</v>
      </c>
      <c r="T193" s="1">
        <v>3.6142294740000001</v>
      </c>
      <c r="U193" s="1">
        <v>3.2940962960000002</v>
      </c>
      <c r="V193" s="1">
        <v>3.887436229</v>
      </c>
      <c r="W193" s="1">
        <v>3.6840067150000002</v>
      </c>
      <c r="X193" s="1">
        <v>3.3149070109999998</v>
      </c>
      <c r="Y193" s="1">
        <v>4.2532353330000001</v>
      </c>
      <c r="Z193" s="1">
        <v>3.386455024</v>
      </c>
      <c r="AA193" s="1">
        <v>3.6647387380000001</v>
      </c>
      <c r="AB193" s="1">
        <v>1.7393328349999999</v>
      </c>
      <c r="AC193" s="1">
        <v>3.4716344729999999</v>
      </c>
      <c r="AD193" s="1">
        <v>2.9432342459999998</v>
      </c>
      <c r="AE193" s="1">
        <v>4.1773695330000002</v>
      </c>
    </row>
    <row r="194" spans="1:31" x14ac:dyDescent="0.25">
      <c r="A194" s="1" t="s">
        <v>400</v>
      </c>
      <c r="B194" s="1" t="s">
        <v>2667</v>
      </c>
      <c r="C194" s="1" t="s">
        <v>2867</v>
      </c>
      <c r="D194" s="1" t="s">
        <v>2868</v>
      </c>
      <c r="E194" s="1" t="s">
        <v>2869</v>
      </c>
      <c r="F194" s="1" t="s">
        <v>2870</v>
      </c>
      <c r="G194" s="1" t="s">
        <v>400</v>
      </c>
      <c r="H194" s="1">
        <v>5.9144073309999996</v>
      </c>
      <c r="I194" s="1">
        <v>5.3676718369999996</v>
      </c>
      <c r="J194" s="1">
        <v>6.0910626519999997</v>
      </c>
      <c r="K194" s="1">
        <v>6.1968079280000001</v>
      </c>
      <c r="L194" s="1">
        <v>5.3750929149999997</v>
      </c>
      <c r="M194" s="1">
        <v>5.5095176620000004</v>
      </c>
      <c r="N194" s="1">
        <v>5.1355241630000004</v>
      </c>
      <c r="O194" s="1">
        <v>5.1040005129999999</v>
      </c>
      <c r="P194" s="1">
        <v>6.0141943849999997</v>
      </c>
      <c r="Q194" s="1">
        <v>5.4222740280000004</v>
      </c>
      <c r="R194" s="1">
        <v>6.0937807429999999</v>
      </c>
      <c r="S194" s="1">
        <v>5.8319244149999996</v>
      </c>
      <c r="T194" s="1">
        <v>5.3750929149999997</v>
      </c>
      <c r="U194" s="1">
        <v>5.5095176620000004</v>
      </c>
      <c r="V194" s="1">
        <v>6.3130184290000004</v>
      </c>
      <c r="W194" s="1">
        <v>6.2120844699999997</v>
      </c>
      <c r="X194" s="1">
        <v>6.1145484569999997</v>
      </c>
      <c r="Y194" s="1">
        <v>6.0201969059999998</v>
      </c>
      <c r="Z194" s="1">
        <v>6.0937807429999999</v>
      </c>
      <c r="AA194" s="1">
        <v>5.8319244149999996</v>
      </c>
      <c r="AB194" s="1">
        <v>5.675717079</v>
      </c>
      <c r="AC194" s="1">
        <v>6.0940352600000001</v>
      </c>
      <c r="AD194" s="1">
        <v>6.7817055540000002</v>
      </c>
      <c r="AE194" s="1">
        <v>6.2514942319999998</v>
      </c>
    </row>
    <row r="195" spans="1:31" x14ac:dyDescent="0.25">
      <c r="A195" s="1" t="s">
        <v>402</v>
      </c>
      <c r="B195" s="1" t="s">
        <v>2530</v>
      </c>
      <c r="C195" s="1" t="s">
        <v>2573</v>
      </c>
      <c r="D195" s="1" t="s">
        <v>2535</v>
      </c>
      <c r="E195" s="1" t="s">
        <v>2871</v>
      </c>
      <c r="G195" s="1" t="s">
        <v>402</v>
      </c>
      <c r="H195" s="1">
        <v>2.9945681560000001</v>
      </c>
      <c r="I195" s="1">
        <v>2.8927893610000002</v>
      </c>
      <c r="J195" s="1">
        <v>3.8969924050000002</v>
      </c>
      <c r="K195" s="1">
        <v>3.22334677</v>
      </c>
      <c r="L195" s="1">
        <v>3.6142294740000001</v>
      </c>
      <c r="M195" s="1">
        <v>3.5095973119999999</v>
      </c>
      <c r="N195" s="1">
        <v>3.5368298970000001</v>
      </c>
      <c r="O195" s="1">
        <v>3.434496577</v>
      </c>
      <c r="P195" s="1">
        <v>2.5478783159999998</v>
      </c>
      <c r="Q195" s="1">
        <v>2.935765398</v>
      </c>
      <c r="R195" s="1">
        <v>3.386455024</v>
      </c>
      <c r="S195" s="1">
        <v>3.1475403900000001</v>
      </c>
      <c r="T195" s="1">
        <v>3.6142294740000001</v>
      </c>
      <c r="U195" s="1">
        <v>3.5095973119999999</v>
      </c>
      <c r="V195" s="1">
        <v>3.5405335899999999</v>
      </c>
      <c r="W195" s="1">
        <v>3.8431653940000001</v>
      </c>
      <c r="X195" s="1">
        <v>3.5039136989999999</v>
      </c>
      <c r="Y195" s="1">
        <v>3.4382968329999999</v>
      </c>
      <c r="Z195" s="1">
        <v>3.386455024</v>
      </c>
      <c r="AA195" s="1">
        <v>3.1475403900000001</v>
      </c>
      <c r="AB195" s="1">
        <v>3.990981031</v>
      </c>
      <c r="AC195" s="1">
        <v>3.7481372300000002</v>
      </c>
      <c r="AD195" s="1">
        <v>2.6025990879999998</v>
      </c>
      <c r="AE195" s="1">
        <v>3.321206681</v>
      </c>
    </row>
    <row r="196" spans="1:31" x14ac:dyDescent="0.25">
      <c r="A196" s="1" t="s">
        <v>407</v>
      </c>
      <c r="B196" s="1" t="s">
        <v>2557</v>
      </c>
      <c r="C196" s="1" t="s">
        <v>2680</v>
      </c>
      <c r="D196" s="1" t="s">
        <v>2872</v>
      </c>
      <c r="E196" s="1" t="s">
        <v>2873</v>
      </c>
      <c r="F196" s="1" t="s">
        <v>2874</v>
      </c>
      <c r="G196" s="1" t="s">
        <v>407</v>
      </c>
      <c r="H196" s="1">
        <v>10.09163813</v>
      </c>
      <c r="I196" s="1">
        <v>10.07544744</v>
      </c>
      <c r="J196" s="1">
        <v>10.229478309999999</v>
      </c>
      <c r="K196" s="1">
        <v>10.34948636</v>
      </c>
      <c r="L196" s="1">
        <v>9.5735756989999992</v>
      </c>
      <c r="M196" s="1">
        <v>9.7989744420000005</v>
      </c>
      <c r="N196" s="1">
        <v>10.28233197</v>
      </c>
      <c r="O196" s="1">
        <v>10.56565866</v>
      </c>
      <c r="P196" s="1">
        <v>10.16181124</v>
      </c>
      <c r="Q196" s="1">
        <v>10.137118360000001</v>
      </c>
      <c r="R196" s="1">
        <v>10.055641209999999</v>
      </c>
      <c r="S196" s="1">
        <v>9.6674590540000001</v>
      </c>
      <c r="T196" s="1">
        <v>9.5735756989999992</v>
      </c>
      <c r="U196" s="1">
        <v>9.7989744420000005</v>
      </c>
      <c r="V196" s="1">
        <v>9.3971152389999997</v>
      </c>
      <c r="W196" s="1">
        <v>9.3575025939999996</v>
      </c>
      <c r="X196" s="1">
        <v>9.5481044080000004</v>
      </c>
      <c r="Y196" s="1">
        <v>9.2952115190000004</v>
      </c>
      <c r="Z196" s="1">
        <v>10.055641209999999</v>
      </c>
      <c r="AA196" s="1">
        <v>9.6674590540000001</v>
      </c>
      <c r="AB196" s="1">
        <v>9.5557385709999991</v>
      </c>
      <c r="AC196" s="1">
        <v>9.8310529070000001</v>
      </c>
      <c r="AD196" s="1">
        <v>9.6501104580000003</v>
      </c>
      <c r="AE196" s="1">
        <v>9.4720731600000008</v>
      </c>
    </row>
    <row r="197" spans="1:31" x14ac:dyDescent="0.25">
      <c r="A197" s="1" t="s">
        <v>408</v>
      </c>
      <c r="B197" s="1" t="s">
        <v>2667</v>
      </c>
      <c r="C197" s="1" t="s">
        <v>2875</v>
      </c>
      <c r="D197" s="1" t="s">
        <v>2876</v>
      </c>
      <c r="E197" s="1" t="s">
        <v>2877</v>
      </c>
      <c r="F197" s="1" t="s">
        <v>2878</v>
      </c>
      <c r="G197" s="1" t="s">
        <v>408</v>
      </c>
      <c r="H197" s="1">
        <v>5.2735834620000004</v>
      </c>
      <c r="I197" s="1">
        <v>6.3160597540000003</v>
      </c>
      <c r="J197" s="1">
        <v>6.6861728490000001</v>
      </c>
      <c r="K197" s="1">
        <v>6.4725304650000002</v>
      </c>
      <c r="L197" s="1">
        <v>7.4156352590000001</v>
      </c>
      <c r="M197" s="1">
        <v>7.2178377009999997</v>
      </c>
      <c r="N197" s="1">
        <v>7.2215919340000001</v>
      </c>
      <c r="O197" s="1">
        <v>7.0447066889999999</v>
      </c>
      <c r="P197" s="1">
        <v>6.9781248280000003</v>
      </c>
      <c r="Q197" s="1">
        <v>6.8115059909999998</v>
      </c>
      <c r="R197" s="1">
        <v>6.9970160760000004</v>
      </c>
      <c r="S197" s="1">
        <v>7.015130621</v>
      </c>
      <c r="T197" s="1">
        <v>7.4156352590000001</v>
      </c>
      <c r="U197" s="1">
        <v>7.2178377009999997</v>
      </c>
      <c r="V197" s="1">
        <v>7.3781289599999997</v>
      </c>
      <c r="W197" s="1">
        <v>7.1334545250000003</v>
      </c>
      <c r="X197" s="1">
        <v>7.1063290629999996</v>
      </c>
      <c r="Y197" s="1">
        <v>7.1714898009999999</v>
      </c>
      <c r="Z197" s="1">
        <v>6.9970160760000004</v>
      </c>
      <c r="AA197" s="1">
        <v>7.015130621</v>
      </c>
      <c r="AB197" s="1">
        <v>7.118051328</v>
      </c>
      <c r="AC197" s="1">
        <v>7.0363820979999998</v>
      </c>
      <c r="AD197" s="1">
        <v>7.1629120009999996</v>
      </c>
      <c r="AE197" s="1">
        <v>6.9061127999999998</v>
      </c>
    </row>
    <row r="198" spans="1:31" x14ac:dyDescent="0.25">
      <c r="A198" s="1" t="s">
        <v>411</v>
      </c>
      <c r="B198" s="1" t="s">
        <v>2530</v>
      </c>
      <c r="C198" s="1" t="s">
        <v>2573</v>
      </c>
      <c r="D198" s="1" t="s">
        <v>2535</v>
      </c>
      <c r="E198" s="1" t="s">
        <v>2879</v>
      </c>
      <c r="G198" s="1" t="s">
        <v>411</v>
      </c>
      <c r="H198" s="1">
        <v>4.995162745</v>
      </c>
      <c r="I198" s="1">
        <v>5.4817092260000004</v>
      </c>
      <c r="J198" s="1">
        <v>5.3229940280000001</v>
      </c>
      <c r="K198" s="1">
        <v>6.2219157379999999</v>
      </c>
      <c r="L198" s="1">
        <v>6.4517555480000004</v>
      </c>
      <c r="M198" s="1">
        <v>5.8143060450000004</v>
      </c>
      <c r="N198" s="1">
        <v>5.2649372489999999</v>
      </c>
      <c r="O198" s="1">
        <v>5.6435121610000003</v>
      </c>
      <c r="P198" s="1">
        <v>5.8883751269999998</v>
      </c>
      <c r="Q198" s="1">
        <v>5.718446159</v>
      </c>
      <c r="R198" s="1">
        <v>5.2434057019999996</v>
      </c>
      <c r="S198" s="1">
        <v>5.1309834260000002</v>
      </c>
      <c r="T198" s="1">
        <v>6.4517555480000004</v>
      </c>
      <c r="U198" s="1">
        <v>5.8143060450000004</v>
      </c>
      <c r="V198" s="1">
        <v>5.2455869269999997</v>
      </c>
      <c r="W198" s="1">
        <v>5.4743148909999997</v>
      </c>
      <c r="X198" s="1">
        <v>5.2147349050000003</v>
      </c>
      <c r="Y198" s="1">
        <v>5.4613266610000002</v>
      </c>
      <c r="Z198" s="1">
        <v>5.2434057019999996</v>
      </c>
      <c r="AA198" s="1">
        <v>5.1309834260000002</v>
      </c>
      <c r="AB198" s="1">
        <v>5.1073354020000004</v>
      </c>
      <c r="AC198" s="1">
        <v>5.7003611899999997</v>
      </c>
      <c r="AD198" s="1">
        <v>5.1668950269999998</v>
      </c>
      <c r="AE198" s="1">
        <v>5.5536024810000004</v>
      </c>
    </row>
    <row r="199" spans="1:31" x14ac:dyDescent="0.25">
      <c r="A199" s="1" t="s">
        <v>412</v>
      </c>
      <c r="B199" s="1" t="s">
        <v>2568</v>
      </c>
      <c r="C199" s="1" t="s">
        <v>2589</v>
      </c>
      <c r="D199" s="1" t="s">
        <v>2595</v>
      </c>
      <c r="E199" s="1" t="s">
        <v>2880</v>
      </c>
      <c r="F199" s="1" t="s">
        <v>2881</v>
      </c>
      <c r="G199" s="1" t="s">
        <v>412</v>
      </c>
      <c r="H199" s="1">
        <v>5.6296178589999997</v>
      </c>
      <c r="I199" s="1">
        <v>5.8358262759999997</v>
      </c>
      <c r="J199" s="1">
        <v>6.7922226300000004</v>
      </c>
      <c r="K199" s="1">
        <v>6.2947097530000002</v>
      </c>
      <c r="L199" s="1">
        <v>6.6894254980000003</v>
      </c>
      <c r="M199" s="1">
        <v>6.7396661670000002</v>
      </c>
      <c r="N199" s="1">
        <v>5.6896218779999996</v>
      </c>
      <c r="O199" s="1">
        <v>5.600077969</v>
      </c>
      <c r="P199" s="1">
        <v>6.3745240839999999</v>
      </c>
      <c r="Q199" s="1">
        <v>5.8765740600000003</v>
      </c>
      <c r="R199" s="1">
        <v>6.7754359979999998</v>
      </c>
      <c r="S199" s="1">
        <v>6.5149715439999998</v>
      </c>
      <c r="T199" s="1">
        <v>6.6894254980000003</v>
      </c>
      <c r="U199" s="1">
        <v>6.7396661670000002</v>
      </c>
      <c r="V199" s="1">
        <v>6.276714932</v>
      </c>
      <c r="W199" s="1">
        <v>6.595535302</v>
      </c>
      <c r="X199" s="1">
        <v>6.1533217709999999</v>
      </c>
      <c r="Y199" s="1">
        <v>6.5267696659999999</v>
      </c>
      <c r="Z199" s="1">
        <v>6.7754359979999998</v>
      </c>
      <c r="AA199" s="1">
        <v>6.5149715439999998</v>
      </c>
      <c r="AB199" s="1">
        <v>6.7915089589999997</v>
      </c>
      <c r="AC199" s="1">
        <v>6.6720398579999998</v>
      </c>
      <c r="AD199" s="1">
        <v>6.5162149180000002</v>
      </c>
      <c r="AE199" s="1">
        <v>6.4941297889999996</v>
      </c>
    </row>
    <row r="200" spans="1:31" x14ac:dyDescent="0.25">
      <c r="A200" s="1" t="s">
        <v>413</v>
      </c>
      <c r="B200" s="1" t="s">
        <v>2568</v>
      </c>
      <c r="C200" s="1" t="s">
        <v>2589</v>
      </c>
      <c r="D200" s="1" t="s">
        <v>2595</v>
      </c>
      <c r="E200" s="1" t="s">
        <v>2882</v>
      </c>
      <c r="F200" s="1" t="s">
        <v>2883</v>
      </c>
      <c r="G200" s="1" t="s">
        <v>413</v>
      </c>
      <c r="H200" s="1">
        <v>6.402342805</v>
      </c>
      <c r="I200" s="1">
        <v>6.5595604969999997</v>
      </c>
      <c r="J200" s="1">
        <v>7.1176644690000002</v>
      </c>
      <c r="K200" s="1">
        <v>6.6307692840000003</v>
      </c>
      <c r="L200" s="1">
        <v>7.6891669609999997</v>
      </c>
      <c r="M200" s="1">
        <v>7.4231927009999996</v>
      </c>
      <c r="N200" s="1">
        <v>6.4757340919999997</v>
      </c>
      <c r="O200" s="1">
        <v>6.7203403079999999</v>
      </c>
      <c r="P200" s="1">
        <v>7.1189337139999997</v>
      </c>
      <c r="Q200" s="1">
        <v>7.455836744</v>
      </c>
      <c r="R200" s="1">
        <v>7.2818332379999999</v>
      </c>
      <c r="S200" s="1">
        <v>7.5359901100000002</v>
      </c>
      <c r="T200" s="1">
        <v>7.6891669609999997</v>
      </c>
      <c r="U200" s="1">
        <v>7.4231927009999996</v>
      </c>
      <c r="V200" s="1">
        <v>7.074522065</v>
      </c>
      <c r="W200" s="1">
        <v>7.2314139690000001</v>
      </c>
      <c r="X200" s="1">
        <v>6.9093190980000001</v>
      </c>
      <c r="Y200" s="1">
        <v>6.8689654070000001</v>
      </c>
      <c r="Z200" s="1">
        <v>7.2818332379999999</v>
      </c>
      <c r="AA200" s="1">
        <v>7.5359901100000002</v>
      </c>
      <c r="AB200" s="1">
        <v>7.1687117850000002</v>
      </c>
      <c r="AC200" s="1">
        <v>7.1727907960000001</v>
      </c>
      <c r="AD200" s="1">
        <v>7.3379235500000002</v>
      </c>
      <c r="AE200" s="1">
        <v>7.2442871269999998</v>
      </c>
    </row>
    <row r="201" spans="1:31" x14ac:dyDescent="0.25">
      <c r="A201" s="1" t="s">
        <v>422</v>
      </c>
      <c r="B201" s="1" t="s">
        <v>2520</v>
      </c>
      <c r="C201" s="1" t="s">
        <v>2521</v>
      </c>
      <c r="D201" s="1" t="s">
        <v>2535</v>
      </c>
      <c r="E201" s="1" t="s">
        <v>2884</v>
      </c>
      <c r="G201" s="1" t="s">
        <v>422</v>
      </c>
      <c r="H201" s="1">
        <v>5.0553993879999997</v>
      </c>
      <c r="I201" s="1">
        <v>5.4447012069999996</v>
      </c>
      <c r="J201" s="1">
        <v>5.2817155790000001</v>
      </c>
      <c r="K201" s="1">
        <v>5.3151275040000003</v>
      </c>
      <c r="L201" s="1">
        <v>5.3172641829999998</v>
      </c>
      <c r="M201" s="1">
        <v>5.0913316819999999</v>
      </c>
      <c r="N201" s="1">
        <v>5.5947014570000002</v>
      </c>
      <c r="O201" s="1">
        <v>5.7466551829999997</v>
      </c>
      <c r="P201" s="1">
        <v>5.1018341500000002</v>
      </c>
      <c r="Q201" s="1">
        <v>4.683187717</v>
      </c>
      <c r="R201" s="1">
        <v>5.57388789</v>
      </c>
      <c r="S201" s="1">
        <v>4.4749637470000003</v>
      </c>
      <c r="T201" s="1">
        <v>5.3172641829999998</v>
      </c>
      <c r="U201" s="1">
        <v>5.0913316819999999</v>
      </c>
      <c r="V201" s="1">
        <v>4.5826682710000002</v>
      </c>
      <c r="W201" s="1">
        <v>5.16775612</v>
      </c>
      <c r="X201" s="1">
        <v>5.0861518739999996</v>
      </c>
      <c r="Y201" s="1">
        <v>5.1785898169999998</v>
      </c>
      <c r="Z201" s="1">
        <v>5.57388789</v>
      </c>
      <c r="AA201" s="1">
        <v>4.4749637470000003</v>
      </c>
      <c r="AB201" s="1">
        <v>4.5063178209999997</v>
      </c>
      <c r="AC201" s="1">
        <v>5.0638423939999999</v>
      </c>
      <c r="AD201" s="1">
        <v>5.396704357</v>
      </c>
      <c r="AE201" s="1">
        <v>5.0693189500000004</v>
      </c>
    </row>
    <row r="202" spans="1:31" x14ac:dyDescent="0.25">
      <c r="A202" s="1" t="s">
        <v>424</v>
      </c>
      <c r="B202" s="1" t="s">
        <v>2530</v>
      </c>
      <c r="C202" s="1" t="s">
        <v>2573</v>
      </c>
      <c r="D202" s="1" t="s">
        <v>2535</v>
      </c>
      <c r="E202" s="1" t="s">
        <v>2885</v>
      </c>
      <c r="G202" s="1" t="s">
        <v>424</v>
      </c>
      <c r="H202" s="1">
        <v>4.2900513550000001</v>
      </c>
      <c r="I202" s="1">
        <v>4.9575946069999999</v>
      </c>
      <c r="J202" s="1">
        <v>4.9532699769999997</v>
      </c>
      <c r="K202" s="1">
        <v>4.2434183680000004</v>
      </c>
      <c r="L202" s="1">
        <v>5.5690677470000001</v>
      </c>
      <c r="M202" s="1">
        <v>5.3915279009999999</v>
      </c>
      <c r="N202" s="1">
        <v>5.3135718379999997</v>
      </c>
      <c r="O202" s="1">
        <v>5.0070106360000004</v>
      </c>
      <c r="P202" s="1">
        <v>4.7972962780000001</v>
      </c>
      <c r="Q202" s="1">
        <v>4.993318082</v>
      </c>
      <c r="R202" s="1">
        <v>4.3698765340000003</v>
      </c>
      <c r="S202" s="1">
        <v>5.1309834260000002</v>
      </c>
      <c r="T202" s="1">
        <v>5.5690677470000001</v>
      </c>
      <c r="U202" s="1">
        <v>5.3915279009999999</v>
      </c>
      <c r="V202" s="1">
        <v>4.8566239800000002</v>
      </c>
      <c r="W202" s="1">
        <v>5.1095551629999996</v>
      </c>
      <c r="X202" s="1">
        <v>5.2630731749999997</v>
      </c>
      <c r="Y202" s="1">
        <v>5.0702808140000002</v>
      </c>
      <c r="Z202" s="1">
        <v>4.3698765340000003</v>
      </c>
      <c r="AA202" s="1">
        <v>5.1309834260000002</v>
      </c>
      <c r="AB202" s="1">
        <v>4.139369361</v>
      </c>
      <c r="AC202" s="1">
        <v>4.9660712470000004</v>
      </c>
      <c r="AD202" s="1">
        <v>5.0087140049999999</v>
      </c>
      <c r="AE202" s="1">
        <v>4.4595659249999997</v>
      </c>
    </row>
    <row r="203" spans="1:31" x14ac:dyDescent="0.25">
      <c r="A203" s="1" t="s">
        <v>425</v>
      </c>
      <c r="B203" s="1" t="s">
        <v>2535</v>
      </c>
      <c r="C203" s="1" t="s">
        <v>2535</v>
      </c>
      <c r="D203" s="1" t="s">
        <v>2535</v>
      </c>
      <c r="E203" s="1" t="s">
        <v>2535</v>
      </c>
      <c r="F203" s="1" t="s">
        <v>2535</v>
      </c>
      <c r="G203" s="1" t="s">
        <v>425</v>
      </c>
      <c r="H203" s="1">
        <v>2.640460343</v>
      </c>
      <c r="I203" s="1">
        <v>3.1348991329999998</v>
      </c>
      <c r="J203" s="1">
        <v>2.8907526730000002</v>
      </c>
      <c r="K203" s="1">
        <v>3.762021974</v>
      </c>
      <c r="L203" s="1">
        <v>3.6142294740000001</v>
      </c>
      <c r="M203" s="1">
        <v>3.027864058</v>
      </c>
      <c r="N203" s="1">
        <v>3.444746345</v>
      </c>
      <c r="O203" s="1">
        <v>3.7238257350000001</v>
      </c>
      <c r="P203" s="1">
        <v>3.3003929539999999</v>
      </c>
      <c r="Q203" s="1">
        <v>3.388910638</v>
      </c>
      <c r="R203" s="1">
        <v>2.9339002829999998</v>
      </c>
      <c r="S203" s="1">
        <v>3.3463386960000001</v>
      </c>
      <c r="T203" s="1">
        <v>3.6142294740000001</v>
      </c>
      <c r="U203" s="1">
        <v>3.027864058</v>
      </c>
      <c r="V203" s="1">
        <v>3.2389700330000002</v>
      </c>
      <c r="W203" s="1">
        <v>3.50175473</v>
      </c>
      <c r="X203" s="1">
        <v>3.6673381269999998</v>
      </c>
      <c r="Y203" s="1">
        <v>3.9087436480000002</v>
      </c>
      <c r="Z203" s="1">
        <v>2.9339002829999998</v>
      </c>
      <c r="AA203" s="1">
        <v>3.3463386960000001</v>
      </c>
      <c r="AB203" s="1">
        <v>2.73487305</v>
      </c>
      <c r="AC203" s="1">
        <v>3.7481372300000002</v>
      </c>
      <c r="AD203" s="1">
        <v>2.9432342459999998</v>
      </c>
      <c r="AE203" s="1">
        <v>3.213378847</v>
      </c>
    </row>
    <row r="204" spans="1:31" x14ac:dyDescent="0.25">
      <c r="A204" s="1" t="s">
        <v>426</v>
      </c>
      <c r="B204" s="1" t="s">
        <v>2530</v>
      </c>
      <c r="C204" s="1" t="s">
        <v>2531</v>
      </c>
      <c r="D204" s="1" t="s">
        <v>2786</v>
      </c>
      <c r="E204" s="1" t="s">
        <v>2886</v>
      </c>
      <c r="G204" s="1" t="s">
        <v>426</v>
      </c>
      <c r="H204" s="1">
        <v>3.2549621289999999</v>
      </c>
      <c r="I204" s="1">
        <v>4.2055918060000002</v>
      </c>
      <c r="J204" s="1">
        <v>2.8907526730000002</v>
      </c>
      <c r="K204" s="1">
        <v>3.607491666</v>
      </c>
      <c r="L204" s="1">
        <v>4.4478088219999998</v>
      </c>
      <c r="M204" s="1">
        <v>4.1823509169999999</v>
      </c>
      <c r="N204" s="1">
        <v>4.2617896110000002</v>
      </c>
      <c r="O204" s="1">
        <v>4.0289865369999998</v>
      </c>
      <c r="P204" s="1">
        <v>3.7419514989999998</v>
      </c>
      <c r="Q204" s="1">
        <v>3.56206471</v>
      </c>
      <c r="R204" s="1">
        <v>4.2802026870000001</v>
      </c>
      <c r="S204" s="1">
        <v>3.6647387380000001</v>
      </c>
      <c r="T204" s="1">
        <v>4.4478088219999998</v>
      </c>
      <c r="U204" s="1">
        <v>4.1823509169999999</v>
      </c>
      <c r="V204" s="1">
        <v>3.3993802240000002</v>
      </c>
      <c r="W204" s="1">
        <v>3.8431653940000001</v>
      </c>
      <c r="X204" s="1">
        <v>4.1686775799999998</v>
      </c>
      <c r="Y204" s="1">
        <v>3.7705059300000001</v>
      </c>
      <c r="Z204" s="1">
        <v>4.2802026870000001</v>
      </c>
      <c r="AA204" s="1">
        <v>3.6647387380000001</v>
      </c>
      <c r="AB204" s="1">
        <v>3.8237667059999998</v>
      </c>
      <c r="AC204" s="1">
        <v>4.1685844940000001</v>
      </c>
      <c r="AD204" s="1">
        <v>3.984188064</v>
      </c>
      <c r="AE204" s="1">
        <v>3.7492737119999999</v>
      </c>
    </row>
    <row r="205" spans="1:31" x14ac:dyDescent="0.25">
      <c r="A205" s="1" t="s">
        <v>427</v>
      </c>
      <c r="B205" s="1" t="s">
        <v>2708</v>
      </c>
      <c r="C205" s="1" t="s">
        <v>2531</v>
      </c>
      <c r="D205" s="1" t="s">
        <v>2887</v>
      </c>
      <c r="E205" s="1" t="s">
        <v>2888</v>
      </c>
      <c r="F205" s="1" t="s">
        <v>2889</v>
      </c>
      <c r="G205" s="1" t="s">
        <v>427</v>
      </c>
      <c r="H205" s="1">
        <v>6.5340358859999998</v>
      </c>
      <c r="I205" s="1">
        <v>6.7677591609999999</v>
      </c>
      <c r="J205" s="1">
        <v>6.8353858709999997</v>
      </c>
      <c r="K205" s="1">
        <v>6.8233399239999999</v>
      </c>
      <c r="L205" s="1">
        <v>6.7558605199999997</v>
      </c>
      <c r="M205" s="1">
        <v>6.4651725329999996</v>
      </c>
      <c r="N205" s="1">
        <v>7.3999365380000004</v>
      </c>
      <c r="O205" s="1">
        <v>7.0923181910000004</v>
      </c>
      <c r="P205" s="1">
        <v>6.59966688</v>
      </c>
      <c r="Q205" s="1">
        <v>6.3557835540000003</v>
      </c>
      <c r="R205" s="1">
        <v>6.2855941240000002</v>
      </c>
      <c r="S205" s="1">
        <v>6.4019078089999999</v>
      </c>
      <c r="T205" s="1">
        <v>6.7558605199999997</v>
      </c>
      <c r="U205" s="1">
        <v>6.4651725329999996</v>
      </c>
      <c r="V205" s="1">
        <v>6.3999584609999998</v>
      </c>
      <c r="W205" s="1">
        <v>6.657303325</v>
      </c>
      <c r="X205" s="1">
        <v>6.033711995</v>
      </c>
      <c r="Y205" s="1">
        <v>6.421343255</v>
      </c>
      <c r="Z205" s="1">
        <v>6.2855941240000002</v>
      </c>
      <c r="AA205" s="1">
        <v>6.4019078089999999</v>
      </c>
      <c r="AB205" s="1">
        <v>6.3094558689999998</v>
      </c>
      <c r="AC205" s="1">
        <v>6.1168053020000004</v>
      </c>
      <c r="AD205" s="1">
        <v>6.1407817189999996</v>
      </c>
      <c r="AE205" s="1">
        <v>6.3557478529999996</v>
      </c>
    </row>
    <row r="206" spans="1:31" x14ac:dyDescent="0.25">
      <c r="A206" s="1" t="s">
        <v>428</v>
      </c>
      <c r="B206" s="1" t="s">
        <v>2579</v>
      </c>
      <c r="C206" s="1" t="s">
        <v>2585</v>
      </c>
      <c r="D206" s="1" t="s">
        <v>2890</v>
      </c>
      <c r="E206" s="1" t="s">
        <v>2891</v>
      </c>
      <c r="F206" s="1" t="s">
        <v>2892</v>
      </c>
      <c r="G206" s="1" t="s">
        <v>428</v>
      </c>
      <c r="H206" s="1">
        <v>7.7128530040000003</v>
      </c>
      <c r="I206" s="1">
        <v>7.6691092149999998</v>
      </c>
      <c r="J206" s="1">
        <v>8.9026809</v>
      </c>
      <c r="K206" s="1">
        <v>8.8056285219999992</v>
      </c>
      <c r="L206" s="1">
        <v>8.7854847019999998</v>
      </c>
      <c r="M206" s="1">
        <v>8.8153952150000006</v>
      </c>
      <c r="N206" s="1">
        <v>8.130080049</v>
      </c>
      <c r="O206" s="1">
        <v>8.1236366810000007</v>
      </c>
      <c r="P206" s="1">
        <v>8.8584154559999995</v>
      </c>
      <c r="Q206" s="1">
        <v>8.7428603220000003</v>
      </c>
      <c r="R206" s="1">
        <v>8.8932591970000008</v>
      </c>
      <c r="S206" s="1">
        <v>8.8047924759999994</v>
      </c>
      <c r="T206" s="1">
        <v>8.7854847019999998</v>
      </c>
      <c r="U206" s="1">
        <v>8.8153952150000006</v>
      </c>
      <c r="V206" s="1">
        <v>8.7504287749999996</v>
      </c>
      <c r="W206" s="1">
        <v>8.8809849330000006</v>
      </c>
      <c r="X206" s="1">
        <v>9.0104911820000009</v>
      </c>
      <c r="Y206" s="1">
        <v>8.6848618660000003</v>
      </c>
      <c r="Z206" s="1">
        <v>8.8932591970000008</v>
      </c>
      <c r="AA206" s="1">
        <v>8.8047924759999994</v>
      </c>
      <c r="AB206" s="1">
        <v>8.9644445049999995</v>
      </c>
      <c r="AC206" s="1">
        <v>8.9339791739999992</v>
      </c>
      <c r="AD206" s="1">
        <v>8.6465418720000002</v>
      </c>
      <c r="AE206" s="1">
        <v>8.5244617799999993</v>
      </c>
    </row>
    <row r="207" spans="1:31" x14ac:dyDescent="0.25">
      <c r="A207" s="1" t="s">
        <v>429</v>
      </c>
      <c r="B207" s="1" t="s">
        <v>2530</v>
      </c>
      <c r="C207" s="1" t="s">
        <v>2531</v>
      </c>
      <c r="D207" s="1" t="s">
        <v>2535</v>
      </c>
      <c r="E207" s="1" t="s">
        <v>2536</v>
      </c>
      <c r="G207" s="1" t="s">
        <v>429</v>
      </c>
      <c r="H207" s="1">
        <v>3.8023684370000002</v>
      </c>
      <c r="I207" s="1">
        <v>4.2055918060000002</v>
      </c>
      <c r="J207" s="1">
        <v>3.8969924050000002</v>
      </c>
      <c r="K207" s="1">
        <v>4.2434183680000004</v>
      </c>
      <c r="L207" s="1">
        <v>4.4478088219999998</v>
      </c>
      <c r="M207" s="1">
        <v>3.9942443089999999</v>
      </c>
      <c r="N207" s="1">
        <v>4.6936110280000003</v>
      </c>
      <c r="O207" s="1">
        <v>4.0289865369999998</v>
      </c>
      <c r="P207" s="1">
        <v>3.7419514989999998</v>
      </c>
      <c r="Q207" s="1">
        <v>3.9718447549999998</v>
      </c>
      <c r="R207" s="1">
        <v>3.968758995</v>
      </c>
      <c r="S207" s="1">
        <v>3.7977317990000001</v>
      </c>
      <c r="T207" s="1">
        <v>4.4478088219999998</v>
      </c>
      <c r="U207" s="1">
        <v>3.9942443089999999</v>
      </c>
      <c r="V207" s="1">
        <v>4.0758289169999999</v>
      </c>
      <c r="W207" s="1">
        <v>4.3370700810000002</v>
      </c>
      <c r="X207" s="1">
        <v>4.7192629950000002</v>
      </c>
      <c r="Y207" s="1">
        <v>3.7705059300000001</v>
      </c>
      <c r="Z207" s="1">
        <v>3.968758995</v>
      </c>
      <c r="AA207" s="1">
        <v>3.7977317990000001</v>
      </c>
      <c r="AB207" s="1">
        <v>3.8237667059999998</v>
      </c>
      <c r="AC207" s="1">
        <v>4.415017905</v>
      </c>
      <c r="AD207" s="1">
        <v>3.725077481</v>
      </c>
      <c r="AE207" s="1">
        <v>3.9499994520000001</v>
      </c>
    </row>
    <row r="208" spans="1:31" x14ac:dyDescent="0.25">
      <c r="A208" s="1" t="s">
        <v>430</v>
      </c>
      <c r="B208" s="1" t="s">
        <v>2557</v>
      </c>
      <c r="C208" s="1" t="s">
        <v>2680</v>
      </c>
      <c r="D208" s="1" t="s">
        <v>2893</v>
      </c>
      <c r="E208" s="1" t="s">
        <v>2894</v>
      </c>
      <c r="F208" s="1" t="s">
        <v>2895</v>
      </c>
      <c r="G208" s="1" t="s">
        <v>430</v>
      </c>
      <c r="H208" s="1">
        <v>4.6479005740000003</v>
      </c>
      <c r="I208" s="1">
        <v>4.66484875</v>
      </c>
      <c r="J208" s="1">
        <v>4.1077874330000004</v>
      </c>
      <c r="K208" s="1">
        <v>4.7454889089999996</v>
      </c>
      <c r="L208" s="1">
        <v>3.1084154310000001</v>
      </c>
      <c r="M208" s="1">
        <v>3.8521266660000002</v>
      </c>
      <c r="N208" s="1">
        <v>4.5366957899999996</v>
      </c>
      <c r="O208" s="1">
        <v>4.9384407589999997</v>
      </c>
      <c r="P208" s="1">
        <v>4.2485661720000003</v>
      </c>
      <c r="Q208" s="1">
        <v>3.8492287269999999</v>
      </c>
      <c r="R208" s="1">
        <v>3.7109484589999999</v>
      </c>
      <c r="S208" s="1">
        <v>3.5159502420000002</v>
      </c>
      <c r="T208" s="1">
        <v>3.1084154310000001</v>
      </c>
      <c r="U208" s="1">
        <v>3.8521266660000002</v>
      </c>
      <c r="V208" s="1">
        <v>4.1608706030000002</v>
      </c>
      <c r="W208" s="1">
        <v>4.1128053839999996</v>
      </c>
      <c r="X208" s="1">
        <v>3.4131791489999999</v>
      </c>
      <c r="Y208" s="1">
        <v>4.0337379980000003</v>
      </c>
      <c r="Z208" s="1">
        <v>3.7109484589999999</v>
      </c>
      <c r="AA208" s="1">
        <v>3.5159502420000002</v>
      </c>
      <c r="AB208" s="1">
        <v>3.8237667059999998</v>
      </c>
      <c r="AC208" s="1">
        <v>3.7481372300000002</v>
      </c>
      <c r="AD208" s="1">
        <v>4.5511338559999999</v>
      </c>
      <c r="AE208" s="1">
        <v>3.8196998459999998</v>
      </c>
    </row>
    <row r="209" spans="1:31" x14ac:dyDescent="0.25">
      <c r="A209" s="1" t="s">
        <v>431</v>
      </c>
      <c r="B209" s="1" t="s">
        <v>2530</v>
      </c>
      <c r="C209" s="1" t="s">
        <v>2531</v>
      </c>
      <c r="D209" s="1" t="s">
        <v>2535</v>
      </c>
      <c r="E209" s="1" t="s">
        <v>2886</v>
      </c>
      <c r="G209" s="1" t="s">
        <v>431</v>
      </c>
      <c r="H209" s="1">
        <v>6.1518914650000003</v>
      </c>
      <c r="I209" s="1">
        <v>6.3563108719999999</v>
      </c>
      <c r="J209" s="1">
        <v>6.5196869069999996</v>
      </c>
      <c r="K209" s="1">
        <v>6.5734492549999999</v>
      </c>
      <c r="L209" s="1">
        <v>6.777341389</v>
      </c>
      <c r="M209" s="1">
        <v>6.4651725329999996</v>
      </c>
      <c r="N209" s="1">
        <v>6.3422656530000001</v>
      </c>
      <c r="O209" s="1">
        <v>6.1134152940000002</v>
      </c>
      <c r="P209" s="1">
        <v>6.9406621209999999</v>
      </c>
      <c r="Q209" s="1">
        <v>7.1197895029999998</v>
      </c>
      <c r="R209" s="1">
        <v>6.6932924079999996</v>
      </c>
      <c r="S209" s="1">
        <v>6.7016683280000002</v>
      </c>
      <c r="T209" s="1">
        <v>6.777341389</v>
      </c>
      <c r="U209" s="1">
        <v>6.4651725329999996</v>
      </c>
      <c r="V209" s="1">
        <v>6.8827702540000004</v>
      </c>
      <c r="W209" s="1">
        <v>6.8101283480000001</v>
      </c>
      <c r="X209" s="1">
        <v>6.5224049439999998</v>
      </c>
      <c r="Y209" s="1">
        <v>6.5267696659999999</v>
      </c>
      <c r="Z209" s="1">
        <v>6.6932924079999996</v>
      </c>
      <c r="AA209" s="1">
        <v>6.7016683280000002</v>
      </c>
      <c r="AB209" s="1">
        <v>6.4252252849999998</v>
      </c>
      <c r="AC209" s="1">
        <v>6.7321847869999996</v>
      </c>
      <c r="AD209" s="1">
        <v>6.7977787940000001</v>
      </c>
      <c r="AE209" s="1">
        <v>6.6661093170000001</v>
      </c>
    </row>
    <row r="210" spans="1:31" x14ac:dyDescent="0.25">
      <c r="A210" s="1" t="s">
        <v>432</v>
      </c>
      <c r="B210" s="1" t="s">
        <v>2530</v>
      </c>
      <c r="C210" s="1" t="s">
        <v>2531</v>
      </c>
      <c r="D210" s="1" t="s">
        <v>2535</v>
      </c>
      <c r="E210" s="1" t="s">
        <v>2536</v>
      </c>
      <c r="G210" s="1" t="s">
        <v>432</v>
      </c>
      <c r="H210" s="1">
        <v>5.1131742039999999</v>
      </c>
      <c r="I210" s="1">
        <v>5.1546023129999998</v>
      </c>
      <c r="J210" s="1">
        <v>5.2392025899999997</v>
      </c>
      <c r="K210" s="1">
        <v>5.8552832600000002</v>
      </c>
      <c r="L210" s="1">
        <v>5.552483659</v>
      </c>
      <c r="M210" s="1">
        <v>5.2079667260000004</v>
      </c>
      <c r="N210" s="1">
        <v>5.5947014570000002</v>
      </c>
      <c r="O210" s="1">
        <v>5.0400854920000002</v>
      </c>
      <c r="P210" s="1">
        <v>5.3522904530000002</v>
      </c>
      <c r="Q210" s="1">
        <v>5.1004769559999996</v>
      </c>
      <c r="R210" s="1">
        <v>4.9894654599999999</v>
      </c>
      <c r="S210" s="1">
        <v>5.505875713</v>
      </c>
      <c r="T210" s="1">
        <v>5.552483659</v>
      </c>
      <c r="U210" s="1">
        <v>5.2079667260000004</v>
      </c>
      <c r="V210" s="1">
        <v>4.3163797720000003</v>
      </c>
      <c r="W210" s="1">
        <v>4.7760085830000003</v>
      </c>
      <c r="X210" s="1">
        <v>5.6186994139999999</v>
      </c>
      <c r="Y210" s="1">
        <v>4.6081171230000004</v>
      </c>
      <c r="Z210" s="1">
        <v>4.9894654599999999</v>
      </c>
      <c r="AA210" s="1">
        <v>5.505875713</v>
      </c>
      <c r="AB210" s="1">
        <v>5.4746970709999996</v>
      </c>
      <c r="AC210" s="1">
        <v>5.6067493529999997</v>
      </c>
      <c r="AD210" s="1">
        <v>5.1668950269999998</v>
      </c>
      <c r="AE210" s="1">
        <v>5.3433438500000001</v>
      </c>
    </row>
    <row r="211" spans="1:31" x14ac:dyDescent="0.25">
      <c r="A211" s="1" t="s">
        <v>434</v>
      </c>
      <c r="B211" s="1" t="s">
        <v>2530</v>
      </c>
      <c r="C211" s="1" t="s">
        <v>2531</v>
      </c>
      <c r="D211" s="1" t="s">
        <v>2535</v>
      </c>
      <c r="E211" s="1" t="s">
        <v>2536</v>
      </c>
      <c r="G211" s="1" t="s">
        <v>434</v>
      </c>
      <c r="H211" s="1">
        <v>6.2055952369999998</v>
      </c>
      <c r="I211" s="1">
        <v>6.4707161060000002</v>
      </c>
      <c r="J211" s="1">
        <v>5.9407738800000001</v>
      </c>
      <c r="K211" s="1">
        <v>6.3181776090000001</v>
      </c>
      <c r="L211" s="1">
        <v>4.4478088219999998</v>
      </c>
      <c r="M211" s="1">
        <v>4.6692867769999999</v>
      </c>
      <c r="N211" s="1">
        <v>6.8804643319999998</v>
      </c>
      <c r="O211" s="1">
        <v>6.740410754</v>
      </c>
      <c r="P211" s="1">
        <v>4.7972962780000001</v>
      </c>
      <c r="Q211" s="1">
        <v>4.9365262349999997</v>
      </c>
      <c r="R211" s="1">
        <v>5.3334881589999998</v>
      </c>
      <c r="S211" s="1">
        <v>4.7503017500000002</v>
      </c>
      <c r="T211" s="1">
        <v>4.4478088219999998</v>
      </c>
      <c r="U211" s="1">
        <v>4.6692867769999999</v>
      </c>
      <c r="V211" s="1">
        <v>5.1274300740000003</v>
      </c>
      <c r="W211" s="1">
        <v>5.5195577800000004</v>
      </c>
      <c r="X211" s="1">
        <v>4.4502657640000001</v>
      </c>
      <c r="Y211" s="1">
        <v>5.3269702959999998</v>
      </c>
      <c r="Z211" s="1">
        <v>5.3334881589999998</v>
      </c>
      <c r="AA211" s="1">
        <v>4.7503017500000002</v>
      </c>
      <c r="AB211" s="1">
        <v>5.2406211000000003</v>
      </c>
      <c r="AC211" s="1">
        <v>5.0638423939999999</v>
      </c>
      <c r="AD211" s="1">
        <v>5.2159266190000002</v>
      </c>
      <c r="AE211" s="1">
        <v>5.2252968339999999</v>
      </c>
    </row>
    <row r="212" spans="1:31" x14ac:dyDescent="0.25">
      <c r="A212" s="1" t="s">
        <v>436</v>
      </c>
      <c r="B212" s="1" t="s">
        <v>2598</v>
      </c>
      <c r="C212" s="1" t="s">
        <v>2795</v>
      </c>
      <c r="D212" s="1" t="s">
        <v>2896</v>
      </c>
      <c r="E212" s="1" t="s">
        <v>2897</v>
      </c>
      <c r="F212" s="1" t="s">
        <v>2898</v>
      </c>
      <c r="G212" s="1" t="s">
        <v>436</v>
      </c>
      <c r="H212" s="1">
        <v>3.4660955969999998</v>
      </c>
      <c r="I212" s="1">
        <v>3.1348991329999998</v>
      </c>
      <c r="J212" s="1">
        <v>4.1077874330000004</v>
      </c>
      <c r="K212" s="1">
        <v>4.0244910950000001</v>
      </c>
      <c r="L212" s="1">
        <v>4.2088403679999997</v>
      </c>
      <c r="M212" s="1">
        <v>4.1225413939999997</v>
      </c>
      <c r="N212" s="1">
        <v>4.4510307109999996</v>
      </c>
      <c r="O212" s="1">
        <v>4.7903853170000001</v>
      </c>
      <c r="P212" s="1">
        <v>3.86011382</v>
      </c>
      <c r="Q212" s="1">
        <v>3.388910638</v>
      </c>
      <c r="R212" s="1">
        <v>4.3698765340000003</v>
      </c>
      <c r="S212" s="1">
        <v>4.1304223819999999</v>
      </c>
      <c r="T212" s="1">
        <v>4.2088403679999997</v>
      </c>
      <c r="U212" s="1">
        <v>4.1225413939999997</v>
      </c>
      <c r="V212" s="1">
        <v>4.7533922439999996</v>
      </c>
      <c r="W212" s="1">
        <v>4.4367165279999998</v>
      </c>
      <c r="X212" s="1">
        <v>3.9418607479999999</v>
      </c>
      <c r="Y212" s="1">
        <v>3.9087436480000002</v>
      </c>
      <c r="Z212" s="1">
        <v>4.3698765340000003</v>
      </c>
      <c r="AA212" s="1">
        <v>4.1304223819999999</v>
      </c>
      <c r="AB212" s="1">
        <v>3.8237667059999998</v>
      </c>
      <c r="AC212" s="1">
        <v>4.5576875899999996</v>
      </c>
      <c r="AD212" s="1">
        <v>3.5727029510000001</v>
      </c>
      <c r="AE212" s="1">
        <v>4.542053224</v>
      </c>
    </row>
    <row r="213" spans="1:31" x14ac:dyDescent="0.25">
      <c r="A213" s="1" t="s">
        <v>437</v>
      </c>
      <c r="B213" s="1" t="s">
        <v>2530</v>
      </c>
      <c r="C213" s="1" t="s">
        <v>2531</v>
      </c>
      <c r="D213" s="1" t="s">
        <v>2535</v>
      </c>
      <c r="E213" s="1" t="s">
        <v>2899</v>
      </c>
      <c r="G213" s="1" t="s">
        <v>437</v>
      </c>
      <c r="H213" s="1">
        <v>4.7972697699999998</v>
      </c>
      <c r="I213" s="1">
        <v>4.5280931029999998</v>
      </c>
      <c r="J213" s="1">
        <v>4.1077874330000004</v>
      </c>
      <c r="K213" s="1">
        <v>5.0014827119999996</v>
      </c>
      <c r="L213" s="1">
        <v>5.3750929149999997</v>
      </c>
      <c r="M213" s="1">
        <v>5.1214027209999999</v>
      </c>
      <c r="N213" s="1">
        <v>4.8677953240000003</v>
      </c>
      <c r="O213" s="1">
        <v>4.7507950320000001</v>
      </c>
      <c r="P213" s="1">
        <v>4.9062897479999998</v>
      </c>
      <c r="Q213" s="1">
        <v>4.8155696649999999</v>
      </c>
      <c r="R213" s="1">
        <v>4.9894654599999999</v>
      </c>
      <c r="S213" s="1">
        <v>4.3966315629999997</v>
      </c>
      <c r="T213" s="1">
        <v>5.3750929149999997</v>
      </c>
      <c r="U213" s="1">
        <v>5.1214027209999999</v>
      </c>
      <c r="V213" s="1">
        <v>3.9849921849999999</v>
      </c>
      <c r="W213" s="1">
        <v>4.3370700810000002</v>
      </c>
      <c r="X213" s="1">
        <v>4.7537743670000001</v>
      </c>
      <c r="Y213" s="1">
        <v>4.6842287809999998</v>
      </c>
      <c r="Z213" s="1">
        <v>4.9894654599999999</v>
      </c>
      <c r="AA213" s="1">
        <v>4.3966315629999997</v>
      </c>
      <c r="AB213" s="1">
        <v>3.990981031</v>
      </c>
      <c r="AC213" s="1">
        <v>5.2411914069999996</v>
      </c>
      <c r="AD213" s="1">
        <v>4.6978214539999996</v>
      </c>
      <c r="AE213" s="1">
        <v>4.6572481659999996</v>
      </c>
    </row>
    <row r="214" spans="1:31" x14ac:dyDescent="0.25">
      <c r="A214" s="1" t="s">
        <v>438</v>
      </c>
      <c r="B214" s="1" t="s">
        <v>2579</v>
      </c>
      <c r="C214" s="1" t="s">
        <v>2812</v>
      </c>
      <c r="D214" s="1" t="s">
        <v>2900</v>
      </c>
      <c r="E214" s="1" t="s">
        <v>2901</v>
      </c>
      <c r="F214" s="1" t="s">
        <v>2902</v>
      </c>
      <c r="G214" s="1" t="s">
        <v>438</v>
      </c>
      <c r="H214" s="1">
        <v>8.9436467149999999</v>
      </c>
      <c r="I214" s="1">
        <v>10.020242339999999</v>
      </c>
      <c r="J214" s="1">
        <v>9.4196971319999996</v>
      </c>
      <c r="K214" s="1">
        <v>9.2813589309999998</v>
      </c>
      <c r="L214" s="1">
        <v>9.7422146840000003</v>
      </c>
      <c r="M214" s="1">
        <v>9.5670175979999996</v>
      </c>
      <c r="N214" s="1">
        <v>8.6899976379999995</v>
      </c>
      <c r="O214" s="1">
        <v>8.5358513840000008</v>
      </c>
      <c r="P214" s="1">
        <v>9.6044964289999992</v>
      </c>
      <c r="Q214" s="1">
        <v>9.6022535680000001</v>
      </c>
      <c r="R214" s="1">
        <v>8.8895786000000001</v>
      </c>
      <c r="S214" s="1">
        <v>9.4265598859999997</v>
      </c>
      <c r="T214" s="1">
        <v>9.7422146840000003</v>
      </c>
      <c r="U214" s="1">
        <v>9.5670175979999996</v>
      </c>
      <c r="V214" s="1">
        <v>10.55320345</v>
      </c>
      <c r="W214" s="1">
        <v>10.20794508</v>
      </c>
      <c r="X214" s="1">
        <v>8.8111990030000005</v>
      </c>
      <c r="Y214" s="1">
        <v>9.8780636810000004</v>
      </c>
      <c r="Z214" s="1">
        <v>8.8895786000000001</v>
      </c>
      <c r="AA214" s="1">
        <v>9.4265598859999997</v>
      </c>
      <c r="AB214" s="1">
        <v>8.9158659440000001</v>
      </c>
      <c r="AC214" s="1">
        <v>8.8551086849999994</v>
      </c>
      <c r="AD214" s="1">
        <v>8.8794231499999992</v>
      </c>
      <c r="AE214" s="1">
        <v>9.4513424740000005</v>
      </c>
    </row>
    <row r="215" spans="1:31" x14ac:dyDescent="0.25">
      <c r="A215" s="1" t="s">
        <v>439</v>
      </c>
      <c r="B215" s="1" t="s">
        <v>2843</v>
      </c>
      <c r="C215" s="1" t="s">
        <v>2903</v>
      </c>
      <c r="D215" s="1" t="s">
        <v>2904</v>
      </c>
      <c r="E215" s="1" t="s">
        <v>2905</v>
      </c>
      <c r="F215" s="1" t="s">
        <v>2906</v>
      </c>
      <c r="G215" s="1" t="s">
        <v>439</v>
      </c>
      <c r="H215" s="1">
        <v>7.3929460090000001</v>
      </c>
      <c r="I215" s="1">
        <v>7.0263944179999998</v>
      </c>
      <c r="J215" s="1">
        <v>8.7075775029999996</v>
      </c>
      <c r="K215" s="1">
        <v>8.7593109770000002</v>
      </c>
      <c r="L215" s="1">
        <v>8.8340837879999992</v>
      </c>
      <c r="M215" s="1">
        <v>8.9727820690000009</v>
      </c>
      <c r="N215" s="1">
        <v>7.7462317040000004</v>
      </c>
      <c r="O215" s="1">
        <v>7.4620616200000001</v>
      </c>
      <c r="P215" s="1">
        <v>8.669186861</v>
      </c>
      <c r="Q215" s="1">
        <v>8.5363765859999994</v>
      </c>
      <c r="R215" s="1">
        <v>8.8408561250000002</v>
      </c>
      <c r="S215" s="1">
        <v>8.9014188460000003</v>
      </c>
      <c r="T215" s="1">
        <v>8.8340837879999992</v>
      </c>
      <c r="U215" s="1">
        <v>8.9727820690000009</v>
      </c>
      <c r="V215" s="1">
        <v>8.5410349050000001</v>
      </c>
      <c r="W215" s="1">
        <v>8.6676907189999994</v>
      </c>
      <c r="X215" s="1">
        <v>8.8132137739999994</v>
      </c>
      <c r="Y215" s="1">
        <v>8.209583061</v>
      </c>
      <c r="Z215" s="1">
        <v>8.8408561250000002</v>
      </c>
      <c r="AA215" s="1">
        <v>8.9014188460000003</v>
      </c>
      <c r="AB215" s="1">
        <v>8.7758939690000002</v>
      </c>
      <c r="AC215" s="1">
        <v>8.7894596850000006</v>
      </c>
      <c r="AD215" s="1">
        <v>8.2800015980000001</v>
      </c>
      <c r="AE215" s="1">
        <v>8.1878426139999991</v>
      </c>
    </row>
    <row r="216" spans="1:31" x14ac:dyDescent="0.25">
      <c r="A216" s="1" t="s">
        <v>440</v>
      </c>
      <c r="B216" s="1" t="s">
        <v>2530</v>
      </c>
      <c r="C216" s="1" t="s">
        <v>2531</v>
      </c>
      <c r="D216" s="1" t="s">
        <v>2535</v>
      </c>
      <c r="E216" s="1" t="s">
        <v>2536</v>
      </c>
      <c r="G216" s="1" t="s">
        <v>440</v>
      </c>
      <c r="H216" s="1">
        <v>1.7393328349999999</v>
      </c>
      <c r="I216" s="1">
        <v>1.7393328349999999</v>
      </c>
      <c r="J216" s="1">
        <v>2.8907526730000002</v>
      </c>
      <c r="K216" s="1">
        <v>2.620638279</v>
      </c>
      <c r="L216" s="1">
        <v>4.3335465510000004</v>
      </c>
      <c r="M216" s="1">
        <v>4.6692867769999999</v>
      </c>
      <c r="N216" s="1">
        <v>2.372908427</v>
      </c>
      <c r="O216" s="1">
        <v>1.7393328349999999</v>
      </c>
      <c r="P216" s="1">
        <v>3.3003929539999999</v>
      </c>
      <c r="Q216" s="1">
        <v>3.185675432</v>
      </c>
      <c r="R216" s="1">
        <v>2.595728008</v>
      </c>
      <c r="S216" s="1">
        <v>3.1475403900000001</v>
      </c>
      <c r="T216" s="1">
        <v>4.3335465510000004</v>
      </c>
      <c r="U216" s="1">
        <v>4.6692867769999999</v>
      </c>
      <c r="V216" s="1">
        <v>3.5405335899999999</v>
      </c>
      <c r="W216" s="1">
        <v>3.2870366010000001</v>
      </c>
      <c r="X216" s="1">
        <v>3.4131791489999999</v>
      </c>
      <c r="Y216" s="1">
        <v>3.4382968329999999</v>
      </c>
      <c r="Z216" s="1">
        <v>2.595728008</v>
      </c>
      <c r="AA216" s="1">
        <v>3.1475403900000001</v>
      </c>
      <c r="AB216" s="1">
        <v>3.6315729079999999</v>
      </c>
      <c r="AC216" s="1">
        <v>3.8665622239999999</v>
      </c>
      <c r="AD216" s="1">
        <v>3.5727029510000001</v>
      </c>
      <c r="AE216" s="1">
        <v>3.321206681</v>
      </c>
    </row>
    <row r="217" spans="1:31" x14ac:dyDescent="0.25">
      <c r="A217" s="1" t="s">
        <v>443</v>
      </c>
      <c r="B217" s="1" t="s">
        <v>2530</v>
      </c>
      <c r="C217" s="1" t="s">
        <v>2573</v>
      </c>
      <c r="D217" s="1" t="s">
        <v>2535</v>
      </c>
      <c r="E217" s="1" t="s">
        <v>2907</v>
      </c>
      <c r="G217" s="1" t="s">
        <v>443</v>
      </c>
      <c r="H217" s="1">
        <v>4.995162745</v>
      </c>
      <c r="I217" s="1">
        <v>5.0595268689999999</v>
      </c>
      <c r="J217" s="1">
        <v>6.0178848</v>
      </c>
      <c r="K217" s="1">
        <v>5.4493056099999997</v>
      </c>
      <c r="L217" s="1">
        <v>5.9312890439999997</v>
      </c>
      <c r="M217" s="1">
        <v>5.9201092089999996</v>
      </c>
      <c r="N217" s="1">
        <v>5.4502346690000003</v>
      </c>
      <c r="O217" s="1">
        <v>5.3074139359999997</v>
      </c>
      <c r="P217" s="1">
        <v>5.4627121560000003</v>
      </c>
      <c r="Q217" s="1">
        <v>5.5780218530000001</v>
      </c>
      <c r="R217" s="1">
        <v>5.57388789</v>
      </c>
      <c r="S217" s="1">
        <v>5.7723891209999998</v>
      </c>
      <c r="T217" s="1">
        <v>5.9312890439999997</v>
      </c>
      <c r="U217" s="1">
        <v>5.9201092089999996</v>
      </c>
      <c r="V217" s="1">
        <v>5.7495972609999999</v>
      </c>
      <c r="W217" s="1">
        <v>5.5195577800000004</v>
      </c>
      <c r="X217" s="1">
        <v>5.7084070709999999</v>
      </c>
      <c r="Y217" s="1">
        <v>5.7678626939999997</v>
      </c>
      <c r="Z217" s="1">
        <v>5.57388789</v>
      </c>
      <c r="AA217" s="1">
        <v>5.7723891209999998</v>
      </c>
      <c r="AB217" s="1">
        <v>5.675717079</v>
      </c>
      <c r="AC217" s="1">
        <v>5.8975684140000002</v>
      </c>
      <c r="AD217" s="1">
        <v>5.5571020090000003</v>
      </c>
      <c r="AE217" s="1">
        <v>5.8364806040000001</v>
      </c>
    </row>
    <row r="218" spans="1:31" x14ac:dyDescent="0.25">
      <c r="A218" s="1" t="s">
        <v>444</v>
      </c>
      <c r="B218" s="1" t="s">
        <v>2662</v>
      </c>
      <c r="C218" s="1" t="s">
        <v>2663</v>
      </c>
      <c r="D218" s="1" t="s">
        <v>2908</v>
      </c>
      <c r="E218" s="1" t="s">
        <v>2909</v>
      </c>
      <c r="F218" s="1" t="s">
        <v>2910</v>
      </c>
      <c r="G218" s="1" t="s">
        <v>444</v>
      </c>
      <c r="H218" s="1">
        <v>5.7431528099999998</v>
      </c>
      <c r="I218" s="1">
        <v>6.4146507100000001</v>
      </c>
      <c r="J218" s="1">
        <v>7.1292697699999996</v>
      </c>
      <c r="K218" s="1">
        <v>7.1581252400000004</v>
      </c>
      <c r="L218" s="1">
        <v>7.4955260370000003</v>
      </c>
      <c r="M218" s="1">
        <v>7.4760427390000004</v>
      </c>
      <c r="N218" s="1">
        <v>6.421619185</v>
      </c>
      <c r="O218" s="1">
        <v>6.0012687509999996</v>
      </c>
      <c r="P218" s="1">
        <v>6.9903989949999996</v>
      </c>
      <c r="Q218" s="1">
        <v>7.0552915670000003</v>
      </c>
      <c r="R218" s="1">
        <v>7.2127865880000002</v>
      </c>
      <c r="S218" s="1">
        <v>7.4814440869999999</v>
      </c>
      <c r="T218" s="1">
        <v>7.4955260370000003</v>
      </c>
      <c r="U218" s="1">
        <v>7.4760427390000004</v>
      </c>
      <c r="V218" s="1">
        <v>7.4285667269999998</v>
      </c>
      <c r="W218" s="1">
        <v>7.3483061000000003</v>
      </c>
      <c r="X218" s="1">
        <v>7.4395140680000003</v>
      </c>
      <c r="Y218" s="1">
        <v>7.1452643309999999</v>
      </c>
      <c r="Z218" s="1">
        <v>7.2127865880000002</v>
      </c>
      <c r="AA218" s="1">
        <v>7.4814440869999999</v>
      </c>
      <c r="AB218" s="1">
        <v>7.2956971089999998</v>
      </c>
      <c r="AC218" s="1">
        <v>7.1727907960000001</v>
      </c>
      <c r="AD218" s="1">
        <v>7.2116984139999998</v>
      </c>
      <c r="AE218" s="1">
        <v>7.0510357859999999</v>
      </c>
    </row>
    <row r="219" spans="1:31" x14ac:dyDescent="0.25">
      <c r="A219" s="1" t="s">
        <v>455</v>
      </c>
      <c r="B219" s="1" t="s">
        <v>2598</v>
      </c>
      <c r="C219" s="1" t="s">
        <v>2603</v>
      </c>
      <c r="D219" s="1" t="s">
        <v>2911</v>
      </c>
      <c r="E219" s="1" t="s">
        <v>2912</v>
      </c>
      <c r="F219" s="1" t="s">
        <v>2913</v>
      </c>
      <c r="G219" s="1" t="s">
        <v>455</v>
      </c>
      <c r="H219" s="1">
        <v>4.7245801409999997</v>
      </c>
      <c r="I219" s="1">
        <v>4.7893724280000001</v>
      </c>
      <c r="J219" s="1">
        <v>5.4770890750000003</v>
      </c>
      <c r="K219" s="1">
        <v>5.1139224319999999</v>
      </c>
      <c r="L219" s="1">
        <v>4.9358482109999997</v>
      </c>
      <c r="M219" s="1">
        <v>4.824486168</v>
      </c>
      <c r="N219" s="1">
        <v>4.730225151</v>
      </c>
      <c r="O219" s="1">
        <v>4.8288877169999997</v>
      </c>
      <c r="P219" s="1">
        <v>5.4627121560000003</v>
      </c>
      <c r="Q219" s="1">
        <v>5.5406489910000003</v>
      </c>
      <c r="R219" s="1">
        <v>5.0440296189999998</v>
      </c>
      <c r="S219" s="1">
        <v>5.3098842800000003</v>
      </c>
      <c r="T219" s="1">
        <v>4.9358482109999997</v>
      </c>
      <c r="U219" s="1">
        <v>4.824486168</v>
      </c>
      <c r="V219" s="1">
        <v>5.3192272129999996</v>
      </c>
      <c r="W219" s="1">
        <v>4.69862249</v>
      </c>
      <c r="X219" s="1">
        <v>4.8838989719999999</v>
      </c>
      <c r="Y219" s="1">
        <v>4.8250325140000001</v>
      </c>
      <c r="Z219" s="1">
        <v>5.0440296189999998</v>
      </c>
      <c r="AA219" s="1">
        <v>5.3098842800000003</v>
      </c>
      <c r="AB219" s="1">
        <v>4.8804215500000003</v>
      </c>
      <c r="AC219" s="1">
        <v>4.4881955270000002</v>
      </c>
      <c r="AD219" s="1">
        <v>4.6978214539999996</v>
      </c>
      <c r="AE219" s="1">
        <v>4.9843711490000002</v>
      </c>
    </row>
    <row r="220" spans="1:31" x14ac:dyDescent="0.25">
      <c r="A220" s="1" t="s">
        <v>458</v>
      </c>
      <c r="B220" s="1" t="s">
        <v>2843</v>
      </c>
      <c r="C220" s="1" t="s">
        <v>2844</v>
      </c>
      <c r="D220" s="1" t="s">
        <v>2914</v>
      </c>
      <c r="E220" s="1" t="s">
        <v>2915</v>
      </c>
      <c r="F220" s="1" t="s">
        <v>2916</v>
      </c>
      <c r="G220" s="1" t="s">
        <v>458</v>
      </c>
      <c r="H220" s="1">
        <v>5.977563322</v>
      </c>
      <c r="I220" s="1">
        <v>6.395465862</v>
      </c>
      <c r="J220" s="1">
        <v>6.6218704260000001</v>
      </c>
      <c r="K220" s="1">
        <v>6.270852401</v>
      </c>
      <c r="L220" s="1">
        <v>6.6511479839999996</v>
      </c>
      <c r="M220" s="1">
        <v>6.8683115939999997</v>
      </c>
      <c r="N220" s="1">
        <v>5.894631425</v>
      </c>
      <c r="O220" s="1">
        <v>5.9503866380000003</v>
      </c>
      <c r="P220" s="1">
        <v>6.7943075329999996</v>
      </c>
      <c r="Q220" s="1">
        <v>6.7145630089999999</v>
      </c>
      <c r="R220" s="1">
        <v>7.0106433910000003</v>
      </c>
      <c r="S220" s="1">
        <v>6.949641561</v>
      </c>
      <c r="T220" s="1">
        <v>6.6511479839999996</v>
      </c>
      <c r="U220" s="1">
        <v>6.8683115939999997</v>
      </c>
      <c r="V220" s="1">
        <v>6.5745257170000002</v>
      </c>
      <c r="W220" s="1">
        <v>6.6164205459999996</v>
      </c>
      <c r="X220" s="1">
        <v>6.8633542910000003</v>
      </c>
      <c r="Y220" s="1">
        <v>6.1314620050000004</v>
      </c>
      <c r="Z220" s="1">
        <v>7.0106433910000003</v>
      </c>
      <c r="AA220" s="1">
        <v>6.949641561</v>
      </c>
      <c r="AB220" s="1">
        <v>6.2160685200000003</v>
      </c>
      <c r="AC220" s="1">
        <v>6.4748747230000001</v>
      </c>
      <c r="AD220" s="1">
        <v>6.3516560770000003</v>
      </c>
      <c r="AE220" s="1">
        <v>6.3888842260000001</v>
      </c>
    </row>
    <row r="221" spans="1:31" x14ac:dyDescent="0.25">
      <c r="A221" s="1" t="s">
        <v>462</v>
      </c>
      <c r="B221" s="1" t="s">
        <v>2557</v>
      </c>
      <c r="C221" s="1" t="s">
        <v>2680</v>
      </c>
      <c r="D221" s="1" t="s">
        <v>2917</v>
      </c>
      <c r="E221" s="1" t="s">
        <v>2918</v>
      </c>
      <c r="F221" s="1" t="s">
        <v>2919</v>
      </c>
      <c r="G221" s="1" t="s">
        <v>462</v>
      </c>
      <c r="H221" s="1">
        <v>7.1547827179999999</v>
      </c>
      <c r="I221" s="1">
        <v>7.1573255429999998</v>
      </c>
      <c r="J221" s="1">
        <v>7.7415560409999999</v>
      </c>
      <c r="K221" s="1">
        <v>7.7978897710000004</v>
      </c>
      <c r="L221" s="1">
        <v>7.6470320359999997</v>
      </c>
      <c r="M221" s="1">
        <v>7.9192904930000001</v>
      </c>
      <c r="N221" s="1">
        <v>7.2404527520000004</v>
      </c>
      <c r="O221" s="1">
        <v>7.3940482640000003</v>
      </c>
      <c r="P221" s="1">
        <v>7.8352611239999996</v>
      </c>
      <c r="Q221" s="1">
        <v>7.8623512399999997</v>
      </c>
      <c r="R221" s="1">
        <v>8.0871688830000004</v>
      </c>
      <c r="S221" s="1">
        <v>7.8761314679999996</v>
      </c>
      <c r="T221" s="1">
        <v>7.6470320359999997</v>
      </c>
      <c r="U221" s="1">
        <v>7.9192904930000001</v>
      </c>
      <c r="V221" s="1">
        <v>7.6851832330000001</v>
      </c>
      <c r="W221" s="1">
        <v>7.7487515379999996</v>
      </c>
      <c r="X221" s="1">
        <v>7.6253288799999996</v>
      </c>
      <c r="Y221" s="1">
        <v>7.506252259</v>
      </c>
      <c r="Z221" s="1">
        <v>8.0871688830000004</v>
      </c>
      <c r="AA221" s="1">
        <v>7.8761314679999996</v>
      </c>
      <c r="AB221" s="1">
        <v>7.8655635909999999</v>
      </c>
      <c r="AC221" s="1">
        <v>7.7897765919999999</v>
      </c>
      <c r="AD221" s="1">
        <v>7.5613855440000002</v>
      </c>
      <c r="AE221" s="1">
        <v>7.5130041609999996</v>
      </c>
    </row>
    <row r="222" spans="1:31" x14ac:dyDescent="0.25">
      <c r="A222" s="1" t="s">
        <v>463</v>
      </c>
      <c r="B222" s="1" t="s">
        <v>2598</v>
      </c>
      <c r="C222" s="1" t="s">
        <v>2599</v>
      </c>
      <c r="D222" s="1" t="s">
        <v>2920</v>
      </c>
      <c r="E222" s="1" t="s">
        <v>2921</v>
      </c>
      <c r="F222" s="1" t="s">
        <v>2922</v>
      </c>
      <c r="G222" s="1" t="s">
        <v>463</v>
      </c>
      <c r="H222" s="1">
        <v>5.7790807539999998</v>
      </c>
      <c r="I222" s="1">
        <v>5.9974724879999997</v>
      </c>
      <c r="J222" s="1">
        <v>6.5196869069999996</v>
      </c>
      <c r="K222" s="1">
        <v>6.4725304650000002</v>
      </c>
      <c r="L222" s="1">
        <v>6.5382166509999999</v>
      </c>
      <c r="M222" s="1">
        <v>6.3438841760000004</v>
      </c>
      <c r="N222" s="1">
        <v>6.282777512</v>
      </c>
      <c r="O222" s="1">
        <v>6.6583935810000003</v>
      </c>
      <c r="P222" s="1">
        <v>5.8618301099999996</v>
      </c>
      <c r="Q222" s="1">
        <v>6.3770715449999997</v>
      </c>
      <c r="R222" s="1">
        <v>5.9309793060000002</v>
      </c>
      <c r="S222" s="1">
        <v>6.145010976</v>
      </c>
      <c r="T222" s="1">
        <v>6.5382166509999999</v>
      </c>
      <c r="U222" s="1">
        <v>6.3438841760000004</v>
      </c>
      <c r="V222" s="1">
        <v>6.258213456</v>
      </c>
      <c r="W222" s="1">
        <v>6.5528329879999996</v>
      </c>
      <c r="X222" s="1">
        <v>6.4095855210000003</v>
      </c>
      <c r="Y222" s="1">
        <v>6.9162705400000002</v>
      </c>
      <c r="Z222" s="1">
        <v>5.9309793060000002</v>
      </c>
      <c r="AA222" s="1">
        <v>6.145010976</v>
      </c>
      <c r="AB222" s="1">
        <v>6.5830868880000004</v>
      </c>
      <c r="AC222" s="1">
        <v>6.4571567910000001</v>
      </c>
      <c r="AD222" s="1">
        <v>6.9055325459999999</v>
      </c>
      <c r="AE222" s="1">
        <v>6.3445305059999999</v>
      </c>
    </row>
    <row r="223" spans="1:31" x14ac:dyDescent="0.25">
      <c r="A223" s="1" t="s">
        <v>464</v>
      </c>
      <c r="B223" s="1" t="s">
        <v>2520</v>
      </c>
      <c r="C223" s="1" t="s">
        <v>2521</v>
      </c>
      <c r="D223" s="1" t="s">
        <v>2923</v>
      </c>
      <c r="E223" s="1" t="s">
        <v>2924</v>
      </c>
      <c r="F223" s="1" t="s">
        <v>2925</v>
      </c>
      <c r="G223" s="1" t="s">
        <v>464</v>
      </c>
      <c r="H223" s="1">
        <v>6.5956218609999997</v>
      </c>
      <c r="I223" s="1">
        <v>6.2320099659999997</v>
      </c>
      <c r="J223" s="1">
        <v>7.4585085400000004</v>
      </c>
      <c r="K223" s="1">
        <v>7.5922233370000001</v>
      </c>
      <c r="L223" s="1">
        <v>7.1887526199999998</v>
      </c>
      <c r="M223" s="1">
        <v>7.1399009050000002</v>
      </c>
      <c r="N223" s="1">
        <v>6.831530076</v>
      </c>
      <c r="O223" s="1">
        <v>6.9183032080000002</v>
      </c>
      <c r="P223" s="1">
        <v>7.195135778</v>
      </c>
      <c r="Q223" s="1">
        <v>7.1197895029999998</v>
      </c>
      <c r="R223" s="1">
        <v>7.5384802049999999</v>
      </c>
      <c r="S223" s="1">
        <v>7.1259952369999997</v>
      </c>
      <c r="T223" s="1">
        <v>7.1887526199999998</v>
      </c>
      <c r="U223" s="1">
        <v>7.1399009050000002</v>
      </c>
      <c r="V223" s="1">
        <v>7.5244383319999999</v>
      </c>
      <c r="W223" s="1">
        <v>7.5677538909999997</v>
      </c>
      <c r="X223" s="1">
        <v>7.7816987419999997</v>
      </c>
      <c r="Y223" s="1">
        <v>7.7519140689999997</v>
      </c>
      <c r="Z223" s="1">
        <v>7.5384802049999999</v>
      </c>
      <c r="AA223" s="1">
        <v>7.1259952369999997</v>
      </c>
      <c r="AB223" s="1">
        <v>7.4401512089999997</v>
      </c>
      <c r="AC223" s="1">
        <v>7.601226209</v>
      </c>
      <c r="AD223" s="1">
        <v>7.9614378129999999</v>
      </c>
      <c r="AE223" s="1">
        <v>8.0359849220000008</v>
      </c>
    </row>
    <row r="224" spans="1:31" x14ac:dyDescent="0.25">
      <c r="A224" s="1" t="s">
        <v>465</v>
      </c>
      <c r="B224" s="1" t="s">
        <v>2598</v>
      </c>
      <c r="C224" s="1" t="s">
        <v>2603</v>
      </c>
      <c r="D224" s="1" t="s">
        <v>2926</v>
      </c>
      <c r="E224" s="1" t="s">
        <v>2927</v>
      </c>
      <c r="F224" s="1" t="s">
        <v>2928</v>
      </c>
      <c r="G224" s="1" t="s">
        <v>465</v>
      </c>
      <c r="H224" s="1">
        <v>6.1518914650000003</v>
      </c>
      <c r="I224" s="1">
        <v>5.9974724879999997</v>
      </c>
      <c r="J224" s="1">
        <v>5.5131441250000002</v>
      </c>
      <c r="K224" s="1">
        <v>5.3612725399999999</v>
      </c>
      <c r="L224" s="1">
        <v>5.4487173919999998</v>
      </c>
      <c r="M224" s="1">
        <v>5.3915279009999999</v>
      </c>
      <c r="N224" s="1">
        <v>6.5176065699999999</v>
      </c>
      <c r="O224" s="1">
        <v>6.3409804589999998</v>
      </c>
      <c r="P224" s="1">
        <v>5.426847231</v>
      </c>
      <c r="Q224" s="1">
        <v>5.1511590549999999</v>
      </c>
      <c r="R224" s="1">
        <v>4.6795267799999998</v>
      </c>
      <c r="S224" s="1">
        <v>4.4749637470000003</v>
      </c>
      <c r="T224" s="1">
        <v>5.4487173919999998</v>
      </c>
      <c r="U224" s="1">
        <v>5.3915279009999999</v>
      </c>
      <c r="V224" s="1">
        <v>5.1274300740000003</v>
      </c>
      <c r="W224" s="1">
        <v>5.2236621110000003</v>
      </c>
      <c r="X224" s="1">
        <v>4.7192629950000002</v>
      </c>
      <c r="Y224" s="1">
        <v>5.4613266610000002</v>
      </c>
      <c r="Z224" s="1">
        <v>4.6795267799999998</v>
      </c>
      <c r="AA224" s="1">
        <v>4.4749637470000003</v>
      </c>
      <c r="AB224" s="1">
        <v>5.1755434500000002</v>
      </c>
      <c r="AC224" s="1">
        <v>4.9145215069999999</v>
      </c>
      <c r="AD224" s="1">
        <v>4.95179218</v>
      </c>
      <c r="AE224" s="1">
        <v>5.0132584360000001</v>
      </c>
    </row>
    <row r="225" spans="1:31" x14ac:dyDescent="0.25">
      <c r="A225" s="1" t="s">
        <v>466</v>
      </c>
      <c r="B225" s="1" t="s">
        <v>2530</v>
      </c>
      <c r="C225" s="1" t="s">
        <v>2531</v>
      </c>
      <c r="D225" s="1" t="s">
        <v>2535</v>
      </c>
      <c r="E225" s="1" t="s">
        <v>2536</v>
      </c>
      <c r="G225" s="1" t="s">
        <v>466</v>
      </c>
      <c r="H225" s="1">
        <v>4.7245801409999997</v>
      </c>
      <c r="I225" s="1">
        <v>4.2936285989999998</v>
      </c>
      <c r="J225" s="1">
        <v>4.1077874330000004</v>
      </c>
      <c r="K225" s="1">
        <v>4.0244910950000001</v>
      </c>
      <c r="L225" s="1">
        <v>3.2097511390000002</v>
      </c>
      <c r="M225" s="1">
        <v>3.027864058</v>
      </c>
      <c r="N225" s="1">
        <v>4.3116130799999999</v>
      </c>
      <c r="O225" s="1">
        <v>4.0953574540000002</v>
      </c>
      <c r="P225" s="1">
        <v>3.9684043939999998</v>
      </c>
      <c r="Q225" s="1">
        <v>3.388910638</v>
      </c>
      <c r="R225" s="1">
        <v>1.7393328349999999</v>
      </c>
      <c r="S225" s="1">
        <v>3.7977317990000001</v>
      </c>
      <c r="T225" s="1">
        <v>3.2097511390000002</v>
      </c>
      <c r="U225" s="1">
        <v>3.027864058</v>
      </c>
      <c r="V225" s="1">
        <v>2.8225047829999999</v>
      </c>
      <c r="W225" s="1">
        <v>3.0218530750000001</v>
      </c>
      <c r="X225" s="1">
        <v>3.8119046220000001</v>
      </c>
      <c r="Y225" s="1">
        <v>3.229986142</v>
      </c>
      <c r="Z225" s="1">
        <v>1.7393328349999999</v>
      </c>
      <c r="AA225" s="1">
        <v>3.7977317990000001</v>
      </c>
      <c r="AB225" s="1">
        <v>3.1218319999999999</v>
      </c>
      <c r="AC225" s="1">
        <v>3.7481372300000002</v>
      </c>
      <c r="AD225" s="1">
        <v>3.5727029510000001</v>
      </c>
      <c r="AE225" s="1">
        <v>3.8864783150000002</v>
      </c>
    </row>
    <row r="226" spans="1:31" x14ac:dyDescent="0.25">
      <c r="A226" s="1" t="s">
        <v>479</v>
      </c>
      <c r="B226" s="1" t="s">
        <v>2667</v>
      </c>
      <c r="C226" s="1" t="s">
        <v>2867</v>
      </c>
      <c r="D226" s="1" t="s">
        <v>2929</v>
      </c>
      <c r="E226" s="1" t="s">
        <v>2930</v>
      </c>
      <c r="F226" s="1" t="s">
        <v>2931</v>
      </c>
      <c r="G226" s="1" t="s">
        <v>479</v>
      </c>
      <c r="H226" s="1">
        <v>3.9421380259999999</v>
      </c>
      <c r="I226" s="1">
        <v>4.903725959</v>
      </c>
      <c r="J226" s="1">
        <v>4.8994370109999998</v>
      </c>
      <c r="K226" s="1">
        <v>4.6734567340000002</v>
      </c>
      <c r="L226" s="1">
        <v>4.9098563420000003</v>
      </c>
      <c r="M226" s="1">
        <v>5.4159199769999997</v>
      </c>
      <c r="N226" s="1">
        <v>4.8346471299999996</v>
      </c>
      <c r="O226" s="1">
        <v>4.6248126879999996</v>
      </c>
      <c r="P226" s="1">
        <v>4.9577743410000004</v>
      </c>
      <c r="Q226" s="1">
        <v>5.1511590549999999</v>
      </c>
      <c r="R226" s="1">
        <v>5.3334881589999998</v>
      </c>
      <c r="S226" s="1">
        <v>4.6864044680000001</v>
      </c>
      <c r="T226" s="1">
        <v>4.9098563420000003</v>
      </c>
      <c r="U226" s="1">
        <v>5.4159199769999997</v>
      </c>
      <c r="V226" s="1">
        <v>5.0857495259999999</v>
      </c>
      <c r="W226" s="1">
        <v>4.2295768090000001</v>
      </c>
      <c r="X226" s="1">
        <v>5.1646924079999996</v>
      </c>
      <c r="Y226" s="1">
        <v>4.8250325140000001</v>
      </c>
      <c r="Z226" s="1">
        <v>5.3334881589999998</v>
      </c>
      <c r="AA226" s="1">
        <v>4.6864044680000001</v>
      </c>
      <c r="AB226" s="1">
        <v>4.9601840040000003</v>
      </c>
      <c r="AC226" s="1">
        <v>5.2822693689999998</v>
      </c>
      <c r="AD226" s="1">
        <v>4.3870463700000002</v>
      </c>
      <c r="AE226" s="1">
        <v>4.5815229759999996</v>
      </c>
    </row>
    <row r="227" spans="1:31" x14ac:dyDescent="0.25">
      <c r="A227" s="1" t="s">
        <v>481</v>
      </c>
      <c r="B227" s="1" t="s">
        <v>2547</v>
      </c>
      <c r="C227" s="1" t="s">
        <v>2622</v>
      </c>
      <c r="D227" s="1" t="s">
        <v>2535</v>
      </c>
      <c r="E227" s="1" t="s">
        <v>2932</v>
      </c>
      <c r="G227" s="1" t="s">
        <v>481</v>
      </c>
      <c r="H227" s="1">
        <v>9.0091597149999991</v>
      </c>
      <c r="I227" s="1">
        <v>9.6738443190000005</v>
      </c>
      <c r="J227" s="1">
        <v>8.2937018429999991</v>
      </c>
      <c r="K227" s="1">
        <v>8.4503235449999998</v>
      </c>
      <c r="L227" s="1">
        <v>8.2612364839999994</v>
      </c>
      <c r="M227" s="1">
        <v>8.1535852109999993</v>
      </c>
      <c r="N227" s="1">
        <v>8.6293046370000006</v>
      </c>
      <c r="O227" s="1">
        <v>8.6594754819999995</v>
      </c>
      <c r="P227" s="1">
        <v>8.3262622089999994</v>
      </c>
      <c r="Q227" s="1">
        <v>8.2383838170000008</v>
      </c>
      <c r="R227" s="1">
        <v>8.0281260020000005</v>
      </c>
      <c r="S227" s="1">
        <v>8.0360456350000007</v>
      </c>
      <c r="T227" s="1">
        <v>8.2612364839999994</v>
      </c>
      <c r="U227" s="1">
        <v>8.1535852109999993</v>
      </c>
      <c r="V227" s="1">
        <v>9.1032575530000006</v>
      </c>
      <c r="W227" s="1">
        <v>9.0743251570000005</v>
      </c>
      <c r="X227" s="1">
        <v>7.5975354490000004</v>
      </c>
      <c r="Y227" s="1">
        <v>8.6848618660000003</v>
      </c>
      <c r="Z227" s="1">
        <v>8.0281260020000005</v>
      </c>
      <c r="AA227" s="1">
        <v>8.0360456350000007</v>
      </c>
      <c r="AB227" s="1">
        <v>7.9928143399999998</v>
      </c>
      <c r="AC227" s="1">
        <v>7.8246989600000001</v>
      </c>
      <c r="AD227" s="1">
        <v>7.8348345720000001</v>
      </c>
      <c r="AE227" s="1">
        <v>7.964621803</v>
      </c>
    </row>
    <row r="228" spans="1:31" x14ac:dyDescent="0.25">
      <c r="A228" s="1" t="s">
        <v>482</v>
      </c>
      <c r="B228" s="1" t="s">
        <v>2579</v>
      </c>
      <c r="C228" s="1" t="s">
        <v>2933</v>
      </c>
      <c r="D228" s="1" t="s">
        <v>2934</v>
      </c>
      <c r="E228" s="1" t="s">
        <v>2935</v>
      </c>
      <c r="F228" s="1" t="s">
        <v>2936</v>
      </c>
      <c r="G228" s="1" t="s">
        <v>482</v>
      </c>
      <c r="H228" s="1">
        <v>10.725027600000001</v>
      </c>
      <c r="I228" s="1">
        <v>10.28642127</v>
      </c>
      <c r="J228" s="1">
        <v>11.045882239999999</v>
      </c>
      <c r="K228" s="1">
        <v>10.948972789999999</v>
      </c>
      <c r="L228" s="1">
        <v>10.78904139</v>
      </c>
      <c r="M228" s="1">
        <v>11.147137259999999</v>
      </c>
      <c r="N228" s="1">
        <v>9.5253512199999992</v>
      </c>
      <c r="O228" s="1">
        <v>9.7426025620000001</v>
      </c>
      <c r="P228" s="1">
        <v>10.885326259999999</v>
      </c>
      <c r="Q228" s="1">
        <v>10.886499669999999</v>
      </c>
      <c r="R228" s="1">
        <v>11.270742800000001</v>
      </c>
      <c r="S228" s="1">
        <v>11.040412610000001</v>
      </c>
      <c r="T228" s="1">
        <v>10.78904139</v>
      </c>
      <c r="U228" s="1">
        <v>11.147137259999999</v>
      </c>
      <c r="V228" s="1">
        <v>10.76912177</v>
      </c>
      <c r="W228" s="1">
        <v>10.781564210000001</v>
      </c>
      <c r="X228" s="1">
        <v>10.85695368</v>
      </c>
      <c r="Y228" s="1">
        <v>10.43818913</v>
      </c>
      <c r="Z228" s="1">
        <v>11.270742800000001</v>
      </c>
      <c r="AA228" s="1">
        <v>11.040412610000001</v>
      </c>
      <c r="AB228" s="1">
        <v>10.92195478</v>
      </c>
      <c r="AC228" s="1">
        <v>11.01300236</v>
      </c>
      <c r="AD228" s="1">
        <v>10.7103064</v>
      </c>
      <c r="AE228" s="1">
        <v>10.32776408</v>
      </c>
    </row>
    <row r="229" spans="1:31" x14ac:dyDescent="0.25">
      <c r="A229" s="1" t="s">
        <v>485</v>
      </c>
      <c r="B229" s="1" t="s">
        <v>2579</v>
      </c>
      <c r="C229" s="1" t="s">
        <v>2585</v>
      </c>
      <c r="D229" s="1" t="s">
        <v>2586</v>
      </c>
      <c r="E229" s="1" t="s">
        <v>2937</v>
      </c>
      <c r="F229" s="1" t="s">
        <v>2938</v>
      </c>
      <c r="G229" s="1" t="s">
        <v>485</v>
      </c>
      <c r="H229" s="1">
        <v>3.2549621289999999</v>
      </c>
      <c r="I229" s="1">
        <v>2.5655118899999998</v>
      </c>
      <c r="J229" s="1">
        <v>5.0051223570000003</v>
      </c>
      <c r="K229" s="1">
        <v>5.0014827119999996</v>
      </c>
      <c r="L229" s="1">
        <v>4.8008003170000002</v>
      </c>
      <c r="M229" s="1">
        <v>5.029201552</v>
      </c>
      <c r="N229" s="1">
        <v>3.622455167</v>
      </c>
      <c r="O229" s="1">
        <v>3.88533178</v>
      </c>
      <c r="P229" s="1">
        <v>4.6160325330000003</v>
      </c>
      <c r="Q229" s="1">
        <v>4.9365262349999997</v>
      </c>
      <c r="R229" s="1">
        <v>5.2434057019999996</v>
      </c>
      <c r="S229" s="1">
        <v>4.6864044680000001</v>
      </c>
      <c r="T229" s="1">
        <v>4.8008003170000002</v>
      </c>
      <c r="U229" s="1">
        <v>5.029201552</v>
      </c>
      <c r="V229" s="1">
        <v>5.4230002329999998</v>
      </c>
      <c r="W229" s="1">
        <v>4.69862249</v>
      </c>
      <c r="X229" s="1">
        <v>5.4203833540000002</v>
      </c>
      <c r="Y229" s="1">
        <v>5.5841077690000001</v>
      </c>
      <c r="Z229" s="1">
        <v>5.2434057019999996</v>
      </c>
      <c r="AA229" s="1">
        <v>4.6864044680000001</v>
      </c>
      <c r="AB229" s="1">
        <v>5.1073354020000004</v>
      </c>
      <c r="AC229" s="1">
        <v>5.3988312660000002</v>
      </c>
      <c r="AD229" s="1">
        <v>5.396704357</v>
      </c>
      <c r="AE229" s="1">
        <v>5.387950011</v>
      </c>
    </row>
    <row r="230" spans="1:31" x14ac:dyDescent="0.25">
      <c r="A230" s="1" t="s">
        <v>489</v>
      </c>
      <c r="B230" s="1" t="s">
        <v>2557</v>
      </c>
      <c r="C230" s="1" t="s">
        <v>2680</v>
      </c>
      <c r="D230" s="1" t="s">
        <v>2939</v>
      </c>
      <c r="E230" s="1" t="s">
        <v>2940</v>
      </c>
      <c r="F230" s="1" t="s">
        <v>2941</v>
      </c>
      <c r="G230" s="1" t="s">
        <v>489</v>
      </c>
      <c r="H230" s="1">
        <v>4.3886087140000001</v>
      </c>
      <c r="I230" s="1">
        <v>4.66484875</v>
      </c>
      <c r="J230" s="1">
        <v>5.4400990890000003</v>
      </c>
      <c r="K230" s="1">
        <v>5.5322182199999999</v>
      </c>
      <c r="L230" s="1">
        <v>5.552483659</v>
      </c>
      <c r="M230" s="1">
        <v>5.7772279879999999</v>
      </c>
      <c r="N230" s="1">
        <v>4.8346471299999996</v>
      </c>
      <c r="O230" s="1">
        <v>5.0400854920000002</v>
      </c>
      <c r="P230" s="1">
        <v>5.834784151</v>
      </c>
      <c r="Q230" s="1">
        <v>5.7838067430000004</v>
      </c>
      <c r="R230" s="1">
        <v>5.3764768539999999</v>
      </c>
      <c r="S230" s="1">
        <v>4.9261733090000002</v>
      </c>
      <c r="T230" s="1">
        <v>5.552483659</v>
      </c>
      <c r="U230" s="1">
        <v>5.7772279879999999</v>
      </c>
      <c r="V230" s="1">
        <v>5.4230002329999998</v>
      </c>
      <c r="W230" s="1">
        <v>5.8015499779999997</v>
      </c>
      <c r="X230" s="1">
        <v>5.8091227329999997</v>
      </c>
      <c r="Y230" s="1">
        <v>5.6227961889999998</v>
      </c>
      <c r="Z230" s="1">
        <v>5.3764768539999999</v>
      </c>
      <c r="AA230" s="1">
        <v>4.9261733090000002</v>
      </c>
      <c r="AB230" s="1">
        <v>4.7958605490000004</v>
      </c>
      <c r="AC230" s="1">
        <v>5.4356573160000003</v>
      </c>
      <c r="AD230" s="1">
        <v>5.4791562909999998</v>
      </c>
      <c r="AE230" s="1">
        <v>5.2004631630000002</v>
      </c>
    </row>
    <row r="231" spans="1:31" x14ac:dyDescent="0.25">
      <c r="A231" s="1" t="s">
        <v>490</v>
      </c>
      <c r="B231" s="1" t="s">
        <v>2942</v>
      </c>
      <c r="C231" s="1" t="s">
        <v>2943</v>
      </c>
      <c r="D231" s="1" t="s">
        <v>2944</v>
      </c>
      <c r="E231" s="1" t="s">
        <v>2945</v>
      </c>
      <c r="F231" s="1" t="s">
        <v>2946</v>
      </c>
      <c r="G231" s="1" t="s">
        <v>490</v>
      </c>
      <c r="H231" s="1">
        <v>4.3886087140000001</v>
      </c>
      <c r="I231" s="1">
        <v>4.1114152529999997</v>
      </c>
      <c r="J231" s="1">
        <v>5.0551375939999996</v>
      </c>
      <c r="K231" s="1">
        <v>4.5974987220000001</v>
      </c>
      <c r="L231" s="1">
        <v>6.2512732120000001</v>
      </c>
      <c r="M231" s="1">
        <v>5.868183685</v>
      </c>
      <c r="N231" s="1">
        <v>5.2399813159999997</v>
      </c>
      <c r="O231" s="1">
        <v>5.2800788330000001</v>
      </c>
      <c r="P231" s="1">
        <v>5.8072178450000003</v>
      </c>
      <c r="Q231" s="1">
        <v>5.5780218530000001</v>
      </c>
      <c r="R231" s="1">
        <v>5.2891602459999998</v>
      </c>
      <c r="S231" s="1">
        <v>5.2232498669999998</v>
      </c>
      <c r="T231" s="1">
        <v>6.2512732120000001</v>
      </c>
      <c r="U231" s="1">
        <v>5.868183685</v>
      </c>
      <c r="V231" s="1">
        <v>5.3892424569999999</v>
      </c>
      <c r="W231" s="1">
        <v>5.2774499109999997</v>
      </c>
      <c r="X231" s="1">
        <v>5.6909099879999996</v>
      </c>
      <c r="Y231" s="1">
        <v>5.6227961889999998</v>
      </c>
      <c r="Z231" s="1">
        <v>5.2891602459999998</v>
      </c>
      <c r="AA231" s="1">
        <v>5.2232498669999998</v>
      </c>
      <c r="AB231" s="1">
        <v>5.3028471579999996</v>
      </c>
      <c r="AC231" s="1">
        <v>5.3610280289999999</v>
      </c>
      <c r="AD231" s="1">
        <v>5.893524276</v>
      </c>
      <c r="AE231" s="1">
        <v>5.175187158</v>
      </c>
    </row>
    <row r="232" spans="1:31" x14ac:dyDescent="0.25">
      <c r="A232" s="1" t="s">
        <v>491</v>
      </c>
      <c r="B232" s="1" t="s">
        <v>2942</v>
      </c>
      <c r="C232" s="1" t="s">
        <v>2943</v>
      </c>
      <c r="D232" s="1" t="s">
        <v>2944</v>
      </c>
      <c r="E232" s="1" t="s">
        <v>2947</v>
      </c>
      <c r="F232" s="1" t="s">
        <v>2948</v>
      </c>
      <c r="G232" s="1" t="s">
        <v>491</v>
      </c>
      <c r="H232" s="1">
        <v>4.7972697699999998</v>
      </c>
      <c r="I232" s="1">
        <v>5.3275363779999996</v>
      </c>
      <c r="J232" s="1">
        <v>5.2817155790000001</v>
      </c>
      <c r="K232" s="1">
        <v>5.4059688240000003</v>
      </c>
      <c r="L232" s="1">
        <v>5.9184294340000001</v>
      </c>
      <c r="M232" s="1">
        <v>5.3667108829999997</v>
      </c>
      <c r="N232" s="1">
        <v>5.8460635029999999</v>
      </c>
      <c r="O232" s="1">
        <v>5.6435121610000003</v>
      </c>
      <c r="P232" s="1">
        <v>5.2325771159999999</v>
      </c>
      <c r="Q232" s="1">
        <v>4.8773483779999998</v>
      </c>
      <c r="R232" s="1">
        <v>5.57388789</v>
      </c>
      <c r="S232" s="1">
        <v>5.5773053920000004</v>
      </c>
      <c r="T232" s="1">
        <v>5.9184294340000001</v>
      </c>
      <c r="U232" s="1">
        <v>5.3667108829999997</v>
      </c>
      <c r="V232" s="1">
        <v>5.8765220630000004</v>
      </c>
      <c r="W232" s="1">
        <v>5.9408128590000002</v>
      </c>
      <c r="X232" s="1">
        <v>5.3098210989999997</v>
      </c>
      <c r="Y232" s="1">
        <v>5.6604650660000004</v>
      </c>
      <c r="Z232" s="1">
        <v>5.57388789</v>
      </c>
      <c r="AA232" s="1">
        <v>5.5773053920000004</v>
      </c>
      <c r="AB232" s="1">
        <v>5.4196851610000003</v>
      </c>
      <c r="AC232" s="1">
        <v>5.198889973</v>
      </c>
      <c r="AD232" s="1">
        <v>5.5186611069999998</v>
      </c>
      <c r="AE232" s="1">
        <v>5.5139573549999996</v>
      </c>
    </row>
    <row r="233" spans="1:31" x14ac:dyDescent="0.25">
      <c r="A233" s="1" t="s">
        <v>492</v>
      </c>
      <c r="B233" s="1" t="s">
        <v>2568</v>
      </c>
      <c r="C233" s="1" t="s">
        <v>2569</v>
      </c>
      <c r="D233" s="1" t="s">
        <v>2949</v>
      </c>
      <c r="E233" s="1" t="s">
        <v>2950</v>
      </c>
      <c r="F233" s="1" t="s">
        <v>2951</v>
      </c>
      <c r="G233" s="1" t="s">
        <v>492</v>
      </c>
      <c r="H233" s="1">
        <v>6.4251460160000002</v>
      </c>
      <c r="I233" s="1">
        <v>6.5766895930000002</v>
      </c>
      <c r="J233" s="1">
        <v>6.9705806790000002</v>
      </c>
      <c r="K233" s="1">
        <v>7.0916736929999997</v>
      </c>
      <c r="L233" s="1">
        <v>6.1777105819999996</v>
      </c>
      <c r="M233" s="1">
        <v>6.3438841760000004</v>
      </c>
      <c r="N233" s="1">
        <v>6.4435100419999998</v>
      </c>
      <c r="O233" s="1">
        <v>6.6583935810000003</v>
      </c>
      <c r="P233" s="1">
        <v>6.7225254730000001</v>
      </c>
      <c r="Q233" s="1">
        <v>6.9169289909999998</v>
      </c>
      <c r="R233" s="1">
        <v>6.6416582010000003</v>
      </c>
      <c r="S233" s="1">
        <v>6.748647074</v>
      </c>
      <c r="T233" s="1">
        <v>6.1777105819999996</v>
      </c>
      <c r="U233" s="1">
        <v>6.3438841760000004</v>
      </c>
      <c r="V233" s="1">
        <v>6.7031108210000001</v>
      </c>
      <c r="W233" s="1">
        <v>6.9317187499999999</v>
      </c>
      <c r="X233" s="1">
        <v>6.7245402959999998</v>
      </c>
      <c r="Y233" s="1">
        <v>6.5469586450000001</v>
      </c>
      <c r="Z233" s="1">
        <v>6.6416582010000003</v>
      </c>
      <c r="AA233" s="1">
        <v>6.748647074</v>
      </c>
      <c r="AB233" s="1">
        <v>6.6559655099999997</v>
      </c>
      <c r="AC233" s="1">
        <v>6.5603321899999996</v>
      </c>
      <c r="AD233" s="1">
        <v>6.844949401</v>
      </c>
      <c r="AE233" s="1">
        <v>6.9288026440000001</v>
      </c>
    </row>
    <row r="234" spans="1:31" x14ac:dyDescent="0.25">
      <c r="A234" s="1" t="s">
        <v>494</v>
      </c>
      <c r="B234" s="1" t="s">
        <v>2568</v>
      </c>
      <c r="C234" s="1" t="s">
        <v>2569</v>
      </c>
      <c r="D234" s="1" t="s">
        <v>2952</v>
      </c>
      <c r="E234" s="1" t="s">
        <v>2953</v>
      </c>
      <c r="F234" s="1" t="s">
        <v>2954</v>
      </c>
      <c r="G234" s="1" t="s">
        <v>494</v>
      </c>
      <c r="H234" s="1">
        <v>5.977563322</v>
      </c>
      <c r="I234" s="1">
        <v>6.2746491359999998</v>
      </c>
      <c r="J234" s="1">
        <v>6.4839470649999997</v>
      </c>
      <c r="K234" s="1">
        <v>6.3412685260000003</v>
      </c>
      <c r="L234" s="1">
        <v>6.61977583</v>
      </c>
      <c r="M234" s="1">
        <v>6.2658755480000004</v>
      </c>
      <c r="N234" s="1">
        <v>6.6552507179999996</v>
      </c>
      <c r="O234" s="1">
        <v>6.5488294189999996</v>
      </c>
      <c r="P234" s="1">
        <v>6.6776731939999996</v>
      </c>
      <c r="Q234" s="1">
        <v>6.1730784669999998</v>
      </c>
      <c r="R234" s="1">
        <v>5.8723300570000001</v>
      </c>
      <c r="S234" s="1">
        <v>6.3212713310000002</v>
      </c>
      <c r="T234" s="1">
        <v>6.61977583</v>
      </c>
      <c r="U234" s="1">
        <v>6.2658755480000004</v>
      </c>
      <c r="V234" s="1">
        <v>6.0153393629999998</v>
      </c>
      <c r="W234" s="1">
        <v>5.872872095</v>
      </c>
      <c r="X234" s="1">
        <v>6.3662625530000003</v>
      </c>
      <c r="Y234" s="1">
        <v>6.0201969059999998</v>
      </c>
      <c r="Z234" s="1">
        <v>5.8723300570000001</v>
      </c>
      <c r="AA234" s="1">
        <v>6.3212713310000002</v>
      </c>
      <c r="AB234" s="1">
        <v>6.2160685200000003</v>
      </c>
      <c r="AC234" s="1">
        <v>5.9744301399999999</v>
      </c>
      <c r="AD234" s="1">
        <v>6.284744441</v>
      </c>
      <c r="AE234" s="1">
        <v>6.1775384349999998</v>
      </c>
    </row>
    <row r="235" spans="1:31" x14ac:dyDescent="0.25">
      <c r="A235" s="1" t="s">
        <v>495</v>
      </c>
      <c r="B235" s="1" t="s">
        <v>2542</v>
      </c>
      <c r="C235" s="1" t="s">
        <v>2955</v>
      </c>
      <c r="D235" s="1" t="s">
        <v>2956</v>
      </c>
      <c r="E235" s="1" t="s">
        <v>2957</v>
      </c>
      <c r="F235" s="1" t="s">
        <v>2958</v>
      </c>
      <c r="G235" s="1" t="s">
        <v>495</v>
      </c>
      <c r="H235" s="1">
        <v>6.8858328110000002</v>
      </c>
      <c r="I235" s="1">
        <v>6.659404447</v>
      </c>
      <c r="J235" s="1">
        <v>7.0212953349999996</v>
      </c>
      <c r="K235" s="1">
        <v>6.6677525500000003</v>
      </c>
      <c r="L235" s="1">
        <v>7.1993964640000003</v>
      </c>
      <c r="M235" s="1">
        <v>6.8327132380000002</v>
      </c>
      <c r="N235" s="1">
        <v>7.5128260249999999</v>
      </c>
      <c r="O235" s="1">
        <v>7.3555515219999998</v>
      </c>
      <c r="P235" s="1">
        <v>7.1411199769999998</v>
      </c>
      <c r="Q235" s="1">
        <v>6.6106183620000003</v>
      </c>
      <c r="R235" s="1">
        <v>6.6061768719999998</v>
      </c>
      <c r="S235" s="1">
        <v>6.6531047939999999</v>
      </c>
      <c r="T235" s="1">
        <v>7.1993964640000003</v>
      </c>
      <c r="U235" s="1">
        <v>6.8327132380000002</v>
      </c>
      <c r="V235" s="1">
        <v>6.481941097</v>
      </c>
      <c r="W235" s="1">
        <v>6.2120844699999997</v>
      </c>
      <c r="X235" s="1">
        <v>6.5613315610000003</v>
      </c>
      <c r="Y235" s="1">
        <v>6.6990194939999999</v>
      </c>
      <c r="Z235" s="1">
        <v>6.6061768719999998</v>
      </c>
      <c r="AA235" s="1">
        <v>6.6531047939999999</v>
      </c>
      <c r="AB235" s="1">
        <v>6.6559655099999997</v>
      </c>
      <c r="AC235" s="1">
        <v>6.7321847869999996</v>
      </c>
      <c r="AD235" s="1">
        <v>6.7977787940000001</v>
      </c>
      <c r="AE235" s="1">
        <v>6.843798831</v>
      </c>
    </row>
    <row r="236" spans="1:31" x14ac:dyDescent="0.25">
      <c r="A236" s="1" t="s">
        <v>496</v>
      </c>
      <c r="B236" s="1" t="s">
        <v>2542</v>
      </c>
      <c r="C236" s="1" t="s">
        <v>2955</v>
      </c>
      <c r="D236" s="1" t="s">
        <v>2956</v>
      </c>
      <c r="E236" s="1" t="s">
        <v>2959</v>
      </c>
      <c r="F236" s="1" t="s">
        <v>2960</v>
      </c>
      <c r="G236" s="1" t="s">
        <v>496</v>
      </c>
      <c r="H236" s="1">
        <v>7.7850543400000003</v>
      </c>
      <c r="I236" s="1">
        <v>7.6121539699999996</v>
      </c>
      <c r="J236" s="1">
        <v>7.1407823549999998</v>
      </c>
      <c r="K236" s="1">
        <v>7.6113186779999999</v>
      </c>
      <c r="L236" s="1">
        <v>7.478151199</v>
      </c>
      <c r="M236" s="1">
        <v>7.2653256690000001</v>
      </c>
      <c r="N236" s="1">
        <v>7.843992074</v>
      </c>
      <c r="O236" s="1">
        <v>7.7853226810000002</v>
      </c>
      <c r="P236" s="1">
        <v>7.6848500819999996</v>
      </c>
      <c r="Q236" s="1">
        <v>7.3197157400000004</v>
      </c>
      <c r="R236" s="1">
        <v>6.9970160760000004</v>
      </c>
      <c r="S236" s="1">
        <v>7.0022687970000002</v>
      </c>
      <c r="T236" s="1">
        <v>7.478151199</v>
      </c>
      <c r="U236" s="1">
        <v>7.2653256690000001</v>
      </c>
      <c r="V236" s="1">
        <v>6.9302380990000003</v>
      </c>
      <c r="W236" s="1">
        <v>7.2975205409999999</v>
      </c>
      <c r="X236" s="1">
        <v>7.3311630130000003</v>
      </c>
      <c r="Y236" s="1">
        <v>7.4322781100000004</v>
      </c>
      <c r="Z236" s="1">
        <v>6.9970160760000004</v>
      </c>
      <c r="AA236" s="1">
        <v>7.0022687970000002</v>
      </c>
      <c r="AB236" s="1">
        <v>7.0294463739999999</v>
      </c>
      <c r="AC236" s="1">
        <v>7.1509339689999996</v>
      </c>
      <c r="AD236" s="1">
        <v>7.1124159809999998</v>
      </c>
      <c r="AE236" s="1">
        <v>7.1827051390000003</v>
      </c>
    </row>
    <row r="237" spans="1:31" x14ac:dyDescent="0.25">
      <c r="A237" s="1" t="s">
        <v>498</v>
      </c>
      <c r="B237" s="1" t="s">
        <v>2838</v>
      </c>
      <c r="C237" s="1" t="s">
        <v>2961</v>
      </c>
      <c r="D237" s="1" t="s">
        <v>2595</v>
      </c>
      <c r="E237" s="1" t="s">
        <v>2962</v>
      </c>
      <c r="F237" s="1" t="s">
        <v>2963</v>
      </c>
      <c r="G237" s="1" t="s">
        <v>498</v>
      </c>
      <c r="H237" s="1">
        <v>5.2735834620000004</v>
      </c>
      <c r="I237" s="1">
        <v>4.2055918060000002</v>
      </c>
      <c r="J237" s="1">
        <v>5.1953777219999999</v>
      </c>
      <c r="K237" s="1">
        <v>4.6734567340000002</v>
      </c>
      <c r="L237" s="1">
        <v>5.8923589620000003</v>
      </c>
      <c r="M237" s="1">
        <v>5.7391643339999998</v>
      </c>
      <c r="N237" s="1">
        <v>5.2649372489999999</v>
      </c>
      <c r="O237" s="1">
        <v>5.3074139359999997</v>
      </c>
      <c r="P237" s="1">
        <v>5.8072178450000003</v>
      </c>
      <c r="Q237" s="1">
        <v>5.991605206</v>
      </c>
      <c r="R237" s="1">
        <v>6.3936555549999996</v>
      </c>
      <c r="S237" s="1">
        <v>5.9969908790000002</v>
      </c>
      <c r="T237" s="1">
        <v>5.8923589620000003</v>
      </c>
      <c r="U237" s="1">
        <v>5.7391643339999998</v>
      </c>
      <c r="V237" s="1">
        <v>6.0800160549999998</v>
      </c>
      <c r="W237" s="1">
        <v>5.9736131119999998</v>
      </c>
      <c r="X237" s="1">
        <v>6.2399193000000004</v>
      </c>
      <c r="Y237" s="1">
        <v>5.6604650660000004</v>
      </c>
      <c r="Z237" s="1">
        <v>6.3936555549999996</v>
      </c>
      <c r="AA237" s="1">
        <v>5.9969908790000002</v>
      </c>
      <c r="AB237" s="1">
        <v>5.5787398220000002</v>
      </c>
      <c r="AC237" s="1">
        <v>6.2044385320000002</v>
      </c>
      <c r="AD237" s="1">
        <v>6.1657997020000002</v>
      </c>
      <c r="AE237" s="1">
        <v>6.017118505</v>
      </c>
    </row>
    <row r="238" spans="1:31" x14ac:dyDescent="0.25">
      <c r="A238" s="1" t="s">
        <v>501</v>
      </c>
      <c r="B238" s="1" t="s">
        <v>2667</v>
      </c>
      <c r="C238" s="1" t="s">
        <v>2867</v>
      </c>
      <c r="D238" s="1" t="s">
        <v>2964</v>
      </c>
      <c r="E238" s="1" t="s">
        <v>2965</v>
      </c>
      <c r="F238" s="1" t="s">
        <v>2966</v>
      </c>
      <c r="G238" s="1" t="s">
        <v>501</v>
      </c>
      <c r="H238" s="1">
        <v>5.1131742039999999</v>
      </c>
      <c r="I238" s="1">
        <v>5.9974724879999997</v>
      </c>
      <c r="J238" s="1">
        <v>6.4839470649999997</v>
      </c>
      <c r="K238" s="1">
        <v>5.6482047069999997</v>
      </c>
      <c r="L238" s="1">
        <v>7.0486137089999996</v>
      </c>
      <c r="M238" s="1">
        <v>6.9618999490000002</v>
      </c>
      <c r="N238" s="1">
        <v>6.1558623460000002</v>
      </c>
      <c r="O238" s="1">
        <v>5.8428635399999997</v>
      </c>
      <c r="P238" s="1">
        <v>6.6313784599999996</v>
      </c>
      <c r="Q238" s="1">
        <v>6.5556885899999999</v>
      </c>
      <c r="R238" s="1">
        <v>6.9970160760000004</v>
      </c>
      <c r="S238" s="1">
        <v>6.8810329960000001</v>
      </c>
      <c r="T238" s="1">
        <v>7.0486137089999996</v>
      </c>
      <c r="U238" s="1">
        <v>6.9618999490000002</v>
      </c>
      <c r="V238" s="1">
        <v>7.0316458629999996</v>
      </c>
      <c r="W238" s="1">
        <v>6.6970570279999997</v>
      </c>
      <c r="X238" s="1">
        <v>6.6810290930000003</v>
      </c>
      <c r="Y238" s="1">
        <v>6.5267696659999999</v>
      </c>
      <c r="Z238" s="1">
        <v>6.9970160760000004</v>
      </c>
      <c r="AA238" s="1">
        <v>6.8810329960000001</v>
      </c>
      <c r="AB238" s="1">
        <v>6.557950226</v>
      </c>
      <c r="AC238" s="1">
        <v>6.6252225420000004</v>
      </c>
      <c r="AD238" s="1">
        <v>6.3516560770000003</v>
      </c>
      <c r="AE238" s="1">
        <v>6.3997621550000003</v>
      </c>
    </row>
    <row r="239" spans="1:31" x14ac:dyDescent="0.25">
      <c r="A239" s="1" t="s">
        <v>502</v>
      </c>
      <c r="B239" s="1" t="s">
        <v>2557</v>
      </c>
      <c r="C239" s="1" t="s">
        <v>2967</v>
      </c>
      <c r="D239" s="1" t="s">
        <v>2535</v>
      </c>
      <c r="E239" s="1" t="s">
        <v>2968</v>
      </c>
      <c r="G239" s="1" t="s">
        <v>502</v>
      </c>
      <c r="H239" s="1">
        <v>4.2900513550000001</v>
      </c>
      <c r="I239" s="1">
        <v>4.5280931029999998</v>
      </c>
      <c r="J239" s="1">
        <v>5.0551375939999996</v>
      </c>
      <c r="K239" s="1">
        <v>4.6734567340000002</v>
      </c>
      <c r="L239" s="1">
        <v>4.3335465510000004</v>
      </c>
      <c r="M239" s="1">
        <v>4.494607383</v>
      </c>
      <c r="N239" s="1">
        <v>4.8346471299999996</v>
      </c>
      <c r="O239" s="1">
        <v>4.7507950320000001</v>
      </c>
      <c r="P239" s="1">
        <v>4.0684607960000001</v>
      </c>
      <c r="Q239" s="1">
        <v>3.9718447549999998</v>
      </c>
      <c r="R239" s="1">
        <v>4.7472384160000001</v>
      </c>
      <c r="S239" s="1">
        <v>4.4749637470000003</v>
      </c>
      <c r="T239" s="1">
        <v>4.3335465510000004</v>
      </c>
      <c r="U239" s="1">
        <v>4.494607383</v>
      </c>
      <c r="V239" s="1">
        <v>4.6419314959999998</v>
      </c>
      <c r="W239" s="1">
        <v>4.69862249</v>
      </c>
      <c r="X239" s="1">
        <v>3.8785046219999999</v>
      </c>
      <c r="Y239" s="1">
        <v>4.5275934409999996</v>
      </c>
      <c r="Z239" s="1">
        <v>4.7472384160000001</v>
      </c>
      <c r="AA239" s="1">
        <v>4.4749637470000003</v>
      </c>
      <c r="AB239" s="1">
        <v>5.2406211000000003</v>
      </c>
      <c r="AC239" s="1">
        <v>4.8053838390000001</v>
      </c>
      <c r="AD239" s="1">
        <v>4.5511338559999999</v>
      </c>
      <c r="AE239" s="1">
        <v>4.7636391339999999</v>
      </c>
    </row>
    <row r="240" spans="1:31" x14ac:dyDescent="0.25">
      <c r="A240" s="1" t="s">
        <v>503</v>
      </c>
      <c r="B240" s="1" t="s">
        <v>2942</v>
      </c>
      <c r="C240" s="1" t="s">
        <v>2943</v>
      </c>
      <c r="D240" s="1" t="s">
        <v>2535</v>
      </c>
      <c r="E240" s="1" t="s">
        <v>2969</v>
      </c>
      <c r="F240" s="1" t="s">
        <v>2970</v>
      </c>
      <c r="G240" s="1" t="s">
        <v>503</v>
      </c>
      <c r="H240" s="1">
        <v>6.9021671930000004</v>
      </c>
      <c r="I240" s="1">
        <v>7.1110789749999999</v>
      </c>
      <c r="J240" s="1">
        <v>7.3536010579999997</v>
      </c>
      <c r="K240" s="1">
        <v>7.533371356</v>
      </c>
      <c r="L240" s="1">
        <v>7.1453732690000002</v>
      </c>
      <c r="M240" s="1">
        <v>6.9701140339999998</v>
      </c>
      <c r="N240" s="1">
        <v>7.1831132760000003</v>
      </c>
      <c r="O240" s="1">
        <v>7.4253617419999998</v>
      </c>
      <c r="P240" s="1">
        <v>7.3072918209999997</v>
      </c>
      <c r="Q240" s="1">
        <v>7.0015303629999996</v>
      </c>
      <c r="R240" s="1">
        <v>7.347722954</v>
      </c>
      <c r="S240" s="1">
        <v>7.015130621</v>
      </c>
      <c r="T240" s="1">
        <v>7.1453732690000002</v>
      </c>
      <c r="U240" s="1">
        <v>6.9701140339999998</v>
      </c>
      <c r="V240" s="1">
        <v>7.3434958909999999</v>
      </c>
      <c r="W240" s="1">
        <v>7.3483061000000003</v>
      </c>
      <c r="X240" s="1">
        <v>7.1893802659999997</v>
      </c>
      <c r="Y240" s="1">
        <v>7.4104262099999998</v>
      </c>
      <c r="Z240" s="1">
        <v>7.347722954</v>
      </c>
      <c r="AA240" s="1">
        <v>7.015130621</v>
      </c>
      <c r="AB240" s="1">
        <v>7.2804224470000003</v>
      </c>
      <c r="AC240" s="1">
        <v>7.2260251899999997</v>
      </c>
      <c r="AD240" s="1">
        <v>7.2236412720000001</v>
      </c>
      <c r="AE240" s="1">
        <v>7.3376526550000003</v>
      </c>
    </row>
    <row r="241" spans="1:31" x14ac:dyDescent="0.25">
      <c r="A241" s="1" t="s">
        <v>504</v>
      </c>
      <c r="B241" s="1" t="s">
        <v>2530</v>
      </c>
      <c r="C241" s="1" t="s">
        <v>2531</v>
      </c>
      <c r="D241" s="1" t="s">
        <v>2535</v>
      </c>
      <c r="E241" s="1" t="s">
        <v>2536</v>
      </c>
      <c r="G241" s="1" t="s">
        <v>504</v>
      </c>
      <c r="H241" s="1">
        <v>6.5340358859999998</v>
      </c>
      <c r="I241" s="1">
        <v>6.610348052</v>
      </c>
      <c r="J241" s="1">
        <v>6.3710695580000003</v>
      </c>
      <c r="K241" s="1">
        <v>6.6493796840000003</v>
      </c>
      <c r="L241" s="1">
        <v>5.5357047289999999</v>
      </c>
      <c r="M241" s="1">
        <v>5.5758954550000004</v>
      </c>
      <c r="N241" s="1">
        <v>6.282777512</v>
      </c>
      <c r="O241" s="1">
        <v>6.2598073259999998</v>
      </c>
      <c r="P241" s="1">
        <v>5.834784151</v>
      </c>
      <c r="Q241" s="1">
        <v>5.991605206</v>
      </c>
      <c r="R241" s="1">
        <v>6.4941616399999997</v>
      </c>
      <c r="S241" s="1">
        <v>6.748647074</v>
      </c>
      <c r="T241" s="1">
        <v>5.5357047289999999</v>
      </c>
      <c r="U241" s="1">
        <v>5.5758954550000004</v>
      </c>
      <c r="V241" s="1">
        <v>6.5289779240000003</v>
      </c>
      <c r="W241" s="1">
        <v>6.6970570279999997</v>
      </c>
      <c r="X241" s="1">
        <v>6.3772162630000002</v>
      </c>
      <c r="Y241" s="1">
        <v>6.4855214879999998</v>
      </c>
      <c r="Z241" s="1">
        <v>6.4941616399999997</v>
      </c>
      <c r="AA241" s="1">
        <v>6.748647074</v>
      </c>
      <c r="AB241" s="1">
        <v>6.5063200270000001</v>
      </c>
      <c r="AC241" s="1">
        <v>6.3266154559999999</v>
      </c>
      <c r="AD241" s="1">
        <v>6.4768062029999998</v>
      </c>
      <c r="AE241" s="1">
        <v>6.684008929</v>
      </c>
    </row>
    <row r="242" spans="1:31" x14ac:dyDescent="0.25">
      <c r="A242" s="1" t="s">
        <v>505</v>
      </c>
      <c r="B242" s="1" t="s">
        <v>2525</v>
      </c>
      <c r="C242" s="1" t="s">
        <v>2971</v>
      </c>
      <c r="D242" s="1" t="s">
        <v>2972</v>
      </c>
      <c r="E242" s="1" t="s">
        <v>2973</v>
      </c>
      <c r="F242" s="1" t="s">
        <v>2974</v>
      </c>
      <c r="G242" s="1" t="s">
        <v>505</v>
      </c>
      <c r="H242" s="1">
        <v>7.8705015310000004</v>
      </c>
      <c r="I242" s="1">
        <v>7.3881350780000004</v>
      </c>
      <c r="J242" s="1">
        <v>6.4839470649999997</v>
      </c>
      <c r="K242" s="1">
        <v>7.1052114120000001</v>
      </c>
      <c r="L242" s="1">
        <v>5.1724144110000001</v>
      </c>
      <c r="M242" s="1">
        <v>5.2628748920000001</v>
      </c>
      <c r="N242" s="1">
        <v>7.0180196280000002</v>
      </c>
      <c r="O242" s="1">
        <v>7.4003656099999997</v>
      </c>
      <c r="P242" s="1">
        <v>6.5171892439999999</v>
      </c>
      <c r="Q242" s="1">
        <v>6.0189773029999998</v>
      </c>
      <c r="R242" s="1">
        <v>5.9019545559999997</v>
      </c>
      <c r="S242" s="1">
        <v>6.1911441390000004</v>
      </c>
      <c r="T242" s="1">
        <v>5.1724144110000001</v>
      </c>
      <c r="U242" s="1">
        <v>5.2628748920000001</v>
      </c>
      <c r="V242" s="1">
        <v>6.0153393629999998</v>
      </c>
      <c r="W242" s="1">
        <v>6.1272304780000004</v>
      </c>
      <c r="X242" s="1">
        <v>5.7928210719999997</v>
      </c>
      <c r="Y242" s="1">
        <v>6.399298012</v>
      </c>
      <c r="Z242" s="1">
        <v>5.9019545559999997</v>
      </c>
      <c r="AA242" s="1">
        <v>6.1911441390000004</v>
      </c>
      <c r="AB242" s="1">
        <v>6.2160685200000003</v>
      </c>
      <c r="AC242" s="1">
        <v>6.4210524800000002</v>
      </c>
      <c r="AD242" s="1">
        <v>6.0630013820000004</v>
      </c>
      <c r="AE242" s="1">
        <v>6.5042429439999996</v>
      </c>
    </row>
    <row r="243" spans="1:31" x14ac:dyDescent="0.25">
      <c r="A243" s="1" t="s">
        <v>506</v>
      </c>
      <c r="B243" s="1" t="s">
        <v>2608</v>
      </c>
      <c r="C243" s="1" t="s">
        <v>2700</v>
      </c>
      <c r="D243" s="1" t="s">
        <v>2975</v>
      </c>
      <c r="E243" s="1" t="s">
        <v>2976</v>
      </c>
      <c r="F243" s="1" t="s">
        <v>2977</v>
      </c>
      <c r="G243" s="1" t="s">
        <v>506</v>
      </c>
      <c r="H243" s="1">
        <v>2.640460343</v>
      </c>
      <c r="I243" s="1">
        <v>1.7393328349999999</v>
      </c>
      <c r="J243" s="1">
        <v>2.5640169199999998</v>
      </c>
      <c r="K243" s="1">
        <v>1.7393328349999999</v>
      </c>
      <c r="L243" s="1">
        <v>1.7393328349999999</v>
      </c>
      <c r="M243" s="1">
        <v>1.7393328349999999</v>
      </c>
      <c r="N243" s="1">
        <v>2.372908427</v>
      </c>
      <c r="O243" s="1">
        <v>3.3203005989999999</v>
      </c>
      <c r="P243" s="1">
        <v>2.8687501260000001</v>
      </c>
      <c r="Q243" s="1">
        <v>2.935765398</v>
      </c>
      <c r="R243" s="1">
        <v>2.595728008</v>
      </c>
      <c r="S243" s="1">
        <v>1.7393328349999999</v>
      </c>
      <c r="T243" s="1">
        <v>1.7393328349999999</v>
      </c>
      <c r="U243" s="1">
        <v>1.7393328349999999</v>
      </c>
      <c r="V243" s="1">
        <v>2.5140266200000001</v>
      </c>
      <c r="W243" s="1">
        <v>2.6606351240000001</v>
      </c>
      <c r="X243" s="1">
        <v>2.6106888979999998</v>
      </c>
      <c r="Y243" s="1">
        <v>3.229986142</v>
      </c>
      <c r="Z243" s="1">
        <v>2.595728008</v>
      </c>
      <c r="AA243" s="1">
        <v>1.7393328349999999</v>
      </c>
      <c r="AB243" s="1">
        <v>2.73487305</v>
      </c>
      <c r="AC243" s="1">
        <v>1.7393328349999999</v>
      </c>
      <c r="AD243" s="1">
        <v>1.7393328349999999</v>
      </c>
      <c r="AE243" s="1">
        <v>2.803297787</v>
      </c>
    </row>
    <row r="244" spans="1:31" x14ac:dyDescent="0.25">
      <c r="A244" s="1" t="s">
        <v>510</v>
      </c>
      <c r="B244" s="1" t="s">
        <v>2520</v>
      </c>
      <c r="C244" s="1" t="s">
        <v>2521</v>
      </c>
      <c r="D244" s="1" t="s">
        <v>2650</v>
      </c>
      <c r="E244" s="1" t="s">
        <v>2978</v>
      </c>
      <c r="F244" s="1" t="s">
        <v>2979</v>
      </c>
      <c r="G244" s="1" t="s">
        <v>510</v>
      </c>
      <c r="H244" s="1">
        <v>5.4626831620000003</v>
      </c>
      <c r="I244" s="1">
        <v>4.66484875</v>
      </c>
      <c r="J244" s="1">
        <v>4.1077874330000004</v>
      </c>
      <c r="K244" s="1">
        <v>4.0244910950000001</v>
      </c>
      <c r="L244" s="1">
        <v>4.2516940449999998</v>
      </c>
      <c r="M244" s="1">
        <v>4.3473799800000004</v>
      </c>
      <c r="N244" s="1">
        <v>5.1355241630000004</v>
      </c>
      <c r="O244" s="1">
        <v>5.1349072580000001</v>
      </c>
      <c r="P244" s="1">
        <v>4.6160325330000003</v>
      </c>
      <c r="Q244" s="1">
        <v>4.611970812</v>
      </c>
      <c r="R244" s="1">
        <v>4.5333476509999997</v>
      </c>
      <c r="S244" s="1">
        <v>4.4749637470000003</v>
      </c>
      <c r="T244" s="1">
        <v>4.2516940449999998</v>
      </c>
      <c r="U244" s="1">
        <v>4.3473799800000004</v>
      </c>
      <c r="V244" s="1">
        <v>4.6987742170000004</v>
      </c>
      <c r="W244" s="1">
        <v>4.1128053839999996</v>
      </c>
      <c r="X244" s="1">
        <v>3.9418607479999999</v>
      </c>
      <c r="Y244" s="1">
        <v>4.0337379980000003</v>
      </c>
      <c r="Z244" s="1">
        <v>4.5333476509999997</v>
      </c>
      <c r="AA244" s="1">
        <v>4.4749637470000003</v>
      </c>
      <c r="AB244" s="1">
        <v>3.990981031</v>
      </c>
      <c r="AC244" s="1">
        <v>4.0753403910000001</v>
      </c>
      <c r="AD244" s="1">
        <v>4.6978214539999996</v>
      </c>
      <c r="AE244" s="1">
        <v>4.6572481659999996</v>
      </c>
    </row>
    <row r="245" spans="1:31" x14ac:dyDescent="0.25">
      <c r="A245" s="1" t="s">
        <v>513</v>
      </c>
      <c r="B245" s="1" t="s">
        <v>2631</v>
      </c>
      <c r="C245" s="1" t="s">
        <v>2980</v>
      </c>
      <c r="D245" s="1" t="s">
        <v>2535</v>
      </c>
      <c r="E245" s="1" t="s">
        <v>2981</v>
      </c>
      <c r="G245" s="1" t="s">
        <v>513</v>
      </c>
      <c r="H245" s="1">
        <v>7.9113985979999999</v>
      </c>
      <c r="I245" s="1">
        <v>7.5441822780000001</v>
      </c>
      <c r="J245" s="1">
        <v>4.7851628320000001</v>
      </c>
      <c r="K245" s="1">
        <v>5.1139224319999999</v>
      </c>
      <c r="L245" s="1">
        <v>5.6176953479999998</v>
      </c>
      <c r="M245" s="1">
        <v>5.3915279009999999</v>
      </c>
      <c r="N245" s="1">
        <v>6.8232102509999999</v>
      </c>
      <c r="O245" s="1">
        <v>7.0120685619999996</v>
      </c>
      <c r="P245" s="1">
        <v>5.3900565609999997</v>
      </c>
      <c r="Q245" s="1">
        <v>5.3375178869999997</v>
      </c>
      <c r="R245" s="1">
        <v>5.1961281320000001</v>
      </c>
      <c r="S245" s="1">
        <v>5.1778667870000001</v>
      </c>
      <c r="T245" s="1">
        <v>5.6176953479999998</v>
      </c>
      <c r="U245" s="1">
        <v>5.3915279009999999</v>
      </c>
      <c r="V245" s="1">
        <v>4.8566239800000002</v>
      </c>
      <c r="W245" s="1">
        <v>4.9854391920000003</v>
      </c>
      <c r="X245" s="1">
        <v>5.3326311679999998</v>
      </c>
      <c r="Y245" s="1">
        <v>5.3731782380000004</v>
      </c>
      <c r="Z245" s="1">
        <v>5.1961281320000001</v>
      </c>
      <c r="AA245" s="1">
        <v>5.1778667870000001</v>
      </c>
      <c r="AB245" s="1">
        <v>4.9601840040000003</v>
      </c>
      <c r="AC245" s="1">
        <v>5.5407520860000004</v>
      </c>
      <c r="AD245" s="1">
        <v>5.2633210659999996</v>
      </c>
      <c r="AE245" s="1">
        <v>5.5730198079999997</v>
      </c>
    </row>
    <row r="246" spans="1:31" x14ac:dyDescent="0.25">
      <c r="A246" s="1" t="s">
        <v>519</v>
      </c>
      <c r="B246" s="1" t="s">
        <v>2520</v>
      </c>
      <c r="C246" s="1" t="s">
        <v>2521</v>
      </c>
      <c r="D246" s="1" t="s">
        <v>2753</v>
      </c>
      <c r="E246" s="1" t="s">
        <v>2982</v>
      </c>
      <c r="G246" s="1" t="s">
        <v>519</v>
      </c>
      <c r="H246" s="1">
        <v>4.183793842</v>
      </c>
      <c r="I246" s="1">
        <v>4.66484875</v>
      </c>
      <c r="J246" s="1">
        <v>5.2392025899999997</v>
      </c>
      <c r="K246" s="1">
        <v>5.3151275040000003</v>
      </c>
      <c r="L246" s="1">
        <v>5.4306647579999998</v>
      </c>
      <c r="M246" s="1">
        <v>5.3915279009999999</v>
      </c>
      <c r="N246" s="1">
        <v>5.1081614489999998</v>
      </c>
      <c r="O246" s="1">
        <v>4.5340058970000001</v>
      </c>
      <c r="P246" s="1">
        <v>4.7394495640000001</v>
      </c>
      <c r="Q246" s="1">
        <v>5.4628336309999996</v>
      </c>
      <c r="R246" s="1">
        <v>5.7472990829999997</v>
      </c>
      <c r="S246" s="1">
        <v>5.7416668729999998</v>
      </c>
      <c r="T246" s="1">
        <v>5.4306647579999998</v>
      </c>
      <c r="U246" s="1">
        <v>5.3915279009999999</v>
      </c>
      <c r="V246" s="1">
        <v>5.4882083000000002</v>
      </c>
      <c r="W246" s="1">
        <v>5.8376547490000004</v>
      </c>
      <c r="X246" s="1">
        <v>5.6000621730000004</v>
      </c>
      <c r="Y246" s="1">
        <v>5.0702808140000002</v>
      </c>
      <c r="Z246" s="1">
        <v>5.7472990829999997</v>
      </c>
      <c r="AA246" s="1">
        <v>5.7416668729999998</v>
      </c>
      <c r="AB246" s="1">
        <v>5.6280506069999996</v>
      </c>
      <c r="AC246" s="1">
        <v>5.2822693689999998</v>
      </c>
      <c r="AD246" s="1">
        <v>5.1668950269999998</v>
      </c>
      <c r="AE246" s="1">
        <v>5.7368382310000001</v>
      </c>
    </row>
    <row r="247" spans="1:31" x14ac:dyDescent="0.25">
      <c r="A247" s="1" t="s">
        <v>520</v>
      </c>
      <c r="B247" s="1" t="s">
        <v>2579</v>
      </c>
      <c r="C247" s="1" t="s">
        <v>2983</v>
      </c>
      <c r="D247" s="1" t="s">
        <v>2984</v>
      </c>
      <c r="E247" s="1" t="s">
        <v>2985</v>
      </c>
      <c r="F247" s="1" t="s">
        <v>2986</v>
      </c>
      <c r="G247" s="1" t="s">
        <v>520</v>
      </c>
      <c r="H247" s="1">
        <v>3.9421380259999999</v>
      </c>
      <c r="I247" s="1">
        <v>4.66484875</v>
      </c>
      <c r="J247" s="1">
        <v>5.1501560140000002</v>
      </c>
      <c r="K247" s="1">
        <v>4.8793048219999999</v>
      </c>
      <c r="L247" s="1">
        <v>5.3368026579999999</v>
      </c>
      <c r="M247" s="1">
        <v>5.3414536530000003</v>
      </c>
      <c r="N247" s="1">
        <v>4.6936110280000003</v>
      </c>
      <c r="O247" s="1">
        <v>4.6680836990000003</v>
      </c>
      <c r="P247" s="1">
        <v>5.0074447400000004</v>
      </c>
      <c r="Q247" s="1">
        <v>5.3375178869999997</v>
      </c>
      <c r="R247" s="1">
        <v>5.6457947050000001</v>
      </c>
      <c r="S247" s="1">
        <v>4.9261733090000002</v>
      </c>
      <c r="T247" s="1">
        <v>5.3368026579999999</v>
      </c>
      <c r="U247" s="1">
        <v>5.3414536530000003</v>
      </c>
      <c r="V247" s="1">
        <v>5.3546652259999998</v>
      </c>
      <c r="W247" s="1">
        <v>5.3792812999999997</v>
      </c>
      <c r="X247" s="1">
        <v>5.5620422200000004</v>
      </c>
      <c r="Y247" s="1">
        <v>4.8904630100000004</v>
      </c>
      <c r="Z247" s="1">
        <v>5.6457947050000001</v>
      </c>
      <c r="AA247" s="1">
        <v>4.9261733090000002</v>
      </c>
      <c r="AB247" s="1">
        <v>5.4196851610000003</v>
      </c>
      <c r="AC247" s="1">
        <v>5.2822693689999998</v>
      </c>
      <c r="AD247" s="1">
        <v>5.116107059</v>
      </c>
      <c r="AE247" s="1">
        <v>5.2497036230000003</v>
      </c>
    </row>
    <row r="248" spans="1:31" x14ac:dyDescent="0.25">
      <c r="A248" s="1" t="s">
        <v>521</v>
      </c>
      <c r="B248" s="1" t="s">
        <v>2557</v>
      </c>
      <c r="C248" s="1" t="s">
        <v>2658</v>
      </c>
      <c r="D248" s="1" t="s">
        <v>2659</v>
      </c>
      <c r="E248" s="1" t="s">
        <v>2987</v>
      </c>
      <c r="F248" s="1" t="s">
        <v>2988</v>
      </c>
      <c r="G248" s="1" t="s">
        <v>521</v>
      </c>
      <c r="H248" s="1">
        <v>3.6455184960000002</v>
      </c>
      <c r="I248" s="1">
        <v>3.7806045529999999</v>
      </c>
      <c r="J248" s="1">
        <v>3.329519721</v>
      </c>
      <c r="K248" s="1">
        <v>2.9677134359999999</v>
      </c>
      <c r="L248" s="1">
        <v>3.1084154310000001</v>
      </c>
      <c r="M248" s="1">
        <v>3.027864058</v>
      </c>
      <c r="N248" s="1">
        <v>3.9806352139999999</v>
      </c>
      <c r="O248" s="1">
        <v>3.6346882059999999</v>
      </c>
      <c r="P248" s="1">
        <v>3.106446558</v>
      </c>
      <c r="Q248" s="1">
        <v>3.388910638</v>
      </c>
      <c r="R248" s="1">
        <v>3.1834741979999999</v>
      </c>
      <c r="S248" s="1">
        <v>1.7393328349999999</v>
      </c>
      <c r="T248" s="1">
        <v>3.1084154310000001</v>
      </c>
      <c r="U248" s="1">
        <v>3.027864058</v>
      </c>
      <c r="V248" s="1">
        <v>2.5140266200000001</v>
      </c>
      <c r="W248" s="1">
        <v>3.0218530750000001</v>
      </c>
      <c r="X248" s="1">
        <v>2.7988456519999998</v>
      </c>
      <c r="Y248" s="1">
        <v>2.9733498090000001</v>
      </c>
      <c r="Z248" s="1">
        <v>3.1834741979999999</v>
      </c>
      <c r="AA248" s="1">
        <v>1.7393328349999999</v>
      </c>
      <c r="AB248" s="1">
        <v>2.73487305</v>
      </c>
      <c r="AC248" s="1">
        <v>3.1109927919999998</v>
      </c>
      <c r="AD248" s="1">
        <v>3.3987395579999999</v>
      </c>
      <c r="AE248" s="1">
        <v>2.6144016259999998</v>
      </c>
    </row>
    <row r="249" spans="1:31" x14ac:dyDescent="0.25">
      <c r="A249" s="1" t="s">
        <v>523</v>
      </c>
      <c r="B249" s="1" t="s">
        <v>2557</v>
      </c>
      <c r="C249" s="1" t="s">
        <v>2967</v>
      </c>
      <c r="D249" s="1" t="s">
        <v>2989</v>
      </c>
      <c r="E249" s="1" t="s">
        <v>2990</v>
      </c>
      <c r="F249" s="1" t="s">
        <v>2991</v>
      </c>
      <c r="G249" s="1" t="s">
        <v>523</v>
      </c>
      <c r="H249" s="1">
        <v>6.5753846300000003</v>
      </c>
      <c r="I249" s="1">
        <v>6.2102063709999999</v>
      </c>
      <c r="J249" s="1">
        <v>7.6234685510000002</v>
      </c>
      <c r="K249" s="1">
        <v>7.3293754570000003</v>
      </c>
      <c r="L249" s="1">
        <v>8.1339105600000003</v>
      </c>
      <c r="M249" s="1">
        <v>8.3644574729999999</v>
      </c>
      <c r="N249" s="1">
        <v>6.2207206929999996</v>
      </c>
      <c r="O249" s="1">
        <v>6.3670506839999996</v>
      </c>
      <c r="P249" s="1">
        <v>7.8952114890000002</v>
      </c>
      <c r="Q249" s="1">
        <v>7.9429626349999998</v>
      </c>
      <c r="R249" s="1">
        <v>8.4787937240000009</v>
      </c>
      <c r="S249" s="1">
        <v>8.4017590940000009</v>
      </c>
      <c r="T249" s="1">
        <v>8.1339105600000003</v>
      </c>
      <c r="U249" s="1">
        <v>8.3644574729999999</v>
      </c>
      <c r="V249" s="1">
        <v>8.3880586600000004</v>
      </c>
      <c r="W249" s="1">
        <v>8.4812426779999992</v>
      </c>
      <c r="X249" s="1">
        <v>9.5673311610000003</v>
      </c>
      <c r="Y249" s="1">
        <v>9.0274702439999999</v>
      </c>
      <c r="Z249" s="1">
        <v>8.4787937240000009</v>
      </c>
      <c r="AA249" s="1">
        <v>8.4017590940000009</v>
      </c>
      <c r="AB249" s="1">
        <v>8.764964677</v>
      </c>
      <c r="AC249" s="1">
        <v>8.8000260099999998</v>
      </c>
      <c r="AD249" s="1">
        <v>9.2988036970000003</v>
      </c>
      <c r="AE249" s="1">
        <v>9.2409693530000006</v>
      </c>
    </row>
    <row r="250" spans="1:31" x14ac:dyDescent="0.25">
      <c r="A250" s="1" t="s">
        <v>528</v>
      </c>
      <c r="B250" s="1" t="s">
        <v>2530</v>
      </c>
      <c r="C250" s="1" t="s">
        <v>2573</v>
      </c>
      <c r="D250" s="1" t="s">
        <v>2535</v>
      </c>
      <c r="E250" s="1" t="s">
        <v>2992</v>
      </c>
      <c r="F250" s="1" t="s">
        <v>2993</v>
      </c>
      <c r="G250" s="1" t="s">
        <v>528</v>
      </c>
      <c r="H250" s="1">
        <v>4.7972697699999998</v>
      </c>
      <c r="I250" s="1">
        <v>5.1546023129999998</v>
      </c>
      <c r="J250" s="1">
        <v>4.5940881259999999</v>
      </c>
      <c r="K250" s="1">
        <v>4.6734567340000002</v>
      </c>
      <c r="L250" s="1">
        <v>4.4107687259999997</v>
      </c>
      <c r="M250" s="1">
        <v>4.239619416</v>
      </c>
      <c r="N250" s="1">
        <v>4.9318354150000001</v>
      </c>
      <c r="O250" s="1">
        <v>5.1349072580000001</v>
      </c>
      <c r="P250" s="1">
        <v>3.466113682</v>
      </c>
      <c r="Q250" s="1">
        <v>3.56206471</v>
      </c>
      <c r="R250" s="1">
        <v>4.2802026870000001</v>
      </c>
      <c r="S250" s="1">
        <v>3.9182367880000002</v>
      </c>
      <c r="T250" s="1">
        <v>4.4107687259999997</v>
      </c>
      <c r="U250" s="1">
        <v>4.239619416</v>
      </c>
      <c r="V250" s="1">
        <v>4.0758289169999999</v>
      </c>
      <c r="W250" s="1">
        <v>4.1128053839999996</v>
      </c>
      <c r="X250" s="1">
        <v>4.1154863700000002</v>
      </c>
      <c r="Y250" s="1">
        <v>4.1479647589999997</v>
      </c>
      <c r="Z250" s="1">
        <v>4.2802026870000001</v>
      </c>
      <c r="AA250" s="1">
        <v>3.9182367880000002</v>
      </c>
      <c r="AB250" s="1">
        <v>3.8237667059999998</v>
      </c>
      <c r="AC250" s="1">
        <v>3.3054795530000001</v>
      </c>
      <c r="AD250" s="1">
        <v>4.0967699450000001</v>
      </c>
      <c r="AE250" s="1">
        <v>3.9499994520000001</v>
      </c>
    </row>
    <row r="251" spans="1:31" x14ac:dyDescent="0.25">
      <c r="A251" s="1" t="s">
        <v>533</v>
      </c>
      <c r="B251" s="1" t="s">
        <v>2542</v>
      </c>
      <c r="C251" s="1" t="s">
        <v>2553</v>
      </c>
      <c r="D251" s="1" t="s">
        <v>2994</v>
      </c>
      <c r="E251" s="1" t="s">
        <v>2995</v>
      </c>
      <c r="F251" s="1" t="s">
        <v>2996</v>
      </c>
      <c r="G251" s="1" t="s">
        <v>533</v>
      </c>
      <c r="H251" s="1">
        <v>5.946332924</v>
      </c>
      <c r="I251" s="1">
        <v>5.7776224090000001</v>
      </c>
      <c r="J251" s="1">
        <v>5.1501560140000002</v>
      </c>
      <c r="K251" s="1">
        <v>4.6734567340000002</v>
      </c>
      <c r="L251" s="1">
        <v>5.5357047289999999</v>
      </c>
      <c r="M251" s="1">
        <v>5.8324912810000002</v>
      </c>
      <c r="N251" s="1">
        <v>5.6141964020000001</v>
      </c>
      <c r="O251" s="1">
        <v>5.600077969</v>
      </c>
      <c r="P251" s="1">
        <v>5.3134950500000002</v>
      </c>
      <c r="Q251" s="1">
        <v>5.5406489910000003</v>
      </c>
      <c r="R251" s="1">
        <v>5.2434057019999996</v>
      </c>
      <c r="S251" s="1">
        <v>5.1778667870000001</v>
      </c>
      <c r="T251" s="1">
        <v>5.5357047289999999</v>
      </c>
      <c r="U251" s="1">
        <v>5.8324912810000002</v>
      </c>
      <c r="V251" s="1">
        <v>5.8270932010000003</v>
      </c>
      <c r="W251" s="1">
        <v>5.5634106699999997</v>
      </c>
      <c r="X251" s="1">
        <v>5.1899342839999996</v>
      </c>
      <c r="Y251" s="1">
        <v>5.2297915760000002</v>
      </c>
      <c r="Z251" s="1">
        <v>5.2434057019999996</v>
      </c>
      <c r="AA251" s="1">
        <v>5.1778667870000001</v>
      </c>
      <c r="AB251" s="1">
        <v>4.7958605490000004</v>
      </c>
      <c r="AC251" s="1">
        <v>5.3988312660000002</v>
      </c>
      <c r="AD251" s="1">
        <v>4.8924744240000004</v>
      </c>
      <c r="AE251" s="1">
        <v>5.2252968339999999</v>
      </c>
    </row>
    <row r="252" spans="1:31" x14ac:dyDescent="0.25">
      <c r="A252" s="1" t="s">
        <v>535</v>
      </c>
      <c r="B252" s="1" t="s">
        <v>2608</v>
      </c>
      <c r="C252" s="1" t="s">
        <v>2609</v>
      </c>
      <c r="D252" s="1" t="s">
        <v>2610</v>
      </c>
      <c r="E252" s="1" t="s">
        <v>2997</v>
      </c>
      <c r="F252" s="1" t="s">
        <v>2998</v>
      </c>
      <c r="G252" s="1" t="s">
        <v>535</v>
      </c>
      <c r="H252" s="1">
        <v>6.8858328110000002</v>
      </c>
      <c r="I252" s="1">
        <v>6.949622572</v>
      </c>
      <c r="J252" s="1">
        <v>6.4096880770000002</v>
      </c>
      <c r="K252" s="1">
        <v>6.9030258440000001</v>
      </c>
      <c r="L252" s="1">
        <v>5.4665443290000004</v>
      </c>
      <c r="M252" s="1">
        <v>5.7000608240000004</v>
      </c>
      <c r="N252" s="1">
        <v>6.5682897249999996</v>
      </c>
      <c r="O252" s="1">
        <v>6.6999861269999998</v>
      </c>
      <c r="P252" s="1">
        <v>5.8618301099999996</v>
      </c>
      <c r="Q252" s="1">
        <v>5.6144419360000004</v>
      </c>
      <c r="R252" s="1">
        <v>5.8420803340000003</v>
      </c>
      <c r="S252" s="1">
        <v>5.4687741709999997</v>
      </c>
      <c r="T252" s="1">
        <v>5.4665443290000004</v>
      </c>
      <c r="U252" s="1">
        <v>5.7000608240000004</v>
      </c>
      <c r="V252" s="1">
        <v>6.0153393629999998</v>
      </c>
      <c r="W252" s="1">
        <v>6.6164205459999996</v>
      </c>
      <c r="X252" s="1">
        <v>5.3989469190000001</v>
      </c>
      <c r="Y252" s="1">
        <v>6.6990194939999999</v>
      </c>
      <c r="Z252" s="1">
        <v>5.8420803340000003</v>
      </c>
      <c r="AA252" s="1">
        <v>5.4687741709999997</v>
      </c>
      <c r="AB252" s="1">
        <v>5.5276660309999999</v>
      </c>
      <c r="AC252" s="1">
        <v>5.2822693689999998</v>
      </c>
      <c r="AD252" s="1">
        <v>6.2617300800000004</v>
      </c>
      <c r="AE252" s="1">
        <v>6.3332249579999997</v>
      </c>
    </row>
    <row r="253" spans="1:31" x14ac:dyDescent="0.25">
      <c r="A253" s="1" t="s">
        <v>539</v>
      </c>
      <c r="B253" s="1" t="s">
        <v>2608</v>
      </c>
      <c r="C253" s="1" t="s">
        <v>2758</v>
      </c>
      <c r="D253" s="1" t="s">
        <v>2759</v>
      </c>
      <c r="E253" s="1" t="s">
        <v>2999</v>
      </c>
      <c r="F253" s="1" t="s">
        <v>3000</v>
      </c>
      <c r="G253" s="1" t="s">
        <v>539</v>
      </c>
      <c r="H253" s="1">
        <v>6.2825651889999996</v>
      </c>
      <c r="I253" s="1">
        <v>6.7223161380000001</v>
      </c>
      <c r="J253" s="1">
        <v>6.5372293419999998</v>
      </c>
      <c r="K253" s="1">
        <v>6.5928106870000001</v>
      </c>
      <c r="L253" s="1">
        <v>6.8601972809999996</v>
      </c>
      <c r="M253" s="1">
        <v>6.928567084</v>
      </c>
      <c r="N253" s="1">
        <v>7.3887093909999999</v>
      </c>
      <c r="O253" s="1">
        <v>7.4003656099999997</v>
      </c>
      <c r="P253" s="1">
        <v>6.6927797440000001</v>
      </c>
      <c r="Q253" s="1">
        <v>6.5369026620000001</v>
      </c>
      <c r="R253" s="1">
        <v>6.7913170000000003</v>
      </c>
      <c r="S253" s="1">
        <v>6.717498838</v>
      </c>
      <c r="T253" s="1">
        <v>6.8601972809999996</v>
      </c>
      <c r="U253" s="1">
        <v>6.928567084</v>
      </c>
      <c r="V253" s="1">
        <v>6.6473747999999997</v>
      </c>
      <c r="W253" s="1">
        <v>6.6370070730000004</v>
      </c>
      <c r="X253" s="1">
        <v>7.0390188040000004</v>
      </c>
      <c r="Y253" s="1">
        <v>6.5062933870000004</v>
      </c>
      <c r="Z253" s="1">
        <v>6.7913170000000003</v>
      </c>
      <c r="AA253" s="1">
        <v>6.717498838</v>
      </c>
      <c r="AB253" s="1">
        <v>6.7025789319999998</v>
      </c>
      <c r="AC253" s="1">
        <v>6.5603321899999996</v>
      </c>
      <c r="AD253" s="1">
        <v>6.0630013820000004</v>
      </c>
      <c r="AE253" s="1">
        <v>6.4529509149999997</v>
      </c>
    </row>
    <row r="254" spans="1:31" x14ac:dyDescent="0.25">
      <c r="A254" s="1" t="s">
        <v>540</v>
      </c>
      <c r="B254" s="1" t="s">
        <v>2667</v>
      </c>
      <c r="C254" s="1" t="s">
        <v>2875</v>
      </c>
      <c r="D254" s="1" t="s">
        <v>3001</v>
      </c>
      <c r="E254" s="1" t="s">
        <v>3002</v>
      </c>
      <c r="F254" s="1" t="s">
        <v>3003</v>
      </c>
      <c r="G254" s="1" t="s">
        <v>540</v>
      </c>
      <c r="H254" s="1">
        <v>8.2857445219999999</v>
      </c>
      <c r="I254" s="1">
        <v>8.5273189289999998</v>
      </c>
      <c r="J254" s="1">
        <v>9.2653111880000001</v>
      </c>
      <c r="K254" s="1">
        <v>9.1241040600000005</v>
      </c>
      <c r="L254" s="1">
        <v>9.0090664730000007</v>
      </c>
      <c r="M254" s="1">
        <v>9.2740016829999998</v>
      </c>
      <c r="N254" s="1">
        <v>8.9061300360000004</v>
      </c>
      <c r="O254" s="1">
        <v>8.8258919149999997</v>
      </c>
      <c r="P254" s="1">
        <v>9.1538943009999993</v>
      </c>
      <c r="Q254" s="1">
        <v>9.2047565959999993</v>
      </c>
      <c r="R254" s="1">
        <v>9.4479111459999991</v>
      </c>
      <c r="S254" s="1">
        <v>9.1605346329999993</v>
      </c>
      <c r="T254" s="1">
        <v>9.0090664730000007</v>
      </c>
      <c r="U254" s="1">
        <v>9.2740016829999998</v>
      </c>
      <c r="V254" s="1">
        <v>9.2342248219999998</v>
      </c>
      <c r="W254" s="1">
        <v>9.1406316909999994</v>
      </c>
      <c r="X254" s="1">
        <v>8.9586458960000002</v>
      </c>
      <c r="Y254" s="1">
        <v>9.0523686409999993</v>
      </c>
      <c r="Z254" s="1">
        <v>9.4479111459999991</v>
      </c>
      <c r="AA254" s="1">
        <v>9.1605346329999993</v>
      </c>
      <c r="AB254" s="1">
        <v>9.2098462239999996</v>
      </c>
      <c r="AC254" s="1">
        <v>8.9624782360000008</v>
      </c>
      <c r="AD254" s="1">
        <v>8.8944363499999994</v>
      </c>
      <c r="AE254" s="1">
        <v>8.8906332050000003</v>
      </c>
    </row>
    <row r="255" spans="1:31" x14ac:dyDescent="0.25">
      <c r="A255" s="1" t="s">
        <v>544</v>
      </c>
      <c r="B255" s="1" t="s">
        <v>2530</v>
      </c>
      <c r="C255" s="1" t="s">
        <v>2573</v>
      </c>
      <c r="D255" s="1" t="s">
        <v>2535</v>
      </c>
      <c r="E255" s="1" t="s">
        <v>3004</v>
      </c>
      <c r="G255" s="1" t="s">
        <v>544</v>
      </c>
      <c r="H255" s="1">
        <v>5.7790807539999998</v>
      </c>
      <c r="I255" s="1">
        <v>5.7476087250000001</v>
      </c>
      <c r="J255" s="1">
        <v>3.329519721</v>
      </c>
      <c r="K255" s="1">
        <v>4.2434183680000004</v>
      </c>
      <c r="L255" s="1">
        <v>3.4685048369999998</v>
      </c>
      <c r="M255" s="1">
        <v>3.9251125939999998</v>
      </c>
      <c r="N255" s="1">
        <v>4.9627953409999996</v>
      </c>
      <c r="O255" s="1">
        <v>5.2522077749999996</v>
      </c>
      <c r="P255" s="1">
        <v>3.466113682</v>
      </c>
      <c r="Q255" s="1">
        <v>3.8492287269999999</v>
      </c>
      <c r="R255" s="1">
        <v>3.8462631940000001</v>
      </c>
      <c r="S255" s="1">
        <v>3.6647387380000001</v>
      </c>
      <c r="T255" s="1">
        <v>3.4685048369999998</v>
      </c>
      <c r="U255" s="1">
        <v>3.9251125939999998</v>
      </c>
      <c r="V255" s="1">
        <v>3.5405335899999999</v>
      </c>
      <c r="W255" s="1">
        <v>3.50175473</v>
      </c>
      <c r="X255" s="1">
        <v>4.6838774470000004</v>
      </c>
      <c r="Y255" s="1">
        <v>3.7705059300000001</v>
      </c>
      <c r="Z255" s="1">
        <v>3.8462631940000001</v>
      </c>
      <c r="AA255" s="1">
        <v>3.6647387380000001</v>
      </c>
      <c r="AB255" s="1">
        <v>3.8237667059999998</v>
      </c>
      <c r="AC255" s="1">
        <v>4.4881955270000002</v>
      </c>
      <c r="AD255" s="1">
        <v>3.8610926929999998</v>
      </c>
      <c r="AE255" s="1">
        <v>4.4163948289999997</v>
      </c>
    </row>
    <row r="256" spans="1:31" x14ac:dyDescent="0.25">
      <c r="A256" s="1" t="s">
        <v>545</v>
      </c>
      <c r="B256" s="1" t="s">
        <v>2547</v>
      </c>
      <c r="C256" s="1" t="s">
        <v>2566</v>
      </c>
      <c r="D256" s="1" t="s">
        <v>3005</v>
      </c>
      <c r="E256" s="1" t="s">
        <v>3006</v>
      </c>
      <c r="F256" s="1" t="s">
        <v>3007</v>
      </c>
      <c r="G256" s="1" t="s">
        <v>545</v>
      </c>
      <c r="H256" s="1">
        <v>3.2549621289999999</v>
      </c>
      <c r="I256" s="1">
        <v>3.9003964459999998</v>
      </c>
      <c r="J256" s="1">
        <v>5.2817155790000001</v>
      </c>
      <c r="K256" s="1">
        <v>5.0588199180000002</v>
      </c>
      <c r="L256" s="1">
        <v>5.8250296969999997</v>
      </c>
      <c r="M256" s="1">
        <v>6.38135662</v>
      </c>
      <c r="N256" s="1">
        <v>3.9806352139999999</v>
      </c>
      <c r="O256" s="1">
        <v>4.4368189940000002</v>
      </c>
      <c r="P256" s="1">
        <v>5.4627121560000003</v>
      </c>
      <c r="Q256" s="1">
        <v>5.2931690810000003</v>
      </c>
      <c r="R256" s="1">
        <v>6.1687435319999997</v>
      </c>
      <c r="S256" s="1">
        <v>6.168262747</v>
      </c>
      <c r="T256" s="1">
        <v>5.8250296969999997</v>
      </c>
      <c r="U256" s="1">
        <v>6.38135662</v>
      </c>
      <c r="V256" s="1">
        <v>5.9243031000000004</v>
      </c>
      <c r="W256" s="1">
        <v>5.726489559</v>
      </c>
      <c r="X256" s="1">
        <v>5.7084070709999999</v>
      </c>
      <c r="Y256" s="1">
        <v>4.6081171230000004</v>
      </c>
      <c r="Z256" s="1">
        <v>6.1687435319999997</v>
      </c>
      <c r="AA256" s="1">
        <v>6.168262747</v>
      </c>
      <c r="AB256" s="1">
        <v>5.9325296429999996</v>
      </c>
      <c r="AC256" s="1">
        <v>6.047382313</v>
      </c>
      <c r="AD256" s="1">
        <v>5.396704357</v>
      </c>
      <c r="AE256" s="1">
        <v>5.5139573549999996</v>
      </c>
    </row>
    <row r="257" spans="1:31" x14ac:dyDescent="0.25">
      <c r="A257" s="1" t="s">
        <v>546</v>
      </c>
      <c r="B257" s="1" t="s">
        <v>2530</v>
      </c>
      <c r="C257" s="1" t="s">
        <v>2531</v>
      </c>
      <c r="D257" s="1" t="s">
        <v>2535</v>
      </c>
      <c r="E257" s="1" t="s">
        <v>2536</v>
      </c>
      <c r="G257" s="1" t="s">
        <v>546</v>
      </c>
      <c r="H257" s="1">
        <v>7.4716373970000003</v>
      </c>
      <c r="I257" s="1">
        <v>7.7084567530000001</v>
      </c>
      <c r="J257" s="1">
        <v>4.4503473070000004</v>
      </c>
      <c r="K257" s="1">
        <v>4.941717659</v>
      </c>
      <c r="L257" s="1">
        <v>3.7446308510000001</v>
      </c>
      <c r="M257" s="1">
        <v>4.6692867769999999</v>
      </c>
      <c r="N257" s="1">
        <v>7.2024810180000003</v>
      </c>
      <c r="O257" s="1">
        <v>7.648738936</v>
      </c>
      <c r="P257" s="1">
        <v>4.6160325330000003</v>
      </c>
      <c r="Q257" s="1">
        <v>4.0840108080000004</v>
      </c>
      <c r="R257" s="1">
        <v>3.968758995</v>
      </c>
      <c r="S257" s="1">
        <v>4.3135540739999998</v>
      </c>
      <c r="T257" s="1">
        <v>3.7446308510000001</v>
      </c>
      <c r="U257" s="1">
        <v>4.6692867769999999</v>
      </c>
      <c r="V257" s="1">
        <v>4.5207607210000003</v>
      </c>
      <c r="W257" s="1">
        <v>5.329276363</v>
      </c>
      <c r="X257" s="1">
        <v>3.9418607479999999</v>
      </c>
      <c r="Y257" s="1">
        <v>3.6154848500000001</v>
      </c>
      <c r="Z257" s="1">
        <v>3.968758995</v>
      </c>
      <c r="AA257" s="1">
        <v>4.3135540739999998</v>
      </c>
      <c r="AB257" s="1">
        <v>3.6315729079999999</v>
      </c>
      <c r="AC257" s="1">
        <v>3.8665622239999999</v>
      </c>
      <c r="AD257" s="1">
        <v>4.0967699450000001</v>
      </c>
      <c r="AE257" s="1">
        <v>4.0685293649999998</v>
      </c>
    </row>
    <row r="258" spans="1:31" x14ac:dyDescent="0.25">
      <c r="A258" s="1" t="s">
        <v>547</v>
      </c>
      <c r="B258" s="1" t="s">
        <v>2530</v>
      </c>
      <c r="C258" s="1" t="s">
        <v>2531</v>
      </c>
      <c r="D258" s="1" t="s">
        <v>2535</v>
      </c>
      <c r="E258" s="1" t="s">
        <v>3008</v>
      </c>
      <c r="G258" s="1" t="s">
        <v>547</v>
      </c>
      <c r="H258" s="1">
        <v>9.7134531380000002</v>
      </c>
      <c r="I258" s="1">
        <v>9.4669067469999995</v>
      </c>
      <c r="J258" s="1">
        <v>7.7109994950000003</v>
      </c>
      <c r="K258" s="1">
        <v>8.1246000919999997</v>
      </c>
      <c r="L258" s="1">
        <v>6.5877046339999996</v>
      </c>
      <c r="M258" s="1">
        <v>6.6401882609999996</v>
      </c>
      <c r="N258" s="1">
        <v>9.0906006730000009</v>
      </c>
      <c r="O258" s="1">
        <v>9.5358672000000002</v>
      </c>
      <c r="P258" s="1">
        <v>7.1737717869999997</v>
      </c>
      <c r="Q258" s="1">
        <v>7.3522884079999997</v>
      </c>
      <c r="R258" s="1">
        <v>7.0769111779999996</v>
      </c>
      <c r="S258" s="1">
        <v>7.4721490179999996</v>
      </c>
      <c r="T258" s="1">
        <v>6.5877046339999996</v>
      </c>
      <c r="U258" s="1">
        <v>6.6401882609999996</v>
      </c>
      <c r="V258" s="1">
        <v>7.3080101959999997</v>
      </c>
      <c r="W258" s="1">
        <v>7.5570000769999996</v>
      </c>
      <c r="X258" s="1">
        <v>6.6985916860000003</v>
      </c>
      <c r="Y258" s="1">
        <v>7.3882379680000003</v>
      </c>
      <c r="Z258" s="1">
        <v>7.0769111779999996</v>
      </c>
      <c r="AA258" s="1">
        <v>7.4721490179999996</v>
      </c>
      <c r="AB258" s="1">
        <v>7.5203499220000003</v>
      </c>
      <c r="AC258" s="1">
        <v>7.1287405320000001</v>
      </c>
      <c r="AD258" s="1">
        <v>7.1504529059999999</v>
      </c>
      <c r="AE258" s="1">
        <v>7.3432919820000002</v>
      </c>
    </row>
    <row r="259" spans="1:31" x14ac:dyDescent="0.25">
      <c r="A259" s="1" t="s">
        <v>549</v>
      </c>
      <c r="B259" s="1" t="s">
        <v>2547</v>
      </c>
      <c r="C259" s="1" t="s">
        <v>2622</v>
      </c>
      <c r="D259" s="1" t="s">
        <v>3009</v>
      </c>
      <c r="E259" s="1" t="s">
        <v>3010</v>
      </c>
      <c r="G259" s="1" t="s">
        <v>549</v>
      </c>
      <c r="H259" s="1">
        <v>4.995162745</v>
      </c>
      <c r="I259" s="1">
        <v>5.1546023129999998</v>
      </c>
      <c r="J259" s="1">
        <v>5.2392025899999997</v>
      </c>
      <c r="K259" s="1">
        <v>5.4059688240000003</v>
      </c>
      <c r="L259" s="1">
        <v>4.8288685039999999</v>
      </c>
      <c r="M259" s="1">
        <v>5.0913316819999999</v>
      </c>
      <c r="N259" s="1">
        <v>4.8677953240000003</v>
      </c>
      <c r="O259" s="1">
        <v>4.7507950320000001</v>
      </c>
      <c r="P259" s="1">
        <v>5.0554269730000003</v>
      </c>
      <c r="Q259" s="1">
        <v>4.993318082</v>
      </c>
      <c r="R259" s="1">
        <v>5.4182058560000002</v>
      </c>
      <c r="S259" s="1">
        <v>5.8607892960000001</v>
      </c>
      <c r="T259" s="1">
        <v>4.8288685039999999</v>
      </c>
      <c r="U259" s="1">
        <v>5.0913316819999999</v>
      </c>
      <c r="V259" s="1">
        <v>5.2828838410000003</v>
      </c>
      <c r="W259" s="1">
        <v>5.0488589419999998</v>
      </c>
      <c r="X259" s="1">
        <v>5.1646924079999996</v>
      </c>
      <c r="Y259" s="1">
        <v>5.2792112080000004</v>
      </c>
      <c r="Z259" s="1">
        <v>5.4182058560000002</v>
      </c>
      <c r="AA259" s="1">
        <v>5.8607892960000001</v>
      </c>
      <c r="AB259" s="1">
        <v>5.5276660309999999</v>
      </c>
      <c r="AC259" s="1">
        <v>5.5741318</v>
      </c>
      <c r="AD259" s="1">
        <v>5.8322684330000003</v>
      </c>
      <c r="AE259" s="1">
        <v>5.1232419389999997</v>
      </c>
    </row>
    <row r="260" spans="1:31" x14ac:dyDescent="0.25">
      <c r="A260" s="1" t="s">
        <v>550</v>
      </c>
      <c r="B260" s="1" t="s">
        <v>2598</v>
      </c>
      <c r="C260" s="1" t="s">
        <v>2603</v>
      </c>
      <c r="D260" s="1" t="s">
        <v>3011</v>
      </c>
      <c r="E260" s="1" t="s">
        <v>3012</v>
      </c>
      <c r="F260" s="1" t="s">
        <v>3013</v>
      </c>
      <c r="G260" s="1" t="s">
        <v>550</v>
      </c>
      <c r="H260" s="1">
        <v>4.183793842</v>
      </c>
      <c r="I260" s="1">
        <v>4.3763156859999999</v>
      </c>
      <c r="J260" s="1">
        <v>3.329519721</v>
      </c>
      <c r="K260" s="1">
        <v>4.5974987220000001</v>
      </c>
      <c r="L260" s="1">
        <v>3.971296959</v>
      </c>
      <c r="M260" s="1">
        <v>4.1225413939999997</v>
      </c>
      <c r="N260" s="1">
        <v>4.2617896110000002</v>
      </c>
      <c r="O260" s="1">
        <v>4.0289865369999998</v>
      </c>
      <c r="P260" s="1">
        <v>4.4075207919999997</v>
      </c>
      <c r="Q260" s="1">
        <v>2.935765398</v>
      </c>
      <c r="R260" s="1">
        <v>2.595728008</v>
      </c>
      <c r="S260" s="1">
        <v>3.7977317990000001</v>
      </c>
      <c r="T260" s="1">
        <v>3.971296959</v>
      </c>
      <c r="U260" s="1">
        <v>4.1225413939999997</v>
      </c>
      <c r="V260" s="1">
        <v>4.0758289169999999</v>
      </c>
      <c r="W260" s="1">
        <v>4.4367165279999998</v>
      </c>
      <c r="X260" s="1">
        <v>3.8119046220000001</v>
      </c>
      <c r="Y260" s="1">
        <v>4.3509215530000001</v>
      </c>
      <c r="Z260" s="1">
        <v>2.595728008</v>
      </c>
      <c r="AA260" s="1">
        <v>3.7977317990000001</v>
      </c>
      <c r="AB260" s="1">
        <v>3.404153038</v>
      </c>
      <c r="AC260" s="1">
        <v>3.6175630609999998</v>
      </c>
      <c r="AD260" s="1">
        <v>3.984188064</v>
      </c>
      <c r="AE260" s="1">
        <v>3.213378847</v>
      </c>
    </row>
    <row r="261" spans="1:31" x14ac:dyDescent="0.25">
      <c r="A261" s="1" t="s">
        <v>551</v>
      </c>
      <c r="B261" s="1" t="s">
        <v>2608</v>
      </c>
      <c r="C261" s="1" t="s">
        <v>2758</v>
      </c>
      <c r="D261" s="1" t="s">
        <v>3014</v>
      </c>
      <c r="E261" s="1" t="s">
        <v>3015</v>
      </c>
      <c r="G261" s="1" t="s">
        <v>551</v>
      </c>
      <c r="H261" s="1">
        <v>6.4475933449999996</v>
      </c>
      <c r="I261" s="1">
        <v>7.2773454409999996</v>
      </c>
      <c r="J261" s="1">
        <v>6.0910626519999997</v>
      </c>
      <c r="K261" s="1">
        <v>6.0075713720000001</v>
      </c>
      <c r="L261" s="1">
        <v>5.8791437640000002</v>
      </c>
      <c r="M261" s="1">
        <v>5.9537101330000004</v>
      </c>
      <c r="N261" s="1">
        <v>6.920010091</v>
      </c>
      <c r="O261" s="1">
        <v>6.8460602799999997</v>
      </c>
      <c r="P261" s="1">
        <v>5.8883751269999998</v>
      </c>
      <c r="Q261" s="1">
        <v>5.9062084209999997</v>
      </c>
      <c r="R261" s="1">
        <v>5.57388789</v>
      </c>
      <c r="S261" s="1">
        <v>5.3512993040000003</v>
      </c>
      <c r="T261" s="1">
        <v>5.8791437640000002</v>
      </c>
      <c r="U261" s="1">
        <v>5.9537101330000004</v>
      </c>
      <c r="V261" s="1">
        <v>6.3308320719999998</v>
      </c>
      <c r="W261" s="1">
        <v>6.2922055309999996</v>
      </c>
      <c r="X261" s="1">
        <v>5.7427722369999996</v>
      </c>
      <c r="Y261" s="1">
        <v>6.6058798599999999</v>
      </c>
      <c r="Z261" s="1">
        <v>5.57388789</v>
      </c>
      <c r="AA261" s="1">
        <v>5.3512993040000003</v>
      </c>
      <c r="AB261" s="1">
        <v>5.7665348979999997</v>
      </c>
      <c r="AC261" s="1">
        <v>5.7882226870000002</v>
      </c>
      <c r="AD261" s="1">
        <v>5.8632235870000002</v>
      </c>
      <c r="AE261" s="1">
        <v>5.9740468760000001</v>
      </c>
    </row>
    <row r="262" spans="1:31" x14ac:dyDescent="0.25">
      <c r="A262" s="1" t="s">
        <v>552</v>
      </c>
      <c r="B262" s="1" t="s">
        <v>2530</v>
      </c>
      <c r="C262" s="1" t="s">
        <v>2531</v>
      </c>
      <c r="D262" s="1" t="s">
        <v>2535</v>
      </c>
      <c r="E262" s="1" t="s">
        <v>2536</v>
      </c>
      <c r="G262" s="1" t="s">
        <v>552</v>
      </c>
      <c r="H262" s="1">
        <v>7.1133012090000003</v>
      </c>
      <c r="I262" s="1">
        <v>6.4146507100000001</v>
      </c>
      <c r="J262" s="1">
        <v>5.3229940280000001</v>
      </c>
      <c r="K262" s="1">
        <v>6.3863668120000003</v>
      </c>
      <c r="L262" s="1">
        <v>4.4478088219999998</v>
      </c>
      <c r="M262" s="1">
        <v>4.239619416</v>
      </c>
      <c r="N262" s="1">
        <v>6.1690703840000003</v>
      </c>
      <c r="O262" s="1">
        <v>6.8916349099999996</v>
      </c>
      <c r="P262" s="1">
        <v>5.7211848500000002</v>
      </c>
      <c r="Q262" s="1">
        <v>5.1511590549999999</v>
      </c>
      <c r="R262" s="1">
        <v>4.45403635</v>
      </c>
      <c r="S262" s="1">
        <v>5.6453330910000004</v>
      </c>
      <c r="T262" s="1">
        <v>4.4478088219999998</v>
      </c>
      <c r="U262" s="1">
        <v>4.239619416</v>
      </c>
      <c r="V262" s="1">
        <v>5.4230002329999998</v>
      </c>
      <c r="W262" s="1">
        <v>5.7645115660000004</v>
      </c>
      <c r="X262" s="1">
        <v>5.6909099879999996</v>
      </c>
      <c r="Y262" s="1">
        <v>6.2836980430000002</v>
      </c>
      <c r="Z262" s="1">
        <v>4.45403635</v>
      </c>
      <c r="AA262" s="1">
        <v>5.6453330910000004</v>
      </c>
      <c r="AB262" s="1">
        <v>5.4196851610000003</v>
      </c>
      <c r="AC262" s="1">
        <v>5.8975684140000002</v>
      </c>
      <c r="AD262" s="1">
        <v>6.190389411</v>
      </c>
      <c r="AE262" s="1">
        <v>6.1520156129999997</v>
      </c>
    </row>
    <row r="263" spans="1:31" x14ac:dyDescent="0.25">
      <c r="A263" s="1" t="s">
        <v>553</v>
      </c>
      <c r="B263" s="1" t="s">
        <v>2530</v>
      </c>
      <c r="C263" s="1" t="s">
        <v>2531</v>
      </c>
      <c r="D263" s="1" t="s">
        <v>2535</v>
      </c>
      <c r="E263" s="1" t="s">
        <v>2536</v>
      </c>
      <c r="G263" s="1" t="s">
        <v>553</v>
      </c>
      <c r="H263" s="1">
        <v>3.2549621289999999</v>
      </c>
      <c r="I263" s="1">
        <v>2.5655118899999998</v>
      </c>
      <c r="J263" s="1">
        <v>2.8907526730000002</v>
      </c>
      <c r="K263" s="1">
        <v>1.7393328349999999</v>
      </c>
      <c r="L263" s="1">
        <v>2.7248816410000001</v>
      </c>
      <c r="M263" s="1">
        <v>2.8639998100000001</v>
      </c>
      <c r="N263" s="1">
        <v>2.628425199</v>
      </c>
      <c r="O263" s="1">
        <v>3.3203005989999999</v>
      </c>
      <c r="P263" s="1">
        <v>2.8687501260000001</v>
      </c>
      <c r="Q263" s="1">
        <v>2.597100669</v>
      </c>
      <c r="R263" s="1">
        <v>1.7393328349999999</v>
      </c>
      <c r="S263" s="1">
        <v>1.7393328349999999</v>
      </c>
      <c r="T263" s="1">
        <v>2.7248816410000001</v>
      </c>
      <c r="U263" s="1">
        <v>2.8639998100000001</v>
      </c>
      <c r="V263" s="1">
        <v>1.7393328349999999</v>
      </c>
      <c r="W263" s="1">
        <v>1.7393328349999999</v>
      </c>
      <c r="X263" s="1">
        <v>2.3600830049999999</v>
      </c>
      <c r="Y263" s="1">
        <v>2.9733498090000001</v>
      </c>
      <c r="Z263" s="1">
        <v>1.7393328349999999</v>
      </c>
      <c r="AA263" s="1">
        <v>1.7393328349999999</v>
      </c>
      <c r="AB263" s="1">
        <v>2.73487305</v>
      </c>
      <c r="AC263" s="1">
        <v>3.1109927919999998</v>
      </c>
      <c r="AD263" s="1">
        <v>1.7393328349999999</v>
      </c>
      <c r="AE263" s="1">
        <v>2.9592545700000001</v>
      </c>
    </row>
    <row r="264" spans="1:31" x14ac:dyDescent="0.25">
      <c r="A264" s="1" t="s">
        <v>554</v>
      </c>
      <c r="B264" s="1" t="s">
        <v>2568</v>
      </c>
      <c r="C264" s="1" t="s">
        <v>2589</v>
      </c>
      <c r="D264" s="1" t="s">
        <v>2595</v>
      </c>
      <c r="E264" s="1" t="s">
        <v>3016</v>
      </c>
      <c r="F264" s="1" t="s">
        <v>3017</v>
      </c>
      <c r="G264" s="1" t="s">
        <v>554</v>
      </c>
      <c r="H264" s="1">
        <v>5.3712699940000004</v>
      </c>
      <c r="I264" s="1">
        <v>6.1427370300000002</v>
      </c>
      <c r="J264" s="1">
        <v>5.2817155790000001</v>
      </c>
      <c r="K264" s="1">
        <v>5.1139224319999999</v>
      </c>
      <c r="L264" s="1">
        <v>5.8111757209999997</v>
      </c>
      <c r="M264" s="1">
        <v>6.2389026359999997</v>
      </c>
      <c r="N264" s="1">
        <v>5.5947014570000002</v>
      </c>
      <c r="O264" s="1">
        <v>5.3342335859999999</v>
      </c>
      <c r="P264" s="1">
        <v>5.5977847030000003</v>
      </c>
      <c r="Q264" s="1">
        <v>6.045837068</v>
      </c>
      <c r="R264" s="1">
        <v>5.987323913</v>
      </c>
      <c r="S264" s="1">
        <v>6.2358418929999999</v>
      </c>
      <c r="T264" s="1">
        <v>5.8111757209999997</v>
      </c>
      <c r="U264" s="1">
        <v>6.2389026359999997</v>
      </c>
      <c r="V264" s="1">
        <v>5.9476095180000002</v>
      </c>
      <c r="W264" s="1">
        <v>5.4743148909999997</v>
      </c>
      <c r="X264" s="1">
        <v>6.1405132890000003</v>
      </c>
      <c r="Y264" s="1">
        <v>5.3269702959999998</v>
      </c>
      <c r="Z264" s="1">
        <v>5.987323913</v>
      </c>
      <c r="AA264" s="1">
        <v>6.2358418929999999</v>
      </c>
      <c r="AB264" s="1">
        <v>5.8927983030000002</v>
      </c>
      <c r="AC264" s="1">
        <v>5.6698330419999996</v>
      </c>
      <c r="AD264" s="1">
        <v>5.396704357</v>
      </c>
      <c r="AE264" s="1">
        <v>5.3205054189999998</v>
      </c>
    </row>
    <row r="265" spans="1:31" x14ac:dyDescent="0.25">
      <c r="A265" s="1" t="s">
        <v>558</v>
      </c>
      <c r="B265" s="1" t="s">
        <v>2608</v>
      </c>
      <c r="C265" s="1" t="s">
        <v>2791</v>
      </c>
      <c r="D265" s="1" t="s">
        <v>2792</v>
      </c>
      <c r="E265" s="1" t="s">
        <v>3018</v>
      </c>
      <c r="F265" s="1" t="s">
        <v>3019</v>
      </c>
      <c r="G265" s="1" t="s">
        <v>558</v>
      </c>
      <c r="H265" s="1">
        <v>6.4696957609999997</v>
      </c>
      <c r="I265" s="1">
        <v>6.0227272230000004</v>
      </c>
      <c r="J265" s="1">
        <v>6.2270996539999999</v>
      </c>
      <c r="K265" s="1">
        <v>6.1968079280000001</v>
      </c>
      <c r="L265" s="1">
        <v>6.6665813350000001</v>
      </c>
      <c r="M265" s="1">
        <v>6.3183487620000003</v>
      </c>
      <c r="N265" s="1">
        <v>5.878624276</v>
      </c>
      <c r="O265" s="1">
        <v>5.8051520590000001</v>
      </c>
      <c r="P265" s="1">
        <v>6.3171519470000002</v>
      </c>
      <c r="Q265" s="1">
        <v>6.0722034220000003</v>
      </c>
      <c r="R265" s="1">
        <v>6.3936555549999996</v>
      </c>
      <c r="S265" s="1">
        <v>6.1213765840000001</v>
      </c>
      <c r="T265" s="1">
        <v>6.6665813350000001</v>
      </c>
      <c r="U265" s="1">
        <v>6.3183487620000003</v>
      </c>
      <c r="V265" s="1">
        <v>6.5289779240000003</v>
      </c>
      <c r="W265" s="1">
        <v>6.3925275360000002</v>
      </c>
      <c r="X265" s="1">
        <v>6.4202153790000001</v>
      </c>
      <c r="Y265" s="1">
        <v>6.6438618839999997</v>
      </c>
      <c r="Z265" s="1">
        <v>6.3936555549999996</v>
      </c>
      <c r="AA265" s="1">
        <v>6.1213765840000001</v>
      </c>
      <c r="AB265" s="1">
        <v>6.3094558689999998</v>
      </c>
      <c r="AC265" s="1">
        <v>6.3069602739999997</v>
      </c>
      <c r="AD265" s="1">
        <v>6.3296964060000001</v>
      </c>
      <c r="AE265" s="1">
        <v>6.0995676599999999</v>
      </c>
    </row>
    <row r="266" spans="1:31" x14ac:dyDescent="0.25">
      <c r="A266" s="1" t="s">
        <v>560</v>
      </c>
      <c r="B266" s="1" t="s">
        <v>2520</v>
      </c>
      <c r="C266" s="1" t="s">
        <v>2521</v>
      </c>
      <c r="D266" s="1" t="s">
        <v>3020</v>
      </c>
      <c r="E266" s="1" t="s">
        <v>3021</v>
      </c>
      <c r="F266" s="1" t="s">
        <v>3022</v>
      </c>
      <c r="G266" s="1" t="s">
        <v>560</v>
      </c>
      <c r="H266" s="1">
        <v>7.9194406559999999</v>
      </c>
      <c r="I266" s="1">
        <v>7.5354559999999999</v>
      </c>
      <c r="J266" s="1">
        <v>7.7415560409999999</v>
      </c>
      <c r="K266" s="1">
        <v>7.9704768140000004</v>
      </c>
      <c r="L266" s="1">
        <v>7.7627572459999996</v>
      </c>
      <c r="M266" s="1">
        <v>7.8453468209999997</v>
      </c>
      <c r="N266" s="1">
        <v>7.4221318739999997</v>
      </c>
      <c r="O266" s="1">
        <v>7.7262098100000003</v>
      </c>
      <c r="P266" s="1">
        <v>7.7797956089999998</v>
      </c>
      <c r="Q266" s="1">
        <v>7.6074454640000004</v>
      </c>
      <c r="R266" s="1">
        <v>7.6207251070000002</v>
      </c>
      <c r="S266" s="1">
        <v>7.7663592360000004</v>
      </c>
      <c r="T266" s="1">
        <v>7.7627572459999996</v>
      </c>
      <c r="U266" s="1">
        <v>7.8453468209999997</v>
      </c>
      <c r="V266" s="1">
        <v>8.0444092119999997</v>
      </c>
      <c r="W266" s="1">
        <v>7.917971391</v>
      </c>
      <c r="X266" s="1">
        <v>8.0271397879999995</v>
      </c>
      <c r="Y266" s="1">
        <v>7.9617531079999999</v>
      </c>
      <c r="Z266" s="1">
        <v>7.6207251070000002</v>
      </c>
      <c r="AA266" s="1">
        <v>7.7663592360000004</v>
      </c>
      <c r="AB266" s="1">
        <v>8.0206512459999999</v>
      </c>
      <c r="AC266" s="1">
        <v>7.8452535159999996</v>
      </c>
      <c r="AD266" s="1">
        <v>8.1546584450000008</v>
      </c>
      <c r="AE266" s="1">
        <v>7.9162673119999996</v>
      </c>
    </row>
    <row r="267" spans="1:31" x14ac:dyDescent="0.25">
      <c r="A267" s="1" t="s">
        <v>561</v>
      </c>
      <c r="B267" s="1" t="s">
        <v>2608</v>
      </c>
      <c r="C267" s="1" t="s">
        <v>2700</v>
      </c>
      <c r="D267" s="1" t="s">
        <v>2701</v>
      </c>
      <c r="E267" s="1" t="s">
        <v>3023</v>
      </c>
      <c r="F267" s="1" t="s">
        <v>3024</v>
      </c>
      <c r="G267" s="1" t="s">
        <v>561</v>
      </c>
      <c r="H267" s="1">
        <v>6.5548587630000004</v>
      </c>
      <c r="I267" s="1">
        <v>6.3363261639999999</v>
      </c>
      <c r="J267" s="1">
        <v>7.430646125</v>
      </c>
      <c r="K267" s="1">
        <v>7.3293754570000003</v>
      </c>
      <c r="L267" s="1">
        <v>7.6586460250000004</v>
      </c>
      <c r="M267" s="1">
        <v>7.3745310240000004</v>
      </c>
      <c r="N267" s="1">
        <v>6.1425317259999996</v>
      </c>
      <c r="O267" s="1">
        <v>6.478849479</v>
      </c>
      <c r="P267" s="1">
        <v>7.4473979830000001</v>
      </c>
      <c r="Q267" s="1">
        <v>7.4357135650000004</v>
      </c>
      <c r="R267" s="1">
        <v>7.9942489400000003</v>
      </c>
      <c r="S267" s="1">
        <v>7.8761314679999996</v>
      </c>
      <c r="T267" s="1">
        <v>7.6586460250000004</v>
      </c>
      <c r="U267" s="1">
        <v>7.3745310240000004</v>
      </c>
      <c r="V267" s="1">
        <v>7.614330324</v>
      </c>
      <c r="W267" s="1">
        <v>7.6203517779999999</v>
      </c>
      <c r="X267" s="1">
        <v>7.250160009</v>
      </c>
      <c r="Y267" s="1">
        <v>7.6530380129999998</v>
      </c>
      <c r="Z267" s="1">
        <v>7.9942489400000003</v>
      </c>
      <c r="AA267" s="1">
        <v>7.8761314679999996</v>
      </c>
      <c r="AB267" s="1">
        <v>7.5461211700000002</v>
      </c>
      <c r="AC267" s="1">
        <v>7.6172515079999998</v>
      </c>
      <c r="AD267" s="1">
        <v>7.4640815209999998</v>
      </c>
      <c r="AE267" s="1">
        <v>7.4620830199999997</v>
      </c>
    </row>
    <row r="268" spans="1:31" x14ac:dyDescent="0.25">
      <c r="A268" s="1" t="s">
        <v>562</v>
      </c>
      <c r="B268" s="1" t="s">
        <v>2598</v>
      </c>
      <c r="C268" s="1" t="s">
        <v>2599</v>
      </c>
      <c r="D268" s="1" t="s">
        <v>3025</v>
      </c>
      <c r="E268" s="1" t="s">
        <v>3026</v>
      </c>
      <c r="F268" s="1" t="s">
        <v>3027</v>
      </c>
      <c r="G268" s="1" t="s">
        <v>562</v>
      </c>
      <c r="H268" s="1">
        <v>7.8369277369999999</v>
      </c>
      <c r="I268" s="1">
        <v>8.9740290310000006</v>
      </c>
      <c r="J268" s="1">
        <v>8.6483465769999999</v>
      </c>
      <c r="K268" s="1">
        <v>8.4921214509999992</v>
      </c>
      <c r="L268" s="1">
        <v>9.4397793300000004</v>
      </c>
      <c r="M268" s="1">
        <v>9.2078609050000004</v>
      </c>
      <c r="N268" s="1">
        <v>8.7438421519999991</v>
      </c>
      <c r="O268" s="1">
        <v>8.3590846039999995</v>
      </c>
      <c r="P268" s="1">
        <v>8.6615363809999995</v>
      </c>
      <c r="Q268" s="1">
        <v>9.0042191509999991</v>
      </c>
      <c r="R268" s="1">
        <v>8.4440832579999991</v>
      </c>
      <c r="S268" s="1">
        <v>8.9186234829999993</v>
      </c>
      <c r="T268" s="1">
        <v>9.4397793300000004</v>
      </c>
      <c r="U268" s="1">
        <v>9.2078609050000004</v>
      </c>
      <c r="V268" s="1">
        <v>9.4691374770000003</v>
      </c>
      <c r="W268" s="1">
        <v>9.3356534060000005</v>
      </c>
      <c r="X268" s="1">
        <v>8.3185300780000002</v>
      </c>
      <c r="Y268" s="1">
        <v>9.1740404150000003</v>
      </c>
      <c r="Z268" s="1">
        <v>8.4440832579999991</v>
      </c>
      <c r="AA268" s="1">
        <v>8.9186234829999993</v>
      </c>
      <c r="AB268" s="1">
        <v>8.2338390189999995</v>
      </c>
      <c r="AC268" s="1">
        <v>8.1993641190000002</v>
      </c>
      <c r="AD268" s="1">
        <v>8.3139004609999994</v>
      </c>
      <c r="AE268" s="1">
        <v>8.2310563739999996</v>
      </c>
    </row>
    <row r="269" spans="1:31" x14ac:dyDescent="0.25">
      <c r="A269" s="1" t="s">
        <v>565</v>
      </c>
      <c r="B269" s="1" t="s">
        <v>2530</v>
      </c>
      <c r="C269" s="1" t="s">
        <v>2531</v>
      </c>
      <c r="D269" s="1" t="s">
        <v>2535</v>
      </c>
      <c r="E269" s="1" t="s">
        <v>2536</v>
      </c>
      <c r="G269" s="1" t="s">
        <v>565</v>
      </c>
      <c r="H269" s="1">
        <v>6.2317126350000001</v>
      </c>
      <c r="I269" s="1">
        <v>6.4146507100000001</v>
      </c>
      <c r="J269" s="1">
        <v>5.9669407659999996</v>
      </c>
      <c r="K269" s="1">
        <v>5.8870623049999997</v>
      </c>
      <c r="L269" s="1">
        <v>6.1668872849999996</v>
      </c>
      <c r="M269" s="1">
        <v>6.4058065400000004</v>
      </c>
      <c r="N269" s="1">
        <v>5.910461819</v>
      </c>
      <c r="O269" s="1">
        <v>5.7466551829999997</v>
      </c>
      <c r="P269" s="1">
        <v>6.0615870090000001</v>
      </c>
      <c r="Q269" s="1">
        <v>6.0189773029999998</v>
      </c>
      <c r="R269" s="1">
        <v>6.1687435319999997</v>
      </c>
      <c r="S269" s="1">
        <v>6.3418583389999998</v>
      </c>
      <c r="T269" s="1">
        <v>6.1668872849999996</v>
      </c>
      <c r="U269" s="1">
        <v>6.4058065400000004</v>
      </c>
      <c r="V269" s="1">
        <v>5.9006116210000004</v>
      </c>
      <c r="W269" s="1">
        <v>6.1843530070000003</v>
      </c>
      <c r="X269" s="1">
        <v>6.0746991130000003</v>
      </c>
      <c r="Y269" s="1">
        <v>5.9306942229999997</v>
      </c>
      <c r="Z269" s="1">
        <v>6.1687435319999997</v>
      </c>
      <c r="AA269" s="1">
        <v>6.3418583389999998</v>
      </c>
      <c r="AB269" s="1">
        <v>6.2789960090000001</v>
      </c>
      <c r="AC269" s="1">
        <v>6.2255363350000001</v>
      </c>
      <c r="AD269" s="1">
        <v>6.1657997020000002</v>
      </c>
      <c r="AE269" s="1">
        <v>6.0589349549999998</v>
      </c>
    </row>
    <row r="270" spans="1:31" x14ac:dyDescent="0.25">
      <c r="A270" s="1" t="s">
        <v>570</v>
      </c>
      <c r="B270" s="1" t="s">
        <v>2547</v>
      </c>
      <c r="C270" s="1" t="s">
        <v>2566</v>
      </c>
      <c r="D270" s="1" t="s">
        <v>2535</v>
      </c>
      <c r="E270" s="1" t="s">
        <v>3028</v>
      </c>
      <c r="F270" s="1" t="s">
        <v>3029</v>
      </c>
      <c r="G270" s="1" t="s">
        <v>570</v>
      </c>
      <c r="H270" s="1">
        <v>6.6927481100000001</v>
      </c>
      <c r="I270" s="1">
        <v>7.0632988579999996</v>
      </c>
      <c r="J270" s="1">
        <v>6.4472967060000004</v>
      </c>
      <c r="K270" s="1">
        <v>6.5928106870000001</v>
      </c>
      <c r="L270" s="1">
        <v>6.8193651099999997</v>
      </c>
      <c r="M270" s="1">
        <v>6.6808079219999996</v>
      </c>
      <c r="N270" s="1">
        <v>7.0252897240000003</v>
      </c>
      <c r="O270" s="1">
        <v>7.0447066889999999</v>
      </c>
      <c r="P270" s="1">
        <v>6.7225254730000001</v>
      </c>
      <c r="Q270" s="1">
        <v>6.3980489909999996</v>
      </c>
      <c r="R270" s="1">
        <v>6.4547978119999998</v>
      </c>
      <c r="S270" s="1">
        <v>6.4213797350000004</v>
      </c>
      <c r="T270" s="1">
        <v>6.8193651099999997</v>
      </c>
      <c r="U270" s="1">
        <v>6.6808079219999996</v>
      </c>
      <c r="V270" s="1">
        <v>6.3658106080000003</v>
      </c>
      <c r="W270" s="1">
        <v>6.3680955829999997</v>
      </c>
      <c r="X270" s="1">
        <v>6.5516981799999998</v>
      </c>
      <c r="Y270" s="1">
        <v>6.3541670720000001</v>
      </c>
      <c r="Z270" s="1">
        <v>6.4547978119999998</v>
      </c>
      <c r="AA270" s="1">
        <v>6.4213797350000004</v>
      </c>
      <c r="AB270" s="1">
        <v>6.0812876019999997</v>
      </c>
      <c r="AC270" s="1">
        <v>6.1612901029999998</v>
      </c>
      <c r="AD270" s="1">
        <v>6.3945942340000004</v>
      </c>
      <c r="AE270" s="1">
        <v>6.5439993899999997</v>
      </c>
    </row>
    <row r="271" spans="1:31" x14ac:dyDescent="0.25">
      <c r="A271" s="1" t="s">
        <v>571</v>
      </c>
      <c r="B271" s="1" t="s">
        <v>2539</v>
      </c>
      <c r="C271" s="1" t="s">
        <v>2606</v>
      </c>
      <c r="D271" s="1" t="s">
        <v>2535</v>
      </c>
      <c r="E271" s="1" t="s">
        <v>3030</v>
      </c>
      <c r="F271" s="1" t="s">
        <v>3031</v>
      </c>
      <c r="G271" s="1" t="s">
        <v>571</v>
      </c>
      <c r="H271" s="1">
        <v>7.2725110900000001</v>
      </c>
      <c r="I271" s="1">
        <v>7.6286577539999998</v>
      </c>
      <c r="J271" s="1">
        <v>6.4286153060000002</v>
      </c>
      <c r="K271" s="1">
        <v>6.4083964440000001</v>
      </c>
      <c r="L271" s="1">
        <v>6.6433688130000004</v>
      </c>
      <c r="M271" s="1">
        <v>6.2923515759999997</v>
      </c>
      <c r="N271" s="1">
        <v>7.4331026959999997</v>
      </c>
      <c r="O271" s="1">
        <v>7.3490342460000004</v>
      </c>
      <c r="P271" s="1">
        <v>5.9898979399999996</v>
      </c>
      <c r="Q271" s="1">
        <v>6.4790268769999999</v>
      </c>
      <c r="R271" s="1">
        <v>5.6804358580000001</v>
      </c>
      <c r="S271" s="1">
        <v>5.7723891209999998</v>
      </c>
      <c r="T271" s="1">
        <v>6.6433688130000004</v>
      </c>
      <c r="U271" s="1">
        <v>6.2923515759999997</v>
      </c>
      <c r="V271" s="1">
        <v>6.9066996950000004</v>
      </c>
      <c r="W271" s="1">
        <v>6.4165513509999998</v>
      </c>
      <c r="X271" s="1">
        <v>6.4823958849999999</v>
      </c>
      <c r="Y271" s="1">
        <v>6.9006741439999999</v>
      </c>
      <c r="Z271" s="1">
        <v>5.6804358580000001</v>
      </c>
      <c r="AA271" s="1">
        <v>5.7723891209999998</v>
      </c>
      <c r="AB271" s="1">
        <v>5.8098709350000002</v>
      </c>
      <c r="AC271" s="1">
        <v>5.9744301399999999</v>
      </c>
      <c r="AD271" s="1">
        <v>6.3073961189999999</v>
      </c>
      <c r="AE271" s="1">
        <v>6.2987649059999997</v>
      </c>
    </row>
    <row r="272" spans="1:31" x14ac:dyDescent="0.25">
      <c r="A272" s="1" t="s">
        <v>572</v>
      </c>
      <c r="B272" s="1" t="s">
        <v>2525</v>
      </c>
      <c r="C272" s="1" t="s">
        <v>2971</v>
      </c>
      <c r="D272" s="1" t="s">
        <v>3032</v>
      </c>
      <c r="E272" s="1" t="s">
        <v>3033</v>
      </c>
      <c r="F272" s="1" t="s">
        <v>3034</v>
      </c>
      <c r="G272" s="1" t="s">
        <v>572</v>
      </c>
      <c r="H272" s="1">
        <v>7.8025536249999998</v>
      </c>
      <c r="I272" s="1">
        <v>7.4910143309999997</v>
      </c>
      <c r="J272" s="1">
        <v>6.2905743620000001</v>
      </c>
      <c r="K272" s="1">
        <v>6.4514685810000003</v>
      </c>
      <c r="L272" s="1">
        <v>5.6647229430000001</v>
      </c>
      <c r="M272" s="1">
        <v>5.5541105499999999</v>
      </c>
      <c r="N272" s="1">
        <v>7.4166149949999998</v>
      </c>
      <c r="O272" s="1">
        <v>7.4315436359999998</v>
      </c>
      <c r="P272" s="1">
        <v>5.8883751269999998</v>
      </c>
      <c r="Q272" s="1">
        <v>6.1485161530000001</v>
      </c>
      <c r="R272" s="1">
        <v>6.0415391009999997</v>
      </c>
      <c r="S272" s="1">
        <v>6.1213765840000001</v>
      </c>
      <c r="T272" s="1">
        <v>5.6647229430000001</v>
      </c>
      <c r="U272" s="1">
        <v>5.5541105499999999</v>
      </c>
      <c r="V272" s="1">
        <v>5.6392772100000004</v>
      </c>
      <c r="W272" s="1">
        <v>5.3792812999999997</v>
      </c>
      <c r="X272" s="1">
        <v>5.8725355390000002</v>
      </c>
      <c r="Y272" s="1">
        <v>6.3075735850000001</v>
      </c>
      <c r="Z272" s="1">
        <v>6.0415391009999997</v>
      </c>
      <c r="AA272" s="1">
        <v>6.1213765840000001</v>
      </c>
      <c r="AB272" s="1">
        <v>5.7665348979999997</v>
      </c>
      <c r="AC272" s="1">
        <v>6.1168053020000004</v>
      </c>
      <c r="AD272" s="1">
        <v>6.4362874889999997</v>
      </c>
      <c r="AE272" s="1">
        <v>6.5634731559999997</v>
      </c>
    </row>
    <row r="273" spans="1:31" x14ac:dyDescent="0.25">
      <c r="A273" s="1" t="s">
        <v>573</v>
      </c>
      <c r="B273" s="1" t="s">
        <v>2579</v>
      </c>
      <c r="C273" s="1" t="s">
        <v>2580</v>
      </c>
      <c r="D273" s="1" t="s">
        <v>3035</v>
      </c>
      <c r="E273" s="1" t="s">
        <v>3036</v>
      </c>
      <c r="F273" s="1" t="s">
        <v>2551</v>
      </c>
      <c r="G273" s="1" t="s">
        <v>573</v>
      </c>
      <c r="H273" s="1">
        <v>7.8025536249999998</v>
      </c>
      <c r="I273" s="1">
        <v>7.3388290459999999</v>
      </c>
      <c r="J273" s="1">
        <v>6.8494908560000001</v>
      </c>
      <c r="K273" s="1">
        <v>6.8396337100000002</v>
      </c>
      <c r="L273" s="1">
        <v>6.1449929210000001</v>
      </c>
      <c r="M273" s="1">
        <v>5.9702199440000001</v>
      </c>
      <c r="N273" s="1">
        <v>6.4105475380000003</v>
      </c>
      <c r="O273" s="1">
        <v>6.8644635369999998</v>
      </c>
      <c r="P273" s="1">
        <v>6.3171519470000002</v>
      </c>
      <c r="Q273" s="1">
        <v>6.4391077020000003</v>
      </c>
      <c r="R273" s="1">
        <v>6.1441881260000004</v>
      </c>
      <c r="S273" s="1">
        <v>6.4595501860000004</v>
      </c>
      <c r="T273" s="1">
        <v>6.1449929210000001</v>
      </c>
      <c r="U273" s="1">
        <v>5.9702199440000001</v>
      </c>
      <c r="V273" s="1">
        <v>6.481941097</v>
      </c>
      <c r="W273" s="1">
        <v>6.9968523659999997</v>
      </c>
      <c r="X273" s="1">
        <v>6.823896983</v>
      </c>
      <c r="Y273" s="1">
        <v>7.1319704259999996</v>
      </c>
      <c r="Z273" s="1">
        <v>6.1441881260000004</v>
      </c>
      <c r="AA273" s="1">
        <v>6.4595501860000004</v>
      </c>
      <c r="AB273" s="1">
        <v>6.8954646989999997</v>
      </c>
      <c r="AC273" s="1">
        <v>6.3651376319999997</v>
      </c>
      <c r="AD273" s="1">
        <v>7.1752643049999998</v>
      </c>
      <c r="AE273" s="1">
        <v>7.2442871269999998</v>
      </c>
    </row>
    <row r="274" spans="1:31" x14ac:dyDescent="0.25">
      <c r="A274" s="1" t="s">
        <v>582</v>
      </c>
      <c r="B274" s="1" t="s">
        <v>2530</v>
      </c>
      <c r="C274" s="1" t="s">
        <v>2573</v>
      </c>
      <c r="D274" s="1" t="s">
        <v>2604</v>
      </c>
      <c r="E274" s="1" t="s">
        <v>3037</v>
      </c>
      <c r="G274" s="1" t="s">
        <v>582</v>
      </c>
      <c r="H274" s="1">
        <v>5.4177093730000001</v>
      </c>
      <c r="I274" s="1">
        <v>5.5529645800000003</v>
      </c>
      <c r="J274" s="1">
        <v>4.6607313550000002</v>
      </c>
      <c r="K274" s="1">
        <v>4.5171444090000001</v>
      </c>
      <c r="L274" s="1">
        <v>4.2932354009999996</v>
      </c>
      <c r="M274" s="1">
        <v>4.1225413939999997</v>
      </c>
      <c r="N274" s="1">
        <v>5.4502346690000003</v>
      </c>
      <c r="O274" s="1">
        <v>5.2237789919999997</v>
      </c>
      <c r="P274" s="1">
        <v>4.5499605860000001</v>
      </c>
      <c r="Q274" s="1">
        <v>3.9718447549999998</v>
      </c>
      <c r="R274" s="1">
        <v>3.968758995</v>
      </c>
      <c r="S274" s="1">
        <v>4.5490843459999999</v>
      </c>
      <c r="T274" s="1">
        <v>4.2932354009999996</v>
      </c>
      <c r="U274" s="1">
        <v>4.1225413939999997</v>
      </c>
      <c r="V274" s="1">
        <v>4.6987742170000004</v>
      </c>
      <c r="W274" s="1">
        <v>4.3370700810000002</v>
      </c>
      <c r="X274" s="1">
        <v>4.2691515329999996</v>
      </c>
      <c r="Y274" s="1">
        <v>4.6842287809999998</v>
      </c>
      <c r="Z274" s="1">
        <v>3.968758995</v>
      </c>
      <c r="AA274" s="1">
        <v>4.5490843459999999</v>
      </c>
      <c r="AB274" s="1">
        <v>4.5063178209999997</v>
      </c>
      <c r="AC274" s="1">
        <v>3.7481372300000002</v>
      </c>
      <c r="AD274" s="1">
        <v>4.3870463700000002</v>
      </c>
      <c r="AE274" s="1">
        <v>4.7290680490000003</v>
      </c>
    </row>
    <row r="275" spans="1:31" x14ac:dyDescent="0.25">
      <c r="A275" s="1" t="s">
        <v>583</v>
      </c>
      <c r="B275" s="1" t="s">
        <v>2631</v>
      </c>
      <c r="C275" s="1" t="s">
        <v>2531</v>
      </c>
      <c r="D275" s="1" t="s">
        <v>2535</v>
      </c>
      <c r="E275" s="1" t="s">
        <v>3038</v>
      </c>
      <c r="G275" s="1" t="s">
        <v>583</v>
      </c>
      <c r="H275" s="1">
        <v>7.0115982959999998</v>
      </c>
      <c r="I275" s="1">
        <v>7.3686145730000003</v>
      </c>
      <c r="J275" s="1">
        <v>6.4096880770000002</v>
      </c>
      <c r="K275" s="1">
        <v>6.4300937310000004</v>
      </c>
      <c r="L275" s="1">
        <v>6.2916778710000001</v>
      </c>
      <c r="M275" s="1">
        <v>6.2389026359999997</v>
      </c>
      <c r="N275" s="1">
        <v>6.8064250089999998</v>
      </c>
      <c r="O275" s="1">
        <v>6.8916349099999996</v>
      </c>
      <c r="P275" s="1">
        <v>6.3745240839999999</v>
      </c>
      <c r="Q275" s="1">
        <v>6.3122380549999999</v>
      </c>
      <c r="R275" s="1">
        <v>6.6762859529999998</v>
      </c>
      <c r="S275" s="1">
        <v>6.145010976</v>
      </c>
      <c r="T275" s="1">
        <v>6.2916778710000001</v>
      </c>
      <c r="U275" s="1">
        <v>6.2389026359999997</v>
      </c>
      <c r="V275" s="1">
        <v>6.7828668890000001</v>
      </c>
      <c r="W275" s="1">
        <v>6.5088246730000003</v>
      </c>
      <c r="X275" s="1">
        <v>6.6085543170000003</v>
      </c>
      <c r="Y275" s="1">
        <v>6.3310590680000001</v>
      </c>
      <c r="Z275" s="1">
        <v>6.6762859529999998</v>
      </c>
      <c r="AA275" s="1">
        <v>6.145010976</v>
      </c>
      <c r="AB275" s="1">
        <v>5.8927983030000002</v>
      </c>
      <c r="AC275" s="1">
        <v>6.3651376319999997</v>
      </c>
      <c r="AD275" s="1">
        <v>6.4155919319999999</v>
      </c>
      <c r="AE275" s="1">
        <v>6.4212742540000001</v>
      </c>
    </row>
    <row r="276" spans="1:31" x14ac:dyDescent="0.25">
      <c r="A276" s="1" t="s">
        <v>584</v>
      </c>
      <c r="B276" s="1" t="s">
        <v>2648</v>
      </c>
      <c r="C276" s="1" t="s">
        <v>2649</v>
      </c>
      <c r="D276" s="1" t="s">
        <v>2650</v>
      </c>
      <c r="E276" s="1" t="s">
        <v>3039</v>
      </c>
      <c r="F276" s="1" t="s">
        <v>2654</v>
      </c>
      <c r="G276" s="1" t="s">
        <v>584</v>
      </c>
      <c r="H276" s="1">
        <v>8.1759109589999994</v>
      </c>
      <c r="I276" s="1">
        <v>7.6286577539999998</v>
      </c>
      <c r="J276" s="1">
        <v>7.771478492</v>
      </c>
      <c r="K276" s="1">
        <v>7.6579791049999999</v>
      </c>
      <c r="L276" s="1">
        <v>7.4064789209999997</v>
      </c>
      <c r="M276" s="1">
        <v>7.6394047690000004</v>
      </c>
      <c r="N276" s="1">
        <v>7.1700553200000003</v>
      </c>
      <c r="O276" s="1">
        <v>7.544227351</v>
      </c>
      <c r="P276" s="1">
        <v>7.8077950200000004</v>
      </c>
      <c r="Q276" s="1">
        <v>7.6341791839999997</v>
      </c>
      <c r="R276" s="1">
        <v>8.1865131449999993</v>
      </c>
      <c r="S276" s="1">
        <v>7.6392562679999996</v>
      </c>
      <c r="T276" s="1">
        <v>7.4064789209999997</v>
      </c>
      <c r="U276" s="1">
        <v>7.6394047690000004</v>
      </c>
      <c r="V276" s="1">
        <v>7.7327869339999999</v>
      </c>
      <c r="W276" s="1">
        <v>7.8134286409999998</v>
      </c>
      <c r="X276" s="1">
        <v>7.9596119229999998</v>
      </c>
      <c r="Y276" s="1">
        <v>7.3882379680000003</v>
      </c>
      <c r="Z276" s="1">
        <v>8.1865131449999993</v>
      </c>
      <c r="AA276" s="1">
        <v>7.6392562679999996</v>
      </c>
      <c r="AB276" s="1">
        <v>7.9256926339999998</v>
      </c>
      <c r="AC276" s="1">
        <v>7.9752707860000003</v>
      </c>
      <c r="AD276" s="1">
        <v>7.9032414849999997</v>
      </c>
      <c r="AE276" s="1">
        <v>7.8184582740000002</v>
      </c>
    </row>
    <row r="277" spans="1:31" x14ac:dyDescent="0.25">
      <c r="A277" s="1" t="s">
        <v>585</v>
      </c>
      <c r="B277" s="1" t="s">
        <v>2547</v>
      </c>
      <c r="C277" s="1" t="s">
        <v>2622</v>
      </c>
      <c r="D277" s="1" t="s">
        <v>2535</v>
      </c>
      <c r="E277" s="1" t="s">
        <v>3040</v>
      </c>
      <c r="G277" s="1" t="s">
        <v>585</v>
      </c>
      <c r="H277" s="1">
        <v>4.4805534380000003</v>
      </c>
      <c r="I277" s="1">
        <v>4.4542943209999999</v>
      </c>
      <c r="J277" s="1">
        <v>2.8907526730000002</v>
      </c>
      <c r="K277" s="1">
        <v>3.607491666</v>
      </c>
      <c r="L277" s="1">
        <v>3.8629070379999999</v>
      </c>
      <c r="M277" s="1">
        <v>4.1225413939999997</v>
      </c>
      <c r="N277" s="1">
        <v>3.7779028299999999</v>
      </c>
      <c r="O277" s="1">
        <v>4.0953574540000002</v>
      </c>
      <c r="P277" s="1">
        <v>4.4075207919999997</v>
      </c>
      <c r="Q277" s="1">
        <v>3.8492287269999999</v>
      </c>
      <c r="R277" s="1">
        <v>3.1834741979999999</v>
      </c>
      <c r="S277" s="1">
        <v>3.6647387380000001</v>
      </c>
      <c r="T277" s="1">
        <v>3.8629070379999999</v>
      </c>
      <c r="U277" s="1">
        <v>4.1225413939999997</v>
      </c>
      <c r="V277" s="1">
        <v>3.3993802240000002</v>
      </c>
      <c r="W277" s="1">
        <v>4.1128053839999996</v>
      </c>
      <c r="X277" s="1">
        <v>4.1686775799999998</v>
      </c>
      <c r="Y277" s="1">
        <v>3.6154848500000001</v>
      </c>
      <c r="Z277" s="1">
        <v>3.1834741979999999</v>
      </c>
      <c r="AA277" s="1">
        <v>3.6647387380000001</v>
      </c>
      <c r="AB277" s="1">
        <v>3.6315729079999999</v>
      </c>
      <c r="AC277" s="1">
        <v>3.7481372300000002</v>
      </c>
      <c r="AD277" s="1">
        <v>2.9432342459999998</v>
      </c>
      <c r="AE277" s="1">
        <v>3.9499994520000001</v>
      </c>
    </row>
    <row r="278" spans="1:31" x14ac:dyDescent="0.25">
      <c r="A278" s="1" t="s">
        <v>589</v>
      </c>
      <c r="B278" s="1" t="s">
        <v>2547</v>
      </c>
      <c r="C278" s="1" t="s">
        <v>2694</v>
      </c>
      <c r="D278" s="1" t="s">
        <v>2535</v>
      </c>
      <c r="E278" s="1" t="s">
        <v>3041</v>
      </c>
      <c r="G278" s="1" t="s">
        <v>589</v>
      </c>
      <c r="H278" s="1">
        <v>5.4626831620000003</v>
      </c>
      <c r="I278" s="1">
        <v>5.0595268689999999</v>
      </c>
      <c r="J278" s="1">
        <v>4.9532699769999997</v>
      </c>
      <c r="K278" s="1">
        <v>5.0588199180000002</v>
      </c>
      <c r="L278" s="1">
        <v>5.2773631679999999</v>
      </c>
      <c r="M278" s="1">
        <v>5.5973531489999999</v>
      </c>
      <c r="N278" s="1">
        <v>5.1081614489999998</v>
      </c>
      <c r="O278" s="1">
        <v>5.1947693419999998</v>
      </c>
      <c r="P278" s="1">
        <v>5.1903212940000003</v>
      </c>
      <c r="Q278" s="1">
        <v>5.5780218530000001</v>
      </c>
      <c r="R278" s="1">
        <v>5.6457947050000001</v>
      </c>
      <c r="S278" s="1">
        <v>4.7503017500000002</v>
      </c>
      <c r="T278" s="1">
        <v>5.2773631679999999</v>
      </c>
      <c r="U278" s="1">
        <v>5.5973531489999999</v>
      </c>
      <c r="V278" s="1">
        <v>4.6987742170000004</v>
      </c>
      <c r="W278" s="1">
        <v>4.9190341039999996</v>
      </c>
      <c r="X278" s="1">
        <v>5.7928210719999997</v>
      </c>
      <c r="Y278" s="1">
        <v>5.3269702959999998</v>
      </c>
      <c r="Z278" s="1">
        <v>5.6457947050000001</v>
      </c>
      <c r="AA278" s="1">
        <v>4.7503017500000002</v>
      </c>
      <c r="AB278" s="1">
        <v>4.8804215500000003</v>
      </c>
      <c r="AC278" s="1">
        <v>5.1103036370000003</v>
      </c>
      <c r="AD278" s="1">
        <v>5.1668950269999998</v>
      </c>
      <c r="AE278" s="1">
        <v>5.473179547</v>
      </c>
    </row>
    <row r="279" spans="1:31" x14ac:dyDescent="0.25">
      <c r="A279" s="1" t="s">
        <v>591</v>
      </c>
      <c r="B279" s="1" t="s">
        <v>2530</v>
      </c>
      <c r="C279" s="1" t="s">
        <v>2531</v>
      </c>
      <c r="D279" s="1" t="s">
        <v>2535</v>
      </c>
      <c r="E279" s="1" t="s">
        <v>2536</v>
      </c>
      <c r="G279" s="1" t="s">
        <v>591</v>
      </c>
      <c r="H279" s="1">
        <v>5.4177093730000001</v>
      </c>
      <c r="I279" s="1">
        <v>5.3275363779999996</v>
      </c>
      <c r="J279" s="1">
        <v>5.5826322800000003</v>
      </c>
      <c r="K279" s="1">
        <v>5.3612725399999999</v>
      </c>
      <c r="L279" s="1">
        <v>5.58546151</v>
      </c>
      <c r="M279" s="1">
        <v>5.3667108829999997</v>
      </c>
      <c r="N279" s="1">
        <v>5.3605984370000002</v>
      </c>
      <c r="O279" s="1">
        <v>5.4853382609999999</v>
      </c>
      <c r="P279" s="1">
        <v>5.1467681949999999</v>
      </c>
      <c r="Q279" s="1">
        <v>5.5406489910000003</v>
      </c>
      <c r="R279" s="1">
        <v>4.9894654599999999</v>
      </c>
      <c r="S279" s="1">
        <v>5.7416668729999998</v>
      </c>
      <c r="T279" s="1">
        <v>5.58546151</v>
      </c>
      <c r="U279" s="1">
        <v>5.3667108829999997</v>
      </c>
      <c r="V279" s="1">
        <v>5.7228043460000002</v>
      </c>
      <c r="W279" s="1">
        <v>5.726489559</v>
      </c>
      <c r="X279" s="1">
        <v>5.6909099879999996</v>
      </c>
      <c r="Y279" s="1">
        <v>5.6604650660000004</v>
      </c>
      <c r="Z279" s="1">
        <v>4.9894654599999999</v>
      </c>
      <c r="AA279" s="1">
        <v>5.7416668729999998</v>
      </c>
      <c r="AB279" s="1">
        <v>5.5276660309999999</v>
      </c>
      <c r="AC279" s="1">
        <v>5.6067493529999997</v>
      </c>
      <c r="AD279" s="1">
        <v>5.116107059</v>
      </c>
      <c r="AE279" s="1">
        <v>5.2736981710000004</v>
      </c>
    </row>
    <row r="280" spans="1:31" x14ac:dyDescent="0.25">
      <c r="A280" s="1" t="s">
        <v>592</v>
      </c>
      <c r="B280" s="1" t="s">
        <v>2520</v>
      </c>
      <c r="C280" s="1" t="s">
        <v>2521</v>
      </c>
      <c r="D280" s="1" t="s">
        <v>2535</v>
      </c>
      <c r="E280" s="1" t="s">
        <v>3042</v>
      </c>
      <c r="F280" s="1" t="s">
        <v>3043</v>
      </c>
      <c r="G280" s="1" t="s">
        <v>592</v>
      </c>
      <c r="H280" s="1">
        <v>6.2825651889999996</v>
      </c>
      <c r="I280" s="1">
        <v>5.8640648840000003</v>
      </c>
      <c r="J280" s="1">
        <v>7.0087830479999997</v>
      </c>
      <c r="K280" s="1">
        <v>6.806859684</v>
      </c>
      <c r="L280" s="1">
        <v>6.3502321200000003</v>
      </c>
      <c r="M280" s="1">
        <v>6.3689739899999998</v>
      </c>
      <c r="N280" s="1">
        <v>5.5947014570000002</v>
      </c>
      <c r="O280" s="1">
        <v>5.8796079560000001</v>
      </c>
      <c r="P280" s="1">
        <v>6.6313784599999996</v>
      </c>
      <c r="Q280" s="1">
        <v>6.3557835540000003</v>
      </c>
      <c r="R280" s="1">
        <v>6.7267142719999997</v>
      </c>
      <c r="S280" s="1">
        <v>6.748647074</v>
      </c>
      <c r="T280" s="1">
        <v>6.3502321200000003</v>
      </c>
      <c r="U280" s="1">
        <v>6.3689739899999998</v>
      </c>
      <c r="V280" s="1">
        <v>6.6186760830000004</v>
      </c>
      <c r="W280" s="1">
        <v>6.3432413370000003</v>
      </c>
      <c r="X280" s="1">
        <v>6.5025394790000002</v>
      </c>
      <c r="Y280" s="1">
        <v>6.421343255</v>
      </c>
      <c r="Z280" s="1">
        <v>6.7267142719999997</v>
      </c>
      <c r="AA280" s="1">
        <v>6.748647074</v>
      </c>
      <c r="AB280" s="1">
        <v>6.9153848929999997</v>
      </c>
      <c r="AC280" s="1">
        <v>6.4571567910000001</v>
      </c>
      <c r="AD280" s="1">
        <v>6.4966454860000002</v>
      </c>
      <c r="AE280" s="1">
        <v>6.3997621550000003</v>
      </c>
    </row>
    <row r="281" spans="1:31" x14ac:dyDescent="0.25">
      <c r="A281" s="1" t="s">
        <v>595</v>
      </c>
      <c r="B281" s="1" t="s">
        <v>2539</v>
      </c>
      <c r="C281" s="1" t="s">
        <v>2606</v>
      </c>
      <c r="D281" s="1" t="s">
        <v>2535</v>
      </c>
      <c r="E281" s="1" t="s">
        <v>3044</v>
      </c>
      <c r="G281" s="1" t="s">
        <v>595</v>
      </c>
      <c r="H281" s="1">
        <v>2.9945681560000001</v>
      </c>
      <c r="I281" s="1">
        <v>3.1348991329999998</v>
      </c>
      <c r="J281" s="1">
        <v>3.329519721</v>
      </c>
      <c r="K281" s="1">
        <v>2.620638279</v>
      </c>
      <c r="L281" s="1">
        <v>2.5490970000000002</v>
      </c>
      <c r="M281" s="1">
        <v>2.8639998100000001</v>
      </c>
      <c r="N281" s="1">
        <v>2.9782685729999998</v>
      </c>
      <c r="O281" s="1">
        <v>3.5386882399999999</v>
      </c>
      <c r="P281" s="1">
        <v>1.7393328349999999</v>
      </c>
      <c r="Q281" s="1">
        <v>2.935765398</v>
      </c>
      <c r="R281" s="1">
        <v>3.386455024</v>
      </c>
      <c r="S281" s="1">
        <v>3.1475403900000001</v>
      </c>
      <c r="T281" s="1">
        <v>2.5490970000000002</v>
      </c>
      <c r="U281" s="1">
        <v>2.8639998100000001</v>
      </c>
      <c r="V281" s="1">
        <v>1.7393328349999999</v>
      </c>
      <c r="W281" s="1">
        <v>3.6840067150000002</v>
      </c>
      <c r="X281" s="1">
        <v>2.3600830049999999</v>
      </c>
      <c r="Y281" s="1">
        <v>3.229986142</v>
      </c>
      <c r="Z281" s="1">
        <v>3.386455024</v>
      </c>
      <c r="AA281" s="1">
        <v>3.1475403900000001</v>
      </c>
      <c r="AB281" s="1">
        <v>3.6315729079999999</v>
      </c>
      <c r="AC281" s="1">
        <v>3.1109927919999998</v>
      </c>
      <c r="AD281" s="1">
        <v>3.725077481</v>
      </c>
      <c r="AE281" s="1">
        <v>2.3627668220000002</v>
      </c>
    </row>
    <row r="282" spans="1:31" x14ac:dyDescent="0.25">
      <c r="A282" s="1" t="s">
        <v>596</v>
      </c>
      <c r="B282" s="1" t="s">
        <v>2631</v>
      </c>
      <c r="C282" s="1" t="s">
        <v>3045</v>
      </c>
      <c r="D282" s="1" t="s">
        <v>2535</v>
      </c>
      <c r="E282" s="1" t="s">
        <v>3046</v>
      </c>
      <c r="F282" s="1" t="s">
        <v>3047</v>
      </c>
      <c r="G282" s="1" t="s">
        <v>596</v>
      </c>
      <c r="H282" s="1">
        <v>5.9144073309999996</v>
      </c>
      <c r="I282" s="1">
        <v>5.6535958219999998</v>
      </c>
      <c r="J282" s="1">
        <v>4.7851628320000001</v>
      </c>
      <c r="K282" s="1">
        <v>4.7454889089999996</v>
      </c>
      <c r="L282" s="1">
        <v>5.1055038850000001</v>
      </c>
      <c r="M282" s="1">
        <v>5.2628748920000001</v>
      </c>
      <c r="N282" s="1">
        <v>6.7104368150000004</v>
      </c>
      <c r="O282" s="1">
        <v>7.0447066889999999</v>
      </c>
      <c r="P282" s="1">
        <v>5.1018341500000002</v>
      </c>
      <c r="Q282" s="1">
        <v>5.1511590549999999</v>
      </c>
      <c r="R282" s="1">
        <v>5.0440296189999998</v>
      </c>
      <c r="S282" s="1">
        <v>4.6864044680000001</v>
      </c>
      <c r="T282" s="1">
        <v>5.1055038850000001</v>
      </c>
      <c r="U282" s="1">
        <v>5.2628748920000001</v>
      </c>
      <c r="V282" s="1">
        <v>4.8059579570000004</v>
      </c>
      <c r="W282" s="1">
        <v>4.8493412630000003</v>
      </c>
      <c r="X282" s="1">
        <v>4.8838989719999999</v>
      </c>
      <c r="Y282" s="1">
        <v>5.1254702539999997</v>
      </c>
      <c r="Z282" s="1">
        <v>5.0440296189999998</v>
      </c>
      <c r="AA282" s="1">
        <v>4.6864044680000001</v>
      </c>
      <c r="AB282" s="1">
        <v>5.0356743460000004</v>
      </c>
      <c r="AC282" s="1">
        <v>4.3377211620000002</v>
      </c>
      <c r="AD282" s="1">
        <v>5.2633210659999996</v>
      </c>
      <c r="AE282" s="1">
        <v>4.542053224</v>
      </c>
    </row>
    <row r="283" spans="1:31" x14ac:dyDescent="0.25">
      <c r="A283" s="1" t="s">
        <v>597</v>
      </c>
      <c r="B283" s="1" t="s">
        <v>2631</v>
      </c>
      <c r="C283" s="1" t="s">
        <v>3045</v>
      </c>
      <c r="D283" s="1" t="s">
        <v>3048</v>
      </c>
      <c r="E283" s="1" t="s">
        <v>3049</v>
      </c>
      <c r="F283" s="1" t="s">
        <v>3050</v>
      </c>
      <c r="G283" s="1" t="s">
        <v>597</v>
      </c>
      <c r="H283" s="1">
        <v>9.9941274910000004</v>
      </c>
      <c r="I283" s="1">
        <v>10.15020633</v>
      </c>
      <c r="J283" s="1">
        <v>8.949232512</v>
      </c>
      <c r="K283" s="1">
        <v>8.7889573419999998</v>
      </c>
      <c r="L283" s="1">
        <v>8.5911410060000009</v>
      </c>
      <c r="M283" s="1">
        <v>8.7549171480000005</v>
      </c>
      <c r="N283" s="1">
        <v>10.20606252</v>
      </c>
      <c r="O283" s="1">
        <v>10.339518699999999</v>
      </c>
      <c r="P283" s="1">
        <v>8.6653666929999993</v>
      </c>
      <c r="Q283" s="1">
        <v>8.8263562800000006</v>
      </c>
      <c r="R283" s="1">
        <v>8.5643930099999999</v>
      </c>
      <c r="S283" s="1">
        <v>8.6151972279999995</v>
      </c>
      <c r="T283" s="1">
        <v>8.5911410060000009</v>
      </c>
      <c r="U283" s="1">
        <v>8.7549171480000005</v>
      </c>
      <c r="V283" s="1">
        <v>8.654832463</v>
      </c>
      <c r="W283" s="1">
        <v>8.6220000910000003</v>
      </c>
      <c r="X283" s="1">
        <v>8.2869804229999993</v>
      </c>
      <c r="Y283" s="1">
        <v>8.4798806869999996</v>
      </c>
      <c r="Z283" s="1">
        <v>8.5643930099999999</v>
      </c>
      <c r="AA283" s="1">
        <v>8.6151972279999995</v>
      </c>
      <c r="AB283" s="1">
        <v>8.3771000519999994</v>
      </c>
      <c r="AC283" s="1">
        <v>8.4525240190000002</v>
      </c>
      <c r="AD283" s="1">
        <v>8.5691244490000003</v>
      </c>
      <c r="AE283" s="1">
        <v>8.4790940730000006</v>
      </c>
    </row>
    <row r="284" spans="1:31" x14ac:dyDescent="0.25">
      <c r="A284" s="1" t="s">
        <v>598</v>
      </c>
      <c r="B284" s="1" t="s">
        <v>2631</v>
      </c>
      <c r="C284" s="1" t="s">
        <v>3045</v>
      </c>
      <c r="D284" s="1" t="s">
        <v>3048</v>
      </c>
      <c r="E284" s="1" t="s">
        <v>3051</v>
      </c>
      <c r="F284" s="1" t="s">
        <v>3052</v>
      </c>
      <c r="G284" s="1" t="s">
        <v>598</v>
      </c>
      <c r="H284" s="1">
        <v>11.534041970000001</v>
      </c>
      <c r="I284" s="1">
        <v>11.18414448</v>
      </c>
      <c r="J284" s="1">
        <v>10.922987880000001</v>
      </c>
      <c r="K284" s="1">
        <v>10.84797502</v>
      </c>
      <c r="L284" s="1">
        <v>10.35112975</v>
      </c>
      <c r="M284" s="1">
        <v>10.50031796</v>
      </c>
      <c r="N284" s="1">
        <v>10.956651580000001</v>
      </c>
      <c r="O284" s="1">
        <v>11.080576000000001</v>
      </c>
      <c r="P284" s="1">
        <v>10.764653020000001</v>
      </c>
      <c r="Q284" s="1">
        <v>10.768819560000001</v>
      </c>
      <c r="R284" s="1">
        <v>10.61937432</v>
      </c>
      <c r="S284" s="1">
        <v>10.54229638</v>
      </c>
      <c r="T284" s="1">
        <v>10.35112975</v>
      </c>
      <c r="U284" s="1">
        <v>10.50031796</v>
      </c>
      <c r="V284" s="1">
        <v>10.367541790000001</v>
      </c>
      <c r="W284" s="1">
        <v>10.24692877</v>
      </c>
      <c r="X284" s="1">
        <v>10.171032139999999</v>
      </c>
      <c r="Y284" s="1">
        <v>10.057435</v>
      </c>
      <c r="Z284" s="1">
        <v>10.61937432</v>
      </c>
      <c r="AA284" s="1">
        <v>10.54229638</v>
      </c>
      <c r="AB284" s="1">
        <v>10.414232800000001</v>
      </c>
      <c r="AC284" s="1">
        <v>10.399817150000001</v>
      </c>
      <c r="AD284" s="1">
        <v>10.41735737</v>
      </c>
      <c r="AE284" s="1">
        <v>10.23832356</v>
      </c>
    </row>
    <row r="285" spans="1:31" x14ac:dyDescent="0.25">
      <c r="A285" s="1" t="s">
        <v>599</v>
      </c>
      <c r="B285" s="1" t="s">
        <v>2631</v>
      </c>
      <c r="C285" s="1" t="s">
        <v>3045</v>
      </c>
      <c r="D285" s="1" t="s">
        <v>3053</v>
      </c>
      <c r="E285" s="1" t="s">
        <v>3054</v>
      </c>
      <c r="F285" s="1" t="s">
        <v>3055</v>
      </c>
      <c r="G285" s="1" t="s">
        <v>599</v>
      </c>
      <c r="H285" s="1">
        <v>8.7543359350000003</v>
      </c>
      <c r="I285" s="1">
        <v>8.2249208189999994</v>
      </c>
      <c r="J285" s="1">
        <v>8.2729352840000008</v>
      </c>
      <c r="K285" s="1">
        <v>8.4661400340000004</v>
      </c>
      <c r="L285" s="1">
        <v>7.3550522899999997</v>
      </c>
      <c r="M285" s="1">
        <v>7.5436244439999998</v>
      </c>
      <c r="N285" s="1">
        <v>8.0994254380000008</v>
      </c>
      <c r="O285" s="1">
        <v>8.5387168960000004</v>
      </c>
      <c r="P285" s="1">
        <v>7.7440140690000003</v>
      </c>
      <c r="Q285" s="1">
        <v>7.8086029610000001</v>
      </c>
      <c r="R285" s="1">
        <v>7.8039865410000004</v>
      </c>
      <c r="S285" s="1">
        <v>7.8404611700000002</v>
      </c>
      <c r="T285" s="1">
        <v>7.3550522899999997</v>
      </c>
      <c r="U285" s="1">
        <v>7.5436244439999998</v>
      </c>
      <c r="V285" s="1">
        <v>7.22482136</v>
      </c>
      <c r="W285" s="1">
        <v>7.2975205409999999</v>
      </c>
      <c r="X285" s="1">
        <v>7.1893802659999997</v>
      </c>
      <c r="Y285" s="1">
        <v>7.1185527400000002</v>
      </c>
      <c r="Z285" s="1">
        <v>7.8039865410000004</v>
      </c>
      <c r="AA285" s="1">
        <v>7.8404611700000002</v>
      </c>
      <c r="AB285" s="1">
        <v>7.7812810140000002</v>
      </c>
      <c r="AC285" s="1">
        <v>7.6487774760000002</v>
      </c>
      <c r="AD285" s="1">
        <v>7.7215220310000001</v>
      </c>
      <c r="AE285" s="1">
        <v>7.5229760690000003</v>
      </c>
    </row>
    <row r="286" spans="1:31" x14ac:dyDescent="0.25">
      <c r="A286" s="1" t="s">
        <v>600</v>
      </c>
      <c r="B286" s="1" t="s">
        <v>2631</v>
      </c>
      <c r="C286" s="1" t="s">
        <v>3045</v>
      </c>
      <c r="D286" s="1" t="s">
        <v>3056</v>
      </c>
      <c r="E286" s="1" t="s">
        <v>3057</v>
      </c>
      <c r="F286" s="1" t="s">
        <v>3058</v>
      </c>
      <c r="G286" s="1" t="s">
        <v>600</v>
      </c>
      <c r="H286" s="1">
        <v>8.5519747059999993</v>
      </c>
      <c r="I286" s="1">
        <v>8.2781884750000003</v>
      </c>
      <c r="J286" s="1">
        <v>9.0685007659999997</v>
      </c>
      <c r="K286" s="1">
        <v>8.8464825499999993</v>
      </c>
      <c r="L286" s="1">
        <v>8.5037107550000002</v>
      </c>
      <c r="M286" s="1">
        <v>8.4134403130000006</v>
      </c>
      <c r="N286" s="1">
        <v>8.0575120009999992</v>
      </c>
      <c r="O286" s="1">
        <v>8.3752057640000004</v>
      </c>
      <c r="P286" s="1">
        <v>8.6653666929999993</v>
      </c>
      <c r="Q286" s="1">
        <v>8.6801154999999994</v>
      </c>
      <c r="R286" s="1">
        <v>8.7983038049999998</v>
      </c>
      <c r="S286" s="1">
        <v>8.6194122990000004</v>
      </c>
      <c r="T286" s="1">
        <v>8.5037107550000002</v>
      </c>
      <c r="U286" s="1">
        <v>8.4134403130000006</v>
      </c>
      <c r="V286" s="1">
        <v>8.0921168869999995</v>
      </c>
      <c r="W286" s="1">
        <v>8.2867225609999995</v>
      </c>
      <c r="X286" s="1">
        <v>7.9596119229999998</v>
      </c>
      <c r="Y286" s="1">
        <v>8.0349728900000006</v>
      </c>
      <c r="Z286" s="1">
        <v>8.7983038049999998</v>
      </c>
      <c r="AA286" s="1">
        <v>8.6194122990000004</v>
      </c>
      <c r="AB286" s="1">
        <v>8.7594688210000005</v>
      </c>
      <c r="AC286" s="1">
        <v>8.5724241980000002</v>
      </c>
      <c r="AD286" s="1">
        <v>8.4214667260000002</v>
      </c>
      <c r="AE286" s="1">
        <v>8.2401503900000002</v>
      </c>
    </row>
    <row r="287" spans="1:31" x14ac:dyDescent="0.25">
      <c r="A287" s="1" t="s">
        <v>601</v>
      </c>
      <c r="B287" s="1" t="s">
        <v>2631</v>
      </c>
      <c r="C287" s="1" t="s">
        <v>3045</v>
      </c>
      <c r="D287" s="1" t="s">
        <v>3056</v>
      </c>
      <c r="E287" s="1" t="s">
        <v>3059</v>
      </c>
      <c r="F287" s="1" t="s">
        <v>3060</v>
      </c>
      <c r="G287" s="1" t="s">
        <v>601</v>
      </c>
      <c r="H287" s="1">
        <v>9.0536758509999995</v>
      </c>
      <c r="I287" s="1">
        <v>8.9804711499999996</v>
      </c>
      <c r="J287" s="1">
        <v>8.949232512</v>
      </c>
      <c r="K287" s="1">
        <v>8.6846694850000006</v>
      </c>
      <c r="L287" s="1">
        <v>8.9282295769999998</v>
      </c>
      <c r="M287" s="1">
        <v>8.8994611599999995</v>
      </c>
      <c r="N287" s="1">
        <v>8.7872264799999993</v>
      </c>
      <c r="O287" s="1">
        <v>8.783035194</v>
      </c>
      <c r="P287" s="1">
        <v>8.8073301789999991</v>
      </c>
      <c r="Q287" s="1">
        <v>8.9198387179999994</v>
      </c>
      <c r="R287" s="1">
        <v>8.8969304269999991</v>
      </c>
      <c r="S287" s="1">
        <v>8.7443211590000001</v>
      </c>
      <c r="T287" s="1">
        <v>8.9282295769999998</v>
      </c>
      <c r="U287" s="1">
        <v>8.8994611599999995</v>
      </c>
      <c r="V287" s="1">
        <v>8.2869149029999996</v>
      </c>
      <c r="W287" s="1">
        <v>8.2133003480000006</v>
      </c>
      <c r="X287" s="1">
        <v>8.6356058699999991</v>
      </c>
      <c r="Y287" s="1">
        <v>8.0702343919999997</v>
      </c>
      <c r="Z287" s="1">
        <v>8.8969304269999991</v>
      </c>
      <c r="AA287" s="1">
        <v>8.7443211590000001</v>
      </c>
      <c r="AB287" s="1">
        <v>8.6086916149999997</v>
      </c>
      <c r="AC287" s="1">
        <v>8.6288328669999999</v>
      </c>
      <c r="AD287" s="1">
        <v>8.5737952659999994</v>
      </c>
      <c r="AE287" s="1">
        <v>8.5923143169999996</v>
      </c>
    </row>
    <row r="288" spans="1:31" x14ac:dyDescent="0.25">
      <c r="A288" s="1" t="s">
        <v>602</v>
      </c>
      <c r="B288" s="1" t="s">
        <v>2547</v>
      </c>
      <c r="C288" s="1" t="s">
        <v>3061</v>
      </c>
      <c r="D288" s="1" t="s">
        <v>2535</v>
      </c>
      <c r="E288" s="1" t="s">
        <v>3062</v>
      </c>
      <c r="G288" s="1" t="s">
        <v>602</v>
      </c>
      <c r="H288" s="1">
        <v>13.44496129</v>
      </c>
      <c r="I288" s="1">
        <v>12.710284420000001</v>
      </c>
      <c r="J288" s="1">
        <v>13.0596143</v>
      </c>
      <c r="K288" s="1">
        <v>12.92209385</v>
      </c>
      <c r="L288" s="1">
        <v>12.55203</v>
      </c>
      <c r="M288" s="1">
        <v>12.78063171</v>
      </c>
      <c r="N288" s="1">
        <v>11.88403218</v>
      </c>
      <c r="O288" s="1">
        <v>11.98190885</v>
      </c>
      <c r="P288" s="1">
        <v>13.01619623</v>
      </c>
      <c r="Q288" s="1">
        <v>12.959981839999999</v>
      </c>
      <c r="R288" s="1">
        <v>12.90027819</v>
      </c>
      <c r="S288" s="1">
        <v>12.825927610000001</v>
      </c>
      <c r="T288" s="1">
        <v>12.55203</v>
      </c>
      <c r="U288" s="1">
        <v>12.78063171</v>
      </c>
      <c r="V288" s="1">
        <v>12.7400357</v>
      </c>
      <c r="W288" s="1">
        <v>12.78063867</v>
      </c>
      <c r="X288" s="1">
        <v>12.78655262</v>
      </c>
      <c r="Y288" s="1">
        <v>12.59092467</v>
      </c>
      <c r="Z288" s="1">
        <v>12.90027819</v>
      </c>
      <c r="AA288" s="1">
        <v>12.825927610000001</v>
      </c>
      <c r="AB288" s="1">
        <v>12.66625275</v>
      </c>
      <c r="AC288" s="1">
        <v>12.773906820000001</v>
      </c>
      <c r="AD288" s="1">
        <v>12.642942850000001</v>
      </c>
      <c r="AE288" s="1">
        <v>12.68866796</v>
      </c>
    </row>
    <row r="289" spans="1:31" x14ac:dyDescent="0.25">
      <c r="A289" s="1" t="s">
        <v>603</v>
      </c>
      <c r="B289" s="1" t="s">
        <v>2557</v>
      </c>
      <c r="C289" s="1" t="s">
        <v>3063</v>
      </c>
      <c r="D289" s="1" t="s">
        <v>3064</v>
      </c>
      <c r="E289" s="1" t="s">
        <v>3065</v>
      </c>
      <c r="F289" s="1" t="s">
        <v>3066</v>
      </c>
      <c r="G289" s="1" t="s">
        <v>603</v>
      </c>
      <c r="H289" s="1">
        <v>3.9421380259999999</v>
      </c>
      <c r="I289" s="1">
        <v>4.4542943209999999</v>
      </c>
      <c r="J289" s="1">
        <v>4.6607313550000002</v>
      </c>
      <c r="K289" s="1">
        <v>4.4318297590000002</v>
      </c>
      <c r="L289" s="1">
        <v>5.7251137559999998</v>
      </c>
      <c r="M289" s="1">
        <v>5.7391643339999998</v>
      </c>
      <c r="N289" s="1">
        <v>3.7779028299999999</v>
      </c>
      <c r="O289" s="1">
        <v>3.8071106499999998</v>
      </c>
      <c r="P289" s="1">
        <v>5.0074447400000004</v>
      </c>
      <c r="Q289" s="1">
        <v>5.2000913229999997</v>
      </c>
      <c r="R289" s="1">
        <v>4.8735636449999999</v>
      </c>
      <c r="S289" s="1">
        <v>5.3512993040000003</v>
      </c>
      <c r="T289" s="1">
        <v>5.7251137559999998</v>
      </c>
      <c r="U289" s="1">
        <v>5.7391643339999998</v>
      </c>
      <c r="V289" s="1">
        <v>5.2455869269999997</v>
      </c>
      <c r="W289" s="1">
        <v>5.2774499109999997</v>
      </c>
      <c r="X289" s="1">
        <v>5.5620422200000004</v>
      </c>
      <c r="Y289" s="1">
        <v>5.2792112080000004</v>
      </c>
      <c r="Z289" s="1">
        <v>4.8735636449999999</v>
      </c>
      <c r="AA289" s="1">
        <v>5.3512993040000003</v>
      </c>
      <c r="AB289" s="1">
        <v>5.1073354020000004</v>
      </c>
      <c r="AC289" s="1">
        <v>5.1103036370000003</v>
      </c>
      <c r="AD289" s="1">
        <v>4.95179218</v>
      </c>
      <c r="AE289" s="1">
        <v>5.1494525009999998</v>
      </c>
    </row>
    <row r="290" spans="1:31" x14ac:dyDescent="0.25">
      <c r="A290" s="1" t="s">
        <v>607</v>
      </c>
      <c r="B290" s="1" t="s">
        <v>2525</v>
      </c>
      <c r="C290" s="1" t="s">
        <v>2526</v>
      </c>
      <c r="D290" s="1" t="s">
        <v>3067</v>
      </c>
      <c r="E290" s="1" t="s">
        <v>3068</v>
      </c>
      <c r="F290" s="1" t="s">
        <v>3069</v>
      </c>
      <c r="G290" s="1" t="s">
        <v>607</v>
      </c>
      <c r="H290" s="1">
        <v>6.7837339390000002</v>
      </c>
      <c r="I290" s="1">
        <v>6.8823647440000002</v>
      </c>
      <c r="J290" s="1">
        <v>7.5902739710000002</v>
      </c>
      <c r="K290" s="1">
        <v>7.3522597120000004</v>
      </c>
      <c r="L290" s="1">
        <v>7.6547850799999999</v>
      </c>
      <c r="M290" s="1">
        <v>7.654767359</v>
      </c>
      <c r="N290" s="1">
        <v>7.1765990879999997</v>
      </c>
      <c r="O290" s="1">
        <v>7.6273572339999998</v>
      </c>
      <c r="P290" s="1">
        <v>7.4650907049999997</v>
      </c>
      <c r="Q290" s="1">
        <v>7.6776625599999999</v>
      </c>
      <c r="R290" s="1">
        <v>7.6985307780000003</v>
      </c>
      <c r="S290" s="1">
        <v>7.5537229699999999</v>
      </c>
      <c r="T290" s="1">
        <v>7.6547850799999999</v>
      </c>
      <c r="U290" s="1">
        <v>7.654767359</v>
      </c>
      <c r="V290" s="1">
        <v>7.4531389260000003</v>
      </c>
      <c r="W290" s="1">
        <v>7.4564261309999997</v>
      </c>
      <c r="X290" s="1">
        <v>7.7816987419999997</v>
      </c>
      <c r="Y290" s="1">
        <v>7.3077738649999997</v>
      </c>
      <c r="Z290" s="1">
        <v>7.6985307780000003</v>
      </c>
      <c r="AA290" s="1">
        <v>7.5537229699999999</v>
      </c>
      <c r="AB290" s="1">
        <v>7.5203499220000003</v>
      </c>
      <c r="AC290" s="1">
        <v>7.6948105189999998</v>
      </c>
      <c r="AD290" s="1">
        <v>7.4741128190000001</v>
      </c>
      <c r="AE290" s="1">
        <v>7.4620830199999997</v>
      </c>
    </row>
    <row r="291" spans="1:31" x14ac:dyDescent="0.25">
      <c r="A291" s="1" t="s">
        <v>608</v>
      </c>
      <c r="B291" s="1" t="s">
        <v>2598</v>
      </c>
      <c r="C291" s="1" t="s">
        <v>2795</v>
      </c>
      <c r="D291" s="1" t="s">
        <v>2896</v>
      </c>
      <c r="E291" s="1" t="s">
        <v>3070</v>
      </c>
      <c r="F291" s="1" t="s">
        <v>3071</v>
      </c>
      <c r="G291" s="1" t="s">
        <v>608</v>
      </c>
      <c r="H291" s="1">
        <v>7.7220783649999998</v>
      </c>
      <c r="I291" s="1">
        <v>7.3881350780000004</v>
      </c>
      <c r="J291" s="1">
        <v>6.2905743620000001</v>
      </c>
      <c r="K291" s="1">
        <v>6.363994462</v>
      </c>
      <c r="L291" s="1">
        <v>6.1777105819999996</v>
      </c>
      <c r="M291" s="1">
        <v>6.1108364430000002</v>
      </c>
      <c r="N291" s="1">
        <v>7.2279063370000003</v>
      </c>
      <c r="O291" s="1">
        <v>7.275329245</v>
      </c>
      <c r="P291" s="1">
        <v>5.9651829550000004</v>
      </c>
      <c r="Q291" s="1">
        <v>6.3770715449999997</v>
      </c>
      <c r="R291" s="1">
        <v>6.0678975499999996</v>
      </c>
      <c r="S291" s="1">
        <v>6.478262194</v>
      </c>
      <c r="T291" s="1">
        <v>6.1777105819999996</v>
      </c>
      <c r="U291" s="1">
        <v>6.1108364430000002</v>
      </c>
      <c r="V291" s="1">
        <v>6.8336846429999998</v>
      </c>
      <c r="W291" s="1">
        <v>6.4165513509999998</v>
      </c>
      <c r="X291" s="1">
        <v>6.3552247629999998</v>
      </c>
      <c r="Y291" s="1">
        <v>6.2594192150000003</v>
      </c>
      <c r="Z291" s="1">
        <v>6.0678975499999996</v>
      </c>
      <c r="AA291" s="1">
        <v>6.478262194</v>
      </c>
      <c r="AB291" s="1">
        <v>5.9711898400000001</v>
      </c>
      <c r="AC291" s="1">
        <v>6.0234746389999998</v>
      </c>
      <c r="AD291" s="1">
        <v>6.6638698749999996</v>
      </c>
      <c r="AE291" s="1">
        <v>6.4941297889999996</v>
      </c>
    </row>
    <row r="292" spans="1:31" x14ac:dyDescent="0.25">
      <c r="A292" s="1" t="s">
        <v>609</v>
      </c>
      <c r="B292" s="1" t="s">
        <v>2530</v>
      </c>
      <c r="C292" s="1" t="s">
        <v>2531</v>
      </c>
      <c r="D292" s="1" t="s">
        <v>2535</v>
      </c>
      <c r="E292" s="1" t="s">
        <v>2536</v>
      </c>
      <c r="G292" s="1" t="s">
        <v>609</v>
      </c>
      <c r="H292" s="1">
        <v>9.0278753300000005</v>
      </c>
      <c r="I292" s="1">
        <v>8.5876406870000004</v>
      </c>
      <c r="J292" s="1">
        <v>8.1699928820000007</v>
      </c>
      <c r="K292" s="1">
        <v>8.0565782699999993</v>
      </c>
      <c r="L292" s="1">
        <v>7.5630042419999999</v>
      </c>
      <c r="M292" s="1">
        <v>7.6496646610000001</v>
      </c>
      <c r="N292" s="1">
        <v>7.4494039580000004</v>
      </c>
      <c r="O292" s="1">
        <v>7.5668681449999999</v>
      </c>
      <c r="P292" s="1">
        <v>7.9146536269999999</v>
      </c>
      <c r="Q292" s="1">
        <v>8.2267224520000006</v>
      </c>
      <c r="R292" s="1">
        <v>7.9022531660000004</v>
      </c>
      <c r="S292" s="1">
        <v>7.8901561559999998</v>
      </c>
      <c r="T292" s="1">
        <v>7.5630042419999999</v>
      </c>
      <c r="U292" s="1">
        <v>7.6496646610000001</v>
      </c>
      <c r="V292" s="1">
        <v>7.8969988879999997</v>
      </c>
      <c r="W292" s="1">
        <v>7.9429644140000004</v>
      </c>
      <c r="X292" s="1">
        <v>8.0306077909999996</v>
      </c>
      <c r="Y292" s="1">
        <v>7.9617531079999999</v>
      </c>
      <c r="Z292" s="1">
        <v>7.9022531660000004</v>
      </c>
      <c r="AA292" s="1">
        <v>7.8901561559999998</v>
      </c>
      <c r="AB292" s="1">
        <v>7.9928143399999998</v>
      </c>
      <c r="AC292" s="1">
        <v>7.9999245879999998</v>
      </c>
      <c r="AD292" s="1">
        <v>7.7792910080000004</v>
      </c>
      <c r="AE292" s="1">
        <v>7.8184582740000002</v>
      </c>
    </row>
    <row r="293" spans="1:31" x14ac:dyDescent="0.25">
      <c r="A293" s="1" t="s">
        <v>610</v>
      </c>
      <c r="B293" s="1" t="s">
        <v>2547</v>
      </c>
      <c r="C293" s="1" t="s">
        <v>2548</v>
      </c>
      <c r="D293" s="1" t="s">
        <v>3072</v>
      </c>
      <c r="E293" s="1" t="s">
        <v>3073</v>
      </c>
      <c r="F293" s="1" t="s">
        <v>3074</v>
      </c>
      <c r="G293" s="1" t="s">
        <v>610</v>
      </c>
      <c r="H293" s="1">
        <v>1.7393328349999999</v>
      </c>
      <c r="I293" s="1">
        <v>3.3322126910000001</v>
      </c>
      <c r="J293" s="1">
        <v>2.8907526730000002</v>
      </c>
      <c r="K293" s="1">
        <v>3.22334677</v>
      </c>
      <c r="L293" s="1">
        <v>3.918224124</v>
      </c>
      <c r="M293" s="1">
        <v>3.6044002019999999</v>
      </c>
      <c r="N293" s="1">
        <v>2.628425199</v>
      </c>
      <c r="O293" s="1">
        <v>2.411448644</v>
      </c>
      <c r="P293" s="1">
        <v>3.7419514989999998</v>
      </c>
      <c r="Q293" s="1">
        <v>3.9718447549999998</v>
      </c>
      <c r="R293" s="1">
        <v>4.0808207129999996</v>
      </c>
      <c r="S293" s="1">
        <v>4.3966315629999997</v>
      </c>
      <c r="T293" s="1">
        <v>3.918224124</v>
      </c>
      <c r="U293" s="1">
        <v>3.6044002019999999</v>
      </c>
      <c r="V293" s="1">
        <v>3.3993802240000002</v>
      </c>
      <c r="W293" s="1">
        <v>3.6840067150000002</v>
      </c>
      <c r="X293" s="1">
        <v>3.8119046220000001</v>
      </c>
      <c r="Y293" s="1">
        <v>3.4382968329999999</v>
      </c>
      <c r="Z293" s="1">
        <v>4.0808207129999996</v>
      </c>
      <c r="AA293" s="1">
        <v>4.3966315629999997</v>
      </c>
      <c r="AB293" s="1">
        <v>4.2729702720000002</v>
      </c>
      <c r="AC293" s="1">
        <v>4.6238605430000002</v>
      </c>
      <c r="AD293" s="1">
        <v>3.5727029510000001</v>
      </c>
      <c r="AE293" s="1">
        <v>4.0685293649999998</v>
      </c>
    </row>
    <row r="294" spans="1:31" x14ac:dyDescent="0.25">
      <c r="A294" s="1" t="s">
        <v>612</v>
      </c>
      <c r="B294" s="1" t="s">
        <v>2579</v>
      </c>
      <c r="C294" s="1" t="s">
        <v>2580</v>
      </c>
      <c r="D294" s="1" t="s">
        <v>3075</v>
      </c>
      <c r="E294" s="1" t="s">
        <v>3076</v>
      </c>
      <c r="G294" s="1" t="s">
        <v>612</v>
      </c>
      <c r="H294" s="1">
        <v>5.9144073309999996</v>
      </c>
      <c r="I294" s="1">
        <v>6.3363261639999999</v>
      </c>
      <c r="J294" s="1">
        <v>5.2817155790000001</v>
      </c>
      <c r="K294" s="1">
        <v>5.3612725399999999</v>
      </c>
      <c r="L294" s="1">
        <v>5.128160297</v>
      </c>
      <c r="M294" s="1">
        <v>4.6692867769999999</v>
      </c>
      <c r="N294" s="1">
        <v>6.233348286</v>
      </c>
      <c r="O294" s="1">
        <v>6.2458213499999999</v>
      </c>
      <c r="P294" s="1">
        <v>5.426847231</v>
      </c>
      <c r="Q294" s="1">
        <v>5.2000913229999997</v>
      </c>
      <c r="R294" s="1">
        <v>5.0965654090000001</v>
      </c>
      <c r="S294" s="1">
        <v>4.9261733090000002</v>
      </c>
      <c r="T294" s="1">
        <v>5.128160297</v>
      </c>
      <c r="U294" s="1">
        <v>4.6692867769999999</v>
      </c>
      <c r="V294" s="1">
        <v>4.9527859210000003</v>
      </c>
      <c r="W294" s="1">
        <v>5.1095551629999996</v>
      </c>
      <c r="X294" s="1">
        <v>4.7192629950000002</v>
      </c>
      <c r="Y294" s="1">
        <v>5.1785898169999998</v>
      </c>
      <c r="Z294" s="1">
        <v>5.0965654090000001</v>
      </c>
      <c r="AA294" s="1">
        <v>4.9261733090000002</v>
      </c>
      <c r="AB294" s="1">
        <v>5.3028471579999996</v>
      </c>
      <c r="AC294" s="1">
        <v>4.8053838390000001</v>
      </c>
      <c r="AD294" s="1">
        <v>5.0634297190000002</v>
      </c>
      <c r="AE294" s="1">
        <v>5.3205054189999998</v>
      </c>
    </row>
    <row r="295" spans="1:31" x14ac:dyDescent="0.25">
      <c r="A295" s="1" t="s">
        <v>613</v>
      </c>
      <c r="B295" s="1" t="s">
        <v>2608</v>
      </c>
      <c r="C295" s="1" t="s">
        <v>2700</v>
      </c>
      <c r="D295" s="1" t="s">
        <v>3077</v>
      </c>
      <c r="E295" s="1" t="s">
        <v>3078</v>
      </c>
      <c r="F295" s="1" t="s">
        <v>3079</v>
      </c>
      <c r="G295" s="1" t="s">
        <v>613</v>
      </c>
      <c r="H295" s="1">
        <v>9.0241515809999999</v>
      </c>
      <c r="I295" s="1">
        <v>9.2966676899999996</v>
      </c>
      <c r="J295" s="1">
        <v>8.5043404450000004</v>
      </c>
      <c r="K295" s="1">
        <v>8.4396820389999991</v>
      </c>
      <c r="L295" s="1">
        <v>8.5850687190000006</v>
      </c>
      <c r="M295" s="1">
        <v>8.4867938590000005</v>
      </c>
      <c r="N295" s="1">
        <v>9.0068280529999996</v>
      </c>
      <c r="O295" s="1">
        <v>9.0002445760000001</v>
      </c>
      <c r="P295" s="1">
        <v>8.634435581</v>
      </c>
      <c r="Q295" s="1">
        <v>8.4785538020000004</v>
      </c>
      <c r="R295" s="1">
        <v>8.2510476970000006</v>
      </c>
      <c r="S295" s="1">
        <v>8.387000574</v>
      </c>
      <c r="T295" s="1">
        <v>8.5850687190000006</v>
      </c>
      <c r="U295" s="1">
        <v>8.4867938590000005</v>
      </c>
      <c r="V295" s="1">
        <v>8.8798849910000008</v>
      </c>
      <c r="W295" s="1">
        <v>8.7407657820000004</v>
      </c>
      <c r="X295" s="1">
        <v>8.2840777560000003</v>
      </c>
      <c r="Y295" s="1">
        <v>8.9156096209999998</v>
      </c>
      <c r="Z295" s="1">
        <v>8.2510476970000006</v>
      </c>
      <c r="AA295" s="1">
        <v>8.387000574</v>
      </c>
      <c r="AB295" s="1">
        <v>8.2496069540000008</v>
      </c>
      <c r="AC295" s="1">
        <v>8.3507854899999998</v>
      </c>
      <c r="AD295" s="1">
        <v>8.3415533639999992</v>
      </c>
      <c r="AE295" s="1">
        <v>8.5851951989999993</v>
      </c>
    </row>
    <row r="296" spans="1:31" x14ac:dyDescent="0.25">
      <c r="A296" s="1" t="s">
        <v>615</v>
      </c>
      <c r="B296" s="1" t="s">
        <v>2598</v>
      </c>
      <c r="C296" s="1" t="s">
        <v>2599</v>
      </c>
      <c r="D296" s="1" t="s">
        <v>3080</v>
      </c>
      <c r="E296" s="1" t="s">
        <v>3081</v>
      </c>
      <c r="F296" s="1" t="s">
        <v>3082</v>
      </c>
      <c r="G296" s="1" t="s">
        <v>615</v>
      </c>
      <c r="H296" s="1">
        <v>2.640460343</v>
      </c>
      <c r="I296" s="1">
        <v>3.9003964459999998</v>
      </c>
      <c r="J296" s="1">
        <v>4.4503473070000004</v>
      </c>
      <c r="K296" s="1">
        <v>4.6734567340000002</v>
      </c>
      <c r="L296" s="1">
        <v>4.2516940449999998</v>
      </c>
      <c r="M296" s="1">
        <v>4.896083601</v>
      </c>
      <c r="N296" s="1">
        <v>2.628425199</v>
      </c>
      <c r="O296" s="1">
        <v>3.050193165</v>
      </c>
      <c r="P296" s="1">
        <v>4.6160325330000003</v>
      </c>
      <c r="Q296" s="1">
        <v>4.8155696649999999</v>
      </c>
      <c r="R296" s="1">
        <v>4.1841942410000001</v>
      </c>
      <c r="S296" s="1">
        <v>4.3966315629999997</v>
      </c>
      <c r="T296" s="1">
        <v>4.2516940449999998</v>
      </c>
      <c r="U296" s="1">
        <v>4.896083601</v>
      </c>
      <c r="V296" s="1">
        <v>4.5207607210000003</v>
      </c>
      <c r="W296" s="1">
        <v>4.1128053839999996</v>
      </c>
      <c r="X296" s="1">
        <v>5.0589726410000004</v>
      </c>
      <c r="Y296" s="1">
        <v>4.3509215530000001</v>
      </c>
      <c r="Z296" s="1">
        <v>4.1841942410000001</v>
      </c>
      <c r="AA296" s="1">
        <v>4.3966315629999997</v>
      </c>
      <c r="AB296" s="1">
        <v>4.5063178209999997</v>
      </c>
      <c r="AC296" s="1">
        <v>4.9145215069999999</v>
      </c>
      <c r="AD296" s="1">
        <v>4.2970121150000002</v>
      </c>
      <c r="AE296" s="1">
        <v>4.893979055</v>
      </c>
    </row>
    <row r="297" spans="1:31" x14ac:dyDescent="0.25">
      <c r="A297" s="1" t="s">
        <v>619</v>
      </c>
      <c r="B297" s="1" t="s">
        <v>2667</v>
      </c>
      <c r="C297" s="1" t="s">
        <v>2867</v>
      </c>
      <c r="D297" s="1" t="s">
        <v>2964</v>
      </c>
      <c r="E297" s="1" t="s">
        <v>3083</v>
      </c>
      <c r="F297" s="1" t="s">
        <v>3084</v>
      </c>
      <c r="G297" s="1" t="s">
        <v>619</v>
      </c>
      <c r="H297" s="1">
        <v>6.7480265230000001</v>
      </c>
      <c r="I297" s="1">
        <v>7.0992816530000002</v>
      </c>
      <c r="J297" s="1">
        <v>8.1068542499999996</v>
      </c>
      <c r="K297" s="1">
        <v>8.1958955150000001</v>
      </c>
      <c r="L297" s="1">
        <v>7.5671185830000001</v>
      </c>
      <c r="M297" s="1">
        <v>7.6749994700000004</v>
      </c>
      <c r="N297" s="1">
        <v>6.920010091</v>
      </c>
      <c r="O297" s="1">
        <v>6.9183032080000002</v>
      </c>
      <c r="P297" s="1">
        <v>7.669671846</v>
      </c>
      <c r="Q297" s="1">
        <v>7.5802066870000004</v>
      </c>
      <c r="R297" s="1">
        <v>7.9167939819999997</v>
      </c>
      <c r="S297" s="1">
        <v>7.6475370180000004</v>
      </c>
      <c r="T297" s="1">
        <v>7.5671185830000001</v>
      </c>
      <c r="U297" s="1">
        <v>7.6749994700000004</v>
      </c>
      <c r="V297" s="1">
        <v>7.6572584570000002</v>
      </c>
      <c r="W297" s="1">
        <v>7.6099845820000001</v>
      </c>
      <c r="X297" s="1">
        <v>7.3423720299999999</v>
      </c>
      <c r="Y297" s="1">
        <v>7.4855012470000002</v>
      </c>
      <c r="Z297" s="1">
        <v>7.9167939819999997</v>
      </c>
      <c r="AA297" s="1">
        <v>7.6475370180000004</v>
      </c>
      <c r="AB297" s="1">
        <v>7.2493787579999998</v>
      </c>
      <c r="AC297" s="1">
        <v>7.5183138569999999</v>
      </c>
      <c r="AD297" s="1">
        <v>7.3045800959999996</v>
      </c>
      <c r="AE297" s="1">
        <v>7.1952338439999997</v>
      </c>
    </row>
    <row r="298" spans="1:31" x14ac:dyDescent="0.25">
      <c r="A298" s="1" t="s">
        <v>620</v>
      </c>
      <c r="B298" s="1" t="s">
        <v>2539</v>
      </c>
      <c r="C298" s="1" t="s">
        <v>2606</v>
      </c>
      <c r="D298" s="1" t="s">
        <v>3085</v>
      </c>
      <c r="E298" s="1" t="s">
        <v>3086</v>
      </c>
      <c r="F298" s="1" t="s">
        <v>3087</v>
      </c>
      <c r="G298" s="1" t="s">
        <v>620</v>
      </c>
      <c r="H298" s="1">
        <v>7.0115982959999998</v>
      </c>
      <c r="I298" s="1">
        <v>6.8404490640000004</v>
      </c>
      <c r="J298" s="1">
        <v>8.1699928820000007</v>
      </c>
      <c r="K298" s="1">
        <v>8.1509352659999994</v>
      </c>
      <c r="L298" s="1">
        <v>7.6470320359999997</v>
      </c>
      <c r="M298" s="1">
        <v>7.6342473159999997</v>
      </c>
      <c r="N298" s="1">
        <v>6.6075890509999997</v>
      </c>
      <c r="O298" s="1">
        <v>6.7893960399999997</v>
      </c>
      <c r="P298" s="1">
        <v>7.5832093260000004</v>
      </c>
      <c r="Q298" s="1">
        <v>7.394604395</v>
      </c>
      <c r="R298" s="1">
        <v>8.0480767400000008</v>
      </c>
      <c r="S298" s="1">
        <v>7.6557704830000004</v>
      </c>
      <c r="T298" s="1">
        <v>7.6470320359999997</v>
      </c>
      <c r="U298" s="1">
        <v>7.6342473159999997</v>
      </c>
      <c r="V298" s="1">
        <v>7.3781289599999997</v>
      </c>
      <c r="W298" s="1">
        <v>7.2040983350000003</v>
      </c>
      <c r="X298" s="1">
        <v>7.5499882810000001</v>
      </c>
      <c r="Y298" s="1">
        <v>7.0775333739999997</v>
      </c>
      <c r="Z298" s="1">
        <v>8.0480767400000008</v>
      </c>
      <c r="AA298" s="1">
        <v>7.6557704830000004</v>
      </c>
      <c r="AB298" s="1">
        <v>7.2176516849999999</v>
      </c>
      <c r="AC298" s="1">
        <v>7.7826894729999996</v>
      </c>
      <c r="AD298" s="1">
        <v>7.5893407120000003</v>
      </c>
      <c r="AE298" s="1">
        <v>7.2800116470000003</v>
      </c>
    </row>
    <row r="299" spans="1:31" x14ac:dyDescent="0.25">
      <c r="A299" s="1" t="s">
        <v>625</v>
      </c>
      <c r="B299" s="1" t="s">
        <v>2542</v>
      </c>
      <c r="C299" s="1" t="s">
        <v>2531</v>
      </c>
      <c r="D299" s="1" t="s">
        <v>2613</v>
      </c>
      <c r="E299" s="1" t="s">
        <v>3088</v>
      </c>
      <c r="F299" s="1" t="s">
        <v>3089</v>
      </c>
      <c r="G299" s="1" t="s">
        <v>625</v>
      </c>
      <c r="H299" s="1">
        <v>6.0961014899999997</v>
      </c>
      <c r="I299" s="1">
        <v>6.0475452040000004</v>
      </c>
      <c r="J299" s="1">
        <v>7.8989393889999997</v>
      </c>
      <c r="K299" s="1">
        <v>7.4615295330000002</v>
      </c>
      <c r="L299" s="1">
        <v>8.1199773149999999</v>
      </c>
      <c r="M299" s="1">
        <v>8.2031818879999996</v>
      </c>
      <c r="N299" s="1">
        <v>6.3768118319999996</v>
      </c>
      <c r="O299" s="1">
        <v>6.3144287889999999</v>
      </c>
      <c r="P299" s="1">
        <v>7.5169022410000004</v>
      </c>
      <c r="Q299" s="1">
        <v>8.0327622860000005</v>
      </c>
      <c r="R299" s="1">
        <v>8.1744629329999992</v>
      </c>
      <c r="S299" s="1">
        <v>7.854835338</v>
      </c>
      <c r="T299" s="1">
        <v>8.1199773149999999</v>
      </c>
      <c r="U299" s="1">
        <v>8.2031818879999996</v>
      </c>
      <c r="V299" s="1">
        <v>7.2990005719999997</v>
      </c>
      <c r="W299" s="1">
        <v>7.1041979590000004</v>
      </c>
      <c r="X299" s="1">
        <v>7.8021351540000001</v>
      </c>
      <c r="Y299" s="1">
        <v>7.0209587190000002</v>
      </c>
      <c r="Z299" s="1">
        <v>8.1744629329999992</v>
      </c>
      <c r="AA299" s="1">
        <v>7.854835338</v>
      </c>
      <c r="AB299" s="1">
        <v>7.632857145</v>
      </c>
      <c r="AC299" s="1">
        <v>7.9246616259999998</v>
      </c>
      <c r="AD299" s="1">
        <v>7.2588873100000004</v>
      </c>
      <c r="AE299" s="1">
        <v>7.0850981089999996</v>
      </c>
    </row>
    <row r="300" spans="1:31" x14ac:dyDescent="0.25">
      <c r="A300" s="1" t="s">
        <v>628</v>
      </c>
      <c r="B300" s="1" t="s">
        <v>2530</v>
      </c>
      <c r="C300" s="1" t="s">
        <v>2531</v>
      </c>
      <c r="D300" s="1" t="s">
        <v>2535</v>
      </c>
      <c r="E300" s="1" t="s">
        <v>3090</v>
      </c>
      <c r="F300" s="1" t="s">
        <v>3091</v>
      </c>
      <c r="G300" s="1" t="s">
        <v>628</v>
      </c>
      <c r="H300" s="1">
        <v>6.2825651889999996</v>
      </c>
      <c r="I300" s="1">
        <v>6.0719413549999999</v>
      </c>
      <c r="J300" s="1">
        <v>6.5196869069999996</v>
      </c>
      <c r="K300" s="1">
        <v>6.4932884399999997</v>
      </c>
      <c r="L300" s="1">
        <v>6.3114621260000003</v>
      </c>
      <c r="M300" s="1">
        <v>6.140298574</v>
      </c>
      <c r="N300" s="1">
        <v>6.5176065699999999</v>
      </c>
      <c r="O300" s="1">
        <v>6.6046537970000001</v>
      </c>
      <c r="P300" s="1">
        <v>6.1950446890000004</v>
      </c>
      <c r="Q300" s="1">
        <v>6.0189773029999998</v>
      </c>
      <c r="R300" s="1">
        <v>6.3297979870000001</v>
      </c>
      <c r="S300" s="1">
        <v>6.3821686289999997</v>
      </c>
      <c r="T300" s="1">
        <v>6.3114621260000003</v>
      </c>
      <c r="U300" s="1">
        <v>6.140298574</v>
      </c>
      <c r="V300" s="1">
        <v>6.4977915140000002</v>
      </c>
      <c r="W300" s="1">
        <v>6.463427716</v>
      </c>
      <c r="X300" s="1">
        <v>6.1275895519999999</v>
      </c>
      <c r="Y300" s="1">
        <v>6.421343255</v>
      </c>
      <c r="Z300" s="1">
        <v>6.3297979870000001</v>
      </c>
      <c r="AA300" s="1">
        <v>6.3821686289999997</v>
      </c>
      <c r="AB300" s="1">
        <v>6.5063200270000001</v>
      </c>
      <c r="AC300" s="1">
        <v>6.1830263060000004</v>
      </c>
      <c r="AD300" s="1">
        <v>6.1407817189999996</v>
      </c>
      <c r="AE300" s="1">
        <v>6.5537692129999998</v>
      </c>
    </row>
    <row r="301" spans="1:31" x14ac:dyDescent="0.25">
      <c r="A301" s="1" t="s">
        <v>629</v>
      </c>
      <c r="B301" s="1" t="s">
        <v>2520</v>
      </c>
      <c r="C301" s="1" t="s">
        <v>2743</v>
      </c>
      <c r="D301" s="1" t="s">
        <v>2744</v>
      </c>
      <c r="E301" s="1" t="s">
        <v>3092</v>
      </c>
      <c r="F301" s="1" t="s">
        <v>3093</v>
      </c>
      <c r="G301" s="1" t="s">
        <v>629</v>
      </c>
      <c r="H301" s="1">
        <v>9.8833924690000003</v>
      </c>
      <c r="I301" s="1">
        <v>9.5187262090000004</v>
      </c>
      <c r="J301" s="1">
        <v>9.6585492540000004</v>
      </c>
      <c r="K301" s="1">
        <v>9.7177132319999995</v>
      </c>
      <c r="L301" s="1">
        <v>9.4251246440000003</v>
      </c>
      <c r="M301" s="1">
        <v>9.4748409860000002</v>
      </c>
      <c r="N301" s="1">
        <v>9.2417124630000007</v>
      </c>
      <c r="O301" s="1">
        <v>9.5754726970000004</v>
      </c>
      <c r="P301" s="1">
        <v>9.3804987099999995</v>
      </c>
      <c r="Q301" s="1">
        <v>9.5633811990000002</v>
      </c>
      <c r="R301" s="1">
        <v>9.6829439789999991</v>
      </c>
      <c r="S301" s="1">
        <v>9.5814960179999993</v>
      </c>
      <c r="T301" s="1">
        <v>9.4251246440000003</v>
      </c>
      <c r="U301" s="1">
        <v>9.4748409860000002</v>
      </c>
      <c r="V301" s="1">
        <v>9.4180625249999999</v>
      </c>
      <c r="W301" s="1">
        <v>9.3605970670000005</v>
      </c>
      <c r="X301" s="1">
        <v>9.5286179450000006</v>
      </c>
      <c r="Y301" s="1">
        <v>9.6098972360000001</v>
      </c>
      <c r="Z301" s="1">
        <v>9.6829439789999991</v>
      </c>
      <c r="AA301" s="1">
        <v>9.5814960179999993</v>
      </c>
      <c r="AB301" s="1">
        <v>9.366268861</v>
      </c>
      <c r="AC301" s="1">
        <v>9.5177426670000003</v>
      </c>
      <c r="AD301" s="1">
        <v>9.5868241229999995</v>
      </c>
      <c r="AE301" s="1">
        <v>9.6474908589999995</v>
      </c>
    </row>
    <row r="302" spans="1:31" x14ac:dyDescent="0.25">
      <c r="A302" s="1" t="s">
        <v>630</v>
      </c>
      <c r="B302" s="1" t="s">
        <v>2530</v>
      </c>
      <c r="C302" s="1" t="s">
        <v>2531</v>
      </c>
      <c r="D302" s="1" t="s">
        <v>2535</v>
      </c>
      <c r="E302" s="1" t="s">
        <v>2621</v>
      </c>
      <c r="G302" s="1" t="s">
        <v>630</v>
      </c>
      <c r="H302" s="1">
        <v>8.6518826799999999</v>
      </c>
      <c r="I302" s="1">
        <v>8.3396168799999995</v>
      </c>
      <c r="J302" s="1">
        <v>9.1447708009999999</v>
      </c>
      <c r="K302" s="1">
        <v>9.2753871070000002</v>
      </c>
      <c r="L302" s="1">
        <v>8.3664752789999994</v>
      </c>
      <c r="M302" s="1">
        <v>8.7261253730000004</v>
      </c>
      <c r="N302" s="1">
        <v>8.3104181399999995</v>
      </c>
      <c r="O302" s="1">
        <v>8.5529596849999994</v>
      </c>
      <c r="P302" s="1">
        <v>8.7435395650000007</v>
      </c>
      <c r="Q302" s="1">
        <v>8.864479244</v>
      </c>
      <c r="R302" s="1">
        <v>9.2696674160000008</v>
      </c>
      <c r="S302" s="1">
        <v>9.2200313020000007</v>
      </c>
      <c r="T302" s="1">
        <v>8.3664752789999994</v>
      </c>
      <c r="U302" s="1">
        <v>8.7261253730000004</v>
      </c>
      <c r="V302" s="1">
        <v>8.8798849910000008</v>
      </c>
      <c r="W302" s="1">
        <v>8.8592707350000008</v>
      </c>
      <c r="X302" s="1">
        <v>8.7888487739999999</v>
      </c>
      <c r="Y302" s="1">
        <v>8.8235618840000001</v>
      </c>
      <c r="Z302" s="1">
        <v>9.2696674160000008</v>
      </c>
      <c r="AA302" s="1">
        <v>9.2200313020000007</v>
      </c>
      <c r="AB302" s="1">
        <v>9.0791824309999996</v>
      </c>
      <c r="AC302" s="1">
        <v>8.9498814440000007</v>
      </c>
      <c r="AD302" s="1">
        <v>9.0023152369999995</v>
      </c>
      <c r="AE302" s="1">
        <v>8.7702498650000003</v>
      </c>
    </row>
    <row r="303" spans="1:31" x14ac:dyDescent="0.25">
      <c r="A303" s="1" t="s">
        <v>633</v>
      </c>
      <c r="B303" s="1" t="s">
        <v>2642</v>
      </c>
      <c r="C303" s="1" t="s">
        <v>2643</v>
      </c>
      <c r="D303" s="1" t="s">
        <v>2687</v>
      </c>
      <c r="E303" s="1" t="s">
        <v>3094</v>
      </c>
      <c r="F303" s="1" t="s">
        <v>3095</v>
      </c>
      <c r="G303" s="1" t="s">
        <v>633</v>
      </c>
      <c r="H303" s="1">
        <v>3.8023684370000002</v>
      </c>
      <c r="I303" s="1">
        <v>3.9003964459999998</v>
      </c>
      <c r="J303" s="1">
        <v>2.8907526730000002</v>
      </c>
      <c r="K303" s="1">
        <v>2.9677134359999999</v>
      </c>
      <c r="L303" s="1">
        <v>2.9964092330000001</v>
      </c>
      <c r="M303" s="1">
        <v>2.8639998100000001</v>
      </c>
      <c r="N303" s="1">
        <v>3.7779028299999999</v>
      </c>
      <c r="O303" s="1">
        <v>3.434496577</v>
      </c>
      <c r="P303" s="1">
        <v>3.466113682</v>
      </c>
      <c r="Q303" s="1">
        <v>2.597100669</v>
      </c>
      <c r="R303" s="1">
        <v>2.9339002829999998</v>
      </c>
      <c r="S303" s="1">
        <v>3.3463386960000001</v>
      </c>
      <c r="T303" s="1">
        <v>2.9964092330000001</v>
      </c>
      <c r="U303" s="1">
        <v>2.8639998100000001</v>
      </c>
      <c r="V303" s="1">
        <v>2.8225047829999999</v>
      </c>
      <c r="W303" s="1">
        <v>3.2870366010000001</v>
      </c>
      <c r="X303" s="1">
        <v>2.6106888979999998</v>
      </c>
      <c r="Y303" s="1">
        <v>3.229986142</v>
      </c>
      <c r="Z303" s="1">
        <v>2.9339002829999998</v>
      </c>
      <c r="AA303" s="1">
        <v>3.3463386960000001</v>
      </c>
      <c r="AB303" s="1">
        <v>3.6315729079999999</v>
      </c>
      <c r="AC303" s="1">
        <v>3.1109927919999998</v>
      </c>
      <c r="AD303" s="1">
        <v>3.1944880649999998</v>
      </c>
      <c r="AE303" s="1">
        <v>3.8196998459999998</v>
      </c>
    </row>
    <row r="304" spans="1:31" x14ac:dyDescent="0.25">
      <c r="A304" s="1" t="s">
        <v>635</v>
      </c>
      <c r="B304" s="1" t="s">
        <v>2530</v>
      </c>
      <c r="C304" s="1" t="s">
        <v>2531</v>
      </c>
      <c r="D304" s="1" t="s">
        <v>2535</v>
      </c>
      <c r="E304" s="1" t="s">
        <v>2536</v>
      </c>
      <c r="G304" s="1" t="s">
        <v>635</v>
      </c>
      <c r="H304" s="1">
        <v>10.149182830000001</v>
      </c>
      <c r="I304" s="1">
        <v>11.117027820000001</v>
      </c>
      <c r="J304" s="1">
        <v>9.6941276510000005</v>
      </c>
      <c r="K304" s="1">
        <v>10.51321093</v>
      </c>
      <c r="L304" s="1">
        <v>8.1613796300000008</v>
      </c>
      <c r="M304" s="1">
        <v>8.4224422529999998</v>
      </c>
      <c r="N304" s="1">
        <v>10.95712651</v>
      </c>
      <c r="O304" s="1">
        <v>11.18073296</v>
      </c>
      <c r="P304" s="1">
        <v>8.8142469830000003</v>
      </c>
      <c r="Q304" s="1">
        <v>9.0968035490000005</v>
      </c>
      <c r="R304" s="1">
        <v>8.7134076460000003</v>
      </c>
      <c r="S304" s="1">
        <v>8.962418285</v>
      </c>
      <c r="T304" s="1">
        <v>8.1613796300000008</v>
      </c>
      <c r="U304" s="1">
        <v>8.4224422529999998</v>
      </c>
      <c r="V304" s="1">
        <v>9.6553092500000002</v>
      </c>
      <c r="W304" s="1">
        <v>9.7390708939999993</v>
      </c>
      <c r="X304" s="1">
        <v>9.2314846579999994</v>
      </c>
      <c r="Y304" s="1">
        <v>10.12772979</v>
      </c>
      <c r="Z304" s="1">
        <v>8.7134076460000003</v>
      </c>
      <c r="AA304" s="1">
        <v>8.962418285</v>
      </c>
      <c r="AB304" s="1">
        <v>9.7288235220000008</v>
      </c>
      <c r="AC304" s="1">
        <v>9.0268649740000004</v>
      </c>
      <c r="AD304" s="1">
        <v>9.8404314599999996</v>
      </c>
      <c r="AE304" s="1">
        <v>9.8352145629999992</v>
      </c>
    </row>
    <row r="305" spans="1:31" x14ac:dyDescent="0.25">
      <c r="A305" s="1" t="s">
        <v>636</v>
      </c>
      <c r="B305" s="1" t="s">
        <v>2530</v>
      </c>
      <c r="C305" s="1" t="s">
        <v>2573</v>
      </c>
      <c r="D305" s="1" t="s">
        <v>2535</v>
      </c>
      <c r="E305" s="1" t="s">
        <v>3096</v>
      </c>
      <c r="G305" s="1" t="s">
        <v>636</v>
      </c>
      <c r="H305" s="1">
        <v>2.9945681560000001</v>
      </c>
      <c r="I305" s="1">
        <v>3.6484415459999999</v>
      </c>
      <c r="J305" s="1">
        <v>4.8434621079999998</v>
      </c>
      <c r="K305" s="1">
        <v>4.5974987220000001</v>
      </c>
      <c r="L305" s="1">
        <v>4.7429188570000003</v>
      </c>
      <c r="M305" s="1">
        <v>4.9970812499999999</v>
      </c>
      <c r="N305" s="1">
        <v>4.4945275240000004</v>
      </c>
      <c r="O305" s="1">
        <v>4.0289865369999998</v>
      </c>
      <c r="P305" s="1">
        <v>4.9577743410000004</v>
      </c>
      <c r="Q305" s="1">
        <v>4.611970812</v>
      </c>
      <c r="R305" s="1">
        <v>4.0808207129999996</v>
      </c>
      <c r="S305" s="1">
        <v>4.6864044680000001</v>
      </c>
      <c r="T305" s="1">
        <v>4.7429188570000003</v>
      </c>
      <c r="U305" s="1">
        <v>4.9970812499999999</v>
      </c>
      <c r="V305" s="1">
        <v>4.2408545169999998</v>
      </c>
      <c r="W305" s="1">
        <v>4.5296290450000001</v>
      </c>
      <c r="X305" s="1">
        <v>5.0312607360000001</v>
      </c>
      <c r="Y305" s="1">
        <v>4.6842287809999998</v>
      </c>
      <c r="Z305" s="1">
        <v>4.0808207129999996</v>
      </c>
      <c r="AA305" s="1">
        <v>4.6864044680000001</v>
      </c>
      <c r="AB305" s="1">
        <v>4.2729702720000002</v>
      </c>
      <c r="AC305" s="1">
        <v>4.8053838390000001</v>
      </c>
      <c r="AD305" s="1">
        <v>4.4715299570000004</v>
      </c>
      <c r="AE305" s="1">
        <v>4.6572481659999996</v>
      </c>
    </row>
    <row r="306" spans="1:31" x14ac:dyDescent="0.25">
      <c r="A306" s="1" t="s">
        <v>643</v>
      </c>
      <c r="B306" s="1" t="s">
        <v>2520</v>
      </c>
      <c r="C306" s="1" t="s">
        <v>2646</v>
      </c>
      <c r="D306" s="1" t="s">
        <v>2535</v>
      </c>
      <c r="E306" s="1" t="s">
        <v>3097</v>
      </c>
      <c r="F306" s="1" t="s">
        <v>3098</v>
      </c>
      <c r="G306" s="1" t="s">
        <v>643</v>
      </c>
      <c r="H306" s="1">
        <v>11.4260164</v>
      </c>
      <c r="I306" s="1">
        <v>10.940778330000001</v>
      </c>
      <c r="J306" s="1">
        <v>10.047367550000001</v>
      </c>
      <c r="K306" s="1">
        <v>10.027622559999999</v>
      </c>
      <c r="L306" s="1">
        <v>9.1745681129999994</v>
      </c>
      <c r="M306" s="1">
        <v>9.3978270560000006</v>
      </c>
      <c r="N306" s="1">
        <v>10.23533391</v>
      </c>
      <c r="O306" s="1">
        <v>10.615363350000001</v>
      </c>
      <c r="P306" s="1">
        <v>9.7683844929999992</v>
      </c>
      <c r="Q306" s="1">
        <v>9.7275078070000003</v>
      </c>
      <c r="R306" s="1">
        <v>10.05070607</v>
      </c>
      <c r="S306" s="1">
        <v>9.7505094190000001</v>
      </c>
      <c r="T306" s="1">
        <v>9.1745681129999994</v>
      </c>
      <c r="U306" s="1">
        <v>9.3978270560000006</v>
      </c>
      <c r="V306" s="1">
        <v>8.8829017690000001</v>
      </c>
      <c r="W306" s="1">
        <v>8.6626848669999994</v>
      </c>
      <c r="X306" s="1">
        <v>8.9067558089999999</v>
      </c>
      <c r="Y306" s="1">
        <v>8.5713178069999998</v>
      </c>
      <c r="Z306" s="1">
        <v>10.05070607</v>
      </c>
      <c r="AA306" s="1">
        <v>9.7505094190000001</v>
      </c>
      <c r="AB306" s="1">
        <v>9.0703318480000004</v>
      </c>
      <c r="AC306" s="1">
        <v>9.1937474889999997</v>
      </c>
      <c r="AD306" s="1">
        <v>8.535998266</v>
      </c>
      <c r="AE306" s="1">
        <v>8.8790370119999995</v>
      </c>
    </row>
    <row r="307" spans="1:31" x14ac:dyDescent="0.25">
      <c r="A307" s="1" t="s">
        <v>645</v>
      </c>
      <c r="B307" s="1" t="s">
        <v>2530</v>
      </c>
      <c r="C307" s="1" t="s">
        <v>2531</v>
      </c>
      <c r="D307" s="1" t="s">
        <v>2535</v>
      </c>
      <c r="E307" s="1" t="s">
        <v>2536</v>
      </c>
      <c r="G307" s="1" t="s">
        <v>645</v>
      </c>
      <c r="H307" s="1">
        <v>8.7453169299999995</v>
      </c>
      <c r="I307" s="1">
        <v>8.319430036</v>
      </c>
      <c r="J307" s="1">
        <v>7.871572381</v>
      </c>
      <c r="K307" s="1">
        <v>7.7470007369999996</v>
      </c>
      <c r="L307" s="1">
        <v>7.5041355579999998</v>
      </c>
      <c r="M307" s="1">
        <v>7.3990671810000004</v>
      </c>
      <c r="N307" s="1">
        <v>7.9004081189999997</v>
      </c>
      <c r="O307" s="1">
        <v>8.0532357070000007</v>
      </c>
      <c r="P307" s="1">
        <v>7.9464858329999997</v>
      </c>
      <c r="Q307" s="1">
        <v>7.7769655880000004</v>
      </c>
      <c r="R307" s="1">
        <v>8.1438894400000006</v>
      </c>
      <c r="S307" s="1">
        <v>8.1511593209999997</v>
      </c>
      <c r="T307" s="1">
        <v>7.5041355579999998</v>
      </c>
      <c r="U307" s="1">
        <v>7.3990671810000004</v>
      </c>
      <c r="V307" s="1">
        <v>7.5700847749999998</v>
      </c>
      <c r="W307" s="1">
        <v>7.5461654500000002</v>
      </c>
      <c r="X307" s="1">
        <v>8.0715861160000006</v>
      </c>
      <c r="Y307" s="1">
        <v>7.8031189599999999</v>
      </c>
      <c r="Z307" s="1">
        <v>8.1438894400000006</v>
      </c>
      <c r="AA307" s="1">
        <v>8.1511593209999997</v>
      </c>
      <c r="AB307" s="1">
        <v>7.8449502390000001</v>
      </c>
      <c r="AC307" s="1">
        <v>7.9182087560000003</v>
      </c>
      <c r="AD307" s="1">
        <v>8.0445527709999993</v>
      </c>
      <c r="AE307" s="1">
        <v>8.0839179039999998</v>
      </c>
    </row>
    <row r="308" spans="1:31" x14ac:dyDescent="0.25">
      <c r="A308" s="1" t="s">
        <v>646</v>
      </c>
      <c r="B308" s="1" t="s">
        <v>3099</v>
      </c>
      <c r="C308" s="1" t="s">
        <v>3100</v>
      </c>
      <c r="D308" s="1" t="s">
        <v>3101</v>
      </c>
      <c r="E308" s="1" t="s">
        <v>3102</v>
      </c>
      <c r="F308" s="1" t="s">
        <v>3103</v>
      </c>
      <c r="G308" s="1" t="s">
        <v>646</v>
      </c>
      <c r="H308" s="1">
        <v>9.206068578</v>
      </c>
      <c r="I308" s="1">
        <v>8.8737769219999993</v>
      </c>
      <c r="J308" s="1">
        <v>8.1978032990000003</v>
      </c>
      <c r="K308" s="1">
        <v>8.2022055090000006</v>
      </c>
      <c r="L308" s="1">
        <v>8.2484857389999995</v>
      </c>
      <c r="M308" s="1">
        <v>8.1750500959999997</v>
      </c>
      <c r="N308" s="1">
        <v>8.7261163620000008</v>
      </c>
      <c r="O308" s="1">
        <v>8.8923677829999992</v>
      </c>
      <c r="P308" s="1">
        <v>8.2517871189999994</v>
      </c>
      <c r="Q308" s="1">
        <v>8.1547020969999995</v>
      </c>
      <c r="R308" s="1">
        <v>8.2510476970000006</v>
      </c>
      <c r="S308" s="1">
        <v>8.3366855209999997</v>
      </c>
      <c r="T308" s="1">
        <v>8.2484857389999995</v>
      </c>
      <c r="U308" s="1">
        <v>8.1750500959999997</v>
      </c>
      <c r="V308" s="1">
        <v>7.4852636300000004</v>
      </c>
      <c r="W308" s="1">
        <v>7.3357764689999998</v>
      </c>
      <c r="X308" s="1">
        <v>8.3714504719999994</v>
      </c>
      <c r="Y308" s="1">
        <v>7.6343087260000004</v>
      </c>
      <c r="Z308" s="1">
        <v>8.2510476970000006</v>
      </c>
      <c r="AA308" s="1">
        <v>8.3366855209999997</v>
      </c>
      <c r="AB308" s="1">
        <v>7.6086032499999998</v>
      </c>
      <c r="AC308" s="1">
        <v>8.220495927</v>
      </c>
      <c r="AD308" s="1">
        <v>8.1915959130000005</v>
      </c>
      <c r="AE308" s="1">
        <v>7.9162673119999996</v>
      </c>
    </row>
    <row r="309" spans="1:31" x14ac:dyDescent="0.25">
      <c r="A309" s="1" t="s">
        <v>647</v>
      </c>
      <c r="B309" s="1" t="s">
        <v>2530</v>
      </c>
      <c r="C309" s="1" t="s">
        <v>2531</v>
      </c>
      <c r="D309" s="1" t="s">
        <v>2535</v>
      </c>
      <c r="E309" s="1" t="s">
        <v>2536</v>
      </c>
      <c r="G309" s="1" t="s">
        <v>647</v>
      </c>
      <c r="H309" s="1">
        <v>5.4626831620000003</v>
      </c>
      <c r="I309" s="1">
        <v>4.5280931029999998</v>
      </c>
      <c r="J309" s="1">
        <v>4.0065844400000001</v>
      </c>
      <c r="K309" s="1">
        <v>4.5974987220000001</v>
      </c>
      <c r="L309" s="1">
        <v>3.3884746630000002</v>
      </c>
      <c r="M309" s="1">
        <v>3.027864058</v>
      </c>
      <c r="N309" s="1">
        <v>4.9627953409999996</v>
      </c>
      <c r="O309" s="1">
        <v>5.0724039640000003</v>
      </c>
      <c r="P309" s="1">
        <v>4.2485661720000003</v>
      </c>
      <c r="Q309" s="1">
        <v>4.4575363990000003</v>
      </c>
      <c r="R309" s="1">
        <v>3.5594063970000001</v>
      </c>
      <c r="S309" s="1">
        <v>3.7977317990000001</v>
      </c>
      <c r="T309" s="1">
        <v>3.3884746630000002</v>
      </c>
      <c r="U309" s="1">
        <v>3.027864058</v>
      </c>
      <c r="V309" s="1">
        <v>3.887436229</v>
      </c>
      <c r="W309" s="1">
        <v>4.1128053839999996</v>
      </c>
      <c r="X309" s="1">
        <v>3.6673381269999998</v>
      </c>
      <c r="Y309" s="1">
        <v>4.4420910779999998</v>
      </c>
      <c r="Z309" s="1">
        <v>3.5594063970000001</v>
      </c>
      <c r="AA309" s="1">
        <v>3.7977317990000001</v>
      </c>
      <c r="AB309" s="1">
        <v>3.6315729079999999</v>
      </c>
      <c r="AC309" s="1">
        <v>4.415017905</v>
      </c>
      <c r="AD309" s="1">
        <v>4.0967699450000001</v>
      </c>
      <c r="AE309" s="1">
        <v>4.0685293649999998</v>
      </c>
    </row>
    <row r="310" spans="1:31" x14ac:dyDescent="0.25">
      <c r="A310" s="1" t="s">
        <v>649</v>
      </c>
      <c r="B310" s="1" t="s">
        <v>2530</v>
      </c>
      <c r="C310" s="1" t="s">
        <v>2531</v>
      </c>
      <c r="D310" s="1" t="s">
        <v>2535</v>
      </c>
      <c r="E310" s="1" t="s">
        <v>3104</v>
      </c>
      <c r="G310" s="1" t="s">
        <v>649</v>
      </c>
      <c r="H310" s="1">
        <v>3.6455184960000002</v>
      </c>
      <c r="I310" s="1">
        <v>3.5006354609999999</v>
      </c>
      <c r="J310" s="1">
        <v>1.7393328349999999</v>
      </c>
      <c r="K310" s="1">
        <v>3.4309024589999999</v>
      </c>
      <c r="L310" s="1">
        <v>3.6142294740000001</v>
      </c>
      <c r="M310" s="1">
        <v>2.665084539</v>
      </c>
      <c r="N310" s="1">
        <v>3.9164981490000002</v>
      </c>
      <c r="O310" s="1">
        <v>3.8071106499999998</v>
      </c>
      <c r="P310" s="1">
        <v>3.6116823170000001</v>
      </c>
      <c r="Q310" s="1">
        <v>1.7393328349999999</v>
      </c>
      <c r="R310" s="1">
        <v>2.595728008</v>
      </c>
      <c r="S310" s="1">
        <v>1.7393328349999999</v>
      </c>
      <c r="T310" s="1">
        <v>3.6142294740000001</v>
      </c>
      <c r="U310" s="1">
        <v>2.665084539</v>
      </c>
      <c r="V310" s="1">
        <v>2.5140266200000001</v>
      </c>
      <c r="W310" s="1">
        <v>2.6606351240000001</v>
      </c>
      <c r="X310" s="1">
        <v>3.4131791489999999</v>
      </c>
      <c r="Y310" s="1">
        <v>2.624795792</v>
      </c>
      <c r="Z310" s="1">
        <v>2.595728008</v>
      </c>
      <c r="AA310" s="1">
        <v>1.7393328349999999</v>
      </c>
      <c r="AB310" s="1">
        <v>1.7393328349999999</v>
      </c>
      <c r="AC310" s="1">
        <v>3.1109927919999998</v>
      </c>
      <c r="AD310" s="1">
        <v>3.1944880649999998</v>
      </c>
      <c r="AE310" s="1">
        <v>3.213378847</v>
      </c>
    </row>
    <row r="311" spans="1:31" x14ac:dyDescent="0.25">
      <c r="A311" s="1" t="s">
        <v>651</v>
      </c>
      <c r="B311" s="1" t="s">
        <v>2542</v>
      </c>
      <c r="C311" s="1" t="s">
        <v>2553</v>
      </c>
      <c r="D311" s="1" t="s">
        <v>2994</v>
      </c>
      <c r="E311" s="1" t="s">
        <v>3105</v>
      </c>
      <c r="F311" s="1" t="s">
        <v>3106</v>
      </c>
      <c r="G311" s="1" t="s">
        <v>651</v>
      </c>
      <c r="H311" s="1">
        <v>7.6848174159999996</v>
      </c>
      <c r="I311" s="1">
        <v>7.6204294749999999</v>
      </c>
      <c r="J311" s="1">
        <v>8.7902738070000002</v>
      </c>
      <c r="K311" s="1">
        <v>8.5226937540000005</v>
      </c>
      <c r="L311" s="1">
        <v>8.2278471470000003</v>
      </c>
      <c r="M311" s="1">
        <v>8.2909960599999994</v>
      </c>
      <c r="N311" s="1">
        <v>8.1062941009999996</v>
      </c>
      <c r="O311" s="1">
        <v>8.289336423</v>
      </c>
      <c r="P311" s="1">
        <v>8.4468887469999991</v>
      </c>
      <c r="Q311" s="1">
        <v>8.5644413719999992</v>
      </c>
      <c r="R311" s="1">
        <v>8.7705565530000005</v>
      </c>
      <c r="S311" s="1">
        <v>8.5237104759999998</v>
      </c>
      <c r="T311" s="1">
        <v>8.2278471470000003</v>
      </c>
      <c r="U311" s="1">
        <v>8.2909960599999994</v>
      </c>
      <c r="V311" s="1">
        <v>8.6477554820000009</v>
      </c>
      <c r="W311" s="1">
        <v>8.6424859109999996</v>
      </c>
      <c r="X311" s="1">
        <v>8.8529293150000008</v>
      </c>
      <c r="Y311" s="1">
        <v>8.9874546899999999</v>
      </c>
      <c r="Z311" s="1">
        <v>8.7705565530000005</v>
      </c>
      <c r="AA311" s="1">
        <v>8.5237104759999998</v>
      </c>
      <c r="AB311" s="1">
        <v>8.7147315039999995</v>
      </c>
      <c r="AC311" s="1">
        <v>9.0026743289999995</v>
      </c>
      <c r="AD311" s="1">
        <v>9.1690071540000009</v>
      </c>
      <c r="AE311" s="1">
        <v>9.1312039489999997</v>
      </c>
    </row>
    <row r="312" spans="1:31" x14ac:dyDescent="0.25">
      <c r="A312" s="1" t="s">
        <v>652</v>
      </c>
      <c r="B312" s="1" t="s">
        <v>2530</v>
      </c>
      <c r="C312" s="1" t="s">
        <v>2531</v>
      </c>
      <c r="D312" s="1" t="s">
        <v>2535</v>
      </c>
      <c r="E312" s="1" t="s">
        <v>2536</v>
      </c>
      <c r="G312" s="1" t="s">
        <v>652</v>
      </c>
      <c r="H312" s="1">
        <v>3.4660955969999998</v>
      </c>
      <c r="I312" s="1">
        <v>3.6484415459999999</v>
      </c>
      <c r="J312" s="1">
        <v>2.8907526730000002</v>
      </c>
      <c r="K312" s="1">
        <v>3.22334677</v>
      </c>
      <c r="L312" s="1">
        <v>3.6142294740000001</v>
      </c>
      <c r="M312" s="1">
        <v>3.9942443089999999</v>
      </c>
      <c r="N312" s="1">
        <v>3.9164981490000002</v>
      </c>
      <c r="O312" s="1">
        <v>3.7238257350000001</v>
      </c>
      <c r="P312" s="1">
        <v>3.466113682</v>
      </c>
      <c r="Q312" s="1">
        <v>3.56206471</v>
      </c>
      <c r="R312" s="1">
        <v>3.8462631940000001</v>
      </c>
      <c r="S312" s="1">
        <v>3.1475403900000001</v>
      </c>
      <c r="T312" s="1">
        <v>3.6142294740000001</v>
      </c>
      <c r="U312" s="1">
        <v>3.9942443089999999</v>
      </c>
      <c r="V312" s="1">
        <v>3.7819764450000002</v>
      </c>
      <c r="W312" s="1">
        <v>3.2870366010000001</v>
      </c>
      <c r="X312" s="1">
        <v>3.3149070109999998</v>
      </c>
      <c r="Y312" s="1">
        <v>3.4382968329999999</v>
      </c>
      <c r="Z312" s="1">
        <v>3.8462631940000001</v>
      </c>
      <c r="AA312" s="1">
        <v>3.1475403900000001</v>
      </c>
      <c r="AB312" s="1">
        <v>3.6315729079999999</v>
      </c>
      <c r="AC312" s="1">
        <v>4.2557864319999998</v>
      </c>
      <c r="AD312" s="1">
        <v>3.5727029510000001</v>
      </c>
      <c r="AE312" s="1">
        <v>4.124053773</v>
      </c>
    </row>
    <row r="313" spans="1:31" x14ac:dyDescent="0.25">
      <c r="A313" s="1" t="s">
        <v>653</v>
      </c>
      <c r="B313" s="1" t="s">
        <v>2530</v>
      </c>
      <c r="C313" s="1" t="s">
        <v>2531</v>
      </c>
      <c r="D313" s="1" t="s">
        <v>2535</v>
      </c>
      <c r="E313" s="1" t="s">
        <v>3107</v>
      </c>
      <c r="G313" s="1" t="s">
        <v>653</v>
      </c>
      <c r="H313" s="1">
        <v>4.0684382540000001</v>
      </c>
      <c r="I313" s="1">
        <v>4.66484875</v>
      </c>
      <c r="J313" s="1">
        <v>4.4503473070000004</v>
      </c>
      <c r="K313" s="1">
        <v>4.1384138449999996</v>
      </c>
      <c r="L313" s="1">
        <v>3.3884746630000002</v>
      </c>
      <c r="M313" s="1">
        <v>3.9942443089999999</v>
      </c>
      <c r="N313" s="1">
        <v>3.8490531570000002</v>
      </c>
      <c r="O313" s="1">
        <v>3.5386882399999999</v>
      </c>
      <c r="P313" s="1">
        <v>4.161525224</v>
      </c>
      <c r="Q313" s="1">
        <v>3.56206471</v>
      </c>
      <c r="R313" s="1">
        <v>3.1834741979999999</v>
      </c>
      <c r="S313" s="1">
        <v>3.7977317990000001</v>
      </c>
      <c r="T313" s="1">
        <v>3.3884746630000002</v>
      </c>
      <c r="U313" s="1">
        <v>3.9942443089999999</v>
      </c>
      <c r="V313" s="1">
        <v>4.6419314959999998</v>
      </c>
      <c r="W313" s="1">
        <v>4.3370700810000002</v>
      </c>
      <c r="X313" s="1">
        <v>4.0600950219999996</v>
      </c>
      <c r="Y313" s="1">
        <v>4.3509215530000001</v>
      </c>
      <c r="Z313" s="1">
        <v>3.1834741979999999</v>
      </c>
      <c r="AA313" s="1">
        <v>3.7977317990000001</v>
      </c>
      <c r="AB313" s="1">
        <v>3.990981031</v>
      </c>
      <c r="AC313" s="1">
        <v>3.7481372300000002</v>
      </c>
      <c r="AD313" s="1">
        <v>3.3987395579999999</v>
      </c>
      <c r="AE313" s="1">
        <v>3.5108161330000001</v>
      </c>
    </row>
    <row r="314" spans="1:31" x14ac:dyDescent="0.25">
      <c r="A314" s="1" t="s">
        <v>655</v>
      </c>
      <c r="B314" s="1" t="s">
        <v>2539</v>
      </c>
      <c r="C314" s="1" t="s">
        <v>2540</v>
      </c>
      <c r="D314" s="1" t="s">
        <v>2535</v>
      </c>
      <c r="E314" s="1" t="s">
        <v>3108</v>
      </c>
      <c r="G314" s="1" t="s">
        <v>655</v>
      </c>
      <c r="H314" s="1">
        <v>6.0961014899999997</v>
      </c>
      <c r="I314" s="1">
        <v>6.1655807180000002</v>
      </c>
      <c r="J314" s="1">
        <v>6.2697260589999999</v>
      </c>
      <c r="K314" s="1">
        <v>6.363994462</v>
      </c>
      <c r="L314" s="1">
        <v>6.9385449299999999</v>
      </c>
      <c r="M314" s="1">
        <v>6.7869410830000003</v>
      </c>
      <c r="N314" s="1">
        <v>6.5176065699999999</v>
      </c>
      <c r="O314" s="1">
        <v>6.5936608059999999</v>
      </c>
      <c r="P314" s="1">
        <v>6.4653336469999996</v>
      </c>
      <c r="Q314" s="1">
        <v>6.9598506220000003</v>
      </c>
      <c r="R314" s="1">
        <v>6.8225630720000003</v>
      </c>
      <c r="S314" s="1">
        <v>6.145010976</v>
      </c>
      <c r="T314" s="1">
        <v>6.9385449299999999</v>
      </c>
      <c r="U314" s="1">
        <v>6.7869410830000003</v>
      </c>
      <c r="V314" s="1">
        <v>6.3658106080000003</v>
      </c>
      <c r="W314" s="1">
        <v>6.5088246730000003</v>
      </c>
      <c r="X314" s="1">
        <v>6.5419998750000001</v>
      </c>
      <c r="Y314" s="1">
        <v>6.2836980430000002</v>
      </c>
      <c r="Z314" s="1">
        <v>6.8225630720000003</v>
      </c>
      <c r="AA314" s="1">
        <v>6.145010976</v>
      </c>
      <c r="AB314" s="1">
        <v>6.6559655099999997</v>
      </c>
      <c r="AC314" s="1">
        <v>6.8723966970000001</v>
      </c>
      <c r="AD314" s="1">
        <v>6.7323805009999997</v>
      </c>
      <c r="AE314" s="1">
        <v>6.6388355429999999</v>
      </c>
    </row>
    <row r="315" spans="1:31" x14ac:dyDescent="0.25">
      <c r="A315" s="1" t="s">
        <v>660</v>
      </c>
      <c r="B315" s="1" t="s">
        <v>2530</v>
      </c>
      <c r="C315" s="1" t="s">
        <v>2573</v>
      </c>
      <c r="D315" s="1" t="s">
        <v>2535</v>
      </c>
      <c r="E315" s="1" t="s">
        <v>3109</v>
      </c>
      <c r="G315" s="1" t="s">
        <v>660</v>
      </c>
      <c r="H315" s="1">
        <v>3.2549621289999999</v>
      </c>
      <c r="I315" s="1">
        <v>4.0101074990000001</v>
      </c>
      <c r="J315" s="1">
        <v>4.6607313550000002</v>
      </c>
      <c r="K315" s="1">
        <v>5.0014827119999996</v>
      </c>
      <c r="L315" s="1">
        <v>5.2773631679999999</v>
      </c>
      <c r="M315" s="1">
        <v>4.930560163</v>
      </c>
      <c r="N315" s="1">
        <v>4.2617896110000002</v>
      </c>
      <c r="O315" s="1">
        <v>4.0953574540000002</v>
      </c>
      <c r="P315" s="1">
        <v>3.9684043939999998</v>
      </c>
      <c r="Q315" s="1">
        <v>4.18747588</v>
      </c>
      <c r="R315" s="1">
        <v>4.2802026870000001</v>
      </c>
      <c r="S315" s="1">
        <v>3.7977317990000001</v>
      </c>
      <c r="T315" s="1">
        <v>5.2773631679999999</v>
      </c>
      <c r="U315" s="1">
        <v>4.930560163</v>
      </c>
      <c r="V315" s="1">
        <v>3.7819764450000002</v>
      </c>
      <c r="W315" s="1">
        <v>3.50175473</v>
      </c>
      <c r="X315" s="1">
        <v>4.0022987600000004</v>
      </c>
      <c r="Y315" s="1">
        <v>4.2532353330000001</v>
      </c>
      <c r="Z315" s="1">
        <v>4.2802026870000001</v>
      </c>
      <c r="AA315" s="1">
        <v>3.7977317990000001</v>
      </c>
      <c r="AB315" s="1">
        <v>3.404153038</v>
      </c>
      <c r="AC315" s="1">
        <v>4.4881955270000002</v>
      </c>
      <c r="AD315" s="1">
        <v>4.0967699450000001</v>
      </c>
      <c r="AE315" s="1">
        <v>4.4163948289999997</v>
      </c>
    </row>
    <row r="316" spans="1:31" x14ac:dyDescent="0.25">
      <c r="A316" s="1" t="s">
        <v>661</v>
      </c>
      <c r="B316" s="1" t="s">
        <v>2525</v>
      </c>
      <c r="C316" s="1" t="s">
        <v>3110</v>
      </c>
      <c r="D316" s="1" t="s">
        <v>3111</v>
      </c>
      <c r="E316" s="1" t="s">
        <v>3112</v>
      </c>
      <c r="F316" s="1" t="s">
        <v>3113</v>
      </c>
      <c r="G316" s="1" t="s">
        <v>661</v>
      </c>
      <c r="H316" s="1">
        <v>5.0553993879999997</v>
      </c>
      <c r="I316" s="1">
        <v>5.1546023129999998</v>
      </c>
      <c r="J316" s="1">
        <v>7.0459985720000002</v>
      </c>
      <c r="K316" s="1">
        <v>6.7733223929999999</v>
      </c>
      <c r="L316" s="1">
        <v>6.3972692809999998</v>
      </c>
      <c r="M316" s="1">
        <v>6.4651725329999996</v>
      </c>
      <c r="N316" s="1">
        <v>5.9569306830000004</v>
      </c>
      <c r="O316" s="1">
        <v>5.7062857469999999</v>
      </c>
      <c r="P316" s="1">
        <v>6.2369105129999998</v>
      </c>
      <c r="Q316" s="1">
        <v>6.3341756560000002</v>
      </c>
      <c r="R316" s="1">
        <v>6.2855941240000002</v>
      </c>
      <c r="S316" s="1">
        <v>6.1911441390000004</v>
      </c>
      <c r="T316" s="1">
        <v>6.3972692809999998</v>
      </c>
      <c r="U316" s="1">
        <v>6.4651725329999996</v>
      </c>
      <c r="V316" s="1">
        <v>6.0153393629999998</v>
      </c>
      <c r="W316" s="1">
        <v>6.3432413370000003</v>
      </c>
      <c r="X316" s="1">
        <v>6.1013878439999996</v>
      </c>
      <c r="Y316" s="1">
        <v>6.2347231909999996</v>
      </c>
      <c r="Z316" s="1">
        <v>6.2855941240000002</v>
      </c>
      <c r="AA316" s="1">
        <v>6.1911441390000004</v>
      </c>
      <c r="AB316" s="1">
        <v>6.4527679449999997</v>
      </c>
      <c r="AC316" s="1">
        <v>6.3069602739999997</v>
      </c>
      <c r="AD316" s="1">
        <v>6.554572984</v>
      </c>
      <c r="AE316" s="1">
        <v>6.4105584240000004</v>
      </c>
    </row>
    <row r="317" spans="1:31" x14ac:dyDescent="0.25">
      <c r="A317" s="1" t="s">
        <v>662</v>
      </c>
      <c r="B317" s="1" t="s">
        <v>2525</v>
      </c>
      <c r="C317" s="1" t="s">
        <v>3110</v>
      </c>
      <c r="D317" s="1" t="s">
        <v>3114</v>
      </c>
      <c r="E317" s="1" t="s">
        <v>3115</v>
      </c>
      <c r="F317" s="1" t="s">
        <v>3116</v>
      </c>
      <c r="G317" s="1" t="s">
        <v>662</v>
      </c>
      <c r="H317" s="1">
        <v>5.1131742039999999</v>
      </c>
      <c r="I317" s="1">
        <v>4.5280931029999998</v>
      </c>
      <c r="J317" s="1">
        <v>6.8353858709999997</v>
      </c>
      <c r="K317" s="1">
        <v>6.4725304650000002</v>
      </c>
      <c r="L317" s="1">
        <v>7.5169542009999999</v>
      </c>
      <c r="M317" s="1">
        <v>7.5214473450000003</v>
      </c>
      <c r="N317" s="1">
        <v>5.5548950010000002</v>
      </c>
      <c r="O317" s="1">
        <v>5.0400854920000002</v>
      </c>
      <c r="P317" s="1">
        <v>6.9657451879999996</v>
      </c>
      <c r="Q317" s="1">
        <v>6.9456850320000001</v>
      </c>
      <c r="R317" s="1">
        <v>7.2818332379999999</v>
      </c>
      <c r="S317" s="1">
        <v>7.2831008779999999</v>
      </c>
      <c r="T317" s="1">
        <v>7.5169542009999999</v>
      </c>
      <c r="U317" s="1">
        <v>7.5214473450000003</v>
      </c>
      <c r="V317" s="1">
        <v>6.7957404280000002</v>
      </c>
      <c r="W317" s="1">
        <v>6.8980132320000003</v>
      </c>
      <c r="X317" s="1">
        <v>7.032111553</v>
      </c>
      <c r="Y317" s="1">
        <v>6.9162705400000002</v>
      </c>
      <c r="Z317" s="1">
        <v>7.2818332379999999</v>
      </c>
      <c r="AA317" s="1">
        <v>7.2831008779999999</v>
      </c>
      <c r="AB317" s="1">
        <v>6.7253316390000002</v>
      </c>
      <c r="AC317" s="1">
        <v>7.1061999450000002</v>
      </c>
      <c r="AD317" s="1">
        <v>7.199655763</v>
      </c>
      <c r="AE317" s="1">
        <v>7.0647574909999999</v>
      </c>
    </row>
    <row r="318" spans="1:31" x14ac:dyDescent="0.25">
      <c r="A318" s="1" t="s">
        <v>663</v>
      </c>
      <c r="B318" s="1" t="s">
        <v>2547</v>
      </c>
      <c r="C318" s="1" t="s">
        <v>3061</v>
      </c>
      <c r="D318" s="1" t="s">
        <v>3117</v>
      </c>
      <c r="E318" s="1" t="s">
        <v>3118</v>
      </c>
      <c r="F318" s="1" t="s">
        <v>3119</v>
      </c>
      <c r="G318" s="1" t="s">
        <v>663</v>
      </c>
      <c r="H318" s="1">
        <v>4.7245801409999997</v>
      </c>
      <c r="I318" s="1">
        <v>6.1880668090000004</v>
      </c>
      <c r="J318" s="1">
        <v>5.7428701560000004</v>
      </c>
      <c r="K318" s="1">
        <v>5.5719358019999996</v>
      </c>
      <c r="L318" s="1">
        <v>7.0661679120000001</v>
      </c>
      <c r="M318" s="1">
        <v>6.8327132380000002</v>
      </c>
      <c r="N318" s="1">
        <v>5.8295014189999996</v>
      </c>
      <c r="O318" s="1">
        <v>5.5323462069999998</v>
      </c>
      <c r="P318" s="1">
        <v>6.2975076100000003</v>
      </c>
      <c r="Q318" s="1">
        <v>6.3557835540000003</v>
      </c>
      <c r="R318" s="1">
        <v>6.0415391009999997</v>
      </c>
      <c r="S318" s="1">
        <v>6.0227453090000003</v>
      </c>
      <c r="T318" s="1">
        <v>7.0661679120000001</v>
      </c>
      <c r="U318" s="1">
        <v>6.8327132380000002</v>
      </c>
      <c r="V318" s="1">
        <v>6.433314288</v>
      </c>
      <c r="W318" s="1">
        <v>6.3179498900000004</v>
      </c>
      <c r="X318" s="1">
        <v>6.4095855210000003</v>
      </c>
      <c r="Y318" s="1">
        <v>6.3310590680000001</v>
      </c>
      <c r="Z318" s="1">
        <v>6.0415391009999997</v>
      </c>
      <c r="AA318" s="1">
        <v>6.0227453090000003</v>
      </c>
      <c r="AB318" s="1">
        <v>6.1835402750000004</v>
      </c>
      <c r="AC318" s="1">
        <v>6.3069602739999997</v>
      </c>
      <c r="AD318" s="1">
        <v>6.1153202110000002</v>
      </c>
      <c r="AE318" s="1">
        <v>5.8838179420000003</v>
      </c>
    </row>
    <row r="319" spans="1:31" x14ac:dyDescent="0.25">
      <c r="A319" s="1" t="s">
        <v>667</v>
      </c>
      <c r="B319" s="1" t="s">
        <v>2579</v>
      </c>
      <c r="C319" s="1" t="s">
        <v>2983</v>
      </c>
      <c r="D319" s="1" t="s">
        <v>2535</v>
      </c>
      <c r="E319" s="1" t="s">
        <v>3120</v>
      </c>
      <c r="G319" s="1" t="s">
        <v>667</v>
      </c>
      <c r="H319" s="1">
        <v>6.1242673779999999</v>
      </c>
      <c r="I319" s="1">
        <v>6.2320099659999997</v>
      </c>
      <c r="J319" s="1">
        <v>5.3631085470000004</v>
      </c>
      <c r="K319" s="1">
        <v>5.6482047069999997</v>
      </c>
      <c r="L319" s="1">
        <v>5.2569846910000004</v>
      </c>
      <c r="M319" s="1">
        <v>4.896083601</v>
      </c>
      <c r="N319" s="1">
        <v>6.7548624930000001</v>
      </c>
      <c r="O319" s="1">
        <v>6.9270840419999997</v>
      </c>
      <c r="P319" s="1">
        <v>5.1903212940000003</v>
      </c>
      <c r="Q319" s="1">
        <v>5.5022716190000001</v>
      </c>
      <c r="R319" s="1">
        <v>4.1841942410000001</v>
      </c>
      <c r="S319" s="1">
        <v>4.6194390810000003</v>
      </c>
      <c r="T319" s="1">
        <v>5.2569846910000004</v>
      </c>
      <c r="U319" s="1">
        <v>4.896083601</v>
      </c>
      <c r="V319" s="1">
        <v>5.0857495259999999</v>
      </c>
      <c r="W319" s="1">
        <v>5.6472737119999996</v>
      </c>
      <c r="X319" s="1">
        <v>5.0029944190000002</v>
      </c>
      <c r="Y319" s="1">
        <v>5.7678626939999997</v>
      </c>
      <c r="Z319" s="1">
        <v>4.1841942410000001</v>
      </c>
      <c r="AA319" s="1">
        <v>4.6194390810000003</v>
      </c>
      <c r="AB319" s="1">
        <v>5.5276660309999999</v>
      </c>
      <c r="AC319" s="1">
        <v>5.1552886820000001</v>
      </c>
      <c r="AD319" s="1">
        <v>5.980763981</v>
      </c>
      <c r="AE319" s="1">
        <v>5.6110802550000001</v>
      </c>
    </row>
    <row r="320" spans="1:31" x14ac:dyDescent="0.25">
      <c r="A320" s="1" t="s">
        <v>668</v>
      </c>
      <c r="B320" s="1" t="s">
        <v>2520</v>
      </c>
      <c r="C320" s="1" t="s">
        <v>2521</v>
      </c>
      <c r="D320" s="1" t="s">
        <v>2535</v>
      </c>
      <c r="E320" s="1" t="s">
        <v>3121</v>
      </c>
      <c r="G320" s="1" t="s">
        <v>668</v>
      </c>
      <c r="H320" s="1">
        <v>7.5147476639999997</v>
      </c>
      <c r="I320" s="1">
        <v>7.2877765649999997</v>
      </c>
      <c r="J320" s="1">
        <v>6.9045687960000004</v>
      </c>
      <c r="K320" s="1">
        <v>7.1450778140000004</v>
      </c>
      <c r="L320" s="1">
        <v>7.1726379920000003</v>
      </c>
      <c r="M320" s="1">
        <v>7.1615777950000004</v>
      </c>
      <c r="N320" s="1">
        <v>7.8521878970000003</v>
      </c>
      <c r="O320" s="1">
        <v>7.7059544679999998</v>
      </c>
      <c r="P320" s="1">
        <v>7.0146380060000002</v>
      </c>
      <c r="Q320" s="1">
        <v>7.0684241830000003</v>
      </c>
      <c r="R320" s="1">
        <v>6.8225630720000003</v>
      </c>
      <c r="S320" s="1">
        <v>6.8089922789999999</v>
      </c>
      <c r="T320" s="1">
        <v>7.1726379920000003</v>
      </c>
      <c r="U320" s="1">
        <v>7.1615777950000004</v>
      </c>
      <c r="V320" s="1">
        <v>6.9986300650000004</v>
      </c>
      <c r="W320" s="1">
        <v>7.5019939039999999</v>
      </c>
      <c r="X320" s="1">
        <v>7.0997377769999996</v>
      </c>
      <c r="Y320" s="1">
        <v>7.6988237589999997</v>
      </c>
      <c r="Z320" s="1">
        <v>6.8225630720000003</v>
      </c>
      <c r="AA320" s="1">
        <v>6.8089922789999999</v>
      </c>
      <c r="AB320" s="1">
        <v>7.2956971089999998</v>
      </c>
      <c r="AC320" s="1">
        <v>7.0244096589999998</v>
      </c>
      <c r="AD320" s="1">
        <v>6.7817055540000002</v>
      </c>
      <c r="AE320" s="1">
        <v>7.517998736</v>
      </c>
    </row>
    <row r="321" spans="1:31" x14ac:dyDescent="0.25">
      <c r="A321" s="1" t="s">
        <v>669</v>
      </c>
      <c r="B321" s="1" t="s">
        <v>3099</v>
      </c>
      <c r="C321" s="1" t="s">
        <v>3122</v>
      </c>
      <c r="D321" s="1" t="s">
        <v>3123</v>
      </c>
      <c r="E321" s="1" t="s">
        <v>3124</v>
      </c>
      <c r="F321" s="1" t="s">
        <v>3125</v>
      </c>
      <c r="G321" s="1" t="s">
        <v>669</v>
      </c>
      <c r="H321" s="1">
        <v>10.23383252</v>
      </c>
      <c r="I321" s="1">
        <v>9.9030595439999995</v>
      </c>
      <c r="J321" s="1">
        <v>11.11094529</v>
      </c>
      <c r="K321" s="1">
        <v>11.122832969999999</v>
      </c>
      <c r="L321" s="1">
        <v>10.733396859999999</v>
      </c>
      <c r="M321" s="1">
        <v>10.934468580000001</v>
      </c>
      <c r="N321" s="1">
        <v>9.2354612599999992</v>
      </c>
      <c r="O321" s="1">
        <v>9.6528867779999992</v>
      </c>
      <c r="P321" s="1">
        <v>10.74487981</v>
      </c>
      <c r="Q321" s="1">
        <v>10.769824229999999</v>
      </c>
      <c r="R321" s="1">
        <v>11.330329409999999</v>
      </c>
      <c r="S321" s="1">
        <v>11.09061015</v>
      </c>
      <c r="T321" s="1">
        <v>10.733396859999999</v>
      </c>
      <c r="U321" s="1">
        <v>10.934468580000001</v>
      </c>
      <c r="V321" s="1">
        <v>10.697254490000001</v>
      </c>
      <c r="W321" s="1">
        <v>10.727459680000001</v>
      </c>
      <c r="X321" s="1">
        <v>10.637456909999999</v>
      </c>
      <c r="Y321" s="1">
        <v>10.54605499</v>
      </c>
      <c r="Z321" s="1">
        <v>11.330329409999999</v>
      </c>
      <c r="AA321" s="1">
        <v>11.09061015</v>
      </c>
      <c r="AB321" s="1">
        <v>11.017135769999999</v>
      </c>
      <c r="AC321" s="1">
        <v>10.924836839999999</v>
      </c>
      <c r="AD321" s="1">
        <v>10.82248323</v>
      </c>
      <c r="AE321" s="1">
        <v>10.738793709999999</v>
      </c>
    </row>
    <row r="322" spans="1:31" x14ac:dyDescent="0.25">
      <c r="A322" s="1" t="s">
        <v>670</v>
      </c>
      <c r="B322" s="1" t="s">
        <v>3099</v>
      </c>
      <c r="C322" s="1" t="s">
        <v>3122</v>
      </c>
      <c r="D322" s="1" t="s">
        <v>3123</v>
      </c>
      <c r="E322" s="1" t="s">
        <v>3126</v>
      </c>
      <c r="F322" s="1" t="s">
        <v>3127</v>
      </c>
      <c r="G322" s="1" t="s">
        <v>670</v>
      </c>
      <c r="H322" s="1">
        <v>8.6077782670000005</v>
      </c>
      <c r="I322" s="1">
        <v>8.2518005379999995</v>
      </c>
      <c r="J322" s="1">
        <v>9.4173337149999998</v>
      </c>
      <c r="K322" s="1">
        <v>9.3108527720000005</v>
      </c>
      <c r="L322" s="1">
        <v>9.2823207490000001</v>
      </c>
      <c r="M322" s="1">
        <v>9.4249534950000005</v>
      </c>
      <c r="N322" s="1">
        <v>7.5735753020000001</v>
      </c>
      <c r="O322" s="1">
        <v>7.5385111609999997</v>
      </c>
      <c r="P322" s="1">
        <v>9.2615554759999998</v>
      </c>
      <c r="Q322" s="1">
        <v>9.3649195279999997</v>
      </c>
      <c r="R322" s="1">
        <v>9.5632946610000005</v>
      </c>
      <c r="S322" s="1">
        <v>9.7562625789999995</v>
      </c>
      <c r="T322" s="1">
        <v>9.2823207490000001</v>
      </c>
      <c r="U322" s="1">
        <v>9.4249534950000005</v>
      </c>
      <c r="V322" s="1">
        <v>9.3034060729999997</v>
      </c>
      <c r="W322" s="1">
        <v>9.2811712649999993</v>
      </c>
      <c r="X322" s="1">
        <v>9.2876288910000007</v>
      </c>
      <c r="Y322" s="1">
        <v>9.2092598060000004</v>
      </c>
      <c r="Z322" s="1">
        <v>9.5632946610000005</v>
      </c>
      <c r="AA322" s="1">
        <v>9.7562625789999995</v>
      </c>
      <c r="AB322" s="1">
        <v>9.4402662910000004</v>
      </c>
      <c r="AC322" s="1">
        <v>9.3457169279999999</v>
      </c>
      <c r="AD322" s="1">
        <v>9.4613767360000001</v>
      </c>
      <c r="AE322" s="1">
        <v>9.1965037939999998</v>
      </c>
    </row>
    <row r="323" spans="1:31" x14ac:dyDescent="0.25">
      <c r="A323" s="1" t="s">
        <v>671</v>
      </c>
      <c r="B323" s="1" t="s">
        <v>3099</v>
      </c>
      <c r="C323" s="1" t="s">
        <v>3122</v>
      </c>
      <c r="D323" s="1" t="s">
        <v>3123</v>
      </c>
      <c r="E323" s="1" t="s">
        <v>3128</v>
      </c>
      <c r="F323" s="1" t="s">
        <v>3129</v>
      </c>
      <c r="G323" s="1" t="s">
        <v>671</v>
      </c>
      <c r="H323" s="1">
        <v>9.9998264960000007</v>
      </c>
      <c r="I323" s="1">
        <v>10.15163416</v>
      </c>
      <c r="J323" s="1">
        <v>10.8300976</v>
      </c>
      <c r="K323" s="1">
        <v>10.832806570000001</v>
      </c>
      <c r="L323" s="1">
        <v>10.933039409999999</v>
      </c>
      <c r="M323" s="1">
        <v>10.97836412</v>
      </c>
      <c r="N323" s="1">
        <v>9.8911448669999995</v>
      </c>
      <c r="O323" s="1">
        <v>10.029051839999999</v>
      </c>
      <c r="P323" s="1">
        <v>10.93217656</v>
      </c>
      <c r="Q323" s="1">
        <v>10.896653130000001</v>
      </c>
      <c r="R323" s="1">
        <v>11.245769770000001</v>
      </c>
      <c r="S323" s="1">
        <v>11.09666932</v>
      </c>
      <c r="T323" s="1">
        <v>10.933039409999999</v>
      </c>
      <c r="U323" s="1">
        <v>10.97836412</v>
      </c>
      <c r="V323" s="1">
        <v>10.761766310000001</v>
      </c>
      <c r="W323" s="1">
        <v>10.795350969999999</v>
      </c>
      <c r="X323" s="1">
        <v>10.695403900000001</v>
      </c>
      <c r="Y323" s="1">
        <v>10.679895780000001</v>
      </c>
      <c r="Z323" s="1">
        <v>11.245769770000001</v>
      </c>
      <c r="AA323" s="1">
        <v>11.09666932</v>
      </c>
      <c r="AB323" s="1">
        <v>10.91455652</v>
      </c>
      <c r="AC323" s="1">
        <v>10.902948520000001</v>
      </c>
      <c r="AD323" s="1">
        <v>10.83518213</v>
      </c>
      <c r="AE323" s="1">
        <v>10.749446750000001</v>
      </c>
    </row>
    <row r="324" spans="1:31" x14ac:dyDescent="0.25">
      <c r="A324" s="1" t="s">
        <v>672</v>
      </c>
      <c r="B324" s="1" t="s">
        <v>2547</v>
      </c>
      <c r="C324" s="1" t="s">
        <v>2694</v>
      </c>
      <c r="D324" s="1" t="s">
        <v>3130</v>
      </c>
      <c r="E324" s="1" t="s">
        <v>3131</v>
      </c>
      <c r="F324" s="1" t="s">
        <v>3132</v>
      </c>
      <c r="G324" s="1" t="s">
        <v>672</v>
      </c>
      <c r="H324" s="1">
        <v>5.2735834620000004</v>
      </c>
      <c r="I324" s="1">
        <v>5.0595268689999999</v>
      </c>
      <c r="J324" s="1">
        <v>5.2817155790000001</v>
      </c>
      <c r="K324" s="1">
        <v>5.2180867539999998</v>
      </c>
      <c r="L324" s="1">
        <v>5.3560765139999997</v>
      </c>
      <c r="M324" s="1">
        <v>5.5319881950000003</v>
      </c>
      <c r="N324" s="1">
        <v>5.3372793730000003</v>
      </c>
      <c r="O324" s="1">
        <v>5.0724039640000003</v>
      </c>
      <c r="P324" s="1">
        <v>5.3134950500000002</v>
      </c>
      <c r="Q324" s="1">
        <v>5.2473923969999996</v>
      </c>
      <c r="R324" s="1">
        <v>5.1961281320000001</v>
      </c>
      <c r="S324" s="1">
        <v>5.3915434019999999</v>
      </c>
      <c r="T324" s="1">
        <v>5.3560765139999997</v>
      </c>
      <c r="U324" s="1">
        <v>5.5319881950000003</v>
      </c>
      <c r="V324" s="1">
        <v>5.2455869269999997</v>
      </c>
      <c r="W324" s="1">
        <v>5.9072448660000001</v>
      </c>
      <c r="X324" s="1">
        <v>5.2866392680000001</v>
      </c>
      <c r="Y324" s="1">
        <v>5.8677638710000002</v>
      </c>
      <c r="Z324" s="1">
        <v>5.1961281320000001</v>
      </c>
      <c r="AA324" s="1">
        <v>5.3915434019999999</v>
      </c>
      <c r="AB324" s="1">
        <v>5.9325296429999996</v>
      </c>
      <c r="AC324" s="1">
        <v>5.198889973</v>
      </c>
      <c r="AD324" s="1">
        <v>5.6310130599999999</v>
      </c>
      <c r="AE324" s="1">
        <v>5.5339175159999998</v>
      </c>
    </row>
    <row r="325" spans="1:31" x14ac:dyDescent="0.25">
      <c r="A325" s="1" t="s">
        <v>673</v>
      </c>
      <c r="B325" s="1" t="s">
        <v>2547</v>
      </c>
      <c r="C325" s="1" t="s">
        <v>2694</v>
      </c>
      <c r="D325" s="1" t="s">
        <v>3130</v>
      </c>
      <c r="E325" s="1" t="s">
        <v>3133</v>
      </c>
      <c r="F325" s="1" t="s">
        <v>3134</v>
      </c>
      <c r="G325" s="1" t="s">
        <v>673</v>
      </c>
      <c r="H325" s="1">
        <v>5.5485883999999999</v>
      </c>
      <c r="I325" s="1">
        <v>6.0227272230000004</v>
      </c>
      <c r="J325" s="1">
        <v>6.7018094870000002</v>
      </c>
      <c r="K325" s="1">
        <v>6.5928106870000001</v>
      </c>
      <c r="L325" s="1">
        <v>6.7985065310000001</v>
      </c>
      <c r="M325" s="1">
        <v>6.7682169480000001</v>
      </c>
      <c r="N325" s="1">
        <v>5.4717898820000004</v>
      </c>
      <c r="O325" s="1">
        <v>5.9503866380000003</v>
      </c>
      <c r="P325" s="1">
        <v>6.5340672829999997</v>
      </c>
      <c r="Q325" s="1">
        <v>6.4187248529999996</v>
      </c>
      <c r="R325" s="1">
        <v>6.3297979870000001</v>
      </c>
      <c r="S325" s="1">
        <v>6.0729078190000001</v>
      </c>
      <c r="T325" s="1">
        <v>6.7985065310000001</v>
      </c>
      <c r="U325" s="1">
        <v>6.7682169480000001</v>
      </c>
      <c r="V325" s="1">
        <v>6.1817294079999998</v>
      </c>
      <c r="W325" s="1">
        <v>6.3179498900000004</v>
      </c>
      <c r="X325" s="1">
        <v>6.8865200350000002</v>
      </c>
      <c r="Y325" s="1">
        <v>6.4430557039999998</v>
      </c>
      <c r="Z325" s="1">
        <v>6.3297979870000001</v>
      </c>
      <c r="AA325" s="1">
        <v>6.0729078190000001</v>
      </c>
      <c r="AB325" s="1">
        <v>6.3685053089999997</v>
      </c>
      <c r="AC325" s="1">
        <v>6.5768311190000004</v>
      </c>
      <c r="AD325" s="1">
        <v>6.6102586299999997</v>
      </c>
      <c r="AE325" s="1">
        <v>6.6388355429999999</v>
      </c>
    </row>
    <row r="326" spans="1:31" x14ac:dyDescent="0.25">
      <c r="A326" s="1" t="s">
        <v>674</v>
      </c>
      <c r="B326" s="1" t="s">
        <v>2547</v>
      </c>
      <c r="C326" s="1" t="s">
        <v>2694</v>
      </c>
      <c r="D326" s="1" t="s">
        <v>3130</v>
      </c>
      <c r="E326" s="1" t="s">
        <v>3135</v>
      </c>
      <c r="F326" s="1" t="s">
        <v>3136</v>
      </c>
      <c r="G326" s="1" t="s">
        <v>674</v>
      </c>
      <c r="H326" s="1">
        <v>5.946332924</v>
      </c>
      <c r="I326" s="1">
        <v>6.0719413549999999</v>
      </c>
      <c r="J326" s="1">
        <v>5.8022574259999997</v>
      </c>
      <c r="K326" s="1">
        <v>5.2674352469999999</v>
      </c>
      <c r="L326" s="1">
        <v>7.0777530180000001</v>
      </c>
      <c r="M326" s="1">
        <v>6.8944446109999999</v>
      </c>
      <c r="N326" s="1">
        <v>6.2458658810000003</v>
      </c>
      <c r="O326" s="1">
        <v>6.2030276869999996</v>
      </c>
      <c r="P326" s="1">
        <v>6.2161300730000004</v>
      </c>
      <c r="Q326" s="1">
        <v>6.289960497</v>
      </c>
      <c r="R326" s="1">
        <v>6.624026862</v>
      </c>
      <c r="S326" s="1">
        <v>6.3821686289999997</v>
      </c>
      <c r="T326" s="1">
        <v>7.0777530180000001</v>
      </c>
      <c r="U326" s="1">
        <v>6.8944446109999999</v>
      </c>
      <c r="V326" s="1">
        <v>6.5289779240000003</v>
      </c>
      <c r="W326" s="1">
        <v>6.657303325</v>
      </c>
      <c r="X326" s="1">
        <v>7.0458930989999997</v>
      </c>
      <c r="Y326" s="1">
        <v>6.8033735860000002</v>
      </c>
      <c r="Z326" s="1">
        <v>6.624026862</v>
      </c>
      <c r="AA326" s="1">
        <v>6.3821686289999997</v>
      </c>
      <c r="AB326" s="1">
        <v>7.1520220669999999</v>
      </c>
      <c r="AC326" s="1">
        <v>7.1835961460000002</v>
      </c>
      <c r="AD326" s="1">
        <v>7.199655763</v>
      </c>
      <c r="AE326" s="1">
        <v>7.0371821480000003</v>
      </c>
    </row>
    <row r="327" spans="1:31" x14ac:dyDescent="0.25">
      <c r="A327" s="1" t="s">
        <v>675</v>
      </c>
      <c r="B327" s="1" t="s">
        <v>2608</v>
      </c>
      <c r="C327" s="1" t="s">
        <v>2609</v>
      </c>
      <c r="D327" s="1" t="s">
        <v>3137</v>
      </c>
      <c r="E327" s="1" t="s">
        <v>3138</v>
      </c>
      <c r="F327" s="1" t="s">
        <v>3139</v>
      </c>
      <c r="G327" s="1" t="s">
        <v>675</v>
      </c>
      <c r="H327" s="1">
        <v>7.7494055179999997</v>
      </c>
      <c r="I327" s="1">
        <v>7.6368393430000001</v>
      </c>
      <c r="J327" s="1">
        <v>5.7428701560000004</v>
      </c>
      <c r="K327" s="1">
        <v>6.4932884399999997</v>
      </c>
      <c r="L327" s="1">
        <v>5.680061308</v>
      </c>
      <c r="M327" s="1">
        <v>5.3915279009999999</v>
      </c>
      <c r="N327" s="1">
        <v>6.927790613</v>
      </c>
      <c r="O327" s="1">
        <v>6.909468521</v>
      </c>
      <c r="P327" s="1">
        <v>5.426847231</v>
      </c>
      <c r="Q327" s="1">
        <v>6.1485161530000001</v>
      </c>
      <c r="R327" s="1">
        <v>5.7472990829999997</v>
      </c>
      <c r="S327" s="1">
        <v>5.6453330910000004</v>
      </c>
      <c r="T327" s="1">
        <v>5.680061308</v>
      </c>
      <c r="U327" s="1">
        <v>5.3915279009999999</v>
      </c>
      <c r="V327" s="1">
        <v>6.1619548430000002</v>
      </c>
      <c r="W327" s="1">
        <v>6.3179498900000004</v>
      </c>
      <c r="X327" s="1">
        <v>5.6731962669999998</v>
      </c>
      <c r="Y327" s="1">
        <v>6.399298012</v>
      </c>
      <c r="Z327" s="1">
        <v>5.7472990829999997</v>
      </c>
      <c r="AA327" s="1">
        <v>5.6453330910000004</v>
      </c>
      <c r="AB327" s="1">
        <v>5.6280506069999996</v>
      </c>
      <c r="AC327" s="1">
        <v>5.7302515789999999</v>
      </c>
      <c r="AD327" s="1">
        <v>6.1153202110000002</v>
      </c>
      <c r="AE327" s="1">
        <v>6.2026157089999998</v>
      </c>
    </row>
    <row r="328" spans="1:31" x14ac:dyDescent="0.25">
      <c r="A328" s="1" t="s">
        <v>677</v>
      </c>
      <c r="B328" s="1" t="s">
        <v>2598</v>
      </c>
      <c r="C328" s="1" t="s">
        <v>2603</v>
      </c>
      <c r="D328" s="1" t="s">
        <v>3140</v>
      </c>
      <c r="E328" s="1" t="s">
        <v>3141</v>
      </c>
      <c r="F328" s="1" t="s">
        <v>3142</v>
      </c>
      <c r="G328" s="1" t="s">
        <v>677</v>
      </c>
      <c r="H328" s="1">
        <v>6.4251460160000002</v>
      </c>
      <c r="I328" s="1">
        <v>6.6432373650000001</v>
      </c>
      <c r="J328" s="1">
        <v>7.1059649460000003</v>
      </c>
      <c r="K328" s="1">
        <v>7.5630976069999996</v>
      </c>
      <c r="L328" s="1">
        <v>7.4018788500000001</v>
      </c>
      <c r="M328" s="1">
        <v>7.5381120680000002</v>
      </c>
      <c r="N328" s="1">
        <v>6.8480269140000001</v>
      </c>
      <c r="O328" s="1">
        <v>6.7203403079999999</v>
      </c>
      <c r="P328" s="1">
        <v>7.2161876950000003</v>
      </c>
      <c r="Q328" s="1">
        <v>7.4255456510000002</v>
      </c>
      <c r="R328" s="1">
        <v>6.9832586330000002</v>
      </c>
      <c r="S328" s="1">
        <v>7.3042092470000002</v>
      </c>
      <c r="T328" s="1">
        <v>7.4018788500000001</v>
      </c>
      <c r="U328" s="1">
        <v>7.5381120680000002</v>
      </c>
      <c r="V328" s="1">
        <v>7.562576688</v>
      </c>
      <c r="W328" s="1">
        <v>7.4907362729999996</v>
      </c>
      <c r="X328" s="1">
        <v>7.250160009</v>
      </c>
      <c r="Y328" s="1">
        <v>7.3543018069999997</v>
      </c>
      <c r="Z328" s="1">
        <v>6.9832586330000002</v>
      </c>
      <c r="AA328" s="1">
        <v>7.3042092470000002</v>
      </c>
      <c r="AB328" s="1">
        <v>7.2493787579999998</v>
      </c>
      <c r="AC328" s="1">
        <v>7.2049668000000002</v>
      </c>
      <c r="AD328" s="1">
        <v>7.1629120009999996</v>
      </c>
      <c r="AE328" s="1">
        <v>7.1637054640000004</v>
      </c>
    </row>
    <row r="329" spans="1:31" x14ac:dyDescent="0.25">
      <c r="A329" s="1" t="s">
        <v>679</v>
      </c>
      <c r="B329" s="1" t="s">
        <v>2598</v>
      </c>
      <c r="C329" s="1" t="s">
        <v>2599</v>
      </c>
      <c r="D329" s="1" t="s">
        <v>2535</v>
      </c>
      <c r="E329" s="1" t="s">
        <v>3143</v>
      </c>
      <c r="G329" s="1" t="s">
        <v>679</v>
      </c>
      <c r="H329" s="1">
        <v>6.3316799680000004</v>
      </c>
      <c r="I329" s="1">
        <v>6.1427370300000002</v>
      </c>
      <c r="J329" s="1">
        <v>5.2817155790000001</v>
      </c>
      <c r="K329" s="1">
        <v>6.2465923569999999</v>
      </c>
      <c r="L329" s="1">
        <v>5.6647229430000001</v>
      </c>
      <c r="M329" s="1">
        <v>5.3414536530000003</v>
      </c>
      <c r="N329" s="1">
        <v>7.6223148409999997</v>
      </c>
      <c r="O329" s="1">
        <v>7.6540351839999996</v>
      </c>
      <c r="P329" s="1">
        <v>5.1018341500000002</v>
      </c>
      <c r="Q329" s="1">
        <v>5.718446159</v>
      </c>
      <c r="R329" s="1">
        <v>5.1961281320000001</v>
      </c>
      <c r="S329" s="1">
        <v>5.6781703969999997</v>
      </c>
      <c r="T329" s="1">
        <v>5.6647229430000001</v>
      </c>
      <c r="U329" s="1">
        <v>5.3414536530000003</v>
      </c>
      <c r="V329" s="1">
        <v>5.6676649780000004</v>
      </c>
      <c r="W329" s="1">
        <v>5.726489559</v>
      </c>
      <c r="X329" s="1">
        <v>5.6186994139999999</v>
      </c>
      <c r="Y329" s="1">
        <v>5.6227961889999998</v>
      </c>
      <c r="Z329" s="1">
        <v>5.1961281320000001</v>
      </c>
      <c r="AA329" s="1">
        <v>5.6781703969999997</v>
      </c>
      <c r="AB329" s="1">
        <v>5.5787398220000002</v>
      </c>
      <c r="AC329" s="1">
        <v>5.3221936159999998</v>
      </c>
      <c r="AD329" s="1">
        <v>5.8006297160000004</v>
      </c>
      <c r="AE329" s="1">
        <v>5.868211906</v>
      </c>
    </row>
    <row r="330" spans="1:31" x14ac:dyDescent="0.25">
      <c r="A330" s="1" t="s">
        <v>680</v>
      </c>
      <c r="B330" s="1" t="s">
        <v>2530</v>
      </c>
      <c r="C330" s="1" t="s">
        <v>2531</v>
      </c>
      <c r="D330" s="1" t="s">
        <v>2535</v>
      </c>
      <c r="E330" s="1" t="s">
        <v>2536</v>
      </c>
      <c r="G330" s="1" t="s">
        <v>680</v>
      </c>
      <c r="H330" s="1">
        <v>9.1524971310000005</v>
      </c>
      <c r="I330" s="1">
        <v>9.1357174289999996</v>
      </c>
      <c r="J330" s="1">
        <v>9.4054581979999998</v>
      </c>
      <c r="K330" s="1">
        <v>9.8319744179999997</v>
      </c>
      <c r="L330" s="1">
        <v>9.00148759</v>
      </c>
      <c r="M330" s="1">
        <v>9.0904058059999997</v>
      </c>
      <c r="N330" s="1">
        <v>9.5545191070000008</v>
      </c>
      <c r="O330" s="1">
        <v>9.8606567470000002</v>
      </c>
      <c r="P330" s="1">
        <v>9.0983100560000008</v>
      </c>
      <c r="Q330" s="1">
        <v>9.1807841710000009</v>
      </c>
      <c r="R330" s="1">
        <v>9.1669894220000003</v>
      </c>
      <c r="S330" s="1">
        <v>9.0493378910000004</v>
      </c>
      <c r="T330" s="1">
        <v>9.00148759</v>
      </c>
      <c r="U330" s="1">
        <v>9.0904058059999997</v>
      </c>
      <c r="V330" s="1">
        <v>9.3950036840000006</v>
      </c>
      <c r="W330" s="1">
        <v>9.432940232</v>
      </c>
      <c r="X330" s="1">
        <v>9.0757227690000004</v>
      </c>
      <c r="Y330" s="1">
        <v>9.3678527010000003</v>
      </c>
      <c r="Z330" s="1">
        <v>9.1669894220000003</v>
      </c>
      <c r="AA330" s="1">
        <v>9.0493378910000004</v>
      </c>
      <c r="AB330" s="1">
        <v>9.1354243650000004</v>
      </c>
      <c r="AC330" s="1">
        <v>9.1281744800000002</v>
      </c>
      <c r="AD330" s="1">
        <v>9.407451944</v>
      </c>
      <c r="AE330" s="1">
        <v>9.4395492030000003</v>
      </c>
    </row>
    <row r="331" spans="1:31" x14ac:dyDescent="0.25">
      <c r="A331" s="1" t="s">
        <v>687</v>
      </c>
      <c r="B331" s="1" t="s">
        <v>2547</v>
      </c>
      <c r="C331" s="1" t="s">
        <v>2566</v>
      </c>
      <c r="D331" s="1" t="s">
        <v>2535</v>
      </c>
      <c r="E331" s="1" t="s">
        <v>3144</v>
      </c>
      <c r="G331" s="1" t="s">
        <v>687</v>
      </c>
      <c r="H331" s="1">
        <v>7.9194406559999999</v>
      </c>
      <c r="I331" s="1">
        <v>7.5528560579999997</v>
      </c>
      <c r="J331" s="1">
        <v>7.9716261309999998</v>
      </c>
      <c r="K331" s="1">
        <v>7.7296306579999996</v>
      </c>
      <c r="L331" s="1">
        <v>7.9254145899999999</v>
      </c>
      <c r="M331" s="1">
        <v>8.1643575839999993</v>
      </c>
      <c r="N331" s="1">
        <v>6.9584991550000002</v>
      </c>
      <c r="O331" s="1">
        <v>7.0923181910000004</v>
      </c>
      <c r="P331" s="1">
        <v>7.8147107450000002</v>
      </c>
      <c r="Q331" s="1">
        <v>7.9286372060000003</v>
      </c>
      <c r="R331" s="1">
        <v>8.1063246580000001</v>
      </c>
      <c r="S331" s="1">
        <v>8.0041609489999992</v>
      </c>
      <c r="T331" s="1">
        <v>7.9254145899999999</v>
      </c>
      <c r="U331" s="1">
        <v>8.1643575839999993</v>
      </c>
      <c r="V331" s="1">
        <v>7.7327869339999999</v>
      </c>
      <c r="W331" s="1">
        <v>7.9593889969999996</v>
      </c>
      <c r="X331" s="1">
        <v>7.7651384879999998</v>
      </c>
      <c r="Y331" s="1">
        <v>7.4959140870000001</v>
      </c>
      <c r="Z331" s="1">
        <v>8.1063246580000001</v>
      </c>
      <c r="AA331" s="1">
        <v>8.0041609489999992</v>
      </c>
      <c r="AB331" s="1">
        <v>7.5714398440000004</v>
      </c>
      <c r="AC331" s="1">
        <v>7.9374813880000001</v>
      </c>
      <c r="AD331" s="1">
        <v>7.7382649529999998</v>
      </c>
      <c r="AE331" s="1">
        <v>7.6050630579999998</v>
      </c>
    </row>
    <row r="332" spans="1:31" s="1" customFormat="1" x14ac:dyDescent="0.25">
      <c r="A332" s="1" t="s">
        <v>690</v>
      </c>
      <c r="B332" s="1" t="s">
        <v>2530</v>
      </c>
      <c r="C332" s="1" t="s">
        <v>2531</v>
      </c>
      <c r="D332" s="1" t="s">
        <v>2535</v>
      </c>
      <c r="E332" s="1" t="s">
        <v>3145</v>
      </c>
      <c r="G332" s="1" t="s">
        <v>690</v>
      </c>
      <c r="H332" s="1">
        <v>6.5340358859999998</v>
      </c>
      <c r="I332" s="1">
        <v>5.4447012069999996</v>
      </c>
      <c r="J332" s="1">
        <v>5.3229940280000001</v>
      </c>
      <c r="K332" s="1">
        <v>5.6482047069999997</v>
      </c>
      <c r="L332" s="1">
        <v>5.128160297</v>
      </c>
      <c r="M332" s="1">
        <v>5.2356861500000003</v>
      </c>
      <c r="N332" s="1">
        <v>5.8127456459999998</v>
      </c>
      <c r="O332" s="1">
        <v>6.1439115280000003</v>
      </c>
      <c r="P332" s="1">
        <v>5.3134950500000002</v>
      </c>
      <c r="Q332" s="1">
        <v>5.6846114249999999</v>
      </c>
      <c r="R332" s="1">
        <v>4.9894654599999999</v>
      </c>
      <c r="S332" s="1">
        <v>4.8699614389999999</v>
      </c>
      <c r="T332" s="1">
        <v>5.128160297</v>
      </c>
      <c r="U332" s="1">
        <v>5.2356861500000003</v>
      </c>
      <c r="V332" s="1">
        <v>4.9055261469999998</v>
      </c>
      <c r="W332" s="1">
        <v>5.6874298530000003</v>
      </c>
      <c r="X332" s="1">
        <v>5.4623126839999996</v>
      </c>
      <c r="Y332" s="1">
        <v>5.6971672010000001</v>
      </c>
      <c r="Z332" s="1">
        <v>4.9894654599999999</v>
      </c>
      <c r="AA332" s="1">
        <v>4.8699614389999999</v>
      </c>
      <c r="AB332" s="1">
        <v>5.5787398220000002</v>
      </c>
      <c r="AC332" s="1">
        <v>5.7595305120000004</v>
      </c>
      <c r="AD332" s="1">
        <v>5.3091856960000001</v>
      </c>
      <c r="AE332" s="1">
        <v>5.6110802550000001</v>
      </c>
    </row>
    <row r="333" spans="1:31" s="1" customFormat="1" x14ac:dyDescent="0.25">
      <c r="A333" s="1" t="s">
        <v>691</v>
      </c>
      <c r="B333" s="1" t="s">
        <v>2557</v>
      </c>
      <c r="C333" s="1" t="s">
        <v>3063</v>
      </c>
      <c r="D333" s="1" t="s">
        <v>3146</v>
      </c>
      <c r="E333" s="1" t="s">
        <v>3147</v>
      </c>
      <c r="F333" s="1" t="s">
        <v>3148</v>
      </c>
      <c r="G333" s="1" t="s">
        <v>691</v>
      </c>
      <c r="H333" s="1">
        <v>6.1518914650000003</v>
      </c>
      <c r="I333" s="1">
        <v>5.5177814730000003</v>
      </c>
      <c r="J333" s="1">
        <v>6.8494908560000001</v>
      </c>
      <c r="K333" s="1">
        <v>6.9030258440000001</v>
      </c>
      <c r="L333" s="1">
        <v>6.8735547510000004</v>
      </c>
      <c r="M333" s="1">
        <v>7.2315660980000001</v>
      </c>
      <c r="N333" s="1">
        <v>5.6334290280000001</v>
      </c>
      <c r="O333" s="1">
        <v>5.4853382609999999</v>
      </c>
      <c r="P333" s="1">
        <v>7.0146380060000002</v>
      </c>
      <c r="Q333" s="1">
        <v>6.9456850320000001</v>
      </c>
      <c r="R333" s="1">
        <v>7.0638992009999999</v>
      </c>
      <c r="S333" s="1">
        <v>7.04051486</v>
      </c>
      <c r="T333" s="1">
        <v>6.8735547510000004</v>
      </c>
      <c r="U333" s="1">
        <v>7.2315660980000001</v>
      </c>
      <c r="V333" s="1">
        <v>7.1665688640000003</v>
      </c>
      <c r="W333" s="1">
        <v>6.863500084</v>
      </c>
      <c r="X333" s="1">
        <v>6.8477008430000001</v>
      </c>
      <c r="Y333" s="1">
        <v>6.7864979940000003</v>
      </c>
      <c r="Z333" s="1">
        <v>7.0638992009999999</v>
      </c>
      <c r="AA333" s="1">
        <v>7.04051486</v>
      </c>
      <c r="AB333" s="1">
        <v>6.8547782980000003</v>
      </c>
      <c r="AC333" s="1">
        <v>6.8039964739999998</v>
      </c>
      <c r="AD333" s="1">
        <v>6.7977787940000001</v>
      </c>
      <c r="AE333" s="1">
        <v>6.7703137360000003</v>
      </c>
    </row>
    <row r="334" spans="1:31" s="1" customFormat="1" x14ac:dyDescent="0.25">
      <c r="A334" s="1" t="s">
        <v>692</v>
      </c>
      <c r="B334" s="1" t="s">
        <v>2608</v>
      </c>
      <c r="C334" s="1" t="s">
        <v>2758</v>
      </c>
      <c r="D334" s="1" t="s">
        <v>2759</v>
      </c>
      <c r="E334" s="1" t="s">
        <v>3149</v>
      </c>
      <c r="F334" s="1" t="s">
        <v>3150</v>
      </c>
      <c r="G334" s="1" t="s">
        <v>692</v>
      </c>
      <c r="H334" s="1">
        <v>7.3218989680000002</v>
      </c>
      <c r="I334" s="1">
        <v>7.6849773069999996</v>
      </c>
      <c r="J334" s="1">
        <v>8.3141736529999992</v>
      </c>
      <c r="K334" s="1">
        <v>8.3741296639999998</v>
      </c>
      <c r="L334" s="1">
        <v>8.1856622960000003</v>
      </c>
      <c r="M334" s="1">
        <v>8.4074076560000002</v>
      </c>
      <c r="N334" s="1">
        <v>7.252890893</v>
      </c>
      <c r="O334" s="1">
        <v>7.4860192379999999</v>
      </c>
      <c r="P334" s="1">
        <v>8.2415601019999993</v>
      </c>
      <c r="Q334" s="1">
        <v>8.2149660359999999</v>
      </c>
      <c r="R334" s="1">
        <v>8.5317052760000003</v>
      </c>
      <c r="S334" s="1">
        <v>8.2951302879999993</v>
      </c>
      <c r="T334" s="1">
        <v>8.1856622960000003</v>
      </c>
      <c r="U334" s="1">
        <v>8.4074076560000002</v>
      </c>
      <c r="V334" s="1">
        <v>8.3536768190000004</v>
      </c>
      <c r="W334" s="1">
        <v>8.2269308480000003</v>
      </c>
      <c r="X334" s="1">
        <v>8.1341773550000003</v>
      </c>
      <c r="Y334" s="1">
        <v>8.3989898059999994</v>
      </c>
      <c r="Z334" s="1">
        <v>8.5317052760000003</v>
      </c>
      <c r="AA334" s="1">
        <v>8.2951302879999993</v>
      </c>
      <c r="AB334" s="1">
        <v>8.1010764819999999</v>
      </c>
      <c r="AC334" s="1">
        <v>8.1284658319999998</v>
      </c>
      <c r="AD334" s="1">
        <v>8.1793882300000007</v>
      </c>
      <c r="AE334" s="1">
        <v>8.2096113289999995</v>
      </c>
    </row>
    <row r="335" spans="1:31" s="1" customFormat="1" x14ac:dyDescent="0.25">
      <c r="A335" s="1" t="s">
        <v>693</v>
      </c>
      <c r="B335" s="1" t="s">
        <v>2598</v>
      </c>
      <c r="C335" s="1" t="s">
        <v>2603</v>
      </c>
      <c r="D335" s="1" t="s">
        <v>3151</v>
      </c>
      <c r="E335" s="1" t="s">
        <v>3152</v>
      </c>
      <c r="F335" s="1" t="s">
        <v>3153</v>
      </c>
      <c r="G335" s="1" t="s">
        <v>693</v>
      </c>
      <c r="H335" s="1">
        <v>4.3886087140000001</v>
      </c>
      <c r="I335" s="1">
        <v>4.4542943209999999</v>
      </c>
      <c r="J335" s="1">
        <v>4.7851628320000001</v>
      </c>
      <c r="K335" s="1">
        <v>4.0244910950000001</v>
      </c>
      <c r="L335" s="1">
        <v>4.9864364329999997</v>
      </c>
      <c r="M335" s="1">
        <v>4.709731562</v>
      </c>
      <c r="N335" s="1">
        <v>5.1623684499999998</v>
      </c>
      <c r="O335" s="1">
        <v>4.7100516409999997</v>
      </c>
      <c r="P335" s="1">
        <v>4.9577743410000004</v>
      </c>
      <c r="Q335" s="1">
        <v>4.8773483779999998</v>
      </c>
      <c r="R335" s="1">
        <v>5.0965654090000001</v>
      </c>
      <c r="S335" s="1">
        <v>4.6194390810000003</v>
      </c>
      <c r="T335" s="1">
        <v>4.9864364329999997</v>
      </c>
      <c r="U335" s="1">
        <v>4.709731562</v>
      </c>
      <c r="V335" s="1">
        <v>5.1274300740000003</v>
      </c>
      <c r="W335" s="1">
        <v>4.9190341039999996</v>
      </c>
      <c r="X335" s="1">
        <v>4.6475707550000003</v>
      </c>
      <c r="Y335" s="1">
        <v>4.1479647589999997</v>
      </c>
      <c r="Z335" s="1">
        <v>5.0965654090000001</v>
      </c>
      <c r="AA335" s="1">
        <v>4.6194390810000003</v>
      </c>
      <c r="AB335" s="1">
        <v>5.1073354020000004</v>
      </c>
      <c r="AC335" s="1">
        <v>5.198889973</v>
      </c>
      <c r="AD335" s="1">
        <v>5.2159266190000002</v>
      </c>
      <c r="AE335" s="1">
        <v>4.8625108150000003</v>
      </c>
    </row>
    <row r="336" spans="1:31" s="1" customFormat="1" x14ac:dyDescent="0.25">
      <c r="A336" s="1" t="s">
        <v>694</v>
      </c>
      <c r="B336" s="1" t="s">
        <v>2525</v>
      </c>
      <c r="C336" s="1" t="s">
        <v>3154</v>
      </c>
      <c r="D336" s="1" t="s">
        <v>3155</v>
      </c>
      <c r="E336" s="1" t="s">
        <v>3156</v>
      </c>
      <c r="F336" s="1" t="s">
        <v>3157</v>
      </c>
      <c r="G336" s="1" t="s">
        <v>694</v>
      </c>
      <c r="H336" s="1">
        <v>6.1242673779999999</v>
      </c>
      <c r="I336" s="1">
        <v>5.8640648840000003</v>
      </c>
      <c r="J336" s="1">
        <v>7.0822770159999999</v>
      </c>
      <c r="K336" s="1">
        <v>6.7038094560000001</v>
      </c>
      <c r="L336" s="1">
        <v>7.1834010729999997</v>
      </c>
      <c r="M336" s="1">
        <v>7.2983125720000004</v>
      </c>
      <c r="N336" s="1">
        <v>6.0019412369999996</v>
      </c>
      <c r="O336" s="1">
        <v>5.9330167859999996</v>
      </c>
      <c r="P336" s="1">
        <v>6.7943075329999996</v>
      </c>
      <c r="Q336" s="1">
        <v>6.8115059909999998</v>
      </c>
      <c r="R336" s="1">
        <v>7.0638992009999999</v>
      </c>
      <c r="S336" s="1">
        <v>7.1020852879999996</v>
      </c>
      <c r="T336" s="1">
        <v>7.1834010729999997</v>
      </c>
      <c r="U336" s="1">
        <v>7.2983125720000004</v>
      </c>
      <c r="V336" s="1">
        <v>6.8084999039999996</v>
      </c>
      <c r="W336" s="1">
        <v>6.265991681</v>
      </c>
      <c r="X336" s="1">
        <v>6.823896983</v>
      </c>
      <c r="Y336" s="1">
        <v>6.1840201749999997</v>
      </c>
      <c r="Z336" s="1">
        <v>7.0638992009999999</v>
      </c>
      <c r="AA336" s="1">
        <v>7.1020852879999996</v>
      </c>
      <c r="AB336" s="1">
        <v>6.935033368</v>
      </c>
      <c r="AC336" s="1">
        <v>7.2155344560000003</v>
      </c>
      <c r="AD336" s="1">
        <v>6.9636701729999997</v>
      </c>
      <c r="AE336" s="1">
        <v>6.9731375299999998</v>
      </c>
    </row>
    <row r="337" spans="1:31" s="1" customFormat="1" x14ac:dyDescent="0.25">
      <c r="A337" s="1" t="s">
        <v>695</v>
      </c>
      <c r="B337" s="1" t="s">
        <v>2542</v>
      </c>
      <c r="C337" s="1" t="s">
        <v>2955</v>
      </c>
      <c r="D337" s="1" t="s">
        <v>2956</v>
      </c>
      <c r="E337" s="1" t="s">
        <v>2959</v>
      </c>
      <c r="F337" s="1" t="s">
        <v>2960</v>
      </c>
      <c r="G337" s="1" t="s">
        <v>695</v>
      </c>
      <c r="H337" s="1">
        <v>5.8817546890000001</v>
      </c>
      <c r="I337" s="1">
        <v>5.5529645800000003</v>
      </c>
      <c r="J337" s="1">
        <v>5.4770890750000003</v>
      </c>
      <c r="K337" s="1">
        <v>5.166960875</v>
      </c>
      <c r="L337" s="1">
        <v>6.3786386329999996</v>
      </c>
      <c r="M337" s="1">
        <v>6.2923515759999997</v>
      </c>
      <c r="N337" s="1">
        <v>5.878624276</v>
      </c>
      <c r="O337" s="1">
        <v>5.824131875</v>
      </c>
      <c r="P337" s="1">
        <v>6.0615870090000001</v>
      </c>
      <c r="Q337" s="1">
        <v>5.7514994149999996</v>
      </c>
      <c r="R337" s="1">
        <v>6.1928862330000003</v>
      </c>
      <c r="S337" s="1">
        <v>6.0973467069999998</v>
      </c>
      <c r="T337" s="1">
        <v>6.3786386329999996</v>
      </c>
      <c r="U337" s="1">
        <v>6.2923515759999997</v>
      </c>
      <c r="V337" s="1">
        <v>5.9705432629999997</v>
      </c>
      <c r="W337" s="1">
        <v>6.0977940090000002</v>
      </c>
      <c r="X337" s="1">
        <v>6.4202153790000001</v>
      </c>
      <c r="Y337" s="1">
        <v>6.2095953220000002</v>
      </c>
      <c r="Z337" s="1">
        <v>6.1928862330000003</v>
      </c>
      <c r="AA337" s="1">
        <v>6.0973467069999998</v>
      </c>
      <c r="AB337" s="1">
        <v>6.1502584210000002</v>
      </c>
      <c r="AC337" s="1">
        <v>6.2044385320000002</v>
      </c>
      <c r="AD337" s="1">
        <v>6.1407817189999996</v>
      </c>
      <c r="AE337" s="1">
        <v>5.8524340769999998</v>
      </c>
    </row>
    <row r="338" spans="1:31" s="1" customFormat="1" x14ac:dyDescent="0.25">
      <c r="A338" s="1" t="s">
        <v>696</v>
      </c>
      <c r="B338" s="1" t="s">
        <v>2598</v>
      </c>
      <c r="C338" s="1" t="s">
        <v>2795</v>
      </c>
      <c r="D338" s="1" t="s">
        <v>2896</v>
      </c>
      <c r="E338" s="1" t="s">
        <v>3158</v>
      </c>
      <c r="F338" s="1" t="s">
        <v>3159</v>
      </c>
      <c r="G338" s="1" t="s">
        <v>696</v>
      </c>
      <c r="H338" s="1">
        <v>4.995162745</v>
      </c>
      <c r="I338" s="1">
        <v>5.5529645800000003</v>
      </c>
      <c r="J338" s="1">
        <v>5.6809121170000001</v>
      </c>
      <c r="K338" s="1">
        <v>5.4059688240000003</v>
      </c>
      <c r="L338" s="1">
        <v>6.3502321200000003</v>
      </c>
      <c r="M338" s="1">
        <v>6.3936335379999996</v>
      </c>
      <c r="N338" s="1">
        <v>6.3653884090000004</v>
      </c>
      <c r="O338" s="1">
        <v>5.6856657850000003</v>
      </c>
      <c r="P338" s="1">
        <v>5.834784151</v>
      </c>
      <c r="Q338" s="1">
        <v>5.5780218530000001</v>
      </c>
      <c r="R338" s="1">
        <v>6.3514004780000004</v>
      </c>
      <c r="S338" s="1">
        <v>6.2136668149999998</v>
      </c>
      <c r="T338" s="1">
        <v>6.3502321200000003</v>
      </c>
      <c r="U338" s="1">
        <v>6.3936335379999996</v>
      </c>
      <c r="V338" s="1">
        <v>6.2204802570000002</v>
      </c>
      <c r="W338" s="1">
        <v>5.872872095</v>
      </c>
      <c r="X338" s="1">
        <v>6.21570512</v>
      </c>
      <c r="Y338" s="1">
        <v>5.5841077690000001</v>
      </c>
      <c r="Z338" s="1">
        <v>6.3514004780000004</v>
      </c>
      <c r="AA338" s="1">
        <v>6.2136668149999998</v>
      </c>
      <c r="AB338" s="1">
        <v>5.7218462399999996</v>
      </c>
      <c r="AC338" s="1">
        <v>5.7302515789999999</v>
      </c>
      <c r="AD338" s="1">
        <v>5.7012900599999998</v>
      </c>
      <c r="AE338" s="1">
        <v>6.1390820970000002</v>
      </c>
    </row>
    <row r="339" spans="1:31" s="1" customFormat="1" x14ac:dyDescent="0.25">
      <c r="A339" s="1" t="s">
        <v>713</v>
      </c>
      <c r="B339" s="1" t="s">
        <v>2520</v>
      </c>
      <c r="C339" s="1" t="s">
        <v>3160</v>
      </c>
      <c r="D339" s="1" t="s">
        <v>3161</v>
      </c>
      <c r="E339" s="1" t="s">
        <v>3162</v>
      </c>
      <c r="F339" s="1" t="s">
        <v>3163</v>
      </c>
      <c r="G339" s="1" t="s">
        <v>713</v>
      </c>
      <c r="H339" s="1">
        <v>8.4221662469999998</v>
      </c>
      <c r="I339" s="1">
        <v>8.6374103140000003</v>
      </c>
      <c r="J339" s="1">
        <v>7.6397835939999998</v>
      </c>
      <c r="K339" s="1">
        <v>7.3522597120000004</v>
      </c>
      <c r="L339" s="1">
        <v>7.0835108279999996</v>
      </c>
      <c r="M339" s="1">
        <v>7.0880162279999999</v>
      </c>
      <c r="N339" s="1">
        <v>8.0959787999999993</v>
      </c>
      <c r="O339" s="1">
        <v>8.1005494240000004</v>
      </c>
      <c r="P339" s="1">
        <v>7.6848500819999996</v>
      </c>
      <c r="Q339" s="1">
        <v>7.6946952670000002</v>
      </c>
      <c r="R339" s="1">
        <v>7.2477233400000003</v>
      </c>
      <c r="S339" s="1">
        <v>7.4721490179999996</v>
      </c>
      <c r="T339" s="1">
        <v>7.0835108279999996</v>
      </c>
      <c r="U339" s="1">
        <v>7.0880162279999999</v>
      </c>
      <c r="V339" s="1">
        <v>8.1230672459999997</v>
      </c>
      <c r="W339" s="1">
        <v>7.917971391</v>
      </c>
      <c r="X339" s="1">
        <v>7.3809311040000001</v>
      </c>
      <c r="Y339" s="1">
        <v>7.9313916190000002</v>
      </c>
      <c r="Z339" s="1">
        <v>7.2477233400000003</v>
      </c>
      <c r="AA339" s="1">
        <v>7.4721490179999996</v>
      </c>
      <c r="AB339" s="1">
        <v>7.3697328659999997</v>
      </c>
      <c r="AC339" s="1">
        <v>7.336648372</v>
      </c>
      <c r="AD339" s="1">
        <v>7.4939684189999998</v>
      </c>
      <c r="AE339" s="1">
        <v>7.7178764930000003</v>
      </c>
    </row>
    <row r="340" spans="1:31" s="1" customFormat="1" x14ac:dyDescent="0.25">
      <c r="A340" s="1" t="s">
        <v>714</v>
      </c>
      <c r="B340" s="1" t="s">
        <v>2557</v>
      </c>
      <c r="C340" s="1" t="s">
        <v>2680</v>
      </c>
      <c r="D340" s="1" t="s">
        <v>3164</v>
      </c>
      <c r="E340" s="1" t="s">
        <v>3165</v>
      </c>
      <c r="F340" s="1" t="s">
        <v>3166</v>
      </c>
      <c r="G340" s="1" t="s">
        <v>714</v>
      </c>
      <c r="H340" s="1">
        <v>8.6077782670000005</v>
      </c>
      <c r="I340" s="1">
        <v>8.6973006799999997</v>
      </c>
      <c r="J340" s="1">
        <v>8.5264408219999996</v>
      </c>
      <c r="K340" s="1">
        <v>8.5964044249999993</v>
      </c>
      <c r="L340" s="1">
        <v>7.8259230129999997</v>
      </c>
      <c r="M340" s="1">
        <v>7.9486691939999998</v>
      </c>
      <c r="N340" s="1">
        <v>8.202380024</v>
      </c>
      <c r="O340" s="1">
        <v>8.2859294460000008</v>
      </c>
      <c r="P340" s="1">
        <v>8.4289748339999999</v>
      </c>
      <c r="Q340" s="1">
        <v>8.1547020969999995</v>
      </c>
      <c r="R340" s="1">
        <v>8.2162054409999996</v>
      </c>
      <c r="S340" s="1">
        <v>8.3056318729999994</v>
      </c>
      <c r="T340" s="1">
        <v>7.8259230129999997</v>
      </c>
      <c r="U340" s="1">
        <v>7.9486691939999998</v>
      </c>
      <c r="V340" s="1">
        <v>8.7136249289999999</v>
      </c>
      <c r="W340" s="1">
        <v>8.362774344</v>
      </c>
      <c r="X340" s="1">
        <v>8.2487823260000006</v>
      </c>
      <c r="Y340" s="1">
        <v>8.6433231209999999</v>
      </c>
      <c r="Z340" s="1">
        <v>8.2162054409999996</v>
      </c>
      <c r="AA340" s="1">
        <v>8.3056318729999994</v>
      </c>
      <c r="AB340" s="1">
        <v>8.1854737820000008</v>
      </c>
      <c r="AC340" s="1">
        <v>8.3411705690000009</v>
      </c>
      <c r="AD340" s="1">
        <v>8.325025321</v>
      </c>
      <c r="AE340" s="1">
        <v>8.5169988940000003</v>
      </c>
    </row>
    <row r="341" spans="1:31" s="1" customFormat="1" x14ac:dyDescent="0.25">
      <c r="A341" s="1" t="s">
        <v>715</v>
      </c>
      <c r="B341" s="1" t="s">
        <v>2530</v>
      </c>
      <c r="C341" s="1" t="s">
        <v>2531</v>
      </c>
      <c r="D341" s="1" t="s">
        <v>2535</v>
      </c>
      <c r="E341" s="1" t="s">
        <v>3167</v>
      </c>
      <c r="G341" s="1" t="s">
        <v>715</v>
      </c>
      <c r="H341" s="1">
        <v>3.4660955969999998</v>
      </c>
      <c r="I341" s="1">
        <v>4.5981535630000003</v>
      </c>
      <c r="J341" s="1">
        <v>3.329519721</v>
      </c>
      <c r="K341" s="1">
        <v>3.4309024589999999</v>
      </c>
      <c r="L341" s="1">
        <v>3.4685048369999998</v>
      </c>
      <c r="M341" s="1">
        <v>2.8639998100000001</v>
      </c>
      <c r="N341" s="1">
        <v>3.444746345</v>
      </c>
      <c r="O341" s="1">
        <v>3.88533178</v>
      </c>
      <c r="P341" s="1">
        <v>3.3003929539999999</v>
      </c>
      <c r="Q341" s="1">
        <v>3.185675432</v>
      </c>
      <c r="R341" s="1">
        <v>3.1834741979999999</v>
      </c>
      <c r="S341" s="1">
        <v>3.3463386960000001</v>
      </c>
      <c r="T341" s="1">
        <v>3.4685048369999998</v>
      </c>
      <c r="U341" s="1">
        <v>2.8639998100000001</v>
      </c>
      <c r="V341" s="1">
        <v>3.0516113059999999</v>
      </c>
      <c r="W341" s="1">
        <v>3.0218530750000001</v>
      </c>
      <c r="X341" s="1">
        <v>3.6673381269999998</v>
      </c>
      <c r="Y341" s="1">
        <v>4.0337379980000003</v>
      </c>
      <c r="Z341" s="1">
        <v>3.1834741979999999</v>
      </c>
      <c r="AA341" s="1">
        <v>3.3463386960000001</v>
      </c>
      <c r="AB341" s="1">
        <v>2.73487305</v>
      </c>
      <c r="AC341" s="1">
        <v>3.1109927919999998</v>
      </c>
      <c r="AD341" s="1">
        <v>3.5727029510000001</v>
      </c>
      <c r="AE341" s="1">
        <v>3.0939349979999999</v>
      </c>
    </row>
    <row r="342" spans="1:31" x14ac:dyDescent="0.25">
      <c r="A342" s="1" t="s">
        <v>717</v>
      </c>
      <c r="B342" s="1" t="s">
        <v>2642</v>
      </c>
      <c r="C342" s="1" t="s">
        <v>2643</v>
      </c>
      <c r="D342" s="1" t="s">
        <v>2687</v>
      </c>
      <c r="E342" s="1" t="s">
        <v>3094</v>
      </c>
      <c r="F342" s="1" t="s">
        <v>3095</v>
      </c>
      <c r="G342" s="1" t="s">
        <v>717</v>
      </c>
      <c r="H342" s="1">
        <v>4.0684382540000001</v>
      </c>
      <c r="I342" s="1">
        <v>4.2055918060000002</v>
      </c>
      <c r="J342" s="1">
        <v>3.329519721</v>
      </c>
      <c r="K342" s="1">
        <v>3.607491666</v>
      </c>
      <c r="L342" s="1">
        <v>2.7248816410000001</v>
      </c>
      <c r="M342" s="1">
        <v>1.7393328349999999</v>
      </c>
      <c r="N342" s="1">
        <v>5.5749368700000002</v>
      </c>
      <c r="O342" s="1">
        <v>4.6248126879999996</v>
      </c>
      <c r="P342" s="1">
        <v>1.7393328349999999</v>
      </c>
      <c r="Q342" s="1">
        <v>1.7393328349999999</v>
      </c>
      <c r="R342" s="1">
        <v>2.9339002829999998</v>
      </c>
      <c r="S342" s="1">
        <v>1.7393328349999999</v>
      </c>
      <c r="T342" s="1">
        <v>2.7248816410000001</v>
      </c>
      <c r="U342" s="1">
        <v>1.7393328349999999</v>
      </c>
      <c r="V342" s="1">
        <v>1.7393328349999999</v>
      </c>
      <c r="W342" s="1">
        <v>1.7393328349999999</v>
      </c>
      <c r="X342" s="1">
        <v>3.4131791489999999</v>
      </c>
      <c r="Y342" s="1">
        <v>2.9733498090000001</v>
      </c>
      <c r="Z342" s="1">
        <v>2.9339002829999998</v>
      </c>
      <c r="AA342" s="1">
        <v>1.7393328349999999</v>
      </c>
      <c r="AB342" s="1">
        <v>3.404153038</v>
      </c>
      <c r="AC342" s="1">
        <v>2.5506926650000001</v>
      </c>
      <c r="AD342" s="1">
        <v>2.6025990879999998</v>
      </c>
      <c r="AE342" s="1">
        <v>4.2286559190000004</v>
      </c>
    </row>
    <row r="343" spans="1:31" x14ac:dyDescent="0.25">
      <c r="A343" s="1" t="s">
        <v>719</v>
      </c>
      <c r="B343" s="1" t="s">
        <v>2530</v>
      </c>
      <c r="C343" s="1" t="s">
        <v>2531</v>
      </c>
      <c r="D343" s="1" t="s">
        <v>2535</v>
      </c>
      <c r="E343" s="1" t="s">
        <v>2536</v>
      </c>
      <c r="G343" s="1" t="s">
        <v>719</v>
      </c>
      <c r="H343" s="1">
        <v>3.6455184960000002</v>
      </c>
      <c r="I343" s="1">
        <v>4.0101074990000001</v>
      </c>
      <c r="J343" s="1">
        <v>4.1077874330000004</v>
      </c>
      <c r="K343" s="1">
        <v>4.5171444090000001</v>
      </c>
      <c r="L343" s="1">
        <v>4.8833754540000003</v>
      </c>
      <c r="M343" s="1">
        <v>5.0606078119999998</v>
      </c>
      <c r="N343" s="1">
        <v>3.7779028299999999</v>
      </c>
      <c r="O343" s="1">
        <v>3.8071106499999998</v>
      </c>
      <c r="P343" s="1">
        <v>5.1467681949999999</v>
      </c>
      <c r="Q343" s="1">
        <v>4.2835653880000004</v>
      </c>
      <c r="R343" s="1">
        <v>4.6083586160000003</v>
      </c>
      <c r="S343" s="1">
        <v>4.5490843459999999</v>
      </c>
      <c r="T343" s="1">
        <v>4.8833754540000003</v>
      </c>
      <c r="U343" s="1">
        <v>5.0606078119999998</v>
      </c>
      <c r="V343" s="1">
        <v>4.7533922439999996</v>
      </c>
      <c r="W343" s="1">
        <v>5.1095551629999996</v>
      </c>
      <c r="X343" s="1">
        <v>5.0029944190000002</v>
      </c>
      <c r="Y343" s="1">
        <v>4.6081171230000004</v>
      </c>
      <c r="Z343" s="1">
        <v>4.6083586160000003</v>
      </c>
      <c r="AA343" s="1">
        <v>4.5490843459999999</v>
      </c>
      <c r="AB343" s="1">
        <v>4.7958605490000004</v>
      </c>
      <c r="AC343" s="1">
        <v>4.6870272159999997</v>
      </c>
      <c r="AD343" s="1">
        <v>5.0087140049999999</v>
      </c>
      <c r="AE343" s="1">
        <v>4.7636391339999999</v>
      </c>
    </row>
    <row r="344" spans="1:31" x14ac:dyDescent="0.25">
      <c r="A344" s="1" t="s">
        <v>727</v>
      </c>
      <c r="B344" s="1" t="s">
        <v>2525</v>
      </c>
      <c r="C344" s="1" t="s">
        <v>2526</v>
      </c>
      <c r="D344" s="1" t="s">
        <v>2535</v>
      </c>
      <c r="E344" s="1" t="s">
        <v>3168</v>
      </c>
      <c r="G344" s="1" t="s">
        <v>727</v>
      </c>
      <c r="H344" s="1">
        <v>4.995162745</v>
      </c>
      <c r="I344" s="1">
        <v>5.5177814730000003</v>
      </c>
      <c r="J344" s="1">
        <v>5.0051223570000003</v>
      </c>
      <c r="K344" s="1">
        <v>4.7454889089999996</v>
      </c>
      <c r="L344" s="1">
        <v>5.4665443290000004</v>
      </c>
      <c r="M344" s="1">
        <v>5.2356861500000003</v>
      </c>
      <c r="N344" s="1">
        <v>4.5366957899999996</v>
      </c>
      <c r="O344" s="1">
        <v>3.88533178</v>
      </c>
      <c r="P344" s="1">
        <v>5.4976972829999999</v>
      </c>
      <c r="Q344" s="1">
        <v>5.2931690810000003</v>
      </c>
      <c r="R344" s="1">
        <v>5.1961281320000001</v>
      </c>
      <c r="S344" s="1">
        <v>4.980227309</v>
      </c>
      <c r="T344" s="1">
        <v>5.4665443290000004</v>
      </c>
      <c r="U344" s="1">
        <v>5.2356861500000003</v>
      </c>
      <c r="V344" s="1">
        <v>5.4559769400000002</v>
      </c>
      <c r="W344" s="1">
        <v>5.16775612</v>
      </c>
      <c r="X344" s="1">
        <v>5.0029944190000002</v>
      </c>
      <c r="Y344" s="1">
        <v>5.7329513619999997</v>
      </c>
      <c r="Z344" s="1">
        <v>5.1961281320000001</v>
      </c>
      <c r="AA344" s="1">
        <v>4.980227309</v>
      </c>
      <c r="AB344" s="1">
        <v>4.6096720080000004</v>
      </c>
      <c r="AC344" s="1">
        <v>5.1552886820000001</v>
      </c>
      <c r="AD344" s="1">
        <v>4.95179218</v>
      </c>
      <c r="AE344" s="1">
        <v>4.8625108150000003</v>
      </c>
    </row>
    <row r="345" spans="1:31" x14ac:dyDescent="0.25">
      <c r="A345" s="1" t="s">
        <v>728</v>
      </c>
      <c r="B345" s="1" t="s">
        <v>2667</v>
      </c>
      <c r="C345" s="1" t="s">
        <v>2867</v>
      </c>
      <c r="D345" s="1" t="s">
        <v>3169</v>
      </c>
      <c r="E345" s="1" t="s">
        <v>3170</v>
      </c>
      <c r="F345" s="1" t="s">
        <v>3171</v>
      </c>
      <c r="G345" s="1" t="s">
        <v>728</v>
      </c>
      <c r="H345" s="1">
        <v>5.5062820300000004</v>
      </c>
      <c r="I345" s="1">
        <v>5.6535958219999998</v>
      </c>
      <c r="J345" s="1">
        <v>6.1831700180000002</v>
      </c>
      <c r="K345" s="1">
        <v>5.3612725399999999</v>
      </c>
      <c r="L345" s="1">
        <v>6.111512565</v>
      </c>
      <c r="M345" s="1">
        <v>6.1256430599999998</v>
      </c>
      <c r="N345" s="1">
        <v>5.428348615</v>
      </c>
      <c r="O345" s="1">
        <v>5.1947693419999998</v>
      </c>
      <c r="P345" s="1">
        <v>5.9651829550000004</v>
      </c>
      <c r="Q345" s="1">
        <v>5.6499570400000003</v>
      </c>
      <c r="R345" s="1">
        <v>6.6061768719999998</v>
      </c>
      <c r="S345" s="1">
        <v>6.0973467069999998</v>
      </c>
      <c r="T345" s="1">
        <v>6.111512565</v>
      </c>
      <c r="U345" s="1">
        <v>6.1256430599999998</v>
      </c>
      <c r="V345" s="1">
        <v>6.416733067</v>
      </c>
      <c r="W345" s="1">
        <v>5.7645115660000004</v>
      </c>
      <c r="X345" s="1">
        <v>6.1533217709999999</v>
      </c>
      <c r="Y345" s="1">
        <v>6.0201969059999998</v>
      </c>
      <c r="Z345" s="1">
        <v>6.6061768719999998</v>
      </c>
      <c r="AA345" s="1">
        <v>6.0973467069999998</v>
      </c>
      <c r="AB345" s="1">
        <v>6.1835402750000004</v>
      </c>
      <c r="AC345" s="1">
        <v>6.047382313</v>
      </c>
      <c r="AD345" s="1">
        <v>5.9522696560000004</v>
      </c>
      <c r="AE345" s="1">
        <v>6.031193128</v>
      </c>
    </row>
    <row r="346" spans="1:31" x14ac:dyDescent="0.25">
      <c r="A346" s="1" t="s">
        <v>739</v>
      </c>
      <c r="B346" s="1" t="s">
        <v>2530</v>
      </c>
      <c r="C346" s="1" t="s">
        <v>2531</v>
      </c>
      <c r="D346" s="1" t="s">
        <v>2535</v>
      </c>
      <c r="E346" s="1" t="s">
        <v>3172</v>
      </c>
      <c r="F346" s="1" t="s">
        <v>3173</v>
      </c>
      <c r="G346" s="1" t="s">
        <v>739</v>
      </c>
      <c r="H346" s="1">
        <v>6.9964650620000004</v>
      </c>
      <c r="I346" s="1">
        <v>7.4169289850000002</v>
      </c>
      <c r="J346" s="1">
        <v>6.4657385989999998</v>
      </c>
      <c r="K346" s="1">
        <v>6.4514685810000003</v>
      </c>
      <c r="L346" s="1">
        <v>6.2512732120000001</v>
      </c>
      <c r="M346" s="1">
        <v>6.4996506539999999</v>
      </c>
      <c r="N346" s="1">
        <v>7.089120791</v>
      </c>
      <c r="O346" s="1">
        <v>7.3226664210000001</v>
      </c>
      <c r="P346" s="1">
        <v>6.429694821</v>
      </c>
      <c r="Q346" s="1">
        <v>6.289960497</v>
      </c>
      <c r="R346" s="1">
        <v>6.239987642</v>
      </c>
      <c r="S346" s="1">
        <v>6.2136668149999998</v>
      </c>
      <c r="T346" s="1">
        <v>6.2512732120000001</v>
      </c>
      <c r="U346" s="1">
        <v>6.4996506539999999</v>
      </c>
      <c r="V346" s="1">
        <v>6.6186760830000004</v>
      </c>
      <c r="W346" s="1">
        <v>6.0677414089999999</v>
      </c>
      <c r="X346" s="1">
        <v>6.1405132890000003</v>
      </c>
      <c r="Y346" s="1">
        <v>6.6249961490000002</v>
      </c>
      <c r="Z346" s="1">
        <v>6.239987642</v>
      </c>
      <c r="AA346" s="1">
        <v>6.2136668149999998</v>
      </c>
      <c r="AB346" s="1">
        <v>6.4527679449999997</v>
      </c>
      <c r="AC346" s="1">
        <v>6.2044385320000002</v>
      </c>
      <c r="AD346" s="1">
        <v>6.9778452360000003</v>
      </c>
      <c r="AE346" s="1">
        <v>6.6570753529999998</v>
      </c>
    </row>
    <row r="347" spans="1:31" x14ac:dyDescent="0.25">
      <c r="A347" s="1" t="s">
        <v>743</v>
      </c>
      <c r="B347" s="1" t="s">
        <v>2530</v>
      </c>
      <c r="C347" s="1" t="s">
        <v>2531</v>
      </c>
      <c r="D347" s="1" t="s">
        <v>2535</v>
      </c>
      <c r="E347" s="1" t="s">
        <v>2536</v>
      </c>
      <c r="G347" s="1" t="s">
        <v>743</v>
      </c>
      <c r="H347" s="1">
        <v>4.6479005740000003</v>
      </c>
      <c r="I347" s="1">
        <v>4.3763156859999999</v>
      </c>
      <c r="J347" s="1">
        <v>4.2018709520000002</v>
      </c>
      <c r="K347" s="1">
        <v>4.3408695499999999</v>
      </c>
      <c r="L347" s="1">
        <v>3.6811173419999998</v>
      </c>
      <c r="M347" s="1">
        <v>3.7747836370000001</v>
      </c>
      <c r="N347" s="1">
        <v>3.9164981490000002</v>
      </c>
      <c r="O347" s="1">
        <v>3.9591193910000002</v>
      </c>
      <c r="P347" s="1">
        <v>3.6116823170000001</v>
      </c>
      <c r="Q347" s="1">
        <v>4.4575363990000003</v>
      </c>
      <c r="R347" s="1">
        <v>4.2802026870000001</v>
      </c>
      <c r="S347" s="1">
        <v>4.3966315629999997</v>
      </c>
      <c r="T347" s="1">
        <v>3.6811173419999998</v>
      </c>
      <c r="U347" s="1">
        <v>3.7747836370000001</v>
      </c>
      <c r="V347" s="1">
        <v>3.9849921849999999</v>
      </c>
      <c r="W347" s="1">
        <v>3.9848641250000001</v>
      </c>
      <c r="X347" s="1">
        <v>4.4502657640000001</v>
      </c>
      <c r="Y347" s="1">
        <v>3.6154848500000001</v>
      </c>
      <c r="Z347" s="1">
        <v>4.2802026870000001</v>
      </c>
      <c r="AA347" s="1">
        <v>4.3966315629999997</v>
      </c>
      <c r="AB347" s="1">
        <v>4.139369361</v>
      </c>
      <c r="AC347" s="1">
        <v>4.4881955270000002</v>
      </c>
      <c r="AD347" s="1">
        <v>3.725077481</v>
      </c>
      <c r="AE347" s="1">
        <v>3.5954838599999999</v>
      </c>
    </row>
    <row r="348" spans="1:31" x14ac:dyDescent="0.25">
      <c r="A348" s="1" t="s">
        <v>746</v>
      </c>
      <c r="B348" s="1" t="s">
        <v>2547</v>
      </c>
      <c r="C348" s="1" t="s">
        <v>2622</v>
      </c>
      <c r="D348" s="1" t="s">
        <v>2535</v>
      </c>
      <c r="E348" s="1" t="s">
        <v>3174</v>
      </c>
      <c r="G348" s="1" t="s">
        <v>746</v>
      </c>
      <c r="H348" s="1">
        <v>5.5896774330000003</v>
      </c>
      <c r="I348" s="1">
        <v>6.2534876759999998</v>
      </c>
      <c r="J348" s="1">
        <v>5.9926388770000001</v>
      </c>
      <c r="K348" s="1">
        <v>5.5719358019999996</v>
      </c>
      <c r="L348" s="1">
        <v>5.3938587340000002</v>
      </c>
      <c r="M348" s="1">
        <v>5.2895531800000004</v>
      </c>
      <c r="N348" s="1">
        <v>5.3135718379999997</v>
      </c>
      <c r="O348" s="1">
        <v>5.5778556410000002</v>
      </c>
      <c r="P348" s="1">
        <v>5.660815296</v>
      </c>
      <c r="Q348" s="1">
        <v>6.045837068</v>
      </c>
      <c r="R348" s="1">
        <v>5.2891602459999998</v>
      </c>
      <c r="S348" s="1">
        <v>5.1778667870000001</v>
      </c>
      <c r="T348" s="1">
        <v>5.3938587340000002</v>
      </c>
      <c r="U348" s="1">
        <v>5.2895531800000004</v>
      </c>
      <c r="V348" s="1">
        <v>5.4882083000000002</v>
      </c>
      <c r="W348" s="1">
        <v>4.9190341039999996</v>
      </c>
      <c r="X348" s="1">
        <v>4.97415056</v>
      </c>
      <c r="Y348" s="1">
        <v>5.5443425189999997</v>
      </c>
      <c r="Z348" s="1">
        <v>5.2891602459999998</v>
      </c>
      <c r="AA348" s="1">
        <v>5.1778667870000001</v>
      </c>
      <c r="AB348" s="1">
        <v>4.705867896</v>
      </c>
      <c r="AC348" s="1">
        <v>5.3221936159999998</v>
      </c>
      <c r="AD348" s="1">
        <v>5.1668950269999998</v>
      </c>
      <c r="AE348" s="1">
        <v>5.6481534240000002</v>
      </c>
    </row>
    <row r="349" spans="1:31" x14ac:dyDescent="0.25">
      <c r="A349" s="1" t="s">
        <v>747</v>
      </c>
      <c r="B349" s="1" t="s">
        <v>2525</v>
      </c>
      <c r="C349" s="1" t="s">
        <v>3175</v>
      </c>
      <c r="D349" s="1" t="s">
        <v>3176</v>
      </c>
      <c r="E349" s="1" t="s">
        <v>3177</v>
      </c>
      <c r="F349" s="1" t="s">
        <v>3178</v>
      </c>
      <c r="G349" s="1" t="s">
        <v>747</v>
      </c>
      <c r="H349" s="1">
        <v>6.765990908</v>
      </c>
      <c r="I349" s="1">
        <v>6.9885198099999997</v>
      </c>
      <c r="J349" s="1">
        <v>7.152203697</v>
      </c>
      <c r="K349" s="1">
        <v>6.7901886659999997</v>
      </c>
      <c r="L349" s="1">
        <v>6.957483667</v>
      </c>
      <c r="M349" s="1">
        <v>7.0955436860000001</v>
      </c>
      <c r="N349" s="1">
        <v>6.5978643630000002</v>
      </c>
      <c r="O349" s="1">
        <v>6.7304105019999998</v>
      </c>
      <c r="P349" s="1">
        <v>7.1520863200000004</v>
      </c>
      <c r="Q349" s="1">
        <v>6.987770662</v>
      </c>
      <c r="R349" s="1">
        <v>7.4004199469999996</v>
      </c>
      <c r="S349" s="1">
        <v>7.2178550819999998</v>
      </c>
      <c r="T349" s="1">
        <v>6.957483667</v>
      </c>
      <c r="U349" s="1">
        <v>7.0955436860000001</v>
      </c>
      <c r="V349" s="1">
        <v>6.8584365429999998</v>
      </c>
      <c r="W349" s="1">
        <v>6.657303325</v>
      </c>
      <c r="X349" s="1">
        <v>6.7667750739999999</v>
      </c>
      <c r="Y349" s="1">
        <v>7.1185527400000002</v>
      </c>
      <c r="Z349" s="1">
        <v>7.4004199469999996</v>
      </c>
      <c r="AA349" s="1">
        <v>7.2178550819999998</v>
      </c>
      <c r="AB349" s="1">
        <v>7.233602522</v>
      </c>
      <c r="AC349" s="1">
        <v>7.2049668000000002</v>
      </c>
      <c r="AD349" s="1">
        <v>6.9348946299999996</v>
      </c>
      <c r="AE349" s="1">
        <v>7.1249377129999996</v>
      </c>
    </row>
    <row r="350" spans="1:31" x14ac:dyDescent="0.25">
      <c r="A350" s="1" t="s">
        <v>748</v>
      </c>
      <c r="B350" s="1" t="s">
        <v>2579</v>
      </c>
      <c r="C350" s="1" t="s">
        <v>2585</v>
      </c>
      <c r="D350" s="1" t="s">
        <v>2586</v>
      </c>
      <c r="E350" s="1" t="s">
        <v>3179</v>
      </c>
      <c r="F350" s="1" t="s">
        <v>3180</v>
      </c>
      <c r="G350" s="1" t="s">
        <v>748</v>
      </c>
      <c r="H350" s="1">
        <v>8.8625587499999998</v>
      </c>
      <c r="I350" s="1">
        <v>8.3245032959999996</v>
      </c>
      <c r="J350" s="1">
        <v>8.909423812</v>
      </c>
      <c r="K350" s="1">
        <v>9.0064551999999996</v>
      </c>
      <c r="L350" s="1">
        <v>8.4667585390000006</v>
      </c>
      <c r="M350" s="1">
        <v>8.6540764970000001</v>
      </c>
      <c r="N350" s="1">
        <v>7.4919938070000001</v>
      </c>
      <c r="O350" s="1">
        <v>7.1903774570000003</v>
      </c>
      <c r="P350" s="1">
        <v>8.8211307810000008</v>
      </c>
      <c r="Q350" s="1">
        <v>8.8569348249999997</v>
      </c>
      <c r="R350" s="1">
        <v>9.0824651809999999</v>
      </c>
      <c r="S350" s="1">
        <v>8.9524291569999992</v>
      </c>
      <c r="T350" s="1">
        <v>8.4667585390000006</v>
      </c>
      <c r="U350" s="1">
        <v>8.6540764970000001</v>
      </c>
      <c r="V350" s="1">
        <v>8.7766174689999996</v>
      </c>
      <c r="W350" s="1">
        <v>8.7071241950000005</v>
      </c>
      <c r="X350" s="1">
        <v>8.964096434</v>
      </c>
      <c r="Y350" s="1">
        <v>8.8235618840000001</v>
      </c>
      <c r="Z350" s="1">
        <v>9.0824651809999999</v>
      </c>
      <c r="AA350" s="1">
        <v>8.9524291569999992</v>
      </c>
      <c r="AB350" s="1">
        <v>9.0343763100000007</v>
      </c>
      <c r="AC350" s="1">
        <v>8.8752342449999997</v>
      </c>
      <c r="AD350" s="1">
        <v>9.0733004390000005</v>
      </c>
      <c r="AE350" s="1">
        <v>9.1032369069999994</v>
      </c>
    </row>
    <row r="351" spans="1:31" x14ac:dyDescent="0.25">
      <c r="A351" s="1" t="s">
        <v>749</v>
      </c>
      <c r="B351" s="1" t="s">
        <v>2579</v>
      </c>
      <c r="C351" s="1" t="s">
        <v>2585</v>
      </c>
      <c r="D351" s="1" t="s">
        <v>2586</v>
      </c>
      <c r="E351" s="1" t="s">
        <v>3181</v>
      </c>
      <c r="F351" s="1" t="s">
        <v>3182</v>
      </c>
      <c r="G351" s="1" t="s">
        <v>749</v>
      </c>
      <c r="H351" s="1">
        <v>9.411012586</v>
      </c>
      <c r="I351" s="1">
        <v>9.0947372439999992</v>
      </c>
      <c r="J351" s="1">
        <v>9.9028066119999991</v>
      </c>
      <c r="K351" s="1">
        <v>9.9378462830000007</v>
      </c>
      <c r="L351" s="1">
        <v>9.6385362259999994</v>
      </c>
      <c r="M351" s="1">
        <v>9.8070159029999999</v>
      </c>
      <c r="N351" s="1">
        <v>7.931681867</v>
      </c>
      <c r="O351" s="1">
        <v>7.8327972670000001</v>
      </c>
      <c r="P351" s="1">
        <v>9.7895963039999998</v>
      </c>
      <c r="Q351" s="1">
        <v>9.9226138880000008</v>
      </c>
      <c r="R351" s="1">
        <v>9.7735939980000008</v>
      </c>
      <c r="S351" s="1">
        <v>9.9627646320000007</v>
      </c>
      <c r="T351" s="1">
        <v>9.6385362259999994</v>
      </c>
      <c r="U351" s="1">
        <v>9.8070159029999999</v>
      </c>
      <c r="V351" s="1">
        <v>9.7591028170000005</v>
      </c>
      <c r="W351" s="1">
        <v>9.7904574530000001</v>
      </c>
      <c r="X351" s="1">
        <v>9.9896327659999997</v>
      </c>
      <c r="Y351" s="1">
        <v>9.7360021129999996</v>
      </c>
      <c r="Z351" s="1">
        <v>9.7735939980000008</v>
      </c>
      <c r="AA351" s="1">
        <v>9.9627646320000007</v>
      </c>
      <c r="AB351" s="1">
        <v>9.9691727029999999</v>
      </c>
      <c r="AC351" s="1">
        <v>9.8379054650000004</v>
      </c>
      <c r="AD351" s="1">
        <v>9.9048648769999996</v>
      </c>
      <c r="AE351" s="1">
        <v>10.050372339999999</v>
      </c>
    </row>
    <row r="352" spans="1:31" x14ac:dyDescent="0.25">
      <c r="A352" s="1" t="s">
        <v>758</v>
      </c>
      <c r="B352" s="1" t="s">
        <v>2598</v>
      </c>
      <c r="C352" s="1" t="s">
        <v>3183</v>
      </c>
      <c r="D352" s="1" t="s">
        <v>2535</v>
      </c>
      <c r="E352" s="1" t="s">
        <v>3184</v>
      </c>
      <c r="G352" s="1" t="s">
        <v>758</v>
      </c>
      <c r="H352" s="1">
        <v>6.2317126350000001</v>
      </c>
      <c r="I352" s="1">
        <v>6.3160597540000003</v>
      </c>
      <c r="J352" s="1">
        <v>6.8909954960000004</v>
      </c>
      <c r="K352" s="1">
        <v>6.806859684</v>
      </c>
      <c r="L352" s="1">
        <v>6.3016040330000003</v>
      </c>
      <c r="M352" s="1">
        <v>6.38135662</v>
      </c>
      <c r="N352" s="1">
        <v>6.3305633200000004</v>
      </c>
      <c r="O352" s="1">
        <v>6.6793400549999999</v>
      </c>
      <c r="P352" s="1">
        <v>6.59966688</v>
      </c>
      <c r="Q352" s="1">
        <v>6.5742324390000002</v>
      </c>
      <c r="R352" s="1">
        <v>6.6061768719999998</v>
      </c>
      <c r="S352" s="1">
        <v>6.2576799799999998</v>
      </c>
      <c r="T352" s="1">
        <v>6.3016040330000003</v>
      </c>
      <c r="U352" s="1">
        <v>6.38135662</v>
      </c>
      <c r="V352" s="1">
        <v>6.3308320719999998</v>
      </c>
      <c r="W352" s="1">
        <v>6.657303325</v>
      </c>
      <c r="X352" s="1">
        <v>6.2518750860000001</v>
      </c>
      <c r="Y352" s="1">
        <v>6.4855214879999998</v>
      </c>
      <c r="Z352" s="1">
        <v>6.6061768719999998</v>
      </c>
      <c r="AA352" s="1">
        <v>6.2576799799999998</v>
      </c>
      <c r="AB352" s="1">
        <v>6.3971449009999999</v>
      </c>
      <c r="AC352" s="1">
        <v>6.6566026520000001</v>
      </c>
      <c r="AD352" s="1">
        <v>5.396704357</v>
      </c>
      <c r="AE352" s="1">
        <v>6.2987649059999997</v>
      </c>
    </row>
    <row r="353" spans="1:31" x14ac:dyDescent="0.25">
      <c r="A353" s="1" t="s">
        <v>762</v>
      </c>
      <c r="B353" s="1" t="s">
        <v>2662</v>
      </c>
      <c r="C353" s="1" t="s">
        <v>2663</v>
      </c>
      <c r="D353" s="1" t="s">
        <v>2664</v>
      </c>
      <c r="E353" s="1" t="s">
        <v>3185</v>
      </c>
      <c r="F353" s="1" t="s">
        <v>3186</v>
      </c>
      <c r="G353" s="1" t="s">
        <v>762</v>
      </c>
      <c r="H353" s="1">
        <v>8.4885301989999995</v>
      </c>
      <c r="I353" s="1">
        <v>8.4033386550000007</v>
      </c>
      <c r="J353" s="1">
        <v>8.6321321100000006</v>
      </c>
      <c r="K353" s="1">
        <v>8.6435321320000007</v>
      </c>
      <c r="L353" s="1">
        <v>8.6191451850000007</v>
      </c>
      <c r="M353" s="1">
        <v>8.6893082180000007</v>
      </c>
      <c r="N353" s="1">
        <v>7.9996626190000004</v>
      </c>
      <c r="O353" s="1">
        <v>7.8559610449999999</v>
      </c>
      <c r="P353" s="1">
        <v>8.8449686280000002</v>
      </c>
      <c r="Q353" s="1">
        <v>8.7305277960000005</v>
      </c>
      <c r="R353" s="1">
        <v>9.0029352970000005</v>
      </c>
      <c r="S353" s="1">
        <v>8.9288486270000007</v>
      </c>
      <c r="T353" s="1">
        <v>8.6191451850000007</v>
      </c>
      <c r="U353" s="1">
        <v>8.6893082180000007</v>
      </c>
      <c r="V353" s="1">
        <v>8.9361519969999996</v>
      </c>
      <c r="W353" s="1">
        <v>9.1115377049999999</v>
      </c>
      <c r="X353" s="1">
        <v>9.6530661480000006</v>
      </c>
      <c r="Y353" s="1">
        <v>9.4288847849999993</v>
      </c>
      <c r="Z353" s="1">
        <v>9.0029352970000005</v>
      </c>
      <c r="AA353" s="1">
        <v>8.9288486270000007</v>
      </c>
      <c r="AB353" s="1">
        <v>9.3984478990000007</v>
      </c>
      <c r="AC353" s="1">
        <v>9.2254491119999997</v>
      </c>
      <c r="AD353" s="1">
        <v>9.6633180169999999</v>
      </c>
      <c r="AE353" s="1">
        <v>9.6486295280000007</v>
      </c>
    </row>
    <row r="354" spans="1:31" x14ac:dyDescent="0.25">
      <c r="A354" s="1" t="s">
        <v>763</v>
      </c>
      <c r="B354" s="1" t="s">
        <v>2598</v>
      </c>
      <c r="C354" s="1" t="s">
        <v>2603</v>
      </c>
      <c r="D354" s="1" t="s">
        <v>3187</v>
      </c>
      <c r="E354" s="1" t="s">
        <v>3188</v>
      </c>
      <c r="F354" s="1" t="s">
        <v>3189</v>
      </c>
      <c r="G354" s="1" t="s">
        <v>763</v>
      </c>
      <c r="H354" s="1">
        <v>5.6296178589999997</v>
      </c>
      <c r="I354" s="1">
        <v>5.9189259930000002</v>
      </c>
      <c r="J354" s="1">
        <v>5.6809121170000001</v>
      </c>
      <c r="K354" s="1">
        <v>5.4913640639999999</v>
      </c>
      <c r="L354" s="1">
        <v>6.4428166300000003</v>
      </c>
      <c r="M354" s="1">
        <v>6.4058065400000004</v>
      </c>
      <c r="N354" s="1">
        <v>5.9416077520000004</v>
      </c>
      <c r="O354" s="1">
        <v>5.7859173799999999</v>
      </c>
      <c r="P354" s="1">
        <v>6.3556532560000001</v>
      </c>
      <c r="Q354" s="1">
        <v>5.9637007390000001</v>
      </c>
      <c r="R354" s="1">
        <v>6.3297979870000001</v>
      </c>
      <c r="S354" s="1">
        <v>6.0480456849999999</v>
      </c>
      <c r="T354" s="1">
        <v>6.4428166300000003</v>
      </c>
      <c r="U354" s="1">
        <v>6.4058065400000004</v>
      </c>
      <c r="V354" s="1">
        <v>6.6473747999999997</v>
      </c>
      <c r="W354" s="1">
        <v>6.0056801469999996</v>
      </c>
      <c r="X354" s="1">
        <v>5.9332613380000003</v>
      </c>
      <c r="Y354" s="1">
        <v>5.7329513619999997</v>
      </c>
      <c r="Z354" s="1">
        <v>6.3297979870000001</v>
      </c>
      <c r="AA354" s="1">
        <v>6.0480456849999999</v>
      </c>
      <c r="AB354" s="1">
        <v>5.6280506069999996</v>
      </c>
      <c r="AC354" s="1">
        <v>6.2044385320000002</v>
      </c>
      <c r="AD354" s="1">
        <v>5.5945353439999996</v>
      </c>
      <c r="AE354" s="1">
        <v>6.0029044730000001</v>
      </c>
    </row>
    <row r="355" spans="1:31" x14ac:dyDescent="0.25">
      <c r="A355" s="1" t="s">
        <v>764</v>
      </c>
      <c r="B355" s="1" t="s">
        <v>2530</v>
      </c>
      <c r="C355" s="1" t="s">
        <v>2531</v>
      </c>
      <c r="D355" s="1" t="s">
        <v>2535</v>
      </c>
      <c r="E355" s="1" t="s">
        <v>2536</v>
      </c>
      <c r="G355" s="1" t="s">
        <v>764</v>
      </c>
      <c r="H355" s="1">
        <v>4.995162745</v>
      </c>
      <c r="I355" s="1">
        <v>5.4817092260000004</v>
      </c>
      <c r="J355" s="1">
        <v>4.2018709520000002</v>
      </c>
      <c r="K355" s="1">
        <v>3.607491666</v>
      </c>
      <c r="L355" s="1">
        <v>4.0714409539999998</v>
      </c>
      <c r="M355" s="1">
        <v>3.8521266660000002</v>
      </c>
      <c r="N355" s="1">
        <v>5.2145790439999997</v>
      </c>
      <c r="O355" s="1">
        <v>4.5801520279999997</v>
      </c>
      <c r="P355" s="1">
        <v>4.0684607960000001</v>
      </c>
      <c r="Q355" s="1">
        <v>4.2835653880000004</v>
      </c>
      <c r="R355" s="1">
        <v>3.7109484589999999</v>
      </c>
      <c r="S355" s="1">
        <v>3.9182367880000002</v>
      </c>
      <c r="T355" s="1">
        <v>4.0714409539999998</v>
      </c>
      <c r="U355" s="1">
        <v>3.8521266660000002</v>
      </c>
      <c r="V355" s="1">
        <v>4.0758289169999999</v>
      </c>
      <c r="W355" s="1">
        <v>4.3370700810000002</v>
      </c>
      <c r="X355" s="1">
        <v>3.7416722899999999</v>
      </c>
      <c r="Y355" s="1">
        <v>4.1479647589999997</v>
      </c>
      <c r="Z355" s="1">
        <v>3.7109484589999999</v>
      </c>
      <c r="AA355" s="1">
        <v>3.9182367880000002</v>
      </c>
      <c r="AB355" s="1">
        <v>2.73487305</v>
      </c>
      <c r="AC355" s="1">
        <v>3.1109927919999998</v>
      </c>
      <c r="AD355" s="1">
        <v>3.1944880649999998</v>
      </c>
      <c r="AE355" s="1">
        <v>3.9499994520000001</v>
      </c>
    </row>
    <row r="356" spans="1:31" x14ac:dyDescent="0.25">
      <c r="A356" s="1" t="s">
        <v>772</v>
      </c>
      <c r="B356" s="1" t="s">
        <v>2530</v>
      </c>
      <c r="C356" s="1" t="s">
        <v>2531</v>
      </c>
      <c r="D356" s="1" t="s">
        <v>2535</v>
      </c>
      <c r="E356" s="1" t="s">
        <v>2536</v>
      </c>
      <c r="G356" s="1" t="s">
        <v>772</v>
      </c>
      <c r="H356" s="1">
        <v>5.0553993879999997</v>
      </c>
      <c r="I356" s="1">
        <v>5.3275363779999996</v>
      </c>
      <c r="J356" s="1">
        <v>4.2898244959999996</v>
      </c>
      <c r="K356" s="1">
        <v>4.8139921829999999</v>
      </c>
      <c r="L356" s="1">
        <v>3.918224124</v>
      </c>
      <c r="M356" s="1">
        <v>3.8521266660000002</v>
      </c>
      <c r="N356" s="1">
        <v>5.428348615</v>
      </c>
      <c r="O356" s="1">
        <v>5.1947693419999998</v>
      </c>
      <c r="P356" s="1">
        <v>4.3303557189999999</v>
      </c>
      <c r="Q356" s="1">
        <v>3.9718447549999998</v>
      </c>
      <c r="R356" s="1">
        <v>4.3698765340000003</v>
      </c>
      <c r="S356" s="1">
        <v>4.1304223819999999</v>
      </c>
      <c r="T356" s="1">
        <v>3.918224124</v>
      </c>
      <c r="U356" s="1">
        <v>3.8521266660000002</v>
      </c>
      <c r="V356" s="1">
        <v>4.8059579570000004</v>
      </c>
      <c r="W356" s="1">
        <v>3.50175473</v>
      </c>
      <c r="X356" s="1">
        <v>3.9418607479999999</v>
      </c>
      <c r="Y356" s="1">
        <v>4.6081171230000004</v>
      </c>
      <c r="Z356" s="1">
        <v>4.3698765340000003</v>
      </c>
      <c r="AA356" s="1">
        <v>4.1304223819999999</v>
      </c>
      <c r="AB356" s="1">
        <v>4.2729702720000002</v>
      </c>
      <c r="AC356" s="1">
        <v>4.1685844940000001</v>
      </c>
      <c r="AD356" s="1">
        <v>4.0967699450000001</v>
      </c>
      <c r="AE356" s="1">
        <v>4.2780702540000002</v>
      </c>
    </row>
    <row r="357" spans="1:31" x14ac:dyDescent="0.25">
      <c r="A357" s="1" t="s">
        <v>773</v>
      </c>
      <c r="B357" s="1" t="s">
        <v>2667</v>
      </c>
      <c r="C357" s="1" t="s">
        <v>2802</v>
      </c>
      <c r="D357" s="1" t="s">
        <v>3190</v>
      </c>
      <c r="E357" s="1" t="s">
        <v>3191</v>
      </c>
      <c r="F357" s="1" t="s">
        <v>3192</v>
      </c>
      <c r="G357" s="1" t="s">
        <v>773</v>
      </c>
      <c r="H357" s="1">
        <v>6.9183184219999996</v>
      </c>
      <c r="I357" s="1">
        <v>6.7972768459999999</v>
      </c>
      <c r="J357" s="1">
        <v>7.2826339170000001</v>
      </c>
      <c r="K357" s="1">
        <v>7.2216472190000003</v>
      </c>
      <c r="L357" s="1">
        <v>6.9885052459999999</v>
      </c>
      <c r="M357" s="1">
        <v>7.1758500060000001</v>
      </c>
      <c r="N357" s="1">
        <v>7.1233975809999999</v>
      </c>
      <c r="O357" s="1">
        <v>7.4191532240000004</v>
      </c>
      <c r="P357" s="1">
        <v>7.2265994510000002</v>
      </c>
      <c r="Q357" s="1">
        <v>7.3086925369999998</v>
      </c>
      <c r="R357" s="1">
        <v>7.2818332379999999</v>
      </c>
      <c r="S357" s="1">
        <v>7.1259952369999997</v>
      </c>
      <c r="T357" s="1">
        <v>6.9885052459999999</v>
      </c>
      <c r="U357" s="1">
        <v>7.1758500060000001</v>
      </c>
      <c r="V357" s="1">
        <v>7.547442191</v>
      </c>
      <c r="W357" s="1">
        <v>7.3973631339999999</v>
      </c>
      <c r="X357" s="1">
        <v>7.0527347530000002</v>
      </c>
      <c r="Y357" s="1">
        <v>7.1844257139999996</v>
      </c>
      <c r="Z357" s="1">
        <v>7.2818332379999999</v>
      </c>
      <c r="AA357" s="1">
        <v>7.1259952369999997</v>
      </c>
      <c r="AB357" s="1">
        <v>7.5461211700000002</v>
      </c>
      <c r="AC357" s="1">
        <v>7.2570468699999999</v>
      </c>
      <c r="AD357" s="1">
        <v>7.3379235500000002</v>
      </c>
      <c r="AE357" s="1">
        <v>7.5328794800000001</v>
      </c>
    </row>
    <row r="358" spans="1:31" x14ac:dyDescent="0.25">
      <c r="A358" s="1" t="s">
        <v>774</v>
      </c>
      <c r="B358" s="1" t="s">
        <v>2530</v>
      </c>
      <c r="C358" s="1" t="s">
        <v>2531</v>
      </c>
      <c r="D358" s="1" t="s">
        <v>2535</v>
      </c>
      <c r="E358" s="1" t="s">
        <v>3193</v>
      </c>
      <c r="G358" s="1" t="s">
        <v>774</v>
      </c>
      <c r="H358" s="1">
        <v>7.4825364179999996</v>
      </c>
      <c r="I358" s="1">
        <v>7.6368393430000001</v>
      </c>
      <c r="J358" s="1">
        <v>6.8909954960000004</v>
      </c>
      <c r="K358" s="1">
        <v>6.8233399239999999</v>
      </c>
      <c r="L358" s="1">
        <v>7.3786557000000004</v>
      </c>
      <c r="M358" s="1">
        <v>7.5491158240000003</v>
      </c>
      <c r="N358" s="1">
        <v>7.8521878970000003</v>
      </c>
      <c r="O358" s="1">
        <v>7.6854105390000003</v>
      </c>
      <c r="P358" s="1">
        <v>7.1189337139999997</v>
      </c>
      <c r="Q358" s="1">
        <v>7.3197157400000004</v>
      </c>
      <c r="R358" s="1">
        <v>7.050768648</v>
      </c>
      <c r="S358" s="1">
        <v>7.1259952369999997</v>
      </c>
      <c r="T358" s="1">
        <v>7.3786557000000004</v>
      </c>
      <c r="U358" s="1">
        <v>7.5491158240000003</v>
      </c>
      <c r="V358" s="1">
        <v>7.4119494479999997</v>
      </c>
      <c r="W358" s="1">
        <v>7.1621289209999999</v>
      </c>
      <c r="X358" s="1">
        <v>7.4078551949999998</v>
      </c>
      <c r="Y358" s="1">
        <v>7.5568595529999998</v>
      </c>
      <c r="Z358" s="1">
        <v>7.050768648</v>
      </c>
      <c r="AA358" s="1">
        <v>7.1259952369999997</v>
      </c>
      <c r="AB358" s="1">
        <v>7.2493787579999998</v>
      </c>
      <c r="AC358" s="1">
        <v>7.1287405320000001</v>
      </c>
      <c r="AD358" s="1">
        <v>7.326894544</v>
      </c>
      <c r="AE358" s="1">
        <v>7.4826678009999998</v>
      </c>
    </row>
    <row r="359" spans="1:31" x14ac:dyDescent="0.25">
      <c r="A359" s="1" t="s">
        <v>775</v>
      </c>
      <c r="B359" s="1" t="s">
        <v>2557</v>
      </c>
      <c r="C359" s="1" t="s">
        <v>2718</v>
      </c>
      <c r="D359" s="1" t="s">
        <v>3194</v>
      </c>
      <c r="E359" s="1" t="s">
        <v>3195</v>
      </c>
      <c r="F359" s="1" t="s">
        <v>3196</v>
      </c>
      <c r="G359" s="1" t="s">
        <v>775</v>
      </c>
      <c r="H359" s="1">
        <v>5.6296178589999997</v>
      </c>
      <c r="I359" s="1">
        <v>5.9455889470000001</v>
      </c>
      <c r="J359" s="1">
        <v>4.6607313550000002</v>
      </c>
      <c r="K359" s="1">
        <v>5.0014827119999996</v>
      </c>
      <c r="L359" s="1">
        <v>4.4107687259999997</v>
      </c>
      <c r="M359" s="1">
        <v>4.3982295550000003</v>
      </c>
      <c r="N359" s="1">
        <v>5.8624363539999997</v>
      </c>
      <c r="O359" s="1">
        <v>5.9330167859999996</v>
      </c>
      <c r="P359" s="1">
        <v>4.6160325330000003</v>
      </c>
      <c r="Q359" s="1">
        <v>4.683187717</v>
      </c>
      <c r="R359" s="1">
        <v>4.45403635</v>
      </c>
      <c r="S359" s="1">
        <v>4.5490843459999999</v>
      </c>
      <c r="T359" s="1">
        <v>4.4107687259999997</v>
      </c>
      <c r="U359" s="1">
        <v>4.3982295550000003</v>
      </c>
      <c r="V359" s="1">
        <v>4.9055261469999998</v>
      </c>
      <c r="W359" s="1">
        <v>5.6059572260000001</v>
      </c>
      <c r="X359" s="1">
        <v>4.4502657640000001</v>
      </c>
      <c r="Y359" s="1">
        <v>5.6604650660000004</v>
      </c>
      <c r="Z359" s="1">
        <v>4.45403635</v>
      </c>
      <c r="AA359" s="1">
        <v>4.5490843459999999</v>
      </c>
      <c r="AB359" s="1">
        <v>5.3624643089999999</v>
      </c>
      <c r="AC359" s="1">
        <v>4.8053838390000001</v>
      </c>
      <c r="AD359" s="1">
        <v>5.4385263000000004</v>
      </c>
      <c r="AE359" s="1">
        <v>5.2736981710000004</v>
      </c>
    </row>
    <row r="360" spans="1:31" x14ac:dyDescent="0.25">
      <c r="A360" s="1" t="s">
        <v>777</v>
      </c>
      <c r="B360" s="1" t="s">
        <v>2547</v>
      </c>
      <c r="C360" s="1" t="s">
        <v>2566</v>
      </c>
      <c r="D360" s="1" t="s">
        <v>2535</v>
      </c>
      <c r="E360" s="1" t="s">
        <v>3197</v>
      </c>
      <c r="F360" s="1" t="s">
        <v>3198</v>
      </c>
      <c r="G360" s="1" t="s">
        <v>777</v>
      </c>
      <c r="H360" s="1">
        <v>3.4660955969999998</v>
      </c>
      <c r="I360" s="1">
        <v>3.9003964459999998</v>
      </c>
      <c r="J360" s="1">
        <v>3.1324899180000001</v>
      </c>
      <c r="K360" s="1">
        <v>3.4309024589999999</v>
      </c>
      <c r="L360" s="1">
        <v>4.8563863139999999</v>
      </c>
      <c r="M360" s="1">
        <v>4.7490378550000001</v>
      </c>
      <c r="N360" s="1">
        <v>3.8490531570000002</v>
      </c>
      <c r="O360" s="1">
        <v>4.0289865369999998</v>
      </c>
      <c r="P360" s="1">
        <v>3.9684043939999998</v>
      </c>
      <c r="Q360" s="1">
        <v>4.7509440400000003</v>
      </c>
      <c r="R360" s="1">
        <v>3.7109484589999999</v>
      </c>
      <c r="S360" s="1">
        <v>4.3966315629999997</v>
      </c>
      <c r="T360" s="1">
        <v>4.8563863139999999</v>
      </c>
      <c r="U360" s="1">
        <v>4.7490378550000001</v>
      </c>
      <c r="V360" s="1">
        <v>3.7819764450000002</v>
      </c>
      <c r="W360" s="1">
        <v>4.3370700810000002</v>
      </c>
      <c r="X360" s="1">
        <v>4.9146300209999998</v>
      </c>
      <c r="Y360" s="1">
        <v>4.2532353330000001</v>
      </c>
      <c r="Z360" s="1">
        <v>3.7109484589999999</v>
      </c>
      <c r="AA360" s="1">
        <v>4.3966315629999997</v>
      </c>
      <c r="AB360" s="1">
        <v>3.990981031</v>
      </c>
      <c r="AC360" s="1">
        <v>4.6870272159999997</v>
      </c>
      <c r="AD360" s="1">
        <v>4.3870463700000002</v>
      </c>
      <c r="AE360" s="1">
        <v>4.1773695330000002</v>
      </c>
    </row>
    <row r="361" spans="1:31" x14ac:dyDescent="0.25">
      <c r="A361" s="1" t="s">
        <v>786</v>
      </c>
      <c r="B361" s="1" t="s">
        <v>2547</v>
      </c>
      <c r="C361" s="1" t="s">
        <v>2694</v>
      </c>
      <c r="D361" s="1" t="s">
        <v>3199</v>
      </c>
      <c r="E361" s="1" t="s">
        <v>2738</v>
      </c>
      <c r="G361" s="1" t="s">
        <v>786</v>
      </c>
      <c r="H361" s="1">
        <v>5.3232649629999997</v>
      </c>
      <c r="I361" s="1">
        <v>5.3275363779999996</v>
      </c>
      <c r="J361" s="1">
        <v>5.2817155790000001</v>
      </c>
      <c r="K361" s="1">
        <v>5.166960875</v>
      </c>
      <c r="L361" s="1">
        <v>5.993912463</v>
      </c>
      <c r="M361" s="1">
        <v>5.5541105499999999</v>
      </c>
      <c r="N361" s="1">
        <v>5.3135718379999997</v>
      </c>
      <c r="O361" s="1">
        <v>5.5778556410000002</v>
      </c>
      <c r="P361" s="1">
        <v>5.426847231</v>
      </c>
      <c r="Q361" s="1">
        <v>5.5022716190000001</v>
      </c>
      <c r="R361" s="1">
        <v>4.7472384160000001</v>
      </c>
      <c r="S361" s="1">
        <v>5.032286365</v>
      </c>
      <c r="T361" s="1">
        <v>5.993912463</v>
      </c>
      <c r="U361" s="1">
        <v>5.5541105499999999</v>
      </c>
      <c r="V361" s="1">
        <v>4.6987742170000004</v>
      </c>
      <c r="W361" s="1">
        <v>5.6059572260000001</v>
      </c>
      <c r="X361" s="1">
        <v>5.3771830209999996</v>
      </c>
      <c r="Y361" s="1">
        <v>5.3269702959999998</v>
      </c>
      <c r="Z361" s="1">
        <v>4.7472384160000001</v>
      </c>
      <c r="AA361" s="1">
        <v>5.032286365</v>
      </c>
      <c r="AB361" s="1">
        <v>5.3624643089999999</v>
      </c>
      <c r="AC361" s="1">
        <v>5.0638423939999999</v>
      </c>
      <c r="AD361" s="1">
        <v>5.4791562909999998</v>
      </c>
      <c r="AE361" s="1">
        <v>5.2252968339999999</v>
      </c>
    </row>
    <row r="362" spans="1:31" x14ac:dyDescent="0.25">
      <c r="A362" s="1" t="s">
        <v>787</v>
      </c>
      <c r="B362" s="1" t="s">
        <v>2598</v>
      </c>
      <c r="C362" s="1" t="s">
        <v>2795</v>
      </c>
      <c r="D362" s="1" t="s">
        <v>2896</v>
      </c>
      <c r="E362" s="1" t="s">
        <v>3200</v>
      </c>
      <c r="F362" s="1" t="s">
        <v>3201</v>
      </c>
      <c r="G362" s="1" t="s">
        <v>787</v>
      </c>
      <c r="H362" s="1">
        <v>6.1242673779999999</v>
      </c>
      <c r="I362" s="1">
        <v>5.6856247609999997</v>
      </c>
      <c r="J362" s="1">
        <v>6.3513642939999997</v>
      </c>
      <c r="K362" s="1">
        <v>5.9485821269999999</v>
      </c>
      <c r="L362" s="1">
        <v>6.4869659129999997</v>
      </c>
      <c r="M362" s="1">
        <v>6.4996506539999999</v>
      </c>
      <c r="N362" s="1">
        <v>6.1017809820000002</v>
      </c>
      <c r="O362" s="1">
        <v>6.0342145780000003</v>
      </c>
      <c r="P362" s="1">
        <v>6.6156100010000003</v>
      </c>
      <c r="Q362" s="1">
        <v>6.2209780280000002</v>
      </c>
      <c r="R362" s="1">
        <v>6.5512588940000001</v>
      </c>
      <c r="S362" s="1">
        <v>6.478262194</v>
      </c>
      <c r="T362" s="1">
        <v>6.4869659129999997</v>
      </c>
      <c r="U362" s="1">
        <v>6.4996506539999999</v>
      </c>
      <c r="V362" s="1">
        <v>6.2204802570000002</v>
      </c>
      <c r="W362" s="1">
        <v>6.3432413370000003</v>
      </c>
      <c r="X362" s="1">
        <v>6.6452477740000004</v>
      </c>
      <c r="Y362" s="1">
        <v>6.2347231909999996</v>
      </c>
      <c r="Z362" s="1">
        <v>6.5512588940000001</v>
      </c>
      <c r="AA362" s="1">
        <v>6.478262194</v>
      </c>
      <c r="AB362" s="1">
        <v>6.4252252849999998</v>
      </c>
      <c r="AC362" s="1">
        <v>6.3266154559999999</v>
      </c>
      <c r="AD362" s="1">
        <v>6.4768062029999998</v>
      </c>
      <c r="AE362" s="1">
        <v>6.4319108390000004</v>
      </c>
    </row>
    <row r="363" spans="1:31" x14ac:dyDescent="0.25">
      <c r="A363" s="1" t="s">
        <v>788</v>
      </c>
      <c r="B363" s="1" t="s">
        <v>2539</v>
      </c>
      <c r="C363" s="1" t="s">
        <v>2563</v>
      </c>
      <c r="D363" s="1" t="s">
        <v>3202</v>
      </c>
      <c r="E363" s="1" t="s">
        <v>3203</v>
      </c>
      <c r="F363" s="1" t="s">
        <v>3204</v>
      </c>
      <c r="G363" s="1" t="s">
        <v>788</v>
      </c>
      <c r="H363" s="1">
        <v>5.7062998909999996</v>
      </c>
      <c r="I363" s="1">
        <v>5.6535958219999998</v>
      </c>
      <c r="J363" s="1">
        <v>4.8434621079999998</v>
      </c>
      <c r="K363" s="1">
        <v>4.6734567340000002</v>
      </c>
      <c r="L363" s="1">
        <v>5.3750929149999997</v>
      </c>
      <c r="M363" s="1">
        <v>5.029201552</v>
      </c>
      <c r="N363" s="1">
        <v>5.5749368700000002</v>
      </c>
      <c r="O363" s="1">
        <v>4.7100516409999997</v>
      </c>
      <c r="P363" s="1">
        <v>4.8528499219999999</v>
      </c>
      <c r="Q363" s="1">
        <v>4.8773483779999998</v>
      </c>
      <c r="R363" s="1">
        <v>5.0440296189999998</v>
      </c>
      <c r="S363" s="1">
        <v>4.3966315629999997</v>
      </c>
      <c r="T363" s="1">
        <v>5.3750929149999997</v>
      </c>
      <c r="U363" s="1">
        <v>5.029201552</v>
      </c>
      <c r="V363" s="1">
        <v>4.4559512029999997</v>
      </c>
      <c r="W363" s="1">
        <v>4.8493412630000003</v>
      </c>
      <c r="X363" s="1">
        <v>5.3550813679999996</v>
      </c>
      <c r="Y363" s="1">
        <v>4.7564010139999997</v>
      </c>
      <c r="Z363" s="1">
        <v>5.0440296189999998</v>
      </c>
      <c r="AA363" s="1">
        <v>4.3966315629999997</v>
      </c>
      <c r="AB363" s="1">
        <v>4.6096720080000004</v>
      </c>
      <c r="AC363" s="1">
        <v>4.8610120620000004</v>
      </c>
      <c r="AD363" s="1">
        <v>5.0634297190000002</v>
      </c>
      <c r="AE363" s="1">
        <v>5.0415666330000004</v>
      </c>
    </row>
    <row r="364" spans="1:31" x14ac:dyDescent="0.25">
      <c r="A364" s="1" t="s">
        <v>789</v>
      </c>
      <c r="B364" s="1" t="s">
        <v>2598</v>
      </c>
      <c r="C364" s="1" t="s">
        <v>2603</v>
      </c>
      <c r="D364" s="1" t="s">
        <v>2535</v>
      </c>
      <c r="E364" s="1" t="s">
        <v>3205</v>
      </c>
      <c r="G364" s="1" t="s">
        <v>789</v>
      </c>
      <c r="H364" s="1">
        <v>4.5667504939999999</v>
      </c>
      <c r="I364" s="1">
        <v>5.009480355</v>
      </c>
      <c r="J364" s="1">
        <v>4.7243317210000004</v>
      </c>
      <c r="K364" s="1">
        <v>4.7454889089999996</v>
      </c>
      <c r="L364" s="1">
        <v>5.8658055969999996</v>
      </c>
      <c r="M364" s="1">
        <v>5.8324912810000002</v>
      </c>
      <c r="N364" s="1">
        <v>5.1623684499999998</v>
      </c>
      <c r="O364" s="1">
        <v>4.4862678239999996</v>
      </c>
      <c r="P364" s="1">
        <v>5.5318451900000003</v>
      </c>
      <c r="Q364" s="1">
        <v>5.6499570400000003</v>
      </c>
      <c r="R364" s="1">
        <v>5.8111782390000002</v>
      </c>
      <c r="S364" s="1">
        <v>5.1309834260000002</v>
      </c>
      <c r="T364" s="1">
        <v>5.8658055969999996</v>
      </c>
      <c r="U364" s="1">
        <v>5.8324912810000002</v>
      </c>
      <c r="V364" s="1">
        <v>5.4882083000000002</v>
      </c>
      <c r="W364" s="1">
        <v>5.1095551629999996</v>
      </c>
      <c r="X364" s="1">
        <v>5.1899342839999996</v>
      </c>
      <c r="Y364" s="1">
        <v>5.2792112080000004</v>
      </c>
      <c r="Z364" s="1">
        <v>5.8111782390000002</v>
      </c>
      <c r="AA364" s="1">
        <v>5.1309834260000002</v>
      </c>
      <c r="AB364" s="1">
        <v>5.4746970709999996</v>
      </c>
      <c r="AC364" s="1">
        <v>5.198889973</v>
      </c>
      <c r="AD364" s="1">
        <v>5.116107059</v>
      </c>
      <c r="AE364" s="1">
        <v>5.2736981710000004</v>
      </c>
    </row>
    <row r="365" spans="1:31" x14ac:dyDescent="0.25">
      <c r="A365" s="1" t="s">
        <v>790</v>
      </c>
      <c r="B365" s="1" t="s">
        <v>2525</v>
      </c>
      <c r="C365" s="1" t="s">
        <v>2526</v>
      </c>
      <c r="D365" s="1" t="s">
        <v>3206</v>
      </c>
      <c r="E365" s="1" t="s">
        <v>3207</v>
      </c>
      <c r="F365" s="1" t="s">
        <v>3208</v>
      </c>
      <c r="G365" s="1" t="s">
        <v>790</v>
      </c>
      <c r="H365" s="1">
        <v>5.977563322</v>
      </c>
      <c r="I365" s="1">
        <v>5.8917578519999996</v>
      </c>
      <c r="J365" s="1">
        <v>6.9834276859999997</v>
      </c>
      <c r="K365" s="1">
        <v>6.1452362870000004</v>
      </c>
      <c r="L365" s="1">
        <v>7.4064789209999997</v>
      </c>
      <c r="M365" s="1">
        <v>7.3683311700000003</v>
      </c>
      <c r="N365" s="1">
        <v>6.0455826970000004</v>
      </c>
      <c r="O365" s="1">
        <v>6.1134152940000002</v>
      </c>
      <c r="P365" s="1">
        <v>6.7660226430000003</v>
      </c>
      <c r="Q365" s="1">
        <v>6.8115059909999998</v>
      </c>
      <c r="R365" s="1">
        <v>7.2009502379999999</v>
      </c>
      <c r="S365" s="1">
        <v>7.345520681</v>
      </c>
      <c r="T365" s="1">
        <v>7.4064789209999997</v>
      </c>
      <c r="U365" s="1">
        <v>7.3683311700000003</v>
      </c>
      <c r="V365" s="1">
        <v>6.9874545020000003</v>
      </c>
      <c r="W365" s="1">
        <v>6.6970570279999997</v>
      </c>
      <c r="X365" s="1">
        <v>7.1323967919999998</v>
      </c>
      <c r="Y365" s="1">
        <v>6.3769095809999996</v>
      </c>
      <c r="Z365" s="1">
        <v>7.2009502379999999</v>
      </c>
      <c r="AA365" s="1">
        <v>7.345520681</v>
      </c>
      <c r="AB365" s="1">
        <v>6.7025789319999998</v>
      </c>
      <c r="AC365" s="1">
        <v>6.8856954019999996</v>
      </c>
      <c r="AD365" s="1">
        <v>6.6985326699999996</v>
      </c>
      <c r="AE365" s="1">
        <v>6.3332249579999997</v>
      </c>
    </row>
    <row r="366" spans="1:31" x14ac:dyDescent="0.25">
      <c r="A366" s="1" t="s">
        <v>795</v>
      </c>
      <c r="B366" s="1" t="s">
        <v>2598</v>
      </c>
      <c r="C366" s="1" t="s">
        <v>2795</v>
      </c>
      <c r="D366" s="1" t="s">
        <v>3209</v>
      </c>
      <c r="E366" s="1" t="s">
        <v>3210</v>
      </c>
      <c r="F366" s="1" t="s">
        <v>3211</v>
      </c>
      <c r="G366" s="1" t="s">
        <v>795</v>
      </c>
      <c r="H366" s="1">
        <v>8.7766397880000007</v>
      </c>
      <c r="I366" s="1">
        <v>9.1065651380000006</v>
      </c>
      <c r="J366" s="1">
        <v>8.3836199449999995</v>
      </c>
      <c r="K366" s="1">
        <v>8.4072782079999993</v>
      </c>
      <c r="L366" s="1">
        <v>8.1002418350000003</v>
      </c>
      <c r="M366" s="1">
        <v>8.2170446629999994</v>
      </c>
      <c r="N366" s="1">
        <v>9.3352944400000002</v>
      </c>
      <c r="O366" s="1">
        <v>9.081089811</v>
      </c>
      <c r="P366" s="1">
        <v>8.3924654319999998</v>
      </c>
      <c r="Q366" s="1">
        <v>8.517358711</v>
      </c>
      <c r="R366" s="1">
        <v>8.0871688830000004</v>
      </c>
      <c r="S366" s="1">
        <v>7.9976985410000001</v>
      </c>
      <c r="T366" s="1">
        <v>8.1002418350000003</v>
      </c>
      <c r="U366" s="1">
        <v>8.2170446629999994</v>
      </c>
      <c r="V366" s="1">
        <v>8.9477231049999997</v>
      </c>
      <c r="W366" s="1">
        <v>8.9687752270000001</v>
      </c>
      <c r="X366" s="1">
        <v>8.2095450329999995</v>
      </c>
      <c r="Y366" s="1">
        <v>8.9688922659999992</v>
      </c>
      <c r="Z366" s="1">
        <v>8.0871688830000004</v>
      </c>
      <c r="AA366" s="1">
        <v>7.9976985410000001</v>
      </c>
      <c r="AB366" s="1">
        <v>8.1523051080000002</v>
      </c>
      <c r="AC366" s="1">
        <v>8.018142246</v>
      </c>
      <c r="AD366" s="1">
        <v>8.2627486450000003</v>
      </c>
      <c r="AE366" s="1">
        <v>8.434895569</v>
      </c>
    </row>
    <row r="367" spans="1:31" x14ac:dyDescent="0.25">
      <c r="A367" s="1" t="s">
        <v>796</v>
      </c>
      <c r="B367" s="1" t="s">
        <v>2539</v>
      </c>
      <c r="C367" s="1" t="s">
        <v>2563</v>
      </c>
      <c r="D367" s="1" t="s">
        <v>2564</v>
      </c>
      <c r="E367" s="1" t="s">
        <v>3212</v>
      </c>
      <c r="G367" s="1" t="s">
        <v>796</v>
      </c>
      <c r="H367" s="1">
        <v>5.1686839359999999</v>
      </c>
      <c r="I367" s="1">
        <v>5.1078624770000003</v>
      </c>
      <c r="J367" s="1">
        <v>5.1501560140000002</v>
      </c>
      <c r="K367" s="1">
        <v>5.2180867539999998</v>
      </c>
      <c r="L367" s="1">
        <v>5.1940340669999996</v>
      </c>
      <c r="M367" s="1">
        <v>5.0606078119999998</v>
      </c>
      <c r="N367" s="1">
        <v>4.3596796910000002</v>
      </c>
      <c r="O367" s="1">
        <v>4.7507950320000001</v>
      </c>
      <c r="P367" s="1">
        <v>4.9577743410000004</v>
      </c>
      <c r="Q367" s="1">
        <v>5.5406489910000003</v>
      </c>
      <c r="R367" s="1">
        <v>5.0440296189999998</v>
      </c>
      <c r="S367" s="1">
        <v>4.6194390810000003</v>
      </c>
      <c r="T367" s="1">
        <v>5.1940340669999996</v>
      </c>
      <c r="U367" s="1">
        <v>5.0606078119999998</v>
      </c>
      <c r="V367" s="1">
        <v>4.9055261469999998</v>
      </c>
      <c r="W367" s="1">
        <v>5.2774499109999997</v>
      </c>
      <c r="X367" s="1">
        <v>5.2866392680000001</v>
      </c>
      <c r="Y367" s="1">
        <v>5.2792112080000004</v>
      </c>
      <c r="Z367" s="1">
        <v>5.0440296189999998</v>
      </c>
      <c r="AA367" s="1">
        <v>4.6194390810000003</v>
      </c>
      <c r="AB367" s="1">
        <v>5.3028471579999996</v>
      </c>
      <c r="AC367" s="1">
        <v>5.198889973</v>
      </c>
      <c r="AD367" s="1">
        <v>5.3091856960000001</v>
      </c>
      <c r="AE367" s="1">
        <v>5.2497036230000003</v>
      </c>
    </row>
    <row r="368" spans="1:31" x14ac:dyDescent="0.25">
      <c r="A368" s="1" t="s">
        <v>797</v>
      </c>
      <c r="B368" s="1" t="s">
        <v>2542</v>
      </c>
      <c r="C368" s="1" t="s">
        <v>2531</v>
      </c>
      <c r="D368" s="1" t="s">
        <v>2613</v>
      </c>
      <c r="E368" s="1" t="s">
        <v>3213</v>
      </c>
      <c r="F368" s="1" t="s">
        <v>3214</v>
      </c>
      <c r="G368" s="1" t="s">
        <v>797</v>
      </c>
      <c r="H368" s="1">
        <v>4.8663747150000001</v>
      </c>
      <c r="I368" s="1">
        <v>4.7893724280000001</v>
      </c>
      <c r="J368" s="1">
        <v>4.3724365990000003</v>
      </c>
      <c r="K368" s="1">
        <v>4.7454889089999996</v>
      </c>
      <c r="L368" s="1">
        <v>5.4841512059999999</v>
      </c>
      <c r="M368" s="1">
        <v>5.3157400949999998</v>
      </c>
      <c r="N368" s="1">
        <v>5.1887139119999999</v>
      </c>
      <c r="O368" s="1">
        <v>5.3864027800000001</v>
      </c>
      <c r="P368" s="1">
        <v>5.6296473389999999</v>
      </c>
      <c r="Q368" s="1">
        <v>5.2931690810000003</v>
      </c>
      <c r="R368" s="1">
        <v>5.4182058560000002</v>
      </c>
      <c r="S368" s="1">
        <v>5.9707657090000001</v>
      </c>
      <c r="T368" s="1">
        <v>5.4841512059999999</v>
      </c>
      <c r="U368" s="1">
        <v>5.3157400949999998</v>
      </c>
      <c r="V368" s="1">
        <v>5.2455869269999997</v>
      </c>
      <c r="W368" s="1">
        <v>5.0488589419999998</v>
      </c>
      <c r="X368" s="1">
        <v>5.6370967820000004</v>
      </c>
      <c r="Y368" s="1">
        <v>5.0128502209999999</v>
      </c>
      <c r="Z368" s="1">
        <v>5.4182058560000002</v>
      </c>
      <c r="AA368" s="1">
        <v>5.9707657090000001</v>
      </c>
      <c r="AB368" s="1">
        <v>5.851934376</v>
      </c>
      <c r="AC368" s="1">
        <v>5.2822693689999998</v>
      </c>
      <c r="AD368" s="1">
        <v>5.5945353439999996</v>
      </c>
      <c r="AE368" s="1">
        <v>5.387950011</v>
      </c>
    </row>
    <row r="369" spans="1:31" x14ac:dyDescent="0.25">
      <c r="A369" s="1" t="s">
        <v>798</v>
      </c>
      <c r="B369" s="1" t="s">
        <v>2539</v>
      </c>
      <c r="C369" s="1" t="s">
        <v>2606</v>
      </c>
      <c r="D369" s="1" t="s">
        <v>2535</v>
      </c>
      <c r="E369" s="1" t="s">
        <v>3215</v>
      </c>
      <c r="F369" s="1" t="s">
        <v>3216</v>
      </c>
      <c r="G369" s="1" t="s">
        <v>798</v>
      </c>
      <c r="H369" s="1">
        <v>4.2900513550000001</v>
      </c>
      <c r="I369" s="1">
        <v>4.3763156859999999</v>
      </c>
      <c r="J369" s="1">
        <v>4.2018709520000002</v>
      </c>
      <c r="K369" s="1">
        <v>4.1384138449999996</v>
      </c>
      <c r="L369" s="1">
        <v>4.7721586460000003</v>
      </c>
      <c r="M369" s="1">
        <v>4.3473799800000004</v>
      </c>
      <c r="N369" s="1">
        <v>4.1562881980000004</v>
      </c>
      <c r="O369" s="1">
        <v>4.8288877169999997</v>
      </c>
      <c r="P369" s="1">
        <v>4.4075207919999997</v>
      </c>
      <c r="Q369" s="1">
        <v>3.9718447549999998</v>
      </c>
      <c r="R369" s="1">
        <v>4.6795267799999998</v>
      </c>
      <c r="S369" s="1">
        <v>4.6864044680000001</v>
      </c>
      <c r="T369" s="1">
        <v>4.7721586460000003</v>
      </c>
      <c r="U369" s="1">
        <v>4.3473799800000004</v>
      </c>
      <c r="V369" s="1">
        <v>4.3879408260000003</v>
      </c>
      <c r="W369" s="1">
        <v>5.1095551629999996</v>
      </c>
      <c r="X369" s="1">
        <v>4.97415056</v>
      </c>
      <c r="Y369" s="1">
        <v>4.5275934409999996</v>
      </c>
      <c r="Z369" s="1">
        <v>4.6795267799999998</v>
      </c>
      <c r="AA369" s="1">
        <v>4.6864044680000001</v>
      </c>
      <c r="AB369" s="1">
        <v>4.5063178209999997</v>
      </c>
      <c r="AC369" s="1">
        <v>3.9750819590000002</v>
      </c>
      <c r="AD369" s="1">
        <v>4.5511338559999999</v>
      </c>
      <c r="AE369" s="1">
        <v>4.6572481659999996</v>
      </c>
    </row>
    <row r="370" spans="1:31" x14ac:dyDescent="0.25">
      <c r="A370" s="1" t="s">
        <v>799</v>
      </c>
      <c r="B370" s="1" t="s">
        <v>2547</v>
      </c>
      <c r="C370" s="1" t="s">
        <v>2622</v>
      </c>
      <c r="D370" s="1" t="s">
        <v>2535</v>
      </c>
      <c r="E370" s="1" t="s">
        <v>3217</v>
      </c>
      <c r="G370" s="1" t="s">
        <v>799</v>
      </c>
      <c r="H370" s="1">
        <v>4.0684382540000001</v>
      </c>
      <c r="I370" s="1">
        <v>3.3322126910000001</v>
      </c>
      <c r="J370" s="1">
        <v>3.4977151119999998</v>
      </c>
      <c r="K370" s="1">
        <v>3.22334677</v>
      </c>
      <c r="L370" s="1">
        <v>4.6513384469999997</v>
      </c>
      <c r="M370" s="1">
        <v>4.3982295550000003</v>
      </c>
      <c r="N370" s="1">
        <v>3.9806352139999999</v>
      </c>
      <c r="O370" s="1">
        <v>3.3203005989999999</v>
      </c>
      <c r="P370" s="1">
        <v>3.86011382</v>
      </c>
      <c r="Q370" s="1">
        <v>3.9718447549999998</v>
      </c>
      <c r="R370" s="1">
        <v>5.0965654090000001</v>
      </c>
      <c r="S370" s="1">
        <v>3.9182367880000002</v>
      </c>
      <c r="T370" s="1">
        <v>4.6513384469999997</v>
      </c>
      <c r="U370" s="1">
        <v>4.3982295550000003</v>
      </c>
      <c r="V370" s="1">
        <v>4.4559512029999997</v>
      </c>
      <c r="W370" s="1">
        <v>4.7760085830000003</v>
      </c>
      <c r="X370" s="1">
        <v>5.3326311679999998</v>
      </c>
      <c r="Y370" s="1">
        <v>4.2532353330000001</v>
      </c>
      <c r="Z370" s="1">
        <v>5.0965654090000001</v>
      </c>
      <c r="AA370" s="1">
        <v>3.9182367880000002</v>
      </c>
      <c r="AB370" s="1">
        <v>4.3946012420000002</v>
      </c>
      <c r="AC370" s="1">
        <v>4.6870272159999997</v>
      </c>
      <c r="AD370" s="1">
        <v>5.0634297190000002</v>
      </c>
      <c r="AE370" s="1">
        <v>4.4595659249999997</v>
      </c>
    </row>
    <row r="371" spans="1:31" x14ac:dyDescent="0.25">
      <c r="A371" s="1" t="s">
        <v>805</v>
      </c>
      <c r="B371" s="1" t="s">
        <v>2568</v>
      </c>
      <c r="C371" s="1" t="s">
        <v>2589</v>
      </c>
      <c r="D371" s="1" t="s">
        <v>2595</v>
      </c>
      <c r="E371" s="1" t="s">
        <v>3218</v>
      </c>
      <c r="F371" s="1" t="s">
        <v>3219</v>
      </c>
      <c r="G371" s="1" t="s">
        <v>805</v>
      </c>
      <c r="H371" s="1">
        <v>5.0553993879999997</v>
      </c>
      <c r="I371" s="1">
        <v>5.5529645800000003</v>
      </c>
      <c r="J371" s="1">
        <v>7.8295227450000002</v>
      </c>
      <c r="K371" s="1">
        <v>7.2216472190000003</v>
      </c>
      <c r="L371" s="1">
        <v>7.7981903450000001</v>
      </c>
      <c r="M371" s="1">
        <v>7.9528177189999996</v>
      </c>
      <c r="N371" s="1">
        <v>5.8624363539999997</v>
      </c>
      <c r="O371" s="1">
        <v>6.0664210660000002</v>
      </c>
      <c r="P371" s="1">
        <v>7.575085799</v>
      </c>
      <c r="Q371" s="1">
        <v>7.8086029610000001</v>
      </c>
      <c r="R371" s="1">
        <v>8.2395268779999995</v>
      </c>
      <c r="S371" s="1">
        <v>8.2082459239999999</v>
      </c>
      <c r="T371" s="1">
        <v>7.7981903450000001</v>
      </c>
      <c r="U371" s="1">
        <v>7.9528177189999996</v>
      </c>
      <c r="V371" s="1">
        <v>7.698945406</v>
      </c>
      <c r="W371" s="1">
        <v>7.3973631339999999</v>
      </c>
      <c r="X371" s="1">
        <v>7.6749324459999997</v>
      </c>
      <c r="Y371" s="1">
        <v>7.0913366450000002</v>
      </c>
      <c r="Z371" s="1">
        <v>8.2395268779999995</v>
      </c>
      <c r="AA371" s="1">
        <v>8.2082459239999999</v>
      </c>
      <c r="AB371" s="1">
        <v>7.6684897779999996</v>
      </c>
      <c r="AC371" s="1">
        <v>7.7098339850000004</v>
      </c>
      <c r="AD371" s="1">
        <v>7.3705131210000001</v>
      </c>
      <c r="AE371" s="1">
        <v>7.5573444179999996</v>
      </c>
    </row>
    <row r="372" spans="1:31" x14ac:dyDescent="0.25">
      <c r="A372" s="1" t="s">
        <v>812</v>
      </c>
      <c r="B372" s="1" t="s">
        <v>3099</v>
      </c>
      <c r="C372" s="1" t="s">
        <v>3100</v>
      </c>
      <c r="D372" s="1" t="s">
        <v>3220</v>
      </c>
      <c r="E372" s="1" t="s">
        <v>3221</v>
      </c>
      <c r="F372" s="1" t="s">
        <v>3222</v>
      </c>
      <c r="G372" s="1" t="s">
        <v>812</v>
      </c>
      <c r="H372" s="1">
        <v>7.1272614729999999</v>
      </c>
      <c r="I372" s="1">
        <v>6.4889292899999997</v>
      </c>
      <c r="J372" s="1">
        <v>5.6809121170000001</v>
      </c>
      <c r="K372" s="1">
        <v>5.8227835140000002</v>
      </c>
      <c r="L372" s="1">
        <v>5.6492182990000002</v>
      </c>
      <c r="M372" s="1">
        <v>5.5095176620000004</v>
      </c>
      <c r="N372" s="1">
        <v>5.7957915680000003</v>
      </c>
      <c r="O372" s="1">
        <v>6.2736585109999998</v>
      </c>
      <c r="P372" s="1">
        <v>5.5318451900000003</v>
      </c>
      <c r="Q372" s="1">
        <v>5.5022716190000001</v>
      </c>
      <c r="R372" s="1">
        <v>5.3334881589999998</v>
      </c>
      <c r="S372" s="1">
        <v>5.6781703969999997</v>
      </c>
      <c r="T372" s="1">
        <v>5.6492182990000002</v>
      </c>
      <c r="U372" s="1">
        <v>5.5095176620000004</v>
      </c>
      <c r="V372" s="1">
        <v>5.1274300740000003</v>
      </c>
      <c r="W372" s="1">
        <v>5.0488589419999998</v>
      </c>
      <c r="X372" s="1">
        <v>5.5620422200000004</v>
      </c>
      <c r="Y372" s="1">
        <v>5.3269702959999998</v>
      </c>
      <c r="Z372" s="1">
        <v>5.3334881589999998</v>
      </c>
      <c r="AA372" s="1">
        <v>5.6781703969999997</v>
      </c>
      <c r="AB372" s="1">
        <v>5.0356743460000004</v>
      </c>
      <c r="AC372" s="1">
        <v>5.3221936159999998</v>
      </c>
      <c r="AD372" s="1">
        <v>5.4385263000000004</v>
      </c>
      <c r="AE372" s="1">
        <v>5.4312016559999998</v>
      </c>
    </row>
    <row r="373" spans="1:31" x14ac:dyDescent="0.25">
      <c r="A373" s="1" t="s">
        <v>813</v>
      </c>
      <c r="B373" s="1" t="s">
        <v>2530</v>
      </c>
      <c r="C373" s="1" t="s">
        <v>2531</v>
      </c>
      <c r="D373" s="1" t="s">
        <v>2535</v>
      </c>
      <c r="E373" s="1" t="s">
        <v>3223</v>
      </c>
      <c r="G373" s="1" t="s">
        <v>813</v>
      </c>
      <c r="H373" s="1">
        <v>7.5253267800000003</v>
      </c>
      <c r="I373" s="1">
        <v>7.0873869479999998</v>
      </c>
      <c r="J373" s="1">
        <v>6.1606909930000002</v>
      </c>
      <c r="K373" s="1">
        <v>6.3863668120000003</v>
      </c>
      <c r="L373" s="1">
        <v>5.2153292420000001</v>
      </c>
      <c r="M373" s="1">
        <v>5.029201552</v>
      </c>
      <c r="N373" s="1">
        <v>6.7894418200000004</v>
      </c>
      <c r="O373" s="1">
        <v>6.9786739019999997</v>
      </c>
      <c r="P373" s="1">
        <v>5.6913184689999996</v>
      </c>
      <c r="Q373" s="1">
        <v>5.9352426600000001</v>
      </c>
      <c r="R373" s="1">
        <v>5.6804358580000001</v>
      </c>
      <c r="S373" s="1">
        <v>5.1778667870000001</v>
      </c>
      <c r="T373" s="1">
        <v>5.2153292420000001</v>
      </c>
      <c r="U373" s="1">
        <v>5.029201552</v>
      </c>
      <c r="V373" s="1">
        <v>5.695500268</v>
      </c>
      <c r="W373" s="1">
        <v>6.0370461979999996</v>
      </c>
      <c r="X373" s="1">
        <v>6.227863213</v>
      </c>
      <c r="Y373" s="1">
        <v>5.8995743010000004</v>
      </c>
      <c r="Z373" s="1">
        <v>5.6804358580000001</v>
      </c>
      <c r="AA373" s="1">
        <v>5.1778667870000001</v>
      </c>
      <c r="AB373" s="1">
        <v>6.2789960090000001</v>
      </c>
      <c r="AC373" s="1">
        <v>5.8163513240000002</v>
      </c>
      <c r="AD373" s="1">
        <v>6.2145653230000004</v>
      </c>
      <c r="AE373" s="1">
        <v>6.1128603159999999</v>
      </c>
    </row>
    <row r="374" spans="1:31" x14ac:dyDescent="0.25">
      <c r="A374" s="1" t="s">
        <v>814</v>
      </c>
      <c r="B374" s="1" t="s">
        <v>2530</v>
      </c>
      <c r="C374" s="1" t="s">
        <v>2531</v>
      </c>
      <c r="D374" s="1" t="s">
        <v>2535</v>
      </c>
      <c r="E374" s="1" t="s">
        <v>2536</v>
      </c>
      <c r="G374" s="1" t="s">
        <v>814</v>
      </c>
      <c r="H374" s="1">
        <v>6.6738400520000001</v>
      </c>
      <c r="I374" s="1">
        <v>6.4707161060000002</v>
      </c>
      <c r="J374" s="1">
        <v>6.2270996539999999</v>
      </c>
      <c r="K374" s="1">
        <v>6.5928106870000001</v>
      </c>
      <c r="L374" s="1">
        <v>5.9184294340000001</v>
      </c>
      <c r="M374" s="1">
        <v>5.659858549</v>
      </c>
      <c r="N374" s="1">
        <v>6.7722559489999998</v>
      </c>
      <c r="O374" s="1">
        <v>6.8085329139999997</v>
      </c>
      <c r="P374" s="1">
        <v>6.038086302</v>
      </c>
      <c r="Q374" s="1">
        <v>5.8463140779999998</v>
      </c>
      <c r="R374" s="1">
        <v>5.5365302600000001</v>
      </c>
      <c r="S374" s="1">
        <v>5.8890842929999998</v>
      </c>
      <c r="T374" s="1">
        <v>5.9184294340000001</v>
      </c>
      <c r="U374" s="1">
        <v>5.659858549</v>
      </c>
      <c r="V374" s="1">
        <v>6.1619548430000002</v>
      </c>
      <c r="W374" s="1">
        <v>5.872872095</v>
      </c>
      <c r="X374" s="1">
        <v>6.0057221949999997</v>
      </c>
      <c r="Y374" s="1">
        <v>6.3075735850000001</v>
      </c>
      <c r="Z374" s="1">
        <v>5.5365302600000001</v>
      </c>
      <c r="AA374" s="1">
        <v>5.8890842929999998</v>
      </c>
      <c r="AB374" s="1">
        <v>5.2406211000000003</v>
      </c>
      <c r="AC374" s="1">
        <v>5.7595305120000004</v>
      </c>
      <c r="AD374" s="1">
        <v>6.0630013820000004</v>
      </c>
      <c r="AE374" s="1">
        <v>6.2634584459999996</v>
      </c>
    </row>
    <row r="375" spans="1:31" x14ac:dyDescent="0.25">
      <c r="A375" s="1" t="s">
        <v>815</v>
      </c>
      <c r="B375" s="1" t="s">
        <v>2520</v>
      </c>
      <c r="C375" s="1" t="s">
        <v>2646</v>
      </c>
      <c r="D375" s="1" t="s">
        <v>3202</v>
      </c>
      <c r="E375" s="1" t="s">
        <v>3224</v>
      </c>
      <c r="F375" s="1" t="s">
        <v>3225</v>
      </c>
      <c r="G375" s="1" t="s">
        <v>815</v>
      </c>
      <c r="H375" s="1">
        <v>6.8185773340000004</v>
      </c>
      <c r="I375" s="1">
        <v>6.9627053569999999</v>
      </c>
      <c r="J375" s="1">
        <v>7.3634599100000004</v>
      </c>
      <c r="K375" s="1">
        <v>7.1710555979999997</v>
      </c>
      <c r="L375" s="1">
        <v>7.424733807</v>
      </c>
      <c r="M375" s="1">
        <v>7.4291615179999999</v>
      </c>
      <c r="N375" s="1">
        <v>7.3773941169999997</v>
      </c>
      <c r="O375" s="1">
        <v>7.1384067309999999</v>
      </c>
      <c r="P375" s="1">
        <v>7.5169022410000004</v>
      </c>
      <c r="Q375" s="1">
        <v>7.0943357039999997</v>
      </c>
      <c r="R375" s="1">
        <v>7.7961427829999996</v>
      </c>
      <c r="S375" s="1">
        <v>7.365740733</v>
      </c>
      <c r="T375" s="1">
        <v>7.424733807</v>
      </c>
      <c r="U375" s="1">
        <v>7.4291615179999999</v>
      </c>
      <c r="V375" s="1">
        <v>7.3080101959999997</v>
      </c>
      <c r="W375" s="1">
        <v>7.3973631339999999</v>
      </c>
      <c r="X375" s="1">
        <v>7.5451461740000001</v>
      </c>
      <c r="Y375" s="1">
        <v>7.0775333739999997</v>
      </c>
      <c r="Z375" s="1">
        <v>7.7961427829999996</v>
      </c>
      <c r="AA375" s="1">
        <v>7.365740733</v>
      </c>
      <c r="AB375" s="1">
        <v>7.5072894650000004</v>
      </c>
      <c r="AC375" s="1">
        <v>7.2773631549999998</v>
      </c>
      <c r="AD375" s="1">
        <v>7.1752643049999998</v>
      </c>
      <c r="AE375" s="1">
        <v>7.4826678009999998</v>
      </c>
    </row>
    <row r="376" spans="1:31" x14ac:dyDescent="0.25">
      <c r="A376" s="1" t="s">
        <v>816</v>
      </c>
      <c r="B376" s="1" t="s">
        <v>2520</v>
      </c>
      <c r="C376" s="1" t="s">
        <v>2646</v>
      </c>
      <c r="D376" s="1" t="s">
        <v>3202</v>
      </c>
      <c r="E376" s="1" t="s">
        <v>3226</v>
      </c>
      <c r="F376" s="1" t="s">
        <v>3227</v>
      </c>
      <c r="G376" s="1" t="s">
        <v>816</v>
      </c>
      <c r="H376" s="1">
        <v>7.2471677080000001</v>
      </c>
      <c r="I376" s="1">
        <v>7.5266765839999996</v>
      </c>
      <c r="J376" s="1">
        <v>7.7565948789999997</v>
      </c>
      <c r="K376" s="1">
        <v>7.5728717029999997</v>
      </c>
      <c r="L376" s="1">
        <v>8.2016265510000004</v>
      </c>
      <c r="M376" s="1">
        <v>8.206660093</v>
      </c>
      <c r="N376" s="1">
        <v>7.6787075070000004</v>
      </c>
      <c r="O376" s="1">
        <v>7.5836184339999999</v>
      </c>
      <c r="P376" s="1">
        <v>7.9652532679999997</v>
      </c>
      <c r="Q376" s="1">
        <v>7.8086029610000001</v>
      </c>
      <c r="R376" s="1">
        <v>8.1623111949999991</v>
      </c>
      <c r="S376" s="1">
        <v>8.2304625859999998</v>
      </c>
      <c r="T376" s="1">
        <v>8.2016265510000004</v>
      </c>
      <c r="U376" s="1">
        <v>8.206660093</v>
      </c>
      <c r="V376" s="1">
        <v>7.7658524209999999</v>
      </c>
      <c r="W376" s="1">
        <v>7.8043647690000002</v>
      </c>
      <c r="X376" s="1">
        <v>8.0131837780000001</v>
      </c>
      <c r="Y376" s="1">
        <v>7.8197910259999999</v>
      </c>
      <c r="Z376" s="1">
        <v>8.1623111949999991</v>
      </c>
      <c r="AA376" s="1">
        <v>8.2304625859999998</v>
      </c>
      <c r="AB376" s="1">
        <v>8.1354302720000007</v>
      </c>
      <c r="AC376" s="1">
        <v>8.4746787870000002</v>
      </c>
      <c r="AD376" s="1">
        <v>8.40058565</v>
      </c>
      <c r="AE376" s="1">
        <v>8.0255029780000005</v>
      </c>
    </row>
    <row r="377" spans="1:31" x14ac:dyDescent="0.25">
      <c r="A377" s="1" t="s">
        <v>817</v>
      </c>
      <c r="B377" s="1" t="s">
        <v>2530</v>
      </c>
      <c r="C377" s="1" t="s">
        <v>2531</v>
      </c>
      <c r="D377" s="1" t="s">
        <v>2535</v>
      </c>
      <c r="E377" s="1" t="s">
        <v>3228</v>
      </c>
      <c r="G377" s="1" t="s">
        <v>817</v>
      </c>
      <c r="H377" s="1">
        <v>5.4626831620000003</v>
      </c>
      <c r="I377" s="1">
        <v>6.1427370300000002</v>
      </c>
      <c r="J377" s="1">
        <v>6.1146491980000004</v>
      </c>
      <c r="K377" s="1">
        <v>5.7554847420000002</v>
      </c>
      <c r="L377" s="1">
        <v>6.2409920359999997</v>
      </c>
      <c r="M377" s="1">
        <v>6.1108364430000002</v>
      </c>
      <c r="N377" s="1">
        <v>5.878624276</v>
      </c>
      <c r="O377" s="1">
        <v>6.217434312</v>
      </c>
      <c r="P377" s="1">
        <v>6.336531473</v>
      </c>
      <c r="Q377" s="1">
        <v>6.4391077020000003</v>
      </c>
      <c r="R377" s="1">
        <v>6.239987642</v>
      </c>
      <c r="S377" s="1">
        <v>6.1213765840000001</v>
      </c>
      <c r="T377" s="1">
        <v>6.2409920359999997</v>
      </c>
      <c r="U377" s="1">
        <v>6.1108364430000002</v>
      </c>
      <c r="V377" s="1">
        <v>6.1817294079999998</v>
      </c>
      <c r="W377" s="1">
        <v>5.7645115660000004</v>
      </c>
      <c r="X377" s="1">
        <v>6.0197853329999997</v>
      </c>
      <c r="Y377" s="1">
        <v>6.5267696659999999</v>
      </c>
      <c r="Z377" s="1">
        <v>6.239987642</v>
      </c>
      <c r="AA377" s="1">
        <v>6.1213765840000001</v>
      </c>
      <c r="AB377" s="1">
        <v>6.557950226</v>
      </c>
      <c r="AC377" s="1">
        <v>5.7302515789999999</v>
      </c>
      <c r="AD377" s="1">
        <v>5.7682763389999998</v>
      </c>
      <c r="AE377" s="1">
        <v>6.1775384349999998</v>
      </c>
    </row>
    <row r="378" spans="1:31" x14ac:dyDescent="0.25">
      <c r="A378" s="1" t="s">
        <v>818</v>
      </c>
      <c r="B378" s="1" t="s">
        <v>2530</v>
      </c>
      <c r="C378" s="1" t="s">
        <v>2531</v>
      </c>
      <c r="D378" s="1" t="s">
        <v>2535</v>
      </c>
      <c r="E378" s="1" t="s">
        <v>3229</v>
      </c>
      <c r="F378" s="1" t="s">
        <v>3230</v>
      </c>
      <c r="G378" s="1" t="s">
        <v>818</v>
      </c>
      <c r="H378" s="1">
        <v>6.2573638139999996</v>
      </c>
      <c r="I378" s="1">
        <v>6.659404447</v>
      </c>
      <c r="J378" s="1">
        <v>6.7018094870000002</v>
      </c>
      <c r="K378" s="1">
        <v>7.2216472190000003</v>
      </c>
      <c r="L378" s="1">
        <v>6.777341389</v>
      </c>
      <c r="M378" s="1">
        <v>6.6907862490000003</v>
      </c>
      <c r="N378" s="1">
        <v>6.2207206929999996</v>
      </c>
      <c r="O378" s="1">
        <v>6.45474543</v>
      </c>
      <c r="P378" s="1">
        <v>6.1736452379999998</v>
      </c>
      <c r="Q378" s="1">
        <v>6.2673322389999999</v>
      </c>
      <c r="R378" s="1">
        <v>6.7101003170000002</v>
      </c>
      <c r="S378" s="1">
        <v>6.636545935</v>
      </c>
      <c r="T378" s="1">
        <v>6.777341389</v>
      </c>
      <c r="U378" s="1">
        <v>6.6907862490000003</v>
      </c>
      <c r="V378" s="1">
        <v>6.4497065429999996</v>
      </c>
      <c r="W378" s="1">
        <v>6.3680955829999997</v>
      </c>
      <c r="X378" s="1">
        <v>5.9626863439999997</v>
      </c>
      <c r="Y378" s="1">
        <v>6.5469586450000001</v>
      </c>
      <c r="Z378" s="1">
        <v>6.7101003170000002</v>
      </c>
      <c r="AA378" s="1">
        <v>6.636545935</v>
      </c>
      <c r="AB378" s="1">
        <v>6.8339958249999997</v>
      </c>
      <c r="AC378" s="1">
        <v>6.3651376319999997</v>
      </c>
      <c r="AD378" s="1">
        <v>6.7654508829999997</v>
      </c>
      <c r="AE378" s="1">
        <v>6.6479843379999997</v>
      </c>
    </row>
    <row r="379" spans="1:31" x14ac:dyDescent="0.25">
      <c r="A379" s="1" t="s">
        <v>819</v>
      </c>
      <c r="B379" s="1" t="s">
        <v>2547</v>
      </c>
      <c r="C379" s="1" t="s">
        <v>2789</v>
      </c>
      <c r="D379" s="1" t="s">
        <v>3231</v>
      </c>
      <c r="E379" s="1" t="s">
        <v>3232</v>
      </c>
      <c r="F379" s="1" t="s">
        <v>3233</v>
      </c>
      <c r="G379" s="1" t="s">
        <v>819</v>
      </c>
      <c r="H379" s="1">
        <v>7.6562259040000002</v>
      </c>
      <c r="I379" s="1">
        <v>8.0643696489999996</v>
      </c>
      <c r="J379" s="1">
        <v>7.8853208019999999</v>
      </c>
      <c r="K379" s="1">
        <v>7.6113186779999999</v>
      </c>
      <c r="L379" s="1">
        <v>8.1002418350000003</v>
      </c>
      <c r="M379" s="1">
        <v>8.1962002129999991</v>
      </c>
      <c r="N379" s="1">
        <v>7.3194458109999996</v>
      </c>
      <c r="O379" s="1">
        <v>6.9702028699999996</v>
      </c>
      <c r="P379" s="1">
        <v>8.0201332680000004</v>
      </c>
      <c r="Q379" s="1">
        <v>7.9641874509999999</v>
      </c>
      <c r="R379" s="1">
        <v>8.2510476970000006</v>
      </c>
      <c r="S379" s="1">
        <v>7.9846861980000003</v>
      </c>
      <c r="T379" s="1">
        <v>8.1002418350000003</v>
      </c>
      <c r="U379" s="1">
        <v>8.1962002129999991</v>
      </c>
      <c r="V379" s="1">
        <v>8.2639561100000005</v>
      </c>
      <c r="W379" s="1">
        <v>7.9095431940000003</v>
      </c>
      <c r="X379" s="1">
        <v>7.9152738579999999</v>
      </c>
      <c r="Y379" s="1">
        <v>8.1249187670000005</v>
      </c>
      <c r="Z379" s="1">
        <v>8.2510476970000006</v>
      </c>
      <c r="AA379" s="1">
        <v>7.9846861980000003</v>
      </c>
      <c r="AB379" s="1">
        <v>8.0923586390000004</v>
      </c>
      <c r="AC379" s="1">
        <v>7.9438487860000002</v>
      </c>
      <c r="AD379" s="1">
        <v>7.9542904119999998</v>
      </c>
      <c r="AE379" s="1">
        <v>7.8740462500000001</v>
      </c>
    </row>
    <row r="380" spans="1:31" x14ac:dyDescent="0.25">
      <c r="A380" s="1" t="s">
        <v>820</v>
      </c>
      <c r="B380" s="1" t="s">
        <v>2530</v>
      </c>
      <c r="C380" s="1" t="s">
        <v>2531</v>
      </c>
      <c r="D380" s="1" t="s">
        <v>2535</v>
      </c>
      <c r="E380" s="1" t="s">
        <v>2536</v>
      </c>
      <c r="G380" s="1" t="s">
        <v>820</v>
      </c>
      <c r="H380" s="1">
        <v>7.9511677919999997</v>
      </c>
      <c r="I380" s="1">
        <v>7.4544475050000001</v>
      </c>
      <c r="J380" s="1">
        <v>7.1859344570000001</v>
      </c>
      <c r="K380" s="1">
        <v>7.4720144450000001</v>
      </c>
      <c r="L380" s="1">
        <v>6.3114621260000003</v>
      </c>
      <c r="M380" s="1">
        <v>6.8327132380000002</v>
      </c>
      <c r="N380" s="1">
        <v>6.5072521400000003</v>
      </c>
      <c r="O380" s="1">
        <v>6.6371378139999999</v>
      </c>
      <c r="P380" s="1">
        <v>7.5083952590000003</v>
      </c>
      <c r="Q380" s="1">
        <v>7.2975843859999996</v>
      </c>
      <c r="R380" s="1">
        <v>7.369033473</v>
      </c>
      <c r="S380" s="1">
        <v>7.4053493550000002</v>
      </c>
      <c r="T380" s="1">
        <v>6.3114621260000003</v>
      </c>
      <c r="U380" s="1">
        <v>6.8327132380000002</v>
      </c>
      <c r="V380" s="1">
        <v>6.9648398949999999</v>
      </c>
      <c r="W380" s="1">
        <v>6.8101283480000001</v>
      </c>
      <c r="X380" s="1">
        <v>7.475591595</v>
      </c>
      <c r="Y380" s="1">
        <v>6.7346511490000003</v>
      </c>
      <c r="Z380" s="1">
        <v>7.369033473</v>
      </c>
      <c r="AA380" s="1">
        <v>7.4053493550000002</v>
      </c>
      <c r="AB380" s="1">
        <v>7.2493787579999998</v>
      </c>
      <c r="AC380" s="1">
        <v>7.4303408089999996</v>
      </c>
      <c r="AD380" s="1">
        <v>6.9055325459999999</v>
      </c>
      <c r="AE380" s="1">
        <v>7.0985007339999999</v>
      </c>
    </row>
    <row r="381" spans="1:31" x14ac:dyDescent="0.25">
      <c r="A381" s="1" t="s">
        <v>823</v>
      </c>
      <c r="B381" s="1" t="s">
        <v>2530</v>
      </c>
      <c r="C381" s="1" t="s">
        <v>2531</v>
      </c>
      <c r="D381" s="1" t="s">
        <v>2535</v>
      </c>
      <c r="E381" s="1" t="s">
        <v>3234</v>
      </c>
      <c r="G381" s="1" t="s">
        <v>823</v>
      </c>
      <c r="H381" s="1">
        <v>5.6684727009999998</v>
      </c>
      <c r="I381" s="1">
        <v>5.1998500889999999</v>
      </c>
      <c r="J381" s="1">
        <v>5.0551375939999996</v>
      </c>
      <c r="K381" s="1">
        <v>5.3151275040000003</v>
      </c>
      <c r="L381" s="1">
        <v>4.4838783849999997</v>
      </c>
      <c r="M381" s="1">
        <v>4.6276332350000002</v>
      </c>
      <c r="N381" s="1">
        <v>5.5548950010000002</v>
      </c>
      <c r="O381" s="1">
        <v>5.3074139359999997</v>
      </c>
      <c r="P381" s="1">
        <v>4.3303557189999999</v>
      </c>
      <c r="Q381" s="1">
        <v>4.7509440400000003</v>
      </c>
      <c r="R381" s="1">
        <v>4.1841942410000001</v>
      </c>
      <c r="S381" s="1">
        <v>3.6647387380000001</v>
      </c>
      <c r="T381" s="1">
        <v>4.4838783849999997</v>
      </c>
      <c r="U381" s="1">
        <v>4.6276332350000002</v>
      </c>
      <c r="V381" s="1">
        <v>4.2408545169999998</v>
      </c>
      <c r="W381" s="1">
        <v>4.7760085830000003</v>
      </c>
      <c r="X381" s="1">
        <v>4.97415056</v>
      </c>
      <c r="Y381" s="1">
        <v>5.3731782380000004</v>
      </c>
      <c r="Z381" s="1">
        <v>4.1841942410000001</v>
      </c>
      <c r="AA381" s="1">
        <v>3.6647387380000001</v>
      </c>
      <c r="AB381" s="1">
        <v>3.990981031</v>
      </c>
      <c r="AC381" s="1">
        <v>4.6870272159999997</v>
      </c>
      <c r="AD381" s="1">
        <v>4.4715299570000004</v>
      </c>
      <c r="AE381" s="1">
        <v>4.7290680490000003</v>
      </c>
    </row>
    <row r="382" spans="1:31" x14ac:dyDescent="0.25">
      <c r="A382" s="1" t="s">
        <v>824</v>
      </c>
      <c r="B382" s="1" t="s">
        <v>2530</v>
      </c>
      <c r="C382" s="1" t="s">
        <v>2531</v>
      </c>
      <c r="D382" s="1" t="s">
        <v>2535</v>
      </c>
      <c r="E382" s="1" t="s">
        <v>2536</v>
      </c>
      <c r="G382" s="1" t="s">
        <v>824</v>
      </c>
      <c r="H382" s="1">
        <v>8.5046548489999996</v>
      </c>
      <c r="I382" s="1">
        <v>8.3888815040000004</v>
      </c>
      <c r="J382" s="1">
        <v>7.094169655</v>
      </c>
      <c r="K382" s="1">
        <v>7.4720144450000001</v>
      </c>
      <c r="L382" s="1">
        <v>5.5187262759999998</v>
      </c>
      <c r="M382" s="1">
        <v>6.1256430599999998</v>
      </c>
      <c r="N382" s="1">
        <v>7.331223337</v>
      </c>
      <c r="O382" s="1">
        <v>7.7949434569999996</v>
      </c>
      <c r="P382" s="1">
        <v>7.1629698429999999</v>
      </c>
      <c r="Q382" s="1">
        <v>6.8576352290000004</v>
      </c>
      <c r="R382" s="1">
        <v>6.7593779009999997</v>
      </c>
      <c r="S382" s="1">
        <v>6.748647074</v>
      </c>
      <c r="T382" s="1">
        <v>5.5187262759999998</v>
      </c>
      <c r="U382" s="1">
        <v>6.1256430599999998</v>
      </c>
      <c r="V382" s="1">
        <v>7.1466161049999997</v>
      </c>
      <c r="W382" s="1">
        <v>7.630644964</v>
      </c>
      <c r="X382" s="1">
        <v>7.1516427269999996</v>
      </c>
      <c r="Y382" s="1">
        <v>7.6897821789999998</v>
      </c>
      <c r="Z382" s="1">
        <v>6.7593779009999997</v>
      </c>
      <c r="AA382" s="1">
        <v>6.748647074</v>
      </c>
      <c r="AB382" s="1">
        <v>7.4401512089999997</v>
      </c>
      <c r="AC382" s="1">
        <v>7.0363820979999998</v>
      </c>
      <c r="AD382" s="1">
        <v>7.523248315</v>
      </c>
      <c r="AE382" s="1">
        <v>7.7135294200000004</v>
      </c>
    </row>
    <row r="383" spans="1:31" x14ac:dyDescent="0.25">
      <c r="A383" s="1" t="s">
        <v>832</v>
      </c>
      <c r="B383" s="1" t="s">
        <v>2530</v>
      </c>
      <c r="C383" s="1" t="s">
        <v>2573</v>
      </c>
      <c r="D383" s="1" t="s">
        <v>2535</v>
      </c>
      <c r="E383" s="1" t="s">
        <v>3235</v>
      </c>
      <c r="G383" s="1" t="s">
        <v>832</v>
      </c>
      <c r="H383" s="1">
        <v>5.2735834620000004</v>
      </c>
      <c r="I383" s="1">
        <v>5.2862358589999996</v>
      </c>
      <c r="J383" s="1">
        <v>4.5240842389999996</v>
      </c>
      <c r="K383" s="1">
        <v>5.1139224319999999</v>
      </c>
      <c r="L383" s="1">
        <v>5.2363096809999998</v>
      </c>
      <c r="M383" s="1">
        <v>5.3157400949999998</v>
      </c>
      <c r="N383" s="1">
        <v>4.9930900400000002</v>
      </c>
      <c r="O383" s="1">
        <v>5.2237789919999997</v>
      </c>
      <c r="P383" s="1">
        <v>4.4805784009999998</v>
      </c>
      <c r="Q383" s="1">
        <v>5.1511590549999999</v>
      </c>
      <c r="R383" s="1">
        <v>4.9894654599999999</v>
      </c>
      <c r="S383" s="1">
        <v>5.0824952919999999</v>
      </c>
      <c r="T383" s="1">
        <v>5.2363096809999998</v>
      </c>
      <c r="U383" s="1">
        <v>5.3157400949999998</v>
      </c>
      <c r="V383" s="1">
        <v>5.0857495259999999</v>
      </c>
      <c r="W383" s="1">
        <v>5.3792812999999997</v>
      </c>
      <c r="X383" s="1">
        <v>5.522982507</v>
      </c>
      <c r="Y383" s="1">
        <v>5.4613266610000002</v>
      </c>
      <c r="Z383" s="1">
        <v>4.9894654599999999</v>
      </c>
      <c r="AA383" s="1">
        <v>5.0824952919999999</v>
      </c>
      <c r="AB383" s="1">
        <v>4.6096720080000004</v>
      </c>
      <c r="AC383" s="1">
        <v>4.8610120620000004</v>
      </c>
      <c r="AD383" s="1">
        <v>4.83054469</v>
      </c>
      <c r="AE383" s="1">
        <v>5.2972943729999997</v>
      </c>
    </row>
    <row r="384" spans="1:31" x14ac:dyDescent="0.25">
      <c r="A384" s="1" t="s">
        <v>833</v>
      </c>
      <c r="B384" s="1" t="s">
        <v>2520</v>
      </c>
      <c r="C384" s="1" t="s">
        <v>2646</v>
      </c>
      <c r="D384" s="1" t="s">
        <v>2535</v>
      </c>
      <c r="E384" s="1" t="s">
        <v>3236</v>
      </c>
      <c r="F384" s="1" t="s">
        <v>3237</v>
      </c>
      <c r="G384" s="1" t="s">
        <v>833</v>
      </c>
      <c r="H384" s="1">
        <v>5.4177093730000001</v>
      </c>
      <c r="I384" s="1">
        <v>5.6856247609999997</v>
      </c>
      <c r="J384" s="1">
        <v>5.6161485820000001</v>
      </c>
      <c r="K384" s="1">
        <v>5.2674352469999999</v>
      </c>
      <c r="L384" s="1">
        <v>5.5187262759999998</v>
      </c>
      <c r="M384" s="1">
        <v>5.7197461279999997</v>
      </c>
      <c r="N384" s="1">
        <v>5.2145790439999997</v>
      </c>
      <c r="O384" s="1">
        <v>4.9028628039999997</v>
      </c>
      <c r="P384" s="1">
        <v>5.426847231</v>
      </c>
      <c r="Q384" s="1">
        <v>6.098094251</v>
      </c>
      <c r="R384" s="1">
        <v>6.0415391009999997</v>
      </c>
      <c r="S384" s="1">
        <v>5.7416668729999998</v>
      </c>
      <c r="T384" s="1">
        <v>5.5187262759999998</v>
      </c>
      <c r="U384" s="1">
        <v>5.7197461279999997</v>
      </c>
      <c r="V384" s="1">
        <v>6.2949812820000002</v>
      </c>
      <c r="W384" s="1">
        <v>6.1843530070000003</v>
      </c>
      <c r="X384" s="1">
        <v>6.4722173280000002</v>
      </c>
      <c r="Y384" s="1">
        <v>6.7521416749999998</v>
      </c>
      <c r="Z384" s="1">
        <v>6.0415391009999997</v>
      </c>
      <c r="AA384" s="1">
        <v>5.7416668729999998</v>
      </c>
      <c r="AB384" s="1">
        <v>5.6280506069999996</v>
      </c>
      <c r="AC384" s="1">
        <v>5.6698330419999996</v>
      </c>
      <c r="AD384" s="1">
        <v>6.3296964060000001</v>
      </c>
      <c r="AE384" s="1">
        <v>5.9740468760000001</v>
      </c>
    </row>
    <row r="385" spans="1:31" x14ac:dyDescent="0.25">
      <c r="A385" s="1" t="s">
        <v>835</v>
      </c>
      <c r="B385" s="1" t="s">
        <v>2547</v>
      </c>
      <c r="C385" s="1" t="s">
        <v>2789</v>
      </c>
      <c r="D385" s="1" t="s">
        <v>2535</v>
      </c>
      <c r="E385" s="1" t="s">
        <v>3238</v>
      </c>
      <c r="F385" s="1" t="s">
        <v>3239</v>
      </c>
      <c r="G385" s="1" t="s">
        <v>835</v>
      </c>
      <c r="H385" s="1">
        <v>7.1547827179999999</v>
      </c>
      <c r="I385" s="1">
        <v>7.2562539529999999</v>
      </c>
      <c r="J385" s="1">
        <v>6.2905743620000001</v>
      </c>
      <c r="K385" s="1">
        <v>6.091743707</v>
      </c>
      <c r="L385" s="1">
        <v>6.7844310559999998</v>
      </c>
      <c r="M385" s="1">
        <v>6.5662231340000003</v>
      </c>
      <c r="N385" s="1">
        <v>7.7240731240000002</v>
      </c>
      <c r="O385" s="1">
        <v>7.4860192379999999</v>
      </c>
      <c r="P385" s="1">
        <v>6.3171519470000002</v>
      </c>
      <c r="Q385" s="1">
        <v>6.4187248529999996</v>
      </c>
      <c r="R385" s="1">
        <v>6.0415391009999997</v>
      </c>
      <c r="S385" s="1">
        <v>6.1911441390000004</v>
      </c>
      <c r="T385" s="1">
        <v>6.7844310559999998</v>
      </c>
      <c r="U385" s="1">
        <v>6.5662231340000003</v>
      </c>
      <c r="V385" s="1">
        <v>6.3484277020000004</v>
      </c>
      <c r="W385" s="1">
        <v>6.4401804780000003</v>
      </c>
      <c r="X385" s="1">
        <v>6.3441015869999999</v>
      </c>
      <c r="Y385" s="1">
        <v>6.5062933870000004</v>
      </c>
      <c r="Z385" s="1">
        <v>6.0415391009999997</v>
      </c>
      <c r="AA385" s="1">
        <v>6.1911441390000004</v>
      </c>
      <c r="AB385" s="1">
        <v>5.7665348979999997</v>
      </c>
      <c r="AC385" s="1">
        <v>6.4392179089999999</v>
      </c>
      <c r="AD385" s="1">
        <v>6.2383411879999997</v>
      </c>
      <c r="AE385" s="1">
        <v>6.1901317870000003</v>
      </c>
    </row>
    <row r="386" spans="1:31" x14ac:dyDescent="0.25">
      <c r="A386" s="1" t="s">
        <v>837</v>
      </c>
      <c r="B386" s="1" t="s">
        <v>2539</v>
      </c>
      <c r="C386" s="1" t="s">
        <v>2606</v>
      </c>
      <c r="D386" s="1" t="s">
        <v>3240</v>
      </c>
      <c r="E386" s="1" t="s">
        <v>3241</v>
      </c>
      <c r="F386" s="1" t="s">
        <v>3242</v>
      </c>
      <c r="G386" s="1" t="s">
        <v>837</v>
      </c>
      <c r="H386" s="1">
        <v>8.8667232489999996</v>
      </c>
      <c r="I386" s="1">
        <v>8.3545737419999995</v>
      </c>
      <c r="J386" s="1">
        <v>8.909423812</v>
      </c>
      <c r="K386" s="1">
        <v>8.9992265679999992</v>
      </c>
      <c r="L386" s="1">
        <v>7.9476739360000002</v>
      </c>
      <c r="M386" s="1">
        <v>8.206660093</v>
      </c>
      <c r="N386" s="1">
        <v>8.0890607170000006</v>
      </c>
      <c r="O386" s="1">
        <v>8.2583799819999992</v>
      </c>
      <c r="P386" s="1">
        <v>8.6265980469999999</v>
      </c>
      <c r="Q386" s="1">
        <v>8.4637285290000008</v>
      </c>
      <c r="R386" s="1">
        <v>8.2962322190000002</v>
      </c>
      <c r="S386" s="1">
        <v>8.0105945280000004</v>
      </c>
      <c r="T386" s="1">
        <v>7.9476739360000002</v>
      </c>
      <c r="U386" s="1">
        <v>8.206660093</v>
      </c>
      <c r="V386" s="1">
        <v>7.6920807379999996</v>
      </c>
      <c r="W386" s="1">
        <v>7.8491249549999997</v>
      </c>
      <c r="X386" s="1">
        <v>8.0546530829999998</v>
      </c>
      <c r="Y386" s="1">
        <v>7.295903365</v>
      </c>
      <c r="Z386" s="1">
        <v>8.2962322190000002</v>
      </c>
      <c r="AA386" s="1">
        <v>8.0105945280000004</v>
      </c>
      <c r="AB386" s="1">
        <v>8.4264886870000009</v>
      </c>
      <c r="AC386" s="1">
        <v>8.3363389659999996</v>
      </c>
      <c r="AD386" s="1">
        <v>8.1546584450000008</v>
      </c>
      <c r="AE386" s="1">
        <v>7.9425056249999999</v>
      </c>
    </row>
    <row r="387" spans="1:31" x14ac:dyDescent="0.25">
      <c r="A387" s="1" t="s">
        <v>839</v>
      </c>
      <c r="B387" s="1" t="s">
        <v>2530</v>
      </c>
      <c r="C387" s="1" t="s">
        <v>2531</v>
      </c>
      <c r="D387" s="1" t="s">
        <v>2535</v>
      </c>
      <c r="E387" s="1" t="s">
        <v>3243</v>
      </c>
      <c r="G387" s="1" t="s">
        <v>839</v>
      </c>
      <c r="H387" s="1">
        <v>3.2549621289999999</v>
      </c>
      <c r="I387" s="1">
        <v>3.9003964459999998</v>
      </c>
      <c r="J387" s="1">
        <v>4.2898244959999996</v>
      </c>
      <c r="K387" s="1">
        <v>4.0244910950000001</v>
      </c>
      <c r="L387" s="1">
        <v>3.7446308510000001</v>
      </c>
      <c r="M387" s="1">
        <v>4.1225413939999997</v>
      </c>
      <c r="N387" s="1">
        <v>2.372908427</v>
      </c>
      <c r="O387" s="1">
        <v>3.050193165</v>
      </c>
      <c r="P387" s="1">
        <v>3.6116823170000001</v>
      </c>
      <c r="Q387" s="1">
        <v>4.18747588</v>
      </c>
      <c r="R387" s="1">
        <v>4.0808207129999996</v>
      </c>
      <c r="S387" s="1">
        <v>3.6647387380000001</v>
      </c>
      <c r="T387" s="1">
        <v>3.7446308510000001</v>
      </c>
      <c r="U387" s="1">
        <v>4.1225413939999997</v>
      </c>
      <c r="V387" s="1">
        <v>2.8225047829999999</v>
      </c>
      <c r="W387" s="1">
        <v>3.2870366010000001</v>
      </c>
      <c r="X387" s="1">
        <v>3.3149070109999998</v>
      </c>
      <c r="Y387" s="1">
        <v>3.4382968329999999</v>
      </c>
      <c r="Z387" s="1">
        <v>4.0808207129999996</v>
      </c>
      <c r="AA387" s="1">
        <v>3.6647387380000001</v>
      </c>
      <c r="AB387" s="1">
        <v>3.1218319999999999</v>
      </c>
      <c r="AC387" s="1">
        <v>3.6175630609999998</v>
      </c>
      <c r="AD387" s="1">
        <v>3.3987395579999999</v>
      </c>
      <c r="AE387" s="1">
        <v>3.321206681</v>
      </c>
    </row>
    <row r="388" spans="1:31" x14ac:dyDescent="0.25">
      <c r="A388" s="1" t="s">
        <v>843</v>
      </c>
      <c r="B388" s="1" t="s">
        <v>2547</v>
      </c>
      <c r="C388" s="1" t="s">
        <v>2566</v>
      </c>
      <c r="D388" s="1" t="s">
        <v>3244</v>
      </c>
      <c r="E388" s="1" t="s">
        <v>3245</v>
      </c>
      <c r="F388" s="1" t="s">
        <v>3246</v>
      </c>
      <c r="G388" s="1" t="s">
        <v>843</v>
      </c>
      <c r="H388" s="1">
        <v>2.640460343</v>
      </c>
      <c r="I388" s="1">
        <v>2.5655118899999998</v>
      </c>
      <c r="J388" s="1">
        <v>4.3724365990000003</v>
      </c>
      <c r="K388" s="1">
        <v>3.8998480660000001</v>
      </c>
      <c r="L388" s="1">
        <v>5.2153292420000001</v>
      </c>
      <c r="M388" s="1">
        <v>4.709731562</v>
      </c>
      <c r="N388" s="1">
        <v>2.8201075470000001</v>
      </c>
      <c r="O388" s="1">
        <v>2.411448644</v>
      </c>
      <c r="P388" s="1">
        <v>2.5478783159999998</v>
      </c>
      <c r="Q388" s="1">
        <v>4.3733115800000002</v>
      </c>
      <c r="R388" s="1">
        <v>5.0440296189999998</v>
      </c>
      <c r="S388" s="1">
        <v>3.9182367880000002</v>
      </c>
      <c r="T388" s="1">
        <v>5.2153292420000001</v>
      </c>
      <c r="U388" s="1">
        <v>4.709731562</v>
      </c>
      <c r="V388" s="1">
        <v>4.8059579570000004</v>
      </c>
      <c r="W388" s="1">
        <v>4.8493412630000003</v>
      </c>
      <c r="X388" s="1">
        <v>4.407182283</v>
      </c>
      <c r="Y388" s="1">
        <v>4.7564010139999997</v>
      </c>
      <c r="Z388" s="1">
        <v>5.0440296189999998</v>
      </c>
      <c r="AA388" s="1">
        <v>3.9182367880000002</v>
      </c>
      <c r="AB388" s="1">
        <v>4.9601840040000003</v>
      </c>
      <c r="AC388" s="1">
        <v>4.2557864319999998</v>
      </c>
      <c r="AD388" s="1">
        <v>4.3870463700000002</v>
      </c>
      <c r="AE388" s="1">
        <v>4.3257514669999999</v>
      </c>
    </row>
    <row r="389" spans="1:31" x14ac:dyDescent="0.25">
      <c r="A389" s="1" t="s">
        <v>844</v>
      </c>
      <c r="B389" s="1" t="s">
        <v>2547</v>
      </c>
      <c r="C389" s="1" t="s">
        <v>2566</v>
      </c>
      <c r="D389" s="1" t="s">
        <v>3244</v>
      </c>
      <c r="E389" s="1" t="s">
        <v>3247</v>
      </c>
      <c r="F389" s="1" t="s">
        <v>3248</v>
      </c>
      <c r="G389" s="1" t="s">
        <v>844</v>
      </c>
      <c r="H389" s="1">
        <v>3.2549621289999999</v>
      </c>
      <c r="I389" s="1">
        <v>2.5655118899999998</v>
      </c>
      <c r="J389" s="1">
        <v>5.0051223570000003</v>
      </c>
      <c r="K389" s="1">
        <v>4.941717659</v>
      </c>
      <c r="L389" s="1">
        <v>5.2153292420000001</v>
      </c>
      <c r="M389" s="1">
        <v>5.4634864729999997</v>
      </c>
      <c r="N389" s="1">
        <v>2.9782685729999998</v>
      </c>
      <c r="O389" s="1">
        <v>2.411448644</v>
      </c>
      <c r="P389" s="1">
        <v>3.9684043939999998</v>
      </c>
      <c r="Q389" s="1">
        <v>3.9718447549999998</v>
      </c>
      <c r="R389" s="1">
        <v>4.6795267799999998</v>
      </c>
      <c r="S389" s="1">
        <v>5.2672271329999996</v>
      </c>
      <c r="T389" s="1">
        <v>5.2153292420000001</v>
      </c>
      <c r="U389" s="1">
        <v>5.4634864729999997</v>
      </c>
      <c r="V389" s="1">
        <v>5.2072842770000003</v>
      </c>
      <c r="W389" s="1">
        <v>5.427589942</v>
      </c>
      <c r="X389" s="1">
        <v>4.7537743670000001</v>
      </c>
      <c r="Y389" s="1">
        <v>5.2792112080000004</v>
      </c>
      <c r="Z389" s="1">
        <v>4.6795267799999998</v>
      </c>
      <c r="AA389" s="1">
        <v>5.2672271329999996</v>
      </c>
      <c r="AB389" s="1">
        <v>5.4746970709999996</v>
      </c>
      <c r="AC389" s="1">
        <v>4.8053838390000001</v>
      </c>
      <c r="AD389" s="1">
        <v>5.3091856960000001</v>
      </c>
      <c r="AE389" s="1">
        <v>5.0965372069999999</v>
      </c>
    </row>
    <row r="390" spans="1:31" x14ac:dyDescent="0.25">
      <c r="A390" s="1" t="s">
        <v>848</v>
      </c>
      <c r="B390" s="1" t="s">
        <v>2598</v>
      </c>
      <c r="C390" s="1" t="s">
        <v>2795</v>
      </c>
      <c r="D390" s="1" t="s">
        <v>3249</v>
      </c>
      <c r="E390" s="1" t="s">
        <v>3250</v>
      </c>
      <c r="F390" s="1" t="s">
        <v>3251</v>
      </c>
      <c r="G390" s="1" t="s">
        <v>848</v>
      </c>
      <c r="H390" s="1">
        <v>3.9421380259999999</v>
      </c>
      <c r="I390" s="1">
        <v>4.5981535630000003</v>
      </c>
      <c r="J390" s="1">
        <v>5.1501560140000002</v>
      </c>
      <c r="K390" s="1">
        <v>5.2180867539999998</v>
      </c>
      <c r="L390" s="1">
        <v>5.5357047289999999</v>
      </c>
      <c r="M390" s="1">
        <v>5.6801009100000002</v>
      </c>
      <c r="N390" s="1">
        <v>4.3116130799999999</v>
      </c>
      <c r="O390" s="1">
        <v>3.6346882059999999</v>
      </c>
      <c r="P390" s="1">
        <v>5.0554269730000003</v>
      </c>
      <c r="Q390" s="1">
        <v>5.3375178869999997</v>
      </c>
      <c r="R390" s="1">
        <v>5.4182058560000002</v>
      </c>
      <c r="S390" s="1">
        <v>5.2232498669999998</v>
      </c>
      <c r="T390" s="1">
        <v>5.5357047289999999</v>
      </c>
      <c r="U390" s="1">
        <v>5.6801009100000002</v>
      </c>
      <c r="V390" s="1">
        <v>5.1679192199999999</v>
      </c>
      <c r="W390" s="1">
        <v>4.69862249</v>
      </c>
      <c r="X390" s="1">
        <v>5.2391096700000004</v>
      </c>
      <c r="Y390" s="1">
        <v>5.1254702539999997</v>
      </c>
      <c r="Z390" s="1">
        <v>5.4182058560000002</v>
      </c>
      <c r="AA390" s="1">
        <v>5.2232498669999998</v>
      </c>
      <c r="AB390" s="1">
        <v>4.7958605490000004</v>
      </c>
      <c r="AC390" s="1">
        <v>4.6870272159999997</v>
      </c>
      <c r="AD390" s="1">
        <v>4.6978214539999996</v>
      </c>
      <c r="AE390" s="1">
        <v>4.7636391339999999</v>
      </c>
    </row>
    <row r="391" spans="1:31" x14ac:dyDescent="0.25">
      <c r="A391" s="1" t="s">
        <v>850</v>
      </c>
      <c r="B391" s="1" t="s">
        <v>2608</v>
      </c>
      <c r="C391" s="1" t="s">
        <v>2758</v>
      </c>
      <c r="D391" s="1" t="s">
        <v>2759</v>
      </c>
      <c r="E391" s="1" t="s">
        <v>3252</v>
      </c>
      <c r="F391" s="1" t="s">
        <v>3253</v>
      </c>
      <c r="G391" s="1" t="s">
        <v>850</v>
      </c>
      <c r="H391" s="1">
        <v>6.4914637309999996</v>
      </c>
      <c r="I391" s="1">
        <v>6.610348052</v>
      </c>
      <c r="J391" s="1">
        <v>6.9576180770000002</v>
      </c>
      <c r="K391" s="1">
        <v>6.8233399239999999</v>
      </c>
      <c r="L391" s="1">
        <v>7.9539711520000003</v>
      </c>
      <c r="M391" s="1">
        <v>7.5436244439999998</v>
      </c>
      <c r="N391" s="1">
        <v>7.0325233200000001</v>
      </c>
      <c r="O391" s="1">
        <v>6.9786739019999997</v>
      </c>
      <c r="P391" s="1">
        <v>7.2161876950000003</v>
      </c>
      <c r="Q391" s="1">
        <v>7.2173337469999996</v>
      </c>
      <c r="R391" s="1">
        <v>6.941180041</v>
      </c>
      <c r="S391" s="1">
        <v>7.345520681</v>
      </c>
      <c r="T391" s="1">
        <v>7.9539711520000003</v>
      </c>
      <c r="U391" s="1">
        <v>7.5436244439999998</v>
      </c>
      <c r="V391" s="1">
        <v>7.4368040840000003</v>
      </c>
      <c r="W391" s="1">
        <v>7.1478630409999999</v>
      </c>
      <c r="X391" s="1">
        <v>7.2970032920000003</v>
      </c>
      <c r="Y391" s="1">
        <v>7.2474189219999996</v>
      </c>
      <c r="Z391" s="1">
        <v>6.941180041</v>
      </c>
      <c r="AA391" s="1">
        <v>7.345520681</v>
      </c>
      <c r="AB391" s="1">
        <v>7.2493787579999998</v>
      </c>
      <c r="AC391" s="1">
        <v>7.2260251899999997</v>
      </c>
      <c r="AD391" s="1">
        <v>6.7490106299999999</v>
      </c>
      <c r="AE391" s="1">
        <v>6.8984693960000003</v>
      </c>
    </row>
    <row r="392" spans="1:31" x14ac:dyDescent="0.25">
      <c r="A392" s="1" t="s">
        <v>855</v>
      </c>
      <c r="B392" s="1" t="s">
        <v>2530</v>
      </c>
      <c r="C392" s="1" t="s">
        <v>2531</v>
      </c>
      <c r="D392" s="1" t="s">
        <v>2535</v>
      </c>
      <c r="E392" s="1" t="s">
        <v>3254</v>
      </c>
      <c r="G392" s="1" t="s">
        <v>855</v>
      </c>
      <c r="H392" s="1">
        <v>5.6684727009999998</v>
      </c>
      <c r="I392" s="1">
        <v>5.6535958219999998</v>
      </c>
      <c r="J392" s="1">
        <v>4.2018709520000002</v>
      </c>
      <c r="K392" s="1">
        <v>4.3408695499999999</v>
      </c>
      <c r="L392" s="1">
        <v>3.5435353630000002</v>
      </c>
      <c r="M392" s="1">
        <v>4.239619416</v>
      </c>
      <c r="N392" s="1">
        <v>5.9870940719999997</v>
      </c>
      <c r="O392" s="1">
        <v>6.173773679</v>
      </c>
      <c r="P392" s="1">
        <v>4.9062897479999998</v>
      </c>
      <c r="Q392" s="1">
        <v>5.2000913229999997</v>
      </c>
      <c r="R392" s="1">
        <v>4.6795267799999998</v>
      </c>
      <c r="S392" s="1">
        <v>5.1309834260000002</v>
      </c>
      <c r="T392" s="1">
        <v>3.5435353630000002</v>
      </c>
      <c r="U392" s="1">
        <v>4.239619416</v>
      </c>
      <c r="V392" s="1">
        <v>3.9849921849999999</v>
      </c>
      <c r="W392" s="1">
        <v>4.4367165279999998</v>
      </c>
      <c r="X392" s="1">
        <v>4.3627028770000003</v>
      </c>
      <c r="Y392" s="1">
        <v>4.2532353330000001</v>
      </c>
      <c r="Z392" s="1">
        <v>4.6795267799999998</v>
      </c>
      <c r="AA392" s="1">
        <v>5.1309834260000002</v>
      </c>
      <c r="AB392" s="1">
        <v>4.6096720080000004</v>
      </c>
      <c r="AC392" s="1">
        <v>4.6870272159999997</v>
      </c>
      <c r="AD392" s="1">
        <v>4.5511338559999999</v>
      </c>
      <c r="AE392" s="1">
        <v>4.7290680490000003</v>
      </c>
    </row>
    <row r="393" spans="1:31" x14ac:dyDescent="0.25">
      <c r="A393" s="1" t="s">
        <v>856</v>
      </c>
      <c r="B393" s="1" t="s">
        <v>3099</v>
      </c>
      <c r="C393" s="1" t="s">
        <v>3100</v>
      </c>
      <c r="D393" s="1" t="s">
        <v>3101</v>
      </c>
      <c r="E393" s="1" t="s">
        <v>3255</v>
      </c>
      <c r="F393" s="1" t="s">
        <v>3256</v>
      </c>
      <c r="G393" s="1" t="s">
        <v>856</v>
      </c>
      <c r="H393" s="1">
        <v>7.5462549440000002</v>
      </c>
      <c r="I393" s="1">
        <v>7.2562539529999999</v>
      </c>
      <c r="J393" s="1">
        <v>6.7627112289999998</v>
      </c>
      <c r="K393" s="1">
        <v>6.7901886659999997</v>
      </c>
      <c r="L393" s="1">
        <v>5.7971864540000002</v>
      </c>
      <c r="M393" s="1">
        <v>5.7197461279999997</v>
      </c>
      <c r="N393" s="1">
        <v>7.4494039580000004</v>
      </c>
      <c r="O393" s="1">
        <v>7.5270103370000001</v>
      </c>
      <c r="P393" s="1">
        <v>7.4204449840000004</v>
      </c>
      <c r="Q393" s="1">
        <v>7.6429813979999999</v>
      </c>
      <c r="R393" s="1">
        <v>7.0638992009999999</v>
      </c>
      <c r="S393" s="1">
        <v>6.949641561</v>
      </c>
      <c r="T393" s="1">
        <v>5.7971864540000002</v>
      </c>
      <c r="U393" s="1">
        <v>5.7197461279999997</v>
      </c>
      <c r="V393" s="1">
        <v>6.0587793220000004</v>
      </c>
      <c r="W393" s="1">
        <v>6.0056801469999996</v>
      </c>
      <c r="X393" s="1">
        <v>6.2987278330000001</v>
      </c>
      <c r="Y393" s="1">
        <v>6.2836980430000002</v>
      </c>
      <c r="Z393" s="1">
        <v>7.0638992009999999</v>
      </c>
      <c r="AA393" s="1">
        <v>6.949641561</v>
      </c>
      <c r="AB393" s="1">
        <v>6.8339958249999997</v>
      </c>
      <c r="AC393" s="1">
        <v>6.6566026520000001</v>
      </c>
      <c r="AD393" s="1">
        <v>7.1629120009999996</v>
      </c>
      <c r="AE393" s="1">
        <v>7.0019538289999996</v>
      </c>
    </row>
    <row r="394" spans="1:31" x14ac:dyDescent="0.25">
      <c r="A394" s="1" t="s">
        <v>857</v>
      </c>
      <c r="B394" s="1" t="s">
        <v>2557</v>
      </c>
      <c r="C394" s="1" t="s">
        <v>3063</v>
      </c>
      <c r="D394" s="1" t="s">
        <v>3064</v>
      </c>
      <c r="E394" s="1" t="s">
        <v>3257</v>
      </c>
      <c r="F394" s="1" t="s">
        <v>3258</v>
      </c>
      <c r="G394" s="1" t="s">
        <v>857</v>
      </c>
      <c r="H394" s="1">
        <v>6.379172209</v>
      </c>
      <c r="I394" s="1">
        <v>6.4522693780000004</v>
      </c>
      <c r="J394" s="1">
        <v>4.8434621079999998</v>
      </c>
      <c r="K394" s="1">
        <v>5.4913640639999999</v>
      </c>
      <c r="L394" s="1">
        <v>3.7446308510000001</v>
      </c>
      <c r="M394" s="1">
        <v>3.7747836370000001</v>
      </c>
      <c r="N394" s="1">
        <v>6.2582753870000003</v>
      </c>
      <c r="O394" s="1">
        <v>6.2458213499999999</v>
      </c>
      <c r="P394" s="1">
        <v>4.7972962780000001</v>
      </c>
      <c r="Q394" s="1">
        <v>4.8155696649999999</v>
      </c>
      <c r="R394" s="1">
        <v>3.968758995</v>
      </c>
      <c r="S394" s="1">
        <v>4.1304223819999999</v>
      </c>
      <c r="T394" s="1">
        <v>3.7446308510000001</v>
      </c>
      <c r="U394" s="1">
        <v>3.7747836370000001</v>
      </c>
      <c r="V394" s="1">
        <v>4.1608706030000002</v>
      </c>
      <c r="W394" s="1">
        <v>4.2295768090000001</v>
      </c>
      <c r="X394" s="1">
        <v>4.3167291810000004</v>
      </c>
      <c r="Y394" s="1">
        <v>4.3509215530000001</v>
      </c>
      <c r="Z394" s="1">
        <v>3.968758995</v>
      </c>
      <c r="AA394" s="1">
        <v>4.1304223819999999</v>
      </c>
      <c r="AB394" s="1">
        <v>4.5063178209999997</v>
      </c>
      <c r="AC394" s="1">
        <v>5.2822693689999998</v>
      </c>
      <c r="AD394" s="1">
        <v>4.6264106470000002</v>
      </c>
      <c r="AE394" s="1">
        <v>5.0415666330000004</v>
      </c>
    </row>
    <row r="395" spans="1:31" x14ac:dyDescent="0.25">
      <c r="A395" s="1" t="s">
        <v>859</v>
      </c>
      <c r="B395" s="1" t="s">
        <v>2530</v>
      </c>
      <c r="C395" s="1" t="s">
        <v>2531</v>
      </c>
      <c r="D395" s="1" t="s">
        <v>2535</v>
      </c>
      <c r="E395" s="1" t="s">
        <v>2536</v>
      </c>
      <c r="G395" s="1" t="s">
        <v>859</v>
      </c>
      <c r="H395" s="1">
        <v>5.2221022919999998</v>
      </c>
      <c r="I395" s="1">
        <v>4.5981535630000003</v>
      </c>
      <c r="J395" s="1">
        <v>3.4977151119999998</v>
      </c>
      <c r="K395" s="1">
        <v>4.0244910950000001</v>
      </c>
      <c r="L395" s="1">
        <v>3.7446308510000001</v>
      </c>
      <c r="M395" s="1">
        <v>4.239619416</v>
      </c>
      <c r="N395" s="1">
        <v>5.1355241630000004</v>
      </c>
      <c r="O395" s="1">
        <v>4.9384407589999997</v>
      </c>
      <c r="P395" s="1">
        <v>3.9684043939999998</v>
      </c>
      <c r="Q395" s="1">
        <v>3.185675432</v>
      </c>
      <c r="R395" s="1">
        <v>4.0808207129999996</v>
      </c>
      <c r="S395" s="1">
        <v>3.3463386960000001</v>
      </c>
      <c r="T395" s="1">
        <v>3.7446308510000001</v>
      </c>
      <c r="U395" s="1">
        <v>4.239619416</v>
      </c>
      <c r="V395" s="1">
        <v>4.4559512029999997</v>
      </c>
      <c r="W395" s="1">
        <v>4.5296290450000001</v>
      </c>
      <c r="X395" s="1">
        <v>4.3167291810000004</v>
      </c>
      <c r="Y395" s="1">
        <v>4.1479647589999997</v>
      </c>
      <c r="Z395" s="1">
        <v>4.0808207129999996</v>
      </c>
      <c r="AA395" s="1">
        <v>3.3463386960000001</v>
      </c>
      <c r="AB395" s="1">
        <v>3.990981031</v>
      </c>
      <c r="AC395" s="1">
        <v>4.1685844940000001</v>
      </c>
      <c r="AD395" s="1">
        <v>4.2970121150000002</v>
      </c>
      <c r="AE395" s="1">
        <v>3.9499994520000001</v>
      </c>
    </row>
    <row r="396" spans="1:31" x14ac:dyDescent="0.25">
      <c r="A396" s="1" t="s">
        <v>860</v>
      </c>
      <c r="B396" s="1" t="s">
        <v>2579</v>
      </c>
      <c r="C396" s="1" t="s">
        <v>3259</v>
      </c>
      <c r="D396" s="1" t="s">
        <v>3260</v>
      </c>
      <c r="E396" s="1" t="s">
        <v>3261</v>
      </c>
      <c r="F396" s="1" t="s">
        <v>3262</v>
      </c>
      <c r="G396" s="1" t="s">
        <v>860</v>
      </c>
      <c r="H396" s="1">
        <v>8.5977914220000002</v>
      </c>
      <c r="I396" s="1">
        <v>8.5360923090000007</v>
      </c>
      <c r="J396" s="1">
        <v>7.163535231</v>
      </c>
      <c r="K396" s="1">
        <v>7.0916736929999997</v>
      </c>
      <c r="L396" s="1">
        <v>6.7914859910000001</v>
      </c>
      <c r="M396" s="1">
        <v>6.4298477490000003</v>
      </c>
      <c r="N396" s="1">
        <v>7.7637166259999999</v>
      </c>
      <c r="O396" s="1">
        <v>7.8967407129999998</v>
      </c>
      <c r="P396" s="1">
        <v>7.06192595</v>
      </c>
      <c r="Q396" s="1">
        <v>6.9169289909999998</v>
      </c>
      <c r="R396" s="1">
        <v>6.6932924079999996</v>
      </c>
      <c r="S396" s="1">
        <v>7.1140898520000002</v>
      </c>
      <c r="T396" s="1">
        <v>6.7914859910000001</v>
      </c>
      <c r="U396" s="1">
        <v>6.4298477490000003</v>
      </c>
      <c r="V396" s="1">
        <v>6.7698772270000003</v>
      </c>
      <c r="W396" s="1">
        <v>6.9808429480000003</v>
      </c>
      <c r="X396" s="1">
        <v>6.9391671580000001</v>
      </c>
      <c r="Y396" s="1">
        <v>6.6624835610000002</v>
      </c>
      <c r="Z396" s="1">
        <v>6.6932924079999996</v>
      </c>
      <c r="AA396" s="1">
        <v>7.1140898520000002</v>
      </c>
      <c r="AB396" s="1">
        <v>6.875265154</v>
      </c>
      <c r="AC396" s="1">
        <v>7.1398799740000003</v>
      </c>
      <c r="AD396" s="1">
        <v>6.8136746160000001</v>
      </c>
      <c r="AE396" s="1">
        <v>7.0371821480000003</v>
      </c>
    </row>
    <row r="397" spans="1:31" x14ac:dyDescent="0.25">
      <c r="A397" s="1" t="s">
        <v>864</v>
      </c>
      <c r="B397" s="1" t="s">
        <v>2530</v>
      </c>
      <c r="C397" s="1" t="s">
        <v>2531</v>
      </c>
      <c r="D397" s="1" t="s">
        <v>2535</v>
      </c>
      <c r="E397" s="1" t="s">
        <v>3263</v>
      </c>
      <c r="G397" s="1" t="s">
        <v>864</v>
      </c>
      <c r="H397" s="1">
        <v>5.5896774330000003</v>
      </c>
      <c r="I397" s="1">
        <v>5.6856247609999997</v>
      </c>
      <c r="J397" s="1">
        <v>5.3631085470000004</v>
      </c>
      <c r="K397" s="1">
        <v>5.4913640639999999</v>
      </c>
      <c r="L397" s="1">
        <v>5.6335437009999998</v>
      </c>
      <c r="M397" s="1">
        <v>5.2079667260000004</v>
      </c>
      <c r="N397" s="1">
        <v>5.878624276</v>
      </c>
      <c r="O397" s="1">
        <v>6.0012687509999996</v>
      </c>
      <c r="P397" s="1">
        <v>5.3522904530000002</v>
      </c>
      <c r="Q397" s="1">
        <v>5.6144419360000004</v>
      </c>
      <c r="R397" s="1">
        <v>4.8118229140000004</v>
      </c>
      <c r="S397" s="1">
        <v>5.3915434019999999</v>
      </c>
      <c r="T397" s="1">
        <v>5.6335437009999998</v>
      </c>
      <c r="U397" s="1">
        <v>5.2079667260000004</v>
      </c>
      <c r="V397" s="1">
        <v>5.1274300740000003</v>
      </c>
      <c r="W397" s="1">
        <v>5.2236621110000003</v>
      </c>
      <c r="X397" s="1">
        <v>4.6102919370000004</v>
      </c>
      <c r="Y397" s="1">
        <v>5.3269702959999998</v>
      </c>
      <c r="Z397" s="1">
        <v>4.8118229140000004</v>
      </c>
      <c r="AA397" s="1">
        <v>5.3915434019999999</v>
      </c>
      <c r="AB397" s="1">
        <v>5.0356743460000004</v>
      </c>
      <c r="AC397" s="1">
        <v>5.198889973</v>
      </c>
      <c r="AD397" s="1">
        <v>5.5571020090000003</v>
      </c>
      <c r="AE397" s="1">
        <v>5.1494525009999998</v>
      </c>
    </row>
    <row r="398" spans="1:31" x14ac:dyDescent="0.25">
      <c r="A398" s="1" t="s">
        <v>865</v>
      </c>
      <c r="B398" s="1" t="s">
        <v>2530</v>
      </c>
      <c r="C398" s="1" t="s">
        <v>2531</v>
      </c>
      <c r="D398" s="1" t="s">
        <v>2535</v>
      </c>
      <c r="E398" s="1" t="s">
        <v>2536</v>
      </c>
      <c r="G398" s="1" t="s">
        <v>865</v>
      </c>
      <c r="H398" s="1">
        <v>5.946332924</v>
      </c>
      <c r="I398" s="1">
        <v>4.9575946069999999</v>
      </c>
      <c r="J398" s="1">
        <v>4.9532699769999997</v>
      </c>
      <c r="K398" s="1">
        <v>4.4318297590000002</v>
      </c>
      <c r="L398" s="1">
        <v>3.6811173419999998</v>
      </c>
      <c r="M398" s="1">
        <v>3.6924658159999999</v>
      </c>
      <c r="N398" s="1">
        <v>4.8006971780000001</v>
      </c>
      <c r="O398" s="1">
        <v>5.2800788330000001</v>
      </c>
      <c r="P398" s="1">
        <v>4.2485661720000003</v>
      </c>
      <c r="Q398" s="1">
        <v>4.611970812</v>
      </c>
      <c r="R398" s="1">
        <v>4.6795267799999998</v>
      </c>
      <c r="S398" s="1">
        <v>4.3135540739999998</v>
      </c>
      <c r="T398" s="1">
        <v>3.6811173419999998</v>
      </c>
      <c r="U398" s="1">
        <v>3.6924658159999999</v>
      </c>
      <c r="V398" s="1">
        <v>4.8059579570000004</v>
      </c>
      <c r="W398" s="1">
        <v>4.7760085830000003</v>
      </c>
      <c r="X398" s="1">
        <v>4.9447045230000004</v>
      </c>
      <c r="Y398" s="1">
        <v>4.8250325140000001</v>
      </c>
      <c r="Z398" s="1">
        <v>4.6795267799999998</v>
      </c>
      <c r="AA398" s="1">
        <v>4.3135540739999998</v>
      </c>
      <c r="AB398" s="1">
        <v>4.7958605490000004</v>
      </c>
      <c r="AC398" s="1">
        <v>4.1685844940000001</v>
      </c>
      <c r="AD398" s="1">
        <v>4.6264106470000002</v>
      </c>
      <c r="AE398" s="1">
        <v>4.7636391339999999</v>
      </c>
    </row>
    <row r="399" spans="1:31" x14ac:dyDescent="0.25">
      <c r="A399" s="1" t="s">
        <v>872</v>
      </c>
      <c r="B399" s="1" t="s">
        <v>2631</v>
      </c>
      <c r="C399" s="1" t="s">
        <v>3045</v>
      </c>
      <c r="D399" s="1" t="s">
        <v>2535</v>
      </c>
      <c r="E399" s="1" t="s">
        <v>3264</v>
      </c>
      <c r="F399" s="1" t="s">
        <v>3265</v>
      </c>
      <c r="G399" s="1" t="s">
        <v>872</v>
      </c>
      <c r="H399" s="1">
        <v>5.4626831620000003</v>
      </c>
      <c r="I399" s="1">
        <v>5.2862358589999996</v>
      </c>
      <c r="J399" s="1">
        <v>4.5240842389999996</v>
      </c>
      <c r="K399" s="1">
        <v>5.2180867539999998</v>
      </c>
      <c r="L399" s="1">
        <v>5.2974536179999996</v>
      </c>
      <c r="M399" s="1">
        <v>5.1508485750000004</v>
      </c>
      <c r="N399" s="1">
        <v>5.6896218779999996</v>
      </c>
      <c r="O399" s="1">
        <v>5.6647442659999996</v>
      </c>
      <c r="P399" s="1">
        <v>5.0554269730000003</v>
      </c>
      <c r="Q399" s="1">
        <v>5.3375178869999997</v>
      </c>
      <c r="R399" s="1">
        <v>4.6083586160000003</v>
      </c>
      <c r="S399" s="1">
        <v>4.3966315629999997</v>
      </c>
      <c r="T399" s="1">
        <v>5.2974536179999996</v>
      </c>
      <c r="U399" s="1">
        <v>5.1508485750000004</v>
      </c>
      <c r="V399" s="1">
        <v>4.8566239800000002</v>
      </c>
      <c r="W399" s="1">
        <v>4.3370700810000002</v>
      </c>
      <c r="X399" s="1">
        <v>4.4502657640000001</v>
      </c>
      <c r="Y399" s="1">
        <v>4.7564010139999997</v>
      </c>
      <c r="Z399" s="1">
        <v>4.6083586160000003</v>
      </c>
      <c r="AA399" s="1">
        <v>4.3966315629999997</v>
      </c>
      <c r="AB399" s="1">
        <v>4.8804215500000003</v>
      </c>
      <c r="AC399" s="1">
        <v>4.4881955270000002</v>
      </c>
      <c r="AD399" s="1">
        <v>4.6264106470000002</v>
      </c>
      <c r="AE399" s="1">
        <v>5.175187158</v>
      </c>
    </row>
    <row r="400" spans="1:31" x14ac:dyDescent="0.25">
      <c r="A400" s="1" t="s">
        <v>877</v>
      </c>
      <c r="B400" s="1" t="s">
        <v>2530</v>
      </c>
      <c r="C400" s="1" t="s">
        <v>2531</v>
      </c>
      <c r="D400" s="1" t="s">
        <v>3266</v>
      </c>
      <c r="E400" s="1" t="s">
        <v>3267</v>
      </c>
      <c r="G400" s="1" t="s">
        <v>877</v>
      </c>
      <c r="H400" s="1">
        <v>5.2221022919999998</v>
      </c>
      <c r="I400" s="1">
        <v>5.4067069720000003</v>
      </c>
      <c r="J400" s="1">
        <v>4.5240842389999996</v>
      </c>
      <c r="K400" s="1">
        <v>4.5171444090000001</v>
      </c>
      <c r="L400" s="1">
        <v>4.8563863139999999</v>
      </c>
      <c r="M400" s="1">
        <v>4.5846937370000003</v>
      </c>
      <c r="N400" s="1">
        <v>5.9569306830000004</v>
      </c>
      <c r="O400" s="1">
        <v>6.0342145780000003</v>
      </c>
      <c r="P400" s="1">
        <v>4.7972962780000001</v>
      </c>
      <c r="Q400" s="1">
        <v>4.8155696649999999</v>
      </c>
      <c r="R400" s="1">
        <v>4.8118229140000004</v>
      </c>
      <c r="S400" s="1">
        <v>4.5490843459999999</v>
      </c>
      <c r="T400" s="1">
        <v>4.8563863139999999</v>
      </c>
      <c r="U400" s="1">
        <v>4.5846937370000003</v>
      </c>
      <c r="V400" s="1">
        <v>4.998512388</v>
      </c>
      <c r="W400" s="1">
        <v>4.8493412630000003</v>
      </c>
      <c r="X400" s="1">
        <v>5.2147349050000003</v>
      </c>
      <c r="Y400" s="1">
        <v>4.9529845589999999</v>
      </c>
      <c r="Z400" s="1">
        <v>4.8118229140000004</v>
      </c>
      <c r="AA400" s="1">
        <v>4.5490843459999999</v>
      </c>
      <c r="AB400" s="1">
        <v>4.7958605490000004</v>
      </c>
      <c r="AC400" s="1">
        <v>5.7302515789999999</v>
      </c>
      <c r="AD400" s="1">
        <v>4.6978214539999996</v>
      </c>
      <c r="AE400" s="1">
        <v>4.893979055</v>
      </c>
    </row>
    <row r="401" spans="1:31" x14ac:dyDescent="0.25">
      <c r="A401" s="1" t="s">
        <v>878</v>
      </c>
      <c r="B401" s="1" t="s">
        <v>2530</v>
      </c>
      <c r="C401" s="1" t="s">
        <v>2531</v>
      </c>
      <c r="D401" s="1" t="s">
        <v>2535</v>
      </c>
      <c r="E401" s="1" t="s">
        <v>3268</v>
      </c>
      <c r="G401" s="1" t="s">
        <v>878</v>
      </c>
      <c r="H401" s="1">
        <v>8.2795101350000007</v>
      </c>
      <c r="I401" s="1">
        <v>7.9960588780000004</v>
      </c>
      <c r="J401" s="1">
        <v>7.6234685510000002</v>
      </c>
      <c r="K401" s="1">
        <v>7.7641640660000002</v>
      </c>
      <c r="L401" s="1">
        <v>7.5041355579999998</v>
      </c>
      <c r="M401" s="1">
        <v>7.6749994700000004</v>
      </c>
      <c r="N401" s="1">
        <v>7.8724759569999998</v>
      </c>
      <c r="O401" s="1">
        <v>8.2825144030000004</v>
      </c>
      <c r="P401" s="1">
        <v>7.6310121779999998</v>
      </c>
      <c r="Q401" s="1">
        <v>7.6517302039999997</v>
      </c>
      <c r="R401" s="1">
        <v>7.9167939819999997</v>
      </c>
      <c r="S401" s="1">
        <v>7.5537229699999999</v>
      </c>
      <c r="T401" s="1">
        <v>7.5041355579999998</v>
      </c>
      <c r="U401" s="1">
        <v>7.6749994700000004</v>
      </c>
      <c r="V401" s="1">
        <v>7.5775539670000001</v>
      </c>
      <c r="W401" s="1">
        <v>7.8579126600000002</v>
      </c>
      <c r="X401" s="1">
        <v>7.999091398</v>
      </c>
      <c r="Y401" s="1">
        <v>7.9159677620000002</v>
      </c>
      <c r="Z401" s="1">
        <v>7.9167939819999997</v>
      </c>
      <c r="AA401" s="1">
        <v>7.5537229699999999</v>
      </c>
      <c r="AB401" s="1">
        <v>7.9834146779999999</v>
      </c>
      <c r="AC401" s="1">
        <v>8.0772575900000003</v>
      </c>
      <c r="AD401" s="1">
        <v>8.2857070240000006</v>
      </c>
      <c r="AE401" s="1">
        <v>7.8779360169999997</v>
      </c>
    </row>
    <row r="402" spans="1:31" x14ac:dyDescent="0.25">
      <c r="A402" s="1" t="s">
        <v>879</v>
      </c>
      <c r="B402" s="1" t="s">
        <v>2579</v>
      </c>
      <c r="C402" s="1" t="s">
        <v>3259</v>
      </c>
      <c r="D402" s="1" t="s">
        <v>3269</v>
      </c>
      <c r="E402" s="1" t="s">
        <v>3270</v>
      </c>
      <c r="G402" s="1" t="s">
        <v>879</v>
      </c>
      <c r="H402" s="1">
        <v>8.1556295540000008</v>
      </c>
      <c r="I402" s="1">
        <v>8.0212751020000006</v>
      </c>
      <c r="J402" s="1">
        <v>6.9180153889999998</v>
      </c>
      <c r="K402" s="1">
        <v>7.2584585600000002</v>
      </c>
      <c r="L402" s="1">
        <v>6.6818509820000003</v>
      </c>
      <c r="M402" s="1">
        <v>6.4767572920000003</v>
      </c>
      <c r="N402" s="1">
        <v>8.130080049</v>
      </c>
      <c r="O402" s="1">
        <v>8.4802963180000006</v>
      </c>
      <c r="P402" s="1">
        <v>6.8082443379999997</v>
      </c>
      <c r="Q402" s="1">
        <v>6.6977517669999997</v>
      </c>
      <c r="R402" s="1">
        <v>6.9970160760000004</v>
      </c>
      <c r="S402" s="1">
        <v>6.7941413900000001</v>
      </c>
      <c r="T402" s="1">
        <v>6.6818509820000003</v>
      </c>
      <c r="U402" s="1">
        <v>6.4767572920000003</v>
      </c>
      <c r="V402" s="1">
        <v>7.0097196070000001</v>
      </c>
      <c r="W402" s="1">
        <v>6.7357424699999999</v>
      </c>
      <c r="X402" s="1">
        <v>6.9899578670000002</v>
      </c>
      <c r="Y402" s="1">
        <v>7.4104262099999998</v>
      </c>
      <c r="Z402" s="1">
        <v>6.9970160760000004</v>
      </c>
      <c r="AA402" s="1">
        <v>6.7941413900000001</v>
      </c>
      <c r="AB402" s="1">
        <v>7.0110522609999997</v>
      </c>
      <c r="AC402" s="1">
        <v>7.1287405320000001</v>
      </c>
      <c r="AD402" s="1">
        <v>7.326894544</v>
      </c>
      <c r="AE402" s="1">
        <v>7.4672568349999997</v>
      </c>
    </row>
    <row r="403" spans="1:31" x14ac:dyDescent="0.25">
      <c r="A403" s="1" t="s">
        <v>880</v>
      </c>
      <c r="B403" s="1" t="s">
        <v>2579</v>
      </c>
      <c r="C403" s="1" t="s">
        <v>3259</v>
      </c>
      <c r="D403" s="1" t="s">
        <v>3269</v>
      </c>
      <c r="E403" s="1" t="s">
        <v>3271</v>
      </c>
      <c r="G403" s="1" t="s">
        <v>880</v>
      </c>
      <c r="H403" s="1">
        <v>8.7362411810000005</v>
      </c>
      <c r="I403" s="1">
        <v>8.4597603929999998</v>
      </c>
      <c r="J403" s="1">
        <v>6.4839470649999997</v>
      </c>
      <c r="K403" s="1">
        <v>7.2216472190000003</v>
      </c>
      <c r="L403" s="1">
        <v>5.4841512059999999</v>
      </c>
      <c r="M403" s="1">
        <v>5.3915279009999999</v>
      </c>
      <c r="N403" s="1">
        <v>8.4519437409999991</v>
      </c>
      <c r="O403" s="1">
        <v>8.7733360610000002</v>
      </c>
      <c r="P403" s="1">
        <v>6.1519221809999998</v>
      </c>
      <c r="Q403" s="1">
        <v>6.3122380549999999</v>
      </c>
      <c r="R403" s="1">
        <v>6.1928862330000003</v>
      </c>
      <c r="S403" s="1">
        <v>6.3418583389999998</v>
      </c>
      <c r="T403" s="1">
        <v>5.4841512059999999</v>
      </c>
      <c r="U403" s="1">
        <v>5.3915279009999999</v>
      </c>
      <c r="V403" s="1">
        <v>6.1817294079999998</v>
      </c>
      <c r="W403" s="1">
        <v>6.265991681</v>
      </c>
      <c r="X403" s="1">
        <v>6.2871570439999998</v>
      </c>
      <c r="Y403" s="1">
        <v>6.2095953220000002</v>
      </c>
      <c r="Z403" s="1">
        <v>6.1928862330000003</v>
      </c>
      <c r="AA403" s="1">
        <v>6.3418583389999998</v>
      </c>
      <c r="AB403" s="1">
        <v>6.4252252849999998</v>
      </c>
      <c r="AC403" s="1">
        <v>6.1830263060000004</v>
      </c>
      <c r="AD403" s="1">
        <v>6.9636701729999997</v>
      </c>
      <c r="AE403" s="1">
        <v>6.4529509149999997</v>
      </c>
    </row>
    <row r="404" spans="1:31" x14ac:dyDescent="0.25">
      <c r="A404" s="1" t="s">
        <v>881</v>
      </c>
      <c r="B404" s="1" t="s">
        <v>2530</v>
      </c>
      <c r="C404" s="1" t="s">
        <v>2573</v>
      </c>
      <c r="D404" s="1" t="s">
        <v>2535</v>
      </c>
      <c r="E404" s="1" t="s">
        <v>3272</v>
      </c>
      <c r="G404" s="1" t="s">
        <v>881</v>
      </c>
      <c r="H404" s="1">
        <v>9.2734911849999992</v>
      </c>
      <c r="I404" s="1">
        <v>9.4691988980000001</v>
      </c>
      <c r="J404" s="1">
        <v>8.1755980299999997</v>
      </c>
      <c r="K404" s="1">
        <v>8.7805489399999992</v>
      </c>
      <c r="L404" s="1">
        <v>6.3972692809999998</v>
      </c>
      <c r="M404" s="1">
        <v>6.2923515759999997</v>
      </c>
      <c r="N404" s="1">
        <v>9.1828283620000004</v>
      </c>
      <c r="O404" s="1">
        <v>9.403803967</v>
      </c>
      <c r="P404" s="1">
        <v>7.0384759670000001</v>
      </c>
      <c r="Q404" s="1">
        <v>7.3629844279999999</v>
      </c>
      <c r="R404" s="1">
        <v>6.8379355119999996</v>
      </c>
      <c r="S404" s="1">
        <v>7.015130621</v>
      </c>
      <c r="T404" s="1">
        <v>6.3972692809999998</v>
      </c>
      <c r="U404" s="1">
        <v>6.2923515759999997</v>
      </c>
      <c r="V404" s="1">
        <v>7.3609164329999999</v>
      </c>
      <c r="W404" s="1">
        <v>7.7581706329999998</v>
      </c>
      <c r="X404" s="1">
        <v>6.7500295250000004</v>
      </c>
      <c r="Y404" s="1">
        <v>7.9159677620000002</v>
      </c>
      <c r="Z404" s="1">
        <v>6.8379355119999996</v>
      </c>
      <c r="AA404" s="1">
        <v>7.015130621</v>
      </c>
      <c r="AB404" s="1">
        <v>7.2649841789999998</v>
      </c>
      <c r="AC404" s="1">
        <v>7.2364401149999997</v>
      </c>
      <c r="AD404" s="1">
        <v>7.8191820779999999</v>
      </c>
      <c r="AE404" s="1">
        <v>7.6144201560000004</v>
      </c>
    </row>
    <row r="405" spans="1:31" x14ac:dyDescent="0.25">
      <c r="A405" s="1" t="s">
        <v>882</v>
      </c>
      <c r="B405" s="1" t="s">
        <v>2598</v>
      </c>
      <c r="C405" s="1" t="s">
        <v>2603</v>
      </c>
      <c r="D405" s="1" t="s">
        <v>3273</v>
      </c>
      <c r="E405" s="1" t="s">
        <v>3274</v>
      </c>
      <c r="F405" s="1" t="s">
        <v>3275</v>
      </c>
      <c r="G405" s="1" t="s">
        <v>882</v>
      </c>
      <c r="H405" s="1">
        <v>5.3712699940000004</v>
      </c>
      <c r="I405" s="1">
        <v>5.1998500889999999</v>
      </c>
      <c r="J405" s="1">
        <v>6.1831700180000002</v>
      </c>
      <c r="K405" s="1">
        <v>5.7895293819999996</v>
      </c>
      <c r="L405" s="1">
        <v>6.5298006300000004</v>
      </c>
      <c r="M405" s="1">
        <v>6.4651725329999996</v>
      </c>
      <c r="N405" s="1">
        <v>5.6524063629999999</v>
      </c>
      <c r="O405" s="1">
        <v>6.1134152940000002</v>
      </c>
      <c r="P405" s="1">
        <v>6.2573947350000001</v>
      </c>
      <c r="Q405" s="1">
        <v>6.2673322389999999</v>
      </c>
      <c r="R405" s="1">
        <v>5.8723300570000001</v>
      </c>
      <c r="S405" s="1">
        <v>5.9969908790000002</v>
      </c>
      <c r="T405" s="1">
        <v>6.5298006300000004</v>
      </c>
      <c r="U405" s="1">
        <v>6.4651725329999996</v>
      </c>
      <c r="V405" s="1">
        <v>6.1817294079999998</v>
      </c>
      <c r="W405" s="1">
        <v>5.5634106699999997</v>
      </c>
      <c r="X405" s="1">
        <v>6.1786011009999999</v>
      </c>
      <c r="Y405" s="1">
        <v>6.2347231909999996</v>
      </c>
      <c r="Z405" s="1">
        <v>5.8723300570000001</v>
      </c>
      <c r="AA405" s="1">
        <v>5.9969908790000002</v>
      </c>
      <c r="AB405" s="1">
        <v>5.9325296429999996</v>
      </c>
      <c r="AC405" s="1">
        <v>6.2668248259999997</v>
      </c>
      <c r="AD405" s="1">
        <v>5.980763981</v>
      </c>
      <c r="AE405" s="1">
        <v>6.3997621550000003</v>
      </c>
    </row>
    <row r="406" spans="1:31" x14ac:dyDescent="0.25">
      <c r="A406" s="1" t="s">
        <v>883</v>
      </c>
      <c r="B406" s="1" t="s">
        <v>2557</v>
      </c>
      <c r="C406" s="1" t="s">
        <v>2772</v>
      </c>
      <c r="D406" s="1" t="s">
        <v>3276</v>
      </c>
      <c r="E406" s="1" t="s">
        <v>3277</v>
      </c>
      <c r="F406" s="1" t="s">
        <v>3278</v>
      </c>
      <c r="G406" s="1" t="s">
        <v>883</v>
      </c>
      <c r="H406" s="1">
        <v>5.1131742039999999</v>
      </c>
      <c r="I406" s="1">
        <v>6.3160597540000003</v>
      </c>
      <c r="J406" s="1">
        <v>6.0670821549999996</v>
      </c>
      <c r="K406" s="1">
        <v>6.1712535270000002</v>
      </c>
      <c r="L406" s="1">
        <v>6.5382166509999999</v>
      </c>
      <c r="M406" s="1">
        <v>6.5221854410000004</v>
      </c>
      <c r="N406" s="1">
        <v>5.9416077520000004</v>
      </c>
      <c r="O406" s="1">
        <v>5.9675486500000003</v>
      </c>
      <c r="P406" s="1">
        <v>5.7791106289999998</v>
      </c>
      <c r="Q406" s="1">
        <v>6.3557835540000003</v>
      </c>
      <c r="R406" s="1">
        <v>5.9019545559999997</v>
      </c>
      <c r="S406" s="1">
        <v>5.9440521669999997</v>
      </c>
      <c r="T406" s="1">
        <v>6.5382166509999999</v>
      </c>
      <c r="U406" s="1">
        <v>6.5221854410000004</v>
      </c>
      <c r="V406" s="1">
        <v>8.1732194759999999</v>
      </c>
      <c r="W406" s="1">
        <v>7.1041979590000004</v>
      </c>
      <c r="X406" s="1">
        <v>6.2871570439999998</v>
      </c>
      <c r="Y406" s="1">
        <v>7.8925181980000003</v>
      </c>
      <c r="Z406" s="1">
        <v>5.9019545559999997</v>
      </c>
      <c r="AA406" s="1">
        <v>5.9440521669999997</v>
      </c>
      <c r="AB406" s="1">
        <v>6.2789960090000001</v>
      </c>
      <c r="AC406" s="1">
        <v>5.9991619270000003</v>
      </c>
      <c r="AD406" s="1">
        <v>6.0893990919999998</v>
      </c>
      <c r="AE406" s="1">
        <v>6.2149920930000002</v>
      </c>
    </row>
    <row r="407" spans="1:31" x14ac:dyDescent="0.25">
      <c r="A407" s="1" t="s">
        <v>884</v>
      </c>
      <c r="B407" s="1" t="s">
        <v>2520</v>
      </c>
      <c r="C407" s="1" t="s">
        <v>2646</v>
      </c>
      <c r="D407" s="1" t="s">
        <v>3279</v>
      </c>
      <c r="E407" s="1" t="s">
        <v>3280</v>
      </c>
      <c r="F407" s="1" t="s">
        <v>3281</v>
      </c>
      <c r="G407" s="1" t="s">
        <v>884</v>
      </c>
      <c r="H407" s="1">
        <v>5.8141293449999996</v>
      </c>
      <c r="I407" s="1">
        <v>6.2746491359999998</v>
      </c>
      <c r="J407" s="1">
        <v>5.1953777219999999</v>
      </c>
      <c r="K407" s="1">
        <v>5.2180867539999998</v>
      </c>
      <c r="L407" s="1">
        <v>6.3114621260000003</v>
      </c>
      <c r="M407" s="1">
        <v>6.2923515759999997</v>
      </c>
      <c r="N407" s="1">
        <v>6.1951276320000002</v>
      </c>
      <c r="O407" s="1">
        <v>6.173773679</v>
      </c>
      <c r="P407" s="1">
        <v>5.565195407</v>
      </c>
      <c r="Q407" s="1">
        <v>5.8765740600000003</v>
      </c>
      <c r="R407" s="1">
        <v>5.6457947050000001</v>
      </c>
      <c r="S407" s="1">
        <v>5.3512993040000003</v>
      </c>
      <c r="T407" s="1">
        <v>6.3114621260000003</v>
      </c>
      <c r="U407" s="1">
        <v>6.2923515759999997</v>
      </c>
      <c r="V407" s="1">
        <v>5.6392772100000004</v>
      </c>
      <c r="W407" s="1">
        <v>5.6472737119999996</v>
      </c>
      <c r="X407" s="1">
        <v>6.2034432739999996</v>
      </c>
      <c r="Y407" s="1">
        <v>5.6971672010000001</v>
      </c>
      <c r="Z407" s="1">
        <v>5.6457947050000001</v>
      </c>
      <c r="AA407" s="1">
        <v>5.3512993040000003</v>
      </c>
      <c r="AB407" s="1">
        <v>5.3624643089999999</v>
      </c>
      <c r="AC407" s="1">
        <v>5.9492644930000003</v>
      </c>
      <c r="AD407" s="1">
        <v>5.6665831520000003</v>
      </c>
      <c r="AE407" s="1">
        <v>5.5139573549999996</v>
      </c>
    </row>
    <row r="408" spans="1:31" x14ac:dyDescent="0.25">
      <c r="A408" s="1" t="s">
        <v>885</v>
      </c>
      <c r="B408" s="1" t="s">
        <v>2530</v>
      </c>
      <c r="C408" s="1" t="s">
        <v>2531</v>
      </c>
      <c r="D408" s="1" t="s">
        <v>2535</v>
      </c>
      <c r="E408" s="1" t="s">
        <v>3282</v>
      </c>
      <c r="F408" s="1" t="s">
        <v>3283</v>
      </c>
      <c r="G408" s="1" t="s">
        <v>885</v>
      </c>
      <c r="H408" s="1">
        <v>7.2598951009999997</v>
      </c>
      <c r="I408" s="1">
        <v>7.3488260959999998</v>
      </c>
      <c r="J408" s="1">
        <v>6.0670821549999996</v>
      </c>
      <c r="K408" s="1">
        <v>5.8870623049999997</v>
      </c>
      <c r="L408" s="1">
        <v>4.8008003170000002</v>
      </c>
      <c r="M408" s="1">
        <v>5.3414536530000003</v>
      </c>
      <c r="N408" s="1">
        <v>7.2835245979999996</v>
      </c>
      <c r="O408" s="1">
        <v>7.2475646429999996</v>
      </c>
      <c r="P408" s="1">
        <v>5.660815296</v>
      </c>
      <c r="Q408" s="1">
        <v>5.3805263300000004</v>
      </c>
      <c r="R408" s="1">
        <v>4.9327063119999996</v>
      </c>
      <c r="S408" s="1">
        <v>4.8114074450000004</v>
      </c>
      <c r="T408" s="1">
        <v>4.8008003170000002</v>
      </c>
      <c r="U408" s="1">
        <v>5.3414536530000003</v>
      </c>
      <c r="V408" s="1">
        <v>5.8765220630000004</v>
      </c>
      <c r="W408" s="1">
        <v>6.1843530070000003</v>
      </c>
      <c r="X408" s="1">
        <v>5.3771830209999996</v>
      </c>
      <c r="Y408" s="1">
        <v>5.6604650660000004</v>
      </c>
      <c r="Z408" s="1">
        <v>4.9327063119999996</v>
      </c>
      <c r="AA408" s="1">
        <v>4.8114074450000004</v>
      </c>
      <c r="AB408" s="1">
        <v>5.0356743460000004</v>
      </c>
      <c r="AC408" s="1">
        <v>5.0638423939999999</v>
      </c>
      <c r="AD408" s="1">
        <v>5.5571020090000003</v>
      </c>
      <c r="AE408" s="1">
        <v>5.6663356680000003</v>
      </c>
    </row>
    <row r="409" spans="1:31" x14ac:dyDescent="0.25">
      <c r="A409" s="1" t="s">
        <v>892</v>
      </c>
      <c r="B409" s="1" t="s">
        <v>2557</v>
      </c>
      <c r="C409" s="1" t="s">
        <v>3284</v>
      </c>
      <c r="D409" s="1" t="s">
        <v>2989</v>
      </c>
      <c r="E409" s="1" t="s">
        <v>3285</v>
      </c>
      <c r="F409" s="1" t="s">
        <v>3286</v>
      </c>
      <c r="G409" s="1" t="s">
        <v>892</v>
      </c>
      <c r="H409" s="1">
        <v>5.5896774330000003</v>
      </c>
      <c r="I409" s="1">
        <v>5.7776224090000001</v>
      </c>
      <c r="J409" s="1">
        <v>7.2511161680000003</v>
      </c>
      <c r="K409" s="1">
        <v>7.3177956320000002</v>
      </c>
      <c r="L409" s="1">
        <v>7.1006474879999999</v>
      </c>
      <c r="M409" s="1">
        <v>7.1104816509999997</v>
      </c>
      <c r="N409" s="1">
        <v>6.3305633200000004</v>
      </c>
      <c r="O409" s="1">
        <v>6.1884751419999997</v>
      </c>
      <c r="P409" s="1">
        <v>6.6624064440000001</v>
      </c>
      <c r="Q409" s="1">
        <v>7.2407220460000001</v>
      </c>
      <c r="R409" s="1">
        <v>7.3900335339999996</v>
      </c>
      <c r="S409" s="1">
        <v>7.4150837699999999</v>
      </c>
      <c r="T409" s="1">
        <v>7.1006474879999999</v>
      </c>
      <c r="U409" s="1">
        <v>7.1104816509999997</v>
      </c>
      <c r="V409" s="1">
        <v>7.074522065</v>
      </c>
      <c r="W409" s="1">
        <v>7.2714406069999997</v>
      </c>
      <c r="X409" s="1">
        <v>7.3423720299999999</v>
      </c>
      <c r="Y409" s="1">
        <v>7.34280986</v>
      </c>
      <c r="Z409" s="1">
        <v>7.3900335339999996</v>
      </c>
      <c r="AA409" s="1">
        <v>7.4150837699999999</v>
      </c>
      <c r="AB409" s="1">
        <v>7.310811599</v>
      </c>
      <c r="AC409" s="1">
        <v>6.9878835869999998</v>
      </c>
      <c r="AD409" s="1">
        <v>7.5893407120000003</v>
      </c>
      <c r="AE409" s="1">
        <v>7.360078787</v>
      </c>
    </row>
    <row r="410" spans="1:31" x14ac:dyDescent="0.25">
      <c r="A410" s="1" t="s">
        <v>893</v>
      </c>
      <c r="B410" s="1" t="s">
        <v>2525</v>
      </c>
      <c r="C410" s="1" t="s">
        <v>2749</v>
      </c>
      <c r="D410" s="1" t="s">
        <v>2750</v>
      </c>
      <c r="E410" s="1" t="s">
        <v>3287</v>
      </c>
      <c r="F410" s="1" t="s">
        <v>3288</v>
      </c>
      <c r="G410" s="1" t="s">
        <v>893</v>
      </c>
      <c r="H410" s="1">
        <v>6.3316799680000004</v>
      </c>
      <c r="I410" s="1">
        <v>6.7825936330000003</v>
      </c>
      <c r="J410" s="1">
        <v>8.8334593730000002</v>
      </c>
      <c r="K410" s="1">
        <v>8.4450126060000006</v>
      </c>
      <c r="L410" s="1">
        <v>8.7960375099999997</v>
      </c>
      <c r="M410" s="1">
        <v>8.8821656109999996</v>
      </c>
      <c r="N410" s="1">
        <v>7.8316103359999998</v>
      </c>
      <c r="O410" s="1">
        <v>8.0043170270000008</v>
      </c>
      <c r="P410" s="1">
        <v>8.3165515879999994</v>
      </c>
      <c r="Q410" s="1">
        <v>8.3976643519999996</v>
      </c>
      <c r="R410" s="1">
        <v>9.0465573409999998</v>
      </c>
      <c r="S410" s="1">
        <v>8.8909967030000008</v>
      </c>
      <c r="T410" s="1">
        <v>8.7960375099999997</v>
      </c>
      <c r="U410" s="1">
        <v>8.8821656109999996</v>
      </c>
      <c r="V410" s="1">
        <v>8.3580196359999999</v>
      </c>
      <c r="W410" s="1">
        <v>8.6116470379999992</v>
      </c>
      <c r="X410" s="1">
        <v>8.4198556500000006</v>
      </c>
      <c r="Y410" s="1">
        <v>8.2408672030000005</v>
      </c>
      <c r="Z410" s="1">
        <v>9.0465573409999998</v>
      </c>
      <c r="AA410" s="1">
        <v>8.8909967030000008</v>
      </c>
      <c r="AB410" s="1">
        <v>8.6208661769999999</v>
      </c>
      <c r="AC410" s="1">
        <v>8.7894596850000006</v>
      </c>
      <c r="AD410" s="1">
        <v>8.390030651</v>
      </c>
      <c r="AE410" s="1">
        <v>8.2461813680000002</v>
      </c>
    </row>
    <row r="411" spans="1:31" x14ac:dyDescent="0.25">
      <c r="A411" s="1" t="s">
        <v>894</v>
      </c>
      <c r="B411" s="1" t="s">
        <v>2530</v>
      </c>
      <c r="C411" s="1" t="s">
        <v>2531</v>
      </c>
      <c r="D411" s="1" t="s">
        <v>2535</v>
      </c>
      <c r="E411" s="1" t="s">
        <v>3289</v>
      </c>
      <c r="G411" s="1" t="s">
        <v>894</v>
      </c>
      <c r="H411" s="1">
        <v>5.9144073309999996</v>
      </c>
      <c r="I411" s="1">
        <v>6.0227272230000004</v>
      </c>
      <c r="J411" s="1">
        <v>5.9141206909999999</v>
      </c>
      <c r="K411" s="1">
        <v>5.6105789259999996</v>
      </c>
      <c r="L411" s="1">
        <v>5.993912463</v>
      </c>
      <c r="M411" s="1">
        <v>6.2658755480000004</v>
      </c>
      <c r="N411" s="1">
        <v>6.0739568119999996</v>
      </c>
      <c r="O411" s="1">
        <v>5.6219600229999998</v>
      </c>
      <c r="P411" s="1">
        <v>6.0847091730000002</v>
      </c>
      <c r="Q411" s="1">
        <v>5.9062084209999997</v>
      </c>
      <c r="R411" s="1">
        <v>5.9594282490000001</v>
      </c>
      <c r="S411" s="1">
        <v>6.0480456849999999</v>
      </c>
      <c r="T411" s="1">
        <v>5.993912463</v>
      </c>
      <c r="U411" s="1">
        <v>6.2658755480000004</v>
      </c>
      <c r="V411" s="1">
        <v>5.9243031000000004</v>
      </c>
      <c r="W411" s="1">
        <v>5.9736131119999998</v>
      </c>
      <c r="X411" s="1">
        <v>6.3441015869999999</v>
      </c>
      <c r="Y411" s="1">
        <v>6.2347231909999996</v>
      </c>
      <c r="Z411" s="1">
        <v>5.9594282490000001</v>
      </c>
      <c r="AA411" s="1">
        <v>6.0480456849999999</v>
      </c>
      <c r="AB411" s="1">
        <v>5.7665348979999997</v>
      </c>
      <c r="AC411" s="1">
        <v>6.346005549</v>
      </c>
      <c r="AD411" s="1">
        <v>6.190389411</v>
      </c>
      <c r="AE411" s="1">
        <v>5.9145294059999998</v>
      </c>
    </row>
    <row r="412" spans="1:31" x14ac:dyDescent="0.25">
      <c r="A412" s="1" t="s">
        <v>896</v>
      </c>
      <c r="B412" s="1" t="s">
        <v>2520</v>
      </c>
      <c r="C412" s="1" t="s">
        <v>2521</v>
      </c>
      <c r="D412" s="1" t="s">
        <v>2753</v>
      </c>
      <c r="E412" s="1" t="s">
        <v>3290</v>
      </c>
      <c r="G412" s="1" t="s">
        <v>896</v>
      </c>
      <c r="H412" s="1">
        <v>7.1683487230000003</v>
      </c>
      <c r="I412" s="1">
        <v>6.6912039060000001</v>
      </c>
      <c r="J412" s="1">
        <v>5.8022574259999997</v>
      </c>
      <c r="K412" s="1">
        <v>6.0642310579999998</v>
      </c>
      <c r="L412" s="1">
        <v>5.4841512059999999</v>
      </c>
      <c r="M412" s="1">
        <v>5.659858549</v>
      </c>
      <c r="N412" s="1">
        <v>6.1290762189999999</v>
      </c>
      <c r="O412" s="1">
        <v>6.3409804589999998</v>
      </c>
      <c r="P412" s="1">
        <v>5.8072178450000003</v>
      </c>
      <c r="Q412" s="1">
        <v>5.991605206</v>
      </c>
      <c r="R412" s="1">
        <v>5.9019545559999997</v>
      </c>
      <c r="S412" s="1">
        <v>5.710270789</v>
      </c>
      <c r="T412" s="1">
        <v>5.4841512059999999</v>
      </c>
      <c r="U412" s="1">
        <v>5.659858549</v>
      </c>
      <c r="V412" s="1">
        <v>5.3892424569999999</v>
      </c>
      <c r="W412" s="1">
        <v>6.1272304780000004</v>
      </c>
      <c r="X412" s="1">
        <v>6.0057221949999997</v>
      </c>
      <c r="Y412" s="1">
        <v>5.7329513619999997</v>
      </c>
      <c r="Z412" s="1">
        <v>5.9019545559999997</v>
      </c>
      <c r="AA412" s="1">
        <v>5.710270789</v>
      </c>
      <c r="AB412" s="1">
        <v>6.2160685200000003</v>
      </c>
      <c r="AC412" s="1">
        <v>5.6698330419999996</v>
      </c>
      <c r="AD412" s="1">
        <v>6.3732854110000003</v>
      </c>
      <c r="AE412" s="1">
        <v>5.9885482259999998</v>
      </c>
    </row>
    <row r="413" spans="1:31" x14ac:dyDescent="0.25">
      <c r="A413" s="1" t="s">
        <v>899</v>
      </c>
      <c r="B413" s="1" t="s">
        <v>2662</v>
      </c>
      <c r="C413" s="1" t="s">
        <v>3291</v>
      </c>
      <c r="D413" s="1" t="s">
        <v>3292</v>
      </c>
      <c r="E413" s="1" t="s">
        <v>3293</v>
      </c>
      <c r="F413" s="1" t="s">
        <v>3294</v>
      </c>
      <c r="G413" s="1" t="s">
        <v>899</v>
      </c>
      <c r="H413" s="1">
        <v>6.9183184219999996</v>
      </c>
      <c r="I413" s="1">
        <v>7.2348492340000004</v>
      </c>
      <c r="J413" s="1">
        <v>7.0336998949999998</v>
      </c>
      <c r="K413" s="1">
        <v>6.6493796840000003</v>
      </c>
      <c r="L413" s="1">
        <v>6.8054930130000004</v>
      </c>
      <c r="M413" s="1">
        <v>6.7203128730000001</v>
      </c>
      <c r="N413" s="1">
        <v>6.8964131530000001</v>
      </c>
      <c r="O413" s="1">
        <v>6.7700014289999997</v>
      </c>
      <c r="P413" s="1">
        <v>6.2975076100000003</v>
      </c>
      <c r="Q413" s="1">
        <v>6.3770715449999997</v>
      </c>
      <c r="R413" s="1">
        <v>6.4347044650000003</v>
      </c>
      <c r="S413" s="1">
        <v>6.2576799799999998</v>
      </c>
      <c r="T413" s="1">
        <v>6.8054930130000004</v>
      </c>
      <c r="U413" s="1">
        <v>6.7203128730000001</v>
      </c>
      <c r="V413" s="1">
        <v>6.6041092590000003</v>
      </c>
      <c r="W413" s="1">
        <v>6.265991681</v>
      </c>
      <c r="X413" s="1">
        <v>7.6525966820000004</v>
      </c>
      <c r="Y413" s="1">
        <v>6.8528453679999997</v>
      </c>
      <c r="Z413" s="1">
        <v>6.4347044650000003</v>
      </c>
      <c r="AA413" s="1">
        <v>6.2576799799999998</v>
      </c>
      <c r="AB413" s="1">
        <v>7.0832603900000004</v>
      </c>
      <c r="AC413" s="1">
        <v>7.000162123</v>
      </c>
      <c r="AD413" s="1">
        <v>7.3379235500000002</v>
      </c>
      <c r="AE413" s="1">
        <v>7.3545048780000002</v>
      </c>
    </row>
    <row r="414" spans="1:31" x14ac:dyDescent="0.25">
      <c r="A414" s="1" t="s">
        <v>901</v>
      </c>
      <c r="B414" s="1" t="s">
        <v>2631</v>
      </c>
      <c r="C414" s="1" t="s">
        <v>2980</v>
      </c>
      <c r="D414" s="1" t="s">
        <v>2535</v>
      </c>
      <c r="E414" s="1" t="s">
        <v>3295</v>
      </c>
      <c r="G414" s="1" t="s">
        <v>901</v>
      </c>
      <c r="H414" s="1">
        <v>7.2974165470000001</v>
      </c>
      <c r="I414" s="1">
        <v>7.3488260959999998</v>
      </c>
      <c r="J414" s="1">
        <v>6.6218704260000001</v>
      </c>
      <c r="K414" s="1">
        <v>7.1450778140000004</v>
      </c>
      <c r="L414" s="1">
        <v>7.3502848729999997</v>
      </c>
      <c r="M414" s="1">
        <v>7.1104816509999997</v>
      </c>
      <c r="N414" s="1">
        <v>7.69246768</v>
      </c>
      <c r="O414" s="1">
        <v>7.6165462929999999</v>
      </c>
      <c r="P414" s="1">
        <v>7.1411199769999998</v>
      </c>
      <c r="Q414" s="1">
        <v>7.2290753380000004</v>
      </c>
      <c r="R414" s="1">
        <v>6.5512588940000001</v>
      </c>
      <c r="S414" s="1">
        <v>6.7331571820000002</v>
      </c>
      <c r="T414" s="1">
        <v>7.3502848729999997</v>
      </c>
      <c r="U414" s="1">
        <v>7.1104816509999997</v>
      </c>
      <c r="V414" s="1">
        <v>6.8584365429999998</v>
      </c>
      <c r="W414" s="1">
        <v>6.657303325</v>
      </c>
      <c r="X414" s="1">
        <v>6.894159889</v>
      </c>
      <c r="Y414" s="1">
        <v>6.5469586450000001</v>
      </c>
      <c r="Z414" s="1">
        <v>6.5512588940000001</v>
      </c>
      <c r="AA414" s="1">
        <v>6.7331571820000002</v>
      </c>
      <c r="AB414" s="1">
        <v>6.935033368</v>
      </c>
      <c r="AC414" s="1">
        <v>7.0947960390000002</v>
      </c>
      <c r="AD414" s="1">
        <v>7.2704470209999998</v>
      </c>
      <c r="AE414" s="1">
        <v>7.0647574909999999</v>
      </c>
    </row>
    <row r="415" spans="1:31" x14ac:dyDescent="0.25">
      <c r="A415" s="1" t="s">
        <v>904</v>
      </c>
      <c r="B415" s="1" t="s">
        <v>2547</v>
      </c>
      <c r="C415" s="1" t="s">
        <v>2789</v>
      </c>
      <c r="D415" s="1" t="s">
        <v>3296</v>
      </c>
      <c r="E415" s="1" t="s">
        <v>3297</v>
      </c>
      <c r="F415" s="1" t="s">
        <v>3298</v>
      </c>
      <c r="G415" s="1" t="s">
        <v>904</v>
      </c>
      <c r="H415" s="1">
        <v>6.0673720150000001</v>
      </c>
      <c r="I415" s="1">
        <v>6.395465862</v>
      </c>
      <c r="J415" s="1">
        <v>6.311124607</v>
      </c>
      <c r="K415" s="1">
        <v>6.5928106870000001</v>
      </c>
      <c r="L415" s="1">
        <v>6.8054930130000004</v>
      </c>
      <c r="M415" s="1">
        <v>6.4058065400000004</v>
      </c>
      <c r="N415" s="1">
        <v>7.331223337</v>
      </c>
      <c r="O415" s="1">
        <v>7.0284800409999999</v>
      </c>
      <c r="P415" s="1">
        <v>5.9144375350000002</v>
      </c>
      <c r="Q415" s="1">
        <v>5.9062084209999997</v>
      </c>
      <c r="R415" s="1">
        <v>5.6804358580000001</v>
      </c>
      <c r="S415" s="1">
        <v>6.0480456849999999</v>
      </c>
      <c r="T415" s="1">
        <v>6.8054930130000004</v>
      </c>
      <c r="U415" s="1">
        <v>6.4058065400000004</v>
      </c>
      <c r="V415" s="1">
        <v>6.3999584609999998</v>
      </c>
      <c r="W415" s="1">
        <v>6.0677414089999999</v>
      </c>
      <c r="X415" s="1">
        <v>5.9480492979999999</v>
      </c>
      <c r="Y415" s="1">
        <v>6.1314620050000004</v>
      </c>
      <c r="Z415" s="1">
        <v>5.6804358580000001</v>
      </c>
      <c r="AA415" s="1">
        <v>6.0480456849999999</v>
      </c>
      <c r="AB415" s="1">
        <v>6.1502584210000002</v>
      </c>
      <c r="AC415" s="1">
        <v>6.1830263060000004</v>
      </c>
      <c r="AD415" s="1">
        <v>5.7351750150000003</v>
      </c>
      <c r="AE415" s="1">
        <v>6.1390820970000002</v>
      </c>
    </row>
    <row r="416" spans="1:31" x14ac:dyDescent="0.25">
      <c r="A416" s="1" t="s">
        <v>905</v>
      </c>
      <c r="B416" s="1" t="s">
        <v>2539</v>
      </c>
      <c r="C416" s="1" t="s">
        <v>2606</v>
      </c>
      <c r="D416" s="1" t="s">
        <v>3299</v>
      </c>
      <c r="E416" s="1" t="s">
        <v>3300</v>
      </c>
      <c r="F416" s="1" t="s">
        <v>3301</v>
      </c>
      <c r="G416" s="1" t="s">
        <v>905</v>
      </c>
      <c r="H416" s="1">
        <v>7.0115982959999998</v>
      </c>
      <c r="I416" s="1">
        <v>7.0012556290000001</v>
      </c>
      <c r="J416" s="1">
        <v>7.2404552119999996</v>
      </c>
      <c r="K416" s="1">
        <v>7.2216472190000003</v>
      </c>
      <c r="L416" s="1">
        <v>6.9946302029999998</v>
      </c>
      <c r="M416" s="1">
        <v>6.7869410830000003</v>
      </c>
      <c r="N416" s="1">
        <v>6.920010091</v>
      </c>
      <c r="O416" s="1">
        <v>6.8644635369999998</v>
      </c>
      <c r="P416" s="1">
        <v>6.8082443379999997</v>
      </c>
      <c r="Q416" s="1">
        <v>6.9598506220000003</v>
      </c>
      <c r="R416" s="1">
        <v>7.304132815</v>
      </c>
      <c r="S416" s="1">
        <v>6.9761954739999998</v>
      </c>
      <c r="T416" s="1">
        <v>6.9946302029999998</v>
      </c>
      <c r="U416" s="1">
        <v>6.7869410830000003</v>
      </c>
      <c r="V416" s="1">
        <v>6.4977915140000002</v>
      </c>
      <c r="W416" s="1">
        <v>6.5088246730000003</v>
      </c>
      <c r="X416" s="1">
        <v>6.9899578670000002</v>
      </c>
      <c r="Y416" s="1">
        <v>6.5062933870000004</v>
      </c>
      <c r="Z416" s="1">
        <v>7.304132815</v>
      </c>
      <c r="AA416" s="1">
        <v>6.9761954739999998</v>
      </c>
      <c r="AB416" s="1">
        <v>6.935033368</v>
      </c>
      <c r="AC416" s="1">
        <v>6.9504073259999997</v>
      </c>
      <c r="AD416" s="1">
        <v>6.7490106299999999</v>
      </c>
      <c r="AE416" s="1">
        <v>6.7104478619999997</v>
      </c>
    </row>
    <row r="417" spans="1:31" x14ac:dyDescent="0.25">
      <c r="A417" s="1" t="s">
        <v>906</v>
      </c>
      <c r="B417" s="1" t="s">
        <v>2520</v>
      </c>
      <c r="C417" s="1" t="s">
        <v>2646</v>
      </c>
      <c r="D417" s="1" t="s">
        <v>3302</v>
      </c>
      <c r="E417" s="1" t="s">
        <v>3303</v>
      </c>
      <c r="G417" s="1" t="s">
        <v>906</v>
      </c>
      <c r="H417" s="1">
        <v>3.6455184960000002</v>
      </c>
      <c r="I417" s="1">
        <v>3.3322126910000001</v>
      </c>
      <c r="J417" s="1">
        <v>3.1324899180000001</v>
      </c>
      <c r="K417" s="1">
        <v>4.0244910950000001</v>
      </c>
      <c r="L417" s="1">
        <v>2.9964092330000001</v>
      </c>
      <c r="M417" s="1">
        <v>3.169085575</v>
      </c>
      <c r="N417" s="1">
        <v>3.622455167</v>
      </c>
      <c r="O417" s="1">
        <v>3.8071106499999998</v>
      </c>
      <c r="P417" s="1">
        <v>3.7419514989999998</v>
      </c>
      <c r="Q417" s="1">
        <v>3.185675432</v>
      </c>
      <c r="R417" s="1">
        <v>3.7109484589999999</v>
      </c>
      <c r="S417" s="1">
        <v>2.9034795349999998</v>
      </c>
      <c r="T417" s="1">
        <v>2.9964092330000001</v>
      </c>
      <c r="U417" s="1">
        <v>3.169085575</v>
      </c>
      <c r="V417" s="1">
        <v>3.6670520409999998</v>
      </c>
      <c r="W417" s="1">
        <v>3.9848641250000001</v>
      </c>
      <c r="X417" s="1">
        <v>4.2198471</v>
      </c>
      <c r="Y417" s="1">
        <v>3.9087436480000002</v>
      </c>
      <c r="Z417" s="1">
        <v>3.7109484589999999</v>
      </c>
      <c r="AA417" s="1">
        <v>2.9034795349999998</v>
      </c>
      <c r="AB417" s="1">
        <v>4.2729702720000002</v>
      </c>
      <c r="AC417" s="1">
        <v>3.8665622239999999</v>
      </c>
      <c r="AD417" s="1">
        <v>4.0967699450000001</v>
      </c>
      <c r="AE417" s="1">
        <v>3.7492737119999999</v>
      </c>
    </row>
    <row r="418" spans="1:31" x14ac:dyDescent="0.25">
      <c r="A418" s="1" t="s">
        <v>910</v>
      </c>
      <c r="B418" s="1" t="s">
        <v>2662</v>
      </c>
      <c r="C418" s="1" t="s">
        <v>3291</v>
      </c>
      <c r="D418" s="1" t="s">
        <v>3304</v>
      </c>
      <c r="E418" s="1" t="s">
        <v>3305</v>
      </c>
      <c r="F418" s="1" t="s">
        <v>3306</v>
      </c>
      <c r="G418" s="1" t="s">
        <v>910</v>
      </c>
      <c r="H418" s="1">
        <v>5.4626831620000003</v>
      </c>
      <c r="I418" s="1">
        <v>5.5873017430000003</v>
      </c>
      <c r="J418" s="1">
        <v>5.9669407659999996</v>
      </c>
      <c r="K418" s="1">
        <v>5.8552832600000002</v>
      </c>
      <c r="L418" s="1">
        <v>5.9054534529999998</v>
      </c>
      <c r="M418" s="1">
        <v>5.7197461279999997</v>
      </c>
      <c r="N418" s="1">
        <v>5.5139471840000001</v>
      </c>
      <c r="O418" s="1">
        <v>5.8976328669999996</v>
      </c>
      <c r="P418" s="1">
        <v>5.5318451900000003</v>
      </c>
      <c r="Q418" s="1">
        <v>5.7838067430000004</v>
      </c>
      <c r="R418" s="1">
        <v>6.239987642</v>
      </c>
      <c r="S418" s="1">
        <v>5.9440521669999997</v>
      </c>
      <c r="T418" s="1">
        <v>5.9054534529999998</v>
      </c>
      <c r="U418" s="1">
        <v>5.7197461279999997</v>
      </c>
      <c r="V418" s="1">
        <v>6.2012354710000004</v>
      </c>
      <c r="W418" s="1">
        <v>5.872872095</v>
      </c>
      <c r="X418" s="1">
        <v>6.3328916910000004</v>
      </c>
      <c r="Y418" s="1">
        <v>6.3075735850000001</v>
      </c>
      <c r="Z418" s="1">
        <v>6.239987642</v>
      </c>
      <c r="AA418" s="1">
        <v>5.9440521669999997</v>
      </c>
      <c r="AB418" s="1">
        <v>5.5276660309999999</v>
      </c>
      <c r="AC418" s="1">
        <v>5.8439382809999998</v>
      </c>
      <c r="AD418" s="1">
        <v>6.284744441</v>
      </c>
      <c r="AE418" s="1">
        <v>6.1775384349999998</v>
      </c>
    </row>
    <row r="419" spans="1:31" x14ac:dyDescent="0.25">
      <c r="A419" s="1" t="s">
        <v>911</v>
      </c>
      <c r="B419" s="1" t="s">
        <v>2530</v>
      </c>
      <c r="C419" s="1" t="s">
        <v>2531</v>
      </c>
      <c r="D419" s="1" t="s">
        <v>2535</v>
      </c>
      <c r="E419" s="1" t="s">
        <v>2536</v>
      </c>
      <c r="G419" s="1" t="s">
        <v>911</v>
      </c>
      <c r="H419" s="1">
        <v>4.7245801409999997</v>
      </c>
      <c r="I419" s="1">
        <v>4.8477128089999999</v>
      </c>
      <c r="J419" s="1">
        <v>4.5940881259999999</v>
      </c>
      <c r="K419" s="1">
        <v>5.3612725399999999</v>
      </c>
      <c r="L419" s="1">
        <v>4.5533082269999996</v>
      </c>
      <c r="M419" s="1">
        <v>4.3982295550000003</v>
      </c>
      <c r="N419" s="1">
        <v>4.9318354150000001</v>
      </c>
      <c r="O419" s="1">
        <v>4.4368189940000002</v>
      </c>
      <c r="P419" s="1">
        <v>4.3303557189999999</v>
      </c>
      <c r="Q419" s="1">
        <v>4.18747588</v>
      </c>
      <c r="R419" s="1">
        <v>4.6083586160000003</v>
      </c>
      <c r="S419" s="1">
        <v>5.1778667870000001</v>
      </c>
      <c r="T419" s="1">
        <v>4.5533082269999996</v>
      </c>
      <c r="U419" s="1">
        <v>4.3982295550000003</v>
      </c>
      <c r="V419" s="1">
        <v>5.1274300740000003</v>
      </c>
      <c r="W419" s="1">
        <v>4.7760085830000003</v>
      </c>
      <c r="X419" s="1">
        <v>4.7537743670000001</v>
      </c>
      <c r="Y419" s="1">
        <v>4.7564010139999997</v>
      </c>
      <c r="Z419" s="1">
        <v>4.6083586160000003</v>
      </c>
      <c r="AA419" s="1">
        <v>5.1778667870000001</v>
      </c>
      <c r="AB419" s="1">
        <v>4.7958605490000004</v>
      </c>
      <c r="AC419" s="1">
        <v>4.8053838390000001</v>
      </c>
      <c r="AD419" s="1">
        <v>5.0087140049999999</v>
      </c>
      <c r="AE419" s="1">
        <v>4.9247587419999999</v>
      </c>
    </row>
    <row r="420" spans="1:31" x14ac:dyDescent="0.25">
      <c r="A420" s="1" t="s">
        <v>912</v>
      </c>
      <c r="B420" s="1" t="s">
        <v>2525</v>
      </c>
      <c r="C420" s="1" t="s">
        <v>2749</v>
      </c>
      <c r="D420" s="1" t="s">
        <v>3307</v>
      </c>
      <c r="E420" s="1" t="s">
        <v>3308</v>
      </c>
      <c r="F420" s="1" t="s">
        <v>3309</v>
      </c>
      <c r="G420" s="1" t="s">
        <v>912</v>
      </c>
      <c r="H420" s="1">
        <v>8.1624217600000009</v>
      </c>
      <c r="I420" s="1">
        <v>7.9243509469999998</v>
      </c>
      <c r="J420" s="1">
        <v>8.93277885</v>
      </c>
      <c r="K420" s="1">
        <v>8.9662418420000005</v>
      </c>
      <c r="L420" s="1">
        <v>8.7569605290000005</v>
      </c>
      <c r="M420" s="1">
        <v>8.6361326040000002</v>
      </c>
      <c r="N420" s="1">
        <v>7.8964507810000004</v>
      </c>
      <c r="O420" s="1">
        <v>8.0927708079999991</v>
      </c>
      <c r="P420" s="1">
        <v>8.6805870350000003</v>
      </c>
      <c r="Q420" s="1">
        <v>8.7550883059999993</v>
      </c>
      <c r="R420" s="1">
        <v>9.1669894220000003</v>
      </c>
      <c r="S420" s="1">
        <v>8.9186234829999993</v>
      </c>
      <c r="T420" s="1">
        <v>8.7569605290000005</v>
      </c>
      <c r="U420" s="1">
        <v>8.6361326040000002</v>
      </c>
      <c r="V420" s="1">
        <v>8.9361519969999996</v>
      </c>
      <c r="W420" s="1">
        <v>8.7549468489999995</v>
      </c>
      <c r="X420" s="1">
        <v>8.5656202700000001</v>
      </c>
      <c r="Y420" s="1">
        <v>8.7208070410000005</v>
      </c>
      <c r="Z420" s="1">
        <v>9.1669894220000003</v>
      </c>
      <c r="AA420" s="1">
        <v>8.9186234829999993</v>
      </c>
      <c r="AB420" s="1">
        <v>8.9354941080000003</v>
      </c>
      <c r="AC420" s="1">
        <v>8.9178996480000006</v>
      </c>
      <c r="AD420" s="1">
        <v>8.5737952659999994</v>
      </c>
      <c r="AE420" s="1">
        <v>8.6928821949999993</v>
      </c>
    </row>
    <row r="421" spans="1:31" x14ac:dyDescent="0.25">
      <c r="A421" s="1" t="s">
        <v>913</v>
      </c>
      <c r="B421" s="1" t="s">
        <v>2530</v>
      </c>
      <c r="C421" s="1" t="s">
        <v>2531</v>
      </c>
      <c r="D421" s="1" t="s">
        <v>2535</v>
      </c>
      <c r="E421" s="1" t="s">
        <v>2536</v>
      </c>
      <c r="G421" s="1" t="s">
        <v>913</v>
      </c>
      <c r="H421" s="1">
        <v>4.4805534380000003</v>
      </c>
      <c r="I421" s="1">
        <v>4.9575946069999999</v>
      </c>
      <c r="J421" s="1">
        <v>5.3631085470000004</v>
      </c>
      <c r="K421" s="1">
        <v>5.3612725399999999</v>
      </c>
      <c r="L421" s="1">
        <v>5.6647229430000001</v>
      </c>
      <c r="M421" s="1">
        <v>5.7391643339999998</v>
      </c>
      <c r="N421" s="1">
        <v>4.1562881980000004</v>
      </c>
      <c r="O421" s="1">
        <v>4.9731423550000002</v>
      </c>
      <c r="P421" s="1">
        <v>5.8883751269999998</v>
      </c>
      <c r="Q421" s="1">
        <v>5.4222740280000004</v>
      </c>
      <c r="R421" s="1">
        <v>5.2891602459999998</v>
      </c>
      <c r="S421" s="1">
        <v>5.6117239269999999</v>
      </c>
      <c r="T421" s="1">
        <v>5.6647229430000001</v>
      </c>
      <c r="U421" s="1">
        <v>5.7391643339999998</v>
      </c>
      <c r="V421" s="1">
        <v>5.695500268</v>
      </c>
      <c r="W421" s="1">
        <v>5.3792812999999997</v>
      </c>
      <c r="X421" s="1">
        <v>5.9771755410000003</v>
      </c>
      <c r="Y421" s="1">
        <v>5.503438128</v>
      </c>
      <c r="Z421" s="1">
        <v>5.2891602459999998</v>
      </c>
      <c r="AA421" s="1">
        <v>5.6117239269999999</v>
      </c>
      <c r="AB421" s="1">
        <v>5.6280506069999996</v>
      </c>
      <c r="AC421" s="1">
        <v>5.8163513240000002</v>
      </c>
      <c r="AD421" s="1">
        <v>5.7682763389999998</v>
      </c>
      <c r="AE421" s="1">
        <v>5.49371411</v>
      </c>
    </row>
    <row r="422" spans="1:31" x14ac:dyDescent="0.25">
      <c r="A422" s="1" t="s">
        <v>914</v>
      </c>
      <c r="B422" s="1" t="s">
        <v>2530</v>
      </c>
      <c r="C422" s="1" t="s">
        <v>2531</v>
      </c>
      <c r="D422" s="1" t="s">
        <v>2535</v>
      </c>
      <c r="E422" s="1" t="s">
        <v>2536</v>
      </c>
      <c r="G422" s="1" t="s">
        <v>914</v>
      </c>
      <c r="H422" s="1">
        <v>5.2735834620000004</v>
      </c>
      <c r="I422" s="1">
        <v>5.1546023129999998</v>
      </c>
      <c r="J422" s="1">
        <v>5.2392025899999997</v>
      </c>
      <c r="K422" s="1">
        <v>5.2674352469999999</v>
      </c>
      <c r="L422" s="1">
        <v>5.5357047289999999</v>
      </c>
      <c r="M422" s="1">
        <v>5.8143060450000004</v>
      </c>
      <c r="N422" s="1">
        <v>4.730225151</v>
      </c>
      <c r="O422" s="1">
        <v>4.5340058970000001</v>
      </c>
      <c r="P422" s="1">
        <v>5.6296473389999999</v>
      </c>
      <c r="Q422" s="1">
        <v>5.6846114249999999</v>
      </c>
      <c r="R422" s="1">
        <v>5.3764768539999999</v>
      </c>
      <c r="S422" s="1">
        <v>5.505875713</v>
      </c>
      <c r="T422" s="1">
        <v>5.5357047289999999</v>
      </c>
      <c r="U422" s="1">
        <v>5.8143060450000004</v>
      </c>
      <c r="V422" s="1">
        <v>5.6676649780000004</v>
      </c>
      <c r="W422" s="1">
        <v>6.0977940090000002</v>
      </c>
      <c r="X422" s="1">
        <v>5.6186994139999999</v>
      </c>
      <c r="Y422" s="1">
        <v>6.2347231909999996</v>
      </c>
      <c r="Z422" s="1">
        <v>5.3764768539999999</v>
      </c>
      <c r="AA422" s="1">
        <v>5.505875713</v>
      </c>
      <c r="AB422" s="1">
        <v>4.9601840040000003</v>
      </c>
      <c r="AC422" s="1">
        <v>5.7003611899999997</v>
      </c>
      <c r="AD422" s="1">
        <v>5.7351750150000003</v>
      </c>
      <c r="AE422" s="1">
        <v>5.592176748</v>
      </c>
    </row>
    <row r="423" spans="1:31" x14ac:dyDescent="0.25">
      <c r="A423" s="1" t="s">
        <v>916</v>
      </c>
      <c r="B423" s="1" t="s">
        <v>2530</v>
      </c>
      <c r="C423" s="1" t="s">
        <v>2531</v>
      </c>
      <c r="D423" s="1" t="s">
        <v>2535</v>
      </c>
      <c r="E423" s="1" t="s">
        <v>3310</v>
      </c>
      <c r="G423" s="1" t="s">
        <v>916</v>
      </c>
      <c r="H423" s="1">
        <v>4.0684382540000001</v>
      </c>
      <c r="I423" s="1">
        <v>3.1348991329999998</v>
      </c>
      <c r="J423" s="1">
        <v>4.1077874330000004</v>
      </c>
      <c r="K423" s="1">
        <v>3.22334677</v>
      </c>
      <c r="L423" s="1">
        <v>4.0714409539999998</v>
      </c>
      <c r="M423" s="1">
        <v>4.896083601</v>
      </c>
      <c r="N423" s="1">
        <v>4.2617896110000002</v>
      </c>
      <c r="O423" s="1">
        <v>3.7238257350000001</v>
      </c>
      <c r="P423" s="1">
        <v>4.4075207919999997</v>
      </c>
      <c r="Q423" s="1">
        <v>4.4575363990000003</v>
      </c>
      <c r="R423" s="1">
        <v>4.3698765340000003</v>
      </c>
      <c r="S423" s="1">
        <v>4.4749637470000003</v>
      </c>
      <c r="T423" s="1">
        <v>4.0714409539999998</v>
      </c>
      <c r="U423" s="1">
        <v>4.896083601</v>
      </c>
      <c r="V423" s="1">
        <v>3.5405335899999999</v>
      </c>
      <c r="W423" s="1">
        <v>4.5296290450000001</v>
      </c>
      <c r="X423" s="1">
        <v>4.6838774470000004</v>
      </c>
      <c r="Y423" s="1">
        <v>3.9087436480000002</v>
      </c>
      <c r="Z423" s="1">
        <v>4.3698765340000003</v>
      </c>
      <c r="AA423" s="1">
        <v>4.4749637470000003</v>
      </c>
      <c r="AB423" s="1">
        <v>4.3946012420000002</v>
      </c>
      <c r="AC423" s="1">
        <v>4.0753403910000001</v>
      </c>
      <c r="AD423" s="1">
        <v>3.8610926929999998</v>
      </c>
      <c r="AE423" s="1">
        <v>4.124053773</v>
      </c>
    </row>
    <row r="424" spans="1:31" x14ac:dyDescent="0.25">
      <c r="A424" s="1" t="s">
        <v>25</v>
      </c>
      <c r="B424" s="1" t="s">
        <v>2662</v>
      </c>
      <c r="C424" s="1" t="s">
        <v>3291</v>
      </c>
      <c r="D424" s="1" t="s">
        <v>3311</v>
      </c>
      <c r="E424" s="1" t="s">
        <v>3312</v>
      </c>
      <c r="G424" s="1" t="s">
        <v>25</v>
      </c>
      <c r="H424" s="1">
        <v>3.8023684370000002</v>
      </c>
      <c r="I424" s="1">
        <v>4.0101074990000001</v>
      </c>
      <c r="J424" s="1">
        <v>3.329519721</v>
      </c>
      <c r="K424" s="1">
        <v>3.4309024589999999</v>
      </c>
      <c r="L424" s="1">
        <v>2.9964092330000001</v>
      </c>
      <c r="M424" s="1">
        <v>3.169085575</v>
      </c>
      <c r="N424" s="1">
        <v>3.23577855</v>
      </c>
      <c r="O424" s="1">
        <v>3.88533178</v>
      </c>
      <c r="P424" s="1">
        <v>2.8687501260000001</v>
      </c>
      <c r="Q424" s="1">
        <v>2.935765398</v>
      </c>
      <c r="R424" s="1">
        <v>2.9339002829999998</v>
      </c>
      <c r="S424" s="1">
        <v>3.3463386960000001</v>
      </c>
      <c r="T424" s="1">
        <v>2.9964092330000001</v>
      </c>
      <c r="U424" s="1">
        <v>3.169085575</v>
      </c>
      <c r="V424" s="1">
        <v>2.8225047829999999</v>
      </c>
      <c r="W424" s="1">
        <v>2.6606351240000001</v>
      </c>
      <c r="X424" s="1">
        <v>2.9542167930000001</v>
      </c>
      <c r="Y424" s="1">
        <v>2.9733498090000001</v>
      </c>
      <c r="Z424" s="1">
        <v>2.9339002829999998</v>
      </c>
      <c r="AA424" s="1">
        <v>3.3463386960000001</v>
      </c>
      <c r="AB424" s="1">
        <v>3.6315729079999999</v>
      </c>
      <c r="AC424" s="1">
        <v>3.3054795530000001</v>
      </c>
      <c r="AD424" s="1">
        <v>2.6025990879999998</v>
      </c>
      <c r="AE424" s="1">
        <v>3.419797387</v>
      </c>
    </row>
    <row r="425" spans="1:31" x14ac:dyDescent="0.25">
      <c r="A425" s="1" t="s">
        <v>919</v>
      </c>
      <c r="B425" s="1" t="s">
        <v>2608</v>
      </c>
      <c r="C425" s="1" t="s">
        <v>2609</v>
      </c>
      <c r="D425" s="1" t="s">
        <v>2636</v>
      </c>
      <c r="E425" s="1" t="s">
        <v>3313</v>
      </c>
      <c r="F425" s="1" t="s">
        <v>3314</v>
      </c>
      <c r="G425" s="1" t="s">
        <v>919</v>
      </c>
      <c r="H425" s="1">
        <v>5.2735834620000004</v>
      </c>
      <c r="I425" s="1">
        <v>5.6856247609999997</v>
      </c>
      <c r="J425" s="1">
        <v>4.5240842389999996</v>
      </c>
      <c r="K425" s="1">
        <v>5.1139224319999999</v>
      </c>
      <c r="L425" s="1">
        <v>4.3335465510000004</v>
      </c>
      <c r="M425" s="1">
        <v>4.5403831759999997</v>
      </c>
      <c r="N425" s="1">
        <v>5.5548950010000002</v>
      </c>
      <c r="O425" s="1">
        <v>5.2800788330000001</v>
      </c>
      <c r="P425" s="1">
        <v>5.0554269730000003</v>
      </c>
      <c r="Q425" s="1">
        <v>4.9365262349999997</v>
      </c>
      <c r="R425" s="1">
        <v>5.0440296189999998</v>
      </c>
      <c r="S425" s="1">
        <v>3.6647387380000001</v>
      </c>
      <c r="T425" s="1">
        <v>4.3335465510000004</v>
      </c>
      <c r="U425" s="1">
        <v>4.5403831759999997</v>
      </c>
      <c r="V425" s="1">
        <v>4.5207607210000003</v>
      </c>
      <c r="W425" s="1">
        <v>4.7760085830000003</v>
      </c>
      <c r="X425" s="1">
        <v>4.7192629950000002</v>
      </c>
      <c r="Y425" s="1">
        <v>5.1254702539999997</v>
      </c>
      <c r="Z425" s="1">
        <v>5.0440296189999998</v>
      </c>
      <c r="AA425" s="1">
        <v>3.6647387380000001</v>
      </c>
      <c r="AB425" s="1">
        <v>4.9601840040000003</v>
      </c>
      <c r="AC425" s="1">
        <v>4.5576875899999996</v>
      </c>
      <c r="AD425" s="1">
        <v>4.3870463700000002</v>
      </c>
      <c r="AE425" s="1">
        <v>4.5815229759999996</v>
      </c>
    </row>
    <row r="426" spans="1:31" x14ac:dyDescent="0.25">
      <c r="A426" s="1" t="s">
        <v>923</v>
      </c>
      <c r="B426" s="1" t="s">
        <v>2631</v>
      </c>
      <c r="C426" s="1" t="s">
        <v>2980</v>
      </c>
      <c r="D426" s="1" t="s">
        <v>3315</v>
      </c>
      <c r="E426" s="1" t="s">
        <v>3316</v>
      </c>
      <c r="F426" s="1" t="s">
        <v>3317</v>
      </c>
      <c r="G426" s="1" t="s">
        <v>923</v>
      </c>
      <c r="H426" s="1">
        <v>4.995162745</v>
      </c>
      <c r="I426" s="1">
        <v>5.1546023129999998</v>
      </c>
      <c r="J426" s="1">
        <v>4.8434621079999998</v>
      </c>
      <c r="K426" s="1">
        <v>4.941717659</v>
      </c>
      <c r="L426" s="1">
        <v>5.3560765139999997</v>
      </c>
      <c r="M426" s="1">
        <v>5.1214027209999999</v>
      </c>
      <c r="N426" s="1">
        <v>6.0455826970000004</v>
      </c>
      <c r="O426" s="1">
        <v>6.1439115280000003</v>
      </c>
      <c r="P426" s="1">
        <v>4.2485661720000003</v>
      </c>
      <c r="Q426" s="1">
        <v>4.683187717</v>
      </c>
      <c r="R426" s="1">
        <v>4.6083586160000003</v>
      </c>
      <c r="S426" s="1">
        <v>4.6194390810000003</v>
      </c>
      <c r="T426" s="1">
        <v>5.3560765139999997</v>
      </c>
      <c r="U426" s="1">
        <v>5.1214027209999999</v>
      </c>
      <c r="V426" s="1">
        <v>4.5207607210000003</v>
      </c>
      <c r="W426" s="1">
        <v>4.9190341039999996</v>
      </c>
      <c r="X426" s="1">
        <v>4.7192629950000002</v>
      </c>
      <c r="Y426" s="1">
        <v>4.7564010139999997</v>
      </c>
      <c r="Z426" s="1">
        <v>4.6083586160000003</v>
      </c>
      <c r="AA426" s="1">
        <v>4.6194390810000003</v>
      </c>
      <c r="AB426" s="1">
        <v>4.2729702720000002</v>
      </c>
      <c r="AC426" s="1">
        <v>4.6238605430000002</v>
      </c>
      <c r="AD426" s="1">
        <v>4.5511338559999999</v>
      </c>
      <c r="AE426" s="1">
        <v>4.7973769099999997</v>
      </c>
    </row>
    <row r="427" spans="1:31" x14ac:dyDescent="0.25">
      <c r="A427" s="1" t="s">
        <v>925</v>
      </c>
      <c r="B427" s="1" t="s">
        <v>2547</v>
      </c>
      <c r="C427" s="1" t="s">
        <v>2548</v>
      </c>
      <c r="D427" s="1" t="s">
        <v>3072</v>
      </c>
      <c r="E427" s="1" t="s">
        <v>3318</v>
      </c>
      <c r="F427" s="1" t="s">
        <v>3319</v>
      </c>
      <c r="G427" s="1" t="s">
        <v>925</v>
      </c>
      <c r="H427" s="1">
        <v>4.183793842</v>
      </c>
      <c r="I427" s="1">
        <v>4.2055918060000002</v>
      </c>
      <c r="J427" s="1">
        <v>3.4977151119999998</v>
      </c>
      <c r="K427" s="1">
        <v>3.8998480660000001</v>
      </c>
      <c r="L427" s="1">
        <v>3.3884746630000002</v>
      </c>
      <c r="M427" s="1">
        <v>3.2940962960000002</v>
      </c>
      <c r="N427" s="1">
        <v>4.5776172920000002</v>
      </c>
      <c r="O427" s="1">
        <v>4.6680836990000003</v>
      </c>
      <c r="P427" s="1">
        <v>3.86011382</v>
      </c>
      <c r="Q427" s="1">
        <v>3.56206471</v>
      </c>
      <c r="R427" s="1">
        <v>3.1834741979999999</v>
      </c>
      <c r="S427" s="1">
        <v>3.7977317990000001</v>
      </c>
      <c r="T427" s="1">
        <v>3.3884746630000002</v>
      </c>
      <c r="U427" s="1">
        <v>3.2940962960000002</v>
      </c>
      <c r="V427" s="1">
        <v>3.9849921849999999</v>
      </c>
      <c r="W427" s="1">
        <v>3.6840067150000002</v>
      </c>
      <c r="X427" s="1">
        <v>3.6673381269999998</v>
      </c>
      <c r="Y427" s="1">
        <v>2.624795792</v>
      </c>
      <c r="Z427" s="1">
        <v>3.1834741979999999</v>
      </c>
      <c r="AA427" s="1">
        <v>3.7977317990000001</v>
      </c>
      <c r="AB427" s="1">
        <v>4.2729702720000002</v>
      </c>
      <c r="AC427" s="1">
        <v>4.1685844940000001</v>
      </c>
      <c r="AD427" s="1">
        <v>2.6025990879999998</v>
      </c>
      <c r="AE427" s="1">
        <v>4.2286559190000004</v>
      </c>
    </row>
    <row r="428" spans="1:31" x14ac:dyDescent="0.25">
      <c r="A428" s="1" t="s">
        <v>926</v>
      </c>
      <c r="B428" s="1" t="s">
        <v>2530</v>
      </c>
      <c r="C428" s="1" t="s">
        <v>2531</v>
      </c>
      <c r="D428" s="1" t="s">
        <v>2535</v>
      </c>
      <c r="E428" s="1" t="s">
        <v>3320</v>
      </c>
      <c r="G428" s="1" t="s">
        <v>926</v>
      </c>
      <c r="H428" s="1">
        <v>4.9322401630000003</v>
      </c>
      <c r="I428" s="1">
        <v>5.2436995780000002</v>
      </c>
      <c r="J428" s="1">
        <v>4.8434621079999998</v>
      </c>
      <c r="K428" s="1">
        <v>5.4913640639999999</v>
      </c>
      <c r="L428" s="1">
        <v>4.8563863139999999</v>
      </c>
      <c r="M428" s="1">
        <v>4.7490378550000001</v>
      </c>
      <c r="N428" s="1">
        <v>4.6936110280000003</v>
      </c>
      <c r="O428" s="1">
        <v>4.5801520279999997</v>
      </c>
      <c r="P428" s="1">
        <v>4.8528499219999999</v>
      </c>
      <c r="Q428" s="1">
        <v>4.7509440400000003</v>
      </c>
      <c r="R428" s="1">
        <v>4.8735636449999999</v>
      </c>
      <c r="S428" s="1">
        <v>5.1778667870000001</v>
      </c>
      <c r="T428" s="1">
        <v>4.8563863139999999</v>
      </c>
      <c r="U428" s="1">
        <v>4.7490378550000001</v>
      </c>
      <c r="V428" s="1">
        <v>5.0857495259999999</v>
      </c>
      <c r="W428" s="1">
        <v>4.7760085830000003</v>
      </c>
      <c r="X428" s="1">
        <v>5.0589726410000004</v>
      </c>
      <c r="Y428" s="1">
        <v>5.4613266610000002</v>
      </c>
      <c r="Z428" s="1">
        <v>4.8735636449999999</v>
      </c>
      <c r="AA428" s="1">
        <v>5.1778667870000001</v>
      </c>
      <c r="AB428" s="1">
        <v>4.3946012420000002</v>
      </c>
      <c r="AC428" s="1">
        <v>4.9145215069999999</v>
      </c>
      <c r="AD428" s="1">
        <v>5.3091856960000001</v>
      </c>
      <c r="AE428" s="1">
        <v>5.2497036230000003</v>
      </c>
    </row>
    <row r="429" spans="1:31" x14ac:dyDescent="0.25">
      <c r="A429" s="1" t="s">
        <v>936</v>
      </c>
      <c r="B429" s="1" t="s">
        <v>2530</v>
      </c>
      <c r="C429" s="1" t="s">
        <v>2531</v>
      </c>
      <c r="D429" s="1" t="s">
        <v>2535</v>
      </c>
      <c r="E429" s="1" t="s">
        <v>2536</v>
      </c>
      <c r="G429" s="1" t="s">
        <v>936</v>
      </c>
      <c r="H429" s="1">
        <v>6.0081283179999998</v>
      </c>
      <c r="I429" s="1">
        <v>5.8070199389999999</v>
      </c>
      <c r="J429" s="1">
        <v>4.7851628320000001</v>
      </c>
      <c r="K429" s="1">
        <v>5.4059688240000003</v>
      </c>
      <c r="L429" s="1">
        <v>4.8288685039999999</v>
      </c>
      <c r="M429" s="1">
        <v>4.709731562</v>
      </c>
      <c r="N429" s="1">
        <v>5.7957915680000003</v>
      </c>
      <c r="O429" s="1">
        <v>6.2458213499999999</v>
      </c>
      <c r="P429" s="1">
        <v>5.1467681949999999</v>
      </c>
      <c r="Q429" s="1">
        <v>4.0840108080000004</v>
      </c>
      <c r="R429" s="1">
        <v>4.45403635</v>
      </c>
      <c r="S429" s="1">
        <v>4.5490843459999999</v>
      </c>
      <c r="T429" s="1">
        <v>4.8288685039999999</v>
      </c>
      <c r="U429" s="1">
        <v>4.709731562</v>
      </c>
      <c r="V429" s="1">
        <v>4.6419314959999998</v>
      </c>
      <c r="W429" s="1">
        <v>3.8431653940000001</v>
      </c>
      <c r="X429" s="1">
        <v>4.7874549340000003</v>
      </c>
      <c r="Y429" s="1">
        <v>4.4420910779999998</v>
      </c>
      <c r="Z429" s="1">
        <v>4.45403635</v>
      </c>
      <c r="AA429" s="1">
        <v>4.5490843459999999</v>
      </c>
      <c r="AB429" s="1">
        <v>4.705867896</v>
      </c>
      <c r="AC429" s="1">
        <v>5.0638423939999999</v>
      </c>
      <c r="AD429" s="1">
        <v>5.8632235870000002</v>
      </c>
      <c r="AE429" s="1">
        <v>5.1494525009999998</v>
      </c>
    </row>
    <row r="430" spans="1:31" x14ac:dyDescent="0.25">
      <c r="A430" s="1" t="s">
        <v>937</v>
      </c>
      <c r="B430" s="1" t="s">
        <v>2557</v>
      </c>
      <c r="C430" s="1" t="s">
        <v>3284</v>
      </c>
      <c r="D430" s="1" t="s">
        <v>3321</v>
      </c>
      <c r="E430" s="1" t="s">
        <v>3322</v>
      </c>
      <c r="F430" s="1" t="s">
        <v>3323</v>
      </c>
      <c r="G430" s="1" t="s">
        <v>937</v>
      </c>
      <c r="H430" s="1">
        <v>8.4831150090000005</v>
      </c>
      <c r="I430" s="1">
        <v>8.4081256829999997</v>
      </c>
      <c r="J430" s="1">
        <v>7.5215002159999997</v>
      </c>
      <c r="K430" s="1">
        <v>7.4403281330000004</v>
      </c>
      <c r="L430" s="1">
        <v>7.0486137089999996</v>
      </c>
      <c r="M430" s="1">
        <v>6.9701140339999998</v>
      </c>
      <c r="N430" s="1">
        <v>8.1267059790000005</v>
      </c>
      <c r="O430" s="1">
        <v>8.2088647679999998</v>
      </c>
      <c r="P430" s="1">
        <v>7.4294854240000001</v>
      </c>
      <c r="Q430" s="1">
        <v>7.0286617009999999</v>
      </c>
      <c r="R430" s="1">
        <v>7.4209709330000004</v>
      </c>
      <c r="S430" s="1">
        <v>7.2066877380000003</v>
      </c>
      <c r="T430" s="1">
        <v>7.0486137089999996</v>
      </c>
      <c r="U430" s="1">
        <v>6.9701140339999998</v>
      </c>
      <c r="V430" s="1">
        <v>7.6070497130000003</v>
      </c>
      <c r="W430" s="1">
        <v>7.7487515379999996</v>
      </c>
      <c r="X430" s="1">
        <v>7.2321936950000003</v>
      </c>
      <c r="Y430" s="1">
        <v>7.9390421250000003</v>
      </c>
      <c r="Z430" s="1">
        <v>7.4209709330000004</v>
      </c>
      <c r="AA430" s="1">
        <v>7.2066877380000003</v>
      </c>
      <c r="AB430" s="1">
        <v>7.632857145</v>
      </c>
      <c r="AC430" s="1">
        <v>7.4483701260000004</v>
      </c>
      <c r="AD430" s="1">
        <v>7.678793926</v>
      </c>
      <c r="AE430" s="1">
        <v>7.7436872689999996</v>
      </c>
    </row>
    <row r="431" spans="1:31" x14ac:dyDescent="0.25">
      <c r="A431" s="1" t="s">
        <v>938</v>
      </c>
      <c r="B431" s="1" t="s">
        <v>2530</v>
      </c>
      <c r="C431" s="1" t="s">
        <v>2531</v>
      </c>
      <c r="D431" s="1" t="s">
        <v>2535</v>
      </c>
      <c r="E431" s="1" t="s">
        <v>2536</v>
      </c>
      <c r="G431" s="1" t="s">
        <v>938</v>
      </c>
      <c r="H431" s="1">
        <v>5.3232649629999997</v>
      </c>
      <c r="I431" s="1">
        <v>5.6535958219999998</v>
      </c>
      <c r="J431" s="1">
        <v>4.3724365990000003</v>
      </c>
      <c r="K431" s="1">
        <v>4.6734567340000002</v>
      </c>
      <c r="L431" s="1">
        <v>4.2088403679999997</v>
      </c>
      <c r="M431" s="1">
        <v>4.5403831759999997</v>
      </c>
      <c r="N431" s="1">
        <v>5.53456788</v>
      </c>
      <c r="O431" s="1">
        <v>5.4367285829999998</v>
      </c>
      <c r="P431" s="1">
        <v>4.7972962780000001</v>
      </c>
      <c r="Q431" s="1">
        <v>4.611970812</v>
      </c>
      <c r="R431" s="1">
        <v>4.1841942410000001</v>
      </c>
      <c r="S431" s="1">
        <v>4.3135540739999998</v>
      </c>
      <c r="T431" s="1">
        <v>4.2088403679999997</v>
      </c>
      <c r="U431" s="1">
        <v>4.5403831759999997</v>
      </c>
      <c r="V431" s="1">
        <v>4.5207607210000003</v>
      </c>
      <c r="W431" s="1">
        <v>4.6166922860000001</v>
      </c>
      <c r="X431" s="1">
        <v>4.6102919370000004</v>
      </c>
      <c r="Y431" s="1">
        <v>5.2297915760000002</v>
      </c>
      <c r="Z431" s="1">
        <v>4.1841942410000001</v>
      </c>
      <c r="AA431" s="1">
        <v>4.3135540739999998</v>
      </c>
      <c r="AB431" s="1">
        <v>4.3946012420000002</v>
      </c>
      <c r="AC431" s="1">
        <v>4.9660712470000004</v>
      </c>
      <c r="AD431" s="1">
        <v>5.2159266190000002</v>
      </c>
      <c r="AE431" s="1">
        <v>5.175187158</v>
      </c>
    </row>
    <row r="432" spans="1:31" x14ac:dyDescent="0.25">
      <c r="A432" s="1" t="s">
        <v>939</v>
      </c>
      <c r="B432" s="1" t="s">
        <v>2598</v>
      </c>
      <c r="C432" s="1" t="s">
        <v>3183</v>
      </c>
      <c r="D432" s="1" t="s">
        <v>3324</v>
      </c>
      <c r="E432" s="1" t="s">
        <v>3325</v>
      </c>
      <c r="F432" s="1" t="s">
        <v>3326</v>
      </c>
      <c r="G432" s="1" t="s">
        <v>939</v>
      </c>
      <c r="H432" s="1">
        <v>6.6927481100000001</v>
      </c>
      <c r="I432" s="1">
        <v>6.7527702749999996</v>
      </c>
      <c r="J432" s="1">
        <v>5.9669407659999996</v>
      </c>
      <c r="K432" s="1">
        <v>5.7554847420000002</v>
      </c>
      <c r="L432" s="1">
        <v>5.6492182990000002</v>
      </c>
      <c r="M432" s="1">
        <v>5.7583226490000001</v>
      </c>
      <c r="N432" s="1">
        <v>5.9870940719999997</v>
      </c>
      <c r="O432" s="1">
        <v>6.0012687509999996</v>
      </c>
      <c r="P432" s="1">
        <v>5.9144375350000002</v>
      </c>
      <c r="Q432" s="1">
        <v>6.0722034220000003</v>
      </c>
      <c r="R432" s="1">
        <v>5.6804358580000001</v>
      </c>
      <c r="S432" s="1">
        <v>5.6453330910000004</v>
      </c>
      <c r="T432" s="1">
        <v>5.6492182990000002</v>
      </c>
      <c r="U432" s="1">
        <v>5.7583226490000001</v>
      </c>
      <c r="V432" s="1">
        <v>6.1009432270000001</v>
      </c>
      <c r="W432" s="1">
        <v>6.0370461979999996</v>
      </c>
      <c r="X432" s="1">
        <v>5.8569434649999996</v>
      </c>
      <c r="Y432" s="1">
        <v>6.0769070919999999</v>
      </c>
      <c r="Z432" s="1">
        <v>5.6804358580000001</v>
      </c>
      <c r="AA432" s="1">
        <v>5.6453330910000004</v>
      </c>
      <c r="AB432" s="1">
        <v>5.7218462399999996</v>
      </c>
      <c r="AC432" s="1">
        <v>5.8439382809999998</v>
      </c>
      <c r="AD432" s="1">
        <v>6.0630013820000004</v>
      </c>
      <c r="AE432" s="1">
        <v>6.0995676599999999</v>
      </c>
    </row>
    <row r="433" spans="1:31" x14ac:dyDescent="0.25">
      <c r="A433" s="1" t="s">
        <v>940</v>
      </c>
      <c r="B433" s="1" t="s">
        <v>2530</v>
      </c>
      <c r="C433" s="1" t="s">
        <v>2531</v>
      </c>
      <c r="D433" s="1" t="s">
        <v>2535</v>
      </c>
      <c r="E433" s="1" t="s">
        <v>3327</v>
      </c>
      <c r="G433" s="1" t="s">
        <v>940</v>
      </c>
      <c r="H433" s="1">
        <v>7.4158709649999999</v>
      </c>
      <c r="I433" s="1">
        <v>7.1910618560000001</v>
      </c>
      <c r="J433" s="1">
        <v>7.771478492</v>
      </c>
      <c r="K433" s="1">
        <v>7.7556079369999997</v>
      </c>
      <c r="L433" s="1">
        <v>7.9539711520000003</v>
      </c>
      <c r="M433" s="1">
        <v>7.9692935020000002</v>
      </c>
      <c r="N433" s="1">
        <v>6.7460863370000004</v>
      </c>
      <c r="O433" s="1">
        <v>6.7203403079999999</v>
      </c>
      <c r="P433" s="1">
        <v>7.9959995990000001</v>
      </c>
      <c r="Q433" s="1">
        <v>8.0057223559999997</v>
      </c>
      <c r="R433" s="1">
        <v>8.2337317760000008</v>
      </c>
      <c r="S433" s="1">
        <v>8.0360456350000007</v>
      </c>
      <c r="T433" s="1">
        <v>7.9539711520000003</v>
      </c>
      <c r="U433" s="1">
        <v>7.9692935020000002</v>
      </c>
      <c r="V433" s="1">
        <v>7.7658524209999999</v>
      </c>
      <c r="W433" s="1">
        <v>7.7007104609999999</v>
      </c>
      <c r="X433" s="1">
        <v>8.3632226250000006</v>
      </c>
      <c r="Y433" s="1">
        <v>7.9237003100000001</v>
      </c>
      <c r="Z433" s="1">
        <v>8.2337317760000008</v>
      </c>
      <c r="AA433" s="1">
        <v>8.0360456350000007</v>
      </c>
      <c r="AB433" s="1">
        <v>8.3259601849999996</v>
      </c>
      <c r="AC433" s="1">
        <v>8.1115976320000005</v>
      </c>
      <c r="AD433" s="1">
        <v>8.1358288059999992</v>
      </c>
      <c r="AE433" s="1">
        <v>8.3309099209999999</v>
      </c>
    </row>
    <row r="434" spans="1:31" x14ac:dyDescent="0.25">
      <c r="A434" s="1" t="s">
        <v>942</v>
      </c>
      <c r="B434" s="1" t="s">
        <v>2530</v>
      </c>
      <c r="C434" s="1" t="s">
        <v>2573</v>
      </c>
      <c r="D434" s="1" t="s">
        <v>2535</v>
      </c>
      <c r="E434" s="1" t="s">
        <v>3328</v>
      </c>
      <c r="G434" s="1" t="s">
        <v>942</v>
      </c>
      <c r="H434" s="1">
        <v>4.183793842</v>
      </c>
      <c r="I434" s="1">
        <v>5.009480355</v>
      </c>
      <c r="J434" s="1">
        <v>4.5240842389999996</v>
      </c>
      <c r="K434" s="1">
        <v>5.2674352469999999</v>
      </c>
      <c r="L434" s="1">
        <v>5.2363096809999998</v>
      </c>
      <c r="M434" s="1">
        <v>4.3982295550000003</v>
      </c>
      <c r="N434" s="1">
        <v>5.3605984370000002</v>
      </c>
      <c r="O434" s="1">
        <v>5.0724039640000003</v>
      </c>
      <c r="P434" s="1">
        <v>4.9577743410000004</v>
      </c>
      <c r="Q434" s="1">
        <v>4.9365262349999997</v>
      </c>
      <c r="R434" s="1">
        <v>4.6795267799999998</v>
      </c>
      <c r="S434" s="1">
        <v>4.6194390810000003</v>
      </c>
      <c r="T434" s="1">
        <v>5.2363096809999998</v>
      </c>
      <c r="U434" s="1">
        <v>4.3982295550000003</v>
      </c>
      <c r="V434" s="1">
        <v>4.4559512029999997</v>
      </c>
      <c r="W434" s="1">
        <v>4.9854391920000003</v>
      </c>
      <c r="X434" s="1">
        <v>4.8524813179999997</v>
      </c>
      <c r="Y434" s="1">
        <v>5.5443425189999997</v>
      </c>
      <c r="Z434" s="1">
        <v>4.6795267799999998</v>
      </c>
      <c r="AA434" s="1">
        <v>4.6194390810000003</v>
      </c>
      <c r="AB434" s="1">
        <v>5.0356743460000004</v>
      </c>
      <c r="AC434" s="1">
        <v>4.4881955270000002</v>
      </c>
      <c r="AD434" s="1">
        <v>4.95179218</v>
      </c>
      <c r="AE434" s="1">
        <v>5.1494525009999998</v>
      </c>
    </row>
    <row r="435" spans="1:31" x14ac:dyDescent="0.25">
      <c r="A435" s="1" t="s">
        <v>944</v>
      </c>
      <c r="B435" s="1" t="s">
        <v>2530</v>
      </c>
      <c r="C435" s="1" t="s">
        <v>2573</v>
      </c>
      <c r="D435" s="1" t="s">
        <v>2535</v>
      </c>
      <c r="E435" s="1" t="s">
        <v>3329</v>
      </c>
      <c r="G435" s="1" t="s">
        <v>944</v>
      </c>
      <c r="H435" s="1">
        <v>8.3993486239999999</v>
      </c>
      <c r="I435" s="1">
        <v>8.4176523400000001</v>
      </c>
      <c r="J435" s="1">
        <v>6.6382173169999996</v>
      </c>
      <c r="K435" s="1">
        <v>7.2705230040000002</v>
      </c>
      <c r="L435" s="1">
        <v>5.58546151</v>
      </c>
      <c r="M435" s="1">
        <v>5.868183685</v>
      </c>
      <c r="N435" s="1">
        <v>7.5536086060000001</v>
      </c>
      <c r="O435" s="1">
        <v>7.760986119</v>
      </c>
      <c r="P435" s="1">
        <v>6.1519221809999998</v>
      </c>
      <c r="Q435" s="1">
        <v>5.4628336309999996</v>
      </c>
      <c r="R435" s="1">
        <v>5.8420803340000003</v>
      </c>
      <c r="S435" s="1">
        <v>5.8319244149999996</v>
      </c>
      <c r="T435" s="1">
        <v>5.58546151</v>
      </c>
      <c r="U435" s="1">
        <v>5.868183685</v>
      </c>
      <c r="V435" s="1">
        <v>6.7567693220000002</v>
      </c>
      <c r="W435" s="1">
        <v>6.239290832</v>
      </c>
      <c r="X435" s="1">
        <v>5.1128189019999999</v>
      </c>
      <c r="Y435" s="1">
        <v>6.6624835610000002</v>
      </c>
      <c r="Z435" s="1">
        <v>5.8420803340000003</v>
      </c>
      <c r="AA435" s="1">
        <v>5.8319244149999996</v>
      </c>
      <c r="AB435" s="1">
        <v>6.7915089589999997</v>
      </c>
      <c r="AC435" s="1">
        <v>5.9492644930000003</v>
      </c>
      <c r="AD435" s="1">
        <v>5.6310130599999999</v>
      </c>
      <c r="AE435" s="1">
        <v>5.868211906</v>
      </c>
    </row>
    <row r="436" spans="1:31" x14ac:dyDescent="0.25">
      <c r="A436" s="1" t="s">
        <v>946</v>
      </c>
      <c r="B436" s="1" t="s">
        <v>2608</v>
      </c>
      <c r="C436" s="1" t="s">
        <v>2609</v>
      </c>
      <c r="D436" s="1" t="s">
        <v>2636</v>
      </c>
      <c r="E436" s="1" t="s">
        <v>3330</v>
      </c>
      <c r="F436" s="1" t="s">
        <v>3331</v>
      </c>
      <c r="G436" s="1" t="s">
        <v>946</v>
      </c>
      <c r="H436" s="1">
        <v>4.7972697699999998</v>
      </c>
      <c r="I436" s="1">
        <v>4.903725959</v>
      </c>
      <c r="J436" s="1">
        <v>3.6453331530000002</v>
      </c>
      <c r="K436" s="1">
        <v>4.1384138449999996</v>
      </c>
      <c r="L436" s="1">
        <v>4.2932354009999996</v>
      </c>
      <c r="M436" s="1">
        <v>4.3982295550000003</v>
      </c>
      <c r="N436" s="1">
        <v>5.2399813159999997</v>
      </c>
      <c r="O436" s="1">
        <v>5.4853382609999999</v>
      </c>
      <c r="P436" s="1">
        <v>4.161525224</v>
      </c>
      <c r="Q436" s="1">
        <v>4.2835653880000004</v>
      </c>
      <c r="R436" s="1">
        <v>3.7109484589999999</v>
      </c>
      <c r="S436" s="1">
        <v>3.9182367880000002</v>
      </c>
      <c r="T436" s="1">
        <v>4.2932354009999996</v>
      </c>
      <c r="U436" s="1">
        <v>4.3982295550000003</v>
      </c>
      <c r="V436" s="1">
        <v>3.887436229</v>
      </c>
      <c r="W436" s="1">
        <v>3.9848641250000001</v>
      </c>
      <c r="X436" s="1">
        <v>4.1686775799999998</v>
      </c>
      <c r="Y436" s="1">
        <v>2.9733498090000001</v>
      </c>
      <c r="Z436" s="1">
        <v>3.7109484589999999</v>
      </c>
      <c r="AA436" s="1">
        <v>3.9182367880000002</v>
      </c>
      <c r="AB436" s="1">
        <v>3.8237667059999998</v>
      </c>
      <c r="AC436" s="1">
        <v>3.8665622239999999</v>
      </c>
      <c r="AD436" s="1">
        <v>4.3870463700000002</v>
      </c>
      <c r="AE436" s="1">
        <v>4.124053773</v>
      </c>
    </row>
    <row r="437" spans="1:31" x14ac:dyDescent="0.25">
      <c r="A437" s="1" t="s">
        <v>947</v>
      </c>
      <c r="B437" s="1" t="s">
        <v>2539</v>
      </c>
      <c r="C437" s="1" t="s">
        <v>2606</v>
      </c>
      <c r="D437" s="1" t="s">
        <v>2535</v>
      </c>
      <c r="E437" s="1" t="s">
        <v>3332</v>
      </c>
      <c r="G437" s="1" t="s">
        <v>947</v>
      </c>
      <c r="H437" s="1">
        <v>6.9183184219999996</v>
      </c>
      <c r="I437" s="1">
        <v>6.2534876759999998</v>
      </c>
      <c r="J437" s="1">
        <v>5.9669407659999996</v>
      </c>
      <c r="K437" s="1">
        <v>5.8227835140000002</v>
      </c>
      <c r="L437" s="1">
        <v>5.9312890439999997</v>
      </c>
      <c r="M437" s="1">
        <v>5.8143060450000004</v>
      </c>
      <c r="N437" s="1">
        <v>6.5482301630000004</v>
      </c>
      <c r="O437" s="1">
        <v>6.9444867510000003</v>
      </c>
      <c r="P437" s="1">
        <v>5.660815296</v>
      </c>
      <c r="Q437" s="1">
        <v>5.9637007390000001</v>
      </c>
      <c r="R437" s="1">
        <v>5.5365302600000001</v>
      </c>
      <c r="S437" s="1">
        <v>5.710270789</v>
      </c>
      <c r="T437" s="1">
        <v>5.9312890439999997</v>
      </c>
      <c r="U437" s="1">
        <v>5.8143060450000004</v>
      </c>
      <c r="V437" s="1">
        <v>5.9243031000000004</v>
      </c>
      <c r="W437" s="1">
        <v>5.7645115660000004</v>
      </c>
      <c r="X437" s="1">
        <v>5.8091227329999997</v>
      </c>
      <c r="Y437" s="1">
        <v>6.3310590680000001</v>
      </c>
      <c r="Z437" s="1">
        <v>5.5365302600000001</v>
      </c>
      <c r="AA437" s="1">
        <v>5.710270789</v>
      </c>
      <c r="AB437" s="1">
        <v>5.675717079</v>
      </c>
      <c r="AC437" s="1">
        <v>5.7302515789999999</v>
      </c>
      <c r="AD437" s="1">
        <v>6.190389411</v>
      </c>
      <c r="AE437" s="1">
        <v>5.868211906</v>
      </c>
    </row>
    <row r="438" spans="1:31" x14ac:dyDescent="0.25">
      <c r="A438" s="1" t="s">
        <v>949</v>
      </c>
      <c r="B438" s="1" t="s">
        <v>2631</v>
      </c>
      <c r="C438" s="1" t="s">
        <v>2980</v>
      </c>
      <c r="D438" s="1" t="s">
        <v>3333</v>
      </c>
      <c r="E438" s="1" t="s">
        <v>3334</v>
      </c>
      <c r="F438" s="1" t="s">
        <v>3335</v>
      </c>
      <c r="G438" s="1" t="s">
        <v>949</v>
      </c>
      <c r="H438" s="1">
        <v>4.6479005740000003</v>
      </c>
      <c r="I438" s="1">
        <v>5.3676718369999996</v>
      </c>
      <c r="J438" s="1">
        <v>4.0065844400000001</v>
      </c>
      <c r="K438" s="1">
        <v>4.1384138449999996</v>
      </c>
      <c r="L438" s="1">
        <v>3.918224124</v>
      </c>
      <c r="M438" s="1">
        <v>4.2945656129999996</v>
      </c>
      <c r="N438" s="1">
        <v>3.7779028299999999</v>
      </c>
      <c r="O438" s="1">
        <v>4.5340058970000001</v>
      </c>
      <c r="P438" s="1">
        <v>4.4075207919999997</v>
      </c>
      <c r="Q438" s="1">
        <v>4.4575363990000003</v>
      </c>
      <c r="R438" s="1">
        <v>4.9327063119999996</v>
      </c>
      <c r="S438" s="1">
        <v>4.8114074450000004</v>
      </c>
      <c r="T438" s="1">
        <v>3.918224124</v>
      </c>
      <c r="U438" s="1">
        <v>4.2945656129999996</v>
      </c>
      <c r="V438" s="1">
        <v>4.7533922439999996</v>
      </c>
      <c r="W438" s="1">
        <v>5.0488589419999998</v>
      </c>
      <c r="X438" s="1">
        <v>4.3167291810000004</v>
      </c>
      <c r="Y438" s="1">
        <v>4.2532353330000001</v>
      </c>
      <c r="Z438" s="1">
        <v>4.9327063119999996</v>
      </c>
      <c r="AA438" s="1">
        <v>4.8114074450000004</v>
      </c>
      <c r="AB438" s="1">
        <v>3.6315729079999999</v>
      </c>
      <c r="AC438" s="1">
        <v>3.8665622239999999</v>
      </c>
      <c r="AD438" s="1">
        <v>3.984188064</v>
      </c>
      <c r="AE438" s="1">
        <v>4.0685293649999998</v>
      </c>
    </row>
    <row r="439" spans="1:31" x14ac:dyDescent="0.25">
      <c r="A439" s="1" t="s">
        <v>954</v>
      </c>
      <c r="B439" s="1" t="s">
        <v>2530</v>
      </c>
      <c r="C439" s="1" t="s">
        <v>2573</v>
      </c>
      <c r="D439" s="1" t="s">
        <v>2535</v>
      </c>
      <c r="E439" s="1" t="s">
        <v>3336</v>
      </c>
      <c r="G439" s="1" t="s">
        <v>954</v>
      </c>
      <c r="H439" s="1">
        <v>4.0684382540000001</v>
      </c>
      <c r="I439" s="1">
        <v>4.5981535630000003</v>
      </c>
      <c r="J439" s="1">
        <v>5.6488969620000002</v>
      </c>
      <c r="K439" s="1">
        <v>5.166960875</v>
      </c>
      <c r="L439" s="1">
        <v>6.0772329310000002</v>
      </c>
      <c r="M439" s="1">
        <v>6.1691684679999996</v>
      </c>
      <c r="N439" s="1">
        <v>4.9001796750000004</v>
      </c>
      <c r="O439" s="1">
        <v>4.9731423550000002</v>
      </c>
      <c r="P439" s="1">
        <v>5.660815296</v>
      </c>
      <c r="Q439" s="1">
        <v>5.9062084209999997</v>
      </c>
      <c r="R439" s="1">
        <v>6.0678975499999996</v>
      </c>
      <c r="S439" s="1">
        <v>5.9969908790000002</v>
      </c>
      <c r="T439" s="1">
        <v>6.0772329310000002</v>
      </c>
      <c r="U439" s="1">
        <v>6.1691684679999996</v>
      </c>
      <c r="V439" s="1">
        <v>5.8765220630000004</v>
      </c>
      <c r="W439" s="1">
        <v>5.6874298530000003</v>
      </c>
      <c r="X439" s="1">
        <v>5.6186994139999999</v>
      </c>
      <c r="Y439" s="1">
        <v>5.9306942229999997</v>
      </c>
      <c r="Z439" s="1">
        <v>6.0678975499999996</v>
      </c>
      <c r="AA439" s="1">
        <v>5.9969908790000002</v>
      </c>
      <c r="AB439" s="1">
        <v>5.9711898400000001</v>
      </c>
      <c r="AC439" s="1">
        <v>5.9492644930000003</v>
      </c>
      <c r="AD439" s="1">
        <v>6.1657997020000002</v>
      </c>
      <c r="AE439" s="1">
        <v>6.086150795</v>
      </c>
    </row>
    <row r="440" spans="1:31" x14ac:dyDescent="0.25">
      <c r="A440" s="1" t="s">
        <v>955</v>
      </c>
      <c r="B440" s="1" t="s">
        <v>2568</v>
      </c>
      <c r="C440" s="1" t="s">
        <v>2589</v>
      </c>
      <c r="D440" s="1" t="s">
        <v>2535</v>
      </c>
      <c r="E440" s="1" t="s">
        <v>3337</v>
      </c>
      <c r="F440" s="1" t="s">
        <v>3338</v>
      </c>
      <c r="G440" s="1" t="s">
        <v>955</v>
      </c>
      <c r="H440" s="1">
        <v>3.4660955969999998</v>
      </c>
      <c r="I440" s="1">
        <v>4.66484875</v>
      </c>
      <c r="J440" s="1">
        <v>4.2018709520000002</v>
      </c>
      <c r="K440" s="1">
        <v>4.0244910950000001</v>
      </c>
      <c r="L440" s="1">
        <v>4.2516940449999998</v>
      </c>
      <c r="M440" s="1">
        <v>4.1823509169999999</v>
      </c>
      <c r="N440" s="1">
        <v>4.3116130799999999</v>
      </c>
      <c r="O440" s="1">
        <v>4.7903853170000001</v>
      </c>
      <c r="P440" s="1">
        <v>4.6160325330000003</v>
      </c>
      <c r="Q440" s="1">
        <v>4.2835653880000004</v>
      </c>
      <c r="R440" s="1">
        <v>4.45403635</v>
      </c>
      <c r="S440" s="1">
        <v>4.4749637470000003</v>
      </c>
      <c r="T440" s="1">
        <v>4.2516940449999998</v>
      </c>
      <c r="U440" s="1">
        <v>4.1823509169999999</v>
      </c>
      <c r="V440" s="1">
        <v>5.1274300740000003</v>
      </c>
      <c r="W440" s="1">
        <v>4.7760085830000003</v>
      </c>
      <c r="X440" s="1">
        <v>4.3627028770000003</v>
      </c>
      <c r="Y440" s="1">
        <v>4.9529845589999999</v>
      </c>
      <c r="Z440" s="1">
        <v>4.45403635</v>
      </c>
      <c r="AA440" s="1">
        <v>4.4749637470000003</v>
      </c>
      <c r="AB440" s="1">
        <v>4.6096720080000004</v>
      </c>
      <c r="AC440" s="1">
        <v>4.3377211620000002</v>
      </c>
      <c r="AD440" s="1">
        <v>4.5511338559999999</v>
      </c>
      <c r="AE440" s="1">
        <v>4.4595659249999997</v>
      </c>
    </row>
    <row r="441" spans="1:31" x14ac:dyDescent="0.25">
      <c r="A441" s="1" t="s">
        <v>956</v>
      </c>
      <c r="B441" s="1" t="s">
        <v>2568</v>
      </c>
      <c r="C441" s="1" t="s">
        <v>2589</v>
      </c>
      <c r="D441" s="1" t="s">
        <v>2590</v>
      </c>
      <c r="E441" s="1" t="s">
        <v>3339</v>
      </c>
      <c r="F441" s="1" t="s">
        <v>3340</v>
      </c>
      <c r="G441" s="1" t="s">
        <v>956</v>
      </c>
      <c r="H441" s="1">
        <v>4.995162745</v>
      </c>
      <c r="I441" s="1">
        <v>5.4067069720000003</v>
      </c>
      <c r="J441" s="1">
        <v>5.2817155790000001</v>
      </c>
      <c r="K441" s="1">
        <v>5.2674352469999999</v>
      </c>
      <c r="L441" s="1">
        <v>5.0352735380000002</v>
      </c>
      <c r="M441" s="1">
        <v>4.896083601</v>
      </c>
      <c r="N441" s="1">
        <v>4.8346471299999996</v>
      </c>
      <c r="O441" s="1">
        <v>4.385526188</v>
      </c>
      <c r="P441" s="1">
        <v>5.4976972829999999</v>
      </c>
      <c r="Q441" s="1">
        <v>5.5406489910000003</v>
      </c>
      <c r="R441" s="1">
        <v>5.0965654090000001</v>
      </c>
      <c r="S441" s="1">
        <v>4.6864044680000001</v>
      </c>
      <c r="T441" s="1">
        <v>5.0352735380000002</v>
      </c>
      <c r="U441" s="1">
        <v>4.896083601</v>
      </c>
      <c r="V441" s="1">
        <v>5.4882083000000002</v>
      </c>
      <c r="W441" s="1">
        <v>5.5634106699999997</v>
      </c>
      <c r="X441" s="1">
        <v>4.5325909299999996</v>
      </c>
      <c r="Y441" s="1">
        <v>5.6604650660000004</v>
      </c>
      <c r="Z441" s="1">
        <v>5.0965654090000001</v>
      </c>
      <c r="AA441" s="1">
        <v>4.6864044680000001</v>
      </c>
      <c r="AB441" s="1">
        <v>4.6096720080000004</v>
      </c>
      <c r="AC441" s="1">
        <v>5.0158027430000001</v>
      </c>
      <c r="AD441" s="1">
        <v>4.7657555159999996</v>
      </c>
      <c r="AE441" s="1">
        <v>4.8625108150000003</v>
      </c>
    </row>
    <row r="442" spans="1:31" x14ac:dyDescent="0.25">
      <c r="A442" s="1" t="s">
        <v>964</v>
      </c>
      <c r="B442" s="1" t="s">
        <v>2530</v>
      </c>
      <c r="C442" s="1" t="s">
        <v>2531</v>
      </c>
      <c r="D442" s="1" t="s">
        <v>2535</v>
      </c>
      <c r="E442" s="1" t="s">
        <v>3341</v>
      </c>
      <c r="G442" s="1" t="s">
        <v>964</v>
      </c>
      <c r="H442" s="1">
        <v>6.9964650620000004</v>
      </c>
      <c r="I442" s="1">
        <v>6.0227272230000004</v>
      </c>
      <c r="J442" s="1">
        <v>6.4839470649999997</v>
      </c>
      <c r="K442" s="1">
        <v>6.270852401</v>
      </c>
      <c r="L442" s="1">
        <v>6.433821816</v>
      </c>
      <c r="M442" s="1">
        <v>6.7006958919999997</v>
      </c>
      <c r="N442" s="1">
        <v>5.4930242160000002</v>
      </c>
      <c r="O442" s="1">
        <v>5.8796079560000001</v>
      </c>
      <c r="P442" s="1">
        <v>6.6927797440000001</v>
      </c>
      <c r="Q442" s="1">
        <v>6.5369026620000001</v>
      </c>
      <c r="R442" s="1">
        <v>6.4941616399999997</v>
      </c>
      <c r="S442" s="1">
        <v>6.0729078190000001</v>
      </c>
      <c r="T442" s="1">
        <v>6.433821816</v>
      </c>
      <c r="U442" s="1">
        <v>6.7006958919999997</v>
      </c>
      <c r="V442" s="1">
        <v>5.9931161309999998</v>
      </c>
      <c r="W442" s="1">
        <v>6.1272304780000004</v>
      </c>
      <c r="X442" s="1">
        <v>6.6270179660000004</v>
      </c>
      <c r="Y442" s="1">
        <v>5.9306942229999997</v>
      </c>
      <c r="Z442" s="1">
        <v>6.4941616399999997</v>
      </c>
      <c r="AA442" s="1">
        <v>6.0729078190000001</v>
      </c>
      <c r="AB442" s="1">
        <v>6.3685053089999997</v>
      </c>
      <c r="AC442" s="1">
        <v>6.3069602739999997</v>
      </c>
      <c r="AD442" s="1">
        <v>6.1657997020000002</v>
      </c>
      <c r="AE442" s="1">
        <v>5.9145294059999998</v>
      </c>
    </row>
    <row r="443" spans="1:31" x14ac:dyDescent="0.25">
      <c r="A443" s="1" t="s">
        <v>966</v>
      </c>
      <c r="B443" s="1" t="s">
        <v>2942</v>
      </c>
      <c r="C443" s="1" t="s">
        <v>3342</v>
      </c>
      <c r="D443" s="1" t="s">
        <v>3343</v>
      </c>
      <c r="E443" s="1" t="s">
        <v>3344</v>
      </c>
      <c r="F443" s="1" t="s">
        <v>3345</v>
      </c>
      <c r="G443" s="1" t="s">
        <v>966</v>
      </c>
      <c r="H443" s="1">
        <v>8.4501898719999993</v>
      </c>
      <c r="I443" s="1">
        <v>8.6333278070000006</v>
      </c>
      <c r="J443" s="1">
        <v>8.7152943389999997</v>
      </c>
      <c r="K443" s="1">
        <v>8.9056728379999992</v>
      </c>
      <c r="L443" s="1">
        <v>8.6754798799999993</v>
      </c>
      <c r="M443" s="1">
        <v>8.6717999179999996</v>
      </c>
      <c r="N443" s="1">
        <v>8.2834004019999998</v>
      </c>
      <c r="O443" s="1">
        <v>8.0966653599999994</v>
      </c>
      <c r="P443" s="1">
        <v>8.8947606849999996</v>
      </c>
      <c r="Q443" s="1">
        <v>9.0178148839999999</v>
      </c>
      <c r="R443" s="1">
        <v>8.1623111949999991</v>
      </c>
      <c r="S443" s="1">
        <v>8.2631588269999998</v>
      </c>
      <c r="T443" s="1">
        <v>8.6754798799999993</v>
      </c>
      <c r="U443" s="1">
        <v>8.6717999179999996</v>
      </c>
      <c r="V443" s="1">
        <v>8.6477554820000009</v>
      </c>
      <c r="W443" s="1">
        <v>8.5038119600000002</v>
      </c>
      <c r="X443" s="1">
        <v>8.4945784339999992</v>
      </c>
      <c r="Y443" s="1">
        <v>8.7602028020000002</v>
      </c>
      <c r="Z443" s="1">
        <v>8.1623111949999991</v>
      </c>
      <c r="AA443" s="1">
        <v>8.2631588269999998</v>
      </c>
      <c r="AB443" s="1">
        <v>8.5139518069999998</v>
      </c>
      <c r="AC443" s="1">
        <v>8.2669400300000007</v>
      </c>
      <c r="AD443" s="1">
        <v>8.0579512330000007</v>
      </c>
      <c r="AE443" s="1">
        <v>8.9656466459999997</v>
      </c>
    </row>
    <row r="444" spans="1:31" x14ac:dyDescent="0.25">
      <c r="A444" s="1" t="s">
        <v>967</v>
      </c>
      <c r="B444" s="1" t="s">
        <v>2942</v>
      </c>
      <c r="C444" s="1" t="s">
        <v>3342</v>
      </c>
      <c r="D444" s="1" t="s">
        <v>3346</v>
      </c>
      <c r="E444" s="1" t="s">
        <v>3347</v>
      </c>
      <c r="F444" s="1" t="s">
        <v>3348</v>
      </c>
      <c r="G444" s="1" t="s">
        <v>967</v>
      </c>
      <c r="H444" s="1">
        <v>9.4860195249999997</v>
      </c>
      <c r="I444" s="1">
        <v>9.2440953449999999</v>
      </c>
      <c r="J444" s="1">
        <v>10.03045665</v>
      </c>
      <c r="K444" s="1">
        <v>9.652398818</v>
      </c>
      <c r="L444" s="1">
        <v>10.09039933</v>
      </c>
      <c r="M444" s="1">
        <v>10.26289467</v>
      </c>
      <c r="N444" s="1">
        <v>8.7283440349999992</v>
      </c>
      <c r="O444" s="1">
        <v>8.5301032259999996</v>
      </c>
      <c r="P444" s="1">
        <v>10.18200446</v>
      </c>
      <c r="Q444" s="1">
        <v>10.157221030000001</v>
      </c>
      <c r="R444" s="1">
        <v>10.25473897</v>
      </c>
      <c r="S444" s="1">
        <v>10.29335698</v>
      </c>
      <c r="T444" s="1">
        <v>10.09039933</v>
      </c>
      <c r="U444" s="1">
        <v>10.26289467</v>
      </c>
      <c r="V444" s="1">
        <v>10.21431224</v>
      </c>
      <c r="W444" s="1">
        <v>10.16787864</v>
      </c>
      <c r="X444" s="1">
        <v>10.147271890000001</v>
      </c>
      <c r="Y444" s="1">
        <v>9.9498613250000005</v>
      </c>
      <c r="Z444" s="1">
        <v>10.25473897</v>
      </c>
      <c r="AA444" s="1">
        <v>10.29335698</v>
      </c>
      <c r="AB444" s="1">
        <v>10.27673399</v>
      </c>
      <c r="AC444" s="1">
        <v>10.19223356</v>
      </c>
      <c r="AD444" s="1">
        <v>10.07758697</v>
      </c>
      <c r="AE444" s="1">
        <v>10.13242698</v>
      </c>
    </row>
    <row r="445" spans="1:31" x14ac:dyDescent="0.25">
      <c r="A445" s="1" t="s">
        <v>968</v>
      </c>
      <c r="B445" s="1" t="s">
        <v>2942</v>
      </c>
      <c r="C445" s="1" t="s">
        <v>3342</v>
      </c>
      <c r="D445" s="1" t="s">
        <v>3343</v>
      </c>
      <c r="E445" s="1" t="s">
        <v>3349</v>
      </c>
      <c r="F445" s="1" t="s">
        <v>3350</v>
      </c>
      <c r="G445" s="1" t="s">
        <v>968</v>
      </c>
      <c r="H445" s="1">
        <v>8.5826803040000001</v>
      </c>
      <c r="I445" s="1">
        <v>8.0704222269999999</v>
      </c>
      <c r="J445" s="1">
        <v>8.9060562959999992</v>
      </c>
      <c r="K445" s="1">
        <v>8.7805489399999992</v>
      </c>
      <c r="L445" s="1">
        <v>8.6811839850000005</v>
      </c>
      <c r="M445" s="1">
        <v>8.8821656109999996</v>
      </c>
      <c r="N445" s="1">
        <v>7.1700553200000003</v>
      </c>
      <c r="O445" s="1">
        <v>7.2405391110000004</v>
      </c>
      <c r="P445" s="1">
        <v>8.6805870350000003</v>
      </c>
      <c r="Q445" s="1">
        <v>8.7139186849999994</v>
      </c>
      <c r="R445" s="1">
        <v>9.1911112690000003</v>
      </c>
      <c r="S445" s="1">
        <v>8.8047924759999994</v>
      </c>
      <c r="T445" s="1">
        <v>8.6811839850000005</v>
      </c>
      <c r="U445" s="1">
        <v>8.8821656109999996</v>
      </c>
      <c r="V445" s="1">
        <v>8.4463227009999997</v>
      </c>
      <c r="W445" s="1">
        <v>8.6875422009999994</v>
      </c>
      <c r="X445" s="1">
        <v>8.8858485639999998</v>
      </c>
      <c r="Y445" s="1">
        <v>8.4587494490000008</v>
      </c>
      <c r="Z445" s="1">
        <v>9.1911112690000003</v>
      </c>
      <c r="AA445" s="1">
        <v>8.8047924759999994</v>
      </c>
      <c r="AB445" s="1">
        <v>9.0791824309999996</v>
      </c>
      <c r="AC445" s="1">
        <v>9.0740622930000008</v>
      </c>
      <c r="AD445" s="1">
        <v>8.8138142399999992</v>
      </c>
      <c r="AE445" s="1">
        <v>8.7060684140000006</v>
      </c>
    </row>
    <row r="446" spans="1:31" x14ac:dyDescent="0.25">
      <c r="A446" s="1" t="s">
        <v>969</v>
      </c>
      <c r="B446" s="1" t="s">
        <v>2942</v>
      </c>
      <c r="C446" s="1" t="s">
        <v>3342</v>
      </c>
      <c r="D446" s="1" t="s">
        <v>3343</v>
      </c>
      <c r="E446" s="1" t="s">
        <v>3351</v>
      </c>
      <c r="F446" s="1" t="s">
        <v>3352</v>
      </c>
      <c r="G446" s="1" t="s">
        <v>969</v>
      </c>
      <c r="H446" s="1">
        <v>8.4278146970000005</v>
      </c>
      <c r="I446" s="1">
        <v>8.1582889339999998</v>
      </c>
      <c r="J446" s="1">
        <v>9.2035590729999992</v>
      </c>
      <c r="K446" s="1">
        <v>8.8180066739999994</v>
      </c>
      <c r="L446" s="1">
        <v>8.9661025300000006</v>
      </c>
      <c r="M446" s="1">
        <v>9.2489204980000004</v>
      </c>
      <c r="N446" s="1">
        <v>6.8064250089999998</v>
      </c>
      <c r="O446" s="1">
        <v>7.4376991339999998</v>
      </c>
      <c r="P446" s="1">
        <v>8.8107927270000008</v>
      </c>
      <c r="Q446" s="1">
        <v>8.9342493510000001</v>
      </c>
      <c r="R446" s="1">
        <v>9.3004844759999994</v>
      </c>
      <c r="S446" s="1">
        <v>9.0710430320000004</v>
      </c>
      <c r="T446" s="1">
        <v>8.9661025300000006</v>
      </c>
      <c r="U446" s="1">
        <v>9.2489204980000004</v>
      </c>
      <c r="V446" s="1">
        <v>9.2576558050000006</v>
      </c>
      <c r="W446" s="1">
        <v>9.3070664030000003</v>
      </c>
      <c r="X446" s="1">
        <v>8.6671390039999991</v>
      </c>
      <c r="Y446" s="1">
        <v>9.2060933380000005</v>
      </c>
      <c r="Z446" s="1">
        <v>9.3004844759999994</v>
      </c>
      <c r="AA446" s="1">
        <v>9.0710430320000004</v>
      </c>
      <c r="AB446" s="1">
        <v>9.0206585290000003</v>
      </c>
      <c r="AC446" s="1">
        <v>9.1393123989999996</v>
      </c>
      <c r="AD446" s="1">
        <v>8.9349347189999992</v>
      </c>
      <c r="AE446" s="1">
        <v>8.7147927339999995</v>
      </c>
    </row>
    <row r="447" spans="1:31" x14ac:dyDescent="0.25">
      <c r="A447" s="1" t="s">
        <v>970</v>
      </c>
      <c r="B447" s="1" t="s">
        <v>2942</v>
      </c>
      <c r="C447" s="1" t="s">
        <v>3342</v>
      </c>
      <c r="D447" s="1" t="s">
        <v>3343</v>
      </c>
      <c r="E447" s="1" t="s">
        <v>3353</v>
      </c>
      <c r="F447" s="1" t="s">
        <v>3354</v>
      </c>
      <c r="G447" s="1" t="s">
        <v>970</v>
      </c>
      <c r="H447" s="1">
        <v>7.4606553509999998</v>
      </c>
      <c r="I447" s="1">
        <v>7.0263944179999998</v>
      </c>
      <c r="J447" s="1">
        <v>7.7186995510000003</v>
      </c>
      <c r="K447" s="1">
        <v>7.0362139130000001</v>
      </c>
      <c r="L447" s="1">
        <v>7.6586460250000004</v>
      </c>
      <c r="M447" s="1">
        <v>7.9107854670000002</v>
      </c>
      <c r="N447" s="1">
        <v>5.9261193419999998</v>
      </c>
      <c r="O447" s="1">
        <v>6.3926566659999997</v>
      </c>
      <c r="P447" s="1">
        <v>7.9082019939999997</v>
      </c>
      <c r="Q447" s="1">
        <v>7.8086029610000001</v>
      </c>
      <c r="R447" s="1">
        <v>7.973534034</v>
      </c>
      <c r="S447" s="1">
        <v>8.0672406359999993</v>
      </c>
      <c r="T447" s="1">
        <v>7.6586460250000004</v>
      </c>
      <c r="U447" s="1">
        <v>7.9107854670000002</v>
      </c>
      <c r="V447" s="1">
        <v>8.3405693599999999</v>
      </c>
      <c r="W447" s="1">
        <v>8.1926099870000009</v>
      </c>
      <c r="X447" s="1">
        <v>8.0580556310000002</v>
      </c>
      <c r="Y447" s="1">
        <v>8.1249187670000005</v>
      </c>
      <c r="Z447" s="1">
        <v>7.973534034</v>
      </c>
      <c r="AA447" s="1">
        <v>8.0672406359999993</v>
      </c>
      <c r="AB447" s="1">
        <v>8.2338390189999995</v>
      </c>
      <c r="AC447" s="1">
        <v>8.2413225949999998</v>
      </c>
      <c r="AD447" s="1">
        <v>7.7792910080000004</v>
      </c>
      <c r="AE447" s="1">
        <v>7.8021743209999999</v>
      </c>
    </row>
    <row r="448" spans="1:31" x14ac:dyDescent="0.25">
      <c r="A448" s="1" t="s">
        <v>971</v>
      </c>
      <c r="B448" s="1" t="s">
        <v>2530</v>
      </c>
      <c r="C448" s="1" t="s">
        <v>2531</v>
      </c>
      <c r="D448" s="1" t="s">
        <v>2535</v>
      </c>
      <c r="E448" s="1" t="s">
        <v>2536</v>
      </c>
      <c r="G448" s="1" t="s">
        <v>971</v>
      </c>
      <c r="H448" s="1">
        <v>7.1410877929999996</v>
      </c>
      <c r="I448" s="1">
        <v>7.378407867</v>
      </c>
      <c r="J448" s="1">
        <v>6.7018094870000002</v>
      </c>
      <c r="K448" s="1">
        <v>6.4725304650000002</v>
      </c>
      <c r="L448" s="1">
        <v>7.0367909559999999</v>
      </c>
      <c r="M448" s="1">
        <v>6.8857861800000002</v>
      </c>
      <c r="N448" s="1">
        <v>7.814934225</v>
      </c>
      <c r="O448" s="1">
        <v>7.0766218429999999</v>
      </c>
      <c r="P448" s="1">
        <v>6.2975076100000003</v>
      </c>
      <c r="Q448" s="1">
        <v>6.6284720950000002</v>
      </c>
      <c r="R448" s="1">
        <v>6.1928862330000003</v>
      </c>
      <c r="S448" s="1">
        <v>5.9707657090000001</v>
      </c>
      <c r="T448" s="1">
        <v>7.0367909559999999</v>
      </c>
      <c r="U448" s="1">
        <v>6.8857861800000002</v>
      </c>
      <c r="V448" s="1">
        <v>5.519727617</v>
      </c>
      <c r="W448" s="1">
        <v>5.9736131119999998</v>
      </c>
      <c r="X448" s="1">
        <v>6.5898507339999997</v>
      </c>
      <c r="Y448" s="1">
        <v>6.2095953220000002</v>
      </c>
      <c r="Z448" s="1">
        <v>6.1928862330000003</v>
      </c>
      <c r="AA448" s="1">
        <v>5.9707657090000001</v>
      </c>
      <c r="AB448" s="1">
        <v>6.1502584210000002</v>
      </c>
      <c r="AC448" s="1">
        <v>5.9744301399999999</v>
      </c>
      <c r="AD448" s="1">
        <v>5.9231977699999998</v>
      </c>
      <c r="AE448" s="1">
        <v>6.2149920930000002</v>
      </c>
    </row>
    <row r="449" spans="1:31" x14ac:dyDescent="0.25">
      <c r="A449" s="1" t="s">
        <v>973</v>
      </c>
      <c r="B449" s="1" t="s">
        <v>2530</v>
      </c>
      <c r="C449" s="1" t="s">
        <v>2573</v>
      </c>
      <c r="D449" s="1" t="s">
        <v>2535</v>
      </c>
      <c r="E449" s="1" t="s">
        <v>3355</v>
      </c>
      <c r="G449" s="1" t="s">
        <v>973</v>
      </c>
      <c r="H449" s="1">
        <v>5.1131742039999999</v>
      </c>
      <c r="I449" s="1">
        <v>6.0475452040000004</v>
      </c>
      <c r="J449" s="1">
        <v>6.5886089180000003</v>
      </c>
      <c r="K449" s="1">
        <v>6.2465923569999999</v>
      </c>
      <c r="L449" s="1">
        <v>6.777341389</v>
      </c>
      <c r="M449" s="1">
        <v>6.6808079219999996</v>
      </c>
      <c r="N449" s="1">
        <v>5.6524063629999999</v>
      </c>
      <c r="O449" s="1">
        <v>5.4117878270000004</v>
      </c>
      <c r="P449" s="1">
        <v>6.3931504810000002</v>
      </c>
      <c r="Q449" s="1">
        <v>6.6807419020000003</v>
      </c>
      <c r="R449" s="1">
        <v>6.4941616399999997</v>
      </c>
      <c r="S449" s="1">
        <v>6.5507675829999998</v>
      </c>
      <c r="T449" s="1">
        <v>6.777341389</v>
      </c>
      <c r="U449" s="1">
        <v>6.6808079219999996</v>
      </c>
      <c r="V449" s="1">
        <v>6.9418646219999998</v>
      </c>
      <c r="W449" s="1">
        <v>6.8459283500000003</v>
      </c>
      <c r="X449" s="1">
        <v>7.2382073849999999</v>
      </c>
      <c r="Y449" s="1">
        <v>7.1714898009999999</v>
      </c>
      <c r="Z449" s="1">
        <v>6.4941616399999997</v>
      </c>
      <c r="AA449" s="1">
        <v>6.5507675829999998</v>
      </c>
      <c r="AB449" s="1">
        <v>6.8339958249999997</v>
      </c>
      <c r="AC449" s="1">
        <v>6.9119300409999997</v>
      </c>
      <c r="AD449" s="1">
        <v>7.1124159809999998</v>
      </c>
      <c r="AE449" s="1">
        <v>7.4568905689999996</v>
      </c>
    </row>
    <row r="450" spans="1:31" x14ac:dyDescent="0.25">
      <c r="A450" s="1" t="s">
        <v>975</v>
      </c>
      <c r="B450" s="1" t="s">
        <v>2598</v>
      </c>
      <c r="C450" s="1" t="s">
        <v>2603</v>
      </c>
      <c r="D450" s="1" t="s">
        <v>2730</v>
      </c>
      <c r="E450" s="1" t="s">
        <v>3356</v>
      </c>
      <c r="F450" s="1" t="s">
        <v>3357</v>
      </c>
      <c r="G450" s="1" t="s">
        <v>975</v>
      </c>
      <c r="H450" s="1">
        <v>7.1133012090000003</v>
      </c>
      <c r="I450" s="1">
        <v>7.1110789749999999</v>
      </c>
      <c r="J450" s="1">
        <v>7.0336998949999998</v>
      </c>
      <c r="K450" s="1">
        <v>6.9184473520000003</v>
      </c>
      <c r="L450" s="1">
        <v>6.9699725700000004</v>
      </c>
      <c r="M450" s="1">
        <v>7.0104963189999996</v>
      </c>
      <c r="N450" s="1">
        <v>6.5482301630000004</v>
      </c>
      <c r="O450" s="1">
        <v>6.5373998999999996</v>
      </c>
      <c r="P450" s="1">
        <v>6.6156100010000003</v>
      </c>
      <c r="Q450" s="1">
        <v>6.8270471480000001</v>
      </c>
      <c r="R450" s="1">
        <v>6.9124289210000001</v>
      </c>
      <c r="S450" s="1">
        <v>6.8950186230000003</v>
      </c>
      <c r="T450" s="1">
        <v>6.9699725700000004</v>
      </c>
      <c r="U450" s="1">
        <v>7.0104963189999996</v>
      </c>
      <c r="V450" s="1">
        <v>7.2899342779999996</v>
      </c>
      <c r="W450" s="1">
        <v>7.0591682799999997</v>
      </c>
      <c r="X450" s="1">
        <v>7.1516427269999996</v>
      </c>
      <c r="Y450" s="1">
        <v>7.3312255589999999</v>
      </c>
      <c r="Z450" s="1">
        <v>6.9124289210000001</v>
      </c>
      <c r="AA450" s="1">
        <v>6.8950186230000003</v>
      </c>
      <c r="AB450" s="1">
        <v>6.769786034</v>
      </c>
      <c r="AC450" s="1">
        <v>6.7757000749999996</v>
      </c>
      <c r="AD450" s="1">
        <v>6.9493542489999998</v>
      </c>
      <c r="AE450" s="1">
        <v>7.1379765209999997</v>
      </c>
    </row>
    <row r="451" spans="1:31" x14ac:dyDescent="0.25">
      <c r="A451" s="1" t="s">
        <v>979</v>
      </c>
      <c r="B451" s="1" t="s">
        <v>2579</v>
      </c>
      <c r="C451" s="1" t="s">
        <v>3259</v>
      </c>
      <c r="D451" s="1" t="s">
        <v>3358</v>
      </c>
      <c r="E451" s="1" t="s">
        <v>3359</v>
      </c>
      <c r="F451" s="1" t="s">
        <v>3360</v>
      </c>
      <c r="G451" s="1" t="s">
        <v>979</v>
      </c>
      <c r="H451" s="1">
        <v>13.11421401</v>
      </c>
      <c r="I451" s="1">
        <v>12.55924808</v>
      </c>
      <c r="J451" s="1">
        <v>13.061128950000001</v>
      </c>
      <c r="K451" s="1">
        <v>12.981759479999999</v>
      </c>
      <c r="L451" s="1">
        <v>12.571482899999999</v>
      </c>
      <c r="M451" s="1">
        <v>12.78529103</v>
      </c>
      <c r="N451" s="1">
        <v>11.629871830000001</v>
      </c>
      <c r="O451" s="1">
        <v>11.83754781</v>
      </c>
      <c r="P451" s="1">
        <v>12.95081452</v>
      </c>
      <c r="Q451" s="1">
        <v>12.83380043</v>
      </c>
      <c r="R451" s="1">
        <v>12.977287560000001</v>
      </c>
      <c r="S451" s="1">
        <v>12.9678009</v>
      </c>
      <c r="T451" s="1">
        <v>12.571482899999999</v>
      </c>
      <c r="U451" s="1">
        <v>12.78529103</v>
      </c>
      <c r="V451" s="1">
        <v>12.72750456</v>
      </c>
      <c r="W451" s="1">
        <v>12.674295109999999</v>
      </c>
      <c r="X451" s="1">
        <v>12.68087558</v>
      </c>
      <c r="Y451" s="1">
        <v>12.52161439</v>
      </c>
      <c r="Z451" s="1">
        <v>12.977287560000001</v>
      </c>
      <c r="AA451" s="1">
        <v>12.9678009</v>
      </c>
      <c r="AB451" s="1">
        <v>12.849735689999999</v>
      </c>
      <c r="AC451" s="1">
        <v>12.88951877</v>
      </c>
      <c r="AD451" s="1">
        <v>12.658415979999999</v>
      </c>
      <c r="AE451" s="1">
        <v>12.61062347</v>
      </c>
    </row>
    <row r="452" spans="1:31" x14ac:dyDescent="0.25">
      <c r="A452" s="1" t="s">
        <v>980</v>
      </c>
      <c r="B452" s="1" t="s">
        <v>2579</v>
      </c>
      <c r="C452" s="1" t="s">
        <v>3259</v>
      </c>
      <c r="D452" s="1" t="s">
        <v>3358</v>
      </c>
      <c r="E452" s="1" t="s">
        <v>3361</v>
      </c>
      <c r="F452" s="1" t="s">
        <v>3362</v>
      </c>
      <c r="G452" s="1" t="s">
        <v>980</v>
      </c>
      <c r="H452" s="1">
        <v>12.878587769999999</v>
      </c>
      <c r="I452" s="1">
        <v>12.40377213</v>
      </c>
      <c r="J452" s="1">
        <v>13.051636200000001</v>
      </c>
      <c r="K452" s="1">
        <v>12.891187390000001</v>
      </c>
      <c r="L452" s="1">
        <v>12.25033391</v>
      </c>
      <c r="M452" s="1">
        <v>12.68740936</v>
      </c>
      <c r="N452" s="1">
        <v>11.44550928</v>
      </c>
      <c r="O452" s="1">
        <v>11.683929239999999</v>
      </c>
      <c r="P452" s="1">
        <v>12.841652460000001</v>
      </c>
      <c r="Q452" s="1">
        <v>12.82947053</v>
      </c>
      <c r="R452" s="1">
        <v>12.89982088</v>
      </c>
      <c r="S452" s="1">
        <v>12.863946869999999</v>
      </c>
      <c r="T452" s="1">
        <v>12.25033391</v>
      </c>
      <c r="U452" s="1">
        <v>12.68740936</v>
      </c>
      <c r="V452" s="1">
        <v>12.678434149999999</v>
      </c>
      <c r="W452" s="1">
        <v>12.545956220000001</v>
      </c>
      <c r="X452" s="1">
        <v>12.643573740000001</v>
      </c>
      <c r="Y452" s="1">
        <v>12.30119163</v>
      </c>
      <c r="Z452" s="1">
        <v>12.89982088</v>
      </c>
      <c r="AA452" s="1">
        <v>12.863946869999999</v>
      </c>
      <c r="AB452" s="1">
        <v>12.758328519999999</v>
      </c>
      <c r="AC452" s="1">
        <v>12.74366695</v>
      </c>
      <c r="AD452" s="1">
        <v>12.507921189999999</v>
      </c>
      <c r="AE452" s="1">
        <v>12.341984739999999</v>
      </c>
    </row>
    <row r="453" spans="1:31" x14ac:dyDescent="0.25">
      <c r="A453" s="1" t="s">
        <v>981</v>
      </c>
      <c r="B453" s="1" t="s">
        <v>2530</v>
      </c>
      <c r="C453" s="1" t="s">
        <v>2531</v>
      </c>
      <c r="D453" s="1" t="s">
        <v>2535</v>
      </c>
      <c r="E453" s="1" t="s">
        <v>3363</v>
      </c>
      <c r="G453" s="1" t="s">
        <v>981</v>
      </c>
      <c r="H453" s="1">
        <v>1.7393328349999999</v>
      </c>
      <c r="I453" s="1">
        <v>2.5655118899999998</v>
      </c>
      <c r="J453" s="1">
        <v>2.5640169199999998</v>
      </c>
      <c r="K453" s="1">
        <v>1.7393328349999999</v>
      </c>
      <c r="L453" s="1">
        <v>2.7248816410000001</v>
      </c>
      <c r="M453" s="1">
        <v>2.3994532390000001</v>
      </c>
      <c r="N453" s="1">
        <v>2.372908427</v>
      </c>
      <c r="O453" s="1">
        <v>1.7393328349999999</v>
      </c>
      <c r="P453" s="1">
        <v>2.5478783159999998</v>
      </c>
      <c r="Q453" s="1">
        <v>1.7393328349999999</v>
      </c>
      <c r="R453" s="1">
        <v>1.7393328349999999</v>
      </c>
      <c r="S453" s="1">
        <v>1.7393328349999999</v>
      </c>
      <c r="T453" s="1">
        <v>2.7248816410000001</v>
      </c>
      <c r="U453" s="1">
        <v>2.3994532390000001</v>
      </c>
      <c r="V453" s="1">
        <v>2.5140266200000001</v>
      </c>
      <c r="W453" s="1">
        <v>1.7393328349999999</v>
      </c>
      <c r="X453" s="1">
        <v>2.6106888979999998</v>
      </c>
      <c r="Y453" s="1">
        <v>1.7393328349999999</v>
      </c>
      <c r="Z453" s="1">
        <v>1.7393328349999999</v>
      </c>
      <c r="AA453" s="1">
        <v>1.7393328349999999</v>
      </c>
      <c r="AB453" s="1">
        <v>2.73487305</v>
      </c>
      <c r="AC453" s="1">
        <v>2.87258916</v>
      </c>
      <c r="AD453" s="1">
        <v>2.9432342459999998</v>
      </c>
      <c r="AE453" s="1">
        <v>3.213378847</v>
      </c>
    </row>
    <row r="454" spans="1:31" x14ac:dyDescent="0.25">
      <c r="A454" s="1" t="s">
        <v>987</v>
      </c>
      <c r="B454" s="1" t="s">
        <v>2642</v>
      </c>
      <c r="C454" s="1" t="s">
        <v>2643</v>
      </c>
      <c r="D454" s="1" t="s">
        <v>2687</v>
      </c>
      <c r="E454" s="1" t="s">
        <v>3094</v>
      </c>
      <c r="F454" s="1" t="s">
        <v>3095</v>
      </c>
      <c r="G454" s="1" t="s">
        <v>987</v>
      </c>
      <c r="H454" s="1">
        <v>3.9421380259999999</v>
      </c>
      <c r="I454" s="1">
        <v>2.8927893610000002</v>
      </c>
      <c r="J454" s="1">
        <v>3.1324899180000001</v>
      </c>
      <c r="K454" s="1">
        <v>3.4309024589999999</v>
      </c>
      <c r="L454" s="1">
        <v>3.2097511390000002</v>
      </c>
      <c r="M454" s="1">
        <v>3.6924658159999999</v>
      </c>
      <c r="N454" s="1">
        <v>2.8201075470000001</v>
      </c>
      <c r="O454" s="1">
        <v>3.7238257350000001</v>
      </c>
      <c r="P454" s="1">
        <v>3.466113682</v>
      </c>
      <c r="Q454" s="1">
        <v>4.0840108080000004</v>
      </c>
      <c r="R454" s="1">
        <v>3.5594063970000001</v>
      </c>
      <c r="S454" s="1">
        <v>3.7977317990000001</v>
      </c>
      <c r="T454" s="1">
        <v>3.2097511390000002</v>
      </c>
      <c r="U454" s="1">
        <v>3.6924658159999999</v>
      </c>
      <c r="V454" s="1">
        <v>3.3993802240000002</v>
      </c>
      <c r="W454" s="1">
        <v>4.2295768090000001</v>
      </c>
      <c r="X454" s="1">
        <v>2.6106888979999998</v>
      </c>
      <c r="Y454" s="1">
        <v>3.4382968329999999</v>
      </c>
      <c r="Z454" s="1">
        <v>3.5594063970000001</v>
      </c>
      <c r="AA454" s="1">
        <v>3.7977317990000001</v>
      </c>
      <c r="AB454" s="1">
        <v>3.404153038</v>
      </c>
      <c r="AC454" s="1">
        <v>2.87258916</v>
      </c>
      <c r="AD454" s="1">
        <v>3.8610926929999998</v>
      </c>
      <c r="AE454" s="1">
        <v>3.213378847</v>
      </c>
    </row>
    <row r="455" spans="1:31" x14ac:dyDescent="0.25">
      <c r="A455" s="1" t="s">
        <v>993</v>
      </c>
      <c r="B455" s="1" t="s">
        <v>2525</v>
      </c>
      <c r="C455" s="1" t="s">
        <v>3364</v>
      </c>
      <c r="D455" s="1" t="s">
        <v>3365</v>
      </c>
      <c r="E455" s="1" t="s">
        <v>3366</v>
      </c>
      <c r="F455" s="1" t="s">
        <v>3367</v>
      </c>
      <c r="G455" s="1" t="s">
        <v>993</v>
      </c>
      <c r="H455" s="1">
        <v>5.5062820300000004</v>
      </c>
      <c r="I455" s="1">
        <v>5.2436995780000002</v>
      </c>
      <c r="J455" s="1">
        <v>6.0670821549999996</v>
      </c>
      <c r="K455" s="1">
        <v>5.7554847420000002</v>
      </c>
      <c r="L455" s="1">
        <v>5.7830592080000001</v>
      </c>
      <c r="M455" s="1">
        <v>5.8324912810000002</v>
      </c>
      <c r="N455" s="1">
        <v>5.2399813159999997</v>
      </c>
      <c r="O455" s="1">
        <v>5.3074139359999997</v>
      </c>
      <c r="P455" s="1">
        <v>5.6913184689999996</v>
      </c>
      <c r="Q455" s="1">
        <v>5.718446159</v>
      </c>
      <c r="R455" s="1">
        <v>5.8420803340000003</v>
      </c>
      <c r="S455" s="1">
        <v>5.7416668729999998</v>
      </c>
      <c r="T455" s="1">
        <v>5.7830592080000001</v>
      </c>
      <c r="U455" s="1">
        <v>5.8324912810000002</v>
      </c>
      <c r="V455" s="1">
        <v>5.8017242820000003</v>
      </c>
      <c r="W455" s="1">
        <v>5.9736131119999998</v>
      </c>
      <c r="X455" s="1">
        <v>5.4828239310000004</v>
      </c>
      <c r="Y455" s="1">
        <v>6.2836980430000002</v>
      </c>
      <c r="Z455" s="1">
        <v>5.8420803340000003</v>
      </c>
      <c r="AA455" s="1">
        <v>5.7416668729999998</v>
      </c>
      <c r="AB455" s="1">
        <v>5.2406211000000003</v>
      </c>
      <c r="AC455" s="1">
        <v>5.6386390840000002</v>
      </c>
      <c r="AD455" s="1">
        <v>5.5571020090000003</v>
      </c>
      <c r="AE455" s="1">
        <v>6.031193128</v>
      </c>
    </row>
    <row r="456" spans="1:31" x14ac:dyDescent="0.25">
      <c r="A456" s="1" t="s">
        <v>994</v>
      </c>
      <c r="B456" s="1" t="s">
        <v>2568</v>
      </c>
      <c r="C456" s="1" t="s">
        <v>2589</v>
      </c>
      <c r="D456" s="1" t="s">
        <v>2595</v>
      </c>
      <c r="E456" s="1" t="s">
        <v>3368</v>
      </c>
      <c r="F456" s="1" t="s">
        <v>3369</v>
      </c>
      <c r="G456" s="1" t="s">
        <v>994</v>
      </c>
      <c r="H456" s="1">
        <v>6.3556221559999999</v>
      </c>
      <c r="I456" s="1">
        <v>6.3760216270000001</v>
      </c>
      <c r="J456" s="1">
        <v>6.2905743620000001</v>
      </c>
      <c r="K456" s="1">
        <v>6.3181776090000001</v>
      </c>
      <c r="L456" s="1">
        <v>6.7844310559999998</v>
      </c>
      <c r="M456" s="1">
        <v>6.6606413570000003</v>
      </c>
      <c r="N456" s="1">
        <v>6.3653884090000004</v>
      </c>
      <c r="O456" s="1">
        <v>6.1134152940000002</v>
      </c>
      <c r="P456" s="1">
        <v>6.429694821</v>
      </c>
      <c r="Q456" s="1">
        <v>6.3770715449999997</v>
      </c>
      <c r="R456" s="1">
        <v>6.3936555549999996</v>
      </c>
      <c r="S456" s="1">
        <v>6.5683371309999998</v>
      </c>
      <c r="T456" s="1">
        <v>6.7844310559999998</v>
      </c>
      <c r="U456" s="1">
        <v>6.6606413570000003</v>
      </c>
      <c r="V456" s="1">
        <v>6.71671408</v>
      </c>
      <c r="W456" s="1">
        <v>6.8101283480000001</v>
      </c>
      <c r="X456" s="1">
        <v>6.430767253</v>
      </c>
      <c r="Y456" s="1">
        <v>6.5668682929999997</v>
      </c>
      <c r="Z456" s="1">
        <v>6.3936555549999996</v>
      </c>
      <c r="AA456" s="1">
        <v>6.5683371309999998</v>
      </c>
      <c r="AB456" s="1">
        <v>6.2789960090000001</v>
      </c>
      <c r="AC456" s="1">
        <v>6.7024263700000004</v>
      </c>
      <c r="AD456" s="1">
        <v>6.4155919319999999</v>
      </c>
      <c r="AE456" s="1">
        <v>6.81160079</v>
      </c>
    </row>
    <row r="457" spans="1:31" x14ac:dyDescent="0.25">
      <c r="A457" s="1" t="s">
        <v>1001</v>
      </c>
      <c r="B457" s="1" t="s">
        <v>2667</v>
      </c>
      <c r="C457" s="1" t="s">
        <v>3370</v>
      </c>
      <c r="D457" s="1" t="s">
        <v>3371</v>
      </c>
      <c r="E457" s="1" t="s">
        <v>3372</v>
      </c>
      <c r="F457" s="1" t="s">
        <v>3373</v>
      </c>
      <c r="G457" s="1" t="s">
        <v>1001</v>
      </c>
      <c r="H457" s="1">
        <v>6.3073323200000004</v>
      </c>
      <c r="I457" s="1">
        <v>5.8358262759999997</v>
      </c>
      <c r="J457" s="1">
        <v>8.1587168119999998</v>
      </c>
      <c r="K457" s="1">
        <v>7.9405948430000004</v>
      </c>
      <c r="L457" s="1">
        <v>8.3570031960000009</v>
      </c>
      <c r="M457" s="1">
        <v>8.4549768929999995</v>
      </c>
      <c r="N457" s="1">
        <v>6.3881452249999997</v>
      </c>
      <c r="O457" s="1">
        <v>6.3670506839999996</v>
      </c>
      <c r="P457" s="1">
        <v>8.0081169140000004</v>
      </c>
      <c r="Q457" s="1">
        <v>7.9641874509999999</v>
      </c>
      <c r="R457" s="1">
        <v>8.4238671239999992</v>
      </c>
      <c r="S457" s="1">
        <v>8.1335832410000002</v>
      </c>
      <c r="T457" s="1">
        <v>8.3570031960000009</v>
      </c>
      <c r="U457" s="1">
        <v>8.4549768929999995</v>
      </c>
      <c r="V457" s="1">
        <v>8.0921168869999995</v>
      </c>
      <c r="W457" s="1">
        <v>7.8925375769999997</v>
      </c>
      <c r="X457" s="1">
        <v>8.1910691060000005</v>
      </c>
      <c r="Y457" s="1">
        <v>7.3993747780000003</v>
      </c>
      <c r="Z457" s="1">
        <v>8.4238671239999992</v>
      </c>
      <c r="AA457" s="1">
        <v>8.1335832410000002</v>
      </c>
      <c r="AB457" s="1">
        <v>8.0835877790000001</v>
      </c>
      <c r="AC457" s="1">
        <v>8.3020568440000009</v>
      </c>
      <c r="AD457" s="1">
        <v>7.9826699090000002</v>
      </c>
      <c r="AE457" s="1">
        <v>7.9048745199999999</v>
      </c>
    </row>
    <row r="458" spans="1:31" x14ac:dyDescent="0.25">
      <c r="A458" s="1" t="s">
        <v>1003</v>
      </c>
      <c r="B458" s="1" t="s">
        <v>2557</v>
      </c>
      <c r="C458" s="1" t="s">
        <v>2558</v>
      </c>
      <c r="D458" s="1" t="s">
        <v>3374</v>
      </c>
      <c r="E458" s="1" t="s">
        <v>3375</v>
      </c>
      <c r="F458" s="1" t="s">
        <v>3376</v>
      </c>
      <c r="G458" s="1" t="s">
        <v>1003</v>
      </c>
      <c r="H458" s="1">
        <v>3.2549621289999999</v>
      </c>
      <c r="I458" s="1">
        <v>3.3322126910000001</v>
      </c>
      <c r="J458" s="1">
        <v>3.1324899180000001</v>
      </c>
      <c r="K458" s="1">
        <v>2.620638279</v>
      </c>
      <c r="L458" s="1">
        <v>3.7446308510000001</v>
      </c>
      <c r="M458" s="1">
        <v>3.5095973119999999</v>
      </c>
      <c r="N458" s="1">
        <v>3.7025667929999999</v>
      </c>
      <c r="O458" s="1">
        <v>3.193511794</v>
      </c>
      <c r="P458" s="1">
        <v>3.3003929539999999</v>
      </c>
      <c r="Q458" s="1">
        <v>3.185675432</v>
      </c>
      <c r="R458" s="1">
        <v>3.7109484589999999</v>
      </c>
      <c r="S458" s="1">
        <v>2.5733617299999998</v>
      </c>
      <c r="T458" s="1">
        <v>3.7446308510000001</v>
      </c>
      <c r="U458" s="1">
        <v>3.5095973119999999</v>
      </c>
      <c r="V458" s="1">
        <v>3.0516113059999999</v>
      </c>
      <c r="W458" s="1">
        <v>1.7393328349999999</v>
      </c>
      <c r="X458" s="1">
        <v>3.4131791489999999</v>
      </c>
      <c r="Y458" s="1">
        <v>3.229986142</v>
      </c>
      <c r="Z458" s="1">
        <v>3.7109484589999999</v>
      </c>
      <c r="AA458" s="1">
        <v>2.5733617299999998</v>
      </c>
      <c r="AB458" s="1">
        <v>1.7393328349999999</v>
      </c>
      <c r="AC458" s="1">
        <v>2.5506926650000001</v>
      </c>
      <c r="AD458" s="1">
        <v>2.9432342459999998</v>
      </c>
      <c r="AE458" s="1">
        <v>3.0939349979999999</v>
      </c>
    </row>
    <row r="459" spans="1:31" x14ac:dyDescent="0.25">
      <c r="A459" s="1" t="s">
        <v>1008</v>
      </c>
      <c r="B459" s="1" t="s">
        <v>2547</v>
      </c>
      <c r="C459" s="1" t="s">
        <v>2622</v>
      </c>
      <c r="D459" s="1" t="s">
        <v>2535</v>
      </c>
      <c r="E459" s="1" t="s">
        <v>3377</v>
      </c>
      <c r="G459" s="1" t="s">
        <v>1008</v>
      </c>
      <c r="H459" s="1">
        <v>6.402342805</v>
      </c>
      <c r="I459" s="1">
        <v>6.7972768459999999</v>
      </c>
      <c r="J459" s="1">
        <v>5.5483108110000003</v>
      </c>
      <c r="K459" s="1">
        <v>5.2674352469999999</v>
      </c>
      <c r="L459" s="1">
        <v>5.9184294340000001</v>
      </c>
      <c r="M459" s="1">
        <v>5.9201092089999996</v>
      </c>
      <c r="N459" s="1">
        <v>6.7194322870000001</v>
      </c>
      <c r="O459" s="1">
        <v>6.5025563220000002</v>
      </c>
      <c r="P459" s="1">
        <v>5.3134950500000002</v>
      </c>
      <c r="Q459" s="1">
        <v>5.9062084209999997</v>
      </c>
      <c r="R459" s="1">
        <v>5.6804358580000001</v>
      </c>
      <c r="S459" s="1">
        <v>5.3512993040000003</v>
      </c>
      <c r="T459" s="1">
        <v>5.9184294340000001</v>
      </c>
      <c r="U459" s="1">
        <v>5.9201092089999996</v>
      </c>
      <c r="V459" s="1">
        <v>5.5807524949999996</v>
      </c>
      <c r="W459" s="1">
        <v>5.872872095</v>
      </c>
      <c r="X459" s="1">
        <v>5.7596503070000002</v>
      </c>
      <c r="Y459" s="1">
        <v>5.3269702959999998</v>
      </c>
      <c r="Z459" s="1">
        <v>5.6804358580000001</v>
      </c>
      <c r="AA459" s="1">
        <v>5.3512993040000003</v>
      </c>
      <c r="AB459" s="1">
        <v>5.675717079</v>
      </c>
      <c r="AC459" s="1">
        <v>5.3988312660000002</v>
      </c>
      <c r="AD459" s="1">
        <v>5.9231977699999998</v>
      </c>
      <c r="AE459" s="1">
        <v>5.7020211359999999</v>
      </c>
    </row>
    <row r="460" spans="1:31" x14ac:dyDescent="0.25">
      <c r="A460" s="1" t="s">
        <v>1009</v>
      </c>
      <c r="B460" s="1" t="s">
        <v>2542</v>
      </c>
      <c r="C460" s="1" t="s">
        <v>2531</v>
      </c>
      <c r="D460" s="1" t="s">
        <v>2613</v>
      </c>
      <c r="E460" s="1" t="s">
        <v>3378</v>
      </c>
      <c r="F460" s="1" t="s">
        <v>3379</v>
      </c>
      <c r="G460" s="1" t="s">
        <v>1009</v>
      </c>
      <c r="H460" s="1">
        <v>5.8141293449999996</v>
      </c>
      <c r="I460" s="1">
        <v>6.1427370300000002</v>
      </c>
      <c r="J460" s="1">
        <v>5.8869626679999998</v>
      </c>
      <c r="K460" s="1">
        <v>5.7895293819999996</v>
      </c>
      <c r="L460" s="1">
        <v>5.7251137559999998</v>
      </c>
      <c r="M460" s="1">
        <v>5.8324912810000002</v>
      </c>
      <c r="N460" s="1">
        <v>6.282777512</v>
      </c>
      <c r="O460" s="1">
        <v>6.0342145780000003</v>
      </c>
      <c r="P460" s="1">
        <v>5.8618301099999996</v>
      </c>
      <c r="Q460" s="1">
        <v>5.9062084209999997</v>
      </c>
      <c r="R460" s="1">
        <v>5.1472208640000003</v>
      </c>
      <c r="S460" s="1">
        <v>5.8890842929999998</v>
      </c>
      <c r="T460" s="1">
        <v>5.7251137559999998</v>
      </c>
      <c r="U460" s="1">
        <v>5.8324912810000002</v>
      </c>
      <c r="V460" s="1">
        <v>6.276714932</v>
      </c>
      <c r="W460" s="1">
        <v>5.8376547490000004</v>
      </c>
      <c r="X460" s="1">
        <v>5.7596503070000002</v>
      </c>
      <c r="Y460" s="1">
        <v>6.0201969059999998</v>
      </c>
      <c r="Z460" s="1">
        <v>5.1472208640000003</v>
      </c>
      <c r="AA460" s="1">
        <v>5.8890842929999998</v>
      </c>
      <c r="AB460" s="1">
        <v>5.6280506069999996</v>
      </c>
      <c r="AC460" s="1">
        <v>5.8163513240000002</v>
      </c>
      <c r="AD460" s="1">
        <v>5.5186611069999998</v>
      </c>
      <c r="AE460" s="1">
        <v>5.9740468760000001</v>
      </c>
    </row>
    <row r="461" spans="1:31" x14ac:dyDescent="0.25">
      <c r="A461" s="1" t="s">
        <v>1010</v>
      </c>
      <c r="B461" s="1" t="s">
        <v>2608</v>
      </c>
      <c r="C461" s="1" t="s">
        <v>2700</v>
      </c>
      <c r="D461" s="1" t="s">
        <v>3380</v>
      </c>
      <c r="E461" s="1" t="s">
        <v>3381</v>
      </c>
      <c r="F461" s="1" t="s">
        <v>3382</v>
      </c>
      <c r="G461" s="1" t="s">
        <v>1010</v>
      </c>
      <c r="H461" s="1">
        <v>6.2055952369999998</v>
      </c>
      <c r="I461" s="1">
        <v>6.2534876759999998</v>
      </c>
      <c r="J461" s="1">
        <v>5.4021237849999997</v>
      </c>
      <c r="K461" s="1">
        <v>5.166960875</v>
      </c>
      <c r="L461" s="1">
        <v>5.128160297</v>
      </c>
      <c r="M461" s="1">
        <v>5.4399015869999996</v>
      </c>
      <c r="N461" s="1">
        <v>5.6334290280000001</v>
      </c>
      <c r="O461" s="1">
        <v>5.600077969</v>
      </c>
      <c r="P461" s="1">
        <v>5.1903212940000003</v>
      </c>
      <c r="Q461" s="1">
        <v>5.2000913229999997</v>
      </c>
      <c r="R461" s="1">
        <v>5.1961281320000001</v>
      </c>
      <c r="S461" s="1">
        <v>5.3512993040000003</v>
      </c>
      <c r="T461" s="1">
        <v>5.128160297</v>
      </c>
      <c r="U461" s="1">
        <v>5.4399015869999996</v>
      </c>
      <c r="V461" s="1">
        <v>5.1274300740000003</v>
      </c>
      <c r="W461" s="1">
        <v>5.5634106699999997</v>
      </c>
      <c r="X461" s="1">
        <v>5.2391096700000004</v>
      </c>
      <c r="Y461" s="1">
        <v>5.6604650660000004</v>
      </c>
      <c r="Z461" s="1">
        <v>5.1961281320000001</v>
      </c>
      <c r="AA461" s="1">
        <v>5.3512993040000003</v>
      </c>
      <c r="AB461" s="1">
        <v>5.4196851610000003</v>
      </c>
      <c r="AC461" s="1">
        <v>4.8053838390000001</v>
      </c>
      <c r="AD461" s="1">
        <v>5.116107059</v>
      </c>
      <c r="AE461" s="1">
        <v>5.0132584360000001</v>
      </c>
    </row>
    <row r="462" spans="1:31" x14ac:dyDescent="0.25">
      <c r="A462" s="1" t="s">
        <v>1012</v>
      </c>
      <c r="B462" s="1" t="s">
        <v>2530</v>
      </c>
      <c r="C462" s="1" t="s">
        <v>2573</v>
      </c>
      <c r="D462" s="1" t="s">
        <v>2535</v>
      </c>
      <c r="E462" s="1" t="s">
        <v>3383</v>
      </c>
      <c r="F462" s="1" t="s">
        <v>3384</v>
      </c>
      <c r="G462" s="1" t="s">
        <v>1012</v>
      </c>
      <c r="H462" s="1">
        <v>3.6455184960000002</v>
      </c>
      <c r="I462" s="1">
        <v>3.9003964459999998</v>
      </c>
      <c r="J462" s="1">
        <v>3.329519721</v>
      </c>
      <c r="K462" s="1">
        <v>3.607491666</v>
      </c>
      <c r="L462" s="1">
        <v>3.8629070379999999</v>
      </c>
      <c r="M462" s="1">
        <v>3.6044002019999999</v>
      </c>
      <c r="N462" s="1">
        <v>3.9806352139999999</v>
      </c>
      <c r="O462" s="1">
        <v>4.0289865369999998</v>
      </c>
      <c r="P462" s="1">
        <v>4.3303557189999999</v>
      </c>
      <c r="Q462" s="1">
        <v>4.18747588</v>
      </c>
      <c r="R462" s="1">
        <v>4.45403635</v>
      </c>
      <c r="S462" s="1">
        <v>3.9182367880000002</v>
      </c>
      <c r="T462" s="1">
        <v>3.8629070379999999</v>
      </c>
      <c r="U462" s="1">
        <v>3.6044002019999999</v>
      </c>
      <c r="V462" s="1">
        <v>3.5405335899999999</v>
      </c>
      <c r="W462" s="1">
        <v>3.2870366010000001</v>
      </c>
      <c r="X462" s="1">
        <v>4.1686775799999998</v>
      </c>
      <c r="Y462" s="1">
        <v>4.1479647589999997</v>
      </c>
      <c r="Z462" s="1">
        <v>4.45403635</v>
      </c>
      <c r="AA462" s="1">
        <v>3.9182367880000002</v>
      </c>
      <c r="AB462" s="1">
        <v>3.8237667059999998</v>
      </c>
      <c r="AC462" s="1">
        <v>4.3377211620000002</v>
      </c>
      <c r="AD462" s="1">
        <v>3.725077481</v>
      </c>
      <c r="AE462" s="1">
        <v>3.8196998459999998</v>
      </c>
    </row>
    <row r="463" spans="1:31" x14ac:dyDescent="0.25">
      <c r="A463" s="1" t="s">
        <v>1013</v>
      </c>
      <c r="B463" s="1" t="s">
        <v>2525</v>
      </c>
      <c r="C463" s="1" t="s">
        <v>2749</v>
      </c>
      <c r="D463" s="1" t="s">
        <v>3385</v>
      </c>
      <c r="E463" s="1" t="s">
        <v>3386</v>
      </c>
      <c r="F463" s="1" t="s">
        <v>3387</v>
      </c>
      <c r="G463" s="1" t="s">
        <v>1013</v>
      </c>
      <c r="H463" s="1">
        <v>10.159403299999999</v>
      </c>
      <c r="I463" s="1">
        <v>9.7052977869999992</v>
      </c>
      <c r="J463" s="1">
        <v>7.6559160940000002</v>
      </c>
      <c r="K463" s="1">
        <v>8.7420925629999999</v>
      </c>
      <c r="L463" s="1">
        <v>6.4606392619999999</v>
      </c>
      <c r="M463" s="1">
        <v>6.7006958919999997</v>
      </c>
      <c r="N463" s="1">
        <v>8.9957748199999994</v>
      </c>
      <c r="O463" s="1">
        <v>9.4333586740000008</v>
      </c>
      <c r="P463" s="1">
        <v>7.2875382760000003</v>
      </c>
      <c r="Q463" s="1">
        <v>7.2054957130000004</v>
      </c>
      <c r="R463" s="1">
        <v>6.9553432400000004</v>
      </c>
      <c r="S463" s="1">
        <v>6.9892911179999997</v>
      </c>
      <c r="T463" s="1">
        <v>6.4606392619999999</v>
      </c>
      <c r="U463" s="1">
        <v>6.7006958919999997</v>
      </c>
      <c r="V463" s="1">
        <v>7.4035684220000002</v>
      </c>
      <c r="W463" s="1">
        <v>7.5352487869999996</v>
      </c>
      <c r="X463" s="1">
        <v>6.7667750739999999</v>
      </c>
      <c r="Y463" s="1">
        <v>7.9313916190000002</v>
      </c>
      <c r="Z463" s="1">
        <v>6.9553432400000004</v>
      </c>
      <c r="AA463" s="1">
        <v>6.9892911179999997</v>
      </c>
      <c r="AB463" s="1">
        <v>7.2649841789999998</v>
      </c>
      <c r="AC463" s="1">
        <v>7.1287405320000001</v>
      </c>
      <c r="AD463" s="1">
        <v>8.0778183939999995</v>
      </c>
      <c r="AE463" s="1">
        <v>7.8144044920000004</v>
      </c>
    </row>
    <row r="464" spans="1:31" x14ac:dyDescent="0.25">
      <c r="A464" s="1" t="s">
        <v>1014</v>
      </c>
      <c r="B464" s="1" t="s">
        <v>2608</v>
      </c>
      <c r="C464" s="1" t="s">
        <v>2609</v>
      </c>
      <c r="D464" s="1" t="s">
        <v>3388</v>
      </c>
      <c r="E464" s="1" t="s">
        <v>3389</v>
      </c>
      <c r="F464" s="1" t="s">
        <v>3390</v>
      </c>
      <c r="G464" s="1" t="s">
        <v>1014</v>
      </c>
      <c r="H464" s="1">
        <v>4.7972697699999998</v>
      </c>
      <c r="I464" s="1">
        <v>4.7893724280000001</v>
      </c>
      <c r="J464" s="1">
        <v>6.1831700180000002</v>
      </c>
      <c r="K464" s="1">
        <v>5.7554847420000002</v>
      </c>
      <c r="L464" s="1">
        <v>5.8658055969999996</v>
      </c>
      <c r="M464" s="1">
        <v>6.0958755599999996</v>
      </c>
      <c r="N464" s="1">
        <v>4.9930900400000002</v>
      </c>
      <c r="O464" s="1">
        <v>5.4612405070000003</v>
      </c>
      <c r="P464" s="1">
        <v>6.0141943849999997</v>
      </c>
      <c r="Q464" s="1">
        <v>5.8765740600000003</v>
      </c>
      <c r="R464" s="1">
        <v>6.5134469040000003</v>
      </c>
      <c r="S464" s="1">
        <v>6.0729078190000001</v>
      </c>
      <c r="T464" s="1">
        <v>5.8658055969999996</v>
      </c>
      <c r="U464" s="1">
        <v>6.0958755599999996</v>
      </c>
      <c r="V464" s="1">
        <v>5.5807524949999996</v>
      </c>
      <c r="W464" s="1">
        <v>5.726489559</v>
      </c>
      <c r="X464" s="1">
        <v>5.7084070709999999</v>
      </c>
      <c r="Y464" s="1">
        <v>5.8019430659999998</v>
      </c>
      <c r="Z464" s="1">
        <v>6.5134469040000003</v>
      </c>
      <c r="AA464" s="1">
        <v>6.0729078190000001</v>
      </c>
      <c r="AB464" s="1">
        <v>5.8098709350000002</v>
      </c>
      <c r="AC464" s="1">
        <v>5.9991619270000003</v>
      </c>
      <c r="AD464" s="1">
        <v>5.7351750150000003</v>
      </c>
      <c r="AE464" s="1">
        <v>5.5139573549999996</v>
      </c>
    </row>
    <row r="465" spans="1:31" x14ac:dyDescent="0.25">
      <c r="A465" s="1" t="s">
        <v>1015</v>
      </c>
      <c r="B465" s="1" t="s">
        <v>2530</v>
      </c>
      <c r="C465" s="1" t="s">
        <v>2573</v>
      </c>
      <c r="D465" s="1" t="s">
        <v>2949</v>
      </c>
      <c r="E465" s="1" t="s">
        <v>3391</v>
      </c>
      <c r="G465" s="1" t="s">
        <v>1015</v>
      </c>
      <c r="H465" s="1">
        <v>5.946332924</v>
      </c>
      <c r="I465" s="1">
        <v>5.8640648840000003</v>
      </c>
      <c r="J465" s="1">
        <v>5.1953777219999999</v>
      </c>
      <c r="K465" s="1">
        <v>5.5719358019999996</v>
      </c>
      <c r="L465" s="1">
        <v>5.7398214760000004</v>
      </c>
      <c r="M465" s="1">
        <v>5.3414536530000003</v>
      </c>
      <c r="N465" s="1">
        <v>6.1017809820000002</v>
      </c>
      <c r="O465" s="1">
        <v>5.8051520590000001</v>
      </c>
      <c r="P465" s="1">
        <v>5.2736118430000003</v>
      </c>
      <c r="Q465" s="1">
        <v>5.3375178869999997</v>
      </c>
      <c r="R465" s="1">
        <v>5.458747732</v>
      </c>
      <c r="S465" s="1">
        <v>5.3512993040000003</v>
      </c>
      <c r="T465" s="1">
        <v>5.7398214760000004</v>
      </c>
      <c r="U465" s="1">
        <v>5.3414536530000003</v>
      </c>
      <c r="V465" s="1">
        <v>4.3879408260000003</v>
      </c>
      <c r="W465" s="1">
        <v>4.1128053839999996</v>
      </c>
      <c r="X465" s="1">
        <v>5.2391096700000004</v>
      </c>
      <c r="Y465" s="1">
        <v>4.0337379980000003</v>
      </c>
      <c r="Z465" s="1">
        <v>5.458747732</v>
      </c>
      <c r="AA465" s="1">
        <v>5.3512993040000003</v>
      </c>
      <c r="AB465" s="1">
        <v>5.1755434500000002</v>
      </c>
      <c r="AC465" s="1">
        <v>5.2822693689999998</v>
      </c>
      <c r="AD465" s="1">
        <v>5.2633210659999996</v>
      </c>
      <c r="AE465" s="1">
        <v>4.7973769099999997</v>
      </c>
    </row>
    <row r="466" spans="1:31" x14ac:dyDescent="0.25">
      <c r="A466" s="1" t="s">
        <v>1016</v>
      </c>
      <c r="B466" s="1" t="s">
        <v>2530</v>
      </c>
      <c r="C466" s="1" t="s">
        <v>2573</v>
      </c>
      <c r="D466" s="1" t="s">
        <v>2535</v>
      </c>
      <c r="E466" s="1" t="s">
        <v>3391</v>
      </c>
      <c r="G466" s="1" t="s">
        <v>1016</v>
      </c>
      <c r="H466" s="1">
        <v>4.4805534380000003</v>
      </c>
      <c r="I466" s="1">
        <v>4.0101074990000001</v>
      </c>
      <c r="J466" s="1">
        <v>3.4977151119999998</v>
      </c>
      <c r="K466" s="1">
        <v>3.4309024589999999</v>
      </c>
      <c r="L466" s="1">
        <v>4.4107687259999997</v>
      </c>
      <c r="M466" s="1">
        <v>4.059937712</v>
      </c>
      <c r="N466" s="1">
        <v>4.8346471299999996</v>
      </c>
      <c r="O466" s="1">
        <v>5.1349072580000001</v>
      </c>
      <c r="P466" s="1">
        <v>3.86011382</v>
      </c>
      <c r="Q466" s="1">
        <v>3.9718447549999998</v>
      </c>
      <c r="R466" s="1">
        <v>3.7109484589999999</v>
      </c>
      <c r="S466" s="1">
        <v>4.2250836859999996</v>
      </c>
      <c r="T466" s="1">
        <v>4.4107687259999997</v>
      </c>
      <c r="U466" s="1">
        <v>4.059937712</v>
      </c>
      <c r="V466" s="1">
        <v>3.2389700330000002</v>
      </c>
      <c r="W466" s="1">
        <v>3.8431653940000001</v>
      </c>
      <c r="X466" s="1">
        <v>3.9418607479999999</v>
      </c>
      <c r="Y466" s="1">
        <v>3.9087436480000002</v>
      </c>
      <c r="Z466" s="1">
        <v>3.7109484589999999</v>
      </c>
      <c r="AA466" s="1">
        <v>4.2250836859999996</v>
      </c>
      <c r="AB466" s="1">
        <v>3.990981031</v>
      </c>
      <c r="AC466" s="1">
        <v>3.8665622239999999</v>
      </c>
      <c r="AD466" s="1">
        <v>3.984188064</v>
      </c>
      <c r="AE466" s="1">
        <v>4.2286559190000004</v>
      </c>
    </row>
    <row r="467" spans="1:31" x14ac:dyDescent="0.25">
      <c r="A467" s="1" t="s">
        <v>1017</v>
      </c>
      <c r="B467" s="1" t="s">
        <v>2568</v>
      </c>
      <c r="C467" s="1" t="s">
        <v>2569</v>
      </c>
      <c r="D467" s="1" t="s">
        <v>2949</v>
      </c>
      <c r="E467" s="1" t="s">
        <v>3392</v>
      </c>
      <c r="G467" s="1" t="s">
        <v>1017</v>
      </c>
      <c r="H467" s="1">
        <v>3.2549621289999999</v>
      </c>
      <c r="I467" s="1">
        <v>3.1348991329999998</v>
      </c>
      <c r="J467" s="1">
        <v>2.5640169199999998</v>
      </c>
      <c r="K467" s="1">
        <v>2.9677134359999999</v>
      </c>
      <c r="L467" s="1">
        <v>3.6142294740000001</v>
      </c>
      <c r="M467" s="1">
        <v>1.7393328349999999</v>
      </c>
      <c r="N467" s="1">
        <v>3.1147763629999998</v>
      </c>
      <c r="O467" s="1">
        <v>2.883783352</v>
      </c>
      <c r="P467" s="1">
        <v>3.3003929539999999</v>
      </c>
      <c r="Q467" s="1">
        <v>2.935765398</v>
      </c>
      <c r="R467" s="1">
        <v>3.1834741979999999</v>
      </c>
      <c r="S467" s="1">
        <v>2.9034795349999998</v>
      </c>
      <c r="T467" s="1">
        <v>3.6142294740000001</v>
      </c>
      <c r="U467" s="1">
        <v>1.7393328349999999</v>
      </c>
      <c r="V467" s="1">
        <v>2.5140266200000001</v>
      </c>
      <c r="W467" s="1">
        <v>3.0218530750000001</v>
      </c>
      <c r="X467" s="1">
        <v>2.9542167930000001</v>
      </c>
      <c r="Y467" s="1">
        <v>3.229986142</v>
      </c>
      <c r="Z467" s="1">
        <v>3.1834741979999999</v>
      </c>
      <c r="AA467" s="1">
        <v>2.9034795349999998</v>
      </c>
      <c r="AB467" s="1">
        <v>1.7393328349999999</v>
      </c>
      <c r="AC467" s="1">
        <v>1.7393328349999999</v>
      </c>
      <c r="AD467" s="1">
        <v>1.7393328349999999</v>
      </c>
      <c r="AE467" s="1">
        <v>2.803297787</v>
      </c>
    </row>
    <row r="468" spans="1:31" x14ac:dyDescent="0.25">
      <c r="A468" s="1" t="s">
        <v>1018</v>
      </c>
      <c r="B468" s="1" t="s">
        <v>2530</v>
      </c>
      <c r="C468" s="1" t="s">
        <v>2573</v>
      </c>
      <c r="D468" s="1" t="s">
        <v>2535</v>
      </c>
      <c r="E468" s="1" t="s">
        <v>3391</v>
      </c>
      <c r="G468" s="1" t="s">
        <v>1018</v>
      </c>
      <c r="H468" s="1">
        <v>6.1242673779999999</v>
      </c>
      <c r="I468" s="1">
        <v>6.395465862</v>
      </c>
      <c r="J468" s="1">
        <v>4.9532699769999997</v>
      </c>
      <c r="K468" s="1">
        <v>5.3612725399999999</v>
      </c>
      <c r="L468" s="1">
        <v>5.3172641829999998</v>
      </c>
      <c r="M468" s="1">
        <v>4.6692867769999999</v>
      </c>
      <c r="N468" s="1">
        <v>5.894631425</v>
      </c>
      <c r="O468" s="1">
        <v>5.7664208490000002</v>
      </c>
      <c r="P468" s="1">
        <v>5.1467681949999999</v>
      </c>
      <c r="Q468" s="1">
        <v>5.1511590549999999</v>
      </c>
      <c r="R468" s="1">
        <v>4.2802026870000001</v>
      </c>
      <c r="S468" s="1">
        <v>4.6864044680000001</v>
      </c>
      <c r="T468" s="1">
        <v>5.3172641829999998</v>
      </c>
      <c r="U468" s="1">
        <v>4.6692867769999999</v>
      </c>
      <c r="V468" s="1">
        <v>3.9849921849999999</v>
      </c>
      <c r="W468" s="1">
        <v>4.1128053839999996</v>
      </c>
      <c r="X468" s="1">
        <v>4.8838989719999999</v>
      </c>
      <c r="Y468" s="1">
        <v>4.3509215530000001</v>
      </c>
      <c r="Z468" s="1">
        <v>4.2802026870000001</v>
      </c>
      <c r="AA468" s="1">
        <v>4.6864044680000001</v>
      </c>
      <c r="AB468" s="1">
        <v>5.1073354020000004</v>
      </c>
      <c r="AC468" s="1">
        <v>4.7474570290000004</v>
      </c>
      <c r="AD468" s="1">
        <v>4.2005997429999997</v>
      </c>
      <c r="AE468" s="1">
        <v>4.6936201110000004</v>
      </c>
    </row>
    <row r="469" spans="1:31" x14ac:dyDescent="0.25">
      <c r="A469" s="1" t="s">
        <v>1025</v>
      </c>
      <c r="B469" s="1" t="s">
        <v>2608</v>
      </c>
      <c r="C469" s="1" t="s">
        <v>3393</v>
      </c>
      <c r="D469" s="1" t="s">
        <v>3394</v>
      </c>
      <c r="E469" s="1" t="s">
        <v>3395</v>
      </c>
      <c r="F469" s="1" t="s">
        <v>3396</v>
      </c>
      <c r="G469" s="1" t="s">
        <v>1025</v>
      </c>
      <c r="H469" s="1">
        <v>5.0553993879999997</v>
      </c>
      <c r="I469" s="1">
        <v>5.6208330609999999</v>
      </c>
      <c r="J469" s="1">
        <v>6.331385225</v>
      </c>
      <c r="K469" s="1">
        <v>6.270852401</v>
      </c>
      <c r="L469" s="1">
        <v>7.0486137089999996</v>
      </c>
      <c r="M469" s="1">
        <v>7.0575068930000002</v>
      </c>
      <c r="N469" s="1">
        <v>5.8127456459999998</v>
      </c>
      <c r="O469" s="1">
        <v>5.3074139359999997</v>
      </c>
      <c r="P469" s="1">
        <v>6.7943075329999996</v>
      </c>
      <c r="Q469" s="1">
        <v>6.6807419020000003</v>
      </c>
      <c r="R469" s="1">
        <v>6.9970160760000004</v>
      </c>
      <c r="S469" s="1">
        <v>7.1840900559999996</v>
      </c>
      <c r="T469" s="1">
        <v>7.0486137089999996</v>
      </c>
      <c r="U469" s="1">
        <v>7.0575068930000002</v>
      </c>
      <c r="V469" s="1">
        <v>7.0316458629999996</v>
      </c>
      <c r="W469" s="1">
        <v>6.6970570279999997</v>
      </c>
      <c r="X469" s="1">
        <v>6.982810765</v>
      </c>
      <c r="Y469" s="1">
        <v>6.8365428660000003</v>
      </c>
      <c r="Z469" s="1">
        <v>6.9970160760000004</v>
      </c>
      <c r="AA469" s="1">
        <v>7.1840900559999996</v>
      </c>
      <c r="AB469" s="1">
        <v>6.9735441659999999</v>
      </c>
      <c r="AC469" s="1">
        <v>7.317156314</v>
      </c>
      <c r="AD469" s="1">
        <v>6.5162149180000002</v>
      </c>
      <c r="AE469" s="1">
        <v>6.5439993899999997</v>
      </c>
    </row>
    <row r="470" spans="1:31" x14ac:dyDescent="0.25">
      <c r="A470" s="1" t="s">
        <v>1030</v>
      </c>
      <c r="B470" s="1" t="s">
        <v>2530</v>
      </c>
      <c r="C470" s="1" t="s">
        <v>2573</v>
      </c>
      <c r="D470" s="1" t="s">
        <v>2535</v>
      </c>
      <c r="E470" s="1" t="s">
        <v>3397</v>
      </c>
      <c r="G470" s="1" t="s">
        <v>1030</v>
      </c>
      <c r="H470" s="1">
        <v>8.3878030110000008</v>
      </c>
      <c r="I470" s="1">
        <v>7.806002179</v>
      </c>
      <c r="J470" s="1">
        <v>7.5037816749999999</v>
      </c>
      <c r="K470" s="1">
        <v>7.8144613779999998</v>
      </c>
      <c r="L470" s="1">
        <v>7.0661679120000001</v>
      </c>
      <c r="M470" s="1">
        <v>7.2653256690000001</v>
      </c>
      <c r="N470" s="1">
        <v>7.5636265170000003</v>
      </c>
      <c r="O470" s="1">
        <v>8.0652104439999999</v>
      </c>
      <c r="P470" s="1">
        <v>7.5253593219999999</v>
      </c>
      <c r="Q470" s="1">
        <v>7.524134965</v>
      </c>
      <c r="R470" s="1">
        <v>7.2009502379999999</v>
      </c>
      <c r="S470" s="1">
        <v>7.5270412149999997</v>
      </c>
      <c r="T470" s="1">
        <v>7.0661679120000001</v>
      </c>
      <c r="U470" s="1">
        <v>7.2653256690000001</v>
      </c>
      <c r="V470" s="1">
        <v>7.3347060300000004</v>
      </c>
      <c r="W470" s="1">
        <v>7.4093709079999996</v>
      </c>
      <c r="X470" s="1">
        <v>7.4447236070000002</v>
      </c>
      <c r="Y470" s="1">
        <v>7.6530380129999998</v>
      </c>
      <c r="Z470" s="1">
        <v>7.2009502379999999</v>
      </c>
      <c r="AA470" s="1">
        <v>7.5270412149999997</v>
      </c>
      <c r="AB470" s="1">
        <v>7.6801742930000003</v>
      </c>
      <c r="AC470" s="1">
        <v>7.4212408840000004</v>
      </c>
      <c r="AD470" s="1">
        <v>7.8883179070000002</v>
      </c>
      <c r="AE470" s="1">
        <v>7.72653152</v>
      </c>
    </row>
    <row r="471" spans="1:31" x14ac:dyDescent="0.25">
      <c r="A471" s="1" t="s">
        <v>1032</v>
      </c>
      <c r="B471" s="1" t="s">
        <v>2530</v>
      </c>
      <c r="C471" s="1" t="s">
        <v>2573</v>
      </c>
      <c r="D471" s="1" t="s">
        <v>2535</v>
      </c>
      <c r="E471" s="1" t="s">
        <v>3398</v>
      </c>
      <c r="G471" s="1" t="s">
        <v>1032</v>
      </c>
      <c r="H471" s="1">
        <v>8.3703094419999999</v>
      </c>
      <c r="I471" s="1">
        <v>8.5876406870000004</v>
      </c>
      <c r="J471" s="1">
        <v>7.9390401170000002</v>
      </c>
      <c r="K471" s="1">
        <v>7.9177698919999999</v>
      </c>
      <c r="L471" s="1">
        <v>8.0599417540000005</v>
      </c>
      <c r="M471" s="1">
        <v>8.1022221170000002</v>
      </c>
      <c r="N471" s="1">
        <v>8.202380024</v>
      </c>
      <c r="O471" s="1">
        <v>8.1501128699999992</v>
      </c>
      <c r="P471" s="1">
        <v>7.7655893589999998</v>
      </c>
      <c r="Q471" s="1">
        <v>7.8623512399999997</v>
      </c>
      <c r="R471" s="1">
        <v>7.6207251070000002</v>
      </c>
      <c r="S471" s="1">
        <v>7.7042077559999997</v>
      </c>
      <c r="T471" s="1">
        <v>8.0599417540000005</v>
      </c>
      <c r="U471" s="1">
        <v>8.1022221170000002</v>
      </c>
      <c r="V471" s="1">
        <v>7.0954910260000004</v>
      </c>
      <c r="W471" s="1">
        <v>7.3852544990000002</v>
      </c>
      <c r="X471" s="1">
        <v>7.6161238029999998</v>
      </c>
      <c r="Y471" s="1">
        <v>7.8606469260000003</v>
      </c>
      <c r="Z471" s="1">
        <v>7.6207251070000002</v>
      </c>
      <c r="AA471" s="1">
        <v>7.7042077559999997</v>
      </c>
      <c r="AB471" s="1">
        <v>7.7259879290000004</v>
      </c>
      <c r="AC471" s="1">
        <v>7.6872396780000001</v>
      </c>
      <c r="AD471" s="1">
        <v>7.8807978030000001</v>
      </c>
      <c r="AE471" s="1">
        <v>7.9048745199999999</v>
      </c>
    </row>
    <row r="472" spans="1:31" x14ac:dyDescent="0.25">
      <c r="A472" s="1" t="s">
        <v>1033</v>
      </c>
      <c r="B472" s="1" t="s">
        <v>2648</v>
      </c>
      <c r="C472" s="1" t="s">
        <v>2649</v>
      </c>
      <c r="D472" s="1" t="s">
        <v>3399</v>
      </c>
      <c r="E472" s="1" t="s">
        <v>3400</v>
      </c>
      <c r="F472" s="1" t="s">
        <v>3401</v>
      </c>
      <c r="G472" s="1" t="s">
        <v>1033</v>
      </c>
      <c r="H472" s="1">
        <v>11.75625131</v>
      </c>
      <c r="I472" s="1">
        <v>11.56513432</v>
      </c>
      <c r="J472" s="1">
        <v>10.992903249999999</v>
      </c>
      <c r="K472" s="1">
        <v>11.46995033</v>
      </c>
      <c r="L472" s="1">
        <v>10.62807656</v>
      </c>
      <c r="M472" s="1">
        <v>10.877242499999999</v>
      </c>
      <c r="N472" s="1">
        <v>10.561300579999999</v>
      </c>
      <c r="O472" s="1">
        <v>10.9402697</v>
      </c>
      <c r="P472" s="1">
        <v>10.74939758</v>
      </c>
      <c r="Q472" s="1">
        <v>10.659233390000001</v>
      </c>
      <c r="R472" s="1">
        <v>11.419806940000001</v>
      </c>
      <c r="S472" s="1">
        <v>11.408157940000001</v>
      </c>
      <c r="T472" s="1">
        <v>10.62807656</v>
      </c>
      <c r="U472" s="1">
        <v>10.877242499999999</v>
      </c>
      <c r="V472" s="1">
        <v>10.73196364</v>
      </c>
      <c r="W472" s="1">
        <v>10.801056790000001</v>
      </c>
      <c r="X472" s="1">
        <v>11.33263479</v>
      </c>
      <c r="Y472" s="1">
        <v>11.01180117</v>
      </c>
      <c r="Z472" s="1">
        <v>11.419806940000001</v>
      </c>
      <c r="AA472" s="1">
        <v>11.408157940000001</v>
      </c>
      <c r="AB472" s="1">
        <v>11.44534453</v>
      </c>
      <c r="AC472" s="1">
        <v>11.44307004</v>
      </c>
      <c r="AD472" s="1">
        <v>11.674110450000001</v>
      </c>
      <c r="AE472" s="1">
        <v>11.581785229999999</v>
      </c>
    </row>
    <row r="473" spans="1:31" x14ac:dyDescent="0.25">
      <c r="A473" s="1" t="s">
        <v>1038</v>
      </c>
      <c r="B473" s="1" t="s">
        <v>2530</v>
      </c>
      <c r="C473" s="1" t="s">
        <v>2573</v>
      </c>
      <c r="D473" s="1" t="s">
        <v>2535</v>
      </c>
      <c r="E473" s="1" t="s">
        <v>3402</v>
      </c>
      <c r="G473" s="1" t="s">
        <v>1038</v>
      </c>
      <c r="H473" s="1">
        <v>7.5358288350000002</v>
      </c>
      <c r="I473" s="1">
        <v>7.806002179</v>
      </c>
      <c r="J473" s="1">
        <v>7.1292697699999996</v>
      </c>
      <c r="K473" s="1">
        <v>7.4188102730000001</v>
      </c>
      <c r="L473" s="1">
        <v>6.3879841260000001</v>
      </c>
      <c r="M473" s="1">
        <v>6.5443727410000001</v>
      </c>
      <c r="N473" s="1">
        <v>6.927790613</v>
      </c>
      <c r="O473" s="1">
        <v>6.8085329139999997</v>
      </c>
      <c r="P473" s="1">
        <v>6.6927797440000001</v>
      </c>
      <c r="Q473" s="1">
        <v>6.4790268769999999</v>
      </c>
      <c r="R473" s="1">
        <v>5.8723300570000001</v>
      </c>
      <c r="S473" s="1">
        <v>6.0973467069999998</v>
      </c>
      <c r="T473" s="1">
        <v>6.3879841260000001</v>
      </c>
      <c r="U473" s="1">
        <v>6.5443727410000001</v>
      </c>
      <c r="V473" s="1">
        <v>6.3308320719999998</v>
      </c>
      <c r="W473" s="1">
        <v>6.9968523659999997</v>
      </c>
      <c r="X473" s="1">
        <v>6.3880871680000002</v>
      </c>
      <c r="Y473" s="1">
        <v>6.8528453679999997</v>
      </c>
      <c r="Z473" s="1">
        <v>5.8723300570000001</v>
      </c>
      <c r="AA473" s="1">
        <v>6.0973467069999998</v>
      </c>
      <c r="AB473" s="1">
        <v>6.2478766610000003</v>
      </c>
      <c r="AC473" s="1">
        <v>6.1612901029999998</v>
      </c>
      <c r="AD473" s="1">
        <v>6.4155919319999999</v>
      </c>
      <c r="AE473" s="1">
        <v>6.7869708700000002</v>
      </c>
    </row>
    <row r="474" spans="1:31" x14ac:dyDescent="0.25">
      <c r="A474" s="1" t="s">
        <v>1042</v>
      </c>
      <c r="B474" s="1" t="s">
        <v>2648</v>
      </c>
      <c r="C474" s="1" t="s">
        <v>2649</v>
      </c>
      <c r="D474" s="1" t="s">
        <v>3399</v>
      </c>
      <c r="E474" s="1" t="s">
        <v>3403</v>
      </c>
      <c r="G474" s="1" t="s">
        <v>1042</v>
      </c>
      <c r="H474" s="1">
        <v>4.7245801409999997</v>
      </c>
      <c r="I474" s="1">
        <v>4.7284970130000001</v>
      </c>
      <c r="J474" s="1">
        <v>3.7773371739999999</v>
      </c>
      <c r="K474" s="1">
        <v>4.4318297590000002</v>
      </c>
      <c r="L474" s="1">
        <v>4.4838783849999997</v>
      </c>
      <c r="M474" s="1">
        <v>4.5403831759999997</v>
      </c>
      <c r="N474" s="1">
        <v>5.2145790439999997</v>
      </c>
      <c r="O474" s="1">
        <v>4.2767880749999998</v>
      </c>
      <c r="P474" s="1">
        <v>4.2485661720000003</v>
      </c>
      <c r="Q474" s="1">
        <v>4.8155696649999999</v>
      </c>
      <c r="R474" s="1">
        <v>5.1472208640000003</v>
      </c>
      <c r="S474" s="1">
        <v>4.980227309</v>
      </c>
      <c r="T474" s="1">
        <v>4.4838783849999997</v>
      </c>
      <c r="U474" s="1">
        <v>4.5403831759999997</v>
      </c>
      <c r="V474" s="1">
        <v>3.887436229</v>
      </c>
      <c r="W474" s="1">
        <v>4.2295768090000001</v>
      </c>
      <c r="X474" s="1">
        <v>4.2691515329999996</v>
      </c>
      <c r="Y474" s="1">
        <v>4.6081171230000004</v>
      </c>
      <c r="Z474" s="1">
        <v>5.1472208640000003</v>
      </c>
      <c r="AA474" s="1">
        <v>4.980227309</v>
      </c>
      <c r="AB474" s="1">
        <v>5.1073354020000004</v>
      </c>
      <c r="AC474" s="1">
        <v>5.0158027430000001</v>
      </c>
      <c r="AD474" s="1">
        <v>5.2159266190000002</v>
      </c>
      <c r="AE474" s="1">
        <v>4.2286559190000004</v>
      </c>
    </row>
    <row r="475" spans="1:31" x14ac:dyDescent="0.25">
      <c r="A475" s="1" t="s">
        <v>1043</v>
      </c>
      <c r="B475" s="1" t="s">
        <v>2530</v>
      </c>
      <c r="C475" s="1" t="s">
        <v>2531</v>
      </c>
      <c r="D475" s="1" t="s">
        <v>2535</v>
      </c>
      <c r="E475" s="1" t="s">
        <v>2536</v>
      </c>
      <c r="G475" s="1" t="s">
        <v>1043</v>
      </c>
      <c r="H475" s="1">
        <v>7.6072762420000002</v>
      </c>
      <c r="I475" s="1">
        <v>7.2877765649999997</v>
      </c>
      <c r="J475" s="1">
        <v>7.4767887499999999</v>
      </c>
      <c r="K475" s="1">
        <v>7.4296093499999998</v>
      </c>
      <c r="L475" s="1">
        <v>7.819039686</v>
      </c>
      <c r="M475" s="1">
        <v>7.7814697490000002</v>
      </c>
      <c r="N475" s="1">
        <v>7.8191213670000002</v>
      </c>
      <c r="O475" s="1">
        <v>7.8374598840000003</v>
      </c>
      <c r="P475" s="1">
        <v>7.5669162419999996</v>
      </c>
      <c r="Q475" s="1">
        <v>7.524134965</v>
      </c>
      <c r="R475" s="1">
        <v>7.6730592089999998</v>
      </c>
      <c r="S475" s="1">
        <v>7.5625082770000001</v>
      </c>
      <c r="T475" s="1">
        <v>7.819039686</v>
      </c>
      <c r="U475" s="1">
        <v>7.7814697490000002</v>
      </c>
      <c r="V475" s="1">
        <v>7.555029298</v>
      </c>
      <c r="W475" s="1">
        <v>7.4564261309999997</v>
      </c>
      <c r="X475" s="1">
        <v>7.1580013410000003</v>
      </c>
      <c r="Y475" s="1">
        <v>7.4430810909999998</v>
      </c>
      <c r="Z475" s="1">
        <v>7.6730592089999998</v>
      </c>
      <c r="AA475" s="1">
        <v>7.5625082770000001</v>
      </c>
      <c r="AB475" s="1">
        <v>7.6086032499999998</v>
      </c>
      <c r="AC475" s="1">
        <v>7.5520530819999996</v>
      </c>
      <c r="AD475" s="1">
        <v>7.7215220310000001</v>
      </c>
      <c r="AE475" s="1">
        <v>7.5814011419999998</v>
      </c>
    </row>
    <row r="476" spans="1:31" x14ac:dyDescent="0.25">
      <c r="A476" s="1" t="s">
        <v>1044</v>
      </c>
      <c r="B476" s="1" t="s">
        <v>2631</v>
      </c>
      <c r="C476" s="1" t="s">
        <v>3045</v>
      </c>
      <c r="D476" s="1" t="s">
        <v>3048</v>
      </c>
      <c r="E476" s="1" t="s">
        <v>3404</v>
      </c>
      <c r="F476" s="1" t="s">
        <v>3405</v>
      </c>
      <c r="G476" s="1" t="s">
        <v>1044</v>
      </c>
      <c r="H476" s="1">
        <v>8.8750163509999993</v>
      </c>
      <c r="I476" s="1">
        <v>8.8316403500000007</v>
      </c>
      <c r="J476" s="1">
        <v>8.2465494360000005</v>
      </c>
      <c r="K476" s="1">
        <v>8.3515996999999995</v>
      </c>
      <c r="L476" s="1">
        <v>8.2713565389999992</v>
      </c>
      <c r="M476" s="1">
        <v>8.244376785</v>
      </c>
      <c r="N476" s="1">
        <v>9.2494885660000001</v>
      </c>
      <c r="O476" s="1">
        <v>9.3096468889999997</v>
      </c>
      <c r="P476" s="1">
        <v>8.2364192700000007</v>
      </c>
      <c r="Q476" s="1">
        <v>8.2325649199999997</v>
      </c>
      <c r="R476" s="1">
        <v>8.2279132950000005</v>
      </c>
      <c r="S476" s="1">
        <v>8.1742658000000006</v>
      </c>
      <c r="T476" s="1">
        <v>8.2713565389999992</v>
      </c>
      <c r="U476" s="1">
        <v>8.244376785</v>
      </c>
      <c r="V476" s="1">
        <v>8.1281616769999996</v>
      </c>
      <c r="W476" s="1">
        <v>8.0618180880000008</v>
      </c>
      <c r="X476" s="1">
        <v>7.9077498190000002</v>
      </c>
      <c r="Y476" s="1">
        <v>8.1515025940000001</v>
      </c>
      <c r="Z476" s="1">
        <v>8.2279132950000005</v>
      </c>
      <c r="AA476" s="1">
        <v>8.1742658000000006</v>
      </c>
      <c r="AB476" s="1">
        <v>8.0298120819999994</v>
      </c>
      <c r="AC476" s="1">
        <v>7.7968290509999996</v>
      </c>
      <c r="AD476" s="1">
        <v>7.9471074120000003</v>
      </c>
      <c r="AE476" s="1">
        <v>8.1072999449999994</v>
      </c>
    </row>
    <row r="477" spans="1:31" x14ac:dyDescent="0.25">
      <c r="A477" s="1" t="s">
        <v>1045</v>
      </c>
      <c r="B477" s="1" t="s">
        <v>2631</v>
      </c>
      <c r="C477" s="1" t="s">
        <v>3045</v>
      </c>
      <c r="D477" s="1" t="s">
        <v>3048</v>
      </c>
      <c r="E477" s="1" t="s">
        <v>3406</v>
      </c>
      <c r="G477" s="1" t="s">
        <v>1045</v>
      </c>
      <c r="H477" s="1">
        <v>8.1350588829999992</v>
      </c>
      <c r="I477" s="1">
        <v>8.8028496020000002</v>
      </c>
      <c r="J477" s="1">
        <v>8.3739014199999993</v>
      </c>
      <c r="K477" s="1">
        <v>8.1509352659999994</v>
      </c>
      <c r="L477" s="1">
        <v>8.9457115270000003</v>
      </c>
      <c r="M477" s="1">
        <v>8.7429903339999999</v>
      </c>
      <c r="N477" s="1">
        <v>8.7126775980000009</v>
      </c>
      <c r="O477" s="1">
        <v>8.2548990040000003</v>
      </c>
      <c r="P477" s="1">
        <v>8.2364192700000007</v>
      </c>
      <c r="Q477" s="1">
        <v>8.166958009</v>
      </c>
      <c r="R477" s="1">
        <v>8.0146705170000008</v>
      </c>
      <c r="S477" s="1">
        <v>8.1335832410000002</v>
      </c>
      <c r="T477" s="1">
        <v>8.9457115270000003</v>
      </c>
      <c r="U477" s="1">
        <v>8.7429903339999999</v>
      </c>
      <c r="V477" s="1">
        <v>8.1830439980000005</v>
      </c>
      <c r="W477" s="1">
        <v>8.2996796009999994</v>
      </c>
      <c r="X477" s="1">
        <v>7.9632459600000001</v>
      </c>
      <c r="Y477" s="1">
        <v>8.3250165220000003</v>
      </c>
      <c r="Z477" s="1">
        <v>8.0146705170000008</v>
      </c>
      <c r="AA477" s="1">
        <v>8.1335832410000002</v>
      </c>
      <c r="AB477" s="1">
        <v>8.3913844900000001</v>
      </c>
      <c r="AC477" s="1">
        <v>8.1616216799999997</v>
      </c>
      <c r="AD477" s="1">
        <v>8.1103340110000008</v>
      </c>
      <c r="AE477" s="1">
        <v>8.1270443429999997</v>
      </c>
    </row>
    <row r="478" spans="1:31" x14ac:dyDescent="0.25">
      <c r="A478" s="1" t="s">
        <v>1046</v>
      </c>
      <c r="B478" s="1" t="s">
        <v>2631</v>
      </c>
      <c r="C478" s="1" t="s">
        <v>3045</v>
      </c>
      <c r="D478" s="1" t="s">
        <v>3053</v>
      </c>
      <c r="E478" s="1" t="s">
        <v>3407</v>
      </c>
      <c r="F478" s="1" t="s">
        <v>3408</v>
      </c>
      <c r="G478" s="1" t="s">
        <v>1046</v>
      </c>
      <c r="H478" s="1">
        <v>5.9144073309999996</v>
      </c>
      <c r="I478" s="1">
        <v>6.3363261639999999</v>
      </c>
      <c r="J478" s="1">
        <v>6.3513642939999997</v>
      </c>
      <c r="K478" s="1">
        <v>6.2465923569999999</v>
      </c>
      <c r="L478" s="1">
        <v>6.8193651099999997</v>
      </c>
      <c r="M478" s="1">
        <v>6.7396661670000002</v>
      </c>
      <c r="N478" s="1">
        <v>5.9416077520000004</v>
      </c>
      <c r="O478" s="1">
        <v>5.861353501</v>
      </c>
      <c r="P478" s="1">
        <v>6.5171892439999999</v>
      </c>
      <c r="Q478" s="1">
        <v>6.0722034220000003</v>
      </c>
      <c r="R478" s="1">
        <v>6.7101003170000002</v>
      </c>
      <c r="S478" s="1">
        <v>6.8810329960000001</v>
      </c>
      <c r="T478" s="1">
        <v>6.8193651099999997</v>
      </c>
      <c r="U478" s="1">
        <v>6.7396661670000002</v>
      </c>
      <c r="V478" s="1">
        <v>6.258213456</v>
      </c>
      <c r="W478" s="1">
        <v>6.1272304780000004</v>
      </c>
      <c r="X478" s="1">
        <v>6.2399193000000004</v>
      </c>
      <c r="Y478" s="1">
        <v>6.2347231909999996</v>
      </c>
      <c r="Z478" s="1">
        <v>6.7101003170000002</v>
      </c>
      <c r="AA478" s="1">
        <v>6.8810329960000001</v>
      </c>
      <c r="AB478" s="1">
        <v>6.4252252849999998</v>
      </c>
      <c r="AC478" s="1">
        <v>6.1168053020000004</v>
      </c>
      <c r="AD478" s="1">
        <v>6.2383411879999997</v>
      </c>
      <c r="AE478" s="1">
        <v>6.6388355429999999</v>
      </c>
    </row>
    <row r="479" spans="1:31" x14ac:dyDescent="0.25">
      <c r="A479" s="1" t="s">
        <v>1047</v>
      </c>
      <c r="B479" s="1" t="s">
        <v>2631</v>
      </c>
      <c r="C479" s="1" t="s">
        <v>3045</v>
      </c>
      <c r="D479" s="1" t="s">
        <v>3056</v>
      </c>
      <c r="E479" s="1" t="s">
        <v>3409</v>
      </c>
      <c r="F479" s="1" t="s">
        <v>3265</v>
      </c>
      <c r="G479" s="1" t="s">
        <v>1047</v>
      </c>
      <c r="H479" s="1">
        <v>7.2082969639999996</v>
      </c>
      <c r="I479" s="1">
        <v>7.2131218309999996</v>
      </c>
      <c r="J479" s="1">
        <v>7.5215002159999997</v>
      </c>
      <c r="K479" s="1">
        <v>7.385919006</v>
      </c>
      <c r="L479" s="1">
        <v>7.7876515319999999</v>
      </c>
      <c r="M479" s="1">
        <v>7.6342473159999997</v>
      </c>
      <c r="N479" s="1">
        <v>6.6075890509999997</v>
      </c>
      <c r="O479" s="1">
        <v>6.5825832039999996</v>
      </c>
      <c r="P479" s="1">
        <v>7.2974488869999998</v>
      </c>
      <c r="Q479" s="1">
        <v>7.2975843859999996</v>
      </c>
      <c r="R479" s="1">
        <v>7.7152652379999997</v>
      </c>
      <c r="S479" s="1">
        <v>7.4814440869999999</v>
      </c>
      <c r="T479" s="1">
        <v>7.7876515319999999</v>
      </c>
      <c r="U479" s="1">
        <v>7.6342473159999997</v>
      </c>
      <c r="V479" s="1">
        <v>6.8827702540000004</v>
      </c>
      <c r="W479" s="1">
        <v>7.4212794869999996</v>
      </c>
      <c r="X479" s="1">
        <v>7.3423720299999999</v>
      </c>
      <c r="Y479" s="1">
        <v>7.506252259</v>
      </c>
      <c r="Z479" s="1">
        <v>7.7152652379999997</v>
      </c>
      <c r="AA479" s="1">
        <v>7.4814440869999999</v>
      </c>
      <c r="AB479" s="1">
        <v>7.5963215740000001</v>
      </c>
      <c r="AC479" s="1">
        <v>7.2570468699999999</v>
      </c>
      <c r="AD479" s="1">
        <v>7.7711786429999998</v>
      </c>
      <c r="AE479" s="1">
        <v>7.3821613629999998</v>
      </c>
    </row>
    <row r="480" spans="1:31" x14ac:dyDescent="0.25">
      <c r="A480" s="1" t="s">
        <v>1048</v>
      </c>
      <c r="B480" s="1" t="s">
        <v>2631</v>
      </c>
      <c r="C480" s="1" t="s">
        <v>3045</v>
      </c>
      <c r="D480" s="1" t="s">
        <v>3056</v>
      </c>
      <c r="E480" s="1" t="s">
        <v>3410</v>
      </c>
      <c r="F480" s="1" t="s">
        <v>3411</v>
      </c>
      <c r="G480" s="1" t="s">
        <v>1048</v>
      </c>
      <c r="H480" s="1">
        <v>8.4221662469999998</v>
      </c>
      <c r="I480" s="1">
        <v>8.3791622690000001</v>
      </c>
      <c r="J480" s="1">
        <v>8.3393614639999996</v>
      </c>
      <c r="K480" s="1">
        <v>8.5673705709999997</v>
      </c>
      <c r="L480" s="1">
        <v>9.1542060000000003</v>
      </c>
      <c r="M480" s="1">
        <v>8.9080317890000007</v>
      </c>
      <c r="N480" s="1">
        <v>7.823296386</v>
      </c>
      <c r="O480" s="1">
        <v>8.3493247069999992</v>
      </c>
      <c r="P480" s="1">
        <v>8.8750496180000003</v>
      </c>
      <c r="Q480" s="1">
        <v>8.6629121419999997</v>
      </c>
      <c r="R480" s="1">
        <v>8.7864774180000005</v>
      </c>
      <c r="S480" s="1">
        <v>8.897953158</v>
      </c>
      <c r="T480" s="1">
        <v>9.1542060000000003</v>
      </c>
      <c r="U480" s="1">
        <v>8.9080317890000007</v>
      </c>
      <c r="V480" s="1">
        <v>8.2546692799999999</v>
      </c>
      <c r="W480" s="1">
        <v>8.2471380770000007</v>
      </c>
      <c r="X480" s="1">
        <v>8.7131827400000006</v>
      </c>
      <c r="Y480" s="1">
        <v>8.4155349630000007</v>
      </c>
      <c r="Z480" s="1">
        <v>8.7864774180000005</v>
      </c>
      <c r="AA480" s="1">
        <v>8.897953158</v>
      </c>
      <c r="AB480" s="1">
        <v>8.6860493119999997</v>
      </c>
      <c r="AC480" s="1">
        <v>8.7823722239999995</v>
      </c>
      <c r="AD480" s="1">
        <v>8.6729030409999996</v>
      </c>
      <c r="AE480" s="1">
        <v>8.6751109460000002</v>
      </c>
    </row>
    <row r="481" spans="1:31" x14ac:dyDescent="0.25">
      <c r="A481" s="1" t="s">
        <v>1050</v>
      </c>
      <c r="B481" s="1" t="s">
        <v>2667</v>
      </c>
      <c r="C481" s="1" t="s">
        <v>3370</v>
      </c>
      <c r="D481" s="1" t="s">
        <v>3412</v>
      </c>
      <c r="E481" s="1" t="s">
        <v>3413</v>
      </c>
      <c r="F481" s="1" t="s">
        <v>3414</v>
      </c>
      <c r="G481" s="1" t="s">
        <v>1050</v>
      </c>
      <c r="H481" s="1">
        <v>7.5668836659999998</v>
      </c>
      <c r="I481" s="1">
        <v>7.6368393430000001</v>
      </c>
      <c r="J481" s="1">
        <v>7.7935197819999997</v>
      </c>
      <c r="K481" s="1">
        <v>7.6762285410000004</v>
      </c>
      <c r="L481" s="1">
        <v>7.9972981650000001</v>
      </c>
      <c r="M481" s="1">
        <v>7.6496646610000001</v>
      </c>
      <c r="N481" s="1">
        <v>8.1199340670000009</v>
      </c>
      <c r="O481" s="1">
        <v>8.0330541820000008</v>
      </c>
      <c r="P481" s="1">
        <v>8.0379721370000006</v>
      </c>
      <c r="Q481" s="1">
        <v>7.7928710350000001</v>
      </c>
      <c r="R481" s="1">
        <v>7.7318077159999996</v>
      </c>
      <c r="S481" s="1">
        <v>7.5971237819999997</v>
      </c>
      <c r="T481" s="1">
        <v>7.9972981650000001</v>
      </c>
      <c r="U481" s="1">
        <v>7.6496646610000001</v>
      </c>
      <c r="V481" s="1">
        <v>7.4772993139999997</v>
      </c>
      <c r="W481" s="1">
        <v>7.8753290329999999</v>
      </c>
      <c r="X481" s="1">
        <v>7.8578627619999999</v>
      </c>
      <c r="Y481" s="1">
        <v>7.7777437819999999</v>
      </c>
      <c r="Z481" s="1">
        <v>7.7318077159999996</v>
      </c>
      <c r="AA481" s="1">
        <v>7.5971237819999997</v>
      </c>
      <c r="AB481" s="1">
        <v>7.4808081590000004</v>
      </c>
      <c r="AC481" s="1">
        <v>7.7098339850000004</v>
      </c>
      <c r="AD481" s="1">
        <v>7.8579993000000004</v>
      </c>
      <c r="AE481" s="1">
        <v>7.7606413099999996</v>
      </c>
    </row>
    <row r="482" spans="1:31" x14ac:dyDescent="0.25">
      <c r="A482" s="1" t="s">
        <v>1051</v>
      </c>
      <c r="B482" s="1" t="s">
        <v>2568</v>
      </c>
      <c r="C482" s="1" t="s">
        <v>2589</v>
      </c>
      <c r="D482" s="1" t="s">
        <v>2786</v>
      </c>
      <c r="E482" s="1" t="s">
        <v>3415</v>
      </c>
      <c r="G482" s="1" t="s">
        <v>1051</v>
      </c>
      <c r="H482" s="1">
        <v>4.7245801409999997</v>
      </c>
      <c r="I482" s="1">
        <v>4.2936285989999998</v>
      </c>
      <c r="J482" s="1">
        <v>4.1077874330000004</v>
      </c>
      <c r="K482" s="1">
        <v>4.1384138449999996</v>
      </c>
      <c r="L482" s="1">
        <v>4.5533082269999996</v>
      </c>
      <c r="M482" s="1">
        <v>4.1823509169999999</v>
      </c>
      <c r="N482" s="1">
        <v>4.765904581</v>
      </c>
      <c r="O482" s="1">
        <v>5.4117878270000004</v>
      </c>
      <c r="P482" s="1">
        <v>4.6160325330000003</v>
      </c>
      <c r="Q482" s="1">
        <v>4.5369064569999997</v>
      </c>
      <c r="R482" s="1">
        <v>4.0808207129999996</v>
      </c>
      <c r="S482" s="1">
        <v>4.3135540739999998</v>
      </c>
      <c r="T482" s="1">
        <v>4.5533082269999996</v>
      </c>
      <c r="U482" s="1">
        <v>4.1823509169999999</v>
      </c>
      <c r="V482" s="1">
        <v>4.2408545169999998</v>
      </c>
      <c r="W482" s="1">
        <v>3.6840067150000002</v>
      </c>
      <c r="X482" s="1">
        <v>4.2198471</v>
      </c>
      <c r="Y482" s="1">
        <v>3.9087436480000002</v>
      </c>
      <c r="Z482" s="1">
        <v>4.0808207129999996</v>
      </c>
      <c r="AA482" s="1">
        <v>4.3135540739999998</v>
      </c>
      <c r="AB482" s="1">
        <v>4.139369361</v>
      </c>
      <c r="AC482" s="1">
        <v>4.0753403910000001</v>
      </c>
      <c r="AD482" s="1">
        <v>4.2005997429999997</v>
      </c>
      <c r="AE482" s="1">
        <v>4.5014252270000004</v>
      </c>
    </row>
    <row r="483" spans="1:31" x14ac:dyDescent="0.25">
      <c r="A483" s="1" t="s">
        <v>1052</v>
      </c>
      <c r="B483" s="1" t="s">
        <v>2530</v>
      </c>
      <c r="C483" s="1" t="s">
        <v>2573</v>
      </c>
      <c r="D483" s="1" t="s">
        <v>3416</v>
      </c>
      <c r="E483" s="1" t="s">
        <v>3417</v>
      </c>
      <c r="F483" s="1" t="s">
        <v>3281</v>
      </c>
      <c r="G483" s="1" t="s">
        <v>1052</v>
      </c>
      <c r="H483" s="1">
        <v>5.5896774330000003</v>
      </c>
      <c r="I483" s="1">
        <v>5.4447012069999996</v>
      </c>
      <c r="J483" s="1">
        <v>5.5826322800000003</v>
      </c>
      <c r="K483" s="1">
        <v>5.4493056099999997</v>
      </c>
      <c r="L483" s="1">
        <v>5.5187262759999998</v>
      </c>
      <c r="M483" s="1">
        <v>5.7772279879999999</v>
      </c>
      <c r="N483" s="1">
        <v>5.53456788</v>
      </c>
      <c r="O483" s="1">
        <v>5.9154339690000004</v>
      </c>
      <c r="P483" s="1">
        <v>5.1467681949999999</v>
      </c>
      <c r="Q483" s="1">
        <v>5.6846114249999999</v>
      </c>
      <c r="R483" s="1">
        <v>5.7142579380000003</v>
      </c>
      <c r="S483" s="1">
        <v>5.9168316079999999</v>
      </c>
      <c r="T483" s="1">
        <v>5.5187262759999998</v>
      </c>
      <c r="U483" s="1">
        <v>5.7772279879999999</v>
      </c>
      <c r="V483" s="1">
        <v>5.7758979430000004</v>
      </c>
      <c r="W483" s="1">
        <v>5.4743148909999997</v>
      </c>
      <c r="X483" s="1">
        <v>5.5426459120000002</v>
      </c>
      <c r="Y483" s="1">
        <v>5.4613266610000002</v>
      </c>
      <c r="Z483" s="1">
        <v>5.7142579380000003</v>
      </c>
      <c r="AA483" s="1">
        <v>5.9168316079999999</v>
      </c>
      <c r="AB483" s="1">
        <v>5.5276660309999999</v>
      </c>
      <c r="AC483" s="1">
        <v>5.9236494000000004</v>
      </c>
      <c r="AD483" s="1">
        <v>5.4791562909999998</v>
      </c>
      <c r="AE483" s="1">
        <v>5.2497036230000003</v>
      </c>
    </row>
    <row r="484" spans="1:31" x14ac:dyDescent="0.25">
      <c r="A484" s="1" t="s">
        <v>1053</v>
      </c>
      <c r="B484" s="1" t="s">
        <v>2530</v>
      </c>
      <c r="C484" s="1" t="s">
        <v>2531</v>
      </c>
      <c r="D484" s="1" t="s">
        <v>2535</v>
      </c>
      <c r="E484" s="1" t="s">
        <v>2536</v>
      </c>
      <c r="G484" s="1" t="s">
        <v>1053</v>
      </c>
      <c r="H484" s="1">
        <v>4.3886087140000001</v>
      </c>
      <c r="I484" s="1">
        <v>5.3676718369999996</v>
      </c>
      <c r="J484" s="1">
        <v>4.0065844400000001</v>
      </c>
      <c r="K484" s="1">
        <v>4.5171444090000001</v>
      </c>
      <c r="L484" s="1">
        <v>3.8051274570000002</v>
      </c>
      <c r="M484" s="1">
        <v>4.4472617469999998</v>
      </c>
      <c r="N484" s="1">
        <v>4.9001796750000004</v>
      </c>
      <c r="O484" s="1">
        <v>5.1349072580000001</v>
      </c>
      <c r="P484" s="1">
        <v>4.0684607960000001</v>
      </c>
      <c r="Q484" s="1">
        <v>4.683187717</v>
      </c>
      <c r="R484" s="1">
        <v>4.2802026870000001</v>
      </c>
      <c r="S484" s="1">
        <v>3.9182367880000002</v>
      </c>
      <c r="T484" s="1">
        <v>3.8051274570000002</v>
      </c>
      <c r="U484" s="1">
        <v>4.4472617469999998</v>
      </c>
      <c r="V484" s="1">
        <v>4.8566239800000002</v>
      </c>
      <c r="W484" s="1">
        <v>4.8493412630000003</v>
      </c>
      <c r="X484" s="1">
        <v>3.4131791489999999</v>
      </c>
      <c r="Y484" s="1">
        <v>4.9529845589999999</v>
      </c>
      <c r="Z484" s="1">
        <v>4.2802026870000001</v>
      </c>
      <c r="AA484" s="1">
        <v>3.9182367880000002</v>
      </c>
      <c r="AB484" s="1">
        <v>4.3946012420000002</v>
      </c>
      <c r="AC484" s="1">
        <v>3.8665622239999999</v>
      </c>
      <c r="AD484" s="1">
        <v>3.984188064</v>
      </c>
      <c r="AE484" s="1">
        <v>4.6572481659999996</v>
      </c>
    </row>
    <row r="485" spans="1:31" x14ac:dyDescent="0.25">
      <c r="A485" s="1" t="s">
        <v>1054</v>
      </c>
      <c r="B485" s="1" t="s">
        <v>2557</v>
      </c>
      <c r="C485" s="1" t="s">
        <v>2658</v>
      </c>
      <c r="D485" s="1" t="s">
        <v>3418</v>
      </c>
      <c r="E485" s="1" t="s">
        <v>3419</v>
      </c>
      <c r="F485" s="1" t="s">
        <v>3420</v>
      </c>
      <c r="G485" s="1" t="s">
        <v>1054</v>
      </c>
      <c r="H485" s="1">
        <v>3.4660955969999998</v>
      </c>
      <c r="I485" s="1">
        <v>3.9003964459999998</v>
      </c>
      <c r="J485" s="1">
        <v>3.8969924050000002</v>
      </c>
      <c r="K485" s="1">
        <v>4.1384138449999996</v>
      </c>
      <c r="L485" s="1">
        <v>4.1188213390000001</v>
      </c>
      <c r="M485" s="1">
        <v>4.2945656129999996</v>
      </c>
      <c r="N485" s="1">
        <v>3.1147763629999998</v>
      </c>
      <c r="O485" s="1">
        <v>3.5386882399999999</v>
      </c>
      <c r="P485" s="1">
        <v>3.3003929539999999</v>
      </c>
      <c r="Q485" s="1">
        <v>3.9718447549999998</v>
      </c>
      <c r="R485" s="1">
        <v>2.9339002829999998</v>
      </c>
      <c r="S485" s="1">
        <v>3.5159502420000002</v>
      </c>
      <c r="T485" s="1">
        <v>4.1188213390000001</v>
      </c>
      <c r="U485" s="1">
        <v>4.2945656129999996</v>
      </c>
      <c r="V485" s="1">
        <v>3.5405335899999999</v>
      </c>
      <c r="W485" s="1">
        <v>3.50175473</v>
      </c>
      <c r="X485" s="1">
        <v>3.8785046219999999</v>
      </c>
      <c r="Y485" s="1">
        <v>4.0337379980000003</v>
      </c>
      <c r="Z485" s="1">
        <v>2.9339002829999998</v>
      </c>
      <c r="AA485" s="1">
        <v>3.5159502420000002</v>
      </c>
      <c r="AB485" s="1">
        <v>3.6315729079999999</v>
      </c>
      <c r="AC485" s="1">
        <v>4.5576875899999996</v>
      </c>
      <c r="AD485" s="1">
        <v>4.2005997429999997</v>
      </c>
      <c r="AE485" s="1">
        <v>4.0105905760000002</v>
      </c>
    </row>
    <row r="486" spans="1:31" x14ac:dyDescent="0.25">
      <c r="A486" s="1" t="s">
        <v>1056</v>
      </c>
      <c r="B486" s="1" t="s">
        <v>2942</v>
      </c>
      <c r="C486" s="1" t="s">
        <v>2531</v>
      </c>
      <c r="D486" s="1" t="s">
        <v>3421</v>
      </c>
      <c r="E486" s="1" t="s">
        <v>3422</v>
      </c>
      <c r="G486" s="1" t="s">
        <v>1056</v>
      </c>
      <c r="H486" s="1">
        <v>4.6479005740000003</v>
      </c>
      <c r="I486" s="1">
        <v>4.0101074990000001</v>
      </c>
      <c r="J486" s="1">
        <v>4.2898244959999996</v>
      </c>
      <c r="K486" s="1">
        <v>4.6734567340000002</v>
      </c>
      <c r="L486" s="1">
        <v>4.6513384469999997</v>
      </c>
      <c r="M486" s="1">
        <v>4.709731562</v>
      </c>
      <c r="N486" s="1">
        <v>5.1887139119999999</v>
      </c>
      <c r="O486" s="1">
        <v>5.3074139359999997</v>
      </c>
      <c r="P486" s="1">
        <v>5.7504406890000004</v>
      </c>
      <c r="Q486" s="1">
        <v>5.2931690810000003</v>
      </c>
      <c r="R486" s="1">
        <v>4.6083586160000003</v>
      </c>
      <c r="S486" s="1">
        <v>5.542037144</v>
      </c>
      <c r="T486" s="1">
        <v>4.6513384469999997</v>
      </c>
      <c r="U486" s="1">
        <v>4.709731562</v>
      </c>
      <c r="V486" s="1">
        <v>4.3879408260000003</v>
      </c>
      <c r="W486" s="1">
        <v>4.4367165279999998</v>
      </c>
      <c r="X486" s="1">
        <v>4.3167291810000004</v>
      </c>
      <c r="Y486" s="1">
        <v>4.5275934409999996</v>
      </c>
      <c r="Z486" s="1">
        <v>4.6083586160000003</v>
      </c>
      <c r="AA486" s="1">
        <v>5.542037144</v>
      </c>
      <c r="AB486" s="1">
        <v>4.9601840040000003</v>
      </c>
      <c r="AC486" s="1">
        <v>5.1552886820000001</v>
      </c>
      <c r="AD486" s="1">
        <v>4.6978214539999996</v>
      </c>
      <c r="AE486" s="1">
        <v>4.9548800440000003</v>
      </c>
    </row>
    <row r="487" spans="1:31" x14ac:dyDescent="0.25">
      <c r="A487" s="1" t="s">
        <v>1057</v>
      </c>
      <c r="B487" s="1" t="s">
        <v>2608</v>
      </c>
      <c r="C487" s="1" t="s">
        <v>2758</v>
      </c>
      <c r="D487" s="1" t="s">
        <v>2759</v>
      </c>
      <c r="E487" s="1" t="s">
        <v>3423</v>
      </c>
      <c r="F487" s="1" t="s">
        <v>3424</v>
      </c>
      <c r="G487" s="1" t="s">
        <v>1057</v>
      </c>
      <c r="H487" s="1">
        <v>6.8693110669999999</v>
      </c>
      <c r="I487" s="1">
        <v>6.4707161060000002</v>
      </c>
      <c r="J487" s="1">
        <v>7.2297148099999999</v>
      </c>
      <c r="K487" s="1">
        <v>7.37478634</v>
      </c>
      <c r="L487" s="1">
        <v>7.6116180079999998</v>
      </c>
      <c r="M487" s="1">
        <v>7.3369255029999998</v>
      </c>
      <c r="N487" s="1">
        <v>6.927790613</v>
      </c>
      <c r="O487" s="1">
        <v>6.5714196759999997</v>
      </c>
      <c r="P487" s="1">
        <v>7.4021922230000001</v>
      </c>
      <c r="Q487" s="1">
        <v>7.6604262460000001</v>
      </c>
      <c r="R487" s="1">
        <v>7.2818332379999999</v>
      </c>
      <c r="S487" s="1">
        <v>7.1378030700000004</v>
      </c>
      <c r="T487" s="1">
        <v>7.6116180079999998</v>
      </c>
      <c r="U487" s="1">
        <v>7.3369255029999998</v>
      </c>
      <c r="V487" s="1">
        <v>7.1764425960000002</v>
      </c>
      <c r="W487" s="1">
        <v>7.0743350659999997</v>
      </c>
      <c r="X487" s="1">
        <v>7.0663213679999997</v>
      </c>
      <c r="Y487" s="1">
        <v>6.9162705400000002</v>
      </c>
      <c r="Z487" s="1">
        <v>7.2818332379999999</v>
      </c>
      <c r="AA487" s="1">
        <v>7.1378030700000004</v>
      </c>
      <c r="AB487" s="1">
        <v>6.8954646989999997</v>
      </c>
      <c r="AC487" s="1">
        <v>7.5011434670000003</v>
      </c>
      <c r="AD487" s="1">
        <v>7.2704470209999998</v>
      </c>
      <c r="AE487" s="1">
        <v>7.2382459949999998</v>
      </c>
    </row>
    <row r="488" spans="1:31" x14ac:dyDescent="0.25">
      <c r="A488" s="1" t="s">
        <v>1058</v>
      </c>
      <c r="B488" s="1" t="s">
        <v>2579</v>
      </c>
      <c r="C488" s="1" t="s">
        <v>2812</v>
      </c>
      <c r="D488" s="1" t="s">
        <v>3425</v>
      </c>
      <c r="E488" s="1" t="s">
        <v>3426</v>
      </c>
      <c r="F488" s="1" t="s">
        <v>3427</v>
      </c>
      <c r="G488" s="1" t="s">
        <v>1058</v>
      </c>
      <c r="H488" s="1">
        <v>6.0673720150000001</v>
      </c>
      <c r="I488" s="1">
        <v>5.6856247609999997</v>
      </c>
      <c r="J488" s="1">
        <v>7.4585085400000004</v>
      </c>
      <c r="K488" s="1">
        <v>6.9785336400000002</v>
      </c>
      <c r="L488" s="1">
        <v>7.3455016359999998</v>
      </c>
      <c r="M488" s="1">
        <v>7.602909082</v>
      </c>
      <c r="N488" s="1">
        <v>6.0311824969999996</v>
      </c>
      <c r="O488" s="1">
        <v>5.7466551829999997</v>
      </c>
      <c r="P488" s="1">
        <v>7.3072918209999997</v>
      </c>
      <c r="Q488" s="1">
        <v>7.3841412809999998</v>
      </c>
      <c r="R488" s="1">
        <v>7.6383817049999996</v>
      </c>
      <c r="S488" s="1">
        <v>7.6639572009999997</v>
      </c>
      <c r="T488" s="1">
        <v>7.3455016359999998</v>
      </c>
      <c r="U488" s="1">
        <v>7.602909082</v>
      </c>
      <c r="V488" s="1">
        <v>7.4931841910000001</v>
      </c>
      <c r="W488" s="1">
        <v>7.1902438899999996</v>
      </c>
      <c r="X488" s="1">
        <v>7.5256134680000004</v>
      </c>
      <c r="Y488" s="1">
        <v>6.8200537160000003</v>
      </c>
      <c r="Z488" s="1">
        <v>7.6383817049999996</v>
      </c>
      <c r="AA488" s="1">
        <v>7.6639572009999997</v>
      </c>
      <c r="AB488" s="1">
        <v>7.2804224470000003</v>
      </c>
      <c r="AC488" s="1">
        <v>7.5097542229999998</v>
      </c>
      <c r="AD488" s="1">
        <v>7.1875116349999999</v>
      </c>
      <c r="AE488" s="1">
        <v>7.2562939550000003</v>
      </c>
    </row>
    <row r="489" spans="1:31" x14ac:dyDescent="0.25">
      <c r="A489" s="1" t="s">
        <v>1060</v>
      </c>
      <c r="B489" s="1" t="s">
        <v>2942</v>
      </c>
      <c r="C489" s="1" t="s">
        <v>2943</v>
      </c>
      <c r="D489" s="1" t="s">
        <v>2535</v>
      </c>
      <c r="E489" s="1" t="s">
        <v>3428</v>
      </c>
      <c r="F489" s="1" t="s">
        <v>3429</v>
      </c>
      <c r="G489" s="1" t="s">
        <v>1060</v>
      </c>
      <c r="H489" s="1">
        <v>2.640460343</v>
      </c>
      <c r="I489" s="1">
        <v>3.9003964459999998</v>
      </c>
      <c r="J489" s="1">
        <v>3.329519721</v>
      </c>
      <c r="K489" s="1">
        <v>2.9677134359999999</v>
      </c>
      <c r="L489" s="1">
        <v>3.2097511390000002</v>
      </c>
      <c r="M489" s="1">
        <v>3.027864058</v>
      </c>
      <c r="N489" s="1">
        <v>3.1147763629999998</v>
      </c>
      <c r="O489" s="1">
        <v>2.411448644</v>
      </c>
      <c r="P489" s="1">
        <v>2.5478783159999998</v>
      </c>
      <c r="Q489" s="1">
        <v>2.935765398</v>
      </c>
      <c r="R489" s="1">
        <v>3.5594063970000001</v>
      </c>
      <c r="S489" s="1">
        <v>3.5159502420000002</v>
      </c>
      <c r="T489" s="1">
        <v>3.2097511390000002</v>
      </c>
      <c r="U489" s="1">
        <v>3.027864058</v>
      </c>
      <c r="V489" s="1">
        <v>2.8225047829999999</v>
      </c>
      <c r="W489" s="1">
        <v>3.0218530750000001</v>
      </c>
      <c r="X489" s="1">
        <v>2.9542167930000001</v>
      </c>
      <c r="Y489" s="1">
        <v>2.9733498090000001</v>
      </c>
      <c r="Z489" s="1">
        <v>3.5594063970000001</v>
      </c>
      <c r="AA489" s="1">
        <v>3.5159502420000002</v>
      </c>
      <c r="AB489" s="1">
        <v>1.7393328349999999</v>
      </c>
      <c r="AC489" s="1">
        <v>3.1109927919999998</v>
      </c>
      <c r="AD489" s="1">
        <v>3.3987395579999999</v>
      </c>
      <c r="AE489" s="1">
        <v>3.321206681</v>
      </c>
    </row>
    <row r="490" spans="1:31" x14ac:dyDescent="0.25">
      <c r="A490" s="1" t="s">
        <v>1062</v>
      </c>
      <c r="B490" s="1" t="s">
        <v>2530</v>
      </c>
      <c r="C490" s="1" t="s">
        <v>2531</v>
      </c>
      <c r="D490" s="1" t="s">
        <v>2535</v>
      </c>
      <c r="E490" s="1" t="s">
        <v>2536</v>
      </c>
      <c r="G490" s="1" t="s">
        <v>1062</v>
      </c>
      <c r="H490" s="1">
        <v>4.0684382540000001</v>
      </c>
      <c r="I490" s="1">
        <v>4.7284970130000001</v>
      </c>
      <c r="J490" s="1">
        <v>4.7243317210000004</v>
      </c>
      <c r="K490" s="1">
        <v>3.762021974</v>
      </c>
      <c r="L490" s="1">
        <v>4.0714409539999998</v>
      </c>
      <c r="M490" s="1">
        <v>4.1823509169999999</v>
      </c>
      <c r="N490" s="1">
        <v>4.1002678350000004</v>
      </c>
      <c r="O490" s="1">
        <v>3.8071106499999998</v>
      </c>
      <c r="P490" s="1">
        <v>4.4075207919999997</v>
      </c>
      <c r="Q490" s="1">
        <v>4.3733115800000002</v>
      </c>
      <c r="R490" s="1">
        <v>4.3698765340000003</v>
      </c>
      <c r="S490" s="1">
        <v>4.3966315629999997</v>
      </c>
      <c r="T490" s="1">
        <v>4.0714409539999998</v>
      </c>
      <c r="U490" s="1">
        <v>4.1823509169999999</v>
      </c>
      <c r="V490" s="1">
        <v>4.3163797720000003</v>
      </c>
      <c r="W490" s="1">
        <v>4.5296290450000001</v>
      </c>
      <c r="X490" s="1">
        <v>3.8119046220000001</v>
      </c>
      <c r="Y490" s="1">
        <v>3.6154848500000001</v>
      </c>
      <c r="Z490" s="1">
        <v>4.3698765340000003</v>
      </c>
      <c r="AA490" s="1">
        <v>4.3966315629999997</v>
      </c>
      <c r="AB490" s="1">
        <v>3.404153038</v>
      </c>
      <c r="AC490" s="1">
        <v>4.3377211620000002</v>
      </c>
      <c r="AD490" s="1">
        <v>3.725077481</v>
      </c>
      <c r="AE490" s="1">
        <v>3.9499994520000001</v>
      </c>
    </row>
    <row r="491" spans="1:31" x14ac:dyDescent="0.25">
      <c r="A491" s="1" t="s">
        <v>1065</v>
      </c>
      <c r="B491" s="1" t="s">
        <v>2608</v>
      </c>
      <c r="C491" s="1" t="s">
        <v>2609</v>
      </c>
      <c r="D491" s="1" t="s">
        <v>3137</v>
      </c>
      <c r="E491" s="1" t="s">
        <v>3430</v>
      </c>
      <c r="F491" s="1" t="s">
        <v>3431</v>
      </c>
      <c r="G491" s="1" t="s">
        <v>1065</v>
      </c>
      <c r="H491" s="1">
        <v>3.6455184960000002</v>
      </c>
      <c r="I491" s="1">
        <v>4.1114152529999997</v>
      </c>
      <c r="J491" s="1">
        <v>4.7243317210000004</v>
      </c>
      <c r="K491" s="1">
        <v>4.6734567340000002</v>
      </c>
      <c r="L491" s="1">
        <v>4.5190290319999997</v>
      </c>
      <c r="M491" s="1">
        <v>5.1508485750000004</v>
      </c>
      <c r="N491" s="1">
        <v>3.5368298970000001</v>
      </c>
      <c r="O491" s="1">
        <v>3.88533178</v>
      </c>
      <c r="P491" s="1">
        <v>4.9062897479999998</v>
      </c>
      <c r="Q491" s="1">
        <v>4.2835653880000004</v>
      </c>
      <c r="R491" s="1">
        <v>4.8735636449999999</v>
      </c>
      <c r="S491" s="1">
        <v>5.3098842800000003</v>
      </c>
      <c r="T491" s="1">
        <v>4.5190290319999997</v>
      </c>
      <c r="U491" s="1">
        <v>5.1508485750000004</v>
      </c>
      <c r="V491" s="1">
        <v>5.0428039150000004</v>
      </c>
      <c r="W491" s="1">
        <v>4.6166922860000001</v>
      </c>
      <c r="X491" s="1">
        <v>4.97415056</v>
      </c>
      <c r="Y491" s="1">
        <v>4.6842287809999998</v>
      </c>
      <c r="Z491" s="1">
        <v>4.8735636449999999</v>
      </c>
      <c r="AA491" s="1">
        <v>5.3098842800000003</v>
      </c>
      <c r="AB491" s="1">
        <v>4.705867896</v>
      </c>
      <c r="AC491" s="1">
        <v>5.2822693689999998</v>
      </c>
      <c r="AD491" s="1">
        <v>4.4715299570000004</v>
      </c>
      <c r="AE491" s="1">
        <v>4.3257514669999999</v>
      </c>
    </row>
    <row r="492" spans="1:31" x14ac:dyDescent="0.25">
      <c r="A492" s="1" t="s">
        <v>1066</v>
      </c>
      <c r="B492" s="1" t="s">
        <v>2525</v>
      </c>
      <c r="C492" s="1" t="s">
        <v>2526</v>
      </c>
      <c r="D492" s="1" t="s">
        <v>3432</v>
      </c>
      <c r="E492" s="1" t="s">
        <v>3433</v>
      </c>
      <c r="F492" s="1" t="s">
        <v>3434</v>
      </c>
      <c r="G492" s="1" t="s">
        <v>1066</v>
      </c>
      <c r="H492" s="1">
        <v>6.2055952369999998</v>
      </c>
      <c r="I492" s="1">
        <v>6.7223161380000001</v>
      </c>
      <c r="J492" s="1">
        <v>6.0670821549999996</v>
      </c>
      <c r="K492" s="1">
        <v>5.7895293819999996</v>
      </c>
      <c r="L492" s="1">
        <v>6.3114621260000003</v>
      </c>
      <c r="M492" s="1">
        <v>6.2524523690000002</v>
      </c>
      <c r="N492" s="1">
        <v>5.878624276</v>
      </c>
      <c r="O492" s="1">
        <v>5.7062857469999999</v>
      </c>
      <c r="P492" s="1">
        <v>6.2161300730000004</v>
      </c>
      <c r="Q492" s="1">
        <v>5.9637007390000001</v>
      </c>
      <c r="R492" s="1">
        <v>5.9019545559999997</v>
      </c>
      <c r="S492" s="1">
        <v>6.168262747</v>
      </c>
      <c r="T492" s="1">
        <v>6.3114621260000003</v>
      </c>
      <c r="U492" s="1">
        <v>6.2524523690000002</v>
      </c>
      <c r="V492" s="1">
        <v>6.3829858890000004</v>
      </c>
      <c r="W492" s="1">
        <v>6.156075682</v>
      </c>
      <c r="X492" s="1">
        <v>5.5811786620000001</v>
      </c>
      <c r="Y492" s="1">
        <v>5.7329513619999997</v>
      </c>
      <c r="Z492" s="1">
        <v>5.9019545559999997</v>
      </c>
      <c r="AA492" s="1">
        <v>6.168262747</v>
      </c>
      <c r="AB492" s="1">
        <v>5.8098709350000002</v>
      </c>
      <c r="AC492" s="1">
        <v>5.6698330419999996</v>
      </c>
      <c r="AD492" s="1">
        <v>5.4385263000000004</v>
      </c>
      <c r="AE492" s="1">
        <v>5.7368382310000001</v>
      </c>
    </row>
    <row r="493" spans="1:31" x14ac:dyDescent="0.25">
      <c r="A493" s="1" t="s">
        <v>1067</v>
      </c>
      <c r="B493" s="1" t="s">
        <v>2579</v>
      </c>
      <c r="C493" s="1" t="s">
        <v>2812</v>
      </c>
      <c r="D493" s="1" t="s">
        <v>3435</v>
      </c>
      <c r="E493" s="1" t="s">
        <v>3436</v>
      </c>
      <c r="F493" s="1" t="s">
        <v>3437</v>
      </c>
      <c r="G493" s="1" t="s">
        <v>1067</v>
      </c>
      <c r="H493" s="1">
        <v>4.995162745</v>
      </c>
      <c r="I493" s="1">
        <v>5.3676718369999996</v>
      </c>
      <c r="J493" s="1">
        <v>7.0087830479999997</v>
      </c>
      <c r="K493" s="1">
        <v>7.0502802620000002</v>
      </c>
      <c r="L493" s="1">
        <v>7.4693846209999997</v>
      </c>
      <c r="M493" s="1">
        <v>7.5491158240000003</v>
      </c>
      <c r="N493" s="1">
        <v>4.9930900400000002</v>
      </c>
      <c r="O493" s="1">
        <v>4.0289865369999998</v>
      </c>
      <c r="P493" s="1">
        <v>7.0384759670000001</v>
      </c>
      <c r="Q493" s="1">
        <v>7.1693867569999998</v>
      </c>
      <c r="R493" s="1">
        <v>7.6815998240000001</v>
      </c>
      <c r="S493" s="1">
        <v>7.2508471459999999</v>
      </c>
      <c r="T493" s="1">
        <v>7.4693846209999997</v>
      </c>
      <c r="U493" s="1">
        <v>7.5491158240000003</v>
      </c>
      <c r="V493" s="1">
        <v>6.9185169750000002</v>
      </c>
      <c r="W493" s="1">
        <v>7.1189004880000004</v>
      </c>
      <c r="X493" s="1">
        <v>7.207884827</v>
      </c>
      <c r="Y493" s="1">
        <v>7.0913366450000002</v>
      </c>
      <c r="Z493" s="1">
        <v>7.6815998240000001</v>
      </c>
      <c r="AA493" s="1">
        <v>7.2508471459999999</v>
      </c>
      <c r="AB493" s="1">
        <v>6.8954646989999997</v>
      </c>
      <c r="AC493" s="1">
        <v>7.0833011609999996</v>
      </c>
      <c r="AD493" s="1">
        <v>6.6102586299999997</v>
      </c>
      <c r="AE493" s="1">
        <v>6.8034375320000002</v>
      </c>
    </row>
    <row r="494" spans="1:31" x14ac:dyDescent="0.25">
      <c r="A494" s="1" t="s">
        <v>1071</v>
      </c>
      <c r="B494" s="1" t="s">
        <v>2631</v>
      </c>
      <c r="C494" s="1" t="s">
        <v>2980</v>
      </c>
      <c r="D494" s="1" t="s">
        <v>2535</v>
      </c>
      <c r="E494" s="1" t="s">
        <v>3438</v>
      </c>
      <c r="G494" s="1" t="s">
        <v>1071</v>
      </c>
      <c r="H494" s="1">
        <v>6.2317126350000001</v>
      </c>
      <c r="I494" s="1">
        <v>6.3160597540000003</v>
      </c>
      <c r="J494" s="1">
        <v>5.1501560140000002</v>
      </c>
      <c r="K494" s="1">
        <v>5.9485821269999999</v>
      </c>
      <c r="L494" s="1">
        <v>4.9864364329999997</v>
      </c>
      <c r="M494" s="1">
        <v>4.4472617469999998</v>
      </c>
      <c r="N494" s="1">
        <v>5.8460635029999999</v>
      </c>
      <c r="O494" s="1">
        <v>6.2458213499999999</v>
      </c>
      <c r="P494" s="1">
        <v>5.0554269730000003</v>
      </c>
      <c r="Q494" s="1">
        <v>4.9365262349999997</v>
      </c>
      <c r="R494" s="1">
        <v>4.5333476509999997</v>
      </c>
      <c r="S494" s="1">
        <v>4.4749637470000003</v>
      </c>
      <c r="T494" s="1">
        <v>4.9864364329999997</v>
      </c>
      <c r="U494" s="1">
        <v>4.4472617469999998</v>
      </c>
      <c r="V494" s="1">
        <v>4.998512388</v>
      </c>
      <c r="W494" s="1">
        <v>5.2774499109999997</v>
      </c>
      <c r="X494" s="1">
        <v>4.7537743670000001</v>
      </c>
      <c r="Y494" s="1">
        <v>5.7329513619999997</v>
      </c>
      <c r="Z494" s="1">
        <v>4.5333476509999997</v>
      </c>
      <c r="AA494" s="1">
        <v>4.4749637470000003</v>
      </c>
      <c r="AB494" s="1">
        <v>5.5787398220000002</v>
      </c>
      <c r="AC494" s="1">
        <v>5.2411914069999996</v>
      </c>
      <c r="AD494" s="1">
        <v>5.6310130599999999</v>
      </c>
      <c r="AE494" s="1">
        <v>5.6110802550000001</v>
      </c>
    </row>
    <row r="495" spans="1:31" x14ac:dyDescent="0.25">
      <c r="A495" s="1" t="s">
        <v>1072</v>
      </c>
      <c r="B495" s="1" t="s">
        <v>2631</v>
      </c>
      <c r="C495" s="1" t="s">
        <v>2980</v>
      </c>
      <c r="D495" s="1" t="s">
        <v>2535</v>
      </c>
      <c r="E495" s="1" t="s">
        <v>3439</v>
      </c>
      <c r="G495" s="1" t="s">
        <v>1072</v>
      </c>
      <c r="H495" s="1">
        <v>4.8663747150000001</v>
      </c>
      <c r="I495" s="1">
        <v>4.5981535630000003</v>
      </c>
      <c r="J495" s="1">
        <v>5.1953777219999999</v>
      </c>
      <c r="K495" s="1">
        <v>4.1384138449999996</v>
      </c>
      <c r="L495" s="1">
        <v>5.8250296969999997</v>
      </c>
      <c r="M495" s="1">
        <v>5.3414536530000003</v>
      </c>
      <c r="N495" s="1">
        <v>4.9001796750000004</v>
      </c>
      <c r="O495" s="1">
        <v>5.0070106360000004</v>
      </c>
      <c r="P495" s="1">
        <v>5.1467681949999999</v>
      </c>
      <c r="Q495" s="1">
        <v>5.4222740280000004</v>
      </c>
      <c r="R495" s="1">
        <v>5.1961281320000001</v>
      </c>
      <c r="S495" s="1">
        <v>5.3098842800000003</v>
      </c>
      <c r="T495" s="1">
        <v>5.8250296969999997</v>
      </c>
      <c r="U495" s="1">
        <v>5.3414536530000003</v>
      </c>
      <c r="V495" s="1">
        <v>5.0857495259999999</v>
      </c>
      <c r="W495" s="1">
        <v>4.9854391920000003</v>
      </c>
      <c r="X495" s="1">
        <v>5.4623126839999996</v>
      </c>
      <c r="Y495" s="1">
        <v>4.8250325140000001</v>
      </c>
      <c r="Z495" s="1">
        <v>5.1961281320000001</v>
      </c>
      <c r="AA495" s="1">
        <v>5.3098842800000003</v>
      </c>
      <c r="AB495" s="1">
        <v>5.4196851610000003</v>
      </c>
      <c r="AC495" s="1">
        <v>5.1552886820000001</v>
      </c>
      <c r="AD495" s="1">
        <v>5.396704357</v>
      </c>
      <c r="AE495" s="1">
        <v>4.7636391339999999</v>
      </c>
    </row>
    <row r="496" spans="1:31" x14ac:dyDescent="0.25">
      <c r="A496" s="1" t="s">
        <v>1075</v>
      </c>
      <c r="B496" s="1" t="s">
        <v>2530</v>
      </c>
      <c r="C496" s="1" t="s">
        <v>2531</v>
      </c>
      <c r="D496" s="1" t="s">
        <v>2535</v>
      </c>
      <c r="E496" s="1" t="s">
        <v>3440</v>
      </c>
      <c r="G496" s="1" t="s">
        <v>1075</v>
      </c>
      <c r="H496" s="1">
        <v>7.2213707080000002</v>
      </c>
      <c r="I496" s="1">
        <v>6.610348052</v>
      </c>
      <c r="J496" s="1">
        <v>6.4096880770000002</v>
      </c>
      <c r="K496" s="1">
        <v>6.3181776090000001</v>
      </c>
      <c r="L496" s="1">
        <v>5.4306647579999998</v>
      </c>
      <c r="M496" s="1">
        <v>5.7000608240000004</v>
      </c>
      <c r="N496" s="1">
        <v>6.831530076</v>
      </c>
      <c r="O496" s="1">
        <v>6.8644635369999998</v>
      </c>
      <c r="P496" s="1">
        <v>6.038086302</v>
      </c>
      <c r="Q496" s="1">
        <v>5.7838067430000004</v>
      </c>
      <c r="R496" s="1">
        <v>5.8111782390000002</v>
      </c>
      <c r="S496" s="1">
        <v>5.6781703969999997</v>
      </c>
      <c r="T496" s="1">
        <v>5.4306647579999998</v>
      </c>
      <c r="U496" s="1">
        <v>5.7000608240000004</v>
      </c>
      <c r="V496" s="1">
        <v>6.0153393629999998</v>
      </c>
      <c r="W496" s="1">
        <v>6.265991681</v>
      </c>
      <c r="X496" s="1">
        <v>6.1145484569999997</v>
      </c>
      <c r="Y496" s="1">
        <v>6.3310590680000001</v>
      </c>
      <c r="Z496" s="1">
        <v>5.8111782390000002</v>
      </c>
      <c r="AA496" s="1">
        <v>5.6781703969999997</v>
      </c>
      <c r="AB496" s="1">
        <v>6.008835446</v>
      </c>
      <c r="AC496" s="1">
        <v>5.8163513240000002</v>
      </c>
      <c r="AD496" s="1">
        <v>6.4566895009999996</v>
      </c>
      <c r="AE496" s="1">
        <v>6.2394295809999996</v>
      </c>
    </row>
    <row r="497" spans="1:31" x14ac:dyDescent="0.25">
      <c r="A497" s="1" t="s">
        <v>1081</v>
      </c>
      <c r="B497" s="1" t="s">
        <v>2667</v>
      </c>
      <c r="C497" s="1" t="s">
        <v>3441</v>
      </c>
      <c r="D497" s="1" t="s">
        <v>3299</v>
      </c>
      <c r="E497" s="1" t="s">
        <v>3442</v>
      </c>
      <c r="F497" s="1" t="s">
        <v>3443</v>
      </c>
      <c r="G497" s="1" t="s">
        <v>1081</v>
      </c>
      <c r="H497" s="1">
        <v>8.5415925179999999</v>
      </c>
      <c r="I497" s="1">
        <v>8.2676911610000001</v>
      </c>
      <c r="J497" s="1">
        <v>9.0256984940000002</v>
      </c>
      <c r="K497" s="1">
        <v>8.9362752069999996</v>
      </c>
      <c r="L497" s="1">
        <v>8.5144013100000002</v>
      </c>
      <c r="M497" s="1">
        <v>8.7212703739999995</v>
      </c>
      <c r="N497" s="1">
        <v>7.7938141859999996</v>
      </c>
      <c r="O497" s="1">
        <v>8.1501128699999992</v>
      </c>
      <c r="P497" s="1">
        <v>8.8415872439999994</v>
      </c>
      <c r="Q497" s="1">
        <v>8.7672135069999992</v>
      </c>
      <c r="R497" s="1">
        <v>9.1911112690000003</v>
      </c>
      <c r="S497" s="1">
        <v>9.1976542769999998</v>
      </c>
      <c r="T497" s="1">
        <v>8.5144013100000002</v>
      </c>
      <c r="U497" s="1">
        <v>8.7212703739999995</v>
      </c>
      <c r="V497" s="1">
        <v>8.7766174689999996</v>
      </c>
      <c r="W497" s="1">
        <v>8.8548883949999997</v>
      </c>
      <c r="X497" s="1">
        <v>8.6979975419999995</v>
      </c>
      <c r="Y497" s="1">
        <v>8.4851154789999992</v>
      </c>
      <c r="Z497" s="1">
        <v>9.1911112690000003</v>
      </c>
      <c r="AA497" s="1">
        <v>9.1976542769999998</v>
      </c>
      <c r="AB497" s="1">
        <v>8.7428544939999995</v>
      </c>
      <c r="AC497" s="1">
        <v>8.7716753099999991</v>
      </c>
      <c r="AD497" s="1">
        <v>8.5830917689999993</v>
      </c>
      <c r="AE497" s="1">
        <v>8.7806745379999995</v>
      </c>
    </row>
    <row r="498" spans="1:31" x14ac:dyDescent="0.25">
      <c r="A498" s="1" t="s">
        <v>1082</v>
      </c>
      <c r="B498" s="1" t="s">
        <v>2530</v>
      </c>
      <c r="C498" s="1" t="s">
        <v>2531</v>
      </c>
      <c r="D498" s="1" t="s">
        <v>2535</v>
      </c>
      <c r="E498" s="1" t="s">
        <v>2536</v>
      </c>
      <c r="G498" s="1" t="s">
        <v>1082</v>
      </c>
      <c r="H498" s="1">
        <v>6.0081283179999998</v>
      </c>
      <c r="I498" s="1">
        <v>5.8358262759999997</v>
      </c>
      <c r="J498" s="1">
        <v>4.3724365990000003</v>
      </c>
      <c r="K498" s="1">
        <v>5.0588199180000002</v>
      </c>
      <c r="L498" s="1">
        <v>5.2773631679999999</v>
      </c>
      <c r="M498" s="1">
        <v>5.1796951440000001</v>
      </c>
      <c r="N498" s="1">
        <v>5.3835417159999999</v>
      </c>
      <c r="O498" s="1">
        <v>5.5090357550000002</v>
      </c>
      <c r="P498" s="1">
        <v>4.9062897479999998</v>
      </c>
      <c r="Q498" s="1">
        <v>4.3733115800000002</v>
      </c>
      <c r="R498" s="1">
        <v>4.8735636449999999</v>
      </c>
      <c r="S498" s="1">
        <v>4.8699614389999999</v>
      </c>
      <c r="T498" s="1">
        <v>5.2773631679999999</v>
      </c>
      <c r="U498" s="1">
        <v>5.1796951440000001</v>
      </c>
      <c r="V498" s="1">
        <v>4.9055261469999998</v>
      </c>
      <c r="W498" s="1">
        <v>5.16775612</v>
      </c>
      <c r="X498" s="1">
        <v>4.8838989719999999</v>
      </c>
      <c r="Y498" s="1">
        <v>5.0702808140000002</v>
      </c>
      <c r="Z498" s="1">
        <v>4.8735636449999999</v>
      </c>
      <c r="AA498" s="1">
        <v>4.8699614389999999</v>
      </c>
      <c r="AB498" s="1">
        <v>5.1073354020000004</v>
      </c>
      <c r="AC498" s="1">
        <v>5.3221936159999998</v>
      </c>
      <c r="AD498" s="1">
        <v>4.7657555159999996</v>
      </c>
      <c r="AE498" s="1">
        <v>4.8303216779999998</v>
      </c>
    </row>
    <row r="499" spans="1:31" x14ac:dyDescent="0.25">
      <c r="A499" s="1" t="s">
        <v>1083</v>
      </c>
      <c r="B499" s="1" t="s">
        <v>2530</v>
      </c>
      <c r="C499" s="1" t="s">
        <v>2531</v>
      </c>
      <c r="D499" s="1" t="s">
        <v>2535</v>
      </c>
      <c r="E499" s="1" t="s">
        <v>2536</v>
      </c>
      <c r="G499" s="1" t="s">
        <v>1083</v>
      </c>
      <c r="H499" s="1">
        <v>4.6479005740000003</v>
      </c>
      <c r="I499" s="1">
        <v>4.66484875</v>
      </c>
      <c r="J499" s="1">
        <v>3.6453331530000002</v>
      </c>
      <c r="K499" s="1">
        <v>3.8998480660000001</v>
      </c>
      <c r="L499" s="1">
        <v>2.5490970000000002</v>
      </c>
      <c r="M499" s="1">
        <v>3.169085575</v>
      </c>
      <c r="N499" s="1">
        <v>4.6560102480000003</v>
      </c>
      <c r="O499" s="1">
        <v>4.4862678239999996</v>
      </c>
      <c r="P499" s="1">
        <v>3.7419514989999998</v>
      </c>
      <c r="Q499" s="1">
        <v>3.56206471</v>
      </c>
      <c r="R499" s="1">
        <v>2.9339002829999998</v>
      </c>
      <c r="S499" s="1">
        <v>2.9034795349999998</v>
      </c>
      <c r="T499" s="1">
        <v>2.5490970000000002</v>
      </c>
      <c r="U499" s="1">
        <v>3.169085575</v>
      </c>
      <c r="V499" s="1">
        <v>3.2389700330000002</v>
      </c>
      <c r="W499" s="1">
        <v>3.8431653940000001</v>
      </c>
      <c r="X499" s="1">
        <v>3.7416722899999999</v>
      </c>
      <c r="Y499" s="1">
        <v>4.2532353330000001</v>
      </c>
      <c r="Z499" s="1">
        <v>2.9339002829999998</v>
      </c>
      <c r="AA499" s="1">
        <v>2.9034795349999998</v>
      </c>
      <c r="AB499" s="1">
        <v>3.6315729079999999</v>
      </c>
      <c r="AC499" s="1">
        <v>3.6175630609999998</v>
      </c>
      <c r="AD499" s="1">
        <v>3.984188064</v>
      </c>
      <c r="AE499" s="1">
        <v>3.5108161330000001</v>
      </c>
    </row>
    <row r="500" spans="1:31" x14ac:dyDescent="0.25">
      <c r="A500" s="1" t="s">
        <v>1085</v>
      </c>
      <c r="B500" s="1" t="s">
        <v>2667</v>
      </c>
      <c r="C500" s="1" t="s">
        <v>3370</v>
      </c>
      <c r="D500" s="1" t="s">
        <v>3444</v>
      </c>
      <c r="E500" s="1" t="s">
        <v>3445</v>
      </c>
      <c r="F500" s="1" t="s">
        <v>3446</v>
      </c>
      <c r="G500" s="1" t="s">
        <v>1085</v>
      </c>
      <c r="H500" s="1">
        <v>5.1686839359999999</v>
      </c>
      <c r="I500" s="1">
        <v>5.1998500889999999</v>
      </c>
      <c r="J500" s="1">
        <v>6.0426942559999999</v>
      </c>
      <c r="K500" s="1">
        <v>6.0361807939999998</v>
      </c>
      <c r="L500" s="1">
        <v>6.2096996640000004</v>
      </c>
      <c r="M500" s="1">
        <v>6.2791745209999998</v>
      </c>
      <c r="N500" s="1">
        <v>5.4502346690000003</v>
      </c>
      <c r="O500" s="1">
        <v>5.9675486500000003</v>
      </c>
      <c r="P500" s="1">
        <v>5.3522904530000002</v>
      </c>
      <c r="Q500" s="1">
        <v>5.4628336309999996</v>
      </c>
      <c r="R500" s="1">
        <v>5.7472990829999997</v>
      </c>
      <c r="S500" s="1">
        <v>5.7416668729999998</v>
      </c>
      <c r="T500" s="1">
        <v>6.2096996640000004</v>
      </c>
      <c r="U500" s="1">
        <v>6.2791745209999998</v>
      </c>
      <c r="V500" s="1">
        <v>6.1009432270000001</v>
      </c>
      <c r="W500" s="1">
        <v>6.463427716</v>
      </c>
      <c r="X500" s="1">
        <v>5.6909099879999996</v>
      </c>
      <c r="Y500" s="1">
        <v>6.1579814659999998</v>
      </c>
      <c r="Z500" s="1">
        <v>5.7472990829999997</v>
      </c>
      <c r="AA500" s="1">
        <v>5.7416668729999998</v>
      </c>
      <c r="AB500" s="1">
        <v>5.8098709350000002</v>
      </c>
      <c r="AC500" s="1">
        <v>5.8710041640000004</v>
      </c>
      <c r="AD500" s="1">
        <v>5.7351750150000003</v>
      </c>
      <c r="AE500" s="1">
        <v>5.8040306609999996</v>
      </c>
    </row>
    <row r="501" spans="1:31" x14ac:dyDescent="0.25">
      <c r="A501" s="1" t="s">
        <v>1086</v>
      </c>
      <c r="B501" s="1" t="s">
        <v>2667</v>
      </c>
      <c r="C501" s="1" t="s">
        <v>2781</v>
      </c>
      <c r="D501" s="1" t="s">
        <v>3447</v>
      </c>
      <c r="E501" s="1" t="s">
        <v>3448</v>
      </c>
      <c r="F501" s="1" t="s">
        <v>3449</v>
      </c>
      <c r="G501" s="1" t="s">
        <v>1086</v>
      </c>
      <c r="H501" s="1">
        <v>5.977563322</v>
      </c>
      <c r="I501" s="1">
        <v>5.8917578519999996</v>
      </c>
      <c r="J501" s="1">
        <v>6.7627112289999998</v>
      </c>
      <c r="K501" s="1">
        <v>6.8233399239999999</v>
      </c>
      <c r="L501" s="1">
        <v>6.8124457639999996</v>
      </c>
      <c r="M501" s="1">
        <v>7.0025099060000002</v>
      </c>
      <c r="N501" s="1">
        <v>6.3538735099999997</v>
      </c>
      <c r="O501" s="1">
        <v>6.3540746549999998</v>
      </c>
      <c r="P501" s="1">
        <v>6.6313784599999996</v>
      </c>
      <c r="Q501" s="1">
        <v>6.7957952910000001</v>
      </c>
      <c r="R501" s="1">
        <v>7.0241430190000003</v>
      </c>
      <c r="S501" s="1">
        <v>6.7791357530000003</v>
      </c>
      <c r="T501" s="1">
        <v>6.8124457639999996</v>
      </c>
      <c r="U501" s="1">
        <v>7.0025099060000002</v>
      </c>
      <c r="V501" s="1">
        <v>6.5443212659999999</v>
      </c>
      <c r="W501" s="1">
        <v>6.595535302</v>
      </c>
      <c r="X501" s="1">
        <v>6.5419998750000001</v>
      </c>
      <c r="Y501" s="1">
        <v>6.399298012</v>
      </c>
      <c r="Z501" s="1">
        <v>7.0241430190000003</v>
      </c>
      <c r="AA501" s="1">
        <v>6.7791357530000003</v>
      </c>
      <c r="AB501" s="1">
        <v>6.6559655099999997</v>
      </c>
      <c r="AC501" s="1">
        <v>6.6092721640000001</v>
      </c>
      <c r="AD501" s="1">
        <v>6.5919351060000002</v>
      </c>
      <c r="AE501" s="1">
        <v>6.4105584240000004</v>
      </c>
    </row>
    <row r="502" spans="1:31" x14ac:dyDescent="0.25">
      <c r="A502" s="1" t="s">
        <v>1087</v>
      </c>
      <c r="B502" s="1" t="s">
        <v>2530</v>
      </c>
      <c r="C502" s="1" t="s">
        <v>2531</v>
      </c>
      <c r="D502" s="1" t="s">
        <v>2535</v>
      </c>
      <c r="E502" s="1" t="s">
        <v>3450</v>
      </c>
      <c r="F502" s="1" t="s">
        <v>3451</v>
      </c>
      <c r="G502" s="1" t="s">
        <v>1087</v>
      </c>
      <c r="H502" s="1">
        <v>5.2221022919999998</v>
      </c>
      <c r="I502" s="1">
        <v>5.3275363779999996</v>
      </c>
      <c r="J502" s="1">
        <v>5.4400990890000003</v>
      </c>
      <c r="K502" s="1">
        <v>5.0014827119999996</v>
      </c>
      <c r="L502" s="1">
        <v>5.0352735380000002</v>
      </c>
      <c r="M502" s="1">
        <v>4.9970812499999999</v>
      </c>
      <c r="N502" s="1">
        <v>5.6896218779999996</v>
      </c>
      <c r="O502" s="1">
        <v>5.9154339690000004</v>
      </c>
      <c r="P502" s="1">
        <v>4.7972962780000001</v>
      </c>
      <c r="Q502" s="1">
        <v>4.5369064569999997</v>
      </c>
      <c r="R502" s="1">
        <v>4.7472384160000001</v>
      </c>
      <c r="S502" s="1">
        <v>4.0285685429999996</v>
      </c>
      <c r="T502" s="1">
        <v>5.0352735380000002</v>
      </c>
      <c r="U502" s="1">
        <v>4.9970812499999999</v>
      </c>
      <c r="V502" s="1">
        <v>5.2455869269999997</v>
      </c>
      <c r="W502" s="1">
        <v>4.8493412630000003</v>
      </c>
      <c r="X502" s="1">
        <v>5.1646924079999996</v>
      </c>
      <c r="Y502" s="1">
        <v>4.7564010139999997</v>
      </c>
      <c r="Z502" s="1">
        <v>4.7472384160000001</v>
      </c>
      <c r="AA502" s="1">
        <v>4.0285685429999996</v>
      </c>
      <c r="AB502" s="1">
        <v>4.2729702720000002</v>
      </c>
      <c r="AC502" s="1">
        <v>5.3988312660000002</v>
      </c>
      <c r="AD502" s="1">
        <v>5.3091856960000001</v>
      </c>
      <c r="AE502" s="1">
        <v>4.6936201110000004</v>
      </c>
    </row>
    <row r="503" spans="1:31" x14ac:dyDescent="0.25">
      <c r="A503" s="1" t="s">
        <v>1101</v>
      </c>
      <c r="B503" s="1" t="s">
        <v>2598</v>
      </c>
      <c r="C503" s="1" t="s">
        <v>2603</v>
      </c>
      <c r="D503" s="1" t="s">
        <v>3452</v>
      </c>
      <c r="E503" s="1" t="s">
        <v>3453</v>
      </c>
      <c r="F503" s="1" t="s">
        <v>3454</v>
      </c>
      <c r="G503" s="1" t="s">
        <v>1101</v>
      </c>
      <c r="H503" s="1">
        <v>6.0081283179999998</v>
      </c>
      <c r="I503" s="1">
        <v>7.2877765649999997</v>
      </c>
      <c r="J503" s="1">
        <v>4.9532699769999997</v>
      </c>
      <c r="K503" s="1">
        <v>5.6105789259999996</v>
      </c>
      <c r="L503" s="1">
        <v>4.6825378889999998</v>
      </c>
      <c r="M503" s="1">
        <v>4.2945656129999996</v>
      </c>
      <c r="N503" s="1">
        <v>5.8460635029999999</v>
      </c>
      <c r="O503" s="1">
        <v>5.7266127899999999</v>
      </c>
      <c r="P503" s="1">
        <v>5.3134950500000002</v>
      </c>
      <c r="Q503" s="1">
        <v>4.611970812</v>
      </c>
      <c r="R503" s="1">
        <v>5.458747732</v>
      </c>
      <c r="S503" s="1">
        <v>4.8114074450000004</v>
      </c>
      <c r="T503" s="1">
        <v>4.6825378889999998</v>
      </c>
      <c r="U503" s="1">
        <v>4.2945656129999996</v>
      </c>
      <c r="V503" s="1">
        <v>5.9476095180000002</v>
      </c>
      <c r="W503" s="1">
        <v>5.8376547490000004</v>
      </c>
      <c r="X503" s="1">
        <v>4.5325909299999996</v>
      </c>
      <c r="Y503" s="1">
        <v>6.1579814659999998</v>
      </c>
      <c r="Z503" s="1">
        <v>5.458747732</v>
      </c>
      <c r="AA503" s="1">
        <v>4.8114074450000004</v>
      </c>
      <c r="AB503" s="1">
        <v>5.5787398220000002</v>
      </c>
      <c r="AC503" s="1">
        <v>4.6238605430000002</v>
      </c>
      <c r="AD503" s="1">
        <v>5.8006297160000004</v>
      </c>
      <c r="AE503" s="1">
        <v>5.8040306609999996</v>
      </c>
    </row>
    <row r="504" spans="1:31" x14ac:dyDescent="0.25">
      <c r="A504" s="1" t="s">
        <v>1102</v>
      </c>
      <c r="B504" s="1" t="s">
        <v>2530</v>
      </c>
      <c r="C504" s="1" t="s">
        <v>2531</v>
      </c>
      <c r="D504" s="1" t="s">
        <v>2535</v>
      </c>
      <c r="E504" s="1" t="s">
        <v>3455</v>
      </c>
      <c r="G504" s="1" t="s">
        <v>1102</v>
      </c>
      <c r="H504" s="1">
        <v>7.6368449910000002</v>
      </c>
      <c r="I504" s="1">
        <v>7.7542989220000003</v>
      </c>
      <c r="J504" s="1">
        <v>7.8576916260000003</v>
      </c>
      <c r="K504" s="1">
        <v>8.2638321080000008</v>
      </c>
      <c r="L504" s="1">
        <v>7.0777530180000001</v>
      </c>
      <c r="M504" s="1">
        <v>7.3495699959999996</v>
      </c>
      <c r="N504" s="1">
        <v>7.1568779659999997</v>
      </c>
      <c r="O504" s="1">
        <v>6.9005793139999998</v>
      </c>
      <c r="P504" s="1">
        <v>8.0081169140000004</v>
      </c>
      <c r="Q504" s="1">
        <v>7.8395611130000002</v>
      </c>
      <c r="R504" s="1">
        <v>7.8652464599999998</v>
      </c>
      <c r="S504" s="1">
        <v>7.9516322319999997</v>
      </c>
      <c r="T504" s="1">
        <v>7.0777530180000001</v>
      </c>
      <c r="U504" s="1">
        <v>7.3495699959999996</v>
      </c>
      <c r="V504" s="1">
        <v>8.3050223939999999</v>
      </c>
      <c r="W504" s="1">
        <v>7.9429644140000004</v>
      </c>
      <c r="X504" s="1">
        <v>7.5644177900000003</v>
      </c>
      <c r="Y504" s="1">
        <v>8.4640613509999998</v>
      </c>
      <c r="Z504" s="1">
        <v>7.8652464599999998</v>
      </c>
      <c r="AA504" s="1">
        <v>7.9516322319999997</v>
      </c>
      <c r="AB504" s="1">
        <v>7.855293745</v>
      </c>
      <c r="AC504" s="1">
        <v>7.6642856869999996</v>
      </c>
      <c r="AD504" s="1">
        <v>8.3139004609999994</v>
      </c>
      <c r="AE504" s="1">
        <v>8.2818470719999997</v>
      </c>
    </row>
    <row r="505" spans="1:31" x14ac:dyDescent="0.25">
      <c r="A505" s="1" t="s">
        <v>1104</v>
      </c>
      <c r="B505" s="1" t="s">
        <v>2520</v>
      </c>
      <c r="C505" s="1" t="s">
        <v>2521</v>
      </c>
      <c r="D505" s="1" t="s">
        <v>3020</v>
      </c>
      <c r="E505" s="1" t="s">
        <v>3456</v>
      </c>
      <c r="F505" s="1" t="s">
        <v>3457</v>
      </c>
      <c r="G505" s="1" t="s">
        <v>1104</v>
      </c>
      <c r="H505" s="1">
        <v>4.995162745</v>
      </c>
      <c r="I505" s="1">
        <v>5.1546023129999998</v>
      </c>
      <c r="J505" s="1">
        <v>6.0178848</v>
      </c>
      <c r="K505" s="1">
        <v>5.6105789259999996</v>
      </c>
      <c r="L505" s="1">
        <v>6.3016040330000003</v>
      </c>
      <c r="M505" s="1">
        <v>6.1691684679999996</v>
      </c>
      <c r="N505" s="1">
        <v>5.1887139119999999</v>
      </c>
      <c r="O505" s="1">
        <v>5.3074139359999997</v>
      </c>
      <c r="P505" s="1">
        <v>6.1298655379999998</v>
      </c>
      <c r="Q505" s="1">
        <v>5.9062084209999997</v>
      </c>
      <c r="R505" s="1">
        <v>5.987323913</v>
      </c>
      <c r="S505" s="1">
        <v>6.2136668149999998</v>
      </c>
      <c r="T505" s="1">
        <v>6.3016040330000003</v>
      </c>
      <c r="U505" s="1">
        <v>6.1691684679999996</v>
      </c>
      <c r="V505" s="1">
        <v>6.6186760830000004</v>
      </c>
      <c r="W505" s="1">
        <v>6.5309970670000004</v>
      </c>
      <c r="X505" s="1">
        <v>6.5125064950000002</v>
      </c>
      <c r="Y505" s="1">
        <v>6.8200537160000003</v>
      </c>
      <c r="Z505" s="1">
        <v>5.987323913</v>
      </c>
      <c r="AA505" s="1">
        <v>6.2136668149999998</v>
      </c>
      <c r="AB505" s="1">
        <v>6.8129090650000004</v>
      </c>
      <c r="AC505" s="1">
        <v>6.4210524800000002</v>
      </c>
      <c r="AD505" s="1">
        <v>6.5919351060000002</v>
      </c>
      <c r="AE505" s="1">
        <v>6.6110350100000002</v>
      </c>
    </row>
    <row r="506" spans="1:31" x14ac:dyDescent="0.25">
      <c r="A506" s="1" t="s">
        <v>1108</v>
      </c>
      <c r="B506" s="1" t="s">
        <v>2530</v>
      </c>
      <c r="C506" s="1" t="s">
        <v>2531</v>
      </c>
      <c r="D506" s="1" t="s">
        <v>2535</v>
      </c>
      <c r="E506" s="1" t="s">
        <v>2536</v>
      </c>
      <c r="G506" s="1" t="s">
        <v>1108</v>
      </c>
      <c r="H506" s="1">
        <v>5.1686839359999999</v>
      </c>
      <c r="I506" s="1">
        <v>4.7284970130000001</v>
      </c>
      <c r="J506" s="1">
        <v>4.6607313550000002</v>
      </c>
      <c r="K506" s="1">
        <v>4.2434183680000004</v>
      </c>
      <c r="L506" s="1">
        <v>3.8629070379999999</v>
      </c>
      <c r="M506" s="1">
        <v>4.3982295550000003</v>
      </c>
      <c r="N506" s="1">
        <v>4.6936110280000003</v>
      </c>
      <c r="O506" s="1">
        <v>4.5340058970000001</v>
      </c>
      <c r="P506" s="1">
        <v>4.7394495640000001</v>
      </c>
      <c r="Q506" s="1">
        <v>4.0840108080000004</v>
      </c>
      <c r="R506" s="1">
        <v>4.5333476509999997</v>
      </c>
      <c r="S506" s="1">
        <v>3.9182367880000002</v>
      </c>
      <c r="T506" s="1">
        <v>3.8629070379999999</v>
      </c>
      <c r="U506" s="1">
        <v>4.3982295550000003</v>
      </c>
      <c r="V506" s="1">
        <v>3.5405335899999999</v>
      </c>
      <c r="W506" s="1">
        <v>3.6840067150000002</v>
      </c>
      <c r="X506" s="1">
        <v>4.3627028770000003</v>
      </c>
      <c r="Y506" s="1">
        <v>4.8250325140000001</v>
      </c>
      <c r="Z506" s="1">
        <v>4.5333476509999997</v>
      </c>
      <c r="AA506" s="1">
        <v>3.9182367880000002</v>
      </c>
      <c r="AB506" s="1">
        <v>3.8237667059999998</v>
      </c>
      <c r="AC506" s="1">
        <v>4.415017905</v>
      </c>
      <c r="AD506" s="1">
        <v>4.4715299570000004</v>
      </c>
      <c r="AE506" s="1">
        <v>3.8196998459999998</v>
      </c>
    </row>
    <row r="507" spans="1:31" x14ac:dyDescent="0.25">
      <c r="A507" s="1" t="s">
        <v>1109</v>
      </c>
      <c r="B507" s="1" t="s">
        <v>2530</v>
      </c>
      <c r="C507" s="1" t="s">
        <v>2531</v>
      </c>
      <c r="D507" s="1" t="s">
        <v>2535</v>
      </c>
      <c r="E507" s="1" t="s">
        <v>2536</v>
      </c>
      <c r="G507" s="1" t="s">
        <v>1109</v>
      </c>
      <c r="H507" s="1">
        <v>6.4251460160000002</v>
      </c>
      <c r="I507" s="1">
        <v>6.5246782330000004</v>
      </c>
      <c r="J507" s="1">
        <v>5.8592801899999998</v>
      </c>
      <c r="K507" s="1">
        <v>5.7895293819999996</v>
      </c>
      <c r="L507" s="1">
        <v>5.3172641829999998</v>
      </c>
      <c r="M507" s="1">
        <v>5.2895531800000004</v>
      </c>
      <c r="N507" s="1">
        <v>6.3538735099999997</v>
      </c>
      <c r="O507" s="1">
        <v>6.2030276869999996</v>
      </c>
      <c r="P507" s="1">
        <v>5.834784151</v>
      </c>
      <c r="Q507" s="1">
        <v>5.718446159</v>
      </c>
      <c r="R507" s="1">
        <v>5.6102934549999999</v>
      </c>
      <c r="S507" s="1">
        <v>5.6117239269999999</v>
      </c>
      <c r="T507" s="1">
        <v>5.3172641829999998</v>
      </c>
      <c r="U507" s="1">
        <v>5.2895531800000004</v>
      </c>
      <c r="V507" s="1">
        <v>5.8520207290000004</v>
      </c>
      <c r="W507" s="1">
        <v>5.9072448660000001</v>
      </c>
      <c r="X507" s="1">
        <v>5.6370967820000004</v>
      </c>
      <c r="Y507" s="1">
        <v>6.2095953220000002</v>
      </c>
      <c r="Z507" s="1">
        <v>5.6102934549999999</v>
      </c>
      <c r="AA507" s="1">
        <v>5.6117239269999999</v>
      </c>
      <c r="AB507" s="1">
        <v>5.7218462399999996</v>
      </c>
      <c r="AC507" s="1">
        <v>5.4356573160000003</v>
      </c>
      <c r="AD507" s="1">
        <v>5.8006297160000004</v>
      </c>
      <c r="AE507" s="1">
        <v>5.9296419269999996</v>
      </c>
    </row>
    <row r="508" spans="1:31" x14ac:dyDescent="0.25">
      <c r="A508" s="1" t="s">
        <v>1110</v>
      </c>
      <c r="B508" s="1" t="s">
        <v>2530</v>
      </c>
      <c r="C508" s="1" t="s">
        <v>2531</v>
      </c>
      <c r="D508" s="1" t="s">
        <v>2535</v>
      </c>
      <c r="E508" s="1" t="s">
        <v>3458</v>
      </c>
      <c r="G508" s="1" t="s">
        <v>1110</v>
      </c>
      <c r="H508" s="1">
        <v>5.6296178589999997</v>
      </c>
      <c r="I508" s="1">
        <v>4.5981535630000003</v>
      </c>
      <c r="J508" s="1">
        <v>4.4503473070000004</v>
      </c>
      <c r="K508" s="1">
        <v>4.1384138449999996</v>
      </c>
      <c r="L508" s="1">
        <v>3.8051274570000002</v>
      </c>
      <c r="M508" s="1">
        <v>4.059937712</v>
      </c>
      <c r="N508" s="1">
        <v>4.730225151</v>
      </c>
      <c r="O508" s="1">
        <v>4.6680836990000003</v>
      </c>
      <c r="P508" s="1">
        <v>4.6160325330000003</v>
      </c>
      <c r="Q508" s="1">
        <v>4.18747588</v>
      </c>
      <c r="R508" s="1">
        <v>4.1841942410000001</v>
      </c>
      <c r="S508" s="1">
        <v>4.1304223819999999</v>
      </c>
      <c r="T508" s="1">
        <v>3.8051274570000002</v>
      </c>
      <c r="U508" s="1">
        <v>4.059937712</v>
      </c>
      <c r="V508" s="1">
        <v>4.6419314959999998</v>
      </c>
      <c r="W508" s="1">
        <v>4.8493412630000003</v>
      </c>
      <c r="X508" s="1">
        <v>4.6102919370000004</v>
      </c>
      <c r="Y508" s="1">
        <v>4.3509215530000001</v>
      </c>
      <c r="Z508" s="1">
        <v>4.1841942410000001</v>
      </c>
      <c r="AA508" s="1">
        <v>4.1304223819999999</v>
      </c>
      <c r="AB508" s="1">
        <v>4.3946012420000002</v>
      </c>
      <c r="AC508" s="1">
        <v>4.6870272159999997</v>
      </c>
      <c r="AD508" s="1">
        <v>4.95179218</v>
      </c>
      <c r="AE508" s="1">
        <v>4.5014252270000004</v>
      </c>
    </row>
    <row r="509" spans="1:31" x14ac:dyDescent="0.25">
      <c r="A509" s="1" t="s">
        <v>1113</v>
      </c>
      <c r="B509" s="1" t="s">
        <v>2557</v>
      </c>
      <c r="C509" s="1" t="s">
        <v>2967</v>
      </c>
      <c r="D509" s="1" t="s">
        <v>2989</v>
      </c>
      <c r="E509" s="1" t="s">
        <v>3459</v>
      </c>
      <c r="F509" s="1" t="s">
        <v>3460</v>
      </c>
      <c r="G509" s="1" t="s">
        <v>1113</v>
      </c>
      <c r="H509" s="1">
        <v>3.4660955969999998</v>
      </c>
      <c r="I509" s="1">
        <v>4.1114152529999997</v>
      </c>
      <c r="J509" s="1">
        <v>4.4503473070000004</v>
      </c>
      <c r="K509" s="1">
        <v>3.607491666</v>
      </c>
      <c r="L509" s="1">
        <v>4.5867597299999998</v>
      </c>
      <c r="M509" s="1">
        <v>4.239619416</v>
      </c>
      <c r="N509" s="1">
        <v>4.2617896110000002</v>
      </c>
      <c r="O509" s="1">
        <v>4.5340058970000001</v>
      </c>
      <c r="P509" s="1">
        <v>2.8687501260000001</v>
      </c>
      <c r="Q509" s="1">
        <v>3.7137735799999998</v>
      </c>
      <c r="R509" s="1">
        <v>3.7109484589999999</v>
      </c>
      <c r="S509" s="1">
        <v>3.7977317990000001</v>
      </c>
      <c r="T509" s="1">
        <v>4.5867597299999998</v>
      </c>
      <c r="U509" s="1">
        <v>4.239619416</v>
      </c>
      <c r="V509" s="1">
        <v>4.3879408260000003</v>
      </c>
      <c r="W509" s="1">
        <v>3.50175473</v>
      </c>
      <c r="X509" s="1">
        <v>4.0600950219999996</v>
      </c>
      <c r="Y509" s="1">
        <v>4.6081171230000004</v>
      </c>
      <c r="Z509" s="1">
        <v>3.7109484589999999</v>
      </c>
      <c r="AA509" s="1">
        <v>3.7977317990000001</v>
      </c>
      <c r="AB509" s="1">
        <v>4.3946012420000002</v>
      </c>
      <c r="AC509" s="1">
        <v>4.2557864319999998</v>
      </c>
      <c r="AD509" s="1">
        <v>4.5511338559999999</v>
      </c>
      <c r="AE509" s="1">
        <v>4.5815229759999996</v>
      </c>
    </row>
    <row r="510" spans="1:31" x14ac:dyDescent="0.25">
      <c r="A510" s="1" t="s">
        <v>1118</v>
      </c>
      <c r="B510" s="1" t="s">
        <v>2530</v>
      </c>
      <c r="C510" s="1" t="s">
        <v>2531</v>
      </c>
      <c r="D510" s="1" t="s">
        <v>2535</v>
      </c>
      <c r="E510" s="1" t="s">
        <v>3461</v>
      </c>
      <c r="F510" s="1" t="s">
        <v>3462</v>
      </c>
      <c r="G510" s="1" t="s">
        <v>1118</v>
      </c>
      <c r="H510" s="1">
        <v>3.8023684370000002</v>
      </c>
      <c r="I510" s="1">
        <v>4.7284970130000001</v>
      </c>
      <c r="J510" s="1">
        <v>5.2392025899999997</v>
      </c>
      <c r="K510" s="1">
        <v>5.4059688240000003</v>
      </c>
      <c r="L510" s="1">
        <v>5.8923589620000003</v>
      </c>
      <c r="M510" s="1">
        <v>5.5095176620000004</v>
      </c>
      <c r="N510" s="1">
        <v>4.6173662499999999</v>
      </c>
      <c r="O510" s="1">
        <v>4.8288877169999997</v>
      </c>
      <c r="P510" s="1">
        <v>5.3134950500000002</v>
      </c>
      <c r="Q510" s="1">
        <v>5.8765740600000003</v>
      </c>
      <c r="R510" s="1">
        <v>5.9019545559999997</v>
      </c>
      <c r="S510" s="1">
        <v>6.145010976</v>
      </c>
      <c r="T510" s="1">
        <v>5.8923589620000003</v>
      </c>
      <c r="U510" s="1">
        <v>5.5095176620000004</v>
      </c>
      <c r="V510" s="1">
        <v>5.8017242820000003</v>
      </c>
      <c r="W510" s="1">
        <v>5.6472737119999996</v>
      </c>
      <c r="X510" s="1">
        <v>6.3880871680000002</v>
      </c>
      <c r="Y510" s="1">
        <v>6.5267696659999999</v>
      </c>
      <c r="Z510" s="1">
        <v>5.9019545559999997</v>
      </c>
      <c r="AA510" s="1">
        <v>6.145010976</v>
      </c>
      <c r="AB510" s="1">
        <v>5.5787398220000002</v>
      </c>
      <c r="AC510" s="1">
        <v>6.4571567910000001</v>
      </c>
      <c r="AD510" s="1">
        <v>6.3516560770000003</v>
      </c>
      <c r="AE510" s="1">
        <v>6.4424693460000002</v>
      </c>
    </row>
    <row r="511" spans="1:31" x14ac:dyDescent="0.25">
      <c r="A511" s="1" t="s">
        <v>1119</v>
      </c>
      <c r="B511" s="1" t="s">
        <v>2557</v>
      </c>
      <c r="C511" s="1" t="s">
        <v>2967</v>
      </c>
      <c r="D511" s="1" t="s">
        <v>2989</v>
      </c>
      <c r="E511" s="1" t="s">
        <v>3463</v>
      </c>
      <c r="F511" s="1" t="s">
        <v>3464</v>
      </c>
      <c r="G511" s="1" t="s">
        <v>1119</v>
      </c>
      <c r="H511" s="1">
        <v>4.7245801409999997</v>
      </c>
      <c r="I511" s="1">
        <v>4.9575946069999999</v>
      </c>
      <c r="J511" s="1">
        <v>5.6161485820000001</v>
      </c>
      <c r="K511" s="1">
        <v>5.5719358019999996</v>
      </c>
      <c r="L511" s="1">
        <v>4.5867597299999998</v>
      </c>
      <c r="M511" s="1">
        <v>5.029201552</v>
      </c>
      <c r="N511" s="1">
        <v>5.7258938089999996</v>
      </c>
      <c r="O511" s="1">
        <v>5.5090357550000002</v>
      </c>
      <c r="P511" s="1">
        <v>5.0554269730000003</v>
      </c>
      <c r="Q511" s="1">
        <v>4.8773483779999998</v>
      </c>
      <c r="R511" s="1">
        <v>4.6083586160000003</v>
      </c>
      <c r="S511" s="1">
        <v>4.8114074450000004</v>
      </c>
      <c r="T511" s="1">
        <v>4.5867597299999998</v>
      </c>
      <c r="U511" s="1">
        <v>5.029201552</v>
      </c>
      <c r="V511" s="1">
        <v>5.8270932010000003</v>
      </c>
      <c r="W511" s="1">
        <v>6.2922055309999996</v>
      </c>
      <c r="X511" s="1">
        <v>5.3989469190000001</v>
      </c>
      <c r="Y511" s="1">
        <v>6.2347231909999996</v>
      </c>
      <c r="Z511" s="1">
        <v>4.6083586160000003</v>
      </c>
      <c r="AA511" s="1">
        <v>4.8114074450000004</v>
      </c>
      <c r="AB511" s="1">
        <v>5.2406211000000003</v>
      </c>
      <c r="AC511" s="1">
        <v>5.7595305120000004</v>
      </c>
      <c r="AD511" s="1">
        <v>5.4791562909999998</v>
      </c>
      <c r="AE511" s="1">
        <v>5.9145294059999998</v>
      </c>
    </row>
    <row r="512" spans="1:31" x14ac:dyDescent="0.25">
      <c r="A512" s="1" t="s">
        <v>1120</v>
      </c>
      <c r="B512" s="1" t="s">
        <v>2530</v>
      </c>
      <c r="C512" s="1" t="s">
        <v>2531</v>
      </c>
      <c r="D512" s="1" t="s">
        <v>2535</v>
      </c>
      <c r="E512" s="1" t="s">
        <v>3465</v>
      </c>
      <c r="G512" s="1" t="s">
        <v>1120</v>
      </c>
      <c r="H512" s="1">
        <v>4.0684382540000001</v>
      </c>
      <c r="I512" s="1">
        <v>5.0595268689999999</v>
      </c>
      <c r="J512" s="1">
        <v>6.0426942559999999</v>
      </c>
      <c r="K512" s="1">
        <v>5.6105789259999996</v>
      </c>
      <c r="L512" s="1">
        <v>5.8523421369999999</v>
      </c>
      <c r="M512" s="1">
        <v>5.7391643339999998</v>
      </c>
      <c r="N512" s="1">
        <v>6.0019412369999996</v>
      </c>
      <c r="O512" s="1">
        <v>5.7062857469999999</v>
      </c>
      <c r="P512" s="1">
        <v>5.8072178450000003</v>
      </c>
      <c r="Q512" s="1">
        <v>5.5022716190000001</v>
      </c>
      <c r="R512" s="1">
        <v>5.9019545559999997</v>
      </c>
      <c r="S512" s="1">
        <v>5.8607892960000001</v>
      </c>
      <c r="T512" s="1">
        <v>5.8523421369999999</v>
      </c>
      <c r="U512" s="1">
        <v>5.7391643339999998</v>
      </c>
      <c r="V512" s="1">
        <v>5.4230002329999998</v>
      </c>
      <c r="W512" s="1">
        <v>6.0056801469999996</v>
      </c>
      <c r="X512" s="1">
        <v>6.6452477740000004</v>
      </c>
      <c r="Y512" s="1">
        <v>6.421343255</v>
      </c>
      <c r="Z512" s="1">
        <v>5.9019545559999997</v>
      </c>
      <c r="AA512" s="1">
        <v>5.8607892960000001</v>
      </c>
      <c r="AB512" s="1">
        <v>6.3971449009999999</v>
      </c>
      <c r="AC512" s="1">
        <v>6.0708982899999997</v>
      </c>
      <c r="AD512" s="1">
        <v>6.7977787940000001</v>
      </c>
      <c r="AE512" s="1">
        <v>6.8907852160000003</v>
      </c>
    </row>
    <row r="513" spans="1:31" x14ac:dyDescent="0.25">
      <c r="A513" s="1" t="s">
        <v>1121</v>
      </c>
      <c r="B513" s="1" t="s">
        <v>2608</v>
      </c>
      <c r="C513" s="1" t="s">
        <v>2609</v>
      </c>
      <c r="D513" s="1" t="s">
        <v>2636</v>
      </c>
      <c r="E513" s="1" t="s">
        <v>3466</v>
      </c>
      <c r="F513" s="1" t="s">
        <v>3467</v>
      </c>
      <c r="G513" s="1" t="s">
        <v>1121</v>
      </c>
      <c r="H513" s="1">
        <v>6.8012610130000004</v>
      </c>
      <c r="I513" s="1">
        <v>7.2668382759999997</v>
      </c>
      <c r="J513" s="1">
        <v>7.7032581010000003</v>
      </c>
      <c r="K513" s="1">
        <v>7.5825799859999998</v>
      </c>
      <c r="L513" s="1">
        <v>7.9413491040000004</v>
      </c>
      <c r="M513" s="1">
        <v>7.8936234440000002</v>
      </c>
      <c r="N513" s="1">
        <v>7.7285321639999998</v>
      </c>
      <c r="O513" s="1">
        <v>7.544227351</v>
      </c>
      <c r="P513" s="1">
        <v>7.4562714860000003</v>
      </c>
      <c r="Q513" s="1">
        <v>7.6862040629999999</v>
      </c>
      <c r="R513" s="1">
        <v>7.2361715980000003</v>
      </c>
      <c r="S513" s="1">
        <v>7.672097699</v>
      </c>
      <c r="T513" s="1">
        <v>7.9413491040000004</v>
      </c>
      <c r="U513" s="1">
        <v>7.8936234440000002</v>
      </c>
      <c r="V513" s="1">
        <v>7.8297922309999999</v>
      </c>
      <c r="W513" s="1">
        <v>7.8491249549999997</v>
      </c>
      <c r="X513" s="1">
        <v>8.4920651990000007</v>
      </c>
      <c r="Y513" s="1">
        <v>8.4100409710000008</v>
      </c>
      <c r="Z513" s="1">
        <v>7.2361715980000003</v>
      </c>
      <c r="AA513" s="1">
        <v>7.672097699</v>
      </c>
      <c r="AB513" s="1">
        <v>8.0479610170000004</v>
      </c>
      <c r="AC513" s="1">
        <v>8.0301607500000003</v>
      </c>
      <c r="AD513" s="1">
        <v>8.2627486450000003</v>
      </c>
      <c r="AE513" s="1">
        <v>8.1878426139999991</v>
      </c>
    </row>
    <row r="514" spans="1:31" x14ac:dyDescent="0.25">
      <c r="A514" s="1" t="s">
        <v>1122</v>
      </c>
      <c r="B514" s="1" t="s">
        <v>2542</v>
      </c>
      <c r="C514" s="1" t="s">
        <v>3468</v>
      </c>
      <c r="D514" s="1" t="s">
        <v>2613</v>
      </c>
      <c r="E514" s="1" t="s">
        <v>3469</v>
      </c>
      <c r="F514" s="1" t="s">
        <v>3470</v>
      </c>
      <c r="G514" s="1" t="s">
        <v>1122</v>
      </c>
      <c r="H514" s="1">
        <v>5.7062998909999996</v>
      </c>
      <c r="I514" s="1">
        <v>5.8070199389999999</v>
      </c>
      <c r="J514" s="1">
        <v>6.5019279570000004</v>
      </c>
      <c r="K514" s="1">
        <v>6.4300937310000004</v>
      </c>
      <c r="L514" s="1">
        <v>6.9385449299999999</v>
      </c>
      <c r="M514" s="1">
        <v>6.9864030259999996</v>
      </c>
      <c r="N514" s="1">
        <v>5.9569306830000004</v>
      </c>
      <c r="O514" s="1">
        <v>5.9503866380000003</v>
      </c>
      <c r="P514" s="1">
        <v>6.4828273410000001</v>
      </c>
      <c r="Q514" s="1">
        <v>6.5369026620000001</v>
      </c>
      <c r="R514" s="1">
        <v>6.5512588940000001</v>
      </c>
      <c r="S514" s="1">
        <v>6.3821686289999997</v>
      </c>
      <c r="T514" s="1">
        <v>6.9385449299999999</v>
      </c>
      <c r="U514" s="1">
        <v>6.9864030259999996</v>
      </c>
      <c r="V514" s="1">
        <v>6.9302380990000003</v>
      </c>
      <c r="W514" s="1">
        <v>6.595535302</v>
      </c>
      <c r="X514" s="1">
        <v>6.775075384</v>
      </c>
      <c r="Y514" s="1">
        <v>6.6249961490000002</v>
      </c>
      <c r="Z514" s="1">
        <v>6.5512588940000001</v>
      </c>
      <c r="AA514" s="1">
        <v>6.3821686289999997</v>
      </c>
      <c r="AB514" s="1">
        <v>6.557950226</v>
      </c>
      <c r="AC514" s="1">
        <v>6.6409981050000004</v>
      </c>
      <c r="AD514" s="1">
        <v>6.190389411</v>
      </c>
      <c r="AE514" s="1">
        <v>6.4839450430000003</v>
      </c>
    </row>
    <row r="515" spans="1:31" x14ac:dyDescent="0.25">
      <c r="A515" s="1" t="s">
        <v>1125</v>
      </c>
      <c r="B515" s="1" t="s">
        <v>2530</v>
      </c>
      <c r="C515" s="1" t="s">
        <v>2573</v>
      </c>
      <c r="D515" s="1" t="s">
        <v>2535</v>
      </c>
      <c r="E515" s="1" t="s">
        <v>3397</v>
      </c>
      <c r="G515" s="1" t="s">
        <v>1125</v>
      </c>
      <c r="H515" s="1">
        <v>6.379172209</v>
      </c>
      <c r="I515" s="1">
        <v>6.1195241339999997</v>
      </c>
      <c r="J515" s="1">
        <v>5.6809121170000001</v>
      </c>
      <c r="K515" s="1">
        <v>5.9181521149999998</v>
      </c>
      <c r="L515" s="1">
        <v>4.3335465510000004</v>
      </c>
      <c r="M515" s="1">
        <v>4.7872698079999996</v>
      </c>
      <c r="N515" s="1">
        <v>5.3835417159999999</v>
      </c>
      <c r="O515" s="1">
        <v>6.0504081489999999</v>
      </c>
      <c r="P515" s="1">
        <v>4.7394495640000001</v>
      </c>
      <c r="Q515" s="1">
        <v>5.1004769559999996</v>
      </c>
      <c r="R515" s="1">
        <v>4.8118229140000004</v>
      </c>
      <c r="S515" s="1">
        <v>5.0824952919999999</v>
      </c>
      <c r="T515" s="1">
        <v>4.3335465510000004</v>
      </c>
      <c r="U515" s="1">
        <v>4.7872698079999996</v>
      </c>
      <c r="V515" s="1">
        <v>5.5807524949999996</v>
      </c>
      <c r="W515" s="1">
        <v>5.4743148909999997</v>
      </c>
      <c r="X515" s="1">
        <v>5.1128189019999999</v>
      </c>
      <c r="Y515" s="1">
        <v>5.8019430659999998</v>
      </c>
      <c r="Z515" s="1">
        <v>4.8118229140000004</v>
      </c>
      <c r="AA515" s="1">
        <v>5.0824952919999999</v>
      </c>
      <c r="AB515" s="1">
        <v>5.3624643089999999</v>
      </c>
      <c r="AC515" s="1">
        <v>4.9145215069999999</v>
      </c>
      <c r="AD515" s="1">
        <v>5.3091856960000001</v>
      </c>
      <c r="AE515" s="1">
        <v>5.2252968339999999</v>
      </c>
    </row>
    <row r="516" spans="1:31" x14ac:dyDescent="0.25">
      <c r="A516" s="1" t="s">
        <v>1130</v>
      </c>
      <c r="B516" s="1" t="s">
        <v>2557</v>
      </c>
      <c r="C516" s="1" t="s">
        <v>2680</v>
      </c>
      <c r="D516" s="1" t="s">
        <v>3471</v>
      </c>
      <c r="E516" s="1" t="s">
        <v>3472</v>
      </c>
      <c r="F516" s="1" t="s">
        <v>3473</v>
      </c>
      <c r="G516" s="1" t="s">
        <v>1130</v>
      </c>
      <c r="H516" s="1">
        <v>3.2549621289999999</v>
      </c>
      <c r="I516" s="1">
        <v>3.1348991329999998</v>
      </c>
      <c r="J516" s="1">
        <v>3.6453331530000002</v>
      </c>
      <c r="K516" s="1">
        <v>3.22334677</v>
      </c>
      <c r="L516" s="1">
        <v>2.315629231</v>
      </c>
      <c r="M516" s="1">
        <v>2.3994532390000001</v>
      </c>
      <c r="N516" s="1">
        <v>4.5366957899999996</v>
      </c>
      <c r="O516" s="1">
        <v>4.2189785100000003</v>
      </c>
      <c r="P516" s="1">
        <v>3.106446558</v>
      </c>
      <c r="Q516" s="1">
        <v>1.7393328349999999</v>
      </c>
      <c r="R516" s="1">
        <v>3.1834741979999999</v>
      </c>
      <c r="S516" s="1">
        <v>2.5733617299999998</v>
      </c>
      <c r="T516" s="1">
        <v>2.315629231</v>
      </c>
      <c r="U516" s="1">
        <v>2.3994532390000001</v>
      </c>
      <c r="V516" s="1">
        <v>3.6670520409999998</v>
      </c>
      <c r="W516" s="1">
        <v>1.7393328349999999</v>
      </c>
      <c r="X516" s="1">
        <v>3.2074401739999998</v>
      </c>
      <c r="Y516" s="1">
        <v>3.6154848500000001</v>
      </c>
      <c r="Z516" s="1">
        <v>3.1834741979999999</v>
      </c>
      <c r="AA516" s="1">
        <v>2.5733617299999998</v>
      </c>
      <c r="AB516" s="1">
        <v>2.73487305</v>
      </c>
      <c r="AC516" s="1">
        <v>3.3054795530000001</v>
      </c>
      <c r="AD516" s="1">
        <v>2.6025990879999998</v>
      </c>
      <c r="AE516" s="1">
        <v>3.321206681</v>
      </c>
    </row>
    <row r="517" spans="1:31" x14ac:dyDescent="0.25">
      <c r="A517" s="1" t="s">
        <v>1131</v>
      </c>
      <c r="B517" s="1" t="s">
        <v>2547</v>
      </c>
      <c r="C517" s="1" t="s">
        <v>2789</v>
      </c>
      <c r="D517" s="1" t="s">
        <v>2535</v>
      </c>
      <c r="E517" s="1" t="s">
        <v>3474</v>
      </c>
      <c r="F517" s="1" t="s">
        <v>3475</v>
      </c>
      <c r="G517" s="1" t="s">
        <v>1131</v>
      </c>
      <c r="H517" s="1">
        <v>5.0553993879999997</v>
      </c>
      <c r="I517" s="1">
        <v>5.3275363779999996</v>
      </c>
      <c r="J517" s="1">
        <v>5.7428701560000004</v>
      </c>
      <c r="K517" s="1">
        <v>5.3612725399999999</v>
      </c>
      <c r="L517" s="1">
        <v>5.7251137559999998</v>
      </c>
      <c r="M517" s="1">
        <v>5.9370080740000004</v>
      </c>
      <c r="N517" s="1">
        <v>5.2894624830000003</v>
      </c>
      <c r="O517" s="1">
        <v>5.3605571169999999</v>
      </c>
      <c r="P517" s="1">
        <v>5.6296473389999999</v>
      </c>
      <c r="Q517" s="1">
        <v>5.8463140779999998</v>
      </c>
      <c r="R517" s="1">
        <v>5.8111782390000002</v>
      </c>
      <c r="S517" s="1">
        <v>5.4306817489999997</v>
      </c>
      <c r="T517" s="1">
        <v>5.7251137559999998</v>
      </c>
      <c r="U517" s="1">
        <v>5.9370080740000004</v>
      </c>
      <c r="V517" s="1">
        <v>5.8270932010000003</v>
      </c>
      <c r="W517" s="1">
        <v>5.9072448660000001</v>
      </c>
      <c r="X517" s="1">
        <v>5.5811786620000001</v>
      </c>
      <c r="Y517" s="1">
        <v>5.5841077690000001</v>
      </c>
      <c r="Z517" s="1">
        <v>5.8111782390000002</v>
      </c>
      <c r="AA517" s="1">
        <v>5.4306817489999997</v>
      </c>
      <c r="AB517" s="1">
        <v>5.7218462399999996</v>
      </c>
      <c r="AC517" s="1">
        <v>5.471555994</v>
      </c>
      <c r="AD517" s="1">
        <v>5.5571020090000003</v>
      </c>
      <c r="AE517" s="1">
        <v>5.7195355599999997</v>
      </c>
    </row>
    <row r="518" spans="1:31" x14ac:dyDescent="0.25">
      <c r="A518" s="1" t="s">
        <v>1132</v>
      </c>
      <c r="B518" s="1" t="s">
        <v>2667</v>
      </c>
      <c r="C518" s="1" t="s">
        <v>2875</v>
      </c>
      <c r="D518" s="1" t="s">
        <v>2876</v>
      </c>
      <c r="E518" s="1" t="s">
        <v>3476</v>
      </c>
      <c r="F518" s="1" t="s">
        <v>3477</v>
      </c>
      <c r="G518" s="1" t="s">
        <v>1132</v>
      </c>
      <c r="H518" s="1">
        <v>6.2055952369999998</v>
      </c>
      <c r="I518" s="1">
        <v>5.9717652650000002</v>
      </c>
      <c r="J518" s="1">
        <v>6.4472967060000004</v>
      </c>
      <c r="K518" s="1">
        <v>6.4083964440000001</v>
      </c>
      <c r="L518" s="1">
        <v>6.3309778019999996</v>
      </c>
      <c r="M518" s="1">
        <v>6.3054089360000001</v>
      </c>
      <c r="N518" s="1">
        <v>5.7436907640000001</v>
      </c>
      <c r="O518" s="1">
        <v>6.0012687509999996</v>
      </c>
      <c r="P518" s="1">
        <v>6.4476246020000003</v>
      </c>
      <c r="Q518" s="1">
        <v>6.3980489909999996</v>
      </c>
      <c r="R518" s="1">
        <v>6.7431387049999998</v>
      </c>
      <c r="S518" s="1">
        <v>6.6531047939999999</v>
      </c>
      <c r="T518" s="1">
        <v>6.3309778019999996</v>
      </c>
      <c r="U518" s="1">
        <v>6.3054089360000001</v>
      </c>
      <c r="V518" s="1">
        <v>6.5893934979999997</v>
      </c>
      <c r="W518" s="1">
        <v>6.3179498900000004</v>
      </c>
      <c r="X518" s="1">
        <v>6.5025394790000002</v>
      </c>
      <c r="Y518" s="1">
        <v>5.8352313850000002</v>
      </c>
      <c r="Z518" s="1">
        <v>6.7431387049999998</v>
      </c>
      <c r="AA518" s="1">
        <v>6.6531047939999999</v>
      </c>
      <c r="AB518" s="1">
        <v>6.3685053089999997</v>
      </c>
      <c r="AC518" s="1">
        <v>6.8039964739999998</v>
      </c>
      <c r="AD518" s="1">
        <v>6.2383411879999997</v>
      </c>
      <c r="AE518" s="1">
        <v>6.5042429439999996</v>
      </c>
    </row>
    <row r="519" spans="1:31" x14ac:dyDescent="0.25">
      <c r="A519" s="1" t="s">
        <v>1133</v>
      </c>
      <c r="B519" s="1" t="s">
        <v>2843</v>
      </c>
      <c r="C519" s="1" t="s">
        <v>2903</v>
      </c>
      <c r="D519" s="1" t="s">
        <v>3478</v>
      </c>
      <c r="E519" s="1" t="s">
        <v>3479</v>
      </c>
      <c r="F519" s="1" t="s">
        <v>3480</v>
      </c>
      <c r="G519" s="1" t="s">
        <v>1133</v>
      </c>
      <c r="H519" s="1">
        <v>5.946332924</v>
      </c>
      <c r="I519" s="1">
        <v>5.8640648840000003</v>
      </c>
      <c r="J519" s="1">
        <v>6.1606909930000002</v>
      </c>
      <c r="K519" s="1">
        <v>6.1712535270000002</v>
      </c>
      <c r="L519" s="1">
        <v>5.9816045750000004</v>
      </c>
      <c r="M519" s="1">
        <v>6.4767572920000003</v>
      </c>
      <c r="N519" s="1">
        <v>5.5139471840000001</v>
      </c>
      <c r="O519" s="1">
        <v>5.7664208490000002</v>
      </c>
      <c r="P519" s="1">
        <v>6.2975076100000003</v>
      </c>
      <c r="Q519" s="1">
        <v>6.459205753</v>
      </c>
      <c r="R519" s="1">
        <v>6.3726832150000003</v>
      </c>
      <c r="S519" s="1">
        <v>6.6856618179999998</v>
      </c>
      <c r="T519" s="1">
        <v>5.9816045750000004</v>
      </c>
      <c r="U519" s="1">
        <v>6.4767572920000003</v>
      </c>
      <c r="V519" s="1">
        <v>5.8765220630000004</v>
      </c>
      <c r="W519" s="1">
        <v>6.657303325</v>
      </c>
      <c r="X519" s="1">
        <v>6.4516415819999997</v>
      </c>
      <c r="Y519" s="1">
        <v>6.3769095809999996</v>
      </c>
      <c r="Z519" s="1">
        <v>6.3726832150000003</v>
      </c>
      <c r="AA519" s="1">
        <v>6.6856618179999998</v>
      </c>
      <c r="AB519" s="1">
        <v>6.8547782980000003</v>
      </c>
      <c r="AC519" s="1">
        <v>6.5096691079999998</v>
      </c>
      <c r="AD519" s="1">
        <v>6.554572984</v>
      </c>
      <c r="AE519" s="1">
        <v>6.2394295809999996</v>
      </c>
    </row>
    <row r="520" spans="1:31" x14ac:dyDescent="0.25">
      <c r="A520" s="1" t="s">
        <v>1134</v>
      </c>
      <c r="B520" s="1" t="s">
        <v>2530</v>
      </c>
      <c r="C520" s="1" t="s">
        <v>2531</v>
      </c>
      <c r="D520" s="1" t="s">
        <v>2535</v>
      </c>
      <c r="E520" s="1" t="s">
        <v>3481</v>
      </c>
      <c r="G520" s="1" t="s">
        <v>1134</v>
      </c>
      <c r="H520" s="1">
        <v>7.0413960959999997</v>
      </c>
      <c r="I520" s="1">
        <v>6.4335830219999997</v>
      </c>
      <c r="J520" s="1">
        <v>6.2905743620000001</v>
      </c>
      <c r="K520" s="1">
        <v>6.4300937310000004</v>
      </c>
      <c r="L520" s="1">
        <v>6.0182159679999998</v>
      </c>
      <c r="M520" s="1">
        <v>6.211413758</v>
      </c>
      <c r="N520" s="1">
        <v>5.894631425</v>
      </c>
      <c r="O520" s="1">
        <v>6.5373998999999996</v>
      </c>
      <c r="P520" s="1">
        <v>6.2573947350000001</v>
      </c>
      <c r="Q520" s="1">
        <v>6.2673322389999999</v>
      </c>
      <c r="R520" s="1">
        <v>6.0146875240000002</v>
      </c>
      <c r="S520" s="1">
        <v>6.0480456849999999</v>
      </c>
      <c r="T520" s="1">
        <v>6.0182159679999998</v>
      </c>
      <c r="U520" s="1">
        <v>6.211413758</v>
      </c>
      <c r="V520" s="1">
        <v>5.9705432629999997</v>
      </c>
      <c r="W520" s="1">
        <v>6.156075682</v>
      </c>
      <c r="X520" s="1">
        <v>6.1910758819999998</v>
      </c>
      <c r="Y520" s="1">
        <v>6.1840201749999997</v>
      </c>
      <c r="Z520" s="1">
        <v>6.0146875240000002</v>
      </c>
      <c r="AA520" s="1">
        <v>6.0480456849999999</v>
      </c>
      <c r="AB520" s="1">
        <v>5.851934376</v>
      </c>
      <c r="AC520" s="1">
        <v>5.8163513240000002</v>
      </c>
      <c r="AD520" s="1">
        <v>6.1153202110000002</v>
      </c>
      <c r="AE520" s="1">
        <v>6.086150795</v>
      </c>
    </row>
    <row r="521" spans="1:31" x14ac:dyDescent="0.25">
      <c r="A521" s="1" t="s">
        <v>1135</v>
      </c>
      <c r="B521" s="1" t="s">
        <v>2530</v>
      </c>
      <c r="C521" s="1" t="s">
        <v>2531</v>
      </c>
      <c r="D521" s="1" t="s">
        <v>2535</v>
      </c>
      <c r="E521" s="1" t="s">
        <v>3482</v>
      </c>
      <c r="G521" s="1" t="s">
        <v>1135</v>
      </c>
      <c r="H521" s="1">
        <v>4.995162745</v>
      </c>
      <c r="I521" s="1">
        <v>4.5981535630000003</v>
      </c>
      <c r="J521" s="1">
        <v>5.5131441250000002</v>
      </c>
      <c r="K521" s="1">
        <v>5.3612725399999999</v>
      </c>
      <c r="L521" s="1">
        <v>5.0110661050000003</v>
      </c>
      <c r="M521" s="1">
        <v>5.029201552</v>
      </c>
      <c r="N521" s="1">
        <v>4.5776172920000002</v>
      </c>
      <c r="O521" s="1">
        <v>4.7903853170000001</v>
      </c>
      <c r="P521" s="1">
        <v>5.6296473389999999</v>
      </c>
      <c r="Q521" s="1">
        <v>5.2000913229999997</v>
      </c>
      <c r="R521" s="1">
        <v>5.3334881589999998</v>
      </c>
      <c r="S521" s="1">
        <v>5.0824952919999999</v>
      </c>
      <c r="T521" s="1">
        <v>5.0110661050000003</v>
      </c>
      <c r="U521" s="1">
        <v>5.029201552</v>
      </c>
      <c r="V521" s="1">
        <v>5.0857495259999999</v>
      </c>
      <c r="W521" s="1">
        <v>5.5195577800000004</v>
      </c>
      <c r="X521" s="1">
        <v>5.0861518739999996</v>
      </c>
      <c r="Y521" s="1">
        <v>5.6227961889999998</v>
      </c>
      <c r="Z521" s="1">
        <v>5.3334881589999998</v>
      </c>
      <c r="AA521" s="1">
        <v>5.0824952919999999</v>
      </c>
      <c r="AB521" s="1">
        <v>4.9601840040000003</v>
      </c>
      <c r="AC521" s="1">
        <v>4.9660712470000004</v>
      </c>
      <c r="AD521" s="1">
        <v>5.2633210659999996</v>
      </c>
      <c r="AE521" s="1">
        <v>5.2252968339999999</v>
      </c>
    </row>
    <row r="522" spans="1:31" x14ac:dyDescent="0.25">
      <c r="A522" s="1" t="s">
        <v>1136</v>
      </c>
      <c r="B522" s="1" t="s">
        <v>2530</v>
      </c>
      <c r="C522" s="1" t="s">
        <v>2531</v>
      </c>
      <c r="D522" s="1" t="s">
        <v>2535</v>
      </c>
      <c r="E522" s="1" t="s">
        <v>3483</v>
      </c>
      <c r="G522" s="1" t="s">
        <v>1136</v>
      </c>
      <c r="H522" s="1">
        <v>5.3232649629999997</v>
      </c>
      <c r="I522" s="1">
        <v>4.7893724280000001</v>
      </c>
      <c r="J522" s="1">
        <v>6.9576180770000002</v>
      </c>
      <c r="K522" s="1">
        <v>6.4725304650000002</v>
      </c>
      <c r="L522" s="1">
        <v>6.8124457639999996</v>
      </c>
      <c r="M522" s="1">
        <v>6.9116068830000001</v>
      </c>
      <c r="N522" s="1">
        <v>4.9930900400000002</v>
      </c>
      <c r="O522" s="1">
        <v>5.3605571169999999</v>
      </c>
      <c r="P522" s="1">
        <v>7.1077111620000002</v>
      </c>
      <c r="Q522" s="1">
        <v>6.9456850320000001</v>
      </c>
      <c r="R522" s="1">
        <v>7.0898067039999999</v>
      </c>
      <c r="S522" s="1">
        <v>7.3042092470000002</v>
      </c>
      <c r="T522" s="1">
        <v>6.8124457639999996</v>
      </c>
      <c r="U522" s="1">
        <v>6.9116068830000001</v>
      </c>
      <c r="V522" s="1">
        <v>6.7957404280000002</v>
      </c>
      <c r="W522" s="1">
        <v>7.0438401490000002</v>
      </c>
      <c r="X522" s="1">
        <v>7.0997377769999996</v>
      </c>
      <c r="Y522" s="1">
        <v>6.7864979940000003</v>
      </c>
      <c r="Z522" s="1">
        <v>7.0898067039999999</v>
      </c>
      <c r="AA522" s="1">
        <v>7.3042092470000002</v>
      </c>
      <c r="AB522" s="1">
        <v>6.6559655099999997</v>
      </c>
      <c r="AC522" s="1">
        <v>6.8856954019999996</v>
      </c>
      <c r="AD522" s="1">
        <v>6.6283518130000001</v>
      </c>
      <c r="AE522" s="1">
        <v>6.7449610880000002</v>
      </c>
    </row>
    <row r="523" spans="1:31" x14ac:dyDescent="0.25">
      <c r="A523" s="1" t="s">
        <v>1137</v>
      </c>
      <c r="B523" s="1" t="s">
        <v>2557</v>
      </c>
      <c r="C523" s="1" t="s">
        <v>3063</v>
      </c>
      <c r="D523" s="1" t="s">
        <v>3146</v>
      </c>
      <c r="E523" s="1" t="s">
        <v>3484</v>
      </c>
      <c r="F523" s="1" t="s">
        <v>3485</v>
      </c>
      <c r="G523" s="1" t="s">
        <v>1137</v>
      </c>
      <c r="H523" s="1">
        <v>2.640460343</v>
      </c>
      <c r="I523" s="1">
        <v>3.6484415459999999</v>
      </c>
      <c r="J523" s="1">
        <v>2.5640169199999998</v>
      </c>
      <c r="K523" s="1">
        <v>3.22334677</v>
      </c>
      <c r="L523" s="1">
        <v>2.8704126319999999</v>
      </c>
      <c r="M523" s="1">
        <v>2.665084539</v>
      </c>
      <c r="N523" s="1">
        <v>3.7025667929999999</v>
      </c>
      <c r="O523" s="1">
        <v>3.3203005989999999</v>
      </c>
      <c r="P523" s="1">
        <v>2.8687501260000001</v>
      </c>
      <c r="Q523" s="1">
        <v>2.935765398</v>
      </c>
      <c r="R523" s="1">
        <v>2.595728008</v>
      </c>
      <c r="S523" s="1">
        <v>2.9034795349999998</v>
      </c>
      <c r="T523" s="1">
        <v>2.8704126319999999</v>
      </c>
      <c r="U523" s="1">
        <v>2.665084539</v>
      </c>
      <c r="V523" s="1">
        <v>3.2389700330000002</v>
      </c>
      <c r="W523" s="1">
        <v>3.0218530750000001</v>
      </c>
      <c r="X523" s="1">
        <v>2.6106888979999998</v>
      </c>
      <c r="Y523" s="1">
        <v>3.6154848500000001</v>
      </c>
      <c r="Z523" s="1">
        <v>2.595728008</v>
      </c>
      <c r="AA523" s="1">
        <v>2.9034795349999998</v>
      </c>
      <c r="AB523" s="1">
        <v>1.7393328349999999</v>
      </c>
      <c r="AC523" s="1">
        <v>2.87258916</v>
      </c>
      <c r="AD523" s="1">
        <v>3.3987395579999999</v>
      </c>
      <c r="AE523" s="1">
        <v>2.9592545700000001</v>
      </c>
    </row>
    <row r="524" spans="1:31" x14ac:dyDescent="0.25">
      <c r="A524" s="1" t="s">
        <v>1138</v>
      </c>
      <c r="B524" s="1" t="s">
        <v>2535</v>
      </c>
      <c r="C524" s="1" t="s">
        <v>2535</v>
      </c>
      <c r="D524" s="1" t="s">
        <v>2535</v>
      </c>
      <c r="E524" s="1" t="s">
        <v>2535</v>
      </c>
      <c r="F524" s="1" t="s">
        <v>2535</v>
      </c>
      <c r="G524" s="1" t="s">
        <v>1138</v>
      </c>
      <c r="H524" s="1">
        <v>3.8023684370000002</v>
      </c>
      <c r="I524" s="1">
        <v>3.1348991329999998</v>
      </c>
      <c r="J524" s="1">
        <v>2.5640169199999998</v>
      </c>
      <c r="K524" s="1">
        <v>2.9677134359999999</v>
      </c>
      <c r="L524" s="1">
        <v>3.2097511390000002</v>
      </c>
      <c r="M524" s="1">
        <v>1.7393328349999999</v>
      </c>
      <c r="N524" s="1">
        <v>2.9782685729999998</v>
      </c>
      <c r="O524" s="1">
        <v>3.193511794</v>
      </c>
      <c r="P524" s="1">
        <v>3.106446558</v>
      </c>
      <c r="Q524" s="1">
        <v>3.185675432</v>
      </c>
      <c r="R524" s="1">
        <v>2.595728008</v>
      </c>
      <c r="S524" s="1">
        <v>2.5733617299999998</v>
      </c>
      <c r="T524" s="1">
        <v>3.2097511390000002</v>
      </c>
      <c r="U524" s="1">
        <v>1.7393328349999999</v>
      </c>
      <c r="V524" s="1">
        <v>3.2389700330000002</v>
      </c>
      <c r="W524" s="1">
        <v>3.0218530750000001</v>
      </c>
      <c r="X524" s="1">
        <v>2.7988456519999998</v>
      </c>
      <c r="Y524" s="1">
        <v>1.7393328349999999</v>
      </c>
      <c r="Z524" s="1">
        <v>2.595728008</v>
      </c>
      <c r="AA524" s="1">
        <v>2.5733617299999998</v>
      </c>
      <c r="AB524" s="1">
        <v>3.1218319999999999</v>
      </c>
      <c r="AC524" s="1">
        <v>2.87258916</v>
      </c>
      <c r="AD524" s="1">
        <v>3.1944880649999998</v>
      </c>
      <c r="AE524" s="1">
        <v>2.6144016259999998</v>
      </c>
    </row>
    <row r="525" spans="1:31" x14ac:dyDescent="0.25">
      <c r="A525" s="1" t="s">
        <v>1140</v>
      </c>
      <c r="B525" s="1" t="s">
        <v>2535</v>
      </c>
      <c r="C525" s="1" t="s">
        <v>2535</v>
      </c>
      <c r="D525" s="1" t="s">
        <v>2535</v>
      </c>
      <c r="E525" s="1" t="s">
        <v>2535</v>
      </c>
      <c r="F525" s="1" t="s">
        <v>2535</v>
      </c>
      <c r="G525" s="1" t="s">
        <v>1140</v>
      </c>
      <c r="H525" s="1">
        <v>1.7393328349999999</v>
      </c>
      <c r="I525" s="1">
        <v>1.7393328349999999</v>
      </c>
      <c r="J525" s="1">
        <v>1.7393328349999999</v>
      </c>
      <c r="K525" s="1">
        <v>1.7393328349999999</v>
      </c>
      <c r="L525" s="1">
        <v>1.7393328349999999</v>
      </c>
      <c r="M525" s="1">
        <v>1.7393328349999999</v>
      </c>
      <c r="N525" s="1">
        <v>2.372908427</v>
      </c>
      <c r="O525" s="1">
        <v>1.7393328349999999</v>
      </c>
      <c r="P525" s="1">
        <v>2.5478783159999998</v>
      </c>
      <c r="Q525" s="1">
        <v>1.7393328349999999</v>
      </c>
      <c r="R525" s="1">
        <v>1.7393328349999999</v>
      </c>
      <c r="S525" s="1">
        <v>1.7393328349999999</v>
      </c>
      <c r="T525" s="1">
        <v>1.7393328349999999</v>
      </c>
      <c r="U525" s="1">
        <v>1.7393328349999999</v>
      </c>
      <c r="V525" s="1">
        <v>1.7393328349999999</v>
      </c>
      <c r="W525" s="1">
        <v>1.7393328349999999</v>
      </c>
      <c r="X525" s="1">
        <v>2.3600830049999999</v>
      </c>
      <c r="Y525" s="1">
        <v>1.7393328349999999</v>
      </c>
      <c r="Z525" s="1">
        <v>1.7393328349999999</v>
      </c>
      <c r="AA525" s="1">
        <v>1.7393328349999999</v>
      </c>
      <c r="AB525" s="1">
        <v>2.73487305</v>
      </c>
      <c r="AC525" s="1">
        <v>2.5506926650000001</v>
      </c>
      <c r="AD525" s="1">
        <v>1.7393328349999999</v>
      </c>
      <c r="AE525" s="1">
        <v>1.7393328349999999</v>
      </c>
    </row>
    <row r="526" spans="1:31" x14ac:dyDescent="0.25">
      <c r="A526" s="1" t="s">
        <v>1142</v>
      </c>
      <c r="B526" s="1" t="s">
        <v>2530</v>
      </c>
      <c r="C526" s="1" t="s">
        <v>2531</v>
      </c>
      <c r="D526" s="1" t="s">
        <v>2535</v>
      </c>
      <c r="E526" s="1" t="s">
        <v>3234</v>
      </c>
      <c r="G526" s="1" t="s">
        <v>1142</v>
      </c>
      <c r="H526" s="1">
        <v>3.4660955969999998</v>
      </c>
      <c r="I526" s="1">
        <v>4.2936285989999998</v>
      </c>
      <c r="J526" s="1">
        <v>3.329519721</v>
      </c>
      <c r="K526" s="1">
        <v>3.22334677</v>
      </c>
      <c r="L526" s="1">
        <v>2.7248816410000001</v>
      </c>
      <c r="M526" s="1">
        <v>2.8639998100000001</v>
      </c>
      <c r="N526" s="1">
        <v>4.4945275240000004</v>
      </c>
      <c r="O526" s="1">
        <v>4.7903853170000001</v>
      </c>
      <c r="P526" s="1">
        <v>2.8687501260000001</v>
      </c>
      <c r="Q526" s="1">
        <v>2.597100669</v>
      </c>
      <c r="R526" s="1">
        <v>2.9339002829999998</v>
      </c>
      <c r="S526" s="1">
        <v>3.1475403900000001</v>
      </c>
      <c r="T526" s="1">
        <v>2.7248816410000001</v>
      </c>
      <c r="U526" s="1">
        <v>2.8639998100000001</v>
      </c>
      <c r="V526" s="1">
        <v>3.0516113059999999</v>
      </c>
      <c r="W526" s="1">
        <v>2.6606351240000001</v>
      </c>
      <c r="X526" s="1">
        <v>3.0884111989999998</v>
      </c>
      <c r="Y526" s="1">
        <v>2.624795792</v>
      </c>
      <c r="Z526" s="1">
        <v>2.9339002829999998</v>
      </c>
      <c r="AA526" s="1">
        <v>3.1475403900000001</v>
      </c>
      <c r="AB526" s="1">
        <v>3.1218319999999999</v>
      </c>
      <c r="AC526" s="1">
        <v>2.87258916</v>
      </c>
      <c r="AD526" s="1">
        <v>2.9432342459999998</v>
      </c>
      <c r="AE526" s="1">
        <v>2.6144016259999998</v>
      </c>
    </row>
    <row r="527" spans="1:31" x14ac:dyDescent="0.25">
      <c r="A527" s="1" t="s">
        <v>1143</v>
      </c>
      <c r="B527" s="1" t="s">
        <v>2547</v>
      </c>
      <c r="C527" s="1" t="s">
        <v>2622</v>
      </c>
      <c r="D527" s="1" t="s">
        <v>2535</v>
      </c>
      <c r="E527" s="1" t="s">
        <v>3486</v>
      </c>
      <c r="G527" s="1" t="s">
        <v>1143</v>
      </c>
      <c r="H527" s="1">
        <v>5.8483408880000001</v>
      </c>
      <c r="I527" s="1">
        <v>5.7476087250000001</v>
      </c>
      <c r="J527" s="1">
        <v>4.8434621079999998</v>
      </c>
      <c r="K527" s="1">
        <v>6.091743707</v>
      </c>
      <c r="L527" s="1">
        <v>4.8008003170000002</v>
      </c>
      <c r="M527" s="1">
        <v>4.2945656129999996</v>
      </c>
      <c r="N527" s="1">
        <v>6.2458658810000003</v>
      </c>
      <c r="O527" s="1">
        <v>6.3670506839999996</v>
      </c>
      <c r="P527" s="1">
        <v>5.0074447400000004</v>
      </c>
      <c r="Q527" s="1">
        <v>5.1004769559999996</v>
      </c>
      <c r="R527" s="1">
        <v>4.8735636449999999</v>
      </c>
      <c r="S527" s="1">
        <v>3.7977317990000001</v>
      </c>
      <c r="T527" s="1">
        <v>4.8008003170000002</v>
      </c>
      <c r="U527" s="1">
        <v>4.2945656129999996</v>
      </c>
      <c r="V527" s="1">
        <v>4.5826682710000002</v>
      </c>
      <c r="W527" s="1">
        <v>5.16775612</v>
      </c>
      <c r="X527" s="1">
        <v>5.1128189019999999</v>
      </c>
      <c r="Y527" s="1">
        <v>4.8250325140000001</v>
      </c>
      <c r="Z527" s="1">
        <v>4.8735636449999999</v>
      </c>
      <c r="AA527" s="1">
        <v>3.7977317990000001</v>
      </c>
      <c r="AB527" s="1">
        <v>4.8804215500000003</v>
      </c>
      <c r="AC527" s="1">
        <v>5.2822693689999998</v>
      </c>
      <c r="AD527" s="1">
        <v>4.83054469</v>
      </c>
      <c r="AE527" s="1">
        <v>5.2252968339999999</v>
      </c>
    </row>
    <row r="528" spans="1:31" x14ac:dyDescent="0.25">
      <c r="A528" s="1" t="s">
        <v>1150</v>
      </c>
      <c r="B528" s="1" t="s">
        <v>2547</v>
      </c>
      <c r="C528" s="1" t="s">
        <v>2832</v>
      </c>
      <c r="D528" s="1" t="s">
        <v>2833</v>
      </c>
      <c r="E528" s="1" t="s">
        <v>3487</v>
      </c>
      <c r="G528" s="1" t="s">
        <v>1150</v>
      </c>
      <c r="H528" s="1">
        <v>4.6479005740000003</v>
      </c>
      <c r="I528" s="1">
        <v>4.66484875</v>
      </c>
      <c r="J528" s="1">
        <v>5.5483108110000003</v>
      </c>
      <c r="K528" s="1">
        <v>5.2180867539999998</v>
      </c>
      <c r="L528" s="1">
        <v>5.7398214760000004</v>
      </c>
      <c r="M528" s="1">
        <v>5.7197461279999997</v>
      </c>
      <c r="N528" s="1">
        <v>4.6936110280000003</v>
      </c>
      <c r="O528" s="1">
        <v>3.8071106499999998</v>
      </c>
      <c r="P528" s="1">
        <v>5.7791106289999998</v>
      </c>
      <c r="Q528" s="1">
        <v>5.5406489910000003</v>
      </c>
      <c r="R528" s="1">
        <v>5.7142579380000003</v>
      </c>
      <c r="S528" s="1">
        <v>5.6117239269999999</v>
      </c>
      <c r="T528" s="1">
        <v>5.7398214760000004</v>
      </c>
      <c r="U528" s="1">
        <v>5.7197461279999997</v>
      </c>
      <c r="V528" s="1">
        <v>5.8520207290000004</v>
      </c>
      <c r="W528" s="1">
        <v>5.6059572260000001</v>
      </c>
      <c r="X528" s="1">
        <v>5.7763317320000001</v>
      </c>
      <c r="Y528" s="1">
        <v>5.1785898169999998</v>
      </c>
      <c r="Z528" s="1">
        <v>5.7142579380000003</v>
      </c>
      <c r="AA528" s="1">
        <v>5.6117239269999999</v>
      </c>
      <c r="AB528" s="1">
        <v>5.851934376</v>
      </c>
      <c r="AC528" s="1">
        <v>5.8439382809999998</v>
      </c>
      <c r="AD528" s="1">
        <v>5.8006297160000004</v>
      </c>
      <c r="AE528" s="1">
        <v>5.6481534240000002</v>
      </c>
    </row>
    <row r="529" spans="1:31" x14ac:dyDescent="0.25">
      <c r="A529" s="1" t="s">
        <v>1151</v>
      </c>
      <c r="B529" s="1" t="s">
        <v>2547</v>
      </c>
      <c r="C529" s="1" t="s">
        <v>2675</v>
      </c>
      <c r="D529" s="1" t="s">
        <v>2535</v>
      </c>
      <c r="E529" s="1" t="s">
        <v>3488</v>
      </c>
      <c r="G529" s="1" t="s">
        <v>1151</v>
      </c>
      <c r="H529" s="1">
        <v>3.2549621289999999</v>
      </c>
      <c r="I529" s="1">
        <v>2.8927893610000002</v>
      </c>
      <c r="J529" s="1">
        <v>2.8907526730000002</v>
      </c>
      <c r="K529" s="1">
        <v>1.7393328349999999</v>
      </c>
      <c r="L529" s="1">
        <v>2.7248816410000001</v>
      </c>
      <c r="M529" s="1">
        <v>3.027864058</v>
      </c>
      <c r="N529" s="1">
        <v>2.628425199</v>
      </c>
      <c r="O529" s="1">
        <v>2.6816282820000001</v>
      </c>
      <c r="P529" s="1">
        <v>3.466113682</v>
      </c>
      <c r="Q529" s="1">
        <v>3.185675432</v>
      </c>
      <c r="R529" s="1">
        <v>3.5594063970000001</v>
      </c>
      <c r="S529" s="1">
        <v>2.5733617299999998</v>
      </c>
      <c r="T529" s="1">
        <v>2.7248816410000001</v>
      </c>
      <c r="U529" s="1">
        <v>3.027864058</v>
      </c>
      <c r="V529" s="1">
        <v>2.5140266200000001</v>
      </c>
      <c r="W529" s="1">
        <v>1.7393328349999999</v>
      </c>
      <c r="X529" s="1">
        <v>3.3149070109999998</v>
      </c>
      <c r="Y529" s="1">
        <v>3.229986142</v>
      </c>
      <c r="Z529" s="1">
        <v>3.5594063970000001</v>
      </c>
      <c r="AA529" s="1">
        <v>2.5733617299999998</v>
      </c>
      <c r="AB529" s="1">
        <v>1.7393328349999999</v>
      </c>
      <c r="AC529" s="1">
        <v>2.5506926650000001</v>
      </c>
      <c r="AD529" s="1">
        <v>3.8610926929999998</v>
      </c>
      <c r="AE529" s="1">
        <v>3.0939349979999999</v>
      </c>
    </row>
    <row r="530" spans="1:31" x14ac:dyDescent="0.25">
      <c r="A530" s="1" t="s">
        <v>1158</v>
      </c>
      <c r="B530" s="1" t="s">
        <v>2530</v>
      </c>
      <c r="C530" s="1" t="s">
        <v>2531</v>
      </c>
      <c r="D530" s="1" t="s">
        <v>2535</v>
      </c>
      <c r="E530" s="1" t="s">
        <v>3489</v>
      </c>
      <c r="F530" s="1" t="s">
        <v>3490</v>
      </c>
      <c r="G530" s="1" t="s">
        <v>1158</v>
      </c>
      <c r="H530" s="1">
        <v>2.640460343</v>
      </c>
      <c r="I530" s="1">
        <v>1.7393328349999999</v>
      </c>
      <c r="J530" s="1">
        <v>1.7393328349999999</v>
      </c>
      <c r="K530" s="1">
        <v>1.7393328349999999</v>
      </c>
      <c r="L530" s="1">
        <v>1.7393328349999999</v>
      </c>
      <c r="M530" s="1">
        <v>2.3994532390000001</v>
      </c>
      <c r="N530" s="1">
        <v>2.628425199</v>
      </c>
      <c r="O530" s="1">
        <v>1.7393328349999999</v>
      </c>
      <c r="P530" s="1">
        <v>1.7393328349999999</v>
      </c>
      <c r="Q530" s="1">
        <v>2.597100669</v>
      </c>
      <c r="R530" s="1">
        <v>1.7393328349999999</v>
      </c>
      <c r="S530" s="1">
        <v>1.7393328349999999</v>
      </c>
      <c r="T530" s="1">
        <v>1.7393328349999999</v>
      </c>
      <c r="U530" s="1">
        <v>2.3994532390000001</v>
      </c>
      <c r="V530" s="1">
        <v>1.7393328349999999</v>
      </c>
      <c r="W530" s="1">
        <v>1.7393328349999999</v>
      </c>
      <c r="X530" s="1">
        <v>2.3600830049999999</v>
      </c>
      <c r="Y530" s="1">
        <v>1.7393328349999999</v>
      </c>
      <c r="Z530" s="1">
        <v>1.7393328349999999</v>
      </c>
      <c r="AA530" s="1">
        <v>1.7393328349999999</v>
      </c>
      <c r="AB530" s="1">
        <v>1.7393328349999999</v>
      </c>
      <c r="AC530" s="1">
        <v>1.7393328349999999</v>
      </c>
      <c r="AD530" s="1">
        <v>2.6025990879999998</v>
      </c>
      <c r="AE530" s="1">
        <v>1.7393328349999999</v>
      </c>
    </row>
    <row r="531" spans="1:31" x14ac:dyDescent="0.25">
      <c r="A531" s="1" t="s">
        <v>1166</v>
      </c>
      <c r="B531" s="1" t="s">
        <v>2642</v>
      </c>
      <c r="C531" s="1" t="s">
        <v>2643</v>
      </c>
      <c r="D531" s="1" t="s">
        <v>2687</v>
      </c>
      <c r="E531" s="1" t="s">
        <v>3491</v>
      </c>
      <c r="F531" s="1" t="s">
        <v>3492</v>
      </c>
      <c r="G531" s="1" t="s">
        <v>1166</v>
      </c>
      <c r="H531" s="1">
        <v>1.7393328349999999</v>
      </c>
      <c r="I531" s="1">
        <v>2.5655118899999998</v>
      </c>
      <c r="J531" s="1">
        <v>1.7393328349999999</v>
      </c>
      <c r="K531" s="1">
        <v>2.620638279</v>
      </c>
      <c r="L531" s="1">
        <v>2.315629231</v>
      </c>
      <c r="M531" s="1">
        <v>2.8639998100000001</v>
      </c>
      <c r="N531" s="1">
        <v>1.7393328349999999</v>
      </c>
      <c r="O531" s="1">
        <v>1.7393328349999999</v>
      </c>
      <c r="P531" s="1">
        <v>1.7393328349999999</v>
      </c>
      <c r="Q531" s="1">
        <v>3.388910638</v>
      </c>
      <c r="R531" s="1">
        <v>2.595728008</v>
      </c>
      <c r="S531" s="1">
        <v>2.5733617299999998</v>
      </c>
      <c r="T531" s="1">
        <v>2.315629231</v>
      </c>
      <c r="U531" s="1">
        <v>2.8639998100000001</v>
      </c>
      <c r="V531" s="1">
        <v>1.7393328349999999</v>
      </c>
      <c r="W531" s="1">
        <v>2.6606351240000001</v>
      </c>
      <c r="X531" s="1">
        <v>2.7988456519999998</v>
      </c>
      <c r="Y531" s="1">
        <v>3.229986142</v>
      </c>
      <c r="Z531" s="1">
        <v>2.595728008</v>
      </c>
      <c r="AA531" s="1">
        <v>2.5733617299999998</v>
      </c>
      <c r="AB531" s="1">
        <v>3.404153038</v>
      </c>
      <c r="AC531" s="1">
        <v>3.6175630609999998</v>
      </c>
      <c r="AD531" s="1">
        <v>2.6025990879999998</v>
      </c>
      <c r="AE531" s="1">
        <v>2.803297787</v>
      </c>
    </row>
    <row r="532" spans="1:31" x14ac:dyDescent="0.25">
      <c r="A532" s="1" t="s">
        <v>1169</v>
      </c>
      <c r="B532" s="1" t="s">
        <v>2608</v>
      </c>
      <c r="C532" s="1" t="s">
        <v>2758</v>
      </c>
      <c r="D532" s="1" t="s">
        <v>2759</v>
      </c>
      <c r="E532" s="1" t="s">
        <v>3493</v>
      </c>
      <c r="F532" s="1" t="s">
        <v>3494</v>
      </c>
      <c r="G532" s="1" t="s">
        <v>1169</v>
      </c>
      <c r="H532" s="1">
        <v>4.4805534380000003</v>
      </c>
      <c r="I532" s="1">
        <v>4.5280931029999998</v>
      </c>
      <c r="J532" s="1">
        <v>7.0581931579999999</v>
      </c>
      <c r="K532" s="1">
        <v>6.4725304650000002</v>
      </c>
      <c r="L532" s="1">
        <v>7.3066533610000004</v>
      </c>
      <c r="M532" s="1">
        <v>7.3868513050000004</v>
      </c>
      <c r="N532" s="1">
        <v>5.6524063629999999</v>
      </c>
      <c r="O532" s="1">
        <v>5.7859173799999999</v>
      </c>
      <c r="P532" s="1">
        <v>6.8759744009999997</v>
      </c>
      <c r="Q532" s="1">
        <v>6.7476078419999999</v>
      </c>
      <c r="R532" s="1">
        <v>7.304132815</v>
      </c>
      <c r="S532" s="1">
        <v>7.5270412149999997</v>
      </c>
      <c r="T532" s="1">
        <v>7.3066533610000004</v>
      </c>
      <c r="U532" s="1">
        <v>7.3868513050000004</v>
      </c>
      <c r="V532" s="1">
        <v>7.1466161049999997</v>
      </c>
      <c r="W532" s="1">
        <v>7.1478630409999999</v>
      </c>
      <c r="X532" s="1">
        <v>7.1388407049999998</v>
      </c>
      <c r="Y532" s="1">
        <v>6.9469657070000004</v>
      </c>
      <c r="Z532" s="1">
        <v>7.304132815</v>
      </c>
      <c r="AA532" s="1">
        <v>7.5270412149999997</v>
      </c>
      <c r="AB532" s="1">
        <v>6.6559655099999997</v>
      </c>
      <c r="AC532" s="1">
        <v>7.1835961460000002</v>
      </c>
      <c r="AD532" s="1">
        <v>6.9348946299999996</v>
      </c>
      <c r="AE532" s="1">
        <v>6.7786663870000003</v>
      </c>
    </row>
    <row r="533" spans="1:31" x14ac:dyDescent="0.25">
      <c r="A533" s="1" t="s">
        <v>1173</v>
      </c>
      <c r="B533" s="1" t="s">
        <v>2942</v>
      </c>
      <c r="C533" s="1" t="s">
        <v>3342</v>
      </c>
      <c r="D533" s="1" t="s">
        <v>3343</v>
      </c>
      <c r="E533" s="1" t="s">
        <v>3495</v>
      </c>
      <c r="F533" s="1" t="s">
        <v>3496</v>
      </c>
      <c r="G533" s="1" t="s">
        <v>1173</v>
      </c>
      <c r="H533" s="1">
        <v>7.2598951009999997</v>
      </c>
      <c r="I533" s="1">
        <v>6.7527702749999996</v>
      </c>
      <c r="J533" s="1">
        <v>5.5483108110000003</v>
      </c>
      <c r="K533" s="1">
        <v>5.7554847420000002</v>
      </c>
      <c r="L533" s="1">
        <v>4.7429188570000003</v>
      </c>
      <c r="M533" s="1">
        <v>5.5541105499999999</v>
      </c>
      <c r="N533" s="1">
        <v>6.7194322870000001</v>
      </c>
      <c r="O533" s="1">
        <v>7.1683333749999996</v>
      </c>
      <c r="P533" s="1">
        <v>5.9400346730000004</v>
      </c>
      <c r="Q533" s="1">
        <v>5.7514994149999996</v>
      </c>
      <c r="R533" s="1">
        <v>5.6457947050000001</v>
      </c>
      <c r="S533" s="1">
        <v>5.9969908790000002</v>
      </c>
      <c r="T533" s="1">
        <v>4.7429188570000003</v>
      </c>
      <c r="U533" s="1">
        <v>5.5541105499999999</v>
      </c>
      <c r="V533" s="1">
        <v>6.0800160549999998</v>
      </c>
      <c r="W533" s="1">
        <v>6.1843530070000003</v>
      </c>
      <c r="X533" s="1">
        <v>5.9332613380000003</v>
      </c>
      <c r="Y533" s="1">
        <v>6.4644452860000001</v>
      </c>
      <c r="Z533" s="1">
        <v>5.6457947050000001</v>
      </c>
      <c r="AA533" s="1">
        <v>5.9969908790000002</v>
      </c>
      <c r="AB533" s="1">
        <v>6.1502584210000002</v>
      </c>
      <c r="AC533" s="1">
        <v>6.4026546910000004</v>
      </c>
      <c r="AD533" s="1">
        <v>6.3516560770000003</v>
      </c>
      <c r="AE533" s="1">
        <v>6.3779233900000003</v>
      </c>
    </row>
    <row r="534" spans="1:31" x14ac:dyDescent="0.25">
      <c r="A534" s="1" t="s">
        <v>1174</v>
      </c>
      <c r="B534" s="1" t="s">
        <v>2557</v>
      </c>
      <c r="C534" s="1" t="s">
        <v>3497</v>
      </c>
      <c r="D534" s="1" t="s">
        <v>3498</v>
      </c>
      <c r="E534" s="1" t="s">
        <v>3499</v>
      </c>
      <c r="F534" s="1" t="s">
        <v>3500</v>
      </c>
      <c r="G534" s="1" t="s">
        <v>1174</v>
      </c>
      <c r="H534" s="1">
        <v>6.0673720150000001</v>
      </c>
      <c r="I534" s="1">
        <v>6.4522693780000004</v>
      </c>
      <c r="J534" s="1">
        <v>5.2392025899999997</v>
      </c>
      <c r="K534" s="1">
        <v>4.8793048219999999</v>
      </c>
      <c r="L534" s="1">
        <v>4.619423984</v>
      </c>
      <c r="M534" s="1">
        <v>5.0606078119999998</v>
      </c>
      <c r="N534" s="1">
        <v>6.0598398590000002</v>
      </c>
      <c r="O534" s="1">
        <v>6.4178147000000001</v>
      </c>
      <c r="P534" s="1">
        <v>4.9577743410000004</v>
      </c>
      <c r="Q534" s="1">
        <v>5.2000913229999997</v>
      </c>
      <c r="R534" s="1">
        <v>4.45403635</v>
      </c>
      <c r="S534" s="1">
        <v>5.032286365</v>
      </c>
      <c r="T534" s="1">
        <v>4.619423984</v>
      </c>
      <c r="U534" s="1">
        <v>5.0606078119999998</v>
      </c>
      <c r="V534" s="1">
        <v>4.7533922439999996</v>
      </c>
      <c r="W534" s="1">
        <v>5.0488589419999998</v>
      </c>
      <c r="X534" s="1">
        <v>4.4920419310000002</v>
      </c>
      <c r="Y534" s="1">
        <v>4.3509215530000001</v>
      </c>
      <c r="Z534" s="1">
        <v>4.45403635</v>
      </c>
      <c r="AA534" s="1">
        <v>5.032286365</v>
      </c>
      <c r="AB534" s="1">
        <v>4.5063178209999997</v>
      </c>
      <c r="AC534" s="1">
        <v>4.8610120620000004</v>
      </c>
      <c r="AD534" s="1">
        <v>4.2970121150000002</v>
      </c>
      <c r="AE534" s="1">
        <v>4.9548800440000003</v>
      </c>
    </row>
    <row r="535" spans="1:31" x14ac:dyDescent="0.25">
      <c r="A535" s="1" t="s">
        <v>1175</v>
      </c>
      <c r="B535" s="1" t="s">
        <v>2539</v>
      </c>
      <c r="C535" s="1" t="s">
        <v>2563</v>
      </c>
      <c r="D535" s="1" t="s">
        <v>2535</v>
      </c>
      <c r="E535" s="1" t="s">
        <v>3501</v>
      </c>
      <c r="F535" s="1" t="s">
        <v>3502</v>
      </c>
      <c r="G535" s="1" t="s">
        <v>1175</v>
      </c>
      <c r="H535" s="1">
        <v>6.4251460160000002</v>
      </c>
      <c r="I535" s="1">
        <v>6.0227272230000004</v>
      </c>
      <c r="J535" s="1">
        <v>5.2817155790000001</v>
      </c>
      <c r="K535" s="1">
        <v>5.4059688240000003</v>
      </c>
      <c r="L535" s="1">
        <v>5.2569846910000004</v>
      </c>
      <c r="M535" s="1">
        <v>4.930560163</v>
      </c>
      <c r="N535" s="1">
        <v>6.0598398590000002</v>
      </c>
      <c r="O535" s="1">
        <v>6.0012687509999996</v>
      </c>
      <c r="P535" s="1">
        <v>5.5977847030000003</v>
      </c>
      <c r="Q535" s="1">
        <v>5.6144419360000004</v>
      </c>
      <c r="R535" s="1">
        <v>5.6102934549999999</v>
      </c>
      <c r="S535" s="1">
        <v>4.3966315629999997</v>
      </c>
      <c r="T535" s="1">
        <v>5.2569846910000004</v>
      </c>
      <c r="U535" s="1">
        <v>4.930560163</v>
      </c>
      <c r="V535" s="1">
        <v>4.3163797720000003</v>
      </c>
      <c r="W535" s="1">
        <v>4.1128053839999996</v>
      </c>
      <c r="X535" s="1">
        <v>5.2630731749999997</v>
      </c>
      <c r="Y535" s="1">
        <v>4.7564010139999997</v>
      </c>
      <c r="Z535" s="1">
        <v>5.6102934549999999</v>
      </c>
      <c r="AA535" s="1">
        <v>4.3966315629999997</v>
      </c>
      <c r="AB535" s="1">
        <v>4.8804215500000003</v>
      </c>
      <c r="AC535" s="1">
        <v>5.0158027430000001</v>
      </c>
      <c r="AD535" s="1">
        <v>5.2159266190000002</v>
      </c>
      <c r="AE535" s="1">
        <v>4.9247587419999999</v>
      </c>
    </row>
    <row r="536" spans="1:31" x14ac:dyDescent="0.25">
      <c r="A536" s="1" t="s">
        <v>1177</v>
      </c>
      <c r="B536" s="1" t="s">
        <v>2642</v>
      </c>
      <c r="C536" s="1" t="s">
        <v>2643</v>
      </c>
      <c r="D536" s="1" t="s">
        <v>2687</v>
      </c>
      <c r="E536" s="1" t="s">
        <v>3094</v>
      </c>
      <c r="F536" s="1" t="s">
        <v>3095</v>
      </c>
      <c r="G536" s="1" t="s">
        <v>1177</v>
      </c>
      <c r="H536" s="1">
        <v>3.4660955969999998</v>
      </c>
      <c r="I536" s="1">
        <v>2.5655118899999998</v>
      </c>
      <c r="J536" s="1">
        <v>1.7393328349999999</v>
      </c>
      <c r="K536" s="1">
        <v>1.7393328349999999</v>
      </c>
      <c r="L536" s="1">
        <v>2.7248816410000001</v>
      </c>
      <c r="M536" s="1">
        <v>1.7393328349999999</v>
      </c>
      <c r="N536" s="1">
        <v>2.372908427</v>
      </c>
      <c r="O536" s="1">
        <v>2.883783352</v>
      </c>
      <c r="P536" s="1">
        <v>2.5478783159999998</v>
      </c>
      <c r="Q536" s="1">
        <v>2.597100669</v>
      </c>
      <c r="R536" s="1">
        <v>2.9339002829999998</v>
      </c>
      <c r="S536" s="1">
        <v>2.5733617299999998</v>
      </c>
      <c r="T536" s="1">
        <v>2.7248816410000001</v>
      </c>
      <c r="U536" s="1">
        <v>1.7393328349999999</v>
      </c>
      <c r="V536" s="1">
        <v>2.8225047829999999</v>
      </c>
      <c r="W536" s="1">
        <v>2.6606351240000001</v>
      </c>
      <c r="X536" s="1">
        <v>2.7988456519999998</v>
      </c>
      <c r="Y536" s="1">
        <v>1.7393328349999999</v>
      </c>
      <c r="Z536" s="1">
        <v>2.9339002829999998</v>
      </c>
      <c r="AA536" s="1">
        <v>2.5733617299999998</v>
      </c>
      <c r="AB536" s="1">
        <v>2.73487305</v>
      </c>
      <c r="AC536" s="1">
        <v>2.87258916</v>
      </c>
      <c r="AD536" s="1">
        <v>1.7393328349999999</v>
      </c>
      <c r="AE536" s="1">
        <v>1.7393328349999999</v>
      </c>
    </row>
    <row r="537" spans="1:31" x14ac:dyDescent="0.25">
      <c r="A537" s="1" t="s">
        <v>1180</v>
      </c>
      <c r="B537" s="1" t="s">
        <v>2530</v>
      </c>
      <c r="C537" s="1" t="s">
        <v>2573</v>
      </c>
      <c r="D537" s="1" t="s">
        <v>2535</v>
      </c>
      <c r="E537" s="1" t="s">
        <v>3503</v>
      </c>
      <c r="G537" s="1" t="s">
        <v>1180</v>
      </c>
      <c r="H537" s="1">
        <v>5.4177093730000001</v>
      </c>
      <c r="I537" s="1">
        <v>5.1546023129999998</v>
      </c>
      <c r="J537" s="1">
        <v>4.9532699769999997</v>
      </c>
      <c r="K537" s="1">
        <v>4.941717659</v>
      </c>
      <c r="L537" s="1">
        <v>5.3368026579999999</v>
      </c>
      <c r="M537" s="1">
        <v>5.4159199769999997</v>
      </c>
      <c r="N537" s="1">
        <v>5.5749368700000002</v>
      </c>
      <c r="O537" s="1">
        <v>5.8051520590000001</v>
      </c>
      <c r="P537" s="1">
        <v>4.9577743410000004</v>
      </c>
      <c r="Q537" s="1">
        <v>5.1511590549999999</v>
      </c>
      <c r="R537" s="1">
        <v>5.1472208640000003</v>
      </c>
      <c r="S537" s="1">
        <v>4.980227309</v>
      </c>
      <c r="T537" s="1">
        <v>5.3368026579999999</v>
      </c>
      <c r="U537" s="1">
        <v>5.4159199769999997</v>
      </c>
      <c r="V537" s="1">
        <v>5.1274300740000003</v>
      </c>
      <c r="W537" s="1">
        <v>4.8493412630000003</v>
      </c>
      <c r="X537" s="1">
        <v>5.1899342839999996</v>
      </c>
      <c r="Y537" s="1">
        <v>5.1785898169999998</v>
      </c>
      <c r="Z537" s="1">
        <v>5.1472208640000003</v>
      </c>
      <c r="AA537" s="1">
        <v>4.980227309</v>
      </c>
      <c r="AB537" s="1">
        <v>5.0356743460000004</v>
      </c>
      <c r="AC537" s="1">
        <v>5.1103036370000003</v>
      </c>
      <c r="AD537" s="1">
        <v>5.2159266190000002</v>
      </c>
      <c r="AE537" s="1">
        <v>5.387950011</v>
      </c>
    </row>
    <row r="538" spans="1:31" x14ac:dyDescent="0.25">
      <c r="A538" s="1" t="s">
        <v>1181</v>
      </c>
      <c r="B538" s="1" t="s">
        <v>2557</v>
      </c>
      <c r="C538" s="1" t="s">
        <v>2718</v>
      </c>
      <c r="D538" s="1" t="s">
        <v>2535</v>
      </c>
      <c r="E538" s="1" t="s">
        <v>3504</v>
      </c>
      <c r="F538" s="1" t="s">
        <v>3505</v>
      </c>
      <c r="G538" s="1" t="s">
        <v>1181</v>
      </c>
      <c r="H538" s="1">
        <v>3.2549621289999999</v>
      </c>
      <c r="I538" s="1">
        <v>3.5006354609999999</v>
      </c>
      <c r="J538" s="1">
        <v>4.2898244959999996</v>
      </c>
      <c r="K538" s="1">
        <v>4.0244910950000001</v>
      </c>
      <c r="L538" s="1">
        <v>4.5867597299999998</v>
      </c>
      <c r="M538" s="1">
        <v>4.2945656129999996</v>
      </c>
      <c r="N538" s="1">
        <v>3.5368298970000001</v>
      </c>
      <c r="O538" s="1">
        <v>3.6346882059999999</v>
      </c>
      <c r="P538" s="1">
        <v>4.6791060150000003</v>
      </c>
      <c r="Q538" s="1">
        <v>3.8492287269999999</v>
      </c>
      <c r="R538" s="1">
        <v>4.6083586160000003</v>
      </c>
      <c r="S538" s="1">
        <v>4.1304223819999999</v>
      </c>
      <c r="T538" s="1">
        <v>4.5867597299999998</v>
      </c>
      <c r="U538" s="1">
        <v>4.2945656129999996</v>
      </c>
      <c r="V538" s="1">
        <v>4.9527859210000003</v>
      </c>
      <c r="W538" s="1">
        <v>4.1128053839999996</v>
      </c>
      <c r="X538" s="1">
        <v>4.407182283</v>
      </c>
      <c r="Y538" s="1">
        <v>4.2532353330000001</v>
      </c>
      <c r="Z538" s="1">
        <v>4.6083586160000003</v>
      </c>
      <c r="AA538" s="1">
        <v>4.1304223819999999</v>
      </c>
      <c r="AB538" s="1">
        <v>4.7958605490000004</v>
      </c>
      <c r="AC538" s="1">
        <v>4.7474570290000004</v>
      </c>
      <c r="AD538" s="1">
        <v>4.2005997429999997</v>
      </c>
      <c r="AE538" s="1">
        <v>4.1773695330000002</v>
      </c>
    </row>
    <row r="539" spans="1:31" x14ac:dyDescent="0.25">
      <c r="A539" s="1" t="s">
        <v>1187</v>
      </c>
      <c r="B539" s="1" t="s">
        <v>2642</v>
      </c>
      <c r="C539" s="1" t="s">
        <v>2643</v>
      </c>
      <c r="D539" s="1" t="s">
        <v>2687</v>
      </c>
      <c r="E539" s="1" t="s">
        <v>3094</v>
      </c>
      <c r="F539" s="1" t="s">
        <v>3095</v>
      </c>
      <c r="G539" s="1" t="s">
        <v>1187</v>
      </c>
      <c r="H539" s="1">
        <v>1.7393328349999999</v>
      </c>
      <c r="I539" s="1">
        <v>1.7393328349999999</v>
      </c>
      <c r="J539" s="1">
        <v>1.7393328349999999</v>
      </c>
      <c r="K539" s="1">
        <v>2.9677134359999999</v>
      </c>
      <c r="L539" s="1">
        <v>1.7393328349999999</v>
      </c>
      <c r="M539" s="1">
        <v>1.7393328349999999</v>
      </c>
      <c r="N539" s="1">
        <v>1.7393328349999999</v>
      </c>
      <c r="O539" s="1">
        <v>1.7393328349999999</v>
      </c>
      <c r="P539" s="1">
        <v>1.7393328349999999</v>
      </c>
      <c r="Q539" s="1">
        <v>2.597100669</v>
      </c>
      <c r="R539" s="1">
        <v>1.7393328349999999</v>
      </c>
      <c r="S539" s="1">
        <v>1.7393328349999999</v>
      </c>
      <c r="T539" s="1">
        <v>1.7393328349999999</v>
      </c>
      <c r="U539" s="1">
        <v>1.7393328349999999</v>
      </c>
      <c r="V539" s="1">
        <v>1.7393328349999999</v>
      </c>
      <c r="W539" s="1">
        <v>1.7393328349999999</v>
      </c>
      <c r="X539" s="1">
        <v>1.7393328349999999</v>
      </c>
      <c r="Y539" s="1">
        <v>1.7393328349999999</v>
      </c>
      <c r="Z539" s="1">
        <v>1.7393328349999999</v>
      </c>
      <c r="AA539" s="1">
        <v>1.7393328349999999</v>
      </c>
      <c r="AB539" s="1">
        <v>1.7393328349999999</v>
      </c>
      <c r="AC539" s="1">
        <v>1.7393328349999999</v>
      </c>
      <c r="AD539" s="1">
        <v>1.7393328349999999</v>
      </c>
      <c r="AE539" s="1">
        <v>1.7393328349999999</v>
      </c>
    </row>
    <row r="540" spans="1:31" x14ac:dyDescent="0.25">
      <c r="A540" s="1" t="s">
        <v>1189</v>
      </c>
      <c r="B540" s="1" t="s">
        <v>2530</v>
      </c>
      <c r="C540" s="1" t="s">
        <v>2531</v>
      </c>
      <c r="D540" s="1" t="s">
        <v>2535</v>
      </c>
      <c r="E540" s="1" t="s">
        <v>2536</v>
      </c>
      <c r="G540" s="1" t="s">
        <v>1189</v>
      </c>
      <c r="H540" s="1">
        <v>6.1518914650000003</v>
      </c>
      <c r="I540" s="1">
        <v>6.2320099659999997</v>
      </c>
      <c r="J540" s="1">
        <v>3.4977151119999998</v>
      </c>
      <c r="K540" s="1">
        <v>3.607491666</v>
      </c>
      <c r="L540" s="1">
        <v>2.9964092330000001</v>
      </c>
      <c r="M540" s="1">
        <v>2.8639998100000001</v>
      </c>
      <c r="N540" s="1">
        <v>5.3372793730000003</v>
      </c>
      <c r="O540" s="1">
        <v>5.6856657850000003</v>
      </c>
      <c r="P540" s="1">
        <v>3.466113682</v>
      </c>
      <c r="Q540" s="1">
        <v>3.7137735799999998</v>
      </c>
      <c r="R540" s="1">
        <v>2.9339002829999998</v>
      </c>
      <c r="S540" s="1">
        <v>2.9034795349999998</v>
      </c>
      <c r="T540" s="1">
        <v>2.9964092330000001</v>
      </c>
      <c r="U540" s="1">
        <v>2.8639998100000001</v>
      </c>
      <c r="V540" s="1">
        <v>3.0516113059999999</v>
      </c>
      <c r="W540" s="1">
        <v>2.6606351240000001</v>
      </c>
      <c r="X540" s="1">
        <v>3.0884111989999998</v>
      </c>
      <c r="Y540" s="1">
        <v>2.624795792</v>
      </c>
      <c r="Z540" s="1">
        <v>2.9339002829999998</v>
      </c>
      <c r="AA540" s="1">
        <v>2.9034795349999998</v>
      </c>
      <c r="AB540" s="1">
        <v>1.7393328349999999</v>
      </c>
      <c r="AC540" s="1">
        <v>3.1109927919999998</v>
      </c>
      <c r="AD540" s="1">
        <v>3.725077481</v>
      </c>
      <c r="AE540" s="1">
        <v>3.5108161330000001</v>
      </c>
    </row>
    <row r="541" spans="1:31" x14ac:dyDescent="0.25">
      <c r="A541" s="1" t="s">
        <v>1192</v>
      </c>
      <c r="B541" s="1" t="s">
        <v>2530</v>
      </c>
      <c r="C541" s="1" t="s">
        <v>2531</v>
      </c>
      <c r="D541" s="1" t="s">
        <v>2535</v>
      </c>
      <c r="E541" s="1" t="s">
        <v>3506</v>
      </c>
      <c r="G541" s="1" t="s">
        <v>1192</v>
      </c>
      <c r="H541" s="1">
        <v>5.0553993879999997</v>
      </c>
      <c r="I541" s="1">
        <v>4.903725959</v>
      </c>
      <c r="J541" s="1">
        <v>4.4503473070000004</v>
      </c>
      <c r="K541" s="1">
        <v>4.5974987220000001</v>
      </c>
      <c r="L541" s="1">
        <v>4.8563863139999999</v>
      </c>
      <c r="M541" s="1">
        <v>4.4472617469999998</v>
      </c>
      <c r="N541" s="1">
        <v>5.7786343999999996</v>
      </c>
      <c r="O541" s="1">
        <v>5.3864027800000001</v>
      </c>
      <c r="P541" s="1">
        <v>5.0074447400000004</v>
      </c>
      <c r="Q541" s="1">
        <v>5.2931690810000003</v>
      </c>
      <c r="R541" s="1">
        <v>5.3334881589999998</v>
      </c>
      <c r="S541" s="1">
        <v>3.9182367880000002</v>
      </c>
      <c r="T541" s="1">
        <v>4.8563863139999999</v>
      </c>
      <c r="U541" s="1">
        <v>4.4472617469999998</v>
      </c>
      <c r="V541" s="1">
        <v>4.7533922439999996</v>
      </c>
      <c r="W541" s="1">
        <v>3.6840067150000002</v>
      </c>
      <c r="X541" s="1">
        <v>4.8524813179999997</v>
      </c>
      <c r="Y541" s="1">
        <v>3.9087436480000002</v>
      </c>
      <c r="Z541" s="1">
        <v>5.3334881589999998</v>
      </c>
      <c r="AA541" s="1">
        <v>3.9182367880000002</v>
      </c>
      <c r="AB541" s="1">
        <v>5.1755434500000002</v>
      </c>
      <c r="AC541" s="1">
        <v>4.6870272159999997</v>
      </c>
      <c r="AD541" s="1">
        <v>4.83054469</v>
      </c>
      <c r="AE541" s="1">
        <v>4.5014252270000004</v>
      </c>
    </row>
    <row r="542" spans="1:31" x14ac:dyDescent="0.25">
      <c r="A542" s="1" t="s">
        <v>1200</v>
      </c>
      <c r="B542" s="1" t="s">
        <v>2642</v>
      </c>
      <c r="C542" s="1" t="s">
        <v>2643</v>
      </c>
      <c r="D542" s="1" t="s">
        <v>2687</v>
      </c>
      <c r="E542" s="1" t="s">
        <v>3491</v>
      </c>
      <c r="F542" s="1" t="s">
        <v>3492</v>
      </c>
      <c r="G542" s="1" t="s">
        <v>1200</v>
      </c>
      <c r="H542" s="1">
        <v>3.8023684370000002</v>
      </c>
      <c r="I542" s="1">
        <v>3.9003964459999998</v>
      </c>
      <c r="J542" s="1">
        <v>4.0065844400000001</v>
      </c>
      <c r="K542" s="1">
        <v>4.3408695499999999</v>
      </c>
      <c r="L542" s="1">
        <v>4.4838783849999997</v>
      </c>
      <c r="M542" s="1">
        <v>5.029201552</v>
      </c>
      <c r="N542" s="1">
        <v>2.9782685729999998</v>
      </c>
      <c r="O542" s="1">
        <v>3.050193165</v>
      </c>
      <c r="P542" s="1">
        <v>4.4075207919999997</v>
      </c>
      <c r="Q542" s="1">
        <v>4.2835653880000004</v>
      </c>
      <c r="R542" s="1">
        <v>3.5594063970000001</v>
      </c>
      <c r="S542" s="1">
        <v>4.2250836859999996</v>
      </c>
      <c r="T542" s="1">
        <v>4.4838783849999997</v>
      </c>
      <c r="U542" s="1">
        <v>5.029201552</v>
      </c>
      <c r="V542" s="1">
        <v>3.7819764450000002</v>
      </c>
      <c r="W542" s="1">
        <v>4.1128053839999996</v>
      </c>
      <c r="X542" s="1">
        <v>4.5719855100000002</v>
      </c>
      <c r="Y542" s="1">
        <v>4.1479647589999997</v>
      </c>
      <c r="Z542" s="1">
        <v>3.5594063970000001</v>
      </c>
      <c r="AA542" s="1">
        <v>4.2250836859999996</v>
      </c>
      <c r="AB542" s="1">
        <v>3.8237667059999998</v>
      </c>
      <c r="AC542" s="1">
        <v>4.3377211620000002</v>
      </c>
      <c r="AD542" s="1">
        <v>3.8610926929999998</v>
      </c>
      <c r="AE542" s="1">
        <v>3.67472814</v>
      </c>
    </row>
    <row r="543" spans="1:31" x14ac:dyDescent="0.25">
      <c r="A543" s="1" t="s">
        <v>1206</v>
      </c>
      <c r="B543" s="1" t="s">
        <v>2520</v>
      </c>
      <c r="C543" s="1" t="s">
        <v>2521</v>
      </c>
      <c r="D543" s="1" t="s">
        <v>2535</v>
      </c>
      <c r="E543" s="1" t="s">
        <v>3507</v>
      </c>
      <c r="F543" s="1" t="s">
        <v>3508</v>
      </c>
      <c r="G543" s="1" t="s">
        <v>1206</v>
      </c>
      <c r="H543" s="1">
        <v>7.3813453510000002</v>
      </c>
      <c r="I543" s="1">
        <v>7.5785686370000001</v>
      </c>
      <c r="J543" s="1">
        <v>8.334358967</v>
      </c>
      <c r="K543" s="1">
        <v>8.2147432790000003</v>
      </c>
      <c r="L543" s="1">
        <v>8.541831535</v>
      </c>
      <c r="M543" s="1">
        <v>8.3488028140000008</v>
      </c>
      <c r="N543" s="1">
        <v>7.8603374029999999</v>
      </c>
      <c r="O543" s="1">
        <v>7.6854105390000003</v>
      </c>
      <c r="P543" s="1">
        <v>8.2051834489999997</v>
      </c>
      <c r="Q543" s="1">
        <v>8.0593045669999999</v>
      </c>
      <c r="R543" s="1">
        <v>8.2279132950000005</v>
      </c>
      <c r="S543" s="1">
        <v>8.5010451699999994</v>
      </c>
      <c r="T543" s="1">
        <v>8.541831535</v>
      </c>
      <c r="U543" s="1">
        <v>8.3488028140000008</v>
      </c>
      <c r="V543" s="1">
        <v>8.1732194759999999</v>
      </c>
      <c r="W543" s="1">
        <v>8.331571941</v>
      </c>
      <c r="X543" s="1">
        <v>8.4012239500000003</v>
      </c>
      <c r="Y543" s="1">
        <v>8.3989898059999994</v>
      </c>
      <c r="Z543" s="1">
        <v>8.2279132950000005</v>
      </c>
      <c r="AA543" s="1">
        <v>8.5010451699999994</v>
      </c>
      <c r="AB543" s="1">
        <v>8.4809367560000002</v>
      </c>
      <c r="AC543" s="1">
        <v>8.3314911249999994</v>
      </c>
      <c r="AD543" s="1">
        <v>8.390030651</v>
      </c>
      <c r="AE543" s="1">
        <v>8.3947394370000001</v>
      </c>
    </row>
    <row r="544" spans="1:31" x14ac:dyDescent="0.25">
      <c r="A544" s="1" t="s">
        <v>1207</v>
      </c>
      <c r="B544" s="1" t="s">
        <v>2520</v>
      </c>
      <c r="C544" s="1" t="s">
        <v>2521</v>
      </c>
      <c r="D544" s="1" t="s">
        <v>2535</v>
      </c>
      <c r="E544" s="1" t="s">
        <v>3509</v>
      </c>
      <c r="G544" s="1" t="s">
        <v>1207</v>
      </c>
      <c r="H544" s="1">
        <v>5.2735834620000004</v>
      </c>
      <c r="I544" s="1">
        <v>5.3275363779999996</v>
      </c>
      <c r="J544" s="1">
        <v>6.8494908560000001</v>
      </c>
      <c r="K544" s="1">
        <v>6.091743707</v>
      </c>
      <c r="L544" s="1">
        <v>7.1343212879999998</v>
      </c>
      <c r="M544" s="1">
        <v>7.117892962</v>
      </c>
      <c r="N544" s="1">
        <v>5.53456788</v>
      </c>
      <c r="O544" s="1">
        <v>5.4367285829999998</v>
      </c>
      <c r="P544" s="1">
        <v>6.9781248280000003</v>
      </c>
      <c r="Q544" s="1">
        <v>7.0420381550000002</v>
      </c>
      <c r="R544" s="1">
        <v>7.3260926519999998</v>
      </c>
      <c r="S544" s="1">
        <v>7.7042077559999997</v>
      </c>
      <c r="T544" s="1">
        <v>7.1343212879999998</v>
      </c>
      <c r="U544" s="1">
        <v>7.117892962</v>
      </c>
      <c r="V544" s="1">
        <v>7.3258622400000002</v>
      </c>
      <c r="W544" s="1">
        <v>7.1189004880000004</v>
      </c>
      <c r="X544" s="1">
        <v>7.4907812299999996</v>
      </c>
      <c r="Y544" s="1">
        <v>7.1050089449999998</v>
      </c>
      <c r="Z544" s="1">
        <v>7.3260926519999998</v>
      </c>
      <c r="AA544" s="1">
        <v>7.7042077559999997</v>
      </c>
      <c r="AB544" s="1">
        <v>7.4263400370000001</v>
      </c>
      <c r="AC544" s="1">
        <v>7.5520530819999996</v>
      </c>
      <c r="AD544" s="1">
        <v>7.4840748010000002</v>
      </c>
      <c r="AE544" s="1">
        <v>7.3985040959999999</v>
      </c>
    </row>
    <row r="545" spans="1:31" x14ac:dyDescent="0.25">
      <c r="A545" s="1" t="s">
        <v>1208</v>
      </c>
      <c r="B545" s="1" t="s">
        <v>2568</v>
      </c>
      <c r="C545" s="1" t="s">
        <v>2589</v>
      </c>
      <c r="D545" s="1" t="s">
        <v>3510</v>
      </c>
      <c r="E545" s="1" t="s">
        <v>3511</v>
      </c>
      <c r="F545" s="1" t="s">
        <v>3512</v>
      </c>
      <c r="G545" s="1" t="s">
        <v>1208</v>
      </c>
      <c r="H545" s="1">
        <v>5.7062998909999996</v>
      </c>
      <c r="I545" s="1">
        <v>5.8358262759999997</v>
      </c>
      <c r="J545" s="1">
        <v>5.8869626679999998</v>
      </c>
      <c r="K545" s="1">
        <v>5.7895293819999996</v>
      </c>
      <c r="L545" s="1">
        <v>6.2202063540000001</v>
      </c>
      <c r="M545" s="1">
        <v>6.1548060529999997</v>
      </c>
      <c r="N545" s="1">
        <v>5.8295014189999996</v>
      </c>
      <c r="O545" s="1">
        <v>5.8051520590000001</v>
      </c>
      <c r="P545" s="1">
        <v>6.1519221809999998</v>
      </c>
      <c r="Q545" s="1">
        <v>5.9637007390000001</v>
      </c>
      <c r="R545" s="1">
        <v>6.3514004780000004</v>
      </c>
      <c r="S545" s="1">
        <v>5.8890842929999998</v>
      </c>
      <c r="T545" s="1">
        <v>6.2202063540000001</v>
      </c>
      <c r="U545" s="1">
        <v>6.1548060529999997</v>
      </c>
      <c r="V545" s="1">
        <v>5.9705432629999997</v>
      </c>
      <c r="W545" s="1">
        <v>5.726489559</v>
      </c>
      <c r="X545" s="1">
        <v>6.21570512</v>
      </c>
      <c r="Y545" s="1">
        <v>5.2297915760000002</v>
      </c>
      <c r="Z545" s="1">
        <v>6.3514004780000004</v>
      </c>
      <c r="AA545" s="1">
        <v>5.8890842929999998</v>
      </c>
      <c r="AB545" s="1">
        <v>5.9711898400000001</v>
      </c>
      <c r="AC545" s="1">
        <v>6.3266154559999999</v>
      </c>
      <c r="AD545" s="1">
        <v>5.7682763389999998</v>
      </c>
      <c r="AE545" s="1">
        <v>5.9885482259999998</v>
      </c>
    </row>
    <row r="546" spans="1:31" x14ac:dyDescent="0.25">
      <c r="A546" s="1" t="s">
        <v>1211</v>
      </c>
      <c r="B546" s="1" t="s">
        <v>2530</v>
      </c>
      <c r="C546" s="1" t="s">
        <v>2573</v>
      </c>
      <c r="D546" s="1" t="s">
        <v>2535</v>
      </c>
      <c r="E546" s="1" t="s">
        <v>3513</v>
      </c>
      <c r="G546" s="1" t="s">
        <v>1211</v>
      </c>
      <c r="H546" s="1">
        <v>8.5153053389999993</v>
      </c>
      <c r="I546" s="1">
        <v>8.2937925749999994</v>
      </c>
      <c r="J546" s="1">
        <v>6.4839470649999997</v>
      </c>
      <c r="K546" s="1">
        <v>7.1186231319999997</v>
      </c>
      <c r="L546" s="1">
        <v>5.6492182990000002</v>
      </c>
      <c r="M546" s="1">
        <v>5.3667108829999997</v>
      </c>
      <c r="N546" s="1">
        <v>7.7418271450000002</v>
      </c>
      <c r="O546" s="1">
        <v>8.3096109970000001</v>
      </c>
      <c r="P546" s="1">
        <v>5.8072178450000003</v>
      </c>
      <c r="Q546" s="1">
        <v>6.045837068</v>
      </c>
      <c r="R546" s="1">
        <v>5.7472990829999997</v>
      </c>
      <c r="S546" s="1">
        <v>5.3098842800000003</v>
      </c>
      <c r="T546" s="1">
        <v>5.6492182990000002</v>
      </c>
      <c r="U546" s="1">
        <v>5.3667108829999997</v>
      </c>
      <c r="V546" s="1">
        <v>5.3892424569999999</v>
      </c>
      <c r="W546" s="1">
        <v>5.9408128590000002</v>
      </c>
      <c r="X546" s="1">
        <v>5.2866392680000001</v>
      </c>
      <c r="Y546" s="1">
        <v>5.5841077690000001</v>
      </c>
      <c r="Z546" s="1">
        <v>5.7472990829999997</v>
      </c>
      <c r="AA546" s="1">
        <v>5.3098842800000003</v>
      </c>
      <c r="AB546" s="1">
        <v>5.4196851610000003</v>
      </c>
      <c r="AC546" s="1">
        <v>5.7302515789999999</v>
      </c>
      <c r="AD546" s="1">
        <v>5.9231977699999998</v>
      </c>
      <c r="AE546" s="1">
        <v>5.6297370090000003</v>
      </c>
    </row>
    <row r="547" spans="1:31" x14ac:dyDescent="0.25">
      <c r="A547" s="1" t="s">
        <v>1212</v>
      </c>
      <c r="B547" s="1" t="s">
        <v>2598</v>
      </c>
      <c r="C547" s="1" t="s">
        <v>3514</v>
      </c>
      <c r="D547" s="1" t="s">
        <v>2535</v>
      </c>
      <c r="E547" s="1" t="s">
        <v>3515</v>
      </c>
      <c r="F547" s="1" t="s">
        <v>3516</v>
      </c>
      <c r="G547" s="1" t="s">
        <v>1212</v>
      </c>
      <c r="H547" s="1">
        <v>4.8663747150000001</v>
      </c>
      <c r="I547" s="1">
        <v>5.7169522959999997</v>
      </c>
      <c r="J547" s="1">
        <v>5.7428701560000004</v>
      </c>
      <c r="K547" s="1">
        <v>5.9485821269999999</v>
      </c>
      <c r="L547" s="1">
        <v>6.6588853419999996</v>
      </c>
      <c r="M547" s="1">
        <v>6.2923515759999997</v>
      </c>
      <c r="N547" s="1">
        <v>6.7372563640000003</v>
      </c>
      <c r="O547" s="1">
        <v>6.3409804589999998</v>
      </c>
      <c r="P547" s="1">
        <v>6.1950446890000004</v>
      </c>
      <c r="Q547" s="1">
        <v>5.991605206</v>
      </c>
      <c r="R547" s="1">
        <v>5.8723300570000001</v>
      </c>
      <c r="S547" s="1">
        <v>5.9168316079999999</v>
      </c>
      <c r="T547" s="1">
        <v>6.6588853419999996</v>
      </c>
      <c r="U547" s="1">
        <v>6.2923515759999997</v>
      </c>
      <c r="V547" s="1">
        <v>6.5134692110000003</v>
      </c>
      <c r="W547" s="1">
        <v>6.1843530070000003</v>
      </c>
      <c r="X547" s="1">
        <v>6.0057221949999997</v>
      </c>
      <c r="Y547" s="1">
        <v>5.5841077690000001</v>
      </c>
      <c r="Z547" s="1">
        <v>5.8723300570000001</v>
      </c>
      <c r="AA547" s="1">
        <v>5.9168316079999999</v>
      </c>
      <c r="AB547" s="1">
        <v>6.2789960090000001</v>
      </c>
      <c r="AC547" s="1">
        <v>6.2255363350000001</v>
      </c>
      <c r="AD547" s="1">
        <v>6.1407817189999996</v>
      </c>
      <c r="AE547" s="1">
        <v>6.1648337089999998</v>
      </c>
    </row>
    <row r="548" spans="1:31" x14ac:dyDescent="0.25">
      <c r="A548" s="1" t="s">
        <v>1214</v>
      </c>
      <c r="B548" s="1" t="s">
        <v>2631</v>
      </c>
      <c r="C548" s="1" t="s">
        <v>2531</v>
      </c>
      <c r="D548" s="1" t="s">
        <v>3517</v>
      </c>
      <c r="E548" s="1" t="s">
        <v>3518</v>
      </c>
      <c r="G548" s="1" t="s">
        <v>1214</v>
      </c>
      <c r="H548" s="1">
        <v>6.4251460160000002</v>
      </c>
      <c r="I548" s="1">
        <v>5.9717652650000002</v>
      </c>
      <c r="J548" s="1">
        <v>6.331385225</v>
      </c>
      <c r="K548" s="1">
        <v>6.2947097530000002</v>
      </c>
      <c r="L548" s="1">
        <v>5.58546151</v>
      </c>
      <c r="M548" s="1">
        <v>5.6393255609999997</v>
      </c>
      <c r="N548" s="1">
        <v>6.1951276320000002</v>
      </c>
      <c r="O548" s="1">
        <v>6.6478049300000004</v>
      </c>
      <c r="P548" s="1">
        <v>5.7791106289999998</v>
      </c>
      <c r="Q548" s="1">
        <v>6.098094251</v>
      </c>
      <c r="R548" s="1">
        <v>5.57388789</v>
      </c>
      <c r="S548" s="1">
        <v>6.0480456849999999</v>
      </c>
      <c r="T548" s="1">
        <v>5.58546151</v>
      </c>
      <c r="U548" s="1">
        <v>5.6393255609999997</v>
      </c>
      <c r="V548" s="1">
        <v>6.4659141040000003</v>
      </c>
      <c r="W548" s="1">
        <v>6.4165513509999998</v>
      </c>
      <c r="X548" s="1">
        <v>5.5426459120000002</v>
      </c>
      <c r="Y548" s="1">
        <v>5.6604650660000004</v>
      </c>
      <c r="Z548" s="1">
        <v>5.57388789</v>
      </c>
      <c r="AA548" s="1">
        <v>6.0480456849999999</v>
      </c>
      <c r="AB548" s="1">
        <v>6.2160685200000003</v>
      </c>
      <c r="AC548" s="1">
        <v>5.9236494000000004</v>
      </c>
      <c r="AD548" s="1">
        <v>5.8006297160000004</v>
      </c>
      <c r="AE548" s="1">
        <v>6.1520156129999997</v>
      </c>
    </row>
    <row r="549" spans="1:31" x14ac:dyDescent="0.25">
      <c r="A549" s="1" t="s">
        <v>1215</v>
      </c>
      <c r="B549" s="1" t="s">
        <v>2520</v>
      </c>
      <c r="C549" s="1" t="s">
        <v>2521</v>
      </c>
      <c r="D549" s="1" t="s">
        <v>2753</v>
      </c>
      <c r="E549" s="1" t="s">
        <v>3519</v>
      </c>
      <c r="G549" s="1" t="s">
        <v>1215</v>
      </c>
      <c r="H549" s="1">
        <v>8.6470482559999997</v>
      </c>
      <c r="I549" s="1">
        <v>8.1696102160000006</v>
      </c>
      <c r="J549" s="1">
        <v>8.2518653620000002</v>
      </c>
      <c r="K549" s="1">
        <v>8.2271730010000006</v>
      </c>
      <c r="L549" s="1">
        <v>7.7190552410000004</v>
      </c>
      <c r="M549" s="1">
        <v>8.0682100880000007</v>
      </c>
      <c r="N549" s="1">
        <v>7.8964507810000004</v>
      </c>
      <c r="O549" s="1">
        <v>8.2408904669999998</v>
      </c>
      <c r="P549" s="1">
        <v>8.2312600499999995</v>
      </c>
      <c r="Q549" s="1">
        <v>8.3976643519999996</v>
      </c>
      <c r="R549" s="1">
        <v>8.2395268779999995</v>
      </c>
      <c r="S549" s="1">
        <v>8.4017590940000009</v>
      </c>
      <c r="T549" s="1">
        <v>7.7190552410000004</v>
      </c>
      <c r="U549" s="1">
        <v>8.0682100880000007</v>
      </c>
      <c r="V549" s="1">
        <v>8.3005167879999995</v>
      </c>
      <c r="W549" s="1">
        <v>8.2996796009999994</v>
      </c>
      <c r="X549" s="1">
        <v>8.1972540820000006</v>
      </c>
      <c r="Y549" s="1">
        <v>8.3308434279999997</v>
      </c>
      <c r="Z549" s="1">
        <v>8.2395268779999995</v>
      </c>
      <c r="AA549" s="1">
        <v>8.4017590940000009</v>
      </c>
      <c r="AB549" s="1">
        <v>8.4876004950000006</v>
      </c>
      <c r="AC549" s="1">
        <v>8.4569822779999999</v>
      </c>
      <c r="AD549" s="1">
        <v>8.4058343270000009</v>
      </c>
      <c r="AE549" s="1">
        <v>8.501956281</v>
      </c>
    </row>
    <row r="550" spans="1:31" x14ac:dyDescent="0.25">
      <c r="A550" s="1" t="s">
        <v>1216</v>
      </c>
      <c r="B550" s="1" t="s">
        <v>2520</v>
      </c>
      <c r="C550" s="1" t="s">
        <v>2646</v>
      </c>
      <c r="D550" s="1" t="s">
        <v>2691</v>
      </c>
      <c r="E550" s="1" t="s">
        <v>3520</v>
      </c>
      <c r="F550" s="1" t="s">
        <v>3521</v>
      </c>
      <c r="G550" s="1" t="s">
        <v>1216</v>
      </c>
      <c r="H550" s="1">
        <v>9.0682144410000003</v>
      </c>
      <c r="I550" s="1">
        <v>8.7734725129999998</v>
      </c>
      <c r="J550" s="1">
        <v>9.3741164139999995</v>
      </c>
      <c r="K550" s="1">
        <v>9.7286814239999995</v>
      </c>
      <c r="L550" s="1">
        <v>8.918603912</v>
      </c>
      <c r="M550" s="1">
        <v>8.9788966989999999</v>
      </c>
      <c r="N550" s="1">
        <v>8.3514649330000008</v>
      </c>
      <c r="O550" s="1">
        <v>8.4773122460000003</v>
      </c>
      <c r="P550" s="1">
        <v>8.8650921559999993</v>
      </c>
      <c r="Q550" s="1">
        <v>9.0742085340000003</v>
      </c>
      <c r="R550" s="1">
        <v>9.4201168549999998</v>
      </c>
      <c r="S550" s="1">
        <v>9.1075085300000005</v>
      </c>
      <c r="T550" s="1">
        <v>8.918603912</v>
      </c>
      <c r="U550" s="1">
        <v>8.9788966989999999</v>
      </c>
      <c r="V550" s="1">
        <v>8.9127275590000004</v>
      </c>
      <c r="W550" s="1">
        <v>9.0476931660000002</v>
      </c>
      <c r="X550" s="1">
        <v>8.9767348340000002</v>
      </c>
      <c r="Y550" s="1">
        <v>8.9386864369999994</v>
      </c>
      <c r="Z550" s="1">
        <v>9.4201168549999998</v>
      </c>
      <c r="AA550" s="1">
        <v>9.1075085300000005</v>
      </c>
      <c r="AB550" s="1">
        <v>9.2218849820000006</v>
      </c>
      <c r="AC550" s="1">
        <v>9.1253765120000008</v>
      </c>
      <c r="AD550" s="1">
        <v>9.1346474900000008</v>
      </c>
      <c r="AE550" s="1">
        <v>9.0542402339999999</v>
      </c>
    </row>
    <row r="551" spans="1:31" x14ac:dyDescent="0.25">
      <c r="A551" s="1" t="s">
        <v>1217</v>
      </c>
      <c r="B551" s="1" t="s">
        <v>2557</v>
      </c>
      <c r="C551" s="1" t="s">
        <v>2680</v>
      </c>
      <c r="D551" s="1" t="s">
        <v>3164</v>
      </c>
      <c r="E551" s="1" t="s">
        <v>3522</v>
      </c>
      <c r="G551" s="1" t="s">
        <v>1217</v>
      </c>
      <c r="H551" s="1">
        <v>4.2900513550000001</v>
      </c>
      <c r="I551" s="1">
        <v>3.7806045529999999</v>
      </c>
      <c r="J551" s="1">
        <v>3.6453331530000002</v>
      </c>
      <c r="K551" s="1">
        <v>3.762021974</v>
      </c>
      <c r="L551" s="1">
        <v>4.1188213390000001</v>
      </c>
      <c r="M551" s="1">
        <v>4.059937712</v>
      </c>
      <c r="N551" s="1">
        <v>4.8006971780000001</v>
      </c>
      <c r="O551" s="1">
        <v>4.6680836990000003</v>
      </c>
      <c r="P551" s="1">
        <v>3.7419514989999998</v>
      </c>
      <c r="Q551" s="1">
        <v>2.935765398</v>
      </c>
      <c r="R551" s="1">
        <v>3.8462631940000001</v>
      </c>
      <c r="S551" s="1">
        <v>3.6647387380000001</v>
      </c>
      <c r="T551" s="1">
        <v>4.1188213390000001</v>
      </c>
      <c r="U551" s="1">
        <v>4.059937712</v>
      </c>
      <c r="V551" s="1">
        <v>4.0758289169999999</v>
      </c>
      <c r="W551" s="1">
        <v>3.8431653940000001</v>
      </c>
      <c r="X551" s="1">
        <v>4.0022987600000004</v>
      </c>
      <c r="Y551" s="1">
        <v>3.7705059300000001</v>
      </c>
      <c r="Z551" s="1">
        <v>3.8462631940000001</v>
      </c>
      <c r="AA551" s="1">
        <v>3.6647387380000001</v>
      </c>
      <c r="AB551" s="1">
        <v>3.990981031</v>
      </c>
      <c r="AC551" s="1">
        <v>3.8665622239999999</v>
      </c>
      <c r="AD551" s="1">
        <v>4.6264106470000002</v>
      </c>
      <c r="AE551" s="1">
        <v>3.8864783150000002</v>
      </c>
    </row>
    <row r="552" spans="1:31" x14ac:dyDescent="0.25">
      <c r="A552" s="1" t="s">
        <v>1218</v>
      </c>
      <c r="B552" s="1" t="s">
        <v>2530</v>
      </c>
      <c r="C552" s="1" t="s">
        <v>2531</v>
      </c>
      <c r="D552" s="1" t="s">
        <v>2535</v>
      </c>
      <c r="E552" s="1" t="s">
        <v>3523</v>
      </c>
      <c r="G552" s="1" t="s">
        <v>1218</v>
      </c>
      <c r="H552" s="1">
        <v>6.5340358859999998</v>
      </c>
      <c r="I552" s="1">
        <v>6.4889292899999997</v>
      </c>
      <c r="J552" s="1">
        <v>5.5131441250000002</v>
      </c>
      <c r="K552" s="1">
        <v>5.4059688240000003</v>
      </c>
      <c r="L552" s="1">
        <v>5.7251137559999998</v>
      </c>
      <c r="M552" s="1">
        <v>5.4866876930000004</v>
      </c>
      <c r="N552" s="1">
        <v>6.3993900010000004</v>
      </c>
      <c r="O552" s="1">
        <v>6.5936608059999999</v>
      </c>
      <c r="P552" s="1">
        <v>5.660815296</v>
      </c>
      <c r="Q552" s="1">
        <v>5.4222740280000004</v>
      </c>
      <c r="R552" s="1">
        <v>5.1472208640000003</v>
      </c>
      <c r="S552" s="1">
        <v>5.1778667870000001</v>
      </c>
      <c r="T552" s="1">
        <v>5.7251137559999998</v>
      </c>
      <c r="U552" s="1">
        <v>5.4866876930000004</v>
      </c>
      <c r="V552" s="1">
        <v>5.519727617</v>
      </c>
      <c r="W552" s="1">
        <v>5.8376547490000004</v>
      </c>
      <c r="X552" s="1">
        <v>5.0312607360000001</v>
      </c>
      <c r="Y552" s="1">
        <v>5.9611531490000003</v>
      </c>
      <c r="Z552" s="1">
        <v>5.1472208640000003</v>
      </c>
      <c r="AA552" s="1">
        <v>5.1778667870000001</v>
      </c>
      <c r="AB552" s="1">
        <v>5.1073354020000004</v>
      </c>
      <c r="AC552" s="1">
        <v>5.2411914069999996</v>
      </c>
      <c r="AD552" s="1">
        <v>5.3536174839999999</v>
      </c>
      <c r="AE552" s="1">
        <v>6.086150795</v>
      </c>
    </row>
    <row r="553" spans="1:31" x14ac:dyDescent="0.25">
      <c r="A553" s="1" t="s">
        <v>1220</v>
      </c>
      <c r="B553" s="1" t="s">
        <v>2557</v>
      </c>
      <c r="C553" s="1" t="s">
        <v>2680</v>
      </c>
      <c r="D553" s="1" t="s">
        <v>3524</v>
      </c>
      <c r="E553" s="1" t="s">
        <v>3525</v>
      </c>
      <c r="F553" s="1" t="s">
        <v>3526</v>
      </c>
      <c r="G553" s="1" t="s">
        <v>1220</v>
      </c>
      <c r="H553" s="1">
        <v>4.8663747150000001</v>
      </c>
      <c r="I553" s="1">
        <v>4.9575946069999999</v>
      </c>
      <c r="J553" s="1">
        <v>5.9407738800000001</v>
      </c>
      <c r="K553" s="1">
        <v>6.091743707</v>
      </c>
      <c r="L553" s="1">
        <v>6.1227596330000003</v>
      </c>
      <c r="M553" s="1">
        <v>6.0344224830000002</v>
      </c>
      <c r="N553" s="1">
        <v>6.1154934519999999</v>
      </c>
      <c r="O553" s="1">
        <v>5.8051520590000001</v>
      </c>
      <c r="P553" s="1">
        <v>5.8618301099999996</v>
      </c>
      <c r="Q553" s="1">
        <v>5.9352426600000001</v>
      </c>
      <c r="R553" s="1">
        <v>5.7472990829999997</v>
      </c>
      <c r="S553" s="1">
        <v>5.8024660560000001</v>
      </c>
      <c r="T553" s="1">
        <v>6.1227596330000003</v>
      </c>
      <c r="U553" s="1">
        <v>6.0344224830000002</v>
      </c>
      <c r="V553" s="1">
        <v>5.4230002329999998</v>
      </c>
      <c r="W553" s="1">
        <v>5.5195577800000004</v>
      </c>
      <c r="X553" s="1">
        <v>5.9332613380000003</v>
      </c>
      <c r="Y553" s="1">
        <v>5.9909787290000001</v>
      </c>
      <c r="Z553" s="1">
        <v>5.7472990829999997</v>
      </c>
      <c r="AA553" s="1">
        <v>5.8024660560000001</v>
      </c>
      <c r="AB553" s="1">
        <v>5.7218462399999996</v>
      </c>
      <c r="AC553" s="1">
        <v>5.7882226870000002</v>
      </c>
      <c r="AD553" s="1">
        <v>5.4385263000000004</v>
      </c>
      <c r="AE553" s="1">
        <v>5.7195355599999997</v>
      </c>
    </row>
    <row r="554" spans="1:31" x14ac:dyDescent="0.25">
      <c r="A554" s="1" t="s">
        <v>1224</v>
      </c>
      <c r="B554" s="1" t="s">
        <v>2568</v>
      </c>
      <c r="C554" s="1" t="s">
        <v>2569</v>
      </c>
      <c r="D554" s="1" t="s">
        <v>3527</v>
      </c>
      <c r="E554" s="1" t="s">
        <v>3528</v>
      </c>
      <c r="F554" s="1" t="s">
        <v>3529</v>
      </c>
      <c r="G554" s="1" t="s">
        <v>1224</v>
      </c>
      <c r="H554" s="1">
        <v>9.2640501719999993</v>
      </c>
      <c r="I554" s="1">
        <v>9.5815176940000004</v>
      </c>
      <c r="J554" s="1">
        <v>9.14762524</v>
      </c>
      <c r="K554" s="1">
        <v>8.8384037820000003</v>
      </c>
      <c r="L554" s="1">
        <v>9.4620382670000005</v>
      </c>
      <c r="M554" s="1">
        <v>9.3748254200000005</v>
      </c>
      <c r="N554" s="1">
        <v>9.4824439080000005</v>
      </c>
      <c r="O554" s="1">
        <v>9.1724788430000004</v>
      </c>
      <c r="P554" s="1">
        <v>9.2178861970000003</v>
      </c>
      <c r="Q554" s="1">
        <v>9.1928201779999998</v>
      </c>
      <c r="R554" s="1">
        <v>8.8597907839999994</v>
      </c>
      <c r="S554" s="1">
        <v>8.6151972279999995</v>
      </c>
      <c r="T554" s="1">
        <v>9.4620382670000005</v>
      </c>
      <c r="U554" s="1">
        <v>9.3748254200000005</v>
      </c>
      <c r="V554" s="1">
        <v>8.4257832310000005</v>
      </c>
      <c r="W554" s="1">
        <v>8.2604539789999993</v>
      </c>
      <c r="X554" s="1">
        <v>9.1699254210000003</v>
      </c>
      <c r="Y554" s="1">
        <v>8.5464945149999991</v>
      </c>
      <c r="Z554" s="1">
        <v>8.8597907839999994</v>
      </c>
      <c r="AA554" s="1">
        <v>8.6151972279999995</v>
      </c>
      <c r="AB554" s="1">
        <v>8.7867410780000004</v>
      </c>
      <c r="AC554" s="1">
        <v>8.7280763350000008</v>
      </c>
      <c r="AD554" s="1">
        <v>8.9240019840000002</v>
      </c>
      <c r="AE554" s="1">
        <v>8.849632025</v>
      </c>
    </row>
    <row r="555" spans="1:31" x14ac:dyDescent="0.25">
      <c r="A555" s="1" t="s">
        <v>1225</v>
      </c>
      <c r="B555" s="1" t="s">
        <v>2525</v>
      </c>
      <c r="C555" s="1" t="s">
        <v>3110</v>
      </c>
      <c r="D555" s="1" t="s">
        <v>3527</v>
      </c>
      <c r="E555" s="1" t="s">
        <v>3530</v>
      </c>
      <c r="G555" s="1" t="s">
        <v>1225</v>
      </c>
      <c r="H555" s="1">
        <v>6.8693110669999999</v>
      </c>
      <c r="I555" s="1">
        <v>6.2102063709999999</v>
      </c>
      <c r="J555" s="1">
        <v>6.3905084429999999</v>
      </c>
      <c r="K555" s="1">
        <v>6.8396337100000002</v>
      </c>
      <c r="L555" s="1">
        <v>6.8124457639999996</v>
      </c>
      <c r="M555" s="1">
        <v>6.5770251660000003</v>
      </c>
      <c r="N555" s="1">
        <v>6.5176065699999999</v>
      </c>
      <c r="O555" s="1">
        <v>6.3277659169999998</v>
      </c>
      <c r="P555" s="1">
        <v>6.5340672829999997</v>
      </c>
      <c r="Q555" s="1">
        <v>6.5369026620000001</v>
      </c>
      <c r="R555" s="1">
        <v>6.3078659510000001</v>
      </c>
      <c r="S555" s="1">
        <v>6.7639721039999996</v>
      </c>
      <c r="T555" s="1">
        <v>6.8124457639999996</v>
      </c>
      <c r="U555" s="1">
        <v>6.5770251660000003</v>
      </c>
      <c r="V555" s="1">
        <v>6.1419042490000004</v>
      </c>
      <c r="W555" s="1">
        <v>6.6773173909999999</v>
      </c>
      <c r="X555" s="1">
        <v>6.7415831510000004</v>
      </c>
      <c r="Y555" s="1">
        <v>5.9611531490000003</v>
      </c>
      <c r="Z555" s="1">
        <v>6.3078659510000001</v>
      </c>
      <c r="AA555" s="1">
        <v>6.7639721039999996</v>
      </c>
      <c r="AB555" s="1">
        <v>6.769786034</v>
      </c>
      <c r="AC555" s="1">
        <v>6.2255363350000001</v>
      </c>
      <c r="AD555" s="1">
        <v>6.4155919319999999</v>
      </c>
      <c r="AE555" s="1">
        <v>6.1128603159999999</v>
      </c>
    </row>
    <row r="556" spans="1:31" x14ac:dyDescent="0.25">
      <c r="A556" s="1" t="s">
        <v>1226</v>
      </c>
      <c r="B556" s="1" t="s">
        <v>2525</v>
      </c>
      <c r="C556" s="1" t="s">
        <v>3110</v>
      </c>
      <c r="D556" s="1" t="s">
        <v>3531</v>
      </c>
      <c r="E556" s="1" t="s">
        <v>3532</v>
      </c>
      <c r="F556" s="1" t="s">
        <v>3533</v>
      </c>
      <c r="G556" s="1" t="s">
        <v>1226</v>
      </c>
      <c r="H556" s="1">
        <v>7.4495890060000001</v>
      </c>
      <c r="I556" s="1">
        <v>7.1686589569999999</v>
      </c>
      <c r="J556" s="1">
        <v>8.0712132830000005</v>
      </c>
      <c r="K556" s="1">
        <v>8.3459117900000006</v>
      </c>
      <c r="L556" s="1">
        <v>8.2839075649999998</v>
      </c>
      <c r="M556" s="1">
        <v>8.2745187560000009</v>
      </c>
      <c r="N556" s="1">
        <v>7.1895981530000004</v>
      </c>
      <c r="O556" s="1">
        <v>7.2615137970000001</v>
      </c>
      <c r="P556" s="1">
        <v>7.9464858329999997</v>
      </c>
      <c r="Q556" s="1">
        <v>8.2383838170000008</v>
      </c>
      <c r="R556" s="1">
        <v>8.0612255390000005</v>
      </c>
      <c r="S556" s="1">
        <v>7.7814873840000001</v>
      </c>
      <c r="T556" s="1">
        <v>8.2839075649999998</v>
      </c>
      <c r="U556" s="1">
        <v>8.2745187560000009</v>
      </c>
      <c r="V556" s="1">
        <v>7.1959894090000001</v>
      </c>
      <c r="W556" s="1">
        <v>7.3357764689999998</v>
      </c>
      <c r="X556" s="1">
        <v>8.1848574920000008</v>
      </c>
      <c r="Y556" s="1">
        <v>7.7691851820000002</v>
      </c>
      <c r="Z556" s="1">
        <v>8.0612255390000005</v>
      </c>
      <c r="AA556" s="1">
        <v>7.7814873840000001</v>
      </c>
      <c r="AB556" s="1">
        <v>7.9256926339999998</v>
      </c>
      <c r="AC556" s="1">
        <v>7.7684098769999999</v>
      </c>
      <c r="AD556" s="1">
        <v>8.1231377410000007</v>
      </c>
      <c r="AE556" s="1">
        <v>7.8265318109999997</v>
      </c>
    </row>
    <row r="557" spans="1:31" x14ac:dyDescent="0.25">
      <c r="A557" s="1" t="s">
        <v>1227</v>
      </c>
      <c r="B557" s="1" t="s">
        <v>2530</v>
      </c>
      <c r="C557" s="1" t="s">
        <v>2573</v>
      </c>
      <c r="D557" s="1" t="s">
        <v>3527</v>
      </c>
      <c r="E557" s="1" t="s">
        <v>3534</v>
      </c>
      <c r="G557" s="1" t="s">
        <v>1227</v>
      </c>
      <c r="H557" s="1">
        <v>7.6172000190000002</v>
      </c>
      <c r="I557" s="1">
        <v>7.6928463459999996</v>
      </c>
      <c r="J557" s="1">
        <v>7.3336787350000003</v>
      </c>
      <c r="K557" s="1">
        <v>7.6487670359999997</v>
      </c>
      <c r="L557" s="1">
        <v>8.0686727880000007</v>
      </c>
      <c r="M557" s="1">
        <v>8.0056899149999996</v>
      </c>
      <c r="N557" s="1">
        <v>7.7285321639999998</v>
      </c>
      <c r="O557" s="1">
        <v>7.0766218429999999</v>
      </c>
      <c r="P557" s="1">
        <v>7.8352611239999996</v>
      </c>
      <c r="Q557" s="1">
        <v>7.8471979110000003</v>
      </c>
      <c r="R557" s="1">
        <v>7.2009502379999999</v>
      </c>
      <c r="S557" s="1">
        <v>7.5537229699999999</v>
      </c>
      <c r="T557" s="1">
        <v>8.0686727880000007</v>
      </c>
      <c r="U557" s="1">
        <v>8.0056899149999996</v>
      </c>
      <c r="V557" s="1">
        <v>6.7031108210000001</v>
      </c>
      <c r="W557" s="1">
        <v>6.6164205459999996</v>
      </c>
      <c r="X557" s="1">
        <v>7.5928506740000001</v>
      </c>
      <c r="Y557" s="1">
        <v>6.9469657070000004</v>
      </c>
      <c r="Z557" s="1">
        <v>7.2009502379999999</v>
      </c>
      <c r="AA557" s="1">
        <v>7.5537229699999999</v>
      </c>
      <c r="AB557" s="1">
        <v>6.557950226</v>
      </c>
      <c r="AC557" s="1">
        <v>6.9504073259999997</v>
      </c>
      <c r="AD557" s="1">
        <v>6.9348946299999996</v>
      </c>
      <c r="AE557" s="1">
        <v>6.9585103139999998</v>
      </c>
    </row>
    <row r="558" spans="1:31" x14ac:dyDescent="0.25">
      <c r="A558" s="1" t="s">
        <v>1228</v>
      </c>
      <c r="B558" s="1" t="s">
        <v>2530</v>
      </c>
      <c r="C558" s="1" t="s">
        <v>2531</v>
      </c>
      <c r="D558" s="1" t="s">
        <v>2535</v>
      </c>
      <c r="E558" s="1" t="s">
        <v>3535</v>
      </c>
      <c r="G558" s="1" t="s">
        <v>1228</v>
      </c>
      <c r="H558" s="1">
        <v>6.5340358859999998</v>
      </c>
      <c r="I558" s="1">
        <v>7.2668382759999997</v>
      </c>
      <c r="J558" s="1">
        <v>5.1953777219999999</v>
      </c>
      <c r="K558" s="1">
        <v>5.2180867539999998</v>
      </c>
      <c r="L558" s="1">
        <v>6.2409920359999997</v>
      </c>
      <c r="M558" s="1">
        <v>6.2524523690000002</v>
      </c>
      <c r="N558" s="1">
        <v>6.9584991550000002</v>
      </c>
      <c r="O558" s="1">
        <v>6.3409804589999998</v>
      </c>
      <c r="P558" s="1">
        <v>6.3556532560000001</v>
      </c>
      <c r="Q558" s="1">
        <v>6.3980489909999996</v>
      </c>
      <c r="R558" s="1">
        <v>5.3334881589999998</v>
      </c>
      <c r="S558" s="1">
        <v>5.1778667870000001</v>
      </c>
      <c r="T558" s="1">
        <v>6.2409920359999997</v>
      </c>
      <c r="U558" s="1">
        <v>6.2524523690000002</v>
      </c>
      <c r="V558" s="1">
        <v>5.1274300740000003</v>
      </c>
      <c r="W558" s="1">
        <v>4.4367165279999998</v>
      </c>
      <c r="X558" s="1">
        <v>6.3215937049999997</v>
      </c>
      <c r="Y558" s="1">
        <v>5.2792112080000004</v>
      </c>
      <c r="Z558" s="1">
        <v>5.3334881589999998</v>
      </c>
      <c r="AA558" s="1">
        <v>5.1778667870000001</v>
      </c>
      <c r="AB558" s="1">
        <v>4.9601840040000003</v>
      </c>
      <c r="AC558" s="1">
        <v>5.2822693689999998</v>
      </c>
      <c r="AD558" s="1">
        <v>5.1668950269999998</v>
      </c>
      <c r="AE558" s="1">
        <v>5.592176748</v>
      </c>
    </row>
    <row r="559" spans="1:31" x14ac:dyDescent="0.25">
      <c r="A559" s="1" t="s">
        <v>1230</v>
      </c>
      <c r="B559" s="1" t="s">
        <v>2539</v>
      </c>
      <c r="C559" s="1" t="s">
        <v>2606</v>
      </c>
      <c r="D559" s="1" t="s">
        <v>3536</v>
      </c>
      <c r="E559" s="1" t="s">
        <v>3537</v>
      </c>
      <c r="G559" s="1" t="s">
        <v>1230</v>
      </c>
      <c r="H559" s="1">
        <v>5.946332924</v>
      </c>
      <c r="I559" s="1">
        <v>6.2102063709999999</v>
      </c>
      <c r="J559" s="1">
        <v>6.7627112289999998</v>
      </c>
      <c r="K559" s="1">
        <v>6.3412685260000003</v>
      </c>
      <c r="L559" s="1">
        <v>6.369232008</v>
      </c>
      <c r="M559" s="1">
        <v>6.6504511339999999</v>
      </c>
      <c r="N559" s="1">
        <v>6.8232102509999999</v>
      </c>
      <c r="O559" s="1">
        <v>6.8826346169999999</v>
      </c>
      <c r="P559" s="1">
        <v>6.429694821</v>
      </c>
      <c r="Q559" s="1">
        <v>6.459205753</v>
      </c>
      <c r="R559" s="1">
        <v>6.0678975499999996</v>
      </c>
      <c r="S559" s="1">
        <v>6.4595501860000004</v>
      </c>
      <c r="T559" s="1">
        <v>6.369232008</v>
      </c>
      <c r="U559" s="1">
        <v>6.6504511339999999</v>
      </c>
      <c r="V559" s="1">
        <v>6.5595027339999996</v>
      </c>
      <c r="W559" s="1">
        <v>6.3432413370000003</v>
      </c>
      <c r="X559" s="1">
        <v>6.7833281259999998</v>
      </c>
      <c r="Y559" s="1">
        <v>6.9006741439999999</v>
      </c>
      <c r="Z559" s="1">
        <v>6.0678975499999996</v>
      </c>
      <c r="AA559" s="1">
        <v>6.4595501860000004</v>
      </c>
      <c r="AB559" s="1">
        <v>6.6320802959999998</v>
      </c>
      <c r="AC559" s="1">
        <v>6.4392179089999999</v>
      </c>
      <c r="AD559" s="1">
        <v>6.6638698749999996</v>
      </c>
      <c r="AE559" s="1">
        <v>6.4212742540000001</v>
      </c>
    </row>
    <row r="560" spans="1:31" x14ac:dyDescent="0.25">
      <c r="A560" s="1" t="s">
        <v>1238</v>
      </c>
      <c r="B560" s="1" t="s">
        <v>2557</v>
      </c>
      <c r="C560" s="1" t="s">
        <v>2658</v>
      </c>
      <c r="D560" s="1" t="s">
        <v>2659</v>
      </c>
      <c r="E560" s="1" t="s">
        <v>3538</v>
      </c>
      <c r="F560" s="1" t="s">
        <v>3539</v>
      </c>
      <c r="G560" s="1" t="s">
        <v>1238</v>
      </c>
      <c r="H560" s="1">
        <v>4.3886087140000001</v>
      </c>
      <c r="I560" s="1">
        <v>5.1078624770000003</v>
      </c>
      <c r="J560" s="1">
        <v>4.5240842389999996</v>
      </c>
      <c r="K560" s="1">
        <v>4.4318297590000002</v>
      </c>
      <c r="L560" s="1">
        <v>4.961369199</v>
      </c>
      <c r="M560" s="1">
        <v>5.029201552</v>
      </c>
      <c r="N560" s="1">
        <v>4.1562881980000004</v>
      </c>
      <c r="O560" s="1">
        <v>3.9591193910000002</v>
      </c>
      <c r="P560" s="1">
        <v>4.9062897479999998</v>
      </c>
      <c r="Q560" s="1">
        <v>4.683187717</v>
      </c>
      <c r="R560" s="1">
        <v>4.8735636449999999</v>
      </c>
      <c r="S560" s="1">
        <v>4.5490843459999999</v>
      </c>
      <c r="T560" s="1">
        <v>4.961369199</v>
      </c>
      <c r="U560" s="1">
        <v>5.029201552</v>
      </c>
      <c r="V560" s="1">
        <v>4.8566239800000002</v>
      </c>
      <c r="W560" s="1">
        <v>4.2295768090000001</v>
      </c>
      <c r="X560" s="1">
        <v>4.7192629950000002</v>
      </c>
      <c r="Y560" s="1">
        <v>4.4420910779999998</v>
      </c>
      <c r="Z560" s="1">
        <v>4.8735636449999999</v>
      </c>
      <c r="AA560" s="1">
        <v>4.5490843459999999</v>
      </c>
      <c r="AB560" s="1">
        <v>4.6096720080000004</v>
      </c>
      <c r="AC560" s="1">
        <v>4.9660712470000004</v>
      </c>
      <c r="AD560" s="1">
        <v>4.2970121150000002</v>
      </c>
      <c r="AE560" s="1">
        <v>4.6572481659999996</v>
      </c>
    </row>
    <row r="561" spans="1:31" x14ac:dyDescent="0.25">
      <c r="A561" s="1" t="s">
        <v>1246</v>
      </c>
      <c r="B561" s="1" t="s">
        <v>2557</v>
      </c>
      <c r="C561" s="1" t="s">
        <v>2658</v>
      </c>
      <c r="D561" s="1" t="s">
        <v>2659</v>
      </c>
      <c r="E561" s="1" t="s">
        <v>3540</v>
      </c>
      <c r="F561" s="1" t="s">
        <v>3541</v>
      </c>
      <c r="G561" s="1" t="s">
        <v>1246</v>
      </c>
      <c r="H561" s="1">
        <v>4.6479005740000003</v>
      </c>
      <c r="I561" s="1">
        <v>3.9003964459999998</v>
      </c>
      <c r="J561" s="1">
        <v>2.5640169199999998</v>
      </c>
      <c r="K561" s="1">
        <v>2.620638279</v>
      </c>
      <c r="L561" s="1">
        <v>3.7446308510000001</v>
      </c>
      <c r="M561" s="1">
        <v>3.4067547010000001</v>
      </c>
      <c r="N561" s="1">
        <v>3.7779028299999999</v>
      </c>
      <c r="O561" s="1">
        <v>4.3322392709999997</v>
      </c>
      <c r="P561" s="1">
        <v>3.9684043939999998</v>
      </c>
      <c r="Q561" s="1">
        <v>3.8492287269999999</v>
      </c>
      <c r="R561" s="1">
        <v>3.1834741979999999</v>
      </c>
      <c r="S561" s="1">
        <v>3.1475403900000001</v>
      </c>
      <c r="T561" s="1">
        <v>3.7446308510000001</v>
      </c>
      <c r="U561" s="1">
        <v>3.4067547010000001</v>
      </c>
      <c r="V561" s="1">
        <v>3.6670520409999998</v>
      </c>
      <c r="W561" s="1">
        <v>3.6840067150000002</v>
      </c>
      <c r="X561" s="1">
        <v>3.3149070109999998</v>
      </c>
      <c r="Y561" s="1">
        <v>3.229986142</v>
      </c>
      <c r="Z561" s="1">
        <v>3.1834741979999999</v>
      </c>
      <c r="AA561" s="1">
        <v>3.1475403900000001</v>
      </c>
      <c r="AB561" s="1">
        <v>3.6315729079999999</v>
      </c>
      <c r="AC561" s="1">
        <v>3.1109927919999998</v>
      </c>
      <c r="AD561" s="1">
        <v>3.3987395579999999</v>
      </c>
      <c r="AE561" s="1">
        <v>3.5108161330000001</v>
      </c>
    </row>
    <row r="562" spans="1:31" x14ac:dyDescent="0.25">
      <c r="A562" s="1" t="s">
        <v>1250</v>
      </c>
      <c r="B562" s="1" t="s">
        <v>2667</v>
      </c>
      <c r="C562" s="1" t="s">
        <v>2802</v>
      </c>
      <c r="D562" s="1" t="s">
        <v>3542</v>
      </c>
      <c r="E562" s="1" t="s">
        <v>3543</v>
      </c>
      <c r="F562" s="1" t="s">
        <v>3544</v>
      </c>
      <c r="G562" s="1" t="s">
        <v>1250</v>
      </c>
      <c r="H562" s="1">
        <v>3.8023684370000002</v>
      </c>
      <c r="I562" s="1">
        <v>3.6484415459999999</v>
      </c>
      <c r="J562" s="1">
        <v>2.8907526730000002</v>
      </c>
      <c r="K562" s="1">
        <v>3.607491666</v>
      </c>
      <c r="L562" s="1">
        <v>2.5490970000000002</v>
      </c>
      <c r="M562" s="1">
        <v>1.7393328349999999</v>
      </c>
      <c r="N562" s="1">
        <v>3.444746345</v>
      </c>
      <c r="O562" s="1">
        <v>3.193511794</v>
      </c>
      <c r="P562" s="1">
        <v>3.466113682</v>
      </c>
      <c r="Q562" s="1">
        <v>3.185675432</v>
      </c>
      <c r="R562" s="1">
        <v>2.595728008</v>
      </c>
      <c r="S562" s="1">
        <v>3.1475403900000001</v>
      </c>
      <c r="T562" s="1">
        <v>2.5490970000000002</v>
      </c>
      <c r="U562" s="1">
        <v>1.7393328349999999</v>
      </c>
      <c r="V562" s="1">
        <v>3.0516113059999999</v>
      </c>
      <c r="W562" s="1">
        <v>3.2870366010000001</v>
      </c>
      <c r="X562" s="1">
        <v>3.3149070109999998</v>
      </c>
      <c r="Y562" s="1">
        <v>3.4382968329999999</v>
      </c>
      <c r="Z562" s="1">
        <v>2.595728008</v>
      </c>
      <c r="AA562" s="1">
        <v>3.1475403900000001</v>
      </c>
      <c r="AB562" s="1">
        <v>3.8237667059999998</v>
      </c>
      <c r="AC562" s="1">
        <v>3.3054795530000001</v>
      </c>
      <c r="AD562" s="1">
        <v>3.1944880649999998</v>
      </c>
      <c r="AE562" s="1">
        <v>3.5108161330000001</v>
      </c>
    </row>
    <row r="563" spans="1:31" x14ac:dyDescent="0.25">
      <c r="A563" s="1" t="s">
        <v>1252</v>
      </c>
      <c r="B563" s="1" t="s">
        <v>2667</v>
      </c>
      <c r="C563" s="1" t="s">
        <v>2802</v>
      </c>
      <c r="D563" s="1" t="s">
        <v>3545</v>
      </c>
      <c r="E563" s="1" t="s">
        <v>3543</v>
      </c>
      <c r="F563" s="1" t="s">
        <v>3544</v>
      </c>
      <c r="G563" s="1" t="s">
        <v>1252</v>
      </c>
      <c r="H563" s="1">
        <v>7.9667733969999999</v>
      </c>
      <c r="I563" s="1">
        <v>7.806002179</v>
      </c>
      <c r="J563" s="1">
        <v>7.8646487040000004</v>
      </c>
      <c r="K563" s="1">
        <v>8.0773237729999998</v>
      </c>
      <c r="L563" s="1">
        <v>7.4561339819999999</v>
      </c>
      <c r="M563" s="1">
        <v>7.5102295459999997</v>
      </c>
      <c r="N563" s="1">
        <v>7.5231303299999999</v>
      </c>
      <c r="O563" s="1">
        <v>8.0411607119999999</v>
      </c>
      <c r="P563" s="1">
        <v>7.7440140690000003</v>
      </c>
      <c r="Q563" s="1">
        <v>7.4657939720000002</v>
      </c>
      <c r="R563" s="1">
        <v>7.8577297809999997</v>
      </c>
      <c r="S563" s="1">
        <v>7.5180364270000002</v>
      </c>
      <c r="T563" s="1">
        <v>7.4561339819999999</v>
      </c>
      <c r="U563" s="1">
        <v>7.5102295459999997</v>
      </c>
      <c r="V563" s="1">
        <v>7.3258622400000002</v>
      </c>
      <c r="W563" s="1">
        <v>7.4448055310000001</v>
      </c>
      <c r="X563" s="1">
        <v>7.032111553</v>
      </c>
      <c r="Y563" s="1">
        <v>7.1452643309999999</v>
      </c>
      <c r="Z563" s="1">
        <v>7.8577297809999997</v>
      </c>
      <c r="AA563" s="1">
        <v>7.5180364270000002</v>
      </c>
      <c r="AB563" s="1">
        <v>7.7594175390000002</v>
      </c>
      <c r="AC563" s="1">
        <v>7.6487774760000002</v>
      </c>
      <c r="AD563" s="1">
        <v>6.8136746160000001</v>
      </c>
      <c r="AE563" s="1">
        <v>7.5029627999999997</v>
      </c>
    </row>
    <row r="564" spans="1:31" x14ac:dyDescent="0.25">
      <c r="A564" s="1" t="s">
        <v>1255</v>
      </c>
      <c r="B564" s="1" t="s">
        <v>2530</v>
      </c>
      <c r="C564" s="1" t="s">
        <v>2531</v>
      </c>
      <c r="D564" s="1" t="s">
        <v>2535</v>
      </c>
      <c r="E564" s="1" t="s">
        <v>2536</v>
      </c>
      <c r="G564" s="1" t="s">
        <v>1255</v>
      </c>
      <c r="H564" s="1">
        <v>6.4696957609999997</v>
      </c>
      <c r="I564" s="1">
        <v>7.2877765649999997</v>
      </c>
      <c r="J564" s="1">
        <v>5.8869626679999998</v>
      </c>
      <c r="K564" s="1">
        <v>6.2465923569999999</v>
      </c>
      <c r="L564" s="1">
        <v>7.0367909559999999</v>
      </c>
      <c r="M564" s="1">
        <v>6.6907862490000003</v>
      </c>
      <c r="N564" s="1">
        <v>6.8804643319999998</v>
      </c>
      <c r="O564" s="1">
        <v>6.5825832039999996</v>
      </c>
      <c r="P564" s="1">
        <v>6.7077294260000002</v>
      </c>
      <c r="Q564" s="1">
        <v>6.5369026620000001</v>
      </c>
      <c r="R564" s="1">
        <v>5.8723300570000001</v>
      </c>
      <c r="S564" s="1">
        <v>5.8024660560000001</v>
      </c>
      <c r="T564" s="1">
        <v>7.0367909559999999</v>
      </c>
      <c r="U564" s="1">
        <v>6.6907862490000003</v>
      </c>
      <c r="V564" s="1">
        <v>6.2012354710000004</v>
      </c>
      <c r="W564" s="1">
        <v>6.239290832</v>
      </c>
      <c r="X564" s="1">
        <v>5.6552604280000001</v>
      </c>
      <c r="Y564" s="1">
        <v>5.9611531490000003</v>
      </c>
      <c r="Z564" s="1">
        <v>5.8723300570000001</v>
      </c>
      <c r="AA564" s="1">
        <v>5.8024660560000001</v>
      </c>
      <c r="AB564" s="1">
        <v>5.8927983030000002</v>
      </c>
      <c r="AC564" s="1">
        <v>5.471555994</v>
      </c>
      <c r="AD564" s="1">
        <v>5.396704357</v>
      </c>
      <c r="AE564" s="1">
        <v>6.1775384349999998</v>
      </c>
    </row>
    <row r="565" spans="1:31" x14ac:dyDescent="0.25">
      <c r="A565" s="1" t="s">
        <v>1256</v>
      </c>
      <c r="B565" s="1" t="s">
        <v>2530</v>
      </c>
      <c r="C565" s="1" t="s">
        <v>2531</v>
      </c>
      <c r="D565" s="1" t="s">
        <v>2535</v>
      </c>
      <c r="E565" s="1" t="s">
        <v>3546</v>
      </c>
      <c r="G565" s="1" t="s">
        <v>1256</v>
      </c>
      <c r="H565" s="1">
        <v>5.3232649629999997</v>
      </c>
      <c r="I565" s="1">
        <v>5.4817092260000004</v>
      </c>
      <c r="J565" s="1">
        <v>4.2898244959999996</v>
      </c>
      <c r="K565" s="1">
        <v>4.7454889089999996</v>
      </c>
      <c r="L565" s="1">
        <v>4.4838783849999997</v>
      </c>
      <c r="M565" s="1">
        <v>4.3982295550000003</v>
      </c>
      <c r="N565" s="1">
        <v>5.4061212789999997</v>
      </c>
      <c r="O565" s="1">
        <v>4.9731423550000002</v>
      </c>
      <c r="P565" s="1">
        <v>4.5499605860000001</v>
      </c>
      <c r="Q565" s="1">
        <v>4.683187717</v>
      </c>
      <c r="R565" s="1">
        <v>4.8735636449999999</v>
      </c>
      <c r="S565" s="1">
        <v>5.0824952919999999</v>
      </c>
      <c r="T565" s="1">
        <v>4.4838783849999997</v>
      </c>
      <c r="U565" s="1">
        <v>4.3982295550000003</v>
      </c>
      <c r="V565" s="1">
        <v>4.8059579570000004</v>
      </c>
      <c r="W565" s="1">
        <v>4.7760085830000003</v>
      </c>
      <c r="X565" s="1">
        <v>4.6838774470000004</v>
      </c>
      <c r="Y565" s="1">
        <v>4.4420910779999998</v>
      </c>
      <c r="Z565" s="1">
        <v>4.8735636449999999</v>
      </c>
      <c r="AA565" s="1">
        <v>5.0824952919999999</v>
      </c>
      <c r="AB565" s="1">
        <v>5.2406211000000003</v>
      </c>
      <c r="AC565" s="1">
        <v>4.3377211620000002</v>
      </c>
      <c r="AD565" s="1">
        <v>4.4715299570000004</v>
      </c>
      <c r="AE565" s="1">
        <v>4.7636391339999999</v>
      </c>
    </row>
    <row r="566" spans="1:31" x14ac:dyDescent="0.25">
      <c r="A566" s="1" t="s">
        <v>1262</v>
      </c>
      <c r="B566" s="1" t="s">
        <v>2520</v>
      </c>
      <c r="C566" s="1" t="s">
        <v>2521</v>
      </c>
      <c r="D566" s="1" t="s">
        <v>3547</v>
      </c>
      <c r="E566" s="1" t="s">
        <v>3548</v>
      </c>
      <c r="F566" s="1" t="s">
        <v>3549</v>
      </c>
      <c r="G566" s="1" t="s">
        <v>1262</v>
      </c>
      <c r="H566" s="1">
        <v>7.9822119430000003</v>
      </c>
      <c r="I566" s="1">
        <v>7.9442639059999998</v>
      </c>
      <c r="J566" s="1">
        <v>8.6443100150000003</v>
      </c>
      <c r="K566" s="1">
        <v>8.3515996999999995</v>
      </c>
      <c r="L566" s="1">
        <v>8.9218196089999999</v>
      </c>
      <c r="M566" s="1">
        <v>8.9890305020000003</v>
      </c>
      <c r="N566" s="1">
        <v>8.2589522649999996</v>
      </c>
      <c r="O566" s="1">
        <v>8.0492219309999999</v>
      </c>
      <c r="P566" s="1">
        <v>8.9741087279999991</v>
      </c>
      <c r="Q566" s="1">
        <v>9.0807004459999998</v>
      </c>
      <c r="R566" s="1">
        <v>8.8858885880000003</v>
      </c>
      <c r="S566" s="1">
        <v>8.8804987139999998</v>
      </c>
      <c r="T566" s="1">
        <v>8.9218196089999999</v>
      </c>
      <c r="U566" s="1">
        <v>8.9890305020000003</v>
      </c>
      <c r="V566" s="1">
        <v>8.5179334680000007</v>
      </c>
      <c r="W566" s="1">
        <v>8.5694753640000005</v>
      </c>
      <c r="X566" s="1">
        <v>8.8132137739999994</v>
      </c>
      <c r="Y566" s="1">
        <v>8.5614396920000004</v>
      </c>
      <c r="Z566" s="1">
        <v>8.8858885880000003</v>
      </c>
      <c r="AA566" s="1">
        <v>8.8804987139999998</v>
      </c>
      <c r="AB566" s="1">
        <v>8.7090405079999993</v>
      </c>
      <c r="AC566" s="1">
        <v>8.6982606219999994</v>
      </c>
      <c r="AD566" s="1">
        <v>8.5830917689999993</v>
      </c>
      <c r="AE566" s="1">
        <v>8.6343065990000003</v>
      </c>
    </row>
    <row r="567" spans="1:31" x14ac:dyDescent="0.25">
      <c r="A567" s="1" t="s">
        <v>1263</v>
      </c>
      <c r="B567" s="1" t="s">
        <v>2530</v>
      </c>
      <c r="C567" s="1" t="s">
        <v>2531</v>
      </c>
      <c r="D567" s="1" t="s">
        <v>2535</v>
      </c>
      <c r="E567" s="1" t="s">
        <v>2536</v>
      </c>
      <c r="G567" s="1" t="s">
        <v>1263</v>
      </c>
      <c r="H567" s="1">
        <v>4.7972697699999998</v>
      </c>
      <c r="I567" s="1">
        <v>4.7284970130000001</v>
      </c>
      <c r="J567" s="1">
        <v>4.3724365990000003</v>
      </c>
      <c r="K567" s="1">
        <v>4.2434183680000004</v>
      </c>
      <c r="L567" s="1">
        <v>4.8288685039999999</v>
      </c>
      <c r="M567" s="1">
        <v>4.5846937370000003</v>
      </c>
      <c r="N567" s="1">
        <v>5.3605984370000002</v>
      </c>
      <c r="O567" s="1">
        <v>4.7903853170000001</v>
      </c>
      <c r="P567" s="1">
        <v>4.9577743410000004</v>
      </c>
      <c r="Q567" s="1">
        <v>5.2473923969999996</v>
      </c>
      <c r="R567" s="1">
        <v>4.5333476509999997</v>
      </c>
      <c r="S567" s="1">
        <v>4.1304223819999999</v>
      </c>
      <c r="T567" s="1">
        <v>4.8288685039999999</v>
      </c>
      <c r="U567" s="1">
        <v>4.5846937370000003</v>
      </c>
      <c r="V567" s="1">
        <v>4.3879408260000003</v>
      </c>
      <c r="W567" s="1">
        <v>4.8493412630000003</v>
      </c>
      <c r="X567" s="1">
        <v>4.3627028770000003</v>
      </c>
      <c r="Y567" s="1">
        <v>4.6842287809999998</v>
      </c>
      <c r="Z567" s="1">
        <v>4.5333476509999997</v>
      </c>
      <c r="AA567" s="1">
        <v>4.1304223819999999</v>
      </c>
      <c r="AB567" s="1">
        <v>4.8804215500000003</v>
      </c>
      <c r="AC567" s="1">
        <v>4.8053838390000001</v>
      </c>
      <c r="AD567" s="1">
        <v>4.2970121150000002</v>
      </c>
      <c r="AE567" s="1">
        <v>4.5014252270000004</v>
      </c>
    </row>
    <row r="568" spans="1:31" x14ac:dyDescent="0.25">
      <c r="A568" s="1" t="s">
        <v>1266</v>
      </c>
      <c r="B568" s="1" t="s">
        <v>2530</v>
      </c>
      <c r="C568" s="1" t="s">
        <v>2573</v>
      </c>
      <c r="D568" s="1" t="s">
        <v>2535</v>
      </c>
      <c r="E568" s="1" t="s">
        <v>3550</v>
      </c>
      <c r="G568" s="1" t="s">
        <v>1266</v>
      </c>
      <c r="H568" s="1">
        <v>4.183793842</v>
      </c>
      <c r="I568" s="1">
        <v>3.6484415459999999</v>
      </c>
      <c r="J568" s="1">
        <v>4.4503473070000004</v>
      </c>
      <c r="K568" s="1">
        <v>5.0588199180000002</v>
      </c>
      <c r="L568" s="1">
        <v>4.6513384469999997</v>
      </c>
      <c r="M568" s="1">
        <v>4.8607408789999997</v>
      </c>
      <c r="N568" s="1">
        <v>4.1002678350000004</v>
      </c>
      <c r="O568" s="1">
        <v>4.0953574540000002</v>
      </c>
      <c r="P568" s="1">
        <v>4.7394495640000001</v>
      </c>
      <c r="Q568" s="1">
        <v>3.9718447549999998</v>
      </c>
      <c r="R568" s="1">
        <v>4.7472384160000001</v>
      </c>
      <c r="S568" s="1">
        <v>5.2232498669999998</v>
      </c>
      <c r="T568" s="1">
        <v>4.6513384469999997</v>
      </c>
      <c r="U568" s="1">
        <v>4.8607408789999997</v>
      </c>
      <c r="V568" s="1">
        <v>4.7533922439999996</v>
      </c>
      <c r="W568" s="1">
        <v>4.9854391920000003</v>
      </c>
      <c r="X568" s="1">
        <v>5.2147349050000003</v>
      </c>
      <c r="Y568" s="1">
        <v>4.8250325140000001</v>
      </c>
      <c r="Z568" s="1">
        <v>4.7472384160000001</v>
      </c>
      <c r="AA568" s="1">
        <v>5.2232498669999998</v>
      </c>
      <c r="AB568" s="1">
        <v>5.3028471579999996</v>
      </c>
      <c r="AC568" s="1">
        <v>4.9660712470000004</v>
      </c>
      <c r="AD568" s="1">
        <v>5.5186611069999998</v>
      </c>
      <c r="AE568" s="1">
        <v>5.2252968339999999</v>
      </c>
    </row>
    <row r="569" spans="1:31" x14ac:dyDescent="0.25">
      <c r="A569" s="1" t="s">
        <v>1268</v>
      </c>
      <c r="B569" s="1" t="s">
        <v>2598</v>
      </c>
      <c r="C569" s="1" t="s">
        <v>2603</v>
      </c>
      <c r="D569" s="1" t="s">
        <v>3551</v>
      </c>
      <c r="E569" s="1" t="s">
        <v>3552</v>
      </c>
      <c r="F569" s="1" t="s">
        <v>3553</v>
      </c>
      <c r="G569" s="1" t="s">
        <v>1268</v>
      </c>
      <c r="H569" s="1">
        <v>5.4626831620000003</v>
      </c>
      <c r="I569" s="1">
        <v>5.1546023129999998</v>
      </c>
      <c r="J569" s="1">
        <v>5.1034438250000003</v>
      </c>
      <c r="K569" s="1">
        <v>4.3408695499999999</v>
      </c>
      <c r="L569" s="1">
        <v>5.082479009</v>
      </c>
      <c r="M569" s="1">
        <v>5.0913316819999999</v>
      </c>
      <c r="N569" s="1">
        <v>5.2145790439999997</v>
      </c>
      <c r="O569" s="1">
        <v>5.0400854920000002</v>
      </c>
      <c r="P569" s="1">
        <v>4.8528499219999999</v>
      </c>
      <c r="Q569" s="1">
        <v>5.1511590549999999</v>
      </c>
      <c r="R569" s="1">
        <v>4.8735636449999999</v>
      </c>
      <c r="S569" s="1">
        <v>4.6194390810000003</v>
      </c>
      <c r="T569" s="1">
        <v>5.082479009</v>
      </c>
      <c r="U569" s="1">
        <v>5.0913316819999999</v>
      </c>
      <c r="V569" s="1">
        <v>5.1274300740000003</v>
      </c>
      <c r="W569" s="1">
        <v>5.0488589419999998</v>
      </c>
      <c r="X569" s="1">
        <v>4.7192629950000002</v>
      </c>
      <c r="Y569" s="1">
        <v>4.8904630100000004</v>
      </c>
      <c r="Z569" s="1">
        <v>4.8735636449999999</v>
      </c>
      <c r="AA569" s="1">
        <v>4.6194390810000003</v>
      </c>
      <c r="AB569" s="1">
        <v>4.705867896</v>
      </c>
      <c r="AC569" s="1">
        <v>4.6870272159999997</v>
      </c>
      <c r="AD569" s="1">
        <v>4.4715299570000004</v>
      </c>
      <c r="AE569" s="1">
        <v>4.6936201110000004</v>
      </c>
    </row>
    <row r="570" spans="1:31" x14ac:dyDescent="0.25">
      <c r="A570" s="1" t="s">
        <v>1275</v>
      </c>
      <c r="B570" s="1" t="s">
        <v>2530</v>
      </c>
      <c r="C570" s="1" t="s">
        <v>2531</v>
      </c>
      <c r="D570" s="1" t="s">
        <v>2535</v>
      </c>
      <c r="E570" s="1" t="s">
        <v>2536</v>
      </c>
      <c r="G570" s="1" t="s">
        <v>1275</v>
      </c>
      <c r="H570" s="1">
        <v>2.9945681560000001</v>
      </c>
      <c r="I570" s="1">
        <v>3.1348991329999998</v>
      </c>
      <c r="J570" s="1">
        <v>1.7393328349999999</v>
      </c>
      <c r="K570" s="1">
        <v>3.22334677</v>
      </c>
      <c r="L570" s="1">
        <v>2.9964092330000001</v>
      </c>
      <c r="M570" s="1">
        <v>2.665084539</v>
      </c>
      <c r="N570" s="1">
        <v>3.344961128</v>
      </c>
      <c r="O570" s="1">
        <v>3.193511794</v>
      </c>
      <c r="P570" s="1">
        <v>3.106446558</v>
      </c>
      <c r="Q570" s="1">
        <v>3.8492287269999999</v>
      </c>
      <c r="R570" s="1">
        <v>2.9339002829999998</v>
      </c>
      <c r="S570" s="1">
        <v>3.3463386960000001</v>
      </c>
      <c r="T570" s="1">
        <v>2.9964092330000001</v>
      </c>
      <c r="U570" s="1">
        <v>2.665084539</v>
      </c>
      <c r="V570" s="1">
        <v>3.0516113059999999</v>
      </c>
      <c r="W570" s="1">
        <v>2.6606351240000001</v>
      </c>
      <c r="X570" s="1">
        <v>2.3600830049999999</v>
      </c>
      <c r="Y570" s="1">
        <v>1.7393328349999999</v>
      </c>
      <c r="Z570" s="1">
        <v>2.9339002829999998</v>
      </c>
      <c r="AA570" s="1">
        <v>3.3463386960000001</v>
      </c>
      <c r="AB570" s="1">
        <v>2.73487305</v>
      </c>
      <c r="AC570" s="1">
        <v>3.3054795530000001</v>
      </c>
      <c r="AD570" s="1">
        <v>2.6025990879999998</v>
      </c>
      <c r="AE570" s="1">
        <v>2.9592545700000001</v>
      </c>
    </row>
    <row r="571" spans="1:31" x14ac:dyDescent="0.25">
      <c r="A571" s="1" t="s">
        <v>1288</v>
      </c>
      <c r="B571" s="1" t="s">
        <v>2530</v>
      </c>
      <c r="C571" s="1" t="s">
        <v>2531</v>
      </c>
      <c r="D571" s="1" t="s">
        <v>2535</v>
      </c>
      <c r="E571" s="1" t="s">
        <v>2536</v>
      </c>
      <c r="G571" s="1" t="s">
        <v>1288</v>
      </c>
      <c r="H571" s="1">
        <v>2.640460343</v>
      </c>
      <c r="I571" s="1">
        <v>3.7806045529999999</v>
      </c>
      <c r="J571" s="1">
        <v>2.5640169199999998</v>
      </c>
      <c r="K571" s="1">
        <v>3.22334677</v>
      </c>
      <c r="L571" s="1">
        <v>3.5435353630000002</v>
      </c>
      <c r="M571" s="1">
        <v>3.169085575</v>
      </c>
      <c r="N571" s="1">
        <v>3.8490531570000002</v>
      </c>
      <c r="O571" s="1">
        <v>3.050193165</v>
      </c>
      <c r="P571" s="1">
        <v>3.86011382</v>
      </c>
      <c r="Q571" s="1">
        <v>4.5369064569999997</v>
      </c>
      <c r="R571" s="1">
        <v>3.5594063970000001</v>
      </c>
      <c r="S571" s="1">
        <v>3.5159502420000002</v>
      </c>
      <c r="T571" s="1">
        <v>3.5435353630000002</v>
      </c>
      <c r="U571" s="1">
        <v>3.169085575</v>
      </c>
      <c r="V571" s="1">
        <v>3.2389700330000002</v>
      </c>
      <c r="W571" s="1">
        <v>4.1128053839999996</v>
      </c>
      <c r="X571" s="1">
        <v>3.0884111989999998</v>
      </c>
      <c r="Y571" s="1">
        <v>3.229986142</v>
      </c>
      <c r="Z571" s="1">
        <v>3.5594063970000001</v>
      </c>
      <c r="AA571" s="1">
        <v>3.5159502420000002</v>
      </c>
      <c r="AB571" s="1">
        <v>3.6315729079999999</v>
      </c>
      <c r="AC571" s="1">
        <v>4.0753403910000001</v>
      </c>
      <c r="AD571" s="1">
        <v>3.1944880649999998</v>
      </c>
      <c r="AE571" s="1">
        <v>3.213378847</v>
      </c>
    </row>
    <row r="572" spans="1:31" x14ac:dyDescent="0.25">
      <c r="A572" s="1" t="s">
        <v>1292</v>
      </c>
      <c r="B572" s="1" t="s">
        <v>2542</v>
      </c>
      <c r="C572" s="1" t="s">
        <v>2543</v>
      </c>
      <c r="D572" s="1" t="s">
        <v>3269</v>
      </c>
      <c r="E572" s="1" t="s">
        <v>3554</v>
      </c>
      <c r="F572" s="1" t="s">
        <v>3555</v>
      </c>
      <c r="G572" s="1" t="s">
        <v>1292</v>
      </c>
      <c r="H572" s="1">
        <v>1.7393328349999999</v>
      </c>
      <c r="I572" s="1">
        <v>1.7393328349999999</v>
      </c>
      <c r="J572" s="1">
        <v>1.7393328349999999</v>
      </c>
      <c r="K572" s="1">
        <v>2.620638279</v>
      </c>
      <c r="L572" s="1">
        <v>3.3025959560000002</v>
      </c>
      <c r="M572" s="1">
        <v>2.3994532390000001</v>
      </c>
      <c r="N572" s="1">
        <v>1.7393328349999999</v>
      </c>
      <c r="O572" s="1">
        <v>1.7393328349999999</v>
      </c>
      <c r="P572" s="1">
        <v>1.7393328349999999</v>
      </c>
      <c r="Q572" s="1">
        <v>2.935765398</v>
      </c>
      <c r="R572" s="1">
        <v>3.1834741979999999</v>
      </c>
      <c r="S572" s="1">
        <v>2.9034795349999998</v>
      </c>
      <c r="T572" s="1">
        <v>3.3025959560000002</v>
      </c>
      <c r="U572" s="1">
        <v>2.3994532390000001</v>
      </c>
      <c r="V572" s="1">
        <v>3.0516113059999999</v>
      </c>
      <c r="W572" s="1">
        <v>1.7393328349999999</v>
      </c>
      <c r="X572" s="1">
        <v>3.4131791489999999</v>
      </c>
      <c r="Y572" s="1">
        <v>2.624795792</v>
      </c>
      <c r="Z572" s="1">
        <v>3.1834741979999999</v>
      </c>
      <c r="AA572" s="1">
        <v>2.9034795349999998</v>
      </c>
      <c r="AB572" s="1">
        <v>2.73487305</v>
      </c>
      <c r="AC572" s="1">
        <v>1.7393328349999999</v>
      </c>
      <c r="AD572" s="1">
        <v>2.9432342459999998</v>
      </c>
      <c r="AE572" s="1">
        <v>3.0939349979999999</v>
      </c>
    </row>
    <row r="573" spans="1:31" x14ac:dyDescent="0.25">
      <c r="A573" s="1" t="s">
        <v>1293</v>
      </c>
      <c r="B573" s="1" t="s">
        <v>2542</v>
      </c>
      <c r="C573" s="1" t="s">
        <v>2543</v>
      </c>
      <c r="D573" s="1" t="s">
        <v>3269</v>
      </c>
      <c r="E573" s="1" t="s">
        <v>3556</v>
      </c>
      <c r="F573" s="1" t="s">
        <v>3557</v>
      </c>
      <c r="G573" s="1" t="s">
        <v>1293</v>
      </c>
      <c r="H573" s="1">
        <v>3.6455184960000002</v>
      </c>
      <c r="I573" s="1">
        <v>3.6484415459999999</v>
      </c>
      <c r="J573" s="1">
        <v>4.5940881259999999</v>
      </c>
      <c r="K573" s="1">
        <v>3.607491666</v>
      </c>
      <c r="L573" s="1">
        <v>4.4838783849999997</v>
      </c>
      <c r="M573" s="1">
        <v>4.239619416</v>
      </c>
      <c r="N573" s="1">
        <v>4.2617896110000002</v>
      </c>
      <c r="O573" s="1">
        <v>3.050193165</v>
      </c>
      <c r="P573" s="1">
        <v>4.2485661720000003</v>
      </c>
      <c r="Q573" s="1">
        <v>5.1004769559999996</v>
      </c>
      <c r="R573" s="1">
        <v>4.6795267799999998</v>
      </c>
      <c r="S573" s="1">
        <v>5.0824952919999999</v>
      </c>
      <c r="T573" s="1">
        <v>4.4838783849999997</v>
      </c>
      <c r="U573" s="1">
        <v>4.239619416</v>
      </c>
      <c r="V573" s="1">
        <v>4.5826682710000002</v>
      </c>
      <c r="W573" s="1">
        <v>4.6166922860000001</v>
      </c>
      <c r="X573" s="1">
        <v>5.6370967820000004</v>
      </c>
      <c r="Y573" s="1">
        <v>5.8019430659999998</v>
      </c>
      <c r="Z573" s="1">
        <v>4.6795267799999998</v>
      </c>
      <c r="AA573" s="1">
        <v>5.0824952919999999</v>
      </c>
      <c r="AB573" s="1">
        <v>5.2406211000000003</v>
      </c>
      <c r="AC573" s="1">
        <v>5.4356573160000003</v>
      </c>
      <c r="AD573" s="1">
        <v>6.3296964060000001</v>
      </c>
      <c r="AE573" s="1">
        <v>5.8040306609999996</v>
      </c>
    </row>
    <row r="574" spans="1:31" x14ac:dyDescent="0.25">
      <c r="A574" s="1" t="s">
        <v>1297</v>
      </c>
      <c r="B574" s="1" t="s">
        <v>2579</v>
      </c>
      <c r="C574" s="1" t="s">
        <v>2580</v>
      </c>
      <c r="D574" s="1" t="s">
        <v>3558</v>
      </c>
      <c r="E574" s="1" t="s">
        <v>3559</v>
      </c>
      <c r="F574" s="1" t="s">
        <v>3560</v>
      </c>
      <c r="G574" s="1" t="s">
        <v>1297</v>
      </c>
      <c r="H574" s="1">
        <v>4.3886087140000001</v>
      </c>
      <c r="I574" s="1">
        <v>4.903725959</v>
      </c>
      <c r="J574" s="1">
        <v>7.8080290080000001</v>
      </c>
      <c r="K574" s="1">
        <v>7.4824236539999998</v>
      </c>
      <c r="L574" s="1">
        <v>7.7591655749999999</v>
      </c>
      <c r="M574" s="1">
        <v>7.776796976</v>
      </c>
      <c r="N574" s="1">
        <v>4.5366957899999996</v>
      </c>
      <c r="O574" s="1">
        <v>4.9028628039999997</v>
      </c>
      <c r="P574" s="1">
        <v>7.5169022410000004</v>
      </c>
      <c r="Q574" s="1">
        <v>7.4458102659999996</v>
      </c>
      <c r="R574" s="1">
        <v>7.9022531660000004</v>
      </c>
      <c r="S574" s="1">
        <v>7.8761314679999996</v>
      </c>
      <c r="T574" s="1">
        <v>7.7591655749999999</v>
      </c>
      <c r="U574" s="1">
        <v>7.776796976</v>
      </c>
      <c r="V574" s="1">
        <v>7.2990005719999997</v>
      </c>
      <c r="W574" s="1">
        <v>7.2178208650000002</v>
      </c>
      <c r="X574" s="1">
        <v>7.3534945570000003</v>
      </c>
      <c r="Y574" s="1">
        <v>7.1185527400000002</v>
      </c>
      <c r="Z574" s="1">
        <v>7.9022531660000004</v>
      </c>
      <c r="AA574" s="1">
        <v>7.8761314679999996</v>
      </c>
      <c r="AB574" s="1">
        <v>7.5588360830000001</v>
      </c>
      <c r="AC574" s="1">
        <v>7.7612167000000003</v>
      </c>
      <c r="AD574" s="1">
        <v>7.4023821740000004</v>
      </c>
      <c r="AE574" s="1">
        <v>7.1249377129999996</v>
      </c>
    </row>
    <row r="575" spans="1:31" x14ac:dyDescent="0.25">
      <c r="A575" s="1" t="s">
        <v>1299</v>
      </c>
      <c r="B575" s="1" t="s">
        <v>2843</v>
      </c>
      <c r="C575" s="1" t="s">
        <v>2903</v>
      </c>
      <c r="D575" s="1" t="s">
        <v>3561</v>
      </c>
      <c r="E575" s="1" t="s">
        <v>3562</v>
      </c>
      <c r="F575" s="1" t="s">
        <v>3563</v>
      </c>
      <c r="G575" s="1" t="s">
        <v>1299</v>
      </c>
      <c r="H575" s="1">
        <v>4.0684382540000001</v>
      </c>
      <c r="I575" s="1">
        <v>4.1114152529999997</v>
      </c>
      <c r="J575" s="1">
        <v>5.1501560140000002</v>
      </c>
      <c r="K575" s="1">
        <v>4.941717659</v>
      </c>
      <c r="L575" s="1">
        <v>4.6513384469999997</v>
      </c>
      <c r="M575" s="1">
        <v>4.9970812499999999</v>
      </c>
      <c r="N575" s="1">
        <v>3.344961128</v>
      </c>
      <c r="O575" s="1">
        <v>3.9591193910000002</v>
      </c>
      <c r="P575" s="1">
        <v>4.6791060150000003</v>
      </c>
      <c r="Q575" s="1">
        <v>3.7137735799999998</v>
      </c>
      <c r="R575" s="1">
        <v>5.0965654090000001</v>
      </c>
      <c r="S575" s="1">
        <v>4.6194390810000003</v>
      </c>
      <c r="T575" s="1">
        <v>4.6513384469999997</v>
      </c>
      <c r="U575" s="1">
        <v>4.9970812499999999</v>
      </c>
      <c r="V575" s="1">
        <v>4.4559512029999997</v>
      </c>
      <c r="W575" s="1">
        <v>4.5296290450000001</v>
      </c>
      <c r="X575" s="1">
        <v>4.2691515329999996</v>
      </c>
      <c r="Y575" s="1">
        <v>3.9087436480000002</v>
      </c>
      <c r="Z575" s="1">
        <v>5.0965654090000001</v>
      </c>
      <c r="AA575" s="1">
        <v>4.6194390810000003</v>
      </c>
      <c r="AB575" s="1">
        <v>4.705867896</v>
      </c>
      <c r="AC575" s="1">
        <v>5.0158027430000001</v>
      </c>
      <c r="AD575" s="1">
        <v>3.5727029510000001</v>
      </c>
      <c r="AE575" s="1">
        <v>4.7636391339999999</v>
      </c>
    </row>
    <row r="576" spans="1:31" x14ac:dyDescent="0.25">
      <c r="A576" s="1" t="s">
        <v>1300</v>
      </c>
      <c r="B576" s="1" t="s">
        <v>2579</v>
      </c>
      <c r="C576" s="1" t="s">
        <v>2580</v>
      </c>
      <c r="D576" s="1" t="s">
        <v>3035</v>
      </c>
      <c r="E576" s="1" t="s">
        <v>3564</v>
      </c>
      <c r="F576" s="1" t="s">
        <v>3565</v>
      </c>
      <c r="G576" s="1" t="s">
        <v>1300</v>
      </c>
      <c r="H576" s="1">
        <v>7.6942233079999998</v>
      </c>
      <c r="I576" s="1">
        <v>7.3287621789999999</v>
      </c>
      <c r="J576" s="1">
        <v>9.6941276510000005</v>
      </c>
      <c r="K576" s="1">
        <v>9.4150190980000001</v>
      </c>
      <c r="L576" s="1">
        <v>9.519415424</v>
      </c>
      <c r="M576" s="1">
        <v>9.8286194410000007</v>
      </c>
      <c r="N576" s="1">
        <v>7.0751784710000001</v>
      </c>
      <c r="O576" s="1">
        <v>7.3025691139999998</v>
      </c>
      <c r="P576" s="1">
        <v>9.6535272320000001</v>
      </c>
      <c r="Q576" s="1">
        <v>9.4847951540000004</v>
      </c>
      <c r="R576" s="1">
        <v>9.8794402449999996</v>
      </c>
      <c r="S576" s="1">
        <v>9.7331109839999996</v>
      </c>
      <c r="T576" s="1">
        <v>9.519415424</v>
      </c>
      <c r="U576" s="1">
        <v>9.8286194410000007</v>
      </c>
      <c r="V576" s="1">
        <v>9.4468869499999997</v>
      </c>
      <c r="W576" s="1">
        <v>9.2713394840000003</v>
      </c>
      <c r="X576" s="1">
        <v>9.5456829459999994</v>
      </c>
      <c r="Y576" s="1">
        <v>9.0381936490000001</v>
      </c>
      <c r="Z576" s="1">
        <v>9.8794402449999996</v>
      </c>
      <c r="AA576" s="1">
        <v>9.7331109839999996</v>
      </c>
      <c r="AB576" s="1">
        <v>9.539797708</v>
      </c>
      <c r="AC576" s="1">
        <v>9.6942593909999992</v>
      </c>
      <c r="AD576" s="1">
        <v>9.3350196590000003</v>
      </c>
      <c r="AE576" s="1">
        <v>9.2104506910000001</v>
      </c>
    </row>
    <row r="577" spans="1:31" x14ac:dyDescent="0.25">
      <c r="A577" s="1" t="s">
        <v>1301</v>
      </c>
      <c r="B577" s="1" t="s">
        <v>2530</v>
      </c>
      <c r="C577" s="1" t="s">
        <v>2573</v>
      </c>
      <c r="D577" s="1" t="s">
        <v>2535</v>
      </c>
      <c r="E577" s="1" t="s">
        <v>3566</v>
      </c>
      <c r="G577" s="1" t="s">
        <v>1301</v>
      </c>
      <c r="H577" s="1">
        <v>8.2606436419999998</v>
      </c>
      <c r="I577" s="1">
        <v>7.8204403290000002</v>
      </c>
      <c r="J577" s="1">
        <v>7.1176644690000002</v>
      </c>
      <c r="K577" s="1">
        <v>7.4824236539999998</v>
      </c>
      <c r="L577" s="1">
        <v>7.1006474879999999</v>
      </c>
      <c r="M577" s="1">
        <v>6.8145785730000004</v>
      </c>
      <c r="N577" s="1">
        <v>8.2527749270000008</v>
      </c>
      <c r="O577" s="1">
        <v>8.2995093329999996</v>
      </c>
      <c r="P577" s="1">
        <v>6.9151345580000001</v>
      </c>
      <c r="Q577" s="1">
        <v>7.015159895</v>
      </c>
      <c r="R577" s="1">
        <v>6.9124289210000001</v>
      </c>
      <c r="S577" s="1">
        <v>6.7016683280000002</v>
      </c>
      <c r="T577" s="1">
        <v>7.1006474879999999</v>
      </c>
      <c r="U577" s="1">
        <v>6.8145785730000004</v>
      </c>
      <c r="V577" s="1">
        <v>6.7957404280000002</v>
      </c>
      <c r="W577" s="1">
        <v>6.5743425210000002</v>
      </c>
      <c r="X577" s="1">
        <v>6.8633542910000003</v>
      </c>
      <c r="Y577" s="1">
        <v>7.1319704259999996</v>
      </c>
      <c r="Z577" s="1">
        <v>6.9124289210000001</v>
      </c>
      <c r="AA577" s="1">
        <v>6.7016683280000002</v>
      </c>
      <c r="AB577" s="1">
        <v>6.7025789319999998</v>
      </c>
      <c r="AC577" s="1">
        <v>7.0244096589999998</v>
      </c>
      <c r="AD577" s="1">
        <v>7.1504529059999999</v>
      </c>
      <c r="AE577" s="1">
        <v>6.883059824</v>
      </c>
    </row>
    <row r="578" spans="1:31" x14ac:dyDescent="0.25">
      <c r="A578" s="1" t="s">
        <v>1302</v>
      </c>
      <c r="B578" s="1" t="s">
        <v>2530</v>
      </c>
      <c r="C578" s="1" t="s">
        <v>2573</v>
      </c>
      <c r="D578" s="1" t="s">
        <v>2535</v>
      </c>
      <c r="E578" s="1" t="s">
        <v>3567</v>
      </c>
      <c r="G578" s="1" t="s">
        <v>1302</v>
      </c>
      <c r="H578" s="1">
        <v>2.9945681560000001</v>
      </c>
      <c r="I578" s="1">
        <v>3.7806045529999999</v>
      </c>
      <c r="J578" s="1">
        <v>4.5240842389999996</v>
      </c>
      <c r="K578" s="1">
        <v>3.4309024589999999</v>
      </c>
      <c r="L578" s="1">
        <v>5.2153292420000001</v>
      </c>
      <c r="M578" s="1">
        <v>5.2895531800000004</v>
      </c>
      <c r="N578" s="1">
        <v>4.3116130799999999</v>
      </c>
      <c r="O578" s="1">
        <v>4.4368189940000002</v>
      </c>
      <c r="P578" s="1">
        <v>4.4075207919999997</v>
      </c>
      <c r="Q578" s="1">
        <v>4.0840108080000004</v>
      </c>
      <c r="R578" s="1">
        <v>5.2434057019999996</v>
      </c>
      <c r="S578" s="1">
        <v>4.6194390810000003</v>
      </c>
      <c r="T578" s="1">
        <v>5.2153292420000001</v>
      </c>
      <c r="U578" s="1">
        <v>5.2895531800000004</v>
      </c>
      <c r="V578" s="1">
        <v>4.6987742170000004</v>
      </c>
      <c r="W578" s="1">
        <v>4.7760085830000003</v>
      </c>
      <c r="X578" s="1">
        <v>5.3326311679999998</v>
      </c>
      <c r="Y578" s="1">
        <v>3.7705059300000001</v>
      </c>
      <c r="Z578" s="1">
        <v>5.2434057019999996</v>
      </c>
      <c r="AA578" s="1">
        <v>4.6194390810000003</v>
      </c>
      <c r="AB578" s="1">
        <v>4.6096720080000004</v>
      </c>
      <c r="AC578" s="1">
        <v>5.2411914069999996</v>
      </c>
      <c r="AD578" s="1">
        <v>4.0967699450000001</v>
      </c>
      <c r="AE578" s="1">
        <v>3.7492737119999999</v>
      </c>
    </row>
    <row r="579" spans="1:31" x14ac:dyDescent="0.25">
      <c r="A579" s="1" t="s">
        <v>1306</v>
      </c>
      <c r="B579" s="1" t="s">
        <v>2631</v>
      </c>
      <c r="C579" s="1" t="s">
        <v>2980</v>
      </c>
      <c r="D579" s="1" t="s">
        <v>2535</v>
      </c>
      <c r="E579" s="1" t="s">
        <v>3568</v>
      </c>
      <c r="G579" s="1" t="s">
        <v>1306</v>
      </c>
      <c r="H579" s="1">
        <v>8.4334411150000008</v>
      </c>
      <c r="I579" s="1">
        <v>8.4780876319999994</v>
      </c>
      <c r="J579" s="1">
        <v>7.606966785</v>
      </c>
      <c r="K579" s="1">
        <v>7.8630633459999997</v>
      </c>
      <c r="L579" s="1">
        <v>8.2095429020000008</v>
      </c>
      <c r="M579" s="1">
        <v>7.9277456549999998</v>
      </c>
      <c r="N579" s="1">
        <v>9.1516300380000004</v>
      </c>
      <c r="O579" s="1">
        <v>9.0392114429999992</v>
      </c>
      <c r="P579" s="1">
        <v>7.9017213689999997</v>
      </c>
      <c r="Q579" s="1">
        <v>7.8995522490000001</v>
      </c>
      <c r="R579" s="1">
        <v>7.8117878660000004</v>
      </c>
      <c r="S579" s="1">
        <v>7.743365206</v>
      </c>
      <c r="T579" s="1">
        <v>8.2095429020000008</v>
      </c>
      <c r="U579" s="1">
        <v>7.9277456549999998</v>
      </c>
      <c r="V579" s="1">
        <v>7.6851832330000001</v>
      </c>
      <c r="W579" s="1">
        <v>7.6099845820000001</v>
      </c>
      <c r="X579" s="1">
        <v>7.9486545450000001</v>
      </c>
      <c r="Y579" s="1">
        <v>7.9081935300000001</v>
      </c>
      <c r="Z579" s="1">
        <v>7.8117878660000004</v>
      </c>
      <c r="AA579" s="1">
        <v>7.743365206</v>
      </c>
      <c r="AB579" s="1">
        <v>7.8959414719999996</v>
      </c>
      <c r="AC579" s="1">
        <v>7.6565524309999997</v>
      </c>
      <c r="AD579" s="1">
        <v>7.9180122109999997</v>
      </c>
      <c r="AE579" s="1">
        <v>7.8465200880000001</v>
      </c>
    </row>
    <row r="580" spans="1:31" x14ac:dyDescent="0.25">
      <c r="A580" s="1" t="s">
        <v>1307</v>
      </c>
      <c r="B580" s="1" t="s">
        <v>2579</v>
      </c>
      <c r="C580" s="1" t="s">
        <v>2983</v>
      </c>
      <c r="D580" s="1" t="s">
        <v>2984</v>
      </c>
      <c r="E580" s="1" t="s">
        <v>3569</v>
      </c>
      <c r="F580" s="1" t="s">
        <v>3570</v>
      </c>
      <c r="G580" s="1" t="s">
        <v>1307</v>
      </c>
      <c r="H580" s="1">
        <v>10.24826842</v>
      </c>
      <c r="I580" s="1">
        <v>9.8406939930000004</v>
      </c>
      <c r="J580" s="1">
        <v>10.75253653</v>
      </c>
      <c r="K580" s="1">
        <v>10.776840419999999</v>
      </c>
      <c r="L580" s="1">
        <v>10.29457809</v>
      </c>
      <c r="M580" s="1">
        <v>10.54770671</v>
      </c>
      <c r="N580" s="1">
        <v>9.0376933089999998</v>
      </c>
      <c r="O580" s="1">
        <v>9.2142991030000001</v>
      </c>
      <c r="P580" s="1">
        <v>10.53168724</v>
      </c>
      <c r="Q580" s="1">
        <v>10.615194430000001</v>
      </c>
      <c r="R580" s="1">
        <v>10.874330820000001</v>
      </c>
      <c r="S580" s="1">
        <v>10.635765920000001</v>
      </c>
      <c r="T580" s="1">
        <v>10.29457809</v>
      </c>
      <c r="U580" s="1">
        <v>10.54770671</v>
      </c>
      <c r="V580" s="1">
        <v>10.248628439999999</v>
      </c>
      <c r="W580" s="1">
        <v>10.16611112</v>
      </c>
      <c r="X580" s="1">
        <v>10.56278636</v>
      </c>
      <c r="Y580" s="1">
        <v>10.189957679999999</v>
      </c>
      <c r="Z580" s="1">
        <v>10.874330820000001</v>
      </c>
      <c r="AA580" s="1">
        <v>10.635765920000001</v>
      </c>
      <c r="AB580" s="1">
        <v>10.546157190000001</v>
      </c>
      <c r="AC580" s="1">
        <v>10.498260699999999</v>
      </c>
      <c r="AD580" s="1">
        <v>10.44566133</v>
      </c>
      <c r="AE580" s="1">
        <v>10.47624278</v>
      </c>
    </row>
    <row r="581" spans="1:31" x14ac:dyDescent="0.25">
      <c r="A581" s="1" t="s">
        <v>1308</v>
      </c>
      <c r="B581" s="1" t="s">
        <v>2579</v>
      </c>
      <c r="C581" s="1" t="s">
        <v>2933</v>
      </c>
      <c r="D581" s="1" t="s">
        <v>3571</v>
      </c>
      <c r="E581" s="1" t="s">
        <v>3572</v>
      </c>
      <c r="F581" s="1" t="s">
        <v>3573</v>
      </c>
      <c r="G581" s="1" t="s">
        <v>1308</v>
      </c>
      <c r="H581" s="1">
        <v>10.16448651</v>
      </c>
      <c r="I581" s="1">
        <v>9.6538318660000009</v>
      </c>
      <c r="J581" s="1">
        <v>10.35949926</v>
      </c>
      <c r="K581" s="1">
        <v>10.392881790000001</v>
      </c>
      <c r="L581" s="1">
        <v>9.4980308729999994</v>
      </c>
      <c r="M581" s="1">
        <v>9.8115909779999999</v>
      </c>
      <c r="N581" s="1">
        <v>8.6458978900000005</v>
      </c>
      <c r="O581" s="1">
        <v>9.2426925529999995</v>
      </c>
      <c r="P581" s="1">
        <v>10.16181124</v>
      </c>
      <c r="Q581" s="1">
        <v>10.15260675</v>
      </c>
      <c r="R581" s="1">
        <v>10.380687310000001</v>
      </c>
      <c r="S581" s="1">
        <v>10.26941802</v>
      </c>
      <c r="T581" s="1">
        <v>9.4980308729999994</v>
      </c>
      <c r="U581" s="1">
        <v>9.8115909779999999</v>
      </c>
      <c r="V581" s="1">
        <v>10.000427159999999</v>
      </c>
      <c r="W581" s="1">
        <v>9.9632544999999997</v>
      </c>
      <c r="X581" s="1">
        <v>9.6530661480000006</v>
      </c>
      <c r="Y581" s="1">
        <v>9.772850365</v>
      </c>
      <c r="Z581" s="1">
        <v>10.380687310000001</v>
      </c>
      <c r="AA581" s="1">
        <v>10.26941802</v>
      </c>
      <c r="AB581" s="1">
        <v>10.00908551</v>
      </c>
      <c r="AC581" s="1">
        <v>9.9978954640000008</v>
      </c>
      <c r="AD581" s="1">
        <v>9.7831036789999999</v>
      </c>
      <c r="AE581" s="1">
        <v>9.5941160930000002</v>
      </c>
    </row>
    <row r="582" spans="1:31" x14ac:dyDescent="0.25">
      <c r="A582" s="1" t="s">
        <v>1309</v>
      </c>
      <c r="B582" s="1" t="s">
        <v>2579</v>
      </c>
      <c r="C582" s="1" t="s">
        <v>2933</v>
      </c>
      <c r="D582" s="1" t="s">
        <v>3571</v>
      </c>
      <c r="E582" s="1" t="s">
        <v>3574</v>
      </c>
      <c r="F582" s="1" t="s">
        <v>3575</v>
      </c>
      <c r="G582" s="1" t="s">
        <v>1309</v>
      </c>
      <c r="H582" s="1">
        <v>9.536557835</v>
      </c>
      <c r="I582" s="1">
        <v>8.9577967350000005</v>
      </c>
      <c r="J582" s="1">
        <v>9.8926340410000009</v>
      </c>
      <c r="K582" s="1">
        <v>9.8780211130000009</v>
      </c>
      <c r="L582" s="1">
        <v>9.4609334399999998</v>
      </c>
      <c r="M582" s="1">
        <v>9.6292439010000006</v>
      </c>
      <c r="N582" s="1">
        <v>7.9043546280000001</v>
      </c>
      <c r="O582" s="1">
        <v>8.3129625570000005</v>
      </c>
      <c r="P582" s="1">
        <v>9.6164166909999995</v>
      </c>
      <c r="Q582" s="1">
        <v>9.6401059349999993</v>
      </c>
      <c r="R582" s="1">
        <v>9.8188052940000006</v>
      </c>
      <c r="S582" s="1">
        <v>9.7233537440000006</v>
      </c>
      <c r="T582" s="1">
        <v>9.4609334399999998</v>
      </c>
      <c r="U582" s="1">
        <v>9.6292439010000006</v>
      </c>
      <c r="V582" s="1">
        <v>9.4407585859999994</v>
      </c>
      <c r="W582" s="1">
        <v>9.4270482809999994</v>
      </c>
      <c r="X582" s="1">
        <v>9.5051306170000007</v>
      </c>
      <c r="Y582" s="1">
        <v>9.0310535759999997</v>
      </c>
      <c r="Z582" s="1">
        <v>9.8188052940000006</v>
      </c>
      <c r="AA582" s="1">
        <v>9.7233537440000006</v>
      </c>
      <c r="AB582" s="1">
        <v>9.8266667919999993</v>
      </c>
      <c r="AC582" s="1">
        <v>9.602676421</v>
      </c>
      <c r="AD582" s="1">
        <v>9.4613767360000001</v>
      </c>
      <c r="AE582" s="1">
        <v>9.2589753800000008</v>
      </c>
    </row>
    <row r="583" spans="1:31" x14ac:dyDescent="0.25">
      <c r="A583" s="1" t="s">
        <v>1315</v>
      </c>
      <c r="B583" s="1" t="s">
        <v>2530</v>
      </c>
      <c r="C583" s="1" t="s">
        <v>2573</v>
      </c>
      <c r="D583" s="1" t="s">
        <v>2535</v>
      </c>
      <c r="E583" s="1" t="s">
        <v>3576</v>
      </c>
      <c r="G583" s="1" t="s">
        <v>1315</v>
      </c>
      <c r="H583" s="1">
        <v>3.6455184960000002</v>
      </c>
      <c r="I583" s="1">
        <v>4.0101074990000001</v>
      </c>
      <c r="J583" s="1">
        <v>3.329519721</v>
      </c>
      <c r="K583" s="1">
        <v>3.8998480660000001</v>
      </c>
      <c r="L583" s="1">
        <v>2.8704126319999999</v>
      </c>
      <c r="M583" s="1">
        <v>2.3994532390000001</v>
      </c>
      <c r="N583" s="1">
        <v>5.3135718379999997</v>
      </c>
      <c r="O583" s="1">
        <v>4.8288877169999997</v>
      </c>
      <c r="P583" s="1">
        <v>3.7419514989999998</v>
      </c>
      <c r="Q583" s="1">
        <v>3.185675432</v>
      </c>
      <c r="R583" s="1">
        <v>3.7109484589999999</v>
      </c>
      <c r="S583" s="1">
        <v>3.7977317990000001</v>
      </c>
      <c r="T583" s="1">
        <v>2.8704126319999999</v>
      </c>
      <c r="U583" s="1">
        <v>2.3994532390000001</v>
      </c>
      <c r="V583" s="1">
        <v>3.2389700330000002</v>
      </c>
      <c r="W583" s="1">
        <v>3.9848641250000001</v>
      </c>
      <c r="X583" s="1">
        <v>3.5883256710000002</v>
      </c>
      <c r="Y583" s="1">
        <v>4.3509215530000001</v>
      </c>
      <c r="Z583" s="1">
        <v>3.7109484589999999</v>
      </c>
      <c r="AA583" s="1">
        <v>3.7977317990000001</v>
      </c>
      <c r="AB583" s="1">
        <v>3.6315729079999999</v>
      </c>
      <c r="AC583" s="1">
        <v>4.3377211620000002</v>
      </c>
      <c r="AD583" s="1">
        <v>4.2005997429999997</v>
      </c>
      <c r="AE583" s="1">
        <v>3.5108161330000001</v>
      </c>
    </row>
    <row r="584" spans="1:31" x14ac:dyDescent="0.25">
      <c r="A584" s="1" t="s">
        <v>1316</v>
      </c>
      <c r="B584" s="1" t="s">
        <v>2530</v>
      </c>
      <c r="C584" s="1" t="s">
        <v>2531</v>
      </c>
      <c r="D584" s="1" t="s">
        <v>2535</v>
      </c>
      <c r="E584" s="1" t="s">
        <v>3577</v>
      </c>
      <c r="G584" s="1" t="s">
        <v>1316</v>
      </c>
      <c r="H584" s="1">
        <v>7.0115982959999998</v>
      </c>
      <c r="I584" s="1">
        <v>6.9627053569999999</v>
      </c>
      <c r="J584" s="1">
        <v>7.3829776090000001</v>
      </c>
      <c r="K584" s="1">
        <v>7.5532567989999997</v>
      </c>
      <c r="L584" s="1">
        <v>6.8735547510000004</v>
      </c>
      <c r="M584" s="1">
        <v>7.0880162279999999</v>
      </c>
      <c r="N584" s="1">
        <v>7.5785240690000002</v>
      </c>
      <c r="O584" s="1">
        <v>7.4560094870000002</v>
      </c>
      <c r="P584" s="1">
        <v>7.1737717869999997</v>
      </c>
      <c r="Q584" s="1">
        <v>7.2173337469999996</v>
      </c>
      <c r="R584" s="1">
        <v>7.304132815</v>
      </c>
      <c r="S584" s="1">
        <v>7.1020852879999996</v>
      </c>
      <c r="T584" s="1">
        <v>6.8735547510000004</v>
      </c>
      <c r="U584" s="1">
        <v>7.0880162279999999</v>
      </c>
      <c r="V584" s="1">
        <v>7.4692907550000003</v>
      </c>
      <c r="W584" s="1">
        <v>7.2314139690000001</v>
      </c>
      <c r="X584" s="1">
        <v>7.3534945570000003</v>
      </c>
      <c r="Y584" s="1">
        <v>7.4538037209999999</v>
      </c>
      <c r="Z584" s="1">
        <v>7.304132815</v>
      </c>
      <c r="AA584" s="1">
        <v>7.1020852879999996</v>
      </c>
      <c r="AB584" s="1">
        <v>7.494109613</v>
      </c>
      <c r="AC584" s="1">
        <v>7.317156314</v>
      </c>
      <c r="AD584" s="1">
        <v>7.4232434090000003</v>
      </c>
      <c r="AE584" s="1">
        <v>7.5956448380000001</v>
      </c>
    </row>
    <row r="585" spans="1:31" x14ac:dyDescent="0.25">
      <c r="A585" s="1" t="s">
        <v>1321</v>
      </c>
      <c r="B585" s="1" t="s">
        <v>2530</v>
      </c>
      <c r="C585" s="1" t="s">
        <v>2531</v>
      </c>
      <c r="D585" s="1" t="s">
        <v>2535</v>
      </c>
      <c r="E585" s="1" t="s">
        <v>2536</v>
      </c>
      <c r="G585" s="1" t="s">
        <v>1321</v>
      </c>
      <c r="H585" s="1">
        <v>4.4805534380000003</v>
      </c>
      <c r="I585" s="1">
        <v>3.3322126910000001</v>
      </c>
      <c r="J585" s="1">
        <v>5.1034438250000003</v>
      </c>
      <c r="K585" s="1">
        <v>4.5171444090000001</v>
      </c>
      <c r="L585" s="1">
        <v>5.9566674209999997</v>
      </c>
      <c r="M585" s="1">
        <v>5.7391643339999998</v>
      </c>
      <c r="N585" s="1">
        <v>4.4510307109999996</v>
      </c>
      <c r="O585" s="1">
        <v>4.2189785100000003</v>
      </c>
      <c r="P585" s="1">
        <v>5.4976972829999999</v>
      </c>
      <c r="Q585" s="1">
        <v>5.7838067430000004</v>
      </c>
      <c r="R585" s="1">
        <v>5.7142579380000003</v>
      </c>
      <c r="S585" s="1">
        <v>5.542037144</v>
      </c>
      <c r="T585" s="1">
        <v>5.9566674209999997</v>
      </c>
      <c r="U585" s="1">
        <v>5.7391643339999998</v>
      </c>
      <c r="V585" s="1">
        <v>5.6103143839999996</v>
      </c>
      <c r="W585" s="1">
        <v>4.8493412630000003</v>
      </c>
      <c r="X585" s="1">
        <v>5.7084070709999999</v>
      </c>
      <c r="Y585" s="1">
        <v>4.8904630100000004</v>
      </c>
      <c r="Z585" s="1">
        <v>5.7142579380000003</v>
      </c>
      <c r="AA585" s="1">
        <v>5.542037144</v>
      </c>
      <c r="AB585" s="1">
        <v>5.4746970709999996</v>
      </c>
      <c r="AC585" s="1">
        <v>5.4356573160000003</v>
      </c>
      <c r="AD585" s="1">
        <v>4.6978214539999996</v>
      </c>
      <c r="AE585" s="1">
        <v>5.2497036230000003</v>
      </c>
    </row>
    <row r="586" spans="1:31" x14ac:dyDescent="0.25">
      <c r="A586" s="1" t="s">
        <v>1322</v>
      </c>
      <c r="B586" s="1" t="s">
        <v>2547</v>
      </c>
      <c r="C586" s="1" t="s">
        <v>2566</v>
      </c>
      <c r="D586" s="1" t="s">
        <v>3578</v>
      </c>
      <c r="E586" s="1" t="s">
        <v>3579</v>
      </c>
      <c r="F586" s="1" t="s">
        <v>3074</v>
      </c>
      <c r="G586" s="1" t="s">
        <v>1322</v>
      </c>
      <c r="H586" s="1">
        <v>4.995162745</v>
      </c>
      <c r="I586" s="1">
        <v>5.1078624770000003</v>
      </c>
      <c r="J586" s="1">
        <v>5.9407738800000001</v>
      </c>
      <c r="K586" s="1">
        <v>5.9485821269999999</v>
      </c>
      <c r="L586" s="1">
        <v>5.9312890439999997</v>
      </c>
      <c r="M586" s="1">
        <v>5.659858549</v>
      </c>
      <c r="N586" s="1">
        <v>4.9627953409999996</v>
      </c>
      <c r="O586" s="1">
        <v>4.8288877169999997</v>
      </c>
      <c r="P586" s="1">
        <v>5.565195407</v>
      </c>
      <c r="Q586" s="1">
        <v>5.6846114249999999</v>
      </c>
      <c r="R586" s="1">
        <v>6.0937807429999999</v>
      </c>
      <c r="S586" s="1">
        <v>5.7723891209999998</v>
      </c>
      <c r="T586" s="1">
        <v>5.9312890439999997</v>
      </c>
      <c r="U586" s="1">
        <v>5.659858549</v>
      </c>
      <c r="V586" s="1">
        <v>5.9476095180000002</v>
      </c>
      <c r="W586" s="1">
        <v>5.7645115660000004</v>
      </c>
      <c r="X586" s="1">
        <v>5.5811786620000001</v>
      </c>
      <c r="Y586" s="1">
        <v>5.6227961889999998</v>
      </c>
      <c r="Z586" s="1">
        <v>6.0937807429999999</v>
      </c>
      <c r="AA586" s="1">
        <v>5.7723891209999998</v>
      </c>
      <c r="AB586" s="1">
        <v>5.7665348979999997</v>
      </c>
      <c r="AC586" s="1">
        <v>5.6067493529999997</v>
      </c>
      <c r="AD586" s="1">
        <v>5.7351750150000003</v>
      </c>
      <c r="AE586" s="1">
        <v>5.9145294059999998</v>
      </c>
    </row>
    <row r="587" spans="1:31" x14ac:dyDescent="0.25">
      <c r="A587" s="1" t="s">
        <v>1323</v>
      </c>
      <c r="B587" s="1" t="s">
        <v>2525</v>
      </c>
      <c r="C587" s="1" t="s">
        <v>2749</v>
      </c>
      <c r="D587" s="1" t="s">
        <v>2750</v>
      </c>
      <c r="E587" s="1" t="s">
        <v>3580</v>
      </c>
      <c r="F587" s="1" t="s">
        <v>3581</v>
      </c>
      <c r="G587" s="1" t="s">
        <v>1323</v>
      </c>
      <c r="H587" s="1">
        <v>6.402342805</v>
      </c>
      <c r="I587" s="1">
        <v>6.5422250579999996</v>
      </c>
      <c r="J587" s="1">
        <v>8.7792723390000003</v>
      </c>
      <c r="K587" s="1">
        <v>8.6107051079999994</v>
      </c>
      <c r="L587" s="1">
        <v>8.5334468870000002</v>
      </c>
      <c r="M587" s="1">
        <v>8.8289988309999998</v>
      </c>
      <c r="N587" s="1">
        <v>6.3881452249999997</v>
      </c>
      <c r="O587" s="1">
        <v>6.6263910580000003</v>
      </c>
      <c r="P587" s="1">
        <v>8.3878360890000003</v>
      </c>
      <c r="Q587" s="1">
        <v>8.2841087190000007</v>
      </c>
      <c r="R587" s="1">
        <v>8.950906346</v>
      </c>
      <c r="S587" s="1">
        <v>8.6194122990000004</v>
      </c>
      <c r="T587" s="1">
        <v>8.5334468870000002</v>
      </c>
      <c r="U587" s="1">
        <v>8.8289988309999998</v>
      </c>
      <c r="V587" s="1">
        <v>8.6583579759999996</v>
      </c>
      <c r="W587" s="1">
        <v>8.6676907189999994</v>
      </c>
      <c r="X587" s="1">
        <v>8.3850601030000007</v>
      </c>
      <c r="Y587" s="1">
        <v>8.526323648</v>
      </c>
      <c r="Z587" s="1">
        <v>8.950906346</v>
      </c>
      <c r="AA587" s="1">
        <v>8.6194122990000004</v>
      </c>
      <c r="AB587" s="1">
        <v>8.7147315039999995</v>
      </c>
      <c r="AC587" s="1">
        <v>8.5600441969999999</v>
      </c>
      <c r="AD587" s="1">
        <v>8.578451007</v>
      </c>
      <c r="AE587" s="1">
        <v>8.2431690310000008</v>
      </c>
    </row>
    <row r="588" spans="1:31" x14ac:dyDescent="0.25">
      <c r="A588" s="1" t="s">
        <v>1324</v>
      </c>
      <c r="B588" s="1" t="s">
        <v>2530</v>
      </c>
      <c r="C588" s="1" t="s">
        <v>2531</v>
      </c>
      <c r="D588" s="1" t="s">
        <v>2535</v>
      </c>
      <c r="E588" s="1" t="s">
        <v>3582</v>
      </c>
      <c r="G588" s="1" t="s">
        <v>1324</v>
      </c>
      <c r="H588" s="1">
        <v>4.0684382540000001</v>
      </c>
      <c r="I588" s="1">
        <v>4.2055918060000002</v>
      </c>
      <c r="J588" s="1">
        <v>7.0212953349999996</v>
      </c>
      <c r="K588" s="1">
        <v>7.0642106150000004</v>
      </c>
      <c r="L588" s="1">
        <v>7.822485457</v>
      </c>
      <c r="M588" s="1">
        <v>7.6899894059999996</v>
      </c>
      <c r="N588" s="1">
        <v>5.6141964020000001</v>
      </c>
      <c r="O588" s="1">
        <v>5.0400854920000002</v>
      </c>
      <c r="P588" s="1">
        <v>7.0266062859999998</v>
      </c>
      <c r="Q588" s="1">
        <v>7.455836744</v>
      </c>
      <c r="R588" s="1">
        <v>7.593828061</v>
      </c>
      <c r="S588" s="1">
        <v>7.1495149380000003</v>
      </c>
      <c r="T588" s="1">
        <v>7.822485457</v>
      </c>
      <c r="U588" s="1">
        <v>7.6899894059999996</v>
      </c>
      <c r="V588" s="1">
        <v>7.1466161049999997</v>
      </c>
      <c r="W588" s="1">
        <v>7.0126858380000003</v>
      </c>
      <c r="X588" s="1">
        <v>7.5499882810000001</v>
      </c>
      <c r="Y588" s="1">
        <v>6.8200537160000003</v>
      </c>
      <c r="Z588" s="1">
        <v>7.593828061</v>
      </c>
      <c r="AA588" s="1">
        <v>7.1495149380000003</v>
      </c>
      <c r="AB588" s="1">
        <v>7.233602522</v>
      </c>
      <c r="AC588" s="1">
        <v>7.6872396780000001</v>
      </c>
      <c r="AD588" s="1">
        <v>7.23548598</v>
      </c>
      <c r="AE588" s="1">
        <v>7.1637054640000004</v>
      </c>
    </row>
    <row r="589" spans="1:31" x14ac:dyDescent="0.25">
      <c r="A589" s="1" t="s">
        <v>1325</v>
      </c>
      <c r="B589" s="1" t="s">
        <v>2843</v>
      </c>
      <c r="C589" s="1" t="s">
        <v>3583</v>
      </c>
      <c r="D589" s="1" t="s">
        <v>3584</v>
      </c>
      <c r="E589" s="1" t="s">
        <v>3585</v>
      </c>
      <c r="F589" s="1" t="s">
        <v>3586</v>
      </c>
      <c r="G589" s="1" t="s">
        <v>1325</v>
      </c>
      <c r="H589" s="1">
        <v>5.3712699940000004</v>
      </c>
      <c r="I589" s="1">
        <v>5.2436995780000002</v>
      </c>
      <c r="J589" s="1">
        <v>6.2697260589999999</v>
      </c>
      <c r="K589" s="1">
        <v>5.9485821269999999</v>
      </c>
      <c r="L589" s="1">
        <v>6.7267116079999996</v>
      </c>
      <c r="M589" s="1">
        <v>6.4178773749999998</v>
      </c>
      <c r="N589" s="1">
        <v>5.878624276</v>
      </c>
      <c r="O589" s="1">
        <v>5.7266127899999999</v>
      </c>
      <c r="P589" s="1">
        <v>6.5171892439999999</v>
      </c>
      <c r="Q589" s="1">
        <v>6.4391077020000003</v>
      </c>
      <c r="R589" s="1">
        <v>6.7267142719999997</v>
      </c>
      <c r="S589" s="1">
        <v>6.7331571820000002</v>
      </c>
      <c r="T589" s="1">
        <v>6.7267116079999996</v>
      </c>
      <c r="U589" s="1">
        <v>6.4178773749999998</v>
      </c>
      <c r="V589" s="1">
        <v>6.2949812820000002</v>
      </c>
      <c r="W589" s="1">
        <v>6.4165513509999998</v>
      </c>
      <c r="X589" s="1">
        <v>6.4095855210000003</v>
      </c>
      <c r="Y589" s="1">
        <v>6.1314620050000004</v>
      </c>
      <c r="Z589" s="1">
        <v>6.7267142719999997</v>
      </c>
      <c r="AA589" s="1">
        <v>6.7331571820000002</v>
      </c>
      <c r="AB589" s="1">
        <v>6.4527679449999997</v>
      </c>
      <c r="AC589" s="1">
        <v>6.5096691079999998</v>
      </c>
      <c r="AD589" s="1">
        <v>6.5733752870000002</v>
      </c>
      <c r="AE589" s="1">
        <v>6.2987649059999997</v>
      </c>
    </row>
    <row r="590" spans="1:31" x14ac:dyDescent="0.25">
      <c r="A590" s="1" t="s">
        <v>1329</v>
      </c>
      <c r="B590" s="1" t="s">
        <v>2520</v>
      </c>
      <c r="C590" s="1" t="s">
        <v>2521</v>
      </c>
      <c r="D590" s="1" t="s">
        <v>2753</v>
      </c>
      <c r="E590" s="1" t="s">
        <v>3587</v>
      </c>
      <c r="G590" s="1" t="s">
        <v>1329</v>
      </c>
      <c r="H590" s="1">
        <v>8.4612486340000004</v>
      </c>
      <c r="I590" s="1">
        <v>7.9960588780000004</v>
      </c>
      <c r="J590" s="1">
        <v>7.4492807719999998</v>
      </c>
      <c r="K590" s="1">
        <v>8.1703758069999992</v>
      </c>
      <c r="L590" s="1">
        <v>6.433821816</v>
      </c>
      <c r="M590" s="1">
        <v>6.4178773749999998</v>
      </c>
      <c r="N590" s="1">
        <v>7.6787075070000004</v>
      </c>
      <c r="O590" s="1">
        <v>8.1236366810000007</v>
      </c>
      <c r="P590" s="1">
        <v>6.7660226430000003</v>
      </c>
      <c r="Q590" s="1">
        <v>7.0420381550000002</v>
      </c>
      <c r="R590" s="1">
        <v>7.1278149910000002</v>
      </c>
      <c r="S590" s="1">
        <v>6.7791357530000003</v>
      </c>
      <c r="T590" s="1">
        <v>6.433821816</v>
      </c>
      <c r="U590" s="1">
        <v>6.4178773749999998</v>
      </c>
      <c r="V590" s="1">
        <v>6.7828668890000001</v>
      </c>
      <c r="W590" s="1">
        <v>6.9482803070000001</v>
      </c>
      <c r="X590" s="1">
        <v>6.4925029350000001</v>
      </c>
      <c r="Y590" s="1">
        <v>7.2099543309999996</v>
      </c>
      <c r="Z590" s="1">
        <v>7.1278149910000002</v>
      </c>
      <c r="AA590" s="1">
        <v>6.7791357530000003</v>
      </c>
      <c r="AB590" s="1">
        <v>7.310811599</v>
      </c>
      <c r="AC590" s="1">
        <v>6.9248703330000003</v>
      </c>
      <c r="AD590" s="1">
        <v>7.6257906120000003</v>
      </c>
      <c r="AE590" s="1">
        <v>7.2800116470000003</v>
      </c>
    </row>
    <row r="591" spans="1:31" x14ac:dyDescent="0.25">
      <c r="A591" s="1" t="s">
        <v>1332</v>
      </c>
      <c r="B591" s="1" t="s">
        <v>2557</v>
      </c>
      <c r="C591" s="1" t="s">
        <v>2680</v>
      </c>
      <c r="D591" s="1" t="s">
        <v>2712</v>
      </c>
      <c r="E591" s="1" t="s">
        <v>3588</v>
      </c>
      <c r="F591" s="1" t="s">
        <v>3589</v>
      </c>
      <c r="G591" s="1" t="s">
        <v>1332</v>
      </c>
      <c r="H591" s="1">
        <v>5.3232649629999997</v>
      </c>
      <c r="I591" s="1">
        <v>5.4067069720000003</v>
      </c>
      <c r="J591" s="1">
        <v>4.4503473070000004</v>
      </c>
      <c r="K591" s="1">
        <v>3.4309024589999999</v>
      </c>
      <c r="L591" s="1">
        <v>5.1055038850000001</v>
      </c>
      <c r="M591" s="1">
        <v>4.6276332350000002</v>
      </c>
      <c r="N591" s="1">
        <v>5.6896218779999996</v>
      </c>
      <c r="O591" s="1">
        <v>5.8428635399999997</v>
      </c>
      <c r="P591" s="1">
        <v>4.8528499219999999</v>
      </c>
      <c r="Q591" s="1">
        <v>5.2473923969999996</v>
      </c>
      <c r="R591" s="1">
        <v>4.3698765340000003</v>
      </c>
      <c r="S591" s="1">
        <v>4.9261733090000002</v>
      </c>
      <c r="T591" s="1">
        <v>5.1055038850000001</v>
      </c>
      <c r="U591" s="1">
        <v>4.6276332350000002</v>
      </c>
      <c r="V591" s="1">
        <v>4.998512388</v>
      </c>
      <c r="W591" s="1">
        <v>5.2236621110000003</v>
      </c>
      <c r="X591" s="1">
        <v>5.0589726410000004</v>
      </c>
      <c r="Y591" s="1">
        <v>5.0702808140000002</v>
      </c>
      <c r="Z591" s="1">
        <v>4.3698765340000003</v>
      </c>
      <c r="AA591" s="1">
        <v>4.9261733090000002</v>
      </c>
      <c r="AB591" s="1">
        <v>4.8804215500000003</v>
      </c>
      <c r="AC591" s="1">
        <v>4.6870272159999997</v>
      </c>
      <c r="AD591" s="1">
        <v>5.3536174839999999</v>
      </c>
      <c r="AE591" s="1">
        <v>4.9843711490000002</v>
      </c>
    </row>
    <row r="592" spans="1:31" x14ac:dyDescent="0.25">
      <c r="A592" s="1" t="s">
        <v>1333</v>
      </c>
      <c r="B592" s="1" t="s">
        <v>2530</v>
      </c>
      <c r="C592" s="1" t="s">
        <v>2531</v>
      </c>
      <c r="D592" s="1" t="s">
        <v>2535</v>
      </c>
      <c r="E592" s="1" t="s">
        <v>2536</v>
      </c>
      <c r="G592" s="1" t="s">
        <v>1333</v>
      </c>
      <c r="H592" s="1">
        <v>3.8023684370000002</v>
      </c>
      <c r="I592" s="1">
        <v>4.5280931029999998</v>
      </c>
      <c r="J592" s="1">
        <v>3.7773371739999999</v>
      </c>
      <c r="K592" s="1">
        <v>4.2434183680000004</v>
      </c>
      <c r="L592" s="1">
        <v>4.4478088219999998</v>
      </c>
      <c r="M592" s="1">
        <v>4.3982295550000003</v>
      </c>
      <c r="N592" s="1">
        <v>5.2894624830000003</v>
      </c>
      <c r="O592" s="1">
        <v>4.9731423550000002</v>
      </c>
      <c r="P592" s="1">
        <v>4.2485661720000003</v>
      </c>
      <c r="Q592" s="1">
        <v>3.7137735799999998</v>
      </c>
      <c r="R592" s="1">
        <v>4.5333476509999997</v>
      </c>
      <c r="S592" s="1">
        <v>4.2250836859999996</v>
      </c>
      <c r="T592" s="1">
        <v>4.4478088219999998</v>
      </c>
      <c r="U592" s="1">
        <v>4.3982295550000003</v>
      </c>
      <c r="V592" s="1">
        <v>4.6987742170000004</v>
      </c>
      <c r="W592" s="1">
        <v>4.7760085830000003</v>
      </c>
      <c r="X592" s="1">
        <v>4.8838989719999999</v>
      </c>
      <c r="Y592" s="1">
        <v>4.6081171230000004</v>
      </c>
      <c r="Z592" s="1">
        <v>4.5333476509999997</v>
      </c>
      <c r="AA592" s="1">
        <v>4.2250836859999996</v>
      </c>
      <c r="AB592" s="1">
        <v>4.2729702720000002</v>
      </c>
      <c r="AC592" s="1">
        <v>4.5576875899999996</v>
      </c>
      <c r="AD592" s="1">
        <v>4.4715299570000004</v>
      </c>
      <c r="AE592" s="1">
        <v>4.7973769099999997</v>
      </c>
    </row>
    <row r="593" spans="1:31" x14ac:dyDescent="0.25">
      <c r="A593" s="1" t="s">
        <v>1334</v>
      </c>
      <c r="B593" s="1" t="s">
        <v>2557</v>
      </c>
      <c r="C593" s="1" t="s">
        <v>2718</v>
      </c>
      <c r="D593" s="1" t="s">
        <v>3590</v>
      </c>
      <c r="E593" s="1" t="s">
        <v>3591</v>
      </c>
      <c r="F593" s="1" t="s">
        <v>3592</v>
      </c>
      <c r="G593" s="1" t="s">
        <v>1334</v>
      </c>
      <c r="H593" s="1">
        <v>6.0380558219999996</v>
      </c>
      <c r="I593" s="1">
        <v>6.3363261639999999</v>
      </c>
      <c r="J593" s="1">
        <v>7.0459985720000002</v>
      </c>
      <c r="K593" s="1">
        <v>7.37478634</v>
      </c>
      <c r="L593" s="1">
        <v>7.3066533610000004</v>
      </c>
      <c r="M593" s="1">
        <v>7.1615777950000004</v>
      </c>
      <c r="N593" s="1">
        <v>6.2079811459999998</v>
      </c>
      <c r="O593" s="1">
        <v>6.6371378139999999</v>
      </c>
      <c r="P593" s="1">
        <v>6.9657451879999996</v>
      </c>
      <c r="Q593" s="1">
        <v>7.0943357039999997</v>
      </c>
      <c r="R593" s="1">
        <v>7.1648465019999996</v>
      </c>
      <c r="S593" s="1">
        <v>6.9892911179999997</v>
      </c>
      <c r="T593" s="1">
        <v>7.3066533610000004</v>
      </c>
      <c r="U593" s="1">
        <v>7.1615777950000004</v>
      </c>
      <c r="V593" s="1">
        <v>7.3522324780000003</v>
      </c>
      <c r="W593" s="1">
        <v>7.4564261309999997</v>
      </c>
      <c r="X593" s="1">
        <v>7.6837707670000004</v>
      </c>
      <c r="Y593" s="1">
        <v>7.295903365</v>
      </c>
      <c r="Z593" s="1">
        <v>7.1648465019999996</v>
      </c>
      <c r="AA593" s="1">
        <v>6.9892911179999997</v>
      </c>
      <c r="AB593" s="1">
        <v>7.656709803</v>
      </c>
      <c r="AC593" s="1">
        <v>7.4573009299999997</v>
      </c>
      <c r="AD593" s="1">
        <v>7.7792910080000004</v>
      </c>
      <c r="AE593" s="1">
        <v>7.5328794800000001</v>
      </c>
    </row>
    <row r="594" spans="1:31" x14ac:dyDescent="0.25">
      <c r="A594" s="1" t="s">
        <v>1335</v>
      </c>
      <c r="B594" s="1" t="s">
        <v>2557</v>
      </c>
      <c r="C594" s="1" t="s">
        <v>2718</v>
      </c>
      <c r="D594" s="1" t="s">
        <v>3593</v>
      </c>
      <c r="E594" s="1" t="s">
        <v>3594</v>
      </c>
      <c r="F594" s="1" t="s">
        <v>3595</v>
      </c>
      <c r="G594" s="1" t="s">
        <v>1335</v>
      </c>
      <c r="H594" s="1">
        <v>6.2317126350000001</v>
      </c>
      <c r="I594" s="1">
        <v>6.3363261639999999</v>
      </c>
      <c r="J594" s="1">
        <v>6.6543806500000002</v>
      </c>
      <c r="K594" s="1">
        <v>6.4514685810000003</v>
      </c>
      <c r="L594" s="1">
        <v>6.469468451</v>
      </c>
      <c r="M594" s="1">
        <v>6.3689739899999998</v>
      </c>
      <c r="N594" s="1">
        <v>6.8724232059999997</v>
      </c>
      <c r="O594" s="1">
        <v>6.7304105019999998</v>
      </c>
      <c r="P594" s="1">
        <v>6.5001108719999996</v>
      </c>
      <c r="Q594" s="1">
        <v>6.3557835540000003</v>
      </c>
      <c r="R594" s="1">
        <v>6.239987642</v>
      </c>
      <c r="S594" s="1">
        <v>6.3418583389999998</v>
      </c>
      <c r="T594" s="1">
        <v>6.469468451</v>
      </c>
      <c r="U594" s="1">
        <v>6.3689739899999998</v>
      </c>
      <c r="V594" s="1">
        <v>6.6755125270000004</v>
      </c>
      <c r="W594" s="1">
        <v>6.5088246730000003</v>
      </c>
      <c r="X594" s="1">
        <v>6.7245402959999998</v>
      </c>
      <c r="Y594" s="1">
        <v>6.769422294</v>
      </c>
      <c r="Z594" s="1">
        <v>6.239987642</v>
      </c>
      <c r="AA594" s="1">
        <v>6.3418583389999998</v>
      </c>
      <c r="AB594" s="1">
        <v>6.5830868880000004</v>
      </c>
      <c r="AC594" s="1">
        <v>6.4923770970000003</v>
      </c>
      <c r="AD594" s="1">
        <v>6.844949401</v>
      </c>
      <c r="AE594" s="1">
        <v>6.6388355429999999</v>
      </c>
    </row>
    <row r="595" spans="1:31" x14ac:dyDescent="0.25">
      <c r="A595" s="1" t="s">
        <v>1336</v>
      </c>
      <c r="B595" s="1" t="s">
        <v>2843</v>
      </c>
      <c r="C595" s="1" t="s">
        <v>2844</v>
      </c>
      <c r="D595" s="1" t="s">
        <v>3596</v>
      </c>
      <c r="E595" s="1" t="s">
        <v>3597</v>
      </c>
      <c r="F595" s="1" t="s">
        <v>3598</v>
      </c>
      <c r="G595" s="1" t="s">
        <v>1336</v>
      </c>
      <c r="H595" s="1">
        <v>6.8525976059999998</v>
      </c>
      <c r="I595" s="1">
        <v>6.5936172129999999</v>
      </c>
      <c r="J595" s="1">
        <v>7.163535231</v>
      </c>
      <c r="K595" s="1">
        <v>6.9931716399999999</v>
      </c>
      <c r="L595" s="1">
        <v>7.1006474879999999</v>
      </c>
      <c r="M595" s="1">
        <v>7.2109241510000004</v>
      </c>
      <c r="N595" s="1">
        <v>6.5072521400000003</v>
      </c>
      <c r="O595" s="1">
        <v>6.4302305970000004</v>
      </c>
      <c r="P595" s="1">
        <v>6.75166909</v>
      </c>
      <c r="Q595" s="1">
        <v>6.987770662</v>
      </c>
      <c r="R595" s="1">
        <v>7.1648465019999996</v>
      </c>
      <c r="S595" s="1">
        <v>7.1495149380000003</v>
      </c>
      <c r="T595" s="1">
        <v>7.1006474879999999</v>
      </c>
      <c r="U595" s="1">
        <v>7.2109241510000004</v>
      </c>
      <c r="V595" s="1">
        <v>7.1862491420000003</v>
      </c>
      <c r="W595" s="1">
        <v>7.2845395589999997</v>
      </c>
      <c r="X595" s="1">
        <v>7.670492887</v>
      </c>
      <c r="Y595" s="1">
        <v>7.3657028609999999</v>
      </c>
      <c r="Z595" s="1">
        <v>7.1648465019999996</v>
      </c>
      <c r="AA595" s="1">
        <v>7.1495149380000003</v>
      </c>
      <c r="AB595" s="1">
        <v>7.3552267990000004</v>
      </c>
      <c r="AC595" s="1">
        <v>7.3073105409999997</v>
      </c>
      <c r="AD595" s="1">
        <v>7.5613855440000002</v>
      </c>
      <c r="AE595" s="1">
        <v>7.3545048780000002</v>
      </c>
    </row>
    <row r="596" spans="1:31" x14ac:dyDescent="0.25">
      <c r="A596" s="1" t="s">
        <v>1337</v>
      </c>
      <c r="B596" s="1" t="s">
        <v>2843</v>
      </c>
      <c r="C596" s="1" t="s">
        <v>2844</v>
      </c>
      <c r="D596" s="1" t="s">
        <v>3599</v>
      </c>
      <c r="E596" s="1" t="s">
        <v>3600</v>
      </c>
      <c r="G596" s="1" t="s">
        <v>1337</v>
      </c>
      <c r="H596" s="1">
        <v>5.6684727009999998</v>
      </c>
      <c r="I596" s="1">
        <v>6.0959298439999996</v>
      </c>
      <c r="J596" s="1">
        <v>7.1292697699999996</v>
      </c>
      <c r="K596" s="1">
        <v>6.5339269729999998</v>
      </c>
      <c r="L596" s="1">
        <v>7.7876515319999999</v>
      </c>
      <c r="M596" s="1">
        <v>7.7048251130000001</v>
      </c>
      <c r="N596" s="1">
        <v>6.6922754859999998</v>
      </c>
      <c r="O596" s="1">
        <v>6.2873774889999998</v>
      </c>
      <c r="P596" s="1">
        <v>7.5169022410000004</v>
      </c>
      <c r="Q596" s="1">
        <v>7.1323497619999996</v>
      </c>
      <c r="R596" s="1">
        <v>7.3584175939999996</v>
      </c>
      <c r="S596" s="1">
        <v>7.1726569370000002</v>
      </c>
      <c r="T596" s="1">
        <v>7.7876515319999999</v>
      </c>
      <c r="U596" s="1">
        <v>7.7048251130000001</v>
      </c>
      <c r="V596" s="1">
        <v>7.6359541430000002</v>
      </c>
      <c r="W596" s="1">
        <v>7.0591682799999997</v>
      </c>
      <c r="X596" s="1">
        <v>7.7651384879999998</v>
      </c>
      <c r="Y596" s="1">
        <v>7.4322781100000004</v>
      </c>
      <c r="Z596" s="1">
        <v>7.3584175939999996</v>
      </c>
      <c r="AA596" s="1">
        <v>7.1726569370000002</v>
      </c>
      <c r="AB596" s="1">
        <v>7.7372174640000004</v>
      </c>
      <c r="AC596" s="1">
        <v>7.7826894729999996</v>
      </c>
      <c r="AD596" s="1">
        <v>7.3488688099999999</v>
      </c>
      <c r="AE596" s="1">
        <v>7.3489093329999999</v>
      </c>
    </row>
    <row r="597" spans="1:31" x14ac:dyDescent="0.25">
      <c r="A597" s="1" t="s">
        <v>1338</v>
      </c>
      <c r="B597" s="1" t="s">
        <v>2843</v>
      </c>
      <c r="C597" s="1" t="s">
        <v>2844</v>
      </c>
      <c r="D597" s="1" t="s">
        <v>3599</v>
      </c>
      <c r="E597" s="1" t="s">
        <v>3601</v>
      </c>
      <c r="G597" s="1" t="s">
        <v>1338</v>
      </c>
      <c r="H597" s="1">
        <v>6.2055952369999998</v>
      </c>
      <c r="I597" s="1">
        <v>6.4707161060000002</v>
      </c>
      <c r="J597" s="1">
        <v>7.7186995510000003</v>
      </c>
      <c r="K597" s="1">
        <v>7.4509678069999996</v>
      </c>
      <c r="L597" s="1">
        <v>8.2330345479999991</v>
      </c>
      <c r="M597" s="1">
        <v>8.1679305699999993</v>
      </c>
      <c r="N597" s="1">
        <v>6.8724232059999997</v>
      </c>
      <c r="O597" s="1">
        <v>6.6689049149999997</v>
      </c>
      <c r="P597" s="1">
        <v>7.8886720910000001</v>
      </c>
      <c r="Q597" s="1">
        <v>7.7115291260000003</v>
      </c>
      <c r="R597" s="1">
        <v>7.8652464599999998</v>
      </c>
      <c r="S597" s="1">
        <v>7.7889923569999997</v>
      </c>
      <c r="T597" s="1">
        <v>8.2330345479999991</v>
      </c>
      <c r="U597" s="1">
        <v>8.1679305699999993</v>
      </c>
      <c r="V597" s="1">
        <v>7.0954910260000004</v>
      </c>
      <c r="W597" s="1">
        <v>7.2845395589999997</v>
      </c>
      <c r="X597" s="1">
        <v>8.3071371630000002</v>
      </c>
      <c r="Y597" s="1">
        <v>7.1050089449999998</v>
      </c>
      <c r="Z597" s="1">
        <v>7.8652464599999998</v>
      </c>
      <c r="AA597" s="1">
        <v>7.7889923569999997</v>
      </c>
      <c r="AB597" s="1">
        <v>7.6917648850000004</v>
      </c>
      <c r="AC597" s="1">
        <v>8.059776008</v>
      </c>
      <c r="AD597" s="1">
        <v>7.1124159809999998</v>
      </c>
      <c r="AE597" s="1">
        <v>7.3319911790000001</v>
      </c>
    </row>
    <row r="598" spans="1:31" x14ac:dyDescent="0.25">
      <c r="A598" s="1" t="s">
        <v>1341</v>
      </c>
      <c r="B598" s="1" t="s">
        <v>2525</v>
      </c>
      <c r="C598" s="1" t="s">
        <v>3175</v>
      </c>
      <c r="D598" s="1" t="s">
        <v>3602</v>
      </c>
      <c r="E598" s="1" t="s">
        <v>3603</v>
      </c>
      <c r="F598" s="1" t="s">
        <v>3604</v>
      </c>
      <c r="G598" s="1" t="s">
        <v>1341</v>
      </c>
      <c r="H598" s="1">
        <v>5.3232649629999997</v>
      </c>
      <c r="I598" s="1">
        <v>5.3676718369999996</v>
      </c>
      <c r="J598" s="1">
        <v>6.6382173169999996</v>
      </c>
      <c r="K598" s="1">
        <v>6.7038094560000001</v>
      </c>
      <c r="L598" s="1">
        <v>5.9691901850000004</v>
      </c>
      <c r="M598" s="1">
        <v>5.9201092089999996</v>
      </c>
      <c r="N598" s="1">
        <v>6.7808745220000004</v>
      </c>
      <c r="O598" s="1">
        <v>6.5601688740000004</v>
      </c>
      <c r="P598" s="1">
        <v>6.429694821</v>
      </c>
      <c r="Q598" s="1">
        <v>6.5742324390000002</v>
      </c>
      <c r="R598" s="1">
        <v>6.0678975499999996</v>
      </c>
      <c r="S598" s="1">
        <v>5.9969908790000002</v>
      </c>
      <c r="T598" s="1">
        <v>5.9691901850000004</v>
      </c>
      <c r="U598" s="1">
        <v>5.9201092089999996</v>
      </c>
      <c r="V598" s="1">
        <v>6.3484277020000004</v>
      </c>
      <c r="W598" s="1">
        <v>6.4401804780000003</v>
      </c>
      <c r="X598" s="1">
        <v>6.2637322309999997</v>
      </c>
      <c r="Y598" s="1">
        <v>6.4855214879999998</v>
      </c>
      <c r="Z598" s="1">
        <v>6.0678975499999996</v>
      </c>
      <c r="AA598" s="1">
        <v>5.9969908790000002</v>
      </c>
      <c r="AB598" s="1">
        <v>6.4797931459999996</v>
      </c>
      <c r="AC598" s="1">
        <v>5.8163513240000002</v>
      </c>
      <c r="AD598" s="1">
        <v>6.5162149180000002</v>
      </c>
      <c r="AE598" s="1">
        <v>6.6016475489999999</v>
      </c>
    </row>
    <row r="599" spans="1:31" x14ac:dyDescent="0.25">
      <c r="A599" s="1" t="s">
        <v>1343</v>
      </c>
      <c r="B599" s="1" t="s">
        <v>2547</v>
      </c>
      <c r="C599" s="1" t="s">
        <v>2789</v>
      </c>
      <c r="D599" s="1" t="s">
        <v>3231</v>
      </c>
      <c r="E599" s="1" t="s">
        <v>3605</v>
      </c>
      <c r="F599" s="1" t="s">
        <v>3606</v>
      </c>
      <c r="G599" s="1" t="s">
        <v>1343</v>
      </c>
      <c r="H599" s="1">
        <v>5.8141293449999996</v>
      </c>
      <c r="I599" s="1">
        <v>5.4067069720000003</v>
      </c>
      <c r="J599" s="1">
        <v>6.1606909930000002</v>
      </c>
      <c r="K599" s="1">
        <v>5.9181521149999998</v>
      </c>
      <c r="L599" s="1">
        <v>6.4869659129999997</v>
      </c>
      <c r="M599" s="1">
        <v>6.4298477490000003</v>
      </c>
      <c r="N599" s="1">
        <v>5.7258938089999996</v>
      </c>
      <c r="O599" s="1">
        <v>5.7466551829999997</v>
      </c>
      <c r="P599" s="1">
        <v>6.2975076100000003</v>
      </c>
      <c r="Q599" s="1">
        <v>5.9352426600000001</v>
      </c>
      <c r="R599" s="1">
        <v>5.8420803340000003</v>
      </c>
      <c r="S599" s="1">
        <v>6.1911441390000004</v>
      </c>
      <c r="T599" s="1">
        <v>6.4869659129999997</v>
      </c>
      <c r="U599" s="1">
        <v>6.4298477490000003</v>
      </c>
      <c r="V599" s="1">
        <v>5.8765220630000004</v>
      </c>
      <c r="W599" s="1">
        <v>6.156075682</v>
      </c>
      <c r="X599" s="1">
        <v>6.3328916910000004</v>
      </c>
      <c r="Y599" s="1">
        <v>5.5841077690000001</v>
      </c>
      <c r="Z599" s="1">
        <v>5.8420803340000003</v>
      </c>
      <c r="AA599" s="1">
        <v>6.1911441390000004</v>
      </c>
      <c r="AB599" s="1">
        <v>5.9325296429999996</v>
      </c>
      <c r="AC599" s="1">
        <v>6.0940352600000001</v>
      </c>
      <c r="AD599" s="1">
        <v>6.0361091350000002</v>
      </c>
      <c r="AE599" s="1">
        <v>5.868211906</v>
      </c>
    </row>
    <row r="600" spans="1:31" x14ac:dyDescent="0.25">
      <c r="A600" s="1" t="s">
        <v>1344</v>
      </c>
      <c r="B600" s="1" t="s">
        <v>2547</v>
      </c>
      <c r="C600" s="1" t="s">
        <v>2789</v>
      </c>
      <c r="D600" s="1" t="s">
        <v>3231</v>
      </c>
      <c r="E600" s="1" t="s">
        <v>3607</v>
      </c>
      <c r="F600" s="1" t="s">
        <v>3608</v>
      </c>
      <c r="G600" s="1" t="s">
        <v>1344</v>
      </c>
      <c r="H600" s="1">
        <v>6.5956218609999997</v>
      </c>
      <c r="I600" s="1">
        <v>6.3760216270000001</v>
      </c>
      <c r="J600" s="1">
        <v>6.311124607</v>
      </c>
      <c r="K600" s="1">
        <v>6.0361807939999998</v>
      </c>
      <c r="L600" s="1">
        <v>6.7044560139999998</v>
      </c>
      <c r="M600" s="1">
        <v>6.8145785730000004</v>
      </c>
      <c r="N600" s="1">
        <v>6.0455826970000004</v>
      </c>
      <c r="O600" s="1">
        <v>6.173773679</v>
      </c>
      <c r="P600" s="1">
        <v>6.3556532560000001</v>
      </c>
      <c r="Q600" s="1">
        <v>6.4985786230000002</v>
      </c>
      <c r="R600" s="1">
        <v>7.1152566239999997</v>
      </c>
      <c r="S600" s="1">
        <v>6.7639721039999996</v>
      </c>
      <c r="T600" s="1">
        <v>6.7044560139999998</v>
      </c>
      <c r="U600" s="1">
        <v>6.8145785730000004</v>
      </c>
      <c r="V600" s="1">
        <v>6.6041092590000003</v>
      </c>
      <c r="W600" s="1">
        <v>6.4165513509999998</v>
      </c>
      <c r="X600" s="1">
        <v>7.0111888699999998</v>
      </c>
      <c r="Y600" s="1">
        <v>6.4855214879999998</v>
      </c>
      <c r="Z600" s="1">
        <v>7.1152566239999997</v>
      </c>
      <c r="AA600" s="1">
        <v>6.7639721039999996</v>
      </c>
      <c r="AB600" s="1">
        <v>6.4797931459999996</v>
      </c>
      <c r="AC600" s="1">
        <v>6.9119300409999997</v>
      </c>
      <c r="AD600" s="1">
        <v>6.53552176</v>
      </c>
      <c r="AE600" s="1">
        <v>6.8277897879999996</v>
      </c>
    </row>
    <row r="601" spans="1:31" x14ac:dyDescent="0.25">
      <c r="A601" s="1" t="s">
        <v>1349</v>
      </c>
      <c r="B601" s="1" t="s">
        <v>2547</v>
      </c>
      <c r="C601" s="1" t="s">
        <v>2622</v>
      </c>
      <c r="D601" s="1" t="s">
        <v>2535</v>
      </c>
      <c r="E601" s="1" t="s">
        <v>3609</v>
      </c>
      <c r="F601" s="1" t="s">
        <v>3610</v>
      </c>
      <c r="G601" s="1" t="s">
        <v>1349</v>
      </c>
      <c r="H601" s="1">
        <v>7.1547827179999999</v>
      </c>
      <c r="I601" s="1">
        <v>6.3563108719999999</v>
      </c>
      <c r="J601" s="1">
        <v>6.8067545919999999</v>
      </c>
      <c r="K601" s="1">
        <v>7.0642106150000004</v>
      </c>
      <c r="L601" s="1">
        <v>6.7340543439999996</v>
      </c>
      <c r="M601" s="1">
        <v>6.6808079219999996</v>
      </c>
      <c r="N601" s="1">
        <v>5.8127456459999998</v>
      </c>
      <c r="O601" s="1">
        <v>6.2736585109999998</v>
      </c>
      <c r="P601" s="1">
        <v>6.9903989949999996</v>
      </c>
      <c r="Q601" s="1">
        <v>6.9456850320000001</v>
      </c>
      <c r="R601" s="1">
        <v>6.9553432400000004</v>
      </c>
      <c r="S601" s="1">
        <v>6.8526476350000003</v>
      </c>
      <c r="T601" s="1">
        <v>6.7340543439999996</v>
      </c>
      <c r="U601" s="1">
        <v>6.6808079219999996</v>
      </c>
      <c r="V601" s="1">
        <v>6.7031108210000001</v>
      </c>
      <c r="W601" s="1">
        <v>6.9968523659999997</v>
      </c>
      <c r="X601" s="1">
        <v>7.3027530939999998</v>
      </c>
      <c r="Y601" s="1">
        <v>6.8200537160000003</v>
      </c>
      <c r="Z601" s="1">
        <v>6.9553432400000004</v>
      </c>
      <c r="AA601" s="1">
        <v>6.8526476350000003</v>
      </c>
      <c r="AB601" s="1">
        <v>7.2015223370000001</v>
      </c>
      <c r="AC601" s="1">
        <v>7.1398799740000003</v>
      </c>
      <c r="AD601" s="1">
        <v>7.5800824159999998</v>
      </c>
      <c r="AE601" s="1">
        <v>7.2199691680000004</v>
      </c>
    </row>
    <row r="602" spans="1:31" x14ac:dyDescent="0.25">
      <c r="A602" s="1" t="s">
        <v>1350</v>
      </c>
      <c r="B602" s="1" t="s">
        <v>2557</v>
      </c>
      <c r="C602" s="1" t="s">
        <v>2772</v>
      </c>
      <c r="D602" s="1" t="s">
        <v>3611</v>
      </c>
      <c r="E602" s="1" t="s">
        <v>3612</v>
      </c>
      <c r="G602" s="1" t="s">
        <v>1350</v>
      </c>
      <c r="H602" s="1">
        <v>6.0380558219999996</v>
      </c>
      <c r="I602" s="1">
        <v>6.0719413549999999</v>
      </c>
      <c r="J602" s="1">
        <v>6.5019279570000004</v>
      </c>
      <c r="K602" s="1">
        <v>6.7562562289999999</v>
      </c>
      <c r="L602" s="1">
        <v>6.2716175139999999</v>
      </c>
      <c r="M602" s="1">
        <v>6.4996506539999999</v>
      </c>
      <c r="N602" s="1">
        <v>6.1154934519999999</v>
      </c>
      <c r="O602" s="1">
        <v>6.1439115280000003</v>
      </c>
      <c r="P602" s="1">
        <v>6.5340672829999997</v>
      </c>
      <c r="Q602" s="1">
        <v>6.5556885899999999</v>
      </c>
      <c r="R602" s="1">
        <v>6.5134469040000003</v>
      </c>
      <c r="S602" s="1">
        <v>6.7941413900000001</v>
      </c>
      <c r="T602" s="1">
        <v>6.2716175139999999</v>
      </c>
      <c r="U602" s="1">
        <v>6.4996506539999999</v>
      </c>
      <c r="V602" s="1">
        <v>6.6473747999999997</v>
      </c>
      <c r="W602" s="1">
        <v>6.239290832</v>
      </c>
      <c r="X602" s="1">
        <v>6.7833281259999998</v>
      </c>
      <c r="Y602" s="1">
        <v>6.5469586450000001</v>
      </c>
      <c r="Z602" s="1">
        <v>6.5134469040000003</v>
      </c>
      <c r="AA602" s="1">
        <v>6.7941413900000001</v>
      </c>
      <c r="AB602" s="1">
        <v>7.118051328</v>
      </c>
      <c r="AC602" s="1">
        <v>6.7468364870000004</v>
      </c>
      <c r="AD602" s="1">
        <v>6.9202883980000003</v>
      </c>
      <c r="AE602" s="1">
        <v>6.736410029</v>
      </c>
    </row>
    <row r="603" spans="1:31" x14ac:dyDescent="0.25">
      <c r="A603" s="1" t="s">
        <v>1352</v>
      </c>
      <c r="B603" s="1" t="s">
        <v>2598</v>
      </c>
      <c r="C603" s="1" t="s">
        <v>2531</v>
      </c>
      <c r="D603" s="1" t="s">
        <v>3613</v>
      </c>
      <c r="E603" s="1" t="s">
        <v>3614</v>
      </c>
      <c r="F603" s="1" t="s">
        <v>3615</v>
      </c>
      <c r="G603" s="1" t="s">
        <v>1352</v>
      </c>
      <c r="H603" s="1">
        <v>6.6546803429999999</v>
      </c>
      <c r="I603" s="1">
        <v>6.395465862</v>
      </c>
      <c r="J603" s="1">
        <v>7.4948400700000004</v>
      </c>
      <c r="K603" s="1">
        <v>7.5825799859999998</v>
      </c>
      <c r="L603" s="1">
        <v>7.4337752909999999</v>
      </c>
      <c r="M603" s="1">
        <v>7.5869807839999996</v>
      </c>
      <c r="N603" s="1">
        <v>6.0166363460000003</v>
      </c>
      <c r="O603" s="1">
        <v>5.9503866380000003</v>
      </c>
      <c r="P603" s="1">
        <v>7.7367499679999998</v>
      </c>
      <c r="Q603" s="1">
        <v>7.7115291260000003</v>
      </c>
      <c r="R603" s="1">
        <v>7.9022531660000004</v>
      </c>
      <c r="S603" s="1">
        <v>7.8404611700000002</v>
      </c>
      <c r="T603" s="1">
        <v>7.4337752909999999</v>
      </c>
      <c r="U603" s="1">
        <v>7.5869807839999996</v>
      </c>
      <c r="V603" s="1">
        <v>7.7461042500000001</v>
      </c>
      <c r="W603" s="1">
        <v>7.7297267380000001</v>
      </c>
      <c r="X603" s="1">
        <v>7.7609685380000002</v>
      </c>
      <c r="Y603" s="1">
        <v>7.57661535</v>
      </c>
      <c r="Z603" s="1">
        <v>7.9022531660000004</v>
      </c>
      <c r="AA603" s="1">
        <v>7.8404611700000002</v>
      </c>
      <c r="AB603" s="1">
        <v>7.5332931280000004</v>
      </c>
      <c r="AC603" s="1">
        <v>7.6565524309999997</v>
      </c>
      <c r="AD603" s="1">
        <v>7.7792910080000004</v>
      </c>
      <c r="AE603" s="1">
        <v>7.8225006930000003</v>
      </c>
    </row>
    <row r="604" spans="1:31" x14ac:dyDescent="0.25">
      <c r="A604" s="1" t="s">
        <v>1354</v>
      </c>
      <c r="B604" s="1" t="s">
        <v>2547</v>
      </c>
      <c r="C604" s="1" t="s">
        <v>2622</v>
      </c>
      <c r="D604" s="1" t="s">
        <v>2535</v>
      </c>
      <c r="E604" s="1" t="s">
        <v>2932</v>
      </c>
      <c r="G604" s="1" t="s">
        <v>1354</v>
      </c>
      <c r="H604" s="1">
        <v>7.345972497</v>
      </c>
      <c r="I604" s="1">
        <v>6.8960698870000003</v>
      </c>
      <c r="J604" s="1">
        <v>6.5019279570000004</v>
      </c>
      <c r="K604" s="1">
        <v>7.0076624089999999</v>
      </c>
      <c r="L604" s="1">
        <v>6.7630564729999998</v>
      </c>
      <c r="M604" s="1">
        <v>6.7105377930000003</v>
      </c>
      <c r="N604" s="1">
        <v>7.1233975809999999</v>
      </c>
      <c r="O604" s="1">
        <v>7.0766218429999999</v>
      </c>
      <c r="P604" s="1">
        <v>6.9021991040000001</v>
      </c>
      <c r="Q604" s="1">
        <v>6.5925403830000002</v>
      </c>
      <c r="R604" s="1">
        <v>6.5134469040000003</v>
      </c>
      <c r="S604" s="1">
        <v>6.7331571820000002</v>
      </c>
      <c r="T604" s="1">
        <v>6.7630564729999998</v>
      </c>
      <c r="U604" s="1">
        <v>6.7105377930000003</v>
      </c>
      <c r="V604" s="1">
        <v>6.7828668890000001</v>
      </c>
      <c r="W604" s="1">
        <v>6.6164205459999996</v>
      </c>
      <c r="X604" s="1">
        <v>6.7330869399999997</v>
      </c>
      <c r="Y604" s="1">
        <v>6.9006741439999999</v>
      </c>
      <c r="Z604" s="1">
        <v>6.5134469040000003</v>
      </c>
      <c r="AA604" s="1">
        <v>6.7331571820000002</v>
      </c>
      <c r="AB604" s="1">
        <v>6.7253316390000002</v>
      </c>
      <c r="AC604" s="1">
        <v>6.7613405999999996</v>
      </c>
      <c r="AD604" s="1">
        <v>6.7817055540000002</v>
      </c>
      <c r="AE604" s="1">
        <v>7.0783497569999998</v>
      </c>
    </row>
    <row r="605" spans="1:31" x14ac:dyDescent="0.25">
      <c r="A605" s="1" t="s">
        <v>1359</v>
      </c>
      <c r="B605" s="1" t="s">
        <v>2662</v>
      </c>
      <c r="C605" s="1" t="s">
        <v>3291</v>
      </c>
      <c r="D605" s="1" t="s">
        <v>2535</v>
      </c>
      <c r="E605" s="1" t="s">
        <v>2686</v>
      </c>
      <c r="G605" s="1" t="s">
        <v>1359</v>
      </c>
      <c r="H605" s="1">
        <v>7.4495890060000001</v>
      </c>
      <c r="I605" s="1">
        <v>7.3686145730000003</v>
      </c>
      <c r="J605" s="1">
        <v>6.5196869069999996</v>
      </c>
      <c r="K605" s="1">
        <v>7.2584585600000002</v>
      </c>
      <c r="L605" s="1">
        <v>6.8534718039999998</v>
      </c>
      <c r="M605" s="1">
        <v>6.7682169480000001</v>
      </c>
      <c r="N605" s="1">
        <v>6.8480269140000001</v>
      </c>
      <c r="O605" s="1">
        <v>6.740410754</v>
      </c>
      <c r="P605" s="1">
        <v>6.9657451879999996</v>
      </c>
      <c r="Q605" s="1">
        <v>7.1935596359999998</v>
      </c>
      <c r="R605" s="1">
        <v>6.5697987150000001</v>
      </c>
      <c r="S605" s="1">
        <v>6.8236915869999999</v>
      </c>
      <c r="T605" s="1">
        <v>6.8534718039999998</v>
      </c>
      <c r="U605" s="1">
        <v>6.7682169480000001</v>
      </c>
      <c r="V605" s="1">
        <v>6.2394706979999999</v>
      </c>
      <c r="W605" s="1">
        <v>6.3179498900000004</v>
      </c>
      <c r="X605" s="1">
        <v>6.8477008430000001</v>
      </c>
      <c r="Y605" s="1">
        <v>6.6990194939999999</v>
      </c>
      <c r="Z605" s="1">
        <v>6.5697987150000001</v>
      </c>
      <c r="AA605" s="1">
        <v>6.8236915869999999</v>
      </c>
      <c r="AB605" s="1">
        <v>7.0476086139999996</v>
      </c>
      <c r="AC605" s="1">
        <v>6.8856954019999996</v>
      </c>
      <c r="AD605" s="1">
        <v>7.0864885400000004</v>
      </c>
      <c r="AE605" s="1">
        <v>6.7703137360000003</v>
      </c>
    </row>
    <row r="606" spans="1:31" x14ac:dyDescent="0.25">
      <c r="A606" s="1" t="s">
        <v>1362</v>
      </c>
      <c r="B606" s="1" t="s">
        <v>2557</v>
      </c>
      <c r="C606" s="1" t="s">
        <v>2680</v>
      </c>
      <c r="D606" s="1" t="s">
        <v>3471</v>
      </c>
      <c r="E606" s="1" t="s">
        <v>3616</v>
      </c>
      <c r="F606" s="1" t="s">
        <v>3617</v>
      </c>
      <c r="G606" s="1" t="s">
        <v>1362</v>
      </c>
      <c r="H606" s="1">
        <v>1.7393328349999999</v>
      </c>
      <c r="I606" s="1">
        <v>1.7393328349999999</v>
      </c>
      <c r="J606" s="1">
        <v>3.4977151119999998</v>
      </c>
      <c r="K606" s="1">
        <v>1.7393328349999999</v>
      </c>
      <c r="L606" s="1">
        <v>3.1084154310000001</v>
      </c>
      <c r="M606" s="1">
        <v>2.8639998100000001</v>
      </c>
      <c r="N606" s="1">
        <v>3.8490531570000002</v>
      </c>
      <c r="O606" s="1">
        <v>3.3203005989999999</v>
      </c>
      <c r="P606" s="1">
        <v>3.106446558</v>
      </c>
      <c r="Q606" s="1">
        <v>3.185675432</v>
      </c>
      <c r="R606" s="1">
        <v>2.595728008</v>
      </c>
      <c r="S606" s="1">
        <v>2.9034795349999998</v>
      </c>
      <c r="T606" s="1">
        <v>3.1084154310000001</v>
      </c>
      <c r="U606" s="1">
        <v>2.8639998100000001</v>
      </c>
      <c r="V606" s="1">
        <v>2.5140266200000001</v>
      </c>
      <c r="W606" s="1">
        <v>2.6606351240000001</v>
      </c>
      <c r="X606" s="1">
        <v>2.6106888979999998</v>
      </c>
      <c r="Y606" s="1">
        <v>2.9733498090000001</v>
      </c>
      <c r="Z606" s="1">
        <v>2.595728008</v>
      </c>
      <c r="AA606" s="1">
        <v>2.9034795349999998</v>
      </c>
      <c r="AB606" s="1">
        <v>3.1218319999999999</v>
      </c>
      <c r="AC606" s="1">
        <v>2.5506926650000001</v>
      </c>
      <c r="AD606" s="1">
        <v>2.9432342459999998</v>
      </c>
      <c r="AE606" s="1">
        <v>3.0939349979999999</v>
      </c>
    </row>
    <row r="607" spans="1:31" x14ac:dyDescent="0.25">
      <c r="A607" s="1" t="s">
        <v>1363</v>
      </c>
      <c r="B607" s="1" t="s">
        <v>2520</v>
      </c>
      <c r="C607" s="1" t="s">
        <v>2521</v>
      </c>
      <c r="D607" s="1" t="s">
        <v>2535</v>
      </c>
      <c r="E607" s="1" t="s">
        <v>3618</v>
      </c>
      <c r="F607" s="1" t="s">
        <v>3619</v>
      </c>
      <c r="G607" s="1" t="s">
        <v>1363</v>
      </c>
      <c r="H607" s="1">
        <v>5.1686839359999999</v>
      </c>
      <c r="I607" s="1">
        <v>4.903725959</v>
      </c>
      <c r="J607" s="1">
        <v>4.5940881259999999</v>
      </c>
      <c r="K607" s="1">
        <v>4.8139921829999999</v>
      </c>
      <c r="L607" s="1">
        <v>4.961369199</v>
      </c>
      <c r="M607" s="1">
        <v>5.0606078119999998</v>
      </c>
      <c r="N607" s="1">
        <v>5.2145790439999997</v>
      </c>
      <c r="O607" s="1">
        <v>4.7903853170000001</v>
      </c>
      <c r="P607" s="1">
        <v>5.426847231</v>
      </c>
      <c r="Q607" s="1">
        <v>4.993318082</v>
      </c>
      <c r="R607" s="1">
        <v>5.1961281320000001</v>
      </c>
      <c r="S607" s="1">
        <v>4.9261733090000002</v>
      </c>
      <c r="T607" s="1">
        <v>4.961369199</v>
      </c>
      <c r="U607" s="1">
        <v>5.0606078119999998</v>
      </c>
      <c r="V607" s="1">
        <v>4.4559512029999997</v>
      </c>
      <c r="W607" s="1">
        <v>4.69862249</v>
      </c>
      <c r="X607" s="1">
        <v>4.6475707550000003</v>
      </c>
      <c r="Y607" s="1">
        <v>4.1479647589999997</v>
      </c>
      <c r="Z607" s="1">
        <v>5.1961281320000001</v>
      </c>
      <c r="AA607" s="1">
        <v>4.9261733090000002</v>
      </c>
      <c r="AB607" s="1">
        <v>4.6096720080000004</v>
      </c>
      <c r="AC607" s="1">
        <v>5.0638423939999999</v>
      </c>
      <c r="AD607" s="1">
        <v>4.4715299570000004</v>
      </c>
      <c r="AE607" s="1">
        <v>4.6936201110000004</v>
      </c>
    </row>
    <row r="608" spans="1:31" x14ac:dyDescent="0.25">
      <c r="A608" s="1" t="s">
        <v>1364</v>
      </c>
      <c r="B608" s="1" t="s">
        <v>2598</v>
      </c>
      <c r="C608" s="1" t="s">
        <v>2603</v>
      </c>
      <c r="D608" s="1" t="s">
        <v>3273</v>
      </c>
      <c r="E608" s="1" t="s">
        <v>3620</v>
      </c>
      <c r="F608" s="1" t="s">
        <v>3621</v>
      </c>
      <c r="G608" s="1" t="s">
        <v>1364</v>
      </c>
      <c r="H608" s="1">
        <v>6.379172209</v>
      </c>
      <c r="I608" s="1">
        <v>6.3760216270000001</v>
      </c>
      <c r="J608" s="1">
        <v>6.1378545859999996</v>
      </c>
      <c r="K608" s="1">
        <v>6.2219157379999999</v>
      </c>
      <c r="L608" s="1">
        <v>6.8399258940000003</v>
      </c>
      <c r="M608" s="1">
        <v>6.5662231340000003</v>
      </c>
      <c r="N608" s="1">
        <v>6.7372563640000003</v>
      </c>
      <c r="O608" s="1">
        <v>6.3799106659999998</v>
      </c>
      <c r="P608" s="1">
        <v>6.4476246020000003</v>
      </c>
      <c r="Q608" s="1">
        <v>6.4391077020000003</v>
      </c>
      <c r="R608" s="1">
        <v>6.1928862330000003</v>
      </c>
      <c r="S608" s="1">
        <v>6.3418583389999998</v>
      </c>
      <c r="T608" s="1">
        <v>6.8399258940000003</v>
      </c>
      <c r="U608" s="1">
        <v>6.5662231340000003</v>
      </c>
      <c r="V608" s="1">
        <v>6.1419042490000004</v>
      </c>
      <c r="W608" s="1">
        <v>6.5309970670000004</v>
      </c>
      <c r="X608" s="1">
        <v>6.4202153790000001</v>
      </c>
      <c r="Y608" s="1">
        <v>6.4855214879999998</v>
      </c>
      <c r="Z608" s="1">
        <v>6.1928862330000003</v>
      </c>
      <c r="AA608" s="1">
        <v>6.3418583389999998</v>
      </c>
      <c r="AB608" s="1">
        <v>6.2478766610000003</v>
      </c>
      <c r="AC608" s="1">
        <v>6.5603321899999996</v>
      </c>
      <c r="AD608" s="1">
        <v>6.3732854110000003</v>
      </c>
      <c r="AE608" s="1">
        <v>6.3445305059999999</v>
      </c>
    </row>
    <row r="609" spans="1:31" x14ac:dyDescent="0.25">
      <c r="A609" s="1" t="s">
        <v>1365</v>
      </c>
      <c r="B609" s="1" t="s">
        <v>2547</v>
      </c>
      <c r="C609" s="1" t="s">
        <v>2622</v>
      </c>
      <c r="D609" s="1" t="s">
        <v>2535</v>
      </c>
      <c r="E609" s="1" t="s">
        <v>2932</v>
      </c>
      <c r="G609" s="1" t="s">
        <v>1365</v>
      </c>
      <c r="H609" s="1">
        <v>6.5956218609999997</v>
      </c>
      <c r="I609" s="1">
        <v>5.8917578519999996</v>
      </c>
      <c r="J609" s="1">
        <v>6.6382173169999996</v>
      </c>
      <c r="K609" s="1">
        <v>6.8396337100000002</v>
      </c>
      <c r="L609" s="1">
        <v>6.8999037210000003</v>
      </c>
      <c r="M609" s="1">
        <v>7.117892962</v>
      </c>
      <c r="N609" s="1">
        <v>5.9870940719999997</v>
      </c>
      <c r="O609" s="1">
        <v>6.2736585109999998</v>
      </c>
      <c r="P609" s="1">
        <v>6.6624064440000001</v>
      </c>
      <c r="Q609" s="1">
        <v>7.0286617009999999</v>
      </c>
      <c r="R609" s="1">
        <v>6.9268762089999996</v>
      </c>
      <c r="S609" s="1">
        <v>6.4967339439999998</v>
      </c>
      <c r="T609" s="1">
        <v>6.8999037210000003</v>
      </c>
      <c r="U609" s="1">
        <v>7.117892962</v>
      </c>
      <c r="V609" s="1">
        <v>6.730190017</v>
      </c>
      <c r="W609" s="1">
        <v>7.0126858380000003</v>
      </c>
      <c r="X609" s="1">
        <v>6.7330869399999997</v>
      </c>
      <c r="Y609" s="1">
        <v>6.7864979940000003</v>
      </c>
      <c r="Z609" s="1">
        <v>6.9268762089999996</v>
      </c>
      <c r="AA609" s="1">
        <v>6.4967339439999998</v>
      </c>
      <c r="AB609" s="1">
        <v>6.9544174490000001</v>
      </c>
      <c r="AC609" s="1">
        <v>7.0947960390000002</v>
      </c>
      <c r="AD609" s="1">
        <v>6.7977787940000001</v>
      </c>
      <c r="AE609" s="1">
        <v>6.8674836130000001</v>
      </c>
    </row>
    <row r="610" spans="1:31" x14ac:dyDescent="0.25">
      <c r="A610" s="1" t="s">
        <v>1382</v>
      </c>
      <c r="B610" s="1" t="s">
        <v>2547</v>
      </c>
      <c r="C610" s="1" t="s">
        <v>2548</v>
      </c>
      <c r="D610" s="1" t="s">
        <v>3622</v>
      </c>
      <c r="E610" s="1" t="s">
        <v>3623</v>
      </c>
      <c r="G610" s="1" t="s">
        <v>1382</v>
      </c>
      <c r="H610" s="1">
        <v>5.5062820300000004</v>
      </c>
      <c r="I610" s="1">
        <v>5.3676718369999996</v>
      </c>
      <c r="J610" s="1">
        <v>6.4096880770000002</v>
      </c>
      <c r="K610" s="1">
        <v>6.9488037440000001</v>
      </c>
      <c r="L610" s="1">
        <v>6.3016040330000003</v>
      </c>
      <c r="M610" s="1">
        <v>6.5662231340000003</v>
      </c>
      <c r="N610" s="1">
        <v>5.53456788</v>
      </c>
      <c r="O610" s="1">
        <v>5.3605571169999999</v>
      </c>
      <c r="P610" s="1">
        <v>6.1074648529999997</v>
      </c>
      <c r="Q610" s="1">
        <v>6.3980489909999996</v>
      </c>
      <c r="R610" s="1">
        <v>6.4143264479999997</v>
      </c>
      <c r="S610" s="1">
        <v>6.5683371309999998</v>
      </c>
      <c r="T610" s="1">
        <v>6.3016040330000003</v>
      </c>
      <c r="U610" s="1">
        <v>6.5662231340000003</v>
      </c>
      <c r="V610" s="1">
        <v>6.0800160549999998</v>
      </c>
      <c r="W610" s="1">
        <v>6.5528329879999996</v>
      </c>
      <c r="X610" s="1">
        <v>6.2518750860000001</v>
      </c>
      <c r="Y610" s="1">
        <v>6.0201969059999998</v>
      </c>
      <c r="Z610" s="1">
        <v>6.4143264479999997</v>
      </c>
      <c r="AA610" s="1">
        <v>6.5683371309999998</v>
      </c>
      <c r="AB610" s="1">
        <v>6.679460873</v>
      </c>
      <c r="AC610" s="1">
        <v>6.384018502</v>
      </c>
      <c r="AD610" s="1">
        <v>5.9522696560000004</v>
      </c>
      <c r="AE610" s="1">
        <v>6.1520156129999997</v>
      </c>
    </row>
    <row r="611" spans="1:31" x14ac:dyDescent="0.25">
      <c r="A611" s="1" t="s">
        <v>1383</v>
      </c>
      <c r="B611" s="1" t="s">
        <v>2530</v>
      </c>
      <c r="C611" s="1" t="s">
        <v>2573</v>
      </c>
      <c r="D611" s="1" t="s">
        <v>2535</v>
      </c>
      <c r="E611" s="1" t="s">
        <v>3624</v>
      </c>
      <c r="G611" s="1" t="s">
        <v>1383</v>
      </c>
      <c r="H611" s="1">
        <v>4.183793842</v>
      </c>
      <c r="I611" s="1">
        <v>4.1114152529999997</v>
      </c>
      <c r="J611" s="1">
        <v>6.1378545859999996</v>
      </c>
      <c r="K611" s="1">
        <v>5.4493056099999997</v>
      </c>
      <c r="L611" s="1">
        <v>6.5465837359999997</v>
      </c>
      <c r="M611" s="1">
        <v>6.4178773749999998</v>
      </c>
      <c r="N611" s="1">
        <v>4.2617896110000002</v>
      </c>
      <c r="O611" s="1">
        <v>4.4368189940000002</v>
      </c>
      <c r="P611" s="1">
        <v>5.8883751269999998</v>
      </c>
      <c r="Q611" s="1">
        <v>6.0189773029999998</v>
      </c>
      <c r="R611" s="1">
        <v>6.4547978119999998</v>
      </c>
      <c r="S611" s="1">
        <v>6.4019078089999999</v>
      </c>
      <c r="T611" s="1">
        <v>6.5465837359999997</v>
      </c>
      <c r="U611" s="1">
        <v>6.4178773749999998</v>
      </c>
      <c r="V611" s="1">
        <v>5.7228043460000002</v>
      </c>
      <c r="W611" s="1">
        <v>6.1272304780000004</v>
      </c>
      <c r="X611" s="1">
        <v>5.9915198639999998</v>
      </c>
      <c r="Y611" s="1">
        <v>6.3541670720000001</v>
      </c>
      <c r="Z611" s="1">
        <v>6.4547978119999998</v>
      </c>
      <c r="AA611" s="1">
        <v>6.4019078089999999</v>
      </c>
      <c r="AB611" s="1">
        <v>6.0455186249999997</v>
      </c>
      <c r="AC611" s="1">
        <v>5.6067493529999997</v>
      </c>
      <c r="AD611" s="1">
        <v>5.7682763389999998</v>
      </c>
      <c r="AE611" s="1">
        <v>6.0451310640000004</v>
      </c>
    </row>
    <row r="612" spans="1:31" x14ac:dyDescent="0.25">
      <c r="A612" s="1" t="s">
        <v>1384</v>
      </c>
      <c r="B612" s="1" t="s">
        <v>2539</v>
      </c>
      <c r="C612" s="1" t="s">
        <v>2563</v>
      </c>
      <c r="D612" s="1" t="s">
        <v>3622</v>
      </c>
      <c r="E612" s="1" t="s">
        <v>3625</v>
      </c>
      <c r="F612" s="1" t="s">
        <v>3626</v>
      </c>
      <c r="G612" s="1" t="s">
        <v>1384</v>
      </c>
      <c r="H612" s="1">
        <v>4.3886087140000001</v>
      </c>
      <c r="I612" s="1">
        <v>3.9003964459999998</v>
      </c>
      <c r="J612" s="1">
        <v>4.6607313550000002</v>
      </c>
      <c r="K612" s="1">
        <v>4.4318297590000002</v>
      </c>
      <c r="L612" s="1">
        <v>5.8658055969999996</v>
      </c>
      <c r="M612" s="1">
        <v>5.1214027209999999</v>
      </c>
      <c r="N612" s="1">
        <v>4.3596796910000002</v>
      </c>
      <c r="O612" s="1">
        <v>4.385526188</v>
      </c>
      <c r="P612" s="1">
        <v>5.2736118430000003</v>
      </c>
      <c r="Q612" s="1">
        <v>4.5369064569999997</v>
      </c>
      <c r="R612" s="1">
        <v>4.6795267799999998</v>
      </c>
      <c r="S612" s="1">
        <v>4.6864044680000001</v>
      </c>
      <c r="T612" s="1">
        <v>5.8658055969999996</v>
      </c>
      <c r="U612" s="1">
        <v>5.1214027209999999</v>
      </c>
      <c r="V612" s="1">
        <v>4.9055261469999998</v>
      </c>
      <c r="W612" s="1">
        <v>4.8493412630000003</v>
      </c>
      <c r="X612" s="1">
        <v>5.1128189019999999</v>
      </c>
      <c r="Y612" s="1">
        <v>4.8250325140000001</v>
      </c>
      <c r="Z612" s="1">
        <v>4.6795267799999998</v>
      </c>
      <c r="AA612" s="1">
        <v>4.6864044680000001</v>
      </c>
      <c r="AB612" s="1">
        <v>4.5063178209999997</v>
      </c>
      <c r="AC612" s="1">
        <v>5.0158027430000001</v>
      </c>
      <c r="AD612" s="1">
        <v>4.8924744240000004</v>
      </c>
      <c r="AE612" s="1">
        <v>4.9548800440000003</v>
      </c>
    </row>
    <row r="613" spans="1:31" x14ac:dyDescent="0.25">
      <c r="A613" s="1" t="s">
        <v>1385</v>
      </c>
      <c r="B613" s="1" t="s">
        <v>2557</v>
      </c>
      <c r="C613" s="1" t="s">
        <v>3284</v>
      </c>
      <c r="D613" s="1" t="s">
        <v>3627</v>
      </c>
      <c r="E613" s="1" t="s">
        <v>3628</v>
      </c>
      <c r="F613" s="1" t="s">
        <v>3629</v>
      </c>
      <c r="G613" s="1" t="s">
        <v>1385</v>
      </c>
      <c r="H613" s="1">
        <v>4.183793842</v>
      </c>
      <c r="I613" s="1">
        <v>4.4542943209999999</v>
      </c>
      <c r="J613" s="1">
        <v>4.9532699769999997</v>
      </c>
      <c r="K613" s="1">
        <v>5.1139224319999999</v>
      </c>
      <c r="L613" s="1">
        <v>4.6513384469999997</v>
      </c>
      <c r="M613" s="1">
        <v>4.6276332350000002</v>
      </c>
      <c r="N613" s="1">
        <v>5.2399813159999997</v>
      </c>
      <c r="O613" s="1">
        <v>5.1349072580000001</v>
      </c>
      <c r="P613" s="1">
        <v>4.4805784009999998</v>
      </c>
      <c r="Q613" s="1">
        <v>4.7509440400000003</v>
      </c>
      <c r="R613" s="1">
        <v>4.5333476509999997</v>
      </c>
      <c r="S613" s="1">
        <v>4.6864044680000001</v>
      </c>
      <c r="T613" s="1">
        <v>4.6513384469999997</v>
      </c>
      <c r="U613" s="1">
        <v>4.6276332350000002</v>
      </c>
      <c r="V613" s="1">
        <v>4.5826682710000002</v>
      </c>
      <c r="W613" s="1">
        <v>4.2295768090000001</v>
      </c>
      <c r="X613" s="1">
        <v>4.7537743670000001</v>
      </c>
      <c r="Y613" s="1">
        <v>4.6081171230000004</v>
      </c>
      <c r="Z613" s="1">
        <v>4.5333476509999997</v>
      </c>
      <c r="AA613" s="1">
        <v>4.6864044680000001</v>
      </c>
      <c r="AB613" s="1">
        <v>4.139369361</v>
      </c>
      <c r="AC613" s="1">
        <v>4.415017905</v>
      </c>
      <c r="AD613" s="1">
        <v>4.6264106470000002</v>
      </c>
      <c r="AE613" s="1">
        <v>4.3718229419999997</v>
      </c>
    </row>
    <row r="614" spans="1:31" x14ac:dyDescent="0.25">
      <c r="A614" s="1" t="s">
        <v>1387</v>
      </c>
      <c r="B614" s="1" t="s">
        <v>2557</v>
      </c>
      <c r="C614" s="1" t="s">
        <v>3284</v>
      </c>
      <c r="D614" s="1" t="s">
        <v>3627</v>
      </c>
      <c r="E614" s="1" t="s">
        <v>3630</v>
      </c>
      <c r="F614" s="1" t="s">
        <v>3631</v>
      </c>
      <c r="G614" s="1" t="s">
        <v>1387</v>
      </c>
      <c r="H614" s="1">
        <v>5.7062998909999996</v>
      </c>
      <c r="I614" s="1">
        <v>6.3760216270000001</v>
      </c>
      <c r="J614" s="1">
        <v>6.1606909930000002</v>
      </c>
      <c r="K614" s="1">
        <v>5.9783799200000001</v>
      </c>
      <c r="L614" s="1">
        <v>6.4956354840000001</v>
      </c>
      <c r="M614" s="1">
        <v>6.4298477490000003</v>
      </c>
      <c r="N614" s="1">
        <v>6.2458658810000003</v>
      </c>
      <c r="O614" s="1">
        <v>6.217434312</v>
      </c>
      <c r="P614" s="1">
        <v>5.8883751269999998</v>
      </c>
      <c r="Q614" s="1">
        <v>5.9637007390000001</v>
      </c>
      <c r="R614" s="1">
        <v>5.8111782390000002</v>
      </c>
      <c r="S614" s="1">
        <v>6.0729078190000001</v>
      </c>
      <c r="T614" s="1">
        <v>6.4956354840000001</v>
      </c>
      <c r="U614" s="1">
        <v>6.4298477490000003</v>
      </c>
      <c r="V614" s="1">
        <v>6.2394706979999999</v>
      </c>
      <c r="W614" s="1">
        <v>6.239290832</v>
      </c>
      <c r="X614" s="1">
        <v>6.3880871680000002</v>
      </c>
      <c r="Y614" s="1">
        <v>6.2095953220000002</v>
      </c>
      <c r="Z614" s="1">
        <v>5.8111782390000002</v>
      </c>
      <c r="AA614" s="1">
        <v>6.0729078190000001</v>
      </c>
      <c r="AB614" s="1">
        <v>6.1835402750000004</v>
      </c>
      <c r="AC614" s="1">
        <v>6.1830263060000004</v>
      </c>
      <c r="AD614" s="1">
        <v>5.9522696560000004</v>
      </c>
      <c r="AE614" s="1">
        <v>6.2870921800000001</v>
      </c>
    </row>
    <row r="615" spans="1:31" x14ac:dyDescent="0.25">
      <c r="A615" s="1" t="s">
        <v>1388</v>
      </c>
      <c r="B615" s="1" t="s">
        <v>2557</v>
      </c>
      <c r="C615" s="1" t="s">
        <v>3284</v>
      </c>
      <c r="D615" s="1" t="s">
        <v>3627</v>
      </c>
      <c r="E615" s="1" t="s">
        <v>3632</v>
      </c>
      <c r="F615" s="1" t="s">
        <v>3633</v>
      </c>
      <c r="G615" s="1" t="s">
        <v>1388</v>
      </c>
      <c r="H615" s="1">
        <v>5.1131742039999999</v>
      </c>
      <c r="I615" s="1">
        <v>5.2862358589999996</v>
      </c>
      <c r="J615" s="1">
        <v>5.8022574259999997</v>
      </c>
      <c r="K615" s="1">
        <v>5.5719358019999996</v>
      </c>
      <c r="L615" s="1">
        <v>5.8250296969999997</v>
      </c>
      <c r="M615" s="1">
        <v>5.8143060450000004</v>
      </c>
      <c r="N615" s="1">
        <v>5.428348615</v>
      </c>
      <c r="O615" s="1">
        <v>5.9503866380000003</v>
      </c>
      <c r="P615" s="1">
        <v>5.3134950500000002</v>
      </c>
      <c r="Q615" s="1">
        <v>5.6499570400000003</v>
      </c>
      <c r="R615" s="1">
        <v>5.6102934549999999</v>
      </c>
      <c r="S615" s="1">
        <v>5.2672271329999996</v>
      </c>
      <c r="T615" s="1">
        <v>5.8250296969999997</v>
      </c>
      <c r="U615" s="1">
        <v>5.8143060450000004</v>
      </c>
      <c r="V615" s="1">
        <v>5.6103143839999996</v>
      </c>
      <c r="W615" s="1">
        <v>5.2774499109999997</v>
      </c>
      <c r="X615" s="1">
        <v>5.3326311679999998</v>
      </c>
      <c r="Y615" s="1">
        <v>5.417933841</v>
      </c>
      <c r="Z615" s="1">
        <v>5.6102934549999999</v>
      </c>
      <c r="AA615" s="1">
        <v>5.2672271329999996</v>
      </c>
      <c r="AB615" s="1">
        <v>5.4196851610000003</v>
      </c>
      <c r="AC615" s="1">
        <v>5.7302515789999999</v>
      </c>
      <c r="AD615" s="1">
        <v>5.5186611069999998</v>
      </c>
      <c r="AE615" s="1">
        <v>5.49371411</v>
      </c>
    </row>
    <row r="616" spans="1:31" x14ac:dyDescent="0.25">
      <c r="A616" s="1" t="s">
        <v>1389</v>
      </c>
      <c r="B616" s="1" t="s">
        <v>2557</v>
      </c>
      <c r="C616" s="1" t="s">
        <v>3634</v>
      </c>
      <c r="D616" s="1" t="s">
        <v>3635</v>
      </c>
      <c r="E616" s="1" t="s">
        <v>3636</v>
      </c>
      <c r="F616" s="1" t="s">
        <v>3637</v>
      </c>
      <c r="G616" s="1" t="s">
        <v>1389</v>
      </c>
      <c r="H616" s="1">
        <v>5.7062998909999996</v>
      </c>
      <c r="I616" s="1">
        <v>5.8640648840000003</v>
      </c>
      <c r="J616" s="1">
        <v>5.8022574259999997</v>
      </c>
      <c r="K616" s="1">
        <v>5.3612725399999999</v>
      </c>
      <c r="L616" s="1">
        <v>5.9054534529999998</v>
      </c>
      <c r="M616" s="1">
        <v>5.8324912810000002</v>
      </c>
      <c r="N616" s="1">
        <v>5.0517962220000001</v>
      </c>
      <c r="O616" s="1">
        <v>5.2800788330000001</v>
      </c>
      <c r="P616" s="1">
        <v>5.4627121560000003</v>
      </c>
      <c r="Q616" s="1">
        <v>4.993318082</v>
      </c>
      <c r="R616" s="1">
        <v>5.6102934549999999</v>
      </c>
      <c r="S616" s="1">
        <v>5.2672271329999996</v>
      </c>
      <c r="T616" s="1">
        <v>5.9054534529999998</v>
      </c>
      <c r="U616" s="1">
        <v>5.8324912810000002</v>
      </c>
      <c r="V616" s="1">
        <v>5.1274300740000003</v>
      </c>
      <c r="W616" s="1">
        <v>5.5634106699999997</v>
      </c>
      <c r="X616" s="1">
        <v>5.5811786620000001</v>
      </c>
      <c r="Y616" s="1">
        <v>5.6604650660000004</v>
      </c>
      <c r="Z616" s="1">
        <v>5.6102934549999999</v>
      </c>
      <c r="AA616" s="1">
        <v>5.2672271329999996</v>
      </c>
      <c r="AB616" s="1">
        <v>5.2406211000000003</v>
      </c>
      <c r="AC616" s="1">
        <v>5.5407520860000004</v>
      </c>
      <c r="AD616" s="1">
        <v>5.6310130599999999</v>
      </c>
      <c r="AE616" s="1">
        <v>5.3205054189999998</v>
      </c>
    </row>
    <row r="617" spans="1:31" x14ac:dyDescent="0.25">
      <c r="A617" s="1" t="s">
        <v>1390</v>
      </c>
      <c r="B617" s="1" t="s">
        <v>2520</v>
      </c>
      <c r="C617" s="1" t="s">
        <v>3160</v>
      </c>
      <c r="D617" s="1" t="s">
        <v>3638</v>
      </c>
      <c r="E617" s="1" t="s">
        <v>3639</v>
      </c>
      <c r="F617" s="1" t="s">
        <v>3640</v>
      </c>
      <c r="G617" s="1" t="s">
        <v>1390</v>
      </c>
      <c r="H617" s="1">
        <v>4.6479005740000003</v>
      </c>
      <c r="I617" s="1">
        <v>4.5981535630000003</v>
      </c>
      <c r="J617" s="1">
        <v>4.3724365990000003</v>
      </c>
      <c r="K617" s="1">
        <v>3.8998480660000001</v>
      </c>
      <c r="L617" s="1">
        <v>4.713054648</v>
      </c>
      <c r="M617" s="1">
        <v>4.5846937370000003</v>
      </c>
      <c r="N617" s="1">
        <v>4.4945275240000004</v>
      </c>
      <c r="O617" s="1">
        <v>4.6680836990000003</v>
      </c>
      <c r="P617" s="1">
        <v>4.4075207919999997</v>
      </c>
      <c r="Q617" s="1">
        <v>4.2835653880000004</v>
      </c>
      <c r="R617" s="1">
        <v>4.0808207129999996</v>
      </c>
      <c r="S617" s="1">
        <v>4.1304223819999999</v>
      </c>
      <c r="T617" s="1">
        <v>4.713054648</v>
      </c>
      <c r="U617" s="1">
        <v>4.5846937370000003</v>
      </c>
      <c r="V617" s="1">
        <v>4.8566239800000002</v>
      </c>
      <c r="W617" s="1">
        <v>3.8431653940000001</v>
      </c>
      <c r="X617" s="1">
        <v>4.6102919370000004</v>
      </c>
      <c r="Y617" s="1">
        <v>4.3509215530000001</v>
      </c>
      <c r="Z617" s="1">
        <v>4.0808207129999996</v>
      </c>
      <c r="AA617" s="1">
        <v>4.1304223819999999</v>
      </c>
      <c r="AB617" s="1">
        <v>4.5063178209999997</v>
      </c>
      <c r="AC617" s="1">
        <v>4.0753403910000001</v>
      </c>
      <c r="AD617" s="1">
        <v>4.2970121150000002</v>
      </c>
      <c r="AE617" s="1">
        <v>4.124053773</v>
      </c>
    </row>
    <row r="618" spans="1:31" x14ac:dyDescent="0.25">
      <c r="A618" s="1" t="s">
        <v>1391</v>
      </c>
      <c r="B618" s="1" t="s">
        <v>2520</v>
      </c>
      <c r="C618" s="1" t="s">
        <v>3160</v>
      </c>
      <c r="D618" s="1" t="s">
        <v>3638</v>
      </c>
      <c r="E618" s="1" t="s">
        <v>3641</v>
      </c>
      <c r="F618" s="1" t="s">
        <v>3642</v>
      </c>
      <c r="G618" s="1" t="s">
        <v>1391</v>
      </c>
      <c r="H618" s="1">
        <v>3.6455184960000002</v>
      </c>
      <c r="I618" s="1">
        <v>3.1348991329999998</v>
      </c>
      <c r="J618" s="1">
        <v>4.6607313550000002</v>
      </c>
      <c r="K618" s="1">
        <v>3.8998480660000001</v>
      </c>
      <c r="L618" s="1">
        <v>4.1188213390000001</v>
      </c>
      <c r="M618" s="1">
        <v>3.6924658159999999</v>
      </c>
      <c r="N618" s="1">
        <v>4.1002678350000004</v>
      </c>
      <c r="O618" s="1">
        <v>3.88533178</v>
      </c>
      <c r="P618" s="1">
        <v>3.6116823170000001</v>
      </c>
      <c r="Q618" s="1">
        <v>4.3733115800000002</v>
      </c>
      <c r="R618" s="1">
        <v>4.1841942410000001</v>
      </c>
      <c r="S618" s="1">
        <v>3.3463386960000001</v>
      </c>
      <c r="T618" s="1">
        <v>4.1188213390000001</v>
      </c>
      <c r="U618" s="1">
        <v>3.6924658159999999</v>
      </c>
      <c r="V618" s="1">
        <v>3.9849921849999999</v>
      </c>
      <c r="W618" s="1">
        <v>4.3370700810000002</v>
      </c>
      <c r="X618" s="1">
        <v>4.407182283</v>
      </c>
      <c r="Y618" s="1">
        <v>2.9733498090000001</v>
      </c>
      <c r="Z618" s="1">
        <v>4.1841942410000001</v>
      </c>
      <c r="AA618" s="1">
        <v>3.3463386960000001</v>
      </c>
      <c r="AB618" s="1">
        <v>3.6315729079999999</v>
      </c>
      <c r="AC618" s="1">
        <v>4.4881955270000002</v>
      </c>
      <c r="AD618" s="1">
        <v>3.5727029510000001</v>
      </c>
      <c r="AE618" s="1">
        <v>4.1773695330000002</v>
      </c>
    </row>
    <row r="619" spans="1:31" x14ac:dyDescent="0.25">
      <c r="A619" s="1" t="s">
        <v>1392</v>
      </c>
      <c r="B619" s="1" t="s">
        <v>2631</v>
      </c>
      <c r="C619" s="1" t="s">
        <v>2980</v>
      </c>
      <c r="D619" s="1" t="s">
        <v>3517</v>
      </c>
      <c r="E619" s="1" t="s">
        <v>3643</v>
      </c>
      <c r="G619" s="1" t="s">
        <v>1392</v>
      </c>
      <c r="H619" s="1">
        <v>6.5340358859999998</v>
      </c>
      <c r="I619" s="1">
        <v>6.5936172129999999</v>
      </c>
      <c r="J619" s="1">
        <v>6.0910626519999997</v>
      </c>
      <c r="K619" s="1">
        <v>6.4725304650000002</v>
      </c>
      <c r="L619" s="1">
        <v>6.6355473729999996</v>
      </c>
      <c r="M619" s="1">
        <v>6.5877467249999997</v>
      </c>
      <c r="N619" s="1">
        <v>6.9811084729999999</v>
      </c>
      <c r="O619" s="1">
        <v>6.2873774889999998</v>
      </c>
      <c r="P619" s="1">
        <v>6.1736452379999998</v>
      </c>
      <c r="Q619" s="1">
        <v>6.3122380549999999</v>
      </c>
      <c r="R619" s="1">
        <v>6.3514004780000004</v>
      </c>
      <c r="S619" s="1">
        <v>6.3821686289999997</v>
      </c>
      <c r="T619" s="1">
        <v>6.6355473729999996</v>
      </c>
      <c r="U619" s="1">
        <v>6.5877467249999997</v>
      </c>
      <c r="V619" s="1">
        <v>6.71671408</v>
      </c>
      <c r="W619" s="1">
        <v>6.3680955829999997</v>
      </c>
      <c r="X619" s="1">
        <v>6.2754923570000001</v>
      </c>
      <c r="Y619" s="1">
        <v>6.1579814659999998</v>
      </c>
      <c r="Z619" s="1">
        <v>6.3514004780000004</v>
      </c>
      <c r="AA619" s="1">
        <v>6.3821686289999997</v>
      </c>
      <c r="AB619" s="1">
        <v>6.53236668</v>
      </c>
      <c r="AC619" s="1">
        <v>6.384018502</v>
      </c>
      <c r="AD619" s="1">
        <v>6.3732854110000003</v>
      </c>
      <c r="AE619" s="1">
        <v>6.6928759639999997</v>
      </c>
    </row>
    <row r="620" spans="1:31" x14ac:dyDescent="0.25">
      <c r="A620" s="1" t="s">
        <v>1393</v>
      </c>
      <c r="B620" s="1" t="s">
        <v>2579</v>
      </c>
      <c r="C620" s="1" t="s">
        <v>2854</v>
      </c>
      <c r="D620" s="1" t="s">
        <v>2535</v>
      </c>
      <c r="E620" s="1" t="s">
        <v>3644</v>
      </c>
      <c r="F620" s="1" t="s">
        <v>3645</v>
      </c>
      <c r="G620" s="1" t="s">
        <v>1393</v>
      </c>
      <c r="H620" s="1">
        <v>11.34848244</v>
      </c>
      <c r="I620" s="1">
        <v>11.12286301</v>
      </c>
      <c r="J620" s="1">
        <v>11.05198906</v>
      </c>
      <c r="K620" s="1">
        <v>11.28393739</v>
      </c>
      <c r="L620" s="1">
        <v>10.665963319999999</v>
      </c>
      <c r="M620" s="1">
        <v>10.8199249</v>
      </c>
      <c r="N620" s="1">
        <v>10.780549329999999</v>
      </c>
      <c r="O620" s="1">
        <v>11.11169664</v>
      </c>
      <c r="P620" s="1">
        <v>10.753901239999999</v>
      </c>
      <c r="Q620" s="1">
        <v>10.72079284</v>
      </c>
      <c r="R620" s="1">
        <v>11.02283791</v>
      </c>
      <c r="S620" s="1">
        <v>10.89935345</v>
      </c>
      <c r="T620" s="1">
        <v>10.665963319999999</v>
      </c>
      <c r="U620" s="1">
        <v>10.8199249</v>
      </c>
      <c r="V620" s="1">
        <v>10.79257076</v>
      </c>
      <c r="W620" s="1">
        <v>10.83704921</v>
      </c>
      <c r="X620" s="1">
        <v>10.65272596</v>
      </c>
      <c r="Y620" s="1">
        <v>10.639388629999999</v>
      </c>
      <c r="Z620" s="1">
        <v>11.02283791</v>
      </c>
      <c r="AA620" s="1">
        <v>10.89935345</v>
      </c>
      <c r="AB620" s="1">
        <v>10.903387499999999</v>
      </c>
      <c r="AC620" s="1">
        <v>10.73048371</v>
      </c>
      <c r="AD620" s="1">
        <v>10.73865904</v>
      </c>
      <c r="AE620" s="1">
        <v>10.74093062</v>
      </c>
    </row>
    <row r="621" spans="1:31" x14ac:dyDescent="0.25">
      <c r="A621" s="1" t="s">
        <v>1398</v>
      </c>
      <c r="B621" s="1" t="s">
        <v>2662</v>
      </c>
      <c r="C621" s="1" t="s">
        <v>3291</v>
      </c>
      <c r="D621" s="1" t="s">
        <v>3646</v>
      </c>
      <c r="E621" s="1" t="s">
        <v>3647</v>
      </c>
      <c r="F621" s="1" t="s">
        <v>3648</v>
      </c>
      <c r="G621" s="1" t="s">
        <v>1398</v>
      </c>
      <c r="H621" s="1">
        <v>11.00460505</v>
      </c>
      <c r="I621" s="1">
        <v>10.569907779999999</v>
      </c>
      <c r="J621" s="1">
        <v>8.6603889289999998</v>
      </c>
      <c r="K621" s="1">
        <v>8.7070266160000003</v>
      </c>
      <c r="L621" s="1">
        <v>8.2330345479999991</v>
      </c>
      <c r="M621" s="1">
        <v>8.3424930649999993</v>
      </c>
      <c r="N621" s="1">
        <v>10.167181709999999</v>
      </c>
      <c r="O621" s="1">
        <v>10.54443208</v>
      </c>
      <c r="P621" s="1">
        <v>8.7933962710000007</v>
      </c>
      <c r="Q621" s="1">
        <v>8.6145168529999996</v>
      </c>
      <c r="R621" s="1">
        <v>8.541120458</v>
      </c>
      <c r="S621" s="1">
        <v>8.673116018</v>
      </c>
      <c r="T621" s="1">
        <v>8.2330345479999991</v>
      </c>
      <c r="U621" s="1">
        <v>8.3424930649999993</v>
      </c>
      <c r="V621" s="1">
        <v>8.4745952970000005</v>
      </c>
      <c r="W621" s="1">
        <v>8.6116470379999992</v>
      </c>
      <c r="X621" s="1">
        <v>8.4065718950000008</v>
      </c>
      <c r="Y621" s="1">
        <v>8.3822526639999992</v>
      </c>
      <c r="Z621" s="1">
        <v>8.541120458</v>
      </c>
      <c r="AA621" s="1">
        <v>8.673116018</v>
      </c>
      <c r="AB621" s="1">
        <v>8.5964134249999997</v>
      </c>
      <c r="AC621" s="1">
        <v>8.3839417820000008</v>
      </c>
      <c r="AD621" s="1">
        <v>8.7899267999999999</v>
      </c>
      <c r="AE621" s="1">
        <v>8.5318862529999997</v>
      </c>
    </row>
    <row r="622" spans="1:31" x14ac:dyDescent="0.25">
      <c r="A622" s="1" t="s">
        <v>1399</v>
      </c>
      <c r="B622" s="1" t="s">
        <v>2642</v>
      </c>
      <c r="C622" s="1" t="s">
        <v>2643</v>
      </c>
      <c r="D622" s="1" t="s">
        <v>2687</v>
      </c>
      <c r="E622" s="1" t="s">
        <v>3094</v>
      </c>
      <c r="F622" s="1" t="s">
        <v>3095</v>
      </c>
      <c r="G622" s="1" t="s">
        <v>1399</v>
      </c>
      <c r="H622" s="1">
        <v>2.640460343</v>
      </c>
      <c r="I622" s="1">
        <v>1.7393328349999999</v>
      </c>
      <c r="J622" s="1">
        <v>1.7393328349999999</v>
      </c>
      <c r="K622" s="1">
        <v>1.7393328349999999</v>
      </c>
      <c r="L622" s="1">
        <v>2.315629231</v>
      </c>
      <c r="M622" s="1">
        <v>1.7393328349999999</v>
      </c>
      <c r="N622" s="1">
        <v>1.7393328349999999</v>
      </c>
      <c r="O622" s="1">
        <v>1.7393328349999999</v>
      </c>
      <c r="P622" s="1">
        <v>1.7393328349999999</v>
      </c>
      <c r="Q622" s="1">
        <v>1.7393328349999999</v>
      </c>
      <c r="R622" s="1">
        <v>1.7393328349999999</v>
      </c>
      <c r="S622" s="1">
        <v>2.5733617299999998</v>
      </c>
      <c r="T622" s="1">
        <v>2.315629231</v>
      </c>
      <c r="U622" s="1">
        <v>1.7393328349999999</v>
      </c>
      <c r="V622" s="1">
        <v>1.7393328349999999</v>
      </c>
      <c r="W622" s="1">
        <v>1.7393328349999999</v>
      </c>
      <c r="X622" s="1">
        <v>1.7393328349999999</v>
      </c>
      <c r="Y622" s="1">
        <v>1.7393328349999999</v>
      </c>
      <c r="Z622" s="1">
        <v>1.7393328349999999</v>
      </c>
      <c r="AA622" s="1">
        <v>2.5733617299999998</v>
      </c>
      <c r="AB622" s="1">
        <v>1.7393328349999999</v>
      </c>
      <c r="AC622" s="1">
        <v>1.7393328349999999</v>
      </c>
      <c r="AD622" s="1">
        <v>1.7393328349999999</v>
      </c>
      <c r="AE622" s="1">
        <v>1.7393328349999999</v>
      </c>
    </row>
    <row r="623" spans="1:31" x14ac:dyDescent="0.25">
      <c r="A623" s="1" t="s">
        <v>1400</v>
      </c>
      <c r="B623" s="1" t="s">
        <v>2520</v>
      </c>
      <c r="C623" s="1" t="s">
        <v>2521</v>
      </c>
      <c r="D623" s="1" t="s">
        <v>2595</v>
      </c>
      <c r="E623" s="1" t="s">
        <v>3649</v>
      </c>
      <c r="F623" s="1" t="s">
        <v>3650</v>
      </c>
      <c r="G623" s="1" t="s">
        <v>1400</v>
      </c>
      <c r="H623" s="1">
        <v>4.7972697699999998</v>
      </c>
      <c r="I623" s="1">
        <v>4.8477128089999999</v>
      </c>
      <c r="J623" s="1">
        <v>4.4503473070000004</v>
      </c>
      <c r="K623" s="1">
        <v>4.5171444090000001</v>
      </c>
      <c r="L623" s="1">
        <v>4.8008003170000002</v>
      </c>
      <c r="M623" s="1">
        <v>4.7490378550000001</v>
      </c>
      <c r="N623" s="1">
        <v>4.6173662499999999</v>
      </c>
      <c r="O623" s="1">
        <v>4.2767880749999998</v>
      </c>
      <c r="P623" s="1">
        <v>3.86011382</v>
      </c>
      <c r="Q623" s="1">
        <v>4.18747588</v>
      </c>
      <c r="R623" s="1">
        <v>5.0440296189999998</v>
      </c>
      <c r="S623" s="1">
        <v>4.5490843459999999</v>
      </c>
      <c r="T623" s="1">
        <v>4.8008003170000002</v>
      </c>
      <c r="U623" s="1">
        <v>4.7490378550000001</v>
      </c>
      <c r="V623" s="1">
        <v>4.8059579570000004</v>
      </c>
      <c r="W623" s="1">
        <v>4.9190341039999996</v>
      </c>
      <c r="X623" s="1">
        <v>4.6838774470000004</v>
      </c>
      <c r="Y623" s="1">
        <v>4.6842287809999998</v>
      </c>
      <c r="Z623" s="1">
        <v>5.0440296189999998</v>
      </c>
      <c r="AA623" s="1">
        <v>4.5490843459999999</v>
      </c>
      <c r="AB623" s="1">
        <v>5.4196851610000003</v>
      </c>
      <c r="AC623" s="1">
        <v>4.6238605430000002</v>
      </c>
      <c r="AD623" s="1">
        <v>4.6264106470000002</v>
      </c>
      <c r="AE623" s="1">
        <v>4.5014252270000004</v>
      </c>
    </row>
    <row r="624" spans="1:31" x14ac:dyDescent="0.25">
      <c r="A624" s="1" t="s">
        <v>1401</v>
      </c>
      <c r="B624" s="1" t="s">
        <v>2530</v>
      </c>
      <c r="C624" s="1" t="s">
        <v>2573</v>
      </c>
      <c r="D624" s="1" t="s">
        <v>2535</v>
      </c>
      <c r="E624" s="1" t="s">
        <v>3651</v>
      </c>
      <c r="G624" s="1" t="s">
        <v>1401</v>
      </c>
      <c r="H624" s="1">
        <v>3.9421380259999999</v>
      </c>
      <c r="I624" s="1">
        <v>3.9003964459999998</v>
      </c>
      <c r="J624" s="1">
        <v>4.8994370109999998</v>
      </c>
      <c r="K624" s="1">
        <v>4.3408695499999999</v>
      </c>
      <c r="L624" s="1">
        <v>4.0223143549999998</v>
      </c>
      <c r="M624" s="1">
        <v>4.8607408789999997</v>
      </c>
      <c r="N624" s="1">
        <v>4.4945275240000004</v>
      </c>
      <c r="O624" s="1">
        <v>4.385526188</v>
      </c>
      <c r="P624" s="1">
        <v>4.3303557189999999</v>
      </c>
      <c r="Q624" s="1">
        <v>4.8773483779999998</v>
      </c>
      <c r="R624" s="1">
        <v>5.1472208640000003</v>
      </c>
      <c r="S624" s="1">
        <v>4.9261733090000002</v>
      </c>
      <c r="T624" s="1">
        <v>4.0223143549999998</v>
      </c>
      <c r="U624" s="1">
        <v>4.8607408789999997</v>
      </c>
      <c r="V624" s="1">
        <v>5.1274300740000003</v>
      </c>
      <c r="W624" s="1">
        <v>5.16775612</v>
      </c>
      <c r="X624" s="1">
        <v>4.9447045230000004</v>
      </c>
      <c r="Y624" s="1">
        <v>4.1479647589999997</v>
      </c>
      <c r="Z624" s="1">
        <v>5.1472208640000003</v>
      </c>
      <c r="AA624" s="1">
        <v>4.9261733090000002</v>
      </c>
      <c r="AB624" s="1">
        <v>4.7958605490000004</v>
      </c>
      <c r="AC624" s="1">
        <v>4.8610120620000004</v>
      </c>
      <c r="AD624" s="1">
        <v>4.83054469</v>
      </c>
      <c r="AE624" s="1">
        <v>4.4163948289999997</v>
      </c>
    </row>
    <row r="625" spans="1:31" x14ac:dyDescent="0.25">
      <c r="A625" s="1" t="s">
        <v>1406</v>
      </c>
      <c r="B625" s="1" t="s">
        <v>2547</v>
      </c>
      <c r="C625" s="1" t="s">
        <v>2694</v>
      </c>
      <c r="D625" s="1" t="s">
        <v>3199</v>
      </c>
      <c r="E625" s="1" t="s">
        <v>3652</v>
      </c>
      <c r="G625" s="1" t="s">
        <v>1406</v>
      </c>
      <c r="H625" s="1">
        <v>5.0553993879999997</v>
      </c>
      <c r="I625" s="1">
        <v>4.7284970130000001</v>
      </c>
      <c r="J625" s="1">
        <v>4.1077874330000004</v>
      </c>
      <c r="K625" s="1">
        <v>4.5974987220000001</v>
      </c>
      <c r="L625" s="1">
        <v>4.6825378889999998</v>
      </c>
      <c r="M625" s="1">
        <v>4.6276332350000002</v>
      </c>
      <c r="N625" s="1">
        <v>5.1887139119999999</v>
      </c>
      <c r="O625" s="1">
        <v>5.3605571169999999</v>
      </c>
      <c r="P625" s="1">
        <v>3.7419514989999998</v>
      </c>
      <c r="Q625" s="1">
        <v>4.611970812</v>
      </c>
      <c r="R625" s="1">
        <v>4.45403635</v>
      </c>
      <c r="S625" s="1">
        <v>4.7503017500000002</v>
      </c>
      <c r="T625" s="1">
        <v>4.6825378889999998</v>
      </c>
      <c r="U625" s="1">
        <v>4.6276332350000002</v>
      </c>
      <c r="V625" s="1">
        <v>4.1608706030000002</v>
      </c>
      <c r="W625" s="1">
        <v>4.4367165279999998</v>
      </c>
      <c r="X625" s="1">
        <v>4.6102919370000004</v>
      </c>
      <c r="Y625" s="1">
        <v>4.0337379980000003</v>
      </c>
      <c r="Z625" s="1">
        <v>4.45403635</v>
      </c>
      <c r="AA625" s="1">
        <v>4.7503017500000002</v>
      </c>
      <c r="AB625" s="1">
        <v>4.5063178209999997</v>
      </c>
      <c r="AC625" s="1">
        <v>4.3377211620000002</v>
      </c>
      <c r="AD625" s="1">
        <v>4.7657555159999996</v>
      </c>
      <c r="AE625" s="1">
        <v>4.7973769099999997</v>
      </c>
    </row>
    <row r="626" spans="1:31" x14ac:dyDescent="0.25">
      <c r="A626" s="1" t="s">
        <v>1407</v>
      </c>
      <c r="B626" s="1" t="s">
        <v>2547</v>
      </c>
      <c r="C626" s="1" t="s">
        <v>2622</v>
      </c>
      <c r="D626" s="1" t="s">
        <v>2535</v>
      </c>
      <c r="E626" s="1" t="s">
        <v>3653</v>
      </c>
      <c r="G626" s="1" t="s">
        <v>1407</v>
      </c>
      <c r="H626" s="1">
        <v>7.1272614729999999</v>
      </c>
      <c r="I626" s="1">
        <v>7.1573255429999998</v>
      </c>
      <c r="J626" s="1">
        <v>6.6543806500000002</v>
      </c>
      <c r="K626" s="1">
        <v>6.1968079280000001</v>
      </c>
      <c r="L626" s="1">
        <v>7.276814238</v>
      </c>
      <c r="M626" s="1">
        <v>7.117892962</v>
      </c>
      <c r="N626" s="1">
        <v>6.8884608170000003</v>
      </c>
      <c r="O626" s="1">
        <v>7.1534477360000004</v>
      </c>
      <c r="P626" s="1">
        <v>6.8891464339999997</v>
      </c>
      <c r="Q626" s="1">
        <v>6.4790268769999999</v>
      </c>
      <c r="R626" s="1">
        <v>6.3726832150000003</v>
      </c>
      <c r="S626" s="1">
        <v>6.168262747</v>
      </c>
      <c r="T626" s="1">
        <v>7.276814238</v>
      </c>
      <c r="U626" s="1">
        <v>7.117892962</v>
      </c>
      <c r="V626" s="1">
        <v>6.9986300650000004</v>
      </c>
      <c r="W626" s="1">
        <v>6.9646536269999997</v>
      </c>
      <c r="X626" s="1">
        <v>6.5025394790000002</v>
      </c>
      <c r="Y626" s="1">
        <v>6.931699879</v>
      </c>
      <c r="Z626" s="1">
        <v>6.3726832150000003</v>
      </c>
      <c r="AA626" s="1">
        <v>6.168262747</v>
      </c>
      <c r="AB626" s="1">
        <v>6.557950226</v>
      </c>
      <c r="AC626" s="1">
        <v>6.5096691079999998</v>
      </c>
      <c r="AD626" s="1">
        <v>6.89062397</v>
      </c>
      <c r="AE626" s="1">
        <v>6.5921984570000003</v>
      </c>
    </row>
    <row r="627" spans="1:31" x14ac:dyDescent="0.25">
      <c r="A627" s="1" t="s">
        <v>1408</v>
      </c>
      <c r="B627" s="1" t="s">
        <v>2608</v>
      </c>
      <c r="C627" s="1" t="s">
        <v>2791</v>
      </c>
      <c r="D627" s="1" t="s">
        <v>2792</v>
      </c>
      <c r="E627" s="1" t="s">
        <v>3654</v>
      </c>
      <c r="F627" s="1" t="s">
        <v>3655</v>
      </c>
      <c r="G627" s="1" t="s">
        <v>1408</v>
      </c>
      <c r="H627" s="1">
        <v>9.0463512389999998</v>
      </c>
      <c r="I627" s="1">
        <v>8.6536257719999998</v>
      </c>
      <c r="J627" s="1">
        <v>8.2624387959999996</v>
      </c>
      <c r="K627" s="1">
        <v>8.2147432790000003</v>
      </c>
      <c r="L627" s="1">
        <v>6.9823541379999998</v>
      </c>
      <c r="M627" s="1">
        <v>7.0341933279999997</v>
      </c>
      <c r="N627" s="1">
        <v>8.4996747389999996</v>
      </c>
      <c r="O627" s="1">
        <v>8.7288643809999993</v>
      </c>
      <c r="P627" s="1">
        <v>7.6152533340000002</v>
      </c>
      <c r="Q627" s="1">
        <v>7.8086029610000001</v>
      </c>
      <c r="R627" s="1">
        <v>7.304132815</v>
      </c>
      <c r="S627" s="1">
        <v>7.2178550819999998</v>
      </c>
      <c r="T627" s="1">
        <v>6.9823541379999998</v>
      </c>
      <c r="U627" s="1">
        <v>7.0341933279999997</v>
      </c>
      <c r="V627" s="1">
        <v>7.3434958909999999</v>
      </c>
      <c r="W627" s="1">
        <v>7.3973631339999999</v>
      </c>
      <c r="X627" s="1">
        <v>7.3141843419999999</v>
      </c>
      <c r="Y627" s="1">
        <v>7.063596596</v>
      </c>
      <c r="Z627" s="1">
        <v>7.304132815</v>
      </c>
      <c r="AA627" s="1">
        <v>7.2178550819999998</v>
      </c>
      <c r="AB627" s="1">
        <v>7.5072894650000004</v>
      </c>
      <c r="AC627" s="1">
        <v>7.1619038179999999</v>
      </c>
      <c r="AD627" s="1">
        <v>7.1629120009999996</v>
      </c>
      <c r="AE627" s="1">
        <v>7.360078787</v>
      </c>
    </row>
    <row r="628" spans="1:31" x14ac:dyDescent="0.25">
      <c r="A628" s="1" t="s">
        <v>1412</v>
      </c>
      <c r="B628" s="1" t="s">
        <v>2520</v>
      </c>
      <c r="C628" s="1" t="s">
        <v>3160</v>
      </c>
      <c r="D628" s="1" t="s">
        <v>3656</v>
      </c>
      <c r="E628" s="1" t="s">
        <v>3657</v>
      </c>
      <c r="F628" s="1" t="s">
        <v>3658</v>
      </c>
      <c r="G628" s="1" t="s">
        <v>1412</v>
      </c>
      <c r="H628" s="1">
        <v>4.7972697699999998</v>
      </c>
      <c r="I628" s="1">
        <v>5.1998500889999999</v>
      </c>
      <c r="J628" s="1">
        <v>5.1034438250000003</v>
      </c>
      <c r="K628" s="1">
        <v>5.2674352469999999</v>
      </c>
      <c r="L628" s="1">
        <v>5.2153292420000001</v>
      </c>
      <c r="M628" s="1">
        <v>5.2079667260000004</v>
      </c>
      <c r="N628" s="1">
        <v>4.1002678350000004</v>
      </c>
      <c r="O628" s="1">
        <v>4.7100516409999997</v>
      </c>
      <c r="P628" s="1">
        <v>4.7972962780000001</v>
      </c>
      <c r="Q628" s="1">
        <v>4.993318082</v>
      </c>
      <c r="R628" s="1">
        <v>5.7142579380000003</v>
      </c>
      <c r="S628" s="1">
        <v>5.6453330910000004</v>
      </c>
      <c r="T628" s="1">
        <v>5.2153292420000001</v>
      </c>
      <c r="U628" s="1">
        <v>5.2079667260000004</v>
      </c>
      <c r="V628" s="1">
        <v>5.3546652259999998</v>
      </c>
      <c r="W628" s="1">
        <v>5.2236621110000003</v>
      </c>
      <c r="X628" s="1">
        <v>5.4415021479999997</v>
      </c>
      <c r="Y628" s="1">
        <v>5.1785898169999998</v>
      </c>
      <c r="Z628" s="1">
        <v>5.7142579380000003</v>
      </c>
      <c r="AA628" s="1">
        <v>5.6453330910000004</v>
      </c>
      <c r="AB628" s="1">
        <v>5.1073354020000004</v>
      </c>
      <c r="AC628" s="1">
        <v>5.2822693689999998</v>
      </c>
      <c r="AD628" s="1">
        <v>4.83054469</v>
      </c>
      <c r="AE628" s="1">
        <v>4.9548800440000003</v>
      </c>
    </row>
    <row r="629" spans="1:31" x14ac:dyDescent="0.25">
      <c r="A629" s="1" t="s">
        <v>1418</v>
      </c>
      <c r="B629" s="1" t="s">
        <v>2530</v>
      </c>
      <c r="C629" s="1" t="s">
        <v>2531</v>
      </c>
      <c r="D629" s="1" t="s">
        <v>2535</v>
      </c>
      <c r="E629" s="1" t="s">
        <v>2536</v>
      </c>
      <c r="G629" s="1" t="s">
        <v>1418</v>
      </c>
      <c r="H629" s="1">
        <v>4.183793842</v>
      </c>
      <c r="I629" s="1">
        <v>4.5280931029999998</v>
      </c>
      <c r="J629" s="1">
        <v>4.3724365990000003</v>
      </c>
      <c r="K629" s="1">
        <v>4.5171444090000001</v>
      </c>
      <c r="L629" s="1">
        <v>5.2363096809999998</v>
      </c>
      <c r="M629" s="1">
        <v>5.2079667260000004</v>
      </c>
      <c r="N629" s="1">
        <v>5.7078727669999996</v>
      </c>
      <c r="O629" s="1">
        <v>5.4612405070000003</v>
      </c>
      <c r="P629" s="1">
        <v>4.2485661720000003</v>
      </c>
      <c r="Q629" s="1">
        <v>3.56206471</v>
      </c>
      <c r="R629" s="1">
        <v>4.3698765340000003</v>
      </c>
      <c r="S629" s="1">
        <v>4.0285685429999996</v>
      </c>
      <c r="T629" s="1">
        <v>5.2363096809999998</v>
      </c>
      <c r="U629" s="1">
        <v>5.2079667260000004</v>
      </c>
      <c r="V629" s="1">
        <v>4.3163797720000003</v>
      </c>
      <c r="W629" s="1">
        <v>3.6840067150000002</v>
      </c>
      <c r="X629" s="1">
        <v>4.8203448399999997</v>
      </c>
      <c r="Y629" s="1">
        <v>4.8250325140000001</v>
      </c>
      <c r="Z629" s="1">
        <v>4.3698765340000003</v>
      </c>
      <c r="AA629" s="1">
        <v>4.0285685429999996</v>
      </c>
      <c r="AB629" s="1">
        <v>3.8237667059999998</v>
      </c>
      <c r="AC629" s="1">
        <v>4.4881955270000002</v>
      </c>
      <c r="AD629" s="1">
        <v>3.8610926929999998</v>
      </c>
      <c r="AE629" s="1">
        <v>4.6199010239999998</v>
      </c>
    </row>
    <row r="630" spans="1:31" x14ac:dyDescent="0.25">
      <c r="A630" s="1" t="s">
        <v>1419</v>
      </c>
      <c r="B630" s="1" t="s">
        <v>2942</v>
      </c>
      <c r="C630" s="1" t="s">
        <v>3659</v>
      </c>
      <c r="D630" s="1" t="s">
        <v>2535</v>
      </c>
      <c r="E630" s="1" t="s">
        <v>3660</v>
      </c>
      <c r="F630" s="1" t="s">
        <v>3661</v>
      </c>
      <c r="G630" s="1" t="s">
        <v>1419</v>
      </c>
      <c r="H630" s="1">
        <v>5.8817546890000001</v>
      </c>
      <c r="I630" s="1">
        <v>6.3363261639999999</v>
      </c>
      <c r="J630" s="1">
        <v>5.7728716349999996</v>
      </c>
      <c r="K630" s="1">
        <v>5.5719358019999996</v>
      </c>
      <c r="L630" s="1">
        <v>6.9257793530000002</v>
      </c>
      <c r="M630" s="1">
        <v>6.5109621640000004</v>
      </c>
      <c r="N630" s="1">
        <v>7.0107126610000003</v>
      </c>
      <c r="O630" s="1">
        <v>6.6046537970000001</v>
      </c>
      <c r="P630" s="1">
        <v>6.2573947350000001</v>
      </c>
      <c r="Q630" s="1">
        <v>6.3557835540000003</v>
      </c>
      <c r="R630" s="1">
        <v>5.9594282490000001</v>
      </c>
      <c r="S630" s="1">
        <v>5.6117239269999999</v>
      </c>
      <c r="T630" s="1">
        <v>6.9257793530000002</v>
      </c>
      <c r="U630" s="1">
        <v>6.5109621640000004</v>
      </c>
      <c r="V630" s="1">
        <v>6.2012354710000004</v>
      </c>
      <c r="W630" s="1">
        <v>5.6874298530000003</v>
      </c>
      <c r="X630" s="1">
        <v>6.4619662419999999</v>
      </c>
      <c r="Y630" s="1">
        <v>5.7329513619999997</v>
      </c>
      <c r="Z630" s="1">
        <v>5.9594282490000001</v>
      </c>
      <c r="AA630" s="1">
        <v>5.6117239269999999</v>
      </c>
      <c r="AB630" s="1">
        <v>5.8927983030000002</v>
      </c>
      <c r="AC630" s="1">
        <v>6.0234746389999998</v>
      </c>
      <c r="AD630" s="1">
        <v>6.0361091350000002</v>
      </c>
      <c r="AE630" s="1">
        <v>5.7708285269999999</v>
      </c>
    </row>
    <row r="631" spans="1:31" x14ac:dyDescent="0.25">
      <c r="A631" s="1" t="s">
        <v>1420</v>
      </c>
      <c r="B631" s="1" t="s">
        <v>2530</v>
      </c>
      <c r="C631" s="1" t="s">
        <v>2531</v>
      </c>
      <c r="D631" s="1" t="s">
        <v>2535</v>
      </c>
      <c r="E631" s="1" t="s">
        <v>2536</v>
      </c>
      <c r="G631" s="1" t="s">
        <v>1420</v>
      </c>
      <c r="H631" s="1">
        <v>6.402342805</v>
      </c>
      <c r="I631" s="1">
        <v>5.9189259930000002</v>
      </c>
      <c r="J631" s="1">
        <v>5.0551375939999996</v>
      </c>
      <c r="K631" s="1">
        <v>4.941717659</v>
      </c>
      <c r="L631" s="1">
        <v>4.9098563420000003</v>
      </c>
      <c r="M631" s="1">
        <v>4.709731562</v>
      </c>
      <c r="N631" s="1">
        <v>6.4543317939999998</v>
      </c>
      <c r="O631" s="1">
        <v>6.0504081489999999</v>
      </c>
      <c r="P631" s="1">
        <v>4.9577743410000004</v>
      </c>
      <c r="Q631" s="1">
        <v>4.8773483779999998</v>
      </c>
      <c r="R631" s="1">
        <v>4.7472384160000001</v>
      </c>
      <c r="S631" s="1">
        <v>4.7503017500000002</v>
      </c>
      <c r="T631" s="1">
        <v>4.9098563420000003</v>
      </c>
      <c r="U631" s="1">
        <v>4.709731562</v>
      </c>
      <c r="V631" s="1">
        <v>4.6987742170000004</v>
      </c>
      <c r="W631" s="1">
        <v>5.2774499109999997</v>
      </c>
      <c r="X631" s="1">
        <v>5.3098210989999997</v>
      </c>
      <c r="Y631" s="1">
        <v>5.6604650660000004</v>
      </c>
      <c r="Z631" s="1">
        <v>4.7472384160000001</v>
      </c>
      <c r="AA631" s="1">
        <v>4.7503017500000002</v>
      </c>
      <c r="AB631" s="1">
        <v>5.6280506069999996</v>
      </c>
      <c r="AC631" s="1">
        <v>4.4881955270000002</v>
      </c>
      <c r="AD631" s="1">
        <v>5.4385263000000004</v>
      </c>
      <c r="AE631" s="1">
        <v>5.5339175159999998</v>
      </c>
    </row>
    <row r="632" spans="1:31" x14ac:dyDescent="0.25">
      <c r="A632" s="1" t="s">
        <v>1421</v>
      </c>
      <c r="B632" s="1" t="s">
        <v>2667</v>
      </c>
      <c r="C632" s="1" t="s">
        <v>3441</v>
      </c>
      <c r="D632" s="1" t="s">
        <v>3662</v>
      </c>
      <c r="E632" s="1" t="s">
        <v>3663</v>
      </c>
      <c r="F632" s="1" t="s">
        <v>3664</v>
      </c>
      <c r="G632" s="1" t="s">
        <v>1421</v>
      </c>
      <c r="H632" s="1">
        <v>9.9259203340000006</v>
      </c>
      <c r="I632" s="1">
        <v>9.4107733249999992</v>
      </c>
      <c r="J632" s="1">
        <v>9.3594180720000004</v>
      </c>
      <c r="K632" s="1">
        <v>9.5448052899999993</v>
      </c>
      <c r="L632" s="1">
        <v>8.9362021909999996</v>
      </c>
      <c r="M632" s="1">
        <v>9.0190116600000003</v>
      </c>
      <c r="N632" s="1">
        <v>9.2307550169999999</v>
      </c>
      <c r="O632" s="1">
        <v>9.4951436240000007</v>
      </c>
      <c r="P632" s="1">
        <v>9.2152757800000007</v>
      </c>
      <c r="Q632" s="1">
        <v>9.2800250329999994</v>
      </c>
      <c r="R632" s="1">
        <v>9.3441658620000005</v>
      </c>
      <c r="S632" s="1">
        <v>9.2583748279999991</v>
      </c>
      <c r="T632" s="1">
        <v>8.9362021909999996</v>
      </c>
      <c r="U632" s="1">
        <v>9.0190116600000003</v>
      </c>
      <c r="V632" s="1">
        <v>9.1886294300000007</v>
      </c>
      <c r="W632" s="1">
        <v>9.1478144219999997</v>
      </c>
      <c r="X632" s="1">
        <v>9.2962973850000008</v>
      </c>
      <c r="Y632" s="1">
        <v>9.4926464409999998</v>
      </c>
      <c r="Z632" s="1">
        <v>9.3441658620000005</v>
      </c>
      <c r="AA632" s="1">
        <v>9.2583748279999991</v>
      </c>
      <c r="AB632" s="1">
        <v>9.4019794399999999</v>
      </c>
      <c r="AC632" s="1">
        <v>9.3433109430000005</v>
      </c>
      <c r="AD632" s="1">
        <v>9.5182125830000004</v>
      </c>
      <c r="AE632" s="1">
        <v>9.4103087090000006</v>
      </c>
    </row>
    <row r="633" spans="1:31" x14ac:dyDescent="0.25">
      <c r="A633" s="1" t="s">
        <v>1422</v>
      </c>
      <c r="B633" s="1" t="s">
        <v>2557</v>
      </c>
      <c r="C633" s="1" t="s">
        <v>2680</v>
      </c>
      <c r="D633" s="1" t="s">
        <v>2712</v>
      </c>
      <c r="E633" s="1" t="s">
        <v>3665</v>
      </c>
      <c r="F633" s="1" t="s">
        <v>3666</v>
      </c>
      <c r="G633" s="1" t="s">
        <v>1422</v>
      </c>
      <c r="H633" s="1">
        <v>4.4805534380000003</v>
      </c>
      <c r="I633" s="1">
        <v>5.3275363779999996</v>
      </c>
      <c r="J633" s="1">
        <v>5.0551375939999996</v>
      </c>
      <c r="K633" s="1">
        <v>5.166960875</v>
      </c>
      <c r="L633" s="1">
        <v>6.1777105819999996</v>
      </c>
      <c r="M633" s="1">
        <v>5.9201092089999996</v>
      </c>
      <c r="N633" s="1">
        <v>4.4945275240000004</v>
      </c>
      <c r="O633" s="1">
        <v>4.385526188</v>
      </c>
      <c r="P633" s="1">
        <v>4.9062897479999998</v>
      </c>
      <c r="Q633" s="1">
        <v>5.4628336309999996</v>
      </c>
      <c r="R633" s="1">
        <v>5.7142579380000003</v>
      </c>
      <c r="S633" s="1">
        <v>5.710270789</v>
      </c>
      <c r="T633" s="1">
        <v>6.1777105819999996</v>
      </c>
      <c r="U633" s="1">
        <v>5.9201092089999996</v>
      </c>
      <c r="V633" s="1">
        <v>6.4497065429999996</v>
      </c>
      <c r="W633" s="1">
        <v>6.1843530070000003</v>
      </c>
      <c r="X633" s="1">
        <v>6.0611663609999997</v>
      </c>
      <c r="Y633" s="1">
        <v>6.3075735850000001</v>
      </c>
      <c r="Z633" s="1">
        <v>5.7142579380000003</v>
      </c>
      <c r="AA633" s="1">
        <v>5.710270789</v>
      </c>
      <c r="AB633" s="1">
        <v>6.5830868880000004</v>
      </c>
      <c r="AC633" s="1">
        <v>6.4026546910000004</v>
      </c>
      <c r="AD633" s="1">
        <v>6.2617300800000004</v>
      </c>
      <c r="AE633" s="1">
        <v>6.2987649059999997</v>
      </c>
    </row>
    <row r="634" spans="1:31" x14ac:dyDescent="0.25">
      <c r="A634" s="1" t="s">
        <v>1423</v>
      </c>
      <c r="B634" s="1" t="s">
        <v>2530</v>
      </c>
      <c r="C634" s="1" t="s">
        <v>2531</v>
      </c>
      <c r="D634" s="1" t="s">
        <v>2535</v>
      </c>
      <c r="E634" s="1" t="s">
        <v>2536</v>
      </c>
      <c r="G634" s="1" t="s">
        <v>1423</v>
      </c>
      <c r="H634" s="1">
        <v>7.675349765</v>
      </c>
      <c r="I634" s="1">
        <v>7.4544475050000001</v>
      </c>
      <c r="J634" s="1">
        <v>5.9669407659999996</v>
      </c>
      <c r="K634" s="1">
        <v>6.7038094560000001</v>
      </c>
      <c r="L634" s="1">
        <v>5.7971864540000002</v>
      </c>
      <c r="M634" s="1">
        <v>5.659858549</v>
      </c>
      <c r="N634" s="1">
        <v>7.1097845480000004</v>
      </c>
      <c r="O634" s="1">
        <v>7.1903774570000003</v>
      </c>
      <c r="P634" s="1">
        <v>5.9898979399999996</v>
      </c>
      <c r="Q634" s="1">
        <v>5.9637007390000001</v>
      </c>
      <c r="R634" s="1">
        <v>5.4182058560000002</v>
      </c>
      <c r="S634" s="1">
        <v>5.6781703969999997</v>
      </c>
      <c r="T634" s="1">
        <v>5.7971864540000002</v>
      </c>
      <c r="U634" s="1">
        <v>5.659858549</v>
      </c>
      <c r="V634" s="1">
        <v>5.9243031000000004</v>
      </c>
      <c r="W634" s="1">
        <v>5.5195577800000004</v>
      </c>
      <c r="X634" s="1">
        <v>5.5620422200000004</v>
      </c>
      <c r="Y634" s="1">
        <v>5.8995743010000004</v>
      </c>
      <c r="Z634" s="1">
        <v>5.4182058560000002</v>
      </c>
      <c r="AA634" s="1">
        <v>5.6781703969999997</v>
      </c>
      <c r="AB634" s="1">
        <v>5.2406211000000003</v>
      </c>
      <c r="AC634" s="1">
        <v>5.5407520860000004</v>
      </c>
      <c r="AD634" s="1">
        <v>5.6310130599999999</v>
      </c>
      <c r="AE634" s="1">
        <v>5.9145294059999998</v>
      </c>
    </row>
    <row r="635" spans="1:31" x14ac:dyDescent="0.25">
      <c r="A635" s="1" t="s">
        <v>1424</v>
      </c>
      <c r="B635" s="1" t="s">
        <v>2662</v>
      </c>
      <c r="C635" s="1" t="s">
        <v>3291</v>
      </c>
      <c r="D635" s="1" t="s">
        <v>3667</v>
      </c>
      <c r="E635" s="1" t="s">
        <v>3668</v>
      </c>
      <c r="F635" s="1" t="s">
        <v>3669</v>
      </c>
      <c r="G635" s="1" t="s">
        <v>1424</v>
      </c>
      <c r="H635" s="1">
        <v>4.5667504939999999</v>
      </c>
      <c r="I635" s="1">
        <v>4.7893724280000001</v>
      </c>
      <c r="J635" s="1">
        <v>3.4977151119999998</v>
      </c>
      <c r="K635" s="1">
        <v>4.0244910950000001</v>
      </c>
      <c r="L635" s="1">
        <v>4.5533082269999996</v>
      </c>
      <c r="M635" s="1">
        <v>4.7872698079999996</v>
      </c>
      <c r="N635" s="1">
        <v>4.9627953409999996</v>
      </c>
      <c r="O635" s="1">
        <v>5.2800788330000001</v>
      </c>
      <c r="P635" s="1">
        <v>4.6791060150000003</v>
      </c>
      <c r="Q635" s="1">
        <v>4.0840108080000004</v>
      </c>
      <c r="R635" s="1">
        <v>4.45403635</v>
      </c>
      <c r="S635" s="1">
        <v>4.0285685429999996</v>
      </c>
      <c r="T635" s="1">
        <v>4.5533082269999996</v>
      </c>
      <c r="U635" s="1">
        <v>4.7872698079999996</v>
      </c>
      <c r="V635" s="1">
        <v>4.8059579570000004</v>
      </c>
      <c r="W635" s="1">
        <v>3.8431653940000001</v>
      </c>
      <c r="X635" s="1">
        <v>4.6102919370000004</v>
      </c>
      <c r="Y635" s="1">
        <v>4.8250325140000001</v>
      </c>
      <c r="Z635" s="1">
        <v>4.45403635</v>
      </c>
      <c r="AA635" s="1">
        <v>4.0285685429999996</v>
      </c>
      <c r="AB635" s="1">
        <v>5.0356743460000004</v>
      </c>
      <c r="AC635" s="1">
        <v>4.8610120620000004</v>
      </c>
      <c r="AD635" s="1">
        <v>4.2970121150000002</v>
      </c>
      <c r="AE635" s="1">
        <v>4.542053224</v>
      </c>
    </row>
    <row r="636" spans="1:31" x14ac:dyDescent="0.25">
      <c r="A636" s="1" t="s">
        <v>1425</v>
      </c>
      <c r="B636" s="1" t="s">
        <v>2662</v>
      </c>
      <c r="C636" s="1" t="s">
        <v>3291</v>
      </c>
      <c r="D636" s="1" t="s">
        <v>3667</v>
      </c>
      <c r="E636" s="1" t="s">
        <v>3670</v>
      </c>
      <c r="F636" s="1" t="s">
        <v>3671</v>
      </c>
      <c r="G636" s="1" t="s">
        <v>1425</v>
      </c>
      <c r="H636" s="1">
        <v>4.4805534380000003</v>
      </c>
      <c r="I636" s="1">
        <v>4.9575946069999999</v>
      </c>
      <c r="J636" s="1">
        <v>4.3724365990000003</v>
      </c>
      <c r="K636" s="1">
        <v>3.762021974</v>
      </c>
      <c r="L636" s="1">
        <v>3.7446308510000001</v>
      </c>
      <c r="M636" s="1">
        <v>3.6924658159999999</v>
      </c>
      <c r="N636" s="1">
        <v>4.730225151</v>
      </c>
      <c r="O636" s="1">
        <v>4.0953574540000002</v>
      </c>
      <c r="P636" s="1">
        <v>4.4075207919999997</v>
      </c>
      <c r="Q636" s="1">
        <v>3.9718447549999998</v>
      </c>
      <c r="R636" s="1">
        <v>3.5594063970000001</v>
      </c>
      <c r="S636" s="1">
        <v>3.7977317990000001</v>
      </c>
      <c r="T636" s="1">
        <v>3.7446308510000001</v>
      </c>
      <c r="U636" s="1">
        <v>3.6924658159999999</v>
      </c>
      <c r="V636" s="1">
        <v>3.3993802240000002</v>
      </c>
      <c r="W636" s="1">
        <v>1.7393328349999999</v>
      </c>
      <c r="X636" s="1">
        <v>3.9418607479999999</v>
      </c>
      <c r="Y636" s="1">
        <v>4.0337379980000003</v>
      </c>
      <c r="Z636" s="1">
        <v>3.5594063970000001</v>
      </c>
      <c r="AA636" s="1">
        <v>3.7977317990000001</v>
      </c>
      <c r="AB636" s="1">
        <v>3.8237667059999998</v>
      </c>
      <c r="AC636" s="1">
        <v>4.0753403910000001</v>
      </c>
      <c r="AD636" s="1">
        <v>4.2970121150000002</v>
      </c>
      <c r="AE636" s="1">
        <v>4.0685293649999998</v>
      </c>
    </row>
    <row r="637" spans="1:31" x14ac:dyDescent="0.25">
      <c r="A637" s="1" t="s">
        <v>1427</v>
      </c>
      <c r="B637" s="1" t="s">
        <v>2542</v>
      </c>
      <c r="C637" s="1" t="s">
        <v>2543</v>
      </c>
      <c r="D637" s="1" t="s">
        <v>2677</v>
      </c>
      <c r="E637" s="1" t="s">
        <v>3672</v>
      </c>
      <c r="F637" s="1" t="s">
        <v>3673</v>
      </c>
      <c r="G637" s="1" t="s">
        <v>1427</v>
      </c>
      <c r="H637" s="1">
        <v>5.1686839359999999</v>
      </c>
      <c r="I637" s="1">
        <v>6.2102063709999999</v>
      </c>
      <c r="J637" s="1">
        <v>5.9669407659999996</v>
      </c>
      <c r="K637" s="1">
        <v>5.9485821269999999</v>
      </c>
      <c r="L637" s="1">
        <v>6.8601972809999996</v>
      </c>
      <c r="M637" s="1">
        <v>6.9701140339999998</v>
      </c>
      <c r="N637" s="1">
        <v>6.1690703840000003</v>
      </c>
      <c r="O637" s="1">
        <v>5.7466551829999997</v>
      </c>
      <c r="P637" s="1">
        <v>6.3931504810000002</v>
      </c>
      <c r="Q637" s="1">
        <v>6.3557835540000003</v>
      </c>
      <c r="R637" s="1">
        <v>6.1192055940000003</v>
      </c>
      <c r="S637" s="1">
        <v>6.4967339439999998</v>
      </c>
      <c r="T637" s="1">
        <v>6.8601972809999996</v>
      </c>
      <c r="U637" s="1">
        <v>6.9701140339999998</v>
      </c>
      <c r="V637" s="1">
        <v>6.4977915140000002</v>
      </c>
      <c r="W637" s="1">
        <v>6.4401804780000003</v>
      </c>
      <c r="X637" s="1">
        <v>6.3662625530000003</v>
      </c>
      <c r="Y637" s="1">
        <v>6.1579814659999998</v>
      </c>
      <c r="Z637" s="1">
        <v>6.1192055940000003</v>
      </c>
      <c r="AA637" s="1">
        <v>6.4967339439999998</v>
      </c>
      <c r="AB637" s="1">
        <v>6.1835402750000004</v>
      </c>
      <c r="AC637" s="1">
        <v>6.2463288529999996</v>
      </c>
      <c r="AD637" s="1">
        <v>5.8632235870000002</v>
      </c>
      <c r="AE637" s="1">
        <v>6.2394295809999996</v>
      </c>
    </row>
    <row r="638" spans="1:31" x14ac:dyDescent="0.25">
      <c r="A638" s="1" t="s">
        <v>1428</v>
      </c>
      <c r="B638" s="1" t="s">
        <v>2708</v>
      </c>
      <c r="C638" s="1" t="s">
        <v>2531</v>
      </c>
      <c r="D638" s="1" t="s">
        <v>3674</v>
      </c>
      <c r="E638" s="1" t="s">
        <v>3675</v>
      </c>
      <c r="G638" s="1" t="s">
        <v>1428</v>
      </c>
      <c r="H638" s="1">
        <v>4.9322401630000003</v>
      </c>
      <c r="I638" s="1">
        <v>4.903725959</v>
      </c>
      <c r="J638" s="1">
        <v>5.1953777219999999</v>
      </c>
      <c r="K638" s="1">
        <v>5.8870623049999997</v>
      </c>
      <c r="L638" s="1">
        <v>6.1001767109999996</v>
      </c>
      <c r="M638" s="1">
        <v>6.1108364430000002</v>
      </c>
      <c r="N638" s="1">
        <v>5.7786343999999996</v>
      </c>
      <c r="O638" s="1">
        <v>5.5778556410000002</v>
      </c>
      <c r="P638" s="1">
        <v>5.4627121560000003</v>
      </c>
      <c r="Q638" s="1">
        <v>5.2931690810000003</v>
      </c>
      <c r="R638" s="1">
        <v>5.7142579380000003</v>
      </c>
      <c r="S638" s="1">
        <v>5.7416668729999998</v>
      </c>
      <c r="T638" s="1">
        <v>6.1001767109999996</v>
      </c>
      <c r="U638" s="1">
        <v>6.1108364430000002</v>
      </c>
      <c r="V638" s="1">
        <v>5.6103143839999996</v>
      </c>
      <c r="W638" s="1">
        <v>5.3792812999999997</v>
      </c>
      <c r="X638" s="1">
        <v>5.7084070709999999</v>
      </c>
      <c r="Y638" s="1">
        <v>5.2792112080000004</v>
      </c>
      <c r="Z638" s="1">
        <v>5.7142579380000003</v>
      </c>
      <c r="AA638" s="1">
        <v>5.7416668729999998</v>
      </c>
      <c r="AB638" s="1">
        <v>5.2406211000000003</v>
      </c>
      <c r="AC638" s="1">
        <v>5.8710041640000004</v>
      </c>
      <c r="AD638" s="1">
        <v>5.1668950269999998</v>
      </c>
      <c r="AE638" s="1">
        <v>5.7368382310000001</v>
      </c>
    </row>
    <row r="639" spans="1:31" x14ac:dyDescent="0.25">
      <c r="A639" s="1" t="s">
        <v>1429</v>
      </c>
      <c r="B639" s="1" t="s">
        <v>2547</v>
      </c>
      <c r="C639" s="1" t="s">
        <v>2566</v>
      </c>
      <c r="D639" s="1" t="s">
        <v>2564</v>
      </c>
      <c r="E639" s="1" t="s">
        <v>3676</v>
      </c>
      <c r="G639" s="1" t="s">
        <v>1429</v>
      </c>
      <c r="H639" s="1">
        <v>5.4177093730000001</v>
      </c>
      <c r="I639" s="1">
        <v>5.6208330609999999</v>
      </c>
      <c r="J639" s="1">
        <v>4.5240842389999996</v>
      </c>
      <c r="K639" s="1">
        <v>5.3151275040000003</v>
      </c>
      <c r="L639" s="1">
        <v>5.3938587340000002</v>
      </c>
      <c r="M639" s="1">
        <v>5.4399015869999996</v>
      </c>
      <c r="N639" s="1">
        <v>6.4650727440000004</v>
      </c>
      <c r="O639" s="1">
        <v>6.909468521</v>
      </c>
      <c r="P639" s="1">
        <v>5.3900565609999997</v>
      </c>
      <c r="Q639" s="1">
        <v>5.5406489910000003</v>
      </c>
      <c r="R639" s="1">
        <v>5.3334881589999998</v>
      </c>
      <c r="S639" s="1">
        <v>5.7723891209999998</v>
      </c>
      <c r="T639" s="1">
        <v>5.3938587340000002</v>
      </c>
      <c r="U639" s="1">
        <v>5.4399015869999996</v>
      </c>
      <c r="V639" s="1">
        <v>5.3546652259999998</v>
      </c>
      <c r="W639" s="1">
        <v>4.69862249</v>
      </c>
      <c r="X639" s="1">
        <v>5.3098210989999997</v>
      </c>
      <c r="Y639" s="1">
        <v>5.2792112080000004</v>
      </c>
      <c r="Z639" s="1">
        <v>5.3334881589999998</v>
      </c>
      <c r="AA639" s="1">
        <v>5.7723891209999998</v>
      </c>
      <c r="AB639" s="1">
        <v>5.3624643089999999</v>
      </c>
      <c r="AC639" s="1">
        <v>5.198889973</v>
      </c>
      <c r="AD639" s="1">
        <v>5.4385263000000004</v>
      </c>
      <c r="AE639" s="1">
        <v>5.7875258069999997</v>
      </c>
    </row>
    <row r="640" spans="1:31" x14ac:dyDescent="0.25">
      <c r="A640" s="1" t="s">
        <v>1430</v>
      </c>
      <c r="B640" s="1" t="s">
        <v>2520</v>
      </c>
      <c r="C640" s="1" t="s">
        <v>2521</v>
      </c>
      <c r="D640" s="1" t="s">
        <v>2535</v>
      </c>
      <c r="E640" s="1" t="s">
        <v>3677</v>
      </c>
      <c r="F640" s="1" t="s">
        <v>3678</v>
      </c>
      <c r="G640" s="1" t="s">
        <v>1430</v>
      </c>
      <c r="H640" s="1">
        <v>9.13878755</v>
      </c>
      <c r="I640" s="1">
        <v>8.9707971509999993</v>
      </c>
      <c r="J640" s="1">
        <v>8.5823655940000005</v>
      </c>
      <c r="K640" s="1">
        <v>8.8979197219999993</v>
      </c>
      <c r="L640" s="1">
        <v>8.2510449220000002</v>
      </c>
      <c r="M640" s="1">
        <v>8.1390957359999998</v>
      </c>
      <c r="N640" s="1">
        <v>9.0661518319999992</v>
      </c>
      <c r="O640" s="1">
        <v>9.2842616299999996</v>
      </c>
      <c r="P640" s="1">
        <v>8.8038592999999992</v>
      </c>
      <c r="Q640" s="1">
        <v>8.8493507420000004</v>
      </c>
      <c r="R640" s="1">
        <v>9.0164985000000009</v>
      </c>
      <c r="S640" s="1">
        <v>8.8304718900000001</v>
      </c>
      <c r="T640" s="1">
        <v>8.2510449220000002</v>
      </c>
      <c r="U640" s="1">
        <v>8.1390957359999998</v>
      </c>
      <c r="V640" s="1">
        <v>8.2959970629999997</v>
      </c>
      <c r="W640" s="1">
        <v>8.1503169710000005</v>
      </c>
      <c r="X640" s="1">
        <v>8.4408584350000009</v>
      </c>
      <c r="Y640" s="1">
        <v>8.7645144259999999</v>
      </c>
      <c r="Z640" s="1">
        <v>9.0164985000000009</v>
      </c>
      <c r="AA640" s="1">
        <v>8.8304718900000001</v>
      </c>
      <c r="AB640" s="1">
        <v>8.8707010410000002</v>
      </c>
      <c r="AC640" s="1">
        <v>8.7536689380000006</v>
      </c>
      <c r="AD640" s="1">
        <v>8.8098603690000008</v>
      </c>
      <c r="AE640" s="1">
        <v>8.6683898750000008</v>
      </c>
    </row>
    <row r="641" spans="1:31" x14ac:dyDescent="0.25">
      <c r="A641" s="1" t="s">
        <v>1431</v>
      </c>
      <c r="B641" s="1" t="s">
        <v>2530</v>
      </c>
      <c r="C641" s="1" t="s">
        <v>2531</v>
      </c>
      <c r="D641" s="1" t="s">
        <v>2535</v>
      </c>
      <c r="E641" s="1" t="s">
        <v>2536</v>
      </c>
      <c r="G641" s="1" t="s">
        <v>1431</v>
      </c>
      <c r="H641" s="1">
        <v>4.7972697699999998</v>
      </c>
      <c r="I641" s="1">
        <v>4.4542943209999999</v>
      </c>
      <c r="J641" s="1">
        <v>5.2392025899999997</v>
      </c>
      <c r="K641" s="1">
        <v>5.6482047069999997</v>
      </c>
      <c r="L641" s="1">
        <v>4.7721586460000003</v>
      </c>
      <c r="M641" s="1">
        <v>4.3473799800000004</v>
      </c>
      <c r="N641" s="1">
        <v>5.1355241630000004</v>
      </c>
      <c r="O641" s="1">
        <v>5.3864027800000001</v>
      </c>
      <c r="P641" s="1">
        <v>5.8883751269999998</v>
      </c>
      <c r="Q641" s="1">
        <v>6.3770715449999997</v>
      </c>
      <c r="R641" s="1">
        <v>5.6457947050000001</v>
      </c>
      <c r="S641" s="1">
        <v>5.9440521669999997</v>
      </c>
      <c r="T641" s="1">
        <v>4.7721586460000003</v>
      </c>
      <c r="U641" s="1">
        <v>4.3473799800000004</v>
      </c>
      <c r="V641" s="1">
        <v>4.9055261469999998</v>
      </c>
      <c r="W641" s="1">
        <v>5.16775612</v>
      </c>
      <c r="X641" s="1">
        <v>5.6552604280000001</v>
      </c>
      <c r="Y641" s="1">
        <v>5.1785898169999998</v>
      </c>
      <c r="Z641" s="1">
        <v>5.6457947050000001</v>
      </c>
      <c r="AA641" s="1">
        <v>5.9440521669999997</v>
      </c>
      <c r="AB641" s="1">
        <v>5.1073354020000004</v>
      </c>
      <c r="AC641" s="1">
        <v>5.1552886820000001</v>
      </c>
      <c r="AD641" s="1">
        <v>5.2633210659999996</v>
      </c>
      <c r="AE641" s="1">
        <v>5.6481534240000002</v>
      </c>
    </row>
    <row r="642" spans="1:31" x14ac:dyDescent="0.25">
      <c r="A642" s="1" t="s">
        <v>1432</v>
      </c>
      <c r="B642" s="1" t="s">
        <v>2667</v>
      </c>
      <c r="C642" s="1" t="s">
        <v>2875</v>
      </c>
      <c r="D642" s="1" t="s">
        <v>3679</v>
      </c>
      <c r="E642" s="1" t="s">
        <v>3680</v>
      </c>
      <c r="F642" s="1" t="s">
        <v>3681</v>
      </c>
      <c r="G642" s="1" t="s">
        <v>1432</v>
      </c>
      <c r="H642" s="1">
        <v>5.5896774330000003</v>
      </c>
      <c r="I642" s="1">
        <v>5.4447012069999996</v>
      </c>
      <c r="J642" s="1">
        <v>6.5716853950000003</v>
      </c>
      <c r="K642" s="1">
        <v>6.2947097530000002</v>
      </c>
      <c r="L642" s="1">
        <v>6.469468451</v>
      </c>
      <c r="M642" s="1">
        <v>6.4417193250000002</v>
      </c>
      <c r="N642" s="1">
        <v>5.7258938089999996</v>
      </c>
      <c r="O642" s="1">
        <v>5.6435121610000003</v>
      </c>
      <c r="P642" s="1">
        <v>6.2573947350000001</v>
      </c>
      <c r="Q642" s="1">
        <v>6.2673322389999999</v>
      </c>
      <c r="R642" s="1">
        <v>6.6590761939999998</v>
      </c>
      <c r="S642" s="1">
        <v>6.3003852350000003</v>
      </c>
      <c r="T642" s="1">
        <v>6.469468451</v>
      </c>
      <c r="U642" s="1">
        <v>6.4417193250000002</v>
      </c>
      <c r="V642" s="1">
        <v>5.9006116210000004</v>
      </c>
      <c r="W642" s="1">
        <v>5.8015499779999997</v>
      </c>
      <c r="X642" s="1">
        <v>5.6909099879999996</v>
      </c>
      <c r="Y642" s="1">
        <v>6.2836980430000002</v>
      </c>
      <c r="Z642" s="1">
        <v>6.6590761939999998</v>
      </c>
      <c r="AA642" s="1">
        <v>6.3003852350000003</v>
      </c>
      <c r="AB642" s="1">
        <v>6.008835446</v>
      </c>
      <c r="AC642" s="1">
        <v>5.8439382809999998</v>
      </c>
      <c r="AD642" s="1">
        <v>5.9522696560000004</v>
      </c>
      <c r="AE642" s="1">
        <v>6.0589349549999998</v>
      </c>
    </row>
    <row r="643" spans="1:31" x14ac:dyDescent="0.25">
      <c r="A643" s="1" t="s">
        <v>1433</v>
      </c>
      <c r="B643" s="1" t="s">
        <v>2530</v>
      </c>
      <c r="C643" s="1" t="s">
        <v>2531</v>
      </c>
      <c r="D643" s="1" t="s">
        <v>2535</v>
      </c>
      <c r="E643" s="1" t="s">
        <v>2621</v>
      </c>
      <c r="G643" s="1" t="s">
        <v>1433</v>
      </c>
      <c r="H643" s="1">
        <v>5.2221022919999998</v>
      </c>
      <c r="I643" s="1">
        <v>5.1078624770000003</v>
      </c>
      <c r="J643" s="1">
        <v>6.1831700180000002</v>
      </c>
      <c r="K643" s="1">
        <v>5.5322182199999999</v>
      </c>
      <c r="L643" s="1">
        <v>5.6492182990000002</v>
      </c>
      <c r="M643" s="1">
        <v>5.5095176620000004</v>
      </c>
      <c r="N643" s="1">
        <v>5.7612691810000003</v>
      </c>
      <c r="O643" s="1">
        <v>5.5323462069999998</v>
      </c>
      <c r="P643" s="1">
        <v>6.038086302</v>
      </c>
      <c r="Q643" s="1">
        <v>5.6144419360000004</v>
      </c>
      <c r="R643" s="1">
        <v>5.6102934549999999</v>
      </c>
      <c r="S643" s="1">
        <v>5.7723891209999998</v>
      </c>
      <c r="T643" s="1">
        <v>5.6492182990000002</v>
      </c>
      <c r="U643" s="1">
        <v>5.5095176620000004</v>
      </c>
      <c r="V643" s="1">
        <v>5.7495972609999999</v>
      </c>
      <c r="W643" s="1">
        <v>6.0370461979999996</v>
      </c>
      <c r="X643" s="1">
        <v>5.1128189019999999</v>
      </c>
      <c r="Y643" s="1">
        <v>5.7678626939999997</v>
      </c>
      <c r="Z643" s="1">
        <v>5.6102934549999999</v>
      </c>
      <c r="AA643" s="1">
        <v>5.7723891209999998</v>
      </c>
      <c r="AB643" s="1">
        <v>5.2406211000000003</v>
      </c>
      <c r="AC643" s="1">
        <v>5.471555994</v>
      </c>
      <c r="AD643" s="1">
        <v>5.116107059</v>
      </c>
      <c r="AE643" s="1">
        <v>5.6297370090000003</v>
      </c>
    </row>
    <row r="644" spans="1:31" x14ac:dyDescent="0.25">
      <c r="A644" s="1" t="s">
        <v>1434</v>
      </c>
      <c r="B644" s="1" t="s">
        <v>2530</v>
      </c>
      <c r="C644" s="1" t="s">
        <v>2531</v>
      </c>
      <c r="D644" s="1" t="s">
        <v>2535</v>
      </c>
      <c r="E644" s="1" t="s">
        <v>3682</v>
      </c>
      <c r="G644" s="1" t="s">
        <v>1434</v>
      </c>
      <c r="H644" s="1">
        <v>4.3886087140000001</v>
      </c>
      <c r="I644" s="1">
        <v>3.9003964459999998</v>
      </c>
      <c r="J644" s="1">
        <v>3.329519721</v>
      </c>
      <c r="K644" s="1">
        <v>2.9677134359999999</v>
      </c>
      <c r="L644" s="1">
        <v>4.3727018190000004</v>
      </c>
      <c r="M644" s="1">
        <v>4.1823509169999999</v>
      </c>
      <c r="N644" s="1">
        <v>4.4510307109999996</v>
      </c>
      <c r="O644" s="1">
        <v>4.1585876539999997</v>
      </c>
      <c r="P644" s="1">
        <v>3.6116823170000001</v>
      </c>
      <c r="Q644" s="1">
        <v>3.56206471</v>
      </c>
      <c r="R644" s="1">
        <v>3.5594063970000001</v>
      </c>
      <c r="S644" s="1">
        <v>4.6194390810000003</v>
      </c>
      <c r="T644" s="1">
        <v>4.3727018190000004</v>
      </c>
      <c r="U644" s="1">
        <v>4.1823509169999999</v>
      </c>
      <c r="V644" s="1">
        <v>3.5405335899999999</v>
      </c>
      <c r="W644" s="1">
        <v>3.2870366010000001</v>
      </c>
      <c r="X644" s="1">
        <v>4.0600950219999996</v>
      </c>
      <c r="Y644" s="1">
        <v>3.229986142</v>
      </c>
      <c r="Z644" s="1">
        <v>3.5594063970000001</v>
      </c>
      <c r="AA644" s="1">
        <v>4.6194390810000003</v>
      </c>
      <c r="AB644" s="1">
        <v>3.8237667059999998</v>
      </c>
      <c r="AC644" s="1">
        <v>3.8665622239999999</v>
      </c>
      <c r="AD644" s="1">
        <v>3.5727029510000001</v>
      </c>
      <c r="AE644" s="1">
        <v>4.0105905760000002</v>
      </c>
    </row>
    <row r="645" spans="1:31" x14ac:dyDescent="0.25">
      <c r="A645" s="1" t="s">
        <v>1435</v>
      </c>
      <c r="B645" s="1" t="s">
        <v>2530</v>
      </c>
      <c r="C645" s="1" t="s">
        <v>2531</v>
      </c>
      <c r="D645" s="1" t="s">
        <v>2535</v>
      </c>
      <c r="E645" s="1" t="s">
        <v>3683</v>
      </c>
      <c r="G645" s="1" t="s">
        <v>1435</v>
      </c>
      <c r="H645" s="1">
        <v>4.7245801409999997</v>
      </c>
      <c r="I645" s="1">
        <v>5.5873017430000003</v>
      </c>
      <c r="J645" s="1">
        <v>4.8994370109999998</v>
      </c>
      <c r="K645" s="1">
        <v>5.0014827119999996</v>
      </c>
      <c r="L645" s="1">
        <v>5.2773631679999999</v>
      </c>
      <c r="M645" s="1">
        <v>4.709731562</v>
      </c>
      <c r="N645" s="1">
        <v>5.9720916549999998</v>
      </c>
      <c r="O645" s="1">
        <v>5.3074139359999997</v>
      </c>
      <c r="P645" s="1">
        <v>4.7972962780000001</v>
      </c>
      <c r="Q645" s="1">
        <v>4.9365262349999997</v>
      </c>
      <c r="R645" s="1">
        <v>4.3698765340000003</v>
      </c>
      <c r="S645" s="1">
        <v>3.6647387380000001</v>
      </c>
      <c r="T645" s="1">
        <v>5.2773631679999999</v>
      </c>
      <c r="U645" s="1">
        <v>4.709731562</v>
      </c>
      <c r="V645" s="1">
        <v>3.9849921849999999</v>
      </c>
      <c r="W645" s="1">
        <v>4.3370700810000002</v>
      </c>
      <c r="X645" s="1">
        <v>4.5719855100000002</v>
      </c>
      <c r="Y645" s="1">
        <v>4.1479647589999997</v>
      </c>
      <c r="Z645" s="1">
        <v>4.3698765340000003</v>
      </c>
      <c r="AA645" s="1">
        <v>3.6647387380000001</v>
      </c>
      <c r="AB645" s="1">
        <v>3.1218319999999999</v>
      </c>
      <c r="AC645" s="1">
        <v>4.8610120620000004</v>
      </c>
      <c r="AD645" s="1">
        <v>3.725077481</v>
      </c>
      <c r="AE645" s="1">
        <v>3.67472814</v>
      </c>
    </row>
    <row r="646" spans="1:31" x14ac:dyDescent="0.25">
      <c r="A646" s="1" t="s">
        <v>1437</v>
      </c>
      <c r="B646" s="1" t="s">
        <v>2557</v>
      </c>
      <c r="C646" s="1" t="s">
        <v>2680</v>
      </c>
      <c r="D646" s="1" t="s">
        <v>2939</v>
      </c>
      <c r="E646" s="1" t="s">
        <v>3684</v>
      </c>
      <c r="F646" s="1" t="s">
        <v>3685</v>
      </c>
      <c r="G646" s="1" t="s">
        <v>1437</v>
      </c>
      <c r="H646" s="1">
        <v>7.0413960959999997</v>
      </c>
      <c r="I646" s="1">
        <v>7.4451590169999999</v>
      </c>
      <c r="J646" s="1">
        <v>7.512668165</v>
      </c>
      <c r="K646" s="1">
        <v>7.0076624089999999</v>
      </c>
      <c r="L646" s="1">
        <v>7.424733807</v>
      </c>
      <c r="M646" s="1">
        <v>7.4817971329999997</v>
      </c>
      <c r="N646" s="1">
        <v>7.4494039580000004</v>
      </c>
      <c r="O646" s="1">
        <v>7.4003656099999997</v>
      </c>
      <c r="P646" s="1">
        <v>7.4998377830000003</v>
      </c>
      <c r="Q646" s="1">
        <v>7.3415124269999996</v>
      </c>
      <c r="R646" s="1">
        <v>7.4311375970000002</v>
      </c>
      <c r="S646" s="1">
        <v>7.5359901100000002</v>
      </c>
      <c r="T646" s="1">
        <v>7.424733807</v>
      </c>
      <c r="U646" s="1">
        <v>7.4817971329999997</v>
      </c>
      <c r="V646" s="1">
        <v>7.7327869339999999</v>
      </c>
      <c r="W646" s="1">
        <v>7.6099845820000001</v>
      </c>
      <c r="X646" s="1">
        <v>7.3534945570000003</v>
      </c>
      <c r="Y646" s="1">
        <v>7.4430810909999998</v>
      </c>
      <c r="Z646" s="1">
        <v>7.4311375970000002</v>
      </c>
      <c r="AA646" s="1">
        <v>7.5359901100000002</v>
      </c>
      <c r="AB646" s="1">
        <v>7.1520220669999999</v>
      </c>
      <c r="AC646" s="1">
        <v>7.6331006529999996</v>
      </c>
      <c r="AD646" s="1">
        <v>7.23548598</v>
      </c>
      <c r="AE646" s="1">
        <v>7.4359317039999997</v>
      </c>
    </row>
    <row r="647" spans="1:31" x14ac:dyDescent="0.25">
      <c r="A647" s="1" t="s">
        <v>1441</v>
      </c>
      <c r="B647" s="1" t="s">
        <v>2547</v>
      </c>
      <c r="C647" s="1" t="s">
        <v>2622</v>
      </c>
      <c r="D647" s="1" t="s">
        <v>2535</v>
      </c>
      <c r="E647" s="1" t="s">
        <v>3040</v>
      </c>
      <c r="G647" s="1" t="s">
        <v>1441</v>
      </c>
      <c r="H647" s="1">
        <v>4.183793842</v>
      </c>
      <c r="I647" s="1">
        <v>4.3763156859999999</v>
      </c>
      <c r="J647" s="1">
        <v>3.329519721</v>
      </c>
      <c r="K647" s="1">
        <v>4.0244910950000001</v>
      </c>
      <c r="L647" s="1">
        <v>4.0714409539999998</v>
      </c>
      <c r="M647" s="1">
        <v>3.9942443089999999</v>
      </c>
      <c r="N647" s="1">
        <v>4.6173662499999999</v>
      </c>
      <c r="O647" s="1">
        <v>4.385526188</v>
      </c>
      <c r="P647" s="1">
        <v>3.7419514989999998</v>
      </c>
      <c r="Q647" s="1">
        <v>4.0840108080000004</v>
      </c>
      <c r="R647" s="1">
        <v>4.3698765340000003</v>
      </c>
      <c r="S647" s="1">
        <v>3.3463386960000001</v>
      </c>
      <c r="T647" s="1">
        <v>4.0714409539999998</v>
      </c>
      <c r="U647" s="1">
        <v>3.9942443089999999</v>
      </c>
      <c r="V647" s="1">
        <v>4.5207607210000003</v>
      </c>
      <c r="W647" s="1">
        <v>4.69862249</v>
      </c>
      <c r="X647" s="1">
        <v>4.4502657640000001</v>
      </c>
      <c r="Y647" s="1">
        <v>4.8250325140000001</v>
      </c>
      <c r="Z647" s="1">
        <v>4.3698765340000003</v>
      </c>
      <c r="AA647" s="1">
        <v>3.3463386960000001</v>
      </c>
      <c r="AB647" s="1">
        <v>4.6096720080000004</v>
      </c>
      <c r="AC647" s="1">
        <v>4.415017905</v>
      </c>
      <c r="AD647" s="1">
        <v>4.6978214539999996</v>
      </c>
      <c r="AE647" s="1">
        <v>5.4312016559999998</v>
      </c>
    </row>
    <row r="648" spans="1:31" x14ac:dyDescent="0.25">
      <c r="A648" s="1" t="s">
        <v>1442</v>
      </c>
      <c r="B648" s="1" t="s">
        <v>2547</v>
      </c>
      <c r="C648" s="1" t="s">
        <v>2548</v>
      </c>
      <c r="D648" s="1" t="s">
        <v>3578</v>
      </c>
      <c r="E648" s="1" t="s">
        <v>3686</v>
      </c>
      <c r="F648" s="1" t="s">
        <v>3687</v>
      </c>
      <c r="G648" s="1" t="s">
        <v>1442</v>
      </c>
      <c r="H648" s="1">
        <v>4.9322401630000003</v>
      </c>
      <c r="I648" s="1">
        <v>5.0595268689999999</v>
      </c>
      <c r="J648" s="1">
        <v>5.5483108110000003</v>
      </c>
      <c r="K648" s="1">
        <v>5.7895293819999996</v>
      </c>
      <c r="L648" s="1">
        <v>5.2569846910000004</v>
      </c>
      <c r="M648" s="1">
        <v>5.4634864729999997</v>
      </c>
      <c r="N648" s="1">
        <v>5.2399813159999997</v>
      </c>
      <c r="O648" s="1">
        <v>5.3605571169999999</v>
      </c>
      <c r="P648" s="1">
        <v>4.8528499219999999</v>
      </c>
      <c r="Q648" s="1">
        <v>4.7509440400000003</v>
      </c>
      <c r="R648" s="1">
        <v>5.9594282490000001</v>
      </c>
      <c r="S648" s="1">
        <v>5.6781703969999997</v>
      </c>
      <c r="T648" s="1">
        <v>5.2569846910000004</v>
      </c>
      <c r="U648" s="1">
        <v>5.4634864729999997</v>
      </c>
      <c r="V648" s="1">
        <v>6.6186760830000004</v>
      </c>
      <c r="W648" s="1">
        <v>6.3925275360000002</v>
      </c>
      <c r="X648" s="1">
        <v>6.1145484569999997</v>
      </c>
      <c r="Y648" s="1">
        <v>6.5668682929999997</v>
      </c>
      <c r="Z648" s="1">
        <v>5.9594282490000001</v>
      </c>
      <c r="AA648" s="1">
        <v>5.6781703969999997</v>
      </c>
      <c r="AB648" s="1">
        <v>6.679460873</v>
      </c>
      <c r="AC648" s="1">
        <v>6.1168053020000004</v>
      </c>
      <c r="AD648" s="1">
        <v>6.8136746160000001</v>
      </c>
      <c r="AE648" s="1">
        <v>7.0371821480000003</v>
      </c>
    </row>
    <row r="649" spans="1:31" x14ac:dyDescent="0.25">
      <c r="A649" s="1" t="s">
        <v>1443</v>
      </c>
      <c r="B649" s="1" t="s">
        <v>2547</v>
      </c>
      <c r="C649" s="1" t="s">
        <v>2566</v>
      </c>
      <c r="D649" s="1" t="s">
        <v>3688</v>
      </c>
      <c r="E649" s="1" t="s">
        <v>3689</v>
      </c>
      <c r="F649" s="1" t="s">
        <v>3690</v>
      </c>
      <c r="G649" s="1" t="s">
        <v>1443</v>
      </c>
      <c r="H649" s="1">
        <v>4.9322401630000003</v>
      </c>
      <c r="I649" s="1">
        <v>5.1998500889999999</v>
      </c>
      <c r="J649" s="1">
        <v>5.3631085470000004</v>
      </c>
      <c r="K649" s="1">
        <v>6.1712535270000002</v>
      </c>
      <c r="L649" s="1">
        <v>6.0421147250000002</v>
      </c>
      <c r="M649" s="1">
        <v>6.3311731590000004</v>
      </c>
      <c r="N649" s="1">
        <v>5.2145790439999997</v>
      </c>
      <c r="O649" s="1">
        <v>5.1349072580000001</v>
      </c>
      <c r="P649" s="1">
        <v>5.1467681949999999</v>
      </c>
      <c r="Q649" s="1">
        <v>5.1004769559999996</v>
      </c>
      <c r="R649" s="1">
        <v>6.474614356</v>
      </c>
      <c r="S649" s="1">
        <v>6.3621547329999997</v>
      </c>
      <c r="T649" s="1">
        <v>6.0421147250000002</v>
      </c>
      <c r="U649" s="1">
        <v>6.3311731590000004</v>
      </c>
      <c r="V649" s="1">
        <v>7.1263832059999999</v>
      </c>
      <c r="W649" s="1">
        <v>6.9808429480000003</v>
      </c>
      <c r="X649" s="1">
        <v>6.5898507339999997</v>
      </c>
      <c r="Y649" s="1">
        <v>7.1050089449999998</v>
      </c>
      <c r="Z649" s="1">
        <v>6.474614356</v>
      </c>
      <c r="AA649" s="1">
        <v>6.3621547329999997</v>
      </c>
      <c r="AB649" s="1">
        <v>7.0832603900000004</v>
      </c>
      <c r="AC649" s="1">
        <v>7.0717138469999998</v>
      </c>
      <c r="AD649" s="1">
        <v>7.199655763</v>
      </c>
      <c r="AE649" s="1">
        <v>7.5029627999999997</v>
      </c>
    </row>
    <row r="650" spans="1:31" x14ac:dyDescent="0.25">
      <c r="A650" s="1" t="s">
        <v>1444</v>
      </c>
      <c r="B650" s="1" t="s">
        <v>2530</v>
      </c>
      <c r="C650" s="1" t="s">
        <v>2531</v>
      </c>
      <c r="D650" s="1" t="s">
        <v>2535</v>
      </c>
      <c r="E650" s="1" t="s">
        <v>2536</v>
      </c>
      <c r="G650" s="1" t="s">
        <v>1444</v>
      </c>
      <c r="H650" s="1">
        <v>5.1131742039999999</v>
      </c>
      <c r="I650" s="1">
        <v>5.5873017430000003</v>
      </c>
      <c r="J650" s="1">
        <v>5.8592801899999998</v>
      </c>
      <c r="K650" s="1">
        <v>5.8870623049999997</v>
      </c>
      <c r="L650" s="1">
        <v>6.369232008</v>
      </c>
      <c r="M650" s="1">
        <v>6.4534937259999996</v>
      </c>
      <c r="N650" s="1">
        <v>5.2399813159999997</v>
      </c>
      <c r="O650" s="1">
        <v>5.1040005129999999</v>
      </c>
      <c r="P650" s="1">
        <v>4.8528499219999999</v>
      </c>
      <c r="Q650" s="1">
        <v>5.1511590549999999</v>
      </c>
      <c r="R650" s="1">
        <v>6.3078659510000001</v>
      </c>
      <c r="S650" s="1">
        <v>6.2358418929999999</v>
      </c>
      <c r="T650" s="1">
        <v>6.369232008</v>
      </c>
      <c r="U650" s="1">
        <v>6.4534937259999996</v>
      </c>
      <c r="V650" s="1">
        <v>7.2437271340000002</v>
      </c>
      <c r="W650" s="1">
        <v>7.4212794869999996</v>
      </c>
      <c r="X650" s="1">
        <v>6.9017594349999998</v>
      </c>
      <c r="Y650" s="1">
        <v>6.9469657070000004</v>
      </c>
      <c r="Z650" s="1">
        <v>6.3078659510000001</v>
      </c>
      <c r="AA650" s="1">
        <v>6.2358418929999999</v>
      </c>
      <c r="AB650" s="1">
        <v>7.656709803</v>
      </c>
      <c r="AC650" s="1">
        <v>7.374859141</v>
      </c>
      <c r="AD650" s="1">
        <v>7.7465640730000001</v>
      </c>
      <c r="AE650" s="1">
        <v>7.5029627999999997</v>
      </c>
    </row>
    <row r="651" spans="1:31" x14ac:dyDescent="0.25">
      <c r="A651" s="1" t="s">
        <v>1452</v>
      </c>
      <c r="B651" s="1" t="s">
        <v>2525</v>
      </c>
      <c r="C651" s="1" t="s">
        <v>3364</v>
      </c>
      <c r="D651" s="1" t="s">
        <v>3691</v>
      </c>
      <c r="E651" s="1" t="s">
        <v>3692</v>
      </c>
      <c r="F651" s="1" t="s">
        <v>3693</v>
      </c>
      <c r="G651" s="1" t="s">
        <v>1452</v>
      </c>
      <c r="H651" s="1">
        <v>4.0684382540000001</v>
      </c>
      <c r="I651" s="1">
        <v>4.2055918060000002</v>
      </c>
      <c r="J651" s="1">
        <v>3.1324899180000001</v>
      </c>
      <c r="K651" s="1">
        <v>3.4309024589999999</v>
      </c>
      <c r="L651" s="1">
        <v>3.4685048369999998</v>
      </c>
      <c r="M651" s="1">
        <v>3.5095973119999999</v>
      </c>
      <c r="N651" s="1">
        <v>4.6173662499999999</v>
      </c>
      <c r="O651" s="1">
        <v>4.0289865369999998</v>
      </c>
      <c r="P651" s="1">
        <v>3.466113682</v>
      </c>
      <c r="Q651" s="1">
        <v>3.7137735799999998</v>
      </c>
      <c r="R651" s="1">
        <v>3.386455024</v>
      </c>
      <c r="S651" s="1">
        <v>3.6647387380000001</v>
      </c>
      <c r="T651" s="1">
        <v>3.4685048369999998</v>
      </c>
      <c r="U651" s="1">
        <v>3.5095973119999999</v>
      </c>
      <c r="V651" s="1">
        <v>4.5207607210000003</v>
      </c>
      <c r="W651" s="1">
        <v>3.50175473</v>
      </c>
      <c r="X651" s="1">
        <v>4.2198471</v>
      </c>
      <c r="Y651" s="1">
        <v>3.7705059300000001</v>
      </c>
      <c r="Z651" s="1">
        <v>3.386455024</v>
      </c>
      <c r="AA651" s="1">
        <v>3.6647387380000001</v>
      </c>
      <c r="AB651" s="1">
        <v>4.139369361</v>
      </c>
      <c r="AC651" s="1">
        <v>3.8665622239999999</v>
      </c>
      <c r="AD651" s="1">
        <v>4.2970121150000002</v>
      </c>
      <c r="AE651" s="1">
        <v>4.0685293649999998</v>
      </c>
    </row>
    <row r="652" spans="1:31" x14ac:dyDescent="0.25">
      <c r="A652" s="1" t="s">
        <v>1457</v>
      </c>
      <c r="B652" s="1" t="s">
        <v>2520</v>
      </c>
      <c r="C652" s="1" t="s">
        <v>2646</v>
      </c>
      <c r="D652" s="1" t="s">
        <v>2535</v>
      </c>
      <c r="E652" s="1" t="s">
        <v>3694</v>
      </c>
      <c r="G652" s="1" t="s">
        <v>1457</v>
      </c>
      <c r="H652" s="1">
        <v>1.7393328349999999</v>
      </c>
      <c r="I652" s="1">
        <v>2.8927893610000002</v>
      </c>
      <c r="J652" s="1">
        <v>3.329519721</v>
      </c>
      <c r="K652" s="1">
        <v>2.620638279</v>
      </c>
      <c r="L652" s="1">
        <v>2.7248816410000001</v>
      </c>
      <c r="M652" s="1">
        <v>2.3994532390000001</v>
      </c>
      <c r="N652" s="1">
        <v>2.628425199</v>
      </c>
      <c r="O652" s="1">
        <v>2.883783352</v>
      </c>
      <c r="P652" s="1">
        <v>2.8687501260000001</v>
      </c>
      <c r="Q652" s="1">
        <v>2.935765398</v>
      </c>
      <c r="R652" s="1">
        <v>2.9339002829999998</v>
      </c>
      <c r="S652" s="1">
        <v>2.5733617299999998</v>
      </c>
      <c r="T652" s="1">
        <v>2.7248816410000001</v>
      </c>
      <c r="U652" s="1">
        <v>2.3994532390000001</v>
      </c>
      <c r="V652" s="1">
        <v>3.6670520409999998</v>
      </c>
      <c r="W652" s="1">
        <v>1.7393328349999999</v>
      </c>
      <c r="X652" s="1">
        <v>3.2074401739999998</v>
      </c>
      <c r="Y652" s="1">
        <v>2.624795792</v>
      </c>
      <c r="Z652" s="1">
        <v>2.9339002829999998</v>
      </c>
      <c r="AA652" s="1">
        <v>2.5733617299999998</v>
      </c>
      <c r="AB652" s="1">
        <v>2.73487305</v>
      </c>
      <c r="AC652" s="1">
        <v>3.4716344729999999</v>
      </c>
      <c r="AD652" s="1">
        <v>2.6025990879999998</v>
      </c>
      <c r="AE652" s="1">
        <v>2.803297787</v>
      </c>
    </row>
    <row r="653" spans="1:31" x14ac:dyDescent="0.25">
      <c r="A653" s="1" t="s">
        <v>1459</v>
      </c>
      <c r="B653" s="1" t="s">
        <v>2530</v>
      </c>
      <c r="C653" s="1" t="s">
        <v>2531</v>
      </c>
      <c r="D653" s="1" t="s">
        <v>2535</v>
      </c>
      <c r="E653" s="1" t="s">
        <v>2536</v>
      </c>
      <c r="G653" s="1" t="s">
        <v>1459</v>
      </c>
      <c r="H653" s="1">
        <v>6.6546803429999999</v>
      </c>
      <c r="I653" s="1">
        <v>6.1195241339999997</v>
      </c>
      <c r="J653" s="1">
        <v>6.6053357520000002</v>
      </c>
      <c r="K653" s="1">
        <v>6.6119151140000003</v>
      </c>
      <c r="L653" s="1">
        <v>6.7413598239999999</v>
      </c>
      <c r="M653" s="1">
        <v>6.7300220370000003</v>
      </c>
      <c r="N653" s="1">
        <v>6.1951276320000002</v>
      </c>
      <c r="O653" s="1">
        <v>6.1287443579999996</v>
      </c>
      <c r="P653" s="1">
        <v>7.3267783130000002</v>
      </c>
      <c r="Q653" s="1">
        <v>6.7638501550000001</v>
      </c>
      <c r="R653" s="1">
        <v>7.1402648610000004</v>
      </c>
      <c r="S653" s="1">
        <v>7.1020852879999996</v>
      </c>
      <c r="T653" s="1">
        <v>6.7413598239999999</v>
      </c>
      <c r="U653" s="1">
        <v>6.7300220370000003</v>
      </c>
      <c r="V653" s="1">
        <v>7.0316458629999996</v>
      </c>
      <c r="W653" s="1">
        <v>6.9149645719999997</v>
      </c>
      <c r="X653" s="1">
        <v>6.9611542279999998</v>
      </c>
      <c r="Y653" s="1">
        <v>6.9006741439999999</v>
      </c>
      <c r="Z653" s="1">
        <v>7.1402648610000004</v>
      </c>
      <c r="AA653" s="1">
        <v>7.1020852879999996</v>
      </c>
      <c r="AB653" s="1">
        <v>7.1852104319999999</v>
      </c>
      <c r="AC653" s="1">
        <v>6.8589740600000004</v>
      </c>
      <c r="AD653" s="1">
        <v>6.6283518130000001</v>
      </c>
      <c r="AE653" s="1">
        <v>6.8277897879999996</v>
      </c>
    </row>
    <row r="654" spans="1:31" x14ac:dyDescent="0.25">
      <c r="A654" s="1" t="s">
        <v>1464</v>
      </c>
      <c r="B654" s="1" t="s">
        <v>2525</v>
      </c>
      <c r="C654" s="1" t="s">
        <v>2749</v>
      </c>
      <c r="D654" s="1" t="s">
        <v>3695</v>
      </c>
      <c r="E654" s="1" t="s">
        <v>3696</v>
      </c>
      <c r="F654" s="1" t="s">
        <v>3697</v>
      </c>
      <c r="G654" s="1" t="s">
        <v>1464</v>
      </c>
      <c r="H654" s="1">
        <v>6.379172209</v>
      </c>
      <c r="I654" s="1">
        <v>6.3160597540000003</v>
      </c>
      <c r="J654" s="1">
        <v>6.863459046</v>
      </c>
      <c r="K654" s="1">
        <v>6.7389853689999999</v>
      </c>
      <c r="L654" s="1">
        <v>7.4561339819999999</v>
      </c>
      <c r="M654" s="1">
        <v>7.4410255230000004</v>
      </c>
      <c r="N654" s="1">
        <v>6.2948737059999997</v>
      </c>
      <c r="O654" s="1">
        <v>6.6478049300000004</v>
      </c>
      <c r="P654" s="1">
        <v>6.7225254730000001</v>
      </c>
      <c r="Q654" s="1">
        <v>6.459205753</v>
      </c>
      <c r="R654" s="1">
        <v>7.1648465019999996</v>
      </c>
      <c r="S654" s="1">
        <v>7.0777719039999996</v>
      </c>
      <c r="T654" s="1">
        <v>7.4561339819999999</v>
      </c>
      <c r="U654" s="1">
        <v>7.4410255230000004</v>
      </c>
      <c r="V654" s="1">
        <v>7.1161592210000002</v>
      </c>
      <c r="W654" s="1">
        <v>6.9482803070000001</v>
      </c>
      <c r="X654" s="1">
        <v>7.1323967919999998</v>
      </c>
      <c r="Y654" s="1">
        <v>7.0775333739999997</v>
      </c>
      <c r="Z654" s="1">
        <v>7.1648465019999996</v>
      </c>
      <c r="AA654" s="1">
        <v>7.0777719039999996</v>
      </c>
      <c r="AB654" s="1">
        <v>7.5203499220000003</v>
      </c>
      <c r="AC654" s="1">
        <v>6.9754995060000002</v>
      </c>
      <c r="AD654" s="1">
        <v>6.9636701729999997</v>
      </c>
      <c r="AE654" s="1">
        <v>6.9876177249999998</v>
      </c>
    </row>
    <row r="655" spans="1:31" x14ac:dyDescent="0.25">
      <c r="A655" s="1" t="s">
        <v>1465</v>
      </c>
      <c r="B655" s="1" t="s">
        <v>2530</v>
      </c>
      <c r="C655" s="1" t="s">
        <v>2531</v>
      </c>
      <c r="D655" s="1" t="s">
        <v>2535</v>
      </c>
      <c r="E655" s="1" t="s">
        <v>2536</v>
      </c>
      <c r="G655" s="1" t="s">
        <v>1465</v>
      </c>
      <c r="H655" s="1">
        <v>7.935391471</v>
      </c>
      <c r="I655" s="1">
        <v>7.9442639059999998</v>
      </c>
      <c r="J655" s="1">
        <v>6.9961611450000003</v>
      </c>
      <c r="K655" s="1">
        <v>7.6207723439999997</v>
      </c>
      <c r="L655" s="1">
        <v>6.1339192999999996</v>
      </c>
      <c r="M655" s="1">
        <v>5.9865419050000002</v>
      </c>
      <c r="N655" s="1">
        <v>6.8724232059999997</v>
      </c>
      <c r="O655" s="1">
        <v>7.5836184339999999</v>
      </c>
      <c r="P655" s="1">
        <v>6.9021991040000001</v>
      </c>
      <c r="Q655" s="1">
        <v>6.9598506220000003</v>
      </c>
      <c r="R655" s="1">
        <v>6.4941616399999997</v>
      </c>
      <c r="S655" s="1">
        <v>6.7941413900000001</v>
      </c>
      <c r="T655" s="1">
        <v>6.1339192999999996</v>
      </c>
      <c r="U655" s="1">
        <v>5.9865419050000002</v>
      </c>
      <c r="V655" s="1">
        <v>6.8947846659999996</v>
      </c>
      <c r="W655" s="1">
        <v>6.7734156700000003</v>
      </c>
      <c r="X655" s="1">
        <v>6.3102062310000004</v>
      </c>
      <c r="Y655" s="1">
        <v>7.6343087260000004</v>
      </c>
      <c r="Z655" s="1">
        <v>6.4941616399999997</v>
      </c>
      <c r="AA655" s="1">
        <v>6.7941413900000001</v>
      </c>
      <c r="AB655" s="1">
        <v>7.325769244</v>
      </c>
      <c r="AC655" s="1">
        <v>6.8856954019999996</v>
      </c>
      <c r="AD655" s="1">
        <v>7.4232434090000003</v>
      </c>
      <c r="AE655" s="1">
        <v>7.6871681260000004</v>
      </c>
    </row>
    <row r="656" spans="1:31" x14ac:dyDescent="0.25">
      <c r="A656" s="1" t="s">
        <v>1474</v>
      </c>
      <c r="B656" s="1" t="s">
        <v>2598</v>
      </c>
      <c r="C656" s="1" t="s">
        <v>2603</v>
      </c>
      <c r="D656" s="1" t="s">
        <v>3698</v>
      </c>
      <c r="E656" s="1" t="s">
        <v>3699</v>
      </c>
      <c r="G656" s="1" t="s">
        <v>1474</v>
      </c>
      <c r="H656" s="1">
        <v>3.4660955969999998</v>
      </c>
      <c r="I656" s="1">
        <v>2.5655118899999998</v>
      </c>
      <c r="J656" s="1">
        <v>4.4503473070000004</v>
      </c>
      <c r="K656" s="1">
        <v>4.5974987220000001</v>
      </c>
      <c r="L656" s="1">
        <v>3.6811173419999998</v>
      </c>
      <c r="M656" s="1">
        <v>3.9251125939999998</v>
      </c>
      <c r="N656" s="1">
        <v>3.23577855</v>
      </c>
      <c r="O656" s="1">
        <v>3.8071106499999998</v>
      </c>
      <c r="P656" s="1">
        <v>4.5499605860000001</v>
      </c>
      <c r="Q656" s="1">
        <v>3.56206471</v>
      </c>
      <c r="R656" s="1">
        <v>3.5594063970000001</v>
      </c>
      <c r="S656" s="1">
        <v>3.9182367880000002</v>
      </c>
      <c r="T656" s="1">
        <v>3.6811173419999998</v>
      </c>
      <c r="U656" s="1">
        <v>3.9251125939999998</v>
      </c>
      <c r="V656" s="1">
        <v>4.7533922439999996</v>
      </c>
      <c r="W656" s="1">
        <v>3.9848641250000001</v>
      </c>
      <c r="X656" s="1">
        <v>3.8785046219999999</v>
      </c>
      <c r="Y656" s="1">
        <v>4.4420910779999998</v>
      </c>
      <c r="Z656" s="1">
        <v>3.5594063970000001</v>
      </c>
      <c r="AA656" s="1">
        <v>3.9182367880000002</v>
      </c>
      <c r="AB656" s="1">
        <v>3.404153038</v>
      </c>
      <c r="AC656" s="1">
        <v>4.0753403910000001</v>
      </c>
      <c r="AD656" s="1">
        <v>3.984188064</v>
      </c>
      <c r="AE656" s="1">
        <v>4.1773695330000002</v>
      </c>
    </row>
    <row r="657" spans="1:31" x14ac:dyDescent="0.25">
      <c r="A657" s="1" t="s">
        <v>1475</v>
      </c>
      <c r="B657" s="1" t="s">
        <v>2662</v>
      </c>
      <c r="C657" s="1" t="s">
        <v>3291</v>
      </c>
      <c r="D657" s="1" t="s">
        <v>3292</v>
      </c>
      <c r="E657" s="1" t="s">
        <v>3700</v>
      </c>
      <c r="F657" s="1" t="s">
        <v>3701</v>
      </c>
      <c r="G657" s="1" t="s">
        <v>1475</v>
      </c>
      <c r="H657" s="1">
        <v>3.9421380259999999</v>
      </c>
      <c r="I657" s="1">
        <v>3.9003964459999998</v>
      </c>
      <c r="J657" s="1">
        <v>4.7243317210000004</v>
      </c>
      <c r="K657" s="1">
        <v>4.941717659</v>
      </c>
      <c r="L657" s="1">
        <v>3.971296959</v>
      </c>
      <c r="M657" s="1">
        <v>3.7747836370000001</v>
      </c>
      <c r="N657" s="1">
        <v>3.9164981490000002</v>
      </c>
      <c r="O657" s="1">
        <v>3.88533178</v>
      </c>
      <c r="P657" s="1">
        <v>4.0684607960000001</v>
      </c>
      <c r="Q657" s="1">
        <v>4.3733115800000002</v>
      </c>
      <c r="R657" s="1">
        <v>4.45403635</v>
      </c>
      <c r="S657" s="1">
        <v>4.7503017500000002</v>
      </c>
      <c r="T657" s="1">
        <v>3.971296959</v>
      </c>
      <c r="U657" s="1">
        <v>3.7747836370000001</v>
      </c>
      <c r="V657" s="1">
        <v>4.1608706030000002</v>
      </c>
      <c r="W657" s="1">
        <v>3.8431653940000001</v>
      </c>
      <c r="X657" s="1">
        <v>4.1686775799999998</v>
      </c>
      <c r="Y657" s="1">
        <v>4.0337379980000003</v>
      </c>
      <c r="Z657" s="1">
        <v>4.45403635</v>
      </c>
      <c r="AA657" s="1">
        <v>4.7503017500000002</v>
      </c>
      <c r="AB657" s="1">
        <v>4.7958605490000004</v>
      </c>
      <c r="AC657" s="1">
        <v>4.0753403910000001</v>
      </c>
      <c r="AD657" s="1">
        <v>4.0967699450000001</v>
      </c>
      <c r="AE657" s="1">
        <v>4.542053224</v>
      </c>
    </row>
    <row r="658" spans="1:31" x14ac:dyDescent="0.25">
      <c r="A658" s="1" t="s">
        <v>1476</v>
      </c>
      <c r="B658" s="1" t="s">
        <v>2530</v>
      </c>
      <c r="C658" s="1" t="s">
        <v>2531</v>
      </c>
      <c r="D658" s="1" t="s">
        <v>2535</v>
      </c>
      <c r="E658" s="1" t="s">
        <v>2536</v>
      </c>
      <c r="G658" s="1" t="s">
        <v>1476</v>
      </c>
      <c r="H658" s="1">
        <v>4.5667504939999999</v>
      </c>
      <c r="I658" s="1">
        <v>5.4067069720000003</v>
      </c>
      <c r="J658" s="1">
        <v>4.2898244959999996</v>
      </c>
      <c r="K658" s="1">
        <v>4.4318297590000002</v>
      </c>
      <c r="L658" s="1">
        <v>4.0223143549999998</v>
      </c>
      <c r="M658" s="1">
        <v>4.6692867769999999</v>
      </c>
      <c r="N658" s="1">
        <v>5.8295014189999996</v>
      </c>
      <c r="O658" s="1">
        <v>5.9503866380000003</v>
      </c>
      <c r="P658" s="1">
        <v>4.161525224</v>
      </c>
      <c r="Q658" s="1">
        <v>4.4575363990000003</v>
      </c>
      <c r="R658" s="1">
        <v>4.2802026870000001</v>
      </c>
      <c r="S658" s="1">
        <v>4.1304223819999999</v>
      </c>
      <c r="T658" s="1">
        <v>4.0223143549999998</v>
      </c>
      <c r="U658" s="1">
        <v>4.6692867769999999</v>
      </c>
      <c r="V658" s="1">
        <v>4.6987742170000004</v>
      </c>
      <c r="W658" s="1">
        <v>4.5296290450000001</v>
      </c>
      <c r="X658" s="1">
        <v>4.6838774470000004</v>
      </c>
      <c r="Y658" s="1">
        <v>5.0702808140000002</v>
      </c>
      <c r="Z658" s="1">
        <v>4.2802026870000001</v>
      </c>
      <c r="AA658" s="1">
        <v>4.1304223819999999</v>
      </c>
      <c r="AB658" s="1">
        <v>3.8237667059999998</v>
      </c>
      <c r="AC658" s="1">
        <v>3.9750819590000002</v>
      </c>
      <c r="AD658" s="1">
        <v>4.2005997429999997</v>
      </c>
      <c r="AE658" s="1">
        <v>5.0693189500000004</v>
      </c>
    </row>
    <row r="659" spans="1:31" x14ac:dyDescent="0.25">
      <c r="A659" s="1" t="s">
        <v>1477</v>
      </c>
      <c r="B659" s="1" t="s">
        <v>2530</v>
      </c>
      <c r="C659" s="1" t="s">
        <v>2531</v>
      </c>
      <c r="D659" s="1" t="s">
        <v>2535</v>
      </c>
      <c r="E659" s="1" t="s">
        <v>2536</v>
      </c>
      <c r="G659" s="1" t="s">
        <v>1477</v>
      </c>
      <c r="H659" s="1">
        <v>7.3097097360000003</v>
      </c>
      <c r="I659" s="1">
        <v>7.0511021019999998</v>
      </c>
      <c r="J659" s="1">
        <v>5.9669407659999996</v>
      </c>
      <c r="K659" s="1">
        <v>6.8557452210000003</v>
      </c>
      <c r="L659" s="1">
        <v>5.3938587340000002</v>
      </c>
      <c r="M659" s="1">
        <v>5.2895531800000004</v>
      </c>
      <c r="N659" s="1">
        <v>6.7013847870000003</v>
      </c>
      <c r="O659" s="1">
        <v>7.0284800409999999</v>
      </c>
      <c r="P659" s="1">
        <v>6.2369105129999998</v>
      </c>
      <c r="Q659" s="1">
        <v>6.0722034220000003</v>
      </c>
      <c r="R659" s="1">
        <v>5.8723300570000001</v>
      </c>
      <c r="S659" s="1">
        <v>5.3512993040000003</v>
      </c>
      <c r="T659" s="1">
        <v>5.3938587340000002</v>
      </c>
      <c r="U659" s="1">
        <v>5.2895531800000004</v>
      </c>
      <c r="V659" s="1">
        <v>6.1215697740000001</v>
      </c>
      <c r="W659" s="1">
        <v>6.0056801469999996</v>
      </c>
      <c r="X659" s="1">
        <v>6.1660170440000002</v>
      </c>
      <c r="Y659" s="1">
        <v>6.4855214879999998</v>
      </c>
      <c r="Z659" s="1">
        <v>5.8723300570000001</v>
      </c>
      <c r="AA659" s="1">
        <v>5.3512993040000003</v>
      </c>
      <c r="AB659" s="1">
        <v>6.3685053089999997</v>
      </c>
      <c r="AC659" s="1">
        <v>6.2668248259999997</v>
      </c>
      <c r="AD659" s="1">
        <v>6.3296964060000001</v>
      </c>
      <c r="AE659" s="1">
        <v>6.3103436119999996</v>
      </c>
    </row>
    <row r="660" spans="1:31" x14ac:dyDescent="0.25">
      <c r="A660" s="1" t="s">
        <v>1478</v>
      </c>
      <c r="B660" s="1" t="s">
        <v>2662</v>
      </c>
      <c r="C660" s="1" t="s">
        <v>3291</v>
      </c>
      <c r="D660" s="1" t="s">
        <v>3292</v>
      </c>
      <c r="E660" s="1" t="s">
        <v>3702</v>
      </c>
      <c r="G660" s="1" t="s">
        <v>1478</v>
      </c>
      <c r="H660" s="1">
        <v>9.4052982390000004</v>
      </c>
      <c r="I660" s="1">
        <v>8.7051014319999993</v>
      </c>
      <c r="J660" s="1">
        <v>9.3016448730000008</v>
      </c>
      <c r="K660" s="1">
        <v>9.3483148299999996</v>
      </c>
      <c r="L660" s="1">
        <v>9.1097817600000006</v>
      </c>
      <c r="M660" s="1">
        <v>9.4427584949999996</v>
      </c>
      <c r="N660" s="1">
        <v>8.5808156960000002</v>
      </c>
      <c r="O660" s="1">
        <v>8.6673522579999993</v>
      </c>
      <c r="P660" s="1">
        <v>9.4150326189999998</v>
      </c>
      <c r="Q660" s="1">
        <v>9.5042430860000007</v>
      </c>
      <c r="R660" s="1">
        <v>9.602043084</v>
      </c>
      <c r="S660" s="1">
        <v>9.506106934</v>
      </c>
      <c r="T660" s="1">
        <v>9.1097817600000006</v>
      </c>
      <c r="U660" s="1">
        <v>9.4427584949999996</v>
      </c>
      <c r="V660" s="1">
        <v>10.06027885</v>
      </c>
      <c r="W660" s="1">
        <v>10.29947215</v>
      </c>
      <c r="X660" s="1">
        <v>10.990696079999999</v>
      </c>
      <c r="Y660" s="1">
        <v>10.577025020000001</v>
      </c>
      <c r="Z660" s="1">
        <v>9.602043084</v>
      </c>
      <c r="AA660" s="1">
        <v>9.506106934</v>
      </c>
      <c r="AB660" s="1">
        <v>10.683076120000001</v>
      </c>
      <c r="AC660" s="1">
        <v>10.50796029</v>
      </c>
      <c r="AD660" s="1">
        <v>10.81165</v>
      </c>
      <c r="AE660" s="1">
        <v>10.510465699999999</v>
      </c>
    </row>
    <row r="661" spans="1:31" x14ac:dyDescent="0.25">
      <c r="A661" s="1" t="s">
        <v>1481</v>
      </c>
      <c r="B661" s="1" t="s">
        <v>2608</v>
      </c>
      <c r="C661" s="1" t="s">
        <v>2609</v>
      </c>
      <c r="D661" s="1" t="s">
        <v>3703</v>
      </c>
      <c r="E661" s="1" t="s">
        <v>3704</v>
      </c>
      <c r="F661" s="1" t="s">
        <v>3705</v>
      </c>
      <c r="G661" s="1" t="s">
        <v>1481</v>
      </c>
      <c r="H661" s="1">
        <v>5.0553993879999997</v>
      </c>
      <c r="I661" s="1">
        <v>4.7284970130000001</v>
      </c>
      <c r="J661" s="1">
        <v>4.7243317210000004</v>
      </c>
      <c r="K661" s="1">
        <v>4.941717659</v>
      </c>
      <c r="L661" s="1">
        <v>4.6825378889999998</v>
      </c>
      <c r="M661" s="1">
        <v>4.7490378550000001</v>
      </c>
      <c r="N661" s="1">
        <v>5.4717898820000004</v>
      </c>
      <c r="O661" s="1">
        <v>5.7062857469999999</v>
      </c>
      <c r="P661" s="1">
        <v>4.6791060150000003</v>
      </c>
      <c r="Q661" s="1">
        <v>4.683187717</v>
      </c>
      <c r="R661" s="1">
        <v>5.0440296189999998</v>
      </c>
      <c r="S661" s="1">
        <v>4.0285685429999996</v>
      </c>
      <c r="T661" s="1">
        <v>4.6825378889999998</v>
      </c>
      <c r="U661" s="1">
        <v>4.7490378550000001</v>
      </c>
      <c r="V661" s="1">
        <v>5.3546652259999998</v>
      </c>
      <c r="W661" s="1">
        <v>5.2236621110000003</v>
      </c>
      <c r="X661" s="1">
        <v>4.6102919370000004</v>
      </c>
      <c r="Y661" s="1">
        <v>4.8904630100000004</v>
      </c>
      <c r="Z661" s="1">
        <v>5.0440296189999998</v>
      </c>
      <c r="AA661" s="1">
        <v>4.0285685429999996</v>
      </c>
      <c r="AB661" s="1">
        <v>5.1073354020000004</v>
      </c>
      <c r="AC661" s="1">
        <v>4.8610120620000004</v>
      </c>
      <c r="AD661" s="1">
        <v>5.116107059</v>
      </c>
      <c r="AE661" s="1">
        <v>5.1232419389999997</v>
      </c>
    </row>
    <row r="662" spans="1:31" x14ac:dyDescent="0.25">
      <c r="A662" s="1" t="s">
        <v>1482</v>
      </c>
      <c r="B662" s="1" t="s">
        <v>2547</v>
      </c>
      <c r="C662" s="1" t="s">
        <v>2789</v>
      </c>
      <c r="D662" s="1" t="s">
        <v>3706</v>
      </c>
      <c r="E662" s="1" t="s">
        <v>3707</v>
      </c>
      <c r="F662" s="1" t="s">
        <v>3708</v>
      </c>
      <c r="G662" s="1" t="s">
        <v>1482</v>
      </c>
      <c r="H662" s="1">
        <v>7.3813453510000002</v>
      </c>
      <c r="I662" s="1">
        <v>7.5785686370000001</v>
      </c>
      <c r="J662" s="1">
        <v>6.7018094870000002</v>
      </c>
      <c r="K662" s="1">
        <v>6.7733223929999999</v>
      </c>
      <c r="L662" s="1">
        <v>7.5547401680000004</v>
      </c>
      <c r="M662" s="1">
        <v>7.1326022050000004</v>
      </c>
      <c r="N662" s="1">
        <v>7.9470680439999999</v>
      </c>
      <c r="O662" s="1">
        <v>7.966507376</v>
      </c>
      <c r="P662" s="1">
        <v>6.7660226430000003</v>
      </c>
      <c r="Q662" s="1">
        <v>7.0943357039999997</v>
      </c>
      <c r="R662" s="1">
        <v>6.4143264479999997</v>
      </c>
      <c r="S662" s="1">
        <v>6.8236915869999999</v>
      </c>
      <c r="T662" s="1">
        <v>7.5547401680000004</v>
      </c>
      <c r="U662" s="1">
        <v>7.1326022050000004</v>
      </c>
      <c r="V662" s="1">
        <v>6.9533980599999996</v>
      </c>
      <c r="W662" s="1">
        <v>6.9646536269999997</v>
      </c>
      <c r="X662" s="1">
        <v>6.6361617290000003</v>
      </c>
      <c r="Y662" s="1">
        <v>6.931699879</v>
      </c>
      <c r="Z662" s="1">
        <v>6.4143264479999997</v>
      </c>
      <c r="AA662" s="1">
        <v>6.8236915869999999</v>
      </c>
      <c r="AB662" s="1">
        <v>6.3685053089999997</v>
      </c>
      <c r="AC662" s="1">
        <v>6.5096691079999998</v>
      </c>
      <c r="AD662" s="1">
        <v>6.6102586299999997</v>
      </c>
      <c r="AE662" s="1">
        <v>6.8596318820000004</v>
      </c>
    </row>
    <row r="663" spans="1:31" x14ac:dyDescent="0.25">
      <c r="A663" s="1" t="s">
        <v>1487</v>
      </c>
      <c r="B663" s="1" t="s">
        <v>2667</v>
      </c>
      <c r="C663" s="1" t="s">
        <v>3441</v>
      </c>
      <c r="D663" s="1" t="s">
        <v>3299</v>
      </c>
      <c r="E663" s="1" t="s">
        <v>3709</v>
      </c>
      <c r="F663" s="1" t="s">
        <v>3710</v>
      </c>
      <c r="G663" s="1" t="s">
        <v>1487</v>
      </c>
      <c r="H663" s="1">
        <v>5.6296178589999997</v>
      </c>
      <c r="I663" s="1">
        <v>5.4447012069999996</v>
      </c>
      <c r="J663" s="1">
        <v>6.4286153060000002</v>
      </c>
      <c r="K663" s="1">
        <v>6.2219157379999999</v>
      </c>
      <c r="L663" s="1">
        <v>7.4337752909999999</v>
      </c>
      <c r="M663" s="1">
        <v>7.2451649629999997</v>
      </c>
      <c r="N663" s="1">
        <v>6.1821580860000003</v>
      </c>
      <c r="O663" s="1">
        <v>6.3409804589999998</v>
      </c>
      <c r="P663" s="1">
        <v>6.8220475609999998</v>
      </c>
      <c r="Q663" s="1">
        <v>6.8576352290000004</v>
      </c>
      <c r="R663" s="1">
        <v>7.2127865880000002</v>
      </c>
      <c r="S663" s="1">
        <v>6.7941413900000001</v>
      </c>
      <c r="T663" s="1">
        <v>7.4337752909999999</v>
      </c>
      <c r="U663" s="1">
        <v>7.2451649629999997</v>
      </c>
      <c r="V663" s="1">
        <v>6.4659141040000003</v>
      </c>
      <c r="W663" s="1">
        <v>6.4863052449999996</v>
      </c>
      <c r="X663" s="1">
        <v>6.7667750739999999</v>
      </c>
      <c r="Y663" s="1">
        <v>6.5668682929999997</v>
      </c>
      <c r="Z663" s="1">
        <v>7.2127865880000002</v>
      </c>
      <c r="AA663" s="1">
        <v>6.7941413900000001</v>
      </c>
      <c r="AB663" s="1">
        <v>7.0294463739999999</v>
      </c>
      <c r="AC663" s="1">
        <v>7.1619038179999999</v>
      </c>
      <c r="AD663" s="1">
        <v>6.4768062029999998</v>
      </c>
      <c r="AE663" s="1">
        <v>6.5537692129999998</v>
      </c>
    </row>
    <row r="664" spans="1:31" x14ac:dyDescent="0.25">
      <c r="A664" s="1" t="s">
        <v>1488</v>
      </c>
      <c r="B664" s="1" t="s">
        <v>2530</v>
      </c>
      <c r="C664" s="1" t="s">
        <v>2531</v>
      </c>
      <c r="D664" s="1" t="s">
        <v>2535</v>
      </c>
      <c r="E664" s="1" t="s">
        <v>3711</v>
      </c>
      <c r="G664" s="1" t="s">
        <v>1488</v>
      </c>
      <c r="H664" s="1">
        <v>5.1686839359999999</v>
      </c>
      <c r="I664" s="1">
        <v>5.3676718369999996</v>
      </c>
      <c r="J664" s="1">
        <v>5.4770890750000003</v>
      </c>
      <c r="K664" s="1">
        <v>4.8793048219999999</v>
      </c>
      <c r="L664" s="1">
        <v>5.7398214760000004</v>
      </c>
      <c r="M664" s="1">
        <v>5.5758954550000004</v>
      </c>
      <c r="N664" s="1">
        <v>5.6711351529999998</v>
      </c>
      <c r="O664" s="1">
        <v>5.6647442659999996</v>
      </c>
      <c r="P664" s="1">
        <v>5.4627121560000003</v>
      </c>
      <c r="Q664" s="1">
        <v>5.5780218530000001</v>
      </c>
      <c r="R664" s="1">
        <v>5.6457947050000001</v>
      </c>
      <c r="S664" s="1">
        <v>5.5773053920000004</v>
      </c>
      <c r="T664" s="1">
        <v>5.7398214760000004</v>
      </c>
      <c r="U664" s="1">
        <v>5.5758954550000004</v>
      </c>
      <c r="V664" s="1">
        <v>5.4559769400000002</v>
      </c>
      <c r="W664" s="1">
        <v>5.9072448660000001</v>
      </c>
      <c r="X664" s="1">
        <v>5.7928210719999997</v>
      </c>
      <c r="Y664" s="1">
        <v>5.4613266610000002</v>
      </c>
      <c r="Z664" s="1">
        <v>5.6457947050000001</v>
      </c>
      <c r="AA664" s="1">
        <v>5.5773053920000004</v>
      </c>
      <c r="AB664" s="1">
        <v>5.7218462399999996</v>
      </c>
      <c r="AC664" s="1">
        <v>5.7595305120000004</v>
      </c>
      <c r="AD664" s="1">
        <v>5.5945353439999996</v>
      </c>
      <c r="AE664" s="1">
        <v>5.2497036230000003</v>
      </c>
    </row>
    <row r="665" spans="1:31" x14ac:dyDescent="0.25">
      <c r="A665" s="1" t="s">
        <v>1489</v>
      </c>
      <c r="B665" s="1" t="s">
        <v>2631</v>
      </c>
      <c r="C665" s="1" t="s">
        <v>2531</v>
      </c>
      <c r="D665" s="1" t="s">
        <v>2535</v>
      </c>
      <c r="E665" s="1" t="s">
        <v>3712</v>
      </c>
      <c r="G665" s="1" t="s">
        <v>1489</v>
      </c>
      <c r="H665" s="1">
        <v>4.9322401630000003</v>
      </c>
      <c r="I665" s="1">
        <v>4.7893724280000001</v>
      </c>
      <c r="J665" s="1">
        <v>6.1378545859999996</v>
      </c>
      <c r="K665" s="1">
        <v>5.7206107949999998</v>
      </c>
      <c r="L665" s="1">
        <v>5.5187262759999998</v>
      </c>
      <c r="M665" s="1">
        <v>5.9201092089999996</v>
      </c>
      <c r="N665" s="1">
        <v>5.9416077520000004</v>
      </c>
      <c r="O665" s="1">
        <v>5.4117878270000004</v>
      </c>
      <c r="P665" s="1">
        <v>5.5977847030000003</v>
      </c>
      <c r="Q665" s="1">
        <v>5.5022716190000001</v>
      </c>
      <c r="R665" s="1">
        <v>5.8723300570000001</v>
      </c>
      <c r="S665" s="1">
        <v>5.8024660560000001</v>
      </c>
      <c r="T665" s="1">
        <v>5.5187262759999998</v>
      </c>
      <c r="U665" s="1">
        <v>5.9201092089999996</v>
      </c>
      <c r="V665" s="1">
        <v>6.0800160549999998</v>
      </c>
      <c r="W665" s="1">
        <v>6.0677414089999999</v>
      </c>
      <c r="X665" s="1">
        <v>5.6552604280000001</v>
      </c>
      <c r="Y665" s="1">
        <v>5.8677638710000002</v>
      </c>
      <c r="Z665" s="1">
        <v>5.8723300570000001</v>
      </c>
      <c r="AA665" s="1">
        <v>5.8024660560000001</v>
      </c>
      <c r="AB665" s="1">
        <v>5.6280506069999996</v>
      </c>
      <c r="AC665" s="1">
        <v>5.7882226870000002</v>
      </c>
      <c r="AD665" s="1">
        <v>5.9522696560000004</v>
      </c>
      <c r="AE665" s="1">
        <v>5.6481534240000002</v>
      </c>
    </row>
    <row r="666" spans="1:31" x14ac:dyDescent="0.25">
      <c r="A666" s="1" t="s">
        <v>1490</v>
      </c>
      <c r="B666" s="1" t="s">
        <v>2530</v>
      </c>
      <c r="C666" s="1" t="s">
        <v>2573</v>
      </c>
      <c r="D666" s="1" t="s">
        <v>2535</v>
      </c>
      <c r="E666" s="1" t="s">
        <v>3713</v>
      </c>
      <c r="G666" s="1" t="s">
        <v>1490</v>
      </c>
      <c r="H666" s="1">
        <v>7.9033114419999997</v>
      </c>
      <c r="I666" s="1">
        <v>8.0150122590000006</v>
      </c>
      <c r="J666" s="1">
        <v>9.6724897480000003</v>
      </c>
      <c r="K666" s="1">
        <v>9.4683427009999992</v>
      </c>
      <c r="L666" s="1">
        <v>9.3290895430000003</v>
      </c>
      <c r="M666" s="1">
        <v>9.4733980649999996</v>
      </c>
      <c r="N666" s="1">
        <v>7.9393954750000004</v>
      </c>
      <c r="O666" s="1">
        <v>8.016703132</v>
      </c>
      <c r="P666" s="1">
        <v>9.2437338110000002</v>
      </c>
      <c r="Q666" s="1">
        <v>9.2940601090000001</v>
      </c>
      <c r="R666" s="1">
        <v>9.6419671709999992</v>
      </c>
      <c r="S666" s="1">
        <v>9.5197003979999995</v>
      </c>
      <c r="T666" s="1">
        <v>9.3290895430000003</v>
      </c>
      <c r="U666" s="1">
        <v>9.4733980649999996</v>
      </c>
      <c r="V666" s="1">
        <v>9.3389895349999996</v>
      </c>
      <c r="W666" s="1">
        <v>9.4181649889999992</v>
      </c>
      <c r="X666" s="1">
        <v>9.2657269919999994</v>
      </c>
      <c r="Y666" s="1">
        <v>9.2741989070000006</v>
      </c>
      <c r="Z666" s="1">
        <v>9.6419671709999992</v>
      </c>
      <c r="AA666" s="1">
        <v>9.5197003979999995</v>
      </c>
      <c r="AB666" s="1">
        <v>9.419508617</v>
      </c>
      <c r="AC666" s="1">
        <v>9.3190277839999993</v>
      </c>
      <c r="AD666" s="1">
        <v>9.3969480230000002</v>
      </c>
      <c r="AE666" s="1">
        <v>9.2027190670000003</v>
      </c>
    </row>
    <row r="667" spans="1:31" x14ac:dyDescent="0.25">
      <c r="A667" s="1" t="s">
        <v>1491</v>
      </c>
      <c r="B667" s="1" t="s">
        <v>2579</v>
      </c>
      <c r="C667" s="1" t="s">
        <v>2580</v>
      </c>
      <c r="D667" s="1" t="s">
        <v>2581</v>
      </c>
      <c r="E667" s="1" t="s">
        <v>3714</v>
      </c>
      <c r="F667" s="1" t="s">
        <v>3715</v>
      </c>
      <c r="G667" s="1" t="s">
        <v>1491</v>
      </c>
      <c r="H667" s="1">
        <v>8.7498334809999996</v>
      </c>
      <c r="I667" s="1">
        <v>8.500673999</v>
      </c>
      <c r="J667" s="1">
        <v>10.142010389999999</v>
      </c>
      <c r="K667" s="1">
        <v>9.5984094500000001</v>
      </c>
      <c r="L667" s="1">
        <v>10.384142949999999</v>
      </c>
      <c r="M667" s="1">
        <v>10.596904970000001</v>
      </c>
      <c r="N667" s="1">
        <v>8.4383999369999998</v>
      </c>
      <c r="O667" s="1">
        <v>8.5387168960000004</v>
      </c>
      <c r="P667" s="1">
        <v>10.263858519999999</v>
      </c>
      <c r="Q667" s="1">
        <v>10.40365761</v>
      </c>
      <c r="R667" s="1">
        <v>10.766090159999999</v>
      </c>
      <c r="S667" s="1">
        <v>10.688871929999999</v>
      </c>
      <c r="T667" s="1">
        <v>10.384142949999999</v>
      </c>
      <c r="U667" s="1">
        <v>10.596904970000001</v>
      </c>
      <c r="V667" s="1">
        <v>10.38040629</v>
      </c>
      <c r="W667" s="1">
        <v>10.28162539</v>
      </c>
      <c r="X667" s="1">
        <v>10.287197539999999</v>
      </c>
      <c r="Y667" s="1">
        <v>10.26946673</v>
      </c>
      <c r="Z667" s="1">
        <v>10.766090159999999</v>
      </c>
      <c r="AA667" s="1">
        <v>10.688871929999999</v>
      </c>
      <c r="AB667" s="1">
        <v>10.458996340000001</v>
      </c>
      <c r="AC667" s="1">
        <v>10.536673800000001</v>
      </c>
      <c r="AD667" s="1">
        <v>10.32341694</v>
      </c>
      <c r="AE667" s="1">
        <v>10.271223689999999</v>
      </c>
    </row>
    <row r="668" spans="1:31" x14ac:dyDescent="0.25">
      <c r="A668" s="1" t="s">
        <v>1492</v>
      </c>
      <c r="B668" s="1" t="s">
        <v>2530</v>
      </c>
      <c r="C668" s="1" t="s">
        <v>2573</v>
      </c>
      <c r="D668" s="1" t="s">
        <v>2535</v>
      </c>
      <c r="E668" s="1" t="s">
        <v>3716</v>
      </c>
      <c r="G668" s="1" t="s">
        <v>1492</v>
      </c>
      <c r="H668" s="1">
        <v>6.0380558219999996</v>
      </c>
      <c r="I668" s="1">
        <v>6.2746491359999998</v>
      </c>
      <c r="J668" s="1">
        <v>5.7428701560000004</v>
      </c>
      <c r="K668" s="1">
        <v>5.5322182199999999</v>
      </c>
      <c r="L668" s="1">
        <v>5.9054534529999998</v>
      </c>
      <c r="M668" s="1">
        <v>5.5095176620000004</v>
      </c>
      <c r="N668" s="1">
        <v>6.2458658810000003</v>
      </c>
      <c r="O668" s="1">
        <v>6.5258788709999997</v>
      </c>
      <c r="P668" s="1">
        <v>6.1519221809999998</v>
      </c>
      <c r="Q668" s="1">
        <v>6.098094251</v>
      </c>
      <c r="R668" s="1">
        <v>6.1192055940000003</v>
      </c>
      <c r="S668" s="1">
        <v>6.1213765840000001</v>
      </c>
      <c r="T668" s="1">
        <v>5.9054534529999998</v>
      </c>
      <c r="U668" s="1">
        <v>5.5095176620000004</v>
      </c>
      <c r="V668" s="1">
        <v>6.1817294079999998</v>
      </c>
      <c r="W668" s="1">
        <v>6.0370461979999996</v>
      </c>
      <c r="X668" s="1">
        <v>6.894159889</v>
      </c>
      <c r="Y668" s="1">
        <v>6.8849070279999998</v>
      </c>
      <c r="Z668" s="1">
        <v>6.1192055940000003</v>
      </c>
      <c r="AA668" s="1">
        <v>6.1213765840000001</v>
      </c>
      <c r="AB668" s="1">
        <v>6.4797931459999996</v>
      </c>
      <c r="AC668" s="1">
        <v>6.0708982899999997</v>
      </c>
      <c r="AD668" s="1">
        <v>6.6283518130000001</v>
      </c>
      <c r="AE668" s="1">
        <v>6.8034375320000002</v>
      </c>
    </row>
    <row r="669" spans="1:31" x14ac:dyDescent="0.25">
      <c r="A669" s="1" t="s">
        <v>1495</v>
      </c>
      <c r="B669" s="1" t="s">
        <v>2525</v>
      </c>
      <c r="C669" s="1" t="s">
        <v>3717</v>
      </c>
      <c r="D669" s="1" t="s">
        <v>3718</v>
      </c>
      <c r="E669" s="1" t="s">
        <v>3719</v>
      </c>
      <c r="F669" s="1" t="s">
        <v>3720</v>
      </c>
      <c r="G669" s="1" t="s">
        <v>1495</v>
      </c>
      <c r="H669" s="1">
        <v>2.9945681560000001</v>
      </c>
      <c r="I669" s="1">
        <v>2.8927893610000002</v>
      </c>
      <c r="J669" s="1">
        <v>2.5640169199999998</v>
      </c>
      <c r="K669" s="1">
        <v>1.7393328349999999</v>
      </c>
      <c r="L669" s="1">
        <v>2.8704126319999999</v>
      </c>
      <c r="M669" s="1">
        <v>3.027864058</v>
      </c>
      <c r="N669" s="1">
        <v>3.23577855</v>
      </c>
      <c r="O669" s="1">
        <v>2.6816282820000001</v>
      </c>
      <c r="P669" s="1">
        <v>2.5478783159999998</v>
      </c>
      <c r="Q669" s="1">
        <v>1.7393328349999999</v>
      </c>
      <c r="R669" s="1">
        <v>3.1834741979999999</v>
      </c>
      <c r="S669" s="1">
        <v>2.5733617299999998</v>
      </c>
      <c r="T669" s="1">
        <v>2.8704126319999999</v>
      </c>
      <c r="U669" s="1">
        <v>3.027864058</v>
      </c>
      <c r="V669" s="1">
        <v>3.2389700330000002</v>
      </c>
      <c r="W669" s="1">
        <v>1.7393328349999999</v>
      </c>
      <c r="X669" s="1">
        <v>2.7988456519999998</v>
      </c>
      <c r="Y669" s="1">
        <v>2.9733498090000001</v>
      </c>
      <c r="Z669" s="1">
        <v>3.1834741979999999</v>
      </c>
      <c r="AA669" s="1">
        <v>2.5733617299999998</v>
      </c>
      <c r="AB669" s="1">
        <v>2.73487305</v>
      </c>
      <c r="AC669" s="1">
        <v>1.7393328349999999</v>
      </c>
      <c r="AD669" s="1">
        <v>2.6025990879999998</v>
      </c>
      <c r="AE669" s="1">
        <v>2.3627668220000002</v>
      </c>
    </row>
    <row r="670" spans="1:31" x14ac:dyDescent="0.25">
      <c r="A670" s="1" t="s">
        <v>1505</v>
      </c>
      <c r="B670" s="1" t="s">
        <v>2662</v>
      </c>
      <c r="C670" s="1" t="s">
        <v>3721</v>
      </c>
      <c r="D670" s="1" t="s">
        <v>3722</v>
      </c>
      <c r="E670" s="1" t="s">
        <v>3723</v>
      </c>
      <c r="F670" s="1" t="s">
        <v>3724</v>
      </c>
      <c r="G670" s="1" t="s">
        <v>1505</v>
      </c>
      <c r="H670" s="1">
        <v>5.3712699940000004</v>
      </c>
      <c r="I670" s="1">
        <v>5.9455889470000001</v>
      </c>
      <c r="J670" s="1">
        <v>5.4021237849999997</v>
      </c>
      <c r="K670" s="1">
        <v>4.7454889089999996</v>
      </c>
      <c r="L670" s="1">
        <v>5.4306647579999998</v>
      </c>
      <c r="M670" s="1">
        <v>5.4399015869999996</v>
      </c>
      <c r="N670" s="1">
        <v>5.9720916549999998</v>
      </c>
      <c r="O670" s="1">
        <v>5.3342335859999999</v>
      </c>
      <c r="P670" s="1">
        <v>5.4976972829999999</v>
      </c>
      <c r="Q670" s="1">
        <v>5.4222740280000004</v>
      </c>
      <c r="R670" s="1">
        <v>4.9894654599999999</v>
      </c>
      <c r="S670" s="1">
        <v>5.3915434019999999</v>
      </c>
      <c r="T670" s="1">
        <v>5.4306647579999998</v>
      </c>
      <c r="U670" s="1">
        <v>5.4399015869999996</v>
      </c>
      <c r="V670" s="1">
        <v>5.2455869269999997</v>
      </c>
      <c r="W670" s="1">
        <v>4.9190341039999996</v>
      </c>
      <c r="X670" s="1">
        <v>4.6475707550000003</v>
      </c>
      <c r="Y670" s="1">
        <v>4.9529845589999999</v>
      </c>
      <c r="Z670" s="1">
        <v>4.9894654599999999</v>
      </c>
      <c r="AA670" s="1">
        <v>5.3915434019999999</v>
      </c>
      <c r="AB670" s="1">
        <v>5.3028471579999996</v>
      </c>
      <c r="AC670" s="1">
        <v>4.8610120620000004</v>
      </c>
      <c r="AD670" s="1">
        <v>5.116107059</v>
      </c>
      <c r="AE670" s="1">
        <v>5.0693189500000004</v>
      </c>
    </row>
    <row r="671" spans="1:31" x14ac:dyDescent="0.25">
      <c r="A671" s="1" t="s">
        <v>1506</v>
      </c>
      <c r="B671" s="1" t="s">
        <v>2535</v>
      </c>
      <c r="C671" s="1" t="s">
        <v>2535</v>
      </c>
      <c r="D671" s="1" t="s">
        <v>2535</v>
      </c>
      <c r="E671" s="1" t="s">
        <v>2535</v>
      </c>
      <c r="F671" s="1" t="s">
        <v>2535</v>
      </c>
      <c r="G671" s="1" t="s">
        <v>1506</v>
      </c>
      <c r="H671" s="1">
        <v>3.2549621289999999</v>
      </c>
      <c r="I671" s="1">
        <v>4.5280931029999998</v>
      </c>
      <c r="J671" s="1">
        <v>3.329519721</v>
      </c>
      <c r="K671" s="1">
        <v>2.620638279</v>
      </c>
      <c r="L671" s="1">
        <v>3.2097511390000002</v>
      </c>
      <c r="M671" s="1">
        <v>3.169085575</v>
      </c>
      <c r="N671" s="1">
        <v>3.7779028299999999</v>
      </c>
      <c r="O671" s="1">
        <v>3.6346882059999999</v>
      </c>
      <c r="P671" s="1">
        <v>4.2485661720000003</v>
      </c>
      <c r="Q671" s="1">
        <v>2.935765398</v>
      </c>
      <c r="R671" s="1">
        <v>3.968758995</v>
      </c>
      <c r="S671" s="1">
        <v>2.9034795349999998</v>
      </c>
      <c r="T671" s="1">
        <v>3.2097511390000002</v>
      </c>
      <c r="U671" s="1">
        <v>3.169085575</v>
      </c>
      <c r="V671" s="1">
        <v>4.3879408260000003</v>
      </c>
      <c r="W671" s="1">
        <v>3.2870366010000001</v>
      </c>
      <c r="X671" s="1">
        <v>3.4131791489999999</v>
      </c>
      <c r="Y671" s="1">
        <v>3.9087436480000002</v>
      </c>
      <c r="Z671" s="1">
        <v>3.968758995</v>
      </c>
      <c r="AA671" s="1">
        <v>2.9034795349999998</v>
      </c>
      <c r="AB671" s="1">
        <v>3.1218319999999999</v>
      </c>
      <c r="AC671" s="1">
        <v>3.1109927919999998</v>
      </c>
      <c r="AD671" s="1">
        <v>3.5727029510000001</v>
      </c>
      <c r="AE671" s="1">
        <v>3.67472814</v>
      </c>
    </row>
    <row r="672" spans="1:31" x14ac:dyDescent="0.25">
      <c r="A672" s="1" t="s">
        <v>1507</v>
      </c>
      <c r="B672" s="1" t="s">
        <v>2662</v>
      </c>
      <c r="C672" s="1" t="s">
        <v>3721</v>
      </c>
      <c r="D672" s="1" t="s">
        <v>3722</v>
      </c>
      <c r="E672" s="1" t="s">
        <v>3725</v>
      </c>
      <c r="G672" s="1" t="s">
        <v>1507</v>
      </c>
      <c r="H672" s="1">
        <v>5.2221022919999998</v>
      </c>
      <c r="I672" s="1">
        <v>4.9575946069999999</v>
      </c>
      <c r="J672" s="1">
        <v>5.7428701560000004</v>
      </c>
      <c r="K672" s="1">
        <v>5.1139224319999999</v>
      </c>
      <c r="L672" s="1">
        <v>5.8791437640000002</v>
      </c>
      <c r="M672" s="1">
        <v>5.9201092089999996</v>
      </c>
      <c r="N672" s="1">
        <v>4.5776172920000002</v>
      </c>
      <c r="O672" s="1">
        <v>4.4368189940000002</v>
      </c>
      <c r="P672" s="1">
        <v>5.7791106289999998</v>
      </c>
      <c r="Q672" s="1">
        <v>5.8154013029999998</v>
      </c>
      <c r="R672" s="1">
        <v>5.7472990829999997</v>
      </c>
      <c r="S672" s="1">
        <v>6.1213765840000001</v>
      </c>
      <c r="T672" s="1">
        <v>5.8791437640000002</v>
      </c>
      <c r="U672" s="1">
        <v>5.9201092089999996</v>
      </c>
      <c r="V672" s="1">
        <v>5.8520207290000004</v>
      </c>
      <c r="W672" s="1">
        <v>5.5195577800000004</v>
      </c>
      <c r="X672" s="1">
        <v>5.8725355390000002</v>
      </c>
      <c r="Y672" s="1">
        <v>5.6604650660000004</v>
      </c>
      <c r="Z672" s="1">
        <v>5.7472990829999997</v>
      </c>
      <c r="AA672" s="1">
        <v>6.1213765840000001</v>
      </c>
      <c r="AB672" s="1">
        <v>5.7218462399999996</v>
      </c>
      <c r="AC672" s="1">
        <v>5.5065733579999998</v>
      </c>
      <c r="AD672" s="1">
        <v>5.5571020090000003</v>
      </c>
      <c r="AE672" s="1">
        <v>5.49371411</v>
      </c>
    </row>
    <row r="673" spans="1:31" x14ac:dyDescent="0.25">
      <c r="A673" s="1" t="s">
        <v>1511</v>
      </c>
      <c r="B673" s="1" t="s">
        <v>2642</v>
      </c>
      <c r="C673" s="1" t="s">
        <v>2643</v>
      </c>
      <c r="D673" s="1" t="s">
        <v>2687</v>
      </c>
      <c r="E673" s="1" t="s">
        <v>3726</v>
      </c>
      <c r="F673" s="1" t="s">
        <v>3727</v>
      </c>
      <c r="G673" s="1" t="s">
        <v>1511</v>
      </c>
      <c r="H673" s="1">
        <v>5.1686839359999999</v>
      </c>
      <c r="I673" s="1">
        <v>4.903725959</v>
      </c>
      <c r="J673" s="1">
        <v>5.5131441250000002</v>
      </c>
      <c r="K673" s="1">
        <v>4.5974987220000001</v>
      </c>
      <c r="L673" s="1">
        <v>5.9816045750000004</v>
      </c>
      <c r="M673" s="1">
        <v>5.7958869929999999</v>
      </c>
      <c r="N673" s="1">
        <v>4.8346471299999996</v>
      </c>
      <c r="O673" s="1">
        <v>4.9731423550000002</v>
      </c>
      <c r="P673" s="1">
        <v>5.3134950500000002</v>
      </c>
      <c r="Q673" s="1">
        <v>5.5406489910000003</v>
      </c>
      <c r="R673" s="1">
        <v>5.7142579380000003</v>
      </c>
      <c r="S673" s="1">
        <v>5.0824952919999999</v>
      </c>
      <c r="T673" s="1">
        <v>5.9816045750000004</v>
      </c>
      <c r="U673" s="1">
        <v>5.7958869929999999</v>
      </c>
      <c r="V673" s="1">
        <v>5.1274300740000003</v>
      </c>
      <c r="W673" s="1">
        <v>5.2236621110000003</v>
      </c>
      <c r="X673" s="1">
        <v>5.2866392680000001</v>
      </c>
      <c r="Y673" s="1">
        <v>5.8352313850000002</v>
      </c>
      <c r="Z673" s="1">
        <v>5.7142579380000003</v>
      </c>
      <c r="AA673" s="1">
        <v>5.0824952919999999</v>
      </c>
      <c r="AB673" s="1">
        <v>5.5276660309999999</v>
      </c>
      <c r="AC673" s="1">
        <v>5.5407520860000004</v>
      </c>
      <c r="AD673" s="1">
        <v>4.8924744240000004</v>
      </c>
      <c r="AE673" s="1">
        <v>5.2252968339999999</v>
      </c>
    </row>
    <row r="674" spans="1:31" x14ac:dyDescent="0.25">
      <c r="A674" s="1" t="s">
        <v>1512</v>
      </c>
      <c r="B674" s="1" t="s">
        <v>2539</v>
      </c>
      <c r="C674" s="1" t="s">
        <v>2606</v>
      </c>
      <c r="D674" s="1" t="s">
        <v>3536</v>
      </c>
      <c r="E674" s="1" t="s">
        <v>3728</v>
      </c>
      <c r="G674" s="1" t="s">
        <v>1512</v>
      </c>
      <c r="H674" s="1">
        <v>7.5253267800000003</v>
      </c>
      <c r="I674" s="1">
        <v>7.5089557219999996</v>
      </c>
      <c r="J674" s="1">
        <v>7.4212376869999996</v>
      </c>
      <c r="K674" s="1">
        <v>6.9488037440000001</v>
      </c>
      <c r="L674" s="1">
        <v>7.7264315059999999</v>
      </c>
      <c r="M674" s="1">
        <v>7.8318950620000001</v>
      </c>
      <c r="N674" s="1">
        <v>7.8398766289999999</v>
      </c>
      <c r="O674" s="1">
        <v>7.648738936</v>
      </c>
      <c r="P674" s="1">
        <v>7.599320348</v>
      </c>
      <c r="Q674" s="1">
        <v>7.5524433919999998</v>
      </c>
      <c r="R674" s="1">
        <v>8.0807266660000003</v>
      </c>
      <c r="S674" s="1">
        <v>7.8761314679999996</v>
      </c>
      <c r="T674" s="1">
        <v>7.7264315059999999</v>
      </c>
      <c r="U674" s="1">
        <v>7.8318950620000001</v>
      </c>
      <c r="V674" s="1">
        <v>7.7917695350000002</v>
      </c>
      <c r="W674" s="1">
        <v>7.589023847</v>
      </c>
      <c r="X674" s="1">
        <v>7.850032315</v>
      </c>
      <c r="Y674" s="1">
        <v>7.8362725439999998</v>
      </c>
      <c r="Z674" s="1">
        <v>8.0807266660000003</v>
      </c>
      <c r="AA674" s="1">
        <v>7.8761314679999996</v>
      </c>
      <c r="AB674" s="1">
        <v>8.2258899349999997</v>
      </c>
      <c r="AC674" s="1">
        <v>8.0772575900000003</v>
      </c>
      <c r="AD674" s="1">
        <v>8.1231377410000007</v>
      </c>
      <c r="AE674" s="1">
        <v>7.4253368870000003</v>
      </c>
    </row>
    <row r="675" spans="1:31" x14ac:dyDescent="0.25">
      <c r="A675" s="1" t="s">
        <v>1513</v>
      </c>
      <c r="B675" s="1" t="s">
        <v>2530</v>
      </c>
      <c r="C675" s="1" t="s">
        <v>2531</v>
      </c>
      <c r="D675" s="1" t="s">
        <v>2535</v>
      </c>
      <c r="E675" s="1" t="s">
        <v>3729</v>
      </c>
      <c r="G675" s="1" t="s">
        <v>1513</v>
      </c>
      <c r="H675" s="1">
        <v>7.1547827179999999</v>
      </c>
      <c r="I675" s="1">
        <v>6.8823647440000002</v>
      </c>
      <c r="J675" s="1">
        <v>5.6488969620000002</v>
      </c>
      <c r="K675" s="1">
        <v>6.0075713720000001</v>
      </c>
      <c r="L675" s="1">
        <v>6.0539165129999999</v>
      </c>
      <c r="M675" s="1">
        <v>5.868183685</v>
      </c>
      <c r="N675" s="1">
        <v>6.8643369359999999</v>
      </c>
      <c r="O675" s="1">
        <v>7.1078454000000004</v>
      </c>
      <c r="P675" s="1">
        <v>6.429694821</v>
      </c>
      <c r="Q675" s="1">
        <v>6.1972278550000004</v>
      </c>
      <c r="R675" s="1">
        <v>5.8111782390000002</v>
      </c>
      <c r="S675" s="1">
        <v>5.8024660560000001</v>
      </c>
      <c r="T675" s="1">
        <v>6.0539165129999999</v>
      </c>
      <c r="U675" s="1">
        <v>5.868183685</v>
      </c>
      <c r="V675" s="1">
        <v>5.6676649780000004</v>
      </c>
      <c r="W675" s="1">
        <v>6.3925275360000002</v>
      </c>
      <c r="X675" s="1">
        <v>6.3880871680000002</v>
      </c>
      <c r="Y675" s="1">
        <v>6.5062933870000004</v>
      </c>
      <c r="Z675" s="1">
        <v>5.8111782390000002</v>
      </c>
      <c r="AA675" s="1">
        <v>5.8024660560000001</v>
      </c>
      <c r="AB675" s="1">
        <v>5.9711898400000001</v>
      </c>
      <c r="AC675" s="1">
        <v>5.9991619270000003</v>
      </c>
      <c r="AD675" s="1">
        <v>6.284744441</v>
      </c>
      <c r="AE675" s="1">
        <v>6.4529509149999997</v>
      </c>
    </row>
    <row r="676" spans="1:31" x14ac:dyDescent="0.25">
      <c r="A676" s="1" t="s">
        <v>1517</v>
      </c>
      <c r="B676" s="1" t="s">
        <v>2547</v>
      </c>
      <c r="C676" s="1" t="s">
        <v>2566</v>
      </c>
      <c r="D676" s="1" t="s">
        <v>3005</v>
      </c>
      <c r="E676" s="1" t="s">
        <v>3730</v>
      </c>
      <c r="F676" s="1" t="s">
        <v>3731</v>
      </c>
      <c r="G676" s="1" t="s">
        <v>1517</v>
      </c>
      <c r="H676" s="1">
        <v>7.6848174159999996</v>
      </c>
      <c r="I676" s="1">
        <v>7.500012935</v>
      </c>
      <c r="J676" s="1">
        <v>6.5372293419999998</v>
      </c>
      <c r="K676" s="1">
        <v>6.7038094560000001</v>
      </c>
      <c r="L676" s="1">
        <v>7.0427144589999999</v>
      </c>
      <c r="M676" s="1">
        <v>7.0104963189999996</v>
      </c>
      <c r="N676" s="1">
        <v>7.082166494</v>
      </c>
      <c r="O676" s="1">
        <v>7.7059544679999998</v>
      </c>
      <c r="P676" s="1">
        <v>6.75166909</v>
      </c>
      <c r="Q676" s="1">
        <v>7.0943357039999997</v>
      </c>
      <c r="R676" s="1">
        <v>7.2009502379999999</v>
      </c>
      <c r="S676" s="1">
        <v>6.8526476350000003</v>
      </c>
      <c r="T676" s="1">
        <v>7.0427144589999999</v>
      </c>
      <c r="U676" s="1">
        <v>7.0104963189999996</v>
      </c>
      <c r="V676" s="1">
        <v>6.8084999039999996</v>
      </c>
      <c r="W676" s="1">
        <v>6.3925275360000002</v>
      </c>
      <c r="X676" s="1">
        <v>7.2679051220000002</v>
      </c>
      <c r="Y676" s="1">
        <v>6.9770204600000003</v>
      </c>
      <c r="Z676" s="1">
        <v>7.2009502379999999</v>
      </c>
      <c r="AA676" s="1">
        <v>6.8526476350000003</v>
      </c>
      <c r="AB676" s="1">
        <v>6.3971449009999999</v>
      </c>
      <c r="AC676" s="1">
        <v>7.1619038179999999</v>
      </c>
      <c r="AD676" s="1">
        <v>6.6985326699999996</v>
      </c>
      <c r="AE676" s="1">
        <v>7.0510357859999999</v>
      </c>
    </row>
    <row r="677" spans="1:31" x14ac:dyDescent="0.25">
      <c r="A677" s="1" t="s">
        <v>1518</v>
      </c>
      <c r="B677" s="1" t="s">
        <v>2530</v>
      </c>
      <c r="C677" s="1" t="s">
        <v>2531</v>
      </c>
      <c r="D677" s="1" t="s">
        <v>2535</v>
      </c>
      <c r="E677" s="1" t="s">
        <v>2536</v>
      </c>
      <c r="G677" s="1" t="s">
        <v>1518</v>
      </c>
      <c r="H677" s="1">
        <v>7.1272614729999999</v>
      </c>
      <c r="I677" s="1">
        <v>6.6912039060000001</v>
      </c>
      <c r="J677" s="1">
        <v>6.7477255810000001</v>
      </c>
      <c r="K677" s="1">
        <v>6.8557452210000003</v>
      </c>
      <c r="L677" s="1">
        <v>6.3879841260000001</v>
      </c>
      <c r="M677" s="1">
        <v>6.3564838049999999</v>
      </c>
      <c r="N677" s="1">
        <v>6.1425317259999996</v>
      </c>
      <c r="O677" s="1">
        <v>6.6155634619999999</v>
      </c>
      <c r="P677" s="1">
        <v>6.8759744009999997</v>
      </c>
      <c r="Q677" s="1">
        <v>7.2173337469999996</v>
      </c>
      <c r="R677" s="1">
        <v>6.9970160760000004</v>
      </c>
      <c r="S677" s="1">
        <v>6.8089922789999999</v>
      </c>
      <c r="T677" s="1">
        <v>6.3879841260000001</v>
      </c>
      <c r="U677" s="1">
        <v>6.3564838049999999</v>
      </c>
      <c r="V677" s="1">
        <v>6.3484277020000004</v>
      </c>
      <c r="W677" s="1">
        <v>6.7357424699999999</v>
      </c>
      <c r="X677" s="1">
        <v>7.3141843419999999</v>
      </c>
      <c r="Y677" s="1">
        <v>6.8689654070000001</v>
      </c>
      <c r="Z677" s="1">
        <v>6.9970160760000004</v>
      </c>
      <c r="AA677" s="1">
        <v>6.8089922789999999</v>
      </c>
      <c r="AB677" s="1">
        <v>7.1687117850000002</v>
      </c>
      <c r="AC677" s="1">
        <v>7.336648372</v>
      </c>
      <c r="AD677" s="1">
        <v>7.2236412720000001</v>
      </c>
      <c r="AE677" s="1">
        <v>7.0985007339999999</v>
      </c>
    </row>
    <row r="678" spans="1:31" x14ac:dyDescent="0.25">
      <c r="A678" s="1" t="s">
        <v>1520</v>
      </c>
      <c r="B678" s="1" t="s">
        <v>2525</v>
      </c>
      <c r="C678" s="1" t="s">
        <v>3175</v>
      </c>
      <c r="D678" s="1" t="s">
        <v>3602</v>
      </c>
      <c r="E678" s="1" t="s">
        <v>3732</v>
      </c>
      <c r="F678" s="1" t="s">
        <v>3733</v>
      </c>
      <c r="G678" s="1" t="s">
        <v>1520</v>
      </c>
      <c r="H678" s="1">
        <v>4.7245801409999997</v>
      </c>
      <c r="I678" s="1">
        <v>5.9974724879999997</v>
      </c>
      <c r="J678" s="1">
        <v>5.3229940280000001</v>
      </c>
      <c r="K678" s="1">
        <v>5.8552832600000002</v>
      </c>
      <c r="L678" s="1">
        <v>5.58546151</v>
      </c>
      <c r="M678" s="1">
        <v>5.7000608240000004</v>
      </c>
      <c r="N678" s="1">
        <v>5.4717898820000004</v>
      </c>
      <c r="O678" s="1">
        <v>5.4853382609999999</v>
      </c>
      <c r="P678" s="1">
        <v>5.3522904530000002</v>
      </c>
      <c r="Q678" s="1">
        <v>5.2931690810000003</v>
      </c>
      <c r="R678" s="1">
        <v>5.8111782390000002</v>
      </c>
      <c r="S678" s="1">
        <v>5.6117239269999999</v>
      </c>
      <c r="T678" s="1">
        <v>5.58546151</v>
      </c>
      <c r="U678" s="1">
        <v>5.7000608240000004</v>
      </c>
      <c r="V678" s="1">
        <v>5.7495972609999999</v>
      </c>
      <c r="W678" s="1">
        <v>5.4743148909999997</v>
      </c>
      <c r="X678" s="1">
        <v>5.2866392680000001</v>
      </c>
      <c r="Y678" s="1">
        <v>5.5443425189999997</v>
      </c>
      <c r="Z678" s="1">
        <v>5.8111782390000002</v>
      </c>
      <c r="AA678" s="1">
        <v>5.6117239269999999</v>
      </c>
      <c r="AB678" s="1">
        <v>4.7958605490000004</v>
      </c>
      <c r="AC678" s="1">
        <v>5.0158027430000001</v>
      </c>
      <c r="AD678" s="1">
        <v>5.396704357</v>
      </c>
      <c r="AE678" s="1">
        <v>5.5536024810000004</v>
      </c>
    </row>
    <row r="679" spans="1:31" x14ac:dyDescent="0.25">
      <c r="A679" s="1" t="s">
        <v>1521</v>
      </c>
      <c r="B679" s="1" t="s">
        <v>2598</v>
      </c>
      <c r="C679" s="1" t="s">
        <v>2599</v>
      </c>
      <c r="D679" s="1" t="s">
        <v>3080</v>
      </c>
      <c r="E679" s="1" t="s">
        <v>3734</v>
      </c>
      <c r="F679" s="1" t="s">
        <v>3735</v>
      </c>
      <c r="G679" s="1" t="s">
        <v>1521</v>
      </c>
      <c r="H679" s="1">
        <v>4.7972697699999998</v>
      </c>
      <c r="I679" s="1">
        <v>4.9575946069999999</v>
      </c>
      <c r="J679" s="1">
        <v>5.6809121170000001</v>
      </c>
      <c r="K679" s="1">
        <v>5.6105789259999996</v>
      </c>
      <c r="L679" s="1">
        <v>5.6016693059999998</v>
      </c>
      <c r="M679" s="1">
        <v>5.9030088159999998</v>
      </c>
      <c r="N679" s="1">
        <v>5.1623684499999998</v>
      </c>
      <c r="O679" s="1">
        <v>5.600077969</v>
      </c>
      <c r="P679" s="1">
        <v>5.4976972829999999</v>
      </c>
      <c r="Q679" s="1">
        <v>5.9062084209999997</v>
      </c>
      <c r="R679" s="1">
        <v>6.0678975499999996</v>
      </c>
      <c r="S679" s="1">
        <v>5.8890842929999998</v>
      </c>
      <c r="T679" s="1">
        <v>5.6016693059999998</v>
      </c>
      <c r="U679" s="1">
        <v>5.9030088159999998</v>
      </c>
      <c r="V679" s="1">
        <v>5.8270932010000003</v>
      </c>
      <c r="W679" s="1">
        <v>4.7760085830000003</v>
      </c>
      <c r="X679" s="1">
        <v>5.8252409690000002</v>
      </c>
      <c r="Y679" s="1">
        <v>5.3269702959999998</v>
      </c>
      <c r="Z679" s="1">
        <v>6.0678975499999996</v>
      </c>
      <c r="AA679" s="1">
        <v>5.8890842929999998</v>
      </c>
      <c r="AB679" s="1">
        <v>6.1835402750000004</v>
      </c>
      <c r="AC679" s="1">
        <v>5.7882226870000002</v>
      </c>
      <c r="AD679" s="1">
        <v>5.9231977699999998</v>
      </c>
      <c r="AE679" s="1">
        <v>5.5730198079999997</v>
      </c>
    </row>
    <row r="680" spans="1:31" x14ac:dyDescent="0.25">
      <c r="A680" s="1" t="s">
        <v>1524</v>
      </c>
      <c r="B680" s="1" t="s">
        <v>2530</v>
      </c>
      <c r="C680" s="1" t="s">
        <v>2531</v>
      </c>
      <c r="D680" s="1" t="s">
        <v>2535</v>
      </c>
      <c r="E680" s="1" t="s">
        <v>3736</v>
      </c>
      <c r="F680" s="1" t="s">
        <v>3737</v>
      </c>
      <c r="G680" s="1" t="s">
        <v>1524</v>
      </c>
      <c r="H680" s="1">
        <v>7.0115982959999998</v>
      </c>
      <c r="I680" s="1">
        <v>7.0873869479999998</v>
      </c>
      <c r="J680" s="1">
        <v>6.2053027219999999</v>
      </c>
      <c r="K680" s="1">
        <v>6.5928106870000001</v>
      </c>
      <c r="L680" s="1">
        <v>5.2569846910000004</v>
      </c>
      <c r="M680" s="1">
        <v>4.9642129490000002</v>
      </c>
      <c r="N680" s="1">
        <v>6.3653884090000004</v>
      </c>
      <c r="O680" s="1">
        <v>6.953109897</v>
      </c>
      <c r="P680" s="1">
        <v>6.0141943849999997</v>
      </c>
      <c r="Q680" s="1">
        <v>5.5406489910000003</v>
      </c>
      <c r="R680" s="1">
        <v>5.458747732</v>
      </c>
      <c r="S680" s="1">
        <v>5.6117239269999999</v>
      </c>
      <c r="T680" s="1">
        <v>5.2569846910000004</v>
      </c>
      <c r="U680" s="1">
        <v>4.9642129490000002</v>
      </c>
      <c r="V680" s="1">
        <v>5.0428039150000004</v>
      </c>
      <c r="W680" s="1">
        <v>4.9854391920000003</v>
      </c>
      <c r="X680" s="1">
        <v>4.9146300209999998</v>
      </c>
      <c r="Y680" s="1">
        <v>5.0702808140000002</v>
      </c>
      <c r="Z680" s="1">
        <v>5.458747732</v>
      </c>
      <c r="AA680" s="1">
        <v>5.6117239269999999</v>
      </c>
      <c r="AB680" s="1">
        <v>5.2406211000000003</v>
      </c>
      <c r="AC680" s="1">
        <v>4.9660712470000004</v>
      </c>
      <c r="AD680" s="1">
        <v>5.3091856960000001</v>
      </c>
      <c r="AE680" s="1">
        <v>5.0415666330000004</v>
      </c>
    </row>
    <row r="681" spans="1:31" x14ac:dyDescent="0.25">
      <c r="A681" s="1" t="s">
        <v>1529</v>
      </c>
      <c r="B681" s="1" t="s">
        <v>2579</v>
      </c>
      <c r="C681" s="1" t="s">
        <v>2580</v>
      </c>
      <c r="D681" s="1" t="s">
        <v>3035</v>
      </c>
      <c r="E681" s="1" t="s">
        <v>3738</v>
      </c>
      <c r="F681" s="1" t="s">
        <v>3739</v>
      </c>
      <c r="G681" s="1" t="s">
        <v>1529</v>
      </c>
      <c r="H681" s="1">
        <v>10.17962955</v>
      </c>
      <c r="I681" s="1">
        <v>9.5878600679999995</v>
      </c>
      <c r="J681" s="1">
        <v>9.9752912439999992</v>
      </c>
      <c r="K681" s="1">
        <v>10.025845139999999</v>
      </c>
      <c r="L681" s="1">
        <v>10.313676020000001</v>
      </c>
      <c r="M681" s="1">
        <v>10.449119079999999</v>
      </c>
      <c r="N681" s="1">
        <v>8.7569950009999999</v>
      </c>
      <c r="O681" s="1">
        <v>9.0593052099999998</v>
      </c>
      <c r="P681" s="1">
        <v>9.8863005029999993</v>
      </c>
      <c r="Q681" s="1">
        <v>10.052132930000001</v>
      </c>
      <c r="R681" s="1">
        <v>10.20526181</v>
      </c>
      <c r="S681" s="1">
        <v>10.051222170000001</v>
      </c>
      <c r="T681" s="1">
        <v>10.313676020000001</v>
      </c>
      <c r="U681" s="1">
        <v>10.449119079999999</v>
      </c>
      <c r="V681" s="1">
        <v>9.7089894300000008</v>
      </c>
      <c r="W681" s="1">
        <v>9.9591775039999995</v>
      </c>
      <c r="X681" s="1">
        <v>10.40809402</v>
      </c>
      <c r="Y681" s="1">
        <v>9.772850365</v>
      </c>
      <c r="Z681" s="1">
        <v>10.20526181</v>
      </c>
      <c r="AA681" s="1">
        <v>10.051222170000001</v>
      </c>
      <c r="AB681" s="1">
        <v>9.8054901070000007</v>
      </c>
      <c r="AC681" s="1">
        <v>10.06075231</v>
      </c>
      <c r="AD681" s="1">
        <v>10.05605147</v>
      </c>
      <c r="AE681" s="1">
        <v>9.9670235599999994</v>
      </c>
    </row>
    <row r="682" spans="1:31" x14ac:dyDescent="0.25">
      <c r="A682" s="1" t="s">
        <v>1530</v>
      </c>
      <c r="B682" s="1" t="s">
        <v>2520</v>
      </c>
      <c r="C682" s="1" t="s">
        <v>2646</v>
      </c>
      <c r="D682" s="1" t="s">
        <v>3740</v>
      </c>
      <c r="E682" s="1" t="s">
        <v>3741</v>
      </c>
      <c r="F682" s="1" t="s">
        <v>3742</v>
      </c>
      <c r="G682" s="1" t="s">
        <v>1530</v>
      </c>
      <c r="H682" s="1">
        <v>10.611742339999999</v>
      </c>
      <c r="I682" s="1">
        <v>10.349990930000001</v>
      </c>
      <c r="J682" s="1">
        <v>10.56563124</v>
      </c>
      <c r="K682" s="1">
        <v>10.355159670000001</v>
      </c>
      <c r="L682" s="1">
        <v>10.54553744</v>
      </c>
      <c r="M682" s="1">
        <v>10.616646879999999</v>
      </c>
      <c r="N682" s="1">
        <v>9.6818105360000004</v>
      </c>
      <c r="O682" s="1">
        <v>9.7376235169999994</v>
      </c>
      <c r="P682" s="1">
        <v>10.24350604</v>
      </c>
      <c r="Q682" s="1">
        <v>10.38673019</v>
      </c>
      <c r="R682" s="1">
        <v>10.626025240000001</v>
      </c>
      <c r="S682" s="1">
        <v>10.49146444</v>
      </c>
      <c r="T682" s="1">
        <v>10.54553744</v>
      </c>
      <c r="U682" s="1">
        <v>10.616646879999999</v>
      </c>
      <c r="V682" s="1">
        <v>10.48932083</v>
      </c>
      <c r="W682" s="1">
        <v>10.55043564</v>
      </c>
      <c r="X682" s="1">
        <v>10.3509935</v>
      </c>
      <c r="Y682" s="1">
        <v>10.240355409999999</v>
      </c>
      <c r="Z682" s="1">
        <v>10.626025240000001</v>
      </c>
      <c r="AA682" s="1">
        <v>10.49146444</v>
      </c>
      <c r="AB682" s="1">
        <v>10.472494899999999</v>
      </c>
      <c r="AC682" s="1">
        <v>10.59244123</v>
      </c>
      <c r="AD682" s="1">
        <v>10.43029168</v>
      </c>
      <c r="AE682" s="1">
        <v>10.312758329999999</v>
      </c>
    </row>
    <row r="683" spans="1:31" x14ac:dyDescent="0.25">
      <c r="A683" s="1" t="s">
        <v>1531</v>
      </c>
      <c r="B683" s="1" t="s">
        <v>2579</v>
      </c>
      <c r="C683" s="1" t="s">
        <v>2580</v>
      </c>
      <c r="D683" s="1" t="s">
        <v>3743</v>
      </c>
      <c r="E683" s="1" t="s">
        <v>3744</v>
      </c>
      <c r="F683" s="1" t="s">
        <v>3745</v>
      </c>
      <c r="G683" s="1" t="s">
        <v>1531</v>
      </c>
      <c r="H683" s="1">
        <v>11.869527209999999</v>
      </c>
      <c r="I683" s="1">
        <v>11.108230539999999</v>
      </c>
      <c r="J683" s="1">
        <v>11.818972840000001</v>
      </c>
      <c r="K683" s="1">
        <v>11.589685469999999</v>
      </c>
      <c r="L683" s="1">
        <v>11.522331039999999</v>
      </c>
      <c r="M683" s="1">
        <v>11.843747219999999</v>
      </c>
      <c r="N683" s="1">
        <v>10.111096460000001</v>
      </c>
      <c r="O683" s="1">
        <v>10.640255059999999</v>
      </c>
      <c r="P683" s="1">
        <v>11.56733537</v>
      </c>
      <c r="Q683" s="1">
        <v>11.55265919</v>
      </c>
      <c r="R683" s="1">
        <v>12.001041969999999</v>
      </c>
      <c r="S683" s="1">
        <v>11.931992599999999</v>
      </c>
      <c r="T683" s="1">
        <v>11.522331039999999</v>
      </c>
      <c r="U683" s="1">
        <v>11.843747219999999</v>
      </c>
      <c r="V683" s="1">
        <v>11.90264949</v>
      </c>
      <c r="W683" s="1">
        <v>11.995863379999999</v>
      </c>
      <c r="X683" s="1">
        <v>11.861433180000001</v>
      </c>
      <c r="Y683" s="1">
        <v>11.527061829999999</v>
      </c>
      <c r="Z683" s="1">
        <v>12.001041969999999</v>
      </c>
      <c r="AA683" s="1">
        <v>11.931992599999999</v>
      </c>
      <c r="AB683" s="1">
        <v>11.960764599999999</v>
      </c>
      <c r="AC683" s="1">
        <v>12.04401884</v>
      </c>
      <c r="AD683" s="1">
        <v>11.70050934</v>
      </c>
      <c r="AE683" s="1">
        <v>11.65839828</v>
      </c>
    </row>
    <row r="684" spans="1:31" x14ac:dyDescent="0.25">
      <c r="A684" s="1" t="s">
        <v>1536</v>
      </c>
      <c r="B684" s="1" t="s">
        <v>2557</v>
      </c>
      <c r="C684" s="1" t="s">
        <v>2680</v>
      </c>
      <c r="D684" s="1" t="s">
        <v>2939</v>
      </c>
      <c r="E684" s="1" t="s">
        <v>3746</v>
      </c>
      <c r="F684" s="1" t="s">
        <v>3747</v>
      </c>
      <c r="G684" s="1" t="s">
        <v>1536</v>
      </c>
      <c r="H684" s="1">
        <v>3.6455184960000002</v>
      </c>
      <c r="I684" s="1">
        <v>4.2055918060000002</v>
      </c>
      <c r="J684" s="1">
        <v>7.5902739710000002</v>
      </c>
      <c r="K684" s="1">
        <v>6.6119151140000003</v>
      </c>
      <c r="L684" s="1">
        <v>8.0657683119999994</v>
      </c>
      <c r="M684" s="1">
        <v>8.3675681189999995</v>
      </c>
      <c r="N684" s="1">
        <v>4.9930900400000002</v>
      </c>
      <c r="O684" s="1">
        <v>5.1349072580000001</v>
      </c>
      <c r="P684" s="1">
        <v>7.623154285</v>
      </c>
      <c r="Q684" s="1">
        <v>7.6690701580000002</v>
      </c>
      <c r="R684" s="1">
        <v>8.3073105940000005</v>
      </c>
      <c r="S684" s="1">
        <v>8.1511593209999997</v>
      </c>
      <c r="T684" s="1">
        <v>8.0657683119999994</v>
      </c>
      <c r="U684" s="1">
        <v>8.3675681189999995</v>
      </c>
      <c r="V684" s="1">
        <v>7.8172290640000002</v>
      </c>
      <c r="W684" s="1">
        <v>7.9593889969999996</v>
      </c>
      <c r="X684" s="1">
        <v>8.1848574920000008</v>
      </c>
      <c r="Y684" s="1">
        <v>7.4213935639999997</v>
      </c>
      <c r="Z684" s="1">
        <v>8.3073105940000005</v>
      </c>
      <c r="AA684" s="1">
        <v>8.1511593209999997</v>
      </c>
      <c r="AB684" s="1">
        <v>8.056950552</v>
      </c>
      <c r="AC684" s="1">
        <v>8.2099687229999994</v>
      </c>
      <c r="AD684" s="1">
        <v>7.7465640730000001</v>
      </c>
      <c r="AE684" s="1">
        <v>7.7857043829999997</v>
      </c>
    </row>
    <row r="685" spans="1:31" x14ac:dyDescent="0.25">
      <c r="A685" s="1" t="s">
        <v>1540</v>
      </c>
      <c r="B685" s="1" t="s">
        <v>2557</v>
      </c>
      <c r="C685" s="1" t="s">
        <v>2531</v>
      </c>
      <c r="D685" s="1" t="s">
        <v>3748</v>
      </c>
      <c r="E685" s="1" t="s">
        <v>3749</v>
      </c>
      <c r="F685" s="1" t="s">
        <v>3750</v>
      </c>
      <c r="G685" s="1" t="s">
        <v>1540</v>
      </c>
      <c r="H685" s="1">
        <v>6.4475933449999996</v>
      </c>
      <c r="I685" s="1">
        <v>6.1880668090000004</v>
      </c>
      <c r="J685" s="1">
        <v>4.7851628320000001</v>
      </c>
      <c r="K685" s="1">
        <v>5.0014827119999996</v>
      </c>
      <c r="L685" s="1">
        <v>4.5867597299999998</v>
      </c>
      <c r="M685" s="1">
        <v>4.2945656129999996</v>
      </c>
      <c r="N685" s="1">
        <v>6.0166363460000003</v>
      </c>
      <c r="O685" s="1">
        <v>6.2458213499999999</v>
      </c>
      <c r="P685" s="1">
        <v>4.7972962780000001</v>
      </c>
      <c r="Q685" s="1">
        <v>4.4575363990000003</v>
      </c>
      <c r="R685" s="1">
        <v>4.1841942410000001</v>
      </c>
      <c r="S685" s="1">
        <v>4.1304223819999999</v>
      </c>
      <c r="T685" s="1">
        <v>4.5867597299999998</v>
      </c>
      <c r="U685" s="1">
        <v>4.2945656129999996</v>
      </c>
      <c r="V685" s="1">
        <v>3.9849921849999999</v>
      </c>
      <c r="W685" s="1">
        <v>4.2295768090000001</v>
      </c>
      <c r="X685" s="1">
        <v>4.4502657640000001</v>
      </c>
      <c r="Y685" s="1">
        <v>4.3509215530000001</v>
      </c>
      <c r="Z685" s="1">
        <v>4.1841942410000001</v>
      </c>
      <c r="AA685" s="1">
        <v>4.1304223819999999</v>
      </c>
      <c r="AB685" s="1">
        <v>4.2729702720000002</v>
      </c>
      <c r="AC685" s="1">
        <v>4.3377211620000002</v>
      </c>
      <c r="AD685" s="1">
        <v>4.2970121150000002</v>
      </c>
      <c r="AE685" s="1">
        <v>4.6572481659999996</v>
      </c>
    </row>
    <row r="686" spans="1:31" x14ac:dyDescent="0.25">
      <c r="A686" s="1" t="s">
        <v>1543</v>
      </c>
      <c r="B686" s="1" t="s">
        <v>2530</v>
      </c>
      <c r="C686" s="1" t="s">
        <v>2531</v>
      </c>
      <c r="D686" s="1" t="s">
        <v>2535</v>
      </c>
      <c r="E686" s="1" t="s">
        <v>3751</v>
      </c>
      <c r="G686" s="1" t="s">
        <v>1543</v>
      </c>
      <c r="H686" s="1">
        <v>5.7790807539999998</v>
      </c>
      <c r="I686" s="1">
        <v>5.9717652650000002</v>
      </c>
      <c r="J686" s="1">
        <v>5.4021237849999997</v>
      </c>
      <c r="K686" s="1">
        <v>5.2674352469999999</v>
      </c>
      <c r="L686" s="1">
        <v>5.8250296969999997</v>
      </c>
      <c r="M686" s="1">
        <v>5.9370080740000004</v>
      </c>
      <c r="N686" s="1">
        <v>5.428348615</v>
      </c>
      <c r="O686" s="1">
        <v>5.6856657850000003</v>
      </c>
      <c r="P686" s="1">
        <v>5.3134950500000002</v>
      </c>
      <c r="Q686" s="1">
        <v>5.2000913229999997</v>
      </c>
      <c r="R686" s="1">
        <v>5.2434057019999996</v>
      </c>
      <c r="S686" s="1">
        <v>5.542037144</v>
      </c>
      <c r="T686" s="1">
        <v>5.8250296969999997</v>
      </c>
      <c r="U686" s="1">
        <v>5.9370080740000004</v>
      </c>
      <c r="V686" s="1">
        <v>5.5505659869999997</v>
      </c>
      <c r="W686" s="1">
        <v>5.2236621110000003</v>
      </c>
      <c r="X686" s="1">
        <v>6.1660170440000002</v>
      </c>
      <c r="Y686" s="1">
        <v>5.9611531490000003</v>
      </c>
      <c r="Z686" s="1">
        <v>5.2434057019999996</v>
      </c>
      <c r="AA686" s="1">
        <v>5.542037144</v>
      </c>
      <c r="AB686" s="1">
        <v>5.8927983030000002</v>
      </c>
      <c r="AC686" s="1">
        <v>5.8975684140000002</v>
      </c>
      <c r="AD686" s="1">
        <v>6.1657997020000002</v>
      </c>
      <c r="AE686" s="1">
        <v>6.2634584459999996</v>
      </c>
    </row>
    <row r="687" spans="1:31" x14ac:dyDescent="0.25">
      <c r="A687" s="1" t="s">
        <v>27</v>
      </c>
      <c r="B687" s="1" t="s">
        <v>2662</v>
      </c>
      <c r="C687" s="1" t="s">
        <v>3291</v>
      </c>
      <c r="D687" s="1" t="s">
        <v>3752</v>
      </c>
      <c r="E687" s="1" t="s">
        <v>3753</v>
      </c>
      <c r="F687" s="1" t="s">
        <v>3754</v>
      </c>
      <c r="G687" s="1" t="s">
        <v>27</v>
      </c>
      <c r="H687" s="1">
        <v>8.7632989010000006</v>
      </c>
      <c r="I687" s="1">
        <v>8.3888815040000004</v>
      </c>
      <c r="J687" s="1">
        <v>8.909423812</v>
      </c>
      <c r="K687" s="1">
        <v>8.8783526429999995</v>
      </c>
      <c r="L687" s="1">
        <v>8.7995380270000005</v>
      </c>
      <c r="M687" s="1">
        <v>9.0249338380000008</v>
      </c>
      <c r="N687" s="1">
        <v>7.1831132760000003</v>
      </c>
      <c r="O687" s="1">
        <v>7.4129178519999996</v>
      </c>
      <c r="P687" s="1">
        <v>8.983343734</v>
      </c>
      <c r="Q687" s="1">
        <v>9.07095159</v>
      </c>
      <c r="R687" s="1">
        <v>9.2352805589999996</v>
      </c>
      <c r="S687" s="1">
        <v>9.055572755</v>
      </c>
      <c r="T687" s="1">
        <v>8.7995380270000005</v>
      </c>
      <c r="U687" s="1">
        <v>9.0249338380000008</v>
      </c>
      <c r="V687" s="1">
        <v>8.9068115310000007</v>
      </c>
      <c r="W687" s="1">
        <v>8.8504927010000003</v>
      </c>
      <c r="X687" s="1">
        <v>9.5992063089999995</v>
      </c>
      <c r="Y687" s="1">
        <v>9.1478752249999999</v>
      </c>
      <c r="Z687" s="1">
        <v>9.2352805589999996</v>
      </c>
      <c r="AA687" s="1">
        <v>9.055572755</v>
      </c>
      <c r="AB687" s="1">
        <v>9.2058108749999992</v>
      </c>
      <c r="AC687" s="1">
        <v>9.2590241740000003</v>
      </c>
      <c r="AD687" s="1">
        <v>9.2616550899999996</v>
      </c>
      <c r="AE687" s="1">
        <v>9.2166062919999998</v>
      </c>
    </row>
    <row r="688" spans="1:31" x14ac:dyDescent="0.25">
      <c r="A688" s="1" t="s">
        <v>1547</v>
      </c>
      <c r="B688" s="1" t="s">
        <v>2530</v>
      </c>
      <c r="C688" s="1" t="s">
        <v>2531</v>
      </c>
      <c r="D688" s="1" t="s">
        <v>2535</v>
      </c>
      <c r="E688" s="1" t="s">
        <v>2536</v>
      </c>
      <c r="G688" s="1" t="s">
        <v>1547</v>
      </c>
      <c r="H688" s="1">
        <v>5.9144073309999996</v>
      </c>
      <c r="I688" s="1">
        <v>6.4146507100000001</v>
      </c>
      <c r="J688" s="1">
        <v>5.2817155790000001</v>
      </c>
      <c r="K688" s="1">
        <v>5.3612725399999999</v>
      </c>
      <c r="L688" s="1">
        <v>5.3750929149999997</v>
      </c>
      <c r="M688" s="1">
        <v>5.3667108829999997</v>
      </c>
      <c r="N688" s="1">
        <v>5.9569306830000004</v>
      </c>
      <c r="O688" s="1">
        <v>6.1287443579999996</v>
      </c>
      <c r="P688" s="1">
        <v>5.8883751269999998</v>
      </c>
      <c r="Q688" s="1">
        <v>5.4222740280000004</v>
      </c>
      <c r="R688" s="1">
        <v>5.57388789</v>
      </c>
      <c r="S688" s="1">
        <v>5.542037144</v>
      </c>
      <c r="T688" s="1">
        <v>5.3750929149999997</v>
      </c>
      <c r="U688" s="1">
        <v>5.3667108829999997</v>
      </c>
      <c r="V688" s="1">
        <v>5.9243031000000004</v>
      </c>
      <c r="W688" s="1">
        <v>5.6472737119999996</v>
      </c>
      <c r="X688" s="1">
        <v>5.3550813679999996</v>
      </c>
      <c r="Y688" s="1">
        <v>5.8677638710000002</v>
      </c>
      <c r="Z688" s="1">
        <v>5.57388789</v>
      </c>
      <c r="AA688" s="1">
        <v>5.542037144</v>
      </c>
      <c r="AB688" s="1">
        <v>5.2406211000000003</v>
      </c>
      <c r="AC688" s="1">
        <v>5.2411914069999996</v>
      </c>
      <c r="AD688" s="1">
        <v>5.5571020090000003</v>
      </c>
      <c r="AE688" s="1">
        <v>5.5730198079999997</v>
      </c>
    </row>
    <row r="689" spans="1:31" x14ac:dyDescent="0.25">
      <c r="A689" s="1" t="s">
        <v>1549</v>
      </c>
      <c r="B689" s="1" t="s">
        <v>2520</v>
      </c>
      <c r="C689" s="1" t="s">
        <v>3160</v>
      </c>
      <c r="D689" s="1" t="s">
        <v>3755</v>
      </c>
      <c r="E689" s="1" t="s">
        <v>3756</v>
      </c>
      <c r="F689" s="1" t="s">
        <v>3757</v>
      </c>
      <c r="G689" s="1" t="s">
        <v>1549</v>
      </c>
      <c r="H689" s="1">
        <v>6.0961014899999997</v>
      </c>
      <c r="I689" s="1">
        <v>5.9455889470000001</v>
      </c>
      <c r="J689" s="1">
        <v>5.4021237849999997</v>
      </c>
      <c r="K689" s="1">
        <v>6.0642310579999998</v>
      </c>
      <c r="L689" s="1">
        <v>5.0110661050000003</v>
      </c>
      <c r="M689" s="1">
        <v>5.3414536530000003</v>
      </c>
      <c r="N689" s="1">
        <v>5.9870940719999997</v>
      </c>
      <c r="O689" s="1">
        <v>5.861353501</v>
      </c>
      <c r="P689" s="1">
        <v>4.3303557189999999</v>
      </c>
      <c r="Q689" s="1">
        <v>5.2931690810000003</v>
      </c>
      <c r="R689" s="1">
        <v>5.3334881589999998</v>
      </c>
      <c r="S689" s="1">
        <v>4.980227309</v>
      </c>
      <c r="T689" s="1">
        <v>5.0110661050000003</v>
      </c>
      <c r="U689" s="1">
        <v>5.3414536530000003</v>
      </c>
      <c r="V689" s="1">
        <v>4.2408545169999998</v>
      </c>
      <c r="W689" s="1">
        <v>4.2295768090000001</v>
      </c>
      <c r="X689" s="1">
        <v>5.0589726410000004</v>
      </c>
      <c r="Y689" s="1">
        <v>5.0128502209999999</v>
      </c>
      <c r="Z689" s="1">
        <v>5.3334881589999998</v>
      </c>
      <c r="AA689" s="1">
        <v>4.980227309</v>
      </c>
      <c r="AB689" s="1">
        <v>4.5063178209999997</v>
      </c>
      <c r="AC689" s="1">
        <v>5.471555994</v>
      </c>
      <c r="AD689" s="1">
        <v>4.7657555159999996</v>
      </c>
      <c r="AE689" s="1">
        <v>4.9843711490000002</v>
      </c>
    </row>
    <row r="690" spans="1:31" x14ac:dyDescent="0.25">
      <c r="A690" s="1" t="s">
        <v>1553</v>
      </c>
      <c r="B690" s="1" t="s">
        <v>2579</v>
      </c>
      <c r="C690" s="1" t="s">
        <v>2983</v>
      </c>
      <c r="D690" s="1" t="s">
        <v>2535</v>
      </c>
      <c r="E690" s="1" t="s">
        <v>3758</v>
      </c>
      <c r="G690" s="1" t="s">
        <v>1553</v>
      </c>
      <c r="H690" s="1">
        <v>4.183793842</v>
      </c>
      <c r="I690" s="1">
        <v>4.1114152529999997</v>
      </c>
      <c r="J690" s="1">
        <v>5.5826322800000003</v>
      </c>
      <c r="K690" s="1">
        <v>5.4059688240000003</v>
      </c>
      <c r="L690" s="1">
        <v>6.0182159679999998</v>
      </c>
      <c r="M690" s="1">
        <v>6.0026802679999998</v>
      </c>
      <c r="N690" s="1">
        <v>4.8677953240000003</v>
      </c>
      <c r="O690" s="1">
        <v>5.2237789919999997</v>
      </c>
      <c r="P690" s="1">
        <v>6.0615870090000001</v>
      </c>
      <c r="Q690" s="1">
        <v>6.1485161530000001</v>
      </c>
      <c r="R690" s="1">
        <v>6.1441881260000004</v>
      </c>
      <c r="S690" s="1">
        <v>5.9440521669999997</v>
      </c>
      <c r="T690" s="1">
        <v>6.0182159679999998</v>
      </c>
      <c r="U690" s="1">
        <v>6.0026802679999998</v>
      </c>
      <c r="V690" s="1">
        <v>5.5505659869999997</v>
      </c>
      <c r="W690" s="1">
        <v>5.329276363</v>
      </c>
      <c r="X690" s="1">
        <v>6.3772162630000002</v>
      </c>
      <c r="Y690" s="1">
        <v>5.8019430659999998</v>
      </c>
      <c r="Z690" s="1">
        <v>6.1441881260000004</v>
      </c>
      <c r="AA690" s="1">
        <v>5.9440521669999997</v>
      </c>
      <c r="AB690" s="1">
        <v>5.9325296429999996</v>
      </c>
      <c r="AC690" s="1">
        <v>5.8975684140000002</v>
      </c>
      <c r="AD690" s="1">
        <v>6.008703369</v>
      </c>
      <c r="AE690" s="1">
        <v>6.1775384349999998</v>
      </c>
    </row>
    <row r="691" spans="1:31" x14ac:dyDescent="0.25">
      <c r="A691" s="1" t="s">
        <v>1558</v>
      </c>
      <c r="B691" s="1" t="s">
        <v>2525</v>
      </c>
      <c r="C691" s="1" t="s">
        <v>3759</v>
      </c>
      <c r="D691" s="1" t="s">
        <v>3760</v>
      </c>
      <c r="E691" s="1" t="s">
        <v>3761</v>
      </c>
      <c r="F691" s="1" t="s">
        <v>3762</v>
      </c>
      <c r="G691" s="1" t="s">
        <v>1558</v>
      </c>
      <c r="H691" s="1">
        <v>5.5062820300000004</v>
      </c>
      <c r="I691" s="1">
        <v>5.3676718369999996</v>
      </c>
      <c r="J691" s="1">
        <v>5.3229940280000001</v>
      </c>
      <c r="K691" s="1">
        <v>5.0588199180000002</v>
      </c>
      <c r="L691" s="1">
        <v>6.3972692809999998</v>
      </c>
      <c r="M691" s="1">
        <v>6.4996506539999999</v>
      </c>
      <c r="N691" s="1">
        <v>5.6334290280000001</v>
      </c>
      <c r="O691" s="1">
        <v>5.2800788330000001</v>
      </c>
      <c r="P691" s="1">
        <v>5.9144375350000002</v>
      </c>
      <c r="Q691" s="1">
        <v>6.3122380549999999</v>
      </c>
      <c r="R691" s="1">
        <v>5.9594282490000001</v>
      </c>
      <c r="S691" s="1">
        <v>6.0973467069999998</v>
      </c>
      <c r="T691" s="1">
        <v>6.3972692809999998</v>
      </c>
      <c r="U691" s="1">
        <v>6.4996506539999999</v>
      </c>
      <c r="V691" s="1">
        <v>5.6392772100000004</v>
      </c>
      <c r="W691" s="1">
        <v>5.16775612</v>
      </c>
      <c r="X691" s="1">
        <v>5.7427722369999996</v>
      </c>
      <c r="Y691" s="1">
        <v>5.5841077690000001</v>
      </c>
      <c r="Z691" s="1">
        <v>5.9594282490000001</v>
      </c>
      <c r="AA691" s="1">
        <v>6.0973467069999998</v>
      </c>
      <c r="AB691" s="1">
        <v>5.851934376</v>
      </c>
      <c r="AC691" s="1">
        <v>5.9744301399999999</v>
      </c>
      <c r="AD691" s="1">
        <v>5.2633210659999996</v>
      </c>
      <c r="AE691" s="1">
        <v>5.6663356680000003</v>
      </c>
    </row>
    <row r="692" spans="1:31" x14ac:dyDescent="0.25">
      <c r="A692" s="1" t="s">
        <v>1561</v>
      </c>
      <c r="B692" s="1" t="s">
        <v>2530</v>
      </c>
      <c r="C692" s="1" t="s">
        <v>2531</v>
      </c>
      <c r="D692" s="1" t="s">
        <v>2535</v>
      </c>
      <c r="E692" s="1" t="s">
        <v>3320</v>
      </c>
      <c r="G692" s="1" t="s">
        <v>1561</v>
      </c>
      <c r="H692" s="1">
        <v>5.0553993879999997</v>
      </c>
      <c r="I692" s="1">
        <v>5.1546023129999998</v>
      </c>
      <c r="J692" s="1">
        <v>3.8969924050000002</v>
      </c>
      <c r="K692" s="1">
        <v>4.4318297590000002</v>
      </c>
      <c r="L692" s="1">
        <v>4.5533082269999996</v>
      </c>
      <c r="M692" s="1">
        <v>4.3982295550000003</v>
      </c>
      <c r="N692" s="1">
        <v>4.9318354150000001</v>
      </c>
      <c r="O692" s="1">
        <v>4.8663619410000001</v>
      </c>
      <c r="P692" s="1">
        <v>4.4805784009999998</v>
      </c>
      <c r="Q692" s="1">
        <v>4.9365262349999997</v>
      </c>
      <c r="R692" s="1">
        <v>4.6795267799999998</v>
      </c>
      <c r="S692" s="1">
        <v>4.1304223819999999</v>
      </c>
      <c r="T692" s="1">
        <v>4.5533082269999996</v>
      </c>
      <c r="U692" s="1">
        <v>4.3982295550000003</v>
      </c>
      <c r="V692" s="1">
        <v>4.5207607210000003</v>
      </c>
      <c r="W692" s="1">
        <v>4.4367165279999998</v>
      </c>
      <c r="X692" s="1">
        <v>4.8203448399999997</v>
      </c>
      <c r="Y692" s="1">
        <v>4.4420910779999998</v>
      </c>
      <c r="Z692" s="1">
        <v>4.6795267799999998</v>
      </c>
      <c r="AA692" s="1">
        <v>4.1304223819999999</v>
      </c>
      <c r="AB692" s="1">
        <v>4.5063178209999997</v>
      </c>
      <c r="AC692" s="1">
        <v>4.6870272159999997</v>
      </c>
      <c r="AD692" s="1">
        <v>4.0967699450000001</v>
      </c>
      <c r="AE692" s="1">
        <v>4.4595659249999997</v>
      </c>
    </row>
    <row r="693" spans="1:31" x14ac:dyDescent="0.25">
      <c r="A693" s="1" t="s">
        <v>1563</v>
      </c>
      <c r="B693" s="1" t="s">
        <v>2608</v>
      </c>
      <c r="C693" s="1" t="s">
        <v>2609</v>
      </c>
      <c r="D693" s="1" t="s">
        <v>3137</v>
      </c>
      <c r="E693" s="1" t="s">
        <v>3763</v>
      </c>
      <c r="F693" s="1" t="s">
        <v>3764</v>
      </c>
      <c r="G693" s="1" t="s">
        <v>1563</v>
      </c>
      <c r="H693" s="1">
        <v>5.1131742039999999</v>
      </c>
      <c r="I693" s="1">
        <v>5.4067069720000003</v>
      </c>
      <c r="J693" s="1">
        <v>5.4021237849999997</v>
      </c>
      <c r="K693" s="1">
        <v>5.2674352469999999</v>
      </c>
      <c r="L693" s="1">
        <v>5.9184294340000001</v>
      </c>
      <c r="M693" s="1">
        <v>5.5758954550000004</v>
      </c>
      <c r="N693" s="1">
        <v>5.1623684499999998</v>
      </c>
      <c r="O693" s="1">
        <v>4.5801520279999997</v>
      </c>
      <c r="P693" s="1">
        <v>5.7504406890000004</v>
      </c>
      <c r="Q693" s="1">
        <v>5.5406489910000003</v>
      </c>
      <c r="R693" s="1">
        <v>5.4981688889999996</v>
      </c>
      <c r="S693" s="1">
        <v>5.1778667870000001</v>
      </c>
      <c r="T693" s="1">
        <v>5.9184294340000001</v>
      </c>
      <c r="U693" s="1">
        <v>5.5758954550000004</v>
      </c>
      <c r="V693" s="1">
        <v>5.7758979430000004</v>
      </c>
      <c r="W693" s="1">
        <v>5.726489559</v>
      </c>
      <c r="X693" s="1">
        <v>5.7763317320000001</v>
      </c>
      <c r="Y693" s="1">
        <v>5.1254702539999997</v>
      </c>
      <c r="Z693" s="1">
        <v>5.4981688889999996</v>
      </c>
      <c r="AA693" s="1">
        <v>5.1778667870000001</v>
      </c>
      <c r="AB693" s="1">
        <v>5.675717079</v>
      </c>
      <c r="AC693" s="1">
        <v>5.2822693689999998</v>
      </c>
      <c r="AD693" s="1">
        <v>5.3536174839999999</v>
      </c>
      <c r="AE693" s="1">
        <v>5.175187158</v>
      </c>
    </row>
    <row r="694" spans="1:31" x14ac:dyDescent="0.25">
      <c r="A694" s="1" t="s">
        <v>1564</v>
      </c>
      <c r="B694" s="1" t="s">
        <v>2557</v>
      </c>
      <c r="C694" s="1" t="s">
        <v>2680</v>
      </c>
      <c r="D694" s="1" t="s">
        <v>2681</v>
      </c>
      <c r="E694" s="1" t="s">
        <v>3765</v>
      </c>
      <c r="F694" s="1" t="s">
        <v>3766</v>
      </c>
      <c r="G694" s="1" t="s">
        <v>1564</v>
      </c>
      <c r="H694" s="1">
        <v>5.1686839359999999</v>
      </c>
      <c r="I694" s="1">
        <v>4.7284970130000001</v>
      </c>
      <c r="J694" s="1">
        <v>6.9445377779999999</v>
      </c>
      <c r="K694" s="1">
        <v>6.7389853689999999</v>
      </c>
      <c r="L694" s="1">
        <v>7.1780295799999996</v>
      </c>
      <c r="M694" s="1">
        <v>7.0575068930000002</v>
      </c>
      <c r="N694" s="1">
        <v>5.7957915680000003</v>
      </c>
      <c r="O694" s="1">
        <v>5.5090357550000002</v>
      </c>
      <c r="P694" s="1">
        <v>7.0502486639999997</v>
      </c>
      <c r="Q694" s="1">
        <v>7.3841412809999998</v>
      </c>
      <c r="R694" s="1">
        <v>7.270552726</v>
      </c>
      <c r="S694" s="1">
        <v>7.2724296290000003</v>
      </c>
      <c r="T694" s="1">
        <v>7.1780295799999996</v>
      </c>
      <c r="U694" s="1">
        <v>7.0575068930000002</v>
      </c>
      <c r="V694" s="1">
        <v>6.8584365429999998</v>
      </c>
      <c r="W694" s="1">
        <v>6.5743425210000002</v>
      </c>
      <c r="X694" s="1">
        <v>7.1323967919999998</v>
      </c>
      <c r="Y694" s="1">
        <v>6.5668682929999997</v>
      </c>
      <c r="Z694" s="1">
        <v>7.270552726</v>
      </c>
      <c r="AA694" s="1">
        <v>7.2724296290000003</v>
      </c>
      <c r="AB694" s="1">
        <v>7.0655447640000002</v>
      </c>
      <c r="AC694" s="1">
        <v>7.1943210840000003</v>
      </c>
      <c r="AD694" s="1">
        <v>7.0467010940000003</v>
      </c>
      <c r="AE694" s="1">
        <v>6.8674836130000001</v>
      </c>
    </row>
    <row r="695" spans="1:31" x14ac:dyDescent="0.25">
      <c r="A695" s="1" t="s">
        <v>1570</v>
      </c>
      <c r="B695" s="1" t="s">
        <v>2547</v>
      </c>
      <c r="C695" s="1" t="s">
        <v>2694</v>
      </c>
      <c r="D695" s="1" t="s">
        <v>2695</v>
      </c>
      <c r="E695" s="1" t="s">
        <v>2738</v>
      </c>
      <c r="G695" s="1" t="s">
        <v>1570</v>
      </c>
      <c r="H695" s="1">
        <v>4.5667504939999999</v>
      </c>
      <c r="I695" s="1">
        <v>4.9575946069999999</v>
      </c>
      <c r="J695" s="1">
        <v>4.1077874330000004</v>
      </c>
      <c r="K695" s="1">
        <v>4.5171444090000001</v>
      </c>
      <c r="L695" s="1">
        <v>4.2932354009999996</v>
      </c>
      <c r="M695" s="1">
        <v>4.2945656129999996</v>
      </c>
      <c r="N695" s="1">
        <v>4.4061149080000002</v>
      </c>
      <c r="O695" s="1">
        <v>4.7100516409999997</v>
      </c>
      <c r="P695" s="1">
        <v>4.5499605860000001</v>
      </c>
      <c r="Q695" s="1">
        <v>4.2835653880000004</v>
      </c>
      <c r="R695" s="1">
        <v>4.6795267799999998</v>
      </c>
      <c r="S695" s="1">
        <v>3.6647387380000001</v>
      </c>
      <c r="T695" s="1">
        <v>4.2932354009999996</v>
      </c>
      <c r="U695" s="1">
        <v>4.2945656129999996</v>
      </c>
      <c r="V695" s="1">
        <v>4.3879408260000003</v>
      </c>
      <c r="W695" s="1">
        <v>4.6166922860000001</v>
      </c>
      <c r="X695" s="1">
        <v>4.5719855100000002</v>
      </c>
      <c r="Y695" s="1">
        <v>4.2532353330000001</v>
      </c>
      <c r="Z695" s="1">
        <v>4.6795267799999998</v>
      </c>
      <c r="AA695" s="1">
        <v>3.6647387380000001</v>
      </c>
      <c r="AB695" s="1">
        <v>3.990981031</v>
      </c>
      <c r="AC695" s="1">
        <v>4.3377211620000002</v>
      </c>
      <c r="AD695" s="1">
        <v>4.6264106470000002</v>
      </c>
      <c r="AE695" s="1">
        <v>4.893979055</v>
      </c>
    </row>
    <row r="696" spans="1:31" x14ac:dyDescent="0.25">
      <c r="A696" s="1" t="s">
        <v>1575</v>
      </c>
      <c r="B696" s="1" t="s">
        <v>2530</v>
      </c>
      <c r="C696" s="1" t="s">
        <v>2573</v>
      </c>
      <c r="D696" s="1" t="s">
        <v>2535</v>
      </c>
      <c r="E696" s="1" t="s">
        <v>3767</v>
      </c>
      <c r="G696" s="1" t="s">
        <v>1575</v>
      </c>
      <c r="H696" s="1">
        <v>7.7673400880000001</v>
      </c>
      <c r="I696" s="1">
        <v>8.1919896229999996</v>
      </c>
      <c r="J696" s="1">
        <v>7.6559160940000002</v>
      </c>
      <c r="K696" s="1">
        <v>7.9330265940000002</v>
      </c>
      <c r="L696" s="1">
        <v>7.5505902989999996</v>
      </c>
      <c r="M696" s="1">
        <v>7.4644645829999998</v>
      </c>
      <c r="N696" s="1">
        <v>7.4708561500000004</v>
      </c>
      <c r="O696" s="1">
        <v>7.3424873699999997</v>
      </c>
      <c r="P696" s="1">
        <v>7.6772809349999998</v>
      </c>
      <c r="Q696" s="1">
        <v>7.4153055109999997</v>
      </c>
      <c r="R696" s="1">
        <v>7.2930261510000003</v>
      </c>
      <c r="S696" s="1">
        <v>7.6639572009999997</v>
      </c>
      <c r="T696" s="1">
        <v>7.5505902989999996</v>
      </c>
      <c r="U696" s="1">
        <v>7.4644645829999998</v>
      </c>
      <c r="V696" s="1">
        <v>8.1230672459999997</v>
      </c>
      <c r="W696" s="1">
        <v>8.1359391419999998</v>
      </c>
      <c r="X696" s="1">
        <v>6.8865200350000002</v>
      </c>
      <c r="Y696" s="1">
        <v>8.1515025940000001</v>
      </c>
      <c r="Z696" s="1">
        <v>7.2930261510000003</v>
      </c>
      <c r="AA696" s="1">
        <v>7.6639572009999997</v>
      </c>
      <c r="AB696" s="1">
        <v>7.4401512089999997</v>
      </c>
      <c r="AC696" s="1">
        <v>7.5436920059999997</v>
      </c>
      <c r="AD696" s="1">
        <v>7.4023821740000004</v>
      </c>
      <c r="AE696" s="1">
        <v>7.3766723519999999</v>
      </c>
    </row>
    <row r="697" spans="1:31" x14ac:dyDescent="0.25">
      <c r="A697" s="1" t="s">
        <v>1576</v>
      </c>
      <c r="B697" s="1" t="s">
        <v>2579</v>
      </c>
      <c r="C697" s="1" t="s">
        <v>3259</v>
      </c>
      <c r="D697" s="1" t="s">
        <v>3358</v>
      </c>
      <c r="E697" s="1" t="s">
        <v>3768</v>
      </c>
      <c r="F697" s="1" t="s">
        <v>3769</v>
      </c>
      <c r="G697" s="1" t="s">
        <v>1576</v>
      </c>
      <c r="H697" s="1">
        <v>7.627055962</v>
      </c>
      <c r="I697" s="1">
        <v>7.2455913279999997</v>
      </c>
      <c r="J697" s="1">
        <v>7.9844571359999996</v>
      </c>
      <c r="K697" s="1">
        <v>8.1378277860000008</v>
      </c>
      <c r="L697" s="1">
        <v>7.7227480899999996</v>
      </c>
      <c r="M697" s="1">
        <v>7.9610791379999997</v>
      </c>
      <c r="N697" s="1">
        <v>6.8232102509999999</v>
      </c>
      <c r="O697" s="1">
        <v>6.7893960399999997</v>
      </c>
      <c r="P697" s="1">
        <v>7.9899025479999999</v>
      </c>
      <c r="Q697" s="1">
        <v>7.8847868019999998</v>
      </c>
      <c r="R697" s="1">
        <v>8.1865131449999993</v>
      </c>
      <c r="S697" s="1">
        <v>7.9449295470000001</v>
      </c>
      <c r="T697" s="1">
        <v>7.7227480899999996</v>
      </c>
      <c r="U697" s="1">
        <v>7.9610791379999997</v>
      </c>
      <c r="V697" s="1">
        <v>7.7193454790000002</v>
      </c>
      <c r="W697" s="1">
        <v>7.6710982799999998</v>
      </c>
      <c r="X697" s="1">
        <v>7.6114991319999996</v>
      </c>
      <c r="Y697" s="1">
        <v>7.4538037209999999</v>
      </c>
      <c r="Z697" s="1">
        <v>8.1865131449999993</v>
      </c>
      <c r="AA697" s="1">
        <v>7.9449295470000001</v>
      </c>
      <c r="AB697" s="1">
        <v>7.7259879290000004</v>
      </c>
      <c r="AC697" s="1">
        <v>7.9564998579999999</v>
      </c>
      <c r="AD697" s="1">
        <v>7.6700942400000001</v>
      </c>
      <c r="AE697" s="1">
        <v>7.387629553</v>
      </c>
    </row>
    <row r="698" spans="1:31" x14ac:dyDescent="0.25">
      <c r="A698" s="1" t="s">
        <v>1580</v>
      </c>
      <c r="B698" s="1" t="s">
        <v>2530</v>
      </c>
      <c r="C698" s="1" t="s">
        <v>2531</v>
      </c>
      <c r="D698" s="1" t="s">
        <v>2535</v>
      </c>
      <c r="E698" s="1" t="s">
        <v>2536</v>
      </c>
      <c r="G698" s="1" t="s">
        <v>1580</v>
      </c>
      <c r="H698" s="1">
        <v>5.1131742039999999</v>
      </c>
      <c r="I698" s="1">
        <v>4.3763156859999999</v>
      </c>
      <c r="J698" s="1">
        <v>5.0551375939999996</v>
      </c>
      <c r="K698" s="1">
        <v>4.8793048219999999</v>
      </c>
      <c r="L698" s="1">
        <v>4.9864364329999997</v>
      </c>
      <c r="M698" s="1">
        <v>5.3915279009999999</v>
      </c>
      <c r="N698" s="1">
        <v>4.3596796910000002</v>
      </c>
      <c r="O698" s="1">
        <v>4.2767880749999998</v>
      </c>
      <c r="P698" s="1">
        <v>5.4976972829999999</v>
      </c>
      <c r="Q698" s="1">
        <v>5.5406489910000003</v>
      </c>
      <c r="R698" s="1">
        <v>5.458747732</v>
      </c>
      <c r="S698" s="1">
        <v>5.032286365</v>
      </c>
      <c r="T698" s="1">
        <v>4.9864364329999997</v>
      </c>
      <c r="U698" s="1">
        <v>5.3915279009999999</v>
      </c>
      <c r="V698" s="1">
        <v>5.5505659869999997</v>
      </c>
      <c r="W698" s="1">
        <v>5.2774499109999997</v>
      </c>
      <c r="X698" s="1">
        <v>5.0029944190000002</v>
      </c>
      <c r="Y698" s="1">
        <v>5.1254702539999997</v>
      </c>
      <c r="Z698" s="1">
        <v>5.458747732</v>
      </c>
      <c r="AA698" s="1">
        <v>5.032286365</v>
      </c>
      <c r="AB698" s="1">
        <v>4.9601840040000003</v>
      </c>
      <c r="AC698" s="1">
        <v>5.198889973</v>
      </c>
      <c r="AD698" s="1">
        <v>4.83054469</v>
      </c>
      <c r="AE698" s="1">
        <v>4.7290680490000003</v>
      </c>
    </row>
    <row r="699" spans="1:31" x14ac:dyDescent="0.25">
      <c r="A699" s="1" t="s">
        <v>1581</v>
      </c>
      <c r="B699" s="1" t="s">
        <v>2530</v>
      </c>
      <c r="C699" s="1" t="s">
        <v>2573</v>
      </c>
      <c r="D699" s="1" t="s">
        <v>2535</v>
      </c>
      <c r="E699" s="1" t="s">
        <v>3770</v>
      </c>
      <c r="G699" s="1" t="s">
        <v>1581</v>
      </c>
      <c r="H699" s="1">
        <v>5.1131742039999999</v>
      </c>
      <c r="I699" s="1">
        <v>5.1546023129999998</v>
      </c>
      <c r="J699" s="1">
        <v>6.4657385989999998</v>
      </c>
      <c r="K699" s="1">
        <v>6.0361807939999998</v>
      </c>
      <c r="L699" s="1">
        <v>6.5042531260000001</v>
      </c>
      <c r="M699" s="1">
        <v>6.4882495090000001</v>
      </c>
      <c r="N699" s="1">
        <v>5.4930242160000002</v>
      </c>
      <c r="O699" s="1">
        <v>5.3864027800000001</v>
      </c>
      <c r="P699" s="1">
        <v>6.2775910990000003</v>
      </c>
      <c r="Q699" s="1">
        <v>6.0189773029999998</v>
      </c>
      <c r="R699" s="1">
        <v>6.3078659510000001</v>
      </c>
      <c r="S699" s="1">
        <v>6.4967339439999998</v>
      </c>
      <c r="T699" s="1">
        <v>6.5042531260000001</v>
      </c>
      <c r="U699" s="1">
        <v>6.4882495090000001</v>
      </c>
      <c r="V699" s="1">
        <v>6.0800160549999998</v>
      </c>
      <c r="W699" s="1">
        <v>5.872872095</v>
      </c>
      <c r="X699" s="1">
        <v>5.8569434649999996</v>
      </c>
      <c r="Y699" s="1">
        <v>6.3310590680000001</v>
      </c>
      <c r="Z699" s="1">
        <v>6.3078659510000001</v>
      </c>
      <c r="AA699" s="1">
        <v>6.4967339439999998</v>
      </c>
      <c r="AB699" s="1">
        <v>5.8098709350000002</v>
      </c>
      <c r="AC699" s="1">
        <v>5.8163513240000002</v>
      </c>
      <c r="AD699" s="1">
        <v>6.1153202110000002</v>
      </c>
      <c r="AE699" s="1">
        <v>6.1128603159999999</v>
      </c>
    </row>
    <row r="700" spans="1:31" x14ac:dyDescent="0.25">
      <c r="A700" s="1" t="s">
        <v>1582</v>
      </c>
      <c r="B700" s="1" t="s">
        <v>2557</v>
      </c>
      <c r="C700" s="1" t="s">
        <v>3771</v>
      </c>
      <c r="D700" s="1" t="s">
        <v>3772</v>
      </c>
      <c r="E700" s="1" t="s">
        <v>3773</v>
      </c>
      <c r="F700" s="1" t="s">
        <v>3774</v>
      </c>
      <c r="G700" s="1" t="s">
        <v>1582</v>
      </c>
      <c r="H700" s="1">
        <v>5.1686839359999999</v>
      </c>
      <c r="I700" s="1">
        <v>5.2436995780000002</v>
      </c>
      <c r="J700" s="1">
        <v>6.0670821549999996</v>
      </c>
      <c r="K700" s="1">
        <v>5.8552832600000002</v>
      </c>
      <c r="L700" s="1">
        <v>7.0068025479999996</v>
      </c>
      <c r="M700" s="1">
        <v>6.6298516919999999</v>
      </c>
      <c r="N700" s="1">
        <v>4.9001796750000004</v>
      </c>
      <c r="O700" s="1">
        <v>5.3605571169999999</v>
      </c>
      <c r="P700" s="1">
        <v>6.2369105129999998</v>
      </c>
      <c r="Q700" s="1">
        <v>6.123526483</v>
      </c>
      <c r="R700" s="1">
        <v>6.7101003170000002</v>
      </c>
      <c r="S700" s="1">
        <v>5.9440521669999997</v>
      </c>
      <c r="T700" s="1">
        <v>7.0068025479999996</v>
      </c>
      <c r="U700" s="1">
        <v>6.6298516919999999</v>
      </c>
      <c r="V700" s="1">
        <v>6.730190017</v>
      </c>
      <c r="W700" s="1">
        <v>6.5088246730000003</v>
      </c>
      <c r="X700" s="1">
        <v>6.2034432739999996</v>
      </c>
      <c r="Y700" s="1">
        <v>6.3075735850000001</v>
      </c>
      <c r="Z700" s="1">
        <v>6.7101003170000002</v>
      </c>
      <c r="AA700" s="1">
        <v>5.9440521669999997</v>
      </c>
      <c r="AB700" s="1">
        <v>6.2789960090000001</v>
      </c>
      <c r="AC700" s="1">
        <v>6.346005549</v>
      </c>
      <c r="AD700" s="1">
        <v>6.2145653230000004</v>
      </c>
      <c r="AE700" s="1">
        <v>6.5142855109999998</v>
      </c>
    </row>
    <row r="701" spans="1:31" x14ac:dyDescent="0.25">
      <c r="A701" s="1" t="s">
        <v>1584</v>
      </c>
      <c r="B701" s="1" t="s">
        <v>2598</v>
      </c>
      <c r="C701" s="1" t="s">
        <v>2795</v>
      </c>
      <c r="D701" s="1" t="s">
        <v>2896</v>
      </c>
      <c r="E701" s="1" t="s">
        <v>3775</v>
      </c>
      <c r="F701" s="1" t="s">
        <v>3776</v>
      </c>
      <c r="G701" s="1" t="s">
        <v>1584</v>
      </c>
      <c r="H701" s="1">
        <v>4.9322401630000003</v>
      </c>
      <c r="I701" s="1">
        <v>4.903725959</v>
      </c>
      <c r="J701" s="1">
        <v>5.3631085470000004</v>
      </c>
      <c r="K701" s="1">
        <v>5.6848657879999998</v>
      </c>
      <c r="L701" s="1">
        <v>6.1777105819999996</v>
      </c>
      <c r="M701" s="1">
        <v>6.1256430599999998</v>
      </c>
      <c r="N701" s="1">
        <v>5.6141964020000001</v>
      </c>
      <c r="O701" s="1">
        <v>4.7507950320000001</v>
      </c>
      <c r="P701" s="1">
        <v>5.8883751269999998</v>
      </c>
      <c r="Q701" s="1">
        <v>5.7514994149999996</v>
      </c>
      <c r="R701" s="1">
        <v>5.2434057019999996</v>
      </c>
      <c r="S701" s="1">
        <v>6.0973467069999998</v>
      </c>
      <c r="T701" s="1">
        <v>6.1777105819999996</v>
      </c>
      <c r="U701" s="1">
        <v>6.1256430599999998</v>
      </c>
      <c r="V701" s="1">
        <v>6.0587793220000004</v>
      </c>
      <c r="W701" s="1">
        <v>6.2120844699999997</v>
      </c>
      <c r="X701" s="1">
        <v>5.9915198639999998</v>
      </c>
      <c r="Y701" s="1">
        <v>6.399298012</v>
      </c>
      <c r="Z701" s="1">
        <v>5.2434057019999996</v>
      </c>
      <c r="AA701" s="1">
        <v>6.0973467069999998</v>
      </c>
      <c r="AB701" s="1">
        <v>5.8927983030000002</v>
      </c>
      <c r="AC701" s="1">
        <v>5.7882226870000002</v>
      </c>
      <c r="AD701" s="1">
        <v>6.0893990919999998</v>
      </c>
      <c r="AE701" s="1">
        <v>6.3332249579999997</v>
      </c>
    </row>
    <row r="702" spans="1:31" x14ac:dyDescent="0.25">
      <c r="A702" s="1" t="s">
        <v>1585</v>
      </c>
      <c r="B702" s="1" t="s">
        <v>2530</v>
      </c>
      <c r="C702" s="1" t="s">
        <v>2573</v>
      </c>
      <c r="D702" s="1" t="s">
        <v>2535</v>
      </c>
      <c r="E702" s="1" t="s">
        <v>3777</v>
      </c>
      <c r="G702" s="1" t="s">
        <v>1585</v>
      </c>
      <c r="H702" s="1">
        <v>4.4805534380000003</v>
      </c>
      <c r="I702" s="1">
        <v>4.2936285989999998</v>
      </c>
      <c r="J702" s="1">
        <v>4.7851628320000001</v>
      </c>
      <c r="K702" s="1">
        <v>5.2180867539999998</v>
      </c>
      <c r="L702" s="1">
        <v>5.4123805689999998</v>
      </c>
      <c r="M702" s="1">
        <v>5.7772279879999999</v>
      </c>
      <c r="N702" s="1">
        <v>4.6936110280000003</v>
      </c>
      <c r="O702" s="1">
        <v>4.9384407589999997</v>
      </c>
      <c r="P702" s="1">
        <v>4.9062897479999998</v>
      </c>
      <c r="Q702" s="1">
        <v>5.0479127070000001</v>
      </c>
      <c r="R702" s="1">
        <v>5.6804358580000001</v>
      </c>
      <c r="S702" s="1">
        <v>5.2672271329999996</v>
      </c>
      <c r="T702" s="1">
        <v>5.4123805689999998</v>
      </c>
      <c r="U702" s="1">
        <v>5.7772279879999999</v>
      </c>
      <c r="V702" s="1">
        <v>5.519727617</v>
      </c>
      <c r="W702" s="1">
        <v>5.6874298530000003</v>
      </c>
      <c r="X702" s="1">
        <v>5.7256927920000003</v>
      </c>
      <c r="Y702" s="1">
        <v>5.2297915760000002</v>
      </c>
      <c r="Z702" s="1">
        <v>5.6804358580000001</v>
      </c>
      <c r="AA702" s="1">
        <v>5.2672271329999996</v>
      </c>
      <c r="AB702" s="1">
        <v>5.5276660309999999</v>
      </c>
      <c r="AC702" s="1">
        <v>5.6067493529999997</v>
      </c>
      <c r="AD702" s="1">
        <v>5.7351750150000003</v>
      </c>
      <c r="AE702" s="1">
        <v>5.1494525009999998</v>
      </c>
    </row>
    <row r="703" spans="1:31" x14ac:dyDescent="0.25">
      <c r="A703" s="1" t="s">
        <v>1586</v>
      </c>
      <c r="B703" s="1" t="s">
        <v>2542</v>
      </c>
      <c r="C703" s="1" t="s">
        <v>2543</v>
      </c>
      <c r="D703" s="1" t="s">
        <v>2677</v>
      </c>
      <c r="E703" s="1" t="s">
        <v>3778</v>
      </c>
      <c r="F703" s="1" t="s">
        <v>3779</v>
      </c>
      <c r="G703" s="1" t="s">
        <v>1586</v>
      </c>
      <c r="H703" s="1">
        <v>5.8817546890000001</v>
      </c>
      <c r="I703" s="1">
        <v>6.1880668090000004</v>
      </c>
      <c r="J703" s="1">
        <v>6.8067545919999999</v>
      </c>
      <c r="K703" s="1">
        <v>6.4514685810000003</v>
      </c>
      <c r="L703" s="1">
        <v>7.4998372240000002</v>
      </c>
      <c r="M703" s="1">
        <v>7.224718245</v>
      </c>
      <c r="N703" s="1">
        <v>6.2582753870000003</v>
      </c>
      <c r="O703" s="1">
        <v>5.7266127899999999</v>
      </c>
      <c r="P703" s="1">
        <v>6.5672408280000001</v>
      </c>
      <c r="Q703" s="1">
        <v>6.6284720950000002</v>
      </c>
      <c r="R703" s="1">
        <v>6.588102728</v>
      </c>
      <c r="S703" s="1">
        <v>6.7791357530000003</v>
      </c>
      <c r="T703" s="1">
        <v>7.4998372240000002</v>
      </c>
      <c r="U703" s="1">
        <v>7.224718245</v>
      </c>
      <c r="V703" s="1">
        <v>6.8827702540000004</v>
      </c>
      <c r="W703" s="1">
        <v>6.5088246730000003</v>
      </c>
      <c r="X703" s="1">
        <v>7.0730669339999999</v>
      </c>
      <c r="Y703" s="1">
        <v>7.1972465469999998</v>
      </c>
      <c r="Z703" s="1">
        <v>6.588102728</v>
      </c>
      <c r="AA703" s="1">
        <v>6.7791357530000003</v>
      </c>
      <c r="AB703" s="1">
        <v>7.0832603900000004</v>
      </c>
      <c r="AC703" s="1">
        <v>6.8988724469999996</v>
      </c>
      <c r="AD703" s="1">
        <v>6.9202883980000003</v>
      </c>
      <c r="AE703" s="1">
        <v>7.1379765209999997</v>
      </c>
    </row>
    <row r="704" spans="1:31" x14ac:dyDescent="0.25">
      <c r="A704" s="1" t="s">
        <v>1587</v>
      </c>
      <c r="B704" s="1" t="s">
        <v>2542</v>
      </c>
      <c r="C704" s="1" t="s">
        <v>2543</v>
      </c>
      <c r="D704" s="1" t="s">
        <v>2677</v>
      </c>
      <c r="E704" s="1" t="s">
        <v>3780</v>
      </c>
      <c r="F704" s="1" t="s">
        <v>3781</v>
      </c>
      <c r="G704" s="1" t="s">
        <v>1587</v>
      </c>
      <c r="H704" s="1">
        <v>6.0081283179999998</v>
      </c>
      <c r="I704" s="1">
        <v>6.1880668090000004</v>
      </c>
      <c r="J704" s="1">
        <v>6.4096880770000002</v>
      </c>
      <c r="K704" s="1">
        <v>6.2219157379999999</v>
      </c>
      <c r="L704" s="1">
        <v>7.1453732690000002</v>
      </c>
      <c r="M704" s="1">
        <v>7.2519165799999996</v>
      </c>
      <c r="N704" s="1">
        <v>6.1290762189999999</v>
      </c>
      <c r="O704" s="1">
        <v>5.4612405070000003</v>
      </c>
      <c r="P704" s="1">
        <v>6.8759744009999997</v>
      </c>
      <c r="Q704" s="1">
        <v>6.7476078419999999</v>
      </c>
      <c r="R704" s="1">
        <v>6.941180041</v>
      </c>
      <c r="S704" s="1">
        <v>7.0022687970000002</v>
      </c>
      <c r="T704" s="1">
        <v>7.1453732690000002</v>
      </c>
      <c r="U704" s="1">
        <v>7.2519165799999996</v>
      </c>
      <c r="V704" s="1">
        <v>7.555029298</v>
      </c>
      <c r="W704" s="1">
        <v>7.3607277580000003</v>
      </c>
      <c r="X704" s="1">
        <v>7.7651384879999998</v>
      </c>
      <c r="Y704" s="1">
        <v>7.680683546</v>
      </c>
      <c r="Z704" s="1">
        <v>6.941180041</v>
      </c>
      <c r="AA704" s="1">
        <v>7.0022687970000002</v>
      </c>
      <c r="AB704" s="1">
        <v>7.0294463739999999</v>
      </c>
      <c r="AC704" s="1">
        <v>7.0244096589999998</v>
      </c>
      <c r="AD704" s="1">
        <v>7.3045800959999996</v>
      </c>
      <c r="AE704" s="1">
        <v>7.3985040959999999</v>
      </c>
    </row>
    <row r="705" spans="1:31" x14ac:dyDescent="0.25">
      <c r="A705" s="1" t="s">
        <v>1588</v>
      </c>
      <c r="B705" s="1" t="s">
        <v>2557</v>
      </c>
      <c r="C705" s="1" t="s">
        <v>2658</v>
      </c>
      <c r="D705" s="1" t="s">
        <v>3418</v>
      </c>
      <c r="E705" s="1" t="s">
        <v>3782</v>
      </c>
      <c r="F705" s="1" t="s">
        <v>3783</v>
      </c>
      <c r="G705" s="1" t="s">
        <v>1588</v>
      </c>
      <c r="H705" s="1">
        <v>2.9945681560000001</v>
      </c>
      <c r="I705" s="1">
        <v>3.6484415459999999</v>
      </c>
      <c r="J705" s="1">
        <v>3.1324899180000001</v>
      </c>
      <c r="K705" s="1">
        <v>3.22334677</v>
      </c>
      <c r="L705" s="1">
        <v>3.3025959560000002</v>
      </c>
      <c r="M705" s="1">
        <v>3.5095973119999999</v>
      </c>
      <c r="N705" s="1">
        <v>3.1147763629999998</v>
      </c>
      <c r="O705" s="1">
        <v>3.7238257350000001</v>
      </c>
      <c r="P705" s="1">
        <v>2.8687501260000001</v>
      </c>
      <c r="Q705" s="1">
        <v>3.388910638</v>
      </c>
      <c r="R705" s="1">
        <v>3.1834741979999999</v>
      </c>
      <c r="S705" s="1">
        <v>3.3463386960000001</v>
      </c>
      <c r="T705" s="1">
        <v>3.3025959560000002</v>
      </c>
      <c r="U705" s="1">
        <v>3.5095973119999999</v>
      </c>
      <c r="V705" s="1">
        <v>3.6670520409999998</v>
      </c>
      <c r="W705" s="1">
        <v>3.9848641250000001</v>
      </c>
      <c r="X705" s="1">
        <v>3.5883256710000002</v>
      </c>
      <c r="Y705" s="1">
        <v>4.1479647589999997</v>
      </c>
      <c r="Z705" s="1">
        <v>3.1834741979999999</v>
      </c>
      <c r="AA705" s="1">
        <v>3.3463386960000001</v>
      </c>
      <c r="AB705" s="1">
        <v>3.6315729079999999</v>
      </c>
      <c r="AC705" s="1">
        <v>2.5506926650000001</v>
      </c>
      <c r="AD705" s="1">
        <v>3.3987395579999999</v>
      </c>
      <c r="AE705" s="1">
        <v>2.9592545700000001</v>
      </c>
    </row>
    <row r="706" spans="1:31" x14ac:dyDescent="0.25">
      <c r="A706" s="1" t="s">
        <v>1592</v>
      </c>
      <c r="B706" s="1" t="s">
        <v>2598</v>
      </c>
      <c r="C706" s="1" t="s">
        <v>2603</v>
      </c>
      <c r="D706" s="1" t="s">
        <v>3452</v>
      </c>
      <c r="E706" s="1" t="s">
        <v>3784</v>
      </c>
      <c r="F706" s="1" t="s">
        <v>3785</v>
      </c>
      <c r="G706" s="1" t="s">
        <v>1592</v>
      </c>
      <c r="H706" s="1">
        <v>10.13198616</v>
      </c>
      <c r="I706" s="1">
        <v>10.472728869999999</v>
      </c>
      <c r="J706" s="1">
        <v>9.1814450989999994</v>
      </c>
      <c r="K706" s="1">
        <v>9.4365856289999996</v>
      </c>
      <c r="L706" s="1">
        <v>8.6191451850000007</v>
      </c>
      <c r="M706" s="1">
        <v>8.6692812939999992</v>
      </c>
      <c r="N706" s="1">
        <v>9.7436820510000004</v>
      </c>
      <c r="O706" s="1">
        <v>9.4832940029999993</v>
      </c>
      <c r="P706" s="1">
        <v>9.1889084759999999</v>
      </c>
      <c r="Q706" s="1">
        <v>9.2165950589999994</v>
      </c>
      <c r="R706" s="1">
        <v>8.7381777770000006</v>
      </c>
      <c r="S706" s="1">
        <v>8.8158539610000002</v>
      </c>
      <c r="T706" s="1">
        <v>8.6191451850000007</v>
      </c>
      <c r="U706" s="1">
        <v>8.6692812939999992</v>
      </c>
      <c r="V706" s="1">
        <v>8.600888909</v>
      </c>
      <c r="W706" s="1">
        <v>8.6875422009999994</v>
      </c>
      <c r="X706" s="1">
        <v>8.3632226250000006</v>
      </c>
      <c r="Y706" s="1">
        <v>8.1840578159999993</v>
      </c>
      <c r="Z706" s="1">
        <v>8.7381777770000006</v>
      </c>
      <c r="AA706" s="1">
        <v>8.8158539610000002</v>
      </c>
      <c r="AB706" s="1">
        <v>8.3771000519999994</v>
      </c>
      <c r="AC706" s="1">
        <v>8.3217462859999998</v>
      </c>
      <c r="AD706" s="1">
        <v>8.3847240450000005</v>
      </c>
      <c r="AE706" s="1">
        <v>8.1972123220000004</v>
      </c>
    </row>
    <row r="707" spans="1:31" x14ac:dyDescent="0.25">
      <c r="A707" s="1" t="s">
        <v>1595</v>
      </c>
      <c r="B707" s="1" t="s">
        <v>2667</v>
      </c>
      <c r="C707" s="1" t="s">
        <v>2867</v>
      </c>
      <c r="D707" s="1" t="s">
        <v>2964</v>
      </c>
      <c r="E707" s="1" t="s">
        <v>3786</v>
      </c>
      <c r="F707" s="1" t="s">
        <v>3787</v>
      </c>
      <c r="G707" s="1" t="s">
        <v>1595</v>
      </c>
      <c r="H707" s="1">
        <v>8.2156377369999998</v>
      </c>
      <c r="I707" s="1">
        <v>8.3742779820000006</v>
      </c>
      <c r="J707" s="1">
        <v>8.9261444759999993</v>
      </c>
      <c r="K707" s="1">
        <v>9.3253766089999992</v>
      </c>
      <c r="L707" s="1">
        <v>8.4037535830000003</v>
      </c>
      <c r="M707" s="1">
        <v>8.4753050900000009</v>
      </c>
      <c r="N707" s="1">
        <v>9.0992329470000008</v>
      </c>
      <c r="O707" s="1">
        <v>8.726353069</v>
      </c>
      <c r="P707" s="1">
        <v>8.4379595999999992</v>
      </c>
      <c r="Q707" s="1">
        <v>8.3174755769999997</v>
      </c>
      <c r="R707" s="1">
        <v>8.4885594950000005</v>
      </c>
      <c r="S707" s="1">
        <v>8.5282011119999996</v>
      </c>
      <c r="T707" s="1">
        <v>8.4037535830000003</v>
      </c>
      <c r="U707" s="1">
        <v>8.4753050900000009</v>
      </c>
      <c r="V707" s="1">
        <v>8.7136249289999999</v>
      </c>
      <c r="W707" s="1">
        <v>8.8592707350000008</v>
      </c>
      <c r="X707" s="1">
        <v>8.3494043829999995</v>
      </c>
      <c r="Y707" s="1">
        <v>8.6619326129999994</v>
      </c>
      <c r="Z707" s="1">
        <v>8.4885594950000005</v>
      </c>
      <c r="AA707" s="1">
        <v>8.5282011119999996</v>
      </c>
      <c r="AB707" s="1">
        <v>8.2574267480000003</v>
      </c>
      <c r="AC707" s="1">
        <v>8.2720093680000009</v>
      </c>
      <c r="AD707" s="1">
        <v>8.4922581239999992</v>
      </c>
      <c r="AE707" s="1">
        <v>8.6087902169999992</v>
      </c>
    </row>
    <row r="708" spans="1:31" x14ac:dyDescent="0.25">
      <c r="A708" s="1" t="s">
        <v>1596</v>
      </c>
      <c r="B708" s="1" t="s">
        <v>2547</v>
      </c>
      <c r="C708" s="1" t="s">
        <v>2694</v>
      </c>
      <c r="D708" s="1" t="s">
        <v>3788</v>
      </c>
      <c r="E708" s="1" t="s">
        <v>3789</v>
      </c>
      <c r="F708" s="1" t="s">
        <v>3790</v>
      </c>
      <c r="G708" s="1" t="s">
        <v>1596</v>
      </c>
      <c r="H708" s="1">
        <v>4.0684382540000001</v>
      </c>
      <c r="I708" s="1">
        <v>4.7893724280000001</v>
      </c>
      <c r="J708" s="1">
        <v>3.329519721</v>
      </c>
      <c r="K708" s="1">
        <v>4.6734567340000002</v>
      </c>
      <c r="L708" s="1">
        <v>4.4838783849999997</v>
      </c>
      <c r="M708" s="1">
        <v>4.5403831759999997</v>
      </c>
      <c r="N708" s="1">
        <v>6.3305633200000004</v>
      </c>
      <c r="O708" s="1">
        <v>6.1287443579999996</v>
      </c>
      <c r="P708" s="1">
        <v>5.4627121560000003</v>
      </c>
      <c r="Q708" s="1">
        <v>5.4222740280000004</v>
      </c>
      <c r="R708" s="1">
        <v>4.8735636449999999</v>
      </c>
      <c r="S708" s="1">
        <v>5.3915434019999999</v>
      </c>
      <c r="T708" s="1">
        <v>4.4838783849999997</v>
      </c>
      <c r="U708" s="1">
        <v>4.5403831759999997</v>
      </c>
      <c r="V708" s="1">
        <v>4.5207607210000003</v>
      </c>
      <c r="W708" s="1">
        <v>4.8493412630000003</v>
      </c>
      <c r="X708" s="1">
        <v>4.8203448399999997</v>
      </c>
      <c r="Y708" s="1">
        <v>4.6081171230000004</v>
      </c>
      <c r="Z708" s="1">
        <v>4.8735636449999999</v>
      </c>
      <c r="AA708" s="1">
        <v>5.3915434019999999</v>
      </c>
      <c r="AB708" s="1">
        <v>5.0356743460000004</v>
      </c>
      <c r="AC708" s="1">
        <v>4.9660712470000004</v>
      </c>
      <c r="AD708" s="1">
        <v>4.2970121150000002</v>
      </c>
      <c r="AE708" s="1">
        <v>5.0415666330000004</v>
      </c>
    </row>
    <row r="709" spans="1:31" x14ac:dyDescent="0.25">
      <c r="A709" s="1" t="s">
        <v>1597</v>
      </c>
      <c r="B709" s="1" t="s">
        <v>2547</v>
      </c>
      <c r="C709" s="1" t="s">
        <v>2694</v>
      </c>
      <c r="D709" s="1" t="s">
        <v>3788</v>
      </c>
      <c r="E709" s="1" t="s">
        <v>3791</v>
      </c>
      <c r="F709" s="1" t="s">
        <v>3792</v>
      </c>
      <c r="G709" s="1" t="s">
        <v>1597</v>
      </c>
      <c r="H709" s="1">
        <v>4.995162745</v>
      </c>
      <c r="I709" s="1">
        <v>4.8477128089999999</v>
      </c>
      <c r="J709" s="1">
        <v>5.2392025899999997</v>
      </c>
      <c r="K709" s="1">
        <v>4.4318297590000002</v>
      </c>
      <c r="L709" s="1">
        <v>4.8008003170000002</v>
      </c>
      <c r="M709" s="1">
        <v>4.8607408789999997</v>
      </c>
      <c r="N709" s="1">
        <v>6.2207206929999996</v>
      </c>
      <c r="O709" s="1">
        <v>6.7602052800000001</v>
      </c>
      <c r="P709" s="1">
        <v>5.7504406890000004</v>
      </c>
      <c r="Q709" s="1">
        <v>5.8154013029999998</v>
      </c>
      <c r="R709" s="1">
        <v>5.7142579380000003</v>
      </c>
      <c r="S709" s="1">
        <v>4.980227309</v>
      </c>
      <c r="T709" s="1">
        <v>4.8008003170000002</v>
      </c>
      <c r="U709" s="1">
        <v>4.8607408789999997</v>
      </c>
      <c r="V709" s="1">
        <v>5.3192272129999996</v>
      </c>
      <c r="W709" s="1">
        <v>5.1095551629999996</v>
      </c>
      <c r="X709" s="1">
        <v>5.2391096700000004</v>
      </c>
      <c r="Y709" s="1">
        <v>5.417933841</v>
      </c>
      <c r="Z709" s="1">
        <v>5.7142579380000003</v>
      </c>
      <c r="AA709" s="1">
        <v>4.980227309</v>
      </c>
      <c r="AB709" s="1">
        <v>5.5276660309999999</v>
      </c>
      <c r="AC709" s="1">
        <v>5.5065733579999998</v>
      </c>
      <c r="AD709" s="1">
        <v>5.5186611069999998</v>
      </c>
      <c r="AE709" s="1">
        <v>5.4097399240000001</v>
      </c>
    </row>
    <row r="710" spans="1:31" x14ac:dyDescent="0.25">
      <c r="A710" s="1" t="s">
        <v>1598</v>
      </c>
      <c r="B710" s="1" t="s">
        <v>2520</v>
      </c>
      <c r="C710" s="1" t="s">
        <v>2646</v>
      </c>
      <c r="D710" s="1" t="s">
        <v>3788</v>
      </c>
      <c r="E710" s="1" t="s">
        <v>3793</v>
      </c>
      <c r="F710" s="1" t="s">
        <v>3794</v>
      </c>
      <c r="G710" s="1" t="s">
        <v>1598</v>
      </c>
      <c r="H710" s="1">
        <v>5.7431528099999998</v>
      </c>
      <c r="I710" s="1">
        <v>6.0959298439999996</v>
      </c>
      <c r="J710" s="1">
        <v>5.0551375939999996</v>
      </c>
      <c r="K710" s="1">
        <v>4.7454889089999996</v>
      </c>
      <c r="L710" s="1">
        <v>4.8008003170000002</v>
      </c>
      <c r="M710" s="1">
        <v>4.930560163</v>
      </c>
      <c r="N710" s="1">
        <v>5.8460635029999999</v>
      </c>
      <c r="O710" s="1">
        <v>6.1884751419999997</v>
      </c>
      <c r="P710" s="1">
        <v>5.2736118430000003</v>
      </c>
      <c r="Q710" s="1">
        <v>4.8773483779999998</v>
      </c>
      <c r="R710" s="1">
        <v>4.6795267799999998</v>
      </c>
      <c r="S710" s="1">
        <v>4.9261733090000002</v>
      </c>
      <c r="T710" s="1">
        <v>4.8008003170000002</v>
      </c>
      <c r="U710" s="1">
        <v>4.930560163</v>
      </c>
      <c r="V710" s="1">
        <v>4.6987742170000004</v>
      </c>
      <c r="W710" s="1">
        <v>5.329276363</v>
      </c>
      <c r="X710" s="1">
        <v>5.1899342839999996</v>
      </c>
      <c r="Y710" s="1">
        <v>5.2792112080000004</v>
      </c>
      <c r="Z710" s="1">
        <v>4.6795267799999998</v>
      </c>
      <c r="AA710" s="1">
        <v>4.9261733090000002</v>
      </c>
      <c r="AB710" s="1">
        <v>4.3946012420000002</v>
      </c>
      <c r="AC710" s="1">
        <v>4.9660712470000004</v>
      </c>
      <c r="AD710" s="1">
        <v>5.3536174839999999</v>
      </c>
      <c r="AE710" s="1">
        <v>5.0132584360000001</v>
      </c>
    </row>
    <row r="711" spans="1:31" x14ac:dyDescent="0.25">
      <c r="A711" s="1" t="s">
        <v>1600</v>
      </c>
      <c r="B711" s="1" t="s">
        <v>2530</v>
      </c>
      <c r="C711" s="1" t="s">
        <v>2531</v>
      </c>
      <c r="D711" s="1" t="s">
        <v>2535</v>
      </c>
      <c r="E711" s="1" t="s">
        <v>2621</v>
      </c>
      <c r="G711" s="1" t="s">
        <v>1600</v>
      </c>
      <c r="H711" s="1">
        <v>4.2900513550000001</v>
      </c>
      <c r="I711" s="1">
        <v>4.5981535630000003</v>
      </c>
      <c r="J711" s="1">
        <v>4.2018709520000002</v>
      </c>
      <c r="K711" s="1">
        <v>3.4309024589999999</v>
      </c>
      <c r="L711" s="1">
        <v>4.2932354009999996</v>
      </c>
      <c r="M711" s="1">
        <v>4.1823509169999999</v>
      </c>
      <c r="N711" s="1">
        <v>4.3116130799999999</v>
      </c>
      <c r="O711" s="1">
        <v>3.9591193910000002</v>
      </c>
      <c r="P711" s="1">
        <v>3.9684043939999998</v>
      </c>
      <c r="Q711" s="1">
        <v>4.18747588</v>
      </c>
      <c r="R711" s="1">
        <v>3.7109484589999999</v>
      </c>
      <c r="S711" s="1">
        <v>4.3135540739999998</v>
      </c>
      <c r="T711" s="1">
        <v>4.2932354009999996</v>
      </c>
      <c r="U711" s="1">
        <v>4.1823509169999999</v>
      </c>
      <c r="V711" s="1">
        <v>4.0758289169999999</v>
      </c>
      <c r="W711" s="1">
        <v>3.9848641250000001</v>
      </c>
      <c r="X711" s="1">
        <v>4.7537743670000001</v>
      </c>
      <c r="Y711" s="1">
        <v>3.9087436480000002</v>
      </c>
      <c r="Z711" s="1">
        <v>3.7109484589999999</v>
      </c>
      <c r="AA711" s="1">
        <v>4.3135540739999998</v>
      </c>
      <c r="AB711" s="1">
        <v>3.8237667059999998</v>
      </c>
      <c r="AC711" s="1">
        <v>3.9750819590000002</v>
      </c>
      <c r="AD711" s="1">
        <v>4.0967699450000001</v>
      </c>
      <c r="AE711" s="1">
        <v>3.8864783150000002</v>
      </c>
    </row>
    <row r="712" spans="1:31" x14ac:dyDescent="0.25">
      <c r="A712" s="1" t="s">
        <v>1605</v>
      </c>
      <c r="B712" s="1" t="s">
        <v>2530</v>
      </c>
      <c r="C712" s="1" t="s">
        <v>2531</v>
      </c>
      <c r="D712" s="1" t="s">
        <v>2535</v>
      </c>
      <c r="E712" s="1" t="s">
        <v>2536</v>
      </c>
      <c r="G712" s="1" t="s">
        <v>1605</v>
      </c>
      <c r="H712" s="1">
        <v>7.357860155</v>
      </c>
      <c r="I712" s="1">
        <v>6.949622572</v>
      </c>
      <c r="J712" s="1">
        <v>5.8592801899999998</v>
      </c>
      <c r="K712" s="1">
        <v>5.9181521149999998</v>
      </c>
      <c r="L712" s="1">
        <v>5.1724144110000001</v>
      </c>
      <c r="M712" s="1">
        <v>5.4634864729999997</v>
      </c>
      <c r="N712" s="1">
        <v>7.1960539800000003</v>
      </c>
      <c r="O712" s="1">
        <v>7.5095852350000003</v>
      </c>
      <c r="P712" s="1">
        <v>5.8618301099999996</v>
      </c>
      <c r="Q712" s="1">
        <v>6.1730784669999998</v>
      </c>
      <c r="R712" s="1">
        <v>5.1961281320000001</v>
      </c>
      <c r="S712" s="1">
        <v>5.4687741709999997</v>
      </c>
      <c r="T712" s="1">
        <v>5.1724144110000001</v>
      </c>
      <c r="U712" s="1">
        <v>5.4634864729999997</v>
      </c>
      <c r="V712" s="1">
        <v>5.6392772100000004</v>
      </c>
      <c r="W712" s="1">
        <v>5.6874298530000003</v>
      </c>
      <c r="X712" s="1">
        <v>5.4828239310000004</v>
      </c>
      <c r="Y712" s="1">
        <v>6.2095953220000002</v>
      </c>
      <c r="Z712" s="1">
        <v>5.1961281320000001</v>
      </c>
      <c r="AA712" s="1">
        <v>5.4687741709999997</v>
      </c>
      <c r="AB712" s="1">
        <v>6.0812876019999997</v>
      </c>
      <c r="AC712" s="1">
        <v>5.6698330419999996</v>
      </c>
      <c r="AD712" s="1">
        <v>6.1657997020000002</v>
      </c>
      <c r="AE712" s="1">
        <v>6.2026157089999998</v>
      </c>
    </row>
    <row r="713" spans="1:31" x14ac:dyDescent="0.25">
      <c r="A713" s="1" t="s">
        <v>1608</v>
      </c>
      <c r="B713" s="1" t="s">
        <v>2530</v>
      </c>
      <c r="C713" s="1" t="s">
        <v>2531</v>
      </c>
      <c r="D713" s="1" t="s">
        <v>2535</v>
      </c>
      <c r="E713" s="1" t="s">
        <v>2536</v>
      </c>
      <c r="G713" s="1" t="s">
        <v>1608</v>
      </c>
      <c r="H713" s="1">
        <v>4.3886087140000001</v>
      </c>
      <c r="I713" s="1">
        <v>4.2055918060000002</v>
      </c>
      <c r="J713" s="1">
        <v>3.6453331530000002</v>
      </c>
      <c r="K713" s="1">
        <v>4.4318297590000002</v>
      </c>
      <c r="L713" s="1">
        <v>4.0714409539999998</v>
      </c>
      <c r="M713" s="1">
        <v>4.1823509169999999</v>
      </c>
      <c r="N713" s="1">
        <v>4.3596796910000002</v>
      </c>
      <c r="O713" s="1">
        <v>4.3322392709999997</v>
      </c>
      <c r="P713" s="1">
        <v>3.9684043939999998</v>
      </c>
      <c r="Q713" s="1">
        <v>3.185675432</v>
      </c>
      <c r="R713" s="1">
        <v>3.8462631940000001</v>
      </c>
      <c r="S713" s="1">
        <v>3.9182367880000002</v>
      </c>
      <c r="T713" s="1">
        <v>4.0714409539999998</v>
      </c>
      <c r="U713" s="1">
        <v>4.1823509169999999</v>
      </c>
      <c r="V713" s="1">
        <v>4.4559512029999997</v>
      </c>
      <c r="W713" s="1">
        <v>4.6166922860000001</v>
      </c>
      <c r="X713" s="1">
        <v>2.9542167930000001</v>
      </c>
      <c r="Y713" s="1">
        <v>4.6081171230000004</v>
      </c>
      <c r="Z713" s="1">
        <v>3.8462631940000001</v>
      </c>
      <c r="AA713" s="1">
        <v>3.9182367880000002</v>
      </c>
      <c r="AB713" s="1">
        <v>3.6315729079999999</v>
      </c>
      <c r="AC713" s="1">
        <v>3.3054795530000001</v>
      </c>
      <c r="AD713" s="1">
        <v>4.2970121150000002</v>
      </c>
      <c r="AE713" s="1">
        <v>4.1773695330000002</v>
      </c>
    </row>
    <row r="714" spans="1:31" x14ac:dyDescent="0.25">
      <c r="A714" s="1" t="s">
        <v>1613</v>
      </c>
      <c r="B714" s="1" t="s">
        <v>2530</v>
      </c>
      <c r="C714" s="1" t="s">
        <v>2573</v>
      </c>
      <c r="D714" s="1" t="s">
        <v>2535</v>
      </c>
      <c r="E714" s="1" t="s">
        <v>3795</v>
      </c>
      <c r="F714" s="1" t="s">
        <v>3796</v>
      </c>
      <c r="G714" s="1" t="s">
        <v>1613</v>
      </c>
      <c r="H714" s="1">
        <v>4.5667504939999999</v>
      </c>
      <c r="I714" s="1">
        <v>4.66484875</v>
      </c>
      <c r="J714" s="1">
        <v>6.4096880770000002</v>
      </c>
      <c r="K714" s="1">
        <v>5.4493056099999997</v>
      </c>
      <c r="L714" s="1">
        <v>6.8467147739999996</v>
      </c>
      <c r="M714" s="1">
        <v>6.7492461319999997</v>
      </c>
      <c r="N714" s="1">
        <v>4.4510307109999996</v>
      </c>
      <c r="O714" s="1">
        <v>4.8663619410000001</v>
      </c>
      <c r="P714" s="1">
        <v>6.336531473</v>
      </c>
      <c r="Q714" s="1">
        <v>6.3980489909999996</v>
      </c>
      <c r="R714" s="1">
        <v>6.7267142719999997</v>
      </c>
      <c r="S714" s="1">
        <v>6.5149715439999998</v>
      </c>
      <c r="T714" s="1">
        <v>6.8467147739999996</v>
      </c>
      <c r="U714" s="1">
        <v>6.7492461319999997</v>
      </c>
      <c r="V714" s="1">
        <v>6.2012354710000004</v>
      </c>
      <c r="W714" s="1">
        <v>6.239290832</v>
      </c>
      <c r="X714" s="1">
        <v>6.430767253</v>
      </c>
      <c r="Y714" s="1">
        <v>6.2594192150000003</v>
      </c>
      <c r="Z714" s="1">
        <v>6.7267142719999997</v>
      </c>
      <c r="AA714" s="1">
        <v>6.5149715439999998</v>
      </c>
      <c r="AB714" s="1">
        <v>6.679460873</v>
      </c>
      <c r="AC714" s="1">
        <v>6.3266154559999999</v>
      </c>
      <c r="AD714" s="1">
        <v>6.1657997020000002</v>
      </c>
      <c r="AE714" s="1">
        <v>6.1648337089999998</v>
      </c>
    </row>
    <row r="715" spans="1:31" x14ac:dyDescent="0.25">
      <c r="A715" s="1" t="s">
        <v>1614</v>
      </c>
      <c r="B715" s="1" t="s">
        <v>2667</v>
      </c>
      <c r="C715" s="1" t="s">
        <v>2781</v>
      </c>
      <c r="D715" s="1" t="s">
        <v>3797</v>
      </c>
      <c r="E715" s="1" t="s">
        <v>3798</v>
      </c>
      <c r="F715" s="1" t="s">
        <v>3799</v>
      </c>
      <c r="G715" s="1" t="s">
        <v>1614</v>
      </c>
      <c r="H715" s="1">
        <v>10.55222577</v>
      </c>
      <c r="I715" s="1">
        <v>10.48410737</v>
      </c>
      <c r="J715" s="1">
        <v>11.61031316</v>
      </c>
      <c r="K715" s="1">
        <v>11.50482173</v>
      </c>
      <c r="L715" s="1">
        <v>11.68540353</v>
      </c>
      <c r="M715" s="1">
        <v>11.942735949999999</v>
      </c>
      <c r="N715" s="1">
        <v>9.2510387690000009</v>
      </c>
      <c r="O715" s="1">
        <v>9.2688132549999995</v>
      </c>
      <c r="P715" s="1">
        <v>11.48899724</v>
      </c>
      <c r="Q715" s="1">
        <v>11.5160059</v>
      </c>
      <c r="R715" s="1">
        <v>11.716832480000001</v>
      </c>
      <c r="S715" s="1">
        <v>11.797570220000001</v>
      </c>
      <c r="T715" s="1">
        <v>11.68540353</v>
      </c>
      <c r="U715" s="1">
        <v>11.942735949999999</v>
      </c>
      <c r="V715" s="1">
        <v>11.2423248</v>
      </c>
      <c r="W715" s="1">
        <v>11.31651802</v>
      </c>
      <c r="X715" s="1">
        <v>11.2221125</v>
      </c>
      <c r="Y715" s="1">
        <v>10.904546760000001</v>
      </c>
      <c r="Z715" s="1">
        <v>11.716832480000001</v>
      </c>
      <c r="AA715" s="1">
        <v>11.797570220000001</v>
      </c>
      <c r="AB715" s="1">
        <v>11.32958436</v>
      </c>
      <c r="AC715" s="1">
        <v>11.270836559999999</v>
      </c>
      <c r="AD715" s="1">
        <v>10.913726479999999</v>
      </c>
      <c r="AE715" s="1">
        <v>10.80360902</v>
      </c>
    </row>
    <row r="716" spans="1:31" x14ac:dyDescent="0.25">
      <c r="A716" s="1" t="s">
        <v>1615</v>
      </c>
      <c r="B716" s="1" t="s">
        <v>2530</v>
      </c>
      <c r="C716" s="1" t="s">
        <v>2531</v>
      </c>
      <c r="D716" s="1" t="s">
        <v>2535</v>
      </c>
      <c r="E716" s="1" t="s">
        <v>2536</v>
      </c>
      <c r="G716" s="1" t="s">
        <v>1615</v>
      </c>
      <c r="H716" s="1">
        <v>4.8663747150000001</v>
      </c>
      <c r="I716" s="1">
        <v>4.66484875</v>
      </c>
      <c r="J716" s="1">
        <v>4.1077874330000004</v>
      </c>
      <c r="K716" s="1">
        <v>2.9677134359999999</v>
      </c>
      <c r="L716" s="1">
        <v>4.8288685039999999</v>
      </c>
      <c r="M716" s="1">
        <v>4.7872698079999996</v>
      </c>
      <c r="N716" s="1">
        <v>3.8490531570000002</v>
      </c>
      <c r="O716" s="1">
        <v>3.7238257350000001</v>
      </c>
      <c r="P716" s="1">
        <v>4.5499605860000001</v>
      </c>
      <c r="Q716" s="1">
        <v>5.1004769559999996</v>
      </c>
      <c r="R716" s="1">
        <v>4.0808207129999996</v>
      </c>
      <c r="S716" s="1">
        <v>4.980227309</v>
      </c>
      <c r="T716" s="1">
        <v>4.8288685039999999</v>
      </c>
      <c r="U716" s="1">
        <v>4.7872698079999996</v>
      </c>
      <c r="V716" s="1">
        <v>4.3163797720000003</v>
      </c>
      <c r="W716" s="1">
        <v>4.3370700810000002</v>
      </c>
      <c r="X716" s="1">
        <v>5.2147349050000003</v>
      </c>
      <c r="Y716" s="1">
        <v>3.6154848500000001</v>
      </c>
      <c r="Z716" s="1">
        <v>4.0808207129999996</v>
      </c>
      <c r="AA716" s="1">
        <v>4.980227309</v>
      </c>
      <c r="AB716" s="1">
        <v>4.2729702720000002</v>
      </c>
      <c r="AC716" s="1">
        <v>4.8053838390000001</v>
      </c>
      <c r="AD716" s="1">
        <v>4.7657555159999996</v>
      </c>
      <c r="AE716" s="1">
        <v>5.0693189500000004</v>
      </c>
    </row>
    <row r="717" spans="1:31" x14ac:dyDescent="0.25">
      <c r="A717" s="1" t="s">
        <v>1616</v>
      </c>
      <c r="B717" s="1" t="s">
        <v>2568</v>
      </c>
      <c r="C717" s="1" t="s">
        <v>2531</v>
      </c>
      <c r="D717" s="1" t="s">
        <v>2535</v>
      </c>
      <c r="E717" s="1" t="s">
        <v>3534</v>
      </c>
      <c r="G717" s="1" t="s">
        <v>1616</v>
      </c>
      <c r="H717" s="1">
        <v>8.3761642369999993</v>
      </c>
      <c r="I717" s="1">
        <v>7.9310191970000004</v>
      </c>
      <c r="J717" s="1">
        <v>8.1587168119999998</v>
      </c>
      <c r="K717" s="1">
        <v>8.0635266469999998</v>
      </c>
      <c r="L717" s="1">
        <v>7.4825145790000001</v>
      </c>
      <c r="M717" s="1">
        <v>7.8046091520000003</v>
      </c>
      <c r="N717" s="1">
        <v>7.2152497440000003</v>
      </c>
      <c r="O717" s="1">
        <v>6.6583935810000003</v>
      </c>
      <c r="P717" s="1">
        <v>8.0497433009999995</v>
      </c>
      <c r="Q717" s="1">
        <v>8.3392988960000007</v>
      </c>
      <c r="R717" s="1">
        <v>7.8272650339999998</v>
      </c>
      <c r="S717" s="1">
        <v>7.8259422809999997</v>
      </c>
      <c r="T717" s="1">
        <v>7.4825145790000001</v>
      </c>
      <c r="U717" s="1">
        <v>7.8046091520000003</v>
      </c>
      <c r="V717" s="1">
        <v>7.7723754989999998</v>
      </c>
      <c r="W717" s="1">
        <v>7.7007104609999999</v>
      </c>
      <c r="X717" s="1">
        <v>7.756786494</v>
      </c>
      <c r="Y717" s="1">
        <v>7.8444431989999996</v>
      </c>
      <c r="Z717" s="1">
        <v>7.8272650339999998</v>
      </c>
      <c r="AA717" s="1">
        <v>7.8259422809999997</v>
      </c>
      <c r="AB717" s="1">
        <v>7.8028179489999996</v>
      </c>
      <c r="AC717" s="1">
        <v>7.7897765919999999</v>
      </c>
      <c r="AD717" s="1">
        <v>7.8425975660000002</v>
      </c>
      <c r="AE717" s="1">
        <v>7.8184582740000002</v>
      </c>
    </row>
    <row r="718" spans="1:31" x14ac:dyDescent="0.25">
      <c r="A718" s="1" t="s">
        <v>1617</v>
      </c>
      <c r="B718" s="1" t="s">
        <v>2530</v>
      </c>
      <c r="C718" s="1" t="s">
        <v>2573</v>
      </c>
      <c r="D718" s="1" t="s">
        <v>2535</v>
      </c>
      <c r="E718" s="1" t="s">
        <v>3534</v>
      </c>
      <c r="G718" s="1" t="s">
        <v>1617</v>
      </c>
      <c r="H718" s="1">
        <v>6.0380558219999996</v>
      </c>
      <c r="I718" s="1">
        <v>6.1195241339999997</v>
      </c>
      <c r="J718" s="1">
        <v>5.8869626679999998</v>
      </c>
      <c r="K718" s="1">
        <v>5.3612725399999999</v>
      </c>
      <c r="L718" s="1">
        <v>5.3938587340000002</v>
      </c>
      <c r="M718" s="1">
        <v>5.7000608240000004</v>
      </c>
      <c r="N718" s="1">
        <v>5.4930242160000002</v>
      </c>
      <c r="O718" s="1">
        <v>5.2800788330000001</v>
      </c>
      <c r="P718" s="1">
        <v>5.9898979399999996</v>
      </c>
      <c r="Q718" s="1">
        <v>5.9637007390000001</v>
      </c>
      <c r="R718" s="1">
        <v>6.1192055940000003</v>
      </c>
      <c r="S718" s="1">
        <v>5.710270789</v>
      </c>
      <c r="T718" s="1">
        <v>5.3938587340000002</v>
      </c>
      <c r="U718" s="1">
        <v>5.7000608240000004</v>
      </c>
      <c r="V718" s="1">
        <v>5.8765220630000004</v>
      </c>
      <c r="W718" s="1">
        <v>5.8376547490000004</v>
      </c>
      <c r="X718" s="1">
        <v>6.1533217709999999</v>
      </c>
      <c r="Y718" s="1">
        <v>6.1044436219999998</v>
      </c>
      <c r="Z718" s="1">
        <v>6.1192055940000003</v>
      </c>
      <c r="AA718" s="1">
        <v>5.710270789</v>
      </c>
      <c r="AB718" s="1">
        <v>5.9711898400000001</v>
      </c>
      <c r="AC718" s="1">
        <v>6.0940352600000001</v>
      </c>
      <c r="AD718" s="1">
        <v>5.9522696560000004</v>
      </c>
      <c r="AE718" s="1">
        <v>6.1520156129999997</v>
      </c>
    </row>
    <row r="719" spans="1:31" x14ac:dyDescent="0.25">
      <c r="A719" s="1" t="s">
        <v>1622</v>
      </c>
      <c r="B719" s="1" t="s">
        <v>2942</v>
      </c>
      <c r="C719" s="1" t="s">
        <v>3342</v>
      </c>
      <c r="D719" s="1" t="s">
        <v>3800</v>
      </c>
      <c r="E719" s="1" t="s">
        <v>3801</v>
      </c>
      <c r="F719" s="1" t="s">
        <v>3802</v>
      </c>
      <c r="G719" s="1" t="s">
        <v>1622</v>
      </c>
      <c r="H719" s="1">
        <v>4.0684382540000001</v>
      </c>
      <c r="I719" s="1">
        <v>4.4542943209999999</v>
      </c>
      <c r="J719" s="1">
        <v>3.6453331530000002</v>
      </c>
      <c r="K719" s="1">
        <v>3.607491666</v>
      </c>
      <c r="L719" s="1">
        <v>3.2097511390000002</v>
      </c>
      <c r="M719" s="1">
        <v>3.9942443089999999</v>
      </c>
      <c r="N719" s="1">
        <v>3.622455167</v>
      </c>
      <c r="O719" s="1">
        <v>3.5386882399999999</v>
      </c>
      <c r="P719" s="1">
        <v>3.9684043939999998</v>
      </c>
      <c r="Q719" s="1">
        <v>3.7137735799999998</v>
      </c>
      <c r="R719" s="1">
        <v>3.386455024</v>
      </c>
      <c r="S719" s="1">
        <v>3.5159502420000002</v>
      </c>
      <c r="T719" s="1">
        <v>3.2097511390000002</v>
      </c>
      <c r="U719" s="1">
        <v>3.9942443089999999</v>
      </c>
      <c r="V719" s="1">
        <v>4.0758289169999999</v>
      </c>
      <c r="W719" s="1">
        <v>3.50175473</v>
      </c>
      <c r="X719" s="1">
        <v>3.8785046219999999</v>
      </c>
      <c r="Y719" s="1">
        <v>3.6154848500000001</v>
      </c>
      <c r="Z719" s="1">
        <v>3.386455024</v>
      </c>
      <c r="AA719" s="1">
        <v>3.5159502420000002</v>
      </c>
      <c r="AB719" s="1">
        <v>3.404153038</v>
      </c>
      <c r="AC719" s="1">
        <v>3.9750819590000002</v>
      </c>
      <c r="AD719" s="1">
        <v>4.3870463700000002</v>
      </c>
      <c r="AE719" s="1">
        <v>3.5108161330000001</v>
      </c>
    </row>
    <row r="720" spans="1:31" x14ac:dyDescent="0.25">
      <c r="A720" s="1" t="s">
        <v>1627</v>
      </c>
      <c r="B720" s="1" t="s">
        <v>2579</v>
      </c>
      <c r="C720" s="1" t="s">
        <v>2585</v>
      </c>
      <c r="D720" s="1" t="s">
        <v>3803</v>
      </c>
      <c r="E720" s="1" t="s">
        <v>3804</v>
      </c>
      <c r="F720" s="1" t="s">
        <v>3805</v>
      </c>
      <c r="G720" s="1" t="s">
        <v>1627</v>
      </c>
      <c r="H720" s="1">
        <v>3.4660955969999998</v>
      </c>
      <c r="I720" s="1">
        <v>2.8927893610000002</v>
      </c>
      <c r="J720" s="1">
        <v>3.4977151119999998</v>
      </c>
      <c r="K720" s="1">
        <v>3.8998480660000001</v>
      </c>
      <c r="L720" s="1">
        <v>4.0714409539999998</v>
      </c>
      <c r="M720" s="1">
        <v>3.7747836370000001</v>
      </c>
      <c r="N720" s="1">
        <v>3.5368298970000001</v>
      </c>
      <c r="O720" s="1">
        <v>3.193511794</v>
      </c>
      <c r="P720" s="1">
        <v>3.6116823170000001</v>
      </c>
      <c r="Q720" s="1">
        <v>3.388910638</v>
      </c>
      <c r="R720" s="1">
        <v>3.968758995</v>
      </c>
      <c r="S720" s="1">
        <v>3.9182367880000002</v>
      </c>
      <c r="T720" s="1">
        <v>4.0714409539999998</v>
      </c>
      <c r="U720" s="1">
        <v>3.7747836370000001</v>
      </c>
      <c r="V720" s="1">
        <v>3.6670520409999998</v>
      </c>
      <c r="W720" s="1">
        <v>3.50175473</v>
      </c>
      <c r="X720" s="1">
        <v>4.2198471</v>
      </c>
      <c r="Y720" s="1">
        <v>3.6154848500000001</v>
      </c>
      <c r="Z720" s="1">
        <v>3.968758995</v>
      </c>
      <c r="AA720" s="1">
        <v>3.9182367880000002</v>
      </c>
      <c r="AB720" s="1">
        <v>4.139369361</v>
      </c>
      <c r="AC720" s="1">
        <v>3.6175630609999998</v>
      </c>
      <c r="AD720" s="1">
        <v>4.3870463700000002</v>
      </c>
      <c r="AE720" s="1">
        <v>4.0105905760000002</v>
      </c>
    </row>
    <row r="721" spans="1:31" x14ac:dyDescent="0.25">
      <c r="A721" s="1" t="s">
        <v>1628</v>
      </c>
      <c r="B721" s="1" t="s">
        <v>2579</v>
      </c>
      <c r="C721" s="1" t="s">
        <v>2585</v>
      </c>
      <c r="D721" s="1" t="s">
        <v>3803</v>
      </c>
      <c r="E721" s="1" t="s">
        <v>3806</v>
      </c>
      <c r="F721" s="1" t="s">
        <v>3807</v>
      </c>
      <c r="G721" s="1" t="s">
        <v>1628</v>
      </c>
      <c r="H721" s="1">
        <v>4.3886087140000001</v>
      </c>
      <c r="I721" s="1">
        <v>3.9003964459999998</v>
      </c>
      <c r="J721" s="1">
        <v>3.7773371739999999</v>
      </c>
      <c r="K721" s="1">
        <v>3.607491666</v>
      </c>
      <c r="L721" s="1">
        <v>3.7446308510000001</v>
      </c>
      <c r="M721" s="1">
        <v>3.6044002019999999</v>
      </c>
      <c r="N721" s="1">
        <v>3.9164981490000002</v>
      </c>
      <c r="O721" s="1">
        <v>3.5386882399999999</v>
      </c>
      <c r="P721" s="1">
        <v>3.9684043939999998</v>
      </c>
      <c r="Q721" s="1">
        <v>3.7137735799999998</v>
      </c>
      <c r="R721" s="1">
        <v>4.1841942410000001</v>
      </c>
      <c r="S721" s="1">
        <v>3.5159502420000002</v>
      </c>
      <c r="T721" s="1">
        <v>3.7446308510000001</v>
      </c>
      <c r="U721" s="1">
        <v>3.6044002019999999</v>
      </c>
      <c r="V721" s="1">
        <v>4.1608706030000002</v>
      </c>
      <c r="W721" s="1">
        <v>4.69862249</v>
      </c>
      <c r="X721" s="1">
        <v>4.5719855100000002</v>
      </c>
      <c r="Y721" s="1">
        <v>4.4420910779999998</v>
      </c>
      <c r="Z721" s="1">
        <v>4.1841942410000001</v>
      </c>
      <c r="AA721" s="1">
        <v>3.5159502420000002</v>
      </c>
      <c r="AB721" s="1">
        <v>4.8804215500000003</v>
      </c>
      <c r="AC721" s="1">
        <v>3.9750819590000002</v>
      </c>
      <c r="AD721" s="1">
        <v>3.984188064</v>
      </c>
      <c r="AE721" s="1">
        <v>4.0105905760000002</v>
      </c>
    </row>
    <row r="722" spans="1:31" x14ac:dyDescent="0.25">
      <c r="A722" s="1" t="s">
        <v>1629</v>
      </c>
      <c r="B722" s="1" t="s">
        <v>2667</v>
      </c>
      <c r="C722" s="1" t="s">
        <v>2802</v>
      </c>
      <c r="D722" s="1" t="s">
        <v>3190</v>
      </c>
      <c r="E722" s="1" t="s">
        <v>3808</v>
      </c>
      <c r="F722" s="1" t="s">
        <v>3809</v>
      </c>
      <c r="G722" s="1" t="s">
        <v>1629</v>
      </c>
      <c r="H722" s="1">
        <v>6.3556221559999999</v>
      </c>
      <c r="I722" s="1">
        <v>6.2102063709999999</v>
      </c>
      <c r="J722" s="1">
        <v>6.863459046</v>
      </c>
      <c r="K722" s="1">
        <v>6.6493796840000003</v>
      </c>
      <c r="L722" s="1">
        <v>7.7946859579999996</v>
      </c>
      <c r="M722" s="1">
        <v>7.6394047690000004</v>
      </c>
      <c r="N722" s="1">
        <v>6.0311824969999996</v>
      </c>
      <c r="O722" s="1">
        <v>6.7989962650000004</v>
      </c>
      <c r="P722" s="1">
        <v>7.1520863200000004</v>
      </c>
      <c r="Q722" s="1">
        <v>7.3197157400000004</v>
      </c>
      <c r="R722" s="1">
        <v>7.6118150590000004</v>
      </c>
      <c r="S722" s="1">
        <v>7.727829592</v>
      </c>
      <c r="T722" s="1">
        <v>7.7946859579999996</v>
      </c>
      <c r="U722" s="1">
        <v>7.6394047690000004</v>
      </c>
      <c r="V722" s="1">
        <v>7.5321471390000001</v>
      </c>
      <c r="W722" s="1">
        <v>7.630644964</v>
      </c>
      <c r="X722" s="1">
        <v>7.9848599550000001</v>
      </c>
      <c r="Y722" s="1">
        <v>7.707808998</v>
      </c>
      <c r="Z722" s="1">
        <v>7.6118150590000004</v>
      </c>
      <c r="AA722" s="1">
        <v>7.727829592</v>
      </c>
      <c r="AB722" s="1">
        <v>7.5714398440000004</v>
      </c>
      <c r="AC722" s="1">
        <v>7.8315830829999999</v>
      </c>
      <c r="AD722" s="1">
        <v>7.7548157030000002</v>
      </c>
      <c r="AE722" s="1">
        <v>7.735134908</v>
      </c>
    </row>
    <row r="723" spans="1:31" x14ac:dyDescent="0.25">
      <c r="A723" s="1" t="s">
        <v>1630</v>
      </c>
      <c r="B723" s="1" t="s">
        <v>2557</v>
      </c>
      <c r="C723" s="1" t="s">
        <v>2658</v>
      </c>
      <c r="D723" s="1" t="s">
        <v>3418</v>
      </c>
      <c r="E723" s="1" t="s">
        <v>3810</v>
      </c>
      <c r="G723" s="1" t="s">
        <v>1630</v>
      </c>
      <c r="H723" s="1">
        <v>4.5667504939999999</v>
      </c>
      <c r="I723" s="1">
        <v>4.2055918060000002</v>
      </c>
      <c r="J723" s="1">
        <v>3.329519721</v>
      </c>
      <c r="K723" s="1">
        <v>3.22334677</v>
      </c>
      <c r="L723" s="1">
        <v>3.8051274570000002</v>
      </c>
      <c r="M723" s="1">
        <v>3.169085575</v>
      </c>
      <c r="N723" s="1">
        <v>4.3596796910000002</v>
      </c>
      <c r="O723" s="1">
        <v>4.385526188</v>
      </c>
      <c r="P723" s="1">
        <v>3.6116823170000001</v>
      </c>
      <c r="Q723" s="1">
        <v>2.935765398</v>
      </c>
      <c r="R723" s="1">
        <v>2.9339002829999998</v>
      </c>
      <c r="S723" s="1">
        <v>3.1475403900000001</v>
      </c>
      <c r="T723" s="1">
        <v>3.8051274570000002</v>
      </c>
      <c r="U723" s="1">
        <v>3.169085575</v>
      </c>
      <c r="V723" s="1">
        <v>3.6670520409999998</v>
      </c>
      <c r="W723" s="1">
        <v>3.50175473</v>
      </c>
      <c r="X723" s="1">
        <v>4.0022987600000004</v>
      </c>
      <c r="Y723" s="1">
        <v>2.9733498090000001</v>
      </c>
      <c r="Z723" s="1">
        <v>2.9339002829999998</v>
      </c>
      <c r="AA723" s="1">
        <v>3.1475403900000001</v>
      </c>
      <c r="AB723" s="1">
        <v>2.73487305</v>
      </c>
      <c r="AC723" s="1">
        <v>3.1109927919999998</v>
      </c>
      <c r="AD723" s="1">
        <v>2.9432342459999998</v>
      </c>
      <c r="AE723" s="1">
        <v>4.0105905760000002</v>
      </c>
    </row>
    <row r="724" spans="1:31" x14ac:dyDescent="0.25">
      <c r="A724" s="1" t="s">
        <v>1634</v>
      </c>
      <c r="B724" s="1" t="s">
        <v>2838</v>
      </c>
      <c r="C724" s="1" t="s">
        <v>2839</v>
      </c>
      <c r="D724" s="1" t="s">
        <v>2535</v>
      </c>
      <c r="E724" s="1" t="s">
        <v>3811</v>
      </c>
      <c r="F724" s="1" t="s">
        <v>3812</v>
      </c>
      <c r="G724" s="1" t="s">
        <v>1634</v>
      </c>
      <c r="H724" s="1">
        <v>6.0380558219999996</v>
      </c>
      <c r="I724" s="1">
        <v>5.9974724879999997</v>
      </c>
      <c r="J724" s="1">
        <v>5.9926388770000001</v>
      </c>
      <c r="K724" s="1">
        <v>6.1712535270000002</v>
      </c>
      <c r="L724" s="1">
        <v>6.2716175139999999</v>
      </c>
      <c r="M724" s="1">
        <v>6.2923515759999997</v>
      </c>
      <c r="N724" s="1">
        <v>5.894631425</v>
      </c>
      <c r="O724" s="1">
        <v>6.0664210660000002</v>
      </c>
      <c r="P724" s="1">
        <v>6.1298655379999998</v>
      </c>
      <c r="Q724" s="1">
        <v>6.3557835540000003</v>
      </c>
      <c r="R724" s="1">
        <v>6.1192055940000003</v>
      </c>
      <c r="S724" s="1">
        <v>6.168262747</v>
      </c>
      <c r="T724" s="1">
        <v>6.2716175139999999</v>
      </c>
      <c r="U724" s="1">
        <v>6.2923515759999997</v>
      </c>
      <c r="V724" s="1">
        <v>5.9476095180000002</v>
      </c>
      <c r="W724" s="1">
        <v>6.265991681</v>
      </c>
      <c r="X724" s="1">
        <v>6.1533217709999999</v>
      </c>
      <c r="Y724" s="1">
        <v>5.8352313850000002</v>
      </c>
      <c r="Z724" s="1">
        <v>6.1192055940000003</v>
      </c>
      <c r="AA724" s="1">
        <v>6.168262747</v>
      </c>
      <c r="AB724" s="1">
        <v>6.2160685200000003</v>
      </c>
      <c r="AC724" s="1">
        <v>6.4392179089999999</v>
      </c>
      <c r="AD724" s="1">
        <v>6.0361091350000002</v>
      </c>
      <c r="AE724" s="1">
        <v>6.0726073669999998</v>
      </c>
    </row>
    <row r="725" spans="1:31" x14ac:dyDescent="0.25">
      <c r="A725" s="1" t="s">
        <v>1640</v>
      </c>
      <c r="B725" s="1" t="s">
        <v>2530</v>
      </c>
      <c r="C725" s="1" t="s">
        <v>2531</v>
      </c>
      <c r="D725" s="1" t="s">
        <v>2535</v>
      </c>
      <c r="E725" s="1" t="s">
        <v>2621</v>
      </c>
      <c r="G725" s="1" t="s">
        <v>1640</v>
      </c>
      <c r="H725" s="1">
        <v>5.4177093730000001</v>
      </c>
      <c r="I725" s="1">
        <v>5.1546023129999998</v>
      </c>
      <c r="J725" s="1">
        <v>5.9407738800000001</v>
      </c>
      <c r="K725" s="1">
        <v>6.4300937310000004</v>
      </c>
      <c r="L725" s="1">
        <v>6.6588853419999996</v>
      </c>
      <c r="M725" s="1">
        <v>6.5553394090000001</v>
      </c>
      <c r="N725" s="1">
        <v>5.9416077520000004</v>
      </c>
      <c r="O725" s="1">
        <v>5.600077969</v>
      </c>
      <c r="P725" s="1">
        <v>6.6624064440000001</v>
      </c>
      <c r="Q725" s="1">
        <v>6.6807419020000003</v>
      </c>
      <c r="R725" s="1">
        <v>6.9124289210000001</v>
      </c>
      <c r="S725" s="1">
        <v>6.636545935</v>
      </c>
      <c r="T725" s="1">
        <v>6.6588853419999996</v>
      </c>
      <c r="U725" s="1">
        <v>6.5553394090000001</v>
      </c>
      <c r="V725" s="1">
        <v>6.416733067</v>
      </c>
      <c r="W725" s="1">
        <v>6.2120844699999997</v>
      </c>
      <c r="X725" s="1">
        <v>7.4550865460000004</v>
      </c>
      <c r="Y725" s="1">
        <v>6.7346511490000003</v>
      </c>
      <c r="Z725" s="1">
        <v>6.9124289210000001</v>
      </c>
      <c r="AA725" s="1">
        <v>6.636545935</v>
      </c>
      <c r="AB725" s="1">
        <v>7.1687117850000002</v>
      </c>
      <c r="AC725" s="1">
        <v>7.1943210840000003</v>
      </c>
      <c r="AD725" s="1">
        <v>7.0733477520000001</v>
      </c>
      <c r="AE725" s="1">
        <v>7.0510357859999999</v>
      </c>
    </row>
    <row r="726" spans="1:31" x14ac:dyDescent="0.25">
      <c r="A726" s="1" t="s">
        <v>1643</v>
      </c>
      <c r="B726" s="1" t="s">
        <v>2598</v>
      </c>
      <c r="C726" s="1" t="s">
        <v>2603</v>
      </c>
      <c r="D726" s="1" t="s">
        <v>3187</v>
      </c>
      <c r="E726" s="1" t="s">
        <v>3813</v>
      </c>
      <c r="F726" s="1" t="s">
        <v>3814</v>
      </c>
      <c r="G726" s="1" t="s">
        <v>1643</v>
      </c>
      <c r="H726" s="1">
        <v>6.6155784799999999</v>
      </c>
      <c r="I726" s="1">
        <v>7.7766848319999999</v>
      </c>
      <c r="J726" s="1">
        <v>6.9961611450000003</v>
      </c>
      <c r="K726" s="1">
        <v>7.2705230040000002</v>
      </c>
      <c r="L726" s="1">
        <v>7.4156352590000001</v>
      </c>
      <c r="M726" s="1">
        <v>7.2653256690000001</v>
      </c>
      <c r="N726" s="1">
        <v>6.8480269140000001</v>
      </c>
      <c r="O726" s="1">
        <v>6.7101991859999996</v>
      </c>
      <c r="P726" s="1">
        <v>7.6388274789999997</v>
      </c>
      <c r="Q726" s="1">
        <v>7.2173337469999996</v>
      </c>
      <c r="R726" s="1">
        <v>6.9832586330000002</v>
      </c>
      <c r="S726" s="1">
        <v>7.1259952369999997</v>
      </c>
      <c r="T726" s="1">
        <v>7.4156352590000001</v>
      </c>
      <c r="U726" s="1">
        <v>7.2653256690000001</v>
      </c>
      <c r="V726" s="1">
        <v>7.6430906140000001</v>
      </c>
      <c r="W726" s="1">
        <v>7.7487515379999996</v>
      </c>
      <c r="X726" s="1">
        <v>6.894159889</v>
      </c>
      <c r="Y726" s="1">
        <v>7.680683546</v>
      </c>
      <c r="Z726" s="1">
        <v>6.9832586330000002</v>
      </c>
      <c r="AA726" s="1">
        <v>7.1259952369999997</v>
      </c>
      <c r="AB726" s="1">
        <v>6.7477303849999997</v>
      </c>
      <c r="AC726" s="1">
        <v>6.8856954019999996</v>
      </c>
      <c r="AD726" s="1">
        <v>6.7817055540000002</v>
      </c>
      <c r="AE726" s="1">
        <v>7.3148720999999997</v>
      </c>
    </row>
    <row r="727" spans="1:31" x14ac:dyDescent="0.25">
      <c r="A727" s="1" t="s">
        <v>1644</v>
      </c>
      <c r="B727" s="1" t="s">
        <v>2547</v>
      </c>
      <c r="C727" s="1" t="s">
        <v>2622</v>
      </c>
      <c r="D727" s="1" t="s">
        <v>3815</v>
      </c>
      <c r="E727" s="1" t="s">
        <v>3816</v>
      </c>
      <c r="G727" s="1" t="s">
        <v>1644</v>
      </c>
      <c r="H727" s="1">
        <v>8.4221662469999998</v>
      </c>
      <c r="I727" s="1">
        <v>8.3041023070000008</v>
      </c>
      <c r="J727" s="1">
        <v>7.4767887499999999</v>
      </c>
      <c r="K727" s="1">
        <v>7.6301644289999997</v>
      </c>
      <c r="L727" s="1">
        <v>7.6392370779999998</v>
      </c>
      <c r="M727" s="1">
        <v>7.4231927009999996</v>
      </c>
      <c r="N727" s="1">
        <v>8.7591755290000002</v>
      </c>
      <c r="O727" s="1">
        <v>8.927773814</v>
      </c>
      <c r="P727" s="1">
        <v>7.3170679959999996</v>
      </c>
      <c r="Q727" s="1">
        <v>7.5145739430000003</v>
      </c>
      <c r="R727" s="1">
        <v>7.3151545530000002</v>
      </c>
      <c r="S727" s="1">
        <v>7.5625082770000001</v>
      </c>
      <c r="T727" s="1">
        <v>7.6392370779999998</v>
      </c>
      <c r="U727" s="1">
        <v>7.4231927009999996</v>
      </c>
      <c r="V727" s="1">
        <v>7.1263832059999999</v>
      </c>
      <c r="W727" s="1">
        <v>7.1041979590000004</v>
      </c>
      <c r="X727" s="1">
        <v>7.3311630130000003</v>
      </c>
      <c r="Y727" s="1">
        <v>7.2839342949999999</v>
      </c>
      <c r="Z727" s="1">
        <v>7.3151545530000002</v>
      </c>
      <c r="AA727" s="1">
        <v>7.5625082770000001</v>
      </c>
      <c r="AB727" s="1">
        <v>7.494109613</v>
      </c>
      <c r="AC727" s="1">
        <v>7.3558803629999998</v>
      </c>
      <c r="AD727" s="1">
        <v>7.4335619030000002</v>
      </c>
      <c r="AE727" s="1">
        <v>7.4200101360000001</v>
      </c>
    </row>
    <row r="728" spans="1:31" x14ac:dyDescent="0.25">
      <c r="A728" s="1" t="s">
        <v>1645</v>
      </c>
      <c r="B728" s="1" t="s">
        <v>2547</v>
      </c>
      <c r="C728" s="1" t="s">
        <v>2622</v>
      </c>
      <c r="D728" s="1" t="s">
        <v>3815</v>
      </c>
      <c r="E728" s="1" t="s">
        <v>3817</v>
      </c>
      <c r="G728" s="1" t="s">
        <v>1645</v>
      </c>
      <c r="H728" s="1">
        <v>6.1789942880000002</v>
      </c>
      <c r="I728" s="1">
        <v>5.7476087250000001</v>
      </c>
      <c r="J728" s="1">
        <v>5.5483108110000003</v>
      </c>
      <c r="K728" s="1">
        <v>5.9783799200000001</v>
      </c>
      <c r="L728" s="1">
        <v>5.9440343650000003</v>
      </c>
      <c r="M728" s="1">
        <v>5.7772279879999999</v>
      </c>
      <c r="N728" s="1">
        <v>6.2705786610000001</v>
      </c>
      <c r="O728" s="1">
        <v>6.3799106659999998</v>
      </c>
      <c r="P728" s="1">
        <v>5.7504406890000004</v>
      </c>
      <c r="Q728" s="1">
        <v>5.6144419360000004</v>
      </c>
      <c r="R728" s="1">
        <v>5.0965654090000001</v>
      </c>
      <c r="S728" s="1">
        <v>5.710270789</v>
      </c>
      <c r="T728" s="1">
        <v>5.9440343650000003</v>
      </c>
      <c r="U728" s="1">
        <v>5.7772279879999999</v>
      </c>
      <c r="V728" s="1">
        <v>5.519727617</v>
      </c>
      <c r="W728" s="1">
        <v>5.4743148909999997</v>
      </c>
      <c r="X728" s="1">
        <v>5.5811786620000001</v>
      </c>
      <c r="Y728" s="1">
        <v>5.6604650660000004</v>
      </c>
      <c r="Z728" s="1">
        <v>5.0965654090000001</v>
      </c>
      <c r="AA728" s="1">
        <v>5.710270789</v>
      </c>
      <c r="AB728" s="1">
        <v>5.4746970709999996</v>
      </c>
      <c r="AC728" s="1">
        <v>5.8163513240000002</v>
      </c>
      <c r="AD728" s="1">
        <v>5.7351750150000003</v>
      </c>
      <c r="AE728" s="1">
        <v>5.5339175159999998</v>
      </c>
    </row>
    <row r="729" spans="1:31" x14ac:dyDescent="0.25">
      <c r="A729" s="1" t="s">
        <v>1648</v>
      </c>
      <c r="B729" s="1" t="s">
        <v>2608</v>
      </c>
      <c r="C729" s="1" t="s">
        <v>2609</v>
      </c>
      <c r="D729" s="1" t="s">
        <v>3388</v>
      </c>
      <c r="E729" s="1" t="s">
        <v>3818</v>
      </c>
      <c r="F729" s="1" t="s">
        <v>3819</v>
      </c>
      <c r="G729" s="1" t="s">
        <v>1648</v>
      </c>
      <c r="H729" s="1">
        <v>5.1686839359999999</v>
      </c>
      <c r="I729" s="1">
        <v>6.5422250579999996</v>
      </c>
      <c r="J729" s="1">
        <v>5.2392025899999997</v>
      </c>
      <c r="K729" s="1">
        <v>5.5719358019999996</v>
      </c>
      <c r="L729" s="1">
        <v>5.8523421369999999</v>
      </c>
      <c r="M729" s="1">
        <v>5.4159199769999997</v>
      </c>
      <c r="N729" s="1">
        <v>6.4326062579999999</v>
      </c>
      <c r="O729" s="1">
        <v>6.0664210660000002</v>
      </c>
      <c r="P729" s="1">
        <v>5.426847231</v>
      </c>
      <c r="Q729" s="1">
        <v>5.4222740280000004</v>
      </c>
      <c r="R729" s="1">
        <v>4.6795267799999998</v>
      </c>
      <c r="S729" s="1">
        <v>4.980227309</v>
      </c>
      <c r="T729" s="1">
        <v>5.8523421369999999</v>
      </c>
      <c r="U729" s="1">
        <v>5.4159199769999997</v>
      </c>
      <c r="V729" s="1">
        <v>5.3192272129999996</v>
      </c>
      <c r="W729" s="1">
        <v>5.1095551629999996</v>
      </c>
      <c r="X729" s="1">
        <v>5.0029944190000002</v>
      </c>
      <c r="Y729" s="1">
        <v>5.4613266610000002</v>
      </c>
      <c r="Z729" s="1">
        <v>4.6795267799999998</v>
      </c>
      <c r="AA729" s="1">
        <v>4.980227309</v>
      </c>
      <c r="AB729" s="1">
        <v>5.1755434500000002</v>
      </c>
      <c r="AC729" s="1">
        <v>4.2557864319999998</v>
      </c>
      <c r="AD729" s="1">
        <v>4.8924744240000004</v>
      </c>
      <c r="AE729" s="1">
        <v>5.3205054189999998</v>
      </c>
    </row>
    <row r="730" spans="1:31" x14ac:dyDescent="0.25">
      <c r="A730" s="1" t="s">
        <v>1649</v>
      </c>
      <c r="B730" s="1" t="s">
        <v>2530</v>
      </c>
      <c r="C730" s="1" t="s">
        <v>2531</v>
      </c>
      <c r="D730" s="1" t="s">
        <v>2535</v>
      </c>
      <c r="E730" s="1" t="s">
        <v>2536</v>
      </c>
      <c r="G730" s="1" t="s">
        <v>1649</v>
      </c>
      <c r="H730" s="1">
        <v>5.8141293449999996</v>
      </c>
      <c r="I730" s="1">
        <v>6.3363261639999999</v>
      </c>
      <c r="J730" s="1">
        <v>6.2053027219999999</v>
      </c>
      <c r="K730" s="1">
        <v>6.0361807939999998</v>
      </c>
      <c r="L730" s="1">
        <v>5.58546151</v>
      </c>
      <c r="M730" s="1">
        <v>5.5319881950000003</v>
      </c>
      <c r="N730" s="1">
        <v>6.3653884090000004</v>
      </c>
      <c r="O730" s="1">
        <v>6.2873774889999998</v>
      </c>
      <c r="P730" s="1">
        <v>5.6913184689999996</v>
      </c>
      <c r="Q730" s="1">
        <v>5.7838067430000004</v>
      </c>
      <c r="R730" s="1">
        <v>5.8111782390000002</v>
      </c>
      <c r="S730" s="1">
        <v>5.8607892960000001</v>
      </c>
      <c r="T730" s="1">
        <v>5.58546151</v>
      </c>
      <c r="U730" s="1">
        <v>5.5319881950000003</v>
      </c>
      <c r="V730" s="1">
        <v>5.8017242820000003</v>
      </c>
      <c r="W730" s="1">
        <v>6.0370461979999996</v>
      </c>
      <c r="X730" s="1">
        <v>6.033711995</v>
      </c>
      <c r="Y730" s="1">
        <v>5.6604650660000004</v>
      </c>
      <c r="Z730" s="1">
        <v>5.8111782390000002</v>
      </c>
      <c r="AA730" s="1">
        <v>5.8607892960000001</v>
      </c>
      <c r="AB730" s="1">
        <v>6.0455186249999997</v>
      </c>
      <c r="AC730" s="1">
        <v>5.8439382809999998</v>
      </c>
      <c r="AD730" s="1">
        <v>5.8632235870000002</v>
      </c>
      <c r="AE730" s="1">
        <v>6.0726073669999998</v>
      </c>
    </row>
    <row r="731" spans="1:31" x14ac:dyDescent="0.25">
      <c r="A731" s="1" t="s">
        <v>1650</v>
      </c>
      <c r="B731" s="1" t="s">
        <v>2557</v>
      </c>
      <c r="C731" s="1" t="s">
        <v>2680</v>
      </c>
      <c r="D731" s="1" t="s">
        <v>3820</v>
      </c>
      <c r="E731" s="1" t="s">
        <v>3821</v>
      </c>
      <c r="F731" s="1" t="s">
        <v>3822</v>
      </c>
      <c r="G731" s="1" t="s">
        <v>1650</v>
      </c>
      <c r="H731" s="1">
        <v>7.4495890060000001</v>
      </c>
      <c r="I731" s="1">
        <v>7.298132742</v>
      </c>
      <c r="J731" s="1">
        <v>7.303269265</v>
      </c>
      <c r="K731" s="1">
        <v>7.0916736929999997</v>
      </c>
      <c r="L731" s="1">
        <v>6.6276832030000001</v>
      </c>
      <c r="M731" s="1">
        <v>6.8145785730000004</v>
      </c>
      <c r="N731" s="1">
        <v>6.9043218279999996</v>
      </c>
      <c r="O731" s="1">
        <v>7.275329245</v>
      </c>
      <c r="P731" s="1">
        <v>6.6469760500000001</v>
      </c>
      <c r="Q731" s="1">
        <v>7.1071188039999997</v>
      </c>
      <c r="R731" s="1">
        <v>7.2930261510000003</v>
      </c>
      <c r="S731" s="1">
        <v>6.949641561</v>
      </c>
      <c r="T731" s="1">
        <v>6.6276832030000001</v>
      </c>
      <c r="U731" s="1">
        <v>6.8145785730000004</v>
      </c>
      <c r="V731" s="1">
        <v>7.2808105950000002</v>
      </c>
      <c r="W731" s="1">
        <v>7.3357764689999998</v>
      </c>
      <c r="X731" s="1">
        <v>7.2441960869999997</v>
      </c>
      <c r="Y731" s="1">
        <v>7.3657028609999999</v>
      </c>
      <c r="Z731" s="1">
        <v>7.2930261510000003</v>
      </c>
      <c r="AA731" s="1">
        <v>6.949641561</v>
      </c>
      <c r="AB731" s="1">
        <v>7.7372174640000004</v>
      </c>
      <c r="AC731" s="1">
        <v>7.4573009299999997</v>
      </c>
      <c r="AD731" s="1">
        <v>7.5519453929999996</v>
      </c>
      <c r="AE731" s="1">
        <v>7.4672568349999997</v>
      </c>
    </row>
    <row r="732" spans="1:31" x14ac:dyDescent="0.25">
      <c r="A732" s="1" t="s">
        <v>1651</v>
      </c>
      <c r="B732" s="1" t="s">
        <v>2525</v>
      </c>
      <c r="C732" s="1" t="s">
        <v>3717</v>
      </c>
      <c r="D732" s="1" t="s">
        <v>3718</v>
      </c>
      <c r="E732" s="1" t="s">
        <v>3823</v>
      </c>
      <c r="F732" s="1" t="s">
        <v>3824</v>
      </c>
      <c r="G732" s="1" t="s">
        <v>1651</v>
      </c>
      <c r="H732" s="1">
        <v>7.0849682740000004</v>
      </c>
      <c r="I732" s="1">
        <v>6.9096458590000003</v>
      </c>
      <c r="J732" s="1">
        <v>7.4767887499999999</v>
      </c>
      <c r="K732" s="1">
        <v>7.7296306579999996</v>
      </c>
      <c r="L732" s="1">
        <v>6.5877046339999996</v>
      </c>
      <c r="M732" s="1">
        <v>6.8236744490000003</v>
      </c>
      <c r="N732" s="1">
        <v>6.7808745220000004</v>
      </c>
      <c r="O732" s="1">
        <v>7.2958072559999998</v>
      </c>
      <c r="P732" s="1">
        <v>6.7802345329999998</v>
      </c>
      <c r="Q732" s="1">
        <v>6.5925403830000002</v>
      </c>
      <c r="R732" s="1">
        <v>7.3151545530000002</v>
      </c>
      <c r="S732" s="1">
        <v>7.1259952369999997</v>
      </c>
      <c r="T732" s="1">
        <v>6.5877046339999996</v>
      </c>
      <c r="U732" s="1">
        <v>6.8236744490000003</v>
      </c>
      <c r="V732" s="1">
        <v>7.4202820300000001</v>
      </c>
      <c r="W732" s="1">
        <v>7.4907362729999996</v>
      </c>
      <c r="X732" s="1">
        <v>7.1259239350000003</v>
      </c>
      <c r="Y732" s="1">
        <v>7.643703779</v>
      </c>
      <c r="Z732" s="1">
        <v>7.3151545530000002</v>
      </c>
      <c r="AA732" s="1">
        <v>7.1259952369999997</v>
      </c>
      <c r="AB732" s="1">
        <v>7.9354748419999996</v>
      </c>
      <c r="AC732" s="1">
        <v>7.7172874260000004</v>
      </c>
      <c r="AD732" s="1">
        <v>8.3360650330000006</v>
      </c>
      <c r="AE732" s="1">
        <v>7.8701459629999997</v>
      </c>
    </row>
    <row r="733" spans="1:31" x14ac:dyDescent="0.25">
      <c r="A733" s="1" t="s">
        <v>1655</v>
      </c>
      <c r="B733" s="1" t="s">
        <v>2608</v>
      </c>
      <c r="C733" s="1" t="s">
        <v>2700</v>
      </c>
      <c r="D733" s="1" t="s">
        <v>3077</v>
      </c>
      <c r="E733" s="1" t="s">
        <v>3825</v>
      </c>
      <c r="F733" s="1" t="s">
        <v>3826</v>
      </c>
      <c r="G733" s="1" t="s">
        <v>1655</v>
      </c>
      <c r="H733" s="1">
        <v>7.0413960959999997</v>
      </c>
      <c r="I733" s="1">
        <v>6.9096458590000003</v>
      </c>
      <c r="J733" s="1">
        <v>8.6483465769999999</v>
      </c>
      <c r="K733" s="1">
        <v>8.5427211409999995</v>
      </c>
      <c r="L733" s="1">
        <v>7.2152162750000004</v>
      </c>
      <c r="M733" s="1">
        <v>7.7097366220000003</v>
      </c>
      <c r="N733" s="1">
        <v>6.8804643319999998</v>
      </c>
      <c r="O733" s="1">
        <v>7.1534477360000004</v>
      </c>
      <c r="P733" s="1">
        <v>7.8008459700000001</v>
      </c>
      <c r="Q733" s="1">
        <v>7.877346996</v>
      </c>
      <c r="R733" s="1">
        <v>8.3454282469999992</v>
      </c>
      <c r="S733" s="1">
        <v>8.0360456350000007</v>
      </c>
      <c r="T733" s="1">
        <v>7.2152162750000004</v>
      </c>
      <c r="U733" s="1">
        <v>7.7097366220000003</v>
      </c>
      <c r="V733" s="1">
        <v>8.0281493959999999</v>
      </c>
      <c r="W733" s="1">
        <v>8.1286961190000007</v>
      </c>
      <c r="X733" s="1">
        <v>7.756786494</v>
      </c>
      <c r="Y733" s="1">
        <v>8.0841010919999992</v>
      </c>
      <c r="Z733" s="1">
        <v>8.3454282469999992</v>
      </c>
      <c r="AA733" s="1">
        <v>8.0360456350000007</v>
      </c>
      <c r="AB733" s="1">
        <v>8.1606690610000001</v>
      </c>
      <c r="AC733" s="1">
        <v>8.0539014069999997</v>
      </c>
      <c r="AD733" s="1">
        <v>8.251130947</v>
      </c>
      <c r="AE733" s="1">
        <v>8.2670933899999994</v>
      </c>
    </row>
    <row r="734" spans="1:31" x14ac:dyDescent="0.25">
      <c r="A734" s="1" t="s">
        <v>1658</v>
      </c>
      <c r="B734" s="1" t="s">
        <v>2530</v>
      </c>
      <c r="C734" s="1" t="s">
        <v>2531</v>
      </c>
      <c r="D734" s="1" t="s">
        <v>2535</v>
      </c>
      <c r="E734" s="1" t="s">
        <v>3827</v>
      </c>
      <c r="G734" s="1" t="s">
        <v>1658</v>
      </c>
      <c r="H734" s="1">
        <v>3.4660955969999998</v>
      </c>
      <c r="I734" s="1">
        <v>3.1348991329999998</v>
      </c>
      <c r="J734" s="1">
        <v>2.5640169199999998</v>
      </c>
      <c r="K734" s="1">
        <v>2.9677134359999999</v>
      </c>
      <c r="L734" s="1">
        <v>2.7248816410000001</v>
      </c>
      <c r="M734" s="1">
        <v>3.027864058</v>
      </c>
      <c r="N734" s="1">
        <v>3.444746345</v>
      </c>
      <c r="O734" s="1">
        <v>3.3203005989999999</v>
      </c>
      <c r="P734" s="1">
        <v>3.106446558</v>
      </c>
      <c r="Q734" s="1">
        <v>3.185675432</v>
      </c>
      <c r="R734" s="1">
        <v>3.5594063970000001</v>
      </c>
      <c r="S734" s="1">
        <v>1.7393328349999999</v>
      </c>
      <c r="T734" s="1">
        <v>2.7248816410000001</v>
      </c>
      <c r="U734" s="1">
        <v>3.027864058</v>
      </c>
      <c r="V734" s="1">
        <v>3.0516113059999999</v>
      </c>
      <c r="W734" s="1">
        <v>3.50175473</v>
      </c>
      <c r="X734" s="1">
        <v>3.2074401739999998</v>
      </c>
      <c r="Y734" s="1">
        <v>2.9733498090000001</v>
      </c>
      <c r="Z734" s="1">
        <v>3.5594063970000001</v>
      </c>
      <c r="AA734" s="1">
        <v>1.7393328349999999</v>
      </c>
      <c r="AB734" s="1">
        <v>2.73487305</v>
      </c>
      <c r="AC734" s="1">
        <v>2.5506926650000001</v>
      </c>
      <c r="AD734" s="1">
        <v>3.1944880649999998</v>
      </c>
      <c r="AE734" s="1">
        <v>3.213378847</v>
      </c>
    </row>
    <row r="735" spans="1:31" x14ac:dyDescent="0.25">
      <c r="A735" s="1" t="s">
        <v>1659</v>
      </c>
      <c r="B735" s="1" t="s">
        <v>2530</v>
      </c>
      <c r="C735" s="1" t="s">
        <v>2531</v>
      </c>
      <c r="D735" s="1" t="s">
        <v>2535</v>
      </c>
      <c r="E735" s="1" t="s">
        <v>3828</v>
      </c>
      <c r="F735" s="1" t="s">
        <v>3829</v>
      </c>
      <c r="G735" s="1" t="s">
        <v>1659</v>
      </c>
      <c r="H735" s="1">
        <v>2.640460343</v>
      </c>
      <c r="I735" s="1">
        <v>3.9003964459999998</v>
      </c>
      <c r="J735" s="1">
        <v>3.4977151119999998</v>
      </c>
      <c r="K735" s="1">
        <v>3.22334677</v>
      </c>
      <c r="L735" s="1">
        <v>3.4685048369999998</v>
      </c>
      <c r="M735" s="1">
        <v>2.8639998100000001</v>
      </c>
      <c r="N735" s="1">
        <v>3.444746345</v>
      </c>
      <c r="O735" s="1">
        <v>4.3322392709999997</v>
      </c>
      <c r="P735" s="1">
        <v>3.3003929539999999</v>
      </c>
      <c r="Q735" s="1">
        <v>2.935765398</v>
      </c>
      <c r="R735" s="1">
        <v>3.7109484589999999</v>
      </c>
      <c r="S735" s="1">
        <v>3.3463386960000001</v>
      </c>
      <c r="T735" s="1">
        <v>3.4685048369999998</v>
      </c>
      <c r="U735" s="1">
        <v>2.8639998100000001</v>
      </c>
      <c r="V735" s="1">
        <v>2.8225047829999999</v>
      </c>
      <c r="W735" s="1">
        <v>3.0218530750000001</v>
      </c>
      <c r="X735" s="1">
        <v>4.0600950219999996</v>
      </c>
      <c r="Y735" s="1">
        <v>2.624795792</v>
      </c>
      <c r="Z735" s="1">
        <v>3.7109484589999999</v>
      </c>
      <c r="AA735" s="1">
        <v>3.3463386960000001</v>
      </c>
      <c r="AB735" s="1">
        <v>3.6315729079999999</v>
      </c>
      <c r="AC735" s="1">
        <v>3.4716344729999999</v>
      </c>
      <c r="AD735" s="1">
        <v>2.9432342459999998</v>
      </c>
      <c r="AE735" s="1">
        <v>3.321206681</v>
      </c>
    </row>
    <row r="736" spans="1:31" x14ac:dyDescent="0.25">
      <c r="A736" s="1" t="s">
        <v>1660</v>
      </c>
      <c r="B736" s="1" t="s">
        <v>2520</v>
      </c>
      <c r="C736" s="1" t="s">
        <v>2521</v>
      </c>
      <c r="D736" s="1" t="s">
        <v>2535</v>
      </c>
      <c r="E736" s="1" t="s">
        <v>3830</v>
      </c>
      <c r="F736" s="1" t="s">
        <v>3831</v>
      </c>
      <c r="G736" s="1" t="s">
        <v>1660</v>
      </c>
      <c r="H736" s="1">
        <v>4.183793842</v>
      </c>
      <c r="I736" s="1">
        <v>3.5006354609999999</v>
      </c>
      <c r="J736" s="1">
        <v>3.6453331530000002</v>
      </c>
      <c r="K736" s="1">
        <v>4.2434183680000004</v>
      </c>
      <c r="L736" s="1">
        <v>4.5867597299999998</v>
      </c>
      <c r="M736" s="1">
        <v>4.3982295550000003</v>
      </c>
      <c r="N736" s="1">
        <v>3.622455167</v>
      </c>
      <c r="O736" s="1">
        <v>3.7238257350000001</v>
      </c>
      <c r="P736" s="1">
        <v>3.466113682</v>
      </c>
      <c r="Q736" s="1">
        <v>4.3733115800000002</v>
      </c>
      <c r="R736" s="1">
        <v>3.386455024</v>
      </c>
      <c r="S736" s="1">
        <v>4.1304223819999999</v>
      </c>
      <c r="T736" s="1">
        <v>4.5867597299999998</v>
      </c>
      <c r="U736" s="1">
        <v>4.3982295550000003</v>
      </c>
      <c r="V736" s="1">
        <v>3.887436229</v>
      </c>
      <c r="W736" s="1">
        <v>4.5296290450000001</v>
      </c>
      <c r="X736" s="1">
        <v>4.407182283</v>
      </c>
      <c r="Y736" s="1">
        <v>4.2532353330000001</v>
      </c>
      <c r="Z736" s="1">
        <v>3.386455024</v>
      </c>
      <c r="AA736" s="1">
        <v>4.1304223819999999</v>
      </c>
      <c r="AB736" s="1">
        <v>3.6315729079999999</v>
      </c>
      <c r="AC736" s="1">
        <v>4.2557864319999998</v>
      </c>
      <c r="AD736" s="1">
        <v>4.5511338559999999</v>
      </c>
      <c r="AE736" s="1">
        <v>4.4595659249999997</v>
      </c>
    </row>
    <row r="737" spans="1:31" x14ac:dyDescent="0.25">
      <c r="A737" s="1" t="s">
        <v>1663</v>
      </c>
      <c r="B737" s="1" t="s">
        <v>2530</v>
      </c>
      <c r="C737" s="1" t="s">
        <v>2531</v>
      </c>
      <c r="D737" s="1" t="s">
        <v>2535</v>
      </c>
      <c r="E737" s="1" t="s">
        <v>2536</v>
      </c>
      <c r="G737" s="1" t="s">
        <v>1663</v>
      </c>
      <c r="H737" s="1">
        <v>6.9811711809999997</v>
      </c>
      <c r="I737" s="1">
        <v>6.5246782330000004</v>
      </c>
      <c r="J737" s="1">
        <v>6.331385225</v>
      </c>
      <c r="K737" s="1">
        <v>6.118739057</v>
      </c>
      <c r="L737" s="1">
        <v>6.3597634449999996</v>
      </c>
      <c r="M737" s="1">
        <v>6.6808079219999996</v>
      </c>
      <c r="N737" s="1">
        <v>6.2458658810000003</v>
      </c>
      <c r="O737" s="1">
        <v>6.2598073259999998</v>
      </c>
      <c r="P737" s="1">
        <v>6.5171892439999999</v>
      </c>
      <c r="Q737" s="1">
        <v>6.5925403830000002</v>
      </c>
      <c r="R737" s="1">
        <v>6.0937807429999999</v>
      </c>
      <c r="S737" s="1">
        <v>6.8950186230000003</v>
      </c>
      <c r="T737" s="1">
        <v>6.3597634449999996</v>
      </c>
      <c r="U737" s="1">
        <v>6.6808079219999996</v>
      </c>
      <c r="V737" s="1">
        <v>6.2394706979999999</v>
      </c>
      <c r="W737" s="1">
        <v>6.3432413370000003</v>
      </c>
      <c r="X737" s="1">
        <v>6.1533217709999999</v>
      </c>
      <c r="Y737" s="1">
        <v>6.0488320509999998</v>
      </c>
      <c r="Z737" s="1">
        <v>6.0937807429999999</v>
      </c>
      <c r="AA737" s="1">
        <v>6.8950186230000003</v>
      </c>
      <c r="AB737" s="1">
        <v>6.2160685200000003</v>
      </c>
      <c r="AC737" s="1">
        <v>6.3266154559999999</v>
      </c>
      <c r="AD737" s="1">
        <v>5.893524276</v>
      </c>
      <c r="AE737" s="1">
        <v>6.1260310530000002</v>
      </c>
    </row>
    <row r="738" spans="1:31" x14ac:dyDescent="0.25">
      <c r="A738" s="1" t="s">
        <v>1664</v>
      </c>
      <c r="B738" s="1" t="s">
        <v>2525</v>
      </c>
      <c r="C738" s="1" t="s">
        <v>2749</v>
      </c>
      <c r="D738" s="1" t="s">
        <v>3832</v>
      </c>
      <c r="E738" s="1" t="s">
        <v>3833</v>
      </c>
      <c r="F738" s="1" t="s">
        <v>3834</v>
      </c>
      <c r="G738" s="1" t="s">
        <v>1664</v>
      </c>
      <c r="H738" s="1">
        <v>6.3316799680000004</v>
      </c>
      <c r="I738" s="1">
        <v>6.4146507100000001</v>
      </c>
      <c r="J738" s="1">
        <v>6.2270996539999999</v>
      </c>
      <c r="K738" s="1">
        <v>6.118739057</v>
      </c>
      <c r="L738" s="1">
        <v>5.8387509910000004</v>
      </c>
      <c r="M738" s="1">
        <v>5.8857020010000003</v>
      </c>
      <c r="N738" s="1">
        <v>6.4435100419999998</v>
      </c>
      <c r="O738" s="1">
        <v>6.3670506839999996</v>
      </c>
      <c r="P738" s="1">
        <v>5.7504406890000004</v>
      </c>
      <c r="Q738" s="1">
        <v>6.1972278550000004</v>
      </c>
      <c r="R738" s="1">
        <v>5.4981688889999996</v>
      </c>
      <c r="S738" s="1">
        <v>5.6117239269999999</v>
      </c>
      <c r="T738" s="1">
        <v>5.8387509910000004</v>
      </c>
      <c r="U738" s="1">
        <v>5.8857020010000003</v>
      </c>
      <c r="V738" s="1">
        <v>6.0800160549999998</v>
      </c>
      <c r="W738" s="1">
        <v>6.3925275360000002</v>
      </c>
      <c r="X738" s="1">
        <v>6.2034432739999996</v>
      </c>
      <c r="Y738" s="1">
        <v>6.931699879</v>
      </c>
      <c r="Z738" s="1">
        <v>5.4981688889999996</v>
      </c>
      <c r="AA738" s="1">
        <v>5.6117239269999999</v>
      </c>
      <c r="AB738" s="1">
        <v>6.1835402750000004</v>
      </c>
      <c r="AC738" s="1">
        <v>6.2044385320000002</v>
      </c>
      <c r="AD738" s="1">
        <v>6.6102586299999997</v>
      </c>
      <c r="AE738" s="1">
        <v>8.4994338569999996</v>
      </c>
    </row>
    <row r="739" spans="1:31" x14ac:dyDescent="0.25">
      <c r="A739" s="1" t="s">
        <v>1666</v>
      </c>
      <c r="B739" s="1" t="s">
        <v>2598</v>
      </c>
      <c r="C739" s="1" t="s">
        <v>2603</v>
      </c>
      <c r="D739" s="1" t="s">
        <v>3452</v>
      </c>
      <c r="E739" s="1" t="s">
        <v>3835</v>
      </c>
      <c r="F739" s="1" t="s">
        <v>3836</v>
      </c>
      <c r="G739" s="1" t="s">
        <v>1666</v>
      </c>
      <c r="H739" s="1">
        <v>5.7431528099999998</v>
      </c>
      <c r="I739" s="1">
        <v>5.5177814730000003</v>
      </c>
      <c r="J739" s="1">
        <v>4.2018709520000002</v>
      </c>
      <c r="K739" s="1">
        <v>4.8139921829999999</v>
      </c>
      <c r="L739" s="1">
        <v>4.4838783849999997</v>
      </c>
      <c r="M739" s="1">
        <v>4.4472617469999998</v>
      </c>
      <c r="N739" s="1">
        <v>5.910461819</v>
      </c>
      <c r="O739" s="1">
        <v>6.1589202040000002</v>
      </c>
      <c r="P739" s="1">
        <v>4.4805784009999998</v>
      </c>
      <c r="Q739" s="1">
        <v>4.8155696649999999</v>
      </c>
      <c r="R739" s="1">
        <v>3.968758995</v>
      </c>
      <c r="S739" s="1">
        <v>4.7503017500000002</v>
      </c>
      <c r="T739" s="1">
        <v>4.4838783849999997</v>
      </c>
      <c r="U739" s="1">
        <v>4.4472617469999998</v>
      </c>
      <c r="V739" s="1">
        <v>4.5826682710000002</v>
      </c>
      <c r="W739" s="1">
        <v>4.4367165279999998</v>
      </c>
      <c r="X739" s="1">
        <v>4.7192629950000002</v>
      </c>
      <c r="Y739" s="1">
        <v>3.6154848500000001</v>
      </c>
      <c r="Z739" s="1">
        <v>3.968758995</v>
      </c>
      <c r="AA739" s="1">
        <v>4.7503017500000002</v>
      </c>
      <c r="AB739" s="1">
        <v>4.5063178209999997</v>
      </c>
      <c r="AC739" s="1">
        <v>4.2557864319999998</v>
      </c>
      <c r="AD739" s="1">
        <v>4.6264106470000002</v>
      </c>
      <c r="AE739" s="1">
        <v>4.6572481659999996</v>
      </c>
    </row>
    <row r="740" spans="1:31" x14ac:dyDescent="0.25">
      <c r="A740" s="1" t="s">
        <v>1667</v>
      </c>
      <c r="B740" s="1" t="s">
        <v>2520</v>
      </c>
      <c r="C740" s="1" t="s">
        <v>2521</v>
      </c>
      <c r="D740" s="1" t="s">
        <v>2522</v>
      </c>
      <c r="E740" s="1" t="s">
        <v>3837</v>
      </c>
      <c r="F740" s="1" t="s">
        <v>3838</v>
      </c>
      <c r="G740" s="1" t="s">
        <v>1667</v>
      </c>
      <c r="H740" s="1">
        <v>8.9036724159999991</v>
      </c>
      <c r="I740" s="1">
        <v>8.5918543750000005</v>
      </c>
      <c r="J740" s="1">
        <v>8.334358967</v>
      </c>
      <c r="K740" s="1">
        <v>8.7805489399999992</v>
      </c>
      <c r="L740" s="1">
        <v>7.3017228740000002</v>
      </c>
      <c r="M740" s="1">
        <v>7.6749994700000004</v>
      </c>
      <c r="N740" s="1">
        <v>8.3885614400000001</v>
      </c>
      <c r="O740" s="1">
        <v>8.7338739269999994</v>
      </c>
      <c r="P740" s="1">
        <v>7.6310121779999998</v>
      </c>
      <c r="Q740" s="1">
        <v>7.6253229039999999</v>
      </c>
      <c r="R740" s="1">
        <v>7.8272650339999998</v>
      </c>
      <c r="S740" s="1">
        <v>7.6557704830000004</v>
      </c>
      <c r="T740" s="1">
        <v>7.3017228740000002</v>
      </c>
      <c r="U740" s="1">
        <v>7.6749994700000004</v>
      </c>
      <c r="V740" s="1">
        <v>7.8910169809999999</v>
      </c>
      <c r="W740" s="1">
        <v>7.8839589730000004</v>
      </c>
      <c r="X740" s="1">
        <v>7.705632424</v>
      </c>
      <c r="Y740" s="1">
        <v>7.8925181980000003</v>
      </c>
      <c r="Z740" s="1">
        <v>7.8272650339999998</v>
      </c>
      <c r="AA740" s="1">
        <v>7.6557704830000004</v>
      </c>
      <c r="AB740" s="1">
        <v>8.0835877790000001</v>
      </c>
      <c r="AC740" s="1">
        <v>7.8177818160000001</v>
      </c>
      <c r="AD740" s="1">
        <v>7.8957990010000003</v>
      </c>
      <c r="AE740" s="1">
        <v>7.9162673119999996</v>
      </c>
    </row>
    <row r="741" spans="1:31" x14ac:dyDescent="0.25">
      <c r="A741" s="1" t="s">
        <v>1671</v>
      </c>
      <c r="B741" s="1" t="s">
        <v>2557</v>
      </c>
      <c r="C741" s="1" t="s">
        <v>2680</v>
      </c>
      <c r="D741" s="1" t="s">
        <v>2917</v>
      </c>
      <c r="E741" s="1" t="s">
        <v>3839</v>
      </c>
      <c r="F741" s="1" t="s">
        <v>3840</v>
      </c>
      <c r="G741" s="1" t="s">
        <v>1671</v>
      </c>
      <c r="H741" s="1">
        <v>4.4805534380000003</v>
      </c>
      <c r="I741" s="1">
        <v>4.8477128089999999</v>
      </c>
      <c r="J741" s="1">
        <v>6.2053027219999999</v>
      </c>
      <c r="K741" s="1">
        <v>5.5719358019999996</v>
      </c>
      <c r="L741" s="1">
        <v>7.2818305209999998</v>
      </c>
      <c r="M741" s="1">
        <v>7.3745310240000004</v>
      </c>
      <c r="N741" s="1">
        <v>5.9261193419999998</v>
      </c>
      <c r="O741" s="1">
        <v>5.984507765</v>
      </c>
      <c r="P741" s="1">
        <v>6.2369105129999998</v>
      </c>
      <c r="Q741" s="1">
        <v>6.7145630089999999</v>
      </c>
      <c r="R741" s="1">
        <v>7.369033473</v>
      </c>
      <c r="S741" s="1">
        <v>7.1495149380000003</v>
      </c>
      <c r="T741" s="1">
        <v>7.2818305209999998</v>
      </c>
      <c r="U741" s="1">
        <v>7.3745310240000004</v>
      </c>
      <c r="V741" s="1">
        <v>6.9648398949999999</v>
      </c>
      <c r="W741" s="1">
        <v>6.7357424699999999</v>
      </c>
      <c r="X741" s="1">
        <v>7.1516427269999996</v>
      </c>
      <c r="Y741" s="1">
        <v>5.9611531490000003</v>
      </c>
      <c r="Z741" s="1">
        <v>7.369033473</v>
      </c>
      <c r="AA741" s="1">
        <v>7.1495149380000003</v>
      </c>
      <c r="AB741" s="1">
        <v>6.769786034</v>
      </c>
      <c r="AC741" s="1">
        <v>7.2874149099999999</v>
      </c>
      <c r="AD741" s="1">
        <v>6.5733752870000002</v>
      </c>
      <c r="AE741" s="1">
        <v>6.4529509149999997</v>
      </c>
    </row>
    <row r="742" spans="1:31" x14ac:dyDescent="0.25">
      <c r="A742" s="1" t="s">
        <v>1672</v>
      </c>
      <c r="B742" s="1" t="s">
        <v>2530</v>
      </c>
      <c r="C742" s="1" t="s">
        <v>2573</v>
      </c>
      <c r="D742" s="1" t="s">
        <v>2535</v>
      </c>
      <c r="E742" s="1" t="s">
        <v>3841</v>
      </c>
      <c r="G742" s="1" t="s">
        <v>1672</v>
      </c>
      <c r="H742" s="1">
        <v>7.1951035379999997</v>
      </c>
      <c r="I742" s="1">
        <v>7.3388290459999999</v>
      </c>
      <c r="J742" s="1">
        <v>6.4839470649999997</v>
      </c>
      <c r="K742" s="1">
        <v>6.9488037440000001</v>
      </c>
      <c r="L742" s="1">
        <v>6.8668915000000004</v>
      </c>
      <c r="M742" s="1">
        <v>6.7203128730000001</v>
      </c>
      <c r="N742" s="1">
        <v>7.4867383759999999</v>
      </c>
      <c r="O742" s="1">
        <v>7.2958072559999998</v>
      </c>
      <c r="P742" s="1">
        <v>6.5835451750000002</v>
      </c>
      <c r="Q742" s="1">
        <v>6.6807419020000003</v>
      </c>
      <c r="R742" s="1">
        <v>6.532477096</v>
      </c>
      <c r="S742" s="1">
        <v>6.0227453090000003</v>
      </c>
      <c r="T742" s="1">
        <v>6.8668915000000004</v>
      </c>
      <c r="U742" s="1">
        <v>6.7203128730000001</v>
      </c>
      <c r="V742" s="1">
        <v>6.3130184290000004</v>
      </c>
      <c r="W742" s="1">
        <v>6.463427716</v>
      </c>
      <c r="X742" s="1">
        <v>6.6632496019999996</v>
      </c>
      <c r="Y742" s="1">
        <v>6.4430557039999998</v>
      </c>
      <c r="Z742" s="1">
        <v>6.532477096</v>
      </c>
      <c r="AA742" s="1">
        <v>6.0227453090000003</v>
      </c>
      <c r="AB742" s="1">
        <v>6.5063200270000001</v>
      </c>
      <c r="AC742" s="1">
        <v>6.3266154559999999</v>
      </c>
      <c r="AD742" s="1">
        <v>6.5919351060000002</v>
      </c>
      <c r="AE742" s="1">
        <v>6.5826869190000004</v>
      </c>
    </row>
    <row r="743" spans="1:31" x14ac:dyDescent="0.25">
      <c r="A743" s="1" t="s">
        <v>1675</v>
      </c>
      <c r="B743" s="1" t="s">
        <v>2539</v>
      </c>
      <c r="C743" s="1" t="s">
        <v>2563</v>
      </c>
      <c r="D743" s="1" t="s">
        <v>3842</v>
      </c>
      <c r="E743" s="1" t="s">
        <v>3843</v>
      </c>
      <c r="F743" s="1" t="s">
        <v>3844</v>
      </c>
      <c r="G743" s="1" t="s">
        <v>1675</v>
      </c>
      <c r="H743" s="1">
        <v>4.6479005740000003</v>
      </c>
      <c r="I743" s="1">
        <v>4.9575946069999999</v>
      </c>
      <c r="J743" s="1">
        <v>4.1077874330000004</v>
      </c>
      <c r="K743" s="1">
        <v>4.0244910950000001</v>
      </c>
      <c r="L743" s="1">
        <v>5.7687912140000002</v>
      </c>
      <c r="M743" s="1">
        <v>5.9030088159999998</v>
      </c>
      <c r="N743" s="1">
        <v>5.7957915680000003</v>
      </c>
      <c r="O743" s="1">
        <v>6.5373998999999996</v>
      </c>
      <c r="P743" s="1">
        <v>4.4805784009999998</v>
      </c>
      <c r="Q743" s="1">
        <v>4.8155696649999999</v>
      </c>
      <c r="R743" s="1">
        <v>5.57388789</v>
      </c>
      <c r="S743" s="1">
        <v>5.1309834260000002</v>
      </c>
      <c r="T743" s="1">
        <v>5.7687912140000002</v>
      </c>
      <c r="U743" s="1">
        <v>5.9030088159999998</v>
      </c>
      <c r="V743" s="1">
        <v>4.9055261469999998</v>
      </c>
      <c r="W743" s="1">
        <v>5.0488589419999998</v>
      </c>
      <c r="X743" s="1">
        <v>5.4415021479999997</v>
      </c>
      <c r="Y743" s="1">
        <v>5.0128502209999999</v>
      </c>
      <c r="Z743" s="1">
        <v>5.57388789</v>
      </c>
      <c r="AA743" s="1">
        <v>5.1309834260000002</v>
      </c>
      <c r="AB743" s="1">
        <v>4.5063178209999997</v>
      </c>
      <c r="AC743" s="1">
        <v>5.2822693689999998</v>
      </c>
      <c r="AD743" s="1">
        <v>4.95179218</v>
      </c>
      <c r="AE743" s="1">
        <v>4.5014252270000004</v>
      </c>
    </row>
    <row r="744" spans="1:31" x14ac:dyDescent="0.25">
      <c r="A744" s="1" t="s">
        <v>1676</v>
      </c>
      <c r="B744" s="1" t="s">
        <v>2530</v>
      </c>
      <c r="C744" s="1" t="s">
        <v>2531</v>
      </c>
      <c r="D744" s="1" t="s">
        <v>2535</v>
      </c>
      <c r="E744" s="1" t="s">
        <v>2536</v>
      </c>
      <c r="G744" s="1" t="s">
        <v>1676</v>
      </c>
      <c r="H744" s="1">
        <v>8.3165185439999991</v>
      </c>
      <c r="I744" s="1">
        <v>8.0943816900000005</v>
      </c>
      <c r="J744" s="1">
        <v>4.8434621079999998</v>
      </c>
      <c r="K744" s="1">
        <v>6.0642310579999998</v>
      </c>
      <c r="L744" s="1">
        <v>4.2932354009999996</v>
      </c>
      <c r="M744" s="1">
        <v>3.8521266660000002</v>
      </c>
      <c r="N744" s="1">
        <v>7.9043546280000001</v>
      </c>
      <c r="O744" s="1">
        <v>8.9013010930000007</v>
      </c>
      <c r="P744" s="1">
        <v>5.0074447400000004</v>
      </c>
      <c r="Q744" s="1">
        <v>4.0840108080000004</v>
      </c>
      <c r="R744" s="1">
        <v>5.1472208640000003</v>
      </c>
      <c r="S744" s="1">
        <v>5.0824952919999999</v>
      </c>
      <c r="T744" s="1">
        <v>4.2932354009999996</v>
      </c>
      <c r="U744" s="1">
        <v>3.8521266660000002</v>
      </c>
      <c r="V744" s="1">
        <v>4.9055261469999998</v>
      </c>
      <c r="W744" s="1">
        <v>5.0488589419999998</v>
      </c>
      <c r="X744" s="1">
        <v>4.5325909299999996</v>
      </c>
      <c r="Y744" s="1">
        <v>4.7564010139999997</v>
      </c>
      <c r="Z744" s="1">
        <v>5.1472208640000003</v>
      </c>
      <c r="AA744" s="1">
        <v>5.0824952919999999</v>
      </c>
      <c r="AB744" s="1">
        <v>4.6096720080000004</v>
      </c>
      <c r="AC744" s="1">
        <v>4.2557864319999998</v>
      </c>
      <c r="AD744" s="1">
        <v>5.396704357</v>
      </c>
      <c r="AE744" s="1">
        <v>5.175187158</v>
      </c>
    </row>
    <row r="745" spans="1:31" x14ac:dyDescent="0.25">
      <c r="A745" s="1" t="s">
        <v>1677</v>
      </c>
      <c r="B745" s="1" t="s">
        <v>2530</v>
      </c>
      <c r="C745" s="1" t="s">
        <v>2531</v>
      </c>
      <c r="D745" s="1" t="s">
        <v>2535</v>
      </c>
      <c r="E745" s="1" t="s">
        <v>2536</v>
      </c>
      <c r="G745" s="1" t="s">
        <v>1677</v>
      </c>
      <c r="H745" s="1">
        <v>10.55609894</v>
      </c>
      <c r="I745" s="1">
        <v>10.179897779999999</v>
      </c>
      <c r="J745" s="1">
        <v>7.6478724060000003</v>
      </c>
      <c r="K745" s="1">
        <v>8.8783526429999995</v>
      </c>
      <c r="L745" s="1">
        <v>4.7429188570000003</v>
      </c>
      <c r="M745" s="1">
        <v>5.029201552</v>
      </c>
      <c r="N745" s="1">
        <v>9.3742241499999999</v>
      </c>
      <c r="O745" s="1">
        <v>10.241802590000001</v>
      </c>
      <c r="P745" s="1">
        <v>6.6469760500000001</v>
      </c>
      <c r="Q745" s="1">
        <v>6.459205753</v>
      </c>
      <c r="R745" s="1">
        <v>6.3936555549999996</v>
      </c>
      <c r="S745" s="1">
        <v>6.4595501860000004</v>
      </c>
      <c r="T745" s="1">
        <v>4.7429188570000003</v>
      </c>
      <c r="U745" s="1">
        <v>5.029201552</v>
      </c>
      <c r="V745" s="1">
        <v>6.6330969629999998</v>
      </c>
      <c r="W745" s="1">
        <v>7.2314139690000001</v>
      </c>
      <c r="X745" s="1">
        <v>5.7596503070000002</v>
      </c>
      <c r="Y745" s="1">
        <v>6.7169455439999997</v>
      </c>
      <c r="Z745" s="1">
        <v>6.3936555549999996</v>
      </c>
      <c r="AA745" s="1">
        <v>6.4595501860000004</v>
      </c>
      <c r="AB745" s="1">
        <v>6.8547782980000003</v>
      </c>
      <c r="AC745" s="1">
        <v>6.2255363350000001</v>
      </c>
      <c r="AD745" s="1">
        <v>6.9778452360000003</v>
      </c>
      <c r="AE745" s="1">
        <v>6.7619123529999996</v>
      </c>
    </row>
    <row r="746" spans="1:31" x14ac:dyDescent="0.25">
      <c r="A746" s="1" t="s">
        <v>1679</v>
      </c>
      <c r="B746" s="1" t="s">
        <v>2530</v>
      </c>
      <c r="C746" s="1" t="s">
        <v>2531</v>
      </c>
      <c r="D746" s="1" t="s">
        <v>2535</v>
      </c>
      <c r="E746" s="1" t="s">
        <v>2536</v>
      </c>
      <c r="G746" s="1" t="s">
        <v>1679</v>
      </c>
      <c r="H746" s="1">
        <v>6.0081283179999998</v>
      </c>
      <c r="I746" s="1">
        <v>6.1195241339999997</v>
      </c>
      <c r="J746" s="1">
        <v>4.7851628320000001</v>
      </c>
      <c r="K746" s="1">
        <v>4.7454889089999996</v>
      </c>
      <c r="L746" s="1">
        <v>5.1055038850000001</v>
      </c>
      <c r="M746" s="1">
        <v>5.2628748920000001</v>
      </c>
      <c r="N746" s="1">
        <v>5.3835417159999999</v>
      </c>
      <c r="O746" s="1">
        <v>5.3074139359999997</v>
      </c>
      <c r="P746" s="1">
        <v>5.4976972829999999</v>
      </c>
      <c r="Q746" s="1">
        <v>4.993318082</v>
      </c>
      <c r="R746" s="1">
        <v>4.8118229140000004</v>
      </c>
      <c r="S746" s="1">
        <v>5.3098842800000003</v>
      </c>
      <c r="T746" s="1">
        <v>5.1055038850000001</v>
      </c>
      <c r="U746" s="1">
        <v>5.2628748920000001</v>
      </c>
      <c r="V746" s="1">
        <v>5.4230002329999998</v>
      </c>
      <c r="W746" s="1">
        <v>4.8493412630000003</v>
      </c>
      <c r="X746" s="1">
        <v>4.9146300209999998</v>
      </c>
      <c r="Y746" s="1">
        <v>5.1254702539999997</v>
      </c>
      <c r="Z746" s="1">
        <v>4.8118229140000004</v>
      </c>
      <c r="AA746" s="1">
        <v>5.3098842800000003</v>
      </c>
      <c r="AB746" s="1">
        <v>5.5276660309999999</v>
      </c>
      <c r="AC746" s="1">
        <v>5.3988312660000002</v>
      </c>
      <c r="AD746" s="1">
        <v>5.0634297190000002</v>
      </c>
      <c r="AE746" s="1">
        <v>5.3433438500000001</v>
      </c>
    </row>
    <row r="747" spans="1:31" x14ac:dyDescent="0.25">
      <c r="A747" s="1" t="s">
        <v>1680</v>
      </c>
      <c r="B747" s="1" t="s">
        <v>2530</v>
      </c>
      <c r="C747" s="1" t="s">
        <v>2531</v>
      </c>
      <c r="D747" s="1" t="s">
        <v>2535</v>
      </c>
      <c r="E747" s="1" t="s">
        <v>2536</v>
      </c>
      <c r="G747" s="1" t="s">
        <v>1680</v>
      </c>
      <c r="H747" s="1">
        <v>5.9144073309999996</v>
      </c>
      <c r="I747" s="1">
        <v>5.4817092260000004</v>
      </c>
      <c r="J747" s="1">
        <v>5.9926388770000001</v>
      </c>
      <c r="K747" s="1">
        <v>5.8870623049999997</v>
      </c>
      <c r="L747" s="1">
        <v>5.2569846910000004</v>
      </c>
      <c r="M747" s="1">
        <v>5.5319881950000003</v>
      </c>
      <c r="N747" s="1">
        <v>5.428348615</v>
      </c>
      <c r="O747" s="1">
        <v>4.9731423550000002</v>
      </c>
      <c r="P747" s="1">
        <v>5.660815296</v>
      </c>
      <c r="Q747" s="1">
        <v>6.1485161530000001</v>
      </c>
      <c r="R747" s="1">
        <v>6.1192055940000003</v>
      </c>
      <c r="S747" s="1">
        <v>5.6781703969999997</v>
      </c>
      <c r="T747" s="1">
        <v>5.2569846910000004</v>
      </c>
      <c r="U747" s="1">
        <v>5.5319881950000003</v>
      </c>
      <c r="V747" s="1">
        <v>5.4882083000000002</v>
      </c>
      <c r="W747" s="1">
        <v>5.872872095</v>
      </c>
      <c r="X747" s="1">
        <v>5.9771755410000003</v>
      </c>
      <c r="Y747" s="1">
        <v>5.8019430659999998</v>
      </c>
      <c r="Z747" s="1">
        <v>6.1192055940000003</v>
      </c>
      <c r="AA747" s="1">
        <v>5.6781703969999997</v>
      </c>
      <c r="AB747" s="1">
        <v>5.8927983030000002</v>
      </c>
      <c r="AC747" s="1">
        <v>5.9492644930000003</v>
      </c>
      <c r="AD747" s="1">
        <v>5.7012900599999998</v>
      </c>
      <c r="AE747" s="1">
        <v>5.8040306609999996</v>
      </c>
    </row>
    <row r="748" spans="1:31" x14ac:dyDescent="0.25">
      <c r="A748" s="1" t="s">
        <v>1683</v>
      </c>
      <c r="B748" s="1" t="s">
        <v>2598</v>
      </c>
      <c r="C748" s="1" t="s">
        <v>2603</v>
      </c>
      <c r="D748" s="1" t="s">
        <v>3266</v>
      </c>
      <c r="E748" s="1" t="s">
        <v>3845</v>
      </c>
      <c r="F748" s="1" t="s">
        <v>3846</v>
      </c>
      <c r="G748" s="1" t="s">
        <v>1683</v>
      </c>
      <c r="H748" s="1">
        <v>4.5667504939999999</v>
      </c>
      <c r="I748" s="1">
        <v>4.7284970130000001</v>
      </c>
      <c r="J748" s="1">
        <v>4.0065844400000001</v>
      </c>
      <c r="K748" s="1">
        <v>4.1384138449999996</v>
      </c>
      <c r="L748" s="1">
        <v>4.0714409539999998</v>
      </c>
      <c r="M748" s="1">
        <v>4.059937712</v>
      </c>
      <c r="N748" s="1">
        <v>5.4930242160000002</v>
      </c>
      <c r="O748" s="1">
        <v>5.2237789919999997</v>
      </c>
      <c r="P748" s="1">
        <v>4.3303557189999999</v>
      </c>
      <c r="Q748" s="1">
        <v>4.0840108080000004</v>
      </c>
      <c r="R748" s="1">
        <v>4.5333476509999997</v>
      </c>
      <c r="S748" s="1">
        <v>3.9182367880000002</v>
      </c>
      <c r="T748" s="1">
        <v>4.0714409539999998</v>
      </c>
      <c r="U748" s="1">
        <v>4.059937712</v>
      </c>
      <c r="V748" s="1">
        <v>4.6987742170000004</v>
      </c>
      <c r="W748" s="1">
        <v>4.9190341039999996</v>
      </c>
      <c r="X748" s="1">
        <v>4.1154863700000002</v>
      </c>
      <c r="Y748" s="1">
        <v>4.8904630100000004</v>
      </c>
      <c r="Z748" s="1">
        <v>4.5333476509999997</v>
      </c>
      <c r="AA748" s="1">
        <v>3.9182367880000002</v>
      </c>
      <c r="AB748" s="1">
        <v>4.139369361</v>
      </c>
      <c r="AC748" s="1">
        <v>4.3377211620000002</v>
      </c>
      <c r="AD748" s="1">
        <v>3.8610926929999998</v>
      </c>
      <c r="AE748" s="1">
        <v>4.1773695330000002</v>
      </c>
    </row>
    <row r="749" spans="1:31" x14ac:dyDescent="0.25">
      <c r="A749" s="1" t="s">
        <v>1684</v>
      </c>
      <c r="B749" s="1" t="s">
        <v>2631</v>
      </c>
      <c r="C749" s="1" t="s">
        <v>2980</v>
      </c>
      <c r="D749" s="1" t="s">
        <v>2535</v>
      </c>
      <c r="E749" s="1" t="s">
        <v>3847</v>
      </c>
      <c r="G749" s="1" t="s">
        <v>1684</v>
      </c>
      <c r="H749" s="1">
        <v>6.6155784799999999</v>
      </c>
      <c r="I749" s="1">
        <v>6.2746491359999998</v>
      </c>
      <c r="J749" s="1">
        <v>5.9926388770000001</v>
      </c>
      <c r="K749" s="1">
        <v>6.1712535270000002</v>
      </c>
      <c r="L749" s="1">
        <v>6.9257793530000002</v>
      </c>
      <c r="M749" s="1">
        <v>6.5553394090000001</v>
      </c>
      <c r="N749" s="1">
        <v>6.1017809820000002</v>
      </c>
      <c r="O749" s="1">
        <v>6.217434312</v>
      </c>
      <c r="P749" s="1">
        <v>6.4476246020000003</v>
      </c>
      <c r="Q749" s="1">
        <v>6.2443420209999996</v>
      </c>
      <c r="R749" s="1">
        <v>6.2855941240000002</v>
      </c>
      <c r="S749" s="1">
        <v>6.1911441390000004</v>
      </c>
      <c r="T749" s="1">
        <v>6.9257793530000002</v>
      </c>
      <c r="U749" s="1">
        <v>6.5553394090000001</v>
      </c>
      <c r="V749" s="1">
        <v>6.2949812820000002</v>
      </c>
      <c r="W749" s="1">
        <v>6.3925275360000002</v>
      </c>
      <c r="X749" s="1">
        <v>6.3988765150000004</v>
      </c>
      <c r="Y749" s="1">
        <v>6.7169455439999997</v>
      </c>
      <c r="Z749" s="1">
        <v>6.2855941240000002</v>
      </c>
      <c r="AA749" s="1">
        <v>6.1911441390000004</v>
      </c>
      <c r="AB749" s="1">
        <v>5.6280506069999996</v>
      </c>
      <c r="AC749" s="1">
        <v>6.2255363350000001</v>
      </c>
      <c r="AD749" s="1">
        <v>5.980763981</v>
      </c>
      <c r="AE749" s="1">
        <v>6.0726073669999998</v>
      </c>
    </row>
    <row r="750" spans="1:31" x14ac:dyDescent="0.25">
      <c r="A750" s="1" t="s">
        <v>1688</v>
      </c>
      <c r="B750" s="1" t="s">
        <v>2525</v>
      </c>
      <c r="C750" s="1" t="s">
        <v>3717</v>
      </c>
      <c r="D750" s="1" t="s">
        <v>3718</v>
      </c>
      <c r="E750" s="1" t="s">
        <v>3848</v>
      </c>
      <c r="F750" s="1" t="s">
        <v>3849</v>
      </c>
      <c r="G750" s="1" t="s">
        <v>1688</v>
      </c>
      <c r="H750" s="1">
        <v>7.5040903459999999</v>
      </c>
      <c r="I750" s="1">
        <v>7.3287621789999999</v>
      </c>
      <c r="J750" s="1">
        <v>6.3513642939999997</v>
      </c>
      <c r="K750" s="1">
        <v>6.55382379</v>
      </c>
      <c r="L750" s="1">
        <v>6.4064948719999997</v>
      </c>
      <c r="M750" s="1">
        <v>6.2791745209999998</v>
      </c>
      <c r="N750" s="1">
        <v>7.4055174920000004</v>
      </c>
      <c r="O750" s="1">
        <v>7.4066553930000003</v>
      </c>
      <c r="P750" s="1">
        <v>6.4476246020000003</v>
      </c>
      <c r="Q750" s="1">
        <v>6.4790268769999999</v>
      </c>
      <c r="R750" s="1">
        <v>6.532477096</v>
      </c>
      <c r="S750" s="1">
        <v>5.7723891209999998</v>
      </c>
      <c r="T750" s="1">
        <v>6.4064948719999997</v>
      </c>
      <c r="U750" s="1">
        <v>6.2791745209999998</v>
      </c>
      <c r="V750" s="1">
        <v>6.4497065429999996</v>
      </c>
      <c r="W750" s="1">
        <v>6.9968523659999997</v>
      </c>
      <c r="X750" s="1">
        <v>6.5709008840000003</v>
      </c>
      <c r="Y750" s="1">
        <v>6.7864979940000003</v>
      </c>
      <c r="Z750" s="1">
        <v>6.532477096</v>
      </c>
      <c r="AA750" s="1">
        <v>5.7723891209999998</v>
      </c>
      <c r="AB750" s="1">
        <v>6.935033368</v>
      </c>
      <c r="AC750" s="1">
        <v>6.4748747230000001</v>
      </c>
      <c r="AD750" s="1">
        <v>6.89062397</v>
      </c>
      <c r="AE750" s="1">
        <v>6.7278078839999997</v>
      </c>
    </row>
    <row r="751" spans="1:31" x14ac:dyDescent="0.25">
      <c r="A751" s="1" t="s">
        <v>1689</v>
      </c>
      <c r="B751" s="1" t="s">
        <v>2525</v>
      </c>
      <c r="C751" s="1" t="s">
        <v>3717</v>
      </c>
      <c r="D751" s="1" t="s">
        <v>3718</v>
      </c>
      <c r="E751" s="1" t="s">
        <v>3850</v>
      </c>
      <c r="F751" s="1" t="s">
        <v>3851</v>
      </c>
      <c r="G751" s="1" t="s">
        <v>1689</v>
      </c>
      <c r="H751" s="1">
        <v>6.7480265230000001</v>
      </c>
      <c r="I751" s="1">
        <v>6.2320099659999997</v>
      </c>
      <c r="J751" s="1">
        <v>5.9926388770000001</v>
      </c>
      <c r="K751" s="1">
        <v>6.363994462</v>
      </c>
      <c r="L751" s="1">
        <v>6.1777105819999996</v>
      </c>
      <c r="M751" s="1">
        <v>6.3183487620000003</v>
      </c>
      <c r="N751" s="1">
        <v>6.6268435070000002</v>
      </c>
      <c r="O751" s="1">
        <v>6.3277659169999998</v>
      </c>
      <c r="P751" s="1">
        <v>6.5340672829999997</v>
      </c>
      <c r="Q751" s="1">
        <v>6.1972278550000004</v>
      </c>
      <c r="R751" s="1">
        <v>5.6804358580000001</v>
      </c>
      <c r="S751" s="1">
        <v>6.2136668149999998</v>
      </c>
      <c r="T751" s="1">
        <v>6.1777105819999996</v>
      </c>
      <c r="U751" s="1">
        <v>6.3183487620000003</v>
      </c>
      <c r="V751" s="1">
        <v>6.9066996950000004</v>
      </c>
      <c r="W751" s="1">
        <v>6.2922055309999996</v>
      </c>
      <c r="X751" s="1">
        <v>5.9183192990000002</v>
      </c>
      <c r="Y751" s="1">
        <v>6.0769070919999999</v>
      </c>
      <c r="Z751" s="1">
        <v>5.6804358580000001</v>
      </c>
      <c r="AA751" s="1">
        <v>6.2136668149999998</v>
      </c>
      <c r="AB751" s="1">
        <v>6.1835402750000004</v>
      </c>
      <c r="AC751" s="1">
        <v>6.1168053020000004</v>
      </c>
      <c r="AD751" s="1">
        <v>5.980763981</v>
      </c>
      <c r="AE751" s="1">
        <v>6.086150795</v>
      </c>
    </row>
    <row r="752" spans="1:31" x14ac:dyDescent="0.25">
      <c r="A752" s="1" t="s">
        <v>1690</v>
      </c>
      <c r="B752" s="1" t="s">
        <v>2631</v>
      </c>
      <c r="C752" s="1" t="s">
        <v>2980</v>
      </c>
      <c r="D752" s="1" t="s">
        <v>2535</v>
      </c>
      <c r="E752" s="1" t="s">
        <v>3852</v>
      </c>
      <c r="G752" s="1" t="s">
        <v>1690</v>
      </c>
      <c r="H752" s="1">
        <v>7.3339859880000002</v>
      </c>
      <c r="I752" s="1">
        <v>6.9627053569999999</v>
      </c>
      <c r="J752" s="1">
        <v>8.1643658670000008</v>
      </c>
      <c r="K752" s="1">
        <v>8.0069791010000007</v>
      </c>
      <c r="L752" s="1">
        <v>7.9028062820000002</v>
      </c>
      <c r="M752" s="1">
        <v>8.0411903700000007</v>
      </c>
      <c r="N752" s="1">
        <v>6.664596564</v>
      </c>
      <c r="O752" s="1">
        <v>6.9786739019999997</v>
      </c>
      <c r="P752" s="1">
        <v>7.9590245529999999</v>
      </c>
      <c r="Q752" s="1">
        <v>7.8547944789999997</v>
      </c>
      <c r="R752" s="1">
        <v>8.3825644570000009</v>
      </c>
      <c r="S752" s="1">
        <v>8.0856388189999997</v>
      </c>
      <c r="T752" s="1">
        <v>7.9028062820000002</v>
      </c>
      <c r="U752" s="1">
        <v>8.0411903700000007</v>
      </c>
      <c r="V752" s="1">
        <v>7.7723754989999998</v>
      </c>
      <c r="W752" s="1">
        <v>7.7201193760000004</v>
      </c>
      <c r="X752" s="1">
        <v>7.8382063400000002</v>
      </c>
      <c r="Y752" s="1">
        <v>7.4213935639999997</v>
      </c>
      <c r="Z752" s="1">
        <v>8.3825644570000009</v>
      </c>
      <c r="AA752" s="1">
        <v>8.0856388189999997</v>
      </c>
      <c r="AB752" s="1">
        <v>8.2417445330000003</v>
      </c>
      <c r="AC752" s="1">
        <v>8.1228649900000001</v>
      </c>
      <c r="AD752" s="1">
        <v>7.9326331840000002</v>
      </c>
      <c r="AE752" s="1">
        <v>7.8740462500000001</v>
      </c>
    </row>
    <row r="753" spans="1:31" x14ac:dyDescent="0.25">
      <c r="A753" s="1" t="s">
        <v>1692</v>
      </c>
      <c r="B753" s="1" t="s">
        <v>2520</v>
      </c>
      <c r="C753" s="1" t="s">
        <v>3853</v>
      </c>
      <c r="D753" s="1" t="s">
        <v>3854</v>
      </c>
      <c r="E753" s="1" t="s">
        <v>3855</v>
      </c>
      <c r="F753" s="1" t="s">
        <v>3856</v>
      </c>
      <c r="G753" s="1" t="s">
        <v>1692</v>
      </c>
      <c r="H753" s="1">
        <v>4.9322401630000003</v>
      </c>
      <c r="I753" s="1">
        <v>5.1546023129999998</v>
      </c>
      <c r="J753" s="1">
        <v>5.2817155790000001</v>
      </c>
      <c r="K753" s="1">
        <v>4.8793048219999999</v>
      </c>
      <c r="L753" s="1">
        <v>5.082479009</v>
      </c>
      <c r="M753" s="1">
        <v>5.029201552</v>
      </c>
      <c r="N753" s="1">
        <v>5.0802595029999997</v>
      </c>
      <c r="O753" s="1">
        <v>4.6248126879999996</v>
      </c>
      <c r="P753" s="1">
        <v>5.1018341500000002</v>
      </c>
      <c r="Q753" s="1">
        <v>5.6499570400000003</v>
      </c>
      <c r="R753" s="1">
        <v>4.2802026870000001</v>
      </c>
      <c r="S753" s="1">
        <v>5.4687741709999997</v>
      </c>
      <c r="T753" s="1">
        <v>5.082479009</v>
      </c>
      <c r="U753" s="1">
        <v>5.029201552</v>
      </c>
      <c r="V753" s="1">
        <v>5.8017242820000003</v>
      </c>
      <c r="W753" s="1">
        <v>5.8015499779999997</v>
      </c>
      <c r="X753" s="1">
        <v>4.7192629950000002</v>
      </c>
      <c r="Y753" s="1">
        <v>5.2297915760000002</v>
      </c>
      <c r="Z753" s="1">
        <v>4.2802026870000001</v>
      </c>
      <c r="AA753" s="1">
        <v>5.4687741709999997</v>
      </c>
      <c r="AB753" s="1">
        <v>4.705867896</v>
      </c>
      <c r="AC753" s="1">
        <v>3.6175630609999998</v>
      </c>
      <c r="AD753" s="1">
        <v>4.83054469</v>
      </c>
      <c r="AE753" s="1">
        <v>5.4097399240000001</v>
      </c>
    </row>
    <row r="754" spans="1:31" x14ac:dyDescent="0.25">
      <c r="A754" s="1" t="s">
        <v>1693</v>
      </c>
      <c r="B754" s="1" t="s">
        <v>2530</v>
      </c>
      <c r="C754" s="1" t="s">
        <v>2573</v>
      </c>
      <c r="D754" s="1" t="s">
        <v>2535</v>
      </c>
      <c r="E754" s="1" t="s">
        <v>3857</v>
      </c>
      <c r="G754" s="1" t="s">
        <v>1693</v>
      </c>
      <c r="H754" s="1">
        <v>4.183793842</v>
      </c>
      <c r="I754" s="1">
        <v>3.7806045529999999</v>
      </c>
      <c r="J754" s="1">
        <v>3.8969924050000002</v>
      </c>
      <c r="K754" s="1">
        <v>3.22334677</v>
      </c>
      <c r="L754" s="1">
        <v>3.3884746630000002</v>
      </c>
      <c r="M754" s="1">
        <v>3.8521266660000002</v>
      </c>
      <c r="N754" s="1">
        <v>4.4945275240000004</v>
      </c>
      <c r="O754" s="1">
        <v>4.1585876539999997</v>
      </c>
      <c r="P754" s="1">
        <v>3.7419514989999998</v>
      </c>
      <c r="Q754" s="1">
        <v>3.388910638</v>
      </c>
      <c r="R754" s="1">
        <v>3.7109484589999999</v>
      </c>
      <c r="S754" s="1">
        <v>3.9182367880000002</v>
      </c>
      <c r="T754" s="1">
        <v>3.3884746630000002</v>
      </c>
      <c r="U754" s="1">
        <v>3.8521266660000002</v>
      </c>
      <c r="V754" s="1">
        <v>3.887436229</v>
      </c>
      <c r="W754" s="1">
        <v>3.50175473</v>
      </c>
      <c r="X754" s="1">
        <v>4.0600950219999996</v>
      </c>
      <c r="Y754" s="1">
        <v>4.0337379980000003</v>
      </c>
      <c r="Z754" s="1">
        <v>3.7109484589999999</v>
      </c>
      <c r="AA754" s="1">
        <v>3.9182367880000002</v>
      </c>
      <c r="AB754" s="1">
        <v>4.139369361</v>
      </c>
      <c r="AC754" s="1">
        <v>4.1685844940000001</v>
      </c>
      <c r="AD754" s="1">
        <v>3.8610926929999998</v>
      </c>
      <c r="AE754" s="1">
        <v>4.124053773</v>
      </c>
    </row>
    <row r="755" spans="1:31" x14ac:dyDescent="0.25">
      <c r="A755" s="1" t="s">
        <v>1695</v>
      </c>
      <c r="B755" s="1" t="s">
        <v>2539</v>
      </c>
      <c r="C755" s="1" t="s">
        <v>2606</v>
      </c>
      <c r="D755" s="1" t="s">
        <v>2697</v>
      </c>
      <c r="E755" s="1" t="s">
        <v>2698</v>
      </c>
      <c r="F755" s="1" t="s">
        <v>2699</v>
      </c>
      <c r="G755" s="1" t="s">
        <v>1695</v>
      </c>
      <c r="H755" s="1">
        <v>11.699015749999999</v>
      </c>
      <c r="I755" s="1">
        <v>11.222693420000001</v>
      </c>
      <c r="J755" s="1">
        <v>6.5545604910000002</v>
      </c>
      <c r="K755" s="1">
        <v>8.0841731540000001</v>
      </c>
      <c r="L755" s="1">
        <v>5.9312890439999997</v>
      </c>
      <c r="M755" s="1">
        <v>5.8324912810000002</v>
      </c>
      <c r="N755" s="1">
        <v>10.2996625</v>
      </c>
      <c r="O755" s="1">
        <v>10.78543674</v>
      </c>
      <c r="P755" s="1">
        <v>7.2875382760000003</v>
      </c>
      <c r="Q755" s="1">
        <v>7.2863899630000004</v>
      </c>
      <c r="R755" s="1">
        <v>7.270552726</v>
      </c>
      <c r="S755" s="1">
        <v>7.4533771370000004</v>
      </c>
      <c r="T755" s="1">
        <v>5.9312890439999997</v>
      </c>
      <c r="U755" s="1">
        <v>5.8324912810000002</v>
      </c>
      <c r="V755" s="1">
        <v>7.3080101959999997</v>
      </c>
      <c r="W755" s="1">
        <v>7.4907362729999996</v>
      </c>
      <c r="X755" s="1">
        <v>6.6542768270000003</v>
      </c>
      <c r="Y755" s="1">
        <v>8.5414781800000004</v>
      </c>
      <c r="Z755" s="1">
        <v>7.270552726</v>
      </c>
      <c r="AA755" s="1">
        <v>7.4533771370000004</v>
      </c>
      <c r="AB755" s="1">
        <v>8.1523051080000002</v>
      </c>
      <c r="AC755" s="1">
        <v>7.2364401149999997</v>
      </c>
      <c r="AD755" s="1">
        <v>8.845061029</v>
      </c>
      <c r="AE755" s="1">
        <v>8.5612078030000003</v>
      </c>
    </row>
    <row r="756" spans="1:31" x14ac:dyDescent="0.25">
      <c r="A756" s="1" t="s">
        <v>1696</v>
      </c>
      <c r="B756" s="1" t="s">
        <v>2539</v>
      </c>
      <c r="C756" s="1" t="s">
        <v>2563</v>
      </c>
      <c r="D756" s="1" t="s">
        <v>2574</v>
      </c>
      <c r="E756" s="1" t="s">
        <v>3858</v>
      </c>
      <c r="F756" s="1" t="s">
        <v>3859</v>
      </c>
      <c r="G756" s="1" t="s">
        <v>1696</v>
      </c>
      <c r="H756" s="1">
        <v>2.9945681560000001</v>
      </c>
      <c r="I756" s="1">
        <v>3.5006354609999999</v>
      </c>
      <c r="J756" s="1">
        <v>3.1324899180000001</v>
      </c>
      <c r="K756" s="1">
        <v>4.0244910950000001</v>
      </c>
      <c r="L756" s="1">
        <v>3.7446308510000001</v>
      </c>
      <c r="M756" s="1">
        <v>2.3994532390000001</v>
      </c>
      <c r="N756" s="1">
        <v>2.9782685729999998</v>
      </c>
      <c r="O756" s="1">
        <v>3.8071106499999998</v>
      </c>
      <c r="P756" s="1">
        <v>3.3003929539999999</v>
      </c>
      <c r="Q756" s="1">
        <v>2.597100669</v>
      </c>
      <c r="R756" s="1">
        <v>3.386455024</v>
      </c>
      <c r="S756" s="1">
        <v>3.3463386960000001</v>
      </c>
      <c r="T756" s="1">
        <v>3.7446308510000001</v>
      </c>
      <c r="U756" s="1">
        <v>2.3994532390000001</v>
      </c>
      <c r="V756" s="1">
        <v>3.3993802240000002</v>
      </c>
      <c r="W756" s="1">
        <v>3.2870366010000001</v>
      </c>
      <c r="X756" s="1">
        <v>3.4131791489999999</v>
      </c>
      <c r="Y756" s="1">
        <v>3.229986142</v>
      </c>
      <c r="Z756" s="1">
        <v>3.386455024</v>
      </c>
      <c r="AA756" s="1">
        <v>3.3463386960000001</v>
      </c>
      <c r="AB756" s="1">
        <v>3.404153038</v>
      </c>
      <c r="AC756" s="1">
        <v>2.5506926650000001</v>
      </c>
      <c r="AD756" s="1">
        <v>3.1944880649999998</v>
      </c>
      <c r="AE756" s="1">
        <v>3.9499994520000001</v>
      </c>
    </row>
    <row r="757" spans="1:31" x14ac:dyDescent="0.25">
      <c r="A757" s="1" t="s">
        <v>1697</v>
      </c>
      <c r="B757" s="1" t="s">
        <v>2667</v>
      </c>
      <c r="C757" s="1" t="s">
        <v>2867</v>
      </c>
      <c r="D757" s="1" t="s">
        <v>2929</v>
      </c>
      <c r="E757" s="1" t="s">
        <v>3860</v>
      </c>
      <c r="F757" s="1" t="s">
        <v>3861</v>
      </c>
      <c r="G757" s="1" t="s">
        <v>1697</v>
      </c>
      <c r="H757" s="1">
        <v>6.1242673779999999</v>
      </c>
      <c r="I757" s="1">
        <v>6.4146507100000001</v>
      </c>
      <c r="J757" s="1">
        <v>6.8353858709999997</v>
      </c>
      <c r="K757" s="1">
        <v>6.3863668120000003</v>
      </c>
      <c r="L757" s="1">
        <v>7.6815970780000002</v>
      </c>
      <c r="M757" s="1">
        <v>7.6649189</v>
      </c>
      <c r="N757" s="1">
        <v>6.2582753870000003</v>
      </c>
      <c r="O757" s="1">
        <v>6.6897001009999997</v>
      </c>
      <c r="P757" s="1">
        <v>6.75166909</v>
      </c>
      <c r="Q757" s="1">
        <v>6.7311802209999998</v>
      </c>
      <c r="R757" s="1">
        <v>7.0898067039999999</v>
      </c>
      <c r="S757" s="1">
        <v>6.8382423799999996</v>
      </c>
      <c r="T757" s="1">
        <v>7.6815970780000002</v>
      </c>
      <c r="U757" s="1">
        <v>7.6649189</v>
      </c>
      <c r="V757" s="1">
        <v>6.9986300650000004</v>
      </c>
      <c r="W757" s="1">
        <v>7.1041979590000004</v>
      </c>
      <c r="X757" s="1">
        <v>7.3367784169999997</v>
      </c>
      <c r="Y757" s="1">
        <v>6.6624835610000002</v>
      </c>
      <c r="Z757" s="1">
        <v>7.0898067039999999</v>
      </c>
      <c r="AA757" s="1">
        <v>6.8382423799999996</v>
      </c>
      <c r="AB757" s="1">
        <v>7.0294463739999999</v>
      </c>
      <c r="AC757" s="1">
        <v>6.9376954160000004</v>
      </c>
      <c r="AD757" s="1">
        <v>6.7490106299999999</v>
      </c>
      <c r="AE757" s="1">
        <v>6.9362871930000001</v>
      </c>
    </row>
    <row r="758" spans="1:31" x14ac:dyDescent="0.25">
      <c r="A758" s="1" t="s">
        <v>1698</v>
      </c>
      <c r="B758" s="1" t="s">
        <v>2530</v>
      </c>
      <c r="C758" s="1" t="s">
        <v>2573</v>
      </c>
      <c r="D758" s="1" t="s">
        <v>2535</v>
      </c>
      <c r="E758" s="1" t="s">
        <v>3862</v>
      </c>
      <c r="G758" s="1" t="s">
        <v>1698</v>
      </c>
      <c r="H758" s="1">
        <v>5.5485883999999999</v>
      </c>
      <c r="I758" s="1">
        <v>6.1880668090000004</v>
      </c>
      <c r="J758" s="1">
        <v>5.1501560140000002</v>
      </c>
      <c r="K758" s="1">
        <v>5.6482047069999997</v>
      </c>
      <c r="L758" s="1">
        <v>4.713054648</v>
      </c>
      <c r="M758" s="1">
        <v>4.6276332350000002</v>
      </c>
      <c r="N758" s="1">
        <v>5.5749368700000002</v>
      </c>
      <c r="O758" s="1">
        <v>5.8051520590000001</v>
      </c>
      <c r="P758" s="1">
        <v>4.5499605860000001</v>
      </c>
      <c r="Q758" s="1">
        <v>4.8773483779999998</v>
      </c>
      <c r="R758" s="1">
        <v>4.2802026870000001</v>
      </c>
      <c r="S758" s="1">
        <v>4.6864044680000001</v>
      </c>
      <c r="T758" s="1">
        <v>4.713054648</v>
      </c>
      <c r="U758" s="1">
        <v>4.6276332350000002</v>
      </c>
      <c r="V758" s="1">
        <v>6.0587793220000004</v>
      </c>
      <c r="W758" s="1">
        <v>5.5195577800000004</v>
      </c>
      <c r="X758" s="1">
        <v>4.97415056</v>
      </c>
      <c r="Y758" s="1">
        <v>5.4613266610000002</v>
      </c>
      <c r="Z758" s="1">
        <v>4.2802026870000001</v>
      </c>
      <c r="AA758" s="1">
        <v>4.6864044680000001</v>
      </c>
      <c r="AB758" s="1">
        <v>5.3624643089999999</v>
      </c>
      <c r="AC758" s="1">
        <v>4.8610120620000004</v>
      </c>
      <c r="AD758" s="1">
        <v>5.2633210659999996</v>
      </c>
      <c r="AE758" s="1">
        <v>4.6199010239999998</v>
      </c>
    </row>
    <row r="759" spans="1:31" x14ac:dyDescent="0.25">
      <c r="A759" s="1" t="s">
        <v>1705</v>
      </c>
      <c r="B759" s="1" t="s">
        <v>2598</v>
      </c>
      <c r="C759" s="1" t="s">
        <v>2599</v>
      </c>
      <c r="D759" s="1" t="s">
        <v>2535</v>
      </c>
      <c r="E759" s="1" t="s">
        <v>3863</v>
      </c>
      <c r="F759" s="1" t="s">
        <v>3864</v>
      </c>
      <c r="G759" s="1" t="s">
        <v>1705</v>
      </c>
      <c r="H759" s="1">
        <v>3.9421380259999999</v>
      </c>
      <c r="I759" s="1">
        <v>5.0595268689999999</v>
      </c>
      <c r="J759" s="1">
        <v>6.4657385989999998</v>
      </c>
      <c r="K759" s="1">
        <v>5.5322182199999999</v>
      </c>
      <c r="L759" s="1">
        <v>7.4201917110000002</v>
      </c>
      <c r="M759" s="1">
        <v>7.1252663509999996</v>
      </c>
      <c r="N759" s="1">
        <v>5.4717898820000004</v>
      </c>
      <c r="O759" s="1">
        <v>5.1040005129999999</v>
      </c>
      <c r="P759" s="1">
        <v>6.9151345580000001</v>
      </c>
      <c r="Q759" s="1">
        <v>6.2209780280000002</v>
      </c>
      <c r="R759" s="1">
        <v>6.5134469040000003</v>
      </c>
      <c r="S759" s="1">
        <v>6.478262194</v>
      </c>
      <c r="T759" s="1">
        <v>7.4201917110000002</v>
      </c>
      <c r="U759" s="1">
        <v>7.1252663509999996</v>
      </c>
      <c r="V759" s="1">
        <v>6.2394706979999999</v>
      </c>
      <c r="W759" s="1">
        <v>6.1272304780000004</v>
      </c>
      <c r="X759" s="1">
        <v>6.7667750739999999</v>
      </c>
      <c r="Y759" s="1">
        <v>6.2594192150000003</v>
      </c>
      <c r="Z759" s="1">
        <v>6.5134469040000003</v>
      </c>
      <c r="AA759" s="1">
        <v>6.478262194</v>
      </c>
      <c r="AB759" s="1">
        <v>6.557950226</v>
      </c>
      <c r="AC759" s="1">
        <v>6.4026546910000004</v>
      </c>
      <c r="AD759" s="1">
        <v>6.3516560770000003</v>
      </c>
      <c r="AE759" s="1">
        <v>6.1648337089999998</v>
      </c>
    </row>
    <row r="760" spans="1:31" x14ac:dyDescent="0.25">
      <c r="A760" s="1" t="s">
        <v>1706</v>
      </c>
      <c r="B760" s="1" t="s">
        <v>2530</v>
      </c>
      <c r="C760" s="1" t="s">
        <v>2531</v>
      </c>
      <c r="D760" s="1" t="s">
        <v>2535</v>
      </c>
      <c r="E760" s="1" t="s">
        <v>2621</v>
      </c>
      <c r="G760" s="1" t="s">
        <v>1706</v>
      </c>
      <c r="H760" s="1">
        <v>4.4805534380000003</v>
      </c>
      <c r="I760" s="1">
        <v>4.2055918060000002</v>
      </c>
      <c r="J760" s="1">
        <v>4.2898244959999996</v>
      </c>
      <c r="K760" s="1">
        <v>4.8793048219999999</v>
      </c>
      <c r="L760" s="1">
        <v>5.2153292420000001</v>
      </c>
      <c r="M760" s="1">
        <v>5.2079667260000004</v>
      </c>
      <c r="N760" s="1">
        <v>4.6173662499999999</v>
      </c>
      <c r="O760" s="1">
        <v>4.5340058970000001</v>
      </c>
      <c r="P760" s="1">
        <v>4.3303557189999999</v>
      </c>
      <c r="Q760" s="1">
        <v>4.5369064569999997</v>
      </c>
      <c r="R760" s="1">
        <v>4.8735636449999999</v>
      </c>
      <c r="S760" s="1">
        <v>4.4749637470000003</v>
      </c>
      <c r="T760" s="1">
        <v>5.2153292420000001</v>
      </c>
      <c r="U760" s="1">
        <v>5.2079667260000004</v>
      </c>
      <c r="V760" s="1">
        <v>4.0758289169999999</v>
      </c>
      <c r="W760" s="1">
        <v>4.3370700810000002</v>
      </c>
      <c r="X760" s="1">
        <v>4.9146300209999998</v>
      </c>
      <c r="Y760" s="1">
        <v>5.3731782380000004</v>
      </c>
      <c r="Z760" s="1">
        <v>4.8735636449999999</v>
      </c>
      <c r="AA760" s="1">
        <v>4.4749637470000003</v>
      </c>
      <c r="AB760" s="1">
        <v>5.0356743460000004</v>
      </c>
      <c r="AC760" s="1">
        <v>4.0753403910000001</v>
      </c>
      <c r="AD760" s="1">
        <v>5.0634297190000002</v>
      </c>
      <c r="AE760" s="1">
        <v>4.7290680490000003</v>
      </c>
    </row>
    <row r="761" spans="1:31" x14ac:dyDescent="0.25">
      <c r="A761" s="1" t="s">
        <v>1712</v>
      </c>
      <c r="B761" s="1" t="s">
        <v>2608</v>
      </c>
      <c r="C761" s="1" t="s">
        <v>2791</v>
      </c>
      <c r="D761" s="1" t="s">
        <v>3865</v>
      </c>
      <c r="E761" s="1" t="s">
        <v>3866</v>
      </c>
      <c r="F761" s="1" t="s">
        <v>3867</v>
      </c>
      <c r="G761" s="1" t="s">
        <v>1712</v>
      </c>
      <c r="H761" s="1">
        <v>7.7584006839999997</v>
      </c>
      <c r="I761" s="1">
        <v>7.2455913279999997</v>
      </c>
      <c r="J761" s="1">
        <v>9.6241221299999999</v>
      </c>
      <c r="K761" s="1">
        <v>9.5497615390000004</v>
      </c>
      <c r="L761" s="1">
        <v>9.6856427749999998</v>
      </c>
      <c r="M761" s="1">
        <v>9.8454492499999997</v>
      </c>
      <c r="N761" s="1">
        <v>6.9736113900000003</v>
      </c>
      <c r="O761" s="1">
        <v>7.3025691139999998</v>
      </c>
      <c r="P761" s="1">
        <v>9.5054132350000007</v>
      </c>
      <c r="Q761" s="1">
        <v>9.4994056259999997</v>
      </c>
      <c r="R761" s="1">
        <v>9.9394102889999996</v>
      </c>
      <c r="S761" s="1">
        <v>9.8913632099999997</v>
      </c>
      <c r="T761" s="1">
        <v>9.6856427749999998</v>
      </c>
      <c r="U761" s="1">
        <v>9.8454492499999997</v>
      </c>
      <c r="V761" s="1">
        <v>9.3586261430000004</v>
      </c>
      <c r="W761" s="1">
        <v>9.3575025939999996</v>
      </c>
      <c r="X761" s="1">
        <v>9.4608372979999995</v>
      </c>
      <c r="Y761" s="1">
        <v>9.3188570389999992</v>
      </c>
      <c r="Z761" s="1">
        <v>9.9394102889999996</v>
      </c>
      <c r="AA761" s="1">
        <v>9.8913632099999997</v>
      </c>
      <c r="AB761" s="1">
        <v>9.5365882890000009</v>
      </c>
      <c r="AC761" s="1">
        <v>9.5905551160000009</v>
      </c>
      <c r="AD761" s="1">
        <v>9.4256517609999992</v>
      </c>
      <c r="AE761" s="1">
        <v>9.1839923339999991</v>
      </c>
    </row>
    <row r="762" spans="1:31" x14ac:dyDescent="0.25">
      <c r="A762" s="1" t="s">
        <v>1713</v>
      </c>
      <c r="B762" s="1" t="s">
        <v>2608</v>
      </c>
      <c r="C762" s="1" t="s">
        <v>2700</v>
      </c>
      <c r="D762" s="1" t="s">
        <v>3868</v>
      </c>
      <c r="E762" s="1" t="s">
        <v>3869</v>
      </c>
      <c r="F762" s="1" t="s">
        <v>3870</v>
      </c>
      <c r="G762" s="1" t="s">
        <v>1713</v>
      </c>
      <c r="H762" s="1">
        <v>7.4158709649999999</v>
      </c>
      <c r="I762" s="1">
        <v>7.0012556290000001</v>
      </c>
      <c r="J762" s="1">
        <v>8.8510786410000009</v>
      </c>
      <c r="K762" s="1">
        <v>8.9992265679999992</v>
      </c>
      <c r="L762" s="1">
        <v>9.1986292340000002</v>
      </c>
      <c r="M762" s="1">
        <v>9.5048136379999999</v>
      </c>
      <c r="N762" s="1">
        <v>6.6922754859999998</v>
      </c>
      <c r="O762" s="1">
        <v>7.0687090819999998</v>
      </c>
      <c r="P762" s="1">
        <v>8.9925199960000004</v>
      </c>
      <c r="Q762" s="1">
        <v>8.9870422889999997</v>
      </c>
      <c r="R762" s="1">
        <v>9.4403838360000005</v>
      </c>
      <c r="S762" s="1">
        <v>9.3295632430000008</v>
      </c>
      <c r="T762" s="1">
        <v>9.1986292340000002</v>
      </c>
      <c r="U762" s="1">
        <v>9.5048136379999999</v>
      </c>
      <c r="V762" s="1">
        <v>8.7830910230000008</v>
      </c>
      <c r="W762" s="1">
        <v>8.7407657820000004</v>
      </c>
      <c r="X762" s="1">
        <v>9.026209454</v>
      </c>
      <c r="Y762" s="1">
        <v>8.6053680319999994</v>
      </c>
      <c r="Z762" s="1">
        <v>9.4403838360000005</v>
      </c>
      <c r="AA762" s="1">
        <v>9.3295632430000008</v>
      </c>
      <c r="AB762" s="1">
        <v>9.2456652310000003</v>
      </c>
      <c r="AC762" s="1">
        <v>9.2358633759999993</v>
      </c>
      <c r="AD762" s="1">
        <v>8.9636899739999993</v>
      </c>
      <c r="AE762" s="1">
        <v>8.7277810710000008</v>
      </c>
    </row>
    <row r="763" spans="1:31" x14ac:dyDescent="0.25">
      <c r="A763" s="1" t="s">
        <v>1719</v>
      </c>
      <c r="B763" s="1" t="s">
        <v>2942</v>
      </c>
      <c r="C763" s="1" t="s">
        <v>2531</v>
      </c>
      <c r="D763" s="1" t="s">
        <v>3871</v>
      </c>
      <c r="E763" s="1" t="s">
        <v>3872</v>
      </c>
      <c r="F763" s="1" t="s">
        <v>3873</v>
      </c>
      <c r="G763" s="1" t="s">
        <v>1719</v>
      </c>
      <c r="H763" s="1">
        <v>7.5358288350000002</v>
      </c>
      <c r="I763" s="1">
        <v>7.0138798510000004</v>
      </c>
      <c r="J763" s="1">
        <v>7.2722043909999998</v>
      </c>
      <c r="K763" s="1">
        <v>7.4720144450000001</v>
      </c>
      <c r="L763" s="1">
        <v>7.030843001</v>
      </c>
      <c r="M763" s="1">
        <v>7.224718245</v>
      </c>
      <c r="N763" s="1">
        <v>7.1029295010000002</v>
      </c>
      <c r="O763" s="1">
        <v>7.1830668309999997</v>
      </c>
      <c r="P763" s="1">
        <v>7.4021922230000001</v>
      </c>
      <c r="Q763" s="1">
        <v>7.2751079179999998</v>
      </c>
      <c r="R763" s="1">
        <v>7.2361715980000003</v>
      </c>
      <c r="S763" s="1">
        <v>7.3353032880000004</v>
      </c>
      <c r="T763" s="1">
        <v>7.030843001</v>
      </c>
      <c r="U763" s="1">
        <v>7.224718245</v>
      </c>
      <c r="V763" s="1">
        <v>6.7698772270000003</v>
      </c>
      <c r="W763" s="1">
        <v>7.0126858380000003</v>
      </c>
      <c r="X763" s="1">
        <v>7.1388407049999998</v>
      </c>
      <c r="Y763" s="1">
        <v>7.2350386169999998</v>
      </c>
      <c r="Z763" s="1">
        <v>7.2361715980000003</v>
      </c>
      <c r="AA763" s="1">
        <v>7.3353032880000004</v>
      </c>
      <c r="AB763" s="1">
        <v>7.6086032499999998</v>
      </c>
      <c r="AC763" s="1">
        <v>7.3935912940000001</v>
      </c>
      <c r="AD763" s="1">
        <v>7.4539799340000004</v>
      </c>
      <c r="AE763" s="1">
        <v>7.1700665609999996</v>
      </c>
    </row>
    <row r="764" spans="1:31" x14ac:dyDescent="0.25">
      <c r="A764" s="1" t="s">
        <v>1720</v>
      </c>
      <c r="B764" s="1" t="s">
        <v>2843</v>
      </c>
      <c r="C764" s="1" t="s">
        <v>2844</v>
      </c>
      <c r="D764" s="1" t="s">
        <v>3874</v>
      </c>
      <c r="E764" s="1" t="s">
        <v>3875</v>
      </c>
      <c r="F764" s="1" t="s">
        <v>3876</v>
      </c>
      <c r="G764" s="1" t="s">
        <v>1720</v>
      </c>
      <c r="H764" s="1">
        <v>5.1686839359999999</v>
      </c>
      <c r="I764" s="1">
        <v>5.4067069720000003</v>
      </c>
      <c r="J764" s="1">
        <v>6.863459046</v>
      </c>
      <c r="K764" s="1">
        <v>6.9488037440000001</v>
      </c>
      <c r="L764" s="1">
        <v>7.1063147170000001</v>
      </c>
      <c r="M764" s="1">
        <v>7.0955436860000001</v>
      </c>
      <c r="N764" s="1">
        <v>6.1290762189999999</v>
      </c>
      <c r="O764" s="1">
        <v>5.9503866380000003</v>
      </c>
      <c r="P764" s="1">
        <v>6.7802345329999998</v>
      </c>
      <c r="Q764" s="1">
        <v>6.8875871899999996</v>
      </c>
      <c r="R764" s="1">
        <v>7.4412330640000004</v>
      </c>
      <c r="S764" s="1">
        <v>7.2724296290000003</v>
      </c>
      <c r="T764" s="1">
        <v>7.1063147170000001</v>
      </c>
      <c r="U764" s="1">
        <v>7.0955436860000001</v>
      </c>
      <c r="V764" s="1">
        <v>6.9986300650000004</v>
      </c>
      <c r="W764" s="1">
        <v>6.6164205459999996</v>
      </c>
      <c r="X764" s="1">
        <v>7.086464061</v>
      </c>
      <c r="Y764" s="1">
        <v>6.6058798599999999</v>
      </c>
      <c r="Z764" s="1">
        <v>7.4412330640000004</v>
      </c>
      <c r="AA764" s="1">
        <v>7.2724296290000003</v>
      </c>
      <c r="AB764" s="1">
        <v>6.875265154</v>
      </c>
      <c r="AC764" s="1">
        <v>7.000162123</v>
      </c>
      <c r="AD764" s="1">
        <v>6.7654508829999997</v>
      </c>
      <c r="AE764" s="1">
        <v>6.7703137360000003</v>
      </c>
    </row>
    <row r="765" spans="1:31" x14ac:dyDescent="0.25">
      <c r="A765" s="1" t="s">
        <v>1721</v>
      </c>
      <c r="B765" s="1" t="s">
        <v>2530</v>
      </c>
      <c r="C765" s="1" t="s">
        <v>2573</v>
      </c>
      <c r="D765" s="1" t="s">
        <v>2535</v>
      </c>
      <c r="E765" s="1" t="s">
        <v>3877</v>
      </c>
      <c r="G765" s="1" t="s">
        <v>1721</v>
      </c>
      <c r="H765" s="1">
        <v>4.6479005740000003</v>
      </c>
      <c r="I765" s="1">
        <v>4.2055918060000002</v>
      </c>
      <c r="J765" s="1">
        <v>5.0551375939999996</v>
      </c>
      <c r="K765" s="1">
        <v>5.166960875</v>
      </c>
      <c r="L765" s="1">
        <v>5.4487173919999998</v>
      </c>
      <c r="M765" s="1">
        <v>5.4634864729999997</v>
      </c>
      <c r="N765" s="1">
        <v>4.4945275240000004</v>
      </c>
      <c r="O765" s="1">
        <v>4.7903853170000001</v>
      </c>
      <c r="P765" s="1">
        <v>5.565195407</v>
      </c>
      <c r="Q765" s="1">
        <v>5.2000913229999997</v>
      </c>
      <c r="R765" s="1">
        <v>5.2434057019999996</v>
      </c>
      <c r="S765" s="1">
        <v>5.0824952919999999</v>
      </c>
      <c r="T765" s="1">
        <v>5.4487173919999998</v>
      </c>
      <c r="U765" s="1">
        <v>5.4634864729999997</v>
      </c>
      <c r="V765" s="1">
        <v>5.5505659869999997</v>
      </c>
      <c r="W765" s="1">
        <v>4.69862249</v>
      </c>
      <c r="X765" s="1">
        <v>5.8252409690000002</v>
      </c>
      <c r="Y765" s="1">
        <v>5.1254702539999997</v>
      </c>
      <c r="Z765" s="1">
        <v>5.2434057019999996</v>
      </c>
      <c r="AA765" s="1">
        <v>5.0824952919999999</v>
      </c>
      <c r="AB765" s="1">
        <v>4.9601840040000003</v>
      </c>
      <c r="AC765" s="1">
        <v>5.5065733579999998</v>
      </c>
      <c r="AD765" s="1">
        <v>5.6665831520000003</v>
      </c>
      <c r="AE765" s="1">
        <v>5.1232419389999997</v>
      </c>
    </row>
    <row r="766" spans="1:31" x14ac:dyDescent="0.25">
      <c r="A766" s="1" t="s">
        <v>1722</v>
      </c>
      <c r="B766" s="1" t="s">
        <v>2520</v>
      </c>
      <c r="C766" s="1" t="s">
        <v>3160</v>
      </c>
      <c r="D766" s="1" t="s">
        <v>3279</v>
      </c>
      <c r="E766" s="1" t="s">
        <v>3878</v>
      </c>
      <c r="F766" s="1" t="s">
        <v>3879</v>
      </c>
      <c r="G766" s="1" t="s">
        <v>1722</v>
      </c>
      <c r="H766" s="1">
        <v>5.6296178589999997</v>
      </c>
      <c r="I766" s="1">
        <v>5.0595268689999999</v>
      </c>
      <c r="J766" s="1">
        <v>6.0670821549999996</v>
      </c>
      <c r="K766" s="1">
        <v>5.7895293819999996</v>
      </c>
      <c r="L766" s="1">
        <v>6.7267116079999996</v>
      </c>
      <c r="M766" s="1">
        <v>6.6907862490000003</v>
      </c>
      <c r="N766" s="1">
        <v>5.1623684499999998</v>
      </c>
      <c r="O766" s="1">
        <v>4.9731423550000002</v>
      </c>
      <c r="P766" s="1">
        <v>6.5171892439999999</v>
      </c>
      <c r="Q766" s="1">
        <v>6.4391077020000003</v>
      </c>
      <c r="R766" s="1">
        <v>6.5134469040000003</v>
      </c>
      <c r="S766" s="1">
        <v>6.4595501860000004</v>
      </c>
      <c r="T766" s="1">
        <v>6.7267116079999996</v>
      </c>
      <c r="U766" s="1">
        <v>6.6907862490000003</v>
      </c>
      <c r="V766" s="1">
        <v>7.0316458629999996</v>
      </c>
      <c r="W766" s="1">
        <v>6.8101283480000001</v>
      </c>
      <c r="X766" s="1">
        <v>7.1388407049999998</v>
      </c>
      <c r="Y766" s="1">
        <v>7.1714898009999999</v>
      </c>
      <c r="Z766" s="1">
        <v>6.5134469040000003</v>
      </c>
      <c r="AA766" s="1">
        <v>6.4595501860000004</v>
      </c>
      <c r="AB766" s="1">
        <v>6.769786034</v>
      </c>
      <c r="AC766" s="1">
        <v>6.9248703330000003</v>
      </c>
      <c r="AD766" s="1">
        <v>6.6283518130000001</v>
      </c>
      <c r="AE766" s="1">
        <v>6.7104478619999997</v>
      </c>
    </row>
    <row r="767" spans="1:31" x14ac:dyDescent="0.25">
      <c r="A767" s="1" t="s">
        <v>1723</v>
      </c>
      <c r="B767" s="1" t="s">
        <v>2520</v>
      </c>
      <c r="C767" s="1" t="s">
        <v>3160</v>
      </c>
      <c r="D767" s="1" t="s">
        <v>3656</v>
      </c>
      <c r="E767" s="1" t="s">
        <v>3880</v>
      </c>
      <c r="F767" s="1" t="s">
        <v>3881</v>
      </c>
      <c r="G767" s="1" t="s">
        <v>1723</v>
      </c>
      <c r="H767" s="1">
        <v>3.2549621289999999</v>
      </c>
      <c r="I767" s="1">
        <v>3.5006354609999999</v>
      </c>
      <c r="J767" s="1">
        <v>3.329519721</v>
      </c>
      <c r="K767" s="1">
        <v>3.607491666</v>
      </c>
      <c r="L767" s="1">
        <v>3.3884746630000002</v>
      </c>
      <c r="M767" s="1">
        <v>3.4067547010000001</v>
      </c>
      <c r="N767" s="1">
        <v>4.1002678350000004</v>
      </c>
      <c r="O767" s="1">
        <v>3.6346882059999999</v>
      </c>
      <c r="P767" s="1">
        <v>2.8687501260000001</v>
      </c>
      <c r="Q767" s="1">
        <v>3.388910638</v>
      </c>
      <c r="R767" s="1">
        <v>3.7109484589999999</v>
      </c>
      <c r="S767" s="1">
        <v>3.5159502420000002</v>
      </c>
      <c r="T767" s="1">
        <v>3.3884746630000002</v>
      </c>
      <c r="U767" s="1">
        <v>3.4067547010000001</v>
      </c>
      <c r="V767" s="1">
        <v>3.7819764450000002</v>
      </c>
      <c r="W767" s="1">
        <v>3.50175473</v>
      </c>
      <c r="X767" s="1">
        <v>4.4502657640000001</v>
      </c>
      <c r="Y767" s="1">
        <v>3.9087436480000002</v>
      </c>
      <c r="Z767" s="1">
        <v>3.7109484589999999</v>
      </c>
      <c r="AA767" s="1">
        <v>3.5159502420000002</v>
      </c>
      <c r="AB767" s="1">
        <v>3.990981031</v>
      </c>
      <c r="AC767" s="1">
        <v>3.4716344729999999</v>
      </c>
      <c r="AD767" s="1">
        <v>2.6025990879999998</v>
      </c>
      <c r="AE767" s="1">
        <v>3.419797387</v>
      </c>
    </row>
    <row r="768" spans="1:31" x14ac:dyDescent="0.25">
      <c r="A768" s="1" t="s">
        <v>1725</v>
      </c>
      <c r="B768" s="1" t="s">
        <v>2530</v>
      </c>
      <c r="C768" s="1" t="s">
        <v>2573</v>
      </c>
      <c r="D768" s="1" t="s">
        <v>3311</v>
      </c>
      <c r="E768" s="1" t="s">
        <v>3882</v>
      </c>
      <c r="G768" s="1" t="s">
        <v>1725</v>
      </c>
      <c r="H768" s="1">
        <v>3.2549621289999999</v>
      </c>
      <c r="I768" s="1">
        <v>3.7806045529999999</v>
      </c>
      <c r="J768" s="1">
        <v>3.7773371739999999</v>
      </c>
      <c r="K768" s="1">
        <v>3.607491666</v>
      </c>
      <c r="L768" s="1">
        <v>4.3727018190000004</v>
      </c>
      <c r="M768" s="1">
        <v>4.494607383</v>
      </c>
      <c r="N768" s="1">
        <v>4.1562881980000004</v>
      </c>
      <c r="O768" s="1">
        <v>4.2189785100000003</v>
      </c>
      <c r="P768" s="1">
        <v>3.7419514989999998</v>
      </c>
      <c r="Q768" s="1">
        <v>3.9718447549999998</v>
      </c>
      <c r="R768" s="1">
        <v>4.8735636449999999</v>
      </c>
      <c r="S768" s="1">
        <v>3.6647387380000001</v>
      </c>
      <c r="T768" s="1">
        <v>4.3727018190000004</v>
      </c>
      <c r="U768" s="1">
        <v>4.494607383</v>
      </c>
      <c r="V768" s="1">
        <v>3.9849921849999999</v>
      </c>
      <c r="W768" s="1">
        <v>4.2295768090000001</v>
      </c>
      <c r="X768" s="1">
        <v>4.4920419310000002</v>
      </c>
      <c r="Y768" s="1">
        <v>3.9087436480000002</v>
      </c>
      <c r="Z768" s="1">
        <v>4.8735636449999999</v>
      </c>
      <c r="AA768" s="1">
        <v>3.6647387380000001</v>
      </c>
      <c r="AB768" s="1">
        <v>4.6096720080000004</v>
      </c>
      <c r="AC768" s="1">
        <v>4.1685844940000001</v>
      </c>
      <c r="AD768" s="1">
        <v>3.5727029510000001</v>
      </c>
      <c r="AE768" s="1">
        <v>3.7492737119999999</v>
      </c>
    </row>
    <row r="769" spans="1:31" x14ac:dyDescent="0.25">
      <c r="A769" s="1" t="s">
        <v>1726</v>
      </c>
      <c r="B769" s="1" t="s">
        <v>2579</v>
      </c>
      <c r="C769" s="1" t="s">
        <v>3259</v>
      </c>
      <c r="D769" s="1" t="s">
        <v>3883</v>
      </c>
      <c r="E769" s="1" t="s">
        <v>3884</v>
      </c>
      <c r="F769" s="1" t="s">
        <v>3885</v>
      </c>
      <c r="G769" s="1" t="s">
        <v>1726</v>
      </c>
      <c r="H769" s="1">
        <v>5.9144073309999996</v>
      </c>
      <c r="I769" s="1">
        <v>5.8917578519999996</v>
      </c>
      <c r="J769" s="1">
        <v>5.6161485820000001</v>
      </c>
      <c r="K769" s="1">
        <v>5.9783799200000001</v>
      </c>
      <c r="L769" s="1">
        <v>5.7830592080000001</v>
      </c>
      <c r="M769" s="1">
        <v>5.5319881950000003</v>
      </c>
      <c r="N769" s="1">
        <v>5.8127456459999998</v>
      </c>
      <c r="O769" s="1">
        <v>5.7266127899999999</v>
      </c>
      <c r="P769" s="1">
        <v>5.3900565609999997</v>
      </c>
      <c r="Q769" s="1">
        <v>5.4628336309999996</v>
      </c>
      <c r="R769" s="1">
        <v>5.5365302600000001</v>
      </c>
      <c r="S769" s="1">
        <v>5.710270789</v>
      </c>
      <c r="T769" s="1">
        <v>5.7830592080000001</v>
      </c>
      <c r="U769" s="1">
        <v>5.5319881950000003</v>
      </c>
      <c r="V769" s="1">
        <v>5.4559769400000002</v>
      </c>
      <c r="W769" s="1">
        <v>5.8015499779999997</v>
      </c>
      <c r="X769" s="1">
        <v>6.1013878439999996</v>
      </c>
      <c r="Y769" s="1">
        <v>5.6604650660000004</v>
      </c>
      <c r="Z769" s="1">
        <v>5.5365302600000001</v>
      </c>
      <c r="AA769" s="1">
        <v>5.710270789</v>
      </c>
      <c r="AB769" s="1">
        <v>5.851934376</v>
      </c>
      <c r="AC769" s="1">
        <v>5.5741318</v>
      </c>
      <c r="AD769" s="1">
        <v>5.893524276</v>
      </c>
      <c r="AE769" s="1">
        <v>5.8364806040000001</v>
      </c>
    </row>
    <row r="770" spans="1:31" x14ac:dyDescent="0.25">
      <c r="A770" s="1" t="s">
        <v>1729</v>
      </c>
      <c r="B770" s="1" t="s">
        <v>2547</v>
      </c>
      <c r="C770" s="1" t="s">
        <v>3886</v>
      </c>
      <c r="D770" s="1" t="s">
        <v>3887</v>
      </c>
      <c r="E770" s="1" t="s">
        <v>3888</v>
      </c>
      <c r="F770" s="1" t="s">
        <v>3889</v>
      </c>
      <c r="G770" s="1" t="s">
        <v>1729</v>
      </c>
      <c r="H770" s="1">
        <v>6.4251460160000002</v>
      </c>
      <c r="I770" s="1">
        <v>6.5246782330000004</v>
      </c>
      <c r="J770" s="1">
        <v>5.8022574259999997</v>
      </c>
      <c r="K770" s="1">
        <v>5.7895293819999996</v>
      </c>
      <c r="L770" s="1">
        <v>5.5187262759999998</v>
      </c>
      <c r="M770" s="1">
        <v>5.5095176620000004</v>
      </c>
      <c r="N770" s="1">
        <v>5.7957915680000003</v>
      </c>
      <c r="O770" s="1">
        <v>5.9503866380000003</v>
      </c>
      <c r="P770" s="1">
        <v>5.9651829550000004</v>
      </c>
      <c r="Q770" s="1">
        <v>5.7838067430000004</v>
      </c>
      <c r="R770" s="1">
        <v>5.7142579380000003</v>
      </c>
      <c r="S770" s="1">
        <v>5.2672271329999996</v>
      </c>
      <c r="T770" s="1">
        <v>5.5187262759999998</v>
      </c>
      <c r="U770" s="1">
        <v>5.5095176620000004</v>
      </c>
      <c r="V770" s="1">
        <v>5.7228043460000002</v>
      </c>
      <c r="W770" s="1">
        <v>5.8376547490000004</v>
      </c>
      <c r="X770" s="1">
        <v>5.8725355390000002</v>
      </c>
      <c r="Y770" s="1">
        <v>6.0769070919999999</v>
      </c>
      <c r="Z770" s="1">
        <v>5.7142579380000003</v>
      </c>
      <c r="AA770" s="1">
        <v>5.2672271329999996</v>
      </c>
      <c r="AB770" s="1">
        <v>6.0812876019999997</v>
      </c>
      <c r="AC770" s="1">
        <v>5.8439382809999998</v>
      </c>
      <c r="AD770" s="1">
        <v>5.7682763389999998</v>
      </c>
      <c r="AE770" s="1">
        <v>5.8524340769999998</v>
      </c>
    </row>
    <row r="771" spans="1:31" x14ac:dyDescent="0.25">
      <c r="A771" s="1" t="s">
        <v>1731</v>
      </c>
      <c r="B771" s="1" t="s">
        <v>2608</v>
      </c>
      <c r="C771" s="1" t="s">
        <v>2609</v>
      </c>
      <c r="D771" s="1" t="s">
        <v>3890</v>
      </c>
      <c r="E771" s="1" t="s">
        <v>3891</v>
      </c>
      <c r="F771" s="1" t="s">
        <v>3892</v>
      </c>
      <c r="G771" s="1" t="s">
        <v>1731</v>
      </c>
      <c r="H771" s="1">
        <v>6.512907255</v>
      </c>
      <c r="I771" s="1">
        <v>6.6432373650000001</v>
      </c>
      <c r="J771" s="1">
        <v>6.311124607</v>
      </c>
      <c r="K771" s="1">
        <v>6.3863668120000003</v>
      </c>
      <c r="L771" s="1">
        <v>5.4665443290000004</v>
      </c>
      <c r="M771" s="1">
        <v>5.3414536530000003</v>
      </c>
      <c r="N771" s="1">
        <v>6.5072521400000003</v>
      </c>
      <c r="O771" s="1">
        <v>6.8916349099999996</v>
      </c>
      <c r="P771" s="1">
        <v>5.9651829550000004</v>
      </c>
      <c r="Q771" s="1">
        <v>5.6499570400000003</v>
      </c>
      <c r="R771" s="1">
        <v>5.8111782390000002</v>
      </c>
      <c r="S771" s="1">
        <v>6.168262747</v>
      </c>
      <c r="T771" s="1">
        <v>5.4665443290000004</v>
      </c>
      <c r="U771" s="1">
        <v>5.3414536530000003</v>
      </c>
      <c r="V771" s="1">
        <v>6.1215697740000001</v>
      </c>
      <c r="W771" s="1">
        <v>6.0056801469999996</v>
      </c>
      <c r="X771" s="1">
        <v>5.5811786620000001</v>
      </c>
      <c r="Y771" s="1">
        <v>5.7678626939999997</v>
      </c>
      <c r="Z771" s="1">
        <v>5.8111782390000002</v>
      </c>
      <c r="AA771" s="1">
        <v>6.168262747</v>
      </c>
      <c r="AB771" s="1">
        <v>6.1835402750000004</v>
      </c>
      <c r="AC771" s="1">
        <v>6.0234746389999998</v>
      </c>
      <c r="AD771" s="1">
        <v>6.3732854110000003</v>
      </c>
      <c r="AE771" s="1">
        <v>6.017118505</v>
      </c>
    </row>
    <row r="772" spans="1:31" x14ac:dyDescent="0.25">
      <c r="A772" s="1" t="s">
        <v>1732</v>
      </c>
      <c r="B772" s="1" t="s">
        <v>2530</v>
      </c>
      <c r="C772" s="1" t="s">
        <v>2531</v>
      </c>
      <c r="D772" s="1" t="s">
        <v>2535</v>
      </c>
      <c r="E772" s="1" t="s">
        <v>2536</v>
      </c>
      <c r="G772" s="1" t="s">
        <v>1732</v>
      </c>
      <c r="H772" s="1">
        <v>6.5548587630000004</v>
      </c>
      <c r="I772" s="1">
        <v>6.1880668090000004</v>
      </c>
      <c r="J772" s="1">
        <v>6.4839470649999997</v>
      </c>
      <c r="K772" s="1">
        <v>6.3181776090000001</v>
      </c>
      <c r="L772" s="1">
        <v>4.7721586460000003</v>
      </c>
      <c r="M772" s="1">
        <v>5.3157400949999998</v>
      </c>
      <c r="N772" s="1">
        <v>5.7786343999999996</v>
      </c>
      <c r="O772" s="1">
        <v>5.8428635399999997</v>
      </c>
      <c r="P772" s="1">
        <v>5.4627121560000003</v>
      </c>
      <c r="Q772" s="1">
        <v>6.045837068</v>
      </c>
      <c r="R772" s="1">
        <v>5.8723300570000001</v>
      </c>
      <c r="S772" s="1">
        <v>6.0480456849999999</v>
      </c>
      <c r="T772" s="1">
        <v>4.7721586460000003</v>
      </c>
      <c r="U772" s="1">
        <v>5.3157400949999998</v>
      </c>
      <c r="V772" s="1">
        <v>6.0153393629999998</v>
      </c>
      <c r="W772" s="1">
        <v>5.9736131119999998</v>
      </c>
      <c r="X772" s="1">
        <v>5.5811786620000001</v>
      </c>
      <c r="Y772" s="1">
        <v>6.3075735850000001</v>
      </c>
      <c r="Z772" s="1">
        <v>5.8723300570000001</v>
      </c>
      <c r="AA772" s="1">
        <v>6.0480456849999999</v>
      </c>
      <c r="AB772" s="1">
        <v>5.8098709350000002</v>
      </c>
      <c r="AC772" s="1">
        <v>5.3610280289999999</v>
      </c>
      <c r="AD772" s="1">
        <v>6.2145653230000004</v>
      </c>
      <c r="AE772" s="1">
        <v>6.0726073669999998</v>
      </c>
    </row>
    <row r="773" spans="1:31" x14ac:dyDescent="0.25">
      <c r="A773" s="1" t="s">
        <v>1733</v>
      </c>
      <c r="B773" s="1" t="s">
        <v>2547</v>
      </c>
      <c r="C773" s="1" t="s">
        <v>3061</v>
      </c>
      <c r="D773" s="1" t="s">
        <v>2535</v>
      </c>
      <c r="E773" s="1" t="s">
        <v>3062</v>
      </c>
      <c r="G773" s="1" t="s">
        <v>1733</v>
      </c>
      <c r="H773" s="1">
        <v>2.9945681560000001</v>
      </c>
      <c r="I773" s="1">
        <v>3.7806045529999999</v>
      </c>
      <c r="J773" s="1">
        <v>4.1077874330000004</v>
      </c>
      <c r="K773" s="1">
        <v>3.607491666</v>
      </c>
      <c r="L773" s="1">
        <v>4.0223143549999998</v>
      </c>
      <c r="M773" s="1">
        <v>5.029201552</v>
      </c>
      <c r="N773" s="1">
        <v>3.1147763629999998</v>
      </c>
      <c r="O773" s="1">
        <v>2.6816282820000001</v>
      </c>
      <c r="P773" s="1">
        <v>4.3303557189999999</v>
      </c>
      <c r="Q773" s="1">
        <v>4.4575363990000003</v>
      </c>
      <c r="R773" s="1">
        <v>4.8118229140000004</v>
      </c>
      <c r="S773" s="1">
        <v>4.7503017500000002</v>
      </c>
      <c r="T773" s="1">
        <v>4.0223143549999998</v>
      </c>
      <c r="U773" s="1">
        <v>5.029201552</v>
      </c>
      <c r="V773" s="1">
        <v>4.3879408260000003</v>
      </c>
      <c r="W773" s="1">
        <v>4.3370700810000002</v>
      </c>
      <c r="X773" s="1">
        <v>4.2198471</v>
      </c>
      <c r="Y773" s="1">
        <v>3.9087436480000002</v>
      </c>
      <c r="Z773" s="1">
        <v>4.8118229140000004</v>
      </c>
      <c r="AA773" s="1">
        <v>4.7503017500000002</v>
      </c>
      <c r="AB773" s="1">
        <v>3.990981031</v>
      </c>
      <c r="AC773" s="1">
        <v>4.6238605430000002</v>
      </c>
      <c r="AD773" s="1">
        <v>4.6978214539999996</v>
      </c>
      <c r="AE773" s="1">
        <v>4.542053224</v>
      </c>
    </row>
    <row r="774" spans="1:31" x14ac:dyDescent="0.25">
      <c r="A774" s="1" t="s">
        <v>1735</v>
      </c>
      <c r="B774" s="1" t="s">
        <v>2530</v>
      </c>
      <c r="C774" s="1" t="s">
        <v>2573</v>
      </c>
      <c r="D774" s="1" t="s">
        <v>2535</v>
      </c>
      <c r="E774" s="1" t="s">
        <v>3893</v>
      </c>
      <c r="G774" s="1" t="s">
        <v>1735</v>
      </c>
      <c r="H774" s="1">
        <v>3.4660955969999998</v>
      </c>
      <c r="I774" s="1">
        <v>3.1348991329999998</v>
      </c>
      <c r="J774" s="1">
        <v>3.1324899180000001</v>
      </c>
      <c r="K774" s="1">
        <v>2.9677134359999999</v>
      </c>
      <c r="L774" s="1">
        <v>3.1084154310000001</v>
      </c>
      <c r="M774" s="1">
        <v>2.3994532390000001</v>
      </c>
      <c r="N774" s="1">
        <v>3.9806352139999999</v>
      </c>
      <c r="O774" s="1">
        <v>3.6346882059999999</v>
      </c>
      <c r="P774" s="1">
        <v>2.5478783159999998</v>
      </c>
      <c r="Q774" s="1">
        <v>1.7393328349999999</v>
      </c>
      <c r="R774" s="1">
        <v>3.968758995</v>
      </c>
      <c r="S774" s="1">
        <v>2.9034795349999998</v>
      </c>
      <c r="T774" s="1">
        <v>3.1084154310000001</v>
      </c>
      <c r="U774" s="1">
        <v>2.3994532390000001</v>
      </c>
      <c r="V774" s="1">
        <v>1.7393328349999999</v>
      </c>
      <c r="W774" s="1">
        <v>1.7393328349999999</v>
      </c>
      <c r="X774" s="1">
        <v>3.3149070109999998</v>
      </c>
      <c r="Y774" s="1">
        <v>2.624795792</v>
      </c>
      <c r="Z774" s="1">
        <v>3.968758995</v>
      </c>
      <c r="AA774" s="1">
        <v>2.9034795349999998</v>
      </c>
      <c r="AB774" s="1">
        <v>3.1218319999999999</v>
      </c>
      <c r="AC774" s="1">
        <v>2.87258916</v>
      </c>
      <c r="AD774" s="1">
        <v>3.3987395579999999</v>
      </c>
      <c r="AE774" s="1">
        <v>2.6144016259999998</v>
      </c>
    </row>
    <row r="775" spans="1:31" x14ac:dyDescent="0.25">
      <c r="A775" s="1" t="s">
        <v>1738</v>
      </c>
      <c r="B775" s="1" t="s">
        <v>2530</v>
      </c>
      <c r="C775" s="1" t="s">
        <v>2531</v>
      </c>
      <c r="D775" s="1" t="s">
        <v>2535</v>
      </c>
      <c r="E775" s="1" t="s">
        <v>3894</v>
      </c>
      <c r="G775" s="1" t="s">
        <v>1738</v>
      </c>
      <c r="H775" s="1">
        <v>6.0961014899999997</v>
      </c>
      <c r="I775" s="1">
        <v>5.4817092260000004</v>
      </c>
      <c r="J775" s="1">
        <v>5.1501560140000002</v>
      </c>
      <c r="K775" s="1">
        <v>5.6848657879999998</v>
      </c>
      <c r="L775" s="1">
        <v>5.6492182990000002</v>
      </c>
      <c r="M775" s="1">
        <v>5.8324912810000002</v>
      </c>
      <c r="N775" s="1">
        <v>6.0739568119999996</v>
      </c>
      <c r="O775" s="1">
        <v>6.2458213499999999</v>
      </c>
      <c r="P775" s="1">
        <v>5.9144375350000002</v>
      </c>
      <c r="Q775" s="1">
        <v>5.5022716190000001</v>
      </c>
      <c r="R775" s="1">
        <v>5.2891602459999998</v>
      </c>
      <c r="S775" s="1">
        <v>5.3512993040000003</v>
      </c>
      <c r="T775" s="1">
        <v>5.6492182990000002</v>
      </c>
      <c r="U775" s="1">
        <v>5.8324912810000002</v>
      </c>
      <c r="V775" s="1">
        <v>5.3892424569999999</v>
      </c>
      <c r="W775" s="1">
        <v>5.329276363</v>
      </c>
      <c r="X775" s="1">
        <v>5.6000621730000004</v>
      </c>
      <c r="Y775" s="1">
        <v>5.503438128</v>
      </c>
      <c r="Z775" s="1">
        <v>5.2891602459999998</v>
      </c>
      <c r="AA775" s="1">
        <v>5.3512993040000003</v>
      </c>
      <c r="AB775" s="1">
        <v>5.5276660309999999</v>
      </c>
      <c r="AC775" s="1">
        <v>5.3610280289999999</v>
      </c>
      <c r="AD775" s="1">
        <v>5.5571020090000003</v>
      </c>
      <c r="AE775" s="1">
        <v>5.2736981710000004</v>
      </c>
    </row>
    <row r="776" spans="1:31" x14ac:dyDescent="0.25">
      <c r="A776" s="1" t="s">
        <v>1739</v>
      </c>
      <c r="B776" s="1" t="s">
        <v>2547</v>
      </c>
      <c r="C776" s="1" t="s">
        <v>2566</v>
      </c>
      <c r="D776" s="1" t="s">
        <v>3005</v>
      </c>
      <c r="E776" s="1" t="s">
        <v>3895</v>
      </c>
      <c r="F776" s="1" t="s">
        <v>3896</v>
      </c>
      <c r="G776" s="1" t="s">
        <v>1739</v>
      </c>
      <c r="H776" s="1">
        <v>7.8284107189999999</v>
      </c>
      <c r="I776" s="1">
        <v>7.7084567530000001</v>
      </c>
      <c r="J776" s="1">
        <v>7.6152412759999999</v>
      </c>
      <c r="K776" s="1">
        <v>7.7726697270000003</v>
      </c>
      <c r="L776" s="1">
        <v>7.167226157</v>
      </c>
      <c r="M776" s="1">
        <v>7.117892962</v>
      </c>
      <c r="N776" s="1">
        <v>7.6878955299999996</v>
      </c>
      <c r="O776" s="1">
        <v>8.0691800300000001</v>
      </c>
      <c r="P776" s="1">
        <v>7.7655893589999998</v>
      </c>
      <c r="Q776" s="1">
        <v>7.5524433919999998</v>
      </c>
      <c r="R776" s="1">
        <v>7.304132815</v>
      </c>
      <c r="S776" s="1">
        <v>7.314648633</v>
      </c>
      <c r="T776" s="1">
        <v>7.167226157</v>
      </c>
      <c r="U776" s="1">
        <v>7.117892962</v>
      </c>
      <c r="V776" s="1">
        <v>7.3609164329999999</v>
      </c>
      <c r="W776" s="1">
        <v>7.2448800699999998</v>
      </c>
      <c r="X776" s="1">
        <v>6.982810765</v>
      </c>
      <c r="Y776" s="1">
        <v>7.2225510460000004</v>
      </c>
      <c r="Z776" s="1">
        <v>7.304132815</v>
      </c>
      <c r="AA776" s="1">
        <v>7.314648633</v>
      </c>
      <c r="AB776" s="1">
        <v>7.118051328</v>
      </c>
      <c r="AC776" s="1">
        <v>7.2773631549999998</v>
      </c>
      <c r="AD776" s="1">
        <v>7.0057836900000003</v>
      </c>
      <c r="AE776" s="1">
        <v>7.0850981089999996</v>
      </c>
    </row>
    <row r="777" spans="1:31" x14ac:dyDescent="0.25">
      <c r="A777" s="1" t="s">
        <v>1740</v>
      </c>
      <c r="B777" s="1" t="s">
        <v>2557</v>
      </c>
      <c r="C777" s="1" t="s">
        <v>2772</v>
      </c>
      <c r="D777" s="1" t="s">
        <v>2773</v>
      </c>
      <c r="E777" s="1" t="s">
        <v>3897</v>
      </c>
      <c r="F777" s="1" t="s">
        <v>3898</v>
      </c>
      <c r="G777" s="1" t="s">
        <v>1740</v>
      </c>
      <c r="H777" s="1">
        <v>5.8817546890000001</v>
      </c>
      <c r="I777" s="1">
        <v>5.9189259930000002</v>
      </c>
      <c r="J777" s="1">
        <v>5.1501560140000002</v>
      </c>
      <c r="K777" s="1">
        <v>4.4318297590000002</v>
      </c>
      <c r="L777" s="1">
        <v>5.680061308</v>
      </c>
      <c r="M777" s="1">
        <v>5.4159199769999997</v>
      </c>
      <c r="N777" s="1">
        <v>6.9959866049999997</v>
      </c>
      <c r="O777" s="1">
        <v>6.5373998999999996</v>
      </c>
      <c r="P777" s="1">
        <v>4.7972962780000001</v>
      </c>
      <c r="Q777" s="1">
        <v>4.993318082</v>
      </c>
      <c r="R777" s="1">
        <v>4.9894654599999999</v>
      </c>
      <c r="S777" s="1">
        <v>5.032286365</v>
      </c>
      <c r="T777" s="1">
        <v>5.680061308</v>
      </c>
      <c r="U777" s="1">
        <v>5.4159199769999997</v>
      </c>
      <c r="V777" s="1">
        <v>5.1274300740000003</v>
      </c>
      <c r="W777" s="1">
        <v>5.2236621110000003</v>
      </c>
      <c r="X777" s="1">
        <v>5.0861518739999996</v>
      </c>
      <c r="Y777" s="1">
        <v>5.2297915760000002</v>
      </c>
      <c r="Z777" s="1">
        <v>4.9894654599999999</v>
      </c>
      <c r="AA777" s="1">
        <v>5.032286365</v>
      </c>
      <c r="AB777" s="1">
        <v>4.7958605490000004</v>
      </c>
      <c r="AC777" s="1">
        <v>4.5576875899999996</v>
      </c>
      <c r="AD777" s="1">
        <v>5.0087140049999999</v>
      </c>
      <c r="AE777" s="1">
        <v>5.1232419389999997</v>
      </c>
    </row>
    <row r="778" spans="1:31" x14ac:dyDescent="0.25">
      <c r="A778" s="1" t="s">
        <v>1741</v>
      </c>
      <c r="B778" s="1" t="s">
        <v>2667</v>
      </c>
      <c r="C778" s="1" t="s">
        <v>2867</v>
      </c>
      <c r="D778" s="1" t="s">
        <v>2929</v>
      </c>
      <c r="E778" s="1" t="s">
        <v>3899</v>
      </c>
      <c r="F778" s="1" t="s">
        <v>3900</v>
      </c>
      <c r="G778" s="1" t="s">
        <v>1741</v>
      </c>
      <c r="H778" s="1">
        <v>7.7494055179999997</v>
      </c>
      <c r="I778" s="1">
        <v>7.7391795520000004</v>
      </c>
      <c r="J778" s="1">
        <v>6.9576180770000002</v>
      </c>
      <c r="K778" s="1">
        <v>7.0220088839999999</v>
      </c>
      <c r="L778" s="1">
        <v>7.0248703890000002</v>
      </c>
      <c r="M778" s="1">
        <v>6.5877467249999997</v>
      </c>
      <c r="N778" s="1">
        <v>7.916129765</v>
      </c>
      <c r="O778" s="1">
        <v>7.9056483660000003</v>
      </c>
      <c r="P778" s="1">
        <v>6.8626807989999996</v>
      </c>
      <c r="Q778" s="1">
        <v>6.5556885899999999</v>
      </c>
      <c r="R778" s="1">
        <v>6.8379355119999996</v>
      </c>
      <c r="S778" s="1">
        <v>6.8382423799999996</v>
      </c>
      <c r="T778" s="1">
        <v>7.0248703890000002</v>
      </c>
      <c r="U778" s="1">
        <v>6.5877467249999997</v>
      </c>
      <c r="V778" s="1">
        <v>6.730190017</v>
      </c>
      <c r="W778" s="1">
        <v>6.3432413370000003</v>
      </c>
      <c r="X778" s="1">
        <v>6.6361617290000003</v>
      </c>
      <c r="Y778" s="1">
        <v>6.4855214879999998</v>
      </c>
      <c r="Z778" s="1">
        <v>6.8379355119999996</v>
      </c>
      <c r="AA778" s="1">
        <v>6.8382423799999996</v>
      </c>
      <c r="AB778" s="1">
        <v>6.53236668</v>
      </c>
      <c r="AC778" s="1">
        <v>6.5931430439999996</v>
      </c>
      <c r="AD778" s="1">
        <v>6.3296964060000001</v>
      </c>
      <c r="AE778" s="1">
        <v>6.6750869430000002</v>
      </c>
    </row>
    <row r="779" spans="1:31" x14ac:dyDescent="0.25">
      <c r="A779" s="1" t="s">
        <v>1742</v>
      </c>
      <c r="B779" s="1" t="s">
        <v>2530</v>
      </c>
      <c r="C779" s="1" t="s">
        <v>2531</v>
      </c>
      <c r="D779" s="1" t="s">
        <v>2535</v>
      </c>
      <c r="E779" s="1" t="s">
        <v>2536</v>
      </c>
      <c r="G779" s="1" t="s">
        <v>1742</v>
      </c>
      <c r="H779" s="1">
        <v>6.5753846300000003</v>
      </c>
      <c r="I779" s="1">
        <v>6.9096458590000003</v>
      </c>
      <c r="J779" s="1">
        <v>5.5131441250000002</v>
      </c>
      <c r="K779" s="1">
        <v>6.4083964440000001</v>
      </c>
      <c r="L779" s="1">
        <v>5.0110661050000003</v>
      </c>
      <c r="M779" s="1">
        <v>5.5095176620000004</v>
      </c>
      <c r="N779" s="1">
        <v>7.3544935740000001</v>
      </c>
      <c r="O779" s="1">
        <v>7.1155467110000004</v>
      </c>
      <c r="P779" s="1">
        <v>5.8883751269999998</v>
      </c>
      <c r="Q779" s="1">
        <v>5.1004769559999996</v>
      </c>
      <c r="R779" s="1">
        <v>5.458747732</v>
      </c>
      <c r="S779" s="1">
        <v>5.0824952919999999</v>
      </c>
      <c r="T779" s="1">
        <v>5.0110661050000003</v>
      </c>
      <c r="U779" s="1">
        <v>5.5095176620000004</v>
      </c>
      <c r="V779" s="1">
        <v>5.0857495259999999</v>
      </c>
      <c r="W779" s="1">
        <v>6.0056801469999996</v>
      </c>
      <c r="X779" s="1">
        <v>5.3771830209999996</v>
      </c>
      <c r="Y779" s="1">
        <v>5.2792112080000004</v>
      </c>
      <c r="Z779" s="1">
        <v>5.458747732</v>
      </c>
      <c r="AA779" s="1">
        <v>5.0824952919999999</v>
      </c>
      <c r="AB779" s="1">
        <v>4.8804215500000003</v>
      </c>
      <c r="AC779" s="1">
        <v>5.3610280289999999</v>
      </c>
      <c r="AD779" s="1">
        <v>5.5186611069999998</v>
      </c>
      <c r="AE779" s="1">
        <v>5.0965372069999999</v>
      </c>
    </row>
    <row r="780" spans="1:31" x14ac:dyDescent="0.25">
      <c r="A780" s="1" t="s">
        <v>1743</v>
      </c>
      <c r="B780" s="1" t="s">
        <v>2557</v>
      </c>
      <c r="C780" s="1" t="s">
        <v>2680</v>
      </c>
      <c r="D780" s="1" t="s">
        <v>3471</v>
      </c>
      <c r="E780" s="1" t="s">
        <v>3901</v>
      </c>
      <c r="F780" s="1" t="s">
        <v>3902</v>
      </c>
      <c r="G780" s="1" t="s">
        <v>1743</v>
      </c>
      <c r="H780" s="1">
        <v>6.8858328110000002</v>
      </c>
      <c r="I780" s="1">
        <v>6.5595604969999997</v>
      </c>
      <c r="J780" s="1">
        <v>4.1077874330000004</v>
      </c>
      <c r="K780" s="1">
        <v>4.941717659</v>
      </c>
      <c r="L780" s="1">
        <v>4.8833754540000003</v>
      </c>
      <c r="M780" s="1">
        <v>3.8521266660000002</v>
      </c>
      <c r="N780" s="1">
        <v>6.9508831710000001</v>
      </c>
      <c r="O780" s="1">
        <v>6.6999861269999998</v>
      </c>
      <c r="P780" s="1">
        <v>4.5499605860000001</v>
      </c>
      <c r="Q780" s="1">
        <v>4.3733115800000002</v>
      </c>
      <c r="R780" s="1">
        <v>4.0808207129999996</v>
      </c>
      <c r="S780" s="1">
        <v>4.3966315629999997</v>
      </c>
      <c r="T780" s="1">
        <v>4.8833754540000003</v>
      </c>
      <c r="U780" s="1">
        <v>3.8521266660000002</v>
      </c>
      <c r="V780" s="1">
        <v>4.2408545169999998</v>
      </c>
      <c r="W780" s="1">
        <v>4.2295768090000001</v>
      </c>
      <c r="X780" s="1">
        <v>4.7537743670000001</v>
      </c>
      <c r="Y780" s="1">
        <v>4.3509215530000001</v>
      </c>
      <c r="Z780" s="1">
        <v>4.0808207129999996</v>
      </c>
      <c r="AA780" s="1">
        <v>4.3966315629999997</v>
      </c>
      <c r="AB780" s="1">
        <v>3.990981031</v>
      </c>
      <c r="AC780" s="1">
        <v>4.3377211620000002</v>
      </c>
      <c r="AD780" s="1">
        <v>4.6264106470000002</v>
      </c>
      <c r="AE780" s="1">
        <v>4.1773695330000002</v>
      </c>
    </row>
    <row r="781" spans="1:31" x14ac:dyDescent="0.25">
      <c r="A781" s="1" t="s">
        <v>1744</v>
      </c>
      <c r="B781" s="1" t="s">
        <v>2530</v>
      </c>
      <c r="C781" s="1" t="s">
        <v>2531</v>
      </c>
      <c r="D781" s="1" t="s">
        <v>2535</v>
      </c>
      <c r="E781" s="1" t="s">
        <v>2536</v>
      </c>
      <c r="G781" s="1" t="s">
        <v>1744</v>
      </c>
      <c r="H781" s="1">
        <v>5.1131742039999999</v>
      </c>
      <c r="I781" s="1">
        <v>5.7169522959999997</v>
      </c>
      <c r="J781" s="1">
        <v>4.8994370109999998</v>
      </c>
      <c r="K781" s="1">
        <v>4.941717659</v>
      </c>
      <c r="L781" s="1">
        <v>5.4123805689999998</v>
      </c>
      <c r="M781" s="1">
        <v>4.9970812499999999</v>
      </c>
      <c r="N781" s="1">
        <v>6.1154934519999999</v>
      </c>
      <c r="O781" s="1">
        <v>5.7664208490000002</v>
      </c>
      <c r="P781" s="1">
        <v>5.6296473389999999</v>
      </c>
      <c r="Q781" s="1">
        <v>5.6144419360000004</v>
      </c>
      <c r="R781" s="1">
        <v>4.3698765340000003</v>
      </c>
      <c r="S781" s="1">
        <v>4.980227309</v>
      </c>
      <c r="T781" s="1">
        <v>5.4123805689999998</v>
      </c>
      <c r="U781" s="1">
        <v>4.9970812499999999</v>
      </c>
      <c r="V781" s="1">
        <v>5.3546652259999998</v>
      </c>
      <c r="W781" s="1">
        <v>5.329276363</v>
      </c>
      <c r="X781" s="1">
        <v>5.5426459120000002</v>
      </c>
      <c r="Y781" s="1">
        <v>5.6227961889999998</v>
      </c>
      <c r="Z781" s="1">
        <v>4.3698765340000003</v>
      </c>
      <c r="AA781" s="1">
        <v>4.980227309</v>
      </c>
      <c r="AB781" s="1">
        <v>5.0356743460000004</v>
      </c>
      <c r="AC781" s="1">
        <v>4.9660712470000004</v>
      </c>
      <c r="AD781" s="1">
        <v>5.116107059</v>
      </c>
      <c r="AE781" s="1">
        <v>5.4523450599999999</v>
      </c>
    </row>
    <row r="782" spans="1:31" x14ac:dyDescent="0.25">
      <c r="A782" s="1" t="s">
        <v>1746</v>
      </c>
      <c r="B782" s="1" t="s">
        <v>2843</v>
      </c>
      <c r="C782" s="1" t="s">
        <v>3903</v>
      </c>
      <c r="D782" s="1" t="s">
        <v>3904</v>
      </c>
      <c r="E782" s="1" t="s">
        <v>3905</v>
      </c>
      <c r="F782" s="1" t="s">
        <v>3906</v>
      </c>
      <c r="G782" s="1" t="s">
        <v>1746</v>
      </c>
      <c r="H782" s="1">
        <v>8.7271079700000005</v>
      </c>
      <c r="I782" s="1">
        <v>8.2518005379999995</v>
      </c>
      <c r="J782" s="1">
        <v>8.1530455439999994</v>
      </c>
      <c r="K782" s="1">
        <v>8.3229331640000002</v>
      </c>
      <c r="L782" s="1">
        <v>7.8327736410000002</v>
      </c>
      <c r="M782" s="1">
        <v>8.0056899149999996</v>
      </c>
      <c r="N782" s="1">
        <v>7.4655229539999999</v>
      </c>
      <c r="O782" s="1">
        <v>7.6327324580000004</v>
      </c>
      <c r="P782" s="1">
        <v>7.9401753529999999</v>
      </c>
      <c r="Q782" s="1">
        <v>7.9851044230000001</v>
      </c>
      <c r="R782" s="1">
        <v>7.9595569289999997</v>
      </c>
      <c r="S782" s="1">
        <v>8.1685237910000001</v>
      </c>
      <c r="T782" s="1">
        <v>7.8327736410000002</v>
      </c>
      <c r="U782" s="1">
        <v>8.0056899149999996</v>
      </c>
      <c r="V782" s="1">
        <v>7.1365351649999997</v>
      </c>
      <c r="W782" s="1">
        <v>6.8980132320000003</v>
      </c>
      <c r="X782" s="1">
        <v>6.9970696869999998</v>
      </c>
      <c r="Y782" s="1">
        <v>6.7521416749999998</v>
      </c>
      <c r="Z782" s="1">
        <v>7.9595569289999997</v>
      </c>
      <c r="AA782" s="1">
        <v>8.1685237910000001</v>
      </c>
      <c r="AB782" s="1">
        <v>7.0294463739999999</v>
      </c>
      <c r="AC782" s="1">
        <v>7.1287405320000001</v>
      </c>
      <c r="AD782" s="1">
        <v>6.7155560489999999</v>
      </c>
      <c r="AE782" s="1">
        <v>6.7869708700000002</v>
      </c>
    </row>
    <row r="783" spans="1:31" x14ac:dyDescent="0.25">
      <c r="A783" s="1" t="s">
        <v>1747</v>
      </c>
      <c r="B783" s="1" t="s">
        <v>2557</v>
      </c>
      <c r="C783" s="1" t="s">
        <v>2680</v>
      </c>
      <c r="D783" s="1" t="s">
        <v>3164</v>
      </c>
      <c r="E783" s="1" t="s">
        <v>3907</v>
      </c>
      <c r="F783" s="1" t="s">
        <v>3908</v>
      </c>
      <c r="G783" s="1" t="s">
        <v>1747</v>
      </c>
      <c r="H783" s="1">
        <v>8.7132988040000008</v>
      </c>
      <c r="I783" s="1">
        <v>8.0212751020000006</v>
      </c>
      <c r="J783" s="1">
        <v>7.6954749209999997</v>
      </c>
      <c r="K783" s="1">
        <v>7.4720144450000001</v>
      </c>
      <c r="L783" s="1">
        <v>7.473774573</v>
      </c>
      <c r="M783" s="1">
        <v>7.4231927009999996</v>
      </c>
      <c r="N783" s="1">
        <v>7.4814637179999997</v>
      </c>
      <c r="O783" s="1">
        <v>7.3424873699999997</v>
      </c>
      <c r="P783" s="1">
        <v>7.1077111620000002</v>
      </c>
      <c r="Q783" s="1">
        <v>7.4049921110000003</v>
      </c>
      <c r="R783" s="1">
        <v>7.1526080929999996</v>
      </c>
      <c r="S783" s="1">
        <v>7.015130621</v>
      </c>
      <c r="T783" s="1">
        <v>7.473774573</v>
      </c>
      <c r="U783" s="1">
        <v>7.4231927009999996</v>
      </c>
      <c r="V783" s="1">
        <v>2.8225047829999999</v>
      </c>
      <c r="W783" s="1">
        <v>3.0218530750000001</v>
      </c>
      <c r="X783" s="1">
        <v>2.7988456519999998</v>
      </c>
      <c r="Y783" s="1">
        <v>3.6154848500000001</v>
      </c>
      <c r="Z783" s="1">
        <v>7.1526080929999996</v>
      </c>
      <c r="AA783" s="1">
        <v>7.015130621</v>
      </c>
      <c r="AB783" s="1">
        <v>3.404153038</v>
      </c>
      <c r="AC783" s="1">
        <v>3.3054795530000001</v>
      </c>
      <c r="AD783" s="1">
        <v>3.1944880649999998</v>
      </c>
      <c r="AE783" s="1">
        <v>2.803297787</v>
      </c>
    </row>
    <row r="784" spans="1:31" x14ac:dyDescent="0.25">
      <c r="A784" s="1" t="s">
        <v>1748</v>
      </c>
      <c r="B784" s="1" t="s">
        <v>2557</v>
      </c>
      <c r="C784" s="1" t="s">
        <v>2680</v>
      </c>
      <c r="D784" s="1" t="s">
        <v>2872</v>
      </c>
      <c r="E784" s="1" t="s">
        <v>3909</v>
      </c>
      <c r="F784" s="1" t="s">
        <v>3910</v>
      </c>
      <c r="G784" s="1" t="s">
        <v>1748</v>
      </c>
      <c r="H784" s="1">
        <v>7.9898696789999999</v>
      </c>
      <c r="I784" s="1">
        <v>7.1573255429999998</v>
      </c>
      <c r="J784" s="1">
        <v>6.4472967060000004</v>
      </c>
      <c r="K784" s="1">
        <v>6.4932884399999997</v>
      </c>
      <c r="L784" s="1">
        <v>5.4306647579999998</v>
      </c>
      <c r="M784" s="1">
        <v>5.9537101330000004</v>
      </c>
      <c r="N784" s="1">
        <v>6.233348286</v>
      </c>
      <c r="O784" s="1">
        <v>6.4052906920000003</v>
      </c>
      <c r="P784" s="1">
        <v>6.429694821</v>
      </c>
      <c r="Q784" s="1">
        <v>6.098094251</v>
      </c>
      <c r="R784" s="1">
        <v>5.57388789</v>
      </c>
      <c r="S784" s="1">
        <v>5.7416668729999998</v>
      </c>
      <c r="T784" s="1">
        <v>5.4306647579999998</v>
      </c>
      <c r="U784" s="1">
        <v>5.9537101330000004</v>
      </c>
      <c r="V784" s="1">
        <v>3.3993802240000002</v>
      </c>
      <c r="W784" s="1">
        <v>2.6606351240000001</v>
      </c>
      <c r="X784" s="1">
        <v>2.3600830049999999</v>
      </c>
      <c r="Y784" s="1">
        <v>1.7393328349999999</v>
      </c>
      <c r="Z784" s="1">
        <v>5.57388789</v>
      </c>
      <c r="AA784" s="1">
        <v>5.7416668729999998</v>
      </c>
      <c r="AB784" s="1">
        <v>1.7393328349999999</v>
      </c>
      <c r="AC784" s="1">
        <v>1.7393328349999999</v>
      </c>
      <c r="AD784" s="1">
        <v>2.6025990879999998</v>
      </c>
      <c r="AE784" s="1">
        <v>1.7393328349999999</v>
      </c>
    </row>
    <row r="785" spans="1:31" x14ac:dyDescent="0.25">
      <c r="A785" s="1" t="s">
        <v>1750</v>
      </c>
      <c r="B785" s="1" t="s">
        <v>2530</v>
      </c>
      <c r="C785" s="1" t="s">
        <v>2531</v>
      </c>
      <c r="D785" s="1" t="s">
        <v>2535</v>
      </c>
      <c r="E785" s="1" t="s">
        <v>3911</v>
      </c>
      <c r="G785" s="1" t="s">
        <v>1750</v>
      </c>
      <c r="H785" s="1">
        <v>4.5667504939999999</v>
      </c>
      <c r="I785" s="1">
        <v>3.9003964459999998</v>
      </c>
      <c r="J785" s="1">
        <v>3.7773371739999999</v>
      </c>
      <c r="K785" s="1">
        <v>4.0244910950000001</v>
      </c>
      <c r="L785" s="1">
        <v>3.8051274570000002</v>
      </c>
      <c r="M785" s="1">
        <v>4.5846937370000003</v>
      </c>
      <c r="N785" s="1">
        <v>3.9164981490000002</v>
      </c>
      <c r="O785" s="1">
        <v>4.385526188</v>
      </c>
      <c r="P785" s="1">
        <v>3.6116823170000001</v>
      </c>
      <c r="Q785" s="1">
        <v>3.9718447549999998</v>
      </c>
      <c r="R785" s="1">
        <v>3.5594063970000001</v>
      </c>
      <c r="S785" s="1">
        <v>3.7977317990000001</v>
      </c>
      <c r="T785" s="1">
        <v>3.8051274570000002</v>
      </c>
      <c r="U785" s="1">
        <v>4.5846937370000003</v>
      </c>
      <c r="V785" s="1">
        <v>4.3879408260000003</v>
      </c>
      <c r="W785" s="1">
        <v>4.6166922860000001</v>
      </c>
      <c r="X785" s="1">
        <v>5.0312607360000001</v>
      </c>
      <c r="Y785" s="1">
        <v>5.2297915760000002</v>
      </c>
      <c r="Z785" s="1">
        <v>3.5594063970000001</v>
      </c>
      <c r="AA785" s="1">
        <v>3.7977317990000001</v>
      </c>
      <c r="AB785" s="1">
        <v>4.7958605490000004</v>
      </c>
      <c r="AC785" s="1">
        <v>4.9145215069999999</v>
      </c>
      <c r="AD785" s="1">
        <v>5.0087140049999999</v>
      </c>
      <c r="AE785" s="1">
        <v>4.6572481659999996</v>
      </c>
    </row>
    <row r="786" spans="1:31" x14ac:dyDescent="0.25">
      <c r="A786" s="1" t="s">
        <v>1751</v>
      </c>
      <c r="B786" s="1" t="s">
        <v>2579</v>
      </c>
      <c r="C786" s="1" t="s">
        <v>2933</v>
      </c>
      <c r="D786" s="1" t="s">
        <v>3912</v>
      </c>
      <c r="E786" s="1" t="s">
        <v>3913</v>
      </c>
      <c r="F786" s="1" t="s">
        <v>3914</v>
      </c>
      <c r="G786" s="1" t="s">
        <v>1751</v>
      </c>
      <c r="H786" s="1">
        <v>10.94184639</v>
      </c>
      <c r="I786" s="1">
        <v>10.461259930000001</v>
      </c>
      <c r="J786" s="1">
        <v>9.4955940969999997</v>
      </c>
      <c r="K786" s="1">
        <v>9.4365856289999996</v>
      </c>
      <c r="L786" s="1">
        <v>9.9078565560000005</v>
      </c>
      <c r="M786" s="1">
        <v>9.8664889749999993</v>
      </c>
      <c r="N786" s="1">
        <v>9.6667903109999997</v>
      </c>
      <c r="O786" s="1">
        <v>9.7549755069999993</v>
      </c>
      <c r="P786" s="1">
        <v>9.8514222660000001</v>
      </c>
      <c r="Q786" s="1">
        <v>9.6444945579999999</v>
      </c>
      <c r="R786" s="1">
        <v>9.7371956470000001</v>
      </c>
      <c r="S786" s="1">
        <v>9.5309312540000004</v>
      </c>
      <c r="T786" s="1">
        <v>9.9078565560000005</v>
      </c>
      <c r="U786" s="1">
        <v>9.8664889749999993</v>
      </c>
      <c r="V786" s="1">
        <v>8.5372102670000007</v>
      </c>
      <c r="W786" s="1">
        <v>8.1856467130000006</v>
      </c>
      <c r="X786" s="1">
        <v>8.9999163719999995</v>
      </c>
      <c r="Y786" s="1">
        <v>8.2221782599999997</v>
      </c>
      <c r="Z786" s="1">
        <v>9.7371956470000001</v>
      </c>
      <c r="AA786" s="1">
        <v>9.5309312540000004</v>
      </c>
      <c r="AB786" s="1">
        <v>8.8135072819999998</v>
      </c>
      <c r="AC786" s="1">
        <v>9.3553009419999995</v>
      </c>
      <c r="AD786" s="1">
        <v>8.5312032359999996</v>
      </c>
      <c r="AE786" s="1">
        <v>8.5343526099999991</v>
      </c>
    </row>
    <row r="787" spans="1:31" x14ac:dyDescent="0.25">
      <c r="A787" s="1" t="s">
        <v>1753</v>
      </c>
      <c r="B787" s="1" t="s">
        <v>2557</v>
      </c>
      <c r="C787" s="1" t="s">
        <v>2658</v>
      </c>
      <c r="D787" s="1" t="s">
        <v>3915</v>
      </c>
      <c r="E787" s="1" t="s">
        <v>3916</v>
      </c>
      <c r="F787" s="1" t="s">
        <v>3917</v>
      </c>
      <c r="G787" s="1" t="s">
        <v>1753</v>
      </c>
      <c r="H787" s="1">
        <v>6.2055952369999998</v>
      </c>
      <c r="I787" s="1">
        <v>5.9717652650000002</v>
      </c>
      <c r="J787" s="1">
        <v>6.4096880770000002</v>
      </c>
      <c r="K787" s="1">
        <v>6.6307692840000003</v>
      </c>
      <c r="L787" s="1">
        <v>6.3502321200000003</v>
      </c>
      <c r="M787" s="1">
        <v>6.4767572920000003</v>
      </c>
      <c r="N787" s="1">
        <v>5.9261193419999998</v>
      </c>
      <c r="O787" s="1">
        <v>6.0822573350000004</v>
      </c>
      <c r="P787" s="1">
        <v>6.0615870090000001</v>
      </c>
      <c r="Q787" s="1">
        <v>6.3770715449999997</v>
      </c>
      <c r="R787" s="1">
        <v>6.7267142719999997</v>
      </c>
      <c r="S787" s="1">
        <v>6.4405915680000003</v>
      </c>
      <c r="T787" s="1">
        <v>6.3502321200000003</v>
      </c>
      <c r="U787" s="1">
        <v>6.4767572920000003</v>
      </c>
      <c r="V787" s="1">
        <v>6.6330969629999998</v>
      </c>
      <c r="W787" s="1">
        <v>6.4165513509999998</v>
      </c>
      <c r="X787" s="1">
        <v>6.8865200350000002</v>
      </c>
      <c r="Y787" s="1">
        <v>6.4855214879999998</v>
      </c>
      <c r="Z787" s="1">
        <v>6.7267142719999997</v>
      </c>
      <c r="AA787" s="1">
        <v>6.4405915680000003</v>
      </c>
      <c r="AB787" s="1">
        <v>6.679460873</v>
      </c>
      <c r="AC787" s="1">
        <v>6.5768311190000004</v>
      </c>
      <c r="AD787" s="1">
        <v>6.4768062029999998</v>
      </c>
      <c r="AE787" s="1">
        <v>6.9731375299999998</v>
      </c>
    </row>
    <row r="788" spans="1:31" x14ac:dyDescent="0.25">
      <c r="A788" s="1" t="s">
        <v>1756</v>
      </c>
      <c r="B788" s="1" t="s">
        <v>2557</v>
      </c>
      <c r="C788" s="1" t="s">
        <v>3497</v>
      </c>
      <c r="D788" s="1" t="s">
        <v>3498</v>
      </c>
      <c r="E788" s="1" t="s">
        <v>3918</v>
      </c>
      <c r="F788" s="1" t="s">
        <v>3919</v>
      </c>
      <c r="G788" s="1" t="s">
        <v>1756</v>
      </c>
      <c r="H788" s="1">
        <v>3.4660955969999998</v>
      </c>
      <c r="I788" s="1">
        <v>3.6484415459999999</v>
      </c>
      <c r="J788" s="1">
        <v>2.8907526730000002</v>
      </c>
      <c r="K788" s="1">
        <v>3.762021974</v>
      </c>
      <c r="L788" s="1">
        <v>3.3025959560000002</v>
      </c>
      <c r="M788" s="1">
        <v>2.8639998100000001</v>
      </c>
      <c r="N788" s="1">
        <v>3.9806352139999999</v>
      </c>
      <c r="O788" s="1">
        <v>3.7238257350000001</v>
      </c>
      <c r="P788" s="1">
        <v>3.7419514989999998</v>
      </c>
      <c r="Q788" s="1">
        <v>2.597100669</v>
      </c>
      <c r="R788" s="1">
        <v>1.7393328349999999</v>
      </c>
      <c r="S788" s="1">
        <v>2.9034795349999998</v>
      </c>
      <c r="T788" s="1">
        <v>3.3025959560000002</v>
      </c>
      <c r="U788" s="1">
        <v>2.8639998100000001</v>
      </c>
      <c r="V788" s="1">
        <v>3.6670520409999998</v>
      </c>
      <c r="W788" s="1">
        <v>3.2870366010000001</v>
      </c>
      <c r="X788" s="1">
        <v>3.4131791489999999</v>
      </c>
      <c r="Y788" s="1">
        <v>2.9733498090000001</v>
      </c>
      <c r="Z788" s="1">
        <v>1.7393328349999999</v>
      </c>
      <c r="AA788" s="1">
        <v>2.9034795349999998</v>
      </c>
      <c r="AB788" s="1">
        <v>3.1218319999999999</v>
      </c>
      <c r="AC788" s="1">
        <v>3.1109927919999998</v>
      </c>
      <c r="AD788" s="1">
        <v>2.9432342459999998</v>
      </c>
      <c r="AE788" s="1">
        <v>3.321206681</v>
      </c>
    </row>
    <row r="789" spans="1:31" x14ac:dyDescent="0.25">
      <c r="A789" s="1" t="s">
        <v>1757</v>
      </c>
      <c r="B789" s="1" t="s">
        <v>2530</v>
      </c>
      <c r="C789" s="1" t="s">
        <v>2531</v>
      </c>
      <c r="D789" s="1" t="s">
        <v>2535</v>
      </c>
      <c r="E789" s="1" t="s">
        <v>2536</v>
      </c>
      <c r="G789" s="1" t="s">
        <v>1757</v>
      </c>
      <c r="H789" s="1">
        <v>6.6927481100000001</v>
      </c>
      <c r="I789" s="1">
        <v>7.0138798510000004</v>
      </c>
      <c r="J789" s="1">
        <v>5.1501560140000002</v>
      </c>
      <c r="K789" s="1">
        <v>5.9783799200000001</v>
      </c>
      <c r="L789" s="1">
        <v>3.3884746630000002</v>
      </c>
      <c r="M789" s="1">
        <v>4.059937712</v>
      </c>
      <c r="N789" s="1">
        <v>6.4435100419999998</v>
      </c>
      <c r="O789" s="1">
        <v>6.1884751419999997</v>
      </c>
      <c r="P789" s="1">
        <v>5.565195407</v>
      </c>
      <c r="Q789" s="1">
        <v>4.9365262349999997</v>
      </c>
      <c r="R789" s="1">
        <v>4.9327063119999996</v>
      </c>
      <c r="S789" s="1">
        <v>4.4749637470000003</v>
      </c>
      <c r="T789" s="1">
        <v>3.3884746630000002</v>
      </c>
      <c r="U789" s="1">
        <v>4.059937712</v>
      </c>
      <c r="V789" s="1">
        <v>5.1679192199999999</v>
      </c>
      <c r="W789" s="1">
        <v>5.726489559</v>
      </c>
      <c r="X789" s="1">
        <v>5.0029944190000002</v>
      </c>
      <c r="Y789" s="1">
        <v>5.3731782380000004</v>
      </c>
      <c r="Z789" s="1">
        <v>4.9327063119999996</v>
      </c>
      <c r="AA789" s="1">
        <v>4.4749637470000003</v>
      </c>
      <c r="AB789" s="1">
        <v>4.2729702720000002</v>
      </c>
      <c r="AC789" s="1">
        <v>5.3221936159999998</v>
      </c>
      <c r="AD789" s="1">
        <v>5.5186611069999998</v>
      </c>
      <c r="AE789" s="1">
        <v>5.820347505</v>
      </c>
    </row>
    <row r="790" spans="1:31" x14ac:dyDescent="0.25">
      <c r="A790" s="1" t="s">
        <v>1758</v>
      </c>
      <c r="B790" s="1" t="s">
        <v>2530</v>
      </c>
      <c r="C790" s="1" t="s">
        <v>2573</v>
      </c>
      <c r="D790" s="1" t="s">
        <v>2535</v>
      </c>
      <c r="E790" s="1" t="s">
        <v>3920</v>
      </c>
      <c r="G790" s="1" t="s">
        <v>1758</v>
      </c>
      <c r="H790" s="1">
        <v>4.4805534380000003</v>
      </c>
      <c r="I790" s="1">
        <v>5.1078624770000003</v>
      </c>
      <c r="J790" s="1">
        <v>5.0551375939999996</v>
      </c>
      <c r="K790" s="1">
        <v>5.3612725399999999</v>
      </c>
      <c r="L790" s="1">
        <v>5.9816045750000004</v>
      </c>
      <c r="M790" s="1">
        <v>5.8324912810000002</v>
      </c>
      <c r="N790" s="1">
        <v>5.0227480880000002</v>
      </c>
      <c r="O790" s="1">
        <v>4.4368189940000002</v>
      </c>
      <c r="P790" s="1">
        <v>5.7504406890000004</v>
      </c>
      <c r="Q790" s="1">
        <v>6.098094251</v>
      </c>
      <c r="R790" s="1">
        <v>5.4981688889999996</v>
      </c>
      <c r="S790" s="1">
        <v>5.710270789</v>
      </c>
      <c r="T790" s="1">
        <v>5.9816045750000004</v>
      </c>
      <c r="U790" s="1">
        <v>5.8324912810000002</v>
      </c>
      <c r="V790" s="1">
        <v>5.9243031000000004</v>
      </c>
      <c r="W790" s="1">
        <v>5.8376547490000004</v>
      </c>
      <c r="X790" s="1">
        <v>5.8725355390000002</v>
      </c>
      <c r="Y790" s="1">
        <v>5.1254702539999997</v>
      </c>
      <c r="Z790" s="1">
        <v>5.4981688889999996</v>
      </c>
      <c r="AA790" s="1">
        <v>5.710270789</v>
      </c>
      <c r="AB790" s="1">
        <v>5.851934376</v>
      </c>
      <c r="AC790" s="1">
        <v>5.6067493529999997</v>
      </c>
      <c r="AD790" s="1">
        <v>5.5186611069999998</v>
      </c>
      <c r="AE790" s="1">
        <v>5.7875258069999997</v>
      </c>
    </row>
    <row r="791" spans="1:31" x14ac:dyDescent="0.25">
      <c r="A791" s="1" t="s">
        <v>1764</v>
      </c>
      <c r="B791" s="1" t="s">
        <v>2530</v>
      </c>
      <c r="C791" s="1" t="s">
        <v>2573</v>
      </c>
      <c r="D791" s="1" t="s">
        <v>2535</v>
      </c>
      <c r="E791" s="1" t="s">
        <v>3921</v>
      </c>
      <c r="F791" s="1" t="s">
        <v>3922</v>
      </c>
      <c r="G791" s="1" t="s">
        <v>1764</v>
      </c>
      <c r="H791" s="1">
        <v>3.4660955969999998</v>
      </c>
      <c r="I791" s="1">
        <v>3.6484415459999999</v>
      </c>
      <c r="J791" s="1">
        <v>4.0065844400000001</v>
      </c>
      <c r="K791" s="1">
        <v>4.7454889089999996</v>
      </c>
      <c r="L791" s="1">
        <v>3.7446308510000001</v>
      </c>
      <c r="M791" s="1">
        <v>3.6044002019999999</v>
      </c>
      <c r="N791" s="1">
        <v>3.622455167</v>
      </c>
      <c r="O791" s="1">
        <v>4.0289865369999998</v>
      </c>
      <c r="P791" s="1">
        <v>4.3303557189999999</v>
      </c>
      <c r="Q791" s="1">
        <v>3.9718447549999998</v>
      </c>
      <c r="R791" s="1">
        <v>3.8462631940000001</v>
      </c>
      <c r="S791" s="1">
        <v>4.2250836859999996</v>
      </c>
      <c r="T791" s="1">
        <v>3.7446308510000001</v>
      </c>
      <c r="U791" s="1">
        <v>3.6044002019999999</v>
      </c>
      <c r="V791" s="1">
        <v>4.3163797720000003</v>
      </c>
      <c r="W791" s="1">
        <v>3.50175473</v>
      </c>
      <c r="X791" s="1">
        <v>3.5883256710000002</v>
      </c>
      <c r="Y791" s="1">
        <v>3.229986142</v>
      </c>
      <c r="Z791" s="1">
        <v>3.8462631940000001</v>
      </c>
      <c r="AA791" s="1">
        <v>4.2250836859999996</v>
      </c>
      <c r="AB791" s="1">
        <v>3.990981031</v>
      </c>
      <c r="AC791" s="1">
        <v>3.1109927919999998</v>
      </c>
      <c r="AD791" s="1">
        <v>3.3987395579999999</v>
      </c>
      <c r="AE791" s="1">
        <v>3.5108161330000001</v>
      </c>
    </row>
    <row r="792" spans="1:31" x14ac:dyDescent="0.25">
      <c r="A792" s="1" t="s">
        <v>1765</v>
      </c>
      <c r="B792" s="1" t="s">
        <v>2557</v>
      </c>
      <c r="C792" s="1" t="s">
        <v>2680</v>
      </c>
      <c r="D792" s="1" t="s">
        <v>3923</v>
      </c>
      <c r="E792" s="1" t="s">
        <v>3924</v>
      </c>
      <c r="F792" s="1" t="s">
        <v>3925</v>
      </c>
      <c r="G792" s="1" t="s">
        <v>1765</v>
      </c>
      <c r="H792" s="1">
        <v>6.6927481100000001</v>
      </c>
      <c r="I792" s="1">
        <v>7.6449747700000001</v>
      </c>
      <c r="J792" s="1">
        <v>8.3787688669999998</v>
      </c>
      <c r="K792" s="1">
        <v>8.3685300789999992</v>
      </c>
      <c r="L792" s="1">
        <v>8.1059081539999998</v>
      </c>
      <c r="M792" s="1">
        <v>8.3891568089999993</v>
      </c>
      <c r="N792" s="1">
        <v>7.7980630120000001</v>
      </c>
      <c r="O792" s="1">
        <v>7.1976511859999999</v>
      </c>
      <c r="P792" s="1">
        <v>8.1350918350000008</v>
      </c>
      <c r="Q792" s="1">
        <v>8.166958009</v>
      </c>
      <c r="R792" s="1">
        <v>8.0078954039999992</v>
      </c>
      <c r="S792" s="1">
        <v>8.1157903299999994</v>
      </c>
      <c r="T792" s="1">
        <v>8.1059081539999998</v>
      </c>
      <c r="U792" s="1">
        <v>8.3891568089999993</v>
      </c>
      <c r="V792" s="1">
        <v>8.3536768190000004</v>
      </c>
      <c r="W792" s="1">
        <v>8.0154452519999992</v>
      </c>
      <c r="X792" s="1">
        <v>7.0390188040000004</v>
      </c>
      <c r="Y792" s="1">
        <v>7.8444431989999996</v>
      </c>
      <c r="Z792" s="1">
        <v>8.0078954039999992</v>
      </c>
      <c r="AA792" s="1">
        <v>8.1157903299999994</v>
      </c>
      <c r="AB792" s="1">
        <v>7.7594175390000002</v>
      </c>
      <c r="AC792" s="1">
        <v>7.6642856869999996</v>
      </c>
      <c r="AD792" s="1">
        <v>7.523248315</v>
      </c>
      <c r="AE792" s="1">
        <v>7.3821613629999998</v>
      </c>
    </row>
    <row r="793" spans="1:31" x14ac:dyDescent="0.25">
      <c r="A793" s="1" t="s">
        <v>1769</v>
      </c>
      <c r="B793" s="1" t="s">
        <v>2667</v>
      </c>
      <c r="C793" s="1" t="s">
        <v>3441</v>
      </c>
      <c r="D793" s="1" t="s">
        <v>3299</v>
      </c>
      <c r="E793" s="1" t="s">
        <v>3926</v>
      </c>
      <c r="F793" s="1" t="s">
        <v>3927</v>
      </c>
      <c r="G793" s="1" t="s">
        <v>1769</v>
      </c>
      <c r="H793" s="1">
        <v>6.379172209</v>
      </c>
      <c r="I793" s="1">
        <v>7.378407867</v>
      </c>
      <c r="J793" s="1">
        <v>7.1747783610000004</v>
      </c>
      <c r="K793" s="1">
        <v>7.2584585600000002</v>
      </c>
      <c r="L793" s="1">
        <v>7.9125389879999997</v>
      </c>
      <c r="M793" s="1">
        <v>7.7436565970000002</v>
      </c>
      <c r="N793" s="1">
        <v>7.1895981530000004</v>
      </c>
      <c r="O793" s="1">
        <v>6.9786739019999997</v>
      </c>
      <c r="P793" s="1">
        <v>7.3460048840000001</v>
      </c>
      <c r="Q793" s="1">
        <v>7.0943357039999997</v>
      </c>
      <c r="R793" s="1">
        <v>6.6762859529999998</v>
      </c>
      <c r="S793" s="1">
        <v>7.0654596190000003</v>
      </c>
      <c r="T793" s="1">
        <v>7.9125389879999997</v>
      </c>
      <c r="U793" s="1">
        <v>7.7436565970000002</v>
      </c>
      <c r="V793" s="1">
        <v>7.4531389260000003</v>
      </c>
      <c r="W793" s="1">
        <v>7.3483061000000003</v>
      </c>
      <c r="X793" s="1">
        <v>6.931762923</v>
      </c>
      <c r="Y793" s="1">
        <v>7.0775333739999997</v>
      </c>
      <c r="Z793" s="1">
        <v>6.6762859529999998</v>
      </c>
      <c r="AA793" s="1">
        <v>7.0654596190000003</v>
      </c>
      <c r="AB793" s="1">
        <v>6.935033368</v>
      </c>
      <c r="AC793" s="1">
        <v>6.4210524800000002</v>
      </c>
      <c r="AD793" s="1">
        <v>6.4362874889999997</v>
      </c>
      <c r="AE793" s="1">
        <v>6.5921984570000003</v>
      </c>
    </row>
    <row r="794" spans="1:31" x14ac:dyDescent="0.25">
      <c r="A794" s="1" t="s">
        <v>1787</v>
      </c>
      <c r="B794" s="1" t="s">
        <v>2520</v>
      </c>
      <c r="C794" s="1" t="s">
        <v>2521</v>
      </c>
      <c r="D794" s="1" t="s">
        <v>3928</v>
      </c>
      <c r="E794" s="1" t="s">
        <v>3929</v>
      </c>
      <c r="F794" s="1" t="s">
        <v>3930</v>
      </c>
      <c r="G794" s="1" t="s">
        <v>1787</v>
      </c>
      <c r="H794" s="1">
        <v>7.627055962</v>
      </c>
      <c r="I794" s="1">
        <v>7.0992816530000002</v>
      </c>
      <c r="J794" s="1">
        <v>7.3336787350000003</v>
      </c>
      <c r="K794" s="1">
        <v>7.7556079369999997</v>
      </c>
      <c r="L794" s="1">
        <v>6.8124457639999996</v>
      </c>
      <c r="M794" s="1">
        <v>7.1969967559999999</v>
      </c>
      <c r="N794" s="1">
        <v>6.988566745</v>
      </c>
      <c r="O794" s="1">
        <v>7.1609097750000004</v>
      </c>
      <c r="P794" s="1">
        <v>7.2573908999999999</v>
      </c>
      <c r="Q794" s="1">
        <v>7.1197895029999998</v>
      </c>
      <c r="R794" s="1">
        <v>7.1769818540000001</v>
      </c>
      <c r="S794" s="1">
        <v>7.1140898520000002</v>
      </c>
      <c r="T794" s="1">
        <v>6.8124457639999996</v>
      </c>
      <c r="U794" s="1">
        <v>7.1969967559999999</v>
      </c>
      <c r="V794" s="1">
        <v>7.5700847749999998</v>
      </c>
      <c r="W794" s="1">
        <v>7.4330904990000004</v>
      </c>
      <c r="X794" s="1">
        <v>7.3754854119999997</v>
      </c>
      <c r="Y794" s="1">
        <v>7.3543018069999997</v>
      </c>
      <c r="Z794" s="1">
        <v>7.1769818540000001</v>
      </c>
      <c r="AA794" s="1">
        <v>7.1140898520000002</v>
      </c>
      <c r="AB794" s="1">
        <v>7.1007608549999999</v>
      </c>
      <c r="AC794" s="1">
        <v>7.0833011609999996</v>
      </c>
      <c r="AD794" s="1">
        <v>7.4840748010000002</v>
      </c>
      <c r="AE794" s="1">
        <v>7.4568905689999996</v>
      </c>
    </row>
    <row r="795" spans="1:31" x14ac:dyDescent="0.25">
      <c r="A795" s="1" t="s">
        <v>1795</v>
      </c>
      <c r="B795" s="1" t="s">
        <v>2568</v>
      </c>
      <c r="C795" s="1" t="s">
        <v>2569</v>
      </c>
      <c r="D795" s="1" t="s">
        <v>2949</v>
      </c>
      <c r="E795" s="1" t="s">
        <v>3931</v>
      </c>
      <c r="F795" s="1" t="s">
        <v>3932</v>
      </c>
      <c r="G795" s="1" t="s">
        <v>1795</v>
      </c>
      <c r="H795" s="1">
        <v>5.977563322</v>
      </c>
      <c r="I795" s="1">
        <v>6.0959298439999996</v>
      </c>
      <c r="J795" s="1">
        <v>6.2053027219999999</v>
      </c>
      <c r="K795" s="1">
        <v>6.2219157379999999</v>
      </c>
      <c r="L795" s="1">
        <v>7.3017228740000002</v>
      </c>
      <c r="M795" s="1">
        <v>6.9864030259999996</v>
      </c>
      <c r="N795" s="1">
        <v>6.3768118319999996</v>
      </c>
      <c r="O795" s="1">
        <v>6.2316979249999997</v>
      </c>
      <c r="P795" s="1">
        <v>6.3171519470000002</v>
      </c>
      <c r="Q795" s="1">
        <v>6.6461070910000002</v>
      </c>
      <c r="R795" s="1">
        <v>6.6762859529999998</v>
      </c>
      <c r="S795" s="1">
        <v>6.5329808710000004</v>
      </c>
      <c r="T795" s="1">
        <v>7.3017228740000002</v>
      </c>
      <c r="U795" s="1">
        <v>6.9864030259999996</v>
      </c>
      <c r="V795" s="1">
        <v>6.3130184290000004</v>
      </c>
      <c r="W795" s="1">
        <v>6.239290832</v>
      </c>
      <c r="X795" s="1">
        <v>6.5992329070000002</v>
      </c>
      <c r="Y795" s="1">
        <v>6.2836980430000002</v>
      </c>
      <c r="Z795" s="1">
        <v>6.6762859529999998</v>
      </c>
      <c r="AA795" s="1">
        <v>6.5329808710000004</v>
      </c>
      <c r="AB795" s="1">
        <v>6.5063200270000001</v>
      </c>
      <c r="AC795" s="1">
        <v>6.139219926</v>
      </c>
      <c r="AD795" s="1">
        <v>6.3073961189999999</v>
      </c>
      <c r="AE795" s="1">
        <v>6.2987649059999997</v>
      </c>
    </row>
    <row r="796" spans="1:31" x14ac:dyDescent="0.25">
      <c r="A796" s="1" t="s">
        <v>1796</v>
      </c>
      <c r="B796" s="1" t="s">
        <v>2547</v>
      </c>
      <c r="C796" s="1" t="s">
        <v>3061</v>
      </c>
      <c r="D796" s="1" t="s">
        <v>2949</v>
      </c>
      <c r="E796" s="1" t="s">
        <v>3933</v>
      </c>
      <c r="F796" s="1" t="s">
        <v>3934</v>
      </c>
      <c r="G796" s="1" t="s">
        <v>1796</v>
      </c>
      <c r="H796" s="1">
        <v>5.3712699940000004</v>
      </c>
      <c r="I796" s="1">
        <v>5.5177814730000003</v>
      </c>
      <c r="J796" s="1">
        <v>5.6161485820000001</v>
      </c>
      <c r="K796" s="1">
        <v>5.4059688240000003</v>
      </c>
      <c r="L796" s="1">
        <v>6.2614813600000003</v>
      </c>
      <c r="M796" s="1">
        <v>6.0654778350000003</v>
      </c>
      <c r="N796" s="1">
        <v>5.4717898820000004</v>
      </c>
      <c r="O796" s="1">
        <v>5.2237789919999997</v>
      </c>
      <c r="P796" s="1">
        <v>5.8883751269999998</v>
      </c>
      <c r="Q796" s="1">
        <v>5.2000913229999997</v>
      </c>
      <c r="R796" s="1">
        <v>6.2166299269999996</v>
      </c>
      <c r="S796" s="1">
        <v>6.2136668149999998</v>
      </c>
      <c r="T796" s="1">
        <v>6.2614813600000003</v>
      </c>
      <c r="U796" s="1">
        <v>6.0654778350000003</v>
      </c>
      <c r="V796" s="1">
        <v>6.2394706979999999</v>
      </c>
      <c r="W796" s="1">
        <v>5.9072448660000001</v>
      </c>
      <c r="X796" s="1">
        <v>6.1405132890000003</v>
      </c>
      <c r="Y796" s="1">
        <v>5.6971672010000001</v>
      </c>
      <c r="Z796" s="1">
        <v>6.2166299269999996</v>
      </c>
      <c r="AA796" s="1">
        <v>6.2136668149999998</v>
      </c>
      <c r="AB796" s="1">
        <v>5.8098709350000002</v>
      </c>
      <c r="AC796" s="1">
        <v>6.1830263060000004</v>
      </c>
      <c r="AD796" s="1">
        <v>5.893524276</v>
      </c>
      <c r="AE796" s="1">
        <v>5.7875258069999997</v>
      </c>
    </row>
    <row r="797" spans="1:31" x14ac:dyDescent="0.25">
      <c r="A797" s="1" t="s">
        <v>1799</v>
      </c>
      <c r="B797" s="1" t="s">
        <v>2557</v>
      </c>
      <c r="C797" s="1" t="s">
        <v>2558</v>
      </c>
      <c r="D797" s="1" t="s">
        <v>2535</v>
      </c>
      <c r="E797" s="1" t="s">
        <v>3935</v>
      </c>
      <c r="F797" s="1" t="s">
        <v>3936</v>
      </c>
      <c r="G797" s="1" t="s">
        <v>1799</v>
      </c>
      <c r="H797" s="1">
        <v>5.1686839359999999</v>
      </c>
      <c r="I797" s="1">
        <v>5.7476087250000001</v>
      </c>
      <c r="J797" s="1">
        <v>5.9407738800000001</v>
      </c>
      <c r="K797" s="1">
        <v>5.8227835140000002</v>
      </c>
      <c r="L797" s="1">
        <v>6.230636777</v>
      </c>
      <c r="M797" s="1">
        <v>6.1691684679999996</v>
      </c>
      <c r="N797" s="1">
        <v>5.4717898820000004</v>
      </c>
      <c r="O797" s="1">
        <v>5.2522077749999996</v>
      </c>
      <c r="P797" s="1">
        <v>6.1074648529999997</v>
      </c>
      <c r="Q797" s="1">
        <v>6.289960497</v>
      </c>
      <c r="R797" s="1">
        <v>5.3334881589999998</v>
      </c>
      <c r="S797" s="1">
        <v>5.9168316079999999</v>
      </c>
      <c r="T797" s="1">
        <v>6.230636777</v>
      </c>
      <c r="U797" s="1">
        <v>6.1691684679999996</v>
      </c>
      <c r="V797" s="1">
        <v>6.258213456</v>
      </c>
      <c r="W797" s="1">
        <v>5.9072448660000001</v>
      </c>
      <c r="X797" s="1">
        <v>5.7427722369999996</v>
      </c>
      <c r="Y797" s="1">
        <v>5.9306942229999997</v>
      </c>
      <c r="Z797" s="1">
        <v>5.3334881589999998</v>
      </c>
      <c r="AA797" s="1">
        <v>5.9168316079999999</v>
      </c>
      <c r="AB797" s="1">
        <v>5.7218462399999996</v>
      </c>
      <c r="AC797" s="1">
        <v>5.4356573160000003</v>
      </c>
      <c r="AD797" s="1">
        <v>5.5571020090000003</v>
      </c>
      <c r="AE797" s="1">
        <v>5.7708285269999999</v>
      </c>
    </row>
    <row r="798" spans="1:31" x14ac:dyDescent="0.25">
      <c r="A798" s="1" t="s">
        <v>1800</v>
      </c>
      <c r="B798" s="1" t="s">
        <v>2525</v>
      </c>
      <c r="C798" s="1" t="s">
        <v>3110</v>
      </c>
      <c r="D798" s="1" t="s">
        <v>3547</v>
      </c>
      <c r="E798" s="1" t="s">
        <v>3937</v>
      </c>
      <c r="F798" s="1" t="s">
        <v>3938</v>
      </c>
      <c r="G798" s="1" t="s">
        <v>1800</v>
      </c>
      <c r="H798" s="1">
        <v>6.0673720150000001</v>
      </c>
      <c r="I798" s="1">
        <v>5.9455889470000001</v>
      </c>
      <c r="J798" s="1">
        <v>6.7172781209999997</v>
      </c>
      <c r="K798" s="1">
        <v>6.7562562289999999</v>
      </c>
      <c r="L798" s="1">
        <v>7.3550522899999997</v>
      </c>
      <c r="M798" s="1">
        <v>7.446921111</v>
      </c>
      <c r="N798" s="1">
        <v>5.9720916549999998</v>
      </c>
      <c r="O798" s="1">
        <v>6.4178147000000001</v>
      </c>
      <c r="P798" s="1">
        <v>7.4294854240000001</v>
      </c>
      <c r="Q798" s="1">
        <v>7.4756828979999996</v>
      </c>
      <c r="R798" s="1">
        <v>7.9873769780000003</v>
      </c>
      <c r="S798" s="1">
        <v>7.743365206</v>
      </c>
      <c r="T798" s="1">
        <v>7.3550522899999997</v>
      </c>
      <c r="U798" s="1">
        <v>7.446921111</v>
      </c>
      <c r="V798" s="1">
        <v>7.6501919369999998</v>
      </c>
      <c r="W798" s="1">
        <v>7.5352487869999996</v>
      </c>
      <c r="X798" s="1">
        <v>7.7899080940000003</v>
      </c>
      <c r="Y798" s="1">
        <v>7.4959140870000001</v>
      </c>
      <c r="Z798" s="1">
        <v>7.9873769780000003</v>
      </c>
      <c r="AA798" s="1">
        <v>7.743365206</v>
      </c>
      <c r="AB798" s="1">
        <v>7.5963215740000001</v>
      </c>
      <c r="AC798" s="1">
        <v>7.7826894729999996</v>
      </c>
      <c r="AD798" s="1">
        <v>7.5519453929999996</v>
      </c>
      <c r="AE798" s="1">
        <v>7.4039107590000004</v>
      </c>
    </row>
    <row r="799" spans="1:31" x14ac:dyDescent="0.25">
      <c r="A799" s="1" t="s">
        <v>1802</v>
      </c>
      <c r="B799" s="1" t="s">
        <v>2568</v>
      </c>
      <c r="C799" s="1" t="s">
        <v>2589</v>
      </c>
      <c r="D799" s="1" t="s">
        <v>2786</v>
      </c>
      <c r="E799" s="1" t="s">
        <v>3939</v>
      </c>
      <c r="G799" s="1" t="s">
        <v>1802</v>
      </c>
      <c r="H799" s="1">
        <v>5.4626831620000003</v>
      </c>
      <c r="I799" s="1">
        <v>5.5529645800000003</v>
      </c>
      <c r="J799" s="1">
        <v>4.2018709520000002</v>
      </c>
      <c r="K799" s="1">
        <v>3.607491666</v>
      </c>
      <c r="L799" s="1">
        <v>4.4107687259999997</v>
      </c>
      <c r="M799" s="1">
        <v>3.9942443089999999</v>
      </c>
      <c r="N799" s="1">
        <v>5.6141964020000001</v>
      </c>
      <c r="O799" s="1">
        <v>5.7859173799999999</v>
      </c>
      <c r="P799" s="1">
        <v>3.3003929539999999</v>
      </c>
      <c r="Q799" s="1">
        <v>4.18747588</v>
      </c>
      <c r="R799" s="1">
        <v>4.3698765340000003</v>
      </c>
      <c r="S799" s="1">
        <v>3.9182367880000002</v>
      </c>
      <c r="T799" s="1">
        <v>4.4107687259999997</v>
      </c>
      <c r="U799" s="1">
        <v>3.9942443089999999</v>
      </c>
      <c r="V799" s="1">
        <v>3.887436229</v>
      </c>
      <c r="W799" s="1">
        <v>3.2870366010000001</v>
      </c>
      <c r="X799" s="1">
        <v>4.0600950219999996</v>
      </c>
      <c r="Y799" s="1">
        <v>3.6154848500000001</v>
      </c>
      <c r="Z799" s="1">
        <v>4.3698765340000003</v>
      </c>
      <c r="AA799" s="1">
        <v>3.9182367880000002</v>
      </c>
      <c r="AB799" s="1">
        <v>3.990981031</v>
      </c>
      <c r="AC799" s="1">
        <v>3.9750819590000002</v>
      </c>
      <c r="AD799" s="1">
        <v>3.725077481</v>
      </c>
      <c r="AE799" s="1">
        <v>3.213378847</v>
      </c>
    </row>
    <row r="800" spans="1:31" x14ac:dyDescent="0.25">
      <c r="A800" s="1" t="s">
        <v>1805</v>
      </c>
      <c r="B800" s="1" t="s">
        <v>2547</v>
      </c>
      <c r="C800" s="1" t="s">
        <v>2675</v>
      </c>
      <c r="D800" s="1" t="s">
        <v>2535</v>
      </c>
      <c r="E800" s="1" t="s">
        <v>3940</v>
      </c>
      <c r="F800" s="1" t="s">
        <v>3941</v>
      </c>
      <c r="G800" s="1" t="s">
        <v>1805</v>
      </c>
      <c r="H800" s="1">
        <v>4.5667504939999999</v>
      </c>
      <c r="I800" s="1">
        <v>4.903725959</v>
      </c>
      <c r="J800" s="1">
        <v>3.8969924050000002</v>
      </c>
      <c r="K800" s="1">
        <v>3.607491666</v>
      </c>
      <c r="L800" s="1">
        <v>3.971296959</v>
      </c>
      <c r="M800" s="1">
        <v>3.6924658159999999</v>
      </c>
      <c r="N800" s="1">
        <v>4.4510307109999996</v>
      </c>
      <c r="O800" s="1">
        <v>5.0070106360000004</v>
      </c>
      <c r="P800" s="1">
        <v>4.2485661720000003</v>
      </c>
      <c r="Q800" s="1">
        <v>3.9718447549999998</v>
      </c>
      <c r="R800" s="1">
        <v>3.386455024</v>
      </c>
      <c r="S800" s="1">
        <v>4.3135540739999998</v>
      </c>
      <c r="T800" s="1">
        <v>3.971296959</v>
      </c>
      <c r="U800" s="1">
        <v>3.6924658159999999</v>
      </c>
      <c r="V800" s="1">
        <v>4.3163797720000003</v>
      </c>
      <c r="W800" s="1">
        <v>4.1128053839999996</v>
      </c>
      <c r="X800" s="1">
        <v>4.0600950219999996</v>
      </c>
      <c r="Y800" s="1">
        <v>4.6842287809999998</v>
      </c>
      <c r="Z800" s="1">
        <v>3.386455024</v>
      </c>
      <c r="AA800" s="1">
        <v>4.3135540739999998</v>
      </c>
      <c r="AB800" s="1">
        <v>3.8237667059999998</v>
      </c>
      <c r="AC800" s="1">
        <v>3.9750819590000002</v>
      </c>
      <c r="AD800" s="1">
        <v>3.984188064</v>
      </c>
      <c r="AE800" s="1">
        <v>3.7492737119999999</v>
      </c>
    </row>
    <row r="801" spans="1:31" x14ac:dyDescent="0.25">
      <c r="A801" s="1" t="s">
        <v>1808</v>
      </c>
      <c r="B801" s="1" t="s">
        <v>2530</v>
      </c>
      <c r="C801" s="1" t="s">
        <v>2531</v>
      </c>
      <c r="D801" s="1" t="s">
        <v>2535</v>
      </c>
      <c r="E801" s="1" t="s">
        <v>2536</v>
      </c>
      <c r="G801" s="1" t="s">
        <v>1808</v>
      </c>
      <c r="H801" s="1">
        <v>8.2795101350000007</v>
      </c>
      <c r="I801" s="1">
        <v>8.4826332880000006</v>
      </c>
      <c r="J801" s="1">
        <v>7.3829776090000001</v>
      </c>
      <c r="K801" s="1">
        <v>7.7120487869999996</v>
      </c>
      <c r="L801" s="1">
        <v>6.4247703999999999</v>
      </c>
      <c r="M801" s="1">
        <v>6.4767572920000003</v>
      </c>
      <c r="N801" s="1">
        <v>7.973605075</v>
      </c>
      <c r="O801" s="1">
        <v>7.7262098100000003</v>
      </c>
      <c r="P801" s="1">
        <v>6.8082443379999997</v>
      </c>
      <c r="Q801" s="1">
        <v>6.6461070910000002</v>
      </c>
      <c r="R801" s="1">
        <v>6.8978352640000002</v>
      </c>
      <c r="S801" s="1">
        <v>6.4213797350000004</v>
      </c>
      <c r="T801" s="1">
        <v>6.4247703999999999</v>
      </c>
      <c r="U801" s="1">
        <v>6.4767572920000003</v>
      </c>
      <c r="V801" s="1">
        <v>5.9931161309999998</v>
      </c>
      <c r="W801" s="1">
        <v>5.872872095</v>
      </c>
      <c r="X801" s="1">
        <v>6.3215937049999997</v>
      </c>
      <c r="Y801" s="1">
        <v>6.1044436219999998</v>
      </c>
      <c r="Z801" s="1">
        <v>6.8978352640000002</v>
      </c>
      <c r="AA801" s="1">
        <v>6.4213797350000004</v>
      </c>
      <c r="AB801" s="1">
        <v>6.1502584210000002</v>
      </c>
      <c r="AC801" s="1">
        <v>6.139219926</v>
      </c>
      <c r="AD801" s="1">
        <v>6.008703369</v>
      </c>
      <c r="AE801" s="1">
        <v>6.275323888</v>
      </c>
    </row>
    <row r="802" spans="1:31" x14ac:dyDescent="0.25">
      <c r="A802" s="1" t="s">
        <v>1809</v>
      </c>
      <c r="B802" s="1" t="s">
        <v>2530</v>
      </c>
      <c r="C802" s="1" t="s">
        <v>2531</v>
      </c>
      <c r="D802" s="1" t="s">
        <v>2535</v>
      </c>
      <c r="E802" s="1" t="s">
        <v>2536</v>
      </c>
      <c r="G802" s="1" t="s">
        <v>1809</v>
      </c>
      <c r="H802" s="1">
        <v>10.45323956</v>
      </c>
      <c r="I802" s="1">
        <v>10.59950426</v>
      </c>
      <c r="J802" s="1">
        <v>9.3345830650000003</v>
      </c>
      <c r="K802" s="1">
        <v>9.7133024989999992</v>
      </c>
      <c r="L802" s="1">
        <v>8.4152082010000004</v>
      </c>
      <c r="M802" s="1">
        <v>8.5429039390000003</v>
      </c>
      <c r="N802" s="1">
        <v>10.33224744</v>
      </c>
      <c r="O802" s="1">
        <v>10.103509710000001</v>
      </c>
      <c r="P802" s="1">
        <v>9.0197036700000002</v>
      </c>
      <c r="Q802" s="1">
        <v>9.07095159</v>
      </c>
      <c r="R802" s="1">
        <v>8.6924359160000009</v>
      </c>
      <c r="S802" s="1">
        <v>8.5282011119999996</v>
      </c>
      <c r="T802" s="1">
        <v>8.4152082010000004</v>
      </c>
      <c r="U802" s="1">
        <v>8.5429039390000003</v>
      </c>
      <c r="V802" s="1">
        <v>8.4944560229999997</v>
      </c>
      <c r="W802" s="1">
        <v>8.7502352999999999</v>
      </c>
      <c r="X802" s="1">
        <v>8.1817416240000007</v>
      </c>
      <c r="Y802" s="1">
        <v>8.7384492270000003</v>
      </c>
      <c r="Z802" s="1">
        <v>8.6924359160000009</v>
      </c>
      <c r="AA802" s="1">
        <v>8.5282011119999996</v>
      </c>
      <c r="AB802" s="1">
        <v>8.4876004950000006</v>
      </c>
      <c r="AC802" s="1">
        <v>8.5968699359999992</v>
      </c>
      <c r="AD802" s="1">
        <v>8.7656371279999998</v>
      </c>
      <c r="AE802" s="1">
        <v>8.5923143169999996</v>
      </c>
    </row>
    <row r="803" spans="1:31" x14ac:dyDescent="0.25">
      <c r="A803" s="1" t="s">
        <v>1811</v>
      </c>
      <c r="B803" s="1" t="s">
        <v>2547</v>
      </c>
      <c r="C803" s="1" t="s">
        <v>2566</v>
      </c>
      <c r="D803" s="1" t="s">
        <v>2535</v>
      </c>
      <c r="E803" s="1" t="s">
        <v>3942</v>
      </c>
      <c r="F803" s="1" t="s">
        <v>3943</v>
      </c>
      <c r="G803" s="1" t="s">
        <v>1811</v>
      </c>
      <c r="H803" s="1">
        <v>4.8663747150000001</v>
      </c>
      <c r="I803" s="1">
        <v>5.0595268689999999</v>
      </c>
      <c r="J803" s="1">
        <v>5.1034438250000003</v>
      </c>
      <c r="K803" s="1">
        <v>4.8139921829999999</v>
      </c>
      <c r="L803" s="1">
        <v>4.4478088219999998</v>
      </c>
      <c r="M803" s="1">
        <v>4.8607408789999997</v>
      </c>
      <c r="N803" s="1">
        <v>5.7078727669999996</v>
      </c>
      <c r="O803" s="1">
        <v>5.5552821830000001</v>
      </c>
      <c r="P803" s="1">
        <v>5.4976972829999999</v>
      </c>
      <c r="Q803" s="1">
        <v>5.3805263300000004</v>
      </c>
      <c r="R803" s="1">
        <v>5.57388789</v>
      </c>
      <c r="S803" s="1">
        <v>5.6781703969999997</v>
      </c>
      <c r="T803" s="1">
        <v>4.4478088219999998</v>
      </c>
      <c r="U803" s="1">
        <v>4.8607408789999997</v>
      </c>
      <c r="V803" s="1">
        <v>5.4230002329999998</v>
      </c>
      <c r="W803" s="1">
        <v>4.5296290450000001</v>
      </c>
      <c r="X803" s="1">
        <v>5.4623126839999996</v>
      </c>
      <c r="Y803" s="1">
        <v>5.2792112080000004</v>
      </c>
      <c r="Z803" s="1">
        <v>5.57388789</v>
      </c>
      <c r="AA803" s="1">
        <v>5.6781703969999997</v>
      </c>
      <c r="AB803" s="1">
        <v>5.3624643089999999</v>
      </c>
      <c r="AC803" s="1">
        <v>5.0158027430000001</v>
      </c>
      <c r="AD803" s="1">
        <v>5.6665831520000003</v>
      </c>
      <c r="AE803" s="1">
        <v>5.5730198079999997</v>
      </c>
    </row>
    <row r="804" spans="1:31" x14ac:dyDescent="0.25">
      <c r="A804" s="1" t="s">
        <v>1812</v>
      </c>
      <c r="B804" s="1" t="s">
        <v>2530</v>
      </c>
      <c r="C804" s="1" t="s">
        <v>2531</v>
      </c>
      <c r="D804" s="1" t="s">
        <v>2535</v>
      </c>
      <c r="E804" s="1" t="s">
        <v>3944</v>
      </c>
      <c r="G804" s="1" t="s">
        <v>1812</v>
      </c>
      <c r="H804" s="1">
        <v>4.7972697699999998</v>
      </c>
      <c r="I804" s="1">
        <v>4.8477128089999999</v>
      </c>
      <c r="J804" s="1">
        <v>4.4503473070000004</v>
      </c>
      <c r="K804" s="1">
        <v>4.6734567340000002</v>
      </c>
      <c r="L804" s="1">
        <v>5.6952369550000004</v>
      </c>
      <c r="M804" s="1">
        <v>5.3667108829999997</v>
      </c>
      <c r="N804" s="1">
        <v>5.1623684499999998</v>
      </c>
      <c r="O804" s="1">
        <v>5.3605571169999999</v>
      </c>
      <c r="P804" s="1">
        <v>4.8528499219999999</v>
      </c>
      <c r="Q804" s="1">
        <v>5.1004769559999996</v>
      </c>
      <c r="R804" s="1">
        <v>5.0440296189999998</v>
      </c>
      <c r="S804" s="1">
        <v>4.6864044680000001</v>
      </c>
      <c r="T804" s="1">
        <v>5.6952369550000004</v>
      </c>
      <c r="U804" s="1">
        <v>5.3667108829999997</v>
      </c>
      <c r="V804" s="1">
        <v>5.0857495259999999</v>
      </c>
      <c r="W804" s="1">
        <v>4.69862249</v>
      </c>
      <c r="X804" s="1">
        <v>5.5426459120000002</v>
      </c>
      <c r="Y804" s="1">
        <v>4.8250325140000001</v>
      </c>
      <c r="Z804" s="1">
        <v>5.0440296189999998</v>
      </c>
      <c r="AA804" s="1">
        <v>4.6864044680000001</v>
      </c>
      <c r="AB804" s="1">
        <v>4.8804215500000003</v>
      </c>
      <c r="AC804" s="1">
        <v>5.0158027430000001</v>
      </c>
      <c r="AD804" s="1">
        <v>5.5186611069999998</v>
      </c>
      <c r="AE804" s="1">
        <v>5.0415666330000004</v>
      </c>
    </row>
    <row r="805" spans="1:31" x14ac:dyDescent="0.25">
      <c r="A805" s="1" t="s">
        <v>1814</v>
      </c>
      <c r="B805" s="1" t="s">
        <v>2598</v>
      </c>
      <c r="C805" s="1" t="s">
        <v>2531</v>
      </c>
      <c r="D805" s="1" t="s">
        <v>2535</v>
      </c>
      <c r="E805" s="1" t="s">
        <v>3945</v>
      </c>
      <c r="F805" s="1" t="s">
        <v>3946</v>
      </c>
      <c r="G805" s="1" t="s">
        <v>1814</v>
      </c>
      <c r="H805" s="1">
        <v>4.3886087140000001</v>
      </c>
      <c r="I805" s="1">
        <v>5.2436995780000002</v>
      </c>
      <c r="J805" s="1">
        <v>4.8434621079999998</v>
      </c>
      <c r="K805" s="1">
        <v>4.5974987220000001</v>
      </c>
      <c r="L805" s="1">
        <v>5.3560765139999997</v>
      </c>
      <c r="M805" s="1">
        <v>5.5095176620000004</v>
      </c>
      <c r="N805" s="1">
        <v>4.9318354150000001</v>
      </c>
      <c r="O805" s="1">
        <v>4.2189785100000003</v>
      </c>
      <c r="P805" s="1">
        <v>5.426847231</v>
      </c>
      <c r="Q805" s="1">
        <v>5.2473923969999996</v>
      </c>
      <c r="R805" s="1">
        <v>4.8118229140000004</v>
      </c>
      <c r="S805" s="1">
        <v>5.2672271329999996</v>
      </c>
      <c r="T805" s="1">
        <v>5.3560765139999997</v>
      </c>
      <c r="U805" s="1">
        <v>5.5095176620000004</v>
      </c>
      <c r="V805" s="1">
        <v>5.2828838410000003</v>
      </c>
      <c r="W805" s="1">
        <v>5.0488589419999998</v>
      </c>
      <c r="X805" s="1">
        <v>5.8091227329999997</v>
      </c>
      <c r="Y805" s="1">
        <v>5.6971672010000001</v>
      </c>
      <c r="Z805" s="1">
        <v>4.8118229140000004</v>
      </c>
      <c r="AA805" s="1">
        <v>5.2672271329999996</v>
      </c>
      <c r="AB805" s="1">
        <v>4.8804215500000003</v>
      </c>
      <c r="AC805" s="1">
        <v>5.1552886820000001</v>
      </c>
      <c r="AD805" s="1">
        <v>5.0634297190000002</v>
      </c>
      <c r="AE805" s="1">
        <v>5.2252968339999999</v>
      </c>
    </row>
    <row r="806" spans="1:31" x14ac:dyDescent="0.25">
      <c r="A806" s="1" t="s">
        <v>1824</v>
      </c>
      <c r="B806" s="1" t="s">
        <v>2530</v>
      </c>
      <c r="C806" s="1" t="s">
        <v>2531</v>
      </c>
      <c r="D806" s="1" t="s">
        <v>2535</v>
      </c>
      <c r="E806" s="1" t="s">
        <v>2536</v>
      </c>
      <c r="G806" s="1" t="s">
        <v>1824</v>
      </c>
      <c r="H806" s="1">
        <v>7.556606199</v>
      </c>
      <c r="I806" s="1">
        <v>7.298132742</v>
      </c>
      <c r="J806" s="1">
        <v>5.9669407659999996</v>
      </c>
      <c r="K806" s="1">
        <v>6.4932884399999997</v>
      </c>
      <c r="L806" s="1">
        <v>6.3114621260000003</v>
      </c>
      <c r="M806" s="1">
        <v>6.1256430599999998</v>
      </c>
      <c r="N806" s="1">
        <v>7.5076461229999998</v>
      </c>
      <c r="O806" s="1">
        <v>7.5668681449999999</v>
      </c>
      <c r="P806" s="1">
        <v>6.0141943849999997</v>
      </c>
      <c r="Q806" s="1">
        <v>6.1485161530000001</v>
      </c>
      <c r="R806" s="1">
        <v>6.1687435319999997</v>
      </c>
      <c r="S806" s="1">
        <v>5.9168316079999999</v>
      </c>
      <c r="T806" s="1">
        <v>6.3114621260000003</v>
      </c>
      <c r="U806" s="1">
        <v>6.1256430599999998</v>
      </c>
      <c r="V806" s="1">
        <v>5.8520207290000004</v>
      </c>
      <c r="W806" s="1">
        <v>5.726489559</v>
      </c>
      <c r="X806" s="1">
        <v>5.8879598250000003</v>
      </c>
      <c r="Y806" s="1">
        <v>6.2836980430000002</v>
      </c>
      <c r="Z806" s="1">
        <v>6.1687435319999997</v>
      </c>
      <c r="AA806" s="1">
        <v>5.9168316079999999</v>
      </c>
      <c r="AB806" s="1">
        <v>5.8098709350000002</v>
      </c>
      <c r="AC806" s="1">
        <v>6.2255363350000001</v>
      </c>
      <c r="AD806" s="1">
        <v>6.1407817189999996</v>
      </c>
      <c r="AE806" s="1">
        <v>6.2026157089999998</v>
      </c>
    </row>
    <row r="807" spans="1:31" x14ac:dyDescent="0.25">
      <c r="A807" s="1" t="s">
        <v>1825</v>
      </c>
      <c r="B807" s="1" t="s">
        <v>2598</v>
      </c>
      <c r="C807" s="1" t="s">
        <v>2599</v>
      </c>
      <c r="D807" s="1" t="s">
        <v>3947</v>
      </c>
      <c r="E807" s="1" t="s">
        <v>3948</v>
      </c>
      <c r="F807" s="1" t="s">
        <v>3949</v>
      </c>
      <c r="G807" s="1" t="s">
        <v>1825</v>
      </c>
      <c r="H807" s="1">
        <v>4.0684382540000001</v>
      </c>
      <c r="I807" s="1">
        <v>4.3763156859999999</v>
      </c>
      <c r="J807" s="1">
        <v>4.1077874330000004</v>
      </c>
      <c r="K807" s="1">
        <v>4.1384138449999996</v>
      </c>
      <c r="L807" s="1">
        <v>4.0714409539999998</v>
      </c>
      <c r="M807" s="1">
        <v>3.6044002019999999</v>
      </c>
      <c r="N807" s="1">
        <v>3.9806352139999999</v>
      </c>
      <c r="O807" s="1">
        <v>4.6248126879999996</v>
      </c>
      <c r="P807" s="1">
        <v>3.6116823170000001</v>
      </c>
      <c r="Q807" s="1">
        <v>3.8492287269999999</v>
      </c>
      <c r="R807" s="1">
        <v>3.1834741979999999</v>
      </c>
      <c r="S807" s="1">
        <v>3.9182367880000002</v>
      </c>
      <c r="T807" s="1">
        <v>4.0714409539999998</v>
      </c>
      <c r="U807" s="1">
        <v>3.6044002019999999</v>
      </c>
      <c r="V807" s="1">
        <v>3.6670520409999998</v>
      </c>
      <c r="W807" s="1">
        <v>3.6840067150000002</v>
      </c>
      <c r="X807" s="1">
        <v>3.8785046219999999</v>
      </c>
      <c r="Y807" s="1">
        <v>4.0337379980000003</v>
      </c>
      <c r="Z807" s="1">
        <v>3.1834741979999999</v>
      </c>
      <c r="AA807" s="1">
        <v>3.9182367880000002</v>
      </c>
      <c r="AB807" s="1">
        <v>2.73487305</v>
      </c>
      <c r="AC807" s="1">
        <v>3.9750819590000002</v>
      </c>
      <c r="AD807" s="1">
        <v>3.984188064</v>
      </c>
      <c r="AE807" s="1">
        <v>3.7492737119999999</v>
      </c>
    </row>
    <row r="808" spans="1:31" x14ac:dyDescent="0.25">
      <c r="A808" s="1" t="s">
        <v>1826</v>
      </c>
      <c r="B808" s="1" t="s">
        <v>2520</v>
      </c>
      <c r="C808" s="1" t="s">
        <v>2521</v>
      </c>
      <c r="D808" s="1" t="s">
        <v>2535</v>
      </c>
      <c r="E808" s="1" t="s">
        <v>3950</v>
      </c>
      <c r="G808" s="1" t="s">
        <v>1826</v>
      </c>
      <c r="H808" s="1">
        <v>4.7972697699999998</v>
      </c>
      <c r="I808" s="1">
        <v>4.9575946069999999</v>
      </c>
      <c r="J808" s="1">
        <v>4.2018709520000002</v>
      </c>
      <c r="K808" s="1">
        <v>4.5974987220000001</v>
      </c>
      <c r="L808" s="1">
        <v>4.5533082269999996</v>
      </c>
      <c r="M808" s="1">
        <v>4.7872698079999996</v>
      </c>
      <c r="N808" s="1">
        <v>4.4945275240000004</v>
      </c>
      <c r="O808" s="1">
        <v>3.9591193910000002</v>
      </c>
      <c r="P808" s="1">
        <v>3.6116823170000001</v>
      </c>
      <c r="Q808" s="1">
        <v>4.4575363990000003</v>
      </c>
      <c r="R808" s="1">
        <v>3.8462631940000001</v>
      </c>
      <c r="S808" s="1">
        <v>4.3966315629999997</v>
      </c>
      <c r="T808" s="1">
        <v>4.5533082269999996</v>
      </c>
      <c r="U808" s="1">
        <v>4.7872698079999996</v>
      </c>
      <c r="V808" s="1">
        <v>4.2408545169999998</v>
      </c>
      <c r="W808" s="1">
        <v>4.69862249</v>
      </c>
      <c r="X808" s="1">
        <v>4.2198471</v>
      </c>
      <c r="Y808" s="1">
        <v>4.4420910779999998</v>
      </c>
      <c r="Z808" s="1">
        <v>3.8462631940000001</v>
      </c>
      <c r="AA808" s="1">
        <v>4.3966315629999997</v>
      </c>
      <c r="AB808" s="1">
        <v>4.139369361</v>
      </c>
      <c r="AC808" s="1">
        <v>2.87258916</v>
      </c>
      <c r="AD808" s="1">
        <v>4.2970121150000002</v>
      </c>
      <c r="AE808" s="1">
        <v>3.8864783150000002</v>
      </c>
    </row>
    <row r="809" spans="1:31" x14ac:dyDescent="0.25">
      <c r="A809" s="1" t="s">
        <v>1828</v>
      </c>
      <c r="B809" s="1" t="s">
        <v>2579</v>
      </c>
      <c r="C809" s="1" t="s">
        <v>2983</v>
      </c>
      <c r="D809" s="1" t="s">
        <v>2535</v>
      </c>
      <c r="E809" s="1" t="s">
        <v>3951</v>
      </c>
      <c r="G809" s="1" t="s">
        <v>1828</v>
      </c>
      <c r="H809" s="1">
        <v>4.8663747150000001</v>
      </c>
      <c r="I809" s="1">
        <v>5.1546023129999998</v>
      </c>
      <c r="J809" s="1">
        <v>5.0551375939999996</v>
      </c>
      <c r="K809" s="1">
        <v>4.3408695499999999</v>
      </c>
      <c r="L809" s="1">
        <v>4.3727018190000004</v>
      </c>
      <c r="M809" s="1">
        <v>4.7872698079999996</v>
      </c>
      <c r="N809" s="1">
        <v>4.6173662499999999</v>
      </c>
      <c r="O809" s="1">
        <v>4.9384407589999997</v>
      </c>
      <c r="P809" s="1">
        <v>4.4805784009999998</v>
      </c>
      <c r="Q809" s="1">
        <v>4.2835653880000004</v>
      </c>
      <c r="R809" s="1">
        <v>4.3698765340000003</v>
      </c>
      <c r="S809" s="1">
        <v>4.4749637470000003</v>
      </c>
      <c r="T809" s="1">
        <v>4.3727018190000004</v>
      </c>
      <c r="U809" s="1">
        <v>4.7872698079999996</v>
      </c>
      <c r="V809" s="1">
        <v>3.6670520409999998</v>
      </c>
      <c r="W809" s="1">
        <v>4.6166922860000001</v>
      </c>
      <c r="X809" s="1">
        <v>4.1686775799999998</v>
      </c>
      <c r="Y809" s="1">
        <v>4.0337379980000003</v>
      </c>
      <c r="Z809" s="1">
        <v>4.3698765340000003</v>
      </c>
      <c r="AA809" s="1">
        <v>4.4749637470000003</v>
      </c>
      <c r="AB809" s="1">
        <v>4.2729702720000002</v>
      </c>
      <c r="AC809" s="1">
        <v>4.1685844940000001</v>
      </c>
      <c r="AD809" s="1">
        <v>4.2970121150000002</v>
      </c>
      <c r="AE809" s="1">
        <v>4.4163948289999997</v>
      </c>
    </row>
    <row r="810" spans="1:31" x14ac:dyDescent="0.25">
      <c r="A810" s="1" t="s">
        <v>1829</v>
      </c>
      <c r="B810" s="1" t="s">
        <v>2568</v>
      </c>
      <c r="C810" s="1" t="s">
        <v>2569</v>
      </c>
      <c r="D810" s="1" t="s">
        <v>2949</v>
      </c>
      <c r="E810" s="1" t="s">
        <v>3952</v>
      </c>
      <c r="G810" s="1" t="s">
        <v>1829</v>
      </c>
      <c r="H810" s="1">
        <v>4.6479005740000003</v>
      </c>
      <c r="I810" s="1">
        <v>5.4067069720000003</v>
      </c>
      <c r="J810" s="1">
        <v>4.5240842389999996</v>
      </c>
      <c r="K810" s="1">
        <v>4.5171444090000001</v>
      </c>
      <c r="L810" s="1">
        <v>6.1339192999999996</v>
      </c>
      <c r="M810" s="1">
        <v>5.7772279879999999</v>
      </c>
      <c r="N810" s="1">
        <v>5.9261193419999998</v>
      </c>
      <c r="O810" s="1">
        <v>5.861353501</v>
      </c>
      <c r="P810" s="1">
        <v>5.1467681949999999</v>
      </c>
      <c r="Q810" s="1">
        <v>5.1004769559999996</v>
      </c>
      <c r="R810" s="1">
        <v>4.8735636449999999</v>
      </c>
      <c r="S810" s="1">
        <v>4.8114074450000004</v>
      </c>
      <c r="T810" s="1">
        <v>6.1339192999999996</v>
      </c>
      <c r="U810" s="1">
        <v>5.7772279879999999</v>
      </c>
      <c r="V810" s="1">
        <v>4.9527859210000003</v>
      </c>
      <c r="W810" s="1">
        <v>4.7760085830000003</v>
      </c>
      <c r="X810" s="1">
        <v>5.3771830209999996</v>
      </c>
      <c r="Y810" s="1">
        <v>4.8904630100000004</v>
      </c>
      <c r="Z810" s="1">
        <v>4.8735636449999999</v>
      </c>
      <c r="AA810" s="1">
        <v>4.8114074450000004</v>
      </c>
      <c r="AB810" s="1">
        <v>5.4746970709999996</v>
      </c>
      <c r="AC810" s="1">
        <v>5.1103036370000003</v>
      </c>
      <c r="AD810" s="1">
        <v>5.4791562909999998</v>
      </c>
      <c r="AE810" s="1">
        <v>5.2252968339999999</v>
      </c>
    </row>
    <row r="811" spans="1:31" x14ac:dyDescent="0.25">
      <c r="A811" s="1" t="s">
        <v>1830</v>
      </c>
      <c r="B811" s="1" t="s">
        <v>2530</v>
      </c>
      <c r="C811" s="1" t="s">
        <v>2531</v>
      </c>
      <c r="D811" s="1" t="s">
        <v>2535</v>
      </c>
      <c r="E811" s="1" t="s">
        <v>3953</v>
      </c>
      <c r="G811" s="1" t="s">
        <v>1830</v>
      </c>
      <c r="H811" s="1">
        <v>5.3232649629999997</v>
      </c>
      <c r="I811" s="1">
        <v>4.7284970130000001</v>
      </c>
      <c r="J811" s="1">
        <v>6.1831700180000002</v>
      </c>
      <c r="K811" s="1">
        <v>6.3412685260000003</v>
      </c>
      <c r="L811" s="1">
        <v>6.4064948719999997</v>
      </c>
      <c r="M811" s="1">
        <v>6.2389026359999997</v>
      </c>
      <c r="N811" s="1">
        <v>4.9318354150000001</v>
      </c>
      <c r="O811" s="1">
        <v>4.8288877169999997</v>
      </c>
      <c r="P811" s="1">
        <v>5.8072178450000003</v>
      </c>
      <c r="Q811" s="1">
        <v>5.991605206</v>
      </c>
      <c r="R811" s="1">
        <v>6.2166299269999996</v>
      </c>
      <c r="S811" s="1">
        <v>5.9440521669999997</v>
      </c>
      <c r="T811" s="1">
        <v>6.4064948719999997</v>
      </c>
      <c r="U811" s="1">
        <v>6.2389026359999997</v>
      </c>
      <c r="V811" s="1">
        <v>5.9705432629999997</v>
      </c>
      <c r="W811" s="1">
        <v>5.427589942</v>
      </c>
      <c r="X811" s="1">
        <v>5.9915198639999998</v>
      </c>
      <c r="Y811" s="1">
        <v>6.0488320509999998</v>
      </c>
      <c r="Z811" s="1">
        <v>6.2166299269999996</v>
      </c>
      <c r="AA811" s="1">
        <v>5.9440521669999997</v>
      </c>
      <c r="AB811" s="1">
        <v>6.339283708</v>
      </c>
      <c r="AC811" s="1">
        <v>5.9744301399999999</v>
      </c>
      <c r="AD811" s="1">
        <v>6.0893990919999998</v>
      </c>
      <c r="AE811" s="1">
        <v>5.3658215939999998</v>
      </c>
    </row>
    <row r="812" spans="1:31" x14ac:dyDescent="0.25">
      <c r="A812" s="1" t="s">
        <v>1831</v>
      </c>
      <c r="B812" s="1" t="s">
        <v>2667</v>
      </c>
      <c r="C812" s="1" t="s">
        <v>2867</v>
      </c>
      <c r="D812" s="1" t="s">
        <v>3954</v>
      </c>
      <c r="E812" s="1" t="s">
        <v>3955</v>
      </c>
      <c r="F812" s="1" t="s">
        <v>3956</v>
      </c>
      <c r="G812" s="1" t="s">
        <v>1831</v>
      </c>
      <c r="H812" s="1">
        <v>4.8663747150000001</v>
      </c>
      <c r="I812" s="1">
        <v>4.5280931029999998</v>
      </c>
      <c r="J812" s="1">
        <v>4.7851628320000001</v>
      </c>
      <c r="K812" s="1">
        <v>4.3408695499999999</v>
      </c>
      <c r="L812" s="1">
        <v>4.3727018190000004</v>
      </c>
      <c r="M812" s="1">
        <v>4.494607383</v>
      </c>
      <c r="N812" s="1">
        <v>4.8677953240000003</v>
      </c>
      <c r="O812" s="1">
        <v>5.3342335859999999</v>
      </c>
      <c r="P812" s="1">
        <v>4.2485661720000003</v>
      </c>
      <c r="Q812" s="1">
        <v>3.9718447549999998</v>
      </c>
      <c r="R812" s="1">
        <v>5.0440296189999998</v>
      </c>
      <c r="S812" s="1">
        <v>4.6864044680000001</v>
      </c>
      <c r="T812" s="1">
        <v>4.3727018190000004</v>
      </c>
      <c r="U812" s="1">
        <v>4.494607383</v>
      </c>
      <c r="V812" s="1">
        <v>4.6987742170000004</v>
      </c>
      <c r="W812" s="1">
        <v>4.69862249</v>
      </c>
      <c r="X812" s="1">
        <v>4.3627028770000003</v>
      </c>
      <c r="Y812" s="1">
        <v>4.8904630100000004</v>
      </c>
      <c r="Z812" s="1">
        <v>5.0440296189999998</v>
      </c>
      <c r="AA812" s="1">
        <v>4.6864044680000001</v>
      </c>
      <c r="AB812" s="1">
        <v>5.3028471579999996</v>
      </c>
      <c r="AC812" s="1">
        <v>4.7474570290000004</v>
      </c>
      <c r="AD812" s="1">
        <v>4.2970121150000002</v>
      </c>
      <c r="AE812" s="1">
        <v>4.6936201110000004</v>
      </c>
    </row>
    <row r="813" spans="1:31" x14ac:dyDescent="0.25">
      <c r="A813" s="1" t="s">
        <v>1832</v>
      </c>
      <c r="B813" s="1" t="s">
        <v>2520</v>
      </c>
      <c r="C813" s="1" t="s">
        <v>2521</v>
      </c>
      <c r="D813" s="1" t="s">
        <v>3957</v>
      </c>
      <c r="E813" s="1" t="s">
        <v>3958</v>
      </c>
      <c r="F813" s="1" t="s">
        <v>3959</v>
      </c>
      <c r="G813" s="1" t="s">
        <v>1832</v>
      </c>
      <c r="H813" s="1">
        <v>4.7972697699999998</v>
      </c>
      <c r="I813" s="1">
        <v>4.8477128089999999</v>
      </c>
      <c r="J813" s="1">
        <v>5.1501560140000002</v>
      </c>
      <c r="K813" s="1">
        <v>5.6105789259999996</v>
      </c>
      <c r="L813" s="1">
        <v>5.710253325</v>
      </c>
      <c r="M813" s="1">
        <v>5.6184934039999996</v>
      </c>
      <c r="N813" s="1">
        <v>5.5139471840000001</v>
      </c>
      <c r="O813" s="1">
        <v>5.5323462069999998</v>
      </c>
      <c r="P813" s="1">
        <v>5.9400346730000004</v>
      </c>
      <c r="Q813" s="1">
        <v>5.1511590549999999</v>
      </c>
      <c r="R813" s="1">
        <v>5.6102934549999999</v>
      </c>
      <c r="S813" s="1">
        <v>5.4306817489999997</v>
      </c>
      <c r="T813" s="1">
        <v>5.710253325</v>
      </c>
      <c r="U813" s="1">
        <v>5.6184934039999996</v>
      </c>
      <c r="V813" s="1">
        <v>5.1679192199999999</v>
      </c>
      <c r="W813" s="1">
        <v>5.427589942</v>
      </c>
      <c r="X813" s="1">
        <v>5.8569434649999996</v>
      </c>
      <c r="Y813" s="1">
        <v>5.417933841</v>
      </c>
      <c r="Z813" s="1">
        <v>5.6102934549999999</v>
      </c>
      <c r="AA813" s="1">
        <v>5.4306817489999997</v>
      </c>
      <c r="AB813" s="1">
        <v>5.7218462399999996</v>
      </c>
      <c r="AC813" s="1">
        <v>5.471555994</v>
      </c>
      <c r="AD813" s="1">
        <v>5.4791562909999998</v>
      </c>
      <c r="AE813" s="1">
        <v>5.49371411</v>
      </c>
    </row>
    <row r="814" spans="1:31" x14ac:dyDescent="0.25">
      <c r="A814" s="1" t="s">
        <v>1833</v>
      </c>
      <c r="B814" s="1" t="s">
        <v>2530</v>
      </c>
      <c r="C814" s="1" t="s">
        <v>2531</v>
      </c>
      <c r="D814" s="1" t="s">
        <v>2535</v>
      </c>
      <c r="E814" s="1" t="s">
        <v>3960</v>
      </c>
      <c r="G814" s="1" t="s">
        <v>1833</v>
      </c>
      <c r="H814" s="1">
        <v>3.9421380259999999</v>
      </c>
      <c r="I814" s="1">
        <v>4.5280931029999998</v>
      </c>
      <c r="J814" s="1">
        <v>5.7728716349999996</v>
      </c>
      <c r="K814" s="1">
        <v>5.5322182199999999</v>
      </c>
      <c r="L814" s="1">
        <v>5.7687912140000002</v>
      </c>
      <c r="M814" s="1">
        <v>5.5973531489999999</v>
      </c>
      <c r="N814" s="1">
        <v>4.730225151</v>
      </c>
      <c r="O814" s="1">
        <v>4.4368189940000002</v>
      </c>
      <c r="P814" s="1">
        <v>4.9577743410000004</v>
      </c>
      <c r="Q814" s="1">
        <v>5.2000913229999997</v>
      </c>
      <c r="R814" s="1">
        <v>5.7472990829999997</v>
      </c>
      <c r="S814" s="1">
        <v>5.4687741709999997</v>
      </c>
      <c r="T814" s="1">
        <v>5.7687912140000002</v>
      </c>
      <c r="U814" s="1">
        <v>5.5973531489999999</v>
      </c>
      <c r="V814" s="1">
        <v>5.0857495259999999</v>
      </c>
      <c r="W814" s="1">
        <v>5.6059572260000001</v>
      </c>
      <c r="X814" s="1">
        <v>5.3326311679999998</v>
      </c>
      <c r="Y814" s="1">
        <v>5.3731782380000004</v>
      </c>
      <c r="Z814" s="1">
        <v>5.7472990829999997</v>
      </c>
      <c r="AA814" s="1">
        <v>5.4687741709999997</v>
      </c>
      <c r="AB814" s="1">
        <v>5.5276660309999999</v>
      </c>
      <c r="AC814" s="1">
        <v>5.1552886820000001</v>
      </c>
      <c r="AD814" s="1">
        <v>5.5186611069999998</v>
      </c>
      <c r="AE814" s="1">
        <v>5.6481534240000002</v>
      </c>
    </row>
    <row r="815" spans="1:31" x14ac:dyDescent="0.25">
      <c r="A815" s="1" t="s">
        <v>1834</v>
      </c>
      <c r="B815" s="1" t="s">
        <v>2530</v>
      </c>
      <c r="C815" s="1" t="s">
        <v>2531</v>
      </c>
      <c r="D815" s="1" t="s">
        <v>2535</v>
      </c>
      <c r="E815" s="1" t="s">
        <v>2536</v>
      </c>
      <c r="G815" s="1" t="s">
        <v>1834</v>
      </c>
      <c r="H815" s="1">
        <v>3.9421380259999999</v>
      </c>
      <c r="I815" s="1">
        <v>3.7806045529999999</v>
      </c>
      <c r="J815" s="1">
        <v>5.2392025899999997</v>
      </c>
      <c r="K815" s="1">
        <v>4.8139921829999999</v>
      </c>
      <c r="L815" s="1">
        <v>5.6492182990000002</v>
      </c>
      <c r="M815" s="1">
        <v>5.5319881950000003</v>
      </c>
      <c r="N815" s="1">
        <v>3.8490531570000002</v>
      </c>
      <c r="O815" s="1">
        <v>3.193511794</v>
      </c>
      <c r="P815" s="1">
        <v>5.2736118430000003</v>
      </c>
      <c r="Q815" s="1">
        <v>5.2000913229999997</v>
      </c>
      <c r="R815" s="1">
        <v>5.6102934549999999</v>
      </c>
      <c r="S815" s="1">
        <v>5.2672271329999996</v>
      </c>
      <c r="T815" s="1">
        <v>5.6492182990000002</v>
      </c>
      <c r="U815" s="1">
        <v>5.5319881950000003</v>
      </c>
      <c r="V815" s="1">
        <v>5.1274300740000003</v>
      </c>
      <c r="W815" s="1">
        <v>5.6472737119999996</v>
      </c>
      <c r="X815" s="1">
        <v>5.3550813679999996</v>
      </c>
      <c r="Y815" s="1">
        <v>5.2792112080000004</v>
      </c>
      <c r="Z815" s="1">
        <v>5.6102934549999999</v>
      </c>
      <c r="AA815" s="1">
        <v>5.2672271329999996</v>
      </c>
      <c r="AB815" s="1">
        <v>5.5787398220000002</v>
      </c>
      <c r="AC815" s="1">
        <v>4.9660712470000004</v>
      </c>
      <c r="AD815" s="1">
        <v>5.2159266190000002</v>
      </c>
      <c r="AE815" s="1">
        <v>5.4312016559999998</v>
      </c>
    </row>
    <row r="816" spans="1:31" x14ac:dyDescent="0.25">
      <c r="A816" s="1" t="s">
        <v>1835</v>
      </c>
      <c r="B816" s="1" t="s">
        <v>2667</v>
      </c>
      <c r="C816" s="1" t="s">
        <v>2875</v>
      </c>
      <c r="D816" s="1" t="s">
        <v>3961</v>
      </c>
      <c r="E816" s="1" t="s">
        <v>3962</v>
      </c>
      <c r="F816" s="1" t="s">
        <v>3963</v>
      </c>
      <c r="G816" s="1" t="s">
        <v>1835</v>
      </c>
      <c r="H816" s="1">
        <v>4.7245801409999997</v>
      </c>
      <c r="I816" s="1">
        <v>4.3763156859999999</v>
      </c>
      <c r="J816" s="1">
        <v>7.1970048560000004</v>
      </c>
      <c r="K816" s="1">
        <v>6.4514685810000003</v>
      </c>
      <c r="L816" s="1">
        <v>7.4382748569999997</v>
      </c>
      <c r="M816" s="1">
        <v>7.3745310240000004</v>
      </c>
      <c r="N816" s="1">
        <v>5.5548950010000002</v>
      </c>
      <c r="O816" s="1">
        <v>5.5552821830000001</v>
      </c>
      <c r="P816" s="1">
        <v>7.0025694749999996</v>
      </c>
      <c r="Q816" s="1">
        <v>7.1935596359999998</v>
      </c>
      <c r="R816" s="1">
        <v>7.509988559</v>
      </c>
      <c r="S816" s="1">
        <v>7.4150837699999999</v>
      </c>
      <c r="T816" s="1">
        <v>7.4382748569999997</v>
      </c>
      <c r="U816" s="1">
        <v>7.3745310240000004</v>
      </c>
      <c r="V816" s="1">
        <v>7.0532434420000003</v>
      </c>
      <c r="W816" s="1">
        <v>7.3103856619999998</v>
      </c>
      <c r="X816" s="1">
        <v>7.47049261</v>
      </c>
      <c r="Y816" s="1">
        <v>7.0913366450000002</v>
      </c>
      <c r="Z816" s="1">
        <v>7.509988559</v>
      </c>
      <c r="AA816" s="1">
        <v>7.4150837699999999</v>
      </c>
      <c r="AB816" s="1">
        <v>7.1852104319999999</v>
      </c>
      <c r="AC816" s="1">
        <v>7.5352821600000004</v>
      </c>
      <c r="AD816" s="1">
        <v>7.4023821740000004</v>
      </c>
      <c r="AE816" s="1">
        <v>7.3711623599999996</v>
      </c>
    </row>
    <row r="817" spans="1:31" x14ac:dyDescent="0.25">
      <c r="A817" s="1" t="s">
        <v>1840</v>
      </c>
      <c r="B817" s="1" t="s">
        <v>2547</v>
      </c>
      <c r="C817" s="1" t="s">
        <v>2566</v>
      </c>
      <c r="D817" s="1" t="s">
        <v>3964</v>
      </c>
      <c r="E817" s="1" t="s">
        <v>3965</v>
      </c>
      <c r="F817" s="1" t="s">
        <v>3966</v>
      </c>
      <c r="G817" s="1" t="s">
        <v>1840</v>
      </c>
      <c r="H817" s="1">
        <v>5.7062998909999996</v>
      </c>
      <c r="I817" s="1">
        <v>4.8477128089999999</v>
      </c>
      <c r="J817" s="1">
        <v>6.1146491980000004</v>
      </c>
      <c r="K817" s="1">
        <v>6.1968079280000001</v>
      </c>
      <c r="L817" s="1">
        <v>6.5877046339999996</v>
      </c>
      <c r="M817" s="1">
        <v>6.5109621640000004</v>
      </c>
      <c r="N817" s="1">
        <v>5.878624276</v>
      </c>
      <c r="O817" s="1">
        <v>5.7466551829999997</v>
      </c>
      <c r="P817" s="1">
        <v>6.1950446890000004</v>
      </c>
      <c r="Q817" s="1">
        <v>5.718446159</v>
      </c>
      <c r="R817" s="1">
        <v>5.9309793060000002</v>
      </c>
      <c r="S817" s="1">
        <v>5.8024660560000001</v>
      </c>
      <c r="T817" s="1">
        <v>6.5877046339999996</v>
      </c>
      <c r="U817" s="1">
        <v>6.5109621640000004</v>
      </c>
      <c r="V817" s="1">
        <v>6.1817294079999998</v>
      </c>
      <c r="W817" s="1">
        <v>5.872872095</v>
      </c>
      <c r="X817" s="1">
        <v>6.2637322309999997</v>
      </c>
      <c r="Y817" s="1">
        <v>6.1840201749999997</v>
      </c>
      <c r="Z817" s="1">
        <v>5.9309793060000002</v>
      </c>
      <c r="AA817" s="1">
        <v>5.8024660560000001</v>
      </c>
      <c r="AB817" s="1">
        <v>6.4252252849999998</v>
      </c>
      <c r="AC817" s="1">
        <v>6.2255363350000001</v>
      </c>
      <c r="AD817" s="1">
        <v>6.1657997020000002</v>
      </c>
      <c r="AE817" s="1">
        <v>5.8040306609999996</v>
      </c>
    </row>
    <row r="818" spans="1:31" x14ac:dyDescent="0.25">
      <c r="A818" s="1" t="s">
        <v>1841</v>
      </c>
      <c r="B818" s="1" t="s">
        <v>2547</v>
      </c>
      <c r="C818" s="1" t="s">
        <v>2566</v>
      </c>
      <c r="D818" s="1" t="s">
        <v>3964</v>
      </c>
      <c r="E818" s="1" t="s">
        <v>3967</v>
      </c>
      <c r="F818" s="1" t="s">
        <v>3968</v>
      </c>
      <c r="G818" s="1" t="s">
        <v>1841</v>
      </c>
      <c r="H818" s="1">
        <v>4.5667504939999999</v>
      </c>
      <c r="I818" s="1">
        <v>4.8477128089999999</v>
      </c>
      <c r="J818" s="1">
        <v>4.8994370109999998</v>
      </c>
      <c r="K818" s="1">
        <v>4.941717659</v>
      </c>
      <c r="L818" s="1">
        <v>5.128160297</v>
      </c>
      <c r="M818" s="1">
        <v>5.4399015869999996</v>
      </c>
      <c r="N818" s="1">
        <v>5.8624363539999997</v>
      </c>
      <c r="O818" s="1">
        <v>5.6435121610000003</v>
      </c>
      <c r="P818" s="1">
        <v>4.9062897479999998</v>
      </c>
      <c r="Q818" s="1">
        <v>4.8773483779999998</v>
      </c>
      <c r="R818" s="1">
        <v>5.1961281320000001</v>
      </c>
      <c r="S818" s="1">
        <v>4.6864044680000001</v>
      </c>
      <c r="T818" s="1">
        <v>5.128160297</v>
      </c>
      <c r="U818" s="1">
        <v>5.4399015869999996</v>
      </c>
      <c r="V818" s="1">
        <v>4.8059579570000004</v>
      </c>
      <c r="W818" s="1">
        <v>4.9854391920000003</v>
      </c>
      <c r="X818" s="1">
        <v>4.9447045230000004</v>
      </c>
      <c r="Y818" s="1">
        <v>5.0702808140000002</v>
      </c>
      <c r="Z818" s="1">
        <v>5.1961281320000001</v>
      </c>
      <c r="AA818" s="1">
        <v>4.6864044680000001</v>
      </c>
      <c r="AB818" s="1">
        <v>4.5063178209999997</v>
      </c>
      <c r="AC818" s="1">
        <v>4.6870272159999997</v>
      </c>
      <c r="AD818" s="1">
        <v>4.5511338559999999</v>
      </c>
      <c r="AE818" s="1">
        <v>5.1494525009999998</v>
      </c>
    </row>
    <row r="819" spans="1:31" x14ac:dyDescent="0.25">
      <c r="A819" s="1" t="s">
        <v>1844</v>
      </c>
      <c r="B819" s="1" t="s">
        <v>2547</v>
      </c>
      <c r="C819" s="1" t="s">
        <v>2566</v>
      </c>
      <c r="D819" s="1" t="s">
        <v>3964</v>
      </c>
      <c r="E819" s="1" t="s">
        <v>3969</v>
      </c>
      <c r="F819" s="1" t="s">
        <v>3970</v>
      </c>
      <c r="G819" s="1" t="s">
        <v>1844</v>
      </c>
      <c r="H819" s="1">
        <v>6.2825651889999996</v>
      </c>
      <c r="I819" s="1">
        <v>6.8685279430000001</v>
      </c>
      <c r="J819" s="1">
        <v>7.0336998949999998</v>
      </c>
      <c r="K819" s="1">
        <v>7.1052114120000001</v>
      </c>
      <c r="L819" s="1">
        <v>6.7340543439999996</v>
      </c>
      <c r="M819" s="1">
        <v>6.9944789749999998</v>
      </c>
      <c r="N819" s="1">
        <v>6.2948737059999997</v>
      </c>
      <c r="O819" s="1">
        <v>6.0822573350000004</v>
      </c>
      <c r="P819" s="1">
        <v>7.2974488869999998</v>
      </c>
      <c r="Q819" s="1">
        <v>7.0814381859999997</v>
      </c>
      <c r="R819" s="1">
        <v>6.5134469040000003</v>
      </c>
      <c r="S819" s="1">
        <v>6.9892911179999997</v>
      </c>
      <c r="T819" s="1">
        <v>6.7340543439999996</v>
      </c>
      <c r="U819" s="1">
        <v>6.9944789749999998</v>
      </c>
      <c r="V819" s="1">
        <v>7.6782525760000002</v>
      </c>
      <c r="W819" s="1">
        <v>7.7487515379999996</v>
      </c>
      <c r="X819" s="1">
        <v>7.1063290629999996</v>
      </c>
      <c r="Y819" s="1">
        <v>7.8031189599999999</v>
      </c>
      <c r="Z819" s="1">
        <v>6.5134469040000003</v>
      </c>
      <c r="AA819" s="1">
        <v>6.9892911179999997</v>
      </c>
      <c r="AB819" s="1">
        <v>6.339283708</v>
      </c>
      <c r="AC819" s="1">
        <v>6.346005549</v>
      </c>
      <c r="AD819" s="1">
        <v>6.190389411</v>
      </c>
      <c r="AE819" s="1">
        <v>6.7534616639999996</v>
      </c>
    </row>
    <row r="820" spans="1:31" x14ac:dyDescent="0.25">
      <c r="A820" s="1" t="s">
        <v>1845</v>
      </c>
      <c r="B820" s="1" t="s">
        <v>2547</v>
      </c>
      <c r="C820" s="1" t="s">
        <v>2566</v>
      </c>
      <c r="D820" s="1" t="s">
        <v>3964</v>
      </c>
      <c r="E820" s="1" t="s">
        <v>3971</v>
      </c>
      <c r="F820" s="1" t="s">
        <v>3972</v>
      </c>
      <c r="G820" s="1" t="s">
        <v>1845</v>
      </c>
      <c r="H820" s="1">
        <v>6.6738400520000001</v>
      </c>
      <c r="I820" s="1">
        <v>6.4707161060000002</v>
      </c>
      <c r="J820" s="1">
        <v>7.1059649460000003</v>
      </c>
      <c r="K820" s="1">
        <v>7.4079296890000004</v>
      </c>
      <c r="L820" s="1">
        <v>7.5380685420000004</v>
      </c>
      <c r="M820" s="1">
        <v>7.4932374729999998</v>
      </c>
      <c r="N820" s="1">
        <v>6.7460863370000004</v>
      </c>
      <c r="O820" s="1">
        <v>6.9786739019999997</v>
      </c>
      <c r="P820" s="1">
        <v>7.0964005209999996</v>
      </c>
      <c r="Q820" s="1">
        <v>7.4357135650000004</v>
      </c>
      <c r="R820" s="1">
        <v>7.5003648319999998</v>
      </c>
      <c r="S820" s="1">
        <v>7.4150837699999999</v>
      </c>
      <c r="T820" s="1">
        <v>7.5380685420000004</v>
      </c>
      <c r="U820" s="1">
        <v>7.4932374729999998</v>
      </c>
      <c r="V820" s="1">
        <v>6.730190017</v>
      </c>
      <c r="W820" s="1">
        <v>6.657303325</v>
      </c>
      <c r="X820" s="1">
        <v>7.475591595</v>
      </c>
      <c r="Y820" s="1">
        <v>7.0495236999999999</v>
      </c>
      <c r="Z820" s="1">
        <v>7.5003648319999998</v>
      </c>
      <c r="AA820" s="1">
        <v>7.4150837699999999</v>
      </c>
      <c r="AB820" s="1">
        <v>7.412395268</v>
      </c>
      <c r="AC820" s="1">
        <v>7.4573009299999997</v>
      </c>
      <c r="AD820" s="1">
        <v>7.5985399359999999</v>
      </c>
      <c r="AE820" s="1">
        <v>7.1827051390000003</v>
      </c>
    </row>
    <row r="821" spans="1:31" x14ac:dyDescent="0.25">
      <c r="A821" s="1" t="s">
        <v>1846</v>
      </c>
      <c r="B821" s="1" t="s">
        <v>2547</v>
      </c>
      <c r="C821" s="1" t="s">
        <v>2566</v>
      </c>
      <c r="D821" s="1" t="s">
        <v>3964</v>
      </c>
      <c r="E821" s="1" t="s">
        <v>3973</v>
      </c>
      <c r="F821" s="1" t="s">
        <v>3974</v>
      </c>
      <c r="G821" s="1" t="s">
        <v>1846</v>
      </c>
      <c r="H821" s="1">
        <v>5.2735834620000004</v>
      </c>
      <c r="I821" s="1">
        <v>5.5529645800000003</v>
      </c>
      <c r="J821" s="1">
        <v>5.1034438250000003</v>
      </c>
      <c r="K821" s="1">
        <v>5.0588199180000002</v>
      </c>
      <c r="L821" s="1">
        <v>5.552483659</v>
      </c>
      <c r="M821" s="1">
        <v>5.6393255609999997</v>
      </c>
      <c r="N821" s="1">
        <v>5.428348615</v>
      </c>
      <c r="O821" s="1">
        <v>5.5778556410000002</v>
      </c>
      <c r="P821" s="1">
        <v>5.3900565609999997</v>
      </c>
      <c r="Q821" s="1">
        <v>5.2931690810000003</v>
      </c>
      <c r="R821" s="1">
        <v>5.6457947050000001</v>
      </c>
      <c r="S821" s="1">
        <v>5.710270789</v>
      </c>
      <c r="T821" s="1">
        <v>5.552483659</v>
      </c>
      <c r="U821" s="1">
        <v>5.6393255609999997</v>
      </c>
      <c r="V821" s="1">
        <v>5.4230002329999998</v>
      </c>
      <c r="W821" s="1">
        <v>5.6059572260000001</v>
      </c>
      <c r="X821" s="1">
        <v>6.1910758819999998</v>
      </c>
      <c r="Y821" s="1">
        <v>4.7564010139999997</v>
      </c>
      <c r="Z821" s="1">
        <v>5.6457947050000001</v>
      </c>
      <c r="AA821" s="1">
        <v>5.710270789</v>
      </c>
      <c r="AB821" s="1">
        <v>5.0356743460000004</v>
      </c>
      <c r="AC821" s="1">
        <v>5.5407520860000004</v>
      </c>
      <c r="AD821" s="1">
        <v>5.8632235870000002</v>
      </c>
      <c r="AE821" s="1">
        <v>6.0029044730000001</v>
      </c>
    </row>
    <row r="822" spans="1:31" x14ac:dyDescent="0.25">
      <c r="A822" s="1" t="s">
        <v>1852</v>
      </c>
      <c r="B822" s="1" t="s">
        <v>2525</v>
      </c>
      <c r="C822" s="1" t="s">
        <v>3759</v>
      </c>
      <c r="D822" s="1" t="s">
        <v>3975</v>
      </c>
      <c r="E822" s="1" t="s">
        <v>3976</v>
      </c>
      <c r="F822" s="1" t="s">
        <v>3977</v>
      </c>
      <c r="G822" s="1" t="s">
        <v>1852</v>
      </c>
      <c r="H822" s="1">
        <v>6.1242673779999999</v>
      </c>
      <c r="I822" s="1">
        <v>6.2534876759999998</v>
      </c>
      <c r="J822" s="1">
        <v>5.7122264270000001</v>
      </c>
      <c r="K822" s="1">
        <v>5.9783799200000001</v>
      </c>
      <c r="L822" s="1">
        <v>5.8791437640000002</v>
      </c>
      <c r="M822" s="1">
        <v>5.868183685</v>
      </c>
      <c r="N822" s="1">
        <v>6.6458437989999997</v>
      </c>
      <c r="O822" s="1">
        <v>6.4425402370000002</v>
      </c>
      <c r="P822" s="1">
        <v>5.9144375350000002</v>
      </c>
      <c r="Q822" s="1">
        <v>5.718446159</v>
      </c>
      <c r="R822" s="1">
        <v>6.0678975499999996</v>
      </c>
      <c r="S822" s="1">
        <v>6.0227453090000003</v>
      </c>
      <c r="T822" s="1">
        <v>5.8791437640000002</v>
      </c>
      <c r="U822" s="1">
        <v>5.868183685</v>
      </c>
      <c r="V822" s="1">
        <v>5.7495972609999999</v>
      </c>
      <c r="W822" s="1">
        <v>5.9072448660000001</v>
      </c>
      <c r="X822" s="1">
        <v>6.0746991130000003</v>
      </c>
      <c r="Y822" s="1">
        <v>6.1840201749999997</v>
      </c>
      <c r="Z822" s="1">
        <v>6.0678975499999996</v>
      </c>
      <c r="AA822" s="1">
        <v>6.0227453090000003</v>
      </c>
      <c r="AB822" s="1">
        <v>5.9325296429999996</v>
      </c>
      <c r="AC822" s="1">
        <v>6.0940352600000001</v>
      </c>
      <c r="AD822" s="1">
        <v>6.0630013820000004</v>
      </c>
      <c r="AE822" s="1">
        <v>6.086150795</v>
      </c>
    </row>
    <row r="823" spans="1:31" x14ac:dyDescent="0.25">
      <c r="A823" s="1" t="s">
        <v>1854</v>
      </c>
      <c r="B823" s="1" t="s">
        <v>2608</v>
      </c>
      <c r="C823" s="1" t="s">
        <v>2700</v>
      </c>
      <c r="D823" s="1" t="s">
        <v>3868</v>
      </c>
      <c r="E823" s="1" t="s">
        <v>3978</v>
      </c>
      <c r="F823" s="1" t="s">
        <v>3979</v>
      </c>
      <c r="G823" s="1" t="s">
        <v>1854</v>
      </c>
      <c r="H823" s="1">
        <v>7.556606199</v>
      </c>
      <c r="I823" s="1">
        <v>6.7376237200000002</v>
      </c>
      <c r="J823" s="1">
        <v>5.8869626679999998</v>
      </c>
      <c r="K823" s="1">
        <v>6.2219157379999999</v>
      </c>
      <c r="L823" s="1">
        <v>4.4478088219999998</v>
      </c>
      <c r="M823" s="1">
        <v>4.7490378550000001</v>
      </c>
      <c r="N823" s="1">
        <v>6.7013847870000003</v>
      </c>
      <c r="O823" s="1">
        <v>6.7700014289999997</v>
      </c>
      <c r="P823" s="1">
        <v>5.0554269730000003</v>
      </c>
      <c r="Q823" s="1">
        <v>5.2000913229999997</v>
      </c>
      <c r="R823" s="1">
        <v>4.8735636449999999</v>
      </c>
      <c r="S823" s="1">
        <v>5.0824952919999999</v>
      </c>
      <c r="T823" s="1">
        <v>4.4478088219999998</v>
      </c>
      <c r="U823" s="1">
        <v>4.7490378550000001</v>
      </c>
      <c r="V823" s="1">
        <v>4.6987742170000004</v>
      </c>
      <c r="W823" s="1">
        <v>5.16775612</v>
      </c>
      <c r="X823" s="1">
        <v>5.0589726410000004</v>
      </c>
      <c r="Y823" s="1">
        <v>5.3731782380000004</v>
      </c>
      <c r="Z823" s="1">
        <v>4.8735636449999999</v>
      </c>
      <c r="AA823" s="1">
        <v>5.0824952919999999</v>
      </c>
      <c r="AB823" s="1">
        <v>5.3624643089999999</v>
      </c>
      <c r="AC823" s="1">
        <v>5.2411914069999996</v>
      </c>
      <c r="AD823" s="1">
        <v>5.4385263000000004</v>
      </c>
      <c r="AE823" s="1">
        <v>5.7539342490000003</v>
      </c>
    </row>
    <row r="824" spans="1:31" x14ac:dyDescent="0.25">
      <c r="A824" s="1" t="s">
        <v>1857</v>
      </c>
      <c r="B824" s="1" t="s">
        <v>2598</v>
      </c>
      <c r="C824" s="1" t="s">
        <v>2599</v>
      </c>
      <c r="D824" s="1" t="s">
        <v>3080</v>
      </c>
      <c r="E824" s="1" t="s">
        <v>3980</v>
      </c>
      <c r="F824" s="1" t="s">
        <v>3981</v>
      </c>
      <c r="G824" s="1" t="s">
        <v>1857</v>
      </c>
      <c r="H824" s="1">
        <v>6.8693110669999999</v>
      </c>
      <c r="I824" s="1">
        <v>6.8262016389999998</v>
      </c>
      <c r="J824" s="1">
        <v>7.9456164889999998</v>
      </c>
      <c r="K824" s="1">
        <v>7.7470007369999996</v>
      </c>
      <c r="L824" s="1">
        <v>7.6116180079999998</v>
      </c>
      <c r="M824" s="1">
        <v>7.8273831129999998</v>
      </c>
      <c r="N824" s="1">
        <v>7.3602529079999996</v>
      </c>
      <c r="O824" s="1">
        <v>7.5095852350000003</v>
      </c>
      <c r="P824" s="1">
        <v>7.8555227590000003</v>
      </c>
      <c r="Q824" s="1">
        <v>7.950072338</v>
      </c>
      <c r="R824" s="1">
        <v>7.7235601989999996</v>
      </c>
      <c r="S824" s="1">
        <v>8.0297248410000002</v>
      </c>
      <c r="T824" s="1">
        <v>7.6116180079999998</v>
      </c>
      <c r="U824" s="1">
        <v>7.8273831129999998</v>
      </c>
      <c r="V824" s="1">
        <v>7.7057775480000004</v>
      </c>
      <c r="W824" s="1">
        <v>7.7768262349999997</v>
      </c>
      <c r="X824" s="1">
        <v>7.7441670939999998</v>
      </c>
      <c r="Y824" s="1">
        <v>7.6057505829999998</v>
      </c>
      <c r="Z824" s="1">
        <v>7.7235601989999996</v>
      </c>
      <c r="AA824" s="1">
        <v>8.0297248410000002</v>
      </c>
      <c r="AB824" s="1">
        <v>7.9548424219999996</v>
      </c>
      <c r="AC824" s="1">
        <v>8.018142246</v>
      </c>
      <c r="AD824" s="1">
        <v>7.4335619030000002</v>
      </c>
      <c r="AE824" s="1">
        <v>7.6421325360000001</v>
      </c>
    </row>
    <row r="825" spans="1:31" x14ac:dyDescent="0.25">
      <c r="A825" s="1" t="s">
        <v>1858</v>
      </c>
      <c r="B825" s="1" t="s">
        <v>2530</v>
      </c>
      <c r="C825" s="1" t="s">
        <v>2531</v>
      </c>
      <c r="D825" s="1" t="s">
        <v>2535</v>
      </c>
      <c r="E825" s="1" t="s">
        <v>3982</v>
      </c>
      <c r="G825" s="1" t="s">
        <v>1858</v>
      </c>
      <c r="H825" s="1">
        <v>6.5753846300000003</v>
      </c>
      <c r="I825" s="1">
        <v>6.7972768459999999</v>
      </c>
      <c r="J825" s="1">
        <v>6.7325823309999997</v>
      </c>
      <c r="K825" s="1">
        <v>7.2705230040000002</v>
      </c>
      <c r="L825" s="1">
        <v>7.0777530180000001</v>
      </c>
      <c r="M825" s="1">
        <v>6.6504511339999999</v>
      </c>
      <c r="N825" s="1">
        <v>7.3194458109999996</v>
      </c>
      <c r="O825" s="1">
        <v>7.1534477360000004</v>
      </c>
      <c r="P825" s="1">
        <v>6.1736452379999998</v>
      </c>
      <c r="Q825" s="1">
        <v>5.991605206</v>
      </c>
      <c r="R825" s="1">
        <v>6.3726832150000003</v>
      </c>
      <c r="S825" s="1">
        <v>6.5329808710000004</v>
      </c>
      <c r="T825" s="1">
        <v>7.0777530180000001</v>
      </c>
      <c r="U825" s="1">
        <v>6.6504511339999999</v>
      </c>
      <c r="V825" s="1">
        <v>6.821147324</v>
      </c>
      <c r="W825" s="1">
        <v>6.7547022720000003</v>
      </c>
      <c r="X825" s="1">
        <v>6.4722173280000002</v>
      </c>
      <c r="Y825" s="1">
        <v>6.1579814659999998</v>
      </c>
      <c r="Z825" s="1">
        <v>6.3726832150000003</v>
      </c>
      <c r="AA825" s="1">
        <v>6.5329808710000004</v>
      </c>
      <c r="AB825" s="1">
        <v>5.7665348979999997</v>
      </c>
      <c r="AC825" s="1">
        <v>5.6698330419999996</v>
      </c>
      <c r="AD825" s="1">
        <v>6.0893990919999998</v>
      </c>
      <c r="AE825" s="1">
        <v>6.2272627849999997</v>
      </c>
    </row>
    <row r="826" spans="1:31" x14ac:dyDescent="0.25">
      <c r="A826" s="1" t="s">
        <v>1859</v>
      </c>
      <c r="B826" s="1" t="s">
        <v>2631</v>
      </c>
      <c r="C826" s="1" t="s">
        <v>2980</v>
      </c>
      <c r="D826" s="1" t="s">
        <v>2535</v>
      </c>
      <c r="E826" s="1" t="s">
        <v>3983</v>
      </c>
      <c r="G826" s="1" t="s">
        <v>1859</v>
      </c>
      <c r="H826" s="1">
        <v>6.4696957609999997</v>
      </c>
      <c r="I826" s="1">
        <v>6.9627053569999999</v>
      </c>
      <c r="J826" s="1">
        <v>5.6488969620000002</v>
      </c>
      <c r="K826" s="1">
        <v>6.1968079280000001</v>
      </c>
      <c r="L826" s="1">
        <v>6.6118247779999999</v>
      </c>
      <c r="M826" s="1">
        <v>6.3438841760000004</v>
      </c>
      <c r="N826" s="1">
        <v>7.3544935740000001</v>
      </c>
      <c r="O826" s="1">
        <v>7.1976511859999999</v>
      </c>
      <c r="P826" s="1">
        <v>6.1950446890000004</v>
      </c>
      <c r="Q826" s="1">
        <v>5.9352426600000001</v>
      </c>
      <c r="R826" s="1">
        <v>6.0415391009999997</v>
      </c>
      <c r="S826" s="1">
        <v>6.0480456849999999</v>
      </c>
      <c r="T826" s="1">
        <v>6.6118247779999999</v>
      </c>
      <c r="U826" s="1">
        <v>6.3438841760000004</v>
      </c>
      <c r="V826" s="1">
        <v>6.3308320719999998</v>
      </c>
      <c r="W826" s="1">
        <v>6.5309970670000004</v>
      </c>
      <c r="X826" s="1">
        <v>5.9332613380000003</v>
      </c>
      <c r="Y826" s="1">
        <v>6.1579814659999998</v>
      </c>
      <c r="Z826" s="1">
        <v>6.0415391009999997</v>
      </c>
      <c r="AA826" s="1">
        <v>6.0480456849999999</v>
      </c>
      <c r="AB826" s="1">
        <v>6.1502584210000002</v>
      </c>
      <c r="AC826" s="1">
        <v>5.8439382809999998</v>
      </c>
      <c r="AD826" s="1">
        <v>6.284744441</v>
      </c>
      <c r="AE826" s="1">
        <v>6.0589349549999998</v>
      </c>
    </row>
    <row r="827" spans="1:31" x14ac:dyDescent="0.25">
      <c r="A827" s="1" t="s">
        <v>1860</v>
      </c>
      <c r="B827" s="1" t="s">
        <v>2520</v>
      </c>
      <c r="C827" s="1" t="s">
        <v>2521</v>
      </c>
      <c r="D827" s="1" t="s">
        <v>3984</v>
      </c>
      <c r="E827" s="1" t="s">
        <v>3985</v>
      </c>
      <c r="F827" s="1" t="s">
        <v>3986</v>
      </c>
      <c r="G827" s="1" t="s">
        <v>1860</v>
      </c>
      <c r="H827" s="1">
        <v>8.6805538359999996</v>
      </c>
      <c r="I827" s="1">
        <v>8.6455408279999997</v>
      </c>
      <c r="J827" s="1">
        <v>7.7788630860000003</v>
      </c>
      <c r="K827" s="1">
        <v>7.8144613779999998</v>
      </c>
      <c r="L827" s="1">
        <v>7.6739872450000002</v>
      </c>
      <c r="M827" s="1">
        <v>7.5325785349999999</v>
      </c>
      <c r="N827" s="1">
        <v>8.5634520120000008</v>
      </c>
      <c r="O827" s="1">
        <v>8.6699683210000007</v>
      </c>
      <c r="P827" s="1">
        <v>7.669671846</v>
      </c>
      <c r="Q827" s="1">
        <v>7.4255456510000002</v>
      </c>
      <c r="R827" s="1">
        <v>7.5003648319999998</v>
      </c>
      <c r="S827" s="1">
        <v>7.5359901100000002</v>
      </c>
      <c r="T827" s="1">
        <v>7.6739872450000002</v>
      </c>
      <c r="U827" s="1">
        <v>7.5325785349999999</v>
      </c>
      <c r="V827" s="1">
        <v>7.621574356</v>
      </c>
      <c r="W827" s="1">
        <v>7.8134286409999998</v>
      </c>
      <c r="X827" s="1">
        <v>7.7483858440000004</v>
      </c>
      <c r="Y827" s="1">
        <v>7.9988276139999996</v>
      </c>
      <c r="Z827" s="1">
        <v>7.5003648319999998</v>
      </c>
      <c r="AA827" s="1">
        <v>7.5359901100000002</v>
      </c>
      <c r="AB827" s="1">
        <v>7.6086032499999998</v>
      </c>
      <c r="AC827" s="1">
        <v>7.7539874620000004</v>
      </c>
      <c r="AD827" s="1">
        <v>8.064604074</v>
      </c>
      <c r="AE827" s="1">
        <v>7.9935921529999998</v>
      </c>
    </row>
    <row r="828" spans="1:31" x14ac:dyDescent="0.25">
      <c r="A828" s="1" t="s">
        <v>1863</v>
      </c>
      <c r="B828" s="1" t="s">
        <v>2530</v>
      </c>
      <c r="C828" s="1" t="s">
        <v>2531</v>
      </c>
      <c r="D828" s="1" t="s">
        <v>2535</v>
      </c>
      <c r="E828" s="1" t="s">
        <v>2536</v>
      </c>
      <c r="G828" s="1" t="s">
        <v>1863</v>
      </c>
      <c r="H828" s="1">
        <v>4.3886087140000001</v>
      </c>
      <c r="I828" s="1">
        <v>5.009480355</v>
      </c>
      <c r="J828" s="1">
        <v>3.1324899180000001</v>
      </c>
      <c r="K828" s="1">
        <v>2.9677134359999999</v>
      </c>
      <c r="L828" s="1">
        <v>2.8704126319999999</v>
      </c>
      <c r="M828" s="1">
        <v>2.3994532390000001</v>
      </c>
      <c r="N828" s="1">
        <v>3.7025667929999999</v>
      </c>
      <c r="O828" s="1">
        <v>4.0289865369999998</v>
      </c>
      <c r="P828" s="1">
        <v>3.3003929539999999</v>
      </c>
      <c r="Q828" s="1">
        <v>3.56206471</v>
      </c>
      <c r="R828" s="1">
        <v>2.9339002829999998</v>
      </c>
      <c r="S828" s="1">
        <v>2.5733617299999998</v>
      </c>
      <c r="T828" s="1">
        <v>2.8704126319999999</v>
      </c>
      <c r="U828" s="1">
        <v>2.3994532390000001</v>
      </c>
      <c r="V828" s="1">
        <v>3.5405335899999999</v>
      </c>
      <c r="W828" s="1">
        <v>3.50175473</v>
      </c>
      <c r="X828" s="1">
        <v>3.2074401739999998</v>
      </c>
      <c r="Y828" s="1">
        <v>3.229986142</v>
      </c>
      <c r="Z828" s="1">
        <v>2.9339002829999998</v>
      </c>
      <c r="AA828" s="1">
        <v>2.5733617299999998</v>
      </c>
      <c r="AB828" s="1">
        <v>3.6315729079999999</v>
      </c>
      <c r="AC828" s="1">
        <v>3.6175630609999998</v>
      </c>
      <c r="AD828" s="1">
        <v>3.5727029510000001</v>
      </c>
      <c r="AE828" s="1">
        <v>3.213378847</v>
      </c>
    </row>
    <row r="829" spans="1:31" x14ac:dyDescent="0.25">
      <c r="A829" s="1" t="s">
        <v>1870</v>
      </c>
      <c r="B829" s="1" t="s">
        <v>2547</v>
      </c>
      <c r="C829" s="1" t="s">
        <v>2622</v>
      </c>
      <c r="D829" s="1" t="s">
        <v>2535</v>
      </c>
      <c r="E829" s="1" t="s">
        <v>3987</v>
      </c>
      <c r="G829" s="1" t="s">
        <v>1870</v>
      </c>
      <c r="H829" s="1">
        <v>3.2549621289999999</v>
      </c>
      <c r="I829" s="1">
        <v>2.5655118899999998</v>
      </c>
      <c r="J829" s="1">
        <v>3.7773371739999999</v>
      </c>
      <c r="K829" s="1">
        <v>3.8998480660000001</v>
      </c>
      <c r="L829" s="1">
        <v>4.0223143549999998</v>
      </c>
      <c r="M829" s="1">
        <v>3.8521266660000002</v>
      </c>
      <c r="N829" s="1">
        <v>3.444746345</v>
      </c>
      <c r="O829" s="1">
        <v>3.434496577</v>
      </c>
      <c r="P829" s="1">
        <v>3.106446558</v>
      </c>
      <c r="Q829" s="1">
        <v>4.3733115800000002</v>
      </c>
      <c r="R829" s="1">
        <v>3.7109484589999999</v>
      </c>
      <c r="S829" s="1">
        <v>3.5159502420000002</v>
      </c>
      <c r="T829" s="1">
        <v>4.0223143549999998</v>
      </c>
      <c r="U829" s="1">
        <v>3.8521266660000002</v>
      </c>
      <c r="V829" s="1">
        <v>4.0758289169999999</v>
      </c>
      <c r="W829" s="1">
        <v>3.9848641250000001</v>
      </c>
      <c r="X829" s="1">
        <v>3.5883256710000002</v>
      </c>
      <c r="Y829" s="1">
        <v>4.1479647589999997</v>
      </c>
      <c r="Z829" s="1">
        <v>3.7109484589999999</v>
      </c>
      <c r="AA829" s="1">
        <v>3.5159502420000002</v>
      </c>
      <c r="AB829" s="1">
        <v>3.404153038</v>
      </c>
      <c r="AC829" s="1">
        <v>3.4716344729999999</v>
      </c>
      <c r="AD829" s="1">
        <v>3.725077481</v>
      </c>
      <c r="AE829" s="1">
        <v>3.5108161330000001</v>
      </c>
    </row>
    <row r="830" spans="1:31" x14ac:dyDescent="0.25">
      <c r="A830" s="1" t="s">
        <v>1871</v>
      </c>
      <c r="B830" s="1" t="s">
        <v>2547</v>
      </c>
      <c r="C830" s="1" t="s">
        <v>2675</v>
      </c>
      <c r="D830" s="1" t="s">
        <v>3988</v>
      </c>
      <c r="E830" s="1" t="s">
        <v>3989</v>
      </c>
      <c r="F830" s="1" t="s">
        <v>3990</v>
      </c>
      <c r="G830" s="1" t="s">
        <v>1871</v>
      </c>
      <c r="H830" s="1">
        <v>4.183793842</v>
      </c>
      <c r="I830" s="1">
        <v>4.7893724280000001</v>
      </c>
      <c r="J830" s="1">
        <v>5.8869626679999998</v>
      </c>
      <c r="K830" s="1">
        <v>5.5322182199999999</v>
      </c>
      <c r="L830" s="1">
        <v>6.1339192999999996</v>
      </c>
      <c r="M830" s="1">
        <v>6.1974695630000003</v>
      </c>
      <c r="N830" s="1">
        <v>4.765904581</v>
      </c>
      <c r="O830" s="1">
        <v>4.0953574540000002</v>
      </c>
      <c r="P830" s="1">
        <v>5.3900565609999997</v>
      </c>
      <c r="Q830" s="1">
        <v>6.045837068</v>
      </c>
      <c r="R830" s="1">
        <v>6.0146875240000002</v>
      </c>
      <c r="S830" s="1">
        <v>6.0729078190000001</v>
      </c>
      <c r="T830" s="1">
        <v>6.1339192999999996</v>
      </c>
      <c r="U830" s="1">
        <v>6.1974695630000003</v>
      </c>
      <c r="V830" s="1">
        <v>5.8017242820000003</v>
      </c>
      <c r="W830" s="1">
        <v>6.0977940090000002</v>
      </c>
      <c r="X830" s="1">
        <v>6.2987278330000001</v>
      </c>
      <c r="Y830" s="1">
        <v>5.6971672010000001</v>
      </c>
      <c r="Z830" s="1">
        <v>6.0146875240000002</v>
      </c>
      <c r="AA830" s="1">
        <v>6.0729078190000001</v>
      </c>
      <c r="AB830" s="1">
        <v>6.1502584210000002</v>
      </c>
      <c r="AC830" s="1">
        <v>6.4210524800000002</v>
      </c>
      <c r="AD830" s="1">
        <v>5.9231977699999998</v>
      </c>
      <c r="AE830" s="1">
        <v>5.7195355599999997</v>
      </c>
    </row>
    <row r="831" spans="1:31" x14ac:dyDescent="0.25">
      <c r="A831" s="1" t="s">
        <v>1874</v>
      </c>
      <c r="B831" s="1" t="s">
        <v>2557</v>
      </c>
      <c r="C831" s="1" t="s">
        <v>2680</v>
      </c>
      <c r="D831" s="1" t="s">
        <v>3991</v>
      </c>
      <c r="E831" s="1" t="s">
        <v>3992</v>
      </c>
      <c r="F831" s="1" t="s">
        <v>3993</v>
      </c>
      <c r="G831" s="1" t="s">
        <v>1874</v>
      </c>
      <c r="H831" s="1">
        <v>7.627055962</v>
      </c>
      <c r="I831" s="1">
        <v>7.8836806819999996</v>
      </c>
      <c r="J831" s="1">
        <v>7.7186995510000003</v>
      </c>
      <c r="K831" s="1">
        <v>7.6671326940000002</v>
      </c>
      <c r="L831" s="1">
        <v>7.6966973110000003</v>
      </c>
      <c r="M831" s="1">
        <v>7.5869807839999996</v>
      </c>
      <c r="N831" s="1">
        <v>7.8521878970000003</v>
      </c>
      <c r="O831" s="1">
        <v>7.8139945649999998</v>
      </c>
      <c r="P831" s="1">
        <v>7.3649783800000002</v>
      </c>
      <c r="Q831" s="1">
        <v>7.455836744</v>
      </c>
      <c r="R831" s="1">
        <v>7.304132815</v>
      </c>
      <c r="S831" s="1">
        <v>7.6225507190000004</v>
      </c>
      <c r="T831" s="1">
        <v>7.6966973110000003</v>
      </c>
      <c r="U831" s="1">
        <v>7.5869807839999996</v>
      </c>
      <c r="V831" s="1">
        <v>7.7723754989999998</v>
      </c>
      <c r="W831" s="1">
        <v>7.9756286279999999</v>
      </c>
      <c r="X831" s="1">
        <v>7.8811021779999999</v>
      </c>
      <c r="Y831" s="1">
        <v>7.8362725439999998</v>
      </c>
      <c r="Z831" s="1">
        <v>7.304132815</v>
      </c>
      <c r="AA831" s="1">
        <v>7.6225507190000004</v>
      </c>
      <c r="AB831" s="1">
        <v>7.7812810140000002</v>
      </c>
      <c r="AC831" s="1">
        <v>7.4483701260000004</v>
      </c>
      <c r="AD831" s="1">
        <v>7.8425975660000002</v>
      </c>
      <c r="AE831" s="1">
        <v>7.9499154320000001</v>
      </c>
    </row>
    <row r="832" spans="1:31" x14ac:dyDescent="0.25">
      <c r="A832" s="1" t="s">
        <v>1875</v>
      </c>
      <c r="B832" s="1" t="s">
        <v>2579</v>
      </c>
      <c r="C832" s="1" t="s">
        <v>2580</v>
      </c>
      <c r="D832" s="1" t="s">
        <v>2535</v>
      </c>
      <c r="E832" s="1" t="s">
        <v>3994</v>
      </c>
      <c r="F832" s="1" t="s">
        <v>3995</v>
      </c>
      <c r="G832" s="1" t="s">
        <v>1875</v>
      </c>
      <c r="H832" s="1">
        <v>8.2350981910000005</v>
      </c>
      <c r="I832" s="1">
        <v>8.0582915639999992</v>
      </c>
      <c r="J832" s="1">
        <v>8.4076335830000009</v>
      </c>
      <c r="K832" s="1">
        <v>8.1509352659999994</v>
      </c>
      <c r="L832" s="1">
        <v>8.1559275089999996</v>
      </c>
      <c r="M832" s="1">
        <v>8.4194478440000005</v>
      </c>
      <c r="N832" s="1">
        <v>8.0288773419999995</v>
      </c>
      <c r="O832" s="1">
        <v>8.2548990040000003</v>
      </c>
      <c r="P832" s="1">
        <v>8.4993330950000008</v>
      </c>
      <c r="Q832" s="1">
        <v>8.4437214560000005</v>
      </c>
      <c r="R832" s="1">
        <v>8.3561365129999992</v>
      </c>
      <c r="S832" s="1">
        <v>8.4826529609999994</v>
      </c>
      <c r="T832" s="1">
        <v>8.1559275089999996</v>
      </c>
      <c r="U832" s="1">
        <v>8.4194478440000005</v>
      </c>
      <c r="V832" s="1">
        <v>8.6758574409999998</v>
      </c>
      <c r="W832" s="1">
        <v>8.8766681629999997</v>
      </c>
      <c r="X832" s="1">
        <v>8.9180333209999993</v>
      </c>
      <c r="Y832" s="1">
        <v>8.8723187869999993</v>
      </c>
      <c r="Z832" s="1">
        <v>8.3561365129999992</v>
      </c>
      <c r="AA832" s="1">
        <v>8.4826529609999994</v>
      </c>
      <c r="AB832" s="1">
        <v>8.5652527809999999</v>
      </c>
      <c r="AC832" s="1">
        <v>8.7752497690000002</v>
      </c>
      <c r="AD832" s="1">
        <v>9.0229556389999992</v>
      </c>
      <c r="AE832" s="1">
        <v>8.8236536710000006</v>
      </c>
    </row>
    <row r="833" spans="1:31" x14ac:dyDescent="0.25">
      <c r="A833" s="1" t="s">
        <v>1878</v>
      </c>
      <c r="B833" s="1" t="s">
        <v>2530</v>
      </c>
      <c r="C833" s="1" t="s">
        <v>2531</v>
      </c>
      <c r="D833" s="1" t="s">
        <v>2535</v>
      </c>
      <c r="E833" s="1" t="s">
        <v>3996</v>
      </c>
      <c r="G833" s="1" t="s">
        <v>1878</v>
      </c>
      <c r="H833" s="1">
        <v>4.7972697699999998</v>
      </c>
      <c r="I833" s="1">
        <v>5.4817092260000004</v>
      </c>
      <c r="J833" s="1">
        <v>5.3631085470000004</v>
      </c>
      <c r="K833" s="1">
        <v>5.166960875</v>
      </c>
      <c r="L833" s="1">
        <v>5.2974536179999996</v>
      </c>
      <c r="M833" s="1">
        <v>5.3915279009999999</v>
      </c>
      <c r="N833" s="1">
        <v>5.0227480880000002</v>
      </c>
      <c r="O833" s="1">
        <v>5.1947693419999998</v>
      </c>
      <c r="P833" s="1">
        <v>5.660815296</v>
      </c>
      <c r="Q833" s="1">
        <v>5.1004769559999996</v>
      </c>
      <c r="R833" s="1">
        <v>5.3764768539999999</v>
      </c>
      <c r="S833" s="1">
        <v>5.6453330910000004</v>
      </c>
      <c r="T833" s="1">
        <v>5.2974536179999996</v>
      </c>
      <c r="U833" s="1">
        <v>5.3915279009999999</v>
      </c>
      <c r="V833" s="1">
        <v>5.6392772100000004</v>
      </c>
      <c r="W833" s="1">
        <v>5.6059572260000001</v>
      </c>
      <c r="X833" s="1">
        <v>5.1128189019999999</v>
      </c>
      <c r="Y833" s="1">
        <v>5.4613266610000002</v>
      </c>
      <c r="Z833" s="1">
        <v>5.3764768539999999</v>
      </c>
      <c r="AA833" s="1">
        <v>5.6453330910000004</v>
      </c>
      <c r="AB833" s="1">
        <v>5.4196851610000003</v>
      </c>
      <c r="AC833" s="1">
        <v>5.5065733579999998</v>
      </c>
      <c r="AD833" s="1">
        <v>5.3536174839999999</v>
      </c>
      <c r="AE833" s="1">
        <v>5.2252968339999999</v>
      </c>
    </row>
    <row r="834" spans="1:31" x14ac:dyDescent="0.25">
      <c r="A834" s="1" t="s">
        <v>1879</v>
      </c>
      <c r="B834" s="1" t="s">
        <v>2520</v>
      </c>
      <c r="C834" s="1" t="s">
        <v>2743</v>
      </c>
      <c r="D834" s="1" t="s">
        <v>2744</v>
      </c>
      <c r="E834" s="1" t="s">
        <v>3997</v>
      </c>
      <c r="F834" s="1" t="s">
        <v>3998</v>
      </c>
      <c r="G834" s="1" t="s">
        <v>1879</v>
      </c>
      <c r="H834" s="1">
        <v>10.260980180000001</v>
      </c>
      <c r="I834" s="1">
        <v>9.6994522609999994</v>
      </c>
      <c r="J834" s="1">
        <v>9.7701832950000007</v>
      </c>
      <c r="K834" s="1">
        <v>9.8601774629999994</v>
      </c>
      <c r="L834" s="1">
        <v>9.3193686949999996</v>
      </c>
      <c r="M834" s="1">
        <v>9.5062254920000004</v>
      </c>
      <c r="N834" s="1">
        <v>9.6111431679999999</v>
      </c>
      <c r="O834" s="1">
        <v>9.9971170259999997</v>
      </c>
      <c r="P834" s="1">
        <v>9.3734916070000001</v>
      </c>
      <c r="Q834" s="1">
        <v>9.4171526449999998</v>
      </c>
      <c r="R834" s="1">
        <v>9.7019551600000007</v>
      </c>
      <c r="S834" s="1">
        <v>9.6366001269999995</v>
      </c>
      <c r="T834" s="1">
        <v>9.3193686949999996</v>
      </c>
      <c r="U834" s="1">
        <v>9.5062254920000004</v>
      </c>
      <c r="V834" s="1">
        <v>9.4691374770000003</v>
      </c>
      <c r="W834" s="1">
        <v>9.3729090070000005</v>
      </c>
      <c r="X834" s="1">
        <v>9.4850508320000007</v>
      </c>
      <c r="Y834" s="1">
        <v>9.6336605500000001</v>
      </c>
      <c r="Z834" s="1">
        <v>9.7019551600000007</v>
      </c>
      <c r="AA834" s="1">
        <v>9.6366001269999995</v>
      </c>
      <c r="AB834" s="1">
        <v>9.7118511539999997</v>
      </c>
      <c r="AC834" s="1">
        <v>9.6885842069999999</v>
      </c>
      <c r="AD834" s="1">
        <v>9.9232808640000005</v>
      </c>
      <c r="AE834" s="1">
        <v>9.8211443430000003</v>
      </c>
    </row>
    <row r="835" spans="1:31" x14ac:dyDescent="0.25">
      <c r="A835" s="1" t="s">
        <v>1880</v>
      </c>
      <c r="B835" s="1" t="s">
        <v>2530</v>
      </c>
      <c r="C835" s="1" t="s">
        <v>2573</v>
      </c>
      <c r="D835" s="1" t="s">
        <v>2535</v>
      </c>
      <c r="E835" s="1" t="s">
        <v>3328</v>
      </c>
      <c r="G835" s="1" t="s">
        <v>1880</v>
      </c>
      <c r="H835" s="1">
        <v>4.0684382540000001</v>
      </c>
      <c r="I835" s="1">
        <v>3.3322126910000001</v>
      </c>
      <c r="J835" s="1">
        <v>3.1324899180000001</v>
      </c>
      <c r="K835" s="1">
        <v>3.607491666</v>
      </c>
      <c r="L835" s="1">
        <v>2.5490970000000002</v>
      </c>
      <c r="M835" s="1">
        <v>2.665084539</v>
      </c>
      <c r="N835" s="1">
        <v>3.1147763629999998</v>
      </c>
      <c r="O835" s="1">
        <v>3.434496577</v>
      </c>
      <c r="P835" s="1">
        <v>3.7419514989999998</v>
      </c>
      <c r="Q835" s="1">
        <v>2.597100669</v>
      </c>
      <c r="R835" s="1">
        <v>3.386455024</v>
      </c>
      <c r="S835" s="1">
        <v>3.3463386960000001</v>
      </c>
      <c r="T835" s="1">
        <v>2.5490970000000002</v>
      </c>
      <c r="U835" s="1">
        <v>2.665084539</v>
      </c>
      <c r="V835" s="1">
        <v>3.7819764450000002</v>
      </c>
      <c r="W835" s="1">
        <v>3.50175473</v>
      </c>
      <c r="X835" s="1">
        <v>3.5039136989999999</v>
      </c>
      <c r="Y835" s="1">
        <v>2.9733498090000001</v>
      </c>
      <c r="Z835" s="1">
        <v>3.386455024</v>
      </c>
      <c r="AA835" s="1">
        <v>3.3463386960000001</v>
      </c>
      <c r="AB835" s="1">
        <v>2.73487305</v>
      </c>
      <c r="AC835" s="1">
        <v>2.87258916</v>
      </c>
      <c r="AD835" s="1">
        <v>3.1944880649999998</v>
      </c>
      <c r="AE835" s="1">
        <v>2.9592545700000001</v>
      </c>
    </row>
    <row r="836" spans="1:31" x14ac:dyDescent="0.25">
      <c r="A836" s="1" t="s">
        <v>1885</v>
      </c>
      <c r="B836" s="1" t="s">
        <v>2530</v>
      </c>
      <c r="C836" s="1" t="s">
        <v>2531</v>
      </c>
      <c r="D836" s="1" t="s">
        <v>2535</v>
      </c>
      <c r="E836" s="1" t="s">
        <v>3999</v>
      </c>
      <c r="G836" s="1" t="s">
        <v>1885</v>
      </c>
      <c r="H836" s="1">
        <v>6.5956218609999997</v>
      </c>
      <c r="I836" s="1">
        <v>6.0475452040000004</v>
      </c>
      <c r="J836" s="1">
        <v>6.1378545859999996</v>
      </c>
      <c r="K836" s="1">
        <v>6.4083964440000001</v>
      </c>
      <c r="L836" s="1">
        <v>5.7398214760000004</v>
      </c>
      <c r="M836" s="1">
        <v>5.029201552</v>
      </c>
      <c r="N836" s="1">
        <v>6.0598398590000002</v>
      </c>
      <c r="O836" s="1">
        <v>6.4302305970000004</v>
      </c>
      <c r="P836" s="1">
        <v>5.7791106289999998</v>
      </c>
      <c r="Q836" s="1">
        <v>5.718446159</v>
      </c>
      <c r="R836" s="1">
        <v>5.1472208640000003</v>
      </c>
      <c r="S836" s="1">
        <v>5.5773053920000004</v>
      </c>
      <c r="T836" s="1">
        <v>5.7398214760000004</v>
      </c>
      <c r="U836" s="1">
        <v>5.029201552</v>
      </c>
      <c r="V836" s="1">
        <v>5.7758979430000004</v>
      </c>
      <c r="W836" s="1">
        <v>6.2120844699999997</v>
      </c>
      <c r="X836" s="1">
        <v>5.8411798890000002</v>
      </c>
      <c r="Y836" s="1">
        <v>6.0488320509999998</v>
      </c>
      <c r="Z836" s="1">
        <v>5.1472208640000003</v>
      </c>
      <c r="AA836" s="1">
        <v>5.5773053920000004</v>
      </c>
      <c r="AB836" s="1">
        <v>5.9711898400000001</v>
      </c>
      <c r="AC836" s="1">
        <v>5.6386390840000002</v>
      </c>
      <c r="AD836" s="1">
        <v>5.893524276</v>
      </c>
      <c r="AE836" s="1">
        <v>5.7708285269999999</v>
      </c>
    </row>
    <row r="837" spans="1:31" x14ac:dyDescent="0.25">
      <c r="A837" s="1" t="s">
        <v>1887</v>
      </c>
      <c r="B837" s="1" t="s">
        <v>2539</v>
      </c>
      <c r="C837" s="1" t="s">
        <v>2540</v>
      </c>
      <c r="D837" s="1" t="s">
        <v>2535</v>
      </c>
      <c r="E837" s="1" t="s">
        <v>4000</v>
      </c>
      <c r="G837" s="1" t="s">
        <v>1887</v>
      </c>
      <c r="H837" s="1">
        <v>8.0930158789999993</v>
      </c>
      <c r="I837" s="1">
        <v>8.0337197850000006</v>
      </c>
      <c r="J837" s="1">
        <v>7.5648666919999998</v>
      </c>
      <c r="K837" s="1">
        <v>7.6394957330000004</v>
      </c>
      <c r="L837" s="1">
        <v>7.4998372240000002</v>
      </c>
      <c r="M837" s="1">
        <v>7.4171990660000002</v>
      </c>
      <c r="N837" s="1">
        <v>8.130080049</v>
      </c>
      <c r="O837" s="1">
        <v>8.0330541820000008</v>
      </c>
      <c r="P837" s="1">
        <v>6.9406621209999999</v>
      </c>
      <c r="Q837" s="1">
        <v>7.5049490929999996</v>
      </c>
      <c r="R837" s="1">
        <v>6.8531456039999998</v>
      </c>
      <c r="S837" s="1">
        <v>7.1611323899999997</v>
      </c>
      <c r="T837" s="1">
        <v>7.4998372240000002</v>
      </c>
      <c r="U837" s="1">
        <v>7.4171990660000002</v>
      </c>
      <c r="V837" s="1">
        <v>7.1263832059999999</v>
      </c>
      <c r="W837" s="1">
        <v>7.589023847</v>
      </c>
      <c r="X837" s="1">
        <v>7.164332023</v>
      </c>
      <c r="Y837" s="1">
        <v>7.1452643309999999</v>
      </c>
      <c r="Z837" s="1">
        <v>6.8531456039999998</v>
      </c>
      <c r="AA837" s="1">
        <v>7.1611323899999997</v>
      </c>
      <c r="AB837" s="1">
        <v>7.0294463739999999</v>
      </c>
      <c r="AC837" s="1">
        <v>6.9248703330000003</v>
      </c>
      <c r="AD837" s="1">
        <v>7.3597315889999999</v>
      </c>
      <c r="AE837" s="1">
        <v>7.2858805870000003</v>
      </c>
    </row>
    <row r="838" spans="1:31" x14ac:dyDescent="0.25">
      <c r="A838" s="1" t="s">
        <v>1888</v>
      </c>
      <c r="B838" s="1" t="s">
        <v>2530</v>
      </c>
      <c r="C838" s="1" t="s">
        <v>2531</v>
      </c>
      <c r="D838" s="1" t="s">
        <v>2535</v>
      </c>
      <c r="E838" s="1" t="s">
        <v>2536</v>
      </c>
      <c r="G838" s="1" t="s">
        <v>1888</v>
      </c>
      <c r="H838" s="1">
        <v>5.5896774330000003</v>
      </c>
      <c r="I838" s="1">
        <v>5.5177814730000003</v>
      </c>
      <c r="J838" s="1">
        <v>5.8022574259999997</v>
      </c>
      <c r="K838" s="1">
        <v>5.6848657879999998</v>
      </c>
      <c r="L838" s="1">
        <v>5.6952369550000004</v>
      </c>
      <c r="M838" s="1">
        <v>6.0026802679999998</v>
      </c>
      <c r="N838" s="1">
        <v>4.5366957899999996</v>
      </c>
      <c r="O838" s="1">
        <v>4.8663619410000001</v>
      </c>
      <c r="P838" s="1">
        <v>5.9400346730000004</v>
      </c>
      <c r="Q838" s="1">
        <v>6.0189773029999998</v>
      </c>
      <c r="R838" s="1">
        <v>5.9019545559999997</v>
      </c>
      <c r="S838" s="1">
        <v>5.2232498669999998</v>
      </c>
      <c r="T838" s="1">
        <v>5.6952369550000004</v>
      </c>
      <c r="U838" s="1">
        <v>6.0026802679999998</v>
      </c>
      <c r="V838" s="1">
        <v>4.7533922439999996</v>
      </c>
      <c r="W838" s="1">
        <v>4.8493412630000003</v>
      </c>
      <c r="X838" s="1">
        <v>5.7928210719999997</v>
      </c>
      <c r="Y838" s="1">
        <v>5.5443425189999997</v>
      </c>
      <c r="Z838" s="1">
        <v>5.9019545559999997</v>
      </c>
      <c r="AA838" s="1">
        <v>5.2232498669999998</v>
      </c>
      <c r="AB838" s="1">
        <v>5.8098709350000002</v>
      </c>
      <c r="AC838" s="1">
        <v>5.3610280289999999</v>
      </c>
      <c r="AD838" s="1">
        <v>6.0361091350000002</v>
      </c>
      <c r="AE838" s="1">
        <v>5.592176748</v>
      </c>
    </row>
    <row r="839" spans="1:31" x14ac:dyDescent="0.25">
      <c r="A839" s="1" t="s">
        <v>1890</v>
      </c>
      <c r="B839" s="1" t="s">
        <v>2530</v>
      </c>
      <c r="C839" s="1" t="s">
        <v>2531</v>
      </c>
      <c r="D839" s="1" t="s">
        <v>2535</v>
      </c>
      <c r="E839" s="1" t="s">
        <v>4001</v>
      </c>
      <c r="G839" s="1" t="s">
        <v>1890</v>
      </c>
      <c r="H839" s="1">
        <v>3.6455184960000002</v>
      </c>
      <c r="I839" s="1">
        <v>4.5280931029999998</v>
      </c>
      <c r="J839" s="1">
        <v>4.3724365990000003</v>
      </c>
      <c r="K839" s="1">
        <v>4.1384138449999996</v>
      </c>
      <c r="L839" s="1">
        <v>4.9098563420000003</v>
      </c>
      <c r="M839" s="1">
        <v>4.5846937370000003</v>
      </c>
      <c r="N839" s="1">
        <v>4.6560102480000003</v>
      </c>
      <c r="O839" s="1">
        <v>4.385526188</v>
      </c>
      <c r="P839" s="1">
        <v>4.5499605860000001</v>
      </c>
      <c r="Q839" s="1">
        <v>4.611970812</v>
      </c>
      <c r="R839" s="1">
        <v>4.2802026870000001</v>
      </c>
      <c r="S839" s="1">
        <v>4.6194390810000003</v>
      </c>
      <c r="T839" s="1">
        <v>4.9098563420000003</v>
      </c>
      <c r="U839" s="1">
        <v>4.5846937370000003</v>
      </c>
      <c r="V839" s="1">
        <v>3.887436229</v>
      </c>
      <c r="W839" s="1">
        <v>4.3370700810000002</v>
      </c>
      <c r="X839" s="1">
        <v>4.7874549340000003</v>
      </c>
      <c r="Y839" s="1">
        <v>4.2532353330000001</v>
      </c>
      <c r="Z839" s="1">
        <v>4.2802026870000001</v>
      </c>
      <c r="AA839" s="1">
        <v>4.6194390810000003</v>
      </c>
      <c r="AB839" s="1">
        <v>4.7958605490000004</v>
      </c>
      <c r="AC839" s="1">
        <v>4.415017905</v>
      </c>
      <c r="AD839" s="1">
        <v>4.2970121150000002</v>
      </c>
      <c r="AE839" s="1">
        <v>4.9843711490000002</v>
      </c>
    </row>
    <row r="840" spans="1:31" x14ac:dyDescent="0.25">
      <c r="A840" s="1" t="s">
        <v>1891</v>
      </c>
      <c r="B840" s="1" t="s">
        <v>2530</v>
      </c>
      <c r="C840" s="1" t="s">
        <v>2531</v>
      </c>
      <c r="D840" s="1" t="s">
        <v>2535</v>
      </c>
      <c r="E840" s="1" t="s">
        <v>4002</v>
      </c>
      <c r="F840" s="1" t="s">
        <v>4003</v>
      </c>
      <c r="G840" s="1" t="s">
        <v>1891</v>
      </c>
      <c r="H840" s="1">
        <v>4.0684382540000001</v>
      </c>
      <c r="I840" s="1">
        <v>4.7284970130000001</v>
      </c>
      <c r="J840" s="1">
        <v>4.8434621079999998</v>
      </c>
      <c r="K840" s="1">
        <v>4.3408695499999999</v>
      </c>
      <c r="L840" s="1">
        <v>5.2974536179999996</v>
      </c>
      <c r="M840" s="1">
        <v>4.9642129490000002</v>
      </c>
      <c r="N840" s="1">
        <v>4.765904581</v>
      </c>
      <c r="O840" s="1">
        <v>4.4862678239999996</v>
      </c>
      <c r="P840" s="1">
        <v>4.9062897479999998</v>
      </c>
      <c r="Q840" s="1">
        <v>4.7509440400000003</v>
      </c>
      <c r="R840" s="1">
        <v>4.3698765340000003</v>
      </c>
      <c r="S840" s="1">
        <v>5.0824952919999999</v>
      </c>
      <c r="T840" s="1">
        <v>5.2974536179999996</v>
      </c>
      <c r="U840" s="1">
        <v>4.9642129490000002</v>
      </c>
      <c r="V840" s="1">
        <v>4.6987742170000004</v>
      </c>
      <c r="W840" s="1">
        <v>4.7760085830000003</v>
      </c>
      <c r="X840" s="1">
        <v>4.3167291810000004</v>
      </c>
      <c r="Y840" s="1">
        <v>4.4420910779999998</v>
      </c>
      <c r="Z840" s="1">
        <v>4.3698765340000003</v>
      </c>
      <c r="AA840" s="1">
        <v>5.0824952919999999</v>
      </c>
      <c r="AB840" s="1">
        <v>4.705867896</v>
      </c>
      <c r="AC840" s="1">
        <v>4.415017905</v>
      </c>
      <c r="AD840" s="1">
        <v>5.2633210659999996</v>
      </c>
      <c r="AE840" s="1">
        <v>5.0415666330000004</v>
      </c>
    </row>
    <row r="841" spans="1:31" x14ac:dyDescent="0.25">
      <c r="A841" s="1" t="s">
        <v>1895</v>
      </c>
      <c r="B841" s="1" t="s">
        <v>2530</v>
      </c>
      <c r="C841" s="1" t="s">
        <v>2531</v>
      </c>
      <c r="D841" s="1" t="s">
        <v>2535</v>
      </c>
      <c r="E841" s="1" t="s">
        <v>4004</v>
      </c>
      <c r="G841" s="1" t="s">
        <v>1895</v>
      </c>
      <c r="H841" s="1">
        <v>3.6455184960000002</v>
      </c>
      <c r="I841" s="1">
        <v>4.4542943209999999</v>
      </c>
      <c r="J841" s="1">
        <v>3.8969924050000002</v>
      </c>
      <c r="K841" s="1">
        <v>3.607491666</v>
      </c>
      <c r="L841" s="1">
        <v>5.2153292420000001</v>
      </c>
      <c r="M841" s="1">
        <v>4.8607408789999997</v>
      </c>
      <c r="N841" s="1">
        <v>4.4945275240000004</v>
      </c>
      <c r="O841" s="1">
        <v>4.7100516409999997</v>
      </c>
      <c r="P841" s="1">
        <v>4.4805784009999998</v>
      </c>
      <c r="Q841" s="1">
        <v>4.18747588</v>
      </c>
      <c r="R841" s="1">
        <v>4.8735636449999999</v>
      </c>
      <c r="S841" s="1">
        <v>5.0824952919999999</v>
      </c>
      <c r="T841" s="1">
        <v>5.2153292420000001</v>
      </c>
      <c r="U841" s="1">
        <v>4.8607408789999997</v>
      </c>
      <c r="V841" s="1">
        <v>4.5207607210000003</v>
      </c>
      <c r="W841" s="1">
        <v>4.6166922860000001</v>
      </c>
      <c r="X841" s="1">
        <v>5.1646924079999996</v>
      </c>
      <c r="Y841" s="1">
        <v>4.7564010139999997</v>
      </c>
      <c r="Z841" s="1">
        <v>4.8735636449999999</v>
      </c>
      <c r="AA841" s="1">
        <v>5.0824952919999999</v>
      </c>
      <c r="AB841" s="1">
        <v>5.5276660309999999</v>
      </c>
      <c r="AC841" s="1">
        <v>5.3988312660000002</v>
      </c>
      <c r="AD841" s="1">
        <v>4.83054469</v>
      </c>
      <c r="AE841" s="1">
        <v>4.7636391339999999</v>
      </c>
    </row>
    <row r="842" spans="1:31" x14ac:dyDescent="0.25">
      <c r="A842" s="1" t="s">
        <v>1896</v>
      </c>
      <c r="B842" s="1" t="s">
        <v>2530</v>
      </c>
      <c r="C842" s="1" t="s">
        <v>2531</v>
      </c>
      <c r="D842" s="1" t="s">
        <v>2535</v>
      </c>
      <c r="E842" s="1" t="s">
        <v>2536</v>
      </c>
      <c r="G842" s="1" t="s">
        <v>1896</v>
      </c>
      <c r="H842" s="1">
        <v>5.1131742039999999</v>
      </c>
      <c r="I842" s="1">
        <v>4.2936285989999998</v>
      </c>
      <c r="J842" s="1">
        <v>3.8969924050000002</v>
      </c>
      <c r="K842" s="1">
        <v>3.762021974</v>
      </c>
      <c r="L842" s="1">
        <v>5.05907325</v>
      </c>
      <c r="M842" s="1">
        <v>4.824486168</v>
      </c>
      <c r="N842" s="1">
        <v>4.6560102480000003</v>
      </c>
      <c r="O842" s="1">
        <v>4.2189785100000003</v>
      </c>
      <c r="P842" s="1">
        <v>4.6791060150000003</v>
      </c>
      <c r="Q842" s="1">
        <v>4.4575363990000003</v>
      </c>
      <c r="R842" s="1">
        <v>5.0440296189999998</v>
      </c>
      <c r="S842" s="1">
        <v>4.8699614389999999</v>
      </c>
      <c r="T842" s="1">
        <v>5.05907325</v>
      </c>
      <c r="U842" s="1">
        <v>4.824486168</v>
      </c>
      <c r="V842" s="1">
        <v>4.5826682710000002</v>
      </c>
      <c r="W842" s="1">
        <v>4.6166922860000001</v>
      </c>
      <c r="X842" s="1">
        <v>4.407182283</v>
      </c>
      <c r="Y842" s="1">
        <v>4.0337379980000003</v>
      </c>
      <c r="Z842" s="1">
        <v>5.0440296189999998</v>
      </c>
      <c r="AA842" s="1">
        <v>4.8699614389999999</v>
      </c>
      <c r="AB842" s="1">
        <v>4.139369361</v>
      </c>
      <c r="AC842" s="1">
        <v>4.9660712470000004</v>
      </c>
      <c r="AD842" s="1">
        <v>4.3870463700000002</v>
      </c>
      <c r="AE842" s="1">
        <v>4.5815229759999996</v>
      </c>
    </row>
    <row r="843" spans="1:31" x14ac:dyDescent="0.25">
      <c r="A843" s="1" t="s">
        <v>1897</v>
      </c>
      <c r="B843" s="1" t="s">
        <v>2530</v>
      </c>
      <c r="C843" s="1" t="s">
        <v>2531</v>
      </c>
      <c r="D843" s="1" t="s">
        <v>2535</v>
      </c>
      <c r="E843" s="1" t="s">
        <v>2536</v>
      </c>
      <c r="G843" s="1" t="s">
        <v>1897</v>
      </c>
      <c r="H843" s="1">
        <v>4.4805534380000003</v>
      </c>
      <c r="I843" s="1">
        <v>4.1114152529999997</v>
      </c>
      <c r="J843" s="1">
        <v>3.1324899180000001</v>
      </c>
      <c r="K843" s="1">
        <v>4.5171444090000001</v>
      </c>
      <c r="L843" s="1">
        <v>4.4107687259999997</v>
      </c>
      <c r="M843" s="1">
        <v>4.5846937370000003</v>
      </c>
      <c r="N843" s="1">
        <v>4.4061149080000002</v>
      </c>
      <c r="O843" s="1">
        <v>4.3322392709999997</v>
      </c>
      <c r="P843" s="1">
        <v>4.5499605860000001</v>
      </c>
      <c r="Q843" s="1">
        <v>4.4575363990000003</v>
      </c>
      <c r="R843" s="1">
        <v>4.6083586160000003</v>
      </c>
      <c r="S843" s="1">
        <v>5.0824952919999999</v>
      </c>
      <c r="T843" s="1">
        <v>4.4107687259999997</v>
      </c>
      <c r="U843" s="1">
        <v>4.5846937370000003</v>
      </c>
      <c r="V843" s="1">
        <v>4.998512388</v>
      </c>
      <c r="W843" s="1">
        <v>4.5296290450000001</v>
      </c>
      <c r="X843" s="1">
        <v>4.1154863700000002</v>
      </c>
      <c r="Y843" s="1">
        <v>5.0702808140000002</v>
      </c>
      <c r="Z843" s="1">
        <v>4.6083586160000003</v>
      </c>
      <c r="AA843" s="1">
        <v>5.0824952919999999</v>
      </c>
      <c r="AB843" s="1">
        <v>4.705867896</v>
      </c>
      <c r="AC843" s="1">
        <v>4.3377211620000002</v>
      </c>
      <c r="AD843" s="1">
        <v>4.3870463700000002</v>
      </c>
      <c r="AE843" s="1">
        <v>4.3257514669999999</v>
      </c>
    </row>
    <row r="844" spans="1:31" x14ac:dyDescent="0.25">
      <c r="A844" s="1" t="s">
        <v>1898</v>
      </c>
      <c r="B844" s="1" t="s">
        <v>2579</v>
      </c>
      <c r="C844" s="1" t="s">
        <v>2580</v>
      </c>
      <c r="D844" s="1" t="s">
        <v>3558</v>
      </c>
      <c r="E844" s="1" t="s">
        <v>4005</v>
      </c>
      <c r="F844" s="1" t="s">
        <v>4006</v>
      </c>
      <c r="G844" s="1" t="s">
        <v>1898</v>
      </c>
      <c r="H844" s="1">
        <v>10.048297</v>
      </c>
      <c r="I844" s="1">
        <v>9.5708847109999997</v>
      </c>
      <c r="J844" s="1">
        <v>10.372977430000001</v>
      </c>
      <c r="K844" s="1">
        <v>10.32945224</v>
      </c>
      <c r="L844" s="1">
        <v>10.09396712</v>
      </c>
      <c r="M844" s="1">
        <v>10.218797070000001</v>
      </c>
      <c r="N844" s="1">
        <v>9.3235550309999997</v>
      </c>
      <c r="O844" s="1">
        <v>9.4803163280000007</v>
      </c>
      <c r="P844" s="1">
        <v>10.092383099999999</v>
      </c>
      <c r="Q844" s="1">
        <v>10.169454099999999</v>
      </c>
      <c r="R844" s="1">
        <v>10.297029220000001</v>
      </c>
      <c r="S844" s="1">
        <v>10.402549799999999</v>
      </c>
      <c r="T844" s="1">
        <v>10.09396712</v>
      </c>
      <c r="U844" s="1">
        <v>10.218797070000001</v>
      </c>
      <c r="V844" s="1">
        <v>10.29125846</v>
      </c>
      <c r="W844" s="1">
        <v>10.26355508</v>
      </c>
      <c r="X844" s="1">
        <v>10.0600389</v>
      </c>
      <c r="Y844" s="1">
        <v>10.10920387</v>
      </c>
      <c r="Z844" s="1">
        <v>10.297029220000001</v>
      </c>
      <c r="AA844" s="1">
        <v>10.402549799999999</v>
      </c>
      <c r="AB844" s="1">
        <v>10.257369349999999</v>
      </c>
      <c r="AC844" s="1">
        <v>10.26776125</v>
      </c>
      <c r="AD844" s="1">
        <v>10.03249413</v>
      </c>
      <c r="AE844" s="1">
        <v>10.12262666</v>
      </c>
    </row>
    <row r="845" spans="1:31" x14ac:dyDescent="0.25">
      <c r="A845" s="1" t="s">
        <v>1899</v>
      </c>
      <c r="B845" s="1" t="s">
        <v>2843</v>
      </c>
      <c r="C845" s="1" t="s">
        <v>2844</v>
      </c>
      <c r="D845" s="1" t="s">
        <v>4007</v>
      </c>
      <c r="E845" s="1" t="s">
        <v>4008</v>
      </c>
      <c r="F845" s="1" t="s">
        <v>4009</v>
      </c>
      <c r="G845" s="1" t="s">
        <v>1899</v>
      </c>
      <c r="H845" s="1">
        <v>9.803098189</v>
      </c>
      <c r="I845" s="1">
        <v>10.47956673</v>
      </c>
      <c r="J845" s="1">
        <v>9.8686153220000001</v>
      </c>
      <c r="K845" s="1">
        <v>9.9302648869999999</v>
      </c>
      <c r="L845" s="1">
        <v>9.2910507580000008</v>
      </c>
      <c r="M845" s="1">
        <v>9.4398062140000008</v>
      </c>
      <c r="N845" s="1">
        <v>9.6135553760000008</v>
      </c>
      <c r="O845" s="1">
        <v>9.3542441729999997</v>
      </c>
      <c r="P845" s="1">
        <v>9.7630324480000006</v>
      </c>
      <c r="Q845" s="1">
        <v>9.7763158659999991</v>
      </c>
      <c r="R845" s="1">
        <v>9.6441531089999994</v>
      </c>
      <c r="S845" s="1">
        <v>9.5814960179999993</v>
      </c>
      <c r="T845" s="1">
        <v>9.2910507580000008</v>
      </c>
      <c r="U845" s="1">
        <v>9.4398062140000008</v>
      </c>
      <c r="V845" s="1">
        <v>10.43486375</v>
      </c>
      <c r="W845" s="1">
        <v>10.24358039</v>
      </c>
      <c r="X845" s="1">
        <v>9.4058252469999992</v>
      </c>
      <c r="Y845" s="1">
        <v>10.10920387</v>
      </c>
      <c r="Z845" s="1">
        <v>9.6441531089999994</v>
      </c>
      <c r="AA845" s="1">
        <v>9.5814960179999993</v>
      </c>
      <c r="AB845" s="1">
        <v>9.3842346449999994</v>
      </c>
      <c r="AC845" s="1">
        <v>9.4229438139999999</v>
      </c>
      <c r="AD845" s="1">
        <v>9.0994494390000007</v>
      </c>
      <c r="AE845" s="1">
        <v>9.4143311199999999</v>
      </c>
    </row>
    <row r="846" spans="1:31" x14ac:dyDescent="0.25">
      <c r="A846" s="1" t="s">
        <v>1908</v>
      </c>
      <c r="B846" s="1" t="s">
        <v>2530</v>
      </c>
      <c r="C846" s="1" t="s">
        <v>2573</v>
      </c>
      <c r="D846" s="1" t="s">
        <v>2535</v>
      </c>
      <c r="E846" s="1" t="s">
        <v>3716</v>
      </c>
      <c r="G846" s="1" t="s">
        <v>1908</v>
      </c>
      <c r="H846" s="1">
        <v>5.7431528099999998</v>
      </c>
      <c r="I846" s="1">
        <v>5.5529645800000003</v>
      </c>
      <c r="J846" s="1">
        <v>5.7122264270000001</v>
      </c>
      <c r="K846" s="1">
        <v>5.9181521149999998</v>
      </c>
      <c r="L846" s="1">
        <v>6.0656220599999999</v>
      </c>
      <c r="M846" s="1">
        <v>5.6393255609999997</v>
      </c>
      <c r="N846" s="1">
        <v>6.2207206929999996</v>
      </c>
      <c r="O846" s="1">
        <v>6.0979208290000004</v>
      </c>
      <c r="P846" s="1">
        <v>5.5318451900000003</v>
      </c>
      <c r="Q846" s="1">
        <v>5.2931690810000003</v>
      </c>
      <c r="R846" s="1">
        <v>4.8735636449999999</v>
      </c>
      <c r="S846" s="1">
        <v>5.0824952919999999</v>
      </c>
      <c r="T846" s="1">
        <v>6.0656220599999999</v>
      </c>
      <c r="U846" s="1">
        <v>5.6393255609999997</v>
      </c>
      <c r="V846" s="1">
        <v>5.6676649780000004</v>
      </c>
      <c r="W846" s="1">
        <v>5.7645115660000004</v>
      </c>
      <c r="X846" s="1">
        <v>5.4415021479999997</v>
      </c>
      <c r="Y846" s="1">
        <v>5.8019430659999998</v>
      </c>
      <c r="Z846" s="1">
        <v>4.8735636449999999</v>
      </c>
      <c r="AA846" s="1">
        <v>5.0824952919999999</v>
      </c>
      <c r="AB846" s="1">
        <v>5.2406211000000003</v>
      </c>
      <c r="AC846" s="1">
        <v>5.7595305120000004</v>
      </c>
      <c r="AD846" s="1">
        <v>5.2159266190000002</v>
      </c>
      <c r="AE846" s="1">
        <v>5.5339175159999998</v>
      </c>
    </row>
    <row r="847" spans="1:31" x14ac:dyDescent="0.25">
      <c r="A847" s="1" t="s">
        <v>1909</v>
      </c>
      <c r="B847" s="1" t="s">
        <v>2598</v>
      </c>
      <c r="C847" s="1" t="s">
        <v>2603</v>
      </c>
      <c r="D847" s="1" t="s">
        <v>3187</v>
      </c>
      <c r="E847" s="1" t="s">
        <v>4010</v>
      </c>
      <c r="F847" s="1" t="s">
        <v>4011</v>
      </c>
      <c r="G847" s="1" t="s">
        <v>1909</v>
      </c>
      <c r="H847" s="1">
        <v>7.1817882160000002</v>
      </c>
      <c r="I847" s="1">
        <v>7.0632988579999996</v>
      </c>
      <c r="J847" s="1">
        <v>6.9961611450000003</v>
      </c>
      <c r="K847" s="1">
        <v>6.6119151140000003</v>
      </c>
      <c r="L847" s="1">
        <v>7.3645400820000004</v>
      </c>
      <c r="M847" s="1">
        <v>7.1399009050000002</v>
      </c>
      <c r="N847" s="1">
        <v>7.1568779659999997</v>
      </c>
      <c r="O847" s="1">
        <v>7.2405391110000004</v>
      </c>
      <c r="P847" s="1">
        <v>6.9781248280000003</v>
      </c>
      <c r="Q847" s="1">
        <v>7.1693867569999998</v>
      </c>
      <c r="R847" s="1">
        <v>7.050768648</v>
      </c>
      <c r="S847" s="1">
        <v>7.195433188</v>
      </c>
      <c r="T847" s="1">
        <v>7.3645400820000004</v>
      </c>
      <c r="U847" s="1">
        <v>7.1399009050000002</v>
      </c>
      <c r="V847" s="1">
        <v>7.085044688</v>
      </c>
      <c r="W847" s="1">
        <v>7.1902438899999996</v>
      </c>
      <c r="X847" s="1">
        <v>6.9970696869999998</v>
      </c>
      <c r="Y847" s="1">
        <v>7.0775333739999997</v>
      </c>
      <c r="Z847" s="1">
        <v>7.050768648</v>
      </c>
      <c r="AA847" s="1">
        <v>7.195433188</v>
      </c>
      <c r="AB847" s="1">
        <v>7.233602522</v>
      </c>
      <c r="AC847" s="1">
        <v>7.4028668739999999</v>
      </c>
      <c r="AD847" s="1">
        <v>7.4335619030000002</v>
      </c>
      <c r="AE847" s="1">
        <v>7.2917257270000002</v>
      </c>
    </row>
    <row r="848" spans="1:31" x14ac:dyDescent="0.25">
      <c r="A848" s="1" t="s">
        <v>1911</v>
      </c>
      <c r="B848" s="1" t="s">
        <v>2579</v>
      </c>
      <c r="C848" s="1" t="s">
        <v>2585</v>
      </c>
      <c r="D848" s="1" t="s">
        <v>2574</v>
      </c>
      <c r="E848" s="1" t="s">
        <v>4012</v>
      </c>
      <c r="F848" s="1" t="s">
        <v>4013</v>
      </c>
      <c r="G848" s="1" t="s">
        <v>1911</v>
      </c>
      <c r="H848" s="1">
        <v>6.379172209</v>
      </c>
      <c r="I848" s="1">
        <v>5.8070199389999999</v>
      </c>
      <c r="J848" s="1">
        <v>7.2722043909999998</v>
      </c>
      <c r="K848" s="1">
        <v>7.3635670290000004</v>
      </c>
      <c r="L848" s="1">
        <v>7.2514675669999997</v>
      </c>
      <c r="M848" s="1">
        <v>7.4817971329999997</v>
      </c>
      <c r="N848" s="1">
        <v>5.428348615</v>
      </c>
      <c r="O848" s="1">
        <v>5.5090357550000002</v>
      </c>
      <c r="P848" s="1">
        <v>6.9657451879999996</v>
      </c>
      <c r="Q848" s="1">
        <v>7.0814381859999997</v>
      </c>
      <c r="R848" s="1">
        <v>7.509988559</v>
      </c>
      <c r="S848" s="1">
        <v>7.6475370180000004</v>
      </c>
      <c r="T848" s="1">
        <v>7.2514675669999997</v>
      </c>
      <c r="U848" s="1">
        <v>7.4817971329999997</v>
      </c>
      <c r="V848" s="1">
        <v>7.0424851190000002</v>
      </c>
      <c r="W848" s="1">
        <v>6.8808600269999998</v>
      </c>
      <c r="X848" s="1">
        <v>7.2261548080000004</v>
      </c>
      <c r="Y848" s="1">
        <v>6.9006741439999999</v>
      </c>
      <c r="Z848" s="1">
        <v>7.509988559</v>
      </c>
      <c r="AA848" s="1">
        <v>7.6475370180000004</v>
      </c>
      <c r="AB848" s="1">
        <v>6.875265154</v>
      </c>
      <c r="AC848" s="1">
        <v>7.1727907960000001</v>
      </c>
      <c r="AD848" s="1">
        <v>6.9055325459999999</v>
      </c>
      <c r="AE848" s="1">
        <v>6.6203616419999998</v>
      </c>
    </row>
    <row r="849" spans="1:31" x14ac:dyDescent="0.25">
      <c r="A849" s="1" t="s">
        <v>1912</v>
      </c>
      <c r="B849" s="1" t="s">
        <v>2530</v>
      </c>
      <c r="C849" s="1" t="s">
        <v>2531</v>
      </c>
      <c r="D849" s="1" t="s">
        <v>2535</v>
      </c>
      <c r="E849" s="1" t="s">
        <v>2536</v>
      </c>
      <c r="G849" s="1" t="s">
        <v>1912</v>
      </c>
      <c r="H849" s="1">
        <v>4.0684382540000001</v>
      </c>
      <c r="I849" s="1">
        <v>3.7806045529999999</v>
      </c>
      <c r="J849" s="1">
        <v>2.5640169199999998</v>
      </c>
      <c r="K849" s="1">
        <v>2.620638279</v>
      </c>
      <c r="L849" s="1">
        <v>3.4685048369999998</v>
      </c>
      <c r="M849" s="1">
        <v>2.8639998100000001</v>
      </c>
      <c r="N849" s="1">
        <v>3.7025667929999999</v>
      </c>
      <c r="O849" s="1">
        <v>3.050193165</v>
      </c>
      <c r="P849" s="1">
        <v>2.5478783159999998</v>
      </c>
      <c r="Q849" s="1">
        <v>2.935765398</v>
      </c>
      <c r="R849" s="1">
        <v>2.9339002829999998</v>
      </c>
      <c r="S849" s="1">
        <v>1.7393328349999999</v>
      </c>
      <c r="T849" s="1">
        <v>3.4685048369999998</v>
      </c>
      <c r="U849" s="1">
        <v>2.8639998100000001</v>
      </c>
      <c r="V849" s="1">
        <v>1.7393328349999999</v>
      </c>
      <c r="W849" s="1">
        <v>2.6606351240000001</v>
      </c>
      <c r="X849" s="1">
        <v>3.8119046220000001</v>
      </c>
      <c r="Y849" s="1">
        <v>2.624795792</v>
      </c>
      <c r="Z849" s="1">
        <v>2.9339002829999998</v>
      </c>
      <c r="AA849" s="1">
        <v>1.7393328349999999</v>
      </c>
      <c r="AB849" s="1">
        <v>1.7393328349999999</v>
      </c>
      <c r="AC849" s="1">
        <v>2.5506926650000001</v>
      </c>
      <c r="AD849" s="1">
        <v>2.6025990879999998</v>
      </c>
      <c r="AE849" s="1">
        <v>2.9592545700000001</v>
      </c>
    </row>
    <row r="850" spans="1:31" x14ac:dyDescent="0.25">
      <c r="A850" s="1" t="s">
        <v>1913</v>
      </c>
      <c r="B850" s="1" t="s">
        <v>2530</v>
      </c>
      <c r="C850" s="1" t="s">
        <v>2531</v>
      </c>
      <c r="D850" s="1" t="s">
        <v>2535</v>
      </c>
      <c r="E850" s="1" t="s">
        <v>2536</v>
      </c>
      <c r="G850" s="1" t="s">
        <v>1913</v>
      </c>
      <c r="H850" s="1">
        <v>3.2549621289999999</v>
      </c>
      <c r="I850" s="1">
        <v>3.3322126910000001</v>
      </c>
      <c r="J850" s="1">
        <v>2.5640169199999998</v>
      </c>
      <c r="K850" s="1">
        <v>2.620638279</v>
      </c>
      <c r="L850" s="1">
        <v>2.7248816410000001</v>
      </c>
      <c r="M850" s="1">
        <v>3.2940962960000002</v>
      </c>
      <c r="N850" s="1">
        <v>2.9782685729999998</v>
      </c>
      <c r="O850" s="1">
        <v>3.050193165</v>
      </c>
      <c r="P850" s="1">
        <v>1.7393328349999999</v>
      </c>
      <c r="Q850" s="1">
        <v>2.597100669</v>
      </c>
      <c r="R850" s="1">
        <v>1.7393328349999999</v>
      </c>
      <c r="S850" s="1">
        <v>2.5733617299999998</v>
      </c>
      <c r="T850" s="1">
        <v>2.7248816410000001</v>
      </c>
      <c r="U850" s="1">
        <v>3.2940962960000002</v>
      </c>
      <c r="V850" s="1">
        <v>1.7393328349999999</v>
      </c>
      <c r="W850" s="1">
        <v>2.6606351240000001</v>
      </c>
      <c r="X850" s="1">
        <v>3.3149070109999998</v>
      </c>
      <c r="Y850" s="1">
        <v>3.6154848500000001</v>
      </c>
      <c r="Z850" s="1">
        <v>1.7393328349999999</v>
      </c>
      <c r="AA850" s="1">
        <v>2.5733617299999998</v>
      </c>
      <c r="AB850" s="1">
        <v>2.73487305</v>
      </c>
      <c r="AC850" s="1">
        <v>1.7393328349999999</v>
      </c>
      <c r="AD850" s="1">
        <v>2.9432342459999998</v>
      </c>
      <c r="AE850" s="1">
        <v>2.9592545700000001</v>
      </c>
    </row>
    <row r="851" spans="1:31" x14ac:dyDescent="0.25">
      <c r="A851" s="1" t="s">
        <v>1914</v>
      </c>
      <c r="B851" s="1" t="s">
        <v>2547</v>
      </c>
      <c r="C851" s="1" t="s">
        <v>2622</v>
      </c>
      <c r="D851" s="1" t="s">
        <v>2535</v>
      </c>
      <c r="E851" s="1" t="s">
        <v>4014</v>
      </c>
      <c r="G851" s="1" t="s">
        <v>1914</v>
      </c>
      <c r="H851" s="1">
        <v>5.6684727009999998</v>
      </c>
      <c r="I851" s="1">
        <v>5.0595268689999999</v>
      </c>
      <c r="J851" s="1">
        <v>4.2018709520000002</v>
      </c>
      <c r="K851" s="1">
        <v>4.6734567340000002</v>
      </c>
      <c r="L851" s="1">
        <v>3.971296959</v>
      </c>
      <c r="M851" s="1">
        <v>4.4472617469999998</v>
      </c>
      <c r="N851" s="1">
        <v>4.8677953240000003</v>
      </c>
      <c r="O851" s="1">
        <v>4.7507950320000001</v>
      </c>
      <c r="P851" s="1">
        <v>4.7394495640000001</v>
      </c>
      <c r="Q851" s="1">
        <v>4.5369064569999997</v>
      </c>
      <c r="R851" s="1">
        <v>4.1841942410000001</v>
      </c>
      <c r="S851" s="1">
        <v>4.5490843459999999</v>
      </c>
      <c r="T851" s="1">
        <v>3.971296959</v>
      </c>
      <c r="U851" s="1">
        <v>4.4472617469999998</v>
      </c>
      <c r="V851" s="1">
        <v>4.1608706030000002</v>
      </c>
      <c r="W851" s="1">
        <v>4.2295768090000001</v>
      </c>
      <c r="X851" s="1">
        <v>4.7874549340000003</v>
      </c>
      <c r="Y851" s="1">
        <v>4.6081171230000004</v>
      </c>
      <c r="Z851" s="1">
        <v>4.1841942410000001</v>
      </c>
      <c r="AA851" s="1">
        <v>4.5490843459999999</v>
      </c>
      <c r="AB851" s="1">
        <v>4.705867896</v>
      </c>
      <c r="AC851" s="1">
        <v>4.8053838390000001</v>
      </c>
      <c r="AD851" s="1">
        <v>4.83054469</v>
      </c>
      <c r="AE851" s="1">
        <v>4.7636391339999999</v>
      </c>
    </row>
    <row r="852" spans="1:31" x14ac:dyDescent="0.25">
      <c r="A852" s="1" t="s">
        <v>1916</v>
      </c>
      <c r="B852" s="1" t="s">
        <v>2539</v>
      </c>
      <c r="C852" s="1" t="s">
        <v>2563</v>
      </c>
      <c r="D852" s="1" t="s">
        <v>2535</v>
      </c>
      <c r="E852" s="1" t="s">
        <v>4015</v>
      </c>
      <c r="G852" s="1" t="s">
        <v>1916</v>
      </c>
      <c r="H852" s="1">
        <v>5.977563322</v>
      </c>
      <c r="I852" s="1">
        <v>6.1880668090000004</v>
      </c>
      <c r="J852" s="1">
        <v>5.1034438250000003</v>
      </c>
      <c r="K852" s="1">
        <v>5.3612725399999999</v>
      </c>
      <c r="L852" s="1">
        <v>4.619423984</v>
      </c>
      <c r="M852" s="1">
        <v>4.2945656129999996</v>
      </c>
      <c r="N852" s="1">
        <v>4.9318354150000001</v>
      </c>
      <c r="O852" s="1">
        <v>5.3074139359999997</v>
      </c>
      <c r="P852" s="1">
        <v>5.1903212940000003</v>
      </c>
      <c r="Q852" s="1">
        <v>4.3733115800000002</v>
      </c>
      <c r="R852" s="1">
        <v>4.6795267799999998</v>
      </c>
      <c r="S852" s="1">
        <v>4.6194390810000003</v>
      </c>
      <c r="T852" s="1">
        <v>4.619423984</v>
      </c>
      <c r="U852" s="1">
        <v>4.2945656129999996</v>
      </c>
      <c r="V852" s="1">
        <v>4.6987742170000004</v>
      </c>
      <c r="W852" s="1">
        <v>4.1128053839999996</v>
      </c>
      <c r="X852" s="1">
        <v>4.4920419310000002</v>
      </c>
      <c r="Y852" s="1">
        <v>5.3731782380000004</v>
      </c>
      <c r="Z852" s="1">
        <v>4.6795267799999998</v>
      </c>
      <c r="AA852" s="1">
        <v>4.6194390810000003</v>
      </c>
      <c r="AB852" s="1">
        <v>4.3946012420000002</v>
      </c>
      <c r="AC852" s="1">
        <v>4.7474570290000004</v>
      </c>
      <c r="AD852" s="1">
        <v>4.7657555159999996</v>
      </c>
      <c r="AE852" s="1">
        <v>4.8303216779999998</v>
      </c>
    </row>
    <row r="853" spans="1:31" x14ac:dyDescent="0.25">
      <c r="A853" s="1" t="s">
        <v>1919</v>
      </c>
      <c r="B853" s="1" t="s">
        <v>2530</v>
      </c>
      <c r="C853" s="1" t="s">
        <v>2573</v>
      </c>
      <c r="D853" s="1" t="s">
        <v>2535</v>
      </c>
      <c r="E853" s="1" t="s">
        <v>4016</v>
      </c>
      <c r="G853" s="1" t="s">
        <v>1919</v>
      </c>
      <c r="H853" s="1">
        <v>2.640460343</v>
      </c>
      <c r="I853" s="1">
        <v>2.5655118899999998</v>
      </c>
      <c r="J853" s="1">
        <v>3.1324899180000001</v>
      </c>
      <c r="K853" s="1">
        <v>2.620638279</v>
      </c>
      <c r="L853" s="1">
        <v>3.6142294740000001</v>
      </c>
      <c r="M853" s="1">
        <v>3.7747836370000001</v>
      </c>
      <c r="N853" s="1">
        <v>2.372908427</v>
      </c>
      <c r="O853" s="1">
        <v>1.7393328349999999</v>
      </c>
      <c r="P853" s="1">
        <v>2.5478783159999998</v>
      </c>
      <c r="Q853" s="1">
        <v>2.597100669</v>
      </c>
      <c r="R853" s="1">
        <v>3.968758995</v>
      </c>
      <c r="S853" s="1">
        <v>3.5159502420000002</v>
      </c>
      <c r="T853" s="1">
        <v>3.6142294740000001</v>
      </c>
      <c r="U853" s="1">
        <v>3.7747836370000001</v>
      </c>
      <c r="V853" s="1">
        <v>3.6670520409999998</v>
      </c>
      <c r="W853" s="1">
        <v>1.7393328349999999</v>
      </c>
      <c r="X853" s="1">
        <v>3.6673381269999998</v>
      </c>
      <c r="Y853" s="1">
        <v>4.1479647589999997</v>
      </c>
      <c r="Z853" s="1">
        <v>3.968758995</v>
      </c>
      <c r="AA853" s="1">
        <v>3.5159502420000002</v>
      </c>
      <c r="AB853" s="1">
        <v>3.404153038</v>
      </c>
      <c r="AC853" s="1">
        <v>3.1109927919999998</v>
      </c>
      <c r="AD853" s="1">
        <v>3.5727029510000001</v>
      </c>
      <c r="AE853" s="1">
        <v>4.0105905760000002</v>
      </c>
    </row>
    <row r="854" spans="1:31" x14ac:dyDescent="0.25">
      <c r="A854" s="1" t="s">
        <v>1921</v>
      </c>
      <c r="B854" s="1" t="s">
        <v>2557</v>
      </c>
      <c r="C854" s="1" t="s">
        <v>2680</v>
      </c>
      <c r="D854" s="1" t="s">
        <v>4017</v>
      </c>
      <c r="E854" s="1" t="s">
        <v>4018</v>
      </c>
      <c r="F854" s="1" t="s">
        <v>4019</v>
      </c>
      <c r="G854" s="1" t="s">
        <v>1921</v>
      </c>
      <c r="H854" s="1">
        <v>5.5062820300000004</v>
      </c>
      <c r="I854" s="1">
        <v>4.5280931029999998</v>
      </c>
      <c r="J854" s="1">
        <v>4.2018709520000002</v>
      </c>
      <c r="K854" s="1">
        <v>4.941717659</v>
      </c>
      <c r="L854" s="1">
        <v>3.6811173419999998</v>
      </c>
      <c r="M854" s="1">
        <v>4.059937712</v>
      </c>
      <c r="N854" s="1">
        <v>4.5366957899999996</v>
      </c>
      <c r="O854" s="1">
        <v>5.1349072580000001</v>
      </c>
      <c r="P854" s="1">
        <v>4.6160325330000003</v>
      </c>
      <c r="Q854" s="1">
        <v>3.388910638</v>
      </c>
      <c r="R854" s="1">
        <v>4.1841942410000001</v>
      </c>
      <c r="S854" s="1">
        <v>4.6194390810000003</v>
      </c>
      <c r="T854" s="1">
        <v>3.6811173419999998</v>
      </c>
      <c r="U854" s="1">
        <v>4.059937712</v>
      </c>
      <c r="V854" s="1">
        <v>4.2408545169999998</v>
      </c>
      <c r="W854" s="1">
        <v>4.1128053839999996</v>
      </c>
      <c r="X854" s="1">
        <v>4.2691515329999996</v>
      </c>
      <c r="Y854" s="1">
        <v>4.1479647589999997</v>
      </c>
      <c r="Z854" s="1">
        <v>4.1841942410000001</v>
      </c>
      <c r="AA854" s="1">
        <v>4.6194390810000003</v>
      </c>
      <c r="AB854" s="1">
        <v>3.990981031</v>
      </c>
      <c r="AC854" s="1">
        <v>4.4881955270000002</v>
      </c>
      <c r="AD854" s="1">
        <v>4.0967699450000001</v>
      </c>
      <c r="AE854" s="1">
        <v>4.5014252270000004</v>
      </c>
    </row>
    <row r="855" spans="1:31" x14ac:dyDescent="0.25">
      <c r="A855" s="1" t="s">
        <v>1922</v>
      </c>
      <c r="B855" s="1" t="s">
        <v>2520</v>
      </c>
      <c r="C855" s="1" t="s">
        <v>3160</v>
      </c>
      <c r="D855" s="1" t="s">
        <v>4020</v>
      </c>
      <c r="E855" s="1" t="s">
        <v>4021</v>
      </c>
      <c r="F855" s="1" t="s">
        <v>4022</v>
      </c>
      <c r="G855" s="1" t="s">
        <v>1922</v>
      </c>
      <c r="H855" s="1">
        <v>5.4177093730000001</v>
      </c>
      <c r="I855" s="1">
        <v>4.9575946069999999</v>
      </c>
      <c r="J855" s="1">
        <v>4.5940881259999999</v>
      </c>
      <c r="K855" s="1">
        <v>5.4493056099999997</v>
      </c>
      <c r="L855" s="1">
        <v>3.8051274570000002</v>
      </c>
      <c r="M855" s="1">
        <v>4.3473799800000004</v>
      </c>
      <c r="N855" s="1">
        <v>4.4061149080000002</v>
      </c>
      <c r="O855" s="1">
        <v>5.3605571169999999</v>
      </c>
      <c r="P855" s="1">
        <v>4.9577743410000004</v>
      </c>
      <c r="Q855" s="1">
        <v>5.1511590549999999</v>
      </c>
      <c r="R855" s="1">
        <v>3.968758995</v>
      </c>
      <c r="S855" s="1">
        <v>4.6864044680000001</v>
      </c>
      <c r="T855" s="1">
        <v>3.8051274570000002</v>
      </c>
      <c r="U855" s="1">
        <v>4.3473799800000004</v>
      </c>
      <c r="V855" s="1">
        <v>4.8059579570000004</v>
      </c>
      <c r="W855" s="1">
        <v>4.2295768090000001</v>
      </c>
      <c r="X855" s="1">
        <v>4.1686775799999998</v>
      </c>
      <c r="Y855" s="1">
        <v>4.4420910779999998</v>
      </c>
      <c r="Z855" s="1">
        <v>3.968758995</v>
      </c>
      <c r="AA855" s="1">
        <v>4.6864044680000001</v>
      </c>
      <c r="AB855" s="1">
        <v>4.6096720080000004</v>
      </c>
      <c r="AC855" s="1">
        <v>4.2557864319999998</v>
      </c>
      <c r="AD855" s="1">
        <v>5.0087140049999999</v>
      </c>
      <c r="AE855" s="1">
        <v>4.7973769099999997</v>
      </c>
    </row>
    <row r="856" spans="1:31" x14ac:dyDescent="0.25">
      <c r="A856" s="1" t="s">
        <v>1923</v>
      </c>
      <c r="B856" s="1" t="s">
        <v>2530</v>
      </c>
      <c r="C856" s="1" t="s">
        <v>2531</v>
      </c>
      <c r="D856" s="1" t="s">
        <v>2535</v>
      </c>
      <c r="E856" s="1" t="s">
        <v>2536</v>
      </c>
      <c r="G856" s="1" t="s">
        <v>1923</v>
      </c>
      <c r="H856" s="1">
        <v>5.9144073309999996</v>
      </c>
      <c r="I856" s="1">
        <v>6.0719413549999999</v>
      </c>
      <c r="J856" s="1">
        <v>3.8969924050000002</v>
      </c>
      <c r="K856" s="1">
        <v>4.6734567340000002</v>
      </c>
      <c r="L856" s="1">
        <v>3.971296959</v>
      </c>
      <c r="M856" s="1">
        <v>4.494607383</v>
      </c>
      <c r="N856" s="1">
        <v>5.1887139119999999</v>
      </c>
      <c r="O856" s="1">
        <v>5.0070106360000004</v>
      </c>
      <c r="P856" s="1">
        <v>4.8528499219999999</v>
      </c>
      <c r="Q856" s="1">
        <v>4.3733115800000002</v>
      </c>
      <c r="R856" s="1">
        <v>4.3698765340000003</v>
      </c>
      <c r="S856" s="1">
        <v>4.0285685429999996</v>
      </c>
      <c r="T856" s="1">
        <v>3.971296959</v>
      </c>
      <c r="U856" s="1">
        <v>4.494607383</v>
      </c>
      <c r="V856" s="1">
        <v>4.6419314959999998</v>
      </c>
      <c r="W856" s="1">
        <v>4.1128053839999996</v>
      </c>
      <c r="X856" s="1">
        <v>4.8203448399999997</v>
      </c>
      <c r="Y856" s="1">
        <v>5.0702808140000002</v>
      </c>
      <c r="Z856" s="1">
        <v>4.3698765340000003</v>
      </c>
      <c r="AA856" s="1">
        <v>4.0285685429999996</v>
      </c>
      <c r="AB856" s="1">
        <v>4.705867896</v>
      </c>
      <c r="AC856" s="1">
        <v>4.3377211620000002</v>
      </c>
      <c r="AD856" s="1">
        <v>4.3870463700000002</v>
      </c>
      <c r="AE856" s="1">
        <v>4.5815229759999996</v>
      </c>
    </row>
    <row r="857" spans="1:31" x14ac:dyDescent="0.25">
      <c r="A857" s="1" t="s">
        <v>1924</v>
      </c>
      <c r="B857" s="1" t="s">
        <v>2648</v>
      </c>
      <c r="C857" s="1" t="s">
        <v>2649</v>
      </c>
      <c r="D857" s="1" t="s">
        <v>4023</v>
      </c>
      <c r="E857" s="1" t="s">
        <v>4024</v>
      </c>
      <c r="F857" s="1" t="s">
        <v>4025</v>
      </c>
      <c r="G857" s="1" t="s">
        <v>1924</v>
      </c>
      <c r="H857" s="1">
        <v>3.8023684370000002</v>
      </c>
      <c r="I857" s="1">
        <v>4.4542943209999999</v>
      </c>
      <c r="J857" s="1">
        <v>5.5826322800000003</v>
      </c>
      <c r="K857" s="1">
        <v>5.1139224319999999</v>
      </c>
      <c r="L857" s="1">
        <v>5.1504600580000002</v>
      </c>
      <c r="M857" s="1">
        <v>5.3157400949999998</v>
      </c>
      <c r="N857" s="1">
        <v>4.6560102480000003</v>
      </c>
      <c r="O857" s="1">
        <v>4.0289865369999998</v>
      </c>
      <c r="P857" s="1">
        <v>5.426847231</v>
      </c>
      <c r="Q857" s="1">
        <v>5.2473923969999996</v>
      </c>
      <c r="R857" s="1">
        <v>5.0440296189999998</v>
      </c>
      <c r="S857" s="1">
        <v>5.2232498669999998</v>
      </c>
      <c r="T857" s="1">
        <v>5.1504600580000002</v>
      </c>
      <c r="U857" s="1">
        <v>5.3157400949999998</v>
      </c>
      <c r="V857" s="1">
        <v>5.8520207290000004</v>
      </c>
      <c r="W857" s="1">
        <v>5.5634106699999997</v>
      </c>
      <c r="X857" s="1">
        <v>5.0861518739999996</v>
      </c>
      <c r="Y857" s="1">
        <v>5.1254702539999997</v>
      </c>
      <c r="Z857" s="1">
        <v>5.0440296189999998</v>
      </c>
      <c r="AA857" s="1">
        <v>5.2232498669999998</v>
      </c>
      <c r="AB857" s="1">
        <v>4.705867896</v>
      </c>
      <c r="AC857" s="1">
        <v>4.7474570290000004</v>
      </c>
      <c r="AD857" s="1">
        <v>5.0634297190000002</v>
      </c>
      <c r="AE857" s="1">
        <v>5.473179547</v>
      </c>
    </row>
    <row r="858" spans="1:31" x14ac:dyDescent="0.25">
      <c r="A858" s="1" t="s">
        <v>1925</v>
      </c>
      <c r="B858" s="1" t="s">
        <v>2557</v>
      </c>
      <c r="C858" s="1" t="s">
        <v>2680</v>
      </c>
      <c r="D858" s="1" t="s">
        <v>4026</v>
      </c>
      <c r="E858" s="1" t="s">
        <v>4027</v>
      </c>
      <c r="F858" s="1" t="s">
        <v>4028</v>
      </c>
      <c r="G858" s="1" t="s">
        <v>1925</v>
      </c>
      <c r="H858" s="1">
        <v>4.3886087140000001</v>
      </c>
      <c r="I858" s="1">
        <v>4.0101074990000001</v>
      </c>
      <c r="J858" s="1">
        <v>4.8994370109999998</v>
      </c>
      <c r="K858" s="1">
        <v>3.762021974</v>
      </c>
      <c r="L858" s="1">
        <v>5.7830592080000001</v>
      </c>
      <c r="M858" s="1">
        <v>5.7000608240000004</v>
      </c>
      <c r="N858" s="1">
        <v>3.5368298970000001</v>
      </c>
      <c r="O858" s="1">
        <v>3.8071106499999998</v>
      </c>
      <c r="P858" s="1">
        <v>5.426847231</v>
      </c>
      <c r="Q858" s="1">
        <v>5.5406489910000003</v>
      </c>
      <c r="R858" s="1">
        <v>4.8735636449999999</v>
      </c>
      <c r="S858" s="1">
        <v>5.1778667870000001</v>
      </c>
      <c r="T858" s="1">
        <v>5.7830592080000001</v>
      </c>
      <c r="U858" s="1">
        <v>5.7000608240000004</v>
      </c>
      <c r="V858" s="1">
        <v>5.6676649780000004</v>
      </c>
      <c r="W858" s="1">
        <v>5.16775612</v>
      </c>
      <c r="X858" s="1">
        <v>5.4828239310000004</v>
      </c>
      <c r="Y858" s="1">
        <v>5.503438128</v>
      </c>
      <c r="Z858" s="1">
        <v>4.8735636449999999</v>
      </c>
      <c r="AA858" s="1">
        <v>5.1778667870000001</v>
      </c>
      <c r="AB858" s="1">
        <v>5.0356743460000004</v>
      </c>
      <c r="AC858" s="1">
        <v>5.198889973</v>
      </c>
      <c r="AD858" s="1">
        <v>5.5186611069999998</v>
      </c>
      <c r="AE858" s="1">
        <v>5.2004631630000002</v>
      </c>
    </row>
    <row r="859" spans="1:31" x14ac:dyDescent="0.25">
      <c r="A859" s="1" t="s">
        <v>1926</v>
      </c>
      <c r="B859" s="1" t="s">
        <v>2608</v>
      </c>
      <c r="C859" s="1" t="s">
        <v>2758</v>
      </c>
      <c r="D859" s="1" t="s">
        <v>2759</v>
      </c>
      <c r="E859" s="1" t="s">
        <v>4029</v>
      </c>
      <c r="F859" s="1" t="s">
        <v>4030</v>
      </c>
      <c r="G859" s="1" t="s">
        <v>1926</v>
      </c>
      <c r="H859" s="1">
        <v>4.3886087140000001</v>
      </c>
      <c r="I859" s="1">
        <v>4.66484875</v>
      </c>
      <c r="J859" s="1">
        <v>5.6488969620000002</v>
      </c>
      <c r="K859" s="1">
        <v>5.0588199180000002</v>
      </c>
      <c r="L859" s="1">
        <v>6.5631733570000002</v>
      </c>
      <c r="M859" s="1">
        <v>6.6907862490000003</v>
      </c>
      <c r="N859" s="1">
        <v>4.730225151</v>
      </c>
      <c r="O859" s="1">
        <v>4.7100516409999997</v>
      </c>
      <c r="P859" s="1">
        <v>5.9898979399999996</v>
      </c>
      <c r="Q859" s="1">
        <v>6.045837068</v>
      </c>
      <c r="R859" s="1">
        <v>6.4547978119999998</v>
      </c>
      <c r="S859" s="1">
        <v>6.4405915680000003</v>
      </c>
      <c r="T859" s="1">
        <v>6.5631733570000002</v>
      </c>
      <c r="U859" s="1">
        <v>6.6907862490000003</v>
      </c>
      <c r="V859" s="1">
        <v>6.5443212659999999</v>
      </c>
      <c r="W859" s="1">
        <v>6.2120844699999997</v>
      </c>
      <c r="X859" s="1">
        <v>6.3772162630000002</v>
      </c>
      <c r="Y859" s="1">
        <v>6.0488320509999998</v>
      </c>
      <c r="Z859" s="1">
        <v>6.4547978119999998</v>
      </c>
      <c r="AA859" s="1">
        <v>6.4405915680000003</v>
      </c>
      <c r="AB859" s="1">
        <v>5.7665348979999997</v>
      </c>
      <c r="AC859" s="1">
        <v>6.346005549</v>
      </c>
      <c r="AD859" s="1">
        <v>5.980763981</v>
      </c>
      <c r="AE859" s="1">
        <v>5.9445968479999998</v>
      </c>
    </row>
    <row r="860" spans="1:31" x14ac:dyDescent="0.25">
      <c r="A860" s="1" t="s">
        <v>1927</v>
      </c>
      <c r="B860" s="1" t="s">
        <v>2598</v>
      </c>
      <c r="C860" s="1" t="s">
        <v>2603</v>
      </c>
      <c r="D860" s="1" t="s">
        <v>4031</v>
      </c>
      <c r="E860" s="1" t="s">
        <v>4032</v>
      </c>
      <c r="F860" s="1" t="s">
        <v>4033</v>
      </c>
      <c r="G860" s="1" t="s">
        <v>1927</v>
      </c>
      <c r="H860" s="1">
        <v>2.640460343</v>
      </c>
      <c r="I860" s="1">
        <v>1.7393328349999999</v>
      </c>
      <c r="J860" s="1">
        <v>1.7393328349999999</v>
      </c>
      <c r="K860" s="1">
        <v>1.7393328349999999</v>
      </c>
      <c r="L860" s="1">
        <v>1.7393328349999999</v>
      </c>
      <c r="M860" s="1">
        <v>1.7393328349999999</v>
      </c>
      <c r="N860" s="1">
        <v>1.7393328349999999</v>
      </c>
      <c r="O860" s="1">
        <v>1.7393328349999999</v>
      </c>
      <c r="P860" s="1">
        <v>2.5478783159999998</v>
      </c>
      <c r="Q860" s="1">
        <v>2.597100669</v>
      </c>
      <c r="R860" s="1">
        <v>1.7393328349999999</v>
      </c>
      <c r="S860" s="1">
        <v>1.7393328349999999</v>
      </c>
      <c r="T860" s="1">
        <v>1.7393328349999999</v>
      </c>
      <c r="U860" s="1">
        <v>1.7393328349999999</v>
      </c>
      <c r="V860" s="1">
        <v>1.7393328349999999</v>
      </c>
      <c r="W860" s="1">
        <v>1.7393328349999999</v>
      </c>
      <c r="X860" s="1">
        <v>2.3600830049999999</v>
      </c>
      <c r="Y860" s="1">
        <v>1.7393328349999999</v>
      </c>
      <c r="Z860" s="1">
        <v>1.7393328349999999</v>
      </c>
      <c r="AA860" s="1">
        <v>1.7393328349999999</v>
      </c>
      <c r="AB860" s="1">
        <v>1.7393328349999999</v>
      </c>
      <c r="AC860" s="1">
        <v>2.87258916</v>
      </c>
      <c r="AD860" s="1">
        <v>1.7393328349999999</v>
      </c>
      <c r="AE860" s="1">
        <v>1.7393328349999999</v>
      </c>
    </row>
    <row r="861" spans="1:31" x14ac:dyDescent="0.25">
      <c r="A861" s="1" t="s">
        <v>1931</v>
      </c>
      <c r="B861" s="1" t="s">
        <v>2530</v>
      </c>
      <c r="C861" s="1" t="s">
        <v>2573</v>
      </c>
      <c r="D861" s="1" t="s">
        <v>2535</v>
      </c>
      <c r="E861" s="1" t="s">
        <v>4034</v>
      </c>
      <c r="G861" s="1" t="s">
        <v>1931</v>
      </c>
      <c r="H861" s="1">
        <v>6.0673720150000001</v>
      </c>
      <c r="I861" s="1">
        <v>6.295503557</v>
      </c>
      <c r="J861" s="1">
        <v>6.1378545859999996</v>
      </c>
      <c r="K861" s="1">
        <v>5.6848657879999998</v>
      </c>
      <c r="L861" s="1">
        <v>5.8111757209999997</v>
      </c>
      <c r="M861" s="1">
        <v>6.1691684679999996</v>
      </c>
      <c r="N861" s="1">
        <v>6.2582753870000003</v>
      </c>
      <c r="O861" s="1">
        <v>5.9675486500000003</v>
      </c>
      <c r="P861" s="1">
        <v>6.2975076100000003</v>
      </c>
      <c r="Q861" s="1">
        <v>5.9352426600000001</v>
      </c>
      <c r="R861" s="1">
        <v>6.1687435319999997</v>
      </c>
      <c r="S861" s="1">
        <v>6.2136668149999998</v>
      </c>
      <c r="T861" s="1">
        <v>5.8111757209999997</v>
      </c>
      <c r="U861" s="1">
        <v>6.1691684679999996</v>
      </c>
      <c r="V861" s="1">
        <v>6.258213456</v>
      </c>
      <c r="W861" s="1">
        <v>6.2120844699999997</v>
      </c>
      <c r="X861" s="1">
        <v>6.3552247629999998</v>
      </c>
      <c r="Y861" s="1">
        <v>6.3310590680000001</v>
      </c>
      <c r="Z861" s="1">
        <v>6.1687435319999997</v>
      </c>
      <c r="AA861" s="1">
        <v>6.2136668149999998</v>
      </c>
      <c r="AB861" s="1">
        <v>5.9711898400000001</v>
      </c>
      <c r="AC861" s="1">
        <v>6.1168053020000004</v>
      </c>
      <c r="AD861" s="1">
        <v>6.1407817189999996</v>
      </c>
      <c r="AE861" s="1">
        <v>6.4529509149999997</v>
      </c>
    </row>
    <row r="862" spans="1:31" x14ac:dyDescent="0.25">
      <c r="A862" s="1" t="s">
        <v>1934</v>
      </c>
      <c r="B862" s="1" t="s">
        <v>2530</v>
      </c>
      <c r="C862" s="1" t="s">
        <v>2531</v>
      </c>
      <c r="D862" s="1" t="s">
        <v>2535</v>
      </c>
      <c r="E862" s="1" t="s">
        <v>2536</v>
      </c>
      <c r="G862" s="1" t="s">
        <v>1934</v>
      </c>
      <c r="H862" s="1">
        <v>4.6479005740000003</v>
      </c>
      <c r="I862" s="1">
        <v>4.4542943209999999</v>
      </c>
      <c r="J862" s="1">
        <v>5.7728716349999996</v>
      </c>
      <c r="K862" s="1">
        <v>4.941717659</v>
      </c>
      <c r="L862" s="1">
        <v>5.1940340669999996</v>
      </c>
      <c r="M862" s="1">
        <v>5.1508485750000004</v>
      </c>
      <c r="N862" s="1">
        <v>4.2617896110000002</v>
      </c>
      <c r="O862" s="1">
        <v>4.7100516409999997</v>
      </c>
      <c r="P862" s="1">
        <v>5.5318451900000003</v>
      </c>
      <c r="Q862" s="1">
        <v>5.5022716190000001</v>
      </c>
      <c r="R862" s="1">
        <v>5.3334881589999998</v>
      </c>
      <c r="S862" s="1">
        <v>5.7723891209999998</v>
      </c>
      <c r="T862" s="1">
        <v>5.1940340669999996</v>
      </c>
      <c r="U862" s="1">
        <v>5.1508485750000004</v>
      </c>
      <c r="V862" s="1">
        <v>4.5207607210000003</v>
      </c>
      <c r="W862" s="1">
        <v>4.7760085830000003</v>
      </c>
      <c r="X862" s="1">
        <v>5.3098210989999997</v>
      </c>
      <c r="Y862" s="1">
        <v>4.8250325140000001</v>
      </c>
      <c r="Z862" s="1">
        <v>5.3334881589999998</v>
      </c>
      <c r="AA862" s="1">
        <v>5.7723891209999998</v>
      </c>
      <c r="AB862" s="1">
        <v>5.3028471579999996</v>
      </c>
      <c r="AC862" s="1">
        <v>5.2411914069999996</v>
      </c>
      <c r="AD862" s="1">
        <v>5.0634297190000002</v>
      </c>
      <c r="AE862" s="1">
        <v>5.0693189500000004</v>
      </c>
    </row>
    <row r="863" spans="1:31" x14ac:dyDescent="0.25">
      <c r="A863" s="1" t="s">
        <v>1935</v>
      </c>
      <c r="B863" s="1" t="s">
        <v>2530</v>
      </c>
      <c r="C863" s="1" t="s">
        <v>2573</v>
      </c>
      <c r="D863" s="1" t="s">
        <v>2535</v>
      </c>
      <c r="E863" s="1" t="s">
        <v>4035</v>
      </c>
      <c r="G863" s="1" t="s">
        <v>1935</v>
      </c>
      <c r="H863" s="1">
        <v>4.8663747150000001</v>
      </c>
      <c r="I863" s="1">
        <v>5.5177814730000003</v>
      </c>
      <c r="J863" s="1">
        <v>5.7728716349999996</v>
      </c>
      <c r="K863" s="1">
        <v>6.1712535270000002</v>
      </c>
      <c r="L863" s="1">
        <v>5.7830592080000001</v>
      </c>
      <c r="M863" s="1">
        <v>5.7000608240000004</v>
      </c>
      <c r="N863" s="1">
        <v>5.0517962220000001</v>
      </c>
      <c r="O863" s="1">
        <v>5.1349072580000001</v>
      </c>
      <c r="P863" s="1">
        <v>5.6296473389999999</v>
      </c>
      <c r="Q863" s="1">
        <v>5.9352426600000001</v>
      </c>
      <c r="R863" s="1">
        <v>6.0937807429999999</v>
      </c>
      <c r="S863" s="1">
        <v>4.9261733090000002</v>
      </c>
      <c r="T863" s="1">
        <v>5.7830592080000001</v>
      </c>
      <c r="U863" s="1">
        <v>5.7000608240000004</v>
      </c>
      <c r="V863" s="1">
        <v>5.5807524949999996</v>
      </c>
      <c r="W863" s="1">
        <v>5.8376547490000004</v>
      </c>
      <c r="X863" s="1">
        <v>6.0611663609999997</v>
      </c>
      <c r="Y863" s="1">
        <v>5.6604650660000004</v>
      </c>
      <c r="Z863" s="1">
        <v>6.0937807429999999</v>
      </c>
      <c r="AA863" s="1">
        <v>4.9261733090000002</v>
      </c>
      <c r="AB863" s="1">
        <v>5.3624643089999999</v>
      </c>
      <c r="AC863" s="1">
        <v>5.6386390840000002</v>
      </c>
      <c r="AD863" s="1">
        <v>6.3516560770000003</v>
      </c>
      <c r="AE863" s="1">
        <v>6.2394295809999996</v>
      </c>
    </row>
    <row r="864" spans="1:31" x14ac:dyDescent="0.25">
      <c r="A864" s="1" t="s">
        <v>1937</v>
      </c>
      <c r="B864" s="1" t="s">
        <v>2631</v>
      </c>
      <c r="C864" s="1" t="s">
        <v>2980</v>
      </c>
      <c r="D864" s="1" t="s">
        <v>2535</v>
      </c>
      <c r="E864" s="1" t="s">
        <v>2981</v>
      </c>
      <c r="G864" s="1" t="s">
        <v>1937</v>
      </c>
      <c r="H864" s="1">
        <v>4.2900513550000001</v>
      </c>
      <c r="I864" s="1">
        <v>5.4067069720000003</v>
      </c>
      <c r="J864" s="1">
        <v>4.3724365990000003</v>
      </c>
      <c r="K864" s="1">
        <v>3.8998480660000001</v>
      </c>
      <c r="L864" s="1">
        <v>5.4123805689999998</v>
      </c>
      <c r="M864" s="1">
        <v>5.0913316819999999</v>
      </c>
      <c r="N864" s="1">
        <v>5.0802595029999997</v>
      </c>
      <c r="O864" s="1">
        <v>3.88533178</v>
      </c>
      <c r="P864" s="1">
        <v>4.7972962780000001</v>
      </c>
      <c r="Q864" s="1">
        <v>5.6144419360000004</v>
      </c>
      <c r="R864" s="1">
        <v>4.0808207129999996</v>
      </c>
      <c r="S864" s="1">
        <v>4.8699614389999999</v>
      </c>
      <c r="T864" s="1">
        <v>5.4123805689999998</v>
      </c>
      <c r="U864" s="1">
        <v>5.0913316819999999</v>
      </c>
      <c r="V864" s="1">
        <v>3.7819764450000002</v>
      </c>
      <c r="W864" s="1">
        <v>3.50175473</v>
      </c>
      <c r="X864" s="1">
        <v>5.3989469190000001</v>
      </c>
      <c r="Y864" s="1">
        <v>5.2297915760000002</v>
      </c>
      <c r="Z864" s="1">
        <v>4.0808207129999996</v>
      </c>
      <c r="AA864" s="1">
        <v>4.8699614389999999</v>
      </c>
      <c r="AB864" s="1">
        <v>3.990981031</v>
      </c>
      <c r="AC864" s="1">
        <v>4.6870272159999997</v>
      </c>
      <c r="AD864" s="1">
        <v>5.2159266190000002</v>
      </c>
      <c r="AE864" s="1">
        <v>4.7973769099999997</v>
      </c>
    </row>
    <row r="865" spans="1:31" x14ac:dyDescent="0.25">
      <c r="A865" s="1" t="s">
        <v>1938</v>
      </c>
      <c r="B865" s="1" t="s">
        <v>2631</v>
      </c>
      <c r="C865" s="1" t="s">
        <v>2980</v>
      </c>
      <c r="D865" s="1" t="s">
        <v>2535</v>
      </c>
      <c r="E865" s="1" t="s">
        <v>4036</v>
      </c>
      <c r="G865" s="1" t="s">
        <v>1938</v>
      </c>
      <c r="H865" s="1">
        <v>3.6455184960000002</v>
      </c>
      <c r="I865" s="1">
        <v>4.2936285989999998</v>
      </c>
      <c r="J865" s="1">
        <v>4.6607313550000002</v>
      </c>
      <c r="K865" s="1">
        <v>4.0244910950000001</v>
      </c>
      <c r="L865" s="1">
        <v>4.9098563420000003</v>
      </c>
      <c r="M865" s="1">
        <v>4.9642129490000002</v>
      </c>
      <c r="N865" s="1">
        <v>4.1002678350000004</v>
      </c>
      <c r="O865" s="1">
        <v>3.5386882399999999</v>
      </c>
      <c r="P865" s="1">
        <v>4.161525224</v>
      </c>
      <c r="Q865" s="1">
        <v>4.8155696649999999</v>
      </c>
      <c r="R865" s="1">
        <v>3.968758995</v>
      </c>
      <c r="S865" s="1">
        <v>5.032286365</v>
      </c>
      <c r="T865" s="1">
        <v>4.9098563420000003</v>
      </c>
      <c r="U865" s="1">
        <v>4.9642129490000002</v>
      </c>
      <c r="V865" s="1">
        <v>3.3993802240000002</v>
      </c>
      <c r="W865" s="1">
        <v>4.4367165279999998</v>
      </c>
      <c r="X865" s="1">
        <v>4.4920419310000002</v>
      </c>
      <c r="Y865" s="1">
        <v>4.4420910779999998</v>
      </c>
      <c r="Z865" s="1">
        <v>3.968758995</v>
      </c>
      <c r="AA865" s="1">
        <v>5.032286365</v>
      </c>
      <c r="AB865" s="1">
        <v>4.3946012420000002</v>
      </c>
      <c r="AC865" s="1">
        <v>4.6870272159999997</v>
      </c>
      <c r="AD865" s="1">
        <v>4.0967699450000001</v>
      </c>
      <c r="AE865" s="1">
        <v>4.1773695330000002</v>
      </c>
    </row>
    <row r="866" spans="1:31" x14ac:dyDescent="0.25">
      <c r="A866" s="1" t="s">
        <v>1939</v>
      </c>
      <c r="B866" s="1" t="s">
        <v>2667</v>
      </c>
      <c r="C866" s="1" t="s">
        <v>2875</v>
      </c>
      <c r="D866" s="1" t="s">
        <v>3679</v>
      </c>
      <c r="E866" s="1" t="s">
        <v>4037</v>
      </c>
      <c r="F866" s="1" t="s">
        <v>4038</v>
      </c>
      <c r="G866" s="1" t="s">
        <v>1939</v>
      </c>
      <c r="H866" s="1">
        <v>6.4696957609999997</v>
      </c>
      <c r="I866" s="1">
        <v>6.9756704020000004</v>
      </c>
      <c r="J866" s="1">
        <v>6.7627112289999998</v>
      </c>
      <c r="K866" s="1">
        <v>6.4300937310000004</v>
      </c>
      <c r="L866" s="1">
        <v>8.0363972399999994</v>
      </c>
      <c r="M866" s="1">
        <v>8.2135914410000002</v>
      </c>
      <c r="N866" s="1">
        <v>5.5947014570000002</v>
      </c>
      <c r="O866" s="1">
        <v>5.5323462069999998</v>
      </c>
      <c r="P866" s="1">
        <v>7.4825689239999997</v>
      </c>
      <c r="Q866" s="1">
        <v>7.4756828979999996</v>
      </c>
      <c r="R866" s="1">
        <v>7.7882561260000003</v>
      </c>
      <c r="S866" s="1">
        <v>7.7587352269999998</v>
      </c>
      <c r="T866" s="1">
        <v>8.0363972399999994</v>
      </c>
      <c r="U866" s="1">
        <v>8.2135914410000002</v>
      </c>
      <c r="V866" s="1">
        <v>7.7125774720000004</v>
      </c>
      <c r="W866" s="1">
        <v>7.1621289209999999</v>
      </c>
      <c r="X866" s="1">
        <v>7.1769105629999999</v>
      </c>
      <c r="Y866" s="1">
        <v>7.063596596</v>
      </c>
      <c r="Z866" s="1">
        <v>7.7882561260000003</v>
      </c>
      <c r="AA866" s="1">
        <v>7.7587352269999998</v>
      </c>
      <c r="AB866" s="1">
        <v>7.412395268</v>
      </c>
      <c r="AC866" s="1">
        <v>7.4573009299999997</v>
      </c>
      <c r="AD866" s="1">
        <v>7.0195523419999999</v>
      </c>
      <c r="AE866" s="1">
        <v>6.9585103139999998</v>
      </c>
    </row>
    <row r="867" spans="1:31" x14ac:dyDescent="0.25">
      <c r="A867" s="1" t="s">
        <v>1940</v>
      </c>
      <c r="B867" s="1" t="s">
        <v>2525</v>
      </c>
      <c r="C867" s="1" t="s">
        <v>2749</v>
      </c>
      <c r="D867" s="1" t="s">
        <v>2535</v>
      </c>
      <c r="E867" s="1" t="s">
        <v>4039</v>
      </c>
      <c r="F867" s="1" t="s">
        <v>4040</v>
      </c>
      <c r="G867" s="1" t="s">
        <v>1940</v>
      </c>
      <c r="H867" s="1">
        <v>8.1350588829999992</v>
      </c>
      <c r="I867" s="1">
        <v>7.9832834799999999</v>
      </c>
      <c r="J867" s="1">
        <v>7.9716261309999998</v>
      </c>
      <c r="K867" s="1">
        <v>8.2022055090000006</v>
      </c>
      <c r="L867" s="1">
        <v>8.5271262609999994</v>
      </c>
      <c r="M867" s="1">
        <v>8.4074076560000002</v>
      </c>
      <c r="N867" s="1">
        <v>8.4839392490000005</v>
      </c>
      <c r="O867" s="1">
        <v>8.5726662440000005</v>
      </c>
      <c r="P867" s="1">
        <v>8.12399965</v>
      </c>
      <c r="Q867" s="1">
        <v>8.1423411469999998</v>
      </c>
      <c r="R867" s="1">
        <v>8.3454282469999992</v>
      </c>
      <c r="S867" s="1">
        <v>8.1394657650000006</v>
      </c>
      <c r="T867" s="1">
        <v>8.5271262609999994</v>
      </c>
      <c r="U867" s="1">
        <v>8.4074076560000002</v>
      </c>
      <c r="V867" s="1">
        <v>7.9725866410000004</v>
      </c>
      <c r="W867" s="1">
        <v>7.7768262349999997</v>
      </c>
      <c r="X867" s="1">
        <v>7.8849392629999997</v>
      </c>
      <c r="Y867" s="1">
        <v>7.9390421250000003</v>
      </c>
      <c r="Z867" s="1">
        <v>8.3454282469999992</v>
      </c>
      <c r="AA867" s="1">
        <v>8.1394657650000006</v>
      </c>
      <c r="AB867" s="1">
        <v>7.9451911439999998</v>
      </c>
      <c r="AC867" s="1">
        <v>8.0301607500000003</v>
      </c>
      <c r="AD867" s="1">
        <v>7.8270295619999999</v>
      </c>
      <c r="AE867" s="1">
        <v>7.7980744380000004</v>
      </c>
    </row>
    <row r="868" spans="1:31" x14ac:dyDescent="0.25">
      <c r="A868" s="1" t="s">
        <v>1941</v>
      </c>
      <c r="B868" s="1" t="s">
        <v>2530</v>
      </c>
      <c r="C868" s="1" t="s">
        <v>2531</v>
      </c>
      <c r="D868" s="1" t="s">
        <v>2535</v>
      </c>
      <c r="E868" s="1" t="s">
        <v>2536</v>
      </c>
      <c r="G868" s="1" t="s">
        <v>1941</v>
      </c>
      <c r="H868" s="1">
        <v>7.1683487230000003</v>
      </c>
      <c r="I868" s="1">
        <v>7.0388012209999999</v>
      </c>
      <c r="J868" s="1">
        <v>8.5653877499999993</v>
      </c>
      <c r="K868" s="1">
        <v>8.2995825300000003</v>
      </c>
      <c r="L868" s="1">
        <v>8.8082523360000007</v>
      </c>
      <c r="M868" s="1">
        <v>8.8062543410000007</v>
      </c>
      <c r="N868" s="1">
        <v>7.8065232910000004</v>
      </c>
      <c r="O868" s="1">
        <v>7.5555921899999996</v>
      </c>
      <c r="P868" s="1">
        <v>8.424461376</v>
      </c>
      <c r="Q868" s="1">
        <v>8.4785538020000004</v>
      </c>
      <c r="R868" s="1">
        <v>8.5269745389999994</v>
      </c>
      <c r="S868" s="1">
        <v>8.5460251449999998</v>
      </c>
      <c r="T868" s="1">
        <v>8.8082523360000007</v>
      </c>
      <c r="U868" s="1">
        <v>8.8062543410000007</v>
      </c>
      <c r="V868" s="1">
        <v>8.600888909</v>
      </c>
      <c r="W868" s="1">
        <v>8.7312336909999999</v>
      </c>
      <c r="X868" s="1">
        <v>8.6195769840000001</v>
      </c>
      <c r="Y868" s="1">
        <v>8.3308434279999997</v>
      </c>
      <c r="Z868" s="1">
        <v>8.5269745389999994</v>
      </c>
      <c r="AA868" s="1">
        <v>8.5460251449999998</v>
      </c>
      <c r="AB868" s="1">
        <v>8.6449113119999996</v>
      </c>
      <c r="AC868" s="1">
        <v>8.6049273110000009</v>
      </c>
      <c r="AD868" s="1">
        <v>8.442049828</v>
      </c>
      <c r="AE868" s="1">
        <v>8.2700562239999993</v>
      </c>
    </row>
    <row r="869" spans="1:31" x14ac:dyDescent="0.25">
      <c r="A869" s="1" t="s">
        <v>1942</v>
      </c>
      <c r="B869" s="1" t="s">
        <v>2579</v>
      </c>
      <c r="C869" s="1" t="s">
        <v>2580</v>
      </c>
      <c r="D869" s="1" t="s">
        <v>3035</v>
      </c>
      <c r="E869" s="1" t="s">
        <v>4041</v>
      </c>
      <c r="F869" s="1" t="s">
        <v>4042</v>
      </c>
      <c r="G869" s="1" t="s">
        <v>1942</v>
      </c>
      <c r="H869" s="1">
        <v>7.0413960959999997</v>
      </c>
      <c r="I869" s="1">
        <v>6.8960698870000003</v>
      </c>
      <c r="J869" s="1">
        <v>9.7057947680000005</v>
      </c>
      <c r="K869" s="1">
        <v>9.7044403710000005</v>
      </c>
      <c r="L869" s="1">
        <v>10.08610629</v>
      </c>
      <c r="M869" s="1">
        <v>10.132752269999999</v>
      </c>
      <c r="N869" s="1">
        <v>7.9959688140000003</v>
      </c>
      <c r="O869" s="1">
        <v>7.7707700849999997</v>
      </c>
      <c r="P869" s="1">
        <v>9.6084808030000008</v>
      </c>
      <c r="Q869" s="1">
        <v>9.7439613200000004</v>
      </c>
      <c r="R869" s="1">
        <v>10.07359363</v>
      </c>
      <c r="S869" s="1">
        <v>9.8578639480000003</v>
      </c>
      <c r="T869" s="1">
        <v>10.08610629</v>
      </c>
      <c r="U869" s="1">
        <v>10.132752269999999</v>
      </c>
      <c r="V869" s="1">
        <v>9.4242878559999994</v>
      </c>
      <c r="W869" s="1">
        <v>9.4620443420000004</v>
      </c>
      <c r="X869" s="1">
        <v>9.9268218739999998</v>
      </c>
      <c r="Y869" s="1">
        <v>9.1279351099999992</v>
      </c>
      <c r="Z869" s="1">
        <v>10.07359363</v>
      </c>
      <c r="AA869" s="1">
        <v>9.8578639480000003</v>
      </c>
      <c r="AB869" s="1">
        <v>9.5493833469999991</v>
      </c>
      <c r="AC869" s="1">
        <v>9.9654092869999999</v>
      </c>
      <c r="AD869" s="1">
        <v>9.4410709189999995</v>
      </c>
      <c r="AE869" s="1">
        <v>9.2811713979999997</v>
      </c>
    </row>
    <row r="870" spans="1:31" x14ac:dyDescent="0.25">
      <c r="A870" s="1" t="s">
        <v>1948</v>
      </c>
      <c r="B870" s="1" t="s">
        <v>2547</v>
      </c>
      <c r="C870" s="1" t="s">
        <v>2566</v>
      </c>
      <c r="D870" s="1" t="s">
        <v>4043</v>
      </c>
      <c r="E870" s="1" t="s">
        <v>4044</v>
      </c>
      <c r="F870" s="1" t="s">
        <v>4045</v>
      </c>
      <c r="G870" s="1" t="s">
        <v>1948</v>
      </c>
      <c r="H870" s="1">
        <v>5.946332924</v>
      </c>
      <c r="I870" s="1">
        <v>6.2102063709999999</v>
      </c>
      <c r="J870" s="1">
        <v>4.8434621079999998</v>
      </c>
      <c r="K870" s="1">
        <v>4.8793048219999999</v>
      </c>
      <c r="L870" s="1">
        <v>5.082479009</v>
      </c>
      <c r="M870" s="1">
        <v>5.1214027209999999</v>
      </c>
      <c r="N870" s="1">
        <v>5.8624363539999997</v>
      </c>
      <c r="O870" s="1">
        <v>5.9154339690000004</v>
      </c>
      <c r="P870" s="1">
        <v>5.426847231</v>
      </c>
      <c r="Q870" s="1">
        <v>5.2000913229999997</v>
      </c>
      <c r="R870" s="1">
        <v>5.1472208640000003</v>
      </c>
      <c r="S870" s="1">
        <v>5.1309834260000002</v>
      </c>
      <c r="T870" s="1">
        <v>5.082479009</v>
      </c>
      <c r="U870" s="1">
        <v>5.1214027209999999</v>
      </c>
      <c r="V870" s="1">
        <v>5.5505659869999997</v>
      </c>
      <c r="W870" s="1">
        <v>5.329276363</v>
      </c>
      <c r="X870" s="1">
        <v>5.3326311679999998</v>
      </c>
      <c r="Y870" s="1">
        <v>5.1785898169999998</v>
      </c>
      <c r="Z870" s="1">
        <v>5.1472208640000003</v>
      </c>
      <c r="AA870" s="1">
        <v>5.1309834260000002</v>
      </c>
      <c r="AB870" s="1">
        <v>4.7958605490000004</v>
      </c>
      <c r="AC870" s="1">
        <v>5.1103036370000003</v>
      </c>
      <c r="AD870" s="1">
        <v>5.3091856960000001</v>
      </c>
      <c r="AE870" s="1">
        <v>5.1494525009999998</v>
      </c>
    </row>
    <row r="871" spans="1:31" x14ac:dyDescent="0.25">
      <c r="A871" s="1" t="s">
        <v>1952</v>
      </c>
      <c r="B871" s="1" t="s">
        <v>2530</v>
      </c>
      <c r="C871" s="1" t="s">
        <v>2531</v>
      </c>
      <c r="D871" s="1" t="s">
        <v>2535</v>
      </c>
      <c r="E871" s="1" t="s">
        <v>4046</v>
      </c>
      <c r="G871" s="1" t="s">
        <v>1952</v>
      </c>
      <c r="H871" s="1">
        <v>5.8483408880000001</v>
      </c>
      <c r="I871" s="1">
        <v>6.2320099659999997</v>
      </c>
      <c r="J871" s="1">
        <v>5.7122264270000001</v>
      </c>
      <c r="K871" s="1">
        <v>5.8552832600000002</v>
      </c>
      <c r="L871" s="1">
        <v>5.2153292420000001</v>
      </c>
      <c r="M871" s="1">
        <v>5.2079667260000004</v>
      </c>
      <c r="N871" s="1">
        <v>6.1690703840000003</v>
      </c>
      <c r="O871" s="1">
        <v>5.7062857469999999</v>
      </c>
      <c r="P871" s="1">
        <v>5.8883751269999998</v>
      </c>
      <c r="Q871" s="1">
        <v>5.9352426600000001</v>
      </c>
      <c r="R871" s="1">
        <v>5.4981688889999996</v>
      </c>
      <c r="S871" s="1">
        <v>5.1778667870000001</v>
      </c>
      <c r="T871" s="1">
        <v>5.2153292420000001</v>
      </c>
      <c r="U871" s="1">
        <v>5.2079667260000004</v>
      </c>
      <c r="V871" s="1">
        <v>6.6041092590000003</v>
      </c>
      <c r="W871" s="1">
        <v>6.5743425210000002</v>
      </c>
      <c r="X871" s="1">
        <v>6.7584266409999998</v>
      </c>
      <c r="Y871" s="1">
        <v>6.9006741439999999</v>
      </c>
      <c r="Z871" s="1">
        <v>5.4981688889999996</v>
      </c>
      <c r="AA871" s="1">
        <v>5.1778667870000001</v>
      </c>
      <c r="AB871" s="1">
        <v>6.4527679449999997</v>
      </c>
      <c r="AC871" s="1">
        <v>6.4392179089999999</v>
      </c>
      <c r="AD871" s="1">
        <v>7.3379235500000002</v>
      </c>
      <c r="AE871" s="1">
        <v>7.2503030439999998</v>
      </c>
    </row>
    <row r="872" spans="1:31" x14ac:dyDescent="0.25">
      <c r="A872" s="1" t="s">
        <v>1953</v>
      </c>
      <c r="B872" s="1" t="s">
        <v>2598</v>
      </c>
      <c r="C872" s="1" t="s">
        <v>2795</v>
      </c>
      <c r="D872" s="1" t="s">
        <v>3240</v>
      </c>
      <c r="E872" s="1" t="s">
        <v>4047</v>
      </c>
      <c r="F872" s="1" t="s">
        <v>4048</v>
      </c>
      <c r="G872" s="1" t="s">
        <v>1953</v>
      </c>
      <c r="H872" s="1">
        <v>7.7220783649999998</v>
      </c>
      <c r="I872" s="1">
        <v>7.3977970910000002</v>
      </c>
      <c r="J872" s="1">
        <v>7.8080290080000001</v>
      </c>
      <c r="K872" s="1">
        <v>7.5825799859999998</v>
      </c>
      <c r="L872" s="1">
        <v>7.2868294049999998</v>
      </c>
      <c r="M872" s="1">
        <v>7.5270236820000003</v>
      </c>
      <c r="N872" s="1">
        <v>7.0960416869999996</v>
      </c>
      <c r="O872" s="1">
        <v>7.2263844669999999</v>
      </c>
      <c r="P872" s="1">
        <v>7.7294490900000001</v>
      </c>
      <c r="Q872" s="1">
        <v>7.877346996</v>
      </c>
      <c r="R872" s="1">
        <v>7.8117878660000004</v>
      </c>
      <c r="S872" s="1">
        <v>7.490679611</v>
      </c>
      <c r="T872" s="1">
        <v>7.2868294049999998</v>
      </c>
      <c r="U872" s="1">
        <v>7.5270236820000003</v>
      </c>
      <c r="V872" s="1">
        <v>8.5372102670000007</v>
      </c>
      <c r="W872" s="1">
        <v>8.3750687310000007</v>
      </c>
      <c r="X872" s="1">
        <v>9.2464726010000007</v>
      </c>
      <c r="Y872" s="1">
        <v>8.8882116290000006</v>
      </c>
      <c r="Z872" s="1">
        <v>7.8117878660000004</v>
      </c>
      <c r="AA872" s="1">
        <v>7.490679611</v>
      </c>
      <c r="AB872" s="1">
        <v>8.6449113119999996</v>
      </c>
      <c r="AC872" s="1">
        <v>8.7464029799999992</v>
      </c>
      <c r="AD872" s="1">
        <v>9.3541504090000007</v>
      </c>
      <c r="AE872" s="1">
        <v>9.2484991959999991</v>
      </c>
    </row>
    <row r="873" spans="1:31" x14ac:dyDescent="0.25">
      <c r="A873" s="1" t="s">
        <v>1956</v>
      </c>
      <c r="B873" s="1" t="s">
        <v>2608</v>
      </c>
      <c r="C873" s="1" t="s">
        <v>2531</v>
      </c>
      <c r="D873" s="1" t="s">
        <v>4049</v>
      </c>
      <c r="E873" s="1" t="s">
        <v>4050</v>
      </c>
      <c r="F873" s="1" t="s">
        <v>4051</v>
      </c>
      <c r="G873" s="1" t="s">
        <v>1956</v>
      </c>
      <c r="H873" s="1">
        <v>1.7393328349999999</v>
      </c>
      <c r="I873" s="1">
        <v>2.5655118899999998</v>
      </c>
      <c r="J873" s="1">
        <v>3.6453331530000002</v>
      </c>
      <c r="K873" s="1">
        <v>3.607491666</v>
      </c>
      <c r="L873" s="1">
        <v>2.9964092330000001</v>
      </c>
      <c r="M873" s="1">
        <v>3.2940962960000002</v>
      </c>
      <c r="N873" s="1">
        <v>3.23577855</v>
      </c>
      <c r="O873" s="1">
        <v>3.3203005989999999</v>
      </c>
      <c r="P873" s="1">
        <v>1.7393328349999999</v>
      </c>
      <c r="Q873" s="1">
        <v>2.935765398</v>
      </c>
      <c r="R873" s="1">
        <v>3.1834741979999999</v>
      </c>
      <c r="S873" s="1">
        <v>1.7393328349999999</v>
      </c>
      <c r="T873" s="1">
        <v>2.9964092330000001</v>
      </c>
      <c r="U873" s="1">
        <v>3.2940962960000002</v>
      </c>
      <c r="V873" s="1">
        <v>3.2389700330000002</v>
      </c>
      <c r="W873" s="1">
        <v>3.2870366010000001</v>
      </c>
      <c r="X873" s="1">
        <v>3.4131791489999999</v>
      </c>
      <c r="Y873" s="1">
        <v>3.6154848500000001</v>
      </c>
      <c r="Z873" s="1">
        <v>3.1834741979999999</v>
      </c>
      <c r="AA873" s="1">
        <v>1.7393328349999999</v>
      </c>
      <c r="AB873" s="1">
        <v>3.1218319999999999</v>
      </c>
      <c r="AC873" s="1">
        <v>2.87258916</v>
      </c>
      <c r="AD873" s="1">
        <v>2.9432342459999998</v>
      </c>
      <c r="AE873" s="1">
        <v>2.9592545700000001</v>
      </c>
    </row>
    <row r="874" spans="1:31" x14ac:dyDescent="0.25">
      <c r="A874" s="1" t="s">
        <v>1958</v>
      </c>
      <c r="B874" s="1" t="s">
        <v>2642</v>
      </c>
      <c r="C874" s="1" t="s">
        <v>2643</v>
      </c>
      <c r="D874" s="1" t="s">
        <v>2687</v>
      </c>
      <c r="E874" s="1" t="s">
        <v>3726</v>
      </c>
      <c r="F874" s="1" t="s">
        <v>3727</v>
      </c>
      <c r="G874" s="1" t="s">
        <v>1958</v>
      </c>
      <c r="H874" s="1">
        <v>4.3886087140000001</v>
      </c>
      <c r="I874" s="1">
        <v>3.9003964459999998</v>
      </c>
      <c r="J874" s="1">
        <v>3.7773371739999999</v>
      </c>
      <c r="K874" s="1">
        <v>4.0244910950000001</v>
      </c>
      <c r="L874" s="1">
        <v>3.5435353630000002</v>
      </c>
      <c r="M874" s="1">
        <v>3.9251125939999998</v>
      </c>
      <c r="N874" s="1">
        <v>3.7025667929999999</v>
      </c>
      <c r="O874" s="1">
        <v>3.9591193910000002</v>
      </c>
      <c r="P874" s="1">
        <v>3.9684043939999998</v>
      </c>
      <c r="Q874" s="1">
        <v>3.7137735799999998</v>
      </c>
      <c r="R874" s="1">
        <v>4.2802026870000001</v>
      </c>
      <c r="S874" s="1">
        <v>4.5490843459999999</v>
      </c>
      <c r="T874" s="1">
        <v>3.5435353630000002</v>
      </c>
      <c r="U874" s="1">
        <v>3.9251125939999998</v>
      </c>
      <c r="V874" s="1">
        <v>3.5405335899999999</v>
      </c>
      <c r="W874" s="1">
        <v>4.1128053839999996</v>
      </c>
      <c r="X874" s="1">
        <v>4.3167291810000004</v>
      </c>
      <c r="Y874" s="1">
        <v>3.9087436480000002</v>
      </c>
      <c r="Z874" s="1">
        <v>4.2802026870000001</v>
      </c>
      <c r="AA874" s="1">
        <v>4.5490843459999999</v>
      </c>
      <c r="AB874" s="1">
        <v>4.2729702720000002</v>
      </c>
      <c r="AC874" s="1">
        <v>3.8665622239999999</v>
      </c>
      <c r="AD874" s="1">
        <v>3.8610926929999998</v>
      </c>
      <c r="AE874" s="1">
        <v>3.419797387</v>
      </c>
    </row>
    <row r="875" spans="1:31" x14ac:dyDescent="0.25">
      <c r="A875" s="1" t="s">
        <v>1962</v>
      </c>
      <c r="B875" s="1" t="s">
        <v>2557</v>
      </c>
      <c r="C875" s="1" t="s">
        <v>3063</v>
      </c>
      <c r="D875" s="1" t="s">
        <v>3146</v>
      </c>
      <c r="E875" s="1" t="s">
        <v>4052</v>
      </c>
      <c r="F875" s="1" t="s">
        <v>4053</v>
      </c>
      <c r="G875" s="1" t="s">
        <v>1962</v>
      </c>
      <c r="H875" s="1">
        <v>5.5485883999999999</v>
      </c>
      <c r="I875" s="1">
        <v>5.6208330609999999</v>
      </c>
      <c r="J875" s="1">
        <v>5.7428701560000004</v>
      </c>
      <c r="K875" s="1">
        <v>5.8552832600000002</v>
      </c>
      <c r="L875" s="1">
        <v>6.1449929210000001</v>
      </c>
      <c r="M875" s="1">
        <v>6.1548060529999997</v>
      </c>
      <c r="N875" s="1">
        <v>5.6141964020000001</v>
      </c>
      <c r="O875" s="1">
        <v>5.6647442659999996</v>
      </c>
      <c r="P875" s="1">
        <v>5.9144375350000002</v>
      </c>
      <c r="Q875" s="1">
        <v>5.7838067430000004</v>
      </c>
      <c r="R875" s="1">
        <v>5.6102934549999999</v>
      </c>
      <c r="S875" s="1">
        <v>5.8319244149999996</v>
      </c>
      <c r="T875" s="1">
        <v>6.1449929210000001</v>
      </c>
      <c r="U875" s="1">
        <v>6.1548060529999997</v>
      </c>
      <c r="V875" s="1">
        <v>5.7495972609999999</v>
      </c>
      <c r="W875" s="1">
        <v>5.726489559</v>
      </c>
      <c r="X875" s="1">
        <v>5.8569434649999996</v>
      </c>
      <c r="Y875" s="1">
        <v>6.0769070919999999</v>
      </c>
      <c r="Z875" s="1">
        <v>5.6102934549999999</v>
      </c>
      <c r="AA875" s="1">
        <v>5.8319244149999996</v>
      </c>
      <c r="AB875" s="1">
        <v>6.0455186249999997</v>
      </c>
      <c r="AC875" s="1">
        <v>6.1612901029999998</v>
      </c>
      <c r="AD875" s="1">
        <v>6.008703369</v>
      </c>
      <c r="AE875" s="1">
        <v>5.5730198079999997</v>
      </c>
    </row>
    <row r="876" spans="1:31" x14ac:dyDescent="0.25">
      <c r="A876" s="1" t="s">
        <v>1964</v>
      </c>
      <c r="B876" s="1" t="s">
        <v>3099</v>
      </c>
      <c r="C876" s="1" t="s">
        <v>3100</v>
      </c>
      <c r="D876" s="1" t="s">
        <v>3220</v>
      </c>
      <c r="E876" s="1" t="s">
        <v>4054</v>
      </c>
      <c r="F876" s="1" t="s">
        <v>4055</v>
      </c>
      <c r="G876" s="1" t="s">
        <v>1964</v>
      </c>
      <c r="H876" s="1">
        <v>7.4606553509999998</v>
      </c>
      <c r="I876" s="1">
        <v>7.308415042</v>
      </c>
      <c r="J876" s="1">
        <v>7.9651675649999998</v>
      </c>
      <c r="K876" s="1">
        <v>7.6487670359999997</v>
      </c>
      <c r="L876" s="1">
        <v>8.1199773149999999</v>
      </c>
      <c r="M876" s="1">
        <v>8.0834256530000008</v>
      </c>
      <c r="N876" s="1">
        <v>6.1425317259999996</v>
      </c>
      <c r="O876" s="1">
        <v>6.6897001009999997</v>
      </c>
      <c r="P876" s="1">
        <v>7.8077950200000004</v>
      </c>
      <c r="Q876" s="1">
        <v>7.6253229039999999</v>
      </c>
      <c r="R876" s="1">
        <v>8.1865131449999993</v>
      </c>
      <c r="S876" s="1">
        <v>7.8690676440000003</v>
      </c>
      <c r="T876" s="1">
        <v>8.1199773149999999</v>
      </c>
      <c r="U876" s="1">
        <v>8.0834256530000008</v>
      </c>
      <c r="V876" s="1">
        <v>7.8789782109999997</v>
      </c>
      <c r="W876" s="1">
        <v>7.8491249549999997</v>
      </c>
      <c r="X876" s="1">
        <v>7.7609685380000002</v>
      </c>
      <c r="Y876" s="1">
        <v>7.680683546</v>
      </c>
      <c r="Z876" s="1">
        <v>8.1865131449999993</v>
      </c>
      <c r="AA876" s="1">
        <v>7.8690676440000003</v>
      </c>
      <c r="AB876" s="1">
        <v>8.0747632540000005</v>
      </c>
      <c r="AC876" s="1">
        <v>7.7612167000000003</v>
      </c>
      <c r="AD876" s="1">
        <v>7.7130770999999996</v>
      </c>
      <c r="AE876" s="1">
        <v>7.5909125570000002</v>
      </c>
    </row>
    <row r="877" spans="1:31" x14ac:dyDescent="0.25">
      <c r="A877" s="1" t="s">
        <v>1965</v>
      </c>
      <c r="B877" s="1" t="s">
        <v>2608</v>
      </c>
      <c r="C877" s="1" t="s">
        <v>2700</v>
      </c>
      <c r="D877" s="1" t="s">
        <v>3077</v>
      </c>
      <c r="E877" s="1" t="s">
        <v>4056</v>
      </c>
      <c r="F877" s="1" t="s">
        <v>4057</v>
      </c>
      <c r="G877" s="1" t="s">
        <v>1965</v>
      </c>
      <c r="H877" s="1">
        <v>6.3073323200000004</v>
      </c>
      <c r="I877" s="1">
        <v>5.9189259930000002</v>
      </c>
      <c r="J877" s="1">
        <v>4.6607313550000002</v>
      </c>
      <c r="K877" s="1">
        <v>4.8793048219999999</v>
      </c>
      <c r="L877" s="1">
        <v>3.971296959</v>
      </c>
      <c r="M877" s="1">
        <v>4.4472617469999998</v>
      </c>
      <c r="N877" s="1">
        <v>5.5139471840000001</v>
      </c>
      <c r="O877" s="1">
        <v>6.1439115280000003</v>
      </c>
      <c r="P877" s="1">
        <v>4.6791060150000003</v>
      </c>
      <c r="Q877" s="1">
        <v>4.2835653880000004</v>
      </c>
      <c r="R877" s="1">
        <v>4.1841942410000001</v>
      </c>
      <c r="S877" s="1">
        <v>4.8114074450000004</v>
      </c>
      <c r="T877" s="1">
        <v>3.971296959</v>
      </c>
      <c r="U877" s="1">
        <v>4.4472617469999998</v>
      </c>
      <c r="V877" s="1">
        <v>4.8566239800000002</v>
      </c>
      <c r="W877" s="1">
        <v>4.5296290450000001</v>
      </c>
      <c r="X877" s="1">
        <v>4.3167291810000004</v>
      </c>
      <c r="Y877" s="1">
        <v>4.1479647589999997</v>
      </c>
      <c r="Z877" s="1">
        <v>4.1841942410000001</v>
      </c>
      <c r="AA877" s="1">
        <v>4.8114074450000004</v>
      </c>
      <c r="AB877" s="1">
        <v>4.705867896</v>
      </c>
      <c r="AC877" s="1">
        <v>4.6238605430000002</v>
      </c>
      <c r="AD877" s="1">
        <v>4.6978214539999996</v>
      </c>
      <c r="AE877" s="1">
        <v>4.4595659249999997</v>
      </c>
    </row>
    <row r="878" spans="1:31" x14ac:dyDescent="0.25">
      <c r="A878" s="1" t="s">
        <v>1966</v>
      </c>
      <c r="B878" s="1" t="s">
        <v>2530</v>
      </c>
      <c r="C878" s="1" t="s">
        <v>2531</v>
      </c>
      <c r="D878" s="1" t="s">
        <v>2535</v>
      </c>
      <c r="E878" s="1" t="s">
        <v>2536</v>
      </c>
      <c r="G878" s="1" t="s">
        <v>1966</v>
      </c>
      <c r="H878" s="1">
        <v>6.0081283179999998</v>
      </c>
      <c r="I878" s="1">
        <v>5.4447012069999996</v>
      </c>
      <c r="J878" s="1">
        <v>5.4021237849999997</v>
      </c>
      <c r="K878" s="1">
        <v>5.3151275040000003</v>
      </c>
      <c r="L878" s="1">
        <v>5.082479009</v>
      </c>
      <c r="M878" s="1">
        <v>5.2628748920000001</v>
      </c>
      <c r="N878" s="1">
        <v>5.1887139119999999</v>
      </c>
      <c r="O878" s="1">
        <v>4.7903853170000001</v>
      </c>
      <c r="P878" s="1">
        <v>5.3900565609999997</v>
      </c>
      <c r="Q878" s="1">
        <v>5.6846114249999999</v>
      </c>
      <c r="R878" s="1">
        <v>5.7142579380000003</v>
      </c>
      <c r="S878" s="1">
        <v>5.8319244149999996</v>
      </c>
      <c r="T878" s="1">
        <v>5.082479009</v>
      </c>
      <c r="U878" s="1">
        <v>5.2628748920000001</v>
      </c>
      <c r="V878" s="1">
        <v>5.3546652259999998</v>
      </c>
      <c r="W878" s="1">
        <v>5.6874298530000003</v>
      </c>
      <c r="X878" s="1">
        <v>5.9032199179999996</v>
      </c>
      <c r="Y878" s="1">
        <v>6.1044436219999998</v>
      </c>
      <c r="Z878" s="1">
        <v>5.7142579380000003</v>
      </c>
      <c r="AA878" s="1">
        <v>5.8319244149999996</v>
      </c>
      <c r="AB878" s="1">
        <v>5.5787398220000002</v>
      </c>
      <c r="AC878" s="1">
        <v>5.8710041640000004</v>
      </c>
      <c r="AD878" s="1">
        <v>6.190389411</v>
      </c>
      <c r="AE878" s="1">
        <v>5.8364806040000001</v>
      </c>
    </row>
    <row r="879" spans="1:31" x14ac:dyDescent="0.25">
      <c r="A879" s="1" t="s">
        <v>1968</v>
      </c>
      <c r="B879" s="1" t="s">
        <v>2579</v>
      </c>
      <c r="C879" s="1" t="s">
        <v>2580</v>
      </c>
      <c r="D879" s="1" t="s">
        <v>3035</v>
      </c>
      <c r="E879" s="1" t="s">
        <v>4058</v>
      </c>
      <c r="F879" s="1" t="s">
        <v>4059</v>
      </c>
      <c r="G879" s="1" t="s">
        <v>1968</v>
      </c>
      <c r="H879" s="1">
        <v>5.7431528099999998</v>
      </c>
      <c r="I879" s="1">
        <v>5.6208330609999999</v>
      </c>
      <c r="J879" s="1">
        <v>4.7243317210000004</v>
      </c>
      <c r="K879" s="1">
        <v>4.3408695499999999</v>
      </c>
      <c r="L879" s="1">
        <v>4.4478088219999998</v>
      </c>
      <c r="M879" s="1">
        <v>3.8521266660000002</v>
      </c>
      <c r="N879" s="1">
        <v>5.3372793730000003</v>
      </c>
      <c r="O879" s="1">
        <v>5.5090357550000002</v>
      </c>
      <c r="P879" s="1">
        <v>4.7972962780000001</v>
      </c>
      <c r="Q879" s="1">
        <v>4.3733115800000002</v>
      </c>
      <c r="R879" s="1">
        <v>3.8462631940000001</v>
      </c>
      <c r="S879" s="1">
        <v>4.7503017500000002</v>
      </c>
      <c r="T879" s="1">
        <v>4.4478088219999998</v>
      </c>
      <c r="U879" s="1">
        <v>3.8521266660000002</v>
      </c>
      <c r="V879" s="1">
        <v>4.7533922439999996</v>
      </c>
      <c r="W879" s="1">
        <v>5.0488589419999998</v>
      </c>
      <c r="X879" s="1">
        <v>4.1686775799999998</v>
      </c>
      <c r="Y879" s="1">
        <v>4.6081171230000004</v>
      </c>
      <c r="Z879" s="1">
        <v>3.8462631940000001</v>
      </c>
      <c r="AA879" s="1">
        <v>4.7503017500000002</v>
      </c>
      <c r="AB879" s="1">
        <v>4.2729702720000002</v>
      </c>
      <c r="AC879" s="1">
        <v>4.7474570290000004</v>
      </c>
      <c r="AD879" s="1">
        <v>4.5511338559999999</v>
      </c>
      <c r="AE879" s="1">
        <v>4.3257514669999999</v>
      </c>
    </row>
    <row r="880" spans="1:31" x14ac:dyDescent="0.25">
      <c r="A880" s="1" t="s">
        <v>1967</v>
      </c>
      <c r="B880" s="1" t="s">
        <v>2547</v>
      </c>
      <c r="C880" s="1" t="s">
        <v>2622</v>
      </c>
      <c r="D880" s="1" t="s">
        <v>2535</v>
      </c>
      <c r="E880" s="1" t="s">
        <v>2674</v>
      </c>
      <c r="G880" s="1" t="s">
        <v>1967</v>
      </c>
      <c r="H880" s="1">
        <v>4.9322401630000003</v>
      </c>
      <c r="I880" s="1">
        <v>4.7284970130000001</v>
      </c>
      <c r="J880" s="1">
        <v>3.4977151119999998</v>
      </c>
      <c r="K880" s="1">
        <v>3.8998480660000001</v>
      </c>
      <c r="L880" s="1">
        <v>3.7446308510000001</v>
      </c>
      <c r="M880" s="1">
        <v>3.6924658159999999</v>
      </c>
      <c r="N880" s="1">
        <v>4.9001796750000004</v>
      </c>
      <c r="O880" s="1">
        <v>4.8663619410000001</v>
      </c>
      <c r="P880" s="1">
        <v>4.161525224</v>
      </c>
      <c r="Q880" s="1">
        <v>3.388910638</v>
      </c>
      <c r="R880" s="1">
        <v>3.8462631940000001</v>
      </c>
      <c r="S880" s="1">
        <v>3.9182367880000002</v>
      </c>
      <c r="T880" s="1">
        <v>3.7446308510000001</v>
      </c>
      <c r="U880" s="1">
        <v>3.6924658159999999</v>
      </c>
      <c r="V880" s="1">
        <v>3.7819764450000002</v>
      </c>
      <c r="W880" s="1">
        <v>4.5296290450000001</v>
      </c>
      <c r="X880" s="1">
        <v>3.0884111989999998</v>
      </c>
      <c r="Y880" s="1">
        <v>3.9087436480000002</v>
      </c>
      <c r="Z880" s="1">
        <v>3.8462631940000001</v>
      </c>
      <c r="AA880" s="1">
        <v>3.9182367880000002</v>
      </c>
      <c r="AB880" s="1">
        <v>3.404153038</v>
      </c>
      <c r="AC880" s="1">
        <v>3.8665622239999999</v>
      </c>
      <c r="AD880" s="1">
        <v>3.3987395579999999</v>
      </c>
      <c r="AE880" s="1">
        <v>3.8196998459999998</v>
      </c>
    </row>
    <row r="881" spans="1:31" x14ac:dyDescent="0.25">
      <c r="A881" s="1" t="s">
        <v>1969</v>
      </c>
      <c r="B881" s="1" t="s">
        <v>2530</v>
      </c>
      <c r="C881" s="1" t="s">
        <v>2531</v>
      </c>
      <c r="D881" s="1" t="s">
        <v>2535</v>
      </c>
      <c r="E881" s="1" t="s">
        <v>2536</v>
      </c>
      <c r="G881" s="1" t="s">
        <v>1969</v>
      </c>
      <c r="H881" s="1">
        <v>5.5485883999999999</v>
      </c>
      <c r="I881" s="1">
        <v>4.7284970130000001</v>
      </c>
      <c r="J881" s="1">
        <v>5.4770890750000003</v>
      </c>
      <c r="K881" s="1">
        <v>5.166960875</v>
      </c>
      <c r="L881" s="1">
        <v>5.5187262759999998</v>
      </c>
      <c r="M881" s="1">
        <v>5.2628748920000001</v>
      </c>
      <c r="N881" s="1">
        <v>5.7078727669999996</v>
      </c>
      <c r="O881" s="1">
        <v>5.6435121610000003</v>
      </c>
      <c r="P881" s="1">
        <v>5.3900565609999997</v>
      </c>
      <c r="Q881" s="1">
        <v>4.8773483779999998</v>
      </c>
      <c r="R881" s="1">
        <v>5.3334881589999998</v>
      </c>
      <c r="S881" s="1">
        <v>5.3512993040000003</v>
      </c>
      <c r="T881" s="1">
        <v>5.5187262759999998</v>
      </c>
      <c r="U881" s="1">
        <v>5.2628748920000001</v>
      </c>
      <c r="V881" s="1">
        <v>5.3892424569999999</v>
      </c>
      <c r="W881" s="1">
        <v>5.7645115660000004</v>
      </c>
      <c r="X881" s="1">
        <v>5.5811786620000001</v>
      </c>
      <c r="Y881" s="1">
        <v>5.5443425189999997</v>
      </c>
      <c r="Z881" s="1">
        <v>5.3334881589999998</v>
      </c>
      <c r="AA881" s="1">
        <v>5.3512993040000003</v>
      </c>
      <c r="AB881" s="1">
        <v>5.5276660309999999</v>
      </c>
      <c r="AC881" s="1">
        <v>5.3610280289999999</v>
      </c>
      <c r="AD881" s="1">
        <v>5.2159266190000002</v>
      </c>
      <c r="AE881" s="1">
        <v>5.3205054189999998</v>
      </c>
    </row>
    <row r="882" spans="1:31" x14ac:dyDescent="0.25">
      <c r="A882" s="1" t="s">
        <v>1970</v>
      </c>
      <c r="B882" s="1" t="s">
        <v>2530</v>
      </c>
      <c r="C882" s="1" t="s">
        <v>2531</v>
      </c>
      <c r="D882" s="1" t="s">
        <v>2535</v>
      </c>
      <c r="E882" s="1" t="s">
        <v>2536</v>
      </c>
      <c r="G882" s="1" t="s">
        <v>1970</v>
      </c>
      <c r="H882" s="1">
        <v>7.8621810769999998</v>
      </c>
      <c r="I882" s="1">
        <v>8.1237819200000008</v>
      </c>
      <c r="J882" s="1">
        <v>7.0459985720000002</v>
      </c>
      <c r="K882" s="1">
        <v>6.8396337100000002</v>
      </c>
      <c r="L882" s="1">
        <v>7.2868294049999998</v>
      </c>
      <c r="M882" s="1">
        <v>6.8145785730000004</v>
      </c>
      <c r="N882" s="1">
        <v>7.5981510090000004</v>
      </c>
      <c r="O882" s="1">
        <v>7.6111102730000004</v>
      </c>
      <c r="P882" s="1">
        <v>7.1629698429999999</v>
      </c>
      <c r="Q882" s="1">
        <v>7.2173337469999996</v>
      </c>
      <c r="R882" s="1">
        <v>6.9970160760000004</v>
      </c>
      <c r="S882" s="1">
        <v>7.2831008779999999</v>
      </c>
      <c r="T882" s="1">
        <v>7.2868294049999998</v>
      </c>
      <c r="U882" s="1">
        <v>6.8145785730000004</v>
      </c>
      <c r="V882" s="1">
        <v>7.369548387</v>
      </c>
      <c r="W882" s="1">
        <v>7.6610908530000001</v>
      </c>
      <c r="X882" s="1">
        <v>7.3311630130000003</v>
      </c>
      <c r="Y882" s="1">
        <v>7.0775333739999997</v>
      </c>
      <c r="Z882" s="1">
        <v>6.9970160760000004</v>
      </c>
      <c r="AA882" s="1">
        <v>7.2831008779999999</v>
      </c>
      <c r="AB882" s="1">
        <v>6.9924202729999996</v>
      </c>
      <c r="AC882" s="1">
        <v>7.0947960390000002</v>
      </c>
      <c r="AD882" s="1">
        <v>6.8293968999999999</v>
      </c>
      <c r="AE882" s="1">
        <v>7.207654571</v>
      </c>
    </row>
    <row r="883" spans="1:31" x14ac:dyDescent="0.25">
      <c r="A883" s="1" t="s">
        <v>1971</v>
      </c>
      <c r="B883" s="1" t="s">
        <v>2662</v>
      </c>
      <c r="C883" s="1" t="s">
        <v>3721</v>
      </c>
      <c r="D883" s="1" t="s">
        <v>4060</v>
      </c>
      <c r="E883" s="1" t="s">
        <v>4061</v>
      </c>
      <c r="G883" s="1" t="s">
        <v>1971</v>
      </c>
      <c r="H883" s="1">
        <v>5.1686839359999999</v>
      </c>
      <c r="I883" s="1">
        <v>5.6208330609999999</v>
      </c>
      <c r="J883" s="1">
        <v>5.1034438250000003</v>
      </c>
      <c r="K883" s="1">
        <v>5.2674352469999999</v>
      </c>
      <c r="L883" s="1">
        <v>6.111512565</v>
      </c>
      <c r="M883" s="1">
        <v>6.1108364430000002</v>
      </c>
      <c r="N883" s="1">
        <v>5.5749368700000002</v>
      </c>
      <c r="O883" s="1">
        <v>5.5090357550000002</v>
      </c>
      <c r="P883" s="1">
        <v>5.4976972829999999</v>
      </c>
      <c r="Q883" s="1">
        <v>5.2931690810000003</v>
      </c>
      <c r="R883" s="1">
        <v>5.7142579380000003</v>
      </c>
      <c r="S883" s="1">
        <v>5.505875713</v>
      </c>
      <c r="T883" s="1">
        <v>6.111512565</v>
      </c>
      <c r="U883" s="1">
        <v>6.1108364430000002</v>
      </c>
      <c r="V883" s="1">
        <v>5.3192272129999996</v>
      </c>
      <c r="W883" s="1">
        <v>5.5195577800000004</v>
      </c>
      <c r="X883" s="1">
        <v>5.0861518739999996</v>
      </c>
      <c r="Y883" s="1">
        <v>5.1254702539999997</v>
      </c>
      <c r="Z883" s="1">
        <v>5.7142579380000003</v>
      </c>
      <c r="AA883" s="1">
        <v>5.505875713</v>
      </c>
      <c r="AB883" s="1">
        <v>5.1755434500000002</v>
      </c>
      <c r="AC883" s="1">
        <v>4.7474570290000004</v>
      </c>
      <c r="AD883" s="1">
        <v>5.3091856960000001</v>
      </c>
      <c r="AE883" s="1">
        <v>5.2252968339999999</v>
      </c>
    </row>
    <row r="884" spans="1:31" x14ac:dyDescent="0.25">
      <c r="A884" s="1" t="s">
        <v>1973</v>
      </c>
      <c r="B884" s="1" t="s">
        <v>2530</v>
      </c>
      <c r="C884" s="1" t="s">
        <v>2531</v>
      </c>
      <c r="D884" s="1" t="s">
        <v>2535</v>
      </c>
      <c r="E884" s="1" t="s">
        <v>2536</v>
      </c>
      <c r="G884" s="1" t="s">
        <v>1973</v>
      </c>
      <c r="H884" s="1">
        <v>1.7393328349999999</v>
      </c>
      <c r="I884" s="1">
        <v>3.1348991329999998</v>
      </c>
      <c r="J884" s="1">
        <v>2.5640169199999998</v>
      </c>
      <c r="K884" s="1">
        <v>3.4309024589999999</v>
      </c>
      <c r="L884" s="1">
        <v>3.6142294740000001</v>
      </c>
      <c r="M884" s="1">
        <v>3.4067547010000001</v>
      </c>
      <c r="N884" s="1">
        <v>3.622455167</v>
      </c>
      <c r="O884" s="1">
        <v>3.9591193910000002</v>
      </c>
      <c r="P884" s="1">
        <v>4.161525224</v>
      </c>
      <c r="Q884" s="1">
        <v>3.9718447549999998</v>
      </c>
      <c r="R884" s="1">
        <v>3.8462631940000001</v>
      </c>
      <c r="S884" s="1">
        <v>3.7977317990000001</v>
      </c>
      <c r="T884" s="1">
        <v>3.6142294740000001</v>
      </c>
      <c r="U884" s="1">
        <v>3.4067547010000001</v>
      </c>
      <c r="V884" s="1">
        <v>3.3993802240000002</v>
      </c>
      <c r="W884" s="1">
        <v>3.0218530750000001</v>
      </c>
      <c r="X884" s="1">
        <v>4.1154863700000002</v>
      </c>
      <c r="Y884" s="1">
        <v>3.229986142</v>
      </c>
      <c r="Z884" s="1">
        <v>3.8462631940000001</v>
      </c>
      <c r="AA884" s="1">
        <v>3.7977317990000001</v>
      </c>
      <c r="AB884" s="1">
        <v>3.1218319999999999</v>
      </c>
      <c r="AC884" s="1">
        <v>2.87258916</v>
      </c>
      <c r="AD884" s="1">
        <v>3.3987395579999999</v>
      </c>
      <c r="AE884" s="1">
        <v>3.67472814</v>
      </c>
    </row>
    <row r="885" spans="1:31" x14ac:dyDescent="0.25">
      <c r="A885" s="1" t="s">
        <v>1983</v>
      </c>
      <c r="B885" s="1" t="s">
        <v>2530</v>
      </c>
      <c r="C885" s="1" t="s">
        <v>2573</v>
      </c>
      <c r="D885" s="1" t="s">
        <v>2535</v>
      </c>
      <c r="E885" s="1" t="s">
        <v>4062</v>
      </c>
      <c r="G885" s="1" t="s">
        <v>1983</v>
      </c>
      <c r="H885" s="1">
        <v>4.183793842</v>
      </c>
      <c r="I885" s="1">
        <v>4.2936285989999998</v>
      </c>
      <c r="J885" s="1">
        <v>4.2898244959999996</v>
      </c>
      <c r="K885" s="1">
        <v>2.9677134359999999</v>
      </c>
      <c r="L885" s="1">
        <v>4.1188213390000001</v>
      </c>
      <c r="M885" s="1">
        <v>3.6924658159999999</v>
      </c>
      <c r="N885" s="1">
        <v>4.4061149080000002</v>
      </c>
      <c r="O885" s="1">
        <v>4.5340058970000001</v>
      </c>
      <c r="P885" s="1">
        <v>4.8528499219999999</v>
      </c>
      <c r="Q885" s="1">
        <v>3.8492287269999999</v>
      </c>
      <c r="R885" s="1">
        <v>3.7109484589999999</v>
      </c>
      <c r="S885" s="1">
        <v>4.0285685429999996</v>
      </c>
      <c r="T885" s="1">
        <v>4.1188213390000001</v>
      </c>
      <c r="U885" s="1">
        <v>3.6924658159999999</v>
      </c>
      <c r="V885" s="1">
        <v>4.3163797720000003</v>
      </c>
      <c r="W885" s="1">
        <v>3.9848641250000001</v>
      </c>
      <c r="X885" s="1">
        <v>4.5719855100000002</v>
      </c>
      <c r="Y885" s="1">
        <v>4.4420910779999998</v>
      </c>
      <c r="Z885" s="1">
        <v>3.7109484589999999</v>
      </c>
      <c r="AA885" s="1">
        <v>4.0285685429999996</v>
      </c>
      <c r="AB885" s="1">
        <v>2.73487305</v>
      </c>
      <c r="AC885" s="1">
        <v>4.2557864319999998</v>
      </c>
      <c r="AD885" s="1">
        <v>3.8610926929999998</v>
      </c>
      <c r="AE885" s="1">
        <v>3.8864783150000002</v>
      </c>
    </row>
    <row r="886" spans="1:31" x14ac:dyDescent="0.25">
      <c r="A886" s="1" t="s">
        <v>1995</v>
      </c>
      <c r="B886" s="1" t="s">
        <v>2608</v>
      </c>
      <c r="C886" s="1" t="s">
        <v>2609</v>
      </c>
      <c r="D886" s="1" t="s">
        <v>4063</v>
      </c>
      <c r="E886" s="1" t="s">
        <v>4064</v>
      </c>
      <c r="F886" s="1" t="s">
        <v>4065</v>
      </c>
      <c r="G886" s="1" t="s">
        <v>1995</v>
      </c>
      <c r="H886" s="1">
        <v>5.0553993879999997</v>
      </c>
      <c r="I886" s="1">
        <v>4.7284970130000001</v>
      </c>
      <c r="J886" s="1">
        <v>5.2392025899999997</v>
      </c>
      <c r="K886" s="1">
        <v>4.7454889089999996</v>
      </c>
      <c r="L886" s="1">
        <v>5.3750929149999997</v>
      </c>
      <c r="M886" s="1">
        <v>5.1796951440000001</v>
      </c>
      <c r="N886" s="1">
        <v>5.2145790439999997</v>
      </c>
      <c r="O886" s="1">
        <v>5.0724039640000003</v>
      </c>
      <c r="P886" s="1">
        <v>5.1018341500000002</v>
      </c>
      <c r="Q886" s="1">
        <v>4.683187717</v>
      </c>
      <c r="R886" s="1">
        <v>4.7472384160000001</v>
      </c>
      <c r="S886" s="1">
        <v>4.2250836859999996</v>
      </c>
      <c r="T886" s="1">
        <v>5.3750929149999997</v>
      </c>
      <c r="U886" s="1">
        <v>5.1796951440000001</v>
      </c>
      <c r="V886" s="1">
        <v>5.2455869269999997</v>
      </c>
      <c r="W886" s="1">
        <v>4.8493412630000003</v>
      </c>
      <c r="X886" s="1">
        <v>4.8524813179999997</v>
      </c>
      <c r="Y886" s="1">
        <v>4.6842287809999998</v>
      </c>
      <c r="Z886" s="1">
        <v>4.7472384160000001</v>
      </c>
      <c r="AA886" s="1">
        <v>4.2250836859999996</v>
      </c>
      <c r="AB886" s="1">
        <v>4.7958605490000004</v>
      </c>
      <c r="AC886" s="1">
        <v>4.1685844940000001</v>
      </c>
      <c r="AD886" s="1">
        <v>4.8924744240000004</v>
      </c>
      <c r="AE886" s="1">
        <v>4.4163948289999997</v>
      </c>
    </row>
    <row r="887" spans="1:31" x14ac:dyDescent="0.25">
      <c r="A887" s="1" t="s">
        <v>1996</v>
      </c>
      <c r="B887" s="1" t="s">
        <v>2598</v>
      </c>
      <c r="C887" s="1" t="s">
        <v>2599</v>
      </c>
      <c r="D887" s="1" t="s">
        <v>2535</v>
      </c>
      <c r="E887" s="1" t="s">
        <v>4066</v>
      </c>
      <c r="G887" s="1" t="s">
        <v>1996</v>
      </c>
      <c r="H887" s="1">
        <v>7.8951786789999998</v>
      </c>
      <c r="I887" s="1">
        <v>7.7766848319999999</v>
      </c>
      <c r="J887" s="1">
        <v>8.2412138440000007</v>
      </c>
      <c r="K887" s="1">
        <v>8.4396820389999991</v>
      </c>
      <c r="L887" s="1">
        <v>7.473774573</v>
      </c>
      <c r="M887" s="1">
        <v>7.6496646610000001</v>
      </c>
      <c r="N887" s="1">
        <v>7.4494039580000004</v>
      </c>
      <c r="O887" s="1">
        <v>7.6001763599999999</v>
      </c>
      <c r="P887" s="1">
        <v>7.8952114890000002</v>
      </c>
      <c r="Q887" s="1">
        <v>7.7689465880000004</v>
      </c>
      <c r="R887" s="1">
        <v>8.1376961940000001</v>
      </c>
      <c r="S887" s="1">
        <v>7.9912070450000003</v>
      </c>
      <c r="T887" s="1">
        <v>7.473774573</v>
      </c>
      <c r="U887" s="1">
        <v>7.6496646610000001</v>
      </c>
      <c r="V887" s="1">
        <v>8.0763890239999991</v>
      </c>
      <c r="W887" s="1">
        <v>7.7297267380000001</v>
      </c>
      <c r="X887" s="1">
        <v>7.5834352090000001</v>
      </c>
      <c r="Y887" s="1">
        <v>7.6623122090000004</v>
      </c>
      <c r="Z887" s="1">
        <v>8.1376961940000001</v>
      </c>
      <c r="AA887" s="1">
        <v>7.9912070450000003</v>
      </c>
      <c r="AB887" s="1">
        <v>7.9256926339999998</v>
      </c>
      <c r="AC887" s="1">
        <v>8.0830380109999993</v>
      </c>
      <c r="AD887" s="1">
        <v>7.7382649529999998</v>
      </c>
      <c r="AE887" s="1">
        <v>7.8583814079999996</v>
      </c>
    </row>
    <row r="888" spans="1:31" x14ac:dyDescent="0.25">
      <c r="A888" s="1" t="s">
        <v>1997</v>
      </c>
      <c r="B888" s="1" t="s">
        <v>2530</v>
      </c>
      <c r="C888" s="1" t="s">
        <v>2531</v>
      </c>
      <c r="D888" s="1" t="s">
        <v>2535</v>
      </c>
      <c r="E888" s="1" t="s">
        <v>2536</v>
      </c>
      <c r="G888" s="1" t="s">
        <v>1997</v>
      </c>
      <c r="H888" s="1">
        <v>8.0349813769999994</v>
      </c>
      <c r="I888" s="1">
        <v>7.6204294749999999</v>
      </c>
      <c r="J888" s="1">
        <v>8.0712132830000005</v>
      </c>
      <c r="K888" s="1">
        <v>8.0425802760000007</v>
      </c>
      <c r="L888" s="1">
        <v>7.8598552780000004</v>
      </c>
      <c r="M888" s="1">
        <v>7.9896270210000004</v>
      </c>
      <c r="N888" s="1">
        <v>7.0751784710000001</v>
      </c>
      <c r="O888" s="1">
        <v>7.1384067309999999</v>
      </c>
      <c r="P888" s="1">
        <v>8.1071997630000006</v>
      </c>
      <c r="Q888" s="1">
        <v>8.0057223559999997</v>
      </c>
      <c r="R888" s="1">
        <v>8.1984635140000002</v>
      </c>
      <c r="S888" s="1">
        <v>8.1157903299999994</v>
      </c>
      <c r="T888" s="1">
        <v>7.8598552780000004</v>
      </c>
      <c r="U888" s="1">
        <v>7.9896270210000004</v>
      </c>
      <c r="V888" s="1">
        <v>7.6920807379999996</v>
      </c>
      <c r="W888" s="1">
        <v>7.7675286029999997</v>
      </c>
      <c r="X888" s="1">
        <v>7.9413030999999998</v>
      </c>
      <c r="Y888" s="1">
        <v>7.295903365</v>
      </c>
      <c r="Z888" s="1">
        <v>8.1984635140000002</v>
      </c>
      <c r="AA888" s="1">
        <v>8.1157903299999994</v>
      </c>
      <c r="AB888" s="1">
        <v>7.8959414719999996</v>
      </c>
      <c r="AC888" s="1">
        <v>8.1779180950000008</v>
      </c>
      <c r="AD888" s="1">
        <v>7.8807978030000001</v>
      </c>
      <c r="AE888" s="1">
        <v>7.8103392830000002</v>
      </c>
    </row>
    <row r="889" spans="1:31" x14ac:dyDescent="0.25">
      <c r="A889" s="1" t="s">
        <v>1998</v>
      </c>
      <c r="B889" s="1" t="s">
        <v>2530</v>
      </c>
      <c r="C889" s="1" t="s">
        <v>2531</v>
      </c>
      <c r="D889" s="1" t="s">
        <v>2535</v>
      </c>
      <c r="E889" s="1" t="s">
        <v>4067</v>
      </c>
      <c r="G889" s="1" t="s">
        <v>1998</v>
      </c>
      <c r="H889" s="1">
        <v>8.6662894900000005</v>
      </c>
      <c r="I889" s="1">
        <v>8.4871646629999997</v>
      </c>
      <c r="J889" s="1">
        <v>7.5986445360000001</v>
      </c>
      <c r="K889" s="1">
        <v>7.7120487869999996</v>
      </c>
      <c r="L889" s="1">
        <v>7.1834010729999997</v>
      </c>
      <c r="M889" s="1">
        <v>7.2653256690000001</v>
      </c>
      <c r="N889" s="1">
        <v>7.7852787919999997</v>
      </c>
      <c r="O889" s="1">
        <v>8.4256150559999998</v>
      </c>
      <c r="P889" s="1">
        <v>7.4204449840000004</v>
      </c>
      <c r="Q889" s="1">
        <v>7.4657939720000002</v>
      </c>
      <c r="R889" s="1">
        <v>7.5664197040000003</v>
      </c>
      <c r="S889" s="1">
        <v>7.195433188</v>
      </c>
      <c r="T889" s="1">
        <v>7.1834010729999997</v>
      </c>
      <c r="U889" s="1">
        <v>7.2653256690000001</v>
      </c>
      <c r="V889" s="1">
        <v>7.7057775480000004</v>
      </c>
      <c r="W889" s="1">
        <v>7.7201193760000004</v>
      </c>
      <c r="X889" s="1">
        <v>7.2679051220000002</v>
      </c>
      <c r="Y889" s="1">
        <v>7.8031189599999999</v>
      </c>
      <c r="Z889" s="1">
        <v>7.5664197040000003</v>
      </c>
      <c r="AA889" s="1">
        <v>7.195433188</v>
      </c>
      <c r="AB889" s="1">
        <v>7.5963215740000001</v>
      </c>
      <c r="AC889" s="1">
        <v>7.317156314</v>
      </c>
      <c r="AD889" s="1">
        <v>7.5135542710000003</v>
      </c>
      <c r="AE889" s="1">
        <v>7.773227297</v>
      </c>
    </row>
    <row r="890" spans="1:31" x14ac:dyDescent="0.25">
      <c r="A890" s="1" t="s">
        <v>2001</v>
      </c>
      <c r="B890" s="1" t="s">
        <v>2525</v>
      </c>
      <c r="C890" s="1" t="s">
        <v>2526</v>
      </c>
      <c r="D890" s="1" t="s">
        <v>4068</v>
      </c>
      <c r="E890" s="1" t="s">
        <v>4069</v>
      </c>
      <c r="G890" s="1" t="s">
        <v>2001</v>
      </c>
      <c r="H890" s="1">
        <v>7.7673400880000001</v>
      </c>
      <c r="I890" s="1">
        <v>7.791418009</v>
      </c>
      <c r="J890" s="1">
        <v>7.6234685510000002</v>
      </c>
      <c r="K890" s="1">
        <v>7.6579791049999999</v>
      </c>
      <c r="L890" s="1">
        <v>7.9850512680000003</v>
      </c>
      <c r="M890" s="1">
        <v>7.9528177189999996</v>
      </c>
      <c r="N890" s="1">
        <v>7.49723015</v>
      </c>
      <c r="O890" s="1">
        <v>7.5154170340000004</v>
      </c>
      <c r="P890" s="1">
        <v>7.9274709459999997</v>
      </c>
      <c r="Q890" s="1">
        <v>8.2208562220000001</v>
      </c>
      <c r="R890" s="1">
        <v>7.8577297809999997</v>
      </c>
      <c r="S890" s="1">
        <v>7.9516322319999997</v>
      </c>
      <c r="T890" s="1">
        <v>7.9850512680000003</v>
      </c>
      <c r="U890" s="1">
        <v>7.9528177189999996</v>
      </c>
      <c r="V890" s="1">
        <v>7.5923772630000004</v>
      </c>
      <c r="W890" s="1">
        <v>7.0893438719999997</v>
      </c>
      <c r="X890" s="1">
        <v>7.8421591169999996</v>
      </c>
      <c r="Y890" s="1">
        <v>6.9469657070000004</v>
      </c>
      <c r="Z890" s="1">
        <v>7.8577297809999997</v>
      </c>
      <c r="AA890" s="1">
        <v>7.9516322319999997</v>
      </c>
      <c r="AB890" s="1">
        <v>7.340573268</v>
      </c>
      <c r="AC890" s="1">
        <v>7.6092611220000004</v>
      </c>
      <c r="AD890" s="1">
        <v>7.4128505269999998</v>
      </c>
      <c r="AE890" s="1">
        <v>7.213825022</v>
      </c>
    </row>
    <row r="891" spans="1:31" x14ac:dyDescent="0.25">
      <c r="A891" s="1" t="s">
        <v>2002</v>
      </c>
      <c r="B891" s="1" t="s">
        <v>2547</v>
      </c>
      <c r="C891" s="1" t="s">
        <v>2566</v>
      </c>
      <c r="D891" s="1" t="s">
        <v>4070</v>
      </c>
      <c r="E891" s="1" t="s">
        <v>4071</v>
      </c>
      <c r="G891" s="1" t="s">
        <v>2002</v>
      </c>
      <c r="H891" s="1">
        <v>5.3232649629999997</v>
      </c>
      <c r="I891" s="1">
        <v>5.6208330609999999</v>
      </c>
      <c r="J891" s="1">
        <v>5.7122264270000001</v>
      </c>
      <c r="K891" s="1">
        <v>5.5322182199999999</v>
      </c>
      <c r="L891" s="1">
        <v>5.7251137559999998</v>
      </c>
      <c r="M891" s="1">
        <v>5.5973531489999999</v>
      </c>
      <c r="N891" s="1">
        <v>6.6831081809999997</v>
      </c>
      <c r="O891" s="1">
        <v>6.4178147000000001</v>
      </c>
      <c r="P891" s="1">
        <v>4.9062897479999998</v>
      </c>
      <c r="Q891" s="1">
        <v>4.9365262349999997</v>
      </c>
      <c r="R891" s="1">
        <v>5.3764768539999999</v>
      </c>
      <c r="S891" s="1">
        <v>5.2672271329999996</v>
      </c>
      <c r="T891" s="1">
        <v>5.7251137559999998</v>
      </c>
      <c r="U891" s="1">
        <v>5.5973531489999999</v>
      </c>
      <c r="V891" s="1">
        <v>5.7495972609999999</v>
      </c>
      <c r="W891" s="1">
        <v>5.4743148909999997</v>
      </c>
      <c r="X891" s="1">
        <v>5.0861518739999996</v>
      </c>
      <c r="Y891" s="1">
        <v>5.5443425189999997</v>
      </c>
      <c r="Z891" s="1">
        <v>5.3764768539999999</v>
      </c>
      <c r="AA891" s="1">
        <v>5.2672271329999996</v>
      </c>
      <c r="AB891" s="1">
        <v>5.1073354020000004</v>
      </c>
      <c r="AC891" s="1">
        <v>5.3988312660000002</v>
      </c>
      <c r="AD891" s="1">
        <v>5.2633210659999996</v>
      </c>
      <c r="AE891" s="1">
        <v>5.175187158</v>
      </c>
    </row>
    <row r="892" spans="1:31" x14ac:dyDescent="0.25">
      <c r="A892" s="1" t="s">
        <v>2006</v>
      </c>
      <c r="B892" s="1" t="s">
        <v>2530</v>
      </c>
      <c r="C892" s="1" t="s">
        <v>2531</v>
      </c>
      <c r="D892" s="1" t="s">
        <v>2535</v>
      </c>
      <c r="E892" s="1" t="s">
        <v>4072</v>
      </c>
      <c r="G892" s="1" t="s">
        <v>2006</v>
      </c>
      <c r="H892" s="1">
        <v>4.9322401630000003</v>
      </c>
      <c r="I892" s="1">
        <v>4.7284970130000001</v>
      </c>
      <c r="J892" s="1">
        <v>5.3631085470000004</v>
      </c>
      <c r="K892" s="1">
        <v>4.8139921829999999</v>
      </c>
      <c r="L892" s="1">
        <v>6.0539165129999999</v>
      </c>
      <c r="M892" s="1">
        <v>5.9702199440000001</v>
      </c>
      <c r="N892" s="1">
        <v>5.6141964020000001</v>
      </c>
      <c r="O892" s="1">
        <v>5.4117878270000004</v>
      </c>
      <c r="P892" s="1">
        <v>5.6296473389999999</v>
      </c>
      <c r="Q892" s="1">
        <v>5.6846114249999999</v>
      </c>
      <c r="R892" s="1">
        <v>5.5365302600000001</v>
      </c>
      <c r="S892" s="1">
        <v>5.6781703969999997</v>
      </c>
      <c r="T892" s="1">
        <v>6.0539165129999999</v>
      </c>
      <c r="U892" s="1">
        <v>5.9702199440000001</v>
      </c>
      <c r="V892" s="1">
        <v>5.6103143839999996</v>
      </c>
      <c r="W892" s="1">
        <v>5.427589942</v>
      </c>
      <c r="X892" s="1">
        <v>5.8411798890000002</v>
      </c>
      <c r="Y892" s="1">
        <v>5.417933841</v>
      </c>
      <c r="Z892" s="1">
        <v>5.5365302600000001</v>
      </c>
      <c r="AA892" s="1">
        <v>5.6781703969999997</v>
      </c>
      <c r="AB892" s="1">
        <v>5.5787398220000002</v>
      </c>
      <c r="AC892" s="1">
        <v>5.5741318</v>
      </c>
      <c r="AD892" s="1">
        <v>5.2159266190000002</v>
      </c>
      <c r="AE892" s="1">
        <v>5.49371411</v>
      </c>
    </row>
    <row r="893" spans="1:31" x14ac:dyDescent="0.25">
      <c r="A893" s="1" t="s">
        <v>2007</v>
      </c>
      <c r="B893" s="1" t="s">
        <v>2530</v>
      </c>
      <c r="C893" s="1" t="s">
        <v>2531</v>
      </c>
      <c r="D893" s="1" t="s">
        <v>2535</v>
      </c>
      <c r="E893" s="1" t="s">
        <v>4073</v>
      </c>
      <c r="G893" s="1" t="s">
        <v>2007</v>
      </c>
      <c r="H893" s="1">
        <v>6.0673720150000001</v>
      </c>
      <c r="I893" s="1">
        <v>5.8917578519999996</v>
      </c>
      <c r="J893" s="1">
        <v>5.7428701560000004</v>
      </c>
      <c r="K893" s="1">
        <v>5.9181521149999998</v>
      </c>
      <c r="L893" s="1">
        <v>5.4306647579999998</v>
      </c>
      <c r="M893" s="1">
        <v>5.2079667260000004</v>
      </c>
      <c r="N893" s="1">
        <v>5.3372793730000003</v>
      </c>
      <c r="O893" s="1">
        <v>5.3342335859999999</v>
      </c>
      <c r="P893" s="1">
        <v>5.7791106289999998</v>
      </c>
      <c r="Q893" s="1">
        <v>5.8765740600000003</v>
      </c>
      <c r="R893" s="1">
        <v>5.9309793060000002</v>
      </c>
      <c r="S893" s="1">
        <v>5.7416668729999998</v>
      </c>
      <c r="T893" s="1">
        <v>5.4306647579999998</v>
      </c>
      <c r="U893" s="1">
        <v>5.2079667260000004</v>
      </c>
      <c r="V893" s="1">
        <v>5.4559769400000002</v>
      </c>
      <c r="W893" s="1">
        <v>5.3792812999999997</v>
      </c>
      <c r="X893" s="1">
        <v>5.5426459120000002</v>
      </c>
      <c r="Y893" s="1">
        <v>5.6604650660000004</v>
      </c>
      <c r="Z893" s="1">
        <v>5.9309793060000002</v>
      </c>
      <c r="AA893" s="1">
        <v>5.7416668729999998</v>
      </c>
      <c r="AB893" s="1">
        <v>5.8927983030000002</v>
      </c>
      <c r="AC893" s="1">
        <v>5.6386390840000002</v>
      </c>
      <c r="AD893" s="1">
        <v>5.6665831520000003</v>
      </c>
      <c r="AE893" s="1">
        <v>5.7708285269999999</v>
      </c>
    </row>
    <row r="894" spans="1:31" x14ac:dyDescent="0.25">
      <c r="A894" s="1" t="s">
        <v>2008</v>
      </c>
      <c r="B894" s="1" t="s">
        <v>3099</v>
      </c>
      <c r="C894" s="1" t="s">
        <v>3100</v>
      </c>
      <c r="D894" s="1" t="s">
        <v>3101</v>
      </c>
      <c r="E894" s="1" t="s">
        <v>4074</v>
      </c>
      <c r="G894" s="1" t="s">
        <v>2008</v>
      </c>
      <c r="H894" s="1">
        <v>4.183793842</v>
      </c>
      <c r="I894" s="1">
        <v>4.3763156859999999</v>
      </c>
      <c r="J894" s="1">
        <v>4.5940881259999999</v>
      </c>
      <c r="K894" s="1">
        <v>4.941717659</v>
      </c>
      <c r="L894" s="1">
        <v>4.619423984</v>
      </c>
      <c r="M894" s="1">
        <v>4.930560163</v>
      </c>
      <c r="N894" s="1">
        <v>4.4945275240000004</v>
      </c>
      <c r="O894" s="1">
        <v>5.0400854920000002</v>
      </c>
      <c r="P894" s="1">
        <v>4.5499605860000001</v>
      </c>
      <c r="Q894" s="1">
        <v>4.611970812</v>
      </c>
      <c r="R894" s="1">
        <v>5.1961281320000001</v>
      </c>
      <c r="S894" s="1">
        <v>5.710270789</v>
      </c>
      <c r="T894" s="1">
        <v>4.619423984</v>
      </c>
      <c r="U894" s="1">
        <v>4.930560163</v>
      </c>
      <c r="V894" s="1">
        <v>4.2408545169999998</v>
      </c>
      <c r="W894" s="1">
        <v>3.50175473</v>
      </c>
      <c r="X894" s="1">
        <v>5.1899342839999996</v>
      </c>
      <c r="Y894" s="1">
        <v>4.6081171230000004</v>
      </c>
      <c r="Z894" s="1">
        <v>5.1961281320000001</v>
      </c>
      <c r="AA894" s="1">
        <v>5.710270789</v>
      </c>
      <c r="AB894" s="1">
        <v>4.7958605490000004</v>
      </c>
      <c r="AC894" s="1">
        <v>5.3221936159999998</v>
      </c>
      <c r="AD894" s="1">
        <v>4.83054469</v>
      </c>
      <c r="AE894" s="1">
        <v>5.175187158</v>
      </c>
    </row>
    <row r="895" spans="1:31" x14ac:dyDescent="0.25">
      <c r="A895" s="1" t="s">
        <v>2011</v>
      </c>
      <c r="B895" s="1" t="s">
        <v>2608</v>
      </c>
      <c r="C895" s="1" t="s">
        <v>2609</v>
      </c>
      <c r="D895" s="1" t="s">
        <v>4063</v>
      </c>
      <c r="E895" s="1" t="s">
        <v>4075</v>
      </c>
      <c r="F895" s="1" t="s">
        <v>4076</v>
      </c>
      <c r="G895" s="1" t="s">
        <v>2011</v>
      </c>
      <c r="H895" s="1">
        <v>3.9421380259999999</v>
      </c>
      <c r="I895" s="1">
        <v>4.0101074990000001</v>
      </c>
      <c r="J895" s="1">
        <v>3.4977151119999998</v>
      </c>
      <c r="K895" s="1">
        <v>2.620638279</v>
      </c>
      <c r="L895" s="1">
        <v>3.4685048369999998</v>
      </c>
      <c r="M895" s="1">
        <v>3.8521266660000002</v>
      </c>
      <c r="N895" s="1">
        <v>3.9164981490000002</v>
      </c>
      <c r="O895" s="1">
        <v>4.0953574540000002</v>
      </c>
      <c r="P895" s="1">
        <v>3.466113682</v>
      </c>
      <c r="Q895" s="1">
        <v>3.56206471</v>
      </c>
      <c r="R895" s="1">
        <v>3.1834741979999999</v>
      </c>
      <c r="S895" s="1">
        <v>2.9034795349999998</v>
      </c>
      <c r="T895" s="1">
        <v>3.4685048369999998</v>
      </c>
      <c r="U895" s="1">
        <v>3.8521266660000002</v>
      </c>
      <c r="V895" s="1">
        <v>3.5405335899999999</v>
      </c>
      <c r="W895" s="1">
        <v>3.0218530750000001</v>
      </c>
      <c r="X895" s="1">
        <v>3.6673381269999998</v>
      </c>
      <c r="Y895" s="1">
        <v>3.4382968329999999</v>
      </c>
      <c r="Z895" s="1">
        <v>3.1834741979999999</v>
      </c>
      <c r="AA895" s="1">
        <v>2.9034795349999998</v>
      </c>
      <c r="AB895" s="1">
        <v>4.139369361</v>
      </c>
      <c r="AC895" s="1">
        <v>3.6175630609999998</v>
      </c>
      <c r="AD895" s="1">
        <v>3.5727029510000001</v>
      </c>
      <c r="AE895" s="1">
        <v>3.419797387</v>
      </c>
    </row>
    <row r="896" spans="1:31" x14ac:dyDescent="0.25">
      <c r="A896" s="1" t="s">
        <v>2013</v>
      </c>
      <c r="B896" s="1" t="s">
        <v>2547</v>
      </c>
      <c r="C896" s="1" t="s">
        <v>2566</v>
      </c>
      <c r="D896" s="1" t="s">
        <v>2739</v>
      </c>
      <c r="E896" s="1" t="s">
        <v>2740</v>
      </c>
      <c r="F896" s="1" t="s">
        <v>2741</v>
      </c>
      <c r="G896" s="1" t="s">
        <v>2013</v>
      </c>
      <c r="H896" s="1">
        <v>11.59680676</v>
      </c>
      <c r="I896" s="1">
        <v>10.96371873</v>
      </c>
      <c r="J896" s="1">
        <v>11.85957812</v>
      </c>
      <c r="K896" s="1">
        <v>11.87577647</v>
      </c>
      <c r="L896" s="1">
        <v>11.11507095</v>
      </c>
      <c r="M896" s="1">
        <v>11.548607199999999</v>
      </c>
      <c r="N896" s="1">
        <v>9.8801674429999995</v>
      </c>
      <c r="O896" s="1">
        <v>10.27396957</v>
      </c>
      <c r="P896" s="1">
        <v>11.53891151</v>
      </c>
      <c r="Q896" s="1">
        <v>11.574672339999999</v>
      </c>
      <c r="R896" s="1">
        <v>11.7961323</v>
      </c>
      <c r="S896" s="1">
        <v>11.672834399999999</v>
      </c>
      <c r="T896" s="1">
        <v>11.11507095</v>
      </c>
      <c r="U896" s="1">
        <v>11.548607199999999</v>
      </c>
      <c r="V896" s="1">
        <v>10.973967480000001</v>
      </c>
      <c r="W896" s="1">
        <v>10.96556402</v>
      </c>
      <c r="X896" s="1">
        <v>11.149420660000001</v>
      </c>
      <c r="Y896" s="1">
        <v>10.608543770000001</v>
      </c>
      <c r="Z896" s="1">
        <v>11.7961323</v>
      </c>
      <c r="AA896" s="1">
        <v>11.672834399999999</v>
      </c>
      <c r="AB896" s="1">
        <v>11.31373586</v>
      </c>
      <c r="AC896" s="1">
        <v>11.3502659</v>
      </c>
      <c r="AD896" s="1">
        <v>11.0107786</v>
      </c>
      <c r="AE896" s="1">
        <v>11.015703589999999</v>
      </c>
    </row>
    <row r="897" spans="1:31" x14ac:dyDescent="0.25">
      <c r="A897" s="1" t="s">
        <v>2015</v>
      </c>
      <c r="B897" s="1" t="s">
        <v>2667</v>
      </c>
      <c r="C897" s="1" t="s">
        <v>4077</v>
      </c>
      <c r="D897" s="1" t="s">
        <v>4078</v>
      </c>
      <c r="E897" s="1" t="s">
        <v>4079</v>
      </c>
      <c r="F897" s="1" t="s">
        <v>4080</v>
      </c>
      <c r="G897" s="1" t="s">
        <v>2015</v>
      </c>
      <c r="H897" s="1">
        <v>5.1686839359999999</v>
      </c>
      <c r="I897" s="1">
        <v>5.1078624770000003</v>
      </c>
      <c r="J897" s="1">
        <v>6.8909954960000004</v>
      </c>
      <c r="K897" s="1">
        <v>6.363994462</v>
      </c>
      <c r="L897" s="1">
        <v>6.6355473729999996</v>
      </c>
      <c r="M897" s="1">
        <v>6.4996506539999999</v>
      </c>
      <c r="N897" s="1">
        <v>5.6711351529999998</v>
      </c>
      <c r="O897" s="1">
        <v>5.1349072580000001</v>
      </c>
      <c r="P897" s="1">
        <v>6.5340672829999997</v>
      </c>
      <c r="Q897" s="1">
        <v>6.8726890640000002</v>
      </c>
      <c r="R897" s="1">
        <v>6.4143264479999997</v>
      </c>
      <c r="S897" s="1">
        <v>6.6028455509999997</v>
      </c>
      <c r="T897" s="1">
        <v>6.6355473729999996</v>
      </c>
      <c r="U897" s="1">
        <v>6.4996506539999999</v>
      </c>
      <c r="V897" s="1">
        <v>6.3484277020000004</v>
      </c>
      <c r="W897" s="1">
        <v>6.7734156700000003</v>
      </c>
      <c r="X897" s="1">
        <v>6.5613315610000003</v>
      </c>
      <c r="Y897" s="1">
        <v>6.2347231909999996</v>
      </c>
      <c r="Z897" s="1">
        <v>6.4143264479999997</v>
      </c>
      <c r="AA897" s="1">
        <v>6.6028455509999997</v>
      </c>
      <c r="AB897" s="1">
        <v>6.2160685200000003</v>
      </c>
      <c r="AC897" s="1">
        <v>6.2668248259999997</v>
      </c>
      <c r="AD897" s="1">
        <v>6.0361091350000002</v>
      </c>
      <c r="AE897" s="1">
        <v>6.1775384349999998</v>
      </c>
    </row>
    <row r="898" spans="1:31" x14ac:dyDescent="0.25">
      <c r="A898" s="1" t="s">
        <v>2032</v>
      </c>
      <c r="B898" s="1" t="s">
        <v>2642</v>
      </c>
      <c r="C898" s="1" t="s">
        <v>2643</v>
      </c>
      <c r="D898" s="1" t="s">
        <v>2687</v>
      </c>
      <c r="E898" s="1" t="s">
        <v>3094</v>
      </c>
      <c r="F898" s="1" t="s">
        <v>3095</v>
      </c>
      <c r="G898" s="1" t="s">
        <v>2032</v>
      </c>
      <c r="H898" s="1">
        <v>6.5548587630000004</v>
      </c>
      <c r="I898" s="1">
        <v>7.0388012209999999</v>
      </c>
      <c r="J898" s="1">
        <v>5.6809121170000001</v>
      </c>
      <c r="K898" s="1">
        <v>6.4932884399999997</v>
      </c>
      <c r="L898" s="1">
        <v>4.5190290319999997</v>
      </c>
      <c r="M898" s="1">
        <v>4.3473799800000004</v>
      </c>
      <c r="N898" s="1">
        <v>6.7194322870000001</v>
      </c>
      <c r="O898" s="1">
        <v>7.1155467110000004</v>
      </c>
      <c r="P898" s="1">
        <v>4.6160325330000003</v>
      </c>
      <c r="Q898" s="1">
        <v>5.0479127070000001</v>
      </c>
      <c r="R898" s="1">
        <v>5.3334881589999998</v>
      </c>
      <c r="S898" s="1">
        <v>4.3135540739999998</v>
      </c>
      <c r="T898" s="1">
        <v>4.5190290319999997</v>
      </c>
      <c r="U898" s="1">
        <v>4.3473799800000004</v>
      </c>
      <c r="V898" s="1">
        <v>4.6987742170000004</v>
      </c>
      <c r="W898" s="1">
        <v>4.6166922860000001</v>
      </c>
      <c r="X898" s="1">
        <v>5.0861518739999996</v>
      </c>
      <c r="Y898" s="1">
        <v>5.2297915760000002</v>
      </c>
      <c r="Z898" s="1">
        <v>5.3334881589999998</v>
      </c>
      <c r="AA898" s="1">
        <v>4.3135540739999998</v>
      </c>
      <c r="AB898" s="1">
        <v>5.1755434500000002</v>
      </c>
      <c r="AC898" s="1">
        <v>5.3610280289999999</v>
      </c>
      <c r="AD898" s="1">
        <v>5.893524276</v>
      </c>
      <c r="AE898" s="1">
        <v>5.2497036230000003</v>
      </c>
    </row>
    <row r="899" spans="1:31" x14ac:dyDescent="0.25">
      <c r="A899" s="1" t="s">
        <v>2038</v>
      </c>
      <c r="B899" s="1" t="s">
        <v>2579</v>
      </c>
      <c r="C899" s="1" t="s">
        <v>2585</v>
      </c>
      <c r="D899" s="1" t="s">
        <v>4081</v>
      </c>
      <c r="E899" s="1" t="s">
        <v>4082</v>
      </c>
      <c r="F899" s="1" t="s">
        <v>4083</v>
      </c>
      <c r="G899" s="1" t="s">
        <v>2038</v>
      </c>
      <c r="H899" s="1">
        <v>4.8663747150000001</v>
      </c>
      <c r="I899" s="1">
        <v>4.7893724280000001</v>
      </c>
      <c r="J899" s="1">
        <v>4.1077874330000004</v>
      </c>
      <c r="K899" s="1">
        <v>4.5974987220000001</v>
      </c>
      <c r="L899" s="1">
        <v>4.1188213390000001</v>
      </c>
      <c r="M899" s="1">
        <v>4.2945656129999996</v>
      </c>
      <c r="N899" s="1">
        <v>4.6173662499999999</v>
      </c>
      <c r="O899" s="1">
        <v>4.7903853170000001</v>
      </c>
      <c r="P899" s="1">
        <v>4.3303557189999999</v>
      </c>
      <c r="Q899" s="1">
        <v>4.611970812</v>
      </c>
      <c r="R899" s="1">
        <v>3.7109484589999999</v>
      </c>
      <c r="S899" s="1">
        <v>3.9182367880000002</v>
      </c>
      <c r="T899" s="1">
        <v>4.1188213390000001</v>
      </c>
      <c r="U899" s="1">
        <v>4.2945656129999996</v>
      </c>
      <c r="V899" s="1">
        <v>4.0758289169999999</v>
      </c>
      <c r="W899" s="1">
        <v>3.50175473</v>
      </c>
      <c r="X899" s="1">
        <v>5.1389930130000003</v>
      </c>
      <c r="Y899" s="1">
        <v>4.3509215530000001</v>
      </c>
      <c r="Z899" s="1">
        <v>3.7109484589999999</v>
      </c>
      <c r="AA899" s="1">
        <v>3.9182367880000002</v>
      </c>
      <c r="AB899" s="1">
        <v>4.2729702720000002</v>
      </c>
      <c r="AC899" s="1">
        <v>4.415017905</v>
      </c>
      <c r="AD899" s="1">
        <v>3.8610926929999998</v>
      </c>
      <c r="AE899" s="1">
        <v>4.4595659249999997</v>
      </c>
    </row>
    <row r="900" spans="1:31" x14ac:dyDescent="0.25">
      <c r="A900" s="1" t="s">
        <v>2039</v>
      </c>
      <c r="B900" s="1" t="s">
        <v>2579</v>
      </c>
      <c r="C900" s="1" t="s">
        <v>2585</v>
      </c>
      <c r="D900" s="1" t="s">
        <v>4081</v>
      </c>
      <c r="E900" s="1" t="s">
        <v>4084</v>
      </c>
      <c r="F900" s="1" t="s">
        <v>4085</v>
      </c>
      <c r="G900" s="1" t="s">
        <v>2039</v>
      </c>
      <c r="H900" s="1">
        <v>6.6155784799999999</v>
      </c>
      <c r="I900" s="1">
        <v>6.7068440599999999</v>
      </c>
      <c r="J900" s="1">
        <v>5.6488969620000002</v>
      </c>
      <c r="K900" s="1">
        <v>6.2465923569999999</v>
      </c>
      <c r="L900" s="1">
        <v>5.2569846910000004</v>
      </c>
      <c r="M900" s="1">
        <v>5.4159199769999997</v>
      </c>
      <c r="N900" s="1">
        <v>6.5880735220000002</v>
      </c>
      <c r="O900" s="1">
        <v>6.7989962650000004</v>
      </c>
      <c r="P900" s="1">
        <v>5.5318451900000003</v>
      </c>
      <c r="Q900" s="1">
        <v>6.045837068</v>
      </c>
      <c r="R900" s="1">
        <v>4.9327063119999996</v>
      </c>
      <c r="S900" s="1">
        <v>5.1309834260000002</v>
      </c>
      <c r="T900" s="1">
        <v>5.2569846910000004</v>
      </c>
      <c r="U900" s="1">
        <v>5.4159199769999997</v>
      </c>
      <c r="V900" s="1">
        <v>5.5807524949999996</v>
      </c>
      <c r="W900" s="1">
        <v>5.5634106699999997</v>
      </c>
      <c r="X900" s="1">
        <v>5.5620422200000004</v>
      </c>
      <c r="Y900" s="1">
        <v>5.0128502209999999</v>
      </c>
      <c r="Z900" s="1">
        <v>4.9327063119999996</v>
      </c>
      <c r="AA900" s="1">
        <v>5.1309834260000002</v>
      </c>
      <c r="AB900" s="1">
        <v>6.008835446</v>
      </c>
      <c r="AC900" s="1">
        <v>5.5065733579999998</v>
      </c>
      <c r="AD900" s="1">
        <v>5.7012900599999998</v>
      </c>
      <c r="AE900" s="1">
        <v>5.9145294059999998</v>
      </c>
    </row>
    <row r="901" spans="1:31" x14ac:dyDescent="0.25">
      <c r="A901" s="1" t="s">
        <v>2040</v>
      </c>
      <c r="B901" s="1" t="s">
        <v>2579</v>
      </c>
      <c r="C901" s="1" t="s">
        <v>2585</v>
      </c>
      <c r="D901" s="1" t="s">
        <v>4081</v>
      </c>
      <c r="E901" s="1" t="s">
        <v>4086</v>
      </c>
      <c r="F901" s="1" t="s">
        <v>4087</v>
      </c>
      <c r="G901" s="1" t="s">
        <v>2040</v>
      </c>
      <c r="H901" s="1">
        <v>5.5896774330000003</v>
      </c>
      <c r="I901" s="1">
        <v>5.1078624770000003</v>
      </c>
      <c r="J901" s="1">
        <v>5.8869626679999998</v>
      </c>
      <c r="K901" s="1">
        <v>6.2947097530000002</v>
      </c>
      <c r="L901" s="1">
        <v>4.619423984</v>
      </c>
      <c r="M901" s="1">
        <v>4.930560163</v>
      </c>
      <c r="N901" s="1">
        <v>5.910461819</v>
      </c>
      <c r="O901" s="1">
        <v>6.1589202040000002</v>
      </c>
      <c r="P901" s="1">
        <v>5.660815296</v>
      </c>
      <c r="Q901" s="1">
        <v>5.5022716190000001</v>
      </c>
      <c r="R901" s="1">
        <v>5.4981688889999996</v>
      </c>
      <c r="S901" s="1">
        <v>5.6781703969999997</v>
      </c>
      <c r="T901" s="1">
        <v>4.619423984</v>
      </c>
      <c r="U901" s="1">
        <v>4.930560163</v>
      </c>
      <c r="V901" s="1">
        <v>5.5807524949999996</v>
      </c>
      <c r="W901" s="1">
        <v>5.9072448660000001</v>
      </c>
      <c r="X901" s="1">
        <v>5.4623126839999996</v>
      </c>
      <c r="Y901" s="1">
        <v>6.2836980430000002</v>
      </c>
      <c r="Z901" s="1">
        <v>5.4981688889999996</v>
      </c>
      <c r="AA901" s="1">
        <v>5.6781703969999997</v>
      </c>
      <c r="AB901" s="1">
        <v>5.9711898400000001</v>
      </c>
      <c r="AC901" s="1">
        <v>5.7595305120000004</v>
      </c>
      <c r="AD901" s="1">
        <v>5.9231977699999998</v>
      </c>
      <c r="AE901" s="1">
        <v>6.086150795</v>
      </c>
    </row>
    <row r="902" spans="1:31" x14ac:dyDescent="0.25">
      <c r="A902" s="1" t="s">
        <v>2050</v>
      </c>
      <c r="B902" s="1" t="s">
        <v>2530</v>
      </c>
      <c r="C902" s="1" t="s">
        <v>2573</v>
      </c>
      <c r="D902" s="1" t="s">
        <v>2535</v>
      </c>
      <c r="E902" s="1" t="s">
        <v>3534</v>
      </c>
      <c r="G902" s="1" t="s">
        <v>2050</v>
      </c>
      <c r="H902" s="1">
        <v>6.3316799680000004</v>
      </c>
      <c r="I902" s="1">
        <v>6.923095075</v>
      </c>
      <c r="J902" s="1">
        <v>6.1378545859999996</v>
      </c>
      <c r="K902" s="1">
        <v>6.118739057</v>
      </c>
      <c r="L902" s="1">
        <v>6.9637416520000004</v>
      </c>
      <c r="M902" s="1">
        <v>6.5770251660000003</v>
      </c>
      <c r="N902" s="1">
        <v>6.7979584500000003</v>
      </c>
      <c r="O902" s="1">
        <v>6.4668479379999999</v>
      </c>
      <c r="P902" s="1">
        <v>5.660815296</v>
      </c>
      <c r="Q902" s="1">
        <v>6.2209780280000002</v>
      </c>
      <c r="R902" s="1">
        <v>5.7142579380000003</v>
      </c>
      <c r="S902" s="1">
        <v>6.4405915680000003</v>
      </c>
      <c r="T902" s="1">
        <v>6.9637416520000004</v>
      </c>
      <c r="U902" s="1">
        <v>6.5770251660000003</v>
      </c>
      <c r="V902" s="1">
        <v>5.9705432629999997</v>
      </c>
      <c r="W902" s="1">
        <v>6.1272304780000004</v>
      </c>
      <c r="X902" s="1">
        <v>5.7427722369999996</v>
      </c>
      <c r="Y902" s="1">
        <v>6.1044436219999998</v>
      </c>
      <c r="Z902" s="1">
        <v>5.7142579380000003</v>
      </c>
      <c r="AA902" s="1">
        <v>6.4405915680000003</v>
      </c>
      <c r="AB902" s="1">
        <v>5.7218462399999996</v>
      </c>
      <c r="AC902" s="1">
        <v>5.9236494000000004</v>
      </c>
      <c r="AD902" s="1">
        <v>5.7351750150000003</v>
      </c>
      <c r="AE902" s="1">
        <v>6.0589349549999998</v>
      </c>
    </row>
    <row r="903" spans="1:31" x14ac:dyDescent="0.25">
      <c r="A903" s="1" t="s">
        <v>2052</v>
      </c>
      <c r="B903" s="1" t="s">
        <v>2530</v>
      </c>
      <c r="C903" s="1" t="s">
        <v>2531</v>
      </c>
      <c r="D903" s="1" t="s">
        <v>2535</v>
      </c>
      <c r="E903" s="1" t="s">
        <v>2536</v>
      </c>
      <c r="G903" s="1" t="s">
        <v>2052</v>
      </c>
      <c r="H903" s="1">
        <v>6.6155784799999999</v>
      </c>
      <c r="I903" s="1">
        <v>6.7527702749999996</v>
      </c>
      <c r="J903" s="1">
        <v>6.0910626519999997</v>
      </c>
      <c r="K903" s="1">
        <v>6.091743707</v>
      </c>
      <c r="L903" s="1">
        <v>5.7971864540000002</v>
      </c>
      <c r="M903" s="1">
        <v>5.7772279879999999</v>
      </c>
      <c r="N903" s="1">
        <v>6.3538735099999997</v>
      </c>
      <c r="O903" s="1">
        <v>6.1134152940000002</v>
      </c>
      <c r="P903" s="1">
        <v>6.1074648529999997</v>
      </c>
      <c r="Q903" s="1">
        <v>6.1730784669999998</v>
      </c>
      <c r="R903" s="1">
        <v>5.4182058560000002</v>
      </c>
      <c r="S903" s="1">
        <v>5.542037144</v>
      </c>
      <c r="T903" s="1">
        <v>5.7971864540000002</v>
      </c>
      <c r="U903" s="1">
        <v>5.7772279879999999</v>
      </c>
      <c r="V903" s="1">
        <v>5.8270932010000003</v>
      </c>
      <c r="W903" s="1">
        <v>5.9408128590000002</v>
      </c>
      <c r="X903" s="1">
        <v>6.0611663609999997</v>
      </c>
      <c r="Y903" s="1">
        <v>6.2347231909999996</v>
      </c>
      <c r="Z903" s="1">
        <v>5.4182058560000002</v>
      </c>
      <c r="AA903" s="1">
        <v>5.542037144</v>
      </c>
      <c r="AB903" s="1">
        <v>5.5276660309999999</v>
      </c>
      <c r="AC903" s="1">
        <v>6.0708982899999997</v>
      </c>
      <c r="AD903" s="1">
        <v>6.0630013820000004</v>
      </c>
      <c r="AE903" s="1">
        <v>6.1648337089999998</v>
      </c>
    </row>
    <row r="904" spans="1:31" x14ac:dyDescent="0.25">
      <c r="A904" s="1" t="s">
        <v>2053</v>
      </c>
      <c r="B904" s="1" t="s">
        <v>2530</v>
      </c>
      <c r="C904" s="1" t="s">
        <v>2531</v>
      </c>
      <c r="D904" s="1" t="s">
        <v>2535</v>
      </c>
      <c r="E904" s="1" t="s">
        <v>2536</v>
      </c>
      <c r="G904" s="1" t="s">
        <v>2053</v>
      </c>
      <c r="H904" s="1">
        <v>7.8787742549999997</v>
      </c>
      <c r="I904" s="1">
        <v>7.4819592080000001</v>
      </c>
      <c r="J904" s="1">
        <v>6.1378545859999996</v>
      </c>
      <c r="K904" s="1">
        <v>6.6677525500000003</v>
      </c>
      <c r="L904" s="1">
        <v>6.1449929210000001</v>
      </c>
      <c r="M904" s="1">
        <v>6.3054089360000001</v>
      </c>
      <c r="N904" s="1">
        <v>6.2582753870000003</v>
      </c>
      <c r="O904" s="1">
        <v>6.5488294189999996</v>
      </c>
      <c r="P904" s="1">
        <v>6.336531473</v>
      </c>
      <c r="Q904" s="1">
        <v>6.4187248529999996</v>
      </c>
      <c r="R904" s="1">
        <v>6.4941616399999997</v>
      </c>
      <c r="S904" s="1">
        <v>6.8089922789999999</v>
      </c>
      <c r="T904" s="1">
        <v>6.1449929210000001</v>
      </c>
      <c r="U904" s="1">
        <v>6.3054089360000001</v>
      </c>
      <c r="V904" s="1">
        <v>6.2204802570000002</v>
      </c>
      <c r="W904" s="1">
        <v>6.4401804780000003</v>
      </c>
      <c r="X904" s="1">
        <v>6.5419998750000001</v>
      </c>
      <c r="Y904" s="1">
        <v>6.3769095809999996</v>
      </c>
      <c r="Z904" s="1">
        <v>6.4941616399999997</v>
      </c>
      <c r="AA904" s="1">
        <v>6.8089922789999999</v>
      </c>
      <c r="AB904" s="1">
        <v>6.4252252849999998</v>
      </c>
      <c r="AC904" s="1">
        <v>6.4923770970000003</v>
      </c>
      <c r="AD904" s="1">
        <v>6.5919351060000002</v>
      </c>
      <c r="AE904" s="1">
        <v>6.3779233900000003</v>
      </c>
    </row>
    <row r="905" spans="1:31" x14ac:dyDescent="0.25">
      <c r="A905" s="1" t="s">
        <v>2056</v>
      </c>
      <c r="B905" s="1" t="s">
        <v>2530</v>
      </c>
      <c r="C905" s="1" t="s">
        <v>2531</v>
      </c>
      <c r="D905" s="1" t="s">
        <v>2535</v>
      </c>
      <c r="E905" s="1" t="s">
        <v>4088</v>
      </c>
      <c r="G905" s="1" t="s">
        <v>2056</v>
      </c>
      <c r="H905" s="1">
        <v>6.8525976059999998</v>
      </c>
      <c r="I905" s="1">
        <v>7.0873869479999998</v>
      </c>
      <c r="J905" s="1">
        <v>6.0670821549999996</v>
      </c>
      <c r="K905" s="1">
        <v>6.1968079280000001</v>
      </c>
      <c r="L905" s="1">
        <v>7.0068025479999996</v>
      </c>
      <c r="M905" s="1">
        <v>6.7962126380000001</v>
      </c>
      <c r="N905" s="1">
        <v>7.1029295010000002</v>
      </c>
      <c r="O905" s="1">
        <v>7.1683333749999996</v>
      </c>
      <c r="P905" s="1">
        <v>6.59966688</v>
      </c>
      <c r="Q905" s="1">
        <v>6.5742324390000002</v>
      </c>
      <c r="R905" s="1">
        <v>5.9019545559999997</v>
      </c>
      <c r="S905" s="1">
        <v>6.2136668149999998</v>
      </c>
      <c r="T905" s="1">
        <v>7.0068025479999996</v>
      </c>
      <c r="U905" s="1">
        <v>6.7962126380000001</v>
      </c>
      <c r="V905" s="1">
        <v>5.9931161309999998</v>
      </c>
      <c r="W905" s="1">
        <v>6.0056801469999996</v>
      </c>
      <c r="X905" s="1">
        <v>5.9183192990000002</v>
      </c>
      <c r="Y905" s="1">
        <v>6.2347231909999996</v>
      </c>
      <c r="Z905" s="1">
        <v>5.9019545559999997</v>
      </c>
      <c r="AA905" s="1">
        <v>6.2136668149999998</v>
      </c>
      <c r="AB905" s="1">
        <v>5.851934376</v>
      </c>
      <c r="AC905" s="1">
        <v>5.9744301399999999</v>
      </c>
      <c r="AD905" s="1">
        <v>6.3296964060000001</v>
      </c>
      <c r="AE905" s="1">
        <v>6.3218298060000002</v>
      </c>
    </row>
    <row r="906" spans="1:31" x14ac:dyDescent="0.25">
      <c r="A906" s="1" t="s">
        <v>2057</v>
      </c>
      <c r="B906" s="1" t="s">
        <v>2520</v>
      </c>
      <c r="C906" s="1" t="s">
        <v>2646</v>
      </c>
      <c r="D906" s="1" t="s">
        <v>3416</v>
      </c>
      <c r="E906" s="1" t="s">
        <v>4089</v>
      </c>
      <c r="F906" s="1" t="s">
        <v>4090</v>
      </c>
      <c r="G906" s="1" t="s">
        <v>2057</v>
      </c>
      <c r="H906" s="1">
        <v>6.7837339390000002</v>
      </c>
      <c r="I906" s="1">
        <v>6.949622572</v>
      </c>
      <c r="J906" s="1">
        <v>7.1407823549999998</v>
      </c>
      <c r="K906" s="1">
        <v>7.1581252400000004</v>
      </c>
      <c r="L906" s="1">
        <v>6.8467147739999996</v>
      </c>
      <c r="M906" s="1">
        <v>6.7962126380000001</v>
      </c>
      <c r="N906" s="1">
        <v>7.4055174920000004</v>
      </c>
      <c r="O906" s="1">
        <v>7.5946781520000002</v>
      </c>
      <c r="P906" s="1">
        <v>7.5912873400000001</v>
      </c>
      <c r="Q906" s="1">
        <v>7.5893435760000001</v>
      </c>
      <c r="R906" s="1">
        <v>7.6558247030000004</v>
      </c>
      <c r="S906" s="1">
        <v>7.2066877380000003</v>
      </c>
      <c r="T906" s="1">
        <v>6.8467147739999996</v>
      </c>
      <c r="U906" s="1">
        <v>6.7962126380000001</v>
      </c>
      <c r="V906" s="1">
        <v>7.22482136</v>
      </c>
      <c r="W906" s="1">
        <v>6.8980132320000003</v>
      </c>
      <c r="X906" s="1">
        <v>7.1516427269999996</v>
      </c>
      <c r="Y906" s="1">
        <v>7.0775333739999997</v>
      </c>
      <c r="Z906" s="1">
        <v>7.6558247030000004</v>
      </c>
      <c r="AA906" s="1">
        <v>7.2066877380000003</v>
      </c>
      <c r="AB906" s="1">
        <v>7.2176516849999999</v>
      </c>
      <c r="AC906" s="1">
        <v>7.1835961460000002</v>
      </c>
      <c r="AD906" s="1">
        <v>7.2588873100000004</v>
      </c>
      <c r="AE906" s="1">
        <v>7.1249377129999996</v>
      </c>
    </row>
    <row r="907" spans="1:31" x14ac:dyDescent="0.25">
      <c r="A907" s="1" t="s">
        <v>2059</v>
      </c>
      <c r="B907" s="1" t="s">
        <v>2547</v>
      </c>
      <c r="C907" s="1" t="s">
        <v>2566</v>
      </c>
      <c r="D907" s="1" t="s">
        <v>2535</v>
      </c>
      <c r="E907" s="1" t="s">
        <v>4091</v>
      </c>
      <c r="F907" s="1" t="s">
        <v>4092</v>
      </c>
      <c r="G907" s="1" t="s">
        <v>2059</v>
      </c>
      <c r="H907" s="1">
        <v>3.9421380259999999</v>
      </c>
      <c r="I907" s="1">
        <v>1.7393328349999999</v>
      </c>
      <c r="J907" s="1">
        <v>1.7393328349999999</v>
      </c>
      <c r="K907" s="1">
        <v>3.22334677</v>
      </c>
      <c r="L907" s="1">
        <v>2.8704126319999999</v>
      </c>
      <c r="M907" s="1">
        <v>2.8639998100000001</v>
      </c>
      <c r="N907" s="1">
        <v>2.9782685729999998</v>
      </c>
      <c r="O907" s="1">
        <v>3.050193165</v>
      </c>
      <c r="P907" s="1">
        <v>2.8687501260000001</v>
      </c>
      <c r="Q907" s="1">
        <v>2.597100669</v>
      </c>
      <c r="R907" s="1">
        <v>2.9339002829999998</v>
      </c>
      <c r="S907" s="1">
        <v>3.1475403900000001</v>
      </c>
      <c r="T907" s="1">
        <v>2.8704126319999999</v>
      </c>
      <c r="U907" s="1">
        <v>2.8639998100000001</v>
      </c>
      <c r="V907" s="1">
        <v>2.5140266200000001</v>
      </c>
      <c r="W907" s="1">
        <v>3.0218530750000001</v>
      </c>
      <c r="X907" s="1">
        <v>2.6106888979999998</v>
      </c>
      <c r="Y907" s="1">
        <v>3.4382968329999999</v>
      </c>
      <c r="Z907" s="1">
        <v>2.9339002829999998</v>
      </c>
      <c r="AA907" s="1">
        <v>3.1475403900000001</v>
      </c>
      <c r="AB907" s="1">
        <v>2.73487305</v>
      </c>
      <c r="AC907" s="1">
        <v>2.5506926650000001</v>
      </c>
      <c r="AD907" s="1">
        <v>3.725077481</v>
      </c>
      <c r="AE907" s="1">
        <v>2.9592545700000001</v>
      </c>
    </row>
    <row r="908" spans="1:31" x14ac:dyDescent="0.25">
      <c r="A908" s="1" t="s">
        <v>2060</v>
      </c>
      <c r="B908" s="1" t="s">
        <v>2642</v>
      </c>
      <c r="C908" s="1" t="s">
        <v>2643</v>
      </c>
      <c r="D908" s="1" t="s">
        <v>2687</v>
      </c>
      <c r="E908" s="1" t="s">
        <v>3491</v>
      </c>
      <c r="F908" s="1" t="s">
        <v>3492</v>
      </c>
      <c r="G908" s="1" t="s">
        <v>2060</v>
      </c>
      <c r="H908" s="1">
        <v>2.640460343</v>
      </c>
      <c r="I908" s="1">
        <v>2.8927893610000002</v>
      </c>
      <c r="J908" s="1">
        <v>2.5640169199999998</v>
      </c>
      <c r="K908" s="1">
        <v>2.620638279</v>
      </c>
      <c r="L908" s="1">
        <v>2.8704126319999999</v>
      </c>
      <c r="M908" s="1">
        <v>2.3994532390000001</v>
      </c>
      <c r="N908" s="1">
        <v>2.372908427</v>
      </c>
      <c r="O908" s="1">
        <v>2.411448644</v>
      </c>
      <c r="P908" s="1">
        <v>1.7393328349999999</v>
      </c>
      <c r="Q908" s="1">
        <v>2.597100669</v>
      </c>
      <c r="R908" s="1">
        <v>2.595728008</v>
      </c>
      <c r="S908" s="1">
        <v>2.5733617299999998</v>
      </c>
      <c r="T908" s="1">
        <v>2.8704126319999999</v>
      </c>
      <c r="U908" s="1">
        <v>2.3994532390000001</v>
      </c>
      <c r="V908" s="1">
        <v>1.7393328349999999</v>
      </c>
      <c r="W908" s="1">
        <v>2.6606351240000001</v>
      </c>
      <c r="X908" s="1">
        <v>2.3600830049999999</v>
      </c>
      <c r="Y908" s="1">
        <v>1.7393328349999999</v>
      </c>
      <c r="Z908" s="1">
        <v>2.595728008</v>
      </c>
      <c r="AA908" s="1">
        <v>2.5733617299999998</v>
      </c>
      <c r="AB908" s="1">
        <v>1.7393328349999999</v>
      </c>
      <c r="AC908" s="1">
        <v>2.5506926650000001</v>
      </c>
      <c r="AD908" s="1">
        <v>1.7393328349999999</v>
      </c>
      <c r="AE908" s="1">
        <v>2.3627668220000002</v>
      </c>
    </row>
    <row r="909" spans="1:31" x14ac:dyDescent="0.25">
      <c r="A909" s="1" t="s">
        <v>2065</v>
      </c>
      <c r="B909" s="1" t="s">
        <v>2530</v>
      </c>
      <c r="C909" s="1" t="s">
        <v>2531</v>
      </c>
      <c r="D909" s="1" t="s">
        <v>2535</v>
      </c>
      <c r="E909" s="1" t="s">
        <v>2562</v>
      </c>
      <c r="G909" s="1" t="s">
        <v>2065</v>
      </c>
      <c r="H909" s="1">
        <v>1.7393328349999999</v>
      </c>
      <c r="I909" s="1">
        <v>2.8927893610000002</v>
      </c>
      <c r="J909" s="1">
        <v>3.1324899180000001</v>
      </c>
      <c r="K909" s="1">
        <v>2.9677134359999999</v>
      </c>
      <c r="L909" s="1">
        <v>2.9964092330000001</v>
      </c>
      <c r="M909" s="1">
        <v>2.665084539</v>
      </c>
      <c r="N909" s="1">
        <v>2.8201075470000001</v>
      </c>
      <c r="O909" s="1">
        <v>3.193511794</v>
      </c>
      <c r="P909" s="1">
        <v>2.8687501260000001</v>
      </c>
      <c r="Q909" s="1">
        <v>2.935765398</v>
      </c>
      <c r="R909" s="1">
        <v>2.9339002829999998</v>
      </c>
      <c r="S909" s="1">
        <v>2.9034795349999998</v>
      </c>
      <c r="T909" s="1">
        <v>2.9964092330000001</v>
      </c>
      <c r="U909" s="1">
        <v>2.665084539</v>
      </c>
      <c r="V909" s="1">
        <v>2.8225047829999999</v>
      </c>
      <c r="W909" s="1">
        <v>2.6606351240000001</v>
      </c>
      <c r="X909" s="1">
        <v>2.7988456519999998</v>
      </c>
      <c r="Y909" s="1">
        <v>2.624795792</v>
      </c>
      <c r="Z909" s="1">
        <v>2.9339002829999998</v>
      </c>
      <c r="AA909" s="1">
        <v>2.9034795349999998</v>
      </c>
      <c r="AB909" s="1">
        <v>3.404153038</v>
      </c>
      <c r="AC909" s="1">
        <v>1.7393328349999999</v>
      </c>
      <c r="AD909" s="1">
        <v>3.725077481</v>
      </c>
      <c r="AE909" s="1">
        <v>2.3627668220000002</v>
      </c>
    </row>
    <row r="910" spans="1:31" x14ac:dyDescent="0.25">
      <c r="A910" s="1" t="s">
        <v>2068</v>
      </c>
      <c r="B910" s="1" t="s">
        <v>2557</v>
      </c>
      <c r="C910" s="1" t="s">
        <v>2658</v>
      </c>
      <c r="D910" s="1" t="s">
        <v>4093</v>
      </c>
      <c r="E910" s="1" t="s">
        <v>4094</v>
      </c>
      <c r="G910" s="1" t="s">
        <v>2068</v>
      </c>
      <c r="H910" s="1">
        <v>4.5667504939999999</v>
      </c>
      <c r="I910" s="1">
        <v>4.2055918060000002</v>
      </c>
      <c r="J910" s="1">
        <v>5.0051223570000003</v>
      </c>
      <c r="K910" s="1">
        <v>4.5171444090000001</v>
      </c>
      <c r="L910" s="1">
        <v>5.2363096809999998</v>
      </c>
      <c r="M910" s="1">
        <v>5.2356861500000003</v>
      </c>
      <c r="N910" s="1">
        <v>5.0227480880000002</v>
      </c>
      <c r="O910" s="1">
        <v>4.8663619410000001</v>
      </c>
      <c r="P910" s="1">
        <v>5.0554269730000003</v>
      </c>
      <c r="Q910" s="1">
        <v>3.9718447549999998</v>
      </c>
      <c r="R910" s="1">
        <v>5.4182058560000002</v>
      </c>
      <c r="S910" s="1">
        <v>5.3512993040000003</v>
      </c>
      <c r="T910" s="1">
        <v>5.2363096809999998</v>
      </c>
      <c r="U910" s="1">
        <v>5.2356861500000003</v>
      </c>
      <c r="V910" s="1">
        <v>4.9055261469999998</v>
      </c>
      <c r="W910" s="1">
        <v>4.7760085830000003</v>
      </c>
      <c r="X910" s="1">
        <v>5.1128189019999999</v>
      </c>
      <c r="Y910" s="1">
        <v>5.2792112080000004</v>
      </c>
      <c r="Z910" s="1">
        <v>5.4182058560000002</v>
      </c>
      <c r="AA910" s="1">
        <v>5.3512993040000003</v>
      </c>
      <c r="AB910" s="1">
        <v>5.4746970709999996</v>
      </c>
      <c r="AC910" s="1">
        <v>4.8610120620000004</v>
      </c>
      <c r="AD910" s="1">
        <v>4.83054469</v>
      </c>
      <c r="AE910" s="1">
        <v>4.7973769099999997</v>
      </c>
    </row>
    <row r="911" spans="1:31" x14ac:dyDescent="0.25">
      <c r="A911" s="1" t="s">
        <v>2069</v>
      </c>
      <c r="B911" s="1" t="s">
        <v>2525</v>
      </c>
      <c r="C911" s="1" t="s">
        <v>3110</v>
      </c>
      <c r="D911" s="1" t="s">
        <v>4095</v>
      </c>
      <c r="E911" s="1" t="s">
        <v>4096</v>
      </c>
      <c r="F911" s="1" t="s">
        <v>4097</v>
      </c>
      <c r="G911" s="1" t="s">
        <v>2069</v>
      </c>
      <c r="H911" s="1">
        <v>6.6155784799999999</v>
      </c>
      <c r="I911" s="1">
        <v>6.7223161380000001</v>
      </c>
      <c r="J911" s="1">
        <v>5.8310524639999999</v>
      </c>
      <c r="K911" s="1">
        <v>5.5719358019999996</v>
      </c>
      <c r="L911" s="1">
        <v>6.2512732120000001</v>
      </c>
      <c r="M911" s="1">
        <v>5.868183685</v>
      </c>
      <c r="N911" s="1">
        <v>6.664596564</v>
      </c>
      <c r="O911" s="1">
        <v>6.6155634619999999</v>
      </c>
      <c r="P911" s="1">
        <v>6.1950446890000004</v>
      </c>
      <c r="Q911" s="1">
        <v>6.1972278550000004</v>
      </c>
      <c r="R911" s="1">
        <v>5.458747732</v>
      </c>
      <c r="S911" s="1">
        <v>5.8607892960000001</v>
      </c>
      <c r="T911" s="1">
        <v>6.2512732120000001</v>
      </c>
      <c r="U911" s="1">
        <v>5.868183685</v>
      </c>
      <c r="V911" s="1">
        <v>6.1009432270000001</v>
      </c>
      <c r="W911" s="1">
        <v>6.463427716</v>
      </c>
      <c r="X911" s="1">
        <v>5.6370967820000004</v>
      </c>
      <c r="Y911" s="1">
        <v>6.1314620050000004</v>
      </c>
      <c r="Z911" s="1">
        <v>5.458747732</v>
      </c>
      <c r="AA911" s="1">
        <v>5.8607892960000001</v>
      </c>
      <c r="AB911" s="1">
        <v>5.9325296429999996</v>
      </c>
      <c r="AC911" s="1">
        <v>6.0234746389999998</v>
      </c>
      <c r="AD911" s="1">
        <v>5.5571020090000003</v>
      </c>
      <c r="AE911" s="1">
        <v>5.6297370090000003</v>
      </c>
    </row>
    <row r="912" spans="1:31" x14ac:dyDescent="0.25">
      <c r="A912" s="1" t="s">
        <v>2072</v>
      </c>
      <c r="B912" s="1" t="s">
        <v>2667</v>
      </c>
      <c r="C912" s="1" t="s">
        <v>3441</v>
      </c>
      <c r="D912" s="1" t="s">
        <v>3299</v>
      </c>
      <c r="E912" s="1" t="s">
        <v>4098</v>
      </c>
      <c r="G912" s="1" t="s">
        <v>2072</v>
      </c>
      <c r="H912" s="1">
        <v>6.0081283179999998</v>
      </c>
      <c r="I912" s="1">
        <v>6.0959298439999996</v>
      </c>
      <c r="J912" s="1">
        <v>5.8592801899999998</v>
      </c>
      <c r="K912" s="1">
        <v>5.9783799200000001</v>
      </c>
      <c r="L912" s="1">
        <v>5.4123805689999998</v>
      </c>
      <c r="M912" s="1">
        <v>5.3157400949999998</v>
      </c>
      <c r="N912" s="1">
        <v>5.9261193419999998</v>
      </c>
      <c r="O912" s="1">
        <v>6.2598073259999998</v>
      </c>
      <c r="P912" s="1">
        <v>5.1467681949999999</v>
      </c>
      <c r="Q912" s="1">
        <v>5.5406489910000003</v>
      </c>
      <c r="R912" s="1">
        <v>5.7142579380000003</v>
      </c>
      <c r="S912" s="1">
        <v>5.4687741709999997</v>
      </c>
      <c r="T912" s="1">
        <v>5.4123805689999998</v>
      </c>
      <c r="U912" s="1">
        <v>5.3157400949999998</v>
      </c>
      <c r="V912" s="1">
        <v>6.258213456</v>
      </c>
      <c r="W912" s="1">
        <v>6.239290832</v>
      </c>
      <c r="X912" s="1">
        <v>5.6552604280000001</v>
      </c>
      <c r="Y912" s="1">
        <v>6.2836980430000002</v>
      </c>
      <c r="Z912" s="1">
        <v>5.7142579380000003</v>
      </c>
      <c r="AA912" s="1">
        <v>5.4687741709999997</v>
      </c>
      <c r="AB912" s="1">
        <v>5.4746970709999996</v>
      </c>
      <c r="AC912" s="1">
        <v>5.3610280289999999</v>
      </c>
      <c r="AD912" s="1">
        <v>5.9522696560000004</v>
      </c>
      <c r="AE912" s="1">
        <v>6.275323888</v>
      </c>
    </row>
    <row r="913" spans="1:31" x14ac:dyDescent="0.25">
      <c r="A913" s="1" t="s">
        <v>2073</v>
      </c>
      <c r="B913" s="1" t="s">
        <v>2530</v>
      </c>
      <c r="C913" s="1" t="s">
        <v>2531</v>
      </c>
      <c r="D913" s="1" t="s">
        <v>2535</v>
      </c>
      <c r="E913" s="1" t="s">
        <v>4099</v>
      </c>
      <c r="G913" s="1" t="s">
        <v>2073</v>
      </c>
      <c r="H913" s="1">
        <v>7.8869997930000002</v>
      </c>
      <c r="I913" s="1">
        <v>7.7987285310000001</v>
      </c>
      <c r="J913" s="1">
        <v>7.4022345749999996</v>
      </c>
      <c r="K913" s="1">
        <v>8.2517156380000003</v>
      </c>
      <c r="L913" s="1">
        <v>5.7971864540000002</v>
      </c>
      <c r="M913" s="1">
        <v>5.9201092089999996</v>
      </c>
      <c r="N913" s="1">
        <v>6.7979584500000003</v>
      </c>
      <c r="O913" s="1">
        <v>6.8180068279999997</v>
      </c>
      <c r="P913" s="1">
        <v>6.2975076100000003</v>
      </c>
      <c r="Q913" s="1">
        <v>6.5178682329999997</v>
      </c>
      <c r="R913" s="1">
        <v>6.3726832150000003</v>
      </c>
      <c r="S913" s="1">
        <v>6.4967339439999998</v>
      </c>
      <c r="T913" s="1">
        <v>5.7971864540000002</v>
      </c>
      <c r="U913" s="1">
        <v>5.9201092089999996</v>
      </c>
      <c r="V913" s="1">
        <v>6.2012354710000004</v>
      </c>
      <c r="W913" s="1">
        <v>6.6164205459999996</v>
      </c>
      <c r="X913" s="1">
        <v>6.9684093059999999</v>
      </c>
      <c r="Y913" s="1">
        <v>7.5267088309999997</v>
      </c>
      <c r="Z913" s="1">
        <v>6.3726832150000003</v>
      </c>
      <c r="AA913" s="1">
        <v>6.4967339439999998</v>
      </c>
      <c r="AB913" s="1">
        <v>6.6077920450000001</v>
      </c>
      <c r="AC913" s="1">
        <v>6.3069602739999997</v>
      </c>
      <c r="AD913" s="1">
        <v>7.8270295619999999</v>
      </c>
      <c r="AE913" s="1">
        <v>7.6003616379999999</v>
      </c>
    </row>
    <row r="914" spans="1:31" x14ac:dyDescent="0.25">
      <c r="A914" s="1" t="s">
        <v>2074</v>
      </c>
      <c r="B914" s="1" t="s">
        <v>2557</v>
      </c>
      <c r="C914" s="1" t="s">
        <v>2858</v>
      </c>
      <c r="D914" s="1" t="s">
        <v>4100</v>
      </c>
      <c r="E914" s="1" t="s">
        <v>4101</v>
      </c>
      <c r="F914" s="1" t="s">
        <v>4102</v>
      </c>
      <c r="G914" s="1" t="s">
        <v>2074</v>
      </c>
      <c r="H914" s="1">
        <v>7.8538123369999999</v>
      </c>
      <c r="I914" s="1">
        <v>8.2140270829999995</v>
      </c>
      <c r="J914" s="1">
        <v>6.9180153889999998</v>
      </c>
      <c r="K914" s="1">
        <v>7.1965733920000003</v>
      </c>
      <c r="L914" s="1">
        <v>6.951198378</v>
      </c>
      <c r="M914" s="1">
        <v>6.5221854410000004</v>
      </c>
      <c r="N914" s="1">
        <v>8.2620310410000002</v>
      </c>
      <c r="O914" s="1">
        <v>8.2479117419999994</v>
      </c>
      <c r="P914" s="1">
        <v>7.06192595</v>
      </c>
      <c r="Q914" s="1">
        <v>7.0286617009999999</v>
      </c>
      <c r="R914" s="1">
        <v>6.1441881260000004</v>
      </c>
      <c r="S914" s="1">
        <v>6.5149715439999998</v>
      </c>
      <c r="T914" s="1">
        <v>6.951198378</v>
      </c>
      <c r="U914" s="1">
        <v>6.5221854410000004</v>
      </c>
      <c r="V914" s="1">
        <v>6.8827702540000004</v>
      </c>
      <c r="W914" s="1">
        <v>6.8980132320000003</v>
      </c>
      <c r="X914" s="1">
        <v>6.5125064950000002</v>
      </c>
      <c r="Y914" s="1">
        <v>6.9006741439999999</v>
      </c>
      <c r="Z914" s="1">
        <v>6.1441881260000004</v>
      </c>
      <c r="AA914" s="1">
        <v>6.5149715439999998</v>
      </c>
      <c r="AB914" s="1">
        <v>6.5063200270000001</v>
      </c>
      <c r="AC914" s="1">
        <v>6.0234746389999998</v>
      </c>
      <c r="AD914" s="1">
        <v>6.3296964060000001</v>
      </c>
      <c r="AE914" s="1">
        <v>6.7952277360000002</v>
      </c>
    </row>
    <row r="915" spans="1:31" x14ac:dyDescent="0.25">
      <c r="A915" s="1" t="s">
        <v>2075</v>
      </c>
      <c r="B915" s="1" t="s">
        <v>2608</v>
      </c>
      <c r="C915" s="1" t="s">
        <v>2700</v>
      </c>
      <c r="D915" s="1" t="s">
        <v>3868</v>
      </c>
      <c r="E915" s="1" t="s">
        <v>4103</v>
      </c>
      <c r="F915" s="1" t="s">
        <v>4104</v>
      </c>
      <c r="G915" s="1" t="s">
        <v>2075</v>
      </c>
      <c r="H915" s="1">
        <v>9.9437696619999993</v>
      </c>
      <c r="I915" s="1">
        <v>9.8477581369999996</v>
      </c>
      <c r="J915" s="1">
        <v>9.5527006120000006</v>
      </c>
      <c r="K915" s="1">
        <v>9.6477834770000008</v>
      </c>
      <c r="L915" s="1">
        <v>9.7146695829999992</v>
      </c>
      <c r="M915" s="1">
        <v>9.7025089649999998</v>
      </c>
      <c r="N915" s="1">
        <v>10.04739958</v>
      </c>
      <c r="O915" s="1">
        <v>10.258410339999999</v>
      </c>
      <c r="P915" s="1">
        <v>9.4013180970000008</v>
      </c>
      <c r="Q915" s="1">
        <v>9.3244648919999999</v>
      </c>
      <c r="R915" s="1">
        <v>9.8399372540000005</v>
      </c>
      <c r="S915" s="1">
        <v>9.8272169900000002</v>
      </c>
      <c r="T915" s="1">
        <v>9.7146695829999992</v>
      </c>
      <c r="U915" s="1">
        <v>9.7025089649999998</v>
      </c>
      <c r="V915" s="1">
        <v>9.5977192779999996</v>
      </c>
      <c r="W915" s="1">
        <v>9.6278915170000001</v>
      </c>
      <c r="X915" s="1">
        <v>9.4401269229999993</v>
      </c>
      <c r="Y915" s="1">
        <v>9.5158487689999998</v>
      </c>
      <c r="Z915" s="1">
        <v>9.8399372540000005</v>
      </c>
      <c r="AA915" s="1">
        <v>9.8272169900000002</v>
      </c>
      <c r="AB915" s="1">
        <v>9.8732074809999997</v>
      </c>
      <c r="AC915" s="1">
        <v>9.7407039809999993</v>
      </c>
      <c r="AD915" s="1">
        <v>9.5084875619999991</v>
      </c>
      <c r="AE915" s="1">
        <v>9.5114104220000009</v>
      </c>
    </row>
    <row r="916" spans="1:31" x14ac:dyDescent="0.25">
      <c r="A916" s="1" t="s">
        <v>2078</v>
      </c>
      <c r="B916" s="1" t="s">
        <v>2547</v>
      </c>
      <c r="C916" s="1" t="s">
        <v>2566</v>
      </c>
      <c r="D916" s="1" t="s">
        <v>2535</v>
      </c>
      <c r="E916" s="1" t="s">
        <v>4105</v>
      </c>
      <c r="G916" s="1" t="s">
        <v>2078</v>
      </c>
      <c r="H916" s="1">
        <v>7.9274381160000003</v>
      </c>
      <c r="I916" s="1">
        <v>8.0521877550000003</v>
      </c>
      <c r="J916" s="1">
        <v>7.547676311</v>
      </c>
      <c r="K916" s="1">
        <v>7.685267369</v>
      </c>
      <c r="L916" s="1">
        <v>7.6853869870000002</v>
      </c>
      <c r="M916" s="1">
        <v>7.5270236820000003</v>
      </c>
      <c r="N916" s="1">
        <v>8.7261163620000008</v>
      </c>
      <c r="O916" s="1">
        <v>8.8923677829999992</v>
      </c>
      <c r="P916" s="1">
        <v>7.5083952590000003</v>
      </c>
      <c r="Q916" s="1">
        <v>7.2975843859999996</v>
      </c>
      <c r="R916" s="1">
        <v>6.9970160760000004</v>
      </c>
      <c r="S916" s="1">
        <v>7.2616787839999999</v>
      </c>
      <c r="T916" s="1">
        <v>7.6853869870000002</v>
      </c>
      <c r="U916" s="1">
        <v>7.5270236820000003</v>
      </c>
      <c r="V916" s="1">
        <v>7.22482136</v>
      </c>
      <c r="W916" s="1">
        <v>6.9808429480000003</v>
      </c>
      <c r="X916" s="1">
        <v>6.9756280310000003</v>
      </c>
      <c r="Y916" s="1">
        <v>6.931699879</v>
      </c>
      <c r="Z916" s="1">
        <v>6.9970160760000004</v>
      </c>
      <c r="AA916" s="1">
        <v>7.2616787839999999</v>
      </c>
      <c r="AB916" s="1">
        <v>7.2176516849999999</v>
      </c>
      <c r="AC916" s="1">
        <v>6.9248703330000003</v>
      </c>
      <c r="AD916" s="1">
        <v>7.1378851560000003</v>
      </c>
      <c r="AE916" s="1">
        <v>6.875292773</v>
      </c>
    </row>
    <row r="917" spans="1:31" x14ac:dyDescent="0.25">
      <c r="A917" s="1" t="s">
        <v>2079</v>
      </c>
      <c r="B917" s="1" t="s">
        <v>2667</v>
      </c>
      <c r="C917" s="1" t="s">
        <v>4077</v>
      </c>
      <c r="D917" s="1" t="s">
        <v>4078</v>
      </c>
      <c r="E917" s="1" t="s">
        <v>4106</v>
      </c>
      <c r="F917" s="1" t="s">
        <v>4107</v>
      </c>
      <c r="G917" s="1" t="s">
        <v>2079</v>
      </c>
      <c r="H917" s="1">
        <v>7.5462549440000002</v>
      </c>
      <c r="I917" s="1">
        <v>7.4636765299999999</v>
      </c>
      <c r="J917" s="1">
        <v>6.863459046</v>
      </c>
      <c r="K917" s="1">
        <v>6.9785336400000002</v>
      </c>
      <c r="L917" s="1">
        <v>7.2667289950000002</v>
      </c>
      <c r="M917" s="1">
        <v>7.0341933279999997</v>
      </c>
      <c r="N917" s="1">
        <v>7.9508890750000001</v>
      </c>
      <c r="O917" s="1">
        <v>8.0691800300000001</v>
      </c>
      <c r="P917" s="1">
        <v>6.9279548860000002</v>
      </c>
      <c r="Q917" s="1">
        <v>6.4790268769999999</v>
      </c>
      <c r="R917" s="1">
        <v>6.6061768719999998</v>
      </c>
      <c r="S917" s="1">
        <v>6.8236915869999999</v>
      </c>
      <c r="T917" s="1">
        <v>7.2667289950000002</v>
      </c>
      <c r="U917" s="1">
        <v>7.0341933279999997</v>
      </c>
      <c r="V917" s="1">
        <v>6.3658106080000003</v>
      </c>
      <c r="W917" s="1">
        <v>6.156075682</v>
      </c>
      <c r="X917" s="1">
        <v>6.3215937049999997</v>
      </c>
      <c r="Y917" s="1">
        <v>6.421343255</v>
      </c>
      <c r="Z917" s="1">
        <v>6.6061768719999998</v>
      </c>
      <c r="AA917" s="1">
        <v>6.8236915869999999</v>
      </c>
      <c r="AB917" s="1">
        <v>6.3094558689999998</v>
      </c>
      <c r="AC917" s="1">
        <v>6.8589740600000004</v>
      </c>
      <c r="AD917" s="1">
        <v>6.2145653230000004</v>
      </c>
      <c r="AE917" s="1">
        <v>6.3668783680000001</v>
      </c>
    </row>
    <row r="918" spans="1:31" x14ac:dyDescent="0.25">
      <c r="A918" s="1" t="s">
        <v>2080</v>
      </c>
      <c r="B918" s="1" t="s">
        <v>2843</v>
      </c>
      <c r="C918" s="1" t="s">
        <v>2903</v>
      </c>
      <c r="D918" s="1" t="s">
        <v>4108</v>
      </c>
      <c r="E918" s="1" t="s">
        <v>4109</v>
      </c>
      <c r="F918" s="1" t="s">
        <v>4110</v>
      </c>
      <c r="G918" s="1" t="s">
        <v>2080</v>
      </c>
      <c r="H918" s="1">
        <v>9.7249681700000004</v>
      </c>
      <c r="I918" s="1">
        <v>9.5385072940000004</v>
      </c>
      <c r="J918" s="1">
        <v>8.7866159659999994</v>
      </c>
      <c r="K918" s="1">
        <v>8.9172249380000004</v>
      </c>
      <c r="L918" s="1">
        <v>8.2713565389999992</v>
      </c>
      <c r="M918" s="1">
        <v>8.4104271389999994</v>
      </c>
      <c r="N918" s="1">
        <v>9.136613036</v>
      </c>
      <c r="O918" s="1">
        <v>9.2961636940000005</v>
      </c>
      <c r="P918" s="1">
        <v>8.5290675819999997</v>
      </c>
      <c r="Q918" s="1">
        <v>8.6843844719999996</v>
      </c>
      <c r="R918" s="1">
        <v>8.3773174640000008</v>
      </c>
      <c r="S918" s="1">
        <v>8.5636316180000005</v>
      </c>
      <c r="T918" s="1">
        <v>8.2713565389999992</v>
      </c>
      <c r="U918" s="1">
        <v>8.4104271389999994</v>
      </c>
      <c r="V918" s="1">
        <v>8.6406436089999996</v>
      </c>
      <c r="W918" s="1">
        <v>8.6424859109999996</v>
      </c>
      <c r="X918" s="1">
        <v>8.4768931349999992</v>
      </c>
      <c r="Y918" s="1">
        <v>8.5908733860000002</v>
      </c>
      <c r="Z918" s="1">
        <v>8.3773174640000008</v>
      </c>
      <c r="AA918" s="1">
        <v>8.5636316180000005</v>
      </c>
      <c r="AB918" s="1">
        <v>8.2017763959999996</v>
      </c>
      <c r="AC918" s="1">
        <v>8.3792515769999998</v>
      </c>
      <c r="AD918" s="1">
        <v>8.6509689900000009</v>
      </c>
      <c r="AE918" s="1">
        <v>8.5318862529999997</v>
      </c>
    </row>
    <row r="919" spans="1:31" x14ac:dyDescent="0.25">
      <c r="A919" s="1" t="s">
        <v>2082</v>
      </c>
      <c r="B919" s="1" t="s">
        <v>2530</v>
      </c>
      <c r="C919" s="1" t="s">
        <v>2573</v>
      </c>
      <c r="D919" s="1" t="s">
        <v>2535</v>
      </c>
      <c r="E919" s="1" t="s">
        <v>4111</v>
      </c>
      <c r="G919" s="1" t="s">
        <v>2082</v>
      </c>
      <c r="H919" s="1">
        <v>5.7062998909999996</v>
      </c>
      <c r="I919" s="1">
        <v>6.9096458590000003</v>
      </c>
      <c r="J919" s="1">
        <v>5.5131441250000002</v>
      </c>
      <c r="K919" s="1">
        <v>5.8870623049999997</v>
      </c>
      <c r="L919" s="1">
        <v>5.993912463</v>
      </c>
      <c r="M919" s="1">
        <v>6.0026802679999998</v>
      </c>
      <c r="N919" s="1">
        <v>6.7894418200000004</v>
      </c>
      <c r="O919" s="1">
        <v>6.4425402370000002</v>
      </c>
      <c r="P919" s="1">
        <v>5.8072178450000003</v>
      </c>
      <c r="Q919" s="1">
        <v>6.123526483</v>
      </c>
      <c r="R919" s="1">
        <v>5.0440296189999998</v>
      </c>
      <c r="S919" s="1">
        <v>5.8024660560000001</v>
      </c>
      <c r="T919" s="1">
        <v>5.993912463</v>
      </c>
      <c r="U919" s="1">
        <v>6.0026802679999998</v>
      </c>
      <c r="V919" s="1">
        <v>6.1215697740000001</v>
      </c>
      <c r="W919" s="1">
        <v>5.872872095</v>
      </c>
      <c r="X919" s="1">
        <v>5.2147349050000003</v>
      </c>
      <c r="Y919" s="1">
        <v>6.1314620050000004</v>
      </c>
      <c r="Z919" s="1">
        <v>5.0440296189999998</v>
      </c>
      <c r="AA919" s="1">
        <v>5.8024660560000001</v>
      </c>
      <c r="AB919" s="1">
        <v>5.4746970709999996</v>
      </c>
      <c r="AC919" s="1">
        <v>4.9145215069999999</v>
      </c>
      <c r="AD919" s="1">
        <v>5.396704357</v>
      </c>
      <c r="AE919" s="1">
        <v>5.820347505</v>
      </c>
    </row>
    <row r="920" spans="1:31" x14ac:dyDescent="0.25">
      <c r="A920" s="1" t="s">
        <v>2083</v>
      </c>
      <c r="B920" s="1" t="s">
        <v>2530</v>
      </c>
      <c r="C920" s="1" t="s">
        <v>2531</v>
      </c>
      <c r="D920" s="1" t="s">
        <v>2535</v>
      </c>
      <c r="E920" s="1" t="s">
        <v>2536</v>
      </c>
      <c r="G920" s="1" t="s">
        <v>2083</v>
      </c>
      <c r="H920" s="1">
        <v>4.7972697699999998</v>
      </c>
      <c r="I920" s="1">
        <v>4.7893724280000001</v>
      </c>
      <c r="J920" s="1">
        <v>5.3631085470000004</v>
      </c>
      <c r="K920" s="1">
        <v>5.4493056099999997</v>
      </c>
      <c r="L920" s="1">
        <v>5.082479009</v>
      </c>
      <c r="M920" s="1">
        <v>5.3667108829999997</v>
      </c>
      <c r="N920" s="1">
        <v>5.0517962220000001</v>
      </c>
      <c r="O920" s="1">
        <v>4.9384407589999997</v>
      </c>
      <c r="P920" s="1">
        <v>5.2736118430000003</v>
      </c>
      <c r="Q920" s="1">
        <v>5.4222740280000004</v>
      </c>
      <c r="R920" s="1">
        <v>5.0440296189999998</v>
      </c>
      <c r="S920" s="1">
        <v>5.3512993040000003</v>
      </c>
      <c r="T920" s="1">
        <v>5.082479009</v>
      </c>
      <c r="U920" s="1">
        <v>5.3667108829999997</v>
      </c>
      <c r="V920" s="1">
        <v>5.0428039150000004</v>
      </c>
      <c r="W920" s="1">
        <v>5.3792812999999997</v>
      </c>
      <c r="X920" s="1">
        <v>5.2866392680000001</v>
      </c>
      <c r="Y920" s="1">
        <v>5.0702808140000002</v>
      </c>
      <c r="Z920" s="1">
        <v>5.0440296189999998</v>
      </c>
      <c r="AA920" s="1">
        <v>5.3512993040000003</v>
      </c>
      <c r="AB920" s="1">
        <v>5.0356743460000004</v>
      </c>
      <c r="AC920" s="1">
        <v>5.0638423939999999</v>
      </c>
      <c r="AD920" s="1">
        <v>5.4385263000000004</v>
      </c>
      <c r="AE920" s="1">
        <v>5.1232419389999997</v>
      </c>
    </row>
    <row r="921" spans="1:31" x14ac:dyDescent="0.25">
      <c r="A921" s="1" t="s">
        <v>2085</v>
      </c>
      <c r="B921" s="1" t="s">
        <v>2598</v>
      </c>
      <c r="C921" s="1" t="s">
        <v>2603</v>
      </c>
      <c r="D921" s="1" t="s">
        <v>3011</v>
      </c>
      <c r="E921" s="1" t="s">
        <v>4112</v>
      </c>
      <c r="F921" s="1" t="s">
        <v>4113</v>
      </c>
      <c r="G921" s="1" t="s">
        <v>2085</v>
      </c>
      <c r="H921" s="1">
        <v>7.2213707080000002</v>
      </c>
      <c r="I921" s="1">
        <v>7.8347353530000001</v>
      </c>
      <c r="J921" s="1">
        <v>8.2087790379999994</v>
      </c>
      <c r="K921" s="1">
        <v>8.1045282650000008</v>
      </c>
      <c r="L921" s="1">
        <v>8.5480881909999997</v>
      </c>
      <c r="M921" s="1">
        <v>8.6205724410000002</v>
      </c>
      <c r="N921" s="1">
        <v>7.3943338949999999</v>
      </c>
      <c r="O921" s="1">
        <v>7.1757189309999996</v>
      </c>
      <c r="P921" s="1">
        <v>8.1406060999999994</v>
      </c>
      <c r="Q921" s="1">
        <v>8.4834618909999993</v>
      </c>
      <c r="R921" s="1">
        <v>8.0146705170000008</v>
      </c>
      <c r="S921" s="1">
        <v>8.1453243939999993</v>
      </c>
      <c r="T921" s="1">
        <v>8.5480881909999997</v>
      </c>
      <c r="U921" s="1">
        <v>8.6205724410000002</v>
      </c>
      <c r="V921" s="1">
        <v>8.1179547559999996</v>
      </c>
      <c r="W921" s="1">
        <v>8.1786496589999995</v>
      </c>
      <c r="X921" s="1">
        <v>7.9486545450000001</v>
      </c>
      <c r="Y921" s="1">
        <v>8.0491811109999993</v>
      </c>
      <c r="Z921" s="1">
        <v>8.0146705170000008</v>
      </c>
      <c r="AA921" s="1">
        <v>8.1453243939999993</v>
      </c>
      <c r="AB921" s="1">
        <v>8.0835877790000001</v>
      </c>
      <c r="AC921" s="1">
        <v>8.0656267770000003</v>
      </c>
      <c r="AD921" s="1">
        <v>8.1484091729999992</v>
      </c>
      <c r="AE921" s="1">
        <v>7.8021743209999999</v>
      </c>
    </row>
    <row r="922" spans="1:31" x14ac:dyDescent="0.25">
      <c r="A922" s="1" t="s">
        <v>2086</v>
      </c>
      <c r="B922" s="1" t="s">
        <v>2579</v>
      </c>
      <c r="C922" s="1" t="s">
        <v>2933</v>
      </c>
      <c r="D922" s="1" t="s">
        <v>3279</v>
      </c>
      <c r="E922" s="1" t="s">
        <v>4114</v>
      </c>
      <c r="F922" s="1" t="s">
        <v>4115</v>
      </c>
      <c r="G922" s="1" t="s">
        <v>2086</v>
      </c>
      <c r="H922" s="1">
        <v>6.0961014899999997</v>
      </c>
      <c r="I922" s="1">
        <v>5.9189259930000002</v>
      </c>
      <c r="J922" s="1">
        <v>6.5716853950000003</v>
      </c>
      <c r="K922" s="1">
        <v>6.5339269729999998</v>
      </c>
      <c r="L922" s="1">
        <v>6.7630564729999998</v>
      </c>
      <c r="M922" s="1">
        <v>6.8944446109999999</v>
      </c>
      <c r="N922" s="1">
        <v>5.4502346690000003</v>
      </c>
      <c r="O922" s="1">
        <v>5.4612405070000003</v>
      </c>
      <c r="P922" s="1">
        <v>6.9279548860000002</v>
      </c>
      <c r="Q922" s="1">
        <v>6.4187248529999996</v>
      </c>
      <c r="R922" s="1">
        <v>6.9693685500000004</v>
      </c>
      <c r="S922" s="1">
        <v>6.9761954739999998</v>
      </c>
      <c r="T922" s="1">
        <v>6.7630564729999998</v>
      </c>
      <c r="U922" s="1">
        <v>6.8944446109999999</v>
      </c>
      <c r="V922" s="1">
        <v>6.481941097</v>
      </c>
      <c r="W922" s="1">
        <v>6.595535302</v>
      </c>
      <c r="X922" s="1">
        <v>6.5613315610000003</v>
      </c>
      <c r="Y922" s="1">
        <v>6.2095953220000002</v>
      </c>
      <c r="Z922" s="1">
        <v>6.9693685500000004</v>
      </c>
      <c r="AA922" s="1">
        <v>6.9761954739999998</v>
      </c>
      <c r="AB922" s="1">
        <v>6.6077920450000001</v>
      </c>
      <c r="AC922" s="1">
        <v>6.8589740600000004</v>
      </c>
      <c r="AD922" s="1">
        <v>6.0361091350000002</v>
      </c>
      <c r="AE922" s="1">
        <v>5.9145294059999998</v>
      </c>
    </row>
    <row r="923" spans="1:31" x14ac:dyDescent="0.25">
      <c r="A923" s="1" t="s">
        <v>2087</v>
      </c>
      <c r="B923" s="1" t="s">
        <v>2530</v>
      </c>
      <c r="C923" s="1" t="s">
        <v>2531</v>
      </c>
      <c r="D923" s="1" t="s">
        <v>2535</v>
      </c>
      <c r="E923" s="1" t="s">
        <v>4116</v>
      </c>
      <c r="G923" s="1" t="s">
        <v>2087</v>
      </c>
      <c r="H923" s="1">
        <v>7.1410877929999996</v>
      </c>
      <c r="I923" s="1">
        <v>8.5140579859999992</v>
      </c>
      <c r="J923" s="1">
        <v>6.6218704260000001</v>
      </c>
      <c r="K923" s="1">
        <v>6.3863668120000003</v>
      </c>
      <c r="L923" s="1">
        <v>7.1453732690000002</v>
      </c>
      <c r="M923" s="1">
        <v>6.8145785730000004</v>
      </c>
      <c r="N923" s="1">
        <v>7.1765990879999997</v>
      </c>
      <c r="O923" s="1">
        <v>6.7893960399999997</v>
      </c>
      <c r="P923" s="1">
        <v>6.8220475609999998</v>
      </c>
      <c r="Q923" s="1">
        <v>6.5925403830000002</v>
      </c>
      <c r="R923" s="1">
        <v>6.7913170000000003</v>
      </c>
      <c r="S923" s="1">
        <v>6.9892911179999997</v>
      </c>
      <c r="T923" s="1">
        <v>7.1453732690000002</v>
      </c>
      <c r="U923" s="1">
        <v>6.8145785730000004</v>
      </c>
      <c r="V923" s="1">
        <v>7.3781289599999997</v>
      </c>
      <c r="W923" s="1">
        <v>6.7165296740000002</v>
      </c>
      <c r="X923" s="1">
        <v>6.9899578670000002</v>
      </c>
      <c r="Y923" s="1">
        <v>7.6715271349999998</v>
      </c>
      <c r="Z923" s="1">
        <v>6.7913170000000003</v>
      </c>
      <c r="AA923" s="1">
        <v>6.9892911179999997</v>
      </c>
      <c r="AB923" s="1">
        <v>6.8954646989999997</v>
      </c>
      <c r="AC923" s="1">
        <v>6.7173824599999996</v>
      </c>
      <c r="AD923" s="1">
        <v>7.0331906609999999</v>
      </c>
      <c r="AE923" s="1">
        <v>6.6661093170000001</v>
      </c>
    </row>
    <row r="924" spans="1:31" x14ac:dyDescent="0.25">
      <c r="A924" s="1" t="s">
        <v>2093</v>
      </c>
      <c r="B924" s="1" t="s">
        <v>2530</v>
      </c>
      <c r="C924" s="1" t="s">
        <v>2573</v>
      </c>
      <c r="D924" s="1" t="s">
        <v>2535</v>
      </c>
      <c r="E924" s="1" t="s">
        <v>4117</v>
      </c>
      <c r="G924" s="1" t="s">
        <v>2093</v>
      </c>
      <c r="H924" s="1">
        <v>4.3886087140000001</v>
      </c>
      <c r="I924" s="1">
        <v>4.7893724280000001</v>
      </c>
      <c r="J924" s="1">
        <v>3.8969924050000002</v>
      </c>
      <c r="K924" s="1">
        <v>4.1384138449999996</v>
      </c>
      <c r="L924" s="1">
        <v>3.4685048369999998</v>
      </c>
      <c r="M924" s="1">
        <v>4.1225413939999997</v>
      </c>
      <c r="N924" s="1">
        <v>4.4061149080000002</v>
      </c>
      <c r="O924" s="1">
        <v>3.9591193910000002</v>
      </c>
      <c r="P924" s="1">
        <v>3.7419514989999998</v>
      </c>
      <c r="Q924" s="1">
        <v>3.388910638</v>
      </c>
      <c r="R924" s="1">
        <v>3.386455024</v>
      </c>
      <c r="S924" s="1">
        <v>3.1475403900000001</v>
      </c>
      <c r="T924" s="1">
        <v>3.4685048369999998</v>
      </c>
      <c r="U924" s="1">
        <v>4.1225413939999997</v>
      </c>
      <c r="V924" s="1">
        <v>3.2389700330000002</v>
      </c>
      <c r="W924" s="1">
        <v>3.50175473</v>
      </c>
      <c r="X924" s="1">
        <v>3.8785046219999999</v>
      </c>
      <c r="Y924" s="1">
        <v>4.1479647589999997</v>
      </c>
      <c r="Z924" s="1">
        <v>3.386455024</v>
      </c>
      <c r="AA924" s="1">
        <v>3.1475403900000001</v>
      </c>
      <c r="AB924" s="1">
        <v>4.2729702720000002</v>
      </c>
      <c r="AC924" s="1">
        <v>4.0753403910000001</v>
      </c>
      <c r="AD924" s="1">
        <v>2.9432342459999998</v>
      </c>
      <c r="AE924" s="1">
        <v>2.803297787</v>
      </c>
    </row>
    <row r="925" spans="1:31" x14ac:dyDescent="0.25">
      <c r="A925" s="1" t="s">
        <v>2096</v>
      </c>
      <c r="B925" s="1" t="s">
        <v>2530</v>
      </c>
      <c r="C925" s="1" t="s">
        <v>2531</v>
      </c>
      <c r="D925" s="1" t="s">
        <v>2535</v>
      </c>
      <c r="E925" s="1" t="s">
        <v>4118</v>
      </c>
      <c r="G925" s="1" t="s">
        <v>2096</v>
      </c>
      <c r="H925" s="1">
        <v>9.0091597149999991</v>
      </c>
      <c r="I925" s="1">
        <v>8.608587108</v>
      </c>
      <c r="J925" s="1">
        <v>8.6116043130000008</v>
      </c>
      <c r="K925" s="1">
        <v>8.2577865960000008</v>
      </c>
      <c r="L925" s="1">
        <v>8.1504547009999992</v>
      </c>
      <c r="M925" s="1">
        <v>8.3169743740000008</v>
      </c>
      <c r="N925" s="1">
        <v>7.3773941169999997</v>
      </c>
      <c r="O925" s="1">
        <v>7.2615137970000001</v>
      </c>
      <c r="P925" s="1">
        <v>8.8650921559999993</v>
      </c>
      <c r="Q925" s="1">
        <v>8.4686872359999992</v>
      </c>
      <c r="R925" s="1">
        <v>8.8216696219999999</v>
      </c>
      <c r="S925" s="1">
        <v>8.7051974269999999</v>
      </c>
      <c r="T925" s="1">
        <v>8.1504547009999992</v>
      </c>
      <c r="U925" s="1">
        <v>8.3169743740000008</v>
      </c>
      <c r="V925" s="1">
        <v>8.7203867590000002</v>
      </c>
      <c r="W925" s="1">
        <v>8.7071241950000005</v>
      </c>
      <c r="X925" s="1">
        <v>8.5798916700000003</v>
      </c>
      <c r="Y925" s="1">
        <v>8.666547714</v>
      </c>
      <c r="Z925" s="1">
        <v>8.8216696219999999</v>
      </c>
      <c r="AA925" s="1">
        <v>8.7051974269999999</v>
      </c>
      <c r="AB925" s="1">
        <v>8.7316710050000008</v>
      </c>
      <c r="AC925" s="1">
        <v>8.3979215800000002</v>
      </c>
      <c r="AD925" s="1">
        <v>8.3633002100000002</v>
      </c>
      <c r="AE925" s="1">
        <v>8.5875721449999993</v>
      </c>
    </row>
    <row r="926" spans="1:31" x14ac:dyDescent="0.25">
      <c r="A926" s="1" t="s">
        <v>2098</v>
      </c>
      <c r="B926" s="1" t="s">
        <v>2598</v>
      </c>
      <c r="C926" s="1" t="s">
        <v>2603</v>
      </c>
      <c r="D926" s="1" t="s">
        <v>3011</v>
      </c>
      <c r="E926" s="1" t="s">
        <v>4112</v>
      </c>
      <c r="F926" s="1" t="s">
        <v>4113</v>
      </c>
      <c r="G926" s="1" t="s">
        <v>2098</v>
      </c>
      <c r="H926" s="1">
        <v>5.3232649629999997</v>
      </c>
      <c r="I926" s="1">
        <v>4.4542943209999999</v>
      </c>
      <c r="J926" s="1">
        <v>5.4400990890000003</v>
      </c>
      <c r="K926" s="1">
        <v>5.7554847420000002</v>
      </c>
      <c r="L926" s="1">
        <v>6.1884529439999998</v>
      </c>
      <c r="M926" s="1">
        <v>5.8857020010000003</v>
      </c>
      <c r="N926" s="1">
        <v>5.0802595029999997</v>
      </c>
      <c r="O926" s="1">
        <v>5.2800788330000001</v>
      </c>
      <c r="P926" s="1">
        <v>5.9898979399999996</v>
      </c>
      <c r="Q926" s="1">
        <v>5.9352426600000001</v>
      </c>
      <c r="R926" s="1">
        <v>6.1687435319999997</v>
      </c>
      <c r="S926" s="1">
        <v>5.9969908790000002</v>
      </c>
      <c r="T926" s="1">
        <v>6.1884529439999998</v>
      </c>
      <c r="U926" s="1">
        <v>5.8857020010000003</v>
      </c>
      <c r="V926" s="1">
        <v>5.6392772100000004</v>
      </c>
      <c r="W926" s="1">
        <v>5.8015499779999997</v>
      </c>
      <c r="X926" s="1">
        <v>5.9183192990000002</v>
      </c>
      <c r="Y926" s="1">
        <v>5.8019430659999998</v>
      </c>
      <c r="Z926" s="1">
        <v>6.1687435319999997</v>
      </c>
      <c r="AA926" s="1">
        <v>5.9969908790000002</v>
      </c>
      <c r="AB926" s="1">
        <v>6.2789960090000001</v>
      </c>
      <c r="AC926" s="1">
        <v>5.9744301399999999</v>
      </c>
      <c r="AD926" s="1">
        <v>5.4791562909999998</v>
      </c>
      <c r="AE926" s="1">
        <v>5.7875258069999997</v>
      </c>
    </row>
    <row r="927" spans="1:31" x14ac:dyDescent="0.25">
      <c r="A927" s="1" t="s">
        <v>2099</v>
      </c>
      <c r="B927" s="1" t="s">
        <v>2530</v>
      </c>
      <c r="C927" s="1" t="s">
        <v>2531</v>
      </c>
      <c r="D927" s="1" t="s">
        <v>2535</v>
      </c>
      <c r="E927" s="1" t="s">
        <v>2536</v>
      </c>
      <c r="G927" s="1" t="s">
        <v>2099</v>
      </c>
      <c r="H927" s="1">
        <v>3.9421380259999999</v>
      </c>
      <c r="I927" s="1">
        <v>4.3763156859999999</v>
      </c>
      <c r="J927" s="1">
        <v>3.8969924050000002</v>
      </c>
      <c r="K927" s="1">
        <v>4.0244910950000001</v>
      </c>
      <c r="L927" s="1">
        <v>4.5190290319999997</v>
      </c>
      <c r="M927" s="1">
        <v>4.239619416</v>
      </c>
      <c r="N927" s="1">
        <v>3.5368298970000001</v>
      </c>
      <c r="O927" s="1">
        <v>4.4862678239999996</v>
      </c>
      <c r="P927" s="1">
        <v>3.86011382</v>
      </c>
      <c r="Q927" s="1">
        <v>3.9718447549999998</v>
      </c>
      <c r="R927" s="1">
        <v>3.7109484589999999</v>
      </c>
      <c r="S927" s="1">
        <v>3.7977317990000001</v>
      </c>
      <c r="T927" s="1">
        <v>4.5190290319999997</v>
      </c>
      <c r="U927" s="1">
        <v>4.239619416</v>
      </c>
      <c r="V927" s="1">
        <v>4.3163797720000003</v>
      </c>
      <c r="W927" s="1">
        <v>4.2295768090000001</v>
      </c>
      <c r="X927" s="1">
        <v>4.1154863700000002</v>
      </c>
      <c r="Y927" s="1">
        <v>3.6154848500000001</v>
      </c>
      <c r="Z927" s="1">
        <v>3.7109484589999999</v>
      </c>
      <c r="AA927" s="1">
        <v>3.7977317990000001</v>
      </c>
      <c r="AB927" s="1">
        <v>3.6315729079999999</v>
      </c>
      <c r="AC927" s="1">
        <v>4.6238605430000002</v>
      </c>
      <c r="AD927" s="1">
        <v>3.984188064</v>
      </c>
      <c r="AE927" s="1">
        <v>3.8864783150000002</v>
      </c>
    </row>
    <row r="928" spans="1:31" x14ac:dyDescent="0.25">
      <c r="A928" s="1" t="s">
        <v>2100</v>
      </c>
      <c r="B928" s="1" t="s">
        <v>2530</v>
      </c>
      <c r="C928" s="1" t="s">
        <v>2531</v>
      </c>
      <c r="D928" s="1" t="s">
        <v>2535</v>
      </c>
      <c r="E928" s="1" t="s">
        <v>2536</v>
      </c>
      <c r="G928" s="1" t="s">
        <v>2100</v>
      </c>
      <c r="H928" s="1">
        <v>4.2900513550000001</v>
      </c>
      <c r="I928" s="1">
        <v>3.9003964459999998</v>
      </c>
      <c r="J928" s="1">
        <v>5.3229940280000001</v>
      </c>
      <c r="K928" s="1">
        <v>5.7206107949999998</v>
      </c>
      <c r="L928" s="1">
        <v>5.7251137559999998</v>
      </c>
      <c r="M928" s="1">
        <v>5.9030088159999998</v>
      </c>
      <c r="N928" s="1">
        <v>4.9318354150000001</v>
      </c>
      <c r="O928" s="1">
        <v>4.7507950320000001</v>
      </c>
      <c r="P928" s="1">
        <v>5.5977847030000003</v>
      </c>
      <c r="Q928" s="1">
        <v>5.6144419360000004</v>
      </c>
      <c r="R928" s="1">
        <v>5.57388789</v>
      </c>
      <c r="S928" s="1">
        <v>5.710270789</v>
      </c>
      <c r="T928" s="1">
        <v>5.7251137559999998</v>
      </c>
      <c r="U928" s="1">
        <v>5.9030088159999998</v>
      </c>
      <c r="V928" s="1">
        <v>5.0857495259999999</v>
      </c>
      <c r="W928" s="1">
        <v>4.8493412630000003</v>
      </c>
      <c r="X928" s="1">
        <v>5.9626863439999997</v>
      </c>
      <c r="Y928" s="1">
        <v>5.3269702959999998</v>
      </c>
      <c r="Z928" s="1">
        <v>5.57388789</v>
      </c>
      <c r="AA928" s="1">
        <v>5.710270789</v>
      </c>
      <c r="AB928" s="1">
        <v>5.4746970709999996</v>
      </c>
      <c r="AC928" s="1">
        <v>6.2044385320000002</v>
      </c>
      <c r="AD928" s="1">
        <v>5.2633210659999996</v>
      </c>
      <c r="AE928" s="1">
        <v>5.1494525009999998</v>
      </c>
    </row>
    <row r="929" spans="1:31" x14ac:dyDescent="0.25">
      <c r="A929" s="1" t="s">
        <v>2106</v>
      </c>
      <c r="B929" s="1" t="s">
        <v>2530</v>
      </c>
      <c r="C929" s="1" t="s">
        <v>2531</v>
      </c>
      <c r="D929" s="1" t="s">
        <v>2535</v>
      </c>
      <c r="E929" s="1" t="s">
        <v>2536</v>
      </c>
      <c r="G929" s="1" t="s">
        <v>2106</v>
      </c>
      <c r="H929" s="1">
        <v>3.9421380259999999</v>
      </c>
      <c r="I929" s="1">
        <v>3.7806045529999999</v>
      </c>
      <c r="J929" s="1">
        <v>3.4977151119999998</v>
      </c>
      <c r="K929" s="1">
        <v>1.7393328349999999</v>
      </c>
      <c r="L929" s="1">
        <v>3.2097511390000002</v>
      </c>
      <c r="M929" s="1">
        <v>3.2940962960000002</v>
      </c>
      <c r="N929" s="1">
        <v>3.7025667929999999</v>
      </c>
      <c r="O929" s="1">
        <v>3.6346882059999999</v>
      </c>
      <c r="P929" s="1">
        <v>3.6116823170000001</v>
      </c>
      <c r="Q929" s="1">
        <v>3.185675432</v>
      </c>
      <c r="R929" s="1">
        <v>3.968758995</v>
      </c>
      <c r="S929" s="1">
        <v>3.9182367880000002</v>
      </c>
      <c r="T929" s="1">
        <v>3.2097511390000002</v>
      </c>
      <c r="U929" s="1">
        <v>3.2940962960000002</v>
      </c>
      <c r="V929" s="1">
        <v>3.3993802240000002</v>
      </c>
      <c r="W929" s="1">
        <v>3.0218530750000001</v>
      </c>
      <c r="X929" s="1">
        <v>3.2074401739999998</v>
      </c>
      <c r="Y929" s="1">
        <v>4.2532353330000001</v>
      </c>
      <c r="Z929" s="1">
        <v>3.968758995</v>
      </c>
      <c r="AA929" s="1">
        <v>3.9182367880000002</v>
      </c>
      <c r="AB929" s="1">
        <v>3.1218319999999999</v>
      </c>
      <c r="AC929" s="1">
        <v>3.7481372300000002</v>
      </c>
      <c r="AD929" s="1">
        <v>3.5727029510000001</v>
      </c>
      <c r="AE929" s="1">
        <v>3.213378847</v>
      </c>
    </row>
    <row r="930" spans="1:31" x14ac:dyDescent="0.25">
      <c r="A930" s="1" t="s">
        <v>2107</v>
      </c>
      <c r="B930" s="1" t="s">
        <v>2568</v>
      </c>
      <c r="C930" s="1" t="s">
        <v>2569</v>
      </c>
      <c r="D930" s="1" t="s">
        <v>2949</v>
      </c>
      <c r="E930" s="1" t="s">
        <v>4119</v>
      </c>
      <c r="F930" s="1" t="s">
        <v>4120</v>
      </c>
      <c r="G930" s="1" t="s">
        <v>2107</v>
      </c>
      <c r="H930" s="1">
        <v>4.183793842</v>
      </c>
      <c r="I930" s="1">
        <v>3.7806045529999999</v>
      </c>
      <c r="J930" s="1">
        <v>4.0065844400000001</v>
      </c>
      <c r="K930" s="1">
        <v>4.8139921829999999</v>
      </c>
      <c r="L930" s="1">
        <v>4.713054648</v>
      </c>
      <c r="M930" s="1">
        <v>4.3473799800000004</v>
      </c>
      <c r="N930" s="1">
        <v>4.3116130799999999</v>
      </c>
      <c r="O930" s="1">
        <v>4.0289865369999998</v>
      </c>
      <c r="P930" s="1">
        <v>4.6791060150000003</v>
      </c>
      <c r="Q930" s="1">
        <v>4.5369064569999997</v>
      </c>
      <c r="R930" s="1">
        <v>4.8735636449999999</v>
      </c>
      <c r="S930" s="1">
        <v>4.8699614389999999</v>
      </c>
      <c r="T930" s="1">
        <v>4.713054648</v>
      </c>
      <c r="U930" s="1">
        <v>4.3473799800000004</v>
      </c>
      <c r="V930" s="1">
        <v>4.5207607210000003</v>
      </c>
      <c r="W930" s="1">
        <v>3.6840067150000002</v>
      </c>
      <c r="X930" s="1">
        <v>4.2691515329999996</v>
      </c>
      <c r="Y930" s="1">
        <v>4.2532353330000001</v>
      </c>
      <c r="Z930" s="1">
        <v>4.8735636449999999</v>
      </c>
      <c r="AA930" s="1">
        <v>4.8699614389999999</v>
      </c>
      <c r="AB930" s="1">
        <v>4.139369361</v>
      </c>
      <c r="AC930" s="1">
        <v>4.4881955270000002</v>
      </c>
      <c r="AD930" s="1">
        <v>4.0967699450000001</v>
      </c>
      <c r="AE930" s="1">
        <v>4.7290680490000003</v>
      </c>
    </row>
    <row r="931" spans="1:31" x14ac:dyDescent="0.25">
      <c r="A931" s="1" t="s">
        <v>2109</v>
      </c>
      <c r="B931" s="1" t="s">
        <v>2525</v>
      </c>
      <c r="C931" s="1" t="s">
        <v>2526</v>
      </c>
      <c r="D931" s="1" t="s">
        <v>3206</v>
      </c>
      <c r="E931" s="1" t="s">
        <v>4121</v>
      </c>
      <c r="F931" s="1" t="s">
        <v>4122</v>
      </c>
      <c r="G931" s="1" t="s">
        <v>2109</v>
      </c>
      <c r="H931" s="1">
        <v>6.3073323200000004</v>
      </c>
      <c r="I931" s="1">
        <v>6.1427370300000002</v>
      </c>
      <c r="J931" s="1">
        <v>5.6488969620000002</v>
      </c>
      <c r="K931" s="1">
        <v>5.8552832600000002</v>
      </c>
      <c r="L931" s="1">
        <v>5.8791437640000002</v>
      </c>
      <c r="M931" s="1">
        <v>5.7958869929999999</v>
      </c>
      <c r="N931" s="1">
        <v>5.9569306830000004</v>
      </c>
      <c r="O931" s="1">
        <v>6.1134152940000002</v>
      </c>
      <c r="P931" s="1">
        <v>5.3522904530000002</v>
      </c>
      <c r="Q931" s="1">
        <v>5.6846114249999999</v>
      </c>
      <c r="R931" s="1">
        <v>5.9309793060000002</v>
      </c>
      <c r="S931" s="1">
        <v>5.7416668729999998</v>
      </c>
      <c r="T931" s="1">
        <v>5.8791437640000002</v>
      </c>
      <c r="U931" s="1">
        <v>5.7958869929999999</v>
      </c>
      <c r="V931" s="1">
        <v>5.695500268</v>
      </c>
      <c r="W931" s="1">
        <v>5.5634106699999997</v>
      </c>
      <c r="X931" s="1">
        <v>6.21570512</v>
      </c>
      <c r="Y931" s="1">
        <v>6.2347231909999996</v>
      </c>
      <c r="Z931" s="1">
        <v>5.9309793060000002</v>
      </c>
      <c r="AA931" s="1">
        <v>5.7416668729999998</v>
      </c>
      <c r="AB931" s="1">
        <v>6.2789960090000001</v>
      </c>
      <c r="AC931" s="1">
        <v>5.8975684140000002</v>
      </c>
      <c r="AD931" s="1">
        <v>5.7012900599999998</v>
      </c>
      <c r="AE931" s="1">
        <v>6.5921984570000003</v>
      </c>
    </row>
    <row r="932" spans="1:31" x14ac:dyDescent="0.25">
      <c r="A932" s="1" t="s">
        <v>2110</v>
      </c>
      <c r="B932" s="1" t="s">
        <v>2530</v>
      </c>
      <c r="C932" s="1" t="s">
        <v>2531</v>
      </c>
      <c r="D932" s="1" t="s">
        <v>2535</v>
      </c>
      <c r="E932" s="1" t="s">
        <v>2536</v>
      </c>
      <c r="G932" s="1" t="s">
        <v>2110</v>
      </c>
      <c r="H932" s="1">
        <v>4.4805534380000003</v>
      </c>
      <c r="I932" s="1">
        <v>4.0101074990000001</v>
      </c>
      <c r="J932" s="1">
        <v>4.2898244959999996</v>
      </c>
      <c r="K932" s="1">
        <v>4.6734567340000002</v>
      </c>
      <c r="L932" s="1">
        <v>4.0223143549999998</v>
      </c>
      <c r="M932" s="1">
        <v>3.169085575</v>
      </c>
      <c r="N932" s="1">
        <v>4.0417975630000003</v>
      </c>
      <c r="O932" s="1">
        <v>3.193511794</v>
      </c>
      <c r="P932" s="1">
        <v>4.161525224</v>
      </c>
      <c r="Q932" s="1">
        <v>3.7137735799999998</v>
      </c>
      <c r="R932" s="1">
        <v>4.2802026870000001</v>
      </c>
      <c r="S932" s="1">
        <v>3.6647387380000001</v>
      </c>
      <c r="T932" s="1">
        <v>4.0223143549999998</v>
      </c>
      <c r="U932" s="1">
        <v>3.169085575</v>
      </c>
      <c r="V932" s="1">
        <v>3.2389700330000002</v>
      </c>
      <c r="W932" s="1">
        <v>4.3370700810000002</v>
      </c>
      <c r="X932" s="1">
        <v>4.3167291810000004</v>
      </c>
      <c r="Y932" s="1">
        <v>4.0337379980000003</v>
      </c>
      <c r="Z932" s="1">
        <v>4.2802026870000001</v>
      </c>
      <c r="AA932" s="1">
        <v>3.6647387380000001</v>
      </c>
      <c r="AB932" s="1">
        <v>4.2729702720000002</v>
      </c>
      <c r="AC932" s="1">
        <v>4.0753403910000001</v>
      </c>
      <c r="AD932" s="1">
        <v>3.725077481</v>
      </c>
      <c r="AE932" s="1">
        <v>4.124053773</v>
      </c>
    </row>
    <row r="933" spans="1:31" x14ac:dyDescent="0.25">
      <c r="A933" s="1" t="s">
        <v>2114</v>
      </c>
      <c r="B933" s="1" t="s">
        <v>2530</v>
      </c>
      <c r="C933" s="1" t="s">
        <v>2531</v>
      </c>
      <c r="D933" s="1" t="s">
        <v>2535</v>
      </c>
      <c r="E933" s="1" t="s">
        <v>2536</v>
      </c>
      <c r="G933" s="1" t="s">
        <v>2114</v>
      </c>
      <c r="H933" s="1">
        <v>7.4044540579999998</v>
      </c>
      <c r="I933" s="1">
        <v>7.6286577539999998</v>
      </c>
      <c r="J933" s="1">
        <v>4.5240842389999996</v>
      </c>
      <c r="K933" s="1">
        <v>5.2180867539999998</v>
      </c>
      <c r="L933" s="1">
        <v>2.9964092330000001</v>
      </c>
      <c r="M933" s="1">
        <v>3.6924658159999999</v>
      </c>
      <c r="N933" s="1">
        <v>6.7548624930000001</v>
      </c>
      <c r="O933" s="1">
        <v>7.130826946</v>
      </c>
      <c r="P933" s="1">
        <v>4.2485661720000003</v>
      </c>
      <c r="Q933" s="1">
        <v>3.9718447549999998</v>
      </c>
      <c r="R933" s="1">
        <v>3.386455024</v>
      </c>
      <c r="S933" s="1">
        <v>3.5159502420000002</v>
      </c>
      <c r="T933" s="1">
        <v>2.9964092330000001</v>
      </c>
      <c r="U933" s="1">
        <v>3.6924658159999999</v>
      </c>
      <c r="V933" s="1">
        <v>3.7819764450000002</v>
      </c>
      <c r="W933" s="1">
        <v>4.1128053839999996</v>
      </c>
      <c r="X933" s="1">
        <v>4.2198471</v>
      </c>
      <c r="Y933" s="1">
        <v>4.6842287809999998</v>
      </c>
      <c r="Z933" s="1">
        <v>3.386455024</v>
      </c>
      <c r="AA933" s="1">
        <v>3.5159502420000002</v>
      </c>
      <c r="AB933" s="1">
        <v>4.6096720080000004</v>
      </c>
      <c r="AC933" s="1">
        <v>4.4881955270000002</v>
      </c>
      <c r="AD933" s="1">
        <v>4.6978214539999996</v>
      </c>
      <c r="AE933" s="1">
        <v>5.175187158</v>
      </c>
    </row>
    <row r="934" spans="1:31" x14ac:dyDescent="0.25">
      <c r="A934" s="1" t="s">
        <v>2116</v>
      </c>
      <c r="B934" s="1" t="s">
        <v>2530</v>
      </c>
      <c r="C934" s="1" t="s">
        <v>2531</v>
      </c>
      <c r="D934" s="1" t="s">
        <v>2535</v>
      </c>
      <c r="E934" s="1" t="s">
        <v>4123</v>
      </c>
      <c r="G934" s="1" t="s">
        <v>2116</v>
      </c>
      <c r="H934" s="1">
        <v>5.7062998909999996</v>
      </c>
      <c r="I934" s="1">
        <v>5.4067069720000003</v>
      </c>
      <c r="J934" s="1">
        <v>5.0051223570000003</v>
      </c>
      <c r="K934" s="1">
        <v>5.166960875</v>
      </c>
      <c r="L934" s="1">
        <v>4.713054648</v>
      </c>
      <c r="M934" s="1">
        <v>4.9970812499999999</v>
      </c>
      <c r="N934" s="1">
        <v>4.9001796750000004</v>
      </c>
      <c r="O934" s="1">
        <v>4.7903853170000001</v>
      </c>
      <c r="P934" s="1">
        <v>5.426847231</v>
      </c>
      <c r="Q934" s="1">
        <v>5.1004769559999996</v>
      </c>
      <c r="R934" s="1">
        <v>5.3334881589999998</v>
      </c>
      <c r="S934" s="1">
        <v>5.7723891209999998</v>
      </c>
      <c r="T934" s="1">
        <v>4.713054648</v>
      </c>
      <c r="U934" s="1">
        <v>4.9970812499999999</v>
      </c>
      <c r="V934" s="1">
        <v>5.5807524949999996</v>
      </c>
      <c r="W934" s="1">
        <v>5.329276363</v>
      </c>
      <c r="X934" s="1">
        <v>5.5811786620000001</v>
      </c>
      <c r="Y934" s="1">
        <v>5.2297915760000002</v>
      </c>
      <c r="Z934" s="1">
        <v>5.3334881589999998</v>
      </c>
      <c r="AA934" s="1">
        <v>5.7723891209999998</v>
      </c>
      <c r="AB934" s="1">
        <v>4.7958605490000004</v>
      </c>
      <c r="AC934" s="1">
        <v>5.198889973</v>
      </c>
      <c r="AD934" s="1">
        <v>5.4791562909999998</v>
      </c>
      <c r="AE934" s="1">
        <v>5.5139573549999996</v>
      </c>
    </row>
    <row r="935" spans="1:31" x14ac:dyDescent="0.25">
      <c r="A935" s="1" t="s">
        <v>2117</v>
      </c>
      <c r="B935" s="1" t="s">
        <v>2662</v>
      </c>
      <c r="C935" s="1" t="s">
        <v>3291</v>
      </c>
      <c r="D935" s="1" t="s">
        <v>3240</v>
      </c>
      <c r="E935" s="1" t="s">
        <v>4124</v>
      </c>
      <c r="F935" s="1" t="s">
        <v>4125</v>
      </c>
      <c r="G935" s="1" t="s">
        <v>2117</v>
      </c>
      <c r="H935" s="1">
        <v>4.4805534380000003</v>
      </c>
      <c r="I935" s="1">
        <v>4.5280931029999998</v>
      </c>
      <c r="J935" s="1">
        <v>3.4977151119999998</v>
      </c>
      <c r="K935" s="1">
        <v>4.0244910950000001</v>
      </c>
      <c r="L935" s="1">
        <v>3.5435353630000002</v>
      </c>
      <c r="M935" s="1">
        <v>2.3994532390000001</v>
      </c>
      <c r="N935" s="1">
        <v>4.8346471299999996</v>
      </c>
      <c r="O935" s="1">
        <v>4.8288877169999997</v>
      </c>
      <c r="P935" s="1">
        <v>3.9684043939999998</v>
      </c>
      <c r="Q935" s="1">
        <v>3.185675432</v>
      </c>
      <c r="R935" s="1">
        <v>2.9339002829999998</v>
      </c>
      <c r="S935" s="1">
        <v>1.7393328349999999</v>
      </c>
      <c r="T935" s="1">
        <v>3.5435353630000002</v>
      </c>
      <c r="U935" s="1">
        <v>2.3994532390000001</v>
      </c>
      <c r="V935" s="1">
        <v>3.2389700330000002</v>
      </c>
      <c r="W935" s="1">
        <v>3.2870366010000001</v>
      </c>
      <c r="X935" s="1">
        <v>2.7988456519999998</v>
      </c>
      <c r="Y935" s="1">
        <v>2.9733498090000001</v>
      </c>
      <c r="Z935" s="1">
        <v>2.9339002829999998</v>
      </c>
      <c r="AA935" s="1">
        <v>1.7393328349999999</v>
      </c>
      <c r="AB935" s="1">
        <v>3.404153038</v>
      </c>
      <c r="AC935" s="1">
        <v>2.87258916</v>
      </c>
      <c r="AD935" s="1">
        <v>3.5727029510000001</v>
      </c>
      <c r="AE935" s="1">
        <v>3.67472814</v>
      </c>
    </row>
    <row r="936" spans="1:31" x14ac:dyDescent="0.25">
      <c r="A936" s="1" t="s">
        <v>2120</v>
      </c>
      <c r="B936" s="1" t="s">
        <v>2530</v>
      </c>
      <c r="C936" s="1" t="s">
        <v>2573</v>
      </c>
      <c r="D936" s="1" t="s">
        <v>2535</v>
      </c>
      <c r="E936" s="1" t="s">
        <v>3651</v>
      </c>
      <c r="G936" s="1" t="s">
        <v>2120</v>
      </c>
      <c r="H936" s="1">
        <v>4.3886087140000001</v>
      </c>
      <c r="I936" s="1">
        <v>4.5981535630000003</v>
      </c>
      <c r="J936" s="1">
        <v>4.8434621079999998</v>
      </c>
      <c r="K936" s="1">
        <v>4.0244910950000001</v>
      </c>
      <c r="L936" s="1">
        <v>4.2932354009999996</v>
      </c>
      <c r="M936" s="1">
        <v>3.9942443089999999</v>
      </c>
      <c r="N936" s="1">
        <v>5.0802595029999997</v>
      </c>
      <c r="O936" s="1">
        <v>5.0724039640000003</v>
      </c>
      <c r="P936" s="1">
        <v>4.5499605860000001</v>
      </c>
      <c r="Q936" s="1">
        <v>2.597100669</v>
      </c>
      <c r="R936" s="1">
        <v>3.386455024</v>
      </c>
      <c r="S936" s="1">
        <v>4.1304223819999999</v>
      </c>
      <c r="T936" s="1">
        <v>4.2932354009999996</v>
      </c>
      <c r="U936" s="1">
        <v>3.9942443089999999</v>
      </c>
      <c r="V936" s="1">
        <v>4.0758289169999999</v>
      </c>
      <c r="W936" s="1">
        <v>3.8431653940000001</v>
      </c>
      <c r="X936" s="1">
        <v>3.5883256710000002</v>
      </c>
      <c r="Y936" s="1">
        <v>3.7705059300000001</v>
      </c>
      <c r="Z936" s="1">
        <v>3.386455024</v>
      </c>
      <c r="AA936" s="1">
        <v>4.1304223819999999</v>
      </c>
      <c r="AB936" s="1">
        <v>4.139369361</v>
      </c>
      <c r="AC936" s="1">
        <v>3.8665622239999999</v>
      </c>
      <c r="AD936" s="1">
        <v>3.8610926929999998</v>
      </c>
      <c r="AE936" s="1">
        <v>3.8196998459999998</v>
      </c>
    </row>
    <row r="937" spans="1:31" x14ac:dyDescent="0.25">
      <c r="A937" s="1" t="s">
        <v>2121</v>
      </c>
      <c r="B937" s="1" t="s">
        <v>2530</v>
      </c>
      <c r="C937" s="1" t="s">
        <v>2531</v>
      </c>
      <c r="D937" s="1" t="s">
        <v>2535</v>
      </c>
      <c r="E937" s="1" t="s">
        <v>4126</v>
      </c>
      <c r="G937" s="1" t="s">
        <v>2121</v>
      </c>
      <c r="H937" s="1">
        <v>7.7584006839999997</v>
      </c>
      <c r="I937" s="1">
        <v>7.4169289850000002</v>
      </c>
      <c r="J937" s="1">
        <v>7.7032581010000003</v>
      </c>
      <c r="K937" s="1">
        <v>7.8550759189999999</v>
      </c>
      <c r="L937" s="1">
        <v>6.4517555480000004</v>
      </c>
      <c r="M937" s="1">
        <v>6.5662231340000003</v>
      </c>
      <c r="N937" s="1">
        <v>7.9885526990000004</v>
      </c>
      <c r="O937" s="1">
        <v>8.1761117859999999</v>
      </c>
      <c r="P937" s="1">
        <v>6.9532582459999999</v>
      </c>
      <c r="Q937" s="1">
        <v>6.6807419020000003</v>
      </c>
      <c r="R937" s="1">
        <v>7.050768648</v>
      </c>
      <c r="S937" s="1">
        <v>7.2289365620000003</v>
      </c>
      <c r="T937" s="1">
        <v>6.4517555480000004</v>
      </c>
      <c r="U937" s="1">
        <v>6.5662231340000003</v>
      </c>
      <c r="V937" s="1">
        <v>7.0316458629999996</v>
      </c>
      <c r="W937" s="1">
        <v>7.1041979590000004</v>
      </c>
      <c r="X937" s="1">
        <v>6.9243204340000002</v>
      </c>
      <c r="Y937" s="1">
        <v>7.271865</v>
      </c>
      <c r="Z937" s="1">
        <v>7.050768648</v>
      </c>
      <c r="AA937" s="1">
        <v>7.2289365620000003</v>
      </c>
      <c r="AB937" s="1">
        <v>7.1351367960000003</v>
      </c>
      <c r="AC937" s="1">
        <v>6.9119300409999997</v>
      </c>
      <c r="AD937" s="1">
        <v>7.2819147590000002</v>
      </c>
      <c r="AE937" s="1">
        <v>7.3711623599999996</v>
      </c>
    </row>
    <row r="938" spans="1:31" x14ac:dyDescent="0.25">
      <c r="A938" s="1" t="s">
        <v>2123</v>
      </c>
      <c r="B938" s="1" t="s">
        <v>2525</v>
      </c>
      <c r="C938" s="1" t="s">
        <v>3110</v>
      </c>
      <c r="D938" s="1" t="s">
        <v>4127</v>
      </c>
      <c r="E938" s="1" t="s">
        <v>4128</v>
      </c>
      <c r="F938" s="1" t="s">
        <v>4129</v>
      </c>
      <c r="G938" s="1" t="s">
        <v>2123</v>
      </c>
      <c r="H938" s="1">
        <v>5.5485883999999999</v>
      </c>
      <c r="I938" s="1">
        <v>5.2436995780000002</v>
      </c>
      <c r="J938" s="1">
        <v>4.9532699769999997</v>
      </c>
      <c r="K938" s="1">
        <v>5.0014827119999996</v>
      </c>
      <c r="L938" s="1">
        <v>5.1940340669999996</v>
      </c>
      <c r="M938" s="1">
        <v>4.930560163</v>
      </c>
      <c r="N938" s="1">
        <v>5.7078727669999996</v>
      </c>
      <c r="O938" s="1">
        <v>5.2237789919999997</v>
      </c>
      <c r="P938" s="1">
        <v>4.7972962780000001</v>
      </c>
      <c r="Q938" s="1">
        <v>4.7509440400000003</v>
      </c>
      <c r="R938" s="1">
        <v>5.1472208640000003</v>
      </c>
      <c r="S938" s="1">
        <v>5.032286365</v>
      </c>
      <c r="T938" s="1">
        <v>5.1940340669999996</v>
      </c>
      <c r="U938" s="1">
        <v>4.930560163</v>
      </c>
      <c r="V938" s="1">
        <v>5.1274300740000003</v>
      </c>
      <c r="W938" s="1">
        <v>4.2295768090000001</v>
      </c>
      <c r="X938" s="1">
        <v>4.9146300209999998</v>
      </c>
      <c r="Y938" s="1">
        <v>4.8250325140000001</v>
      </c>
      <c r="Z938" s="1">
        <v>5.1472208640000003</v>
      </c>
      <c r="AA938" s="1">
        <v>5.032286365</v>
      </c>
      <c r="AB938" s="1">
        <v>5.4746970709999996</v>
      </c>
      <c r="AC938" s="1">
        <v>4.9145215069999999</v>
      </c>
      <c r="AD938" s="1">
        <v>4.6978214539999996</v>
      </c>
      <c r="AE938" s="1">
        <v>4.7636391339999999</v>
      </c>
    </row>
    <row r="939" spans="1:31" x14ac:dyDescent="0.25">
      <c r="A939" s="1" t="s">
        <v>2125</v>
      </c>
      <c r="B939" s="1" t="s">
        <v>2530</v>
      </c>
      <c r="C939" s="1" t="s">
        <v>2531</v>
      </c>
      <c r="D939" s="1" t="s">
        <v>2535</v>
      </c>
      <c r="E939" s="1" t="s">
        <v>4130</v>
      </c>
      <c r="G939" s="1" t="s">
        <v>2125</v>
      </c>
      <c r="H939" s="1">
        <v>4.3886087140000001</v>
      </c>
      <c r="I939" s="1">
        <v>3.6484415459999999</v>
      </c>
      <c r="J939" s="1">
        <v>4.2898244959999996</v>
      </c>
      <c r="K939" s="1">
        <v>4.5171444090000001</v>
      </c>
      <c r="L939" s="1">
        <v>5.552483659</v>
      </c>
      <c r="M939" s="1">
        <v>5.0913316819999999</v>
      </c>
      <c r="N939" s="1">
        <v>4.8677953240000003</v>
      </c>
      <c r="O939" s="1">
        <v>4.9384407589999997</v>
      </c>
      <c r="P939" s="1">
        <v>4.8528499219999999</v>
      </c>
      <c r="Q939" s="1">
        <v>4.8773483779999998</v>
      </c>
      <c r="R939" s="1">
        <v>4.8118229140000004</v>
      </c>
      <c r="S939" s="1">
        <v>5.0824952919999999</v>
      </c>
      <c r="T939" s="1">
        <v>5.552483659</v>
      </c>
      <c r="U939" s="1">
        <v>5.0913316819999999</v>
      </c>
      <c r="V939" s="1">
        <v>5.1679192199999999</v>
      </c>
      <c r="W939" s="1">
        <v>3.9848641250000001</v>
      </c>
      <c r="X939" s="1">
        <v>5.3550813679999996</v>
      </c>
      <c r="Y939" s="1">
        <v>4.6842287809999998</v>
      </c>
      <c r="Z939" s="1">
        <v>4.8118229140000004</v>
      </c>
      <c r="AA939" s="1">
        <v>5.0824952919999999</v>
      </c>
      <c r="AB939" s="1">
        <v>5.2406211000000003</v>
      </c>
      <c r="AC939" s="1">
        <v>4.9145215069999999</v>
      </c>
      <c r="AD939" s="1">
        <v>4.8924744240000004</v>
      </c>
      <c r="AE939" s="1">
        <v>5.0415666330000004</v>
      </c>
    </row>
    <row r="940" spans="1:31" x14ac:dyDescent="0.25">
      <c r="A940" s="1" t="s">
        <v>2126</v>
      </c>
      <c r="B940" s="1" t="s">
        <v>2520</v>
      </c>
      <c r="C940" s="1" t="s">
        <v>2521</v>
      </c>
      <c r="D940" s="1" t="s">
        <v>2595</v>
      </c>
      <c r="E940" s="1" t="s">
        <v>3649</v>
      </c>
      <c r="F940" s="1" t="s">
        <v>3650</v>
      </c>
      <c r="G940" s="1" t="s">
        <v>2126</v>
      </c>
      <c r="H940" s="1">
        <v>5.8483408880000001</v>
      </c>
      <c r="I940" s="1">
        <v>6.3760216270000001</v>
      </c>
      <c r="J940" s="1">
        <v>6.3513642939999997</v>
      </c>
      <c r="K940" s="1">
        <v>6.1452362870000004</v>
      </c>
      <c r="L940" s="1">
        <v>6.8999037210000003</v>
      </c>
      <c r="M940" s="1">
        <v>6.6401882609999996</v>
      </c>
      <c r="N940" s="1">
        <v>6.1290762189999999</v>
      </c>
      <c r="O940" s="1">
        <v>5.3074139359999997</v>
      </c>
      <c r="P940" s="1">
        <v>6.6156100010000003</v>
      </c>
      <c r="Q940" s="1">
        <v>6.3557835540000003</v>
      </c>
      <c r="R940" s="1">
        <v>6.3514004780000004</v>
      </c>
      <c r="S940" s="1">
        <v>6.3418583389999998</v>
      </c>
      <c r="T940" s="1">
        <v>6.8999037210000003</v>
      </c>
      <c r="U940" s="1">
        <v>6.6401882609999996</v>
      </c>
      <c r="V940" s="1">
        <v>6.7567693220000002</v>
      </c>
      <c r="W940" s="1">
        <v>6.3680955829999997</v>
      </c>
      <c r="X940" s="1">
        <v>6.4619662419999999</v>
      </c>
      <c r="Y940" s="1">
        <v>6.680867428</v>
      </c>
      <c r="Z940" s="1">
        <v>6.3514004780000004</v>
      </c>
      <c r="AA940" s="1">
        <v>6.3418583389999998</v>
      </c>
      <c r="AB940" s="1">
        <v>6.1161870470000004</v>
      </c>
      <c r="AC940" s="1">
        <v>6.5436419069999996</v>
      </c>
      <c r="AD940" s="1">
        <v>6.1407817189999996</v>
      </c>
      <c r="AE940" s="1">
        <v>6.3888842260000001</v>
      </c>
    </row>
    <row r="941" spans="1:31" x14ac:dyDescent="0.25">
      <c r="A941" s="1" t="s">
        <v>2128</v>
      </c>
      <c r="B941" s="1" t="s">
        <v>2608</v>
      </c>
      <c r="C941" s="1" t="s">
        <v>2758</v>
      </c>
      <c r="D941" s="1" t="s">
        <v>2759</v>
      </c>
      <c r="E941" s="1" t="s">
        <v>4131</v>
      </c>
      <c r="F941" s="1" t="s">
        <v>4132</v>
      </c>
      <c r="G941" s="1" t="s">
        <v>2128</v>
      </c>
      <c r="H941" s="1">
        <v>7.7128530040000003</v>
      </c>
      <c r="I941" s="1">
        <v>7.8559156569999997</v>
      </c>
      <c r="J941" s="1">
        <v>8.1416356669999992</v>
      </c>
      <c r="K941" s="1">
        <v>8.3054557229999997</v>
      </c>
      <c r="L941" s="1">
        <v>8.3184803059999997</v>
      </c>
      <c r="M941" s="1">
        <v>8.3675681189999995</v>
      </c>
      <c r="N941" s="1">
        <v>7.9885526990000004</v>
      </c>
      <c r="O941" s="1">
        <v>8.0888657110000004</v>
      </c>
      <c r="P941" s="1">
        <v>8.1460993639999995</v>
      </c>
      <c r="Q941" s="1">
        <v>7.8164050280000001</v>
      </c>
      <c r="R941" s="1">
        <v>8.5364205490000007</v>
      </c>
      <c r="S941" s="1">
        <v>8.284551682</v>
      </c>
      <c r="T941" s="1">
        <v>8.3184803059999997</v>
      </c>
      <c r="U941" s="1">
        <v>8.3675681189999995</v>
      </c>
      <c r="V941" s="1">
        <v>8.4133176800000005</v>
      </c>
      <c r="W941" s="1">
        <v>8.3125212810000004</v>
      </c>
      <c r="X941" s="1">
        <v>8.2985330289999997</v>
      </c>
      <c r="Y941" s="1">
        <v>8.4045259720000001</v>
      </c>
      <c r="Z941" s="1">
        <v>8.5364205490000007</v>
      </c>
      <c r="AA941" s="1">
        <v>8.284551682</v>
      </c>
      <c r="AB941" s="1">
        <v>8.4055288529999999</v>
      </c>
      <c r="AC941" s="1">
        <v>8.2921104069999991</v>
      </c>
      <c r="AD941" s="1">
        <v>8.1038892669999996</v>
      </c>
      <c r="AE941" s="1">
        <v>8.0737798099999996</v>
      </c>
    </row>
    <row r="942" spans="1:31" x14ac:dyDescent="0.25">
      <c r="A942" s="1" t="s">
        <v>2129</v>
      </c>
      <c r="B942" s="1" t="s">
        <v>2631</v>
      </c>
      <c r="C942" s="1" t="s">
        <v>2980</v>
      </c>
      <c r="D942" s="1" t="s">
        <v>4133</v>
      </c>
      <c r="E942" s="1" t="s">
        <v>4134</v>
      </c>
      <c r="F942" s="1" t="s">
        <v>4135</v>
      </c>
      <c r="G942" s="1" t="s">
        <v>2129</v>
      </c>
      <c r="H942" s="1">
        <v>4.3886087140000001</v>
      </c>
      <c r="I942" s="1">
        <v>4.9575946069999999</v>
      </c>
      <c r="J942" s="1">
        <v>2.8907526730000002</v>
      </c>
      <c r="K942" s="1">
        <v>2.9677134359999999</v>
      </c>
      <c r="L942" s="1">
        <v>3.3025959560000002</v>
      </c>
      <c r="M942" s="1">
        <v>3.4067547010000001</v>
      </c>
      <c r="N942" s="1">
        <v>4.9627953409999996</v>
      </c>
      <c r="O942" s="1">
        <v>4.6680836990000003</v>
      </c>
      <c r="P942" s="1">
        <v>3.6116823170000001</v>
      </c>
      <c r="Q942" s="1">
        <v>3.185675432</v>
      </c>
      <c r="R942" s="1">
        <v>3.1834741979999999</v>
      </c>
      <c r="S942" s="1">
        <v>3.5159502420000002</v>
      </c>
      <c r="T942" s="1">
        <v>3.3025959560000002</v>
      </c>
      <c r="U942" s="1">
        <v>3.4067547010000001</v>
      </c>
      <c r="V942" s="1">
        <v>3.6670520409999998</v>
      </c>
      <c r="W942" s="1">
        <v>3.2870366010000001</v>
      </c>
      <c r="X942" s="1">
        <v>4.0022987600000004</v>
      </c>
      <c r="Y942" s="1">
        <v>3.9087436480000002</v>
      </c>
      <c r="Z942" s="1">
        <v>3.1834741979999999</v>
      </c>
      <c r="AA942" s="1">
        <v>3.5159502420000002</v>
      </c>
      <c r="AB942" s="1">
        <v>4.139369361</v>
      </c>
      <c r="AC942" s="1">
        <v>3.6175630609999998</v>
      </c>
      <c r="AD942" s="1">
        <v>3.5727029510000001</v>
      </c>
      <c r="AE942" s="1">
        <v>3.8196998459999998</v>
      </c>
    </row>
    <row r="943" spans="1:31" x14ac:dyDescent="0.25">
      <c r="A943" s="1" t="s">
        <v>2130</v>
      </c>
      <c r="B943" s="1" t="s">
        <v>2530</v>
      </c>
      <c r="C943" s="1" t="s">
        <v>2531</v>
      </c>
      <c r="D943" s="1" t="s">
        <v>2535</v>
      </c>
      <c r="E943" s="1" t="s">
        <v>2536</v>
      </c>
      <c r="G943" s="1" t="s">
        <v>2130</v>
      </c>
      <c r="H943" s="1">
        <v>5.6296178589999997</v>
      </c>
      <c r="I943" s="1">
        <v>6.2534876759999998</v>
      </c>
      <c r="J943" s="1">
        <v>4.8434621079999998</v>
      </c>
      <c r="K943" s="1">
        <v>4.8793048219999999</v>
      </c>
      <c r="L943" s="1">
        <v>5.1055038850000001</v>
      </c>
      <c r="M943" s="1">
        <v>4.6276332350000002</v>
      </c>
      <c r="N943" s="1">
        <v>5.894631425</v>
      </c>
      <c r="O943" s="1">
        <v>5.1651541859999996</v>
      </c>
      <c r="P943" s="1">
        <v>5.0554269730000003</v>
      </c>
      <c r="Q943" s="1">
        <v>4.8155696649999999</v>
      </c>
      <c r="R943" s="1">
        <v>4.6083586160000003</v>
      </c>
      <c r="S943" s="1">
        <v>4.6194390810000003</v>
      </c>
      <c r="T943" s="1">
        <v>5.1055038850000001</v>
      </c>
      <c r="U943" s="1">
        <v>4.6276332350000002</v>
      </c>
      <c r="V943" s="1">
        <v>5.8520207290000004</v>
      </c>
      <c r="W943" s="1">
        <v>5.9072448660000001</v>
      </c>
      <c r="X943" s="1">
        <v>4.97415056</v>
      </c>
      <c r="Y943" s="1">
        <v>5.9909787290000001</v>
      </c>
      <c r="Z943" s="1">
        <v>4.6083586160000003</v>
      </c>
      <c r="AA943" s="1">
        <v>4.6194390810000003</v>
      </c>
      <c r="AB943" s="1">
        <v>5.1755434500000002</v>
      </c>
      <c r="AC943" s="1">
        <v>5.1552886820000001</v>
      </c>
      <c r="AD943" s="1">
        <v>5.0087140049999999</v>
      </c>
      <c r="AE943" s="1">
        <v>4.8303216779999998</v>
      </c>
    </row>
    <row r="944" spans="1:31" x14ac:dyDescent="0.25">
      <c r="A944" s="1" t="s">
        <v>2132</v>
      </c>
      <c r="B944" s="1" t="s">
        <v>2662</v>
      </c>
      <c r="C944" s="1" t="s">
        <v>3291</v>
      </c>
      <c r="D944" s="1" t="s">
        <v>4136</v>
      </c>
      <c r="E944" s="1" t="s">
        <v>4137</v>
      </c>
      <c r="F944" s="1" t="s">
        <v>4138</v>
      </c>
      <c r="G944" s="1" t="s">
        <v>2132</v>
      </c>
      <c r="H944" s="1">
        <v>7.1547827179999999</v>
      </c>
      <c r="I944" s="1">
        <v>7.0388012209999999</v>
      </c>
      <c r="J944" s="1">
        <v>7.2079908670000004</v>
      </c>
      <c r="K944" s="1">
        <v>7.3522597120000004</v>
      </c>
      <c r="L944" s="1">
        <v>7.167226157</v>
      </c>
      <c r="M944" s="1">
        <v>7.4644645829999998</v>
      </c>
      <c r="N944" s="1">
        <v>6.9584991550000002</v>
      </c>
      <c r="O944" s="1">
        <v>7.2405391110000004</v>
      </c>
      <c r="P944" s="1">
        <v>7.1737717869999997</v>
      </c>
      <c r="Q944" s="1">
        <v>7.1571465510000003</v>
      </c>
      <c r="R944" s="1">
        <v>7.050768648</v>
      </c>
      <c r="S944" s="1">
        <v>7.4438987320000001</v>
      </c>
      <c r="T944" s="1">
        <v>7.167226157</v>
      </c>
      <c r="U944" s="1">
        <v>7.4644645829999998</v>
      </c>
      <c r="V944" s="1">
        <v>7.4852636300000004</v>
      </c>
      <c r="W944" s="1">
        <v>7.5570000769999996</v>
      </c>
      <c r="X944" s="1">
        <v>7.2200905110000004</v>
      </c>
      <c r="Y944" s="1">
        <v>7.4322781100000004</v>
      </c>
      <c r="Z944" s="1">
        <v>7.050768648</v>
      </c>
      <c r="AA944" s="1">
        <v>7.4438987320000001</v>
      </c>
      <c r="AB944" s="1">
        <v>7.325769244</v>
      </c>
      <c r="AC944" s="1">
        <v>7.2973970530000001</v>
      </c>
      <c r="AD944" s="1">
        <v>7.2236412720000001</v>
      </c>
      <c r="AE944" s="1">
        <v>7.1889831060000002</v>
      </c>
    </row>
    <row r="945" spans="1:31" x14ac:dyDescent="0.25">
      <c r="A945" s="1" t="s">
        <v>2133</v>
      </c>
      <c r="B945" s="1" t="s">
        <v>2667</v>
      </c>
      <c r="C945" s="1" t="s">
        <v>4077</v>
      </c>
      <c r="D945" s="1" t="s">
        <v>4078</v>
      </c>
      <c r="E945" s="1" t="s">
        <v>4139</v>
      </c>
      <c r="F945" s="1" t="s">
        <v>4140</v>
      </c>
      <c r="G945" s="1" t="s">
        <v>2133</v>
      </c>
      <c r="H945" s="1">
        <v>6.3556221559999999</v>
      </c>
      <c r="I945" s="1">
        <v>6.2746491359999998</v>
      </c>
      <c r="J945" s="1">
        <v>7.7640558879999997</v>
      </c>
      <c r="K945" s="1">
        <v>7.533371356</v>
      </c>
      <c r="L945" s="1">
        <v>7.6076288820000002</v>
      </c>
      <c r="M945" s="1">
        <v>7.8091928079999997</v>
      </c>
      <c r="N945" s="1">
        <v>6.1290762189999999</v>
      </c>
      <c r="O945" s="1">
        <v>6.3670506839999996</v>
      </c>
      <c r="P945" s="1">
        <v>7.5504369310000001</v>
      </c>
      <c r="Q945" s="1">
        <v>7.1448014899999999</v>
      </c>
      <c r="R945" s="1">
        <v>7.9454430350000003</v>
      </c>
      <c r="S945" s="1">
        <v>7.9449295470000001</v>
      </c>
      <c r="T945" s="1">
        <v>7.6076288820000002</v>
      </c>
      <c r="U945" s="1">
        <v>7.8091928079999997</v>
      </c>
      <c r="V945" s="1">
        <v>7.8045554849999998</v>
      </c>
      <c r="W945" s="1">
        <v>7.5784280910000001</v>
      </c>
      <c r="X945" s="1">
        <v>7.7012865279999998</v>
      </c>
      <c r="Y945" s="1">
        <v>7.4959140870000001</v>
      </c>
      <c r="Z945" s="1">
        <v>7.9454430350000003</v>
      </c>
      <c r="AA945" s="1">
        <v>7.9449295470000001</v>
      </c>
      <c r="AB945" s="1">
        <v>7.7483602229999997</v>
      </c>
      <c r="AC945" s="1">
        <v>7.6172515079999998</v>
      </c>
      <c r="AD945" s="1">
        <v>7.5135542710000003</v>
      </c>
      <c r="AE945" s="1">
        <v>7.5427153269999998</v>
      </c>
    </row>
    <row r="946" spans="1:31" x14ac:dyDescent="0.25">
      <c r="A946" s="1" t="s">
        <v>2134</v>
      </c>
      <c r="B946" s="1" t="s">
        <v>2608</v>
      </c>
      <c r="C946" s="1" t="s">
        <v>2758</v>
      </c>
      <c r="D946" s="1" t="s">
        <v>2759</v>
      </c>
      <c r="E946" s="1" t="s">
        <v>4141</v>
      </c>
      <c r="F946" s="1" t="s">
        <v>4142</v>
      </c>
      <c r="G946" s="1" t="s">
        <v>2134</v>
      </c>
      <c r="H946" s="1">
        <v>6.1242673779999999</v>
      </c>
      <c r="I946" s="1">
        <v>6.7223161380000001</v>
      </c>
      <c r="J946" s="1">
        <v>8.3542656930000003</v>
      </c>
      <c r="K946" s="1">
        <v>8.2577865960000008</v>
      </c>
      <c r="L946" s="1">
        <v>8.2913860899999996</v>
      </c>
      <c r="M946" s="1">
        <v>8.4781858719999992</v>
      </c>
      <c r="N946" s="1">
        <v>7.2152497440000003</v>
      </c>
      <c r="O946" s="1">
        <v>6.9270840419999997</v>
      </c>
      <c r="P946" s="1">
        <v>8.1786267000000006</v>
      </c>
      <c r="Q946" s="1">
        <v>8.2614274539999997</v>
      </c>
      <c r="R946" s="1">
        <v>8.5551289980000007</v>
      </c>
      <c r="S946" s="1">
        <v>8.3160575510000001</v>
      </c>
      <c r="T946" s="1">
        <v>8.2913860899999996</v>
      </c>
      <c r="U946" s="1">
        <v>8.4781858719999992</v>
      </c>
      <c r="V946" s="1">
        <v>8.240625949</v>
      </c>
      <c r="W946" s="1">
        <v>8.1574524920000009</v>
      </c>
      <c r="X946" s="1">
        <v>8.4844991150000002</v>
      </c>
      <c r="Y946" s="1">
        <v>8.4903313419999993</v>
      </c>
      <c r="Z946" s="1">
        <v>8.5551289980000007</v>
      </c>
      <c r="AA946" s="1">
        <v>8.3160575510000001</v>
      </c>
      <c r="AB946" s="1">
        <v>8.8188014369999994</v>
      </c>
      <c r="AC946" s="1">
        <v>8.4834462859999995</v>
      </c>
      <c r="AD946" s="1">
        <v>8.3360650330000006</v>
      </c>
      <c r="AE946" s="1">
        <v>8.4242961009999995</v>
      </c>
    </row>
    <row r="947" spans="1:31" x14ac:dyDescent="0.25">
      <c r="A947" s="1" t="s">
        <v>2139</v>
      </c>
      <c r="B947" s="1" t="s">
        <v>2843</v>
      </c>
      <c r="C947" s="1" t="s">
        <v>2903</v>
      </c>
      <c r="D947" s="1" t="s">
        <v>4143</v>
      </c>
      <c r="E947" s="1" t="s">
        <v>4144</v>
      </c>
      <c r="F947" s="1" t="s">
        <v>4145</v>
      </c>
      <c r="G947" s="1" t="s">
        <v>2139</v>
      </c>
      <c r="H947" s="1">
        <v>5.4626831620000003</v>
      </c>
      <c r="I947" s="1">
        <v>5.7169522959999997</v>
      </c>
      <c r="J947" s="1">
        <v>4.7851628320000001</v>
      </c>
      <c r="K947" s="1">
        <v>4.8139921829999999</v>
      </c>
      <c r="L947" s="1">
        <v>5.5187262759999998</v>
      </c>
      <c r="M947" s="1">
        <v>5.6184934039999996</v>
      </c>
      <c r="N947" s="1">
        <v>5.6141964020000001</v>
      </c>
      <c r="O947" s="1">
        <v>5.5090357550000002</v>
      </c>
      <c r="P947" s="1">
        <v>5.7791106289999998</v>
      </c>
      <c r="Q947" s="1">
        <v>5.991605206</v>
      </c>
      <c r="R947" s="1">
        <v>5.458747732</v>
      </c>
      <c r="S947" s="1">
        <v>5.542037144</v>
      </c>
      <c r="T947" s="1">
        <v>5.5187262759999998</v>
      </c>
      <c r="U947" s="1">
        <v>5.6184934039999996</v>
      </c>
      <c r="V947" s="1">
        <v>5.2072842770000003</v>
      </c>
      <c r="W947" s="1">
        <v>5.2774499109999997</v>
      </c>
      <c r="X947" s="1">
        <v>5.9032199179999996</v>
      </c>
      <c r="Y947" s="1">
        <v>5.2297915760000002</v>
      </c>
      <c r="Z947" s="1">
        <v>5.458747732</v>
      </c>
      <c r="AA947" s="1">
        <v>5.542037144</v>
      </c>
      <c r="AB947" s="1">
        <v>5.6280506069999996</v>
      </c>
      <c r="AC947" s="1">
        <v>5.7003611899999997</v>
      </c>
      <c r="AD947" s="1">
        <v>5.8006297160000004</v>
      </c>
      <c r="AE947" s="1">
        <v>5.4097399240000001</v>
      </c>
    </row>
    <row r="948" spans="1:31" x14ac:dyDescent="0.25">
      <c r="A948" s="1" t="s">
        <v>2142</v>
      </c>
      <c r="B948" s="1" t="s">
        <v>2843</v>
      </c>
      <c r="C948" s="1" t="s">
        <v>2903</v>
      </c>
      <c r="D948" s="1" t="s">
        <v>3561</v>
      </c>
      <c r="E948" s="1" t="s">
        <v>4146</v>
      </c>
      <c r="F948" s="1" t="s">
        <v>4147</v>
      </c>
      <c r="G948" s="1" t="s">
        <v>2142</v>
      </c>
      <c r="H948" s="1">
        <v>5.3712699940000004</v>
      </c>
      <c r="I948" s="1">
        <v>5.5529645800000003</v>
      </c>
      <c r="J948" s="1">
        <v>5.9926388770000001</v>
      </c>
      <c r="K948" s="1">
        <v>6.270852401</v>
      </c>
      <c r="L948" s="1">
        <v>6.4247703999999999</v>
      </c>
      <c r="M948" s="1">
        <v>6.211413758</v>
      </c>
      <c r="N948" s="1">
        <v>6.4650727440000004</v>
      </c>
      <c r="O948" s="1">
        <v>6.1287443579999996</v>
      </c>
      <c r="P948" s="1">
        <v>6.5507496449999998</v>
      </c>
      <c r="Q948" s="1">
        <v>6.6106183620000003</v>
      </c>
      <c r="R948" s="1">
        <v>6.2629717720000002</v>
      </c>
      <c r="S948" s="1">
        <v>6.7639721039999996</v>
      </c>
      <c r="T948" s="1">
        <v>6.4247703999999999</v>
      </c>
      <c r="U948" s="1">
        <v>6.211413758</v>
      </c>
      <c r="V948" s="1">
        <v>6.3829858890000004</v>
      </c>
      <c r="W948" s="1">
        <v>6.156075682</v>
      </c>
      <c r="X948" s="1">
        <v>6.21570512</v>
      </c>
      <c r="Y948" s="1">
        <v>6.5267696659999999</v>
      </c>
      <c r="Z948" s="1">
        <v>6.2629717720000002</v>
      </c>
      <c r="AA948" s="1">
        <v>6.7639721039999996</v>
      </c>
      <c r="AB948" s="1">
        <v>6.5830868880000004</v>
      </c>
      <c r="AC948" s="1">
        <v>6.3069602739999997</v>
      </c>
      <c r="AD948" s="1">
        <v>6.6813055940000003</v>
      </c>
      <c r="AE948" s="1">
        <v>6.2987649059999997</v>
      </c>
    </row>
    <row r="949" spans="1:31" x14ac:dyDescent="0.25">
      <c r="A949" s="1" t="s">
        <v>2143</v>
      </c>
      <c r="B949" s="1" t="s">
        <v>2530</v>
      </c>
      <c r="C949" s="1" t="s">
        <v>2531</v>
      </c>
      <c r="D949" s="1" t="s">
        <v>2535</v>
      </c>
      <c r="E949" s="1" t="s">
        <v>2536</v>
      </c>
      <c r="G949" s="1" t="s">
        <v>2143</v>
      </c>
      <c r="H949" s="1">
        <v>6.8185773340000004</v>
      </c>
      <c r="I949" s="1">
        <v>6.2320099659999997</v>
      </c>
      <c r="J949" s="1">
        <v>6.8353858709999997</v>
      </c>
      <c r="K949" s="1">
        <v>7.1319111780000002</v>
      </c>
      <c r="L949" s="1">
        <v>6.9257793530000002</v>
      </c>
      <c r="M949" s="1">
        <v>6.9864030259999996</v>
      </c>
      <c r="N949" s="1">
        <v>6.5582948950000004</v>
      </c>
      <c r="O949" s="1">
        <v>6.7700014289999997</v>
      </c>
      <c r="P949" s="1">
        <v>7.4204449840000004</v>
      </c>
      <c r="Q949" s="1">
        <v>7.2751079179999998</v>
      </c>
      <c r="R949" s="1">
        <v>7.1648465019999996</v>
      </c>
      <c r="S949" s="1">
        <v>7.2616787839999999</v>
      </c>
      <c r="T949" s="1">
        <v>6.9257793530000002</v>
      </c>
      <c r="U949" s="1">
        <v>6.9864030259999996</v>
      </c>
      <c r="V949" s="1">
        <v>6.7435409980000003</v>
      </c>
      <c r="W949" s="1">
        <v>7.0893438719999997</v>
      </c>
      <c r="X949" s="1">
        <v>7.347944021</v>
      </c>
      <c r="Y949" s="1">
        <v>7.3077738649999997</v>
      </c>
      <c r="Z949" s="1">
        <v>7.1648465019999996</v>
      </c>
      <c r="AA949" s="1">
        <v>7.2616787839999999</v>
      </c>
      <c r="AB949" s="1">
        <v>7.494109613</v>
      </c>
      <c r="AC949" s="1">
        <v>7.3269352899999998</v>
      </c>
      <c r="AD949" s="1">
        <v>7.1629120009999996</v>
      </c>
      <c r="AE949" s="1">
        <v>6.9876177249999998</v>
      </c>
    </row>
    <row r="950" spans="1:31" x14ac:dyDescent="0.25">
      <c r="A950" s="1" t="s">
        <v>2144</v>
      </c>
      <c r="B950" s="1" t="s">
        <v>2530</v>
      </c>
      <c r="C950" s="1" t="s">
        <v>2531</v>
      </c>
      <c r="D950" s="1" t="s">
        <v>2535</v>
      </c>
      <c r="E950" s="1" t="s">
        <v>4148</v>
      </c>
      <c r="G950" s="1" t="s">
        <v>2144</v>
      </c>
      <c r="H950" s="1">
        <v>4.3886087140000001</v>
      </c>
      <c r="I950" s="1">
        <v>5.009480355</v>
      </c>
      <c r="J950" s="1">
        <v>4.8994370109999998</v>
      </c>
      <c r="K950" s="1">
        <v>5.0588199180000002</v>
      </c>
      <c r="L950" s="1">
        <v>5.3938587340000002</v>
      </c>
      <c r="M950" s="1">
        <v>5.029201552</v>
      </c>
      <c r="N950" s="1">
        <v>5.5139471840000001</v>
      </c>
      <c r="O950" s="1">
        <v>5.1651541859999996</v>
      </c>
      <c r="P950" s="1">
        <v>5.3522904530000002</v>
      </c>
      <c r="Q950" s="1">
        <v>5.5022716190000001</v>
      </c>
      <c r="R950" s="1">
        <v>4.9327063119999996</v>
      </c>
      <c r="S950" s="1">
        <v>5.2232498669999998</v>
      </c>
      <c r="T950" s="1">
        <v>5.3938587340000002</v>
      </c>
      <c r="U950" s="1">
        <v>5.029201552</v>
      </c>
      <c r="V950" s="1">
        <v>5.4230002329999998</v>
      </c>
      <c r="W950" s="1">
        <v>5.5634106699999997</v>
      </c>
      <c r="X950" s="1">
        <v>5.2866392680000001</v>
      </c>
      <c r="Y950" s="1">
        <v>5.503438128</v>
      </c>
      <c r="Z950" s="1">
        <v>4.9327063119999996</v>
      </c>
      <c r="AA950" s="1">
        <v>5.2232498669999998</v>
      </c>
      <c r="AB950" s="1">
        <v>5.5787398220000002</v>
      </c>
      <c r="AC950" s="1">
        <v>5.2822693689999998</v>
      </c>
      <c r="AD950" s="1">
        <v>5.8006297160000004</v>
      </c>
      <c r="AE950" s="1">
        <v>4.9548800440000003</v>
      </c>
    </row>
    <row r="951" spans="1:31" x14ac:dyDescent="0.25">
      <c r="A951" s="1" t="s">
        <v>2145</v>
      </c>
      <c r="B951" s="1" t="s">
        <v>2547</v>
      </c>
      <c r="C951" s="1" t="s">
        <v>2789</v>
      </c>
      <c r="D951" s="1" t="s">
        <v>3296</v>
      </c>
      <c r="E951" s="1" t="s">
        <v>4149</v>
      </c>
      <c r="F951" s="1" t="s">
        <v>4150</v>
      </c>
      <c r="G951" s="1" t="s">
        <v>2145</v>
      </c>
      <c r="H951" s="1">
        <v>5.2735834620000004</v>
      </c>
      <c r="I951" s="1">
        <v>5.5873017430000003</v>
      </c>
      <c r="J951" s="1">
        <v>5.3631085470000004</v>
      </c>
      <c r="K951" s="1">
        <v>4.8793048219999999</v>
      </c>
      <c r="L951" s="1">
        <v>5.9440343650000003</v>
      </c>
      <c r="M951" s="1">
        <v>5.5541105499999999</v>
      </c>
      <c r="N951" s="1">
        <v>5.5548950010000002</v>
      </c>
      <c r="O951" s="1">
        <v>5.824131875</v>
      </c>
      <c r="P951" s="1">
        <v>5.5977847030000003</v>
      </c>
      <c r="Q951" s="1">
        <v>5.5780218530000001</v>
      </c>
      <c r="R951" s="1">
        <v>5.8111782390000002</v>
      </c>
      <c r="S951" s="1">
        <v>4.9261733090000002</v>
      </c>
      <c r="T951" s="1">
        <v>5.9440343650000003</v>
      </c>
      <c r="U951" s="1">
        <v>5.5541105499999999</v>
      </c>
      <c r="V951" s="1">
        <v>5.3892424569999999</v>
      </c>
      <c r="W951" s="1">
        <v>5.6059572260000001</v>
      </c>
      <c r="X951" s="1">
        <v>5.4203833540000002</v>
      </c>
      <c r="Y951" s="1">
        <v>5.8677638710000002</v>
      </c>
      <c r="Z951" s="1">
        <v>5.8111782390000002</v>
      </c>
      <c r="AA951" s="1">
        <v>4.9261733090000002</v>
      </c>
      <c r="AB951" s="1">
        <v>5.6280506069999996</v>
      </c>
      <c r="AC951" s="1">
        <v>5.7595305120000004</v>
      </c>
      <c r="AD951" s="1">
        <v>5.4385263000000004</v>
      </c>
      <c r="AE951" s="1">
        <v>5.5730198079999997</v>
      </c>
    </row>
    <row r="952" spans="1:31" x14ac:dyDescent="0.25">
      <c r="A952" s="1" t="s">
        <v>2146</v>
      </c>
      <c r="B952" s="1" t="s">
        <v>2568</v>
      </c>
      <c r="C952" s="1" t="s">
        <v>2589</v>
      </c>
      <c r="D952" s="1" t="s">
        <v>2535</v>
      </c>
      <c r="E952" s="1" t="s">
        <v>4151</v>
      </c>
      <c r="F952" s="1" t="s">
        <v>4152</v>
      </c>
      <c r="G952" s="1" t="s">
        <v>2146</v>
      </c>
      <c r="H952" s="1">
        <v>5.6684727009999998</v>
      </c>
      <c r="I952" s="1">
        <v>5.5873017430000003</v>
      </c>
      <c r="J952" s="1">
        <v>5.8022574259999997</v>
      </c>
      <c r="K952" s="1">
        <v>4.7454889089999996</v>
      </c>
      <c r="L952" s="1">
        <v>6.2202063540000001</v>
      </c>
      <c r="M952" s="1">
        <v>5.9370080740000004</v>
      </c>
      <c r="N952" s="1">
        <v>6.2705786610000001</v>
      </c>
      <c r="O952" s="1">
        <v>5.7466551829999997</v>
      </c>
      <c r="P952" s="1">
        <v>6.2369105129999998</v>
      </c>
      <c r="Q952" s="1">
        <v>6.1485161530000001</v>
      </c>
      <c r="R952" s="1">
        <v>6.532477096</v>
      </c>
      <c r="S952" s="1">
        <v>6.0973467069999998</v>
      </c>
      <c r="T952" s="1">
        <v>6.2202063540000001</v>
      </c>
      <c r="U952" s="1">
        <v>5.9370080740000004</v>
      </c>
      <c r="V952" s="1">
        <v>6.1619548430000002</v>
      </c>
      <c r="W952" s="1">
        <v>5.8376547490000004</v>
      </c>
      <c r="X952" s="1">
        <v>6.4095855210000003</v>
      </c>
      <c r="Y952" s="1">
        <v>6.2095953220000002</v>
      </c>
      <c r="Z952" s="1">
        <v>6.532477096</v>
      </c>
      <c r="AA952" s="1">
        <v>6.0973467069999998</v>
      </c>
      <c r="AB952" s="1">
        <v>6.339283708</v>
      </c>
      <c r="AC952" s="1">
        <v>6.4923770970000003</v>
      </c>
      <c r="AD952" s="1">
        <v>6.190389411</v>
      </c>
      <c r="AE952" s="1">
        <v>6.2514942319999998</v>
      </c>
    </row>
    <row r="953" spans="1:31" x14ac:dyDescent="0.25">
      <c r="A953" s="1" t="s">
        <v>2147</v>
      </c>
      <c r="B953" s="1" t="s">
        <v>2608</v>
      </c>
      <c r="C953" s="1" t="s">
        <v>2609</v>
      </c>
      <c r="D953" s="1" t="s">
        <v>4063</v>
      </c>
      <c r="E953" s="1" t="s">
        <v>4153</v>
      </c>
      <c r="F953" s="1" t="s">
        <v>4154</v>
      </c>
      <c r="G953" s="1" t="s">
        <v>2147</v>
      </c>
      <c r="H953" s="1">
        <v>5.4626831620000003</v>
      </c>
      <c r="I953" s="1">
        <v>5.9717652650000002</v>
      </c>
      <c r="J953" s="1">
        <v>4.7243317210000004</v>
      </c>
      <c r="K953" s="1">
        <v>4.6734567340000002</v>
      </c>
      <c r="L953" s="1">
        <v>4.7721586460000003</v>
      </c>
      <c r="M953" s="1">
        <v>4.6692867769999999</v>
      </c>
      <c r="N953" s="1">
        <v>6.3068689610000002</v>
      </c>
      <c r="O953" s="1">
        <v>5.9675486500000003</v>
      </c>
      <c r="P953" s="1">
        <v>5.7211848500000002</v>
      </c>
      <c r="Q953" s="1">
        <v>5.6846114249999999</v>
      </c>
      <c r="R953" s="1">
        <v>5.1961281320000001</v>
      </c>
      <c r="S953" s="1">
        <v>5.2672271329999996</v>
      </c>
      <c r="T953" s="1">
        <v>4.7721586460000003</v>
      </c>
      <c r="U953" s="1">
        <v>4.6692867769999999</v>
      </c>
      <c r="V953" s="1">
        <v>4.6987742170000004</v>
      </c>
      <c r="W953" s="1">
        <v>4.4367165279999998</v>
      </c>
      <c r="X953" s="1">
        <v>5.5426459120000002</v>
      </c>
      <c r="Y953" s="1">
        <v>5.2792112080000004</v>
      </c>
      <c r="Z953" s="1">
        <v>5.1961281320000001</v>
      </c>
      <c r="AA953" s="1">
        <v>5.2672271329999996</v>
      </c>
      <c r="AB953" s="1">
        <v>4.8804215500000003</v>
      </c>
      <c r="AC953" s="1">
        <v>5.3988312660000002</v>
      </c>
      <c r="AD953" s="1">
        <v>5.2633210659999996</v>
      </c>
      <c r="AE953" s="1">
        <v>5.0415666330000004</v>
      </c>
    </row>
    <row r="954" spans="1:31" x14ac:dyDescent="0.25">
      <c r="A954" s="1" t="s">
        <v>2148</v>
      </c>
      <c r="B954" s="1" t="s">
        <v>2539</v>
      </c>
      <c r="C954" s="1" t="s">
        <v>2563</v>
      </c>
      <c r="D954" s="1" t="s">
        <v>3260</v>
      </c>
      <c r="E954" s="1" t="s">
        <v>4155</v>
      </c>
      <c r="F954" s="1" t="s">
        <v>4156</v>
      </c>
      <c r="G954" s="1" t="s">
        <v>2148</v>
      </c>
      <c r="H954" s="1">
        <v>6.4251460160000002</v>
      </c>
      <c r="I954" s="1">
        <v>5.8640648840000003</v>
      </c>
      <c r="J954" s="1">
        <v>6.311124607</v>
      </c>
      <c r="K954" s="1">
        <v>6.1452362870000004</v>
      </c>
      <c r="L954" s="1">
        <v>6.4428166300000003</v>
      </c>
      <c r="M954" s="1">
        <v>6.9864030259999996</v>
      </c>
      <c r="N954" s="1">
        <v>6.2207206929999996</v>
      </c>
      <c r="O954" s="1">
        <v>6.2458213499999999</v>
      </c>
      <c r="P954" s="1">
        <v>7.0146380060000002</v>
      </c>
      <c r="Q954" s="1">
        <v>7.015159895</v>
      </c>
      <c r="R954" s="1">
        <v>7.0638992009999999</v>
      </c>
      <c r="S954" s="1">
        <v>7.0022687970000002</v>
      </c>
      <c r="T954" s="1">
        <v>6.4428166300000003</v>
      </c>
      <c r="U954" s="1">
        <v>6.9864030259999996</v>
      </c>
      <c r="V954" s="1">
        <v>6.3829858890000004</v>
      </c>
      <c r="W954" s="1">
        <v>6.5309970670000004</v>
      </c>
      <c r="X954" s="1">
        <v>6.9684093059999999</v>
      </c>
      <c r="Y954" s="1">
        <v>6.3075735850000001</v>
      </c>
      <c r="Z954" s="1">
        <v>7.0638992009999999</v>
      </c>
      <c r="AA954" s="1">
        <v>7.0022687970000002</v>
      </c>
      <c r="AB954" s="1">
        <v>6.7477303849999997</v>
      </c>
      <c r="AC954" s="1">
        <v>7.0600325970000002</v>
      </c>
      <c r="AD954" s="1">
        <v>6.6462203879999997</v>
      </c>
      <c r="AE954" s="1">
        <v>6.8277897879999996</v>
      </c>
    </row>
    <row r="955" spans="1:31" x14ac:dyDescent="0.25">
      <c r="A955" s="1" t="s">
        <v>2149</v>
      </c>
      <c r="B955" s="1" t="s">
        <v>2667</v>
      </c>
      <c r="C955" s="1" t="s">
        <v>2875</v>
      </c>
      <c r="D955" s="1" t="s">
        <v>4157</v>
      </c>
      <c r="E955" s="1" t="s">
        <v>4158</v>
      </c>
      <c r="F955" s="1" t="s">
        <v>4159</v>
      </c>
      <c r="G955" s="1" t="s">
        <v>2149</v>
      </c>
      <c r="H955" s="1">
        <v>3.8023684370000002</v>
      </c>
      <c r="I955" s="1">
        <v>4.5280931029999998</v>
      </c>
      <c r="J955" s="1">
        <v>5.4770890750000003</v>
      </c>
      <c r="K955" s="1">
        <v>5.0588199180000002</v>
      </c>
      <c r="L955" s="1">
        <v>5.993912463</v>
      </c>
      <c r="M955" s="1">
        <v>5.9201092089999996</v>
      </c>
      <c r="N955" s="1">
        <v>4.9001796750000004</v>
      </c>
      <c r="O955" s="1">
        <v>4.4862678239999996</v>
      </c>
      <c r="P955" s="1">
        <v>5.4627121560000003</v>
      </c>
      <c r="Q955" s="1">
        <v>5.5022716190000001</v>
      </c>
      <c r="R955" s="1">
        <v>5.0965654090000001</v>
      </c>
      <c r="S955" s="1">
        <v>5.5773053920000004</v>
      </c>
      <c r="T955" s="1">
        <v>5.993912463</v>
      </c>
      <c r="U955" s="1">
        <v>5.9201092089999996</v>
      </c>
      <c r="V955" s="1">
        <v>5.3546652259999998</v>
      </c>
      <c r="W955" s="1">
        <v>5.4743148909999997</v>
      </c>
      <c r="X955" s="1">
        <v>5.3550813679999996</v>
      </c>
      <c r="Y955" s="1">
        <v>5.7329513619999997</v>
      </c>
      <c r="Z955" s="1">
        <v>5.0965654090000001</v>
      </c>
      <c r="AA955" s="1">
        <v>5.5773053920000004</v>
      </c>
      <c r="AB955" s="1">
        <v>4.9601840040000003</v>
      </c>
      <c r="AC955" s="1">
        <v>5.2822693689999998</v>
      </c>
      <c r="AD955" s="1">
        <v>4.5511338559999999</v>
      </c>
      <c r="AE955" s="1">
        <v>4.6199010239999998</v>
      </c>
    </row>
    <row r="956" spans="1:31" x14ac:dyDescent="0.25">
      <c r="A956" s="1" t="s">
        <v>2154</v>
      </c>
      <c r="B956" s="1" t="s">
        <v>2608</v>
      </c>
      <c r="C956" s="1" t="s">
        <v>2609</v>
      </c>
      <c r="D956" s="1" t="s">
        <v>2610</v>
      </c>
      <c r="E956" s="1" t="s">
        <v>4160</v>
      </c>
      <c r="G956" s="1" t="s">
        <v>2154</v>
      </c>
      <c r="H956" s="1">
        <v>6.0081283179999998</v>
      </c>
      <c r="I956" s="1">
        <v>5.9717652650000002</v>
      </c>
      <c r="J956" s="1">
        <v>5.9926388770000001</v>
      </c>
      <c r="K956" s="1">
        <v>6.0075713720000001</v>
      </c>
      <c r="L956" s="1">
        <v>5.710253325</v>
      </c>
      <c r="M956" s="1">
        <v>5.5973531489999999</v>
      </c>
      <c r="N956" s="1">
        <v>5.2894624830000003</v>
      </c>
      <c r="O956" s="1">
        <v>5.0400854920000002</v>
      </c>
      <c r="P956" s="1">
        <v>6.038086302</v>
      </c>
      <c r="Q956" s="1">
        <v>6.0722034220000003</v>
      </c>
      <c r="R956" s="1">
        <v>5.9594282490000001</v>
      </c>
      <c r="S956" s="1">
        <v>6.1213765840000001</v>
      </c>
      <c r="T956" s="1">
        <v>5.710253325</v>
      </c>
      <c r="U956" s="1">
        <v>5.5973531489999999</v>
      </c>
      <c r="V956" s="1">
        <v>6.1817294079999998</v>
      </c>
      <c r="W956" s="1">
        <v>5.9736131119999998</v>
      </c>
      <c r="X956" s="1">
        <v>5.7256927920000003</v>
      </c>
      <c r="Y956" s="1">
        <v>6.2836980430000002</v>
      </c>
      <c r="Z956" s="1">
        <v>5.9594282490000001</v>
      </c>
      <c r="AA956" s="1">
        <v>6.1213765840000001</v>
      </c>
      <c r="AB956" s="1">
        <v>5.6280506069999996</v>
      </c>
      <c r="AC956" s="1">
        <v>5.5407520860000004</v>
      </c>
      <c r="AD956" s="1">
        <v>5.4385263000000004</v>
      </c>
      <c r="AE956" s="1">
        <v>6.1390820970000002</v>
      </c>
    </row>
    <row r="957" spans="1:31" x14ac:dyDescent="0.25">
      <c r="A957" s="1" t="s">
        <v>2167</v>
      </c>
      <c r="B957" s="1" t="s">
        <v>2539</v>
      </c>
      <c r="C957" s="1" t="s">
        <v>2563</v>
      </c>
      <c r="D957" s="1" t="s">
        <v>2535</v>
      </c>
      <c r="E957" s="1" t="s">
        <v>4161</v>
      </c>
      <c r="F957" s="1" t="s">
        <v>4162</v>
      </c>
      <c r="G957" s="1" t="s">
        <v>2167</v>
      </c>
      <c r="H957" s="1">
        <v>4.9322401630000003</v>
      </c>
      <c r="I957" s="1">
        <v>4.903725959</v>
      </c>
      <c r="J957" s="1">
        <v>4.4503473070000004</v>
      </c>
      <c r="K957" s="1">
        <v>4.1384138449999996</v>
      </c>
      <c r="L957" s="1">
        <v>5.128160297</v>
      </c>
      <c r="M957" s="1">
        <v>4.896083601</v>
      </c>
      <c r="N957" s="1">
        <v>5.3372793730000003</v>
      </c>
      <c r="O957" s="1">
        <v>5.2522077749999996</v>
      </c>
      <c r="P957" s="1">
        <v>4.5499605860000001</v>
      </c>
      <c r="Q957" s="1">
        <v>4.8773483779999998</v>
      </c>
      <c r="R957" s="1">
        <v>4.8118229140000004</v>
      </c>
      <c r="S957" s="1">
        <v>4.5490843459999999</v>
      </c>
      <c r="T957" s="1">
        <v>5.128160297</v>
      </c>
      <c r="U957" s="1">
        <v>4.896083601</v>
      </c>
      <c r="V957" s="1">
        <v>5.0857495259999999</v>
      </c>
      <c r="W957" s="1">
        <v>4.69862249</v>
      </c>
      <c r="X957" s="1">
        <v>4.7192629950000002</v>
      </c>
      <c r="Y957" s="1">
        <v>4.8250325140000001</v>
      </c>
      <c r="Z957" s="1">
        <v>4.8118229140000004</v>
      </c>
      <c r="AA957" s="1">
        <v>4.5490843459999999</v>
      </c>
      <c r="AB957" s="1">
        <v>4.2729702720000002</v>
      </c>
      <c r="AC957" s="1">
        <v>4.7474570290000004</v>
      </c>
      <c r="AD957" s="1">
        <v>5.116107059</v>
      </c>
      <c r="AE957" s="1">
        <v>4.8303216779999998</v>
      </c>
    </row>
    <row r="958" spans="1:31" x14ac:dyDescent="0.25">
      <c r="A958" s="1" t="s">
        <v>2168</v>
      </c>
      <c r="B958" s="1" t="s">
        <v>2642</v>
      </c>
      <c r="C958" s="1" t="s">
        <v>2643</v>
      </c>
      <c r="D958" s="1" t="s">
        <v>2687</v>
      </c>
      <c r="E958" s="1" t="s">
        <v>3726</v>
      </c>
      <c r="F958" s="1" t="s">
        <v>3727</v>
      </c>
      <c r="G958" s="1" t="s">
        <v>2168</v>
      </c>
      <c r="H958" s="1">
        <v>2.640460343</v>
      </c>
      <c r="I958" s="1">
        <v>3.6484415459999999</v>
      </c>
      <c r="J958" s="1">
        <v>2.8907526730000002</v>
      </c>
      <c r="K958" s="1">
        <v>1.7393328349999999</v>
      </c>
      <c r="L958" s="1">
        <v>3.8051274570000002</v>
      </c>
      <c r="M958" s="1">
        <v>3.9251125939999998</v>
      </c>
      <c r="N958" s="1">
        <v>2.9782685729999998</v>
      </c>
      <c r="O958" s="1">
        <v>3.434496577</v>
      </c>
      <c r="P958" s="1">
        <v>3.466113682</v>
      </c>
      <c r="Q958" s="1">
        <v>2.935765398</v>
      </c>
      <c r="R958" s="1">
        <v>3.1834741979999999</v>
      </c>
      <c r="S958" s="1">
        <v>3.3463386960000001</v>
      </c>
      <c r="T958" s="1">
        <v>3.8051274570000002</v>
      </c>
      <c r="U958" s="1">
        <v>3.9251125939999998</v>
      </c>
      <c r="V958" s="1">
        <v>3.2389700330000002</v>
      </c>
      <c r="W958" s="1">
        <v>3.6840067150000002</v>
      </c>
      <c r="X958" s="1">
        <v>3.2074401739999998</v>
      </c>
      <c r="Y958" s="1">
        <v>2.9733498090000001</v>
      </c>
      <c r="Z958" s="1">
        <v>3.1834741979999999</v>
      </c>
      <c r="AA958" s="1">
        <v>3.3463386960000001</v>
      </c>
      <c r="AB958" s="1">
        <v>1.7393328349999999</v>
      </c>
      <c r="AC958" s="1">
        <v>3.6175630609999998</v>
      </c>
      <c r="AD958" s="1">
        <v>3.5727029510000001</v>
      </c>
      <c r="AE958" s="1">
        <v>3.8196998459999998</v>
      </c>
    </row>
    <row r="959" spans="1:31" x14ac:dyDescent="0.25">
      <c r="A959" s="1" t="s">
        <v>2172</v>
      </c>
      <c r="B959" s="1" t="s">
        <v>2539</v>
      </c>
      <c r="C959" s="1" t="s">
        <v>2606</v>
      </c>
      <c r="D959" s="1" t="s">
        <v>2535</v>
      </c>
      <c r="E959" s="1" t="s">
        <v>4163</v>
      </c>
      <c r="G959" s="1" t="s">
        <v>2172</v>
      </c>
      <c r="H959" s="1">
        <v>8.2795101350000007</v>
      </c>
      <c r="I959" s="1">
        <v>8.3545737419999995</v>
      </c>
      <c r="J959" s="1">
        <v>6.7477255810000001</v>
      </c>
      <c r="K959" s="1">
        <v>6.9785336400000002</v>
      </c>
      <c r="L959" s="1">
        <v>6.2202063540000001</v>
      </c>
      <c r="M959" s="1">
        <v>6.2658755480000004</v>
      </c>
      <c r="N959" s="1">
        <v>7.371702998</v>
      </c>
      <c r="O959" s="1">
        <v>7.5836184339999999</v>
      </c>
      <c r="P959" s="1">
        <v>6.9406621209999999</v>
      </c>
      <c r="Q959" s="1">
        <v>6.8270471480000001</v>
      </c>
      <c r="R959" s="1">
        <v>6.941180041</v>
      </c>
      <c r="S959" s="1">
        <v>6.5683371309999998</v>
      </c>
      <c r="T959" s="1">
        <v>6.2202063540000001</v>
      </c>
      <c r="U959" s="1">
        <v>6.2658755480000004</v>
      </c>
      <c r="V959" s="1">
        <v>6.821147324</v>
      </c>
      <c r="W959" s="1">
        <v>6.6370070730000004</v>
      </c>
      <c r="X959" s="1">
        <v>7.1323967919999998</v>
      </c>
      <c r="Y959" s="1">
        <v>7.4213935639999997</v>
      </c>
      <c r="Z959" s="1">
        <v>6.941180041</v>
      </c>
      <c r="AA959" s="1">
        <v>6.5683371309999998</v>
      </c>
      <c r="AB959" s="1">
        <v>7.2176516849999999</v>
      </c>
      <c r="AC959" s="1">
        <v>6.6873132819999999</v>
      </c>
      <c r="AD959" s="1">
        <v>7.293291977</v>
      </c>
      <c r="AE959" s="1">
        <v>7.2800116470000003</v>
      </c>
    </row>
    <row r="960" spans="1:31" x14ac:dyDescent="0.25">
      <c r="A960" s="1" t="s">
        <v>2176</v>
      </c>
      <c r="B960" s="1" t="s">
        <v>2530</v>
      </c>
      <c r="C960" s="1" t="s">
        <v>2531</v>
      </c>
      <c r="D960" s="1" t="s">
        <v>2535</v>
      </c>
      <c r="E960" s="1" t="s">
        <v>2536</v>
      </c>
      <c r="G960" s="1" t="s">
        <v>2176</v>
      </c>
      <c r="H960" s="1">
        <v>4.0684382540000001</v>
      </c>
      <c r="I960" s="1">
        <v>3.7806045529999999</v>
      </c>
      <c r="J960" s="1">
        <v>4.4503473070000004</v>
      </c>
      <c r="K960" s="1">
        <v>4.1384138449999996</v>
      </c>
      <c r="L960" s="1">
        <v>4.9098563420000003</v>
      </c>
      <c r="M960" s="1">
        <v>5.4159199769999997</v>
      </c>
      <c r="N960" s="1">
        <v>4.0417975630000003</v>
      </c>
      <c r="O960" s="1">
        <v>3.88533178</v>
      </c>
      <c r="P960" s="1">
        <v>5.0074447400000004</v>
      </c>
      <c r="Q960" s="1">
        <v>4.7509440400000003</v>
      </c>
      <c r="R960" s="1">
        <v>5.458747732</v>
      </c>
      <c r="S960" s="1">
        <v>5.3915434019999999</v>
      </c>
      <c r="T960" s="1">
        <v>4.9098563420000003</v>
      </c>
      <c r="U960" s="1">
        <v>5.4159199769999997</v>
      </c>
      <c r="V960" s="1">
        <v>4.7533922439999996</v>
      </c>
      <c r="W960" s="1">
        <v>5.0488589419999998</v>
      </c>
      <c r="X960" s="1">
        <v>5.4203833540000002</v>
      </c>
      <c r="Y960" s="1">
        <v>5.503438128</v>
      </c>
      <c r="Z960" s="1">
        <v>5.458747732</v>
      </c>
      <c r="AA960" s="1">
        <v>5.3915434019999999</v>
      </c>
      <c r="AB960" s="1">
        <v>5.6280506069999996</v>
      </c>
      <c r="AC960" s="1">
        <v>5.7003611899999997</v>
      </c>
      <c r="AD960" s="1">
        <v>4.95179218</v>
      </c>
      <c r="AE960" s="1">
        <v>5.2004631630000002</v>
      </c>
    </row>
    <row r="961" spans="1:31" x14ac:dyDescent="0.25">
      <c r="A961" s="1" t="s">
        <v>2178</v>
      </c>
      <c r="B961" s="1" t="s">
        <v>2598</v>
      </c>
      <c r="C961" s="1" t="s">
        <v>2603</v>
      </c>
      <c r="D961" s="1" t="s">
        <v>3452</v>
      </c>
      <c r="E961" s="1" t="s">
        <v>4164</v>
      </c>
      <c r="F961" s="1" t="s">
        <v>4165</v>
      </c>
      <c r="G961" s="1" t="s">
        <v>2178</v>
      </c>
      <c r="H961" s="1">
        <v>5.1686839359999999</v>
      </c>
      <c r="I961" s="1">
        <v>5.3275363779999996</v>
      </c>
      <c r="J961" s="1">
        <v>5.7428701560000004</v>
      </c>
      <c r="K961" s="1">
        <v>5.166960875</v>
      </c>
      <c r="L961" s="1">
        <v>6.0656220599999999</v>
      </c>
      <c r="M961" s="1">
        <v>6.140298574</v>
      </c>
      <c r="N961" s="1">
        <v>4.730225151</v>
      </c>
      <c r="O961" s="1">
        <v>4.385526188</v>
      </c>
      <c r="P961" s="1">
        <v>5.9144375350000002</v>
      </c>
      <c r="Q961" s="1">
        <v>5.8463140779999998</v>
      </c>
      <c r="R961" s="1">
        <v>5.1472208640000003</v>
      </c>
      <c r="S961" s="1">
        <v>5.1309834260000002</v>
      </c>
      <c r="T961" s="1">
        <v>6.0656220599999999</v>
      </c>
      <c r="U961" s="1">
        <v>6.140298574</v>
      </c>
      <c r="V961" s="1">
        <v>6.4659141040000003</v>
      </c>
      <c r="W961" s="1">
        <v>6.0677414089999999</v>
      </c>
      <c r="X961" s="1">
        <v>4.9447045230000004</v>
      </c>
      <c r="Y961" s="1">
        <v>6.1840201749999997</v>
      </c>
      <c r="Z961" s="1">
        <v>5.1472208640000003</v>
      </c>
      <c r="AA961" s="1">
        <v>5.1309834260000002</v>
      </c>
      <c r="AB961" s="1">
        <v>5.1755434500000002</v>
      </c>
      <c r="AC961" s="1">
        <v>5.2822693689999998</v>
      </c>
      <c r="AD961" s="1">
        <v>5.5186611069999998</v>
      </c>
      <c r="AE961" s="1">
        <v>5.1494525009999998</v>
      </c>
    </row>
    <row r="962" spans="1:31" x14ac:dyDescent="0.25">
      <c r="A962" s="1" t="s">
        <v>2179</v>
      </c>
      <c r="B962" s="1" t="s">
        <v>2530</v>
      </c>
      <c r="C962" s="1" t="s">
        <v>2573</v>
      </c>
      <c r="D962" s="1" t="s">
        <v>2535</v>
      </c>
      <c r="E962" s="1" t="s">
        <v>4166</v>
      </c>
      <c r="G962" s="1" t="s">
        <v>2179</v>
      </c>
      <c r="H962" s="1">
        <v>5.8141293449999996</v>
      </c>
      <c r="I962" s="1">
        <v>6.1195241339999997</v>
      </c>
      <c r="J962" s="1">
        <v>5.2392025899999997</v>
      </c>
      <c r="K962" s="1">
        <v>5.3612725399999999</v>
      </c>
      <c r="L962" s="1">
        <v>6.0061156689999997</v>
      </c>
      <c r="M962" s="1">
        <v>5.8143060450000004</v>
      </c>
      <c r="N962" s="1">
        <v>6.664596564</v>
      </c>
      <c r="O962" s="1">
        <v>6.1439115280000003</v>
      </c>
      <c r="P962" s="1">
        <v>5.426847231</v>
      </c>
      <c r="Q962" s="1">
        <v>5.718446159</v>
      </c>
      <c r="R962" s="1">
        <v>5.6102934549999999</v>
      </c>
      <c r="S962" s="1">
        <v>6.1911441390000004</v>
      </c>
      <c r="T962" s="1">
        <v>6.0061156689999997</v>
      </c>
      <c r="U962" s="1">
        <v>5.8143060450000004</v>
      </c>
      <c r="V962" s="1">
        <v>6.0153393629999998</v>
      </c>
      <c r="W962" s="1">
        <v>6.0370461979999996</v>
      </c>
      <c r="X962" s="1">
        <v>5.6370967820000004</v>
      </c>
      <c r="Y962" s="1">
        <v>5.9909787290000001</v>
      </c>
      <c r="Z962" s="1">
        <v>5.6102934549999999</v>
      </c>
      <c r="AA962" s="1">
        <v>6.1911441390000004</v>
      </c>
      <c r="AB962" s="1">
        <v>5.5787398220000002</v>
      </c>
      <c r="AC962" s="1">
        <v>5.3221936159999998</v>
      </c>
      <c r="AD962" s="1">
        <v>6.0893990919999998</v>
      </c>
      <c r="AE962" s="1">
        <v>5.8364806040000001</v>
      </c>
    </row>
    <row r="963" spans="1:31" x14ac:dyDescent="0.25">
      <c r="A963" s="1" t="s">
        <v>2180</v>
      </c>
      <c r="B963" s="1" t="s">
        <v>2520</v>
      </c>
      <c r="C963" s="1" t="s">
        <v>2646</v>
      </c>
      <c r="D963" s="1" t="s">
        <v>2535</v>
      </c>
      <c r="E963" s="1" t="s">
        <v>3694</v>
      </c>
      <c r="G963" s="1" t="s">
        <v>2180</v>
      </c>
      <c r="H963" s="1">
        <v>6.0081283179999998</v>
      </c>
      <c r="I963" s="1">
        <v>5.7169522959999997</v>
      </c>
      <c r="J963" s="1">
        <v>5.8869626679999998</v>
      </c>
      <c r="K963" s="1">
        <v>5.7895293819999996</v>
      </c>
      <c r="L963" s="1">
        <v>5.8250296969999997</v>
      </c>
      <c r="M963" s="1">
        <v>5.9030088159999998</v>
      </c>
      <c r="N963" s="1">
        <v>6.7372563640000003</v>
      </c>
      <c r="O963" s="1">
        <v>6.7101991859999996</v>
      </c>
      <c r="P963" s="1">
        <v>5.9144375350000002</v>
      </c>
      <c r="Q963" s="1">
        <v>5.3805263300000004</v>
      </c>
      <c r="R963" s="1">
        <v>5.9594282490000001</v>
      </c>
      <c r="S963" s="1">
        <v>5.7723891209999998</v>
      </c>
      <c r="T963" s="1">
        <v>5.8250296969999997</v>
      </c>
      <c r="U963" s="1">
        <v>5.9030088159999998</v>
      </c>
      <c r="V963" s="1">
        <v>6.0587793220000004</v>
      </c>
      <c r="W963" s="1">
        <v>5.8015499779999997</v>
      </c>
      <c r="X963" s="1">
        <v>5.6731962669999998</v>
      </c>
      <c r="Y963" s="1">
        <v>5.6971672010000001</v>
      </c>
      <c r="Z963" s="1">
        <v>5.9594282490000001</v>
      </c>
      <c r="AA963" s="1">
        <v>5.7723891209999998</v>
      </c>
      <c r="AB963" s="1">
        <v>5.1755434500000002</v>
      </c>
      <c r="AC963" s="1">
        <v>5.7882226870000002</v>
      </c>
      <c r="AD963" s="1">
        <v>5.6310130599999999</v>
      </c>
      <c r="AE963" s="1">
        <v>5.6663356680000003</v>
      </c>
    </row>
    <row r="964" spans="1:31" x14ac:dyDescent="0.25">
      <c r="A964" s="1" t="s">
        <v>2181</v>
      </c>
      <c r="B964" s="1" t="s">
        <v>2520</v>
      </c>
      <c r="C964" s="1" t="s">
        <v>2646</v>
      </c>
      <c r="D964" s="1" t="s">
        <v>3202</v>
      </c>
      <c r="E964" s="1" t="s">
        <v>3226</v>
      </c>
      <c r="F964" s="1" t="s">
        <v>3227</v>
      </c>
      <c r="G964" s="1" t="s">
        <v>2181</v>
      </c>
      <c r="H964" s="1">
        <v>7.1410877929999996</v>
      </c>
      <c r="I964" s="1">
        <v>7.298132742</v>
      </c>
      <c r="J964" s="1">
        <v>7.8007926430000003</v>
      </c>
      <c r="K964" s="1">
        <v>7.5233248289999999</v>
      </c>
      <c r="L964" s="1">
        <v>7.7374256340000001</v>
      </c>
      <c r="M964" s="1">
        <v>7.592309792</v>
      </c>
      <c r="N964" s="1">
        <v>7.8964507810000004</v>
      </c>
      <c r="O964" s="1">
        <v>7.9707577330000001</v>
      </c>
      <c r="P964" s="1">
        <v>7.5083952590000003</v>
      </c>
      <c r="Q964" s="1">
        <v>7.4153055109999997</v>
      </c>
      <c r="R964" s="1">
        <v>7.9022531660000004</v>
      </c>
      <c r="S964" s="1">
        <v>7.7356183209999996</v>
      </c>
      <c r="T964" s="1">
        <v>7.7374256340000001</v>
      </c>
      <c r="U964" s="1">
        <v>7.592309792</v>
      </c>
      <c r="V964" s="1">
        <v>7.8235243289999996</v>
      </c>
      <c r="W964" s="1">
        <v>7.5995423029999998</v>
      </c>
      <c r="X964" s="1">
        <v>7.5739578539999997</v>
      </c>
      <c r="Y964" s="1">
        <v>7.9390421250000003</v>
      </c>
      <c r="Z964" s="1">
        <v>7.9022531660000004</v>
      </c>
      <c r="AA964" s="1">
        <v>7.7356183209999996</v>
      </c>
      <c r="AB964" s="1">
        <v>8.0021531350000004</v>
      </c>
      <c r="AC964" s="1">
        <v>7.7897765919999999</v>
      </c>
      <c r="AD964" s="1">
        <v>7.8191820779999999</v>
      </c>
      <c r="AE964" s="1">
        <v>8.0973254509999997</v>
      </c>
    </row>
    <row r="965" spans="1:31" x14ac:dyDescent="0.25">
      <c r="A965" s="1" t="s">
        <v>2184</v>
      </c>
      <c r="B965" s="1" t="s">
        <v>2530</v>
      </c>
      <c r="C965" s="1" t="s">
        <v>2531</v>
      </c>
      <c r="D965" s="1" t="s">
        <v>2535</v>
      </c>
      <c r="E965" s="1" t="s">
        <v>2536</v>
      </c>
      <c r="G965" s="1" t="s">
        <v>2184</v>
      </c>
      <c r="H965" s="1">
        <v>3.2549621289999999</v>
      </c>
      <c r="I965" s="1">
        <v>3.5006354609999999</v>
      </c>
      <c r="J965" s="1">
        <v>3.4977151119999998</v>
      </c>
      <c r="K965" s="1">
        <v>2.9677134359999999</v>
      </c>
      <c r="L965" s="1">
        <v>2.9964092330000001</v>
      </c>
      <c r="M965" s="1">
        <v>3.4067547010000001</v>
      </c>
      <c r="N965" s="1">
        <v>3.5368298970000001</v>
      </c>
      <c r="O965" s="1">
        <v>3.8071106499999998</v>
      </c>
      <c r="P965" s="1">
        <v>3.3003929539999999</v>
      </c>
      <c r="Q965" s="1">
        <v>3.388910638</v>
      </c>
      <c r="R965" s="1">
        <v>3.386455024</v>
      </c>
      <c r="S965" s="1">
        <v>3.3463386960000001</v>
      </c>
      <c r="T965" s="1">
        <v>2.9964092330000001</v>
      </c>
      <c r="U965" s="1">
        <v>3.4067547010000001</v>
      </c>
      <c r="V965" s="1">
        <v>3.7819764450000002</v>
      </c>
      <c r="W965" s="1">
        <v>2.6606351240000001</v>
      </c>
      <c r="X965" s="1">
        <v>3.8119046220000001</v>
      </c>
      <c r="Y965" s="1">
        <v>3.229986142</v>
      </c>
      <c r="Z965" s="1">
        <v>3.386455024</v>
      </c>
      <c r="AA965" s="1">
        <v>3.3463386960000001</v>
      </c>
      <c r="AB965" s="1">
        <v>2.73487305</v>
      </c>
      <c r="AC965" s="1">
        <v>3.6175630609999998</v>
      </c>
      <c r="AD965" s="1">
        <v>3.725077481</v>
      </c>
      <c r="AE965" s="1">
        <v>3.213378847</v>
      </c>
    </row>
    <row r="966" spans="1:31" x14ac:dyDescent="0.25">
      <c r="A966" s="1" t="s">
        <v>2188</v>
      </c>
      <c r="B966" s="1" t="s">
        <v>2520</v>
      </c>
      <c r="C966" s="1" t="s">
        <v>3853</v>
      </c>
      <c r="D966" s="1" t="s">
        <v>3854</v>
      </c>
      <c r="E966" s="1" t="s">
        <v>4167</v>
      </c>
      <c r="F966" s="1" t="s">
        <v>4168</v>
      </c>
      <c r="G966" s="1" t="s">
        <v>2188</v>
      </c>
      <c r="H966" s="1">
        <v>6.6155784799999999</v>
      </c>
      <c r="I966" s="1">
        <v>6.4707161060000002</v>
      </c>
      <c r="J966" s="1">
        <v>7.4948400700000004</v>
      </c>
      <c r="K966" s="1">
        <v>7.492758244</v>
      </c>
      <c r="L966" s="1">
        <v>7.4561339819999999</v>
      </c>
      <c r="M966" s="1">
        <v>7.654767359</v>
      </c>
      <c r="N966" s="1">
        <v>6.6552507179999996</v>
      </c>
      <c r="O966" s="1">
        <v>7.1155467110000004</v>
      </c>
      <c r="P966" s="1">
        <v>7.3743722920000003</v>
      </c>
      <c r="Q966" s="1">
        <v>7.5524433919999998</v>
      </c>
      <c r="R966" s="1">
        <v>7.5847497099999996</v>
      </c>
      <c r="S966" s="1">
        <v>7.5270412149999997</v>
      </c>
      <c r="T966" s="1">
        <v>7.4561339819999999</v>
      </c>
      <c r="U966" s="1">
        <v>7.654767359</v>
      </c>
      <c r="V966" s="1">
        <v>7.3522324780000003</v>
      </c>
      <c r="W966" s="1">
        <v>7.1041979590000004</v>
      </c>
      <c r="X966" s="1">
        <v>7.2321936950000003</v>
      </c>
      <c r="Y966" s="1">
        <v>6.9620714589999997</v>
      </c>
      <c r="Z966" s="1">
        <v>7.5847497099999996</v>
      </c>
      <c r="AA966" s="1">
        <v>7.5270412149999997</v>
      </c>
      <c r="AB966" s="1">
        <v>7.1520220669999999</v>
      </c>
      <c r="AC966" s="1">
        <v>7.3842556439999996</v>
      </c>
      <c r="AD966" s="1">
        <v>7.2236412720000001</v>
      </c>
      <c r="AE966" s="1">
        <v>7.1637054640000004</v>
      </c>
    </row>
    <row r="967" spans="1:31" x14ac:dyDescent="0.25">
      <c r="A967" s="1" t="s">
        <v>2189</v>
      </c>
      <c r="B967" s="1" t="s">
        <v>2608</v>
      </c>
      <c r="C967" s="1" t="s">
        <v>2700</v>
      </c>
      <c r="D967" s="1" t="s">
        <v>2701</v>
      </c>
      <c r="E967" s="1" t="s">
        <v>4169</v>
      </c>
      <c r="F967" s="1" t="s">
        <v>4170</v>
      </c>
      <c r="G967" s="1" t="s">
        <v>2189</v>
      </c>
      <c r="H967" s="1">
        <v>6.8858328110000002</v>
      </c>
      <c r="I967" s="1">
        <v>6.5766895930000002</v>
      </c>
      <c r="J967" s="1">
        <v>7.9651675649999998</v>
      </c>
      <c r="K967" s="1">
        <v>8.1958955150000001</v>
      </c>
      <c r="L967" s="1">
        <v>7.7627572459999996</v>
      </c>
      <c r="M967" s="1">
        <v>8.0682100880000007</v>
      </c>
      <c r="N967" s="1">
        <v>6.927790613</v>
      </c>
      <c r="O967" s="1">
        <v>7.0447066889999999</v>
      </c>
      <c r="P967" s="1">
        <v>7.9082019939999997</v>
      </c>
      <c r="Q967" s="1">
        <v>8.0260496830000001</v>
      </c>
      <c r="R967" s="1">
        <v>8.4238671239999992</v>
      </c>
      <c r="S967" s="1">
        <v>8.3160575510000001</v>
      </c>
      <c r="T967" s="1">
        <v>7.7627572459999996</v>
      </c>
      <c r="U967" s="1">
        <v>8.0682100880000007</v>
      </c>
      <c r="V967" s="1">
        <v>7.6430906140000001</v>
      </c>
      <c r="W967" s="1">
        <v>7.6710982799999998</v>
      </c>
      <c r="X967" s="1">
        <v>7.8849392629999997</v>
      </c>
      <c r="Y967" s="1">
        <v>7.3312255589999999</v>
      </c>
      <c r="Z967" s="1">
        <v>8.4238671239999992</v>
      </c>
      <c r="AA967" s="1">
        <v>8.3160575510000001</v>
      </c>
      <c r="AB967" s="1">
        <v>8.2098591180000007</v>
      </c>
      <c r="AC967" s="1">
        <v>8.0120952259999996</v>
      </c>
      <c r="AD967" s="1">
        <v>7.6076808400000004</v>
      </c>
      <c r="AE967" s="1">
        <v>7.6097491980000003</v>
      </c>
    </row>
    <row r="968" spans="1:31" x14ac:dyDescent="0.25">
      <c r="A968" s="1" t="s">
        <v>2194</v>
      </c>
      <c r="B968" s="1" t="s">
        <v>2530</v>
      </c>
      <c r="C968" s="1" t="s">
        <v>2573</v>
      </c>
      <c r="D968" s="1" t="s">
        <v>2535</v>
      </c>
      <c r="E968" s="1" t="s">
        <v>3328</v>
      </c>
      <c r="G968" s="1" t="s">
        <v>2194</v>
      </c>
      <c r="H968" s="1">
        <v>4.9322401630000003</v>
      </c>
      <c r="I968" s="1">
        <v>4.3763156859999999</v>
      </c>
      <c r="J968" s="1">
        <v>5.1034438250000003</v>
      </c>
      <c r="K968" s="1">
        <v>5.3612725399999999</v>
      </c>
      <c r="L968" s="1">
        <v>5.8791437640000002</v>
      </c>
      <c r="M968" s="1">
        <v>5.8143060450000004</v>
      </c>
      <c r="N968" s="1">
        <v>4.6173662499999999</v>
      </c>
      <c r="O968" s="1">
        <v>4.5340058970000001</v>
      </c>
      <c r="P968" s="1">
        <v>5.426847231</v>
      </c>
      <c r="Q968" s="1">
        <v>5.1511590549999999</v>
      </c>
      <c r="R968" s="1">
        <v>5.57388789</v>
      </c>
      <c r="S968" s="1">
        <v>5.4306817489999997</v>
      </c>
      <c r="T968" s="1">
        <v>5.8791437640000002</v>
      </c>
      <c r="U968" s="1">
        <v>5.8143060450000004</v>
      </c>
      <c r="V968" s="1">
        <v>5.5505659869999997</v>
      </c>
      <c r="W968" s="1">
        <v>5.1095551629999996</v>
      </c>
      <c r="X968" s="1">
        <v>5.3098210989999997</v>
      </c>
      <c r="Y968" s="1">
        <v>4.3509215530000001</v>
      </c>
      <c r="Z968" s="1">
        <v>5.57388789</v>
      </c>
      <c r="AA968" s="1">
        <v>5.4306817489999997</v>
      </c>
      <c r="AB968" s="1">
        <v>5.3028471579999996</v>
      </c>
      <c r="AC968" s="1">
        <v>5.198889973</v>
      </c>
      <c r="AD968" s="1">
        <v>5.5186611069999998</v>
      </c>
      <c r="AE968" s="1">
        <v>5.175187158</v>
      </c>
    </row>
    <row r="969" spans="1:31" x14ac:dyDescent="0.25">
      <c r="A969" s="1" t="s">
        <v>2199</v>
      </c>
      <c r="B969" s="1" t="s">
        <v>2535</v>
      </c>
      <c r="C969" s="1" t="s">
        <v>2535</v>
      </c>
      <c r="D969" s="1" t="s">
        <v>2535</v>
      </c>
      <c r="E969" s="1" t="s">
        <v>2535</v>
      </c>
      <c r="F969" s="1" t="s">
        <v>2535</v>
      </c>
      <c r="G969" s="1" t="s">
        <v>2199</v>
      </c>
      <c r="H969" s="1">
        <v>7.0560670449999998</v>
      </c>
      <c r="I969" s="1">
        <v>7.0753932370000001</v>
      </c>
      <c r="J969" s="1">
        <v>4.5940881259999999</v>
      </c>
      <c r="K969" s="1">
        <v>4.4318297590000002</v>
      </c>
      <c r="L969" s="1">
        <v>3.5435353630000002</v>
      </c>
      <c r="M969" s="1">
        <v>3.6044002019999999</v>
      </c>
      <c r="N969" s="1">
        <v>6.1425317259999996</v>
      </c>
      <c r="O969" s="1">
        <v>6.1439115280000003</v>
      </c>
      <c r="P969" s="1">
        <v>4.0684607960000001</v>
      </c>
      <c r="Q969" s="1">
        <v>4.3733115800000002</v>
      </c>
      <c r="R969" s="1">
        <v>3.8462631940000001</v>
      </c>
      <c r="S969" s="1">
        <v>3.5159502420000002</v>
      </c>
      <c r="T969" s="1">
        <v>3.5435353630000002</v>
      </c>
      <c r="U969" s="1">
        <v>3.6044002019999999</v>
      </c>
      <c r="V969" s="1">
        <v>4.1608706030000002</v>
      </c>
      <c r="W969" s="1">
        <v>4.4367165279999998</v>
      </c>
      <c r="X969" s="1">
        <v>3.0884111989999998</v>
      </c>
      <c r="Y969" s="1">
        <v>4.1479647589999997</v>
      </c>
      <c r="Z969" s="1">
        <v>3.8462631940000001</v>
      </c>
      <c r="AA969" s="1">
        <v>3.5159502420000002</v>
      </c>
      <c r="AB969" s="1">
        <v>3.8237667059999998</v>
      </c>
      <c r="AC969" s="1">
        <v>3.8665622239999999</v>
      </c>
      <c r="AD969" s="1">
        <v>3.3987395579999999</v>
      </c>
      <c r="AE969" s="1">
        <v>3.8864783150000002</v>
      </c>
    </row>
    <row r="970" spans="1:31" x14ac:dyDescent="0.25">
      <c r="A970" s="1" t="s">
        <v>2203</v>
      </c>
      <c r="B970" s="1" t="s">
        <v>2539</v>
      </c>
      <c r="C970" s="1" t="s">
        <v>2563</v>
      </c>
      <c r="D970" s="1" t="s">
        <v>3800</v>
      </c>
      <c r="E970" s="1" t="s">
        <v>4171</v>
      </c>
      <c r="G970" s="1" t="s">
        <v>2203</v>
      </c>
      <c r="H970" s="1">
        <v>8.5206012389999994</v>
      </c>
      <c r="I970" s="1">
        <v>8.2357328929999998</v>
      </c>
      <c r="J970" s="1">
        <v>8.3591997419999995</v>
      </c>
      <c r="K970" s="1">
        <v>8.2022055090000006</v>
      </c>
      <c r="L970" s="1">
        <v>7.276814238</v>
      </c>
      <c r="M970" s="1">
        <v>7.3683311700000003</v>
      </c>
      <c r="N970" s="1">
        <v>6.9736113900000003</v>
      </c>
      <c r="O970" s="1">
        <v>7.2475646429999996</v>
      </c>
      <c r="P970" s="1">
        <v>7.4650907049999997</v>
      </c>
      <c r="Q970" s="1">
        <v>7.719872928</v>
      </c>
      <c r="R970" s="1">
        <v>7.5847497099999996</v>
      </c>
      <c r="S970" s="1">
        <v>7.938195565</v>
      </c>
      <c r="T970" s="1">
        <v>7.276814238</v>
      </c>
      <c r="U970" s="1">
        <v>7.3683311700000003</v>
      </c>
      <c r="V970" s="1">
        <v>7.2623881250000002</v>
      </c>
      <c r="W970" s="1">
        <v>7.630644964</v>
      </c>
      <c r="X970" s="1">
        <v>7.3863563020000003</v>
      </c>
      <c r="Y970" s="1">
        <v>7.3543018069999997</v>
      </c>
      <c r="Z970" s="1">
        <v>7.5847497099999996</v>
      </c>
      <c r="AA970" s="1">
        <v>7.938195565</v>
      </c>
      <c r="AB970" s="1">
        <v>7.7594175390000002</v>
      </c>
      <c r="AC970" s="1">
        <v>7.6331006529999996</v>
      </c>
      <c r="AD970" s="1">
        <v>7.6257906120000003</v>
      </c>
      <c r="AE970" s="1">
        <v>7.3489093329999999</v>
      </c>
    </row>
    <row r="971" spans="1:31" x14ac:dyDescent="0.25">
      <c r="A971" s="1" t="s">
        <v>2208</v>
      </c>
      <c r="B971" s="1" t="s">
        <v>2530</v>
      </c>
      <c r="C971" s="1" t="s">
        <v>2573</v>
      </c>
      <c r="D971" s="1" t="s">
        <v>2535</v>
      </c>
      <c r="E971" s="1" t="s">
        <v>4172</v>
      </c>
      <c r="G971" s="1" t="s">
        <v>2208</v>
      </c>
      <c r="H971" s="1">
        <v>2.9945681560000001</v>
      </c>
      <c r="I971" s="1">
        <v>3.3322126910000001</v>
      </c>
      <c r="J971" s="1">
        <v>2.8907526730000002</v>
      </c>
      <c r="K971" s="1">
        <v>3.607491666</v>
      </c>
      <c r="L971" s="1">
        <v>2.8704126319999999</v>
      </c>
      <c r="M971" s="1">
        <v>3.169085575</v>
      </c>
      <c r="N971" s="1">
        <v>3.5368298970000001</v>
      </c>
      <c r="O971" s="1">
        <v>3.050193165</v>
      </c>
      <c r="P971" s="1">
        <v>3.466113682</v>
      </c>
      <c r="Q971" s="1">
        <v>3.185675432</v>
      </c>
      <c r="R971" s="1">
        <v>3.1834741979999999</v>
      </c>
      <c r="S971" s="1">
        <v>2.9034795349999998</v>
      </c>
      <c r="T971" s="1">
        <v>2.8704126319999999</v>
      </c>
      <c r="U971" s="1">
        <v>3.169085575</v>
      </c>
      <c r="V971" s="1">
        <v>1.7393328349999999</v>
      </c>
      <c r="W971" s="1">
        <v>3.9848641250000001</v>
      </c>
      <c r="X971" s="1">
        <v>2.6106888979999998</v>
      </c>
      <c r="Y971" s="1">
        <v>2.9733498090000001</v>
      </c>
      <c r="Z971" s="1">
        <v>3.1834741979999999</v>
      </c>
      <c r="AA971" s="1">
        <v>2.9034795349999998</v>
      </c>
      <c r="AB971" s="1">
        <v>3.404153038</v>
      </c>
      <c r="AC971" s="1">
        <v>3.3054795530000001</v>
      </c>
      <c r="AD971" s="1">
        <v>3.5727029510000001</v>
      </c>
      <c r="AE971" s="1">
        <v>3.321206681</v>
      </c>
    </row>
    <row r="972" spans="1:31" x14ac:dyDescent="0.25">
      <c r="A972" s="1" t="s">
        <v>2209</v>
      </c>
      <c r="B972" s="1" t="s">
        <v>2530</v>
      </c>
      <c r="C972" s="1" t="s">
        <v>2573</v>
      </c>
      <c r="D972" s="1" t="s">
        <v>2535</v>
      </c>
      <c r="E972" s="1" t="s">
        <v>3004</v>
      </c>
      <c r="G972" s="1" t="s">
        <v>2209</v>
      </c>
      <c r="H972" s="1">
        <v>2.640460343</v>
      </c>
      <c r="I972" s="1">
        <v>2.5655118899999998</v>
      </c>
      <c r="J972" s="1">
        <v>2.5640169199999998</v>
      </c>
      <c r="K972" s="1">
        <v>3.22334677</v>
      </c>
      <c r="L972" s="1">
        <v>3.3884746630000002</v>
      </c>
      <c r="M972" s="1">
        <v>1.7393328349999999</v>
      </c>
      <c r="N972" s="1">
        <v>2.9782685729999998</v>
      </c>
      <c r="O972" s="1">
        <v>3.5386882399999999</v>
      </c>
      <c r="P972" s="1">
        <v>2.8687501260000001</v>
      </c>
      <c r="Q972" s="1">
        <v>3.185675432</v>
      </c>
      <c r="R972" s="1">
        <v>2.595728008</v>
      </c>
      <c r="S972" s="1">
        <v>2.9034795349999998</v>
      </c>
      <c r="T972" s="1">
        <v>3.3884746630000002</v>
      </c>
      <c r="U972" s="1">
        <v>1.7393328349999999</v>
      </c>
      <c r="V972" s="1">
        <v>3.2389700330000002</v>
      </c>
      <c r="W972" s="1">
        <v>1.7393328349999999</v>
      </c>
      <c r="X972" s="1">
        <v>3.2074401739999998</v>
      </c>
      <c r="Y972" s="1">
        <v>3.229986142</v>
      </c>
      <c r="Z972" s="1">
        <v>2.595728008</v>
      </c>
      <c r="AA972" s="1">
        <v>2.9034795349999998</v>
      </c>
      <c r="AB972" s="1">
        <v>2.73487305</v>
      </c>
      <c r="AC972" s="1">
        <v>3.1109927919999998</v>
      </c>
      <c r="AD972" s="1">
        <v>2.6025990879999998</v>
      </c>
      <c r="AE972" s="1">
        <v>1.7393328349999999</v>
      </c>
    </row>
    <row r="973" spans="1:31" x14ac:dyDescent="0.25">
      <c r="A973" s="1" t="s">
        <v>2211</v>
      </c>
      <c r="B973" s="1" t="s">
        <v>2530</v>
      </c>
      <c r="C973" s="1" t="s">
        <v>2573</v>
      </c>
      <c r="D973" s="1" t="s">
        <v>2535</v>
      </c>
      <c r="E973" s="1" t="s">
        <v>4173</v>
      </c>
      <c r="G973" s="1" t="s">
        <v>2211</v>
      </c>
      <c r="H973" s="1">
        <v>4.7245801409999997</v>
      </c>
      <c r="I973" s="1">
        <v>4.7893724280000001</v>
      </c>
      <c r="J973" s="1">
        <v>4.2898244959999996</v>
      </c>
      <c r="K973" s="1">
        <v>5.2180867539999998</v>
      </c>
      <c r="L973" s="1">
        <v>4.0223143549999998</v>
      </c>
      <c r="M973" s="1">
        <v>4.3982295550000003</v>
      </c>
      <c r="N973" s="1">
        <v>4.210067993</v>
      </c>
      <c r="O973" s="1">
        <v>4.5340058970000001</v>
      </c>
      <c r="P973" s="1">
        <v>4.0684607960000001</v>
      </c>
      <c r="Q973" s="1">
        <v>3.56206471</v>
      </c>
      <c r="R973" s="1">
        <v>4.0808207129999996</v>
      </c>
      <c r="S973" s="1">
        <v>3.9182367880000002</v>
      </c>
      <c r="T973" s="1">
        <v>4.0223143549999998</v>
      </c>
      <c r="U973" s="1">
        <v>4.3982295550000003</v>
      </c>
      <c r="V973" s="1">
        <v>3.3993802240000002</v>
      </c>
      <c r="W973" s="1">
        <v>4.2295768090000001</v>
      </c>
      <c r="X973" s="1">
        <v>4.5325909299999996</v>
      </c>
      <c r="Y973" s="1">
        <v>4.8904630100000004</v>
      </c>
      <c r="Z973" s="1">
        <v>4.0808207129999996</v>
      </c>
      <c r="AA973" s="1">
        <v>3.9182367880000002</v>
      </c>
      <c r="AB973" s="1">
        <v>4.5063178209999997</v>
      </c>
      <c r="AC973" s="1">
        <v>4.0753403910000001</v>
      </c>
      <c r="AD973" s="1">
        <v>4.2005997429999997</v>
      </c>
      <c r="AE973" s="1">
        <v>3.5108161330000001</v>
      </c>
    </row>
    <row r="974" spans="1:31" x14ac:dyDescent="0.25">
      <c r="A974" s="1" t="s">
        <v>2212</v>
      </c>
      <c r="B974" s="1" t="s">
        <v>2530</v>
      </c>
      <c r="C974" s="1" t="s">
        <v>2531</v>
      </c>
      <c r="D974" s="1" t="s">
        <v>2535</v>
      </c>
      <c r="E974" s="1" t="s">
        <v>2536</v>
      </c>
      <c r="G974" s="1" t="s">
        <v>2212</v>
      </c>
      <c r="H974" s="1">
        <v>4.183793842</v>
      </c>
      <c r="I974" s="1">
        <v>4.1114152529999997</v>
      </c>
      <c r="J974" s="1">
        <v>4.0065844400000001</v>
      </c>
      <c r="K974" s="1">
        <v>3.762021974</v>
      </c>
      <c r="L974" s="1">
        <v>3.7446308510000001</v>
      </c>
      <c r="M974" s="1">
        <v>3.4067547010000001</v>
      </c>
      <c r="N974" s="1">
        <v>3.344961128</v>
      </c>
      <c r="O974" s="1">
        <v>4.1585876539999997</v>
      </c>
      <c r="P974" s="1">
        <v>3.86011382</v>
      </c>
      <c r="Q974" s="1">
        <v>2.935765398</v>
      </c>
      <c r="R974" s="1">
        <v>3.968758995</v>
      </c>
      <c r="S974" s="1">
        <v>2.9034795349999998</v>
      </c>
      <c r="T974" s="1">
        <v>3.7446308510000001</v>
      </c>
      <c r="U974" s="1">
        <v>3.4067547010000001</v>
      </c>
      <c r="V974" s="1">
        <v>3.2389700330000002</v>
      </c>
      <c r="W974" s="1">
        <v>1.7393328349999999</v>
      </c>
      <c r="X974" s="1">
        <v>3.9418607479999999</v>
      </c>
      <c r="Y974" s="1">
        <v>3.7705059300000001</v>
      </c>
      <c r="Z974" s="1">
        <v>3.968758995</v>
      </c>
      <c r="AA974" s="1">
        <v>2.9034795349999998</v>
      </c>
      <c r="AB974" s="1">
        <v>3.404153038</v>
      </c>
      <c r="AC974" s="1">
        <v>2.87258916</v>
      </c>
      <c r="AD974" s="1">
        <v>2.6025990879999998</v>
      </c>
      <c r="AE974" s="1">
        <v>3.5954838599999999</v>
      </c>
    </row>
    <row r="975" spans="1:31" x14ac:dyDescent="0.25">
      <c r="A975" s="1" t="s">
        <v>2214</v>
      </c>
      <c r="B975" s="1" t="s">
        <v>2530</v>
      </c>
      <c r="C975" s="1" t="s">
        <v>2573</v>
      </c>
      <c r="D975" s="1" t="s">
        <v>2535</v>
      </c>
      <c r="E975" s="1" t="s">
        <v>4174</v>
      </c>
      <c r="G975" s="1" t="s">
        <v>2214</v>
      </c>
      <c r="H975" s="1">
        <v>3.4660955969999998</v>
      </c>
      <c r="I975" s="1">
        <v>3.3322126910000001</v>
      </c>
      <c r="J975" s="1">
        <v>3.329519721</v>
      </c>
      <c r="K975" s="1">
        <v>2.9677134359999999</v>
      </c>
      <c r="L975" s="1">
        <v>3.8629070379999999</v>
      </c>
      <c r="M975" s="1">
        <v>3.4067547010000001</v>
      </c>
      <c r="N975" s="1">
        <v>3.7779028299999999</v>
      </c>
      <c r="O975" s="1">
        <v>3.7238257350000001</v>
      </c>
      <c r="P975" s="1">
        <v>3.6116823170000001</v>
      </c>
      <c r="Q975" s="1">
        <v>3.185675432</v>
      </c>
      <c r="R975" s="1">
        <v>3.968758995</v>
      </c>
      <c r="S975" s="1">
        <v>2.5733617299999998</v>
      </c>
      <c r="T975" s="1">
        <v>3.8629070379999999</v>
      </c>
      <c r="U975" s="1">
        <v>3.4067547010000001</v>
      </c>
      <c r="V975" s="1">
        <v>3.3993802240000002</v>
      </c>
      <c r="W975" s="1">
        <v>2.6606351240000001</v>
      </c>
      <c r="X975" s="1">
        <v>2.7988456519999998</v>
      </c>
      <c r="Y975" s="1">
        <v>2.9733498090000001</v>
      </c>
      <c r="Z975" s="1">
        <v>3.968758995</v>
      </c>
      <c r="AA975" s="1">
        <v>2.5733617299999998</v>
      </c>
      <c r="AB975" s="1">
        <v>1.7393328349999999</v>
      </c>
      <c r="AC975" s="1">
        <v>2.87258916</v>
      </c>
      <c r="AD975" s="1">
        <v>3.8610926929999998</v>
      </c>
      <c r="AE975" s="1">
        <v>2.9592545700000001</v>
      </c>
    </row>
    <row r="976" spans="1:31" x14ac:dyDescent="0.25">
      <c r="A976" s="1" t="s">
        <v>2221</v>
      </c>
      <c r="B976" s="1" t="s">
        <v>2598</v>
      </c>
      <c r="C976" s="1" t="s">
        <v>2599</v>
      </c>
      <c r="D976" s="1" t="s">
        <v>2600</v>
      </c>
      <c r="E976" s="1" t="s">
        <v>4175</v>
      </c>
      <c r="F976" s="1" t="s">
        <v>4176</v>
      </c>
      <c r="G976" s="1" t="s">
        <v>2221</v>
      </c>
      <c r="H976" s="1">
        <v>8.0570188799999993</v>
      </c>
      <c r="I976" s="1">
        <v>7.791418009</v>
      </c>
      <c r="J976" s="1">
        <v>8.5087876920000003</v>
      </c>
      <c r="K976" s="1">
        <v>8.3344682349999992</v>
      </c>
      <c r="L976" s="1">
        <v>7.9413491040000004</v>
      </c>
      <c r="M976" s="1">
        <v>8.0947329010000004</v>
      </c>
      <c r="N976" s="1">
        <v>7.3544935740000001</v>
      </c>
      <c r="O976" s="1">
        <v>7.5836184339999999</v>
      </c>
      <c r="P976" s="1">
        <v>8.3262622089999994</v>
      </c>
      <c r="Q976" s="1">
        <v>8.2031130050000005</v>
      </c>
      <c r="R976" s="1">
        <v>8.4187685059999993</v>
      </c>
      <c r="S976" s="1">
        <v>8.5679998620000006</v>
      </c>
      <c r="T976" s="1">
        <v>7.9413491040000004</v>
      </c>
      <c r="U976" s="1">
        <v>8.0947329010000004</v>
      </c>
      <c r="V976" s="1">
        <v>8.3709701800000005</v>
      </c>
      <c r="W976" s="1">
        <v>8.387259212</v>
      </c>
      <c r="X976" s="1">
        <v>8.1941649089999995</v>
      </c>
      <c r="Y976" s="1">
        <v>8.3014706090000008</v>
      </c>
      <c r="Z976" s="1">
        <v>8.4187685059999993</v>
      </c>
      <c r="AA976" s="1">
        <v>8.5679998620000006</v>
      </c>
      <c r="AB976" s="1">
        <v>8.4125493599999999</v>
      </c>
      <c r="AC976" s="1">
        <v>8.2720093680000009</v>
      </c>
      <c r="AD976" s="1">
        <v>8.325025321</v>
      </c>
      <c r="AE976" s="1">
        <v>8.402860596</v>
      </c>
    </row>
    <row r="977" spans="1:31" x14ac:dyDescent="0.25">
      <c r="A977" s="1" t="s">
        <v>2222</v>
      </c>
      <c r="B977" s="1" t="s">
        <v>2530</v>
      </c>
      <c r="C977" s="1" t="s">
        <v>2531</v>
      </c>
      <c r="D977" s="1" t="s">
        <v>2535</v>
      </c>
      <c r="E977" s="1" t="s">
        <v>2536</v>
      </c>
      <c r="G977" s="1" t="s">
        <v>2222</v>
      </c>
      <c r="H977" s="1">
        <v>6.9342905650000004</v>
      </c>
      <c r="I977" s="1">
        <v>6.5422250579999996</v>
      </c>
      <c r="J977" s="1">
        <v>6.5716853950000003</v>
      </c>
      <c r="K977" s="1">
        <v>6.5339269729999998</v>
      </c>
      <c r="L977" s="1">
        <v>7.1726379920000003</v>
      </c>
      <c r="M977" s="1">
        <v>7.3369255029999998</v>
      </c>
      <c r="N977" s="1">
        <v>6.4757340919999997</v>
      </c>
      <c r="O977" s="1">
        <v>6.4425402370000002</v>
      </c>
      <c r="P977" s="1">
        <v>7.085000398</v>
      </c>
      <c r="Q977" s="1">
        <v>6.7476078419999999</v>
      </c>
      <c r="R977" s="1">
        <v>7.1890158729999998</v>
      </c>
      <c r="S977" s="1">
        <v>6.8810329960000001</v>
      </c>
      <c r="T977" s="1">
        <v>7.1726379920000003</v>
      </c>
      <c r="U977" s="1">
        <v>7.3369255029999998</v>
      </c>
      <c r="V977" s="1">
        <v>6.7828668890000001</v>
      </c>
      <c r="W977" s="1">
        <v>6.7918889980000001</v>
      </c>
      <c r="X977" s="1">
        <v>7.0111888699999998</v>
      </c>
      <c r="Y977" s="1">
        <v>6.6990194939999999</v>
      </c>
      <c r="Z977" s="1">
        <v>7.1890158729999998</v>
      </c>
      <c r="AA977" s="1">
        <v>6.8810329960000001</v>
      </c>
      <c r="AB977" s="1">
        <v>7.0110522609999997</v>
      </c>
      <c r="AC977" s="1">
        <v>7.1398799740000003</v>
      </c>
      <c r="AD977" s="1">
        <v>6.9778452360000003</v>
      </c>
      <c r="AE977" s="1">
        <v>6.8034375320000002</v>
      </c>
    </row>
    <row r="978" spans="1:31" x14ac:dyDescent="0.25">
      <c r="A978" s="1" t="s">
        <v>2223</v>
      </c>
      <c r="B978" s="1" t="s">
        <v>2608</v>
      </c>
      <c r="C978" s="1" t="s">
        <v>2758</v>
      </c>
      <c r="D978" s="1" t="s">
        <v>2759</v>
      </c>
      <c r="E978" s="1" t="s">
        <v>4177</v>
      </c>
      <c r="F978" s="1" t="s">
        <v>4178</v>
      </c>
      <c r="G978" s="1" t="s">
        <v>2223</v>
      </c>
      <c r="H978" s="1">
        <v>9.1422271790000007</v>
      </c>
      <c r="I978" s="1">
        <v>9.1153728489999999</v>
      </c>
      <c r="J978" s="1">
        <v>8.6841761670000004</v>
      </c>
      <c r="K978" s="1">
        <v>8.6891687179999995</v>
      </c>
      <c r="L978" s="1">
        <v>8.3735387439999993</v>
      </c>
      <c r="M978" s="1">
        <v>8.5066816149999998</v>
      </c>
      <c r="N978" s="1">
        <v>8.748239774</v>
      </c>
      <c r="O978" s="1">
        <v>9.1962651540000007</v>
      </c>
      <c r="P978" s="1">
        <v>8.4153918700000006</v>
      </c>
      <c r="Q978" s="1">
        <v>8.3872266100000008</v>
      </c>
      <c r="R978" s="1">
        <v>8.6276268399999996</v>
      </c>
      <c r="S978" s="1">
        <v>8.4918783799999993</v>
      </c>
      <c r="T978" s="1">
        <v>8.3735387439999993</v>
      </c>
      <c r="U978" s="1">
        <v>8.5066816149999998</v>
      </c>
      <c r="V978" s="1">
        <v>8.6227089960000001</v>
      </c>
      <c r="W978" s="1">
        <v>8.5854345720000005</v>
      </c>
      <c r="X978" s="1">
        <v>8.218694996</v>
      </c>
      <c r="Y978" s="1">
        <v>8.6197184769999993</v>
      </c>
      <c r="Z978" s="1">
        <v>8.6276268399999996</v>
      </c>
      <c r="AA978" s="1">
        <v>8.4918783799999993</v>
      </c>
      <c r="AB978" s="1">
        <v>8.6508604859999991</v>
      </c>
      <c r="AC978" s="1">
        <v>8.3459860409999997</v>
      </c>
      <c r="AD978" s="1">
        <v>8.5312032359999996</v>
      </c>
      <c r="AE978" s="1">
        <v>8.4216340190000007</v>
      </c>
    </row>
    <row r="979" spans="1:31" x14ac:dyDescent="0.25">
      <c r="A979" s="1" t="s">
        <v>2224</v>
      </c>
      <c r="B979" s="1" t="s">
        <v>2598</v>
      </c>
      <c r="C979" s="1" t="s">
        <v>3183</v>
      </c>
      <c r="D979" s="1" t="s">
        <v>4179</v>
      </c>
      <c r="E979" s="1" t="s">
        <v>4180</v>
      </c>
      <c r="F979" s="1" t="s">
        <v>4181</v>
      </c>
      <c r="G979" s="1" t="s">
        <v>2224</v>
      </c>
      <c r="H979" s="1">
        <v>9.4805952389999995</v>
      </c>
      <c r="I979" s="1">
        <v>9.4344282479999997</v>
      </c>
      <c r="J979" s="1">
        <v>9.0349779239999997</v>
      </c>
      <c r="K979" s="1">
        <v>8.9846597199999998</v>
      </c>
      <c r="L979" s="1">
        <v>8.6887545399999997</v>
      </c>
      <c r="M979" s="1">
        <v>8.8199440229999997</v>
      </c>
      <c r="N979" s="1">
        <v>9.1433065659999997</v>
      </c>
      <c r="O979" s="1">
        <v>9.1853355699999994</v>
      </c>
      <c r="P979" s="1">
        <v>8.9741087279999991</v>
      </c>
      <c r="Q979" s="1">
        <v>9.0379712090000002</v>
      </c>
      <c r="R979" s="1">
        <v>9.0695109630000008</v>
      </c>
      <c r="S979" s="1">
        <v>8.9524291569999992</v>
      </c>
      <c r="T979" s="1">
        <v>8.6887545399999997</v>
      </c>
      <c r="U979" s="1">
        <v>8.8199440229999997</v>
      </c>
      <c r="V979" s="1">
        <v>8.9534740389999996</v>
      </c>
      <c r="W979" s="1">
        <v>8.8238334849999998</v>
      </c>
      <c r="X979" s="1">
        <v>8.899188187</v>
      </c>
      <c r="Y979" s="1">
        <v>9.0768445819999997</v>
      </c>
      <c r="Z979" s="1">
        <v>9.0695109630000008</v>
      </c>
      <c r="AA979" s="1">
        <v>8.9524291569999992</v>
      </c>
      <c r="AB979" s="1">
        <v>8.9787047050000002</v>
      </c>
      <c r="AC979" s="1">
        <v>8.8243838819999993</v>
      </c>
      <c r="AD979" s="1">
        <v>8.7778330879999995</v>
      </c>
      <c r="AE979" s="1">
        <v>8.9248727510000005</v>
      </c>
    </row>
    <row r="980" spans="1:31" x14ac:dyDescent="0.25">
      <c r="A980" s="1" t="s">
        <v>2225</v>
      </c>
      <c r="B980" s="1" t="s">
        <v>2530</v>
      </c>
      <c r="C980" s="1" t="s">
        <v>2531</v>
      </c>
      <c r="D980" s="1" t="s">
        <v>2535</v>
      </c>
      <c r="E980" s="1" t="s">
        <v>2536</v>
      </c>
      <c r="G980" s="1" t="s">
        <v>2225</v>
      </c>
      <c r="H980" s="1">
        <v>3.2549621289999999</v>
      </c>
      <c r="I980" s="1">
        <v>3.5006354609999999</v>
      </c>
      <c r="J980" s="1">
        <v>3.4977151119999998</v>
      </c>
      <c r="K980" s="1">
        <v>4.0244910950000001</v>
      </c>
      <c r="L980" s="1">
        <v>4.1645832880000002</v>
      </c>
      <c r="M980" s="1">
        <v>3.6044002019999999</v>
      </c>
      <c r="N980" s="1">
        <v>4.3116130799999999</v>
      </c>
      <c r="O980" s="1">
        <v>4.0953574540000002</v>
      </c>
      <c r="P980" s="1">
        <v>4.0684607960000001</v>
      </c>
      <c r="Q980" s="1">
        <v>2.935765398</v>
      </c>
      <c r="R980" s="1">
        <v>4.2802026870000001</v>
      </c>
      <c r="S980" s="1">
        <v>3.9182367880000002</v>
      </c>
      <c r="T980" s="1">
        <v>4.1645832880000002</v>
      </c>
      <c r="U980" s="1">
        <v>3.6044002019999999</v>
      </c>
      <c r="V980" s="1">
        <v>3.9849921849999999</v>
      </c>
      <c r="W980" s="1">
        <v>4.2295768090000001</v>
      </c>
      <c r="X980" s="1">
        <v>4.2198471</v>
      </c>
      <c r="Y980" s="1">
        <v>4.3509215530000001</v>
      </c>
      <c r="Z980" s="1">
        <v>4.2802026870000001</v>
      </c>
      <c r="AA980" s="1">
        <v>3.9182367880000002</v>
      </c>
      <c r="AB980" s="1">
        <v>3.990981031</v>
      </c>
      <c r="AC980" s="1">
        <v>4.5576875899999996</v>
      </c>
      <c r="AD980" s="1">
        <v>3.5727029510000001</v>
      </c>
      <c r="AE980" s="1">
        <v>3.67472814</v>
      </c>
    </row>
    <row r="981" spans="1:31" x14ac:dyDescent="0.25">
      <c r="A981" s="1" t="s">
        <v>2229</v>
      </c>
      <c r="B981" s="1" t="s">
        <v>2535</v>
      </c>
      <c r="C981" s="1" t="s">
        <v>2535</v>
      </c>
      <c r="D981" s="1" t="s">
        <v>2535</v>
      </c>
      <c r="E981" s="1" t="s">
        <v>2535</v>
      </c>
      <c r="F981" s="1" t="s">
        <v>2535</v>
      </c>
      <c r="G981" s="1" t="s">
        <v>2229</v>
      </c>
      <c r="H981" s="1">
        <v>4.2900513550000001</v>
      </c>
      <c r="I981" s="1">
        <v>4.5981535630000003</v>
      </c>
      <c r="J981" s="1">
        <v>3.7773371739999999</v>
      </c>
      <c r="K981" s="1">
        <v>3.4309024589999999</v>
      </c>
      <c r="L981" s="1">
        <v>2.8704126319999999</v>
      </c>
      <c r="M981" s="1">
        <v>3.027864058</v>
      </c>
      <c r="N981" s="1">
        <v>4.5366957899999996</v>
      </c>
      <c r="O981" s="1">
        <v>4.2189785100000003</v>
      </c>
      <c r="P981" s="1">
        <v>3.3003929539999999</v>
      </c>
      <c r="Q981" s="1">
        <v>3.56206471</v>
      </c>
      <c r="R981" s="1">
        <v>1.7393328349999999</v>
      </c>
      <c r="S981" s="1">
        <v>3.1475403900000001</v>
      </c>
      <c r="T981" s="1">
        <v>2.8704126319999999</v>
      </c>
      <c r="U981" s="1">
        <v>3.027864058</v>
      </c>
      <c r="V981" s="1">
        <v>3.3993802240000002</v>
      </c>
      <c r="W981" s="1">
        <v>3.8431653940000001</v>
      </c>
      <c r="X981" s="1">
        <v>3.8785046219999999</v>
      </c>
      <c r="Y981" s="1">
        <v>3.7705059300000001</v>
      </c>
      <c r="Z981" s="1">
        <v>1.7393328349999999</v>
      </c>
      <c r="AA981" s="1">
        <v>3.1475403900000001</v>
      </c>
      <c r="AB981" s="1">
        <v>3.404153038</v>
      </c>
      <c r="AC981" s="1">
        <v>3.3054795530000001</v>
      </c>
      <c r="AD981" s="1">
        <v>3.1944880649999998</v>
      </c>
      <c r="AE981" s="1">
        <v>3.5108161330000001</v>
      </c>
    </row>
    <row r="982" spans="1:31" x14ac:dyDescent="0.25">
      <c r="A982" s="1" t="s">
        <v>2230</v>
      </c>
      <c r="B982" s="1" t="s">
        <v>2530</v>
      </c>
      <c r="C982" s="1" t="s">
        <v>2573</v>
      </c>
      <c r="D982" s="1" t="s">
        <v>2535</v>
      </c>
      <c r="E982" s="1" t="s">
        <v>4182</v>
      </c>
      <c r="G982" s="1" t="s">
        <v>2230</v>
      </c>
      <c r="H982" s="1">
        <v>2.9945681560000001</v>
      </c>
      <c r="I982" s="1">
        <v>3.1348991329999998</v>
      </c>
      <c r="J982" s="1">
        <v>3.6453331530000002</v>
      </c>
      <c r="K982" s="1">
        <v>3.762021974</v>
      </c>
      <c r="L982" s="1">
        <v>3.3884746630000002</v>
      </c>
      <c r="M982" s="1">
        <v>3.9942443089999999</v>
      </c>
      <c r="N982" s="1">
        <v>3.444746345</v>
      </c>
      <c r="O982" s="1">
        <v>2.883783352</v>
      </c>
      <c r="P982" s="1">
        <v>3.7419514989999998</v>
      </c>
      <c r="Q982" s="1">
        <v>3.185675432</v>
      </c>
      <c r="R982" s="1">
        <v>3.5594063970000001</v>
      </c>
      <c r="S982" s="1">
        <v>4.0285685429999996</v>
      </c>
      <c r="T982" s="1">
        <v>3.3884746630000002</v>
      </c>
      <c r="U982" s="1">
        <v>3.9942443089999999</v>
      </c>
      <c r="V982" s="1">
        <v>3.887436229</v>
      </c>
      <c r="W982" s="1">
        <v>3.8431653940000001</v>
      </c>
      <c r="X982" s="1">
        <v>3.8119046220000001</v>
      </c>
      <c r="Y982" s="1">
        <v>2.9733498090000001</v>
      </c>
      <c r="Z982" s="1">
        <v>3.5594063970000001</v>
      </c>
      <c r="AA982" s="1">
        <v>4.0285685429999996</v>
      </c>
      <c r="AB982" s="1">
        <v>4.139369361</v>
      </c>
      <c r="AC982" s="1">
        <v>3.6175630609999998</v>
      </c>
      <c r="AD982" s="1">
        <v>3.3987395579999999</v>
      </c>
      <c r="AE982" s="1">
        <v>3.67472814</v>
      </c>
    </row>
    <row r="983" spans="1:31" x14ac:dyDescent="0.25">
      <c r="A983" s="1" t="s">
        <v>2231</v>
      </c>
      <c r="B983" s="1" t="s">
        <v>2530</v>
      </c>
      <c r="C983" s="1" t="s">
        <v>2573</v>
      </c>
      <c r="D983" s="1" t="s">
        <v>2535</v>
      </c>
      <c r="E983" s="1" t="s">
        <v>4183</v>
      </c>
      <c r="G983" s="1" t="s">
        <v>2231</v>
      </c>
      <c r="H983" s="1">
        <v>4.995162745</v>
      </c>
      <c r="I983" s="1">
        <v>4.1114152529999997</v>
      </c>
      <c r="J983" s="1">
        <v>5.9926388770000001</v>
      </c>
      <c r="K983" s="1">
        <v>6.0361807939999998</v>
      </c>
      <c r="L983" s="1">
        <v>6.1991155779999998</v>
      </c>
      <c r="M983" s="1">
        <v>6.1108364430000002</v>
      </c>
      <c r="N983" s="1">
        <v>5.2399813159999997</v>
      </c>
      <c r="O983" s="1">
        <v>5.1651541859999996</v>
      </c>
      <c r="P983" s="1">
        <v>6.2775910990000003</v>
      </c>
      <c r="Q983" s="1">
        <v>5.9062084209999997</v>
      </c>
      <c r="R983" s="1">
        <v>5.458747732</v>
      </c>
      <c r="S983" s="1">
        <v>5.8024660560000001</v>
      </c>
      <c r="T983" s="1">
        <v>6.1991155779999998</v>
      </c>
      <c r="U983" s="1">
        <v>6.1108364430000002</v>
      </c>
      <c r="V983" s="1">
        <v>5.9931161309999998</v>
      </c>
      <c r="W983" s="1">
        <v>6.0056801469999996</v>
      </c>
      <c r="X983" s="1">
        <v>5.9480492979999999</v>
      </c>
      <c r="Y983" s="1">
        <v>6.1044436219999998</v>
      </c>
      <c r="Z983" s="1">
        <v>5.458747732</v>
      </c>
      <c r="AA983" s="1">
        <v>5.8024660560000001</v>
      </c>
      <c r="AB983" s="1">
        <v>5.675717079</v>
      </c>
      <c r="AC983" s="1">
        <v>5.7302515789999999</v>
      </c>
      <c r="AD983" s="1">
        <v>5.6665831520000003</v>
      </c>
      <c r="AE983" s="1">
        <v>6.2026157089999998</v>
      </c>
    </row>
    <row r="984" spans="1:31" x14ac:dyDescent="0.25">
      <c r="A984" s="1" t="s">
        <v>2232</v>
      </c>
      <c r="B984" s="1" t="s">
        <v>2608</v>
      </c>
      <c r="C984" s="1" t="s">
        <v>2758</v>
      </c>
      <c r="D984" s="1" t="s">
        <v>2759</v>
      </c>
      <c r="E984" s="1" t="s">
        <v>4184</v>
      </c>
      <c r="F984" s="1" t="s">
        <v>4185</v>
      </c>
      <c r="G984" s="1" t="s">
        <v>2232</v>
      </c>
      <c r="H984" s="1">
        <v>6.8693110669999999</v>
      </c>
      <c r="I984" s="1">
        <v>6.8960698870000003</v>
      </c>
      <c r="J984" s="1">
        <v>7.581854527</v>
      </c>
      <c r="K984" s="1">
        <v>7.2584585600000002</v>
      </c>
      <c r="L984" s="1">
        <v>7.7699138599999999</v>
      </c>
      <c r="M984" s="1">
        <v>7.8979331349999997</v>
      </c>
      <c r="N984" s="1">
        <v>7.3602529079999996</v>
      </c>
      <c r="O984" s="1">
        <v>7.3555515219999998</v>
      </c>
      <c r="P984" s="1">
        <v>7.6543321369999999</v>
      </c>
      <c r="Q984" s="1">
        <v>7.5430688720000001</v>
      </c>
      <c r="R984" s="1">
        <v>7.6815998240000001</v>
      </c>
      <c r="S984" s="1">
        <v>7.7663592360000004</v>
      </c>
      <c r="T984" s="1">
        <v>7.7699138599999999</v>
      </c>
      <c r="U984" s="1">
        <v>7.8979331349999997</v>
      </c>
      <c r="V984" s="1">
        <v>7.4931841910000001</v>
      </c>
      <c r="W984" s="1">
        <v>7.3973631339999999</v>
      </c>
      <c r="X984" s="1">
        <v>7.8262825830000002</v>
      </c>
      <c r="Y984" s="1">
        <v>7.3882379680000003</v>
      </c>
      <c r="Z984" s="1">
        <v>7.6815998240000001</v>
      </c>
      <c r="AA984" s="1">
        <v>7.7663592360000004</v>
      </c>
      <c r="AB984" s="1">
        <v>7.5588360830000001</v>
      </c>
      <c r="AC984" s="1">
        <v>7.6565524309999997</v>
      </c>
      <c r="AD984" s="1">
        <v>7.5135542710000003</v>
      </c>
      <c r="AE984" s="1">
        <v>7.4200101360000001</v>
      </c>
    </row>
    <row r="985" spans="1:31" x14ac:dyDescent="0.25">
      <c r="A985" s="1" t="s">
        <v>2234</v>
      </c>
      <c r="B985" s="1" t="s">
        <v>2598</v>
      </c>
      <c r="C985" s="1" t="s">
        <v>2603</v>
      </c>
      <c r="D985" s="1" t="s">
        <v>4031</v>
      </c>
      <c r="E985" s="1" t="s">
        <v>4186</v>
      </c>
      <c r="F985" s="1" t="s">
        <v>4187</v>
      </c>
      <c r="G985" s="1" t="s">
        <v>2234</v>
      </c>
      <c r="H985" s="1">
        <v>5.0553993879999997</v>
      </c>
      <c r="I985" s="1">
        <v>3.9003964459999998</v>
      </c>
      <c r="J985" s="1">
        <v>4.6607313550000002</v>
      </c>
      <c r="K985" s="1">
        <v>3.8998480660000001</v>
      </c>
      <c r="L985" s="1">
        <v>4.3727018190000004</v>
      </c>
      <c r="M985" s="1">
        <v>4.1823509169999999</v>
      </c>
      <c r="N985" s="1">
        <v>5.3372793730000003</v>
      </c>
      <c r="O985" s="1">
        <v>5.6435121610000003</v>
      </c>
      <c r="P985" s="1">
        <v>4.3303557189999999</v>
      </c>
      <c r="Q985" s="1">
        <v>4.5369064569999997</v>
      </c>
      <c r="R985" s="1">
        <v>3.968758995</v>
      </c>
      <c r="S985" s="1">
        <v>3.5159502420000002</v>
      </c>
      <c r="T985" s="1">
        <v>4.3727018190000004</v>
      </c>
      <c r="U985" s="1">
        <v>4.1823509169999999</v>
      </c>
      <c r="V985" s="1">
        <v>4.0758289169999999</v>
      </c>
      <c r="W985" s="1">
        <v>4.69862249</v>
      </c>
      <c r="X985" s="1">
        <v>4.407182283</v>
      </c>
      <c r="Y985" s="1">
        <v>5.1254702539999997</v>
      </c>
      <c r="Z985" s="1">
        <v>3.968758995</v>
      </c>
      <c r="AA985" s="1">
        <v>3.5159502420000002</v>
      </c>
      <c r="AB985" s="1">
        <v>4.5063178209999997</v>
      </c>
      <c r="AC985" s="1">
        <v>3.8665622239999999</v>
      </c>
      <c r="AD985" s="1">
        <v>4.5511338559999999</v>
      </c>
      <c r="AE985" s="1">
        <v>4.8303216779999998</v>
      </c>
    </row>
    <row r="986" spans="1:31" x14ac:dyDescent="0.25">
      <c r="A986" s="1" t="s">
        <v>2235</v>
      </c>
      <c r="B986" s="1" t="s">
        <v>2608</v>
      </c>
      <c r="C986" s="1" t="s">
        <v>2791</v>
      </c>
      <c r="D986" s="1" t="s">
        <v>2792</v>
      </c>
      <c r="E986" s="1" t="s">
        <v>4188</v>
      </c>
      <c r="F986" s="1" t="s">
        <v>4189</v>
      </c>
      <c r="G986" s="1" t="s">
        <v>2235</v>
      </c>
      <c r="H986" s="1">
        <v>8.8330656909999998</v>
      </c>
      <c r="I986" s="1">
        <v>8.7012063289999997</v>
      </c>
      <c r="J986" s="1">
        <v>7.8576916260000003</v>
      </c>
      <c r="K986" s="1">
        <v>8.2877639060000003</v>
      </c>
      <c r="L986" s="1">
        <v>7.0661679120000001</v>
      </c>
      <c r="M986" s="1">
        <v>6.8944446109999999</v>
      </c>
      <c r="N986" s="1">
        <v>8.5433484429999993</v>
      </c>
      <c r="O986" s="1">
        <v>8.9079649560000007</v>
      </c>
      <c r="P986" s="1">
        <v>7.3929784380000001</v>
      </c>
      <c r="Q986" s="1">
        <v>7.4458102659999996</v>
      </c>
      <c r="R986" s="1">
        <v>7.1769818540000001</v>
      </c>
      <c r="S986" s="1">
        <v>7.2399334890000002</v>
      </c>
      <c r="T986" s="1">
        <v>7.0661679120000001</v>
      </c>
      <c r="U986" s="1">
        <v>6.8944446109999999</v>
      </c>
      <c r="V986" s="1">
        <v>7.6920807379999996</v>
      </c>
      <c r="W986" s="1">
        <v>7.9429644140000004</v>
      </c>
      <c r="X986" s="1">
        <v>7.364531919</v>
      </c>
      <c r="Y986" s="1">
        <v>8.1711237719999996</v>
      </c>
      <c r="Z986" s="1">
        <v>7.1769818540000001</v>
      </c>
      <c r="AA986" s="1">
        <v>7.2399334890000002</v>
      </c>
      <c r="AB986" s="1">
        <v>7.7032630519999996</v>
      </c>
      <c r="AC986" s="1">
        <v>7.5183138569999999</v>
      </c>
      <c r="AD986" s="1">
        <v>8.0035939529999993</v>
      </c>
      <c r="AE986" s="1">
        <v>8.1303089570000004</v>
      </c>
    </row>
    <row r="987" spans="1:31" x14ac:dyDescent="0.25">
      <c r="A987" s="1" t="s">
        <v>2245</v>
      </c>
      <c r="B987" s="1" t="s">
        <v>2520</v>
      </c>
      <c r="C987" s="1" t="s">
        <v>2646</v>
      </c>
      <c r="D987" s="1" t="s">
        <v>2535</v>
      </c>
      <c r="E987" s="1" t="s">
        <v>4190</v>
      </c>
      <c r="G987" s="1" t="s">
        <v>2245</v>
      </c>
      <c r="H987" s="1">
        <v>5.8817546890000001</v>
      </c>
      <c r="I987" s="1">
        <v>6.4335830219999997</v>
      </c>
      <c r="J987" s="1">
        <v>5.0051223570000003</v>
      </c>
      <c r="K987" s="1">
        <v>5.6105789259999996</v>
      </c>
      <c r="L987" s="1">
        <v>5.082479009</v>
      </c>
      <c r="M987" s="1">
        <v>5.4634864729999997</v>
      </c>
      <c r="N987" s="1">
        <v>6.1425317259999996</v>
      </c>
      <c r="O987" s="1">
        <v>6.3540746549999998</v>
      </c>
      <c r="P987" s="1">
        <v>5.1903212940000003</v>
      </c>
      <c r="Q987" s="1">
        <v>5.3805263300000004</v>
      </c>
      <c r="R987" s="1">
        <v>4.7472384160000001</v>
      </c>
      <c r="S987" s="1">
        <v>4.980227309</v>
      </c>
      <c r="T987" s="1">
        <v>5.082479009</v>
      </c>
      <c r="U987" s="1">
        <v>5.4634864729999997</v>
      </c>
      <c r="V987" s="1">
        <v>5.3192272129999996</v>
      </c>
      <c r="W987" s="1">
        <v>5.3792812999999997</v>
      </c>
      <c r="X987" s="1">
        <v>5.3098210989999997</v>
      </c>
      <c r="Y987" s="1">
        <v>5.2297915760000002</v>
      </c>
      <c r="Z987" s="1">
        <v>4.7472384160000001</v>
      </c>
      <c r="AA987" s="1">
        <v>4.980227309</v>
      </c>
      <c r="AB987" s="1">
        <v>5.3028471579999996</v>
      </c>
      <c r="AC987" s="1">
        <v>5.2822693689999998</v>
      </c>
      <c r="AD987" s="1">
        <v>5.1668950269999998</v>
      </c>
      <c r="AE987" s="1">
        <v>5.49371411</v>
      </c>
    </row>
    <row r="988" spans="1:31" x14ac:dyDescent="0.25">
      <c r="A988" s="1" t="s">
        <v>2249</v>
      </c>
      <c r="B988" s="1" t="s">
        <v>2667</v>
      </c>
      <c r="C988" s="1" t="s">
        <v>2875</v>
      </c>
      <c r="D988" s="1" t="s">
        <v>3679</v>
      </c>
      <c r="E988" s="1" t="s">
        <v>4191</v>
      </c>
      <c r="F988" s="1" t="s">
        <v>4192</v>
      </c>
      <c r="G988" s="1" t="s">
        <v>2249</v>
      </c>
      <c r="H988" s="1">
        <v>4.9322401630000003</v>
      </c>
      <c r="I988" s="1">
        <v>5.5177814730000003</v>
      </c>
      <c r="J988" s="1">
        <v>5.9669407659999996</v>
      </c>
      <c r="K988" s="1">
        <v>4.4318297590000002</v>
      </c>
      <c r="L988" s="1">
        <v>6.7558605199999997</v>
      </c>
      <c r="M988" s="1">
        <v>6.8054248829999997</v>
      </c>
      <c r="N988" s="1">
        <v>5.0802595029999997</v>
      </c>
      <c r="O988" s="1">
        <v>5.0724039640000003</v>
      </c>
      <c r="P988" s="1">
        <v>6.1298655379999998</v>
      </c>
      <c r="Q988" s="1">
        <v>6.045837068</v>
      </c>
      <c r="R988" s="1">
        <v>6.2166299269999996</v>
      </c>
      <c r="S988" s="1">
        <v>5.9707657090000001</v>
      </c>
      <c r="T988" s="1">
        <v>6.7558605199999997</v>
      </c>
      <c r="U988" s="1">
        <v>6.8054248829999997</v>
      </c>
      <c r="V988" s="1">
        <v>6.3658106080000003</v>
      </c>
      <c r="W988" s="1">
        <v>6.463427716</v>
      </c>
      <c r="X988" s="1">
        <v>5.9915198639999998</v>
      </c>
      <c r="Y988" s="1">
        <v>5.7678626939999997</v>
      </c>
      <c r="Z988" s="1">
        <v>6.2166299269999996</v>
      </c>
      <c r="AA988" s="1">
        <v>5.9707657090000001</v>
      </c>
      <c r="AB988" s="1">
        <v>6.1502584210000002</v>
      </c>
      <c r="AC988" s="1">
        <v>6.2870326270000003</v>
      </c>
      <c r="AD988" s="1">
        <v>5.7351750150000003</v>
      </c>
      <c r="AE988" s="1">
        <v>5.4523450599999999</v>
      </c>
    </row>
    <row r="989" spans="1:31" x14ac:dyDescent="0.25">
      <c r="A989" s="1" t="s">
        <v>2252</v>
      </c>
      <c r="B989" s="1" t="s">
        <v>2539</v>
      </c>
      <c r="C989" s="1" t="s">
        <v>2606</v>
      </c>
      <c r="D989" s="1" t="s">
        <v>3536</v>
      </c>
      <c r="E989" s="1" t="s">
        <v>3537</v>
      </c>
      <c r="G989" s="1" t="s">
        <v>2252</v>
      </c>
      <c r="H989" s="1">
        <v>5.8483408880000001</v>
      </c>
      <c r="I989" s="1">
        <v>5.8640648840000003</v>
      </c>
      <c r="J989" s="1">
        <v>5.2817155790000001</v>
      </c>
      <c r="K989" s="1">
        <v>5.0588199180000002</v>
      </c>
      <c r="L989" s="1">
        <v>6.3016040330000003</v>
      </c>
      <c r="M989" s="1">
        <v>6.0500341449999997</v>
      </c>
      <c r="N989" s="1">
        <v>6.1425317259999996</v>
      </c>
      <c r="O989" s="1">
        <v>5.8428635399999997</v>
      </c>
      <c r="P989" s="1">
        <v>6.038086302</v>
      </c>
      <c r="Q989" s="1">
        <v>5.5406489910000003</v>
      </c>
      <c r="R989" s="1">
        <v>6.1192055940000003</v>
      </c>
      <c r="S989" s="1">
        <v>6.2136668149999998</v>
      </c>
      <c r="T989" s="1">
        <v>6.3016040330000003</v>
      </c>
      <c r="U989" s="1">
        <v>6.0500341449999997</v>
      </c>
      <c r="V989" s="1">
        <v>6.2012354710000004</v>
      </c>
      <c r="W989" s="1">
        <v>5.9408128590000002</v>
      </c>
      <c r="X989" s="1">
        <v>5.9771755410000003</v>
      </c>
      <c r="Y989" s="1">
        <v>6.0769070919999999</v>
      </c>
      <c r="Z989" s="1">
        <v>6.1192055940000003</v>
      </c>
      <c r="AA989" s="1">
        <v>6.2136668149999998</v>
      </c>
      <c r="AB989" s="1">
        <v>6.008835446</v>
      </c>
      <c r="AC989" s="1">
        <v>6.0940352600000001</v>
      </c>
      <c r="AD989" s="1">
        <v>5.9522696560000004</v>
      </c>
      <c r="AE989" s="1">
        <v>5.9885482259999998</v>
      </c>
    </row>
    <row r="990" spans="1:31" x14ac:dyDescent="0.25">
      <c r="A990" s="1" t="s">
        <v>2253</v>
      </c>
      <c r="B990" s="1" t="s">
        <v>2530</v>
      </c>
      <c r="C990" s="1" t="s">
        <v>2531</v>
      </c>
      <c r="D990" s="1" t="s">
        <v>2535</v>
      </c>
      <c r="E990" s="1" t="s">
        <v>2536</v>
      </c>
      <c r="G990" s="1" t="s">
        <v>2253</v>
      </c>
      <c r="H990" s="1">
        <v>4.9322401630000003</v>
      </c>
      <c r="I990" s="1">
        <v>4.903725959</v>
      </c>
      <c r="J990" s="1">
        <v>3.1324899180000001</v>
      </c>
      <c r="K990" s="1">
        <v>3.607491666</v>
      </c>
      <c r="L990" s="1">
        <v>3.3884746630000002</v>
      </c>
      <c r="M990" s="1">
        <v>3.9942443089999999</v>
      </c>
      <c r="N990" s="1">
        <v>4.8346471299999996</v>
      </c>
      <c r="O990" s="1">
        <v>3.434496577</v>
      </c>
      <c r="P990" s="1">
        <v>4.0684607960000001</v>
      </c>
      <c r="Q990" s="1">
        <v>3.388910638</v>
      </c>
      <c r="R990" s="1">
        <v>1.7393328349999999</v>
      </c>
      <c r="S990" s="1">
        <v>3.1475403900000001</v>
      </c>
      <c r="T990" s="1">
        <v>3.3884746630000002</v>
      </c>
      <c r="U990" s="1">
        <v>3.9942443089999999</v>
      </c>
      <c r="V990" s="1">
        <v>3.7819764450000002</v>
      </c>
      <c r="W990" s="1">
        <v>3.50175473</v>
      </c>
      <c r="X990" s="1">
        <v>3.3149070109999998</v>
      </c>
      <c r="Y990" s="1">
        <v>3.6154848500000001</v>
      </c>
      <c r="Z990" s="1">
        <v>1.7393328349999999</v>
      </c>
      <c r="AA990" s="1">
        <v>3.1475403900000001</v>
      </c>
      <c r="AB990" s="1">
        <v>3.6315729079999999</v>
      </c>
      <c r="AC990" s="1">
        <v>3.3054795530000001</v>
      </c>
      <c r="AD990" s="1">
        <v>3.3987395579999999</v>
      </c>
      <c r="AE990" s="1">
        <v>3.5108161330000001</v>
      </c>
    </row>
    <row r="991" spans="1:31" x14ac:dyDescent="0.25">
      <c r="A991" s="1" t="s">
        <v>2254</v>
      </c>
      <c r="B991" s="1" t="s">
        <v>2568</v>
      </c>
      <c r="C991" s="1" t="s">
        <v>2569</v>
      </c>
      <c r="D991" s="1" t="s">
        <v>2570</v>
      </c>
      <c r="E991" s="1" t="s">
        <v>4193</v>
      </c>
      <c r="F991" s="1" t="s">
        <v>4194</v>
      </c>
      <c r="G991" s="1" t="s">
        <v>2254</v>
      </c>
      <c r="H991" s="1">
        <v>3.6455184960000002</v>
      </c>
      <c r="I991" s="1">
        <v>4.1114152529999997</v>
      </c>
      <c r="J991" s="1">
        <v>3.8969924050000002</v>
      </c>
      <c r="K991" s="1">
        <v>4.1384138449999996</v>
      </c>
      <c r="L991" s="1">
        <v>4.7721586460000003</v>
      </c>
      <c r="M991" s="1">
        <v>4.5846937370000003</v>
      </c>
      <c r="N991" s="1">
        <v>4.765904581</v>
      </c>
      <c r="O991" s="1">
        <v>3.193511794</v>
      </c>
      <c r="P991" s="1">
        <v>3.466113682</v>
      </c>
      <c r="Q991" s="1">
        <v>4.2835653880000004</v>
      </c>
      <c r="R991" s="1">
        <v>4.3698765340000003</v>
      </c>
      <c r="S991" s="1">
        <v>4.4749637470000003</v>
      </c>
      <c r="T991" s="1">
        <v>4.7721586460000003</v>
      </c>
      <c r="U991" s="1">
        <v>4.5846937370000003</v>
      </c>
      <c r="V991" s="1">
        <v>3.7819764450000002</v>
      </c>
      <c r="W991" s="1">
        <v>4.1128053839999996</v>
      </c>
      <c r="X991" s="1">
        <v>4.0600950219999996</v>
      </c>
      <c r="Y991" s="1">
        <v>4.6081171230000004</v>
      </c>
      <c r="Z991" s="1">
        <v>4.3698765340000003</v>
      </c>
      <c r="AA991" s="1">
        <v>4.4749637470000003</v>
      </c>
      <c r="AB991" s="1">
        <v>4.139369361</v>
      </c>
      <c r="AC991" s="1">
        <v>3.9750819590000002</v>
      </c>
      <c r="AD991" s="1">
        <v>3.5727029510000001</v>
      </c>
      <c r="AE991" s="1">
        <v>3.67472814</v>
      </c>
    </row>
    <row r="992" spans="1:31" x14ac:dyDescent="0.25">
      <c r="A992" s="1" t="s">
        <v>2257</v>
      </c>
      <c r="B992" s="1" t="s">
        <v>2662</v>
      </c>
      <c r="C992" s="1" t="s">
        <v>3721</v>
      </c>
      <c r="D992" s="1" t="s">
        <v>4195</v>
      </c>
      <c r="E992" s="1" t="s">
        <v>4196</v>
      </c>
      <c r="G992" s="1" t="s">
        <v>2257</v>
      </c>
      <c r="H992" s="1">
        <v>3.2549621289999999</v>
      </c>
      <c r="I992" s="1">
        <v>2.8927893610000002</v>
      </c>
      <c r="J992" s="1">
        <v>3.1324899180000001</v>
      </c>
      <c r="K992" s="1">
        <v>4.0244910950000001</v>
      </c>
      <c r="L992" s="1">
        <v>2.8704126319999999</v>
      </c>
      <c r="M992" s="1">
        <v>3.027864058</v>
      </c>
      <c r="N992" s="1">
        <v>3.5368298970000001</v>
      </c>
      <c r="O992" s="1">
        <v>3.5386882399999999</v>
      </c>
      <c r="P992" s="1">
        <v>3.7419514989999998</v>
      </c>
      <c r="Q992" s="1">
        <v>1.7393328349999999</v>
      </c>
      <c r="R992" s="1">
        <v>3.1834741979999999</v>
      </c>
      <c r="S992" s="1">
        <v>3.6647387380000001</v>
      </c>
      <c r="T992" s="1">
        <v>2.8704126319999999</v>
      </c>
      <c r="U992" s="1">
        <v>3.027864058</v>
      </c>
      <c r="V992" s="1">
        <v>4.2408545169999998</v>
      </c>
      <c r="W992" s="1">
        <v>3.50175473</v>
      </c>
      <c r="X992" s="1">
        <v>2.9542167930000001</v>
      </c>
      <c r="Y992" s="1">
        <v>3.229986142</v>
      </c>
      <c r="Z992" s="1">
        <v>3.1834741979999999</v>
      </c>
      <c r="AA992" s="1">
        <v>3.6647387380000001</v>
      </c>
      <c r="AB992" s="1">
        <v>3.6315729079999999</v>
      </c>
      <c r="AC992" s="1">
        <v>3.3054795530000001</v>
      </c>
      <c r="AD992" s="1">
        <v>2.9432342459999998</v>
      </c>
      <c r="AE992" s="1">
        <v>2.9592545700000001</v>
      </c>
    </row>
    <row r="993" spans="1:31" x14ac:dyDescent="0.25">
      <c r="A993" s="1" t="s">
        <v>2258</v>
      </c>
      <c r="B993" s="1" t="s">
        <v>2662</v>
      </c>
      <c r="C993" s="1" t="s">
        <v>3721</v>
      </c>
      <c r="D993" s="1" t="s">
        <v>4195</v>
      </c>
      <c r="E993" s="1" t="s">
        <v>4197</v>
      </c>
      <c r="F993" s="1" t="s">
        <v>4198</v>
      </c>
      <c r="G993" s="1" t="s">
        <v>2258</v>
      </c>
      <c r="H993" s="1">
        <v>7.3696505800000001</v>
      </c>
      <c r="I993" s="1">
        <v>7.0873869479999998</v>
      </c>
      <c r="J993" s="1">
        <v>7.4117674429999996</v>
      </c>
      <c r="K993" s="1">
        <v>7.1838709730000003</v>
      </c>
      <c r="L993" s="1">
        <v>6.8262513709999997</v>
      </c>
      <c r="M993" s="1">
        <v>7.0575068930000002</v>
      </c>
      <c r="N993" s="1">
        <v>6.9043218279999996</v>
      </c>
      <c r="O993" s="1">
        <v>7.0766218429999999</v>
      </c>
      <c r="P993" s="1">
        <v>7.4384695250000004</v>
      </c>
      <c r="Q993" s="1">
        <v>7.3086925369999998</v>
      </c>
      <c r="R993" s="1">
        <v>7.304132815</v>
      </c>
      <c r="S993" s="1">
        <v>7.3556661600000002</v>
      </c>
      <c r="T993" s="1">
        <v>6.8262513709999997</v>
      </c>
      <c r="U993" s="1">
        <v>7.0575068930000002</v>
      </c>
      <c r="V993" s="1">
        <v>7.5166880860000003</v>
      </c>
      <c r="W993" s="1">
        <v>7.3607277580000003</v>
      </c>
      <c r="X993" s="1">
        <v>7.30848005</v>
      </c>
      <c r="Y993" s="1">
        <v>7.3195474049999998</v>
      </c>
      <c r="Z993" s="1">
        <v>7.304132815</v>
      </c>
      <c r="AA993" s="1">
        <v>7.3556661600000002</v>
      </c>
      <c r="AB993" s="1">
        <v>7.2015223370000001</v>
      </c>
      <c r="AC993" s="1">
        <v>7.0123369000000002</v>
      </c>
      <c r="AD993" s="1">
        <v>7.381214613</v>
      </c>
      <c r="AE993" s="1">
        <v>7.3545048780000002</v>
      </c>
    </row>
    <row r="994" spans="1:31" x14ac:dyDescent="0.25">
      <c r="A994" s="1" t="s">
        <v>2259</v>
      </c>
      <c r="B994" s="1" t="s">
        <v>2662</v>
      </c>
      <c r="C994" s="1" t="s">
        <v>3721</v>
      </c>
      <c r="D994" s="1" t="s">
        <v>4195</v>
      </c>
      <c r="E994" s="1" t="s">
        <v>4199</v>
      </c>
      <c r="F994" s="1" t="s">
        <v>4200</v>
      </c>
      <c r="G994" s="1" t="s">
        <v>2259</v>
      </c>
      <c r="H994" s="1">
        <v>7.3813453510000002</v>
      </c>
      <c r="I994" s="1">
        <v>7.3287621789999999</v>
      </c>
      <c r="J994" s="1">
        <v>6.863459046</v>
      </c>
      <c r="K994" s="1">
        <v>6.8557452210000003</v>
      </c>
      <c r="L994" s="1">
        <v>6.2409920359999997</v>
      </c>
      <c r="M994" s="1">
        <v>6.2791745209999998</v>
      </c>
      <c r="N994" s="1">
        <v>7.061099928</v>
      </c>
      <c r="O994" s="1">
        <v>7.1534477360000004</v>
      </c>
      <c r="P994" s="1">
        <v>6.8220475609999998</v>
      </c>
      <c r="Q994" s="1">
        <v>7.1323497619999996</v>
      </c>
      <c r="R994" s="1">
        <v>6.6932924079999996</v>
      </c>
      <c r="S994" s="1">
        <v>6.3212713310000002</v>
      </c>
      <c r="T994" s="1">
        <v>6.2409920359999997</v>
      </c>
      <c r="U994" s="1">
        <v>6.2791745209999998</v>
      </c>
      <c r="V994" s="1">
        <v>6.8827702540000004</v>
      </c>
      <c r="W994" s="1">
        <v>6.463427716</v>
      </c>
      <c r="X994" s="1">
        <v>6.5025394790000002</v>
      </c>
      <c r="Y994" s="1">
        <v>6.680867428</v>
      </c>
      <c r="Z994" s="1">
        <v>6.6932924079999996</v>
      </c>
      <c r="AA994" s="1">
        <v>6.3212713310000002</v>
      </c>
      <c r="AB994" s="1">
        <v>6.5830868880000004</v>
      </c>
      <c r="AC994" s="1">
        <v>6.7899177740000001</v>
      </c>
      <c r="AD994" s="1">
        <v>6.4966454860000002</v>
      </c>
      <c r="AE994" s="1">
        <v>6.6750869430000002</v>
      </c>
    </row>
    <row r="995" spans="1:31" x14ac:dyDescent="0.25">
      <c r="A995" s="1" t="s">
        <v>2260</v>
      </c>
      <c r="B995" s="1" t="s">
        <v>2662</v>
      </c>
      <c r="C995" s="1" t="s">
        <v>3721</v>
      </c>
      <c r="D995" s="1" t="s">
        <v>4195</v>
      </c>
      <c r="E995" s="1" t="s">
        <v>4201</v>
      </c>
      <c r="F995" s="1" t="s">
        <v>4202</v>
      </c>
      <c r="G995" s="1" t="s">
        <v>2260</v>
      </c>
      <c r="H995" s="1">
        <v>7.8951786789999998</v>
      </c>
      <c r="I995" s="1">
        <v>7.6286577539999998</v>
      </c>
      <c r="J995" s="1">
        <v>7.1176644690000002</v>
      </c>
      <c r="K995" s="1">
        <v>6.9337055090000002</v>
      </c>
      <c r="L995" s="1">
        <v>7.0248703890000002</v>
      </c>
      <c r="M995" s="1">
        <v>7.0497775430000003</v>
      </c>
      <c r="N995" s="1">
        <v>7.5024475429999997</v>
      </c>
      <c r="O995" s="1">
        <v>7.5095852350000003</v>
      </c>
      <c r="P995" s="1">
        <v>7.2675102499999999</v>
      </c>
      <c r="Q995" s="1">
        <v>7.1935596359999998</v>
      </c>
      <c r="R995" s="1">
        <v>7.2591832319999998</v>
      </c>
      <c r="S995" s="1">
        <v>7.2508471459999999</v>
      </c>
      <c r="T995" s="1">
        <v>7.0248703890000002</v>
      </c>
      <c r="U995" s="1">
        <v>7.0497775430000003</v>
      </c>
      <c r="V995" s="1">
        <v>7.4772993139999997</v>
      </c>
      <c r="W995" s="1">
        <v>7.0893438719999997</v>
      </c>
      <c r="X995" s="1">
        <v>7.0663213679999997</v>
      </c>
      <c r="Y995" s="1">
        <v>7.4644471870000002</v>
      </c>
      <c r="Z995" s="1">
        <v>7.2591832319999998</v>
      </c>
      <c r="AA995" s="1">
        <v>7.2508471459999999</v>
      </c>
      <c r="AB995" s="1">
        <v>7.1520220669999999</v>
      </c>
      <c r="AC995" s="1">
        <v>7.1619038179999999</v>
      </c>
      <c r="AD995" s="1">
        <v>7.3045800959999996</v>
      </c>
      <c r="AE995" s="1">
        <v>7.0850981089999996</v>
      </c>
    </row>
    <row r="996" spans="1:31" x14ac:dyDescent="0.25">
      <c r="A996" s="1" t="s">
        <v>2261</v>
      </c>
      <c r="B996" s="1" t="s">
        <v>2942</v>
      </c>
      <c r="C996" s="1" t="s">
        <v>4203</v>
      </c>
      <c r="D996" s="1" t="s">
        <v>2535</v>
      </c>
      <c r="E996" s="1" t="s">
        <v>4204</v>
      </c>
      <c r="G996" s="1" t="s">
        <v>2261</v>
      </c>
      <c r="H996" s="1">
        <v>5.977563322</v>
      </c>
      <c r="I996" s="1">
        <v>5.6208330609999999</v>
      </c>
      <c r="J996" s="1">
        <v>4.2898244959999996</v>
      </c>
      <c r="K996" s="1">
        <v>4.5974987220000001</v>
      </c>
      <c r="L996" s="1">
        <v>4.1645832880000002</v>
      </c>
      <c r="M996" s="1">
        <v>3.9942443089999999</v>
      </c>
      <c r="N996" s="1">
        <v>5.6334290280000001</v>
      </c>
      <c r="O996" s="1">
        <v>5.3342335859999999</v>
      </c>
      <c r="P996" s="1">
        <v>4.4075207919999997</v>
      </c>
      <c r="Q996" s="1">
        <v>3.9718447549999998</v>
      </c>
      <c r="R996" s="1">
        <v>3.7109484589999999</v>
      </c>
      <c r="S996" s="1">
        <v>3.9182367880000002</v>
      </c>
      <c r="T996" s="1">
        <v>4.1645832880000002</v>
      </c>
      <c r="U996" s="1">
        <v>3.9942443089999999</v>
      </c>
      <c r="V996" s="1">
        <v>4.3879408260000003</v>
      </c>
      <c r="W996" s="1">
        <v>4.2295768090000001</v>
      </c>
      <c r="X996" s="1">
        <v>3.9418607479999999</v>
      </c>
      <c r="Y996" s="1">
        <v>3.229986142</v>
      </c>
      <c r="Z996" s="1">
        <v>3.7109484589999999</v>
      </c>
      <c r="AA996" s="1">
        <v>3.9182367880000002</v>
      </c>
      <c r="AB996" s="1">
        <v>3.6315729079999999</v>
      </c>
      <c r="AC996" s="1">
        <v>4.1685844940000001</v>
      </c>
      <c r="AD996" s="1">
        <v>4.2970121150000002</v>
      </c>
      <c r="AE996" s="1">
        <v>4.3718229419999997</v>
      </c>
    </row>
    <row r="997" spans="1:31" x14ac:dyDescent="0.25">
      <c r="A997" s="1" t="s">
        <v>2263</v>
      </c>
      <c r="B997" s="1" t="s">
        <v>2662</v>
      </c>
      <c r="C997" s="1" t="s">
        <v>3721</v>
      </c>
      <c r="D997" s="1" t="s">
        <v>4195</v>
      </c>
      <c r="E997" s="1" t="s">
        <v>4205</v>
      </c>
      <c r="F997" s="1" t="s">
        <v>4206</v>
      </c>
      <c r="G997" s="1" t="s">
        <v>2263</v>
      </c>
      <c r="H997" s="1">
        <v>4.7245801409999997</v>
      </c>
      <c r="I997" s="1">
        <v>5.3676718369999996</v>
      </c>
      <c r="J997" s="1">
        <v>4.4503473070000004</v>
      </c>
      <c r="K997" s="1">
        <v>4.3408695499999999</v>
      </c>
      <c r="L997" s="1">
        <v>3.918224124</v>
      </c>
      <c r="M997" s="1">
        <v>4.3473799800000004</v>
      </c>
      <c r="N997" s="1">
        <v>4.0417975630000003</v>
      </c>
      <c r="O997" s="1">
        <v>4.4862678239999996</v>
      </c>
      <c r="P997" s="1">
        <v>4.4805784009999998</v>
      </c>
      <c r="Q997" s="1">
        <v>4.611970812</v>
      </c>
      <c r="R997" s="1">
        <v>4.6083586160000003</v>
      </c>
      <c r="S997" s="1">
        <v>4.2250836859999996</v>
      </c>
      <c r="T997" s="1">
        <v>3.918224124</v>
      </c>
      <c r="U997" s="1">
        <v>4.3473799800000004</v>
      </c>
      <c r="V997" s="1">
        <v>4.2408545169999998</v>
      </c>
      <c r="W997" s="1">
        <v>3.9848641250000001</v>
      </c>
      <c r="X997" s="1">
        <v>4.1686775799999998</v>
      </c>
      <c r="Y997" s="1">
        <v>4.6081171230000004</v>
      </c>
      <c r="Z997" s="1">
        <v>4.6083586160000003</v>
      </c>
      <c r="AA997" s="1">
        <v>4.2250836859999996</v>
      </c>
      <c r="AB997" s="1">
        <v>4.9601840040000003</v>
      </c>
      <c r="AC997" s="1">
        <v>3.8665622239999999</v>
      </c>
      <c r="AD997" s="1">
        <v>4.6978214539999996</v>
      </c>
      <c r="AE997" s="1">
        <v>4.0105905760000002</v>
      </c>
    </row>
    <row r="998" spans="1:31" x14ac:dyDescent="0.25">
      <c r="A998" s="1" t="s">
        <v>2278</v>
      </c>
      <c r="B998" s="1" t="s">
        <v>2642</v>
      </c>
      <c r="C998" s="1" t="s">
        <v>2643</v>
      </c>
      <c r="D998" s="1" t="s">
        <v>2535</v>
      </c>
      <c r="E998" s="1" t="s">
        <v>4207</v>
      </c>
      <c r="G998" s="1" t="s">
        <v>2278</v>
      </c>
      <c r="H998" s="1">
        <v>12.63394111</v>
      </c>
      <c r="I998" s="1">
        <v>12.78670608</v>
      </c>
      <c r="J998" s="1">
        <v>12.539832179999999</v>
      </c>
      <c r="K998" s="1">
        <v>12.57359666</v>
      </c>
      <c r="L998" s="1">
        <v>12.16454231</v>
      </c>
      <c r="M998" s="1">
        <v>12.39639401</v>
      </c>
      <c r="N998" s="1">
        <v>13.60549441</v>
      </c>
      <c r="O998" s="1">
        <v>13.23649032</v>
      </c>
      <c r="P998" s="1">
        <v>12.609892690000001</v>
      </c>
      <c r="Q998" s="1">
        <v>12.886392300000001</v>
      </c>
      <c r="R998" s="1">
        <v>12.3706532</v>
      </c>
      <c r="S998" s="1">
        <v>12.15233724</v>
      </c>
      <c r="T998" s="1">
        <v>12.16454231</v>
      </c>
      <c r="U998" s="1">
        <v>12.39639401</v>
      </c>
      <c r="V998" s="1">
        <v>11.980754360000001</v>
      </c>
      <c r="W998" s="1">
        <v>12.021016660000001</v>
      </c>
      <c r="X998" s="1">
        <v>12.273752590000001</v>
      </c>
      <c r="Y998" s="1">
        <v>12.20533807</v>
      </c>
      <c r="Z998" s="1">
        <v>12.3706532</v>
      </c>
      <c r="AA998" s="1">
        <v>12.15233724</v>
      </c>
      <c r="AB998" s="1">
        <v>12.252442650000001</v>
      </c>
      <c r="AC998" s="1">
        <v>12.2682538</v>
      </c>
      <c r="AD998" s="1">
        <v>12.602946940000001</v>
      </c>
      <c r="AE998" s="1">
        <v>12.97309486</v>
      </c>
    </row>
    <row r="999" spans="1:31" x14ac:dyDescent="0.25">
      <c r="A999" s="1" t="s">
        <v>2286</v>
      </c>
      <c r="B999" s="1" t="s">
        <v>2667</v>
      </c>
      <c r="C999" s="1" t="s">
        <v>2668</v>
      </c>
      <c r="D999" s="1" t="s">
        <v>2669</v>
      </c>
      <c r="E999" s="1" t="s">
        <v>4208</v>
      </c>
      <c r="F999" s="1" t="s">
        <v>4209</v>
      </c>
      <c r="G999" s="1" t="s">
        <v>2286</v>
      </c>
      <c r="H999" s="1">
        <v>7.3696505800000001</v>
      </c>
      <c r="I999" s="1">
        <v>7.4073947770000004</v>
      </c>
      <c r="J999" s="1">
        <v>7.3536010579999997</v>
      </c>
      <c r="K999" s="1">
        <v>7.2705230040000002</v>
      </c>
      <c r="L999" s="1">
        <v>7.7447087589999999</v>
      </c>
      <c r="M999" s="1">
        <v>7.644543841</v>
      </c>
      <c r="N999" s="1">
        <v>7.0751784710000001</v>
      </c>
      <c r="O999" s="1">
        <v>7.480067054</v>
      </c>
      <c r="P999" s="1">
        <v>7.3364236539999998</v>
      </c>
      <c r="Q999" s="1">
        <v>7.5145739430000003</v>
      </c>
      <c r="R999" s="1">
        <v>7.5384802049999999</v>
      </c>
      <c r="S999" s="1">
        <v>7.5089750439999996</v>
      </c>
      <c r="T999" s="1">
        <v>7.7447087589999999</v>
      </c>
      <c r="U999" s="1">
        <v>7.644543841</v>
      </c>
      <c r="V999" s="1">
        <v>7.6851832330000001</v>
      </c>
      <c r="W999" s="1">
        <v>7.6810367299999998</v>
      </c>
      <c r="X999" s="1">
        <v>7.739935966</v>
      </c>
      <c r="Y999" s="1">
        <v>7.969244647</v>
      </c>
      <c r="Z999" s="1">
        <v>7.5384802049999999</v>
      </c>
      <c r="AA999" s="1">
        <v>7.5089750439999996</v>
      </c>
      <c r="AB999" s="1">
        <v>7.8449502390000001</v>
      </c>
      <c r="AC999" s="1">
        <v>7.7098339850000004</v>
      </c>
      <c r="AD999" s="1">
        <v>7.9180122109999997</v>
      </c>
      <c r="AE999" s="1">
        <v>8.0114074849999994</v>
      </c>
    </row>
    <row r="1000" spans="1:31" x14ac:dyDescent="0.25">
      <c r="A1000" s="1" t="s">
        <v>2287</v>
      </c>
      <c r="B1000" s="1" t="s">
        <v>2598</v>
      </c>
      <c r="C1000" s="1" t="s">
        <v>2603</v>
      </c>
      <c r="D1000" s="1" t="s">
        <v>4210</v>
      </c>
      <c r="E1000" s="1" t="s">
        <v>4211</v>
      </c>
      <c r="F1000" s="1" t="s">
        <v>4212</v>
      </c>
      <c r="G1000" s="1" t="s">
        <v>2287</v>
      </c>
      <c r="H1000" s="1">
        <v>8.4278146970000005</v>
      </c>
      <c r="I1000" s="1">
        <v>8.4780876319999994</v>
      </c>
      <c r="J1000" s="1">
        <v>6.5019279570000004</v>
      </c>
      <c r="K1000" s="1">
        <v>6.8716784979999996</v>
      </c>
      <c r="L1000" s="1">
        <v>6.5128194600000002</v>
      </c>
      <c r="M1000" s="1">
        <v>6.3438841760000004</v>
      </c>
      <c r="N1000" s="1">
        <v>8.449245135</v>
      </c>
      <c r="O1000" s="1">
        <v>8.6329045190000002</v>
      </c>
      <c r="P1000" s="1">
        <v>6.4476246020000003</v>
      </c>
      <c r="Q1000" s="1">
        <v>6.4985786230000002</v>
      </c>
      <c r="R1000" s="1">
        <v>6.3078659510000001</v>
      </c>
      <c r="S1000" s="1">
        <v>6.4213797350000004</v>
      </c>
      <c r="T1000" s="1">
        <v>6.5128194600000002</v>
      </c>
      <c r="U1000" s="1">
        <v>6.3438841760000004</v>
      </c>
      <c r="V1000" s="1">
        <v>6.9418646219999998</v>
      </c>
      <c r="W1000" s="1">
        <v>6.657303325</v>
      </c>
      <c r="X1000" s="1">
        <v>6.2987278330000001</v>
      </c>
      <c r="Y1000" s="1">
        <v>6.4644452860000001</v>
      </c>
      <c r="Z1000" s="1">
        <v>6.3078659510000001</v>
      </c>
      <c r="AA1000" s="1">
        <v>6.4213797350000004</v>
      </c>
      <c r="AB1000" s="1">
        <v>6.339283708</v>
      </c>
      <c r="AC1000" s="1">
        <v>6.4571567910000001</v>
      </c>
      <c r="AD1000" s="1">
        <v>6.7654508829999997</v>
      </c>
      <c r="AE1000" s="1">
        <v>6.8517371130000004</v>
      </c>
    </row>
    <row r="1001" spans="1:31" x14ac:dyDescent="0.25">
      <c r="A1001" s="1" t="s">
        <v>2288</v>
      </c>
      <c r="B1001" s="1" t="s">
        <v>2667</v>
      </c>
      <c r="C1001" s="1" t="s">
        <v>3441</v>
      </c>
      <c r="D1001" s="1" t="s">
        <v>3299</v>
      </c>
      <c r="E1001" s="1" t="s">
        <v>4213</v>
      </c>
      <c r="F1001" s="1" t="s">
        <v>4214</v>
      </c>
      <c r="G1001" s="1" t="s">
        <v>2288</v>
      </c>
      <c r="H1001" s="1">
        <v>10.779052549999999</v>
      </c>
      <c r="I1001" s="1">
        <v>10.63974157</v>
      </c>
      <c r="J1001" s="1">
        <v>10.0731188</v>
      </c>
      <c r="K1001" s="1">
        <v>10.18083657</v>
      </c>
      <c r="L1001" s="1">
        <v>9.1012977359999994</v>
      </c>
      <c r="M1001" s="1">
        <v>9.2404622550000006</v>
      </c>
      <c r="N1001" s="1">
        <v>10.28233197</v>
      </c>
      <c r="O1001" s="1">
        <v>10.7956536</v>
      </c>
      <c r="P1001" s="1">
        <v>9.4286179889999993</v>
      </c>
      <c r="Q1001" s="1">
        <v>9.4450946400000007</v>
      </c>
      <c r="R1001" s="1">
        <v>9.602043084</v>
      </c>
      <c r="S1001" s="1">
        <v>9.6282583660000007</v>
      </c>
      <c r="T1001" s="1">
        <v>9.1012977359999994</v>
      </c>
      <c r="U1001" s="1">
        <v>9.2404622550000006</v>
      </c>
      <c r="V1001" s="1">
        <v>9.2692301110000006</v>
      </c>
      <c r="W1001" s="1">
        <v>9.4092266569999996</v>
      </c>
      <c r="X1001" s="1">
        <v>9.2701340539999997</v>
      </c>
      <c r="Y1001" s="1">
        <v>9.2281140310000005</v>
      </c>
      <c r="Z1001" s="1">
        <v>9.602043084</v>
      </c>
      <c r="AA1001" s="1">
        <v>9.6282583660000007</v>
      </c>
      <c r="AB1001" s="1">
        <v>9.5333717139999994</v>
      </c>
      <c r="AC1001" s="1">
        <v>9.3976580980000008</v>
      </c>
      <c r="AD1001" s="1">
        <v>9.3459825609999996</v>
      </c>
      <c r="AE1001" s="1">
        <v>9.3954631630000005</v>
      </c>
    </row>
    <row r="1002" spans="1:31" x14ac:dyDescent="0.25">
      <c r="A1002" s="1" t="s">
        <v>2298</v>
      </c>
      <c r="B1002" s="1" t="s">
        <v>2530</v>
      </c>
      <c r="C1002" s="1" t="s">
        <v>2531</v>
      </c>
      <c r="D1002" s="1" t="s">
        <v>2535</v>
      </c>
      <c r="E1002" s="1" t="s">
        <v>2536</v>
      </c>
      <c r="G1002" s="1" t="s">
        <v>2298</v>
      </c>
      <c r="H1002" s="1">
        <v>5.4626831620000003</v>
      </c>
      <c r="I1002" s="1">
        <v>5.2436995780000002</v>
      </c>
      <c r="J1002" s="1">
        <v>4.6607313550000002</v>
      </c>
      <c r="K1002" s="1">
        <v>5.0588199180000002</v>
      </c>
      <c r="L1002" s="1">
        <v>4.9098563420000003</v>
      </c>
      <c r="M1002" s="1">
        <v>4.6276332350000002</v>
      </c>
      <c r="N1002" s="1">
        <v>4.765904581</v>
      </c>
      <c r="O1002" s="1">
        <v>5.3605571169999999</v>
      </c>
      <c r="P1002" s="1">
        <v>4.4075207919999997</v>
      </c>
      <c r="Q1002" s="1">
        <v>4.7509440400000003</v>
      </c>
      <c r="R1002" s="1">
        <v>4.6795267799999998</v>
      </c>
      <c r="S1002" s="1">
        <v>4.2250836859999996</v>
      </c>
      <c r="T1002" s="1">
        <v>4.9098563420000003</v>
      </c>
      <c r="U1002" s="1">
        <v>4.6276332350000002</v>
      </c>
      <c r="V1002" s="1">
        <v>4.1608706030000002</v>
      </c>
      <c r="W1002" s="1">
        <v>4.69862249</v>
      </c>
      <c r="X1002" s="1">
        <v>4.4502657640000001</v>
      </c>
      <c r="Y1002" s="1">
        <v>4.1479647589999997</v>
      </c>
      <c r="Z1002" s="1">
        <v>4.6795267799999998</v>
      </c>
      <c r="AA1002" s="1">
        <v>4.2250836859999996</v>
      </c>
      <c r="AB1002" s="1">
        <v>4.139369361</v>
      </c>
      <c r="AC1002" s="1">
        <v>4.9145215069999999</v>
      </c>
      <c r="AD1002" s="1">
        <v>4.7657555159999996</v>
      </c>
      <c r="AE1002" s="1">
        <v>5.3205054189999998</v>
      </c>
    </row>
    <row r="1003" spans="1:31" x14ac:dyDescent="0.25">
      <c r="A1003" s="1" t="s">
        <v>2299</v>
      </c>
      <c r="B1003" s="1" t="s">
        <v>2520</v>
      </c>
      <c r="C1003" s="1" t="s">
        <v>2521</v>
      </c>
      <c r="D1003" s="1" t="s">
        <v>2535</v>
      </c>
      <c r="E1003" s="1" t="s">
        <v>4215</v>
      </c>
      <c r="F1003" s="1" t="s">
        <v>4216</v>
      </c>
      <c r="G1003" s="1" t="s">
        <v>2299</v>
      </c>
      <c r="H1003" s="1">
        <v>6.7480265230000001</v>
      </c>
      <c r="I1003" s="1">
        <v>7.2021340509999998</v>
      </c>
      <c r="J1003" s="1">
        <v>6.8494908560000001</v>
      </c>
      <c r="K1003" s="1">
        <v>6.5734492549999999</v>
      </c>
      <c r="L1003" s="1">
        <v>7.9757973590000004</v>
      </c>
      <c r="M1003" s="1">
        <v>7.6850100550000002</v>
      </c>
      <c r="N1003" s="1">
        <v>7.5179873830000004</v>
      </c>
      <c r="O1003" s="1">
        <v>7.3159984050000002</v>
      </c>
      <c r="P1003" s="1">
        <v>6.8220475609999998</v>
      </c>
      <c r="Q1003" s="1">
        <v>7.0552915670000003</v>
      </c>
      <c r="R1003" s="1">
        <v>7.4004199469999996</v>
      </c>
      <c r="S1003" s="1">
        <v>7.2616787839999999</v>
      </c>
      <c r="T1003" s="1">
        <v>7.9757973590000004</v>
      </c>
      <c r="U1003" s="1">
        <v>7.6850100550000002</v>
      </c>
      <c r="V1003" s="1">
        <v>6.9302380990000003</v>
      </c>
      <c r="W1003" s="1">
        <v>6.6773173909999999</v>
      </c>
      <c r="X1003" s="1">
        <v>7.2200905110000004</v>
      </c>
      <c r="Y1003" s="1">
        <v>6.6990194939999999</v>
      </c>
      <c r="Z1003" s="1">
        <v>7.4004199469999996</v>
      </c>
      <c r="AA1003" s="1">
        <v>7.2616787839999999</v>
      </c>
      <c r="AB1003" s="1">
        <v>6.7915089589999997</v>
      </c>
      <c r="AC1003" s="1">
        <v>7.0363820979999998</v>
      </c>
      <c r="AD1003" s="1">
        <v>6.89062397</v>
      </c>
      <c r="AE1003" s="1">
        <v>7.0161486860000002</v>
      </c>
    </row>
    <row r="1004" spans="1:31" x14ac:dyDescent="0.25">
      <c r="A1004" s="1" t="s">
        <v>2301</v>
      </c>
      <c r="B1004" s="1" t="s">
        <v>2557</v>
      </c>
      <c r="C1004" s="1" t="s">
        <v>2680</v>
      </c>
      <c r="D1004" s="1" t="s">
        <v>4217</v>
      </c>
      <c r="E1004" s="1" t="s">
        <v>4218</v>
      </c>
      <c r="F1004" s="1" t="s">
        <v>4219</v>
      </c>
      <c r="G1004" s="1" t="s">
        <v>2301</v>
      </c>
      <c r="H1004" s="1">
        <v>8.4557298509999992</v>
      </c>
      <c r="I1004" s="1">
        <v>8.7128602270000002</v>
      </c>
      <c r="J1004" s="1">
        <v>8.4682600600000004</v>
      </c>
      <c r="K1004" s="1">
        <v>8.4396820389999991</v>
      </c>
      <c r="L1004" s="1">
        <v>8.7315306429999993</v>
      </c>
      <c r="M1004" s="1">
        <v>8.0333765530000001</v>
      </c>
      <c r="N1004" s="1">
        <v>8.15016037</v>
      </c>
      <c r="O1004" s="1">
        <v>8.1044230559999999</v>
      </c>
      <c r="P1004" s="1">
        <v>8.0958901280000006</v>
      </c>
      <c r="Q1004" s="1">
        <v>8.0260496830000001</v>
      </c>
      <c r="R1004" s="1">
        <v>7.7152652379999997</v>
      </c>
      <c r="S1004" s="1">
        <v>7.8038861300000004</v>
      </c>
      <c r="T1004" s="1">
        <v>8.7315306429999993</v>
      </c>
      <c r="U1004" s="1">
        <v>8.0333765530000001</v>
      </c>
      <c r="V1004" s="1">
        <v>7.9669107920000002</v>
      </c>
      <c r="W1004" s="1">
        <v>8.0618180880000008</v>
      </c>
      <c r="X1004" s="1">
        <v>7.7228861999999996</v>
      </c>
      <c r="Y1004" s="1">
        <v>8.0562330739999997</v>
      </c>
      <c r="Z1004" s="1">
        <v>7.7152652379999997</v>
      </c>
      <c r="AA1004" s="1">
        <v>7.8038861300000004</v>
      </c>
      <c r="AB1004" s="1">
        <v>7.6207811940000001</v>
      </c>
      <c r="AC1004" s="1">
        <v>7.7394193409999996</v>
      </c>
      <c r="AD1004" s="1">
        <v>7.3157804999999998</v>
      </c>
      <c r="AE1004" s="1">
        <v>7.6283429229999999</v>
      </c>
    </row>
    <row r="1005" spans="1:31" x14ac:dyDescent="0.25">
      <c r="A1005" s="1" t="s">
        <v>2302</v>
      </c>
      <c r="B1005" s="1" t="s">
        <v>2598</v>
      </c>
      <c r="C1005" s="1" t="s">
        <v>2603</v>
      </c>
      <c r="D1005" s="1" t="s">
        <v>3187</v>
      </c>
      <c r="E1005" s="1" t="s">
        <v>4220</v>
      </c>
      <c r="F1005" s="1" t="s">
        <v>4221</v>
      </c>
      <c r="G1005" s="1" t="s">
        <v>2302</v>
      </c>
      <c r="H1005" s="1">
        <v>8.4612486340000004</v>
      </c>
      <c r="I1005" s="1">
        <v>8.0275108670000002</v>
      </c>
      <c r="J1005" s="1">
        <v>8.4498756900000007</v>
      </c>
      <c r="K1005" s="1">
        <v>8.6756287000000007</v>
      </c>
      <c r="L1005" s="1">
        <v>7.7946859579999996</v>
      </c>
      <c r="M1005" s="1">
        <v>7.9486691939999998</v>
      </c>
      <c r="N1005" s="1">
        <v>6.9508831710000001</v>
      </c>
      <c r="O1005" s="1">
        <v>7.4438284619999999</v>
      </c>
      <c r="P1005" s="1">
        <v>8.1678655570000007</v>
      </c>
      <c r="Q1005" s="1">
        <v>8.1608430710000004</v>
      </c>
      <c r="R1005" s="1">
        <v>8.1189552749999994</v>
      </c>
      <c r="S1005" s="1">
        <v>8.3720894850000001</v>
      </c>
      <c r="T1005" s="1">
        <v>7.7946859579999996</v>
      </c>
      <c r="U1005" s="1">
        <v>7.9486691939999998</v>
      </c>
      <c r="V1005" s="1">
        <v>8.1976564330000006</v>
      </c>
      <c r="W1005" s="1">
        <v>8.1431459719999992</v>
      </c>
      <c r="X1005" s="1">
        <v>7.8382063400000002</v>
      </c>
      <c r="Y1005" s="1">
        <v>7.9237003100000001</v>
      </c>
      <c r="Z1005" s="1">
        <v>8.1189552749999994</v>
      </c>
      <c r="AA1005" s="1">
        <v>8.3720894850000001</v>
      </c>
      <c r="AB1005" s="1">
        <v>8.2806349289999996</v>
      </c>
      <c r="AC1005" s="1">
        <v>7.9814738600000004</v>
      </c>
      <c r="AD1005" s="1">
        <v>7.8883179070000002</v>
      </c>
      <c r="AE1005" s="1">
        <v>7.7004090129999998</v>
      </c>
    </row>
    <row r="1006" spans="1:31" x14ac:dyDescent="0.25">
      <c r="A1006" s="1" t="s">
        <v>2303</v>
      </c>
      <c r="B1006" s="1" t="s">
        <v>2579</v>
      </c>
      <c r="C1006" s="1" t="s">
        <v>2580</v>
      </c>
      <c r="D1006" s="1" t="s">
        <v>2581</v>
      </c>
      <c r="E1006" s="1" t="s">
        <v>4222</v>
      </c>
      <c r="F1006" s="1" t="s">
        <v>4223</v>
      </c>
      <c r="G1006" s="1" t="s">
        <v>2303</v>
      </c>
      <c r="H1006" s="1">
        <v>9.652046833</v>
      </c>
      <c r="I1006" s="1">
        <v>9.2333469990000001</v>
      </c>
      <c r="J1006" s="1">
        <v>10.16754701</v>
      </c>
      <c r="K1006" s="1">
        <v>10.071360930000001</v>
      </c>
      <c r="L1006" s="1">
        <v>9.8157913239999992</v>
      </c>
      <c r="M1006" s="1">
        <v>10.204952860000001</v>
      </c>
      <c r="N1006" s="1">
        <v>8.2087765249999993</v>
      </c>
      <c r="O1006" s="1">
        <v>8.61672379</v>
      </c>
      <c r="P1006" s="1">
        <v>9.9907307729999992</v>
      </c>
      <c r="Q1006" s="1">
        <v>9.9080864850000001</v>
      </c>
      <c r="R1006" s="1">
        <v>10.42076481</v>
      </c>
      <c r="S1006" s="1">
        <v>10.270758430000001</v>
      </c>
      <c r="T1006" s="1">
        <v>9.8157913239999992</v>
      </c>
      <c r="U1006" s="1">
        <v>10.204952860000001</v>
      </c>
      <c r="V1006" s="1">
        <v>9.9116398629999996</v>
      </c>
      <c r="W1006" s="1">
        <v>9.9072184320000005</v>
      </c>
      <c r="X1006" s="1">
        <v>9.7913266029999999</v>
      </c>
      <c r="Y1006" s="1">
        <v>9.5462158909999992</v>
      </c>
      <c r="Z1006" s="1">
        <v>10.42076481</v>
      </c>
      <c r="AA1006" s="1">
        <v>10.270758430000001</v>
      </c>
      <c r="AB1006" s="1">
        <v>10.013709349999999</v>
      </c>
      <c r="AC1006" s="1">
        <v>10.15430641</v>
      </c>
      <c r="AD1006" s="1">
        <v>9.752532703</v>
      </c>
      <c r="AE1006" s="1">
        <v>9.5941160930000002</v>
      </c>
    </row>
    <row r="1007" spans="1:31" x14ac:dyDescent="0.25">
      <c r="A1007" s="1" t="s">
        <v>2307</v>
      </c>
      <c r="B1007" s="1" t="s">
        <v>2667</v>
      </c>
      <c r="C1007" s="1" t="s">
        <v>2867</v>
      </c>
      <c r="D1007" s="1" t="s">
        <v>3169</v>
      </c>
      <c r="E1007" s="1" t="s">
        <v>4224</v>
      </c>
      <c r="F1007" s="1" t="s">
        <v>4225</v>
      </c>
      <c r="G1007" s="1" t="s">
        <v>2307</v>
      </c>
      <c r="H1007" s="1">
        <v>2.9945681560000001</v>
      </c>
      <c r="I1007" s="1">
        <v>3.6484415459999999</v>
      </c>
      <c r="J1007" s="1">
        <v>2.8907526730000002</v>
      </c>
      <c r="K1007" s="1">
        <v>3.22334677</v>
      </c>
      <c r="L1007" s="1">
        <v>3.4685048369999998</v>
      </c>
      <c r="M1007" s="1">
        <v>3.9251125939999998</v>
      </c>
      <c r="N1007" s="1">
        <v>3.344961128</v>
      </c>
      <c r="O1007" s="1">
        <v>2.883783352</v>
      </c>
      <c r="P1007" s="1">
        <v>3.3003929539999999</v>
      </c>
      <c r="Q1007" s="1">
        <v>2.935765398</v>
      </c>
      <c r="R1007" s="1">
        <v>2.595728008</v>
      </c>
      <c r="S1007" s="1">
        <v>2.9034795349999998</v>
      </c>
      <c r="T1007" s="1">
        <v>3.4685048369999998</v>
      </c>
      <c r="U1007" s="1">
        <v>3.9251125939999998</v>
      </c>
      <c r="V1007" s="1">
        <v>3.887436229</v>
      </c>
      <c r="W1007" s="1">
        <v>3.50175473</v>
      </c>
      <c r="X1007" s="1">
        <v>3.0884111989999998</v>
      </c>
      <c r="Y1007" s="1">
        <v>2.9733498090000001</v>
      </c>
      <c r="Z1007" s="1">
        <v>2.595728008</v>
      </c>
      <c r="AA1007" s="1">
        <v>2.9034795349999998</v>
      </c>
      <c r="AB1007" s="1">
        <v>3.404153038</v>
      </c>
      <c r="AC1007" s="1">
        <v>3.3054795530000001</v>
      </c>
      <c r="AD1007" s="1">
        <v>2.9432342459999998</v>
      </c>
      <c r="AE1007" s="1">
        <v>3.0939349979999999</v>
      </c>
    </row>
    <row r="1008" spans="1:31" x14ac:dyDescent="0.25">
      <c r="A1008" s="1" t="s">
        <v>2309</v>
      </c>
      <c r="B1008" s="1" t="s">
        <v>2530</v>
      </c>
      <c r="C1008" s="1" t="s">
        <v>2531</v>
      </c>
      <c r="D1008" s="1" t="s">
        <v>2535</v>
      </c>
      <c r="E1008" s="1" t="s">
        <v>2536</v>
      </c>
      <c r="G1008" s="1" t="s">
        <v>2309</v>
      </c>
      <c r="H1008" s="1">
        <v>5.3712699940000004</v>
      </c>
      <c r="I1008" s="1">
        <v>5.5529645800000003</v>
      </c>
      <c r="J1008" s="1">
        <v>6.4096880770000002</v>
      </c>
      <c r="K1008" s="1">
        <v>6.4514685810000003</v>
      </c>
      <c r="L1008" s="1">
        <v>6.1339192999999996</v>
      </c>
      <c r="M1008" s="1">
        <v>6.2252239280000001</v>
      </c>
      <c r="N1008" s="1">
        <v>5.2399813159999997</v>
      </c>
      <c r="O1008" s="1">
        <v>5.2522077749999996</v>
      </c>
      <c r="P1008" s="1">
        <v>5.8072178450000003</v>
      </c>
      <c r="Q1008" s="1">
        <v>6.1485161530000001</v>
      </c>
      <c r="R1008" s="1">
        <v>6.3936555549999996</v>
      </c>
      <c r="S1008" s="1">
        <v>6.3003852350000003</v>
      </c>
      <c r="T1008" s="1">
        <v>6.1339192999999996</v>
      </c>
      <c r="U1008" s="1">
        <v>6.2252239280000001</v>
      </c>
      <c r="V1008" s="1">
        <v>5.9931161309999998</v>
      </c>
      <c r="W1008" s="1">
        <v>6.265991681</v>
      </c>
      <c r="X1008" s="1">
        <v>6.1910758819999998</v>
      </c>
      <c r="Y1008" s="1">
        <v>5.5841077690000001</v>
      </c>
      <c r="Z1008" s="1">
        <v>6.3936555549999996</v>
      </c>
      <c r="AA1008" s="1">
        <v>6.3003852350000003</v>
      </c>
      <c r="AB1008" s="1">
        <v>6.2478766610000003</v>
      </c>
      <c r="AC1008" s="1">
        <v>5.7882226870000002</v>
      </c>
      <c r="AD1008" s="1">
        <v>6.1407817189999996</v>
      </c>
      <c r="AE1008" s="1">
        <v>6.0995676599999999</v>
      </c>
    </row>
    <row r="1009" spans="1:31" x14ac:dyDescent="0.25">
      <c r="A1009" s="1" t="s">
        <v>2310</v>
      </c>
      <c r="B1009" s="1" t="s">
        <v>2525</v>
      </c>
      <c r="C1009" s="1" t="s">
        <v>3175</v>
      </c>
      <c r="D1009" s="1" t="s">
        <v>3602</v>
      </c>
      <c r="E1009" s="1" t="s">
        <v>4226</v>
      </c>
      <c r="F1009" s="1" t="s">
        <v>4227</v>
      </c>
      <c r="G1009" s="1" t="s">
        <v>2310</v>
      </c>
      <c r="H1009" s="1">
        <v>6.3556221559999999</v>
      </c>
      <c r="I1009" s="1">
        <v>6.295503557</v>
      </c>
      <c r="J1009" s="1">
        <v>7.2297148099999999</v>
      </c>
      <c r="K1009" s="1">
        <v>6.7215048319999999</v>
      </c>
      <c r="L1009" s="1">
        <v>7.4292616379999998</v>
      </c>
      <c r="M1009" s="1">
        <v>7.6238767340000004</v>
      </c>
      <c r="N1009" s="1">
        <v>6.5682897249999996</v>
      </c>
      <c r="O1009" s="1">
        <v>6.8085329139999997</v>
      </c>
      <c r="P1009" s="1">
        <v>7.2875382760000003</v>
      </c>
      <c r="Q1009" s="1">
        <v>7.2975843859999996</v>
      </c>
      <c r="R1009" s="1">
        <v>7.7723522210000002</v>
      </c>
      <c r="S1009" s="1">
        <v>7.5885475050000002</v>
      </c>
      <c r="T1009" s="1">
        <v>7.4292616379999998</v>
      </c>
      <c r="U1009" s="1">
        <v>7.6238767340000004</v>
      </c>
      <c r="V1009" s="1">
        <v>7.5166880860000003</v>
      </c>
      <c r="W1009" s="1">
        <v>7.2178208650000002</v>
      </c>
      <c r="X1009" s="1">
        <v>7.250160009</v>
      </c>
      <c r="Y1009" s="1">
        <v>7.3195474049999998</v>
      </c>
      <c r="Z1009" s="1">
        <v>7.7723522210000002</v>
      </c>
      <c r="AA1009" s="1">
        <v>7.5885475050000002</v>
      </c>
      <c r="AB1009" s="1">
        <v>7.398314289</v>
      </c>
      <c r="AC1009" s="1">
        <v>7.3558803629999998</v>
      </c>
      <c r="AD1009" s="1">
        <v>7.3379235500000002</v>
      </c>
      <c r="AE1009" s="1">
        <v>7.2503030439999998</v>
      </c>
    </row>
    <row r="1010" spans="1:31" x14ac:dyDescent="0.25">
      <c r="A1010" s="1" t="s">
        <v>2315</v>
      </c>
      <c r="B1010" s="1" t="s">
        <v>2539</v>
      </c>
      <c r="C1010" s="1" t="s">
        <v>2540</v>
      </c>
      <c r="D1010" s="1" t="s">
        <v>2535</v>
      </c>
      <c r="E1010" s="1" t="s">
        <v>2541</v>
      </c>
      <c r="G1010" s="1" t="s">
        <v>2315</v>
      </c>
      <c r="H1010" s="1">
        <v>6.1242673779999999</v>
      </c>
      <c r="I1010" s="1">
        <v>5.6208330609999999</v>
      </c>
      <c r="J1010" s="1">
        <v>5.4770890750000003</v>
      </c>
      <c r="K1010" s="1">
        <v>5.6848657879999998</v>
      </c>
      <c r="L1010" s="1">
        <v>5.0352735380000002</v>
      </c>
      <c r="M1010" s="1">
        <v>5.1796951440000001</v>
      </c>
      <c r="N1010" s="1">
        <v>6.1290762189999999</v>
      </c>
      <c r="O1010" s="1">
        <v>6.217434312</v>
      </c>
      <c r="P1010" s="1">
        <v>5.2325771159999999</v>
      </c>
      <c r="Q1010" s="1">
        <v>5.2931690810000003</v>
      </c>
      <c r="R1010" s="1">
        <v>5.6457947050000001</v>
      </c>
      <c r="S1010" s="1">
        <v>5.3915434019999999</v>
      </c>
      <c r="T1010" s="1">
        <v>5.0352735380000002</v>
      </c>
      <c r="U1010" s="1">
        <v>5.1796951440000001</v>
      </c>
      <c r="V1010" s="1">
        <v>5.3192272129999996</v>
      </c>
      <c r="W1010" s="1">
        <v>5.16775612</v>
      </c>
      <c r="X1010" s="1">
        <v>5.522982507</v>
      </c>
      <c r="Y1010" s="1">
        <v>4.9529845589999999</v>
      </c>
      <c r="Z1010" s="1">
        <v>5.6457947050000001</v>
      </c>
      <c r="AA1010" s="1">
        <v>5.3915434019999999</v>
      </c>
      <c r="AB1010" s="1">
        <v>5.4746970709999996</v>
      </c>
      <c r="AC1010" s="1">
        <v>5.5065733579999998</v>
      </c>
      <c r="AD1010" s="1">
        <v>5.8632235870000002</v>
      </c>
      <c r="AE1010" s="1">
        <v>5.4097399240000001</v>
      </c>
    </row>
    <row r="1011" spans="1:31" x14ac:dyDescent="0.25">
      <c r="A1011" s="1" t="s">
        <v>2321</v>
      </c>
      <c r="B1011" s="1" t="s">
        <v>2631</v>
      </c>
      <c r="C1011" s="1" t="s">
        <v>2531</v>
      </c>
      <c r="D1011" s="1" t="s">
        <v>2535</v>
      </c>
      <c r="E1011" s="1" t="s">
        <v>3355</v>
      </c>
      <c r="G1011" s="1" t="s">
        <v>2321</v>
      </c>
      <c r="H1011" s="1">
        <v>5.977563322</v>
      </c>
      <c r="I1011" s="1">
        <v>5.5529645800000003</v>
      </c>
      <c r="J1011" s="1">
        <v>4.2898244959999996</v>
      </c>
      <c r="K1011" s="1">
        <v>5.3612725399999999</v>
      </c>
      <c r="L1011" s="1">
        <v>5.4665443290000004</v>
      </c>
      <c r="M1011" s="1">
        <v>5.2628748920000001</v>
      </c>
      <c r="N1011" s="1">
        <v>5.5548950010000002</v>
      </c>
      <c r="O1011" s="1">
        <v>5.4117878270000004</v>
      </c>
      <c r="P1011" s="1">
        <v>4.6791060150000003</v>
      </c>
      <c r="Q1011" s="1">
        <v>4.2835653880000004</v>
      </c>
      <c r="R1011" s="1">
        <v>4.8118229140000004</v>
      </c>
      <c r="S1011" s="1">
        <v>4.9261733090000002</v>
      </c>
      <c r="T1011" s="1">
        <v>5.4665443290000004</v>
      </c>
      <c r="U1011" s="1">
        <v>5.2628748920000001</v>
      </c>
      <c r="V1011" s="1">
        <v>4.3879408260000003</v>
      </c>
      <c r="W1011" s="1">
        <v>4.5296290450000001</v>
      </c>
      <c r="X1011" s="1">
        <v>4.8524813179999997</v>
      </c>
      <c r="Y1011" s="1">
        <v>3.9087436480000002</v>
      </c>
      <c r="Z1011" s="1">
        <v>4.8118229140000004</v>
      </c>
      <c r="AA1011" s="1">
        <v>4.9261733090000002</v>
      </c>
      <c r="AB1011" s="1">
        <v>5.1073354020000004</v>
      </c>
      <c r="AC1011" s="1">
        <v>4.6238605430000002</v>
      </c>
      <c r="AD1011" s="1">
        <v>4.6978214539999996</v>
      </c>
      <c r="AE1011" s="1">
        <v>4.9548800440000003</v>
      </c>
    </row>
    <row r="1012" spans="1:31" x14ac:dyDescent="0.25">
      <c r="A1012" s="1" t="s">
        <v>2324</v>
      </c>
      <c r="B1012" s="1" t="s">
        <v>2530</v>
      </c>
      <c r="C1012" s="1" t="s">
        <v>2531</v>
      </c>
      <c r="D1012" s="1" t="s">
        <v>2535</v>
      </c>
      <c r="E1012" s="1" t="s">
        <v>2536</v>
      </c>
      <c r="G1012" s="1" t="s">
        <v>2324</v>
      </c>
      <c r="H1012" s="1">
        <v>3.9421380259999999</v>
      </c>
      <c r="I1012" s="1">
        <v>3.9003964459999998</v>
      </c>
      <c r="J1012" s="1">
        <v>3.8969924050000002</v>
      </c>
      <c r="K1012" s="1">
        <v>4.3408695499999999</v>
      </c>
      <c r="L1012" s="1">
        <v>4.2932354009999996</v>
      </c>
      <c r="M1012" s="1">
        <v>4.3473799800000004</v>
      </c>
      <c r="N1012" s="1">
        <v>4.3116130799999999</v>
      </c>
      <c r="O1012" s="1">
        <v>4.0289865369999998</v>
      </c>
      <c r="P1012" s="1">
        <v>3.7419514989999998</v>
      </c>
      <c r="Q1012" s="1">
        <v>4.5369064569999997</v>
      </c>
      <c r="R1012" s="1">
        <v>4.7472384160000001</v>
      </c>
      <c r="S1012" s="1">
        <v>4.2250836859999996</v>
      </c>
      <c r="T1012" s="1">
        <v>4.2932354009999996</v>
      </c>
      <c r="U1012" s="1">
        <v>4.3473799800000004</v>
      </c>
      <c r="V1012" s="1">
        <v>4.7533922439999996</v>
      </c>
      <c r="W1012" s="1">
        <v>4.3370700810000002</v>
      </c>
      <c r="X1012" s="1">
        <v>4.5325909299999996</v>
      </c>
      <c r="Y1012" s="1">
        <v>5.0702808140000002</v>
      </c>
      <c r="Z1012" s="1">
        <v>4.7472384160000001</v>
      </c>
      <c r="AA1012" s="1">
        <v>4.2250836859999996</v>
      </c>
      <c r="AB1012" s="1">
        <v>4.705867896</v>
      </c>
      <c r="AC1012" s="1">
        <v>4.5576875899999996</v>
      </c>
      <c r="AD1012" s="1">
        <v>4.0967699450000001</v>
      </c>
      <c r="AE1012" s="1">
        <v>4.124053773</v>
      </c>
    </row>
    <row r="1013" spans="1:31" x14ac:dyDescent="0.25">
      <c r="A1013" s="1" t="s">
        <v>2327</v>
      </c>
      <c r="B1013" s="1" t="s">
        <v>2530</v>
      </c>
      <c r="C1013" s="1" t="s">
        <v>2531</v>
      </c>
      <c r="D1013" s="1" t="s">
        <v>2535</v>
      </c>
      <c r="E1013" s="1" t="s">
        <v>4228</v>
      </c>
      <c r="G1013" s="1" t="s">
        <v>2327</v>
      </c>
      <c r="H1013" s="1">
        <v>4.3886087140000001</v>
      </c>
      <c r="I1013" s="1">
        <v>4.3763156859999999</v>
      </c>
      <c r="J1013" s="1">
        <v>4.5240842389999996</v>
      </c>
      <c r="K1013" s="1">
        <v>4.7454889089999996</v>
      </c>
      <c r="L1013" s="1">
        <v>4.5867597299999998</v>
      </c>
      <c r="M1013" s="1">
        <v>4.6692867769999999</v>
      </c>
      <c r="N1013" s="1">
        <v>4.6936110280000003</v>
      </c>
      <c r="O1013" s="1">
        <v>4.8288877169999997</v>
      </c>
      <c r="P1013" s="1">
        <v>4.4075207919999997</v>
      </c>
      <c r="Q1013" s="1">
        <v>4.5369064569999997</v>
      </c>
      <c r="R1013" s="1">
        <v>4.0808207129999996</v>
      </c>
      <c r="S1013" s="1">
        <v>4.6194390810000003</v>
      </c>
      <c r="T1013" s="1">
        <v>4.5867597299999998</v>
      </c>
      <c r="U1013" s="1">
        <v>4.6692867769999999</v>
      </c>
      <c r="V1013" s="1">
        <v>4.2408545169999998</v>
      </c>
      <c r="W1013" s="1">
        <v>4.5296290450000001</v>
      </c>
      <c r="X1013" s="1">
        <v>4.3627028770000003</v>
      </c>
      <c r="Y1013" s="1">
        <v>3.7705059300000001</v>
      </c>
      <c r="Z1013" s="1">
        <v>4.0808207129999996</v>
      </c>
      <c r="AA1013" s="1">
        <v>4.6194390810000003</v>
      </c>
      <c r="AB1013" s="1">
        <v>4.139369361</v>
      </c>
      <c r="AC1013" s="1">
        <v>5.0638423939999999</v>
      </c>
      <c r="AD1013" s="1">
        <v>3.8610926929999998</v>
      </c>
      <c r="AE1013" s="1">
        <v>4.5014252270000004</v>
      </c>
    </row>
    <row r="1014" spans="1:31" x14ac:dyDescent="0.25">
      <c r="A1014" s="1" t="s">
        <v>2328</v>
      </c>
      <c r="B1014" s="1" t="s">
        <v>2520</v>
      </c>
      <c r="C1014" s="1" t="s">
        <v>2521</v>
      </c>
      <c r="D1014" s="1" t="s">
        <v>2753</v>
      </c>
      <c r="E1014" s="1" t="s">
        <v>4229</v>
      </c>
      <c r="G1014" s="1" t="s">
        <v>2328</v>
      </c>
      <c r="H1014" s="1">
        <v>4.183793842</v>
      </c>
      <c r="I1014" s="1">
        <v>4.3763156859999999</v>
      </c>
      <c r="J1014" s="1">
        <v>4.8994370109999998</v>
      </c>
      <c r="K1014" s="1">
        <v>4.3408695499999999</v>
      </c>
      <c r="L1014" s="1">
        <v>4.961369199</v>
      </c>
      <c r="M1014" s="1">
        <v>4.896083601</v>
      </c>
      <c r="N1014" s="1">
        <v>4.6173662499999999</v>
      </c>
      <c r="O1014" s="1">
        <v>4.5340058970000001</v>
      </c>
      <c r="P1014" s="1">
        <v>4.9577743410000004</v>
      </c>
      <c r="Q1014" s="1">
        <v>5.1004769559999996</v>
      </c>
      <c r="R1014" s="1">
        <v>4.8118229140000004</v>
      </c>
      <c r="S1014" s="1">
        <v>5.1309834260000002</v>
      </c>
      <c r="T1014" s="1">
        <v>4.961369199</v>
      </c>
      <c r="U1014" s="1">
        <v>4.896083601</v>
      </c>
      <c r="V1014" s="1">
        <v>5.0857495259999999</v>
      </c>
      <c r="W1014" s="1">
        <v>5.2236621110000003</v>
      </c>
      <c r="X1014" s="1">
        <v>4.8838989719999999</v>
      </c>
      <c r="Y1014" s="1">
        <v>4.3509215530000001</v>
      </c>
      <c r="Z1014" s="1">
        <v>4.8118229140000004</v>
      </c>
      <c r="AA1014" s="1">
        <v>5.1309834260000002</v>
      </c>
      <c r="AB1014" s="1">
        <v>5.3028471579999996</v>
      </c>
      <c r="AC1014" s="1">
        <v>5.0158027430000001</v>
      </c>
      <c r="AD1014" s="1">
        <v>4.83054469</v>
      </c>
      <c r="AE1014" s="1">
        <v>4.8625108150000003</v>
      </c>
    </row>
    <row r="1015" spans="1:31" x14ac:dyDescent="0.25">
      <c r="A1015" s="1" t="s">
        <v>2329</v>
      </c>
      <c r="B1015" s="1" t="s">
        <v>2530</v>
      </c>
      <c r="C1015" s="1" t="s">
        <v>2531</v>
      </c>
      <c r="D1015" s="1" t="s">
        <v>2535</v>
      </c>
      <c r="E1015" s="1" t="s">
        <v>2536</v>
      </c>
      <c r="G1015" s="1" t="s">
        <v>2329</v>
      </c>
      <c r="H1015" s="1">
        <v>4.7972697699999998</v>
      </c>
      <c r="I1015" s="1">
        <v>4.66484875</v>
      </c>
      <c r="J1015" s="1">
        <v>5.2392025899999997</v>
      </c>
      <c r="K1015" s="1">
        <v>5.6848657879999998</v>
      </c>
      <c r="L1015" s="1">
        <v>5.552483659</v>
      </c>
      <c r="M1015" s="1">
        <v>5.5973531489999999</v>
      </c>
      <c r="N1015" s="1">
        <v>5.1887139119999999</v>
      </c>
      <c r="O1015" s="1">
        <v>5.2522077749999996</v>
      </c>
      <c r="P1015" s="1">
        <v>5.660815296</v>
      </c>
      <c r="Q1015" s="1">
        <v>6.0722034220000003</v>
      </c>
      <c r="R1015" s="1">
        <v>5.3334881589999998</v>
      </c>
      <c r="S1015" s="1">
        <v>5.9168316079999999</v>
      </c>
      <c r="T1015" s="1">
        <v>5.552483659</v>
      </c>
      <c r="U1015" s="1">
        <v>5.5973531489999999</v>
      </c>
      <c r="V1015" s="1">
        <v>5.695500268</v>
      </c>
      <c r="W1015" s="1">
        <v>4.9854391920000003</v>
      </c>
      <c r="X1015" s="1">
        <v>5.9480492979999999</v>
      </c>
      <c r="Y1015" s="1">
        <v>5.5841077690000001</v>
      </c>
      <c r="Z1015" s="1">
        <v>5.3334881589999998</v>
      </c>
      <c r="AA1015" s="1">
        <v>5.9168316079999999</v>
      </c>
      <c r="AB1015" s="1">
        <v>5.5787398220000002</v>
      </c>
      <c r="AC1015" s="1">
        <v>5.8975684140000002</v>
      </c>
      <c r="AD1015" s="1">
        <v>5.5945353439999996</v>
      </c>
      <c r="AE1015" s="1">
        <v>5.2497036230000003</v>
      </c>
    </row>
    <row r="1016" spans="1:31" x14ac:dyDescent="0.25">
      <c r="A1016" s="1" t="s">
        <v>2330</v>
      </c>
      <c r="B1016" s="1" t="s">
        <v>2667</v>
      </c>
      <c r="C1016" s="1" t="s">
        <v>4077</v>
      </c>
      <c r="D1016" s="1" t="s">
        <v>4078</v>
      </c>
      <c r="E1016" s="1" t="s">
        <v>4230</v>
      </c>
      <c r="F1016" s="1" t="s">
        <v>4231</v>
      </c>
      <c r="G1016" s="1" t="s">
        <v>2330</v>
      </c>
      <c r="H1016" s="1">
        <v>4.9322401630000003</v>
      </c>
      <c r="I1016" s="1">
        <v>5.1546023129999998</v>
      </c>
      <c r="J1016" s="1">
        <v>5.6488969620000002</v>
      </c>
      <c r="K1016" s="1">
        <v>5.9783799200000001</v>
      </c>
      <c r="L1016" s="1">
        <v>6.2816826880000001</v>
      </c>
      <c r="M1016" s="1">
        <v>6.4417193250000002</v>
      </c>
      <c r="N1016" s="1">
        <v>5.8295014189999996</v>
      </c>
      <c r="O1016" s="1">
        <v>5.8051520590000001</v>
      </c>
      <c r="P1016" s="1">
        <v>5.834784151</v>
      </c>
      <c r="Q1016" s="1">
        <v>6.2209780280000002</v>
      </c>
      <c r="R1016" s="1">
        <v>6.0146875240000002</v>
      </c>
      <c r="S1016" s="1">
        <v>6.4019078089999999</v>
      </c>
      <c r="T1016" s="1">
        <v>6.2816826880000001</v>
      </c>
      <c r="U1016" s="1">
        <v>6.4417193250000002</v>
      </c>
      <c r="V1016" s="1">
        <v>5.8520207290000004</v>
      </c>
      <c r="W1016" s="1">
        <v>5.8376547490000004</v>
      </c>
      <c r="X1016" s="1">
        <v>6.1145484569999997</v>
      </c>
      <c r="Y1016" s="1">
        <v>6.0201969059999998</v>
      </c>
      <c r="Z1016" s="1">
        <v>6.0146875240000002</v>
      </c>
      <c r="AA1016" s="1">
        <v>6.4019078089999999</v>
      </c>
      <c r="AB1016" s="1">
        <v>6.4527679449999997</v>
      </c>
      <c r="AC1016" s="1">
        <v>6.384018502</v>
      </c>
      <c r="AD1016" s="1">
        <v>5.8322684330000003</v>
      </c>
      <c r="AE1016" s="1">
        <v>6.086150795</v>
      </c>
    </row>
    <row r="1017" spans="1:31" x14ac:dyDescent="0.25">
      <c r="A1017" s="1" t="s">
        <v>2332</v>
      </c>
      <c r="B1017" s="1" t="s">
        <v>2530</v>
      </c>
      <c r="C1017" s="1" t="s">
        <v>2531</v>
      </c>
      <c r="D1017" s="1" t="s">
        <v>2535</v>
      </c>
      <c r="E1017" s="1" t="s">
        <v>4232</v>
      </c>
      <c r="G1017" s="1" t="s">
        <v>2332</v>
      </c>
      <c r="H1017" s="1">
        <v>5.8817546890000001</v>
      </c>
      <c r="I1017" s="1">
        <v>5.9974724879999997</v>
      </c>
      <c r="J1017" s="1">
        <v>6.248570891</v>
      </c>
      <c r="K1017" s="1">
        <v>6.118739057</v>
      </c>
      <c r="L1017" s="1">
        <v>6.4517555480000004</v>
      </c>
      <c r="M1017" s="1">
        <v>6.5877467249999997</v>
      </c>
      <c r="N1017" s="1">
        <v>6.3653884090000004</v>
      </c>
      <c r="O1017" s="1">
        <v>6.1439115280000003</v>
      </c>
      <c r="P1017" s="1">
        <v>5.6913184689999996</v>
      </c>
      <c r="Q1017" s="1">
        <v>6.289960497</v>
      </c>
      <c r="R1017" s="1">
        <v>6.0146875240000002</v>
      </c>
      <c r="S1017" s="1">
        <v>6.168262747</v>
      </c>
      <c r="T1017" s="1">
        <v>6.4517555480000004</v>
      </c>
      <c r="U1017" s="1">
        <v>6.5877467249999997</v>
      </c>
      <c r="V1017" s="1">
        <v>6.3658106080000003</v>
      </c>
      <c r="W1017" s="1">
        <v>6.0677414089999999</v>
      </c>
      <c r="X1017" s="1">
        <v>6.2034432739999996</v>
      </c>
      <c r="Y1017" s="1">
        <v>6.680867428</v>
      </c>
      <c r="Z1017" s="1">
        <v>6.0146875240000002</v>
      </c>
      <c r="AA1017" s="1">
        <v>6.168262747</v>
      </c>
      <c r="AB1017" s="1">
        <v>6.1502584210000002</v>
      </c>
      <c r="AC1017" s="1">
        <v>6.3266154559999999</v>
      </c>
      <c r="AD1017" s="1">
        <v>5.8006297160000004</v>
      </c>
      <c r="AE1017" s="1">
        <v>6.3218298060000002</v>
      </c>
    </row>
    <row r="1018" spans="1:31" x14ac:dyDescent="0.25">
      <c r="A1018" s="1" t="s">
        <v>2333</v>
      </c>
      <c r="B1018" s="1" t="s">
        <v>2530</v>
      </c>
      <c r="C1018" s="1" t="s">
        <v>2573</v>
      </c>
      <c r="D1018" s="1" t="s">
        <v>2535</v>
      </c>
      <c r="E1018" s="1" t="s">
        <v>4233</v>
      </c>
      <c r="F1018" s="1" t="s">
        <v>4234</v>
      </c>
      <c r="G1018" s="1" t="s">
        <v>2333</v>
      </c>
      <c r="H1018" s="1">
        <v>5.0553993879999997</v>
      </c>
      <c r="I1018" s="1">
        <v>4.9575946069999999</v>
      </c>
      <c r="J1018" s="1">
        <v>4.4503473070000004</v>
      </c>
      <c r="K1018" s="1">
        <v>4.7454889089999996</v>
      </c>
      <c r="L1018" s="1">
        <v>4.5190290319999997</v>
      </c>
      <c r="M1018" s="1">
        <v>4.1823509169999999</v>
      </c>
      <c r="N1018" s="1">
        <v>4.8346471299999996</v>
      </c>
      <c r="O1018" s="1">
        <v>4.385526188</v>
      </c>
      <c r="P1018" s="1">
        <v>5.0074447400000004</v>
      </c>
      <c r="Q1018" s="1">
        <v>3.9718447549999998</v>
      </c>
      <c r="R1018" s="1">
        <v>4.2802026870000001</v>
      </c>
      <c r="S1018" s="1">
        <v>4.6194390810000003</v>
      </c>
      <c r="T1018" s="1">
        <v>4.5190290319999997</v>
      </c>
      <c r="U1018" s="1">
        <v>4.1823509169999999</v>
      </c>
      <c r="V1018" s="1">
        <v>5.0428039150000004</v>
      </c>
      <c r="W1018" s="1">
        <v>4.5296290450000001</v>
      </c>
      <c r="X1018" s="1">
        <v>4.6838774470000004</v>
      </c>
      <c r="Y1018" s="1">
        <v>5.1785898169999998</v>
      </c>
      <c r="Z1018" s="1">
        <v>4.2802026870000001</v>
      </c>
      <c r="AA1018" s="1">
        <v>4.6194390810000003</v>
      </c>
      <c r="AB1018" s="1">
        <v>4.3946012420000002</v>
      </c>
      <c r="AC1018" s="1">
        <v>4.8053838390000001</v>
      </c>
      <c r="AD1018" s="1">
        <v>4.3870463700000002</v>
      </c>
      <c r="AE1018" s="1">
        <v>4.124053773</v>
      </c>
    </row>
    <row r="1019" spans="1:31" x14ac:dyDescent="0.25">
      <c r="A1019" s="1" t="s">
        <v>2342</v>
      </c>
      <c r="B1019" s="1" t="s">
        <v>2557</v>
      </c>
      <c r="C1019" s="1" t="s">
        <v>2680</v>
      </c>
      <c r="D1019" s="1" t="s">
        <v>2893</v>
      </c>
      <c r="E1019" s="1" t="s">
        <v>4235</v>
      </c>
      <c r="F1019" s="1" t="s">
        <v>4236</v>
      </c>
      <c r="G1019" s="1" t="s">
        <v>2342</v>
      </c>
      <c r="H1019" s="1">
        <v>4.5667504939999999</v>
      </c>
      <c r="I1019" s="1">
        <v>5.3676718369999996</v>
      </c>
      <c r="J1019" s="1">
        <v>4.6607313550000002</v>
      </c>
      <c r="K1019" s="1">
        <v>4.3408695499999999</v>
      </c>
      <c r="L1019" s="1">
        <v>4.8563863139999999</v>
      </c>
      <c r="M1019" s="1">
        <v>4.6692867769999999</v>
      </c>
      <c r="N1019" s="1">
        <v>5.2145790439999997</v>
      </c>
      <c r="O1019" s="1">
        <v>5.0070106360000004</v>
      </c>
      <c r="P1019" s="1">
        <v>4.7394495640000001</v>
      </c>
      <c r="Q1019" s="1">
        <v>4.611970812</v>
      </c>
      <c r="R1019" s="1">
        <v>4.5333476509999997</v>
      </c>
      <c r="S1019" s="1">
        <v>4.6194390810000003</v>
      </c>
      <c r="T1019" s="1">
        <v>4.8563863139999999</v>
      </c>
      <c r="U1019" s="1">
        <v>4.6692867769999999</v>
      </c>
      <c r="V1019" s="1">
        <v>5.4559769400000002</v>
      </c>
      <c r="W1019" s="1">
        <v>4.8493412630000003</v>
      </c>
      <c r="X1019" s="1">
        <v>4.4502657640000001</v>
      </c>
      <c r="Y1019" s="1">
        <v>5.0128502209999999</v>
      </c>
      <c r="Z1019" s="1">
        <v>4.5333476509999997</v>
      </c>
      <c r="AA1019" s="1">
        <v>4.6194390810000003</v>
      </c>
      <c r="AB1019" s="1">
        <v>4.705867896</v>
      </c>
      <c r="AC1019" s="1">
        <v>4.0753403910000001</v>
      </c>
      <c r="AD1019" s="1">
        <v>4.6978214539999996</v>
      </c>
      <c r="AE1019" s="1">
        <v>4.6199010239999998</v>
      </c>
    </row>
    <row r="1020" spans="1:31" x14ac:dyDescent="0.25">
      <c r="A1020" s="1" t="s">
        <v>2343</v>
      </c>
      <c r="B1020" s="1" t="s">
        <v>2530</v>
      </c>
      <c r="C1020" s="1" t="s">
        <v>2531</v>
      </c>
      <c r="D1020" s="1" t="s">
        <v>2535</v>
      </c>
      <c r="E1020" s="1" t="s">
        <v>4237</v>
      </c>
      <c r="F1020" s="1" t="s">
        <v>4238</v>
      </c>
      <c r="G1020" s="1" t="s">
        <v>2343</v>
      </c>
      <c r="H1020" s="1">
        <v>4.4805534380000003</v>
      </c>
      <c r="I1020" s="1">
        <v>4.3763156859999999</v>
      </c>
      <c r="J1020" s="1">
        <v>5.6488969620000002</v>
      </c>
      <c r="K1020" s="1">
        <v>4.7454889089999996</v>
      </c>
      <c r="L1020" s="1">
        <v>6.5549024520000003</v>
      </c>
      <c r="M1020" s="1">
        <v>6.1833887049999996</v>
      </c>
      <c r="N1020" s="1">
        <v>5.7078727669999996</v>
      </c>
      <c r="O1020" s="1">
        <v>5.2237789919999997</v>
      </c>
      <c r="P1020" s="1">
        <v>5.426847231</v>
      </c>
      <c r="Q1020" s="1">
        <v>5.9637007390000001</v>
      </c>
      <c r="R1020" s="1">
        <v>5.8111782390000002</v>
      </c>
      <c r="S1020" s="1">
        <v>5.8024660560000001</v>
      </c>
      <c r="T1020" s="1">
        <v>6.5549024520000003</v>
      </c>
      <c r="U1020" s="1">
        <v>6.1833887049999996</v>
      </c>
      <c r="V1020" s="1">
        <v>5.9705432629999997</v>
      </c>
      <c r="W1020" s="1">
        <v>5.8376547490000004</v>
      </c>
      <c r="X1020" s="1">
        <v>5.6909099879999996</v>
      </c>
      <c r="Y1020" s="1">
        <v>5.503438128</v>
      </c>
      <c r="Z1020" s="1">
        <v>5.8111782390000002</v>
      </c>
      <c r="AA1020" s="1">
        <v>5.8024660560000001</v>
      </c>
      <c r="AB1020" s="1">
        <v>6.1835402750000004</v>
      </c>
      <c r="AC1020" s="1">
        <v>5.8975684140000002</v>
      </c>
      <c r="AD1020" s="1">
        <v>5.5186611069999998</v>
      </c>
      <c r="AE1020" s="1">
        <v>5.5730198079999997</v>
      </c>
    </row>
    <row r="1021" spans="1:31" x14ac:dyDescent="0.25">
      <c r="A1021" s="1" t="s">
        <v>2344</v>
      </c>
      <c r="B1021" s="1" t="s">
        <v>2557</v>
      </c>
      <c r="C1021" s="1" t="s">
        <v>2680</v>
      </c>
      <c r="D1021" s="1" t="s">
        <v>4239</v>
      </c>
      <c r="E1021" s="1" t="s">
        <v>4240</v>
      </c>
      <c r="F1021" s="1" t="s">
        <v>4241</v>
      </c>
      <c r="G1021" s="1" t="s">
        <v>2344</v>
      </c>
      <c r="H1021" s="1">
        <v>6.6155784799999999</v>
      </c>
      <c r="I1021" s="1">
        <v>6.5595604969999997</v>
      </c>
      <c r="J1021" s="1">
        <v>5.7428701560000004</v>
      </c>
      <c r="K1021" s="1">
        <v>5.8552832600000002</v>
      </c>
      <c r="L1021" s="1">
        <v>5.9184294340000001</v>
      </c>
      <c r="M1021" s="1">
        <v>5.868183685</v>
      </c>
      <c r="N1021" s="1">
        <v>6.8232102509999999</v>
      </c>
      <c r="O1021" s="1">
        <v>6.3540746549999998</v>
      </c>
      <c r="P1021" s="1">
        <v>5.7791106289999998</v>
      </c>
      <c r="Q1021" s="1">
        <v>5.8154013029999998</v>
      </c>
      <c r="R1021" s="1">
        <v>4.9327063119999996</v>
      </c>
      <c r="S1021" s="1">
        <v>5.3098842800000003</v>
      </c>
      <c r="T1021" s="1">
        <v>5.9184294340000001</v>
      </c>
      <c r="U1021" s="1">
        <v>5.868183685</v>
      </c>
      <c r="V1021" s="1">
        <v>5.9006116210000004</v>
      </c>
      <c r="W1021" s="1">
        <v>5.6059572260000001</v>
      </c>
      <c r="X1021" s="1">
        <v>5.7596503070000002</v>
      </c>
      <c r="Y1021" s="1">
        <v>6.4644452860000001</v>
      </c>
      <c r="Z1021" s="1">
        <v>4.9327063119999996</v>
      </c>
      <c r="AA1021" s="1">
        <v>5.3098842800000003</v>
      </c>
      <c r="AB1021" s="1">
        <v>5.8927983030000002</v>
      </c>
      <c r="AC1021" s="1">
        <v>5.7595305120000004</v>
      </c>
      <c r="AD1021" s="1">
        <v>6.008703369</v>
      </c>
      <c r="AE1021" s="1">
        <v>6.031193128</v>
      </c>
    </row>
    <row r="1022" spans="1:31" x14ac:dyDescent="0.25">
      <c r="A1022" s="1" t="s">
        <v>2346</v>
      </c>
      <c r="B1022" s="1" t="s">
        <v>2520</v>
      </c>
      <c r="C1022" s="1" t="s">
        <v>2521</v>
      </c>
      <c r="D1022" s="1" t="s">
        <v>2535</v>
      </c>
      <c r="E1022" s="1" t="s">
        <v>4229</v>
      </c>
      <c r="G1022" s="1" t="s">
        <v>2346</v>
      </c>
      <c r="H1022" s="1">
        <v>7.7938305269999999</v>
      </c>
      <c r="I1022" s="1">
        <v>7.5266765839999996</v>
      </c>
      <c r="J1022" s="1">
        <v>4.7243317210000004</v>
      </c>
      <c r="K1022" s="1">
        <v>5.3612725399999999</v>
      </c>
      <c r="L1022" s="1">
        <v>4.5190290319999997</v>
      </c>
      <c r="M1022" s="1">
        <v>4.6276332350000002</v>
      </c>
      <c r="N1022" s="1">
        <v>7.9585009009999998</v>
      </c>
      <c r="O1022" s="1">
        <v>8.1005494240000004</v>
      </c>
      <c r="P1022" s="1">
        <v>6.9021991040000001</v>
      </c>
      <c r="Q1022" s="1">
        <v>6.8270471480000001</v>
      </c>
      <c r="R1022" s="1">
        <v>6.0937807429999999</v>
      </c>
      <c r="S1022" s="1">
        <v>6.168262747</v>
      </c>
      <c r="T1022" s="1">
        <v>4.5190290319999997</v>
      </c>
      <c r="U1022" s="1">
        <v>4.6276332350000002</v>
      </c>
      <c r="V1022" s="1">
        <v>5.3192272129999996</v>
      </c>
      <c r="W1022" s="1">
        <v>5.427589942</v>
      </c>
      <c r="X1022" s="1">
        <v>5.4623126839999996</v>
      </c>
      <c r="Y1022" s="1">
        <v>4.9529845589999999</v>
      </c>
      <c r="Z1022" s="1">
        <v>6.0937807429999999</v>
      </c>
      <c r="AA1022" s="1">
        <v>6.168262747</v>
      </c>
      <c r="AB1022" s="1">
        <v>6.008835446</v>
      </c>
      <c r="AC1022" s="1">
        <v>6.2255363350000001</v>
      </c>
      <c r="AD1022" s="1">
        <v>6.284744441</v>
      </c>
      <c r="AE1022" s="1">
        <v>5.7708285269999999</v>
      </c>
    </row>
    <row r="1023" spans="1:31" x14ac:dyDescent="0.25">
      <c r="A1023" s="1" t="s">
        <v>2347</v>
      </c>
      <c r="B1023" s="1" t="s">
        <v>2667</v>
      </c>
      <c r="C1023" s="1" t="s">
        <v>3370</v>
      </c>
      <c r="D1023" s="1" t="s">
        <v>4242</v>
      </c>
      <c r="E1023" s="1" t="s">
        <v>4243</v>
      </c>
      <c r="F1023" s="1" t="s">
        <v>4244</v>
      </c>
      <c r="G1023" s="1" t="s">
        <v>2347</v>
      </c>
      <c r="H1023" s="1">
        <v>6.8185773340000004</v>
      </c>
      <c r="I1023" s="1">
        <v>6.5766895930000002</v>
      </c>
      <c r="J1023" s="1">
        <v>6.2905743620000001</v>
      </c>
      <c r="K1023" s="1">
        <v>6.55382379</v>
      </c>
      <c r="L1023" s="1">
        <v>6.3016040330000003</v>
      </c>
      <c r="M1023" s="1">
        <v>6.7203128730000001</v>
      </c>
      <c r="N1023" s="1">
        <v>6.2079811459999998</v>
      </c>
      <c r="O1023" s="1">
        <v>6.2736585109999998</v>
      </c>
      <c r="P1023" s="1">
        <v>6.3556532560000001</v>
      </c>
      <c r="Q1023" s="1">
        <v>6.6807419020000003</v>
      </c>
      <c r="R1023" s="1">
        <v>6.2166299269999996</v>
      </c>
      <c r="S1023" s="1">
        <v>6.478262194</v>
      </c>
      <c r="T1023" s="1">
        <v>6.3016040330000003</v>
      </c>
      <c r="U1023" s="1">
        <v>6.7203128730000001</v>
      </c>
      <c r="V1023" s="1">
        <v>6.4497065429999996</v>
      </c>
      <c r="W1023" s="1">
        <v>6.4165513509999998</v>
      </c>
      <c r="X1023" s="1">
        <v>6.7330869399999997</v>
      </c>
      <c r="Y1023" s="1">
        <v>6.6438618839999997</v>
      </c>
      <c r="Z1023" s="1">
        <v>6.2166299269999996</v>
      </c>
      <c r="AA1023" s="1">
        <v>6.478262194</v>
      </c>
      <c r="AB1023" s="1">
        <v>6.4527679449999997</v>
      </c>
      <c r="AC1023" s="1">
        <v>6.4748747230000001</v>
      </c>
      <c r="AD1023" s="1">
        <v>6.7155560489999999</v>
      </c>
      <c r="AE1023" s="1">
        <v>6.6661093170000001</v>
      </c>
    </row>
    <row r="1024" spans="1:31" x14ac:dyDescent="0.25">
      <c r="A1024" s="1" t="s">
        <v>2350</v>
      </c>
      <c r="B1024" s="1" t="s">
        <v>2535</v>
      </c>
      <c r="C1024" s="1" t="s">
        <v>2535</v>
      </c>
      <c r="D1024" s="1" t="s">
        <v>2535</v>
      </c>
      <c r="E1024" s="1" t="s">
        <v>2535</v>
      </c>
      <c r="F1024" s="1" t="s">
        <v>2535</v>
      </c>
      <c r="G1024" s="1" t="s">
        <v>2350</v>
      </c>
      <c r="H1024" s="1">
        <v>1.7393328349999999</v>
      </c>
      <c r="I1024" s="1">
        <v>2.8927893610000002</v>
      </c>
      <c r="J1024" s="1">
        <v>1.7393328349999999</v>
      </c>
      <c r="K1024" s="1">
        <v>2.620638279</v>
      </c>
      <c r="L1024" s="1">
        <v>1.7393328349999999</v>
      </c>
      <c r="M1024" s="1">
        <v>1.7393328349999999</v>
      </c>
      <c r="N1024" s="1">
        <v>2.372908427</v>
      </c>
      <c r="O1024" s="1">
        <v>2.411448644</v>
      </c>
      <c r="P1024" s="1">
        <v>1.7393328349999999</v>
      </c>
      <c r="Q1024" s="1">
        <v>1.7393328349999999</v>
      </c>
      <c r="R1024" s="1">
        <v>1.7393328349999999</v>
      </c>
      <c r="S1024" s="1">
        <v>1.7393328349999999</v>
      </c>
      <c r="T1024" s="1">
        <v>1.7393328349999999</v>
      </c>
      <c r="U1024" s="1">
        <v>1.7393328349999999</v>
      </c>
      <c r="V1024" s="1">
        <v>2.5140266200000001</v>
      </c>
      <c r="W1024" s="1">
        <v>2.6606351240000001</v>
      </c>
      <c r="X1024" s="1">
        <v>1.7393328349999999</v>
      </c>
      <c r="Y1024" s="1">
        <v>1.7393328349999999</v>
      </c>
      <c r="Z1024" s="1">
        <v>1.7393328349999999</v>
      </c>
      <c r="AA1024" s="1">
        <v>1.7393328349999999</v>
      </c>
      <c r="AB1024" s="1">
        <v>1.7393328349999999</v>
      </c>
      <c r="AC1024" s="1">
        <v>2.5506926650000001</v>
      </c>
      <c r="AD1024" s="1">
        <v>2.6025990879999998</v>
      </c>
      <c r="AE1024" s="1">
        <v>1.7393328349999999</v>
      </c>
    </row>
    <row r="1025" spans="1:31" x14ac:dyDescent="0.25">
      <c r="A1025" s="1" t="s">
        <v>2357</v>
      </c>
      <c r="B1025" s="1" t="s">
        <v>2598</v>
      </c>
      <c r="C1025" s="1" t="s">
        <v>2795</v>
      </c>
      <c r="D1025" s="1" t="s">
        <v>2535</v>
      </c>
      <c r="E1025" s="1" t="s">
        <v>4245</v>
      </c>
      <c r="F1025" s="1" t="s">
        <v>4246</v>
      </c>
      <c r="G1025" s="1" t="s">
        <v>2357</v>
      </c>
      <c r="H1025" s="1">
        <v>2.9945681560000001</v>
      </c>
      <c r="I1025" s="1">
        <v>2.8927893610000002</v>
      </c>
      <c r="J1025" s="1">
        <v>3.329519721</v>
      </c>
      <c r="K1025" s="1">
        <v>1.7393328349999999</v>
      </c>
      <c r="L1025" s="1">
        <v>3.4685048369999998</v>
      </c>
      <c r="M1025" s="1">
        <v>3.169085575</v>
      </c>
      <c r="N1025" s="1">
        <v>2.9782685729999998</v>
      </c>
      <c r="O1025" s="1">
        <v>3.5386882399999999</v>
      </c>
      <c r="P1025" s="1">
        <v>1.7393328349999999</v>
      </c>
      <c r="Q1025" s="1">
        <v>1.7393328349999999</v>
      </c>
      <c r="R1025" s="1">
        <v>2.595728008</v>
      </c>
      <c r="S1025" s="1">
        <v>3.3463386960000001</v>
      </c>
      <c r="T1025" s="1">
        <v>3.4685048369999998</v>
      </c>
      <c r="U1025" s="1">
        <v>3.169085575</v>
      </c>
      <c r="V1025" s="1">
        <v>2.5140266200000001</v>
      </c>
      <c r="W1025" s="1">
        <v>2.6606351240000001</v>
      </c>
      <c r="X1025" s="1">
        <v>3.4131791489999999</v>
      </c>
      <c r="Y1025" s="1">
        <v>3.229986142</v>
      </c>
      <c r="Z1025" s="1">
        <v>2.595728008</v>
      </c>
      <c r="AA1025" s="1">
        <v>3.3463386960000001</v>
      </c>
      <c r="AB1025" s="1">
        <v>2.73487305</v>
      </c>
      <c r="AC1025" s="1">
        <v>1.7393328349999999</v>
      </c>
      <c r="AD1025" s="1">
        <v>1.7393328349999999</v>
      </c>
      <c r="AE1025" s="1">
        <v>3.419797387</v>
      </c>
    </row>
    <row r="1026" spans="1:31" x14ac:dyDescent="0.25">
      <c r="A1026" s="1" t="s">
        <v>2358</v>
      </c>
      <c r="B1026" s="1" t="s">
        <v>2642</v>
      </c>
      <c r="C1026" s="1" t="s">
        <v>2643</v>
      </c>
      <c r="D1026" s="1" t="s">
        <v>2687</v>
      </c>
      <c r="E1026" s="1" t="s">
        <v>3491</v>
      </c>
      <c r="F1026" s="1" t="s">
        <v>3492</v>
      </c>
      <c r="G1026" s="1" t="s">
        <v>2358</v>
      </c>
      <c r="H1026" s="1">
        <v>3.2549621289999999</v>
      </c>
      <c r="I1026" s="1">
        <v>2.5655118899999998</v>
      </c>
      <c r="J1026" s="1">
        <v>3.1324899180000001</v>
      </c>
      <c r="K1026" s="1">
        <v>2.9677134359999999</v>
      </c>
      <c r="L1026" s="1">
        <v>3.6142294740000001</v>
      </c>
      <c r="M1026" s="1">
        <v>3.4067547010000001</v>
      </c>
      <c r="N1026" s="1">
        <v>1.7393328349999999</v>
      </c>
      <c r="O1026" s="1">
        <v>1.7393328349999999</v>
      </c>
      <c r="P1026" s="1">
        <v>3.3003929539999999</v>
      </c>
      <c r="Q1026" s="1">
        <v>1.7393328349999999</v>
      </c>
      <c r="R1026" s="1">
        <v>3.5594063970000001</v>
      </c>
      <c r="S1026" s="1">
        <v>3.6647387380000001</v>
      </c>
      <c r="T1026" s="1">
        <v>3.6142294740000001</v>
      </c>
      <c r="U1026" s="1">
        <v>3.4067547010000001</v>
      </c>
      <c r="V1026" s="1">
        <v>2.5140266200000001</v>
      </c>
      <c r="W1026" s="1">
        <v>2.6606351240000001</v>
      </c>
      <c r="X1026" s="1">
        <v>2.6106888979999998</v>
      </c>
      <c r="Y1026" s="1">
        <v>2.624795792</v>
      </c>
      <c r="Z1026" s="1">
        <v>3.5594063970000001</v>
      </c>
      <c r="AA1026" s="1">
        <v>3.6647387380000001</v>
      </c>
      <c r="AB1026" s="1">
        <v>1.7393328349999999</v>
      </c>
      <c r="AC1026" s="1">
        <v>2.87258916</v>
      </c>
      <c r="AD1026" s="1">
        <v>2.9432342459999998</v>
      </c>
      <c r="AE1026" s="1">
        <v>3.419797387</v>
      </c>
    </row>
    <row r="1027" spans="1:31" x14ac:dyDescent="0.25">
      <c r="A1027" s="1" t="s">
        <v>2364</v>
      </c>
      <c r="B1027" s="1" t="s">
        <v>2557</v>
      </c>
      <c r="C1027" s="1" t="s">
        <v>2967</v>
      </c>
      <c r="D1027" s="1" t="s">
        <v>2535</v>
      </c>
      <c r="E1027" s="1" t="s">
        <v>4247</v>
      </c>
      <c r="F1027" s="1" t="s">
        <v>4248</v>
      </c>
      <c r="G1027" s="1" t="s">
        <v>2364</v>
      </c>
      <c r="H1027" s="1">
        <v>3.4660955969999998</v>
      </c>
      <c r="I1027" s="1">
        <v>4.3763156859999999</v>
      </c>
      <c r="J1027" s="1">
        <v>4.4503473070000004</v>
      </c>
      <c r="K1027" s="1">
        <v>4.5171444090000001</v>
      </c>
      <c r="L1027" s="1">
        <v>4.3727018190000004</v>
      </c>
      <c r="M1027" s="1">
        <v>4.5403831759999997</v>
      </c>
      <c r="N1027" s="1">
        <v>3.9164981490000002</v>
      </c>
      <c r="O1027" s="1">
        <v>3.8071106499999998</v>
      </c>
      <c r="P1027" s="1">
        <v>4.6791060150000003</v>
      </c>
      <c r="Q1027" s="1">
        <v>4.4575363990000003</v>
      </c>
      <c r="R1027" s="1">
        <v>4.2802026870000001</v>
      </c>
      <c r="S1027" s="1">
        <v>5.3512993040000003</v>
      </c>
      <c r="T1027" s="1">
        <v>4.3727018190000004</v>
      </c>
      <c r="U1027" s="1">
        <v>4.5403831759999997</v>
      </c>
      <c r="V1027" s="1">
        <v>4.5207607210000003</v>
      </c>
      <c r="W1027" s="1">
        <v>4.4367165279999998</v>
      </c>
      <c r="X1027" s="1">
        <v>4.3627028770000003</v>
      </c>
      <c r="Y1027" s="1">
        <v>4.3509215530000001</v>
      </c>
      <c r="Z1027" s="1">
        <v>4.2802026870000001</v>
      </c>
      <c r="AA1027" s="1">
        <v>5.3512993040000003</v>
      </c>
      <c r="AB1027" s="1">
        <v>4.2729702720000002</v>
      </c>
      <c r="AC1027" s="1">
        <v>5.198889973</v>
      </c>
      <c r="AD1027" s="1">
        <v>3.725077481</v>
      </c>
      <c r="AE1027" s="1">
        <v>4.2780702540000002</v>
      </c>
    </row>
    <row r="1028" spans="1:31" x14ac:dyDescent="0.25">
      <c r="A1028" s="1" t="s">
        <v>2366</v>
      </c>
      <c r="B1028" s="1" t="s">
        <v>2598</v>
      </c>
      <c r="C1028" s="1" t="s">
        <v>2603</v>
      </c>
      <c r="D1028" s="1" t="s">
        <v>2535</v>
      </c>
      <c r="E1028" s="1" t="s">
        <v>4249</v>
      </c>
      <c r="F1028" s="1" t="s">
        <v>4250</v>
      </c>
      <c r="G1028" s="1" t="s">
        <v>2366</v>
      </c>
      <c r="H1028" s="1">
        <v>6.2825651889999996</v>
      </c>
      <c r="I1028" s="1">
        <v>6.4889292899999997</v>
      </c>
      <c r="J1028" s="1">
        <v>6.2697260589999999</v>
      </c>
      <c r="K1028" s="1">
        <v>6.4932884399999997</v>
      </c>
      <c r="L1028" s="1">
        <v>5.3560765139999997</v>
      </c>
      <c r="M1028" s="1">
        <v>5.6801009100000002</v>
      </c>
      <c r="N1028" s="1">
        <v>6.5582948950000004</v>
      </c>
      <c r="O1028" s="1">
        <v>6.5258788709999997</v>
      </c>
      <c r="P1028" s="1">
        <v>5.8072178450000003</v>
      </c>
      <c r="Q1028" s="1">
        <v>5.9062084209999997</v>
      </c>
      <c r="R1028" s="1">
        <v>5.0440296189999998</v>
      </c>
      <c r="S1028" s="1">
        <v>5.4306817489999997</v>
      </c>
      <c r="T1028" s="1">
        <v>5.3560765139999997</v>
      </c>
      <c r="U1028" s="1">
        <v>5.6801009100000002</v>
      </c>
      <c r="V1028" s="1">
        <v>5.4559769400000002</v>
      </c>
      <c r="W1028" s="1">
        <v>5.8376547490000004</v>
      </c>
      <c r="X1028" s="1">
        <v>5.2866392680000001</v>
      </c>
      <c r="Y1028" s="1">
        <v>5.503438128</v>
      </c>
      <c r="Z1028" s="1">
        <v>5.0440296189999998</v>
      </c>
      <c r="AA1028" s="1">
        <v>5.4306817489999997</v>
      </c>
      <c r="AB1028" s="1">
        <v>5.4196851610000003</v>
      </c>
      <c r="AC1028" s="1">
        <v>5.1552886820000001</v>
      </c>
      <c r="AD1028" s="1">
        <v>5.7682763389999998</v>
      </c>
      <c r="AE1028" s="1">
        <v>5.8364806040000001</v>
      </c>
    </row>
    <row r="1029" spans="1:31" x14ac:dyDescent="0.25">
      <c r="A1029" s="1" t="s">
        <v>2369</v>
      </c>
      <c r="B1029" s="1" t="s">
        <v>2598</v>
      </c>
      <c r="C1029" s="1" t="s">
        <v>2795</v>
      </c>
      <c r="D1029" s="1" t="s">
        <v>2896</v>
      </c>
      <c r="E1029" s="1" t="s">
        <v>4251</v>
      </c>
      <c r="F1029" s="1" t="s">
        <v>4252</v>
      </c>
      <c r="G1029" s="1" t="s">
        <v>2369</v>
      </c>
      <c r="H1029" s="1">
        <v>7.4044540579999998</v>
      </c>
      <c r="I1029" s="1">
        <v>7.3977970910000002</v>
      </c>
      <c r="J1029" s="1">
        <v>7.8507008220000003</v>
      </c>
      <c r="K1029" s="1">
        <v>7.7895320029999997</v>
      </c>
      <c r="L1029" s="1">
        <v>8.1829843229999994</v>
      </c>
      <c r="M1029" s="1">
        <v>8.2645412579999995</v>
      </c>
      <c r="N1029" s="1">
        <v>8.1600966570000004</v>
      </c>
      <c r="O1029" s="1">
        <v>8.1159819179999992</v>
      </c>
      <c r="P1029" s="1">
        <v>8.0261041070000001</v>
      </c>
      <c r="Q1029" s="1">
        <v>7.8007584510000001</v>
      </c>
      <c r="R1029" s="1">
        <v>7.9525172480000004</v>
      </c>
      <c r="S1029" s="1">
        <v>8.2359636910000003</v>
      </c>
      <c r="T1029" s="1">
        <v>8.1829843229999994</v>
      </c>
      <c r="U1029" s="1">
        <v>8.2645412579999995</v>
      </c>
      <c r="V1029" s="1">
        <v>8.1230672459999997</v>
      </c>
      <c r="W1029" s="1">
        <v>7.8491249549999997</v>
      </c>
      <c r="X1029" s="1">
        <v>8.2308053460000004</v>
      </c>
      <c r="Y1029" s="1">
        <v>7.9766974729999998</v>
      </c>
      <c r="Z1029" s="1">
        <v>7.9525172480000004</v>
      </c>
      <c r="AA1029" s="1">
        <v>8.2359636910000003</v>
      </c>
      <c r="AB1029" s="1">
        <v>8.1438923689999996</v>
      </c>
      <c r="AC1029" s="1">
        <v>8.0714539080000005</v>
      </c>
      <c r="AD1029" s="1">
        <v>8.0512675609999995</v>
      </c>
      <c r="AE1029" s="1">
        <v>7.9609592459999998</v>
      </c>
    </row>
    <row r="1030" spans="1:31" x14ac:dyDescent="0.25">
      <c r="A1030" s="1" t="s">
        <v>2370</v>
      </c>
      <c r="B1030" s="1" t="s">
        <v>2648</v>
      </c>
      <c r="C1030" s="1" t="s">
        <v>2649</v>
      </c>
      <c r="D1030" s="1" t="s">
        <v>4253</v>
      </c>
      <c r="E1030" s="1" t="s">
        <v>4254</v>
      </c>
      <c r="G1030" s="1" t="s">
        <v>2370</v>
      </c>
      <c r="H1030" s="1">
        <v>5.8817546890000001</v>
      </c>
      <c r="I1030" s="1">
        <v>5.4067069720000003</v>
      </c>
      <c r="J1030" s="1">
        <v>5.2817155790000001</v>
      </c>
      <c r="K1030" s="1">
        <v>5.0588199180000002</v>
      </c>
      <c r="L1030" s="1">
        <v>5.2569846910000004</v>
      </c>
      <c r="M1030" s="1">
        <v>5.4399015869999996</v>
      </c>
      <c r="N1030" s="1">
        <v>5.910461819</v>
      </c>
      <c r="O1030" s="1">
        <v>5.8796079560000001</v>
      </c>
      <c r="P1030" s="1">
        <v>4.5499605860000001</v>
      </c>
      <c r="Q1030" s="1">
        <v>4.9365262349999997</v>
      </c>
      <c r="R1030" s="1">
        <v>4.6795267799999998</v>
      </c>
      <c r="S1030" s="1">
        <v>4.980227309</v>
      </c>
      <c r="T1030" s="1">
        <v>5.2569846910000004</v>
      </c>
      <c r="U1030" s="1">
        <v>5.4399015869999996</v>
      </c>
      <c r="V1030" s="1">
        <v>4.6987742170000004</v>
      </c>
      <c r="W1030" s="1">
        <v>5.16775612</v>
      </c>
      <c r="X1030" s="1">
        <v>5.2866392680000001</v>
      </c>
      <c r="Y1030" s="1">
        <v>5.6227961889999998</v>
      </c>
      <c r="Z1030" s="1">
        <v>4.6795267799999998</v>
      </c>
      <c r="AA1030" s="1">
        <v>4.980227309</v>
      </c>
      <c r="AB1030" s="1">
        <v>5.5787398220000002</v>
      </c>
      <c r="AC1030" s="1">
        <v>5.0158027430000001</v>
      </c>
      <c r="AD1030" s="1">
        <v>5.396704357</v>
      </c>
      <c r="AE1030" s="1">
        <v>5.0693189500000004</v>
      </c>
    </row>
    <row r="1031" spans="1:31" x14ac:dyDescent="0.25">
      <c r="A1031" s="1" t="s">
        <v>2371</v>
      </c>
      <c r="B1031" s="1" t="s">
        <v>2648</v>
      </c>
      <c r="C1031" s="1" t="s">
        <v>2649</v>
      </c>
      <c r="D1031" s="1" t="s">
        <v>4253</v>
      </c>
      <c r="E1031" s="1" t="s">
        <v>4255</v>
      </c>
      <c r="F1031" s="1" t="s">
        <v>4256</v>
      </c>
      <c r="G1031" s="1" t="s">
        <v>2371</v>
      </c>
      <c r="H1031" s="1">
        <v>6.512907255</v>
      </c>
      <c r="I1031" s="1">
        <v>6.5246782330000004</v>
      </c>
      <c r="J1031" s="1">
        <v>6.2697260589999999</v>
      </c>
      <c r="K1031" s="1">
        <v>6.2947097530000002</v>
      </c>
      <c r="L1031" s="1">
        <v>6.2512732120000001</v>
      </c>
      <c r="M1031" s="1">
        <v>6.2923515759999997</v>
      </c>
      <c r="N1031" s="1">
        <v>7.0325233200000001</v>
      </c>
      <c r="O1031" s="1">
        <v>6.9183032080000002</v>
      </c>
      <c r="P1031" s="1">
        <v>5.8883751269999998</v>
      </c>
      <c r="Q1031" s="1">
        <v>6.2209780280000002</v>
      </c>
      <c r="R1031" s="1">
        <v>6.0937807429999999</v>
      </c>
      <c r="S1031" s="1">
        <v>6.3003852350000003</v>
      </c>
      <c r="T1031" s="1">
        <v>6.2512732120000001</v>
      </c>
      <c r="U1031" s="1">
        <v>6.2923515759999997</v>
      </c>
      <c r="V1031" s="1">
        <v>6.258213456</v>
      </c>
      <c r="W1031" s="1">
        <v>5.8376547490000004</v>
      </c>
      <c r="X1031" s="1">
        <v>6.1013878439999996</v>
      </c>
      <c r="Y1031" s="1">
        <v>6.399298012</v>
      </c>
      <c r="Z1031" s="1">
        <v>6.0937807429999999</v>
      </c>
      <c r="AA1031" s="1">
        <v>6.3003852350000003</v>
      </c>
      <c r="AB1031" s="1">
        <v>6.1161870470000004</v>
      </c>
      <c r="AC1031" s="1">
        <v>6.1830263060000004</v>
      </c>
      <c r="AD1031" s="1">
        <v>6.008703369</v>
      </c>
      <c r="AE1031" s="1">
        <v>6.4319108390000004</v>
      </c>
    </row>
    <row r="1032" spans="1:31" x14ac:dyDescent="0.25">
      <c r="A1032" s="1" t="s">
        <v>2372</v>
      </c>
      <c r="B1032" s="1" t="s">
        <v>2648</v>
      </c>
      <c r="C1032" s="1" t="s">
        <v>2649</v>
      </c>
      <c r="D1032" s="1" t="s">
        <v>4253</v>
      </c>
      <c r="E1032" s="1" t="s">
        <v>4254</v>
      </c>
      <c r="G1032" s="1" t="s">
        <v>2372</v>
      </c>
      <c r="H1032" s="1">
        <v>10.15600452</v>
      </c>
      <c r="I1032" s="1">
        <v>10.453177070000001</v>
      </c>
      <c r="J1032" s="1">
        <v>8.5991459330000009</v>
      </c>
      <c r="K1032" s="1">
        <v>8.6154406689999998</v>
      </c>
      <c r="L1032" s="1">
        <v>7.9726994800000002</v>
      </c>
      <c r="M1032" s="1">
        <v>7.8137619410000001</v>
      </c>
      <c r="N1032" s="1">
        <v>10.140666550000001</v>
      </c>
      <c r="O1032" s="1">
        <v>10.16414312</v>
      </c>
      <c r="P1032" s="1">
        <v>8.7068422139999999</v>
      </c>
      <c r="Q1032" s="1">
        <v>8.4932282499999996</v>
      </c>
      <c r="R1032" s="1">
        <v>8.1744629329999992</v>
      </c>
      <c r="S1032" s="1">
        <v>8.1217457230000001</v>
      </c>
      <c r="T1032" s="1">
        <v>7.9726994800000002</v>
      </c>
      <c r="U1032" s="1">
        <v>7.8137619410000001</v>
      </c>
      <c r="V1032" s="1">
        <v>8.8118677959999996</v>
      </c>
      <c r="W1032" s="1">
        <v>8.8981239829999996</v>
      </c>
      <c r="X1032" s="1">
        <v>8.5463694050000001</v>
      </c>
      <c r="Y1032" s="1">
        <v>9.2374495359999997</v>
      </c>
      <c r="Z1032" s="1">
        <v>8.1744629329999992</v>
      </c>
      <c r="AA1032" s="1">
        <v>8.1217457230000001</v>
      </c>
      <c r="AB1032" s="1">
        <v>8.2338390189999995</v>
      </c>
      <c r="AC1032" s="1">
        <v>8.5265018010000002</v>
      </c>
      <c r="AD1032" s="1">
        <v>8.9457852209999995</v>
      </c>
      <c r="AE1032" s="1">
        <v>9.1279417120000002</v>
      </c>
    </row>
    <row r="1033" spans="1:31" x14ac:dyDescent="0.25">
      <c r="A1033" s="1" t="s">
        <v>2373</v>
      </c>
      <c r="B1033" s="1" t="s">
        <v>2530</v>
      </c>
      <c r="C1033" s="1" t="s">
        <v>2531</v>
      </c>
      <c r="D1033" s="1" t="s">
        <v>2535</v>
      </c>
      <c r="E1033" s="1" t="s">
        <v>2536</v>
      </c>
      <c r="G1033" s="1" t="s">
        <v>2373</v>
      </c>
      <c r="H1033" s="1">
        <v>9.9516323579999995</v>
      </c>
      <c r="I1033" s="1">
        <v>9.5098467949999996</v>
      </c>
      <c r="J1033" s="1">
        <v>8.5568232999999996</v>
      </c>
      <c r="K1033" s="1">
        <v>8.8505050310000009</v>
      </c>
      <c r="L1033" s="1">
        <v>8.5228970719999992</v>
      </c>
      <c r="M1033" s="1">
        <v>8.3361555930000009</v>
      </c>
      <c r="N1033" s="1">
        <v>8.8021079029999996</v>
      </c>
      <c r="O1033" s="1">
        <v>9.0791229300000005</v>
      </c>
      <c r="P1033" s="1">
        <v>8.6068158589999992</v>
      </c>
      <c r="Q1033" s="1">
        <v>8.6585790520000003</v>
      </c>
      <c r="R1033" s="1">
        <v>8.473885932</v>
      </c>
      <c r="S1033" s="1">
        <v>8.4212051179999996</v>
      </c>
      <c r="T1033" s="1">
        <v>8.5228970719999992</v>
      </c>
      <c r="U1033" s="1">
        <v>8.3361555930000009</v>
      </c>
      <c r="V1033" s="1">
        <v>8.3449517610000008</v>
      </c>
      <c r="W1033" s="1">
        <v>8.6626848669999994</v>
      </c>
      <c r="X1033" s="1">
        <v>8.5170026409999995</v>
      </c>
      <c r="Y1033" s="1">
        <v>8.4045259720000001</v>
      </c>
      <c r="Z1033" s="1">
        <v>8.473885932</v>
      </c>
      <c r="AA1033" s="1">
        <v>8.4212051179999996</v>
      </c>
      <c r="AB1033" s="1">
        <v>8.2417445330000003</v>
      </c>
      <c r="AC1033" s="1">
        <v>8.2309468510000006</v>
      </c>
      <c r="AD1033" s="1">
        <v>8.6286962630000001</v>
      </c>
      <c r="AE1033" s="1">
        <v>8.4662345049999992</v>
      </c>
    </row>
    <row r="1034" spans="1:31" x14ac:dyDescent="0.25">
      <c r="A1034" s="1" t="s">
        <v>2376</v>
      </c>
      <c r="B1034" s="1" t="s">
        <v>2547</v>
      </c>
      <c r="C1034" s="1" t="s">
        <v>3886</v>
      </c>
      <c r="D1034" s="1" t="s">
        <v>3887</v>
      </c>
      <c r="E1034" s="1" t="s">
        <v>4257</v>
      </c>
      <c r="F1034" s="1" t="s">
        <v>4258</v>
      </c>
      <c r="G1034" s="1" t="s">
        <v>2376</v>
      </c>
      <c r="H1034" s="1">
        <v>8.6518826799999999</v>
      </c>
      <c r="I1034" s="1">
        <v>9.3842969299999996</v>
      </c>
      <c r="J1034" s="1">
        <v>8.1811814789999993</v>
      </c>
      <c r="K1034" s="1">
        <v>8.0909901600000005</v>
      </c>
      <c r="L1034" s="1">
        <v>7.5464284519999998</v>
      </c>
      <c r="M1034" s="1">
        <v>7.4527926879999997</v>
      </c>
      <c r="N1034" s="1">
        <v>8.3913758870000006</v>
      </c>
      <c r="O1034" s="1">
        <v>7.8281195260000001</v>
      </c>
      <c r="P1034" s="1">
        <v>8.3067751489999999</v>
      </c>
      <c r="Q1034" s="1">
        <v>8.5125648050000002</v>
      </c>
      <c r="R1034" s="1">
        <v>7.2477233400000003</v>
      </c>
      <c r="S1034" s="1">
        <v>8.0169995360000001</v>
      </c>
      <c r="T1034" s="1">
        <v>7.5464284519999998</v>
      </c>
      <c r="U1034" s="1">
        <v>7.4527926879999997</v>
      </c>
      <c r="V1034" s="1">
        <v>9.1861892829999992</v>
      </c>
      <c r="W1034" s="1">
        <v>9.0048234760000003</v>
      </c>
      <c r="X1034" s="1">
        <v>8.0409620430000004</v>
      </c>
      <c r="Y1034" s="1">
        <v>9.1245847950000005</v>
      </c>
      <c r="Z1034" s="1">
        <v>7.2477233400000003</v>
      </c>
      <c r="AA1034" s="1">
        <v>8.0169995360000001</v>
      </c>
      <c r="AB1034" s="1">
        <v>7.7920896879999999</v>
      </c>
      <c r="AC1034" s="1">
        <v>7.4212408840000004</v>
      </c>
      <c r="AD1034" s="1">
        <v>7.3705131210000001</v>
      </c>
      <c r="AE1034" s="1">
        <v>8.0043077389999997</v>
      </c>
    </row>
    <row r="1035" spans="1:31" x14ac:dyDescent="0.25">
      <c r="A1035" s="1" t="s">
        <v>2382</v>
      </c>
      <c r="B1035" s="1" t="s">
        <v>2557</v>
      </c>
      <c r="C1035" s="1" t="s">
        <v>2680</v>
      </c>
      <c r="D1035" s="1" t="s">
        <v>4259</v>
      </c>
      <c r="E1035" s="1" t="s">
        <v>4260</v>
      </c>
      <c r="F1035" s="1" t="s">
        <v>4261</v>
      </c>
      <c r="G1035" s="1" t="s">
        <v>2382</v>
      </c>
      <c r="H1035" s="1">
        <v>7.7762244149999997</v>
      </c>
      <c r="I1035" s="1">
        <v>7.2773454409999996</v>
      </c>
      <c r="J1035" s="1">
        <v>6.6703645099999997</v>
      </c>
      <c r="K1035" s="1">
        <v>6.6858938820000002</v>
      </c>
      <c r="L1035" s="1">
        <v>5.552483659</v>
      </c>
      <c r="M1035" s="1">
        <v>5.9201092089999996</v>
      </c>
      <c r="N1035" s="1">
        <v>6.5176065699999999</v>
      </c>
      <c r="O1035" s="1">
        <v>7.0607526280000004</v>
      </c>
      <c r="P1035" s="1">
        <v>6.6469760500000001</v>
      </c>
      <c r="Q1035" s="1">
        <v>6.5556885899999999</v>
      </c>
      <c r="R1035" s="1">
        <v>6.239987642</v>
      </c>
      <c r="S1035" s="1">
        <v>6.3003852350000003</v>
      </c>
      <c r="T1035" s="1">
        <v>5.552483659</v>
      </c>
      <c r="U1035" s="1">
        <v>5.9201092089999996</v>
      </c>
      <c r="V1035" s="1">
        <v>5.4882083000000002</v>
      </c>
      <c r="W1035" s="1">
        <v>5.6059572260000001</v>
      </c>
      <c r="X1035" s="1">
        <v>6.0881054910000003</v>
      </c>
      <c r="Y1035" s="1">
        <v>5.503438128</v>
      </c>
      <c r="Z1035" s="1">
        <v>6.239987642</v>
      </c>
      <c r="AA1035" s="1">
        <v>6.3003852350000003</v>
      </c>
      <c r="AB1035" s="1">
        <v>6.2789960090000001</v>
      </c>
      <c r="AC1035" s="1">
        <v>6.0940352600000001</v>
      </c>
      <c r="AD1035" s="1">
        <v>5.396704357</v>
      </c>
      <c r="AE1035" s="1">
        <v>5.820347505</v>
      </c>
    </row>
    <row r="1036" spans="1:31" x14ac:dyDescent="0.25">
      <c r="A1036" s="1" t="s">
        <v>2383</v>
      </c>
      <c r="B1036" s="1" t="s">
        <v>2530</v>
      </c>
      <c r="C1036" s="1" t="s">
        <v>2531</v>
      </c>
      <c r="D1036" s="1" t="s">
        <v>4259</v>
      </c>
      <c r="E1036" s="1" t="s">
        <v>4262</v>
      </c>
      <c r="G1036" s="1" t="s">
        <v>2383</v>
      </c>
      <c r="H1036" s="1">
        <v>6.7298351800000002</v>
      </c>
      <c r="I1036" s="1">
        <v>6.4335830219999997</v>
      </c>
      <c r="J1036" s="1">
        <v>5.4770890750000003</v>
      </c>
      <c r="K1036" s="1">
        <v>6.9030258440000001</v>
      </c>
      <c r="L1036" s="1">
        <v>5.5357047289999999</v>
      </c>
      <c r="M1036" s="1">
        <v>5.4159199769999997</v>
      </c>
      <c r="N1036" s="1">
        <v>5.5947014570000002</v>
      </c>
      <c r="O1036" s="1">
        <v>6.173773679</v>
      </c>
      <c r="P1036" s="1">
        <v>5.0554269730000003</v>
      </c>
      <c r="Q1036" s="1">
        <v>5.1004769559999996</v>
      </c>
      <c r="R1036" s="1">
        <v>4.5333476509999997</v>
      </c>
      <c r="S1036" s="1">
        <v>5.4306817489999997</v>
      </c>
      <c r="T1036" s="1">
        <v>5.5357047289999999</v>
      </c>
      <c r="U1036" s="1">
        <v>5.4159199769999997</v>
      </c>
      <c r="V1036" s="1">
        <v>5.695500268</v>
      </c>
      <c r="W1036" s="1">
        <v>4.9854391920000003</v>
      </c>
      <c r="X1036" s="1">
        <v>4.9146300209999998</v>
      </c>
      <c r="Y1036" s="1">
        <v>4.9529845589999999</v>
      </c>
      <c r="Z1036" s="1">
        <v>4.5333476509999997</v>
      </c>
      <c r="AA1036" s="1">
        <v>5.4306817489999997</v>
      </c>
      <c r="AB1036" s="1">
        <v>5.6280506069999996</v>
      </c>
      <c r="AC1036" s="1">
        <v>4.9660712470000004</v>
      </c>
      <c r="AD1036" s="1">
        <v>4.6978214539999996</v>
      </c>
      <c r="AE1036" s="1">
        <v>5.2972943729999997</v>
      </c>
    </row>
    <row r="1037" spans="1:31" x14ac:dyDescent="0.25">
      <c r="A1037" s="1" t="s">
        <v>2384</v>
      </c>
      <c r="B1037" s="1" t="s">
        <v>2557</v>
      </c>
      <c r="C1037" s="1" t="s">
        <v>2680</v>
      </c>
      <c r="D1037" s="1" t="s">
        <v>4259</v>
      </c>
      <c r="E1037" s="1" t="s">
        <v>4263</v>
      </c>
      <c r="F1037" s="1" t="s">
        <v>4264</v>
      </c>
      <c r="G1037" s="1" t="s">
        <v>2384</v>
      </c>
      <c r="H1037" s="1">
        <v>9.7064997420000001</v>
      </c>
      <c r="I1037" s="1">
        <v>9.1895344320000003</v>
      </c>
      <c r="J1037" s="1">
        <v>8.9026809</v>
      </c>
      <c r="K1037" s="1">
        <v>9.5960156239999996</v>
      </c>
      <c r="L1037" s="1">
        <v>6.3786386329999996</v>
      </c>
      <c r="M1037" s="1">
        <v>6.6504511339999999</v>
      </c>
      <c r="N1037" s="1">
        <v>7.9996626190000004</v>
      </c>
      <c r="O1037" s="1">
        <v>9.2566824259999994</v>
      </c>
      <c r="P1037" s="1">
        <v>7.9590245529999999</v>
      </c>
      <c r="Q1037" s="1">
        <v>7.9429626349999998</v>
      </c>
      <c r="R1037" s="1">
        <v>7.2245265209999996</v>
      </c>
      <c r="S1037" s="1">
        <v>7.195433188</v>
      </c>
      <c r="T1037" s="1">
        <v>6.3786386329999996</v>
      </c>
      <c r="U1037" s="1">
        <v>6.6504511339999999</v>
      </c>
      <c r="V1037" s="1">
        <v>7.2437271340000002</v>
      </c>
      <c r="W1037" s="1">
        <v>7.1334545250000003</v>
      </c>
      <c r="X1037" s="1">
        <v>5.9183192990000002</v>
      </c>
      <c r="Y1037" s="1">
        <v>6.6990194939999999</v>
      </c>
      <c r="Z1037" s="1">
        <v>7.2245265209999996</v>
      </c>
      <c r="AA1037" s="1">
        <v>7.195433188</v>
      </c>
      <c r="AB1037" s="1">
        <v>7.1351367960000003</v>
      </c>
      <c r="AC1037" s="1">
        <v>6.8988724469999996</v>
      </c>
      <c r="AD1037" s="1">
        <v>7.1378851560000003</v>
      </c>
      <c r="AE1037" s="1">
        <v>7.0850981089999996</v>
      </c>
    </row>
    <row r="1038" spans="1:31" x14ac:dyDescent="0.25">
      <c r="A1038" s="1" t="s">
        <v>2386</v>
      </c>
      <c r="B1038" s="1" t="s">
        <v>2598</v>
      </c>
      <c r="C1038" s="1" t="s">
        <v>2603</v>
      </c>
      <c r="D1038" s="1" t="s">
        <v>3011</v>
      </c>
      <c r="E1038" s="1" t="s">
        <v>4265</v>
      </c>
      <c r="F1038" s="1" t="s">
        <v>4266</v>
      </c>
      <c r="G1038" s="1" t="s">
        <v>2386</v>
      </c>
      <c r="H1038" s="1">
        <v>4.8663747150000001</v>
      </c>
      <c r="I1038" s="1">
        <v>4.1114152529999997</v>
      </c>
      <c r="J1038" s="1">
        <v>6.2697260589999999</v>
      </c>
      <c r="K1038" s="1">
        <v>6.091743707</v>
      </c>
      <c r="L1038" s="1">
        <v>7.2204511910000004</v>
      </c>
      <c r="M1038" s="1">
        <v>7.4817971329999997</v>
      </c>
      <c r="N1038" s="1">
        <v>4.3116130799999999</v>
      </c>
      <c r="O1038" s="1">
        <v>4.4368189940000002</v>
      </c>
      <c r="P1038" s="1">
        <v>6.5171892439999999</v>
      </c>
      <c r="Q1038" s="1">
        <v>6.459205753</v>
      </c>
      <c r="R1038" s="1">
        <v>7.5290454130000004</v>
      </c>
      <c r="S1038" s="1">
        <v>7.0530412199999999</v>
      </c>
      <c r="T1038" s="1">
        <v>7.2204511910000004</v>
      </c>
      <c r="U1038" s="1">
        <v>7.4817971329999997</v>
      </c>
      <c r="V1038" s="1">
        <v>6.4659141040000003</v>
      </c>
      <c r="W1038" s="1">
        <v>6.2922055309999996</v>
      </c>
      <c r="X1038" s="1">
        <v>6.8633542910000003</v>
      </c>
      <c r="Y1038" s="1">
        <v>6.3541670720000001</v>
      </c>
      <c r="Z1038" s="1">
        <v>7.5290454130000004</v>
      </c>
      <c r="AA1038" s="1">
        <v>7.0530412199999999</v>
      </c>
      <c r="AB1038" s="1">
        <v>7.0832603900000004</v>
      </c>
      <c r="AC1038" s="1">
        <v>7.1287405320000001</v>
      </c>
      <c r="AD1038" s="1">
        <v>6.6102586299999997</v>
      </c>
      <c r="AE1038" s="1">
        <v>6.2987649059999997</v>
      </c>
    </row>
    <row r="1039" spans="1:31" x14ac:dyDescent="0.25">
      <c r="A1039" s="1" t="s">
        <v>2387</v>
      </c>
      <c r="B1039" s="1" t="s">
        <v>2547</v>
      </c>
      <c r="C1039" s="1" t="s">
        <v>2694</v>
      </c>
      <c r="D1039" s="1" t="s">
        <v>2595</v>
      </c>
      <c r="E1039" s="1" t="s">
        <v>4267</v>
      </c>
      <c r="F1039" s="1" t="s">
        <v>4268</v>
      </c>
      <c r="G1039" s="1" t="s">
        <v>2387</v>
      </c>
      <c r="H1039" s="1">
        <v>5.3712699940000004</v>
      </c>
      <c r="I1039" s="1">
        <v>5.3676718369999996</v>
      </c>
      <c r="J1039" s="1">
        <v>6.331385225</v>
      </c>
      <c r="K1039" s="1">
        <v>5.7554847420000002</v>
      </c>
      <c r="L1039" s="1">
        <v>6.1001767109999996</v>
      </c>
      <c r="M1039" s="1">
        <v>6.1108364430000002</v>
      </c>
      <c r="N1039" s="1">
        <v>4.8677953240000003</v>
      </c>
      <c r="O1039" s="1">
        <v>5.1349072580000001</v>
      </c>
      <c r="P1039" s="1">
        <v>6.2775910990000003</v>
      </c>
      <c r="Q1039" s="1">
        <v>6.1730784669999998</v>
      </c>
      <c r="R1039" s="1">
        <v>5.6457947050000001</v>
      </c>
      <c r="S1039" s="1">
        <v>5.6453330910000004</v>
      </c>
      <c r="T1039" s="1">
        <v>6.1001767109999996</v>
      </c>
      <c r="U1039" s="1">
        <v>6.1108364430000002</v>
      </c>
      <c r="V1039" s="1">
        <v>5.9705432629999997</v>
      </c>
      <c r="W1039" s="1">
        <v>5.6874298530000003</v>
      </c>
      <c r="X1039" s="1">
        <v>5.9332613380000003</v>
      </c>
      <c r="Y1039" s="1">
        <v>5.6227961889999998</v>
      </c>
      <c r="Z1039" s="1">
        <v>5.6457947050000001</v>
      </c>
      <c r="AA1039" s="1">
        <v>5.6453330910000004</v>
      </c>
      <c r="AB1039" s="1">
        <v>5.851934376</v>
      </c>
      <c r="AC1039" s="1">
        <v>5.5407520860000004</v>
      </c>
      <c r="AD1039" s="1">
        <v>5.7682763389999998</v>
      </c>
      <c r="AE1039" s="1">
        <v>5.2497036230000003</v>
      </c>
    </row>
    <row r="1040" spans="1:31" x14ac:dyDescent="0.25">
      <c r="A1040" s="1" t="s">
        <v>2388</v>
      </c>
      <c r="B1040" s="1" t="s">
        <v>2631</v>
      </c>
      <c r="C1040" s="1" t="s">
        <v>2980</v>
      </c>
      <c r="D1040" s="1" t="s">
        <v>4133</v>
      </c>
      <c r="E1040" s="1" t="s">
        <v>4269</v>
      </c>
      <c r="F1040" s="1" t="s">
        <v>4270</v>
      </c>
      <c r="G1040" s="1" t="s">
        <v>2388</v>
      </c>
      <c r="H1040" s="1">
        <v>3.4660955969999998</v>
      </c>
      <c r="I1040" s="1">
        <v>3.3322126910000001</v>
      </c>
      <c r="J1040" s="1">
        <v>4.0065844400000001</v>
      </c>
      <c r="K1040" s="1">
        <v>4.1384138449999996</v>
      </c>
      <c r="L1040" s="1">
        <v>4.5533082269999996</v>
      </c>
      <c r="M1040" s="1">
        <v>3.6044002019999999</v>
      </c>
      <c r="N1040" s="1">
        <v>4.2617896110000002</v>
      </c>
      <c r="O1040" s="1">
        <v>4.3322392709999997</v>
      </c>
      <c r="P1040" s="1">
        <v>4.2485661720000003</v>
      </c>
      <c r="Q1040" s="1">
        <v>3.9718447549999998</v>
      </c>
      <c r="R1040" s="1">
        <v>4.0808207129999996</v>
      </c>
      <c r="S1040" s="1">
        <v>3.3463386960000001</v>
      </c>
      <c r="T1040" s="1">
        <v>4.5533082269999996</v>
      </c>
      <c r="U1040" s="1">
        <v>3.6044002019999999</v>
      </c>
      <c r="V1040" s="1">
        <v>4.0758289169999999</v>
      </c>
      <c r="W1040" s="1">
        <v>3.8431653940000001</v>
      </c>
      <c r="X1040" s="1">
        <v>4.3627028770000003</v>
      </c>
      <c r="Y1040" s="1">
        <v>4.0337379980000003</v>
      </c>
      <c r="Z1040" s="1">
        <v>4.0808207129999996</v>
      </c>
      <c r="AA1040" s="1">
        <v>3.3463386960000001</v>
      </c>
      <c r="AB1040" s="1">
        <v>3.1218319999999999</v>
      </c>
      <c r="AC1040" s="1">
        <v>3.8665622239999999</v>
      </c>
      <c r="AD1040" s="1">
        <v>3.725077481</v>
      </c>
      <c r="AE1040" s="1">
        <v>3.7492737119999999</v>
      </c>
    </row>
    <row r="1041" spans="1:31" x14ac:dyDescent="0.25">
      <c r="A1041" s="1" t="s">
        <v>2389</v>
      </c>
      <c r="B1041" s="1" t="s">
        <v>2530</v>
      </c>
      <c r="C1041" s="1" t="s">
        <v>2531</v>
      </c>
      <c r="D1041" s="1" t="s">
        <v>2535</v>
      </c>
      <c r="E1041" s="1" t="s">
        <v>4271</v>
      </c>
      <c r="G1041" s="1" t="s">
        <v>2389</v>
      </c>
      <c r="H1041" s="1">
        <v>3.6455184960000002</v>
      </c>
      <c r="I1041" s="1">
        <v>4.5280931029999998</v>
      </c>
      <c r="J1041" s="1">
        <v>4.8434621079999998</v>
      </c>
      <c r="K1041" s="1">
        <v>4.5171444090000001</v>
      </c>
      <c r="L1041" s="1">
        <v>5.6016693059999998</v>
      </c>
      <c r="M1041" s="1">
        <v>5.1796951440000001</v>
      </c>
      <c r="N1041" s="1">
        <v>5.3835417159999999</v>
      </c>
      <c r="O1041" s="1">
        <v>5.2237789919999997</v>
      </c>
      <c r="P1041" s="1">
        <v>4.5499605860000001</v>
      </c>
      <c r="Q1041" s="1">
        <v>4.9365262349999997</v>
      </c>
      <c r="R1041" s="1">
        <v>4.8118229140000004</v>
      </c>
      <c r="S1041" s="1">
        <v>4.8114074450000004</v>
      </c>
      <c r="T1041" s="1">
        <v>5.6016693059999998</v>
      </c>
      <c r="U1041" s="1">
        <v>5.1796951440000001</v>
      </c>
      <c r="V1041" s="1">
        <v>4.6987742170000004</v>
      </c>
      <c r="W1041" s="1">
        <v>4.7760085830000003</v>
      </c>
      <c r="X1041" s="1">
        <v>5.2391096700000004</v>
      </c>
      <c r="Y1041" s="1">
        <v>4.9529845589999999</v>
      </c>
      <c r="Z1041" s="1">
        <v>4.8118229140000004</v>
      </c>
      <c r="AA1041" s="1">
        <v>4.8114074450000004</v>
      </c>
      <c r="AB1041" s="1">
        <v>5.4196851610000003</v>
      </c>
      <c r="AC1041" s="1">
        <v>4.2557864319999998</v>
      </c>
      <c r="AD1041" s="1">
        <v>5.0634297190000002</v>
      </c>
      <c r="AE1041" s="1">
        <v>5.3205054189999998</v>
      </c>
    </row>
    <row r="1042" spans="1:31" x14ac:dyDescent="0.25">
      <c r="A1042" s="1" t="s">
        <v>2390</v>
      </c>
      <c r="B1042" s="1" t="s">
        <v>2608</v>
      </c>
      <c r="C1042" s="1" t="s">
        <v>2700</v>
      </c>
      <c r="D1042" s="1" t="s">
        <v>3380</v>
      </c>
      <c r="E1042" s="1" t="s">
        <v>4272</v>
      </c>
      <c r="F1042" s="1" t="s">
        <v>4273</v>
      </c>
      <c r="G1042" s="1" t="s">
        <v>2390</v>
      </c>
      <c r="H1042" s="1">
        <v>5.1686839359999999</v>
      </c>
      <c r="I1042" s="1">
        <v>5.1998500889999999</v>
      </c>
      <c r="J1042" s="1">
        <v>4.5940881259999999</v>
      </c>
      <c r="K1042" s="1">
        <v>4.1384138449999996</v>
      </c>
      <c r="L1042" s="1">
        <v>4.619423984</v>
      </c>
      <c r="M1042" s="1">
        <v>4.5403831759999997</v>
      </c>
      <c r="N1042" s="1">
        <v>5.3835417159999999</v>
      </c>
      <c r="O1042" s="1">
        <v>5.7062857469999999</v>
      </c>
      <c r="P1042" s="1">
        <v>4.0684607960000001</v>
      </c>
      <c r="Q1042" s="1">
        <v>4.18747588</v>
      </c>
      <c r="R1042" s="1">
        <v>4.1841942410000001</v>
      </c>
      <c r="S1042" s="1">
        <v>3.6647387380000001</v>
      </c>
      <c r="T1042" s="1">
        <v>4.619423984</v>
      </c>
      <c r="U1042" s="1">
        <v>4.5403831759999997</v>
      </c>
      <c r="V1042" s="1">
        <v>4.5207607210000003</v>
      </c>
      <c r="W1042" s="1">
        <v>3.2870366010000001</v>
      </c>
      <c r="X1042" s="1">
        <v>4.5325909299999996</v>
      </c>
      <c r="Y1042" s="1">
        <v>3.7705059300000001</v>
      </c>
      <c r="Z1042" s="1">
        <v>4.1841942410000001</v>
      </c>
      <c r="AA1042" s="1">
        <v>3.6647387380000001</v>
      </c>
      <c r="AB1042" s="1">
        <v>4.3946012420000002</v>
      </c>
      <c r="AC1042" s="1">
        <v>4.2557864319999998</v>
      </c>
      <c r="AD1042" s="1">
        <v>3.8610926929999998</v>
      </c>
      <c r="AE1042" s="1">
        <v>4.0685293649999998</v>
      </c>
    </row>
    <row r="1043" spans="1:31" x14ac:dyDescent="0.25">
      <c r="A1043" s="1" t="s">
        <v>2394</v>
      </c>
      <c r="B1043" s="1" t="s">
        <v>2667</v>
      </c>
      <c r="C1043" s="1" t="s">
        <v>2781</v>
      </c>
      <c r="D1043" s="1" t="s">
        <v>4274</v>
      </c>
      <c r="E1043" s="1" t="s">
        <v>4275</v>
      </c>
      <c r="F1043" s="1" t="s">
        <v>4276</v>
      </c>
      <c r="G1043" s="1" t="s">
        <v>2394</v>
      </c>
      <c r="H1043" s="1">
        <v>5.8817546890000001</v>
      </c>
      <c r="I1043" s="1">
        <v>5.4067069720000003</v>
      </c>
      <c r="J1043" s="1">
        <v>6.2270996539999999</v>
      </c>
      <c r="K1043" s="1">
        <v>6.5137511750000003</v>
      </c>
      <c r="L1043" s="1">
        <v>6.5465837359999997</v>
      </c>
      <c r="M1043" s="1">
        <v>6.4417193250000002</v>
      </c>
      <c r="N1043" s="1">
        <v>6.0739568119999996</v>
      </c>
      <c r="O1043" s="1">
        <v>6.0979208290000004</v>
      </c>
      <c r="P1043" s="1">
        <v>6.1074648529999997</v>
      </c>
      <c r="Q1043" s="1">
        <v>6.289960497</v>
      </c>
      <c r="R1043" s="1">
        <v>6.3297979870000001</v>
      </c>
      <c r="S1043" s="1">
        <v>6.3003852350000003</v>
      </c>
      <c r="T1043" s="1">
        <v>6.5465837359999997</v>
      </c>
      <c r="U1043" s="1">
        <v>6.4417193250000002</v>
      </c>
      <c r="V1043" s="1">
        <v>6.5134692110000003</v>
      </c>
      <c r="W1043" s="1">
        <v>5.9736131119999998</v>
      </c>
      <c r="X1043" s="1">
        <v>5.8252409690000002</v>
      </c>
      <c r="Y1043" s="1">
        <v>6.2836980430000002</v>
      </c>
      <c r="Z1043" s="1">
        <v>6.3297979870000001</v>
      </c>
      <c r="AA1043" s="1">
        <v>6.3003852350000003</v>
      </c>
      <c r="AB1043" s="1">
        <v>6.2478766610000003</v>
      </c>
      <c r="AC1043" s="1">
        <v>6.5603321899999996</v>
      </c>
      <c r="AD1043" s="1">
        <v>6.4362874889999997</v>
      </c>
      <c r="AE1043" s="1">
        <v>6.3445305059999999</v>
      </c>
    </row>
    <row r="1044" spans="1:31" x14ac:dyDescent="0.25">
      <c r="A1044" s="1" t="s">
        <v>2397</v>
      </c>
      <c r="B1044" s="1" t="s">
        <v>2608</v>
      </c>
      <c r="C1044" s="1" t="s">
        <v>2791</v>
      </c>
      <c r="D1044" s="1" t="s">
        <v>3865</v>
      </c>
      <c r="E1044" s="1" t="s">
        <v>4277</v>
      </c>
      <c r="F1044" s="1" t="s">
        <v>4278</v>
      </c>
      <c r="G1044" s="1" t="s">
        <v>2397</v>
      </c>
      <c r="H1044" s="1">
        <v>9.9903156079999995</v>
      </c>
      <c r="I1044" s="1">
        <v>9.4737723040000006</v>
      </c>
      <c r="J1044" s="1">
        <v>7.1059649460000003</v>
      </c>
      <c r="K1044" s="1">
        <v>7.8308447120000002</v>
      </c>
      <c r="L1044" s="1">
        <v>5.3938587340000002</v>
      </c>
      <c r="M1044" s="1">
        <v>5.7583226490000001</v>
      </c>
      <c r="N1044" s="1">
        <v>8.6552947479999993</v>
      </c>
      <c r="O1044" s="1">
        <v>9.2356464099999993</v>
      </c>
      <c r="P1044" s="1">
        <v>6.5340672829999997</v>
      </c>
      <c r="Q1044" s="1">
        <v>6.459205753</v>
      </c>
      <c r="R1044" s="1">
        <v>5.8723300570000001</v>
      </c>
      <c r="S1044" s="1">
        <v>6.0973467069999998</v>
      </c>
      <c r="T1044" s="1">
        <v>5.3938587340000002</v>
      </c>
      <c r="U1044" s="1">
        <v>5.7583226490000001</v>
      </c>
      <c r="V1044" s="1">
        <v>6.3484277020000004</v>
      </c>
      <c r="W1044" s="1">
        <v>6.463427716</v>
      </c>
      <c r="X1044" s="1">
        <v>5.4203833540000002</v>
      </c>
      <c r="Y1044" s="1">
        <v>5.8677638710000002</v>
      </c>
      <c r="Z1044" s="1">
        <v>5.8723300570000001</v>
      </c>
      <c r="AA1044" s="1">
        <v>6.0973467069999998</v>
      </c>
      <c r="AB1044" s="1">
        <v>5.9711898400000001</v>
      </c>
      <c r="AC1044" s="1">
        <v>5.8439382809999998</v>
      </c>
      <c r="AD1044" s="1">
        <v>5.6665831520000003</v>
      </c>
      <c r="AE1044" s="1">
        <v>5.8838179420000003</v>
      </c>
    </row>
    <row r="1045" spans="1:31" x14ac:dyDescent="0.25">
      <c r="A1045" s="1" t="s">
        <v>2399</v>
      </c>
      <c r="B1045" s="1" t="s">
        <v>2530</v>
      </c>
      <c r="C1045" s="1" t="s">
        <v>2531</v>
      </c>
      <c r="D1045" s="1" t="s">
        <v>2535</v>
      </c>
      <c r="E1045" s="1" t="s">
        <v>2536</v>
      </c>
      <c r="G1045" s="1" t="s">
        <v>2399</v>
      </c>
      <c r="H1045" s="1">
        <v>7.9898696789999999</v>
      </c>
      <c r="I1045" s="1">
        <v>7.4451590169999999</v>
      </c>
      <c r="J1045" s="1">
        <v>7.4212376869999996</v>
      </c>
      <c r="K1045" s="1">
        <v>7.7383418519999996</v>
      </c>
      <c r="L1045" s="1">
        <v>8.0003437080000008</v>
      </c>
      <c r="M1045" s="1">
        <v>7.719509736</v>
      </c>
      <c r="N1045" s="1">
        <v>7.9004081189999997</v>
      </c>
      <c r="O1045" s="1">
        <v>7.8187182750000002</v>
      </c>
      <c r="P1045" s="1">
        <v>7.5587001300000001</v>
      </c>
      <c r="Q1045" s="1">
        <v>7.3736016690000001</v>
      </c>
      <c r="R1045" s="1">
        <v>7.7152652379999997</v>
      </c>
      <c r="S1045" s="1">
        <v>7.5180364270000002</v>
      </c>
      <c r="T1045" s="1">
        <v>8.0003437080000008</v>
      </c>
      <c r="U1045" s="1">
        <v>7.719509736</v>
      </c>
      <c r="V1045" s="1">
        <v>7.1466161049999997</v>
      </c>
      <c r="W1045" s="1">
        <v>7.4448055310000001</v>
      </c>
      <c r="X1045" s="1">
        <v>7.6068595810000001</v>
      </c>
      <c r="Y1045" s="1">
        <v>7.0495236999999999</v>
      </c>
      <c r="Z1045" s="1">
        <v>7.7152652379999997</v>
      </c>
      <c r="AA1045" s="1">
        <v>7.5180364270000002</v>
      </c>
      <c r="AB1045" s="1">
        <v>7.310811599</v>
      </c>
      <c r="AC1045" s="1">
        <v>7.7755673500000002</v>
      </c>
      <c r="AD1045" s="1">
        <v>7.1875116349999999</v>
      </c>
      <c r="AE1045" s="1">
        <v>7.3985040959999999</v>
      </c>
    </row>
    <row r="1046" spans="1:31" x14ac:dyDescent="0.25">
      <c r="A1046" s="1" t="s">
        <v>2400</v>
      </c>
      <c r="B1046" s="1" t="s">
        <v>2530</v>
      </c>
      <c r="C1046" s="1" t="s">
        <v>2531</v>
      </c>
      <c r="D1046" s="1" t="s">
        <v>2535</v>
      </c>
      <c r="E1046" s="1" t="s">
        <v>4279</v>
      </c>
      <c r="G1046" s="1" t="s">
        <v>2400</v>
      </c>
      <c r="H1046" s="1">
        <v>6.1789942880000002</v>
      </c>
      <c r="I1046" s="1">
        <v>6.5422250579999996</v>
      </c>
      <c r="J1046" s="1">
        <v>5.8022574259999997</v>
      </c>
      <c r="K1046" s="1">
        <v>5.7554847420000002</v>
      </c>
      <c r="L1046" s="1">
        <v>6.3597634449999996</v>
      </c>
      <c r="M1046" s="1">
        <v>6.1974695630000003</v>
      </c>
      <c r="N1046" s="1">
        <v>6.7722559489999998</v>
      </c>
      <c r="O1046" s="1">
        <v>6.7797313849999998</v>
      </c>
      <c r="P1046" s="1">
        <v>5.8618301099999996</v>
      </c>
      <c r="Q1046" s="1">
        <v>6.459205753</v>
      </c>
      <c r="R1046" s="1">
        <v>5.458747732</v>
      </c>
      <c r="S1046" s="1">
        <v>5.9440521669999997</v>
      </c>
      <c r="T1046" s="1">
        <v>6.3597634449999996</v>
      </c>
      <c r="U1046" s="1">
        <v>6.1974695630000003</v>
      </c>
      <c r="V1046" s="1">
        <v>6.2394706979999999</v>
      </c>
      <c r="W1046" s="1">
        <v>6.239290832</v>
      </c>
      <c r="X1046" s="1">
        <v>5.5811786620000001</v>
      </c>
      <c r="Y1046" s="1">
        <v>6.0488320509999998</v>
      </c>
      <c r="Z1046" s="1">
        <v>5.458747732</v>
      </c>
      <c r="AA1046" s="1">
        <v>5.9440521669999997</v>
      </c>
      <c r="AB1046" s="1">
        <v>5.6280506069999996</v>
      </c>
      <c r="AC1046" s="1">
        <v>5.6698330419999996</v>
      </c>
      <c r="AD1046" s="1">
        <v>5.8322684330000003</v>
      </c>
      <c r="AE1046" s="1">
        <v>5.6842896700000001</v>
      </c>
    </row>
    <row r="1047" spans="1:31" x14ac:dyDescent="0.25">
      <c r="A1047" s="1" t="s">
        <v>2401</v>
      </c>
      <c r="B1047" s="1" t="s">
        <v>2530</v>
      </c>
      <c r="C1047" s="1" t="s">
        <v>2531</v>
      </c>
      <c r="D1047" s="1" t="s">
        <v>2535</v>
      </c>
      <c r="E1047" s="1" t="s">
        <v>2536</v>
      </c>
      <c r="G1047" s="1" t="s">
        <v>2401</v>
      </c>
      <c r="H1047" s="1">
        <v>7.3339859880000002</v>
      </c>
      <c r="I1047" s="1">
        <v>7.378407867</v>
      </c>
      <c r="J1047" s="1">
        <v>6.7325823309999997</v>
      </c>
      <c r="K1047" s="1">
        <v>7.2824873019999998</v>
      </c>
      <c r="L1047" s="1">
        <v>6.4428166300000003</v>
      </c>
      <c r="M1047" s="1">
        <v>6.4178773749999998</v>
      </c>
      <c r="N1047" s="1">
        <v>7.2152497440000003</v>
      </c>
      <c r="O1047" s="1">
        <v>7.5499209680000003</v>
      </c>
      <c r="P1047" s="1">
        <v>6.7077294260000002</v>
      </c>
      <c r="Q1047" s="1">
        <v>6.6807419020000003</v>
      </c>
      <c r="R1047" s="1">
        <v>6.588102728</v>
      </c>
      <c r="S1047" s="1">
        <v>6.8382423799999996</v>
      </c>
      <c r="T1047" s="1">
        <v>6.4428166300000003</v>
      </c>
      <c r="U1047" s="1">
        <v>6.4178773749999998</v>
      </c>
      <c r="V1047" s="1">
        <v>6.4659141040000003</v>
      </c>
      <c r="W1047" s="1">
        <v>6.7918889980000001</v>
      </c>
      <c r="X1047" s="1">
        <v>6.6085543170000003</v>
      </c>
      <c r="Y1047" s="1">
        <v>6.9770204600000003</v>
      </c>
      <c r="Z1047" s="1">
        <v>6.588102728</v>
      </c>
      <c r="AA1047" s="1">
        <v>6.8382423799999996</v>
      </c>
      <c r="AB1047" s="1">
        <v>6.7915089589999997</v>
      </c>
      <c r="AC1047" s="1">
        <v>6.4923770970000003</v>
      </c>
      <c r="AD1047" s="1">
        <v>6.844949401</v>
      </c>
      <c r="AE1047" s="1">
        <v>7.1444519489999996</v>
      </c>
    </row>
    <row r="1048" spans="1:31" x14ac:dyDescent="0.25">
      <c r="A1048" s="1" t="s">
        <v>2402</v>
      </c>
      <c r="B1048" s="1" t="s">
        <v>2631</v>
      </c>
      <c r="C1048" s="1" t="s">
        <v>2980</v>
      </c>
      <c r="D1048" s="1" t="s">
        <v>4280</v>
      </c>
      <c r="E1048" s="1" t="s">
        <v>4281</v>
      </c>
      <c r="F1048" s="1" t="s">
        <v>4282</v>
      </c>
      <c r="G1048" s="1" t="s">
        <v>2402</v>
      </c>
      <c r="H1048" s="1">
        <v>7.2974165470000001</v>
      </c>
      <c r="I1048" s="1">
        <v>7.1910618560000001</v>
      </c>
      <c r="J1048" s="1">
        <v>7.3436743140000003</v>
      </c>
      <c r="K1048" s="1">
        <v>7.0502802620000002</v>
      </c>
      <c r="L1048" s="1">
        <v>7.3262083689999997</v>
      </c>
      <c r="M1048" s="1">
        <v>7.3929721830000004</v>
      </c>
      <c r="N1048" s="1">
        <v>7.1634817039999996</v>
      </c>
      <c r="O1048" s="1">
        <v>7.2615137970000001</v>
      </c>
      <c r="P1048" s="1">
        <v>7.2974488869999998</v>
      </c>
      <c r="Q1048" s="1">
        <v>7.1693867569999998</v>
      </c>
      <c r="R1048" s="1">
        <v>7.5756138359999996</v>
      </c>
      <c r="S1048" s="1">
        <v>7.490679611</v>
      </c>
      <c r="T1048" s="1">
        <v>7.3262083689999997</v>
      </c>
      <c r="U1048" s="1">
        <v>7.3929721830000004</v>
      </c>
      <c r="V1048" s="1">
        <v>7.621574356</v>
      </c>
      <c r="W1048" s="1">
        <v>7.4212794869999996</v>
      </c>
      <c r="X1048" s="1">
        <v>7.5881506270000001</v>
      </c>
      <c r="Y1048" s="1">
        <v>7.2099543309999996</v>
      </c>
      <c r="Z1048" s="1">
        <v>7.5756138359999996</v>
      </c>
      <c r="AA1048" s="1">
        <v>7.490679611</v>
      </c>
      <c r="AB1048" s="1">
        <v>7.5839343819999998</v>
      </c>
      <c r="AC1048" s="1">
        <v>7.4120831520000001</v>
      </c>
      <c r="AD1048" s="1">
        <v>7.4640815209999998</v>
      </c>
      <c r="AE1048" s="1">
        <v>7.268201586</v>
      </c>
    </row>
    <row r="1049" spans="1:31" x14ac:dyDescent="0.25">
      <c r="A1049" s="1" t="s">
        <v>2403</v>
      </c>
      <c r="B1049" s="1" t="s">
        <v>2579</v>
      </c>
      <c r="C1049" s="1" t="s">
        <v>3259</v>
      </c>
      <c r="D1049" s="1" t="s">
        <v>3358</v>
      </c>
      <c r="E1049" s="1" t="s">
        <v>4283</v>
      </c>
      <c r="F1049" s="1" t="s">
        <v>4284</v>
      </c>
      <c r="G1049" s="1" t="s">
        <v>2403</v>
      </c>
      <c r="H1049" s="1">
        <v>12.52782348</v>
      </c>
      <c r="I1049" s="1">
        <v>11.93128001</v>
      </c>
      <c r="J1049" s="1">
        <v>12.185421959999999</v>
      </c>
      <c r="K1049" s="1">
        <v>12.199263569999999</v>
      </c>
      <c r="L1049" s="1">
        <v>11.542055189999999</v>
      </c>
      <c r="M1049" s="1">
        <v>11.76602975</v>
      </c>
      <c r="N1049" s="1">
        <v>11.361178110000001</v>
      </c>
      <c r="O1049" s="1">
        <v>11.633222740000001</v>
      </c>
      <c r="P1049" s="1">
        <v>12.034858</v>
      </c>
      <c r="Q1049" s="1">
        <v>11.90605648</v>
      </c>
      <c r="R1049" s="1">
        <v>12.002746520000001</v>
      </c>
      <c r="S1049" s="1">
        <v>12.086881079999999</v>
      </c>
      <c r="T1049" s="1">
        <v>11.542055189999999</v>
      </c>
      <c r="U1049" s="1">
        <v>11.76602975</v>
      </c>
      <c r="V1049" s="1">
        <v>11.95912203</v>
      </c>
      <c r="W1049" s="1">
        <v>11.8493633</v>
      </c>
      <c r="X1049" s="1">
        <v>11.58841608</v>
      </c>
      <c r="Y1049" s="1">
        <v>11.51495776</v>
      </c>
      <c r="Z1049" s="1">
        <v>12.002746520000001</v>
      </c>
      <c r="AA1049" s="1">
        <v>12.086881079999999</v>
      </c>
      <c r="AB1049" s="1">
        <v>11.855231720000001</v>
      </c>
      <c r="AC1049" s="1">
        <v>11.84411478</v>
      </c>
      <c r="AD1049" s="1">
        <v>11.661001990000001</v>
      </c>
      <c r="AE1049" s="1">
        <v>11.63071933</v>
      </c>
    </row>
    <row r="1050" spans="1:31" x14ac:dyDescent="0.25">
      <c r="A1050" s="1" t="s">
        <v>2404</v>
      </c>
      <c r="B1050" s="1" t="s">
        <v>2557</v>
      </c>
      <c r="C1050" s="1" t="s">
        <v>2616</v>
      </c>
      <c r="D1050" s="1" t="s">
        <v>4285</v>
      </c>
      <c r="E1050" s="1" t="s">
        <v>4286</v>
      </c>
      <c r="F1050" s="1" t="s">
        <v>4287</v>
      </c>
      <c r="G1050" s="1" t="s">
        <v>2404</v>
      </c>
      <c r="H1050" s="1">
        <v>6.0380558219999996</v>
      </c>
      <c r="I1050" s="1">
        <v>6.3160597540000003</v>
      </c>
      <c r="J1050" s="1">
        <v>6.0426942559999999</v>
      </c>
      <c r="K1050" s="1">
        <v>5.5719358019999996</v>
      </c>
      <c r="L1050" s="1">
        <v>6.1991155779999998</v>
      </c>
      <c r="M1050" s="1">
        <v>6.1691684679999996</v>
      </c>
      <c r="N1050" s="1">
        <v>6.2079811459999998</v>
      </c>
      <c r="O1050" s="1">
        <v>6.0979208290000004</v>
      </c>
      <c r="P1050" s="1">
        <v>5.9400346730000004</v>
      </c>
      <c r="Q1050" s="1">
        <v>6.2673322389999999</v>
      </c>
      <c r="R1050" s="1">
        <v>5.8723300570000001</v>
      </c>
      <c r="S1050" s="1">
        <v>6.0480456849999999</v>
      </c>
      <c r="T1050" s="1">
        <v>6.1991155779999998</v>
      </c>
      <c r="U1050" s="1">
        <v>6.1691684679999996</v>
      </c>
      <c r="V1050" s="1">
        <v>6.1419042490000004</v>
      </c>
      <c r="W1050" s="1">
        <v>5.9408128590000002</v>
      </c>
      <c r="X1050" s="1">
        <v>6.1145484569999997</v>
      </c>
      <c r="Y1050" s="1">
        <v>6.8033735860000002</v>
      </c>
      <c r="Z1050" s="1">
        <v>5.8723300570000001</v>
      </c>
      <c r="AA1050" s="1">
        <v>6.0480456849999999</v>
      </c>
      <c r="AB1050" s="1">
        <v>6.2160685200000003</v>
      </c>
      <c r="AC1050" s="1">
        <v>6.1830263060000004</v>
      </c>
      <c r="AD1050" s="1">
        <v>6.7654508829999997</v>
      </c>
      <c r="AE1050" s="1">
        <v>6.2149920930000002</v>
      </c>
    </row>
    <row r="1051" spans="1:31" x14ac:dyDescent="0.25">
      <c r="A1051" s="1" t="s">
        <v>2405</v>
      </c>
      <c r="B1051" s="1" t="s">
        <v>2530</v>
      </c>
      <c r="C1051" s="1" t="s">
        <v>2531</v>
      </c>
      <c r="D1051" s="1" t="s">
        <v>2535</v>
      </c>
      <c r="E1051" s="1" t="s">
        <v>4288</v>
      </c>
      <c r="G1051" s="1" t="s">
        <v>2405</v>
      </c>
      <c r="H1051" s="1">
        <v>5.6296178589999997</v>
      </c>
      <c r="I1051" s="1">
        <v>5.0595268689999999</v>
      </c>
      <c r="J1051" s="1">
        <v>4.2898244959999996</v>
      </c>
      <c r="K1051" s="1">
        <v>3.762021974</v>
      </c>
      <c r="L1051" s="1">
        <v>4.2088403679999997</v>
      </c>
      <c r="M1051" s="1">
        <v>4.239619416</v>
      </c>
      <c r="N1051" s="1">
        <v>4.6936110280000003</v>
      </c>
      <c r="O1051" s="1">
        <v>4.6248126879999996</v>
      </c>
      <c r="P1051" s="1">
        <v>4.8528499219999999</v>
      </c>
      <c r="Q1051" s="1">
        <v>4.611970812</v>
      </c>
      <c r="R1051" s="1">
        <v>3.968758995</v>
      </c>
      <c r="S1051" s="1">
        <v>4.4749637470000003</v>
      </c>
      <c r="T1051" s="1">
        <v>4.2088403679999997</v>
      </c>
      <c r="U1051" s="1">
        <v>4.239619416</v>
      </c>
      <c r="V1051" s="1">
        <v>4.9055261469999998</v>
      </c>
      <c r="W1051" s="1">
        <v>4.6166922860000001</v>
      </c>
      <c r="X1051" s="1">
        <v>4.7192629950000002</v>
      </c>
      <c r="Y1051" s="1">
        <v>5.6227961889999998</v>
      </c>
      <c r="Z1051" s="1">
        <v>3.968758995</v>
      </c>
      <c r="AA1051" s="1">
        <v>4.4749637470000003</v>
      </c>
      <c r="AB1051" s="1">
        <v>4.5063178209999997</v>
      </c>
      <c r="AC1051" s="1">
        <v>4.8053838390000001</v>
      </c>
      <c r="AD1051" s="1">
        <v>5.396704357</v>
      </c>
      <c r="AE1051" s="1">
        <v>5.1494525009999998</v>
      </c>
    </row>
    <row r="1052" spans="1:31" x14ac:dyDescent="0.25">
      <c r="A1052" s="1" t="s">
        <v>2407</v>
      </c>
      <c r="B1052" s="1" t="s">
        <v>2525</v>
      </c>
      <c r="C1052" s="1" t="s">
        <v>3154</v>
      </c>
      <c r="D1052" s="1" t="s">
        <v>4289</v>
      </c>
      <c r="E1052" s="1" t="s">
        <v>4290</v>
      </c>
      <c r="F1052" s="1" t="s">
        <v>4291</v>
      </c>
      <c r="G1052" s="1" t="s">
        <v>2407</v>
      </c>
      <c r="H1052" s="1">
        <v>7.0413960959999997</v>
      </c>
      <c r="I1052" s="1">
        <v>6.6432373650000001</v>
      </c>
      <c r="J1052" s="1">
        <v>7.7339773950000001</v>
      </c>
      <c r="K1052" s="1">
        <v>7.4824236539999998</v>
      </c>
      <c r="L1052" s="1">
        <v>7.3455016359999998</v>
      </c>
      <c r="M1052" s="1">
        <v>7.5654655789999996</v>
      </c>
      <c r="N1052" s="1">
        <v>6.9736113900000003</v>
      </c>
      <c r="O1052" s="1">
        <v>7.1001027089999997</v>
      </c>
      <c r="P1052" s="1">
        <v>7.6310121779999998</v>
      </c>
      <c r="Q1052" s="1">
        <v>7.4855044560000001</v>
      </c>
      <c r="R1052" s="1">
        <v>7.8039865410000004</v>
      </c>
      <c r="S1052" s="1">
        <v>7.8112757269999999</v>
      </c>
      <c r="T1052" s="1">
        <v>7.3455016359999998</v>
      </c>
      <c r="U1052" s="1">
        <v>7.5654655789999996</v>
      </c>
      <c r="V1052" s="1">
        <v>7.6430906140000001</v>
      </c>
      <c r="W1052" s="1">
        <v>7.7201193760000004</v>
      </c>
      <c r="X1052" s="1">
        <v>7.9919932310000004</v>
      </c>
      <c r="Y1052" s="1">
        <v>7.47501265</v>
      </c>
      <c r="Z1052" s="1">
        <v>7.8039865410000004</v>
      </c>
      <c r="AA1052" s="1">
        <v>7.8112757269999999</v>
      </c>
      <c r="AB1052" s="1">
        <v>7.855293745</v>
      </c>
      <c r="AC1052" s="1">
        <v>8.0120952259999996</v>
      </c>
      <c r="AD1052" s="1">
        <v>7.9326331840000002</v>
      </c>
      <c r="AE1052" s="1">
        <v>7.5909125570000002</v>
      </c>
    </row>
    <row r="1053" spans="1:31" x14ac:dyDescent="0.25">
      <c r="A1053" s="1" t="s">
        <v>2409</v>
      </c>
      <c r="B1053" s="1" t="s">
        <v>2608</v>
      </c>
      <c r="C1053" s="1" t="s">
        <v>2609</v>
      </c>
      <c r="D1053" s="1" t="s">
        <v>4292</v>
      </c>
      <c r="E1053" s="1" t="s">
        <v>4293</v>
      </c>
      <c r="F1053" s="1" t="s">
        <v>4294</v>
      </c>
      <c r="G1053" s="1" t="s">
        <v>2409</v>
      </c>
      <c r="H1053" s="1">
        <v>6.0081283179999998</v>
      </c>
      <c r="I1053" s="1">
        <v>6.0719413549999999</v>
      </c>
      <c r="J1053" s="1">
        <v>5.3229940280000001</v>
      </c>
      <c r="K1053" s="1">
        <v>5.6848657879999998</v>
      </c>
      <c r="L1053" s="1">
        <v>5.4487173919999998</v>
      </c>
      <c r="M1053" s="1">
        <v>5.0606078119999998</v>
      </c>
      <c r="N1053" s="1">
        <v>5.6896218779999996</v>
      </c>
      <c r="O1053" s="1">
        <v>5.600077969</v>
      </c>
      <c r="P1053" s="1">
        <v>5.5318451900000003</v>
      </c>
      <c r="Q1053" s="1">
        <v>5.0479127070000001</v>
      </c>
      <c r="R1053" s="1">
        <v>5.0965654090000001</v>
      </c>
      <c r="S1053" s="1">
        <v>5.542037144</v>
      </c>
      <c r="T1053" s="1">
        <v>5.4487173919999998</v>
      </c>
      <c r="U1053" s="1">
        <v>5.0606078119999998</v>
      </c>
      <c r="V1053" s="1">
        <v>5.695500268</v>
      </c>
      <c r="W1053" s="1">
        <v>5.427589942</v>
      </c>
      <c r="X1053" s="1">
        <v>5.0861518739999996</v>
      </c>
      <c r="Y1053" s="1">
        <v>5.6227961889999998</v>
      </c>
      <c r="Z1053" s="1">
        <v>5.0965654090000001</v>
      </c>
      <c r="AA1053" s="1">
        <v>5.542037144</v>
      </c>
      <c r="AB1053" s="1">
        <v>4.5063178209999997</v>
      </c>
      <c r="AC1053" s="1">
        <v>5.3221936159999998</v>
      </c>
      <c r="AD1053" s="1">
        <v>5.396704357</v>
      </c>
      <c r="AE1053" s="1">
        <v>5.49371411</v>
      </c>
    </row>
    <row r="1054" spans="1:31" x14ac:dyDescent="0.25">
      <c r="A1054" s="1" t="s">
        <v>2410</v>
      </c>
      <c r="B1054" s="1" t="s">
        <v>2662</v>
      </c>
      <c r="C1054" s="1" t="s">
        <v>2531</v>
      </c>
      <c r="D1054" s="1" t="s">
        <v>2535</v>
      </c>
      <c r="E1054" s="1" t="s">
        <v>4295</v>
      </c>
      <c r="G1054" s="1" t="s">
        <v>2410</v>
      </c>
      <c r="H1054" s="1">
        <v>6.2825651889999996</v>
      </c>
      <c r="I1054" s="1">
        <v>6.0719413549999999</v>
      </c>
      <c r="J1054" s="1">
        <v>6.0910626519999997</v>
      </c>
      <c r="K1054" s="1">
        <v>6.2947097530000002</v>
      </c>
      <c r="L1054" s="1">
        <v>5.8923589620000003</v>
      </c>
      <c r="M1054" s="1">
        <v>5.7583226490000001</v>
      </c>
      <c r="N1054" s="1">
        <v>5.4717898820000004</v>
      </c>
      <c r="O1054" s="1">
        <v>5.7466551829999997</v>
      </c>
      <c r="P1054" s="1">
        <v>5.7791106289999998</v>
      </c>
      <c r="Q1054" s="1">
        <v>6.0722034220000003</v>
      </c>
      <c r="R1054" s="1">
        <v>6.0678975499999996</v>
      </c>
      <c r="S1054" s="1">
        <v>5.7723891209999998</v>
      </c>
      <c r="T1054" s="1">
        <v>5.8923589620000003</v>
      </c>
      <c r="U1054" s="1">
        <v>5.7583226490000001</v>
      </c>
      <c r="V1054" s="1">
        <v>6.1215697740000001</v>
      </c>
      <c r="W1054" s="1">
        <v>5.5195577800000004</v>
      </c>
      <c r="X1054" s="1">
        <v>6.1533217709999999</v>
      </c>
      <c r="Y1054" s="1">
        <v>5.1785898169999998</v>
      </c>
      <c r="Z1054" s="1">
        <v>6.0678975499999996</v>
      </c>
      <c r="AA1054" s="1">
        <v>5.7723891209999998</v>
      </c>
      <c r="AB1054" s="1">
        <v>5.6280506069999996</v>
      </c>
      <c r="AC1054" s="1">
        <v>5.9236494000000004</v>
      </c>
      <c r="AD1054" s="1">
        <v>6.1407817189999996</v>
      </c>
      <c r="AE1054" s="1">
        <v>6.2026157089999998</v>
      </c>
    </row>
    <row r="1055" spans="1:31" x14ac:dyDescent="0.25">
      <c r="A1055" s="1" t="s">
        <v>2411</v>
      </c>
      <c r="B1055" s="1" t="s">
        <v>2557</v>
      </c>
      <c r="C1055" s="1" t="s">
        <v>2658</v>
      </c>
      <c r="D1055" s="1" t="s">
        <v>2659</v>
      </c>
      <c r="E1055" s="1" t="s">
        <v>4296</v>
      </c>
      <c r="F1055" s="1" t="s">
        <v>4297</v>
      </c>
      <c r="G1055" s="1" t="s">
        <v>2411</v>
      </c>
      <c r="H1055" s="1">
        <v>4.2900513550000001</v>
      </c>
      <c r="I1055" s="1">
        <v>4.8477128089999999</v>
      </c>
      <c r="J1055" s="1">
        <v>4.4503473070000004</v>
      </c>
      <c r="K1055" s="1">
        <v>4.6734567340000002</v>
      </c>
      <c r="L1055" s="1">
        <v>5.4841512059999999</v>
      </c>
      <c r="M1055" s="1">
        <v>5.029201552</v>
      </c>
      <c r="N1055" s="1">
        <v>5.0802595029999997</v>
      </c>
      <c r="O1055" s="1">
        <v>4.7903853170000001</v>
      </c>
      <c r="P1055" s="1">
        <v>4.5499605860000001</v>
      </c>
      <c r="Q1055" s="1">
        <v>4.8155696649999999</v>
      </c>
      <c r="R1055" s="1">
        <v>4.5333476509999997</v>
      </c>
      <c r="S1055" s="1">
        <v>4.0285685429999996</v>
      </c>
      <c r="T1055" s="1">
        <v>5.4841512059999999</v>
      </c>
      <c r="U1055" s="1">
        <v>5.029201552</v>
      </c>
      <c r="V1055" s="1">
        <v>4.5826682710000002</v>
      </c>
      <c r="W1055" s="1">
        <v>4.6166922860000001</v>
      </c>
      <c r="X1055" s="1">
        <v>4.2691515329999996</v>
      </c>
      <c r="Y1055" s="1">
        <v>4.5275934409999996</v>
      </c>
      <c r="Z1055" s="1">
        <v>4.5333476509999997</v>
      </c>
      <c r="AA1055" s="1">
        <v>4.0285685429999996</v>
      </c>
      <c r="AB1055" s="1">
        <v>3.8237667059999998</v>
      </c>
      <c r="AC1055" s="1">
        <v>4.4881955270000002</v>
      </c>
      <c r="AD1055" s="1">
        <v>4.2005997429999997</v>
      </c>
      <c r="AE1055" s="1">
        <v>4.6199010239999998</v>
      </c>
    </row>
    <row r="1056" spans="1:31" x14ac:dyDescent="0.25">
      <c r="A1056" s="1" t="s">
        <v>2412</v>
      </c>
      <c r="B1056" s="1" t="s">
        <v>2539</v>
      </c>
      <c r="C1056" s="1" t="s">
        <v>2540</v>
      </c>
      <c r="D1056" s="1" t="s">
        <v>2535</v>
      </c>
      <c r="E1056" s="1" t="s">
        <v>4298</v>
      </c>
      <c r="G1056" s="1" t="s">
        <v>2412</v>
      </c>
      <c r="H1056" s="1">
        <v>6.5753846300000003</v>
      </c>
      <c r="I1056" s="1">
        <v>6.0475452040000004</v>
      </c>
      <c r="J1056" s="1">
        <v>5.5483108110000003</v>
      </c>
      <c r="K1056" s="1">
        <v>5.9783799200000001</v>
      </c>
      <c r="L1056" s="1">
        <v>6.2614813600000003</v>
      </c>
      <c r="M1056" s="1">
        <v>5.868183685</v>
      </c>
      <c r="N1056" s="1">
        <v>6.6458437989999997</v>
      </c>
      <c r="O1056" s="1">
        <v>7.0037921839999999</v>
      </c>
      <c r="P1056" s="1">
        <v>5.565195407</v>
      </c>
      <c r="Q1056" s="1">
        <v>5.6499570400000003</v>
      </c>
      <c r="R1056" s="1">
        <v>5.8723300570000001</v>
      </c>
      <c r="S1056" s="1">
        <v>5.4306817489999997</v>
      </c>
      <c r="T1056" s="1">
        <v>6.2614813600000003</v>
      </c>
      <c r="U1056" s="1">
        <v>5.868183685</v>
      </c>
      <c r="V1056" s="1">
        <v>5.0857495259999999</v>
      </c>
      <c r="W1056" s="1">
        <v>5.427589942</v>
      </c>
      <c r="X1056" s="1">
        <v>5.8252409690000002</v>
      </c>
      <c r="Y1056" s="1">
        <v>5.1254702539999997</v>
      </c>
      <c r="Z1056" s="1">
        <v>5.8723300570000001</v>
      </c>
      <c r="AA1056" s="1">
        <v>5.4306817489999997</v>
      </c>
      <c r="AB1056" s="1">
        <v>5.3028471579999996</v>
      </c>
      <c r="AC1056" s="1">
        <v>5.3988312660000002</v>
      </c>
      <c r="AD1056" s="1">
        <v>5.2633210659999996</v>
      </c>
      <c r="AE1056" s="1">
        <v>5.7539342490000003</v>
      </c>
    </row>
    <row r="1057" spans="1:31" x14ac:dyDescent="0.25">
      <c r="A1057" s="1" t="s">
        <v>2413</v>
      </c>
      <c r="B1057" s="1" t="s">
        <v>2530</v>
      </c>
      <c r="C1057" s="1" t="s">
        <v>2531</v>
      </c>
      <c r="D1057" s="1" t="s">
        <v>2535</v>
      </c>
      <c r="E1057" s="1" t="s">
        <v>4299</v>
      </c>
      <c r="G1057" s="1" t="s">
        <v>2413</v>
      </c>
      <c r="H1057" s="1">
        <v>5.977563322</v>
      </c>
      <c r="I1057" s="1">
        <v>6.2102063709999999</v>
      </c>
      <c r="J1057" s="1">
        <v>5.8869626679999998</v>
      </c>
      <c r="K1057" s="1">
        <v>5.1139224319999999</v>
      </c>
      <c r="L1057" s="1">
        <v>5.6492182990000002</v>
      </c>
      <c r="M1057" s="1">
        <v>5.868183685</v>
      </c>
      <c r="N1057" s="1">
        <v>5.878624276</v>
      </c>
      <c r="O1057" s="1">
        <v>5.6435121610000003</v>
      </c>
      <c r="P1057" s="1">
        <v>5.8072178450000003</v>
      </c>
      <c r="Q1057" s="1">
        <v>5.8463140779999998</v>
      </c>
      <c r="R1057" s="1">
        <v>6.1441881260000004</v>
      </c>
      <c r="S1057" s="1">
        <v>5.9440521669999997</v>
      </c>
      <c r="T1057" s="1">
        <v>5.6492182990000002</v>
      </c>
      <c r="U1057" s="1">
        <v>5.868183685</v>
      </c>
      <c r="V1057" s="1">
        <v>6.2949812820000002</v>
      </c>
      <c r="W1057" s="1">
        <v>6.1843530070000003</v>
      </c>
      <c r="X1057" s="1">
        <v>6.0057221949999997</v>
      </c>
      <c r="Y1057" s="1">
        <v>6.1044436219999998</v>
      </c>
      <c r="Z1057" s="1">
        <v>6.1441881260000004</v>
      </c>
      <c r="AA1057" s="1">
        <v>5.9440521669999997</v>
      </c>
      <c r="AB1057" s="1">
        <v>6.2160685200000003</v>
      </c>
      <c r="AC1057" s="1">
        <v>5.9492644930000003</v>
      </c>
      <c r="AD1057" s="1">
        <v>6.190389411</v>
      </c>
      <c r="AE1057" s="1">
        <v>6.0726073669999998</v>
      </c>
    </row>
    <row r="1058" spans="1:31" x14ac:dyDescent="0.25">
      <c r="A1058" s="1" t="s">
        <v>2420</v>
      </c>
      <c r="B1058" s="1" t="s">
        <v>2942</v>
      </c>
      <c r="C1058" s="1" t="s">
        <v>2943</v>
      </c>
      <c r="D1058" s="1" t="s">
        <v>4300</v>
      </c>
      <c r="E1058" s="1" t="s">
        <v>4301</v>
      </c>
      <c r="F1058" s="1" t="s">
        <v>4302</v>
      </c>
      <c r="G1058" s="1" t="s">
        <v>2420</v>
      </c>
      <c r="H1058" s="1">
        <v>7.345972497</v>
      </c>
      <c r="I1058" s="1">
        <v>7.1343877689999999</v>
      </c>
      <c r="J1058" s="1">
        <v>6.9961611450000003</v>
      </c>
      <c r="K1058" s="1">
        <v>6.8233399239999999</v>
      </c>
      <c r="L1058" s="1">
        <v>7.71535291</v>
      </c>
      <c r="M1058" s="1">
        <v>7.5102295459999997</v>
      </c>
      <c r="N1058" s="1">
        <v>7.2279063370000003</v>
      </c>
      <c r="O1058" s="1">
        <v>7.3877031110000004</v>
      </c>
      <c r="P1058" s="1">
        <v>6.9903989949999996</v>
      </c>
      <c r="Q1058" s="1">
        <v>7.2173337469999996</v>
      </c>
      <c r="R1058" s="1">
        <v>6.868196749</v>
      </c>
      <c r="S1058" s="1">
        <v>7.2508471459999999</v>
      </c>
      <c r="T1058" s="1">
        <v>7.71535291</v>
      </c>
      <c r="U1058" s="1">
        <v>7.5102295459999997</v>
      </c>
      <c r="V1058" s="1">
        <v>7.1566270159999998</v>
      </c>
      <c r="W1058" s="1">
        <v>6.9808429480000003</v>
      </c>
      <c r="X1058" s="1">
        <v>6.9970696869999998</v>
      </c>
      <c r="Y1058" s="1">
        <v>6.9918159360000001</v>
      </c>
      <c r="Z1058" s="1">
        <v>6.868196749</v>
      </c>
      <c r="AA1058" s="1">
        <v>7.2508471459999999</v>
      </c>
      <c r="AB1058" s="1">
        <v>6.7477303849999997</v>
      </c>
      <c r="AC1058" s="1">
        <v>7.2467803200000001</v>
      </c>
      <c r="AD1058" s="1">
        <v>6.9202883980000003</v>
      </c>
      <c r="AE1058" s="1">
        <v>6.883059824</v>
      </c>
    </row>
    <row r="1059" spans="1:31" x14ac:dyDescent="0.25">
      <c r="A1059" s="1" t="s">
        <v>2421</v>
      </c>
      <c r="B1059" s="1" t="s">
        <v>2547</v>
      </c>
      <c r="C1059" s="1" t="s">
        <v>2566</v>
      </c>
      <c r="D1059" s="1" t="s">
        <v>3244</v>
      </c>
      <c r="E1059" s="1" t="s">
        <v>4303</v>
      </c>
      <c r="F1059" s="1" t="s">
        <v>4304</v>
      </c>
      <c r="G1059" s="1" t="s">
        <v>2421</v>
      </c>
      <c r="H1059" s="1">
        <v>7.2598951009999997</v>
      </c>
      <c r="I1059" s="1">
        <v>7.9442639059999998</v>
      </c>
      <c r="J1059" s="1">
        <v>8.6280498540000004</v>
      </c>
      <c r="K1059" s="1">
        <v>8.486962471</v>
      </c>
      <c r="L1059" s="1">
        <v>8.1255667759999994</v>
      </c>
      <c r="M1059" s="1">
        <v>8.2745187560000009</v>
      </c>
      <c r="N1059" s="1">
        <v>7.371702998</v>
      </c>
      <c r="O1059" s="1">
        <v>7.0687090819999998</v>
      </c>
      <c r="P1059" s="1">
        <v>8.3785325900000007</v>
      </c>
      <c r="Q1059" s="1">
        <v>8.6234376239999992</v>
      </c>
      <c r="R1059" s="1">
        <v>8.4689613850000001</v>
      </c>
      <c r="S1059" s="1">
        <v>8.1276766259999995</v>
      </c>
      <c r="T1059" s="1">
        <v>8.1255667759999994</v>
      </c>
      <c r="U1059" s="1">
        <v>8.2745187560000009</v>
      </c>
      <c r="V1059" s="1">
        <v>7.547442191</v>
      </c>
      <c r="W1059" s="1">
        <v>7.7860643029999999</v>
      </c>
      <c r="X1059" s="1">
        <v>7.8182782839999998</v>
      </c>
      <c r="Y1059" s="1">
        <v>7.7777437819999999</v>
      </c>
      <c r="Z1059" s="1">
        <v>8.4689613850000001</v>
      </c>
      <c r="AA1059" s="1">
        <v>8.1276766259999995</v>
      </c>
      <c r="AB1059" s="1">
        <v>7.6086032499999998</v>
      </c>
      <c r="AC1059" s="1">
        <v>7.6642856869999996</v>
      </c>
      <c r="AD1059" s="1">
        <v>7.6076808400000004</v>
      </c>
      <c r="AE1059" s="1">
        <v>7.9275708070000004</v>
      </c>
    </row>
    <row r="1060" spans="1:31" x14ac:dyDescent="0.25">
      <c r="A1060" s="1" t="s">
        <v>2423</v>
      </c>
      <c r="B1060" s="1" t="s">
        <v>2642</v>
      </c>
      <c r="C1060" s="1" t="s">
        <v>2643</v>
      </c>
      <c r="D1060" s="1" t="s">
        <v>2687</v>
      </c>
      <c r="E1060" s="1" t="s">
        <v>4305</v>
      </c>
      <c r="F1060" s="1" t="s">
        <v>4306</v>
      </c>
      <c r="G1060" s="1" t="s">
        <v>2423</v>
      </c>
      <c r="H1060" s="1">
        <v>1.7393328349999999</v>
      </c>
      <c r="I1060" s="1">
        <v>1.7393328349999999</v>
      </c>
      <c r="J1060" s="1">
        <v>1.7393328349999999</v>
      </c>
      <c r="K1060" s="1">
        <v>1.7393328349999999</v>
      </c>
      <c r="L1060" s="1">
        <v>2.315629231</v>
      </c>
      <c r="M1060" s="1">
        <v>1.7393328349999999</v>
      </c>
      <c r="N1060" s="1">
        <v>1.7393328349999999</v>
      </c>
      <c r="O1060" s="1">
        <v>2.411448644</v>
      </c>
      <c r="P1060" s="1">
        <v>1.7393328349999999</v>
      </c>
      <c r="Q1060" s="1">
        <v>1.7393328349999999</v>
      </c>
      <c r="R1060" s="1">
        <v>1.7393328349999999</v>
      </c>
      <c r="S1060" s="1">
        <v>1.7393328349999999</v>
      </c>
      <c r="T1060" s="1">
        <v>2.315629231</v>
      </c>
      <c r="U1060" s="1">
        <v>1.7393328349999999</v>
      </c>
      <c r="V1060" s="1">
        <v>1.7393328349999999</v>
      </c>
      <c r="W1060" s="1">
        <v>1.7393328349999999</v>
      </c>
      <c r="X1060" s="1">
        <v>2.3600830049999999</v>
      </c>
      <c r="Y1060" s="1">
        <v>1.7393328349999999</v>
      </c>
      <c r="Z1060" s="1">
        <v>1.7393328349999999</v>
      </c>
      <c r="AA1060" s="1">
        <v>1.7393328349999999</v>
      </c>
      <c r="AB1060" s="1">
        <v>1.7393328349999999</v>
      </c>
      <c r="AC1060" s="1">
        <v>1.7393328349999999</v>
      </c>
      <c r="AD1060" s="1">
        <v>1.7393328349999999</v>
      </c>
      <c r="AE1060" s="1">
        <v>1.7393328349999999</v>
      </c>
    </row>
    <row r="1061" spans="1:31" x14ac:dyDescent="0.25">
      <c r="A1061" s="1" t="s">
        <v>2428</v>
      </c>
      <c r="B1061" s="1" t="s">
        <v>2667</v>
      </c>
      <c r="C1061" s="1" t="s">
        <v>3370</v>
      </c>
      <c r="D1061" s="1" t="s">
        <v>3371</v>
      </c>
      <c r="E1061" s="1" t="s">
        <v>4307</v>
      </c>
      <c r="F1061" s="1" t="s">
        <v>4308</v>
      </c>
      <c r="G1061" s="1" t="s">
        <v>2428</v>
      </c>
      <c r="H1061" s="1">
        <v>6.7837339390000002</v>
      </c>
      <c r="I1061" s="1">
        <v>7.1910618560000001</v>
      </c>
      <c r="J1061" s="1">
        <v>8.9751741460000005</v>
      </c>
      <c r="K1061" s="1">
        <v>8.4713738910000007</v>
      </c>
      <c r="L1061" s="1">
        <v>8.8577828220000008</v>
      </c>
      <c r="M1061" s="1">
        <v>9.1128219619999999</v>
      </c>
      <c r="N1061" s="1">
        <v>7.8684411140000003</v>
      </c>
      <c r="O1061" s="1">
        <v>8.1005494240000004</v>
      </c>
      <c r="P1061" s="1">
        <v>8.9302126529999999</v>
      </c>
      <c r="Q1061" s="1">
        <v>9.1564066420000003</v>
      </c>
      <c r="R1061" s="1">
        <v>8.9402715219999997</v>
      </c>
      <c r="S1061" s="1">
        <v>9.0304699639999999</v>
      </c>
      <c r="T1061" s="1">
        <v>8.8577828220000008</v>
      </c>
      <c r="U1061" s="1">
        <v>9.1128219619999999</v>
      </c>
      <c r="V1061" s="1">
        <v>8.9097725780000001</v>
      </c>
      <c r="W1061" s="1">
        <v>8.8766681629999997</v>
      </c>
      <c r="X1061" s="1">
        <v>9.063925953</v>
      </c>
      <c r="Y1061" s="1">
        <v>8.7029464129999994</v>
      </c>
      <c r="Z1061" s="1">
        <v>8.9402715219999997</v>
      </c>
      <c r="AA1061" s="1">
        <v>9.0304699639999999</v>
      </c>
      <c r="AB1061" s="1">
        <v>9.0658861109999993</v>
      </c>
      <c r="AC1061" s="1">
        <v>8.7317603380000008</v>
      </c>
      <c r="AD1061" s="1">
        <v>8.7284180960000004</v>
      </c>
      <c r="AE1061" s="1">
        <v>8.6571180259999991</v>
      </c>
    </row>
    <row r="1062" spans="1:31" x14ac:dyDescent="0.25">
      <c r="A1062" s="1" t="s">
        <v>2429</v>
      </c>
      <c r="B1062" s="1" t="s">
        <v>2530</v>
      </c>
      <c r="C1062" s="1" t="s">
        <v>2531</v>
      </c>
      <c r="D1062" s="1" t="s">
        <v>2535</v>
      </c>
      <c r="E1062" s="1" t="s">
        <v>2536</v>
      </c>
      <c r="G1062" s="1" t="s">
        <v>2429</v>
      </c>
      <c r="H1062" s="1">
        <v>4.6479005740000003</v>
      </c>
      <c r="I1062" s="1">
        <v>6.2102063709999999</v>
      </c>
      <c r="J1062" s="1">
        <v>5.2817155790000001</v>
      </c>
      <c r="K1062" s="1">
        <v>5.5719358019999996</v>
      </c>
      <c r="L1062" s="1">
        <v>4.961369199</v>
      </c>
      <c r="M1062" s="1">
        <v>5.4399015869999996</v>
      </c>
      <c r="N1062" s="1">
        <v>7.0540087339999999</v>
      </c>
      <c r="O1062" s="1">
        <v>7.2615137970000001</v>
      </c>
      <c r="P1062" s="1">
        <v>5.2736118430000003</v>
      </c>
      <c r="Q1062" s="1">
        <v>5.8463140779999998</v>
      </c>
      <c r="R1062" s="1">
        <v>5.4981688889999996</v>
      </c>
      <c r="S1062" s="1">
        <v>5.8319244149999996</v>
      </c>
      <c r="T1062" s="1">
        <v>4.961369199</v>
      </c>
      <c r="U1062" s="1">
        <v>5.4399015869999996</v>
      </c>
      <c r="V1062" s="1">
        <v>5.4230002329999998</v>
      </c>
      <c r="W1062" s="1">
        <v>4.69862249</v>
      </c>
      <c r="X1062" s="1">
        <v>5.5426459120000002</v>
      </c>
      <c r="Y1062" s="1">
        <v>5.2297915760000002</v>
      </c>
      <c r="Z1062" s="1">
        <v>5.4981688889999996</v>
      </c>
      <c r="AA1062" s="1">
        <v>5.8319244149999996</v>
      </c>
      <c r="AB1062" s="1">
        <v>4.705867896</v>
      </c>
      <c r="AC1062" s="1">
        <v>5.0158027430000001</v>
      </c>
      <c r="AD1062" s="1">
        <v>5.4385263000000004</v>
      </c>
      <c r="AE1062" s="1">
        <v>5.5139573549999996</v>
      </c>
    </row>
    <row r="1063" spans="1:31" x14ac:dyDescent="0.25">
      <c r="A1063" s="1" t="s">
        <v>2430</v>
      </c>
      <c r="B1063" s="1" t="s">
        <v>2557</v>
      </c>
      <c r="C1063" s="1" t="s">
        <v>2680</v>
      </c>
      <c r="D1063" s="1" t="s">
        <v>4259</v>
      </c>
      <c r="E1063" s="1" t="s">
        <v>4309</v>
      </c>
      <c r="F1063" s="1" t="s">
        <v>4310</v>
      </c>
      <c r="G1063" s="1" t="s">
        <v>2430</v>
      </c>
      <c r="H1063" s="1">
        <v>8.5622827010000009</v>
      </c>
      <c r="I1063" s="1">
        <v>8.0704222269999999</v>
      </c>
      <c r="J1063" s="1">
        <v>8.4498756900000007</v>
      </c>
      <c r="K1063" s="1">
        <v>8.9699442769999997</v>
      </c>
      <c r="L1063" s="1">
        <v>6.9128996369999998</v>
      </c>
      <c r="M1063" s="1">
        <v>7.0880162279999999</v>
      </c>
      <c r="N1063" s="1">
        <v>9.0626250679999991</v>
      </c>
      <c r="O1063" s="1">
        <v>9.1275078989999994</v>
      </c>
      <c r="P1063" s="1">
        <v>7.9464858329999997</v>
      </c>
      <c r="Q1063" s="1">
        <v>7.6776625599999999</v>
      </c>
      <c r="R1063" s="1">
        <v>7.304132815</v>
      </c>
      <c r="S1063" s="1">
        <v>7.4721490179999996</v>
      </c>
      <c r="T1063" s="1">
        <v>6.9128996369999998</v>
      </c>
      <c r="U1063" s="1">
        <v>7.0880162279999999</v>
      </c>
      <c r="V1063" s="1">
        <v>7.2716287929999996</v>
      </c>
      <c r="W1063" s="1">
        <v>7.5019939039999999</v>
      </c>
      <c r="X1063" s="1">
        <v>6.5322357630000001</v>
      </c>
      <c r="Y1063" s="1">
        <v>7.0064610119999999</v>
      </c>
      <c r="Z1063" s="1">
        <v>7.304132815</v>
      </c>
      <c r="AA1063" s="1">
        <v>7.4721490179999996</v>
      </c>
      <c r="AB1063" s="1">
        <v>7.2956971089999998</v>
      </c>
      <c r="AC1063" s="1">
        <v>6.9630080459999997</v>
      </c>
      <c r="AD1063" s="1">
        <v>7.1752643049999998</v>
      </c>
      <c r="AE1063" s="1">
        <v>7.2622600669999997</v>
      </c>
    </row>
    <row r="1064" spans="1:31" x14ac:dyDescent="0.25">
      <c r="A1064" s="1" t="s">
        <v>2433</v>
      </c>
      <c r="B1064" s="1" t="s">
        <v>2662</v>
      </c>
      <c r="C1064" s="1" t="s">
        <v>2663</v>
      </c>
      <c r="D1064" s="1" t="s">
        <v>4311</v>
      </c>
      <c r="E1064" s="1" t="s">
        <v>4312</v>
      </c>
      <c r="F1064" s="1" t="s">
        <v>4313</v>
      </c>
      <c r="G1064" s="1" t="s">
        <v>2433</v>
      </c>
      <c r="H1064" s="1">
        <v>5.5896774330000003</v>
      </c>
      <c r="I1064" s="1">
        <v>6.2102063709999999</v>
      </c>
      <c r="J1064" s="1">
        <v>5.6809121170000001</v>
      </c>
      <c r="K1064" s="1">
        <v>5.5322182199999999</v>
      </c>
      <c r="L1064" s="1">
        <v>5.6335437009999998</v>
      </c>
      <c r="M1064" s="1">
        <v>5.4866876930000004</v>
      </c>
      <c r="N1064" s="1">
        <v>5.1623684499999998</v>
      </c>
      <c r="O1064" s="1">
        <v>5.2522077749999996</v>
      </c>
      <c r="P1064" s="1">
        <v>5.7211848500000002</v>
      </c>
      <c r="Q1064" s="1">
        <v>5.6846114249999999</v>
      </c>
      <c r="R1064" s="1">
        <v>5.6457947050000001</v>
      </c>
      <c r="S1064" s="1">
        <v>5.9707657090000001</v>
      </c>
      <c r="T1064" s="1">
        <v>5.6335437009999998</v>
      </c>
      <c r="U1064" s="1">
        <v>5.4866876930000004</v>
      </c>
      <c r="V1064" s="1">
        <v>6.0372236819999996</v>
      </c>
      <c r="W1064" s="1">
        <v>5.9736131119999998</v>
      </c>
      <c r="X1064" s="1">
        <v>5.1646924079999996</v>
      </c>
      <c r="Y1064" s="1">
        <v>5.6604650660000004</v>
      </c>
      <c r="Z1064" s="1">
        <v>5.6457947050000001</v>
      </c>
      <c r="AA1064" s="1">
        <v>5.9707657090000001</v>
      </c>
      <c r="AB1064" s="1">
        <v>5.7218462399999996</v>
      </c>
      <c r="AC1064" s="1">
        <v>5.198889973</v>
      </c>
      <c r="AD1064" s="1">
        <v>5.6310130599999999</v>
      </c>
      <c r="AE1064" s="1">
        <v>5.7368382310000001</v>
      </c>
    </row>
    <row r="1065" spans="1:31" x14ac:dyDescent="0.25">
      <c r="A1065" s="1" t="s">
        <v>2434</v>
      </c>
      <c r="B1065" s="1" t="s">
        <v>2568</v>
      </c>
      <c r="C1065" s="1" t="s">
        <v>2589</v>
      </c>
      <c r="D1065" s="1" t="s">
        <v>2590</v>
      </c>
      <c r="E1065" s="1" t="s">
        <v>4314</v>
      </c>
      <c r="F1065" s="1" t="s">
        <v>4315</v>
      </c>
      <c r="G1065" s="1" t="s">
        <v>2434</v>
      </c>
      <c r="H1065" s="1">
        <v>4.3886087140000001</v>
      </c>
      <c r="I1065" s="1">
        <v>4.8477128089999999</v>
      </c>
      <c r="J1065" s="1">
        <v>5.3631085470000004</v>
      </c>
      <c r="K1065" s="1">
        <v>4.8139921829999999</v>
      </c>
      <c r="L1065" s="1">
        <v>5.1055038850000001</v>
      </c>
      <c r="M1065" s="1">
        <v>4.824486168</v>
      </c>
      <c r="N1065" s="1">
        <v>4.730225151</v>
      </c>
      <c r="O1065" s="1">
        <v>4.5340058970000001</v>
      </c>
      <c r="P1065" s="1">
        <v>5.1467681949999999</v>
      </c>
      <c r="Q1065" s="1">
        <v>4.5369064569999997</v>
      </c>
      <c r="R1065" s="1">
        <v>4.6795267799999998</v>
      </c>
      <c r="S1065" s="1">
        <v>4.5490843459999999</v>
      </c>
      <c r="T1065" s="1">
        <v>5.1055038850000001</v>
      </c>
      <c r="U1065" s="1">
        <v>4.824486168</v>
      </c>
      <c r="V1065" s="1">
        <v>4.3163797720000003</v>
      </c>
      <c r="W1065" s="1">
        <v>4.5296290450000001</v>
      </c>
      <c r="X1065" s="1">
        <v>4.5325909299999996</v>
      </c>
      <c r="Y1065" s="1">
        <v>4.8250325140000001</v>
      </c>
      <c r="Z1065" s="1">
        <v>4.6795267799999998</v>
      </c>
      <c r="AA1065" s="1">
        <v>4.5490843459999999</v>
      </c>
      <c r="AB1065" s="1">
        <v>5.1073354020000004</v>
      </c>
      <c r="AC1065" s="1">
        <v>5.1103036370000003</v>
      </c>
      <c r="AD1065" s="1">
        <v>4.7657555159999996</v>
      </c>
      <c r="AE1065" s="1">
        <v>4.9843711490000002</v>
      </c>
    </row>
    <row r="1066" spans="1:31" x14ac:dyDescent="0.25">
      <c r="A1066" s="1" t="s">
        <v>2435</v>
      </c>
      <c r="B1066" s="1" t="s">
        <v>2547</v>
      </c>
      <c r="C1066" s="1" t="s">
        <v>2622</v>
      </c>
      <c r="D1066" s="1" t="s">
        <v>2535</v>
      </c>
      <c r="E1066" s="1" t="s">
        <v>3486</v>
      </c>
      <c r="G1066" s="1" t="s">
        <v>2435</v>
      </c>
      <c r="H1066" s="1">
        <v>4.9322401630000003</v>
      </c>
      <c r="I1066" s="1">
        <v>4.8477128089999999</v>
      </c>
      <c r="J1066" s="1">
        <v>6.5019279570000004</v>
      </c>
      <c r="K1066" s="1">
        <v>5.8552832600000002</v>
      </c>
      <c r="L1066" s="1">
        <v>6.3406371909999999</v>
      </c>
      <c r="M1066" s="1">
        <v>6.3936335379999996</v>
      </c>
      <c r="N1066" s="1">
        <v>4.8006971780000001</v>
      </c>
      <c r="O1066" s="1">
        <v>4.9731423550000002</v>
      </c>
      <c r="P1066" s="1">
        <v>5.9651829550000004</v>
      </c>
      <c r="Q1066" s="1">
        <v>6.3557835540000003</v>
      </c>
      <c r="R1066" s="1">
        <v>6.7593779009999997</v>
      </c>
      <c r="S1066" s="1">
        <v>6.2136668149999998</v>
      </c>
      <c r="T1066" s="1">
        <v>6.3406371909999999</v>
      </c>
      <c r="U1066" s="1">
        <v>6.3936335379999996</v>
      </c>
      <c r="V1066" s="1">
        <v>6.2204802570000002</v>
      </c>
      <c r="W1066" s="1">
        <v>6.156075682</v>
      </c>
      <c r="X1066" s="1">
        <v>6.1533217709999999</v>
      </c>
      <c r="Y1066" s="1">
        <v>5.9306942229999997</v>
      </c>
      <c r="Z1066" s="1">
        <v>6.7593779009999997</v>
      </c>
      <c r="AA1066" s="1">
        <v>6.2136668149999998</v>
      </c>
      <c r="AB1066" s="1">
        <v>6.2160685200000003</v>
      </c>
      <c r="AC1066" s="1">
        <v>5.6698330419999996</v>
      </c>
      <c r="AD1066" s="1">
        <v>6.0361091350000002</v>
      </c>
      <c r="AE1066" s="1">
        <v>6.2987649059999997</v>
      </c>
    </row>
    <row r="1067" spans="1:31" x14ac:dyDescent="0.25">
      <c r="A1067" s="1" t="s">
        <v>2436</v>
      </c>
      <c r="B1067" s="1" t="s">
        <v>2642</v>
      </c>
      <c r="C1067" s="1" t="s">
        <v>2643</v>
      </c>
      <c r="D1067" s="1" t="s">
        <v>2687</v>
      </c>
      <c r="E1067" s="1" t="s">
        <v>3491</v>
      </c>
      <c r="F1067" s="1" t="s">
        <v>3492</v>
      </c>
      <c r="G1067" s="1" t="s">
        <v>2436</v>
      </c>
      <c r="H1067" s="1">
        <v>1.7393328349999999</v>
      </c>
      <c r="I1067" s="1">
        <v>1.7393328349999999</v>
      </c>
      <c r="J1067" s="1">
        <v>1.7393328349999999</v>
      </c>
      <c r="K1067" s="1">
        <v>1.7393328349999999</v>
      </c>
      <c r="L1067" s="1">
        <v>2.315629231</v>
      </c>
      <c r="M1067" s="1">
        <v>1.7393328349999999</v>
      </c>
      <c r="N1067" s="1">
        <v>1.7393328349999999</v>
      </c>
      <c r="O1067" s="1">
        <v>2.6816282820000001</v>
      </c>
      <c r="P1067" s="1">
        <v>1.7393328349999999</v>
      </c>
      <c r="Q1067" s="1">
        <v>1.7393328349999999</v>
      </c>
      <c r="R1067" s="1">
        <v>1.7393328349999999</v>
      </c>
      <c r="S1067" s="1">
        <v>1.7393328349999999</v>
      </c>
      <c r="T1067" s="1">
        <v>2.315629231</v>
      </c>
      <c r="U1067" s="1">
        <v>1.7393328349999999</v>
      </c>
      <c r="V1067" s="1">
        <v>1.7393328349999999</v>
      </c>
      <c r="W1067" s="1">
        <v>1.7393328349999999</v>
      </c>
      <c r="X1067" s="1">
        <v>1.7393328349999999</v>
      </c>
      <c r="Y1067" s="1">
        <v>1.7393328349999999</v>
      </c>
      <c r="Z1067" s="1">
        <v>1.7393328349999999</v>
      </c>
      <c r="AA1067" s="1">
        <v>1.7393328349999999</v>
      </c>
      <c r="AB1067" s="1">
        <v>1.7393328349999999</v>
      </c>
      <c r="AC1067" s="1">
        <v>1.7393328349999999</v>
      </c>
      <c r="AD1067" s="1">
        <v>1.7393328349999999</v>
      </c>
      <c r="AE1067" s="1">
        <v>2.3627668220000002</v>
      </c>
    </row>
    <row r="1068" spans="1:31" x14ac:dyDescent="0.25">
      <c r="A1068" s="1" t="s">
        <v>2444</v>
      </c>
      <c r="B1068" s="1" t="s">
        <v>2520</v>
      </c>
      <c r="C1068" s="1" t="s">
        <v>3160</v>
      </c>
      <c r="D1068" s="1" t="s">
        <v>2535</v>
      </c>
      <c r="E1068" s="1" t="s">
        <v>4316</v>
      </c>
      <c r="F1068" s="1" t="s">
        <v>4317</v>
      </c>
      <c r="G1068" s="1" t="s">
        <v>2444</v>
      </c>
      <c r="H1068" s="1">
        <v>4.995162745</v>
      </c>
      <c r="I1068" s="1">
        <v>5.009480355</v>
      </c>
      <c r="J1068" s="1">
        <v>5.2817155790000001</v>
      </c>
      <c r="K1068" s="1">
        <v>5.1139224319999999</v>
      </c>
      <c r="L1068" s="1">
        <v>4.6825378889999998</v>
      </c>
      <c r="M1068" s="1">
        <v>4.5846937370000003</v>
      </c>
      <c r="N1068" s="1">
        <v>5.6141964020000001</v>
      </c>
      <c r="O1068" s="1">
        <v>5.2522077749999996</v>
      </c>
      <c r="P1068" s="1">
        <v>4.3303557189999999</v>
      </c>
      <c r="Q1068" s="1">
        <v>4.0840108080000004</v>
      </c>
      <c r="R1068" s="1">
        <v>3.7109484589999999</v>
      </c>
      <c r="S1068" s="1">
        <v>4.1304223819999999</v>
      </c>
      <c r="T1068" s="1">
        <v>4.6825378889999998</v>
      </c>
      <c r="U1068" s="1">
        <v>4.5846937370000003</v>
      </c>
      <c r="V1068" s="1">
        <v>4.3163797720000003</v>
      </c>
      <c r="W1068" s="1">
        <v>4.3370700810000002</v>
      </c>
      <c r="X1068" s="1">
        <v>4.2691515329999996</v>
      </c>
      <c r="Y1068" s="1">
        <v>3.7705059300000001</v>
      </c>
      <c r="Z1068" s="1">
        <v>3.7109484589999999</v>
      </c>
      <c r="AA1068" s="1">
        <v>4.1304223819999999</v>
      </c>
      <c r="AB1068" s="1">
        <v>3.404153038</v>
      </c>
      <c r="AC1068" s="1">
        <v>4.415017905</v>
      </c>
      <c r="AD1068" s="1">
        <v>3.8610926929999998</v>
      </c>
      <c r="AE1068" s="1">
        <v>4.1773695330000002</v>
      </c>
    </row>
    <row r="1069" spans="1:31" x14ac:dyDescent="0.25">
      <c r="A1069" s="1" t="s">
        <v>2445</v>
      </c>
      <c r="B1069" s="1" t="s">
        <v>2547</v>
      </c>
      <c r="C1069" s="1" t="s">
        <v>2694</v>
      </c>
      <c r="D1069" s="1" t="s">
        <v>2848</v>
      </c>
      <c r="E1069" s="1" t="s">
        <v>4318</v>
      </c>
      <c r="F1069" s="1" t="s">
        <v>4319</v>
      </c>
      <c r="G1069" s="1" t="s">
        <v>2445</v>
      </c>
      <c r="H1069" s="1">
        <v>4.6479005740000003</v>
      </c>
      <c r="I1069" s="1">
        <v>4.8477128089999999</v>
      </c>
      <c r="J1069" s="1">
        <v>4.3724365990000003</v>
      </c>
      <c r="K1069" s="1">
        <v>4.6734567340000002</v>
      </c>
      <c r="L1069" s="1">
        <v>4.9864364329999997</v>
      </c>
      <c r="M1069" s="1">
        <v>5.1214027209999999</v>
      </c>
      <c r="N1069" s="1">
        <v>5.9569306830000004</v>
      </c>
      <c r="O1069" s="1">
        <v>6.0504081489999999</v>
      </c>
      <c r="P1069" s="1">
        <v>5.1467681949999999</v>
      </c>
      <c r="Q1069" s="1">
        <v>4.611970812</v>
      </c>
      <c r="R1069" s="1">
        <v>5.0965654090000001</v>
      </c>
      <c r="S1069" s="1">
        <v>4.6864044680000001</v>
      </c>
      <c r="T1069" s="1">
        <v>4.9864364329999997</v>
      </c>
      <c r="U1069" s="1">
        <v>5.1214027209999999</v>
      </c>
      <c r="V1069" s="1">
        <v>4.9527859210000003</v>
      </c>
      <c r="W1069" s="1">
        <v>4.8493412630000003</v>
      </c>
      <c r="X1069" s="1">
        <v>4.7192629950000002</v>
      </c>
      <c r="Y1069" s="1">
        <v>5.5841077690000001</v>
      </c>
      <c r="Z1069" s="1">
        <v>5.0965654090000001</v>
      </c>
      <c r="AA1069" s="1">
        <v>4.6864044680000001</v>
      </c>
      <c r="AB1069" s="1">
        <v>4.5063178209999997</v>
      </c>
      <c r="AC1069" s="1">
        <v>5.5407520860000004</v>
      </c>
      <c r="AD1069" s="1">
        <v>5.0087140049999999</v>
      </c>
      <c r="AE1069" s="1">
        <v>4.9843711490000002</v>
      </c>
    </row>
    <row r="1070" spans="1:31" x14ac:dyDescent="0.25">
      <c r="A1070" s="1" t="s">
        <v>2446</v>
      </c>
      <c r="B1070" s="1" t="s">
        <v>2557</v>
      </c>
      <c r="C1070" s="1" t="s">
        <v>2772</v>
      </c>
      <c r="D1070" s="1" t="s">
        <v>2773</v>
      </c>
      <c r="E1070" s="1" t="s">
        <v>4320</v>
      </c>
      <c r="F1070" s="1" t="s">
        <v>4321</v>
      </c>
      <c r="G1070" s="1" t="s">
        <v>2446</v>
      </c>
      <c r="H1070" s="1">
        <v>9.1626944869999996</v>
      </c>
      <c r="I1070" s="1">
        <v>9.1839631050000001</v>
      </c>
      <c r="J1070" s="1">
        <v>8.8227835809999995</v>
      </c>
      <c r="K1070" s="1">
        <v>8.8901247110000003</v>
      </c>
      <c r="L1070" s="1">
        <v>8.2888975550000001</v>
      </c>
      <c r="M1070" s="1">
        <v>8.3582159829999991</v>
      </c>
      <c r="N1070" s="1">
        <v>8.9883586649999998</v>
      </c>
      <c r="O1070" s="1">
        <v>8.8629464440000003</v>
      </c>
      <c r="P1070" s="1">
        <v>8.6956484580000009</v>
      </c>
      <c r="Q1070" s="1">
        <v>8.9198387179999994</v>
      </c>
      <c r="R1070" s="1">
        <v>8.6966547250000001</v>
      </c>
      <c r="S1070" s="1">
        <v>8.5282011119999996</v>
      </c>
      <c r="T1070" s="1">
        <v>8.2888975550000001</v>
      </c>
      <c r="U1070" s="1">
        <v>8.3582159829999991</v>
      </c>
      <c r="V1070" s="1">
        <v>8.6154722459999995</v>
      </c>
      <c r="W1070" s="1">
        <v>8.4291323899999995</v>
      </c>
      <c r="X1070" s="1">
        <v>8.1848574920000008</v>
      </c>
      <c r="Y1070" s="1">
        <v>8.3191659799999993</v>
      </c>
      <c r="Z1070" s="1">
        <v>8.6966547250000001</v>
      </c>
      <c r="AA1070" s="1">
        <v>8.5282011119999996</v>
      </c>
      <c r="AB1070" s="1">
        <v>8.6208661769999999</v>
      </c>
      <c r="AC1070" s="1">
        <v>8.6129399299999996</v>
      </c>
      <c r="AD1070" s="1">
        <v>8.3083056880000008</v>
      </c>
      <c r="AE1070" s="1">
        <v>8.2847797849999996</v>
      </c>
    </row>
    <row r="1071" spans="1:31" x14ac:dyDescent="0.25">
      <c r="A1071" s="1" t="s">
        <v>2447</v>
      </c>
      <c r="B1071" s="1" t="s">
        <v>2579</v>
      </c>
      <c r="C1071" s="1" t="s">
        <v>2933</v>
      </c>
      <c r="D1071" s="1" t="s">
        <v>3571</v>
      </c>
      <c r="E1071" s="1" t="s">
        <v>4322</v>
      </c>
      <c r="F1071" s="1" t="s">
        <v>4323</v>
      </c>
      <c r="G1071" s="1" t="s">
        <v>2447</v>
      </c>
      <c r="H1071" s="1">
        <v>9.0897512329999994</v>
      </c>
      <c r="I1071" s="1">
        <v>8.5184918599999992</v>
      </c>
      <c r="J1071" s="1">
        <v>9.2861852089999992</v>
      </c>
      <c r="K1071" s="1">
        <v>9.3195846089999996</v>
      </c>
      <c r="L1071" s="1">
        <v>8.8408947629999997</v>
      </c>
      <c r="M1071" s="1">
        <v>8.7808141079999995</v>
      </c>
      <c r="N1071" s="1">
        <v>7.5384500040000004</v>
      </c>
      <c r="O1071" s="1">
        <v>8.0849500110000001</v>
      </c>
      <c r="P1071" s="1">
        <v>9.0016382549999996</v>
      </c>
      <c r="Q1071" s="1">
        <v>9.1807841710000009</v>
      </c>
      <c r="R1071" s="1">
        <v>9.0232325790000001</v>
      </c>
      <c r="S1071" s="1">
        <v>8.945731103</v>
      </c>
      <c r="T1071" s="1">
        <v>8.8408947629999997</v>
      </c>
      <c r="U1071" s="1">
        <v>8.7808141079999995</v>
      </c>
      <c r="V1071" s="1">
        <v>8.5062425099999999</v>
      </c>
      <c r="W1071" s="1">
        <v>8.3378666540000008</v>
      </c>
      <c r="X1071" s="1">
        <v>8.6914403440000001</v>
      </c>
      <c r="Y1071" s="1">
        <v>8.2158944090000006</v>
      </c>
      <c r="Z1071" s="1">
        <v>9.0232325790000001</v>
      </c>
      <c r="AA1071" s="1">
        <v>8.945731103</v>
      </c>
      <c r="AB1071" s="1">
        <v>8.6744148219999992</v>
      </c>
      <c r="AC1071" s="1">
        <v>8.9146621229999994</v>
      </c>
      <c r="AD1071" s="1">
        <v>8.6859051459999996</v>
      </c>
      <c r="AE1071" s="1">
        <v>8.4109362860000001</v>
      </c>
    </row>
    <row r="1072" spans="1:31" x14ac:dyDescent="0.25">
      <c r="A1072" s="1" t="s">
        <v>2448</v>
      </c>
      <c r="B1072" s="1" t="s">
        <v>2539</v>
      </c>
      <c r="C1072" s="1" t="s">
        <v>2540</v>
      </c>
      <c r="D1072" s="1" t="s">
        <v>2535</v>
      </c>
      <c r="E1072" s="1" t="s">
        <v>2541</v>
      </c>
      <c r="G1072" s="1" t="s">
        <v>2448</v>
      </c>
      <c r="H1072" s="1">
        <v>7.5972836880000001</v>
      </c>
      <c r="I1072" s="1">
        <v>7.6121539699999996</v>
      </c>
      <c r="J1072" s="1">
        <v>7.094169655</v>
      </c>
      <c r="K1072" s="1">
        <v>7.2705230040000002</v>
      </c>
      <c r="L1072" s="1">
        <v>6.6511479839999996</v>
      </c>
      <c r="M1072" s="1">
        <v>6.6298516919999999</v>
      </c>
      <c r="N1072" s="1">
        <v>7.5485734259999999</v>
      </c>
      <c r="O1072" s="1">
        <v>7.9960001299999997</v>
      </c>
      <c r="P1072" s="1">
        <v>6.7371710150000004</v>
      </c>
      <c r="Q1072" s="1">
        <v>6.5369026620000001</v>
      </c>
      <c r="R1072" s="1">
        <v>6.3297979870000001</v>
      </c>
      <c r="S1072" s="1">
        <v>6.3621547329999997</v>
      </c>
      <c r="T1072" s="1">
        <v>6.6511479839999996</v>
      </c>
      <c r="U1072" s="1">
        <v>6.6298516919999999</v>
      </c>
      <c r="V1072" s="1">
        <v>6.7031108210000001</v>
      </c>
      <c r="W1072" s="1">
        <v>6.9149645719999997</v>
      </c>
      <c r="X1072" s="1">
        <v>6.6452477740000004</v>
      </c>
      <c r="Y1072" s="1">
        <v>7.1584367220000003</v>
      </c>
      <c r="Z1072" s="1">
        <v>6.3297979870000001</v>
      </c>
      <c r="AA1072" s="1">
        <v>6.3621547329999997</v>
      </c>
      <c r="AB1072" s="1">
        <v>7.2015223370000001</v>
      </c>
      <c r="AC1072" s="1">
        <v>6.4748747230000001</v>
      </c>
      <c r="AD1072" s="1">
        <v>7.3705131210000001</v>
      </c>
      <c r="AE1072" s="1">
        <v>6.7278078839999997</v>
      </c>
    </row>
    <row r="1073" spans="1:31" x14ac:dyDescent="0.25">
      <c r="A1073" s="1" t="s">
        <v>2454</v>
      </c>
      <c r="B1073" s="1" t="s">
        <v>2530</v>
      </c>
      <c r="C1073" s="1" t="s">
        <v>2531</v>
      </c>
      <c r="D1073" s="1" t="s">
        <v>2535</v>
      </c>
      <c r="E1073" s="1" t="s">
        <v>4324</v>
      </c>
      <c r="G1073" s="1" t="s">
        <v>2454</v>
      </c>
      <c r="H1073" s="1">
        <v>7.2082969639999996</v>
      </c>
      <c r="I1073" s="1">
        <v>8.1062137960000005</v>
      </c>
      <c r="J1073" s="1">
        <v>7.5390036440000001</v>
      </c>
      <c r="K1073" s="1">
        <v>7.5922233370000001</v>
      </c>
      <c r="L1073" s="1">
        <v>8.2888975550000001</v>
      </c>
      <c r="M1073" s="1">
        <v>7.8979331349999997</v>
      </c>
      <c r="N1073" s="1">
        <v>7.4708561500000004</v>
      </c>
      <c r="O1073" s="1">
        <v>7.2545560949999999</v>
      </c>
      <c r="P1073" s="1">
        <v>7.6543321369999999</v>
      </c>
      <c r="Q1073" s="1">
        <v>7.5893435760000001</v>
      </c>
      <c r="R1073" s="1">
        <v>7.0898067039999999</v>
      </c>
      <c r="S1073" s="1">
        <v>7.2724296290000003</v>
      </c>
      <c r="T1073" s="1">
        <v>8.2888975550000001</v>
      </c>
      <c r="U1073" s="1">
        <v>7.8979331349999997</v>
      </c>
      <c r="V1073" s="1">
        <v>7.4449946410000001</v>
      </c>
      <c r="W1073" s="1">
        <v>7.4907362729999996</v>
      </c>
      <c r="X1073" s="1">
        <v>7.0797810669999999</v>
      </c>
      <c r="Y1073" s="1">
        <v>7.4959140870000001</v>
      </c>
      <c r="Z1073" s="1">
        <v>7.0898067039999999</v>
      </c>
      <c r="AA1073" s="1">
        <v>7.2724296290000003</v>
      </c>
      <c r="AB1073" s="1">
        <v>7.0294463739999999</v>
      </c>
      <c r="AC1073" s="1">
        <v>7.2364401149999997</v>
      </c>
      <c r="AD1073" s="1">
        <v>7.23548598</v>
      </c>
      <c r="AE1073" s="1">
        <v>7.387629553</v>
      </c>
    </row>
    <row r="1074" spans="1:31" x14ac:dyDescent="0.25">
      <c r="A1074" s="1" t="s">
        <v>2455</v>
      </c>
      <c r="B1074" s="1" t="s">
        <v>2642</v>
      </c>
      <c r="C1074" s="1" t="s">
        <v>2643</v>
      </c>
      <c r="D1074" s="1" t="s">
        <v>2687</v>
      </c>
      <c r="E1074" s="1" t="s">
        <v>4325</v>
      </c>
      <c r="G1074" s="1" t="s">
        <v>2455</v>
      </c>
      <c r="H1074" s="1">
        <v>4.6479005740000003</v>
      </c>
      <c r="I1074" s="1">
        <v>4.903725959</v>
      </c>
      <c r="J1074" s="1">
        <v>5.0051223570000003</v>
      </c>
      <c r="K1074" s="1">
        <v>5.2180867539999998</v>
      </c>
      <c r="L1074" s="1">
        <v>5.3560765139999997</v>
      </c>
      <c r="M1074" s="1">
        <v>5.4866876930000004</v>
      </c>
      <c r="N1074" s="1">
        <v>3.7779028299999999</v>
      </c>
      <c r="O1074" s="1">
        <v>3.7238257350000001</v>
      </c>
      <c r="P1074" s="1">
        <v>5.4627121560000003</v>
      </c>
      <c r="Q1074" s="1">
        <v>5.3375178869999997</v>
      </c>
      <c r="R1074" s="1">
        <v>5.0965654090000001</v>
      </c>
      <c r="S1074" s="1">
        <v>5.6453330910000004</v>
      </c>
      <c r="T1074" s="1">
        <v>5.3560765139999997</v>
      </c>
      <c r="U1074" s="1">
        <v>5.4866876930000004</v>
      </c>
      <c r="V1074" s="1">
        <v>6.1619548430000002</v>
      </c>
      <c r="W1074" s="1">
        <v>6.3179498900000004</v>
      </c>
      <c r="X1074" s="1">
        <v>5.3098210989999997</v>
      </c>
      <c r="Y1074" s="1">
        <v>5.8352313850000002</v>
      </c>
      <c r="Z1074" s="1">
        <v>5.0965654090000001</v>
      </c>
      <c r="AA1074" s="1">
        <v>5.6453330910000004</v>
      </c>
      <c r="AB1074" s="1">
        <v>6.1161870470000004</v>
      </c>
      <c r="AC1074" s="1">
        <v>5.198889973</v>
      </c>
      <c r="AD1074" s="1">
        <v>4.8924744240000004</v>
      </c>
      <c r="AE1074" s="1">
        <v>5.4523450599999999</v>
      </c>
    </row>
    <row r="1075" spans="1:31" x14ac:dyDescent="0.25">
      <c r="A1075" s="1" t="s">
        <v>2456</v>
      </c>
      <c r="B1075" s="1" t="s">
        <v>2598</v>
      </c>
      <c r="C1075" s="1" t="s">
        <v>2599</v>
      </c>
      <c r="D1075" s="1" t="s">
        <v>2600</v>
      </c>
      <c r="E1075" s="1" t="s">
        <v>4326</v>
      </c>
      <c r="F1075" s="1" t="s">
        <v>4327</v>
      </c>
      <c r="G1075" s="1" t="s">
        <v>2456</v>
      </c>
      <c r="H1075" s="1">
        <v>10.237053</v>
      </c>
      <c r="I1075" s="1">
        <v>10.01867829</v>
      </c>
      <c r="J1075" s="1">
        <v>9.1925444600000006</v>
      </c>
      <c r="K1075" s="1">
        <v>9.6977578639999997</v>
      </c>
      <c r="L1075" s="1">
        <v>8.9938686790000002</v>
      </c>
      <c r="M1075" s="1">
        <v>8.9870094290000004</v>
      </c>
      <c r="N1075" s="1">
        <v>9.358490497</v>
      </c>
      <c r="O1075" s="1">
        <v>9.7672432370000006</v>
      </c>
      <c r="P1075" s="1">
        <v>9.0926319979999999</v>
      </c>
      <c r="Q1075" s="1">
        <v>9.2572809659999997</v>
      </c>
      <c r="R1075" s="1">
        <v>9.0824651809999999</v>
      </c>
      <c r="S1075" s="1">
        <v>9.1224345759999999</v>
      </c>
      <c r="T1075" s="1">
        <v>8.9938686790000002</v>
      </c>
      <c r="U1075" s="1">
        <v>8.9870094290000004</v>
      </c>
      <c r="V1075" s="1">
        <v>9.0824139079999995</v>
      </c>
      <c r="W1075" s="1">
        <v>9.2380743479999996</v>
      </c>
      <c r="X1075" s="1">
        <v>8.8529293150000008</v>
      </c>
      <c r="Y1075" s="1">
        <v>9.2060933380000005</v>
      </c>
      <c r="Z1075" s="1">
        <v>9.0824651809999999</v>
      </c>
      <c r="AA1075" s="1">
        <v>9.1224345759999999</v>
      </c>
      <c r="AB1075" s="1">
        <v>9.4229890370000007</v>
      </c>
      <c r="AC1075" s="1">
        <v>9.3624473970000004</v>
      </c>
      <c r="AD1075" s="1">
        <v>9.466408844</v>
      </c>
      <c r="AE1075" s="1">
        <v>9.4874279880000003</v>
      </c>
    </row>
    <row r="1076" spans="1:31" x14ac:dyDescent="0.25">
      <c r="A1076" s="1" t="s">
        <v>2459</v>
      </c>
      <c r="B1076" s="1" t="s">
        <v>2539</v>
      </c>
      <c r="C1076" s="1" t="s">
        <v>2606</v>
      </c>
      <c r="D1076" s="1" t="s">
        <v>2535</v>
      </c>
      <c r="E1076" s="1" t="s">
        <v>4328</v>
      </c>
      <c r="F1076" s="1" t="s">
        <v>4329</v>
      </c>
      <c r="G1076" s="1" t="s">
        <v>2459</v>
      </c>
      <c r="H1076" s="1">
        <v>4.9322401630000003</v>
      </c>
      <c r="I1076" s="1">
        <v>5.4817092260000004</v>
      </c>
      <c r="J1076" s="1">
        <v>5.4400990890000003</v>
      </c>
      <c r="K1076" s="1">
        <v>5.4059688240000003</v>
      </c>
      <c r="L1076" s="1">
        <v>5.4487173919999998</v>
      </c>
      <c r="M1076" s="1">
        <v>5.1214027209999999</v>
      </c>
      <c r="N1076" s="1">
        <v>5.2145790439999997</v>
      </c>
      <c r="O1076" s="1">
        <v>5.5090357550000002</v>
      </c>
      <c r="P1076" s="1">
        <v>4.9062897479999998</v>
      </c>
      <c r="Q1076" s="1">
        <v>4.8155696649999999</v>
      </c>
      <c r="R1076" s="1">
        <v>4.8735636449999999</v>
      </c>
      <c r="S1076" s="1">
        <v>4.980227309</v>
      </c>
      <c r="T1076" s="1">
        <v>5.4487173919999998</v>
      </c>
      <c r="U1076" s="1">
        <v>5.1214027209999999</v>
      </c>
      <c r="V1076" s="1">
        <v>4.9055261469999998</v>
      </c>
      <c r="W1076" s="1">
        <v>5.3792812999999997</v>
      </c>
      <c r="X1076" s="1">
        <v>4.7192629950000002</v>
      </c>
      <c r="Y1076" s="1">
        <v>5.3269702959999998</v>
      </c>
      <c r="Z1076" s="1">
        <v>4.8735636449999999</v>
      </c>
      <c r="AA1076" s="1">
        <v>4.980227309</v>
      </c>
      <c r="AB1076" s="1">
        <v>4.705867896</v>
      </c>
      <c r="AC1076" s="1">
        <v>5.3610280289999999</v>
      </c>
      <c r="AD1076" s="1">
        <v>5.0087140049999999</v>
      </c>
      <c r="AE1076" s="1">
        <v>4.893979055</v>
      </c>
    </row>
    <row r="1077" spans="1:31" x14ac:dyDescent="0.25">
      <c r="A1077" s="1" t="s">
        <v>2460</v>
      </c>
      <c r="B1077" s="1" t="s">
        <v>2530</v>
      </c>
      <c r="C1077" s="1" t="s">
        <v>2531</v>
      </c>
      <c r="D1077" s="1" t="s">
        <v>2535</v>
      </c>
      <c r="E1077" s="1" t="s">
        <v>4330</v>
      </c>
      <c r="G1077" s="1" t="s">
        <v>2460</v>
      </c>
      <c r="H1077" s="1">
        <v>9.1318835889999992</v>
      </c>
      <c r="I1077" s="1">
        <v>9.1500755910000002</v>
      </c>
      <c r="J1077" s="1">
        <v>6.4286153060000002</v>
      </c>
      <c r="K1077" s="1">
        <v>6.3181776090000001</v>
      </c>
      <c r="L1077" s="1">
        <v>6.9064163350000003</v>
      </c>
      <c r="M1077" s="1">
        <v>6.6089531670000001</v>
      </c>
      <c r="N1077" s="1">
        <v>7.9810982529999999</v>
      </c>
      <c r="O1077" s="1">
        <v>7.9056483660000003</v>
      </c>
      <c r="P1077" s="1">
        <v>6.3556532560000001</v>
      </c>
      <c r="Q1077" s="1">
        <v>6.7145630089999999</v>
      </c>
      <c r="R1077" s="1">
        <v>6.2855941240000002</v>
      </c>
      <c r="S1077" s="1">
        <v>6.6531047939999999</v>
      </c>
      <c r="T1077" s="1">
        <v>6.9064163350000003</v>
      </c>
      <c r="U1077" s="1">
        <v>6.6089531670000001</v>
      </c>
      <c r="V1077" s="1">
        <v>6.7567693220000002</v>
      </c>
      <c r="W1077" s="1">
        <v>6.4401804780000003</v>
      </c>
      <c r="X1077" s="1">
        <v>6.4095855210000003</v>
      </c>
      <c r="Y1077" s="1">
        <v>6.7521416749999998</v>
      </c>
      <c r="Z1077" s="1">
        <v>6.2855941240000002</v>
      </c>
      <c r="AA1077" s="1">
        <v>6.6531047939999999</v>
      </c>
      <c r="AB1077" s="1">
        <v>6.2478766610000003</v>
      </c>
      <c r="AC1077" s="1">
        <v>6.2255363350000001</v>
      </c>
      <c r="AD1077" s="1">
        <v>6.3516560770000003</v>
      </c>
      <c r="AE1077" s="1">
        <v>6.2514942319999998</v>
      </c>
    </row>
    <row r="1078" spans="1:31" x14ac:dyDescent="0.25">
      <c r="A1078" s="1" t="s">
        <v>2462</v>
      </c>
      <c r="B1078" s="1" t="s">
        <v>2530</v>
      </c>
      <c r="C1078" s="1" t="s">
        <v>2531</v>
      </c>
      <c r="D1078" s="1" t="s">
        <v>2535</v>
      </c>
      <c r="E1078" s="1" t="s">
        <v>4331</v>
      </c>
      <c r="G1078" s="1" t="s">
        <v>2462</v>
      </c>
      <c r="H1078" s="1">
        <v>6.0081283179999998</v>
      </c>
      <c r="I1078" s="1">
        <v>6.3363261639999999</v>
      </c>
      <c r="J1078" s="1">
        <v>5.8592801899999998</v>
      </c>
      <c r="K1078" s="1">
        <v>5.3151275040000003</v>
      </c>
      <c r="L1078" s="1">
        <v>7.1887526199999998</v>
      </c>
      <c r="M1078" s="1">
        <v>6.6907862490000003</v>
      </c>
      <c r="N1078" s="1">
        <v>6.1821580860000003</v>
      </c>
      <c r="O1078" s="1">
        <v>6.0822573350000004</v>
      </c>
      <c r="P1078" s="1">
        <v>6.6156100010000003</v>
      </c>
      <c r="Q1078" s="1">
        <v>6.3122380549999999</v>
      </c>
      <c r="R1078" s="1">
        <v>6.3078659510000001</v>
      </c>
      <c r="S1078" s="1">
        <v>6.5149715439999998</v>
      </c>
      <c r="T1078" s="1">
        <v>7.1887526199999998</v>
      </c>
      <c r="U1078" s="1">
        <v>6.6907862490000003</v>
      </c>
      <c r="V1078" s="1">
        <v>6.2204802570000002</v>
      </c>
      <c r="W1078" s="1">
        <v>6.0977940090000002</v>
      </c>
      <c r="X1078" s="1">
        <v>6.6085543170000003</v>
      </c>
      <c r="Y1078" s="1">
        <v>6.2347231909999996</v>
      </c>
      <c r="Z1078" s="1">
        <v>6.3078659510000001</v>
      </c>
      <c r="AA1078" s="1">
        <v>6.5149715439999998</v>
      </c>
      <c r="AB1078" s="1">
        <v>6.3685053089999997</v>
      </c>
      <c r="AC1078" s="1">
        <v>6.1612901029999998</v>
      </c>
      <c r="AD1078" s="1">
        <v>5.9522696560000004</v>
      </c>
      <c r="AE1078" s="1">
        <v>6.3218298060000002</v>
      </c>
    </row>
    <row r="1079" spans="1:31" x14ac:dyDescent="0.25">
      <c r="A1079" s="1" t="s">
        <v>2463</v>
      </c>
      <c r="B1079" s="1" t="s">
        <v>2608</v>
      </c>
      <c r="C1079" s="1" t="s">
        <v>2609</v>
      </c>
      <c r="D1079" s="1" t="s">
        <v>3137</v>
      </c>
      <c r="E1079" s="1" t="s">
        <v>4332</v>
      </c>
      <c r="F1079" s="1" t="s">
        <v>4333</v>
      </c>
      <c r="G1079" s="1" t="s">
        <v>2463</v>
      </c>
      <c r="H1079" s="1">
        <v>4.7972697699999998</v>
      </c>
      <c r="I1079" s="1">
        <v>5.2862358589999996</v>
      </c>
      <c r="J1079" s="1">
        <v>5.8310524639999999</v>
      </c>
      <c r="K1079" s="1">
        <v>5.5322182199999999</v>
      </c>
      <c r="L1079" s="1">
        <v>5.4123805689999998</v>
      </c>
      <c r="M1079" s="1">
        <v>5.1508485750000004</v>
      </c>
      <c r="N1079" s="1">
        <v>5.7258938089999996</v>
      </c>
      <c r="O1079" s="1">
        <v>5.8051520590000001</v>
      </c>
      <c r="P1079" s="1">
        <v>5.1467681949999999</v>
      </c>
      <c r="Q1079" s="1">
        <v>5.9062084209999997</v>
      </c>
      <c r="R1079" s="1">
        <v>5.458747732</v>
      </c>
      <c r="S1079" s="1">
        <v>5.6453330910000004</v>
      </c>
      <c r="T1079" s="1">
        <v>5.4123805689999998</v>
      </c>
      <c r="U1079" s="1">
        <v>5.1508485750000004</v>
      </c>
      <c r="V1079" s="1">
        <v>5.695500268</v>
      </c>
      <c r="W1079" s="1">
        <v>5.6059572260000001</v>
      </c>
      <c r="X1079" s="1">
        <v>5.4203833540000002</v>
      </c>
      <c r="Y1079" s="1">
        <v>5.8677638710000002</v>
      </c>
      <c r="Z1079" s="1">
        <v>5.458747732</v>
      </c>
      <c r="AA1079" s="1">
        <v>5.6453330910000004</v>
      </c>
      <c r="AB1079" s="1">
        <v>5.6280506069999996</v>
      </c>
      <c r="AC1079" s="1">
        <v>5.2411914069999996</v>
      </c>
      <c r="AD1079" s="1">
        <v>4.83054469</v>
      </c>
      <c r="AE1079" s="1">
        <v>5.387950011</v>
      </c>
    </row>
    <row r="1080" spans="1:31" x14ac:dyDescent="0.25">
      <c r="A1080" s="1" t="s">
        <v>2465</v>
      </c>
      <c r="B1080" s="1" t="s">
        <v>2530</v>
      </c>
      <c r="C1080" s="1" t="s">
        <v>2573</v>
      </c>
      <c r="D1080" s="1" t="s">
        <v>2535</v>
      </c>
      <c r="E1080" s="1" t="s">
        <v>3391</v>
      </c>
      <c r="G1080" s="1" t="s">
        <v>2465</v>
      </c>
      <c r="H1080" s="1">
        <v>1.7393328349999999</v>
      </c>
      <c r="I1080" s="1">
        <v>4.5981535630000003</v>
      </c>
      <c r="J1080" s="1">
        <v>3.6453331530000002</v>
      </c>
      <c r="K1080" s="1">
        <v>4.5171444090000001</v>
      </c>
      <c r="L1080" s="1">
        <v>3.2097511390000002</v>
      </c>
      <c r="M1080" s="1">
        <v>3.6044002019999999</v>
      </c>
      <c r="N1080" s="1">
        <v>5.6141964020000001</v>
      </c>
      <c r="O1080" s="1">
        <v>5.7062857469999999</v>
      </c>
      <c r="P1080" s="1">
        <v>3.466113682</v>
      </c>
      <c r="Q1080" s="1">
        <v>2.935765398</v>
      </c>
      <c r="R1080" s="1">
        <v>3.5594063970000001</v>
      </c>
      <c r="S1080" s="1">
        <v>3.9182367880000002</v>
      </c>
      <c r="T1080" s="1">
        <v>3.2097511390000002</v>
      </c>
      <c r="U1080" s="1">
        <v>3.6044002019999999</v>
      </c>
      <c r="V1080" s="1">
        <v>4.2408545169999998</v>
      </c>
      <c r="W1080" s="1">
        <v>3.8431653940000001</v>
      </c>
      <c r="X1080" s="1">
        <v>3.0884111989999998</v>
      </c>
      <c r="Y1080" s="1">
        <v>3.6154848500000001</v>
      </c>
      <c r="Z1080" s="1">
        <v>3.5594063970000001</v>
      </c>
      <c r="AA1080" s="1">
        <v>3.9182367880000002</v>
      </c>
      <c r="AB1080" s="1">
        <v>3.1218319999999999</v>
      </c>
      <c r="AC1080" s="1">
        <v>1.7393328349999999</v>
      </c>
      <c r="AD1080" s="1">
        <v>3.1944880649999998</v>
      </c>
      <c r="AE1080" s="1">
        <v>3.419797387</v>
      </c>
    </row>
    <row r="1081" spans="1:31" x14ac:dyDescent="0.25">
      <c r="A1081" s="1" t="s">
        <v>2467</v>
      </c>
      <c r="B1081" s="1" t="s">
        <v>2579</v>
      </c>
      <c r="C1081" s="1" t="s">
        <v>2933</v>
      </c>
      <c r="D1081" s="1" t="s">
        <v>4334</v>
      </c>
      <c r="E1081" s="1" t="s">
        <v>4335</v>
      </c>
      <c r="F1081" s="1" t="s">
        <v>4336</v>
      </c>
      <c r="G1081" s="1" t="s">
        <v>2467</v>
      </c>
      <c r="H1081" s="1">
        <v>3.4660955969999998</v>
      </c>
      <c r="I1081" s="1">
        <v>3.3322126910000001</v>
      </c>
      <c r="J1081" s="1">
        <v>3.1324899180000001</v>
      </c>
      <c r="K1081" s="1">
        <v>3.4309024589999999</v>
      </c>
      <c r="L1081" s="1">
        <v>3.6142294740000001</v>
      </c>
      <c r="M1081" s="1">
        <v>4.1225413939999997</v>
      </c>
      <c r="N1081" s="1">
        <v>3.344961128</v>
      </c>
      <c r="O1081" s="1">
        <v>3.050193165</v>
      </c>
      <c r="P1081" s="1">
        <v>3.466113682</v>
      </c>
      <c r="Q1081" s="1">
        <v>3.56206471</v>
      </c>
      <c r="R1081" s="1">
        <v>2.9339002829999998</v>
      </c>
      <c r="S1081" s="1">
        <v>3.1475403900000001</v>
      </c>
      <c r="T1081" s="1">
        <v>3.6142294740000001</v>
      </c>
      <c r="U1081" s="1">
        <v>4.1225413939999997</v>
      </c>
      <c r="V1081" s="1">
        <v>4.4559512029999997</v>
      </c>
      <c r="W1081" s="1">
        <v>3.50175473</v>
      </c>
      <c r="X1081" s="1">
        <v>4.1154863700000002</v>
      </c>
      <c r="Y1081" s="1">
        <v>4.1479647589999997</v>
      </c>
      <c r="Z1081" s="1">
        <v>2.9339002829999998</v>
      </c>
      <c r="AA1081" s="1">
        <v>3.1475403900000001</v>
      </c>
      <c r="AB1081" s="1">
        <v>3.990981031</v>
      </c>
      <c r="AC1081" s="1">
        <v>4.1685844940000001</v>
      </c>
      <c r="AD1081" s="1">
        <v>3.725077481</v>
      </c>
      <c r="AE1081" s="1">
        <v>4.3718229419999997</v>
      </c>
    </row>
    <row r="1082" spans="1:31" x14ac:dyDescent="0.25">
      <c r="A1082" s="1" t="s">
        <v>2468</v>
      </c>
      <c r="B1082" s="1" t="s">
        <v>2530</v>
      </c>
      <c r="C1082" s="1" t="s">
        <v>2531</v>
      </c>
      <c r="D1082" s="1" t="s">
        <v>2535</v>
      </c>
      <c r="E1082" s="1" t="s">
        <v>4337</v>
      </c>
      <c r="G1082" s="1" t="s">
        <v>2468</v>
      </c>
      <c r="H1082" s="1">
        <v>6.0673720150000001</v>
      </c>
      <c r="I1082" s="1">
        <v>5.3676718369999996</v>
      </c>
      <c r="J1082" s="1">
        <v>6.2270996539999999</v>
      </c>
      <c r="K1082" s="1">
        <v>5.1139224319999999</v>
      </c>
      <c r="L1082" s="1">
        <v>5.8923589620000003</v>
      </c>
      <c r="M1082" s="1">
        <v>5.9201092089999996</v>
      </c>
      <c r="N1082" s="1">
        <v>4.6936110280000003</v>
      </c>
      <c r="O1082" s="1">
        <v>4.3322392709999997</v>
      </c>
      <c r="P1082" s="1">
        <v>6.2573947350000001</v>
      </c>
      <c r="Q1082" s="1">
        <v>5.9637007390000001</v>
      </c>
      <c r="R1082" s="1">
        <v>6.239987642</v>
      </c>
      <c r="S1082" s="1">
        <v>6.0480456849999999</v>
      </c>
      <c r="T1082" s="1">
        <v>5.8923589620000003</v>
      </c>
      <c r="U1082" s="1">
        <v>5.9201092089999996</v>
      </c>
      <c r="V1082" s="1">
        <v>6.1009432270000001</v>
      </c>
      <c r="W1082" s="1">
        <v>5.9072448660000001</v>
      </c>
      <c r="X1082" s="1">
        <v>5.9771755410000003</v>
      </c>
      <c r="Y1082" s="1">
        <v>5.9909787290000001</v>
      </c>
      <c r="Z1082" s="1">
        <v>6.239987642</v>
      </c>
      <c r="AA1082" s="1">
        <v>6.0480456849999999</v>
      </c>
      <c r="AB1082" s="1">
        <v>6.1835402750000004</v>
      </c>
      <c r="AC1082" s="1">
        <v>5.9744301399999999</v>
      </c>
      <c r="AD1082" s="1">
        <v>5.2633210659999996</v>
      </c>
      <c r="AE1082" s="1">
        <v>5.592176748</v>
      </c>
    </row>
    <row r="1083" spans="1:31" x14ac:dyDescent="0.25">
      <c r="A1083" s="1" t="s">
        <v>2469</v>
      </c>
      <c r="B1083" s="1" t="s">
        <v>2642</v>
      </c>
      <c r="C1083" s="1" t="s">
        <v>2643</v>
      </c>
      <c r="D1083" s="1" t="s">
        <v>2687</v>
      </c>
      <c r="E1083" s="1" t="s">
        <v>3094</v>
      </c>
      <c r="F1083" s="1" t="s">
        <v>3095</v>
      </c>
      <c r="G1083" s="1" t="s">
        <v>2469</v>
      </c>
      <c r="H1083" s="1">
        <v>4.7972697699999998</v>
      </c>
      <c r="I1083" s="1">
        <v>4.9575946069999999</v>
      </c>
      <c r="J1083" s="1">
        <v>4.2018709520000002</v>
      </c>
      <c r="K1083" s="1">
        <v>3.762021974</v>
      </c>
      <c r="L1083" s="1">
        <v>4.0714409539999998</v>
      </c>
      <c r="M1083" s="1">
        <v>4.1823509169999999</v>
      </c>
      <c r="N1083" s="1">
        <v>4.5776172920000002</v>
      </c>
      <c r="O1083" s="1">
        <v>4.385526188</v>
      </c>
      <c r="P1083" s="1">
        <v>4.5499605860000001</v>
      </c>
      <c r="Q1083" s="1">
        <v>4.5369064569999997</v>
      </c>
      <c r="R1083" s="1">
        <v>3.7109484589999999</v>
      </c>
      <c r="S1083" s="1">
        <v>3.9182367880000002</v>
      </c>
      <c r="T1083" s="1">
        <v>4.0714409539999998</v>
      </c>
      <c r="U1083" s="1">
        <v>4.1823509169999999</v>
      </c>
      <c r="V1083" s="1">
        <v>4.7533922439999996</v>
      </c>
      <c r="W1083" s="1">
        <v>3.6840067150000002</v>
      </c>
      <c r="X1083" s="1">
        <v>3.8785046219999999</v>
      </c>
      <c r="Y1083" s="1">
        <v>4.6842287809999998</v>
      </c>
      <c r="Z1083" s="1">
        <v>3.7109484589999999</v>
      </c>
      <c r="AA1083" s="1">
        <v>3.9182367880000002</v>
      </c>
      <c r="AB1083" s="1">
        <v>3.8237667059999998</v>
      </c>
      <c r="AC1083" s="1">
        <v>4.0753403910000001</v>
      </c>
      <c r="AD1083" s="1">
        <v>4.2005997429999997</v>
      </c>
      <c r="AE1083" s="1">
        <v>4.0685293649999998</v>
      </c>
    </row>
    <row r="1084" spans="1:31" x14ac:dyDescent="0.25">
      <c r="A1084" s="1" t="s">
        <v>2474</v>
      </c>
      <c r="B1084" s="1" t="s">
        <v>2667</v>
      </c>
      <c r="C1084" s="1" t="s">
        <v>2867</v>
      </c>
      <c r="D1084" s="1" t="s">
        <v>4338</v>
      </c>
      <c r="E1084" s="1" t="s">
        <v>4339</v>
      </c>
      <c r="F1084" s="1" t="s">
        <v>4340</v>
      </c>
      <c r="G1084" s="1" t="s">
        <v>2474</v>
      </c>
      <c r="H1084" s="1">
        <v>3.4660955969999998</v>
      </c>
      <c r="I1084" s="1">
        <v>4.2055918060000002</v>
      </c>
      <c r="J1084" s="1">
        <v>3.6453331530000002</v>
      </c>
      <c r="K1084" s="1">
        <v>3.8998480660000001</v>
      </c>
      <c r="L1084" s="1">
        <v>4.5190290319999997</v>
      </c>
      <c r="M1084" s="1">
        <v>4.059937712</v>
      </c>
      <c r="N1084" s="1">
        <v>3.7025667929999999</v>
      </c>
      <c r="O1084" s="1">
        <v>3.6346882059999999</v>
      </c>
      <c r="P1084" s="1">
        <v>3.86011382</v>
      </c>
      <c r="Q1084" s="1">
        <v>3.388910638</v>
      </c>
      <c r="R1084" s="1">
        <v>2.9339002829999998</v>
      </c>
      <c r="S1084" s="1">
        <v>3.5159502420000002</v>
      </c>
      <c r="T1084" s="1">
        <v>4.5190290319999997</v>
      </c>
      <c r="U1084" s="1">
        <v>4.059937712</v>
      </c>
      <c r="V1084" s="1">
        <v>4.1608706030000002</v>
      </c>
      <c r="W1084" s="1">
        <v>4.2295768090000001</v>
      </c>
      <c r="X1084" s="1">
        <v>3.8119046220000001</v>
      </c>
      <c r="Y1084" s="1">
        <v>3.7705059300000001</v>
      </c>
      <c r="Z1084" s="1">
        <v>2.9339002829999998</v>
      </c>
      <c r="AA1084" s="1">
        <v>3.5159502420000002</v>
      </c>
      <c r="AB1084" s="1">
        <v>3.8237667059999998</v>
      </c>
      <c r="AC1084" s="1">
        <v>4.3377211620000002</v>
      </c>
      <c r="AD1084" s="1">
        <v>3.1944880649999998</v>
      </c>
      <c r="AE1084" s="1">
        <v>4.124053773</v>
      </c>
    </row>
    <row r="1085" spans="1:31" x14ac:dyDescent="0.25">
      <c r="A1085" s="1" t="s">
        <v>2477</v>
      </c>
      <c r="B1085" s="1" t="s">
        <v>2631</v>
      </c>
      <c r="C1085" s="1" t="s">
        <v>2980</v>
      </c>
      <c r="D1085" s="1" t="s">
        <v>2535</v>
      </c>
      <c r="E1085" s="1" t="s">
        <v>4036</v>
      </c>
      <c r="G1085" s="1" t="s">
        <v>2477</v>
      </c>
      <c r="H1085" s="1">
        <v>6.0673720150000001</v>
      </c>
      <c r="I1085" s="1">
        <v>5.4817092260000004</v>
      </c>
      <c r="J1085" s="1">
        <v>6.7018094870000002</v>
      </c>
      <c r="K1085" s="1">
        <v>6.4083964440000001</v>
      </c>
      <c r="L1085" s="1">
        <v>6.6276832030000001</v>
      </c>
      <c r="M1085" s="1">
        <v>6.5770251660000003</v>
      </c>
      <c r="N1085" s="1">
        <v>6.1290762189999999</v>
      </c>
      <c r="O1085" s="1">
        <v>5.824131875</v>
      </c>
      <c r="P1085" s="1">
        <v>6.8220475609999998</v>
      </c>
      <c r="Q1085" s="1">
        <v>6.8726890640000002</v>
      </c>
      <c r="R1085" s="1">
        <v>6.6416582010000003</v>
      </c>
      <c r="S1085" s="1">
        <v>6.5507675829999998</v>
      </c>
      <c r="T1085" s="1">
        <v>6.6276832030000001</v>
      </c>
      <c r="U1085" s="1">
        <v>6.5770251660000003</v>
      </c>
      <c r="V1085" s="1">
        <v>6.0153393629999998</v>
      </c>
      <c r="W1085" s="1">
        <v>5.9736131119999998</v>
      </c>
      <c r="X1085" s="1">
        <v>6.7415831510000004</v>
      </c>
      <c r="Y1085" s="1">
        <v>6.2836980430000002</v>
      </c>
      <c r="Z1085" s="1">
        <v>6.6416582010000003</v>
      </c>
      <c r="AA1085" s="1">
        <v>6.5507675829999998</v>
      </c>
      <c r="AB1085" s="1">
        <v>6.2160685200000003</v>
      </c>
      <c r="AC1085" s="1">
        <v>6.346005549</v>
      </c>
      <c r="AD1085" s="1">
        <v>6.6102586299999997</v>
      </c>
      <c r="AE1085" s="1">
        <v>6.3997621550000003</v>
      </c>
    </row>
    <row r="1086" spans="1:31" x14ac:dyDescent="0.25">
      <c r="A1086" s="1" t="s">
        <v>2478</v>
      </c>
      <c r="B1086" s="1" t="s">
        <v>2547</v>
      </c>
      <c r="C1086" s="1" t="s">
        <v>2566</v>
      </c>
      <c r="D1086" s="1" t="s">
        <v>3578</v>
      </c>
      <c r="E1086" s="1" t="s">
        <v>4341</v>
      </c>
      <c r="F1086" s="1" t="s">
        <v>3074</v>
      </c>
      <c r="G1086" s="1" t="s">
        <v>2478</v>
      </c>
      <c r="H1086" s="1">
        <v>1.7393328349999999</v>
      </c>
      <c r="I1086" s="1">
        <v>2.8927893610000002</v>
      </c>
      <c r="J1086" s="1">
        <v>2.5640169199999998</v>
      </c>
      <c r="K1086" s="1">
        <v>2.9677134359999999</v>
      </c>
      <c r="L1086" s="1">
        <v>3.3884746630000002</v>
      </c>
      <c r="M1086" s="1">
        <v>2.665084539</v>
      </c>
      <c r="N1086" s="1">
        <v>2.9782685729999998</v>
      </c>
      <c r="O1086" s="1">
        <v>2.6816282820000001</v>
      </c>
      <c r="P1086" s="1">
        <v>2.8687501260000001</v>
      </c>
      <c r="Q1086" s="1">
        <v>3.185675432</v>
      </c>
      <c r="R1086" s="1">
        <v>2.595728008</v>
      </c>
      <c r="S1086" s="1">
        <v>3.1475403900000001</v>
      </c>
      <c r="T1086" s="1">
        <v>3.3884746630000002</v>
      </c>
      <c r="U1086" s="1">
        <v>2.665084539</v>
      </c>
      <c r="V1086" s="1">
        <v>3.2389700330000002</v>
      </c>
      <c r="W1086" s="1">
        <v>3.6840067150000002</v>
      </c>
      <c r="X1086" s="1">
        <v>1.7393328349999999</v>
      </c>
      <c r="Y1086" s="1">
        <v>3.4382968329999999</v>
      </c>
      <c r="Z1086" s="1">
        <v>2.595728008</v>
      </c>
      <c r="AA1086" s="1">
        <v>3.1475403900000001</v>
      </c>
      <c r="AB1086" s="1">
        <v>1.7393328349999999</v>
      </c>
      <c r="AC1086" s="1">
        <v>3.1109927919999998</v>
      </c>
      <c r="AD1086" s="1">
        <v>2.9432342459999998</v>
      </c>
      <c r="AE1086" s="1">
        <v>3.5108161330000001</v>
      </c>
    </row>
    <row r="1087" spans="1:31" x14ac:dyDescent="0.25">
      <c r="A1087" s="1" t="s">
        <v>2479</v>
      </c>
      <c r="B1087" s="1" t="s">
        <v>2547</v>
      </c>
      <c r="C1087" s="1" t="s">
        <v>2566</v>
      </c>
      <c r="D1087" s="1" t="s">
        <v>3578</v>
      </c>
      <c r="E1087" s="1" t="s">
        <v>4342</v>
      </c>
      <c r="F1087" s="1" t="s">
        <v>4343</v>
      </c>
      <c r="G1087" s="1" t="s">
        <v>2479</v>
      </c>
      <c r="H1087" s="1">
        <v>4.7972697699999998</v>
      </c>
      <c r="I1087" s="1">
        <v>4.1114152529999997</v>
      </c>
      <c r="J1087" s="1">
        <v>4.7243317210000004</v>
      </c>
      <c r="K1087" s="1">
        <v>4.5171444090000001</v>
      </c>
      <c r="L1087" s="1">
        <v>4.2088403679999997</v>
      </c>
      <c r="M1087" s="1">
        <v>4.239619416</v>
      </c>
      <c r="N1087" s="1">
        <v>4.4945275240000004</v>
      </c>
      <c r="O1087" s="1">
        <v>4.2189785100000003</v>
      </c>
      <c r="P1087" s="1">
        <v>3.9684043939999998</v>
      </c>
      <c r="Q1087" s="1">
        <v>4.2835653880000004</v>
      </c>
      <c r="R1087" s="1">
        <v>4.45403635</v>
      </c>
      <c r="S1087" s="1">
        <v>4.6194390810000003</v>
      </c>
      <c r="T1087" s="1">
        <v>4.2088403679999997</v>
      </c>
      <c r="U1087" s="1">
        <v>4.239619416</v>
      </c>
      <c r="V1087" s="1">
        <v>4.998512388</v>
      </c>
      <c r="W1087" s="1">
        <v>4.5296290450000001</v>
      </c>
      <c r="X1087" s="1">
        <v>4.9447045230000004</v>
      </c>
      <c r="Y1087" s="1">
        <v>4.4420910779999998</v>
      </c>
      <c r="Z1087" s="1">
        <v>4.45403635</v>
      </c>
      <c r="AA1087" s="1">
        <v>4.6194390810000003</v>
      </c>
      <c r="AB1087" s="1">
        <v>4.705867896</v>
      </c>
      <c r="AC1087" s="1">
        <v>4.9145215069999999</v>
      </c>
      <c r="AD1087" s="1">
        <v>5.4791562909999998</v>
      </c>
      <c r="AE1087" s="1">
        <v>5.0965372069999999</v>
      </c>
    </row>
    <row r="1088" spans="1:31" x14ac:dyDescent="0.25">
      <c r="A1088" s="1" t="s">
        <v>2480</v>
      </c>
      <c r="B1088" s="1" t="s">
        <v>2547</v>
      </c>
      <c r="C1088" s="1" t="s">
        <v>2566</v>
      </c>
      <c r="D1088" s="1" t="s">
        <v>3578</v>
      </c>
      <c r="E1088" s="1" t="s">
        <v>4344</v>
      </c>
      <c r="F1088" s="1" t="s">
        <v>4345</v>
      </c>
      <c r="G1088" s="1" t="s">
        <v>2480</v>
      </c>
      <c r="H1088" s="1">
        <v>2.9945681560000001</v>
      </c>
      <c r="I1088" s="1">
        <v>3.9003964459999998</v>
      </c>
      <c r="J1088" s="1">
        <v>3.7773371739999999</v>
      </c>
      <c r="K1088" s="1">
        <v>4.4318297590000002</v>
      </c>
      <c r="L1088" s="1">
        <v>3.971296959</v>
      </c>
      <c r="M1088" s="1">
        <v>3.6924658159999999</v>
      </c>
      <c r="N1088" s="1">
        <v>2.8201075470000001</v>
      </c>
      <c r="O1088" s="1">
        <v>3.6346882059999999</v>
      </c>
      <c r="P1088" s="1">
        <v>3.3003929539999999</v>
      </c>
      <c r="Q1088" s="1">
        <v>3.388910638</v>
      </c>
      <c r="R1088" s="1">
        <v>4.8735636449999999</v>
      </c>
      <c r="S1088" s="1">
        <v>4.2250836859999996</v>
      </c>
      <c r="T1088" s="1">
        <v>3.971296959</v>
      </c>
      <c r="U1088" s="1">
        <v>3.6924658159999999</v>
      </c>
      <c r="V1088" s="1">
        <v>4.4559512029999997</v>
      </c>
      <c r="W1088" s="1">
        <v>3.9848641250000001</v>
      </c>
      <c r="X1088" s="1">
        <v>4.6102919370000004</v>
      </c>
      <c r="Y1088" s="1">
        <v>4.3509215530000001</v>
      </c>
      <c r="Z1088" s="1">
        <v>4.8735636449999999</v>
      </c>
      <c r="AA1088" s="1">
        <v>4.2250836859999996</v>
      </c>
      <c r="AB1088" s="1">
        <v>4.8804215500000003</v>
      </c>
      <c r="AC1088" s="1">
        <v>5.3610280289999999</v>
      </c>
      <c r="AD1088" s="1">
        <v>5.4385263000000004</v>
      </c>
      <c r="AE1088" s="1">
        <v>4.9247587419999999</v>
      </c>
    </row>
    <row r="1089" spans="1:31" x14ac:dyDescent="0.25">
      <c r="A1089" s="1" t="s">
        <v>2481</v>
      </c>
      <c r="B1089" s="1" t="s">
        <v>2547</v>
      </c>
      <c r="C1089" s="1" t="s">
        <v>2548</v>
      </c>
      <c r="D1089" s="1" t="s">
        <v>3578</v>
      </c>
      <c r="E1089" s="1" t="s">
        <v>4346</v>
      </c>
      <c r="F1089" s="1" t="s">
        <v>4347</v>
      </c>
      <c r="G1089" s="1" t="s">
        <v>2481</v>
      </c>
      <c r="H1089" s="1">
        <v>5.2221022919999998</v>
      </c>
      <c r="I1089" s="1">
        <v>5.8640648840000003</v>
      </c>
      <c r="J1089" s="1">
        <v>5.0051223570000003</v>
      </c>
      <c r="K1089" s="1">
        <v>4.6734567340000002</v>
      </c>
      <c r="L1089" s="1">
        <v>5.1504600580000002</v>
      </c>
      <c r="M1089" s="1">
        <v>5.2356861500000003</v>
      </c>
      <c r="N1089" s="1">
        <v>4.9627953409999996</v>
      </c>
      <c r="O1089" s="1">
        <v>5.3864027800000001</v>
      </c>
      <c r="P1089" s="1">
        <v>4.9062897479999998</v>
      </c>
      <c r="Q1089" s="1">
        <v>5.2000913229999997</v>
      </c>
      <c r="R1089" s="1">
        <v>5.9309793060000002</v>
      </c>
      <c r="S1089" s="1">
        <v>5.6117239269999999</v>
      </c>
      <c r="T1089" s="1">
        <v>5.1504600580000002</v>
      </c>
      <c r="U1089" s="1">
        <v>5.2356861500000003</v>
      </c>
      <c r="V1089" s="1">
        <v>5.9931161309999998</v>
      </c>
      <c r="W1089" s="1">
        <v>5.9072448660000001</v>
      </c>
      <c r="X1089" s="1">
        <v>6.2637322309999997</v>
      </c>
      <c r="Y1089" s="1">
        <v>5.6604650660000004</v>
      </c>
      <c r="Z1089" s="1">
        <v>5.9309793060000002</v>
      </c>
      <c r="AA1089" s="1">
        <v>5.6117239269999999</v>
      </c>
      <c r="AB1089" s="1">
        <v>6.8954646989999997</v>
      </c>
      <c r="AC1089" s="1">
        <v>6.6092721640000001</v>
      </c>
      <c r="AD1089" s="1">
        <v>6.554572984</v>
      </c>
      <c r="AE1089" s="1">
        <v>6.8517371130000004</v>
      </c>
    </row>
    <row r="1090" spans="1:31" x14ac:dyDescent="0.25">
      <c r="A1090" s="1" t="s">
        <v>2483</v>
      </c>
      <c r="B1090" s="1" t="s">
        <v>2598</v>
      </c>
      <c r="C1090" s="1" t="s">
        <v>2603</v>
      </c>
      <c r="D1090" s="1" t="s">
        <v>4031</v>
      </c>
      <c r="E1090" s="1" t="s">
        <v>4348</v>
      </c>
      <c r="F1090" s="1" t="s">
        <v>4349</v>
      </c>
      <c r="G1090" s="1" t="s">
        <v>2483</v>
      </c>
      <c r="H1090" s="1">
        <v>2.9945681560000001</v>
      </c>
      <c r="I1090" s="1">
        <v>3.5006354609999999</v>
      </c>
      <c r="J1090" s="1">
        <v>2.5640169199999998</v>
      </c>
      <c r="K1090" s="1">
        <v>2.620638279</v>
      </c>
      <c r="L1090" s="1">
        <v>3.3025959560000002</v>
      </c>
      <c r="M1090" s="1">
        <v>3.169085575</v>
      </c>
      <c r="N1090" s="1">
        <v>3.23577855</v>
      </c>
      <c r="O1090" s="1">
        <v>3.193511794</v>
      </c>
      <c r="P1090" s="1">
        <v>3.3003929539999999</v>
      </c>
      <c r="Q1090" s="1">
        <v>2.597100669</v>
      </c>
      <c r="R1090" s="1">
        <v>3.5594063970000001</v>
      </c>
      <c r="S1090" s="1">
        <v>2.5733617299999998</v>
      </c>
      <c r="T1090" s="1">
        <v>3.3025959560000002</v>
      </c>
      <c r="U1090" s="1">
        <v>3.169085575</v>
      </c>
      <c r="V1090" s="1">
        <v>3.2389700330000002</v>
      </c>
      <c r="W1090" s="1">
        <v>3.2870366010000001</v>
      </c>
      <c r="X1090" s="1">
        <v>2.9542167930000001</v>
      </c>
      <c r="Y1090" s="1">
        <v>3.4382968329999999</v>
      </c>
      <c r="Z1090" s="1">
        <v>3.5594063970000001</v>
      </c>
      <c r="AA1090" s="1">
        <v>2.5733617299999998</v>
      </c>
      <c r="AB1090" s="1">
        <v>1.7393328349999999</v>
      </c>
      <c r="AC1090" s="1">
        <v>1.7393328349999999</v>
      </c>
      <c r="AD1090" s="1">
        <v>2.6025990879999998</v>
      </c>
      <c r="AE1090" s="1">
        <v>3.0939349979999999</v>
      </c>
    </row>
    <row r="1091" spans="1:31" x14ac:dyDescent="0.25">
      <c r="A1091" s="1" t="s">
        <v>2484</v>
      </c>
      <c r="B1091" s="1" t="s">
        <v>2530</v>
      </c>
      <c r="C1091" s="1" t="s">
        <v>2531</v>
      </c>
      <c r="D1091" s="1" t="s">
        <v>2535</v>
      </c>
      <c r="E1091" s="1" t="s">
        <v>4350</v>
      </c>
      <c r="G1091" s="1" t="s">
        <v>2484</v>
      </c>
      <c r="H1091" s="1">
        <v>4.7245801409999997</v>
      </c>
      <c r="I1091" s="1">
        <v>3.6484415459999999</v>
      </c>
      <c r="J1091" s="1">
        <v>2.8907526730000002</v>
      </c>
      <c r="K1091" s="1">
        <v>3.607491666</v>
      </c>
      <c r="L1091" s="1">
        <v>3.6811173419999998</v>
      </c>
      <c r="M1091" s="1">
        <v>3.6044002019999999</v>
      </c>
      <c r="N1091" s="1">
        <v>4.1002678350000004</v>
      </c>
      <c r="O1091" s="1">
        <v>4.7903853170000001</v>
      </c>
      <c r="P1091" s="1">
        <v>3.7419514989999998</v>
      </c>
      <c r="Q1091" s="1">
        <v>3.7137735799999998</v>
      </c>
      <c r="R1091" s="1">
        <v>3.1834741979999999</v>
      </c>
      <c r="S1091" s="1">
        <v>2.9034795349999998</v>
      </c>
      <c r="T1091" s="1">
        <v>3.6811173419999998</v>
      </c>
      <c r="U1091" s="1">
        <v>3.6044002019999999</v>
      </c>
      <c r="V1091" s="1">
        <v>3.887436229</v>
      </c>
      <c r="W1091" s="1">
        <v>4.2295768090000001</v>
      </c>
      <c r="X1091" s="1">
        <v>3.5039136989999999</v>
      </c>
      <c r="Y1091" s="1">
        <v>3.7705059300000001</v>
      </c>
      <c r="Z1091" s="1">
        <v>3.1834741979999999</v>
      </c>
      <c r="AA1091" s="1">
        <v>2.9034795349999998</v>
      </c>
      <c r="AB1091" s="1">
        <v>3.6315729079999999</v>
      </c>
      <c r="AC1091" s="1">
        <v>3.7481372300000002</v>
      </c>
      <c r="AD1091" s="1">
        <v>4.6264106470000002</v>
      </c>
      <c r="AE1091" s="1">
        <v>3.7492737119999999</v>
      </c>
    </row>
    <row r="1092" spans="1:31" x14ac:dyDescent="0.25">
      <c r="A1092" s="1" t="s">
        <v>2485</v>
      </c>
      <c r="B1092" s="1" t="s">
        <v>2631</v>
      </c>
      <c r="C1092" s="1" t="s">
        <v>2980</v>
      </c>
      <c r="D1092" s="1" t="s">
        <v>2535</v>
      </c>
      <c r="E1092" s="1" t="s">
        <v>4036</v>
      </c>
      <c r="G1092" s="1" t="s">
        <v>2485</v>
      </c>
      <c r="H1092" s="1">
        <v>4.6479005740000003</v>
      </c>
      <c r="I1092" s="1">
        <v>4.7893724280000001</v>
      </c>
      <c r="J1092" s="1">
        <v>4.4503473070000004</v>
      </c>
      <c r="K1092" s="1">
        <v>5.166960875</v>
      </c>
      <c r="L1092" s="1">
        <v>5.2363096809999998</v>
      </c>
      <c r="M1092" s="1">
        <v>5.4866876930000004</v>
      </c>
      <c r="N1092" s="1">
        <v>4.9930900400000002</v>
      </c>
      <c r="O1092" s="1">
        <v>4.6680836990000003</v>
      </c>
      <c r="P1092" s="1">
        <v>5.0554269730000003</v>
      </c>
      <c r="Q1092" s="1">
        <v>4.9365262349999997</v>
      </c>
      <c r="R1092" s="1">
        <v>4.7472384160000001</v>
      </c>
      <c r="S1092" s="1">
        <v>5.2672271329999996</v>
      </c>
      <c r="T1092" s="1">
        <v>5.2363096809999998</v>
      </c>
      <c r="U1092" s="1">
        <v>5.4866876930000004</v>
      </c>
      <c r="V1092" s="1">
        <v>5.3192272129999996</v>
      </c>
      <c r="W1092" s="1">
        <v>4.9854391920000003</v>
      </c>
      <c r="X1092" s="1">
        <v>5.0589726410000004</v>
      </c>
      <c r="Y1092" s="1">
        <v>5.2792112080000004</v>
      </c>
      <c r="Z1092" s="1">
        <v>4.7472384160000001</v>
      </c>
      <c r="AA1092" s="1">
        <v>5.2672271329999996</v>
      </c>
      <c r="AB1092" s="1">
        <v>5.0356743460000004</v>
      </c>
      <c r="AC1092" s="1">
        <v>5.198889973</v>
      </c>
      <c r="AD1092" s="1">
        <v>5.1668950269999998</v>
      </c>
      <c r="AE1092" s="1">
        <v>5.6481534240000002</v>
      </c>
    </row>
    <row r="1093" spans="1:31" x14ac:dyDescent="0.25">
      <c r="A1093" s="1" t="s">
        <v>2486</v>
      </c>
      <c r="B1093" s="1" t="s">
        <v>2520</v>
      </c>
      <c r="C1093" s="1" t="s">
        <v>2521</v>
      </c>
      <c r="D1093" s="1" t="s">
        <v>4351</v>
      </c>
      <c r="E1093" s="1" t="s">
        <v>2537</v>
      </c>
      <c r="F1093" s="1" t="s">
        <v>2538</v>
      </c>
      <c r="G1093" s="1" t="s">
        <v>2486</v>
      </c>
      <c r="H1093" s="1">
        <v>6.1789942880000002</v>
      </c>
      <c r="I1093" s="1">
        <v>5.7776224090000001</v>
      </c>
      <c r="J1093" s="1">
        <v>6.2905743620000001</v>
      </c>
      <c r="K1093" s="1">
        <v>5.7895293819999996</v>
      </c>
      <c r="L1093" s="1">
        <v>6.3406371909999999</v>
      </c>
      <c r="M1093" s="1">
        <v>6.38135662</v>
      </c>
      <c r="N1093" s="1">
        <v>5.9870940719999997</v>
      </c>
      <c r="O1093" s="1">
        <v>6.5488294189999996</v>
      </c>
      <c r="P1093" s="1">
        <v>6.1736452379999998</v>
      </c>
      <c r="Q1093" s="1">
        <v>6.5178682329999997</v>
      </c>
      <c r="R1093" s="1">
        <v>6.6762859529999998</v>
      </c>
      <c r="S1093" s="1">
        <v>6.3621547329999997</v>
      </c>
      <c r="T1093" s="1">
        <v>6.3406371909999999</v>
      </c>
      <c r="U1093" s="1">
        <v>6.38135662</v>
      </c>
      <c r="V1093" s="1">
        <v>6.0153393629999998</v>
      </c>
      <c r="W1093" s="1">
        <v>6.265991681</v>
      </c>
      <c r="X1093" s="1">
        <v>6.6452477740000004</v>
      </c>
      <c r="Y1093" s="1">
        <v>6.3541670720000001</v>
      </c>
      <c r="Z1093" s="1">
        <v>6.6762859529999998</v>
      </c>
      <c r="AA1093" s="1">
        <v>6.3621547329999997</v>
      </c>
      <c r="AB1093" s="1">
        <v>6.4252252849999998</v>
      </c>
      <c r="AC1093" s="1">
        <v>6.1168053020000004</v>
      </c>
      <c r="AD1093" s="1">
        <v>6.53552176</v>
      </c>
      <c r="AE1093" s="1">
        <v>6.7278078839999997</v>
      </c>
    </row>
    <row r="1094" spans="1:31" x14ac:dyDescent="0.25">
      <c r="A1094" s="1" t="s">
        <v>2488</v>
      </c>
      <c r="B1094" s="1" t="s">
        <v>2530</v>
      </c>
      <c r="C1094" s="1" t="s">
        <v>2531</v>
      </c>
      <c r="D1094" s="1" t="s">
        <v>2535</v>
      </c>
      <c r="E1094" s="1" t="s">
        <v>2536</v>
      </c>
      <c r="G1094" s="1" t="s">
        <v>2488</v>
      </c>
      <c r="H1094" s="1">
        <v>5.1686839359999999</v>
      </c>
      <c r="I1094" s="1">
        <v>5.4067069720000003</v>
      </c>
      <c r="J1094" s="1">
        <v>4.7851628320000001</v>
      </c>
      <c r="K1094" s="1">
        <v>4.8793048219999999</v>
      </c>
      <c r="L1094" s="1">
        <v>4.619423984</v>
      </c>
      <c r="M1094" s="1">
        <v>4.059937712</v>
      </c>
      <c r="N1094" s="1">
        <v>3.9164981490000002</v>
      </c>
      <c r="O1094" s="1">
        <v>3.7238257350000001</v>
      </c>
      <c r="P1094" s="1">
        <v>4.3303557189999999</v>
      </c>
      <c r="Q1094" s="1">
        <v>3.9718447549999998</v>
      </c>
      <c r="R1094" s="1">
        <v>4.45403635</v>
      </c>
      <c r="S1094" s="1">
        <v>4.4749637470000003</v>
      </c>
      <c r="T1094" s="1">
        <v>4.619423984</v>
      </c>
      <c r="U1094" s="1">
        <v>4.059937712</v>
      </c>
      <c r="V1094" s="1">
        <v>4.2408545169999998</v>
      </c>
      <c r="W1094" s="1">
        <v>4.69862249</v>
      </c>
      <c r="X1094" s="1">
        <v>3.7416722899999999</v>
      </c>
      <c r="Y1094" s="1">
        <v>4.4420910779999998</v>
      </c>
      <c r="Z1094" s="1">
        <v>4.45403635</v>
      </c>
      <c r="AA1094" s="1">
        <v>4.4749637470000003</v>
      </c>
      <c r="AB1094" s="1">
        <v>4.139369361</v>
      </c>
      <c r="AC1094" s="1">
        <v>4.3377211620000002</v>
      </c>
      <c r="AD1094" s="1">
        <v>3.5727029510000001</v>
      </c>
      <c r="AE1094" s="1">
        <v>3.7492737119999999</v>
      </c>
    </row>
    <row r="1095" spans="1:31" x14ac:dyDescent="0.25">
      <c r="A1095" s="1" t="s">
        <v>2489</v>
      </c>
      <c r="B1095" s="1" t="s">
        <v>2557</v>
      </c>
      <c r="C1095" s="1" t="s">
        <v>3497</v>
      </c>
      <c r="D1095" s="1" t="s">
        <v>4352</v>
      </c>
      <c r="E1095" s="1" t="s">
        <v>4353</v>
      </c>
      <c r="F1095" s="1" t="s">
        <v>4354</v>
      </c>
      <c r="G1095" s="1" t="s">
        <v>2489</v>
      </c>
      <c r="H1095" s="1">
        <v>4.2900513550000001</v>
      </c>
      <c r="I1095" s="1">
        <v>4.7284970130000001</v>
      </c>
      <c r="J1095" s="1">
        <v>5.6488969620000002</v>
      </c>
      <c r="K1095" s="1">
        <v>5.0014827119999996</v>
      </c>
      <c r="L1095" s="1">
        <v>6.6665813350000001</v>
      </c>
      <c r="M1095" s="1">
        <v>6.8416956539999996</v>
      </c>
      <c r="N1095" s="1">
        <v>4.3116130799999999</v>
      </c>
      <c r="O1095" s="1">
        <v>3.9591193910000002</v>
      </c>
      <c r="P1095" s="1">
        <v>5.9400346730000004</v>
      </c>
      <c r="Q1095" s="1">
        <v>6.0189773029999998</v>
      </c>
      <c r="R1095" s="1">
        <v>6.8225630720000003</v>
      </c>
      <c r="S1095" s="1">
        <v>6.3821686289999997</v>
      </c>
      <c r="T1095" s="1">
        <v>6.6665813350000001</v>
      </c>
      <c r="U1095" s="1">
        <v>6.8416956539999996</v>
      </c>
      <c r="V1095" s="1">
        <v>6.4497065429999996</v>
      </c>
      <c r="W1095" s="1">
        <v>6.4401804780000003</v>
      </c>
      <c r="X1095" s="1">
        <v>6.5025394790000002</v>
      </c>
      <c r="Y1095" s="1">
        <v>6.2095953220000002</v>
      </c>
      <c r="Z1095" s="1">
        <v>6.8225630720000003</v>
      </c>
      <c r="AA1095" s="1">
        <v>6.3821686289999997</v>
      </c>
      <c r="AB1095" s="1">
        <v>6.7915089589999997</v>
      </c>
      <c r="AC1095" s="1">
        <v>6.5768311190000004</v>
      </c>
      <c r="AD1095" s="1">
        <v>6.2617300800000004</v>
      </c>
      <c r="AE1095" s="1">
        <v>6.0995676599999999</v>
      </c>
    </row>
    <row r="1096" spans="1:31" x14ac:dyDescent="0.25">
      <c r="A1096" s="1" t="s">
        <v>2491</v>
      </c>
      <c r="B1096" s="1" t="s">
        <v>2520</v>
      </c>
      <c r="C1096" s="1" t="s">
        <v>2646</v>
      </c>
      <c r="D1096" s="1" t="s">
        <v>4355</v>
      </c>
      <c r="E1096" s="1" t="s">
        <v>4356</v>
      </c>
      <c r="F1096" s="1" t="s">
        <v>4357</v>
      </c>
      <c r="G1096" s="1" t="s">
        <v>2491</v>
      </c>
      <c r="H1096" s="1">
        <v>7.1133012090000003</v>
      </c>
      <c r="I1096" s="1">
        <v>7.500012935</v>
      </c>
      <c r="J1096" s="1">
        <v>7.0459985720000002</v>
      </c>
      <c r="K1096" s="1">
        <v>6.8233399239999999</v>
      </c>
      <c r="L1096" s="1">
        <v>7.3358872809999998</v>
      </c>
      <c r="M1096" s="1">
        <v>7.4051365179999999</v>
      </c>
      <c r="N1096" s="1">
        <v>7.7015687149999996</v>
      </c>
      <c r="O1096" s="1">
        <v>7.6854105390000003</v>
      </c>
      <c r="P1096" s="1">
        <v>6.9781248280000003</v>
      </c>
      <c r="Q1096" s="1">
        <v>7.0286617009999999</v>
      </c>
      <c r="R1096" s="1">
        <v>7.0106433910000003</v>
      </c>
      <c r="S1096" s="1">
        <v>7.1495149380000003</v>
      </c>
      <c r="T1096" s="1">
        <v>7.3358872809999998</v>
      </c>
      <c r="U1096" s="1">
        <v>7.4051365179999999</v>
      </c>
      <c r="V1096" s="1">
        <v>6.9302380990000003</v>
      </c>
      <c r="W1096" s="1">
        <v>7.0126858380000003</v>
      </c>
      <c r="X1096" s="1">
        <v>7.0181969110000004</v>
      </c>
      <c r="Y1096" s="1">
        <v>7.2350386169999998</v>
      </c>
      <c r="Z1096" s="1">
        <v>7.0106433910000003</v>
      </c>
      <c r="AA1096" s="1">
        <v>7.1495149380000003</v>
      </c>
      <c r="AB1096" s="1">
        <v>6.9735441659999999</v>
      </c>
      <c r="AC1096" s="1">
        <v>7.1398799740000003</v>
      </c>
      <c r="AD1096" s="1">
        <v>7.199655763</v>
      </c>
      <c r="AE1096" s="1">
        <v>7.360078787</v>
      </c>
    </row>
    <row r="1097" spans="1:31" x14ac:dyDescent="0.25">
      <c r="A1097" s="1" t="s">
        <v>2492</v>
      </c>
      <c r="B1097" s="1" t="s">
        <v>2530</v>
      </c>
      <c r="C1097" s="1" t="s">
        <v>2531</v>
      </c>
      <c r="D1097" s="1" t="s">
        <v>2535</v>
      </c>
      <c r="E1097" s="1" t="s">
        <v>2536</v>
      </c>
      <c r="G1097" s="1" t="s">
        <v>2492</v>
      </c>
      <c r="H1097" s="1">
        <v>6.4914637309999996</v>
      </c>
      <c r="I1097" s="1">
        <v>6.6753919760000002</v>
      </c>
      <c r="J1097" s="1">
        <v>5.2817155790000001</v>
      </c>
      <c r="K1097" s="1">
        <v>5.0588199180000002</v>
      </c>
      <c r="L1097" s="1">
        <v>4.8563863139999999</v>
      </c>
      <c r="M1097" s="1">
        <v>4.6692867769999999</v>
      </c>
      <c r="N1097" s="1">
        <v>6.3993900010000004</v>
      </c>
      <c r="O1097" s="1">
        <v>6.9005793139999998</v>
      </c>
      <c r="P1097" s="1">
        <v>5.3134950500000002</v>
      </c>
      <c r="Q1097" s="1">
        <v>5.3375178869999997</v>
      </c>
      <c r="R1097" s="1">
        <v>4.7472384160000001</v>
      </c>
      <c r="S1097" s="1">
        <v>4.7503017500000002</v>
      </c>
      <c r="T1097" s="1">
        <v>4.8563863139999999</v>
      </c>
      <c r="U1097" s="1">
        <v>4.6692867769999999</v>
      </c>
      <c r="V1097" s="1">
        <v>4.7533922439999996</v>
      </c>
      <c r="W1097" s="1">
        <v>4.3370700810000002</v>
      </c>
      <c r="X1097" s="1">
        <v>4.407182283</v>
      </c>
      <c r="Y1097" s="1">
        <v>4.1479647589999997</v>
      </c>
      <c r="Z1097" s="1">
        <v>4.7472384160000001</v>
      </c>
      <c r="AA1097" s="1">
        <v>4.7503017500000002</v>
      </c>
      <c r="AB1097" s="1">
        <v>4.3946012420000002</v>
      </c>
      <c r="AC1097" s="1">
        <v>4.6238605430000002</v>
      </c>
      <c r="AD1097" s="1">
        <v>4.4715299570000004</v>
      </c>
      <c r="AE1097" s="1">
        <v>4.6199010239999998</v>
      </c>
    </row>
    <row r="1098" spans="1:31" x14ac:dyDescent="0.25">
      <c r="A1098" s="1" t="s">
        <v>2493</v>
      </c>
      <c r="B1098" s="1" t="s">
        <v>2530</v>
      </c>
      <c r="C1098" s="1" t="s">
        <v>2531</v>
      </c>
      <c r="D1098" s="1" t="s">
        <v>2535</v>
      </c>
      <c r="E1098" s="1" t="s">
        <v>2536</v>
      </c>
      <c r="G1098" s="1" t="s">
        <v>2493</v>
      </c>
      <c r="H1098" s="1">
        <v>5.3712699940000004</v>
      </c>
      <c r="I1098" s="1">
        <v>5.8917578519999996</v>
      </c>
      <c r="J1098" s="1">
        <v>4.8994370109999998</v>
      </c>
      <c r="K1098" s="1">
        <v>5.0014827119999996</v>
      </c>
      <c r="L1098" s="1">
        <v>5.0110661050000003</v>
      </c>
      <c r="M1098" s="1">
        <v>4.1225413939999997</v>
      </c>
      <c r="N1098" s="1">
        <v>6.233348286</v>
      </c>
      <c r="O1098" s="1">
        <v>5.9330167859999996</v>
      </c>
      <c r="P1098" s="1">
        <v>4.7394495640000001</v>
      </c>
      <c r="Q1098" s="1">
        <v>4.8773483779999998</v>
      </c>
      <c r="R1098" s="1">
        <v>4.6083586160000003</v>
      </c>
      <c r="S1098" s="1">
        <v>4.3966315629999997</v>
      </c>
      <c r="T1098" s="1">
        <v>5.0110661050000003</v>
      </c>
      <c r="U1098" s="1">
        <v>4.1225413939999997</v>
      </c>
      <c r="V1098" s="1">
        <v>4.1608706030000002</v>
      </c>
      <c r="W1098" s="1">
        <v>4.6166922860000001</v>
      </c>
      <c r="X1098" s="1">
        <v>4.4502657640000001</v>
      </c>
      <c r="Y1098" s="1">
        <v>4.4420910779999998</v>
      </c>
      <c r="Z1098" s="1">
        <v>4.6083586160000003</v>
      </c>
      <c r="AA1098" s="1">
        <v>4.3966315629999997</v>
      </c>
      <c r="AB1098" s="1">
        <v>3.6315729079999999</v>
      </c>
      <c r="AC1098" s="1">
        <v>4.1685844940000001</v>
      </c>
      <c r="AD1098" s="1">
        <v>4.6978214539999996</v>
      </c>
      <c r="AE1098" s="1">
        <v>4.4163948289999997</v>
      </c>
    </row>
    <row r="1099" spans="1:31" x14ac:dyDescent="0.25">
      <c r="A1099" s="1" t="s">
        <v>2494</v>
      </c>
      <c r="B1099" s="1" t="s">
        <v>2547</v>
      </c>
      <c r="C1099" s="1" t="s">
        <v>2566</v>
      </c>
      <c r="D1099" s="1" t="s">
        <v>4358</v>
      </c>
      <c r="E1099" s="1" t="s">
        <v>4359</v>
      </c>
      <c r="G1099" s="1" t="s">
        <v>2494</v>
      </c>
      <c r="H1099" s="1">
        <v>7.2213707080000002</v>
      </c>
      <c r="I1099" s="1">
        <v>7.3287621789999999</v>
      </c>
      <c r="J1099" s="1">
        <v>6.3905084429999999</v>
      </c>
      <c r="K1099" s="1">
        <v>6.4300937310000004</v>
      </c>
      <c r="L1099" s="1">
        <v>5.5015434460000003</v>
      </c>
      <c r="M1099" s="1">
        <v>5.5319881950000003</v>
      </c>
      <c r="N1099" s="1">
        <v>7.259069942</v>
      </c>
      <c r="O1099" s="1">
        <v>7.4376991339999998</v>
      </c>
      <c r="P1099" s="1">
        <v>5.8618301099999996</v>
      </c>
      <c r="Q1099" s="1">
        <v>6.098094251</v>
      </c>
      <c r="R1099" s="1">
        <v>5.6102934549999999</v>
      </c>
      <c r="S1099" s="1">
        <v>5.6117239269999999</v>
      </c>
      <c r="T1099" s="1">
        <v>5.5015434460000003</v>
      </c>
      <c r="U1099" s="1">
        <v>5.5319881950000003</v>
      </c>
      <c r="V1099" s="1">
        <v>5.6103143839999996</v>
      </c>
      <c r="W1099" s="1">
        <v>5.872872095</v>
      </c>
      <c r="X1099" s="1">
        <v>5.2866392680000001</v>
      </c>
      <c r="Y1099" s="1">
        <v>5.8352313850000002</v>
      </c>
      <c r="Z1099" s="1">
        <v>5.6102934549999999</v>
      </c>
      <c r="AA1099" s="1">
        <v>5.6117239269999999</v>
      </c>
      <c r="AB1099" s="1">
        <v>5.4746970709999996</v>
      </c>
      <c r="AC1099" s="1">
        <v>5.6067493529999997</v>
      </c>
      <c r="AD1099" s="1">
        <v>5.4791562909999998</v>
      </c>
      <c r="AE1099" s="1">
        <v>5.592176748</v>
      </c>
    </row>
    <row r="1100" spans="1:31" x14ac:dyDescent="0.25">
      <c r="A1100" s="1" t="s">
        <v>2496</v>
      </c>
      <c r="B1100" s="1" t="s">
        <v>2557</v>
      </c>
      <c r="C1100" s="1" t="s">
        <v>2658</v>
      </c>
      <c r="D1100" s="1" t="s">
        <v>2659</v>
      </c>
      <c r="E1100" s="1" t="s">
        <v>4360</v>
      </c>
      <c r="F1100" s="1" t="s">
        <v>4361</v>
      </c>
      <c r="G1100" s="1" t="s">
        <v>2496</v>
      </c>
      <c r="H1100" s="1">
        <v>5.4626831620000003</v>
      </c>
      <c r="I1100" s="1">
        <v>5.9974724879999997</v>
      </c>
      <c r="J1100" s="1">
        <v>6.0178848</v>
      </c>
      <c r="K1100" s="1">
        <v>5.9485821269999999</v>
      </c>
      <c r="L1100" s="1">
        <v>6.5549024520000003</v>
      </c>
      <c r="M1100" s="1">
        <v>6.4534937259999996</v>
      </c>
      <c r="N1100" s="1">
        <v>6.3422656530000001</v>
      </c>
      <c r="O1100" s="1">
        <v>6.2873774889999998</v>
      </c>
      <c r="P1100" s="1">
        <v>5.6913184689999996</v>
      </c>
      <c r="Q1100" s="1">
        <v>6.123526483</v>
      </c>
      <c r="R1100" s="1">
        <v>5.8111782390000002</v>
      </c>
      <c r="S1100" s="1">
        <v>5.8607892960000001</v>
      </c>
      <c r="T1100" s="1">
        <v>6.5549024520000003</v>
      </c>
      <c r="U1100" s="1">
        <v>6.4534937259999996</v>
      </c>
      <c r="V1100" s="1">
        <v>6.1215697740000001</v>
      </c>
      <c r="W1100" s="1">
        <v>6.0370461979999996</v>
      </c>
      <c r="X1100" s="1">
        <v>5.7928210719999997</v>
      </c>
      <c r="Y1100" s="1">
        <v>5.6971672010000001</v>
      </c>
      <c r="Z1100" s="1">
        <v>5.8111782390000002</v>
      </c>
      <c r="AA1100" s="1">
        <v>5.8607892960000001</v>
      </c>
      <c r="AB1100" s="1">
        <v>5.4196851610000003</v>
      </c>
      <c r="AC1100" s="1">
        <v>5.8439382809999998</v>
      </c>
      <c r="AD1100" s="1">
        <v>5.1668950269999998</v>
      </c>
      <c r="AE1100" s="1">
        <v>5.6297370090000003</v>
      </c>
    </row>
    <row r="1101" spans="1:31" x14ac:dyDescent="0.25">
      <c r="A1101" s="1" t="s">
        <v>2502</v>
      </c>
      <c r="B1101" s="1" t="s">
        <v>2520</v>
      </c>
      <c r="C1101" s="1" t="s">
        <v>2521</v>
      </c>
      <c r="D1101" s="1" t="s">
        <v>2923</v>
      </c>
      <c r="E1101" s="1" t="s">
        <v>4362</v>
      </c>
      <c r="F1101" s="1" t="s">
        <v>4363</v>
      </c>
      <c r="G1101" s="1" t="s">
        <v>2502</v>
      </c>
      <c r="H1101" s="1">
        <v>6.5340358859999998</v>
      </c>
      <c r="I1101" s="1">
        <v>7.8973652740000002</v>
      </c>
      <c r="J1101" s="1">
        <v>6.311124607</v>
      </c>
      <c r="K1101" s="1">
        <v>6.8233399239999999</v>
      </c>
      <c r="L1101" s="1">
        <v>7.0188729150000002</v>
      </c>
      <c r="M1101" s="1">
        <v>6.8944446109999999</v>
      </c>
      <c r="N1101" s="1">
        <v>7.4655229539999999</v>
      </c>
      <c r="O1101" s="1">
        <v>7.1534477360000004</v>
      </c>
      <c r="P1101" s="1">
        <v>6.5001108719999996</v>
      </c>
      <c r="Q1101" s="1">
        <v>6.5178682329999997</v>
      </c>
      <c r="R1101" s="1">
        <v>5.8420803340000003</v>
      </c>
      <c r="S1101" s="1">
        <v>6.3418583389999998</v>
      </c>
      <c r="T1101" s="1">
        <v>7.0188729150000002</v>
      </c>
      <c r="U1101" s="1">
        <v>6.8944446109999999</v>
      </c>
      <c r="V1101" s="1">
        <v>7.1263832059999999</v>
      </c>
      <c r="W1101" s="1">
        <v>6.5743425210000002</v>
      </c>
      <c r="X1101" s="1">
        <v>6.3552247629999998</v>
      </c>
      <c r="Y1101" s="1">
        <v>7.1050089449999998</v>
      </c>
      <c r="Z1101" s="1">
        <v>5.8420803340000003</v>
      </c>
      <c r="AA1101" s="1">
        <v>6.3418583389999998</v>
      </c>
      <c r="AB1101" s="1">
        <v>5.4196851610000003</v>
      </c>
      <c r="AC1101" s="1">
        <v>5.8163513240000002</v>
      </c>
      <c r="AD1101" s="1">
        <v>5.7682763389999998</v>
      </c>
      <c r="AE1101" s="1">
        <v>6.0995676599999999</v>
      </c>
    </row>
    <row r="1102" spans="1:31" x14ac:dyDescent="0.25">
      <c r="A1102" s="1" t="s">
        <v>2503</v>
      </c>
      <c r="B1102" s="1" t="s">
        <v>2579</v>
      </c>
      <c r="C1102" s="1" t="s">
        <v>2933</v>
      </c>
      <c r="D1102" s="1" t="s">
        <v>2934</v>
      </c>
      <c r="E1102" s="1" t="s">
        <v>4364</v>
      </c>
      <c r="F1102" s="1" t="s">
        <v>4365</v>
      </c>
      <c r="G1102" s="1" t="s">
        <v>2503</v>
      </c>
      <c r="H1102" s="1">
        <v>5.7790807539999998</v>
      </c>
      <c r="I1102" s="1">
        <v>5.6208330609999999</v>
      </c>
      <c r="J1102" s="1">
        <v>6.9045687960000004</v>
      </c>
      <c r="K1102" s="1">
        <v>6.6858938820000002</v>
      </c>
      <c r="L1102" s="1">
        <v>5.0110661050000003</v>
      </c>
      <c r="M1102" s="1">
        <v>5.4634864729999997</v>
      </c>
      <c r="N1102" s="1">
        <v>6.0739568119999996</v>
      </c>
      <c r="O1102" s="1">
        <v>6.0979208290000004</v>
      </c>
      <c r="P1102" s="1">
        <v>5.6913184689999996</v>
      </c>
      <c r="Q1102" s="1">
        <v>6.0189773029999998</v>
      </c>
      <c r="R1102" s="1">
        <v>5.7142579380000003</v>
      </c>
      <c r="S1102" s="1">
        <v>5.8024660560000001</v>
      </c>
      <c r="T1102" s="1">
        <v>5.0110661050000003</v>
      </c>
      <c r="U1102" s="1">
        <v>5.4634864729999997</v>
      </c>
      <c r="V1102" s="1">
        <v>5.3892424569999999</v>
      </c>
      <c r="W1102" s="1">
        <v>6.1843530070000003</v>
      </c>
      <c r="X1102" s="1">
        <v>5.4415021479999997</v>
      </c>
      <c r="Y1102" s="1">
        <v>5.6604650660000004</v>
      </c>
      <c r="Z1102" s="1">
        <v>5.7142579380000003</v>
      </c>
      <c r="AA1102" s="1">
        <v>5.8024660560000001</v>
      </c>
      <c r="AB1102" s="1">
        <v>5.1755434500000002</v>
      </c>
      <c r="AC1102" s="1">
        <v>5.5407520860000004</v>
      </c>
      <c r="AD1102" s="1">
        <v>5.5186611069999998</v>
      </c>
      <c r="AE1102" s="1">
        <v>5.175187158</v>
      </c>
    </row>
    <row r="1103" spans="1:31" x14ac:dyDescent="0.25">
      <c r="A1103" s="1" t="s">
        <v>2505</v>
      </c>
      <c r="B1103" s="1" t="s">
        <v>2598</v>
      </c>
      <c r="C1103" s="1" t="s">
        <v>2603</v>
      </c>
      <c r="D1103" s="1" t="s">
        <v>4366</v>
      </c>
      <c r="E1103" s="1" t="s">
        <v>4367</v>
      </c>
      <c r="F1103" s="1" t="s">
        <v>4368</v>
      </c>
      <c r="G1103" s="1" t="s">
        <v>2505</v>
      </c>
      <c r="H1103" s="1">
        <v>5.1686839359999999</v>
      </c>
      <c r="I1103" s="1">
        <v>5.3275363779999996</v>
      </c>
      <c r="J1103" s="1">
        <v>4.3724365990000003</v>
      </c>
      <c r="K1103" s="1">
        <v>4.2434183680000004</v>
      </c>
      <c r="L1103" s="1">
        <v>4.7429188570000003</v>
      </c>
      <c r="M1103" s="1">
        <v>4.6692867769999999</v>
      </c>
      <c r="N1103" s="1">
        <v>6.1425317259999996</v>
      </c>
      <c r="O1103" s="1">
        <v>6.4302305970000004</v>
      </c>
      <c r="P1103" s="1">
        <v>4.4805784009999998</v>
      </c>
      <c r="Q1103" s="1">
        <v>3.9718447549999998</v>
      </c>
      <c r="R1103" s="1">
        <v>4.3698765340000003</v>
      </c>
      <c r="S1103" s="1">
        <v>4.0285685429999996</v>
      </c>
      <c r="T1103" s="1">
        <v>4.7429188570000003</v>
      </c>
      <c r="U1103" s="1">
        <v>4.6692867769999999</v>
      </c>
      <c r="V1103" s="1">
        <v>4.5826682710000002</v>
      </c>
      <c r="W1103" s="1">
        <v>4.3370700810000002</v>
      </c>
      <c r="X1103" s="1">
        <v>4.1154863700000002</v>
      </c>
      <c r="Y1103" s="1">
        <v>4.8904630100000004</v>
      </c>
      <c r="Z1103" s="1">
        <v>4.3698765340000003</v>
      </c>
      <c r="AA1103" s="1">
        <v>4.0285685429999996</v>
      </c>
      <c r="AB1103" s="1">
        <v>3.990981031</v>
      </c>
      <c r="AC1103" s="1">
        <v>4.3377211620000002</v>
      </c>
      <c r="AD1103" s="1">
        <v>5.3091856960000001</v>
      </c>
      <c r="AE1103" s="1">
        <v>4.3718229419999997</v>
      </c>
    </row>
    <row r="1104" spans="1:31" x14ac:dyDescent="0.25">
      <c r="A1104" s="1" t="s">
        <v>2506</v>
      </c>
      <c r="B1104" s="1" t="s">
        <v>2557</v>
      </c>
      <c r="C1104" s="1" t="s">
        <v>3497</v>
      </c>
      <c r="D1104" s="1" t="s">
        <v>3498</v>
      </c>
      <c r="E1104" s="1" t="s">
        <v>4369</v>
      </c>
      <c r="F1104" s="1" t="s">
        <v>4370</v>
      </c>
      <c r="G1104" s="1" t="s">
        <v>2506</v>
      </c>
      <c r="H1104" s="1">
        <v>6.8185773340000004</v>
      </c>
      <c r="I1104" s="1">
        <v>6.5595604969999997</v>
      </c>
      <c r="J1104" s="1">
        <v>5.9926388770000001</v>
      </c>
      <c r="K1104" s="1">
        <v>6.7038094560000001</v>
      </c>
      <c r="L1104" s="1">
        <v>5.6952369550000004</v>
      </c>
      <c r="M1104" s="1">
        <v>5.3915279009999999</v>
      </c>
      <c r="N1104" s="1">
        <v>6.9121873169999999</v>
      </c>
      <c r="O1104" s="1">
        <v>7.2192546719999999</v>
      </c>
      <c r="P1104" s="1">
        <v>5.6296473389999999</v>
      </c>
      <c r="Q1104" s="1">
        <v>5.2473923969999996</v>
      </c>
      <c r="R1104" s="1">
        <v>5.6457947050000001</v>
      </c>
      <c r="S1104" s="1">
        <v>5.3098842800000003</v>
      </c>
      <c r="T1104" s="1">
        <v>5.6952369550000004</v>
      </c>
      <c r="U1104" s="1">
        <v>5.3915279009999999</v>
      </c>
      <c r="V1104" s="1">
        <v>6.0800160549999998</v>
      </c>
      <c r="W1104" s="1">
        <v>6.0370461979999996</v>
      </c>
      <c r="X1104" s="1">
        <v>5.2630731749999997</v>
      </c>
      <c r="Y1104" s="1">
        <v>5.4613266610000002</v>
      </c>
      <c r="Z1104" s="1">
        <v>5.6457947050000001</v>
      </c>
      <c r="AA1104" s="1">
        <v>5.3098842800000003</v>
      </c>
      <c r="AB1104" s="1">
        <v>5.7665348979999997</v>
      </c>
      <c r="AC1104" s="1">
        <v>5.7595305120000004</v>
      </c>
      <c r="AD1104" s="1">
        <v>5.7682763389999998</v>
      </c>
      <c r="AE1104" s="1">
        <v>6.2272627849999997</v>
      </c>
    </row>
    <row r="1105" spans="1:31" x14ac:dyDescent="0.25">
      <c r="A1105" s="1" t="s">
        <v>2509</v>
      </c>
      <c r="B1105" s="1" t="s">
        <v>2942</v>
      </c>
      <c r="C1105" s="1" t="s">
        <v>3659</v>
      </c>
      <c r="D1105" s="1" t="s">
        <v>2807</v>
      </c>
      <c r="E1105" s="1" t="s">
        <v>4371</v>
      </c>
      <c r="G1105" s="1" t="s">
        <v>2509</v>
      </c>
      <c r="H1105" s="1">
        <v>7.9433012039999999</v>
      </c>
      <c r="I1105" s="1">
        <v>7.6286577539999998</v>
      </c>
      <c r="J1105" s="1">
        <v>7.2404552119999996</v>
      </c>
      <c r="K1105" s="1">
        <v>7.1838709730000003</v>
      </c>
      <c r="L1105" s="1">
        <v>6.8124457639999996</v>
      </c>
      <c r="M1105" s="1">
        <v>6.8236744490000003</v>
      </c>
      <c r="N1105" s="1">
        <v>6.8724232059999997</v>
      </c>
      <c r="O1105" s="1">
        <v>7.2405391110000004</v>
      </c>
      <c r="P1105" s="1">
        <v>7.2775590499999998</v>
      </c>
      <c r="Q1105" s="1">
        <v>7.3086925369999998</v>
      </c>
      <c r="R1105" s="1">
        <v>7.4412330640000004</v>
      </c>
      <c r="S1105" s="1">
        <v>7.0777719039999996</v>
      </c>
      <c r="T1105" s="1">
        <v>6.8124457639999996</v>
      </c>
      <c r="U1105" s="1">
        <v>6.8236744490000003</v>
      </c>
      <c r="V1105" s="1">
        <v>7.7527170700000001</v>
      </c>
      <c r="W1105" s="1">
        <v>7.4793900439999996</v>
      </c>
      <c r="X1105" s="1">
        <v>8.272408317</v>
      </c>
      <c r="Y1105" s="1">
        <v>7.9617531079999999</v>
      </c>
      <c r="Z1105" s="1">
        <v>7.4412330640000004</v>
      </c>
      <c r="AA1105" s="1">
        <v>7.0777719039999996</v>
      </c>
      <c r="AB1105" s="1">
        <v>8.2729402870000008</v>
      </c>
      <c r="AC1105" s="1">
        <v>7.9182087560000003</v>
      </c>
      <c r="AD1105" s="1">
        <v>8.6286962630000001</v>
      </c>
      <c r="AE1105" s="1">
        <v>8.2935423139999997</v>
      </c>
    </row>
    <row r="1106" spans="1:31" x14ac:dyDescent="0.25">
      <c r="A1106" s="1" t="s">
        <v>2513</v>
      </c>
      <c r="B1106" s="1" t="s">
        <v>2547</v>
      </c>
      <c r="C1106" s="1" t="s">
        <v>2566</v>
      </c>
      <c r="D1106" s="1" t="s">
        <v>2535</v>
      </c>
      <c r="E1106" s="1" t="s">
        <v>4372</v>
      </c>
      <c r="F1106" s="1" t="s">
        <v>4373</v>
      </c>
      <c r="G1106" s="1" t="s">
        <v>2513</v>
      </c>
      <c r="H1106" s="1">
        <v>7.5253267800000003</v>
      </c>
      <c r="I1106" s="1">
        <v>6.9364198850000003</v>
      </c>
      <c r="J1106" s="1">
        <v>7.2297148099999999</v>
      </c>
      <c r="K1106" s="1">
        <v>7.4509678069999996</v>
      </c>
      <c r="L1106" s="1">
        <v>7.204689052</v>
      </c>
      <c r="M1106" s="1">
        <v>6.8236744490000003</v>
      </c>
      <c r="N1106" s="1">
        <v>7.2713491330000002</v>
      </c>
      <c r="O1106" s="1">
        <v>7.4560094870000002</v>
      </c>
      <c r="P1106" s="1">
        <v>6.9021991040000001</v>
      </c>
      <c r="Q1106" s="1">
        <v>6.9313787639999997</v>
      </c>
      <c r="R1106" s="1">
        <v>7.0769111779999996</v>
      </c>
      <c r="S1106" s="1">
        <v>6.9892911179999997</v>
      </c>
      <c r="T1106" s="1">
        <v>7.204689052</v>
      </c>
      <c r="U1106" s="1">
        <v>6.8236744490000003</v>
      </c>
      <c r="V1106" s="1">
        <v>6.9533980599999996</v>
      </c>
      <c r="W1106" s="1">
        <v>7.1189004880000004</v>
      </c>
      <c r="X1106" s="1">
        <v>7.0931162030000001</v>
      </c>
      <c r="Y1106" s="1">
        <v>6.9620714589999997</v>
      </c>
      <c r="Z1106" s="1">
        <v>7.0769111779999996</v>
      </c>
      <c r="AA1106" s="1">
        <v>6.9892911179999997</v>
      </c>
      <c r="AB1106" s="1">
        <v>7.1520220669999999</v>
      </c>
      <c r="AC1106" s="1">
        <v>6.9248703330000003</v>
      </c>
      <c r="AD1106" s="1">
        <v>7.5135542710000003</v>
      </c>
      <c r="AE1106" s="1">
        <v>7.2382459949999998</v>
      </c>
    </row>
    <row r="1107" spans="1:31" x14ac:dyDescent="0.25">
      <c r="A1107" s="1" t="s">
        <v>2514</v>
      </c>
      <c r="B1107" s="1" t="s">
        <v>2667</v>
      </c>
      <c r="C1107" s="1" t="s">
        <v>2867</v>
      </c>
      <c r="D1107" s="1" t="s">
        <v>3169</v>
      </c>
      <c r="E1107" s="1" t="s">
        <v>4374</v>
      </c>
      <c r="F1107" s="1" t="s">
        <v>4375</v>
      </c>
      <c r="G1107" s="1" t="s">
        <v>2514</v>
      </c>
      <c r="H1107" s="1">
        <v>6.5753846300000003</v>
      </c>
      <c r="I1107" s="1">
        <v>6.7527702749999996</v>
      </c>
      <c r="J1107" s="1">
        <v>7.3536010579999997</v>
      </c>
      <c r="K1107" s="1">
        <v>7.1052114120000001</v>
      </c>
      <c r="L1107" s="1">
        <v>7.4064789209999997</v>
      </c>
      <c r="M1107" s="1">
        <v>7.4291615179999999</v>
      </c>
      <c r="N1107" s="1">
        <v>6.6738821269999997</v>
      </c>
      <c r="O1107" s="1">
        <v>6.3799106659999998</v>
      </c>
      <c r="P1107" s="1">
        <v>7.3267783130000002</v>
      </c>
      <c r="Q1107" s="1">
        <v>7.4153055109999997</v>
      </c>
      <c r="R1107" s="1">
        <v>7.5195484720000003</v>
      </c>
      <c r="S1107" s="1">
        <v>7.5089750439999996</v>
      </c>
      <c r="T1107" s="1">
        <v>7.4064789209999997</v>
      </c>
      <c r="U1107" s="1">
        <v>7.4291615179999999</v>
      </c>
      <c r="V1107" s="1">
        <v>7.547442191</v>
      </c>
      <c r="W1107" s="1">
        <v>7.4330904990000004</v>
      </c>
      <c r="X1107" s="1">
        <v>7.4237715360000003</v>
      </c>
      <c r="Y1107" s="1">
        <v>7.4959140870000001</v>
      </c>
      <c r="Z1107" s="1">
        <v>7.5195484720000003</v>
      </c>
      <c r="AA1107" s="1">
        <v>7.5089750439999996</v>
      </c>
      <c r="AB1107" s="1">
        <v>7.494109613</v>
      </c>
      <c r="AC1107" s="1">
        <v>7.4924809730000002</v>
      </c>
      <c r="AD1107" s="1">
        <v>7.2472341379999996</v>
      </c>
      <c r="AE1107" s="1">
        <v>7.2321794349999999</v>
      </c>
    </row>
    <row r="1108" spans="1:31" x14ac:dyDescent="0.25">
      <c r="A1108" s="1" t="s">
        <v>2515</v>
      </c>
      <c r="B1108" s="1" t="s">
        <v>2530</v>
      </c>
      <c r="C1108" s="1" t="s">
        <v>2531</v>
      </c>
      <c r="D1108" s="1" t="s">
        <v>2535</v>
      </c>
      <c r="E1108" s="1" t="s">
        <v>4376</v>
      </c>
      <c r="G1108" s="1" t="s">
        <v>2515</v>
      </c>
      <c r="H1108" s="1">
        <v>4.6479005740000003</v>
      </c>
      <c r="I1108" s="1">
        <v>4.0101074990000001</v>
      </c>
      <c r="J1108" s="1">
        <v>4.0065844400000001</v>
      </c>
      <c r="K1108" s="1">
        <v>3.607491666</v>
      </c>
      <c r="L1108" s="1">
        <v>3.3884746630000002</v>
      </c>
      <c r="M1108" s="1">
        <v>2.8639998100000001</v>
      </c>
      <c r="N1108" s="1">
        <v>4.3116130799999999</v>
      </c>
      <c r="O1108" s="1">
        <v>3.88533178</v>
      </c>
      <c r="P1108" s="1">
        <v>3.3003929539999999</v>
      </c>
      <c r="Q1108" s="1">
        <v>4.18747588</v>
      </c>
      <c r="R1108" s="1">
        <v>2.595728008</v>
      </c>
      <c r="S1108" s="1">
        <v>3.9182367880000002</v>
      </c>
      <c r="T1108" s="1">
        <v>3.3884746630000002</v>
      </c>
      <c r="U1108" s="1">
        <v>2.8639998100000001</v>
      </c>
      <c r="V1108" s="1">
        <v>3.3993802240000002</v>
      </c>
      <c r="W1108" s="1">
        <v>3.2870366010000001</v>
      </c>
      <c r="X1108" s="1">
        <v>3.9418607479999999</v>
      </c>
      <c r="Y1108" s="1">
        <v>3.7705059300000001</v>
      </c>
      <c r="Z1108" s="1">
        <v>2.595728008</v>
      </c>
      <c r="AA1108" s="1">
        <v>3.9182367880000002</v>
      </c>
      <c r="AB1108" s="1">
        <v>3.8237667059999998</v>
      </c>
      <c r="AC1108" s="1">
        <v>3.1109927919999998</v>
      </c>
      <c r="AD1108" s="1">
        <v>4.0967699450000001</v>
      </c>
      <c r="AE1108" s="1">
        <v>4.5815229759999996</v>
      </c>
    </row>
    <row r="1109" spans="1:31" x14ac:dyDescent="0.25">
      <c r="A1109" s="1" t="s">
        <v>1037</v>
      </c>
      <c r="B1109" s="1" t="s">
        <v>2530</v>
      </c>
      <c r="C1109" s="1" t="s">
        <v>2573</v>
      </c>
      <c r="D1109" s="1" t="s">
        <v>2535</v>
      </c>
      <c r="E1109" s="1" t="s">
        <v>3402</v>
      </c>
      <c r="G1109" s="1" t="s">
        <v>1037</v>
      </c>
      <c r="H1109" s="1">
        <v>7.0265742270000002</v>
      </c>
      <c r="I1109" s="1">
        <v>7.8629071890000004</v>
      </c>
      <c r="J1109" s="1">
        <v>5.4021237849999997</v>
      </c>
      <c r="K1109" s="1">
        <v>6.2219157379999999</v>
      </c>
      <c r="L1109" s="1">
        <v>4.9358482109999997</v>
      </c>
      <c r="M1109" s="1">
        <v>4.8607408789999997</v>
      </c>
      <c r="N1109" s="1">
        <v>7.856268407</v>
      </c>
      <c r="O1109" s="1">
        <v>7.0687090819999998</v>
      </c>
      <c r="P1109" s="1">
        <v>5.2325771159999999</v>
      </c>
      <c r="Q1109" s="1">
        <v>5.2931690810000003</v>
      </c>
      <c r="R1109" s="1">
        <v>5.1961281320000001</v>
      </c>
      <c r="S1109" s="1">
        <v>3.5159502420000002</v>
      </c>
      <c r="T1109" s="1">
        <v>4.9358482109999997</v>
      </c>
      <c r="U1109" s="1">
        <v>4.8607408789999997</v>
      </c>
      <c r="V1109" s="1">
        <v>4.2408545169999998</v>
      </c>
      <c r="W1109" s="1">
        <v>4.3370700810000002</v>
      </c>
      <c r="X1109" s="1">
        <v>5.1899342839999996</v>
      </c>
      <c r="Y1109" s="1">
        <v>5.1785898169999998</v>
      </c>
      <c r="Z1109" s="1">
        <v>5.1961281320000001</v>
      </c>
      <c r="AA1109" s="1">
        <v>3.5159502420000002</v>
      </c>
      <c r="AB1109" s="1">
        <v>4.8804215500000003</v>
      </c>
      <c r="AC1109" s="1">
        <v>4.7474570290000004</v>
      </c>
      <c r="AD1109" s="1">
        <v>4.0967699450000001</v>
      </c>
      <c r="AE1109" s="1">
        <v>5.3205054189999998</v>
      </c>
    </row>
    <row r="1110" spans="1:31" x14ac:dyDescent="0.25">
      <c r="A1110" s="1" t="s">
        <v>42</v>
      </c>
      <c r="B1110" s="1" t="s">
        <v>2579</v>
      </c>
      <c r="C1110" s="1" t="s">
        <v>2983</v>
      </c>
      <c r="D1110" s="1" t="s">
        <v>2535</v>
      </c>
      <c r="E1110" s="1" t="s">
        <v>4377</v>
      </c>
      <c r="F1110" s="1" t="s">
        <v>4378</v>
      </c>
      <c r="G1110" s="1" t="s">
        <v>42</v>
      </c>
      <c r="H1110" s="1">
        <v>4.7245801409999997</v>
      </c>
      <c r="I1110" s="1">
        <v>4.7893724280000001</v>
      </c>
      <c r="J1110" s="1">
        <v>5.8022574259999997</v>
      </c>
      <c r="K1110" s="1">
        <v>5.4913640639999999</v>
      </c>
      <c r="L1110" s="1">
        <v>6.1449929210000001</v>
      </c>
      <c r="M1110" s="1">
        <v>6.1974695630000003</v>
      </c>
      <c r="N1110" s="1">
        <v>4.8346471299999996</v>
      </c>
      <c r="O1110" s="1">
        <v>5.0400854920000002</v>
      </c>
      <c r="P1110" s="1">
        <v>6.038086302</v>
      </c>
      <c r="Q1110" s="1">
        <v>5.9637007390000001</v>
      </c>
      <c r="R1110" s="1">
        <v>6.1687435319999997</v>
      </c>
      <c r="S1110" s="1">
        <v>5.9707657090000001</v>
      </c>
      <c r="T1110" s="1">
        <v>6.1449929210000001</v>
      </c>
      <c r="U1110" s="1">
        <v>6.1974695630000003</v>
      </c>
      <c r="V1110" s="1">
        <v>6.481941097</v>
      </c>
      <c r="W1110" s="1">
        <v>6.7734156700000003</v>
      </c>
      <c r="X1110" s="1">
        <v>5.9626863439999997</v>
      </c>
      <c r="Y1110" s="1">
        <v>6.2594192150000003</v>
      </c>
      <c r="Z1110" s="1">
        <v>6.1687435319999997</v>
      </c>
      <c r="AA1110" s="1">
        <v>5.9707657090000001</v>
      </c>
      <c r="AB1110" s="1">
        <v>6.1835402750000004</v>
      </c>
      <c r="AC1110" s="1">
        <v>5.9744301399999999</v>
      </c>
      <c r="AD1110" s="1">
        <v>5.8632235870000002</v>
      </c>
      <c r="AE1110" s="1">
        <v>6.0029044730000001</v>
      </c>
    </row>
    <row r="1111" spans="1:31" x14ac:dyDescent="0.25">
      <c r="A1111" s="1" t="s">
        <v>46</v>
      </c>
      <c r="B1111" s="1" t="s">
        <v>2579</v>
      </c>
      <c r="C1111" s="1" t="s">
        <v>2854</v>
      </c>
      <c r="D1111" s="1" t="s">
        <v>2855</v>
      </c>
      <c r="E1111" s="1" t="s">
        <v>4379</v>
      </c>
      <c r="F1111" s="1" t="s">
        <v>4380</v>
      </c>
      <c r="G1111" s="1" t="s">
        <v>46</v>
      </c>
      <c r="H1111" s="1">
        <v>6.1242673779999999</v>
      </c>
      <c r="I1111" s="1">
        <v>6.295503557</v>
      </c>
      <c r="J1111" s="1">
        <v>6.2270996539999999</v>
      </c>
      <c r="K1111" s="1">
        <v>5.6848657879999998</v>
      </c>
      <c r="L1111" s="1">
        <v>7.1453732690000002</v>
      </c>
      <c r="M1111" s="1">
        <v>6.7776094479999998</v>
      </c>
      <c r="N1111" s="1">
        <v>6.4757340919999997</v>
      </c>
      <c r="O1111" s="1">
        <v>6.4178147000000001</v>
      </c>
      <c r="P1111" s="1">
        <v>6.5672408280000001</v>
      </c>
      <c r="Q1111" s="1">
        <v>6.3770715449999997</v>
      </c>
      <c r="R1111" s="1">
        <v>6.7101003170000002</v>
      </c>
      <c r="S1111" s="1">
        <v>6.3212713310000002</v>
      </c>
      <c r="T1111" s="1">
        <v>7.1453732690000002</v>
      </c>
      <c r="U1111" s="1">
        <v>6.7776094479999998</v>
      </c>
      <c r="V1111" s="1">
        <v>6.8584365429999998</v>
      </c>
      <c r="W1111" s="1">
        <v>5.7645115660000004</v>
      </c>
      <c r="X1111" s="1">
        <v>6.6721667949999999</v>
      </c>
      <c r="Y1111" s="1">
        <v>6.8689654070000001</v>
      </c>
      <c r="Z1111" s="1">
        <v>6.7101003170000002</v>
      </c>
      <c r="AA1111" s="1">
        <v>6.3212713310000002</v>
      </c>
      <c r="AB1111" s="1">
        <v>6.4252252849999998</v>
      </c>
      <c r="AC1111" s="1">
        <v>6.8856954019999996</v>
      </c>
      <c r="AD1111" s="1">
        <v>6.3073961189999999</v>
      </c>
      <c r="AE1111" s="1">
        <v>6.2272627849999997</v>
      </c>
    </row>
    <row r="1112" spans="1:31" x14ac:dyDescent="0.25">
      <c r="A1112" s="1" t="s">
        <v>47</v>
      </c>
      <c r="B1112" s="1" t="s">
        <v>2530</v>
      </c>
      <c r="C1112" s="1" t="s">
        <v>2531</v>
      </c>
      <c r="D1112" s="1" t="s">
        <v>2535</v>
      </c>
      <c r="E1112" s="1" t="s">
        <v>2536</v>
      </c>
      <c r="G1112" s="1" t="s">
        <v>47</v>
      </c>
      <c r="H1112" s="1">
        <v>3.8023684370000002</v>
      </c>
      <c r="I1112" s="1">
        <v>3.7806045529999999</v>
      </c>
      <c r="J1112" s="1">
        <v>3.1324899180000001</v>
      </c>
      <c r="K1112" s="1">
        <v>1.7393328349999999</v>
      </c>
      <c r="L1112" s="1">
        <v>3.5435353630000002</v>
      </c>
      <c r="M1112" s="1">
        <v>3.2940962960000002</v>
      </c>
      <c r="N1112" s="1">
        <v>4.3116130799999999</v>
      </c>
      <c r="O1112" s="1">
        <v>3.9591193910000002</v>
      </c>
      <c r="P1112" s="1">
        <v>2.5478783159999998</v>
      </c>
      <c r="Q1112" s="1">
        <v>2.935765398</v>
      </c>
      <c r="R1112" s="1">
        <v>3.8462631940000001</v>
      </c>
      <c r="S1112" s="1">
        <v>3.7977317990000001</v>
      </c>
      <c r="T1112" s="1">
        <v>3.5435353630000002</v>
      </c>
      <c r="U1112" s="1">
        <v>3.2940962960000002</v>
      </c>
      <c r="V1112" s="1">
        <v>3.6670520409999998</v>
      </c>
      <c r="W1112" s="1">
        <v>3.6840067150000002</v>
      </c>
      <c r="X1112" s="1">
        <v>3.5883256710000002</v>
      </c>
      <c r="Y1112" s="1">
        <v>4.8904630100000004</v>
      </c>
      <c r="Z1112" s="1">
        <v>3.8462631940000001</v>
      </c>
      <c r="AA1112" s="1">
        <v>3.7977317990000001</v>
      </c>
      <c r="AB1112" s="1">
        <v>3.990981031</v>
      </c>
      <c r="AC1112" s="1">
        <v>3.3054795530000001</v>
      </c>
      <c r="AD1112" s="1">
        <v>3.984188064</v>
      </c>
      <c r="AE1112" s="1">
        <v>3.7492737119999999</v>
      </c>
    </row>
    <row r="1113" spans="1:31" x14ac:dyDescent="0.25">
      <c r="A1113" s="1" t="s">
        <v>51</v>
      </c>
      <c r="B1113" s="1" t="s">
        <v>2547</v>
      </c>
      <c r="C1113" s="1" t="s">
        <v>2622</v>
      </c>
      <c r="D1113" s="1" t="s">
        <v>2535</v>
      </c>
      <c r="E1113" s="1" t="s">
        <v>4381</v>
      </c>
      <c r="G1113" s="1" t="s">
        <v>51</v>
      </c>
      <c r="H1113" s="1">
        <v>5.4177093730000001</v>
      </c>
      <c r="I1113" s="1">
        <v>5.7476087250000001</v>
      </c>
      <c r="J1113" s="1">
        <v>6.7477255810000001</v>
      </c>
      <c r="K1113" s="1">
        <v>6.6858938820000002</v>
      </c>
      <c r="L1113" s="1">
        <v>6.8054930130000004</v>
      </c>
      <c r="M1113" s="1">
        <v>6.8683115939999997</v>
      </c>
      <c r="N1113" s="1">
        <v>5.8295014189999996</v>
      </c>
      <c r="O1113" s="1">
        <v>5.9503866380000003</v>
      </c>
      <c r="P1113" s="1">
        <v>6.8082443379999997</v>
      </c>
      <c r="Q1113" s="1">
        <v>7.1693867569999998</v>
      </c>
      <c r="R1113" s="1">
        <v>7.4004199469999996</v>
      </c>
      <c r="S1113" s="1">
        <v>7.0278786420000001</v>
      </c>
      <c r="T1113" s="1">
        <v>6.8054930130000004</v>
      </c>
      <c r="U1113" s="1">
        <v>6.8683115939999997</v>
      </c>
      <c r="V1113" s="1">
        <v>6.9418646219999998</v>
      </c>
      <c r="W1113" s="1">
        <v>7.0591682799999997</v>
      </c>
      <c r="X1113" s="1">
        <v>7.2261548080000004</v>
      </c>
      <c r="Y1113" s="1">
        <v>7.1844257139999996</v>
      </c>
      <c r="Z1113" s="1">
        <v>7.4004199469999996</v>
      </c>
      <c r="AA1113" s="1">
        <v>7.0278786420000001</v>
      </c>
      <c r="AB1113" s="1">
        <v>7.2493787579999998</v>
      </c>
      <c r="AC1113" s="1">
        <v>7.4661767489999997</v>
      </c>
      <c r="AD1113" s="1">
        <v>7.3705131210000001</v>
      </c>
      <c r="AE1113" s="1">
        <v>7.3263073800000003</v>
      </c>
    </row>
    <row r="1114" spans="1:31" x14ac:dyDescent="0.25">
      <c r="A1114" s="1" t="s">
        <v>52</v>
      </c>
      <c r="B1114" s="1" t="s">
        <v>2530</v>
      </c>
      <c r="C1114" s="1" t="s">
        <v>2531</v>
      </c>
      <c r="D1114" s="1" t="s">
        <v>2535</v>
      </c>
      <c r="E1114" s="1" t="s">
        <v>2536</v>
      </c>
      <c r="G1114" s="1" t="s">
        <v>52</v>
      </c>
      <c r="H1114" s="1">
        <v>4.2900513550000001</v>
      </c>
      <c r="I1114" s="1">
        <v>4.1114152529999997</v>
      </c>
      <c r="J1114" s="1">
        <v>4.7243317210000004</v>
      </c>
      <c r="K1114" s="1">
        <v>4.8139921829999999</v>
      </c>
      <c r="L1114" s="1">
        <v>4.1188213390000001</v>
      </c>
      <c r="M1114" s="1">
        <v>4.3982295550000003</v>
      </c>
      <c r="N1114" s="1">
        <v>4.3116130799999999</v>
      </c>
      <c r="O1114" s="1">
        <v>4.0289865369999998</v>
      </c>
      <c r="P1114" s="1">
        <v>4.4805784009999998</v>
      </c>
      <c r="Q1114" s="1">
        <v>4.2835653880000004</v>
      </c>
      <c r="R1114" s="1">
        <v>3.1834741979999999</v>
      </c>
      <c r="S1114" s="1">
        <v>4.6194390810000003</v>
      </c>
      <c r="T1114" s="1">
        <v>4.1188213390000001</v>
      </c>
      <c r="U1114" s="1">
        <v>4.3982295550000003</v>
      </c>
      <c r="V1114" s="1">
        <v>4.6419314959999998</v>
      </c>
      <c r="W1114" s="1">
        <v>4.3370700810000002</v>
      </c>
      <c r="X1114" s="1">
        <v>4.4920419310000002</v>
      </c>
      <c r="Y1114" s="1">
        <v>5.2792112080000004</v>
      </c>
      <c r="Z1114" s="1">
        <v>3.1834741979999999</v>
      </c>
      <c r="AA1114" s="1">
        <v>4.6194390810000003</v>
      </c>
      <c r="AB1114" s="1">
        <v>4.7958605490000004</v>
      </c>
      <c r="AC1114" s="1">
        <v>4.7474570290000004</v>
      </c>
      <c r="AD1114" s="1">
        <v>4.7657555159999996</v>
      </c>
      <c r="AE1114" s="1">
        <v>4.9843711490000002</v>
      </c>
    </row>
    <row r="1115" spans="1:31" x14ac:dyDescent="0.25">
      <c r="A1115" s="1" t="s">
        <v>53</v>
      </c>
      <c r="B1115" s="1" t="s">
        <v>2547</v>
      </c>
      <c r="C1115" s="1" t="s">
        <v>2694</v>
      </c>
      <c r="D1115" s="1" t="s">
        <v>3788</v>
      </c>
      <c r="E1115" s="1" t="s">
        <v>4382</v>
      </c>
      <c r="F1115" s="1" t="s">
        <v>4383</v>
      </c>
      <c r="G1115" s="1" t="s">
        <v>53</v>
      </c>
      <c r="H1115" s="1">
        <v>3.6455184960000002</v>
      </c>
      <c r="I1115" s="1">
        <v>4.1114152529999997</v>
      </c>
      <c r="J1115" s="1">
        <v>4.0065844400000001</v>
      </c>
      <c r="K1115" s="1">
        <v>3.8998480660000001</v>
      </c>
      <c r="L1115" s="1">
        <v>4.4478088219999998</v>
      </c>
      <c r="M1115" s="1">
        <v>4.1823509169999999</v>
      </c>
      <c r="N1115" s="1">
        <v>4.5776172920000002</v>
      </c>
      <c r="O1115" s="1">
        <v>4.7903853170000001</v>
      </c>
      <c r="P1115" s="1">
        <v>4.2485661720000003</v>
      </c>
      <c r="Q1115" s="1">
        <v>3.56206471</v>
      </c>
      <c r="R1115" s="1">
        <v>3.968758995</v>
      </c>
      <c r="S1115" s="1">
        <v>4.3135540739999998</v>
      </c>
      <c r="T1115" s="1">
        <v>4.4478088219999998</v>
      </c>
      <c r="U1115" s="1">
        <v>4.1823509169999999</v>
      </c>
      <c r="V1115" s="1">
        <v>3.3993802240000002</v>
      </c>
      <c r="W1115" s="1">
        <v>4.7760085830000003</v>
      </c>
      <c r="X1115" s="1">
        <v>4.3627028770000003</v>
      </c>
      <c r="Y1115" s="1">
        <v>4.8904630100000004</v>
      </c>
      <c r="Z1115" s="1">
        <v>3.968758995</v>
      </c>
      <c r="AA1115" s="1">
        <v>4.3135540739999998</v>
      </c>
      <c r="AB1115" s="1">
        <v>3.990981031</v>
      </c>
      <c r="AC1115" s="1">
        <v>4.2557864319999998</v>
      </c>
      <c r="AD1115" s="1">
        <v>4.3870463700000002</v>
      </c>
      <c r="AE1115" s="1">
        <v>4.4163948289999997</v>
      </c>
    </row>
    <row r="1116" spans="1:31" x14ac:dyDescent="0.25">
      <c r="A1116" s="1" t="s">
        <v>59</v>
      </c>
      <c r="B1116" s="1" t="s">
        <v>2525</v>
      </c>
      <c r="C1116" s="1" t="s">
        <v>3364</v>
      </c>
      <c r="D1116" s="1" t="s">
        <v>2535</v>
      </c>
      <c r="E1116" s="1" t="s">
        <v>4384</v>
      </c>
      <c r="F1116" s="1" t="s">
        <v>4385</v>
      </c>
      <c r="G1116" s="1" t="s">
        <v>59</v>
      </c>
      <c r="H1116" s="1">
        <v>6.7114110580000004</v>
      </c>
      <c r="I1116" s="1">
        <v>6.4335830219999997</v>
      </c>
      <c r="J1116" s="1">
        <v>6.4472967060000004</v>
      </c>
      <c r="K1116" s="1">
        <v>6.3412685260000003</v>
      </c>
      <c r="L1116" s="1">
        <v>6.3972692809999998</v>
      </c>
      <c r="M1116" s="1">
        <v>6.5443727410000001</v>
      </c>
      <c r="N1116" s="1">
        <v>6.4543317939999998</v>
      </c>
      <c r="O1116" s="1">
        <v>6.5488294189999996</v>
      </c>
      <c r="P1116" s="1">
        <v>6.8891464339999997</v>
      </c>
      <c r="Q1116" s="1">
        <v>6.5556885899999999</v>
      </c>
      <c r="R1116" s="1">
        <v>6.6932924079999996</v>
      </c>
      <c r="S1116" s="1">
        <v>6.7331571820000002</v>
      </c>
      <c r="T1116" s="1">
        <v>6.3972692809999998</v>
      </c>
      <c r="U1116" s="1">
        <v>6.5443727410000001</v>
      </c>
      <c r="V1116" s="1">
        <v>6.6893778040000003</v>
      </c>
      <c r="W1116" s="1">
        <v>6.5309970670000004</v>
      </c>
      <c r="X1116" s="1">
        <v>6.7159426169999996</v>
      </c>
      <c r="Y1116" s="1">
        <v>6.5267696659999999</v>
      </c>
      <c r="Z1116" s="1">
        <v>6.6932924079999996</v>
      </c>
      <c r="AA1116" s="1">
        <v>6.7331571820000002</v>
      </c>
      <c r="AB1116" s="1">
        <v>6.6320802959999998</v>
      </c>
      <c r="AC1116" s="1">
        <v>6.8856954019999996</v>
      </c>
      <c r="AD1116" s="1">
        <v>6.9918821849999997</v>
      </c>
      <c r="AE1116" s="1">
        <v>6.6110350100000002</v>
      </c>
    </row>
    <row r="1117" spans="1:31" x14ac:dyDescent="0.25">
      <c r="A1117" s="1" t="s">
        <v>68</v>
      </c>
      <c r="B1117" s="1" t="s">
        <v>2530</v>
      </c>
      <c r="C1117" s="1" t="s">
        <v>2531</v>
      </c>
      <c r="D1117" s="1" t="s">
        <v>2535</v>
      </c>
      <c r="E1117" s="1" t="s">
        <v>2536</v>
      </c>
      <c r="G1117" s="1" t="s">
        <v>68</v>
      </c>
      <c r="H1117" s="1">
        <v>4.995162745</v>
      </c>
      <c r="I1117" s="1">
        <v>4.5280931029999998</v>
      </c>
      <c r="J1117" s="1">
        <v>4.8434621079999998</v>
      </c>
      <c r="K1117" s="1">
        <v>4.5171444090000001</v>
      </c>
      <c r="L1117" s="1">
        <v>5.7251137559999998</v>
      </c>
      <c r="M1117" s="1">
        <v>5.5973531489999999</v>
      </c>
      <c r="N1117" s="1">
        <v>4.8006971780000001</v>
      </c>
      <c r="O1117" s="1">
        <v>4.9731423550000002</v>
      </c>
      <c r="P1117" s="1">
        <v>5.2325771159999999</v>
      </c>
      <c r="Q1117" s="1">
        <v>5.6846114249999999</v>
      </c>
      <c r="R1117" s="1">
        <v>5.3764768539999999</v>
      </c>
      <c r="S1117" s="1">
        <v>5.2672271329999996</v>
      </c>
      <c r="T1117" s="1">
        <v>5.7251137559999998</v>
      </c>
      <c r="U1117" s="1">
        <v>5.5973531489999999</v>
      </c>
      <c r="V1117" s="1">
        <v>5.695500268</v>
      </c>
      <c r="W1117" s="1">
        <v>5.6059572260000001</v>
      </c>
      <c r="X1117" s="1">
        <v>6.1910758819999998</v>
      </c>
      <c r="Y1117" s="1">
        <v>6.0769070919999999</v>
      </c>
      <c r="Z1117" s="1">
        <v>5.3764768539999999</v>
      </c>
      <c r="AA1117" s="1">
        <v>5.2672271329999996</v>
      </c>
      <c r="AB1117" s="1">
        <v>5.6280506069999996</v>
      </c>
      <c r="AC1117" s="1">
        <v>5.6698330419999996</v>
      </c>
      <c r="AD1117" s="1">
        <v>6.3073961189999999</v>
      </c>
      <c r="AE1117" s="1">
        <v>5.7875258069999997</v>
      </c>
    </row>
    <row r="1118" spans="1:31" x14ac:dyDescent="0.25">
      <c r="A1118" s="1" t="s">
        <v>69</v>
      </c>
      <c r="B1118" s="1" t="s">
        <v>2530</v>
      </c>
      <c r="C1118" s="1" t="s">
        <v>2531</v>
      </c>
      <c r="D1118" s="1" t="s">
        <v>2535</v>
      </c>
      <c r="E1118" s="1" t="s">
        <v>2621</v>
      </c>
      <c r="G1118" s="1" t="s">
        <v>69</v>
      </c>
      <c r="H1118" s="1">
        <v>4.0684382540000001</v>
      </c>
      <c r="I1118" s="1">
        <v>4.1114152529999997</v>
      </c>
      <c r="J1118" s="1">
        <v>3.4977151119999998</v>
      </c>
      <c r="K1118" s="1">
        <v>3.8998480660000001</v>
      </c>
      <c r="L1118" s="1">
        <v>3.3884746630000002</v>
      </c>
      <c r="M1118" s="1">
        <v>4.1823509169999999</v>
      </c>
      <c r="N1118" s="1">
        <v>4.1002678350000004</v>
      </c>
      <c r="O1118" s="1">
        <v>4.5340058970000001</v>
      </c>
      <c r="P1118" s="1">
        <v>3.6116823170000001</v>
      </c>
      <c r="Q1118" s="1">
        <v>3.56206471</v>
      </c>
      <c r="R1118" s="1">
        <v>4.2802026870000001</v>
      </c>
      <c r="S1118" s="1">
        <v>3.1475403900000001</v>
      </c>
      <c r="T1118" s="1">
        <v>3.3884746630000002</v>
      </c>
      <c r="U1118" s="1">
        <v>4.1823509169999999</v>
      </c>
      <c r="V1118" s="1">
        <v>4.5207607210000003</v>
      </c>
      <c r="W1118" s="1">
        <v>3.6840067150000002</v>
      </c>
      <c r="X1118" s="1">
        <v>4.407182283</v>
      </c>
      <c r="Y1118" s="1">
        <v>4.6081171230000004</v>
      </c>
      <c r="Z1118" s="1">
        <v>4.2802026870000001</v>
      </c>
      <c r="AA1118" s="1">
        <v>3.1475403900000001</v>
      </c>
      <c r="AB1118" s="1">
        <v>4.2729702720000002</v>
      </c>
      <c r="AC1118" s="1">
        <v>3.8665622239999999</v>
      </c>
      <c r="AD1118" s="1">
        <v>4.4715299570000004</v>
      </c>
      <c r="AE1118" s="1">
        <v>4.542053224</v>
      </c>
    </row>
    <row r="1119" spans="1:31" x14ac:dyDescent="0.25">
      <c r="A1119" s="1" t="s">
        <v>70</v>
      </c>
      <c r="B1119" s="1" t="s">
        <v>2631</v>
      </c>
      <c r="C1119" s="1" t="s">
        <v>2980</v>
      </c>
      <c r="D1119" s="1" t="s">
        <v>4280</v>
      </c>
      <c r="E1119" s="1" t="s">
        <v>4386</v>
      </c>
      <c r="F1119" s="1" t="s">
        <v>4387</v>
      </c>
      <c r="G1119" s="1" t="s">
        <v>70</v>
      </c>
      <c r="H1119" s="1">
        <v>4.7972697699999998</v>
      </c>
      <c r="I1119" s="1">
        <v>4.3763156859999999</v>
      </c>
      <c r="J1119" s="1">
        <v>4.4503473070000004</v>
      </c>
      <c r="K1119" s="1">
        <v>4.2434183680000004</v>
      </c>
      <c r="L1119" s="1">
        <v>4.8008003170000002</v>
      </c>
      <c r="M1119" s="1">
        <v>3.7747836370000001</v>
      </c>
      <c r="N1119" s="1">
        <v>4.4061149080000002</v>
      </c>
      <c r="O1119" s="1">
        <v>4.4862678239999996</v>
      </c>
      <c r="P1119" s="1">
        <v>3.9684043939999998</v>
      </c>
      <c r="Q1119" s="1">
        <v>3.8492287269999999</v>
      </c>
      <c r="R1119" s="1">
        <v>3.386455024</v>
      </c>
      <c r="S1119" s="1">
        <v>3.9182367880000002</v>
      </c>
      <c r="T1119" s="1">
        <v>4.8008003170000002</v>
      </c>
      <c r="U1119" s="1">
        <v>3.7747836370000001</v>
      </c>
      <c r="V1119" s="1">
        <v>3.9849921849999999</v>
      </c>
      <c r="W1119" s="1">
        <v>4.1128053839999996</v>
      </c>
      <c r="X1119" s="1">
        <v>4.2691515329999996</v>
      </c>
      <c r="Y1119" s="1">
        <v>3.4382968329999999</v>
      </c>
      <c r="Z1119" s="1">
        <v>3.386455024</v>
      </c>
      <c r="AA1119" s="1">
        <v>3.9182367880000002</v>
      </c>
      <c r="AB1119" s="1">
        <v>3.404153038</v>
      </c>
      <c r="AC1119" s="1">
        <v>3.4716344729999999</v>
      </c>
      <c r="AD1119" s="1">
        <v>3.8610926929999998</v>
      </c>
      <c r="AE1119" s="1">
        <v>4.0105905760000002</v>
      </c>
    </row>
    <row r="1120" spans="1:31" x14ac:dyDescent="0.25">
      <c r="A1120" s="1" t="s">
        <v>75</v>
      </c>
      <c r="B1120" s="1" t="s">
        <v>2530</v>
      </c>
      <c r="C1120" s="1" t="s">
        <v>2531</v>
      </c>
      <c r="D1120" s="1" t="s">
        <v>2535</v>
      </c>
      <c r="E1120" s="1" t="s">
        <v>2536</v>
      </c>
      <c r="G1120" s="1" t="s">
        <v>75</v>
      </c>
      <c r="H1120" s="1">
        <v>7.8198430999999999</v>
      </c>
      <c r="I1120" s="1">
        <v>7.5785686370000001</v>
      </c>
      <c r="J1120" s="1">
        <v>6.248570891</v>
      </c>
      <c r="K1120" s="1">
        <v>6.8233399239999999</v>
      </c>
      <c r="L1120" s="1">
        <v>4.9358482109999997</v>
      </c>
      <c r="M1120" s="1">
        <v>5.0606078119999998</v>
      </c>
      <c r="N1120" s="1">
        <v>6.7104368150000004</v>
      </c>
      <c r="O1120" s="1">
        <v>6.9870954149999998</v>
      </c>
      <c r="P1120" s="1">
        <v>5.9400346730000004</v>
      </c>
      <c r="Q1120" s="1">
        <v>5.6846114249999999</v>
      </c>
      <c r="R1120" s="1">
        <v>5.4981688889999996</v>
      </c>
      <c r="S1120" s="1">
        <v>5.8024660560000001</v>
      </c>
      <c r="T1120" s="1">
        <v>4.9358482109999997</v>
      </c>
      <c r="U1120" s="1">
        <v>5.0606078119999998</v>
      </c>
      <c r="V1120" s="1">
        <v>6.6473747999999997</v>
      </c>
      <c r="W1120" s="1">
        <v>6.7165296740000002</v>
      </c>
      <c r="X1120" s="1">
        <v>5.9771755410000003</v>
      </c>
      <c r="Y1120" s="1">
        <v>7.1584367220000003</v>
      </c>
      <c r="Z1120" s="1">
        <v>5.4981688889999996</v>
      </c>
      <c r="AA1120" s="1">
        <v>5.8024660560000001</v>
      </c>
      <c r="AB1120" s="1">
        <v>6.5830868880000004</v>
      </c>
      <c r="AC1120" s="1">
        <v>5.7882226870000002</v>
      </c>
      <c r="AD1120" s="1">
        <v>6.6813055940000003</v>
      </c>
      <c r="AE1120" s="1">
        <v>6.463356664</v>
      </c>
    </row>
    <row r="1121" spans="1:31" x14ac:dyDescent="0.25">
      <c r="A1121" s="1" t="s">
        <v>76</v>
      </c>
      <c r="B1121" s="1" t="s">
        <v>2662</v>
      </c>
      <c r="C1121" s="1" t="s">
        <v>3291</v>
      </c>
      <c r="D1121" s="1" t="s">
        <v>3311</v>
      </c>
      <c r="E1121" s="1" t="s">
        <v>4388</v>
      </c>
      <c r="F1121" s="1" t="s">
        <v>4389</v>
      </c>
      <c r="G1121" s="1" t="s">
        <v>76</v>
      </c>
      <c r="H1121" s="1">
        <v>5.6296178589999997</v>
      </c>
      <c r="I1121" s="1">
        <v>5.4817092260000004</v>
      </c>
      <c r="J1121" s="1">
        <v>4.4503473070000004</v>
      </c>
      <c r="K1121" s="1">
        <v>5.4059688240000003</v>
      </c>
      <c r="L1121" s="1">
        <v>5.082479009</v>
      </c>
      <c r="M1121" s="1">
        <v>4.7872698079999996</v>
      </c>
      <c r="N1121" s="1">
        <v>4.9318354150000001</v>
      </c>
      <c r="O1121" s="1">
        <v>4.6248126879999996</v>
      </c>
      <c r="P1121" s="1">
        <v>5.3134950500000002</v>
      </c>
      <c r="Q1121" s="1">
        <v>4.993318082</v>
      </c>
      <c r="R1121" s="1">
        <v>4.5333476509999997</v>
      </c>
      <c r="S1121" s="1">
        <v>4.980227309</v>
      </c>
      <c r="T1121" s="1">
        <v>5.082479009</v>
      </c>
      <c r="U1121" s="1">
        <v>4.7872698079999996</v>
      </c>
      <c r="V1121" s="1">
        <v>5.2072842770000003</v>
      </c>
      <c r="W1121" s="1">
        <v>4.9190341039999996</v>
      </c>
      <c r="X1121" s="1">
        <v>5.1899342839999996</v>
      </c>
      <c r="Y1121" s="1">
        <v>6.1314620050000004</v>
      </c>
      <c r="Z1121" s="1">
        <v>4.5333476509999997</v>
      </c>
      <c r="AA1121" s="1">
        <v>4.980227309</v>
      </c>
      <c r="AB1121" s="1">
        <v>4.8804215500000003</v>
      </c>
      <c r="AC1121" s="1">
        <v>4.9145215069999999</v>
      </c>
      <c r="AD1121" s="1">
        <v>5.1668950269999998</v>
      </c>
      <c r="AE1121" s="1">
        <v>5.8524340769999998</v>
      </c>
    </row>
    <row r="1122" spans="1:31" x14ac:dyDescent="0.25">
      <c r="A1122" s="1" t="s">
        <v>81</v>
      </c>
      <c r="B1122" s="1" t="s">
        <v>2843</v>
      </c>
      <c r="C1122" s="1" t="s">
        <v>2844</v>
      </c>
      <c r="D1122" s="1" t="s">
        <v>4007</v>
      </c>
      <c r="E1122" s="1" t="s">
        <v>4390</v>
      </c>
      <c r="F1122" s="1" t="s">
        <v>4391</v>
      </c>
      <c r="G1122" s="1" t="s">
        <v>81</v>
      </c>
      <c r="H1122" s="1">
        <v>4.4805534380000003</v>
      </c>
      <c r="I1122" s="1">
        <v>4.4542943209999999</v>
      </c>
      <c r="J1122" s="1">
        <v>6.5196869069999996</v>
      </c>
      <c r="K1122" s="1">
        <v>6.118739057</v>
      </c>
      <c r="L1122" s="1">
        <v>7.0248703890000002</v>
      </c>
      <c r="M1122" s="1">
        <v>7.2852082630000004</v>
      </c>
      <c r="N1122" s="1">
        <v>4.6560102480000003</v>
      </c>
      <c r="O1122" s="1">
        <v>4.385526188</v>
      </c>
      <c r="P1122" s="1">
        <v>6.3931504810000002</v>
      </c>
      <c r="Q1122" s="1">
        <v>6.5369026620000001</v>
      </c>
      <c r="R1122" s="1">
        <v>7.3260926519999998</v>
      </c>
      <c r="S1122" s="1">
        <v>7.0022687970000002</v>
      </c>
      <c r="T1122" s="1">
        <v>7.0248703890000002</v>
      </c>
      <c r="U1122" s="1">
        <v>7.2852082630000004</v>
      </c>
      <c r="V1122" s="1">
        <v>6.3484277020000004</v>
      </c>
      <c r="W1122" s="1">
        <v>6.3680955829999997</v>
      </c>
      <c r="X1122" s="1">
        <v>6.5025394790000002</v>
      </c>
      <c r="Y1122" s="1">
        <v>6.2594192150000003</v>
      </c>
      <c r="Z1122" s="1">
        <v>7.3260926519999998</v>
      </c>
      <c r="AA1122" s="1">
        <v>7.0022687970000002</v>
      </c>
      <c r="AB1122" s="1">
        <v>6.557950226</v>
      </c>
      <c r="AC1122" s="1">
        <v>6.2668248259999997</v>
      </c>
      <c r="AD1122" s="1">
        <v>6.3296964060000001</v>
      </c>
      <c r="AE1122" s="1">
        <v>5.9445968479999998</v>
      </c>
    </row>
    <row r="1123" spans="1:31" x14ac:dyDescent="0.25">
      <c r="A1123" s="1" t="s">
        <v>82</v>
      </c>
      <c r="B1123" s="1" t="s">
        <v>2843</v>
      </c>
      <c r="C1123" s="1" t="s">
        <v>2903</v>
      </c>
      <c r="D1123" s="1" t="s">
        <v>3561</v>
      </c>
      <c r="E1123" s="1" t="s">
        <v>4392</v>
      </c>
      <c r="F1123" s="1" t="s">
        <v>4393</v>
      </c>
      <c r="G1123" s="1" t="s">
        <v>82</v>
      </c>
      <c r="H1123" s="1">
        <v>3.6455184960000002</v>
      </c>
      <c r="I1123" s="1">
        <v>5.009480355</v>
      </c>
      <c r="J1123" s="1">
        <v>5.5826322800000003</v>
      </c>
      <c r="K1123" s="1">
        <v>5.5322182199999999</v>
      </c>
      <c r="L1123" s="1">
        <v>6.1339192999999996</v>
      </c>
      <c r="M1123" s="1">
        <v>5.6393255609999997</v>
      </c>
      <c r="N1123" s="1">
        <v>4.6173662499999999</v>
      </c>
      <c r="O1123" s="1">
        <v>4.2189785100000003</v>
      </c>
      <c r="P1123" s="1">
        <v>5.426847231</v>
      </c>
      <c r="Q1123" s="1">
        <v>5.6846114249999999</v>
      </c>
      <c r="R1123" s="1">
        <v>5.57388789</v>
      </c>
      <c r="S1123" s="1">
        <v>5.505875713</v>
      </c>
      <c r="T1123" s="1">
        <v>6.1339192999999996</v>
      </c>
      <c r="U1123" s="1">
        <v>5.6393255609999997</v>
      </c>
      <c r="V1123" s="1">
        <v>5.519727617</v>
      </c>
      <c r="W1123" s="1">
        <v>5.5634106699999997</v>
      </c>
      <c r="X1123" s="1">
        <v>5.1899342839999996</v>
      </c>
      <c r="Y1123" s="1">
        <v>5.2297915760000002</v>
      </c>
      <c r="Z1123" s="1">
        <v>5.57388789</v>
      </c>
      <c r="AA1123" s="1">
        <v>5.505875713</v>
      </c>
      <c r="AB1123" s="1">
        <v>5.4196851610000003</v>
      </c>
      <c r="AC1123" s="1">
        <v>5.1103036370000003</v>
      </c>
      <c r="AD1123" s="1">
        <v>5.1668950269999998</v>
      </c>
      <c r="AE1123" s="1">
        <v>5.5139573549999996</v>
      </c>
    </row>
    <row r="1124" spans="1:31" x14ac:dyDescent="0.25">
      <c r="A1124" s="1" t="s">
        <v>90</v>
      </c>
      <c r="B1124" s="1" t="s">
        <v>2608</v>
      </c>
      <c r="C1124" s="1" t="s">
        <v>2758</v>
      </c>
      <c r="D1124" s="1" t="s">
        <v>2759</v>
      </c>
      <c r="E1124" s="1" t="s">
        <v>4394</v>
      </c>
      <c r="F1124" s="1" t="s">
        <v>4395</v>
      </c>
      <c r="G1124" s="1" t="s">
        <v>90</v>
      </c>
      <c r="H1124" s="1">
        <v>4.0684382540000001</v>
      </c>
      <c r="I1124" s="1">
        <v>4.0101074990000001</v>
      </c>
      <c r="J1124" s="1">
        <v>4.8434621079999998</v>
      </c>
      <c r="K1124" s="1">
        <v>4.0244910950000001</v>
      </c>
      <c r="L1124" s="1">
        <v>6.1668872849999996</v>
      </c>
      <c r="M1124" s="1">
        <v>6.3689739899999998</v>
      </c>
      <c r="N1124" s="1">
        <v>4.0417975630000003</v>
      </c>
      <c r="O1124" s="1">
        <v>3.6346882059999999</v>
      </c>
      <c r="P1124" s="1">
        <v>5.8072178450000003</v>
      </c>
      <c r="Q1124" s="1">
        <v>5.2931690810000003</v>
      </c>
      <c r="R1124" s="1">
        <v>5.9594282490000001</v>
      </c>
      <c r="S1124" s="1">
        <v>5.7416668729999998</v>
      </c>
      <c r="T1124" s="1">
        <v>6.1668872849999996</v>
      </c>
      <c r="U1124" s="1">
        <v>6.3689739899999998</v>
      </c>
      <c r="V1124" s="1">
        <v>4.7533922439999996</v>
      </c>
      <c r="W1124" s="1">
        <v>5.0488589419999998</v>
      </c>
      <c r="X1124" s="1">
        <v>5.9183192990000002</v>
      </c>
      <c r="Y1124" s="1">
        <v>4.6081171230000004</v>
      </c>
      <c r="Z1124" s="1">
        <v>5.9594282490000001</v>
      </c>
      <c r="AA1124" s="1">
        <v>5.7416668729999998</v>
      </c>
      <c r="AB1124" s="1">
        <v>6.1161870470000004</v>
      </c>
      <c r="AC1124" s="1">
        <v>5.5741318</v>
      </c>
      <c r="AD1124" s="1">
        <v>5.116107059</v>
      </c>
      <c r="AE1124" s="1">
        <v>5.0965372069999999</v>
      </c>
    </row>
    <row r="1125" spans="1:31" x14ac:dyDescent="0.25">
      <c r="A1125" s="1" t="s">
        <v>91</v>
      </c>
      <c r="B1125" s="1" t="s">
        <v>2520</v>
      </c>
      <c r="C1125" s="1" t="s">
        <v>2521</v>
      </c>
      <c r="D1125" s="1" t="s">
        <v>2535</v>
      </c>
      <c r="E1125" s="1" t="s">
        <v>4396</v>
      </c>
      <c r="G1125" s="1" t="s">
        <v>91</v>
      </c>
      <c r="H1125" s="1">
        <v>7.3339859880000002</v>
      </c>
      <c r="I1125" s="1">
        <v>7.6530645530000001</v>
      </c>
      <c r="J1125" s="1">
        <v>7.7032581010000003</v>
      </c>
      <c r="K1125" s="1">
        <v>7.6207723439999997</v>
      </c>
      <c r="L1125" s="1">
        <v>7.7627572459999996</v>
      </c>
      <c r="M1125" s="1">
        <v>7.8586742599999999</v>
      </c>
      <c r="N1125" s="1">
        <v>8.0252577019999993</v>
      </c>
      <c r="O1125" s="1">
        <v>7.8967407129999998</v>
      </c>
      <c r="P1125" s="1">
        <v>7.4998377830000003</v>
      </c>
      <c r="Q1125" s="1">
        <v>7.7364170730000001</v>
      </c>
      <c r="R1125" s="1">
        <v>7.9022531660000004</v>
      </c>
      <c r="S1125" s="1">
        <v>7.6962470280000002</v>
      </c>
      <c r="T1125" s="1">
        <v>7.7627572459999996</v>
      </c>
      <c r="U1125" s="1">
        <v>7.8586742599999999</v>
      </c>
      <c r="V1125" s="1">
        <v>7.9725866410000004</v>
      </c>
      <c r="W1125" s="1">
        <v>7.9916874289999997</v>
      </c>
      <c r="X1125" s="1">
        <v>7.7816987419999997</v>
      </c>
      <c r="Y1125" s="1">
        <v>7.7519140689999997</v>
      </c>
      <c r="Z1125" s="1">
        <v>7.9022531660000004</v>
      </c>
      <c r="AA1125" s="1">
        <v>7.6962470280000002</v>
      </c>
      <c r="AB1125" s="1">
        <v>7.8655635909999999</v>
      </c>
      <c r="AC1125" s="1">
        <v>7.7098339850000004</v>
      </c>
      <c r="AD1125" s="1">
        <v>7.5707642870000003</v>
      </c>
      <c r="AE1125" s="1">
        <v>7.9350575489999997</v>
      </c>
    </row>
    <row r="1126" spans="1:31" x14ac:dyDescent="0.25">
      <c r="A1126" s="1" t="s">
        <v>92</v>
      </c>
      <c r="B1126" s="1" t="s">
        <v>2520</v>
      </c>
      <c r="C1126" s="1" t="s">
        <v>3160</v>
      </c>
      <c r="D1126" s="1" t="s">
        <v>4397</v>
      </c>
      <c r="E1126" s="1" t="s">
        <v>4398</v>
      </c>
      <c r="F1126" s="1" t="s">
        <v>4399</v>
      </c>
      <c r="G1126" s="1" t="s">
        <v>92</v>
      </c>
      <c r="H1126" s="1">
        <v>5.8817546890000001</v>
      </c>
      <c r="I1126" s="1">
        <v>5.7169522959999997</v>
      </c>
      <c r="J1126" s="1">
        <v>5.5131441250000002</v>
      </c>
      <c r="K1126" s="1">
        <v>5.2674352469999999</v>
      </c>
      <c r="L1126" s="1">
        <v>5.4487173919999998</v>
      </c>
      <c r="M1126" s="1">
        <v>5.5541105499999999</v>
      </c>
      <c r="N1126" s="1">
        <v>5.5947014570000002</v>
      </c>
      <c r="O1126" s="1">
        <v>5.9503866380000003</v>
      </c>
      <c r="P1126" s="1">
        <v>5.5318451900000003</v>
      </c>
      <c r="Q1126" s="1">
        <v>4.993318082</v>
      </c>
      <c r="R1126" s="1">
        <v>5.6102934549999999</v>
      </c>
      <c r="S1126" s="1">
        <v>5.2672271329999996</v>
      </c>
      <c r="T1126" s="1">
        <v>5.4487173919999998</v>
      </c>
      <c r="U1126" s="1">
        <v>5.5541105499999999</v>
      </c>
      <c r="V1126" s="1">
        <v>6.2204802570000002</v>
      </c>
      <c r="W1126" s="1">
        <v>6.0056801469999996</v>
      </c>
      <c r="X1126" s="1">
        <v>5.6000621730000004</v>
      </c>
      <c r="Y1126" s="1">
        <v>6.0769070919999999</v>
      </c>
      <c r="Z1126" s="1">
        <v>5.6102934549999999</v>
      </c>
      <c r="AA1126" s="1">
        <v>5.2672271329999996</v>
      </c>
      <c r="AB1126" s="1">
        <v>5.7665348979999997</v>
      </c>
      <c r="AC1126" s="1">
        <v>5.6698330419999996</v>
      </c>
      <c r="AD1126" s="1">
        <v>6.008703369</v>
      </c>
      <c r="AE1126" s="1">
        <v>5.7539342490000003</v>
      </c>
    </row>
    <row r="1127" spans="1:31" x14ac:dyDescent="0.25">
      <c r="A1127" s="1" t="s">
        <v>93</v>
      </c>
      <c r="B1127" s="1" t="s">
        <v>2547</v>
      </c>
      <c r="C1127" s="1" t="s">
        <v>2789</v>
      </c>
      <c r="D1127" s="1" t="s">
        <v>3231</v>
      </c>
      <c r="E1127" s="1" t="s">
        <v>4400</v>
      </c>
      <c r="F1127" s="1" t="s">
        <v>4401</v>
      </c>
      <c r="G1127" s="1" t="s">
        <v>93</v>
      </c>
      <c r="H1127" s="1">
        <v>3.8023684370000002</v>
      </c>
      <c r="I1127" s="1">
        <v>4.2936285989999998</v>
      </c>
      <c r="J1127" s="1">
        <v>3.1324899180000001</v>
      </c>
      <c r="K1127" s="1">
        <v>3.8998480660000001</v>
      </c>
      <c r="L1127" s="1">
        <v>4.1188213390000001</v>
      </c>
      <c r="M1127" s="1">
        <v>4.239619416</v>
      </c>
      <c r="N1127" s="1">
        <v>4.4945275240000004</v>
      </c>
      <c r="O1127" s="1">
        <v>4.1585876539999997</v>
      </c>
      <c r="P1127" s="1">
        <v>3.9684043939999998</v>
      </c>
      <c r="Q1127" s="1">
        <v>3.7137735799999998</v>
      </c>
      <c r="R1127" s="1">
        <v>3.5594063970000001</v>
      </c>
      <c r="S1127" s="1">
        <v>3.5159502420000002</v>
      </c>
      <c r="T1127" s="1">
        <v>4.1188213390000001</v>
      </c>
      <c r="U1127" s="1">
        <v>4.239619416</v>
      </c>
      <c r="V1127" s="1">
        <v>3.9849921849999999</v>
      </c>
      <c r="W1127" s="1">
        <v>4.2295768090000001</v>
      </c>
      <c r="X1127" s="1">
        <v>4.0600950219999996</v>
      </c>
      <c r="Y1127" s="1">
        <v>3.6154848500000001</v>
      </c>
      <c r="Z1127" s="1">
        <v>3.5594063970000001</v>
      </c>
      <c r="AA1127" s="1">
        <v>3.5159502420000002</v>
      </c>
      <c r="AB1127" s="1">
        <v>3.8237667059999998</v>
      </c>
      <c r="AC1127" s="1">
        <v>4.4881955270000002</v>
      </c>
      <c r="AD1127" s="1">
        <v>2.6025990879999998</v>
      </c>
      <c r="AE1127" s="1">
        <v>3.8864783150000002</v>
      </c>
    </row>
    <row r="1128" spans="1:31" x14ac:dyDescent="0.25">
      <c r="A1128" s="1" t="s">
        <v>95</v>
      </c>
      <c r="B1128" s="1" t="s">
        <v>2547</v>
      </c>
      <c r="C1128" s="1" t="s">
        <v>2832</v>
      </c>
      <c r="D1128" s="1" t="s">
        <v>2833</v>
      </c>
      <c r="E1128" s="1" t="s">
        <v>4402</v>
      </c>
      <c r="F1128" s="1" t="s">
        <v>4403</v>
      </c>
      <c r="G1128" s="1" t="s">
        <v>95</v>
      </c>
      <c r="H1128" s="1">
        <v>5.5485883999999999</v>
      </c>
      <c r="I1128" s="1">
        <v>5.1078624770000003</v>
      </c>
      <c r="J1128" s="1">
        <v>5.1501560140000002</v>
      </c>
      <c r="K1128" s="1">
        <v>5.2674352469999999</v>
      </c>
      <c r="L1128" s="1">
        <v>5.1940340669999996</v>
      </c>
      <c r="M1128" s="1">
        <v>5.4159199769999997</v>
      </c>
      <c r="N1128" s="1">
        <v>4.5366957899999996</v>
      </c>
      <c r="O1128" s="1">
        <v>4.8663619410000001</v>
      </c>
      <c r="P1128" s="1">
        <v>5.0074447400000004</v>
      </c>
      <c r="Q1128" s="1">
        <v>5.2473923969999996</v>
      </c>
      <c r="R1128" s="1">
        <v>5.1961281320000001</v>
      </c>
      <c r="S1128" s="1">
        <v>5.4306817489999997</v>
      </c>
      <c r="T1128" s="1">
        <v>5.1940340669999996</v>
      </c>
      <c r="U1128" s="1">
        <v>5.4159199769999997</v>
      </c>
      <c r="V1128" s="1">
        <v>5.0857495259999999</v>
      </c>
      <c r="W1128" s="1">
        <v>5.6059572260000001</v>
      </c>
      <c r="X1128" s="1">
        <v>5.3098210989999997</v>
      </c>
      <c r="Y1128" s="1">
        <v>4.8904630100000004</v>
      </c>
      <c r="Z1128" s="1">
        <v>5.1961281320000001</v>
      </c>
      <c r="AA1128" s="1">
        <v>5.4306817489999997</v>
      </c>
      <c r="AB1128" s="1">
        <v>5.3028471579999996</v>
      </c>
      <c r="AC1128" s="1">
        <v>5.1552886820000001</v>
      </c>
      <c r="AD1128" s="1">
        <v>5.6310130599999999</v>
      </c>
      <c r="AE1128" s="1">
        <v>5.2736981710000004</v>
      </c>
    </row>
    <row r="1129" spans="1:31" x14ac:dyDescent="0.25">
      <c r="A1129" s="1" t="s">
        <v>96</v>
      </c>
      <c r="B1129" s="1" t="s">
        <v>2608</v>
      </c>
      <c r="C1129" s="1" t="s">
        <v>2700</v>
      </c>
      <c r="D1129" s="1" t="s">
        <v>3380</v>
      </c>
      <c r="E1129" s="1" t="s">
        <v>4404</v>
      </c>
      <c r="F1129" s="1" t="s">
        <v>4405</v>
      </c>
      <c r="G1129" s="1" t="s">
        <v>96</v>
      </c>
      <c r="H1129" s="1">
        <v>5.977563322</v>
      </c>
      <c r="I1129" s="1">
        <v>5.7476087250000001</v>
      </c>
      <c r="J1129" s="1">
        <v>5.0051223570000003</v>
      </c>
      <c r="K1129" s="1">
        <v>5.2180867539999998</v>
      </c>
      <c r="L1129" s="1">
        <v>4.713054648</v>
      </c>
      <c r="M1129" s="1">
        <v>5.2628748920000001</v>
      </c>
      <c r="N1129" s="1">
        <v>5.4717898820000004</v>
      </c>
      <c r="O1129" s="1">
        <v>5.5778556410000002</v>
      </c>
      <c r="P1129" s="1">
        <v>5.0554269730000003</v>
      </c>
      <c r="Q1129" s="1">
        <v>5.3375178869999997</v>
      </c>
      <c r="R1129" s="1">
        <v>5.2891602459999998</v>
      </c>
      <c r="S1129" s="1">
        <v>4.9261733090000002</v>
      </c>
      <c r="T1129" s="1">
        <v>4.713054648</v>
      </c>
      <c r="U1129" s="1">
        <v>5.2628748920000001</v>
      </c>
      <c r="V1129" s="1">
        <v>5.7758979430000004</v>
      </c>
      <c r="W1129" s="1">
        <v>5.2774499109999997</v>
      </c>
      <c r="X1129" s="1">
        <v>5.2147349050000003</v>
      </c>
      <c r="Y1129" s="1">
        <v>5.1785898169999998</v>
      </c>
      <c r="Z1129" s="1">
        <v>5.2891602459999998</v>
      </c>
      <c r="AA1129" s="1">
        <v>4.9261733090000002</v>
      </c>
      <c r="AB1129" s="1">
        <v>5.2406211000000003</v>
      </c>
      <c r="AC1129" s="1">
        <v>4.8053838390000001</v>
      </c>
      <c r="AD1129" s="1">
        <v>4.95179218</v>
      </c>
      <c r="AE1129" s="1">
        <v>5.3205054189999998</v>
      </c>
    </row>
    <row r="1130" spans="1:31" x14ac:dyDescent="0.25">
      <c r="A1130" s="1" t="s">
        <v>97</v>
      </c>
      <c r="B1130" s="1" t="s">
        <v>2539</v>
      </c>
      <c r="C1130" s="1" t="s">
        <v>2540</v>
      </c>
      <c r="D1130" s="1" t="s">
        <v>3638</v>
      </c>
      <c r="E1130" s="1" t="s">
        <v>4406</v>
      </c>
      <c r="F1130" s="1" t="s">
        <v>4407</v>
      </c>
      <c r="G1130" s="1" t="s">
        <v>97</v>
      </c>
      <c r="H1130" s="1">
        <v>4.2900513550000001</v>
      </c>
      <c r="I1130" s="1">
        <v>4.9575946069999999</v>
      </c>
      <c r="J1130" s="1">
        <v>4.5240842389999996</v>
      </c>
      <c r="K1130" s="1">
        <v>4.941717659</v>
      </c>
      <c r="L1130" s="1">
        <v>4.2932354009999996</v>
      </c>
      <c r="M1130" s="1">
        <v>4.824486168</v>
      </c>
      <c r="N1130" s="1">
        <v>3.622455167</v>
      </c>
      <c r="O1130" s="1">
        <v>4.2767880749999998</v>
      </c>
      <c r="P1130" s="1">
        <v>4.2485661720000003</v>
      </c>
      <c r="Q1130" s="1">
        <v>4.9365262349999997</v>
      </c>
      <c r="R1130" s="1">
        <v>5.0440296189999998</v>
      </c>
      <c r="S1130" s="1">
        <v>4.4749637470000003</v>
      </c>
      <c r="T1130" s="1">
        <v>4.2932354009999996</v>
      </c>
      <c r="U1130" s="1">
        <v>4.824486168</v>
      </c>
      <c r="V1130" s="1">
        <v>4.1608706030000002</v>
      </c>
      <c r="W1130" s="1">
        <v>4.4367165279999998</v>
      </c>
      <c r="X1130" s="1">
        <v>4.5719855100000002</v>
      </c>
      <c r="Y1130" s="1">
        <v>4.3509215530000001</v>
      </c>
      <c r="Z1130" s="1">
        <v>5.0440296189999998</v>
      </c>
      <c r="AA1130" s="1">
        <v>4.4749637470000003</v>
      </c>
      <c r="AB1130" s="1">
        <v>4.3946012420000002</v>
      </c>
      <c r="AC1130" s="1">
        <v>4.6870272159999997</v>
      </c>
      <c r="AD1130" s="1">
        <v>4.2970121150000002</v>
      </c>
      <c r="AE1130" s="1">
        <v>4.3718229419999997</v>
      </c>
    </row>
    <row r="1131" spans="1:31" x14ac:dyDescent="0.25">
      <c r="A1131" s="1" t="s">
        <v>98</v>
      </c>
      <c r="B1131" s="1" t="s">
        <v>2520</v>
      </c>
      <c r="C1131" s="1" t="s">
        <v>2521</v>
      </c>
      <c r="D1131" s="1" t="s">
        <v>2535</v>
      </c>
      <c r="E1131" s="1" t="s">
        <v>4408</v>
      </c>
      <c r="G1131" s="1" t="s">
        <v>98</v>
      </c>
      <c r="H1131" s="1">
        <v>7.3339859880000002</v>
      </c>
      <c r="I1131" s="1">
        <v>6.9756704020000004</v>
      </c>
      <c r="J1131" s="1">
        <v>7.0822770159999999</v>
      </c>
      <c r="K1131" s="1">
        <v>6.9337055090000002</v>
      </c>
      <c r="L1131" s="1">
        <v>6.4782437829999999</v>
      </c>
      <c r="M1131" s="1">
        <v>6.38135662</v>
      </c>
      <c r="N1131" s="1">
        <v>7.371702998</v>
      </c>
      <c r="O1131" s="1">
        <v>7.5724732250000004</v>
      </c>
      <c r="P1131" s="1">
        <v>7.7797956089999998</v>
      </c>
      <c r="Q1131" s="1">
        <v>7.6517302039999997</v>
      </c>
      <c r="R1131" s="1">
        <v>7.3900335339999996</v>
      </c>
      <c r="S1131" s="1">
        <v>7.195433188</v>
      </c>
      <c r="T1131" s="1">
        <v>6.4782437829999999</v>
      </c>
      <c r="U1131" s="1">
        <v>6.38135662</v>
      </c>
      <c r="V1131" s="1">
        <v>6.6755125270000004</v>
      </c>
      <c r="W1131" s="1">
        <v>6.8281395839999997</v>
      </c>
      <c r="X1131" s="1">
        <v>7.1580013410000003</v>
      </c>
      <c r="Y1131" s="1">
        <v>7.1584367220000003</v>
      </c>
      <c r="Z1131" s="1">
        <v>7.3900335339999996</v>
      </c>
      <c r="AA1131" s="1">
        <v>7.195433188</v>
      </c>
      <c r="AB1131" s="1">
        <v>7.2493787579999998</v>
      </c>
      <c r="AC1131" s="1">
        <v>7.000162123</v>
      </c>
      <c r="AD1131" s="1">
        <v>7.381214613</v>
      </c>
      <c r="AE1131" s="1">
        <v>7.6283429229999999</v>
      </c>
    </row>
    <row r="1132" spans="1:31" x14ac:dyDescent="0.25">
      <c r="A1132" s="1" t="s">
        <v>99</v>
      </c>
      <c r="B1132" s="1" t="s">
        <v>2530</v>
      </c>
      <c r="C1132" s="1" t="s">
        <v>2531</v>
      </c>
      <c r="D1132" s="1" t="s">
        <v>2535</v>
      </c>
      <c r="E1132" s="1" t="s">
        <v>4409</v>
      </c>
      <c r="G1132" s="1" t="s">
        <v>99</v>
      </c>
      <c r="H1132" s="1">
        <v>6.0380558219999996</v>
      </c>
      <c r="I1132" s="1">
        <v>5.6856247609999997</v>
      </c>
      <c r="J1132" s="1">
        <v>5.6809121170000001</v>
      </c>
      <c r="K1132" s="1">
        <v>4.8139921829999999</v>
      </c>
      <c r="L1132" s="1">
        <v>5.2773631679999999</v>
      </c>
      <c r="M1132" s="1">
        <v>5.2628748920000001</v>
      </c>
      <c r="N1132" s="1">
        <v>5.7786343999999996</v>
      </c>
      <c r="O1132" s="1">
        <v>6.4178147000000001</v>
      </c>
      <c r="P1132" s="1">
        <v>6.5835451750000002</v>
      </c>
      <c r="Q1132" s="1">
        <v>6.459205753</v>
      </c>
      <c r="R1132" s="1">
        <v>5.7795948069999996</v>
      </c>
      <c r="S1132" s="1">
        <v>6.2791912019999998</v>
      </c>
      <c r="T1132" s="1">
        <v>5.2773631679999999</v>
      </c>
      <c r="U1132" s="1">
        <v>5.2628748920000001</v>
      </c>
      <c r="V1132" s="1">
        <v>5.9705432629999997</v>
      </c>
      <c r="W1132" s="1">
        <v>5.6059572260000001</v>
      </c>
      <c r="X1132" s="1">
        <v>5.9915198639999998</v>
      </c>
      <c r="Y1132" s="1">
        <v>6.399298012</v>
      </c>
      <c r="Z1132" s="1">
        <v>5.7795948069999996</v>
      </c>
      <c r="AA1132" s="1">
        <v>6.2791912019999998</v>
      </c>
      <c r="AB1132" s="1">
        <v>5.9325296429999996</v>
      </c>
      <c r="AC1132" s="1">
        <v>5.9991619270000003</v>
      </c>
      <c r="AD1132" s="1">
        <v>6.4155919319999999</v>
      </c>
      <c r="AE1132" s="1">
        <v>6.0995676599999999</v>
      </c>
    </row>
    <row r="1133" spans="1:31" x14ac:dyDescent="0.25">
      <c r="A1133" s="1" t="s">
        <v>106</v>
      </c>
      <c r="B1133" s="1" t="s">
        <v>2942</v>
      </c>
      <c r="C1133" s="1" t="s">
        <v>2943</v>
      </c>
      <c r="D1133" s="1" t="s">
        <v>2535</v>
      </c>
      <c r="E1133" s="1" t="s">
        <v>4410</v>
      </c>
      <c r="F1133" s="1" t="s">
        <v>4411</v>
      </c>
      <c r="G1133" s="1" t="s">
        <v>106</v>
      </c>
      <c r="H1133" s="1">
        <v>5.5896774330000003</v>
      </c>
      <c r="I1133" s="1">
        <v>5.7476087250000001</v>
      </c>
      <c r="J1133" s="1">
        <v>4.5940881259999999</v>
      </c>
      <c r="K1133" s="1">
        <v>4.4318297590000002</v>
      </c>
      <c r="L1133" s="1">
        <v>3.8629070379999999</v>
      </c>
      <c r="M1133" s="1">
        <v>4.059937712</v>
      </c>
      <c r="N1133" s="1">
        <v>5.8624363539999997</v>
      </c>
      <c r="O1133" s="1">
        <v>5.5778556410000002</v>
      </c>
      <c r="P1133" s="1">
        <v>4.3303557189999999</v>
      </c>
      <c r="Q1133" s="1">
        <v>4.18747588</v>
      </c>
      <c r="R1133" s="1">
        <v>3.1834741979999999</v>
      </c>
      <c r="S1133" s="1">
        <v>3.7977317990000001</v>
      </c>
      <c r="T1133" s="1">
        <v>3.8629070379999999</v>
      </c>
      <c r="U1133" s="1">
        <v>4.059937712</v>
      </c>
      <c r="V1133" s="1">
        <v>3.9849921849999999</v>
      </c>
      <c r="W1133" s="1">
        <v>3.8431653940000001</v>
      </c>
      <c r="X1133" s="1">
        <v>4.2198471</v>
      </c>
      <c r="Y1133" s="1">
        <v>4.2532353330000001</v>
      </c>
      <c r="Z1133" s="1">
        <v>3.1834741979999999</v>
      </c>
      <c r="AA1133" s="1">
        <v>3.7977317990000001</v>
      </c>
      <c r="AB1133" s="1">
        <v>4.139369361</v>
      </c>
      <c r="AC1133" s="1">
        <v>3.7481372300000002</v>
      </c>
      <c r="AD1133" s="1">
        <v>4.5511338559999999</v>
      </c>
      <c r="AE1133" s="1">
        <v>4.0685293649999998</v>
      </c>
    </row>
    <row r="1134" spans="1:31" x14ac:dyDescent="0.25">
      <c r="A1134" s="1" t="s">
        <v>107</v>
      </c>
      <c r="B1134" s="1" t="s">
        <v>2557</v>
      </c>
      <c r="C1134" s="1" t="s">
        <v>3771</v>
      </c>
      <c r="D1134" s="1" t="s">
        <v>3772</v>
      </c>
      <c r="E1134" s="1" t="s">
        <v>4412</v>
      </c>
      <c r="F1134" s="1" t="s">
        <v>4413</v>
      </c>
      <c r="G1134" s="1" t="s">
        <v>107</v>
      </c>
      <c r="H1134" s="1">
        <v>2.9945681560000001</v>
      </c>
      <c r="I1134" s="1">
        <v>3.7806045529999999</v>
      </c>
      <c r="J1134" s="1">
        <v>4.2018709520000002</v>
      </c>
      <c r="K1134" s="1">
        <v>4.2434183680000004</v>
      </c>
      <c r="L1134" s="1">
        <v>4.4107687259999997</v>
      </c>
      <c r="M1134" s="1">
        <v>3.8521266660000002</v>
      </c>
      <c r="N1134" s="1">
        <v>4.4510307109999996</v>
      </c>
      <c r="O1134" s="1">
        <v>4.2189785100000003</v>
      </c>
      <c r="P1134" s="1">
        <v>3.86011382</v>
      </c>
      <c r="Q1134" s="1">
        <v>4.0840108080000004</v>
      </c>
      <c r="R1134" s="1">
        <v>4.1841942410000001</v>
      </c>
      <c r="S1134" s="1">
        <v>3.9182367880000002</v>
      </c>
      <c r="T1134" s="1">
        <v>4.4107687259999997</v>
      </c>
      <c r="U1134" s="1">
        <v>3.8521266660000002</v>
      </c>
      <c r="V1134" s="1">
        <v>4.3163797720000003</v>
      </c>
      <c r="W1134" s="1">
        <v>4.4367165279999998</v>
      </c>
      <c r="X1134" s="1">
        <v>4.2198471</v>
      </c>
      <c r="Y1134" s="1">
        <v>4.0337379980000003</v>
      </c>
      <c r="Z1134" s="1">
        <v>4.1841942410000001</v>
      </c>
      <c r="AA1134" s="1">
        <v>3.9182367880000002</v>
      </c>
      <c r="AB1134" s="1">
        <v>3.6315729079999999</v>
      </c>
      <c r="AC1134" s="1">
        <v>4.3377211620000002</v>
      </c>
      <c r="AD1134" s="1">
        <v>3.1944880649999998</v>
      </c>
      <c r="AE1134" s="1">
        <v>4.1773695330000002</v>
      </c>
    </row>
    <row r="1135" spans="1:31" x14ac:dyDescent="0.25">
      <c r="A1135" s="1" t="s">
        <v>109</v>
      </c>
      <c r="B1135" s="1" t="s">
        <v>2667</v>
      </c>
      <c r="C1135" s="1" t="s">
        <v>2781</v>
      </c>
      <c r="D1135" s="1" t="s">
        <v>4414</v>
      </c>
      <c r="E1135" s="1" t="s">
        <v>4415</v>
      </c>
      <c r="F1135" s="1" t="s">
        <v>4416</v>
      </c>
      <c r="G1135" s="1" t="s">
        <v>109</v>
      </c>
      <c r="H1135" s="1">
        <v>7.7220783649999998</v>
      </c>
      <c r="I1135" s="1">
        <v>7.3186245129999996</v>
      </c>
      <c r="J1135" s="1">
        <v>7.9971749909999996</v>
      </c>
      <c r="K1135" s="1">
        <v>7.9924888620000001</v>
      </c>
      <c r="L1135" s="1">
        <v>7.1175827470000002</v>
      </c>
      <c r="M1135" s="1">
        <v>7.380704326</v>
      </c>
      <c r="N1135" s="1">
        <v>7.0252897240000003</v>
      </c>
      <c r="O1135" s="1">
        <v>7.5212253389999999</v>
      </c>
      <c r="P1135" s="1">
        <v>7.4204449840000004</v>
      </c>
      <c r="Q1135" s="1">
        <v>7.4255456510000002</v>
      </c>
      <c r="R1135" s="1">
        <v>7.7562709559999998</v>
      </c>
      <c r="S1135" s="1">
        <v>7.8619690479999997</v>
      </c>
      <c r="T1135" s="1">
        <v>7.1175827470000002</v>
      </c>
      <c r="U1135" s="1">
        <v>7.380704326</v>
      </c>
      <c r="V1135" s="1">
        <v>7.4931841910000001</v>
      </c>
      <c r="W1135" s="1">
        <v>7.2845395589999997</v>
      </c>
      <c r="X1135" s="1">
        <v>7.4131801910000004</v>
      </c>
      <c r="Y1135" s="1">
        <v>7.5267088309999997</v>
      </c>
      <c r="Z1135" s="1">
        <v>7.7562709559999998</v>
      </c>
      <c r="AA1135" s="1">
        <v>7.8619690479999997</v>
      </c>
      <c r="AB1135" s="1">
        <v>7.5839343819999998</v>
      </c>
      <c r="AC1135" s="1">
        <v>7.8246989600000001</v>
      </c>
      <c r="AD1135" s="1">
        <v>7.4939684189999998</v>
      </c>
      <c r="AE1135" s="1">
        <v>7.4724121490000002</v>
      </c>
    </row>
    <row r="1136" spans="1:31" x14ac:dyDescent="0.25">
      <c r="A1136" s="1" t="s">
        <v>114</v>
      </c>
      <c r="B1136" s="1" t="s">
        <v>2530</v>
      </c>
      <c r="C1136" s="1" t="s">
        <v>2531</v>
      </c>
      <c r="D1136" s="1" t="s">
        <v>2535</v>
      </c>
      <c r="E1136" s="1" t="s">
        <v>2536</v>
      </c>
      <c r="G1136" s="1" t="s">
        <v>114</v>
      </c>
      <c r="H1136" s="1">
        <v>4.5667504939999999</v>
      </c>
      <c r="I1136" s="1">
        <v>5.2436995780000002</v>
      </c>
      <c r="J1136" s="1">
        <v>4.2898244959999996</v>
      </c>
      <c r="K1136" s="1">
        <v>3.607491666</v>
      </c>
      <c r="L1136" s="1">
        <v>3.8051274570000002</v>
      </c>
      <c r="M1136" s="1">
        <v>4.059937712</v>
      </c>
      <c r="N1136" s="1">
        <v>3.9164981490000002</v>
      </c>
      <c r="O1136" s="1">
        <v>4.1585876539999997</v>
      </c>
      <c r="P1136" s="1">
        <v>4.2485661720000003</v>
      </c>
      <c r="Q1136" s="1">
        <v>4.18747588</v>
      </c>
      <c r="R1136" s="1">
        <v>3.1834741979999999</v>
      </c>
      <c r="S1136" s="1">
        <v>4.3135540739999998</v>
      </c>
      <c r="T1136" s="1">
        <v>3.8051274570000002</v>
      </c>
      <c r="U1136" s="1">
        <v>4.059937712</v>
      </c>
      <c r="V1136" s="1">
        <v>4.1608706030000002</v>
      </c>
      <c r="W1136" s="1">
        <v>4.4367165279999998</v>
      </c>
      <c r="X1136" s="1">
        <v>4.0022987600000004</v>
      </c>
      <c r="Y1136" s="1">
        <v>4.1479647589999997</v>
      </c>
      <c r="Z1136" s="1">
        <v>3.1834741979999999</v>
      </c>
      <c r="AA1136" s="1">
        <v>4.3135540739999998</v>
      </c>
      <c r="AB1136" s="1">
        <v>3.6315729079999999</v>
      </c>
      <c r="AC1136" s="1">
        <v>4.1685844940000001</v>
      </c>
      <c r="AD1136" s="1">
        <v>4.2005997429999997</v>
      </c>
      <c r="AE1136" s="1">
        <v>3.8864783150000002</v>
      </c>
    </row>
    <row r="1137" spans="1:31" x14ac:dyDescent="0.25">
      <c r="A1137" s="1" t="s">
        <v>121</v>
      </c>
      <c r="B1137" s="1" t="s">
        <v>2608</v>
      </c>
      <c r="C1137" s="1" t="s">
        <v>2700</v>
      </c>
      <c r="D1137" s="1" t="s">
        <v>2701</v>
      </c>
      <c r="E1137" s="1" t="s">
        <v>4417</v>
      </c>
      <c r="F1137" s="1" t="s">
        <v>4418</v>
      </c>
      <c r="G1137" s="1" t="s">
        <v>121</v>
      </c>
      <c r="H1137" s="1">
        <v>7.1951035379999997</v>
      </c>
      <c r="I1137" s="1">
        <v>7.4073947770000004</v>
      </c>
      <c r="J1137" s="1">
        <v>7.9257967169999999</v>
      </c>
      <c r="K1137" s="1">
        <v>8.1831921019999996</v>
      </c>
      <c r="L1137" s="1">
        <v>8.296350318</v>
      </c>
      <c r="M1137" s="1">
        <v>8.32018901</v>
      </c>
      <c r="N1137" s="1">
        <v>7.8885033770000001</v>
      </c>
      <c r="O1137" s="1">
        <v>7.8651233710000001</v>
      </c>
      <c r="P1137" s="1">
        <v>8.0902018780000002</v>
      </c>
      <c r="Q1137" s="1">
        <v>7.8847868019999998</v>
      </c>
      <c r="R1137" s="1">
        <v>8.7381777770000006</v>
      </c>
      <c r="S1137" s="1">
        <v>8.341796746</v>
      </c>
      <c r="T1137" s="1">
        <v>8.296350318</v>
      </c>
      <c r="U1137" s="1">
        <v>8.32018901</v>
      </c>
      <c r="V1137" s="1">
        <v>8.3666662380000005</v>
      </c>
      <c r="W1137" s="1">
        <v>8.1286961190000007</v>
      </c>
      <c r="X1137" s="1">
        <v>8.111432228</v>
      </c>
      <c r="Y1137" s="1">
        <v>7.6715271349999998</v>
      </c>
      <c r="Z1137" s="1">
        <v>8.7381777770000006</v>
      </c>
      <c r="AA1137" s="1">
        <v>8.341796746</v>
      </c>
      <c r="AB1137" s="1">
        <v>8.1523051080000002</v>
      </c>
      <c r="AC1137" s="1">
        <v>8.2871113489999999</v>
      </c>
      <c r="AD1137" s="1">
        <v>7.6613417469999998</v>
      </c>
      <c r="AE1137" s="1">
        <v>7.7222105000000001</v>
      </c>
    </row>
    <row r="1138" spans="1:31" x14ac:dyDescent="0.25">
      <c r="A1138" s="1" t="s">
        <v>122</v>
      </c>
      <c r="B1138" s="1" t="s">
        <v>2608</v>
      </c>
      <c r="C1138" s="1" t="s">
        <v>2700</v>
      </c>
      <c r="D1138" s="1" t="s">
        <v>2701</v>
      </c>
      <c r="E1138" s="1" t="s">
        <v>4419</v>
      </c>
      <c r="F1138" s="1" t="s">
        <v>4420</v>
      </c>
      <c r="G1138" s="1" t="s">
        <v>122</v>
      </c>
      <c r="H1138" s="1">
        <v>7.7850543400000003</v>
      </c>
      <c r="I1138" s="1">
        <v>7.5354559999999999</v>
      </c>
      <c r="J1138" s="1">
        <v>9.0318914079999999</v>
      </c>
      <c r="K1138" s="1">
        <v>8.9625298789999999</v>
      </c>
      <c r="L1138" s="1">
        <v>9.3363374340000007</v>
      </c>
      <c r="M1138" s="1">
        <v>9.4719537000000003</v>
      </c>
      <c r="N1138" s="1">
        <v>8.123323997</v>
      </c>
      <c r="O1138" s="1">
        <v>8.4501740989999998</v>
      </c>
      <c r="P1138" s="1">
        <v>9.0954738210000006</v>
      </c>
      <c r="Q1138" s="1">
        <v>8.908935477</v>
      </c>
      <c r="R1138" s="1">
        <v>9.4328170450000002</v>
      </c>
      <c r="S1138" s="1">
        <v>9.4265598859999997</v>
      </c>
      <c r="T1138" s="1">
        <v>9.3363374340000007</v>
      </c>
      <c r="U1138" s="1">
        <v>9.4719537000000003</v>
      </c>
      <c r="V1138" s="1">
        <v>9.1440625390000001</v>
      </c>
      <c r="W1138" s="1">
        <v>9.1261580420000001</v>
      </c>
      <c r="X1138" s="1">
        <v>8.9421696169999993</v>
      </c>
      <c r="Y1138" s="1">
        <v>8.8683180660000005</v>
      </c>
      <c r="Z1138" s="1">
        <v>9.4328170450000002</v>
      </c>
      <c r="AA1138" s="1">
        <v>9.4265598859999997</v>
      </c>
      <c r="AB1138" s="1">
        <v>9.0479648729999997</v>
      </c>
      <c r="AC1138" s="1">
        <v>8.971854166</v>
      </c>
      <c r="AD1138" s="1">
        <v>8.916667189</v>
      </c>
      <c r="AE1138" s="1">
        <v>8.9435493259999994</v>
      </c>
    </row>
    <row r="1139" spans="1:31" x14ac:dyDescent="0.25">
      <c r="A1139" s="1" t="s">
        <v>123</v>
      </c>
      <c r="B1139" s="1" t="s">
        <v>2608</v>
      </c>
      <c r="C1139" s="1" t="s">
        <v>2700</v>
      </c>
      <c r="D1139" s="1" t="s">
        <v>2701</v>
      </c>
      <c r="E1139" s="1" t="s">
        <v>4421</v>
      </c>
      <c r="F1139" s="1" t="s">
        <v>4422</v>
      </c>
      <c r="G1139" s="1" t="s">
        <v>123</v>
      </c>
      <c r="H1139" s="1">
        <v>7.2213707080000002</v>
      </c>
      <c r="I1139" s="1">
        <v>7.0511021019999998</v>
      </c>
      <c r="J1139" s="1">
        <v>8.5132212700000007</v>
      </c>
      <c r="K1139" s="1">
        <v>8.481784974</v>
      </c>
      <c r="L1139" s="1">
        <v>8.5144013100000002</v>
      </c>
      <c r="M1139" s="1">
        <v>8.5620379460000002</v>
      </c>
      <c r="N1139" s="1">
        <v>6.9121873169999999</v>
      </c>
      <c r="O1139" s="1">
        <v>7.3813299060000004</v>
      </c>
      <c r="P1139" s="1">
        <v>8.424461376</v>
      </c>
      <c r="Q1139" s="1">
        <v>8.2090516969999996</v>
      </c>
      <c r="R1139" s="1">
        <v>8.6582337599999999</v>
      </c>
      <c r="S1139" s="1">
        <v>8.6526966650000006</v>
      </c>
      <c r="T1139" s="1">
        <v>8.5144013100000002</v>
      </c>
      <c r="U1139" s="1">
        <v>8.5620379460000002</v>
      </c>
      <c r="V1139" s="1">
        <v>8.3184553759999993</v>
      </c>
      <c r="W1139" s="1">
        <v>8.4113353770000003</v>
      </c>
      <c r="X1139" s="1">
        <v>8.4039004009999996</v>
      </c>
      <c r="Y1139" s="1">
        <v>8.2775339349999992</v>
      </c>
      <c r="Z1139" s="1">
        <v>8.6582337599999999</v>
      </c>
      <c r="AA1139" s="1">
        <v>8.6526966650000006</v>
      </c>
      <c r="AB1139" s="1">
        <v>8.1936481229999991</v>
      </c>
      <c r="AC1139" s="1">
        <v>8.5051346819999996</v>
      </c>
      <c r="AD1139" s="1">
        <v>8.4673724210000003</v>
      </c>
      <c r="AE1139" s="1">
        <v>8.2371254169999997</v>
      </c>
    </row>
    <row r="1140" spans="1:31" x14ac:dyDescent="0.25">
      <c r="A1140" s="1" t="s">
        <v>124</v>
      </c>
      <c r="B1140" s="1" t="s">
        <v>2608</v>
      </c>
      <c r="C1140" s="1" t="s">
        <v>2700</v>
      </c>
      <c r="D1140" s="1" t="s">
        <v>2701</v>
      </c>
      <c r="E1140" s="1" t="s">
        <v>4423</v>
      </c>
      <c r="F1140" s="1" t="s">
        <v>4424</v>
      </c>
      <c r="G1140" s="1" t="s">
        <v>124</v>
      </c>
      <c r="H1140" s="1">
        <v>8.9277896719999994</v>
      </c>
      <c r="I1140" s="1">
        <v>8.3644595089999996</v>
      </c>
      <c r="J1140" s="1">
        <v>10.30556943</v>
      </c>
      <c r="K1140" s="1">
        <v>10.19987854</v>
      </c>
      <c r="L1140" s="1">
        <v>9.8575294339999999</v>
      </c>
      <c r="M1140" s="1">
        <v>10.07017329</v>
      </c>
      <c r="N1140" s="1">
        <v>8.4465414699999997</v>
      </c>
      <c r="O1140" s="1">
        <v>8.9494692619999991</v>
      </c>
      <c r="P1140" s="1">
        <v>9.9299394939999992</v>
      </c>
      <c r="Q1140" s="1">
        <v>9.631288434</v>
      </c>
      <c r="R1140" s="1">
        <v>10.29980497</v>
      </c>
      <c r="S1140" s="1">
        <v>10.28807144</v>
      </c>
      <c r="T1140" s="1">
        <v>9.8575294339999999</v>
      </c>
      <c r="U1140" s="1">
        <v>10.07017329</v>
      </c>
      <c r="V1140" s="1">
        <v>10.08668441</v>
      </c>
      <c r="W1140" s="1">
        <v>10.16256958</v>
      </c>
      <c r="X1140" s="1">
        <v>9.7147200040000001</v>
      </c>
      <c r="Y1140" s="1">
        <v>9.8938931140000008</v>
      </c>
      <c r="Z1140" s="1">
        <v>10.29980497</v>
      </c>
      <c r="AA1140" s="1">
        <v>10.28807144</v>
      </c>
      <c r="AB1140" s="1">
        <v>10.04566786</v>
      </c>
      <c r="AC1140" s="1">
        <v>9.9932991300000005</v>
      </c>
      <c r="AD1140" s="1">
        <v>9.9232808640000005</v>
      </c>
      <c r="AE1140" s="1">
        <v>9.8471664850000007</v>
      </c>
    </row>
    <row r="1141" spans="1:31" x14ac:dyDescent="0.25">
      <c r="A1141" s="1" t="s">
        <v>126</v>
      </c>
      <c r="B1141" s="1" t="s">
        <v>2608</v>
      </c>
      <c r="C1141" s="1" t="s">
        <v>2700</v>
      </c>
      <c r="D1141" s="1" t="s">
        <v>2701</v>
      </c>
      <c r="E1141" s="1" t="s">
        <v>4425</v>
      </c>
      <c r="F1141" s="1" t="s">
        <v>4426</v>
      </c>
      <c r="G1141" s="1" t="s">
        <v>126</v>
      </c>
      <c r="H1141" s="1">
        <v>7.8705015310000004</v>
      </c>
      <c r="I1141" s="1">
        <v>7.4264005519999996</v>
      </c>
      <c r="J1141" s="1">
        <v>8.2833559369999996</v>
      </c>
      <c r="K1141" s="1">
        <v>8.6891687179999995</v>
      </c>
      <c r="L1141" s="1">
        <v>7.9972981650000001</v>
      </c>
      <c r="M1141" s="1">
        <v>8.206660093</v>
      </c>
      <c r="N1141" s="1">
        <v>6.7894418200000004</v>
      </c>
      <c r="O1141" s="1">
        <v>7.3813299060000004</v>
      </c>
      <c r="P1141" s="1">
        <v>8.0787576310000002</v>
      </c>
      <c r="Q1141" s="1">
        <v>8.1172968210000001</v>
      </c>
      <c r="R1141" s="1">
        <v>8.2624772209999993</v>
      </c>
      <c r="S1141" s="1">
        <v>8.3620624279999998</v>
      </c>
      <c r="T1141" s="1">
        <v>7.9972981650000001</v>
      </c>
      <c r="U1141" s="1">
        <v>8.206660093</v>
      </c>
      <c r="V1141" s="1">
        <v>8.2169122049999999</v>
      </c>
      <c r="W1141" s="1">
        <v>8.1359391419999998</v>
      </c>
      <c r="X1141" s="1">
        <v>7.8222859869999999</v>
      </c>
      <c r="Y1141" s="1">
        <v>8.1249187670000005</v>
      </c>
      <c r="Z1141" s="1">
        <v>8.2624772209999993</v>
      </c>
      <c r="AA1141" s="1">
        <v>8.3620624279999998</v>
      </c>
      <c r="AB1141" s="1">
        <v>8.0298120819999994</v>
      </c>
      <c r="AC1141" s="1">
        <v>8.0539014069999997</v>
      </c>
      <c r="AD1141" s="1">
        <v>7.9398884570000003</v>
      </c>
      <c r="AE1141" s="1">
        <v>8.0184724519999993</v>
      </c>
    </row>
    <row r="1142" spans="1:31" x14ac:dyDescent="0.25">
      <c r="A1142" s="1" t="s">
        <v>127</v>
      </c>
      <c r="B1142" s="1" t="s">
        <v>2608</v>
      </c>
      <c r="C1142" s="1" t="s">
        <v>2700</v>
      </c>
      <c r="D1142" s="1" t="s">
        <v>3868</v>
      </c>
      <c r="E1142" s="1" t="s">
        <v>4427</v>
      </c>
      <c r="F1142" s="1" t="s">
        <v>4428</v>
      </c>
      <c r="G1142" s="1" t="s">
        <v>127</v>
      </c>
      <c r="H1142" s="1">
        <v>9.0968593010000003</v>
      </c>
      <c r="I1142" s="1">
        <v>8.6374103140000003</v>
      </c>
      <c r="J1142" s="1">
        <v>10.25881485</v>
      </c>
      <c r="K1142" s="1">
        <v>10.32222923</v>
      </c>
      <c r="L1142" s="1">
        <v>10.12568634</v>
      </c>
      <c r="M1142" s="1">
        <v>10.348815829999999</v>
      </c>
      <c r="N1142" s="1">
        <v>8.2589522649999996</v>
      </c>
      <c r="O1142" s="1">
        <v>8.6221375580000004</v>
      </c>
      <c r="P1142" s="1">
        <v>9.9347077800000001</v>
      </c>
      <c r="Q1142" s="1">
        <v>9.9565412500000008</v>
      </c>
      <c r="R1142" s="1">
        <v>10.58565183</v>
      </c>
      <c r="S1142" s="1">
        <v>10.34771658</v>
      </c>
      <c r="T1142" s="1">
        <v>10.12568634</v>
      </c>
      <c r="U1142" s="1">
        <v>10.348815829999999</v>
      </c>
      <c r="V1142" s="1">
        <v>10.089298579999999</v>
      </c>
      <c r="W1142" s="1">
        <v>9.9303112959999993</v>
      </c>
      <c r="X1142" s="1">
        <v>9.7157973700000007</v>
      </c>
      <c r="Y1142" s="1">
        <v>9.7338049770000001</v>
      </c>
      <c r="Z1142" s="1">
        <v>10.58565183</v>
      </c>
      <c r="AA1142" s="1">
        <v>10.34771658</v>
      </c>
      <c r="AB1142" s="1">
        <v>10.0879379</v>
      </c>
      <c r="AC1142" s="1">
        <v>10.16115265</v>
      </c>
      <c r="AD1142" s="1">
        <v>9.9486745770000002</v>
      </c>
      <c r="AE1142" s="1">
        <v>9.8251784279999992</v>
      </c>
    </row>
    <row r="1143" spans="1:31" x14ac:dyDescent="0.25">
      <c r="A1143" s="1" t="s">
        <v>128</v>
      </c>
      <c r="B1143" s="1" t="s">
        <v>2608</v>
      </c>
      <c r="C1143" s="1" t="s">
        <v>2700</v>
      </c>
      <c r="D1143" s="1" t="s">
        <v>2701</v>
      </c>
      <c r="E1143" s="1" t="s">
        <v>4429</v>
      </c>
      <c r="F1143" s="1" t="s">
        <v>4430</v>
      </c>
      <c r="G1143" s="1" t="s">
        <v>128</v>
      </c>
      <c r="H1143" s="1">
        <v>7.8787742549999997</v>
      </c>
      <c r="I1143" s="1">
        <v>7.8488900639999999</v>
      </c>
      <c r="J1143" s="1">
        <v>9.3220033719999993</v>
      </c>
      <c r="K1143" s="1">
        <v>9.4657228159999995</v>
      </c>
      <c r="L1143" s="1">
        <v>8.8661532839999992</v>
      </c>
      <c r="M1143" s="1">
        <v>9.0269025060000008</v>
      </c>
      <c r="N1143" s="1">
        <v>7.5024475429999997</v>
      </c>
      <c r="O1143" s="1">
        <v>7.7901410919999998</v>
      </c>
      <c r="P1143" s="1">
        <v>8.7863785179999994</v>
      </c>
      <c r="Q1143" s="1">
        <v>8.6629121419999997</v>
      </c>
      <c r="R1143" s="1">
        <v>9.4201168549999998</v>
      </c>
      <c r="S1143" s="1">
        <v>9.1045046989999996</v>
      </c>
      <c r="T1143" s="1">
        <v>8.8661532839999992</v>
      </c>
      <c r="U1143" s="1">
        <v>9.0269025060000008</v>
      </c>
      <c r="V1143" s="1">
        <v>8.9506014379999996</v>
      </c>
      <c r="W1143" s="1">
        <v>8.8679956759999996</v>
      </c>
      <c r="X1143" s="1">
        <v>8.7536116469999996</v>
      </c>
      <c r="Y1143" s="1">
        <v>8.7428262649999997</v>
      </c>
      <c r="Z1143" s="1">
        <v>9.4201168549999998</v>
      </c>
      <c r="AA1143" s="1">
        <v>9.1045046989999996</v>
      </c>
      <c r="AB1143" s="1">
        <v>9.0343763100000007</v>
      </c>
      <c r="AC1143" s="1">
        <v>9.0087601270000004</v>
      </c>
      <c r="AD1143" s="1">
        <v>8.9385606289999995</v>
      </c>
      <c r="AE1143" s="1">
        <v>8.9059511980000003</v>
      </c>
    </row>
    <row r="1144" spans="1:31" x14ac:dyDescent="0.25">
      <c r="A1144" s="1" t="s">
        <v>131</v>
      </c>
      <c r="B1144" s="1" t="s">
        <v>2608</v>
      </c>
      <c r="C1144" s="1" t="s">
        <v>2700</v>
      </c>
      <c r="D1144" s="1" t="s">
        <v>2701</v>
      </c>
      <c r="E1144" s="1" t="s">
        <v>4431</v>
      </c>
      <c r="F1144" s="1" t="s">
        <v>4432</v>
      </c>
      <c r="G1144" s="1" t="s">
        <v>131</v>
      </c>
      <c r="H1144" s="1">
        <v>8.0201003810000007</v>
      </c>
      <c r="I1144" s="1">
        <v>7.3977970910000002</v>
      </c>
      <c r="J1144" s="1">
        <v>9.0349779239999997</v>
      </c>
      <c r="K1144" s="1">
        <v>9.0904861720000003</v>
      </c>
      <c r="L1144" s="1">
        <v>9.0683054129999991</v>
      </c>
      <c r="M1144" s="1">
        <v>9.2336597719999993</v>
      </c>
      <c r="N1144" s="1">
        <v>7.4110769220000003</v>
      </c>
      <c r="O1144" s="1">
        <v>7.3555515219999998</v>
      </c>
      <c r="P1144" s="1">
        <v>8.8914941540000001</v>
      </c>
      <c r="Q1144" s="1">
        <v>8.8147201210000006</v>
      </c>
      <c r="R1144" s="1">
        <v>9.2030226049999992</v>
      </c>
      <c r="S1144" s="1">
        <v>9.1976542769999998</v>
      </c>
      <c r="T1144" s="1">
        <v>9.0683054129999991</v>
      </c>
      <c r="U1144" s="1">
        <v>9.2336597719999993</v>
      </c>
      <c r="V1144" s="1">
        <v>8.8798849910000008</v>
      </c>
      <c r="W1144" s="1">
        <v>9.0048234760000003</v>
      </c>
      <c r="X1144" s="1">
        <v>8.8132137739999994</v>
      </c>
      <c r="Y1144" s="1">
        <v>8.9763459220000001</v>
      </c>
      <c r="Z1144" s="1">
        <v>9.2030226049999992</v>
      </c>
      <c r="AA1144" s="1">
        <v>9.1976542769999998</v>
      </c>
      <c r="AB1144" s="1">
        <v>9.1731151579999999</v>
      </c>
      <c r="AC1144" s="1">
        <v>8.7823722239999995</v>
      </c>
      <c r="AD1144" s="1">
        <v>8.9493839939999997</v>
      </c>
      <c r="AE1144" s="1">
        <v>8.8377001219999993</v>
      </c>
    </row>
    <row r="1145" spans="1:31" x14ac:dyDescent="0.25">
      <c r="A1145" s="1" t="s">
        <v>132</v>
      </c>
      <c r="B1145" s="1" t="s">
        <v>2608</v>
      </c>
      <c r="C1145" s="1" t="s">
        <v>2700</v>
      </c>
      <c r="D1145" s="1" t="s">
        <v>2701</v>
      </c>
      <c r="E1145" s="1" t="s">
        <v>4433</v>
      </c>
      <c r="F1145" s="1" t="s">
        <v>4434</v>
      </c>
      <c r="G1145" s="1" t="s">
        <v>132</v>
      </c>
      <c r="H1145" s="1">
        <v>8.310416043</v>
      </c>
      <c r="I1145" s="1">
        <v>8.1179496229999994</v>
      </c>
      <c r="J1145" s="1">
        <v>9.7192882110000003</v>
      </c>
      <c r="K1145" s="1">
        <v>9.7886083209999999</v>
      </c>
      <c r="L1145" s="1">
        <v>9.6336418029999997</v>
      </c>
      <c r="M1145" s="1">
        <v>9.7780881970000006</v>
      </c>
      <c r="N1145" s="1">
        <v>7.7895528040000004</v>
      </c>
      <c r="O1145" s="1">
        <v>8.0810236520000007</v>
      </c>
      <c r="P1145" s="1">
        <v>9.3137363769999997</v>
      </c>
      <c r="Q1145" s="1">
        <v>9.5281900180000001</v>
      </c>
      <c r="R1145" s="1">
        <v>9.7973591879999997</v>
      </c>
      <c r="S1145" s="1">
        <v>9.7174675669999999</v>
      </c>
      <c r="T1145" s="1">
        <v>9.6336418029999997</v>
      </c>
      <c r="U1145" s="1">
        <v>9.7780881970000006</v>
      </c>
      <c r="V1145" s="1">
        <v>9.1689917009999995</v>
      </c>
      <c r="W1145" s="1">
        <v>9.2811712649999993</v>
      </c>
      <c r="X1145" s="1">
        <v>9.3020475789999999</v>
      </c>
      <c r="Y1145" s="1">
        <v>9.3041240690000002</v>
      </c>
      <c r="Z1145" s="1">
        <v>9.7973591879999997</v>
      </c>
      <c r="AA1145" s="1">
        <v>9.7174675669999999</v>
      </c>
      <c r="AB1145" s="1">
        <v>9.4402662910000004</v>
      </c>
      <c r="AC1145" s="1">
        <v>9.5535678819999994</v>
      </c>
      <c r="AD1145" s="1">
        <v>9.4461742310000005</v>
      </c>
      <c r="AE1145" s="1">
        <v>9.2972341400000005</v>
      </c>
    </row>
    <row r="1146" spans="1:31" x14ac:dyDescent="0.25">
      <c r="A1146" s="1" t="s">
        <v>133</v>
      </c>
      <c r="B1146" s="1" t="s">
        <v>2608</v>
      </c>
      <c r="C1146" s="1" t="s">
        <v>2700</v>
      </c>
      <c r="D1146" s="1" t="s">
        <v>2701</v>
      </c>
      <c r="E1146" s="1" t="s">
        <v>4435</v>
      </c>
      <c r="F1146" s="1" t="s">
        <v>4436</v>
      </c>
      <c r="G1146" s="1" t="s">
        <v>133</v>
      </c>
      <c r="H1146" s="1">
        <v>8.7677595860000004</v>
      </c>
      <c r="I1146" s="1">
        <v>8.3985356870000007</v>
      </c>
      <c r="J1146" s="1">
        <v>9.7885868130000002</v>
      </c>
      <c r="K1146" s="1">
        <v>9.99891766</v>
      </c>
      <c r="L1146" s="1">
        <v>9.6424398440000001</v>
      </c>
      <c r="M1146" s="1">
        <v>9.8686859370000004</v>
      </c>
      <c r="N1146" s="1">
        <v>8.3572345559999999</v>
      </c>
      <c r="O1146" s="1">
        <v>8.5214378110000002</v>
      </c>
      <c r="P1146" s="1">
        <v>9.5823834659999996</v>
      </c>
      <c r="Q1146" s="1">
        <v>9.6575808890000001</v>
      </c>
      <c r="R1146" s="1">
        <v>9.8905309490000004</v>
      </c>
      <c r="S1146" s="1">
        <v>9.9138436280000004</v>
      </c>
      <c r="T1146" s="1">
        <v>9.6424398440000001</v>
      </c>
      <c r="U1146" s="1">
        <v>9.8686859370000004</v>
      </c>
      <c r="V1146" s="1">
        <v>9.2128065360000004</v>
      </c>
      <c r="W1146" s="1">
        <v>9.3230179549999992</v>
      </c>
      <c r="X1146" s="1">
        <v>9.4888371429999996</v>
      </c>
      <c r="Y1146" s="1">
        <v>9.1043178460000007</v>
      </c>
      <c r="Z1146" s="1">
        <v>9.8905309490000004</v>
      </c>
      <c r="AA1146" s="1">
        <v>9.9138436280000004</v>
      </c>
      <c r="AB1146" s="1">
        <v>9.7344368939999999</v>
      </c>
      <c r="AC1146" s="1">
        <v>9.7278495009999997</v>
      </c>
      <c r="AD1146" s="1">
        <v>9.6523201319999998</v>
      </c>
      <c r="AE1146" s="1">
        <v>9.3804632580000007</v>
      </c>
    </row>
    <row r="1147" spans="1:31" x14ac:dyDescent="0.25">
      <c r="A1147" s="1" t="s">
        <v>134</v>
      </c>
      <c r="B1147" s="1" t="s">
        <v>2608</v>
      </c>
      <c r="C1147" s="1" t="s">
        <v>2700</v>
      </c>
      <c r="D1147" s="1" t="s">
        <v>3868</v>
      </c>
      <c r="E1147" s="1" t="s">
        <v>4437</v>
      </c>
      <c r="F1147" s="1" t="s">
        <v>4438</v>
      </c>
      <c r="G1147" s="1" t="s">
        <v>134</v>
      </c>
      <c r="H1147" s="1">
        <v>7.935391471</v>
      </c>
      <c r="I1147" s="1">
        <v>7.500012935</v>
      </c>
      <c r="J1147" s="1">
        <v>8.7191373310000007</v>
      </c>
      <c r="K1147" s="1">
        <v>9.0870808889999992</v>
      </c>
      <c r="L1147" s="1">
        <v>8.720493372</v>
      </c>
      <c r="M1147" s="1">
        <v>8.8131154209999991</v>
      </c>
      <c r="N1147" s="1">
        <v>6.9355293360000001</v>
      </c>
      <c r="O1147" s="1">
        <v>7.3684983370000001</v>
      </c>
      <c r="P1147" s="1">
        <v>8.5416256629999996</v>
      </c>
      <c r="Q1147" s="1">
        <v>8.7387611839999995</v>
      </c>
      <c r="R1147" s="1">
        <v>9.2323776429999995</v>
      </c>
      <c r="S1147" s="1">
        <v>9.1663078860000002</v>
      </c>
      <c r="T1147" s="1">
        <v>8.720493372</v>
      </c>
      <c r="U1147" s="1">
        <v>8.8131154209999991</v>
      </c>
      <c r="V1147" s="1">
        <v>8.5524483480000004</v>
      </c>
      <c r="W1147" s="1">
        <v>8.5907153100000002</v>
      </c>
      <c r="X1147" s="1">
        <v>8.466689036</v>
      </c>
      <c r="Y1147" s="1">
        <v>8.4155349630000007</v>
      </c>
      <c r="Z1147" s="1">
        <v>9.2323776429999995</v>
      </c>
      <c r="AA1147" s="1">
        <v>9.1663078860000002</v>
      </c>
      <c r="AB1147" s="1">
        <v>8.5525975689999996</v>
      </c>
      <c r="AC1147" s="1">
        <v>8.7823722239999995</v>
      </c>
      <c r="AD1147" s="1">
        <v>8.4773782820000001</v>
      </c>
      <c r="AE1147" s="1">
        <v>8.4532592599999994</v>
      </c>
    </row>
    <row r="1148" spans="1:31" x14ac:dyDescent="0.25">
      <c r="A1148" s="1" t="s">
        <v>135</v>
      </c>
      <c r="B1148" s="1" t="s">
        <v>2608</v>
      </c>
      <c r="C1148" s="1" t="s">
        <v>2700</v>
      </c>
      <c r="D1148" s="1" t="s">
        <v>2701</v>
      </c>
      <c r="E1148" s="1" t="s">
        <v>4439</v>
      </c>
      <c r="F1148" s="1" t="s">
        <v>4440</v>
      </c>
      <c r="G1148" s="1" t="s">
        <v>135</v>
      </c>
      <c r="H1148" s="1">
        <v>8.6421975759999992</v>
      </c>
      <c r="I1148" s="1">
        <v>8.0764495109999999</v>
      </c>
      <c r="J1148" s="1">
        <v>9.3520123589999997</v>
      </c>
      <c r="K1148" s="1">
        <v>9.4041137119999991</v>
      </c>
      <c r="L1148" s="1">
        <v>9.488303427</v>
      </c>
      <c r="M1148" s="1">
        <v>9.4189693240000008</v>
      </c>
      <c r="N1148" s="1">
        <v>7.7240731240000002</v>
      </c>
      <c r="O1148" s="1">
        <v>8.1613126969999996</v>
      </c>
      <c r="P1148" s="1">
        <v>9.335534483</v>
      </c>
      <c r="Q1148" s="1">
        <v>9.128480326</v>
      </c>
      <c r="R1148" s="1">
        <v>9.5997923489999994</v>
      </c>
      <c r="S1148" s="1">
        <v>9.4456752799999997</v>
      </c>
      <c r="T1148" s="1">
        <v>9.488303427</v>
      </c>
      <c r="U1148" s="1">
        <v>9.4189693240000008</v>
      </c>
      <c r="V1148" s="1">
        <v>9.1615580810000008</v>
      </c>
      <c r="W1148" s="1">
        <v>9.2909364940000003</v>
      </c>
      <c r="X1148" s="1">
        <v>9.2056422470000001</v>
      </c>
      <c r="Y1148" s="1">
        <v>9.2528757010000007</v>
      </c>
      <c r="Z1148" s="1">
        <v>9.5997923489999994</v>
      </c>
      <c r="AA1148" s="1">
        <v>9.4456752799999997</v>
      </c>
      <c r="AB1148" s="1">
        <v>9.4264610809999994</v>
      </c>
      <c r="AC1148" s="1">
        <v>9.3505168940000001</v>
      </c>
      <c r="AD1148" s="1">
        <v>9.1472368050000004</v>
      </c>
      <c r="AE1148" s="1">
        <v>9.1554383850000001</v>
      </c>
    </row>
    <row r="1149" spans="1:31" x14ac:dyDescent="0.25">
      <c r="A1149" s="1" t="s">
        <v>136</v>
      </c>
      <c r="B1149" s="1" t="s">
        <v>2608</v>
      </c>
      <c r="C1149" s="1" t="s">
        <v>2700</v>
      </c>
      <c r="D1149" s="1" t="s">
        <v>2701</v>
      </c>
      <c r="E1149" s="1" t="s">
        <v>4441</v>
      </c>
      <c r="F1149" s="1" t="s">
        <v>4442</v>
      </c>
      <c r="G1149" s="1" t="s">
        <v>136</v>
      </c>
      <c r="H1149" s="1">
        <v>7.8951786789999998</v>
      </c>
      <c r="I1149" s="1">
        <v>7.6770650890000001</v>
      </c>
      <c r="J1149" s="1">
        <v>8.5653877499999993</v>
      </c>
      <c r="K1149" s="1">
        <v>8.5916058510000006</v>
      </c>
      <c r="L1149" s="1">
        <v>8.0154756949999992</v>
      </c>
      <c r="M1149" s="1">
        <v>8.2101299310000009</v>
      </c>
      <c r="N1149" s="1">
        <v>6.9584991550000002</v>
      </c>
      <c r="O1149" s="1">
        <v>7.2545560949999999</v>
      </c>
      <c r="P1149" s="1">
        <v>8.1184214019999992</v>
      </c>
      <c r="Q1149" s="1">
        <v>8.1423411469999998</v>
      </c>
      <c r="R1149" s="1">
        <v>8.5643930099999999</v>
      </c>
      <c r="S1149" s="1">
        <v>8.4780180299999994</v>
      </c>
      <c r="T1149" s="1">
        <v>8.0154756949999992</v>
      </c>
      <c r="U1149" s="1">
        <v>8.2101299310000009</v>
      </c>
      <c r="V1149" s="1">
        <v>8.3005167879999995</v>
      </c>
      <c r="W1149" s="1">
        <v>8.1503169710000005</v>
      </c>
      <c r="X1149" s="1">
        <v>8.1910691060000005</v>
      </c>
      <c r="Y1149" s="1">
        <v>7.9841119819999999</v>
      </c>
      <c r="Z1149" s="1">
        <v>8.5643930099999999</v>
      </c>
      <c r="AA1149" s="1">
        <v>8.4780180299999994</v>
      </c>
      <c r="AB1149" s="1">
        <v>8.3185041969999993</v>
      </c>
      <c r="AC1149" s="1">
        <v>8.4921608160000002</v>
      </c>
      <c r="AD1149" s="1">
        <v>8.2970506139999998</v>
      </c>
      <c r="AE1149" s="1">
        <v>8.2157710890000004</v>
      </c>
    </row>
    <row r="1150" spans="1:31" x14ac:dyDescent="0.25">
      <c r="A1150" s="1" t="s">
        <v>137</v>
      </c>
      <c r="B1150" s="1" t="s">
        <v>2608</v>
      </c>
      <c r="C1150" s="1" t="s">
        <v>2700</v>
      </c>
      <c r="D1150" s="1" t="s">
        <v>3868</v>
      </c>
      <c r="E1150" s="1" t="s">
        <v>4443</v>
      </c>
      <c r="F1150" s="1" t="s">
        <v>4444</v>
      </c>
      <c r="G1150" s="1" t="s">
        <v>137</v>
      </c>
      <c r="H1150" s="1">
        <v>8.6470482559999997</v>
      </c>
      <c r="I1150" s="1">
        <v>8.2030504420000003</v>
      </c>
      <c r="J1150" s="1">
        <v>9.3934841119999994</v>
      </c>
      <c r="K1150" s="1">
        <v>9.5718563270000008</v>
      </c>
      <c r="L1150" s="1">
        <v>9.0537221720000005</v>
      </c>
      <c r="M1150" s="1">
        <v>9.3624062559999999</v>
      </c>
      <c r="N1150" s="1">
        <v>7.4331026959999997</v>
      </c>
      <c r="O1150" s="1">
        <v>7.892266169</v>
      </c>
      <c r="P1150" s="1">
        <v>9.043444268</v>
      </c>
      <c r="Q1150" s="1">
        <v>9.1031947950000003</v>
      </c>
      <c r="R1150" s="1">
        <v>9.4995304659999995</v>
      </c>
      <c r="S1150" s="1">
        <v>9.5376280379999994</v>
      </c>
      <c r="T1150" s="1">
        <v>9.0537221720000005</v>
      </c>
      <c r="U1150" s="1">
        <v>9.3624062559999999</v>
      </c>
      <c r="V1150" s="1">
        <v>9.2294926079999993</v>
      </c>
      <c r="W1150" s="1">
        <v>9.2074654379999998</v>
      </c>
      <c r="X1150" s="1">
        <v>8.9892634699999991</v>
      </c>
      <c r="Y1150" s="1">
        <v>8.9271941740000003</v>
      </c>
      <c r="Z1150" s="1">
        <v>9.4995304659999995</v>
      </c>
      <c r="AA1150" s="1">
        <v>9.5376280379999994</v>
      </c>
      <c r="AB1150" s="1">
        <v>9.3444103520000006</v>
      </c>
      <c r="AC1150" s="1">
        <v>9.1910739699999997</v>
      </c>
      <c r="AD1150" s="1">
        <v>9.1628205059999992</v>
      </c>
      <c r="AE1150" s="1">
        <v>9.0507990120000006</v>
      </c>
    </row>
    <row r="1151" spans="1:31" x14ac:dyDescent="0.25">
      <c r="A1151" s="1" t="s">
        <v>138</v>
      </c>
      <c r="B1151" s="1" t="s">
        <v>2608</v>
      </c>
      <c r="C1151" s="1" t="s">
        <v>2700</v>
      </c>
      <c r="D1151" s="1" t="s">
        <v>2701</v>
      </c>
      <c r="E1151" s="1" t="s">
        <v>4445</v>
      </c>
      <c r="F1151" s="1" t="s">
        <v>4446</v>
      </c>
      <c r="G1151" s="1" t="s">
        <v>138</v>
      </c>
      <c r="H1151" s="1">
        <v>9.0278753300000005</v>
      </c>
      <c r="I1151" s="1">
        <v>8.4643640789999992</v>
      </c>
      <c r="J1151" s="1">
        <v>9.2280387039999994</v>
      </c>
      <c r="K1151" s="1">
        <v>9.3397556819999998</v>
      </c>
      <c r="L1151" s="1">
        <v>8.6211248329999997</v>
      </c>
      <c r="M1151" s="1">
        <v>8.8176714119999993</v>
      </c>
      <c r="N1151" s="1">
        <v>7.8924825539999999</v>
      </c>
      <c r="O1151" s="1">
        <v>8.3229707640000008</v>
      </c>
      <c r="P1151" s="1">
        <v>8.7435395650000007</v>
      </c>
      <c r="Q1151" s="1">
        <v>8.8069102059999995</v>
      </c>
      <c r="R1151" s="1">
        <v>9.2236336810000008</v>
      </c>
      <c r="S1151" s="1">
        <v>9.0863491649999997</v>
      </c>
      <c r="T1151" s="1">
        <v>8.6211248329999997</v>
      </c>
      <c r="U1151" s="1">
        <v>8.8176714119999993</v>
      </c>
      <c r="V1151" s="1">
        <v>8.8244754919999995</v>
      </c>
      <c r="W1151" s="1">
        <v>8.8766681629999997</v>
      </c>
      <c r="X1151" s="1">
        <v>8.9105247839999997</v>
      </c>
      <c r="Y1151" s="1">
        <v>8.9613998959999996</v>
      </c>
      <c r="Z1151" s="1">
        <v>9.2236336810000008</v>
      </c>
      <c r="AA1151" s="1">
        <v>9.0863491649999997</v>
      </c>
      <c r="AB1151" s="1">
        <v>9.0835874420000007</v>
      </c>
      <c r="AC1151" s="1">
        <v>8.9530409689999999</v>
      </c>
      <c r="AD1151" s="1">
        <v>9.0263671750000007</v>
      </c>
      <c r="AE1151" s="1">
        <v>9.0070764519999997</v>
      </c>
    </row>
    <row r="1152" spans="1:31" x14ac:dyDescent="0.25">
      <c r="A1152" s="1" t="s">
        <v>139</v>
      </c>
      <c r="B1152" s="1" t="s">
        <v>2520</v>
      </c>
      <c r="C1152" s="1" t="s">
        <v>2743</v>
      </c>
      <c r="D1152" s="1" t="s">
        <v>2744</v>
      </c>
      <c r="E1152" s="1" t="s">
        <v>4447</v>
      </c>
      <c r="F1152" s="1" t="s">
        <v>4448</v>
      </c>
      <c r="G1152" s="1" t="s">
        <v>139</v>
      </c>
      <c r="H1152" s="1">
        <v>10.073737299999999</v>
      </c>
      <c r="I1152" s="1">
        <v>9.2732469230000003</v>
      </c>
      <c r="J1152" s="1">
        <v>9.9509875129999994</v>
      </c>
      <c r="K1152" s="1">
        <v>10.12713694</v>
      </c>
      <c r="L1152" s="1">
        <v>9.6168754520000004</v>
      </c>
      <c r="M1152" s="1">
        <v>9.7628133829999992</v>
      </c>
      <c r="N1152" s="1">
        <v>9.2649161420000006</v>
      </c>
      <c r="O1152" s="1">
        <v>9.6673597319999995</v>
      </c>
      <c r="P1152" s="1">
        <v>9.7213268280000005</v>
      </c>
      <c r="Q1152" s="1">
        <v>9.8952538850000007</v>
      </c>
      <c r="R1152" s="1">
        <v>9.9745785480000002</v>
      </c>
      <c r="S1152" s="1">
        <v>9.9376678540000007</v>
      </c>
      <c r="T1152" s="1">
        <v>9.6168754520000004</v>
      </c>
      <c r="U1152" s="1">
        <v>9.7628133829999992</v>
      </c>
      <c r="V1152" s="1">
        <v>9.5642851889999996</v>
      </c>
      <c r="W1152" s="1">
        <v>9.5213161209999999</v>
      </c>
      <c r="X1152" s="1">
        <v>9.7728117650000002</v>
      </c>
      <c r="Y1152" s="1">
        <v>9.6685873269999991</v>
      </c>
      <c r="Z1152" s="1">
        <v>9.9745785480000002</v>
      </c>
      <c r="AA1152" s="1">
        <v>9.9376678540000007</v>
      </c>
      <c r="AB1152" s="1">
        <v>9.8214016920000002</v>
      </c>
      <c r="AC1152" s="1">
        <v>9.6733403229999997</v>
      </c>
      <c r="AD1152" s="1">
        <v>9.9753950830000004</v>
      </c>
      <c r="AE1152" s="1">
        <v>9.8872708980000006</v>
      </c>
    </row>
    <row r="1153" spans="1:31" x14ac:dyDescent="0.25">
      <c r="A1153" s="1" t="s">
        <v>140</v>
      </c>
      <c r="B1153" s="1" t="s">
        <v>2598</v>
      </c>
      <c r="C1153" s="1" t="s">
        <v>2599</v>
      </c>
      <c r="D1153" s="1" t="s">
        <v>3025</v>
      </c>
      <c r="E1153" s="1" t="s">
        <v>4449</v>
      </c>
      <c r="F1153" s="1" t="s">
        <v>4450</v>
      </c>
      <c r="G1153" s="1" t="s">
        <v>140</v>
      </c>
      <c r="H1153" s="1">
        <v>8.5467929530000006</v>
      </c>
      <c r="I1153" s="1">
        <v>8.2411086870000005</v>
      </c>
      <c r="J1153" s="1">
        <v>8.7829488250000001</v>
      </c>
      <c r="K1153" s="1">
        <v>9.0243698800000001</v>
      </c>
      <c r="L1153" s="1">
        <v>8.9153810310000008</v>
      </c>
      <c r="M1153" s="1">
        <v>9.0483823809999997</v>
      </c>
      <c r="N1153" s="1">
        <v>8.0396820729999998</v>
      </c>
      <c r="O1153" s="1">
        <v>8.3590846039999995</v>
      </c>
      <c r="P1153" s="1">
        <v>8.5948150020000007</v>
      </c>
      <c r="Q1153" s="1">
        <v>8.7055418610000004</v>
      </c>
      <c r="R1153" s="1">
        <v>9.1016809730000006</v>
      </c>
      <c r="S1153" s="1">
        <v>8.7012260539999993</v>
      </c>
      <c r="T1153" s="1">
        <v>8.9153810310000008</v>
      </c>
      <c r="U1153" s="1">
        <v>9.0483823809999997</v>
      </c>
      <c r="V1153" s="1">
        <v>8.5935415769999999</v>
      </c>
      <c r="W1153" s="1">
        <v>8.4640809089999998</v>
      </c>
      <c r="X1153" s="1">
        <v>8.7494089390000003</v>
      </c>
      <c r="Y1153" s="1">
        <v>8.3073932199999998</v>
      </c>
      <c r="Z1153" s="1">
        <v>9.1016809730000006</v>
      </c>
      <c r="AA1153" s="1">
        <v>8.7012260539999993</v>
      </c>
      <c r="AB1153" s="1">
        <v>8.8188014369999994</v>
      </c>
      <c r="AC1153" s="1">
        <v>8.6793079199999994</v>
      </c>
      <c r="AD1153" s="1">
        <v>8.6729030409999996</v>
      </c>
      <c r="AE1153" s="1">
        <v>8.6994903719999996</v>
      </c>
    </row>
    <row r="1154" spans="1:31" x14ac:dyDescent="0.25">
      <c r="A1154" s="1" t="s">
        <v>143</v>
      </c>
      <c r="B1154" s="1" t="s">
        <v>2608</v>
      </c>
      <c r="C1154" s="1" t="s">
        <v>2700</v>
      </c>
      <c r="D1154" s="1" t="s">
        <v>3868</v>
      </c>
      <c r="E1154" s="1" t="s">
        <v>4451</v>
      </c>
      <c r="F1154" s="1" t="s">
        <v>4452</v>
      </c>
      <c r="G1154" s="1" t="s">
        <v>143</v>
      </c>
      <c r="H1154" s="1">
        <v>6.6352621809999999</v>
      </c>
      <c r="I1154" s="1">
        <v>6.0959298439999996</v>
      </c>
      <c r="J1154" s="1">
        <v>7.5986445360000001</v>
      </c>
      <c r="K1154" s="1">
        <v>7.6671326940000002</v>
      </c>
      <c r="L1154" s="1">
        <v>7.3455016359999998</v>
      </c>
      <c r="M1154" s="1">
        <v>7.498923778</v>
      </c>
      <c r="N1154" s="1">
        <v>6.6172484750000002</v>
      </c>
      <c r="O1154" s="1">
        <v>6.8826346169999999</v>
      </c>
      <c r="P1154" s="1">
        <v>7.5337670839999999</v>
      </c>
      <c r="Q1154" s="1">
        <v>7.1815238780000001</v>
      </c>
      <c r="R1154" s="1">
        <v>8.0078954039999992</v>
      </c>
      <c r="S1154" s="1">
        <v>7.8259422809999997</v>
      </c>
      <c r="T1154" s="1">
        <v>7.3455016359999998</v>
      </c>
      <c r="U1154" s="1">
        <v>7.498923778</v>
      </c>
      <c r="V1154" s="1">
        <v>7.4531389260000003</v>
      </c>
      <c r="W1154" s="1">
        <v>7.4330904990000004</v>
      </c>
      <c r="X1154" s="1">
        <v>7.4602402149999998</v>
      </c>
      <c r="Y1154" s="1">
        <v>7.3882379680000003</v>
      </c>
      <c r="Z1154" s="1">
        <v>8.0078954039999992</v>
      </c>
      <c r="AA1154" s="1">
        <v>7.8259422809999997</v>
      </c>
      <c r="AB1154" s="1">
        <v>7.5963215740000001</v>
      </c>
      <c r="AC1154" s="1">
        <v>7.5768492670000001</v>
      </c>
      <c r="AD1154" s="1">
        <v>7.5135542710000003</v>
      </c>
      <c r="AE1154" s="1">
        <v>7.2917257270000002</v>
      </c>
    </row>
    <row r="1155" spans="1:31" x14ac:dyDescent="0.25">
      <c r="A1155" s="1" t="s">
        <v>144</v>
      </c>
      <c r="B1155" s="1" t="s">
        <v>2608</v>
      </c>
      <c r="C1155" s="1" t="s">
        <v>2700</v>
      </c>
      <c r="D1155" s="1" t="s">
        <v>3868</v>
      </c>
      <c r="E1155" s="1" t="s">
        <v>4453</v>
      </c>
      <c r="F1155" s="1" t="s">
        <v>4454</v>
      </c>
      <c r="G1155" s="1" t="s">
        <v>144</v>
      </c>
      <c r="H1155" s="1">
        <v>7.6848174159999996</v>
      </c>
      <c r="I1155" s="1">
        <v>7.5354559999999999</v>
      </c>
      <c r="J1155" s="1">
        <v>8.5865790149999999</v>
      </c>
      <c r="K1155" s="1">
        <v>8.5964044249999993</v>
      </c>
      <c r="L1155" s="1">
        <v>8.4886096050000006</v>
      </c>
      <c r="M1155" s="1">
        <v>8.5755513499999996</v>
      </c>
      <c r="N1155" s="1">
        <v>7.252890893</v>
      </c>
      <c r="O1155" s="1">
        <v>7.6434231620000004</v>
      </c>
      <c r="P1155" s="1">
        <v>8.3262622089999994</v>
      </c>
      <c r="Q1155" s="1">
        <v>8.3500879720000007</v>
      </c>
      <c r="R1155" s="1">
        <v>8.6754362040000004</v>
      </c>
      <c r="S1155" s="1">
        <v>8.6812035079999994</v>
      </c>
      <c r="T1155" s="1">
        <v>8.4886096050000006</v>
      </c>
      <c r="U1155" s="1">
        <v>8.5755513499999996</v>
      </c>
      <c r="V1155" s="1">
        <v>8.1179547559999996</v>
      </c>
      <c r="W1155" s="1">
        <v>8.362774344</v>
      </c>
      <c r="X1155" s="1">
        <v>8.2338171120000005</v>
      </c>
      <c r="Y1155" s="1">
        <v>8.0278159420000001</v>
      </c>
      <c r="Z1155" s="1">
        <v>8.6754362040000004</v>
      </c>
      <c r="AA1155" s="1">
        <v>8.6812035079999994</v>
      </c>
      <c r="AB1155" s="1">
        <v>8.6449113119999996</v>
      </c>
      <c r="AC1155" s="1">
        <v>8.4658576710000002</v>
      </c>
      <c r="AD1155" s="1">
        <v>8.4623433410000004</v>
      </c>
      <c r="AE1155" s="1">
        <v>8.2935423139999997</v>
      </c>
    </row>
    <row r="1156" spans="1:31" x14ac:dyDescent="0.25">
      <c r="A1156" s="1" t="s">
        <v>145</v>
      </c>
      <c r="B1156" s="1" t="s">
        <v>3099</v>
      </c>
      <c r="C1156" s="1" t="s">
        <v>3122</v>
      </c>
      <c r="D1156" s="1" t="s">
        <v>3123</v>
      </c>
      <c r="E1156" s="1" t="s">
        <v>4455</v>
      </c>
      <c r="F1156" s="1" t="s">
        <v>4456</v>
      </c>
      <c r="G1156" s="1" t="s">
        <v>145</v>
      </c>
      <c r="H1156" s="1">
        <v>8.758824379</v>
      </c>
      <c r="I1156" s="1">
        <v>8.3644595089999996</v>
      </c>
      <c r="J1156" s="1">
        <v>9.9801032420000002</v>
      </c>
      <c r="K1156" s="1">
        <v>10.064451289999999</v>
      </c>
      <c r="L1156" s="1">
        <v>9.7896283230000005</v>
      </c>
      <c r="M1156" s="1">
        <v>9.9652655209999992</v>
      </c>
      <c r="N1156" s="1">
        <v>8.643539079</v>
      </c>
      <c r="O1156" s="1">
        <v>8.9101794210000005</v>
      </c>
      <c r="P1156" s="1">
        <v>9.7737167570000008</v>
      </c>
      <c r="Q1156" s="1">
        <v>9.7642677849999995</v>
      </c>
      <c r="R1156" s="1">
        <v>10.271804120000001</v>
      </c>
      <c r="S1156" s="1">
        <v>10.10331055</v>
      </c>
      <c r="T1156" s="1">
        <v>9.7896283230000005</v>
      </c>
      <c r="U1156" s="1">
        <v>9.9652655209999992</v>
      </c>
      <c r="V1156" s="1">
        <v>9.7442507319999994</v>
      </c>
      <c r="W1156" s="1">
        <v>9.6808430530000003</v>
      </c>
      <c r="X1156" s="1">
        <v>9.6687283859999997</v>
      </c>
      <c r="Y1156" s="1">
        <v>9.6570387679999996</v>
      </c>
      <c r="Z1156" s="1">
        <v>10.271804120000001</v>
      </c>
      <c r="AA1156" s="1">
        <v>10.10331055</v>
      </c>
      <c r="AB1156" s="1">
        <v>9.9997931159999993</v>
      </c>
      <c r="AC1156" s="1">
        <v>9.9112105029999995</v>
      </c>
      <c r="AD1156" s="1">
        <v>9.9232808640000005</v>
      </c>
      <c r="AE1156" s="1">
        <v>9.7760085379999992</v>
      </c>
    </row>
    <row r="1157" spans="1:31" x14ac:dyDescent="0.25">
      <c r="A1157" s="1" t="s">
        <v>146</v>
      </c>
      <c r="B1157" s="1" t="s">
        <v>2608</v>
      </c>
      <c r="C1157" s="1" t="s">
        <v>2700</v>
      </c>
      <c r="D1157" s="1" t="s">
        <v>2701</v>
      </c>
      <c r="E1157" s="1" t="s">
        <v>4457</v>
      </c>
      <c r="F1157" s="1" t="s">
        <v>4458</v>
      </c>
      <c r="G1157" s="1" t="s">
        <v>146</v>
      </c>
      <c r="H1157" s="1">
        <v>7.9113985979999999</v>
      </c>
      <c r="I1157" s="1">
        <v>7.7617995710000001</v>
      </c>
      <c r="J1157" s="1">
        <v>8.4864130610000004</v>
      </c>
      <c r="K1157" s="1">
        <v>8.652775686</v>
      </c>
      <c r="L1157" s="1">
        <v>8.1668112189999995</v>
      </c>
      <c r="M1157" s="1">
        <v>8.1244592190000002</v>
      </c>
      <c r="N1157" s="1">
        <v>7.5636265170000003</v>
      </c>
      <c r="O1157" s="1">
        <v>7.9579688969999998</v>
      </c>
      <c r="P1157" s="1">
        <v>8.2669929530000008</v>
      </c>
      <c r="Q1157" s="1">
        <v>8.0327622860000005</v>
      </c>
      <c r="R1157" s="1">
        <v>8.6408236909999996</v>
      </c>
      <c r="S1157" s="1">
        <v>8.5636316180000005</v>
      </c>
      <c r="T1157" s="1">
        <v>8.1668112189999995</v>
      </c>
      <c r="U1157" s="1">
        <v>8.1244592190000002</v>
      </c>
      <c r="V1157" s="1">
        <v>8.4503957300000003</v>
      </c>
      <c r="W1157" s="1">
        <v>8.1286961190000007</v>
      </c>
      <c r="X1157" s="1">
        <v>8.0614501710000006</v>
      </c>
      <c r="Y1157" s="1">
        <v>8.1840578159999993</v>
      </c>
      <c r="Z1157" s="1">
        <v>8.6408236909999996</v>
      </c>
      <c r="AA1157" s="1">
        <v>8.5636316180000005</v>
      </c>
      <c r="AB1157" s="1">
        <v>8.4264886870000009</v>
      </c>
      <c r="AC1157" s="1">
        <v>8.4525240190000002</v>
      </c>
      <c r="AD1157" s="1">
        <v>8.0512675609999995</v>
      </c>
      <c r="AE1157" s="1">
        <v>8.3534332819999992</v>
      </c>
    </row>
    <row r="1158" spans="1:31" x14ac:dyDescent="0.25">
      <c r="A1158" s="1" t="s">
        <v>147</v>
      </c>
      <c r="B1158" s="1" t="s">
        <v>2608</v>
      </c>
      <c r="C1158" s="1" t="s">
        <v>2609</v>
      </c>
      <c r="D1158" s="1" t="s">
        <v>4459</v>
      </c>
      <c r="E1158" s="1" t="s">
        <v>4460</v>
      </c>
      <c r="F1158" s="1" t="s">
        <v>4461</v>
      </c>
      <c r="G1158" s="1" t="s">
        <v>147</v>
      </c>
      <c r="H1158" s="1">
        <v>8.6127458800000003</v>
      </c>
      <c r="I1158" s="1">
        <v>8.4597603929999998</v>
      </c>
      <c r="J1158" s="1">
        <v>8.8192073539999996</v>
      </c>
      <c r="K1158" s="1">
        <v>8.8940274820000003</v>
      </c>
      <c r="L1158" s="1">
        <v>8.3306295979999998</v>
      </c>
      <c r="M1158" s="1">
        <v>8.6464135730000002</v>
      </c>
      <c r="N1158" s="1">
        <v>8.2119641689999998</v>
      </c>
      <c r="O1158" s="1">
        <v>8.468322809</v>
      </c>
      <c r="P1158" s="1">
        <v>8.6187176969999992</v>
      </c>
      <c r="Q1158" s="1">
        <v>8.6278774069999997</v>
      </c>
      <c r="R1158" s="1">
        <v>8.9331378319999999</v>
      </c>
      <c r="S1158" s="1">
        <v>8.8084890700000003</v>
      </c>
      <c r="T1158" s="1">
        <v>8.3306295979999998</v>
      </c>
      <c r="U1158" s="1">
        <v>8.6464135730000002</v>
      </c>
      <c r="V1158" s="1">
        <v>8.799148937</v>
      </c>
      <c r="W1158" s="1">
        <v>8.6220000910000003</v>
      </c>
      <c r="X1158" s="1">
        <v>8.4995918039999996</v>
      </c>
      <c r="Y1158" s="1">
        <v>8.6803050810000002</v>
      </c>
      <c r="Z1158" s="1">
        <v>8.9331378319999999</v>
      </c>
      <c r="AA1158" s="1">
        <v>8.8084890700000003</v>
      </c>
      <c r="AB1158" s="1">
        <v>8.7975072300000008</v>
      </c>
      <c r="AC1158" s="1">
        <v>8.6754873129999996</v>
      </c>
      <c r="AD1158" s="1">
        <v>8.6597826730000005</v>
      </c>
      <c r="AE1158" s="1">
        <v>8.849632025</v>
      </c>
    </row>
    <row r="1159" spans="1:31" x14ac:dyDescent="0.25">
      <c r="A1159" s="1" t="s">
        <v>148</v>
      </c>
      <c r="B1159" s="1" t="s">
        <v>2608</v>
      </c>
      <c r="C1159" s="1" t="s">
        <v>2700</v>
      </c>
      <c r="D1159" s="1" t="s">
        <v>2701</v>
      </c>
      <c r="E1159" s="1" t="s">
        <v>4462</v>
      </c>
      <c r="F1159" s="1" t="s">
        <v>4463</v>
      </c>
      <c r="G1159" s="1" t="s">
        <v>148</v>
      </c>
      <c r="H1159" s="1">
        <v>8.3466496770000003</v>
      </c>
      <c r="I1159" s="1">
        <v>8.319430036</v>
      </c>
      <c r="J1159" s="1">
        <v>8.8011920079999992</v>
      </c>
      <c r="K1159" s="1">
        <v>8.8343473679999995</v>
      </c>
      <c r="L1159" s="1">
        <v>8.4445713589999993</v>
      </c>
      <c r="M1159" s="1">
        <v>8.5429039390000003</v>
      </c>
      <c r="N1159" s="1">
        <v>7.7285321639999998</v>
      </c>
      <c r="O1159" s="1">
        <v>8.0330541820000008</v>
      </c>
      <c r="P1159" s="1">
        <v>8.4062649759999992</v>
      </c>
      <c r="Q1159" s="1">
        <v>8.6323035659999992</v>
      </c>
      <c r="R1159" s="1">
        <v>7.9095418999999998</v>
      </c>
      <c r="S1159" s="1">
        <v>8.3003906379999997</v>
      </c>
      <c r="T1159" s="1">
        <v>8.4445713589999993</v>
      </c>
      <c r="U1159" s="1">
        <v>8.5429039390000003</v>
      </c>
      <c r="V1159" s="1">
        <v>8.3838054819999996</v>
      </c>
      <c r="W1159" s="1">
        <v>8.3188994990000005</v>
      </c>
      <c r="X1159" s="1">
        <v>7.9848599550000001</v>
      </c>
      <c r="Y1159" s="1">
        <v>8.3539184750000004</v>
      </c>
      <c r="Z1159" s="1">
        <v>7.9095418999999998</v>
      </c>
      <c r="AA1159" s="1">
        <v>8.3003906379999997</v>
      </c>
      <c r="AB1159" s="1">
        <v>7.8449502390000001</v>
      </c>
      <c r="AC1159" s="1">
        <v>8.1002415570000004</v>
      </c>
      <c r="AD1159" s="1">
        <v>8.0035939529999993</v>
      </c>
      <c r="AE1159" s="1">
        <v>8.1815621529999998</v>
      </c>
    </row>
    <row r="1160" spans="1:31" x14ac:dyDescent="0.25">
      <c r="A1160" s="1" t="s">
        <v>149</v>
      </c>
      <c r="B1160" s="1" t="s">
        <v>2608</v>
      </c>
      <c r="C1160" s="1" t="s">
        <v>2700</v>
      </c>
      <c r="D1160" s="1" t="s">
        <v>3868</v>
      </c>
      <c r="E1160" s="1" t="s">
        <v>4464</v>
      </c>
      <c r="F1160" s="1" t="s">
        <v>4465</v>
      </c>
      <c r="G1160" s="1" t="s">
        <v>149</v>
      </c>
      <c r="H1160" s="1">
        <v>7.5358288350000002</v>
      </c>
      <c r="I1160" s="1">
        <v>7.1343877689999999</v>
      </c>
      <c r="J1160" s="1">
        <v>7.8366167170000001</v>
      </c>
      <c r="K1160" s="1">
        <v>7.8789066930000002</v>
      </c>
      <c r="L1160" s="1">
        <v>7.6891669609999997</v>
      </c>
      <c r="M1160" s="1">
        <v>7.5158493560000004</v>
      </c>
      <c r="N1160" s="1">
        <v>6.8064250089999998</v>
      </c>
      <c r="O1160" s="1">
        <v>7.2334791650000003</v>
      </c>
      <c r="P1160" s="1">
        <v>7.575085799</v>
      </c>
      <c r="Q1160" s="1">
        <v>7.6776625599999999</v>
      </c>
      <c r="R1160" s="1">
        <v>8.0742555439999997</v>
      </c>
      <c r="S1160" s="1">
        <v>8.1627588319999997</v>
      </c>
      <c r="T1160" s="1">
        <v>7.6891669609999997</v>
      </c>
      <c r="U1160" s="1">
        <v>7.5158493560000004</v>
      </c>
      <c r="V1160" s="1">
        <v>7.8484341190000002</v>
      </c>
      <c r="W1160" s="1">
        <v>7.5131643099999996</v>
      </c>
      <c r="X1160" s="1">
        <v>7.8578627619999999</v>
      </c>
      <c r="Y1160" s="1">
        <v>7.8031189599999999</v>
      </c>
      <c r="Z1160" s="1">
        <v>8.0742555439999997</v>
      </c>
      <c r="AA1160" s="1">
        <v>8.1627588319999997</v>
      </c>
      <c r="AB1160" s="1">
        <v>7.5839343819999998</v>
      </c>
      <c r="AC1160" s="1">
        <v>7.5603659499999996</v>
      </c>
      <c r="AD1160" s="1">
        <v>7.7299177920000002</v>
      </c>
      <c r="AE1160" s="1">
        <v>7.651252886</v>
      </c>
    </row>
    <row r="1161" spans="1:31" x14ac:dyDescent="0.25">
      <c r="A1161" s="1" t="s">
        <v>151</v>
      </c>
      <c r="B1161" s="1" t="s">
        <v>2667</v>
      </c>
      <c r="C1161" s="1" t="s">
        <v>2875</v>
      </c>
      <c r="D1161" s="1" t="s">
        <v>4466</v>
      </c>
      <c r="E1161" s="1" t="s">
        <v>4467</v>
      </c>
      <c r="F1161" s="1" t="s">
        <v>4468</v>
      </c>
      <c r="G1161" s="1" t="s">
        <v>151</v>
      </c>
      <c r="H1161" s="1">
        <v>7.7312450779999997</v>
      </c>
      <c r="I1161" s="1">
        <v>7.8418300749999998</v>
      </c>
      <c r="J1161" s="1">
        <v>7.8223937020000003</v>
      </c>
      <c r="K1161" s="1">
        <v>7.9704768140000004</v>
      </c>
      <c r="L1161" s="1">
        <v>7.7876515319999999</v>
      </c>
      <c r="M1161" s="1">
        <v>7.8762547229999997</v>
      </c>
      <c r="N1161" s="1">
        <v>7.7723802199999996</v>
      </c>
      <c r="O1161" s="1">
        <v>7.8374598840000003</v>
      </c>
      <c r="P1161" s="1">
        <v>7.9837796120000002</v>
      </c>
      <c r="Q1161" s="1">
        <v>8.0918099179999992</v>
      </c>
      <c r="R1161" s="1">
        <v>7.8501737169999997</v>
      </c>
      <c r="S1161" s="1">
        <v>7.8259422809999997</v>
      </c>
      <c r="T1161" s="1">
        <v>7.7876515319999999</v>
      </c>
      <c r="U1161" s="1">
        <v>7.8762547229999997</v>
      </c>
      <c r="V1161" s="1">
        <v>8.1076750870000005</v>
      </c>
      <c r="W1161" s="1">
        <v>7.8753290329999999</v>
      </c>
      <c r="X1161" s="1">
        <v>7.47049261</v>
      </c>
      <c r="Y1161" s="1">
        <v>7.9914885670000002</v>
      </c>
      <c r="Z1161" s="1">
        <v>7.8501737169999997</v>
      </c>
      <c r="AA1161" s="1">
        <v>7.8259422809999997</v>
      </c>
      <c r="AB1161" s="1">
        <v>7.7032630519999996</v>
      </c>
      <c r="AC1161" s="1">
        <v>7.5686311640000001</v>
      </c>
      <c r="AD1161" s="1">
        <v>7.4023821740000004</v>
      </c>
      <c r="AE1161" s="1">
        <v>7.7980744380000004</v>
      </c>
    </row>
    <row r="1162" spans="1:31" x14ac:dyDescent="0.25">
      <c r="A1162" s="1" t="s">
        <v>152</v>
      </c>
      <c r="B1162" s="1" t="s">
        <v>2667</v>
      </c>
      <c r="C1162" s="1" t="s">
        <v>2875</v>
      </c>
      <c r="D1162" s="1" t="s">
        <v>4466</v>
      </c>
      <c r="E1162" s="1" t="s">
        <v>4469</v>
      </c>
      <c r="F1162" s="1" t="s">
        <v>4470</v>
      </c>
      <c r="G1162" s="1" t="s">
        <v>152</v>
      </c>
      <c r="H1162" s="1">
        <v>6.1518914650000003</v>
      </c>
      <c r="I1162" s="1">
        <v>5.9717652650000002</v>
      </c>
      <c r="J1162" s="1">
        <v>6.4096880770000002</v>
      </c>
      <c r="K1162" s="1">
        <v>6.4932884399999997</v>
      </c>
      <c r="L1162" s="1">
        <v>6.8534718039999998</v>
      </c>
      <c r="M1162" s="1">
        <v>7.0341933279999997</v>
      </c>
      <c r="N1162" s="1">
        <v>6.7894418200000004</v>
      </c>
      <c r="O1162" s="1">
        <v>7.0527519950000004</v>
      </c>
      <c r="P1162" s="1">
        <v>6.59966688</v>
      </c>
      <c r="Q1162" s="1">
        <v>6.8576352290000004</v>
      </c>
      <c r="R1162" s="1">
        <v>7.1025878479999998</v>
      </c>
      <c r="S1162" s="1">
        <v>6.949641561</v>
      </c>
      <c r="T1162" s="1">
        <v>6.8534718039999998</v>
      </c>
      <c r="U1162" s="1">
        <v>7.0341933279999997</v>
      </c>
      <c r="V1162" s="1">
        <v>6.6186760830000004</v>
      </c>
      <c r="W1162" s="1">
        <v>6.8980132320000003</v>
      </c>
      <c r="X1162" s="1">
        <v>6.7415831510000004</v>
      </c>
      <c r="Y1162" s="1">
        <v>6.5668682929999997</v>
      </c>
      <c r="Z1162" s="1">
        <v>7.1025878479999998</v>
      </c>
      <c r="AA1162" s="1">
        <v>6.949641561</v>
      </c>
      <c r="AB1162" s="1">
        <v>7.4401512089999997</v>
      </c>
      <c r="AC1162" s="1">
        <v>6.7321847869999996</v>
      </c>
      <c r="AD1162" s="1">
        <v>6.875559473</v>
      </c>
      <c r="AE1162" s="1">
        <v>6.7278078839999997</v>
      </c>
    </row>
    <row r="1163" spans="1:31" x14ac:dyDescent="0.25">
      <c r="A1163" s="1" t="s">
        <v>156</v>
      </c>
      <c r="B1163" s="1" t="s">
        <v>2557</v>
      </c>
      <c r="C1163" s="1" t="s">
        <v>3284</v>
      </c>
      <c r="D1163" s="1" t="s">
        <v>3321</v>
      </c>
      <c r="E1163" s="1" t="s">
        <v>4471</v>
      </c>
      <c r="F1163" s="1" t="s">
        <v>4472</v>
      </c>
      <c r="G1163" s="1" t="s">
        <v>156</v>
      </c>
      <c r="H1163" s="1">
        <v>4.9322401630000003</v>
      </c>
      <c r="I1163" s="1">
        <v>5.1998500889999999</v>
      </c>
      <c r="J1163" s="1">
        <v>3.7773371739999999</v>
      </c>
      <c r="K1163" s="1">
        <v>4.0244910950000001</v>
      </c>
      <c r="L1163" s="1">
        <v>4.3727018190000004</v>
      </c>
      <c r="M1163" s="1">
        <v>4.2945656129999996</v>
      </c>
      <c r="N1163" s="1">
        <v>5.1081614489999998</v>
      </c>
      <c r="O1163" s="1">
        <v>4.7100516409999997</v>
      </c>
      <c r="P1163" s="1">
        <v>3.86011382</v>
      </c>
      <c r="Q1163" s="1">
        <v>3.7137735799999998</v>
      </c>
      <c r="R1163" s="1">
        <v>3.968758995</v>
      </c>
      <c r="S1163" s="1">
        <v>4.3966315629999997</v>
      </c>
      <c r="T1163" s="1">
        <v>4.3727018190000004</v>
      </c>
      <c r="U1163" s="1">
        <v>4.2945656129999996</v>
      </c>
      <c r="V1163" s="1">
        <v>4.3879408260000003</v>
      </c>
      <c r="W1163" s="1">
        <v>4.69862249</v>
      </c>
      <c r="X1163" s="1">
        <v>4.6838774470000004</v>
      </c>
      <c r="Y1163" s="1">
        <v>4.4420910779999998</v>
      </c>
      <c r="Z1163" s="1">
        <v>3.968758995</v>
      </c>
      <c r="AA1163" s="1">
        <v>4.3966315629999997</v>
      </c>
      <c r="AB1163" s="1">
        <v>4.5063178209999997</v>
      </c>
      <c r="AC1163" s="1">
        <v>4.8053838390000001</v>
      </c>
      <c r="AD1163" s="1">
        <v>4.6264106470000002</v>
      </c>
      <c r="AE1163" s="1">
        <v>4.3257514669999999</v>
      </c>
    </row>
    <row r="1164" spans="1:31" x14ac:dyDescent="0.25">
      <c r="A1164" s="1" t="s">
        <v>157</v>
      </c>
      <c r="B1164" s="1" t="s">
        <v>2530</v>
      </c>
      <c r="C1164" s="1" t="s">
        <v>2531</v>
      </c>
      <c r="D1164" s="1" t="s">
        <v>2535</v>
      </c>
      <c r="E1164" s="1" t="s">
        <v>2536</v>
      </c>
      <c r="G1164" s="1" t="s">
        <v>157</v>
      </c>
      <c r="H1164" s="1">
        <v>8.0570188799999993</v>
      </c>
      <c r="I1164" s="1">
        <v>7.5614779680000002</v>
      </c>
      <c r="J1164" s="1">
        <v>6.5886089180000003</v>
      </c>
      <c r="K1164" s="1">
        <v>6.8233399239999999</v>
      </c>
      <c r="L1164" s="1">
        <v>5.082479009</v>
      </c>
      <c r="M1164" s="1">
        <v>4.896083601</v>
      </c>
      <c r="N1164" s="1">
        <v>6.8398021150000003</v>
      </c>
      <c r="O1164" s="1">
        <v>6.953109897</v>
      </c>
      <c r="P1164" s="1">
        <v>6.0847091730000002</v>
      </c>
      <c r="Q1164" s="1">
        <v>5.6846114249999999</v>
      </c>
      <c r="R1164" s="1">
        <v>6.0678975499999996</v>
      </c>
      <c r="S1164" s="1">
        <v>6.1911441390000004</v>
      </c>
      <c r="T1164" s="1">
        <v>5.082479009</v>
      </c>
      <c r="U1164" s="1">
        <v>4.896083601</v>
      </c>
      <c r="V1164" s="1">
        <v>5.8270932010000003</v>
      </c>
      <c r="W1164" s="1">
        <v>6.0677414089999999</v>
      </c>
      <c r="X1164" s="1">
        <v>5.5811786620000001</v>
      </c>
      <c r="Y1164" s="1">
        <v>6.2836980430000002</v>
      </c>
      <c r="Z1164" s="1">
        <v>6.0678975499999996</v>
      </c>
      <c r="AA1164" s="1">
        <v>6.1911441390000004</v>
      </c>
      <c r="AB1164" s="1">
        <v>6.008835446</v>
      </c>
      <c r="AC1164" s="1">
        <v>5.8975684140000002</v>
      </c>
      <c r="AD1164" s="1">
        <v>6.6102586299999997</v>
      </c>
      <c r="AE1164" s="1">
        <v>6.2987649059999997</v>
      </c>
    </row>
    <row r="1165" spans="1:31" x14ac:dyDescent="0.25">
      <c r="A1165" s="1" t="s">
        <v>166</v>
      </c>
      <c r="B1165" s="1" t="s">
        <v>2530</v>
      </c>
      <c r="C1165" s="1" t="s">
        <v>2531</v>
      </c>
      <c r="D1165" s="1" t="s">
        <v>2535</v>
      </c>
      <c r="E1165" s="1" t="s">
        <v>2536</v>
      </c>
      <c r="G1165" s="1" t="s">
        <v>166</v>
      </c>
      <c r="H1165" s="1">
        <v>3.6455184960000002</v>
      </c>
      <c r="I1165" s="1">
        <v>4.1114152529999997</v>
      </c>
      <c r="J1165" s="1">
        <v>4.5240842389999996</v>
      </c>
      <c r="K1165" s="1">
        <v>4.1384138449999996</v>
      </c>
      <c r="L1165" s="1">
        <v>4.1645832880000002</v>
      </c>
      <c r="M1165" s="1">
        <v>4.3982295550000003</v>
      </c>
      <c r="N1165" s="1">
        <v>4.4510307109999996</v>
      </c>
      <c r="O1165" s="1">
        <v>4.6680836990000003</v>
      </c>
      <c r="P1165" s="1">
        <v>4.6160325330000003</v>
      </c>
      <c r="Q1165" s="1">
        <v>4.2835653880000004</v>
      </c>
      <c r="R1165" s="1">
        <v>4.6083586160000003</v>
      </c>
      <c r="S1165" s="1">
        <v>4.2250836859999996</v>
      </c>
      <c r="T1165" s="1">
        <v>4.1645832880000002</v>
      </c>
      <c r="U1165" s="1">
        <v>4.3982295550000003</v>
      </c>
      <c r="V1165" s="1">
        <v>4.2408545169999998</v>
      </c>
      <c r="W1165" s="1">
        <v>3.6840067150000002</v>
      </c>
      <c r="X1165" s="1">
        <v>3.6673381269999998</v>
      </c>
      <c r="Y1165" s="1">
        <v>4.0337379980000003</v>
      </c>
      <c r="Z1165" s="1">
        <v>4.6083586160000003</v>
      </c>
      <c r="AA1165" s="1">
        <v>4.2250836859999996</v>
      </c>
      <c r="AB1165" s="1">
        <v>3.6315729079999999</v>
      </c>
      <c r="AC1165" s="1">
        <v>4.1685844940000001</v>
      </c>
      <c r="AD1165" s="1">
        <v>4.0967699450000001</v>
      </c>
      <c r="AE1165" s="1">
        <v>3.7492737119999999</v>
      </c>
    </row>
    <row r="1166" spans="1:31" x14ac:dyDescent="0.25">
      <c r="A1166" s="1" t="s">
        <v>168</v>
      </c>
      <c r="B1166" s="1" t="s">
        <v>2530</v>
      </c>
      <c r="C1166" s="1" t="s">
        <v>2573</v>
      </c>
      <c r="D1166" s="1" t="s">
        <v>2535</v>
      </c>
      <c r="E1166" s="1" t="s">
        <v>3391</v>
      </c>
      <c r="G1166" s="1" t="s">
        <v>168</v>
      </c>
      <c r="H1166" s="1">
        <v>4.2900513550000001</v>
      </c>
      <c r="I1166" s="1">
        <v>4.5981535630000003</v>
      </c>
      <c r="J1166" s="1">
        <v>3.6453331530000002</v>
      </c>
      <c r="K1166" s="1">
        <v>4.2434183680000004</v>
      </c>
      <c r="L1166" s="1">
        <v>3.3884746630000002</v>
      </c>
      <c r="M1166" s="1">
        <v>3.2940962960000002</v>
      </c>
      <c r="N1166" s="1">
        <v>4.1002678350000004</v>
      </c>
      <c r="O1166" s="1">
        <v>3.7238257350000001</v>
      </c>
      <c r="P1166" s="1">
        <v>3.9684043939999998</v>
      </c>
      <c r="Q1166" s="1">
        <v>3.8492287269999999</v>
      </c>
      <c r="R1166" s="1">
        <v>2.9339002829999998</v>
      </c>
      <c r="S1166" s="1">
        <v>3.3463386960000001</v>
      </c>
      <c r="T1166" s="1">
        <v>3.3884746630000002</v>
      </c>
      <c r="U1166" s="1">
        <v>3.2940962960000002</v>
      </c>
      <c r="V1166" s="1">
        <v>3.6670520409999998</v>
      </c>
      <c r="W1166" s="1">
        <v>4.1128053839999996</v>
      </c>
      <c r="X1166" s="1">
        <v>3.5883256710000002</v>
      </c>
      <c r="Y1166" s="1">
        <v>3.229986142</v>
      </c>
      <c r="Z1166" s="1">
        <v>2.9339002829999998</v>
      </c>
      <c r="AA1166" s="1">
        <v>3.3463386960000001</v>
      </c>
      <c r="AB1166" s="1">
        <v>3.6315729079999999</v>
      </c>
      <c r="AC1166" s="1">
        <v>4.3377211620000002</v>
      </c>
      <c r="AD1166" s="1">
        <v>4.2005997429999997</v>
      </c>
      <c r="AE1166" s="1">
        <v>3.5954838599999999</v>
      </c>
    </row>
    <row r="1167" spans="1:31" x14ac:dyDescent="0.25">
      <c r="A1167" s="1" t="s">
        <v>170</v>
      </c>
      <c r="B1167" s="1" t="s">
        <v>2530</v>
      </c>
      <c r="C1167" s="1" t="s">
        <v>2531</v>
      </c>
      <c r="D1167" s="1" t="s">
        <v>2535</v>
      </c>
      <c r="E1167" s="1" t="s">
        <v>2621</v>
      </c>
      <c r="G1167" s="1" t="s">
        <v>170</v>
      </c>
      <c r="H1167" s="1">
        <v>6.402342805</v>
      </c>
      <c r="I1167" s="1">
        <v>5.8070199389999999</v>
      </c>
      <c r="J1167" s="1">
        <v>4.1077874330000004</v>
      </c>
      <c r="K1167" s="1">
        <v>4.5171444090000001</v>
      </c>
      <c r="L1167" s="1">
        <v>3.3025959560000002</v>
      </c>
      <c r="M1167" s="1">
        <v>2.3994532390000001</v>
      </c>
      <c r="N1167" s="1">
        <v>5.0517962220000001</v>
      </c>
      <c r="O1167" s="1">
        <v>5.9330167859999996</v>
      </c>
      <c r="P1167" s="1">
        <v>4.2485661720000003</v>
      </c>
      <c r="Q1167" s="1">
        <v>4.0840108080000004</v>
      </c>
      <c r="R1167" s="1">
        <v>3.386455024</v>
      </c>
      <c r="S1167" s="1">
        <v>3.9182367880000002</v>
      </c>
      <c r="T1167" s="1">
        <v>3.3025959560000002</v>
      </c>
      <c r="U1167" s="1">
        <v>2.3994532390000001</v>
      </c>
      <c r="V1167" s="1">
        <v>3.6670520409999998</v>
      </c>
      <c r="W1167" s="1">
        <v>3.9848641250000001</v>
      </c>
      <c r="X1167" s="1">
        <v>3.0884111989999998</v>
      </c>
      <c r="Y1167" s="1">
        <v>3.7705059300000001</v>
      </c>
      <c r="Z1167" s="1">
        <v>3.386455024</v>
      </c>
      <c r="AA1167" s="1">
        <v>3.9182367880000002</v>
      </c>
      <c r="AB1167" s="1">
        <v>3.8237667059999998</v>
      </c>
      <c r="AC1167" s="1">
        <v>2.87258916</v>
      </c>
      <c r="AD1167" s="1">
        <v>4.7657555159999996</v>
      </c>
      <c r="AE1167" s="1">
        <v>3.8196998459999998</v>
      </c>
    </row>
    <row r="1168" spans="1:31" x14ac:dyDescent="0.25">
      <c r="A1168" s="1" t="s">
        <v>174</v>
      </c>
      <c r="B1168" s="1" t="s">
        <v>2520</v>
      </c>
      <c r="C1168" s="1" t="s">
        <v>2646</v>
      </c>
      <c r="D1168" s="1" t="s">
        <v>2535</v>
      </c>
      <c r="E1168" s="1" t="s">
        <v>4473</v>
      </c>
      <c r="F1168" s="1" t="s">
        <v>4474</v>
      </c>
      <c r="G1168" s="1" t="s">
        <v>174</v>
      </c>
      <c r="H1168" s="1">
        <v>5.1131742039999999</v>
      </c>
      <c r="I1168" s="1">
        <v>5.009480355</v>
      </c>
      <c r="J1168" s="1">
        <v>4.2018709520000002</v>
      </c>
      <c r="K1168" s="1">
        <v>4.1384138449999996</v>
      </c>
      <c r="L1168" s="1">
        <v>3.6811173419999998</v>
      </c>
      <c r="M1168" s="1">
        <v>3.4067547010000001</v>
      </c>
      <c r="N1168" s="1">
        <v>5.0517962220000001</v>
      </c>
      <c r="O1168" s="1">
        <v>5.2237789919999997</v>
      </c>
      <c r="P1168" s="1">
        <v>4.4075207919999997</v>
      </c>
      <c r="Q1168" s="1">
        <v>3.56206471</v>
      </c>
      <c r="R1168" s="1">
        <v>3.7109484589999999</v>
      </c>
      <c r="S1168" s="1">
        <v>3.5159502420000002</v>
      </c>
      <c r="T1168" s="1">
        <v>3.6811173419999998</v>
      </c>
      <c r="U1168" s="1">
        <v>3.4067547010000001</v>
      </c>
      <c r="V1168" s="1">
        <v>3.887436229</v>
      </c>
      <c r="W1168" s="1">
        <v>4.2295768090000001</v>
      </c>
      <c r="X1168" s="1">
        <v>3.4131791489999999</v>
      </c>
      <c r="Y1168" s="1">
        <v>4.0337379980000003</v>
      </c>
      <c r="Z1168" s="1">
        <v>3.7109484589999999</v>
      </c>
      <c r="AA1168" s="1">
        <v>3.5159502420000002</v>
      </c>
      <c r="AB1168" s="1">
        <v>3.1218319999999999</v>
      </c>
      <c r="AC1168" s="1">
        <v>2.87258916</v>
      </c>
      <c r="AD1168" s="1">
        <v>3.725077481</v>
      </c>
      <c r="AE1168" s="1">
        <v>3.213378847</v>
      </c>
    </row>
    <row r="1169" spans="1:31" x14ac:dyDescent="0.25">
      <c r="A1169" s="1" t="s">
        <v>177</v>
      </c>
      <c r="B1169" s="1" t="s">
        <v>2942</v>
      </c>
      <c r="C1169" s="1" t="s">
        <v>2943</v>
      </c>
      <c r="D1169" s="1" t="s">
        <v>2535</v>
      </c>
      <c r="E1169" s="1" t="s">
        <v>4475</v>
      </c>
      <c r="F1169" s="1" t="s">
        <v>4476</v>
      </c>
      <c r="G1169" s="1" t="s">
        <v>177</v>
      </c>
      <c r="H1169" s="1">
        <v>2.640460343</v>
      </c>
      <c r="I1169" s="1">
        <v>3.6484415459999999</v>
      </c>
      <c r="J1169" s="1">
        <v>1.7393328349999999</v>
      </c>
      <c r="K1169" s="1">
        <v>3.22334677</v>
      </c>
      <c r="L1169" s="1">
        <v>3.6142294740000001</v>
      </c>
      <c r="M1169" s="1">
        <v>3.6924658159999999</v>
      </c>
      <c r="N1169" s="1">
        <v>3.5368298970000001</v>
      </c>
      <c r="O1169" s="1">
        <v>3.88533178</v>
      </c>
      <c r="P1169" s="1">
        <v>3.3003929539999999</v>
      </c>
      <c r="Q1169" s="1">
        <v>3.56206471</v>
      </c>
      <c r="R1169" s="1">
        <v>3.8462631940000001</v>
      </c>
      <c r="S1169" s="1">
        <v>2.9034795349999998</v>
      </c>
      <c r="T1169" s="1">
        <v>3.6142294740000001</v>
      </c>
      <c r="U1169" s="1">
        <v>3.6924658159999999</v>
      </c>
      <c r="V1169" s="1">
        <v>3.0516113059999999</v>
      </c>
      <c r="W1169" s="1">
        <v>1.7393328349999999</v>
      </c>
      <c r="X1169" s="1">
        <v>3.3149070109999998</v>
      </c>
      <c r="Y1169" s="1">
        <v>4.2532353330000001</v>
      </c>
      <c r="Z1169" s="1">
        <v>3.8462631940000001</v>
      </c>
      <c r="AA1169" s="1">
        <v>2.9034795349999998</v>
      </c>
      <c r="AB1169" s="1">
        <v>2.73487305</v>
      </c>
      <c r="AC1169" s="1">
        <v>3.3054795530000001</v>
      </c>
      <c r="AD1169" s="1">
        <v>2.9432342459999998</v>
      </c>
      <c r="AE1169" s="1">
        <v>3.5108161330000001</v>
      </c>
    </row>
    <row r="1170" spans="1:31" x14ac:dyDescent="0.25">
      <c r="A1170" s="1" t="s">
        <v>178</v>
      </c>
      <c r="B1170" s="1" t="s">
        <v>2520</v>
      </c>
      <c r="C1170" s="1" t="s">
        <v>2646</v>
      </c>
      <c r="D1170" s="1" t="s">
        <v>2535</v>
      </c>
      <c r="E1170" s="1" t="s">
        <v>4477</v>
      </c>
      <c r="F1170" s="1" t="s">
        <v>4478</v>
      </c>
      <c r="G1170" s="1" t="s">
        <v>178</v>
      </c>
      <c r="H1170" s="1">
        <v>6.2825651889999996</v>
      </c>
      <c r="I1170" s="1">
        <v>6.1427370300000002</v>
      </c>
      <c r="J1170" s="1">
        <v>7.1407823549999998</v>
      </c>
      <c r="K1170" s="1">
        <v>7.37478634</v>
      </c>
      <c r="L1170" s="1">
        <v>7.0427144589999999</v>
      </c>
      <c r="M1170" s="1">
        <v>7.3177483289999996</v>
      </c>
      <c r="N1170" s="1">
        <v>6.0019412369999996</v>
      </c>
      <c r="O1170" s="1">
        <v>6.1884751419999997</v>
      </c>
      <c r="P1170" s="1">
        <v>7.1077111620000002</v>
      </c>
      <c r="Q1170" s="1">
        <v>7.3522884079999997</v>
      </c>
      <c r="R1170" s="1">
        <v>7.4809224849999998</v>
      </c>
      <c r="S1170" s="1">
        <v>7.6475370180000004</v>
      </c>
      <c r="T1170" s="1">
        <v>7.0427144589999999</v>
      </c>
      <c r="U1170" s="1">
        <v>7.3177483289999996</v>
      </c>
      <c r="V1170" s="1">
        <v>7.4692907550000003</v>
      </c>
      <c r="W1170" s="1">
        <v>7.5019939039999999</v>
      </c>
      <c r="X1170" s="1">
        <v>7.5157469749999999</v>
      </c>
      <c r="Y1170" s="1">
        <v>7.3993747780000003</v>
      </c>
      <c r="Z1170" s="1">
        <v>7.4809224849999998</v>
      </c>
      <c r="AA1170" s="1">
        <v>7.6475370180000004</v>
      </c>
      <c r="AB1170" s="1">
        <v>7.5332931280000004</v>
      </c>
      <c r="AC1170" s="1">
        <v>7.2773631549999998</v>
      </c>
      <c r="AD1170" s="1">
        <v>7.4335619030000002</v>
      </c>
      <c r="AE1170" s="1">
        <v>7.2199691680000004</v>
      </c>
    </row>
    <row r="1171" spans="1:31" x14ac:dyDescent="0.25">
      <c r="A1171" s="1" t="s">
        <v>181</v>
      </c>
      <c r="B1171" s="1" t="s">
        <v>2547</v>
      </c>
      <c r="C1171" s="1" t="s">
        <v>2548</v>
      </c>
      <c r="D1171" s="1" t="s">
        <v>3991</v>
      </c>
      <c r="E1171" s="1" t="s">
        <v>4479</v>
      </c>
      <c r="F1171" s="1" t="s">
        <v>4480</v>
      </c>
      <c r="G1171" s="1" t="s">
        <v>181</v>
      </c>
      <c r="H1171" s="1">
        <v>7.6465680100000002</v>
      </c>
      <c r="I1171" s="1">
        <v>7.3488260959999998</v>
      </c>
      <c r="J1171" s="1">
        <v>7.7862100549999997</v>
      </c>
      <c r="K1171" s="1">
        <v>7.6394957330000004</v>
      </c>
      <c r="L1171" s="1">
        <v>7.4427604220000001</v>
      </c>
      <c r="M1171" s="1">
        <v>7.5102295459999997</v>
      </c>
      <c r="N1171" s="1">
        <v>7.2088795220000002</v>
      </c>
      <c r="O1171" s="1">
        <v>7.2475646429999996</v>
      </c>
      <c r="P1171" s="1">
        <v>7.4912292100000002</v>
      </c>
      <c r="Q1171" s="1">
        <v>7.8164050280000001</v>
      </c>
      <c r="R1171" s="1">
        <v>7.7235601989999996</v>
      </c>
      <c r="S1171" s="1">
        <v>7.6475370180000004</v>
      </c>
      <c r="T1171" s="1">
        <v>7.4427604220000001</v>
      </c>
      <c r="U1171" s="1">
        <v>7.5102295459999997</v>
      </c>
      <c r="V1171" s="1">
        <v>7.4035684220000002</v>
      </c>
      <c r="W1171" s="1">
        <v>7.7297267380000001</v>
      </c>
      <c r="X1171" s="1">
        <v>7.5157469749999999</v>
      </c>
      <c r="Y1171" s="1">
        <v>7.1185527400000002</v>
      </c>
      <c r="Z1171" s="1">
        <v>7.7235601989999996</v>
      </c>
      <c r="AA1171" s="1">
        <v>7.6475370180000004</v>
      </c>
      <c r="AB1171" s="1">
        <v>7.8449502390000001</v>
      </c>
      <c r="AC1171" s="1">
        <v>7.6092611220000004</v>
      </c>
      <c r="AD1171" s="1">
        <v>7.5893407120000003</v>
      </c>
      <c r="AE1171" s="1">
        <v>7.8740462500000001</v>
      </c>
    </row>
    <row r="1172" spans="1:31" x14ac:dyDescent="0.25">
      <c r="A1172" s="1" t="s">
        <v>184</v>
      </c>
      <c r="B1172" s="1" t="s">
        <v>2608</v>
      </c>
      <c r="C1172" s="1" t="s">
        <v>2609</v>
      </c>
      <c r="D1172" s="1" t="s">
        <v>2610</v>
      </c>
      <c r="E1172" s="1" t="s">
        <v>4481</v>
      </c>
      <c r="G1172" s="1" t="s">
        <v>184</v>
      </c>
      <c r="H1172" s="1">
        <v>4.995162745</v>
      </c>
      <c r="I1172" s="1">
        <v>4.903725959</v>
      </c>
      <c r="J1172" s="1">
        <v>4.7243317210000004</v>
      </c>
      <c r="K1172" s="1">
        <v>5.2180867539999998</v>
      </c>
      <c r="L1172" s="1">
        <v>5.1724144110000001</v>
      </c>
      <c r="M1172" s="1">
        <v>4.7872698079999996</v>
      </c>
      <c r="N1172" s="1">
        <v>4.8006971780000001</v>
      </c>
      <c r="O1172" s="1">
        <v>5.1040005129999999</v>
      </c>
      <c r="P1172" s="1">
        <v>4.8528499219999999</v>
      </c>
      <c r="Q1172" s="1">
        <v>4.7509440400000003</v>
      </c>
      <c r="R1172" s="1">
        <v>4.9327063119999996</v>
      </c>
      <c r="S1172" s="1">
        <v>4.6864044680000001</v>
      </c>
      <c r="T1172" s="1">
        <v>5.1724144110000001</v>
      </c>
      <c r="U1172" s="1">
        <v>4.7872698079999996</v>
      </c>
      <c r="V1172" s="1">
        <v>4.9527859210000003</v>
      </c>
      <c r="W1172" s="1">
        <v>4.3370700810000002</v>
      </c>
      <c r="X1172" s="1">
        <v>4.4502657640000001</v>
      </c>
      <c r="Y1172" s="1">
        <v>5.5443425189999997</v>
      </c>
      <c r="Z1172" s="1">
        <v>4.9327063119999996</v>
      </c>
      <c r="AA1172" s="1">
        <v>4.6864044680000001</v>
      </c>
      <c r="AB1172" s="1">
        <v>4.7958605490000004</v>
      </c>
      <c r="AC1172" s="1">
        <v>4.4881955270000002</v>
      </c>
      <c r="AD1172" s="1">
        <v>4.95179218</v>
      </c>
      <c r="AE1172" s="1">
        <v>5.0415666330000004</v>
      </c>
    </row>
    <row r="1173" spans="1:31" x14ac:dyDescent="0.25">
      <c r="A1173" s="1" t="s">
        <v>185</v>
      </c>
      <c r="B1173" s="1" t="s">
        <v>2557</v>
      </c>
      <c r="C1173" s="1" t="s">
        <v>2680</v>
      </c>
      <c r="D1173" s="1" t="s">
        <v>2712</v>
      </c>
      <c r="E1173" s="1" t="s">
        <v>4482</v>
      </c>
      <c r="F1173" s="1" t="s">
        <v>4483</v>
      </c>
      <c r="G1173" s="1" t="s">
        <v>185</v>
      </c>
      <c r="H1173" s="1">
        <v>5.3232649629999997</v>
      </c>
      <c r="I1173" s="1">
        <v>5.2436995780000002</v>
      </c>
      <c r="J1173" s="1">
        <v>5.2817155790000001</v>
      </c>
      <c r="K1173" s="1">
        <v>5.1139224319999999</v>
      </c>
      <c r="L1173" s="1">
        <v>5.8387509910000004</v>
      </c>
      <c r="M1173" s="1">
        <v>5.3667108829999997</v>
      </c>
      <c r="N1173" s="1">
        <v>5.3605984370000002</v>
      </c>
      <c r="O1173" s="1">
        <v>5.7859173799999999</v>
      </c>
      <c r="P1173" s="1">
        <v>4.7394495640000001</v>
      </c>
      <c r="Q1173" s="1">
        <v>5.3375178869999997</v>
      </c>
      <c r="R1173" s="1">
        <v>5.9019545559999997</v>
      </c>
      <c r="S1173" s="1">
        <v>5.9969908790000002</v>
      </c>
      <c r="T1173" s="1">
        <v>5.8387509910000004</v>
      </c>
      <c r="U1173" s="1">
        <v>5.3667108829999997</v>
      </c>
      <c r="V1173" s="1">
        <v>5.5505659869999997</v>
      </c>
      <c r="W1173" s="1">
        <v>4.7760085830000003</v>
      </c>
      <c r="X1173" s="1">
        <v>5.2630731749999997</v>
      </c>
      <c r="Y1173" s="1">
        <v>5.6604650660000004</v>
      </c>
      <c r="Z1173" s="1">
        <v>5.9019545559999997</v>
      </c>
      <c r="AA1173" s="1">
        <v>5.9969908790000002</v>
      </c>
      <c r="AB1173" s="1">
        <v>4.7958605490000004</v>
      </c>
      <c r="AC1173" s="1">
        <v>5.4356573160000003</v>
      </c>
      <c r="AD1173" s="1">
        <v>5.5571020090000003</v>
      </c>
      <c r="AE1173" s="1">
        <v>5.2497036230000003</v>
      </c>
    </row>
    <row r="1174" spans="1:31" x14ac:dyDescent="0.25">
      <c r="A1174" s="1" t="s">
        <v>188</v>
      </c>
      <c r="B1174" s="1" t="s">
        <v>2608</v>
      </c>
      <c r="C1174" s="1" t="s">
        <v>2700</v>
      </c>
      <c r="D1174" s="1" t="s">
        <v>3868</v>
      </c>
      <c r="E1174" s="1" t="s">
        <v>4484</v>
      </c>
      <c r="F1174" s="1" t="s">
        <v>4485</v>
      </c>
      <c r="G1174" s="1" t="s">
        <v>188</v>
      </c>
      <c r="H1174" s="1">
        <v>5.7790807539999998</v>
      </c>
      <c r="I1174" s="1">
        <v>5.4817092260000004</v>
      </c>
      <c r="J1174" s="1">
        <v>8.0034921079999997</v>
      </c>
      <c r="K1174" s="1">
        <v>7.8550759189999999</v>
      </c>
      <c r="L1174" s="1">
        <v>9.0478473449999992</v>
      </c>
      <c r="M1174" s="1">
        <v>8.9707380860000008</v>
      </c>
      <c r="N1174" s="1">
        <v>6.8232102509999999</v>
      </c>
      <c r="O1174" s="1">
        <v>6.6793400549999999</v>
      </c>
      <c r="P1174" s="1">
        <v>8.3262622089999994</v>
      </c>
      <c r="Q1174" s="1">
        <v>8.3554523970000005</v>
      </c>
      <c r="R1174" s="1">
        <v>8.6320392189999993</v>
      </c>
      <c r="S1174" s="1">
        <v>8.7051974269999999</v>
      </c>
      <c r="T1174" s="1">
        <v>9.0478473449999992</v>
      </c>
      <c r="U1174" s="1">
        <v>8.9707380860000008</v>
      </c>
      <c r="V1174" s="1">
        <v>8.3623494160000007</v>
      </c>
      <c r="W1174" s="1">
        <v>8.2604539789999993</v>
      </c>
      <c r="X1174" s="1">
        <v>8.9440096360000005</v>
      </c>
      <c r="Y1174" s="1">
        <v>7.9841119819999999</v>
      </c>
      <c r="Z1174" s="1">
        <v>8.6320392189999993</v>
      </c>
      <c r="AA1174" s="1">
        <v>8.7051974269999999</v>
      </c>
      <c r="AB1174" s="1">
        <v>8.5652527809999999</v>
      </c>
      <c r="AC1174" s="1">
        <v>8.7169675360000003</v>
      </c>
      <c r="AD1174" s="1">
        <v>8.1976612249999992</v>
      </c>
      <c r="AE1174" s="1">
        <v>8.2065215560000002</v>
      </c>
    </row>
    <row r="1175" spans="1:31" x14ac:dyDescent="0.25">
      <c r="A1175" s="1" t="s">
        <v>189</v>
      </c>
      <c r="B1175" s="1" t="s">
        <v>2608</v>
      </c>
      <c r="C1175" s="1" t="s">
        <v>2791</v>
      </c>
      <c r="D1175" s="1" t="s">
        <v>2792</v>
      </c>
      <c r="E1175" s="1" t="s">
        <v>4486</v>
      </c>
      <c r="F1175" s="1" t="s">
        <v>4487</v>
      </c>
      <c r="G1175" s="1" t="s">
        <v>189</v>
      </c>
      <c r="H1175" s="1">
        <v>7.2850176099999997</v>
      </c>
      <c r="I1175" s="1">
        <v>7.6691092149999998</v>
      </c>
      <c r="J1175" s="1">
        <v>8.5438805179999999</v>
      </c>
      <c r="K1175" s="1">
        <v>8.2818180800000007</v>
      </c>
      <c r="L1175" s="1">
        <v>9.2157604699999993</v>
      </c>
      <c r="M1175" s="1">
        <v>9.1991577259999993</v>
      </c>
      <c r="N1175" s="1">
        <v>8.1165361499999999</v>
      </c>
      <c r="O1175" s="1">
        <v>8.1198143779999992</v>
      </c>
      <c r="P1175" s="1">
        <v>8.634435581</v>
      </c>
      <c r="Q1175" s="1">
        <v>8.4285319059999999</v>
      </c>
      <c r="R1175" s="1">
        <v>8.6754362040000004</v>
      </c>
      <c r="S1175" s="1">
        <v>8.945731103</v>
      </c>
      <c r="T1175" s="1">
        <v>9.2157604699999993</v>
      </c>
      <c r="U1175" s="1">
        <v>9.1991577259999993</v>
      </c>
      <c r="V1175" s="1">
        <v>9.0370951789999996</v>
      </c>
      <c r="W1175" s="1">
        <v>8.8103168150000002</v>
      </c>
      <c r="X1175" s="1">
        <v>8.6715879890000007</v>
      </c>
      <c r="Y1175" s="1">
        <v>8.8562488980000005</v>
      </c>
      <c r="Z1175" s="1">
        <v>8.6754362040000004</v>
      </c>
      <c r="AA1175" s="1">
        <v>8.945731103</v>
      </c>
      <c r="AB1175" s="1">
        <v>8.8081936249999995</v>
      </c>
      <c r="AC1175" s="1">
        <v>8.796512495</v>
      </c>
      <c r="AD1175" s="1">
        <v>8.7073182300000003</v>
      </c>
      <c r="AE1175" s="1">
        <v>8.5828143299999997</v>
      </c>
    </row>
    <row r="1176" spans="1:31" x14ac:dyDescent="0.25">
      <c r="A1176" s="1" t="s">
        <v>192</v>
      </c>
      <c r="B1176" s="1" t="s">
        <v>2525</v>
      </c>
      <c r="C1176" s="1" t="s">
        <v>3175</v>
      </c>
      <c r="D1176" s="1" t="s">
        <v>3602</v>
      </c>
      <c r="E1176" s="1" t="s">
        <v>4488</v>
      </c>
      <c r="F1176" s="1" t="s">
        <v>4489</v>
      </c>
      <c r="G1176" s="1" t="s">
        <v>192</v>
      </c>
      <c r="H1176" s="1">
        <v>7.0413960959999997</v>
      </c>
      <c r="I1176" s="1">
        <v>7.4728468509999999</v>
      </c>
      <c r="J1176" s="1">
        <v>9.1188234539999993</v>
      </c>
      <c r="K1176" s="1">
        <v>8.8424488219999997</v>
      </c>
      <c r="L1176" s="1">
        <v>9.0522557070000005</v>
      </c>
      <c r="M1176" s="1">
        <v>9.1709493729999991</v>
      </c>
      <c r="N1176" s="1">
        <v>7.6413585089999998</v>
      </c>
      <c r="O1176" s="1">
        <v>7.3226664210000001</v>
      </c>
      <c r="P1176" s="1">
        <v>8.8783535560000004</v>
      </c>
      <c r="Q1176" s="1">
        <v>8.9342493510000001</v>
      </c>
      <c r="R1176" s="1">
        <v>9.3306569679999996</v>
      </c>
      <c r="S1176" s="1">
        <v>9.370148726</v>
      </c>
      <c r="T1176" s="1">
        <v>9.0522557070000005</v>
      </c>
      <c r="U1176" s="1">
        <v>9.1709493729999991</v>
      </c>
      <c r="V1176" s="1">
        <v>9.4055306880000007</v>
      </c>
      <c r="W1176" s="1">
        <v>9.3325049030000002</v>
      </c>
      <c r="X1176" s="1">
        <v>9.5249347469999996</v>
      </c>
      <c r="Y1176" s="1">
        <v>9.3931332360000006</v>
      </c>
      <c r="Z1176" s="1">
        <v>9.3306569679999996</v>
      </c>
      <c r="AA1176" s="1">
        <v>9.370148726</v>
      </c>
      <c r="AB1176" s="1">
        <v>9.4942027919999994</v>
      </c>
      <c r="AC1176" s="1">
        <v>9.4500319770000001</v>
      </c>
      <c r="AD1176" s="1">
        <v>9.2760564460000001</v>
      </c>
      <c r="AE1176" s="1">
        <v>9.3044766780000003</v>
      </c>
    </row>
    <row r="1177" spans="1:31" x14ac:dyDescent="0.25">
      <c r="A1177" s="1" t="s">
        <v>193</v>
      </c>
      <c r="B1177" s="1" t="s">
        <v>2547</v>
      </c>
      <c r="C1177" s="1" t="s">
        <v>2622</v>
      </c>
      <c r="D1177" s="1" t="s">
        <v>2535</v>
      </c>
      <c r="E1177" s="1" t="s">
        <v>3041</v>
      </c>
      <c r="G1177" s="1" t="s">
        <v>193</v>
      </c>
      <c r="H1177" s="1">
        <v>5.8141293449999996</v>
      </c>
      <c r="I1177" s="1">
        <v>5.8070199389999999</v>
      </c>
      <c r="J1177" s="1">
        <v>6.0426942559999999</v>
      </c>
      <c r="K1177" s="1">
        <v>5.9485821269999999</v>
      </c>
      <c r="L1177" s="1">
        <v>6.4064948719999997</v>
      </c>
      <c r="M1177" s="1">
        <v>5.9201092089999996</v>
      </c>
      <c r="N1177" s="1">
        <v>5.8295014189999996</v>
      </c>
      <c r="O1177" s="1">
        <v>5.9330167859999996</v>
      </c>
      <c r="P1177" s="1">
        <v>6.2573947350000001</v>
      </c>
      <c r="Q1177" s="1">
        <v>5.5780218530000001</v>
      </c>
      <c r="R1177" s="1">
        <v>6.0146875240000002</v>
      </c>
      <c r="S1177" s="1">
        <v>5.6453330910000004</v>
      </c>
      <c r="T1177" s="1">
        <v>6.4064948719999997</v>
      </c>
      <c r="U1177" s="1">
        <v>5.9201092089999996</v>
      </c>
      <c r="V1177" s="1">
        <v>6.7957404280000002</v>
      </c>
      <c r="W1177" s="1">
        <v>6.8980132320000003</v>
      </c>
      <c r="X1177" s="1">
        <v>6.8398098559999996</v>
      </c>
      <c r="Y1177" s="1">
        <v>6.8033735860000002</v>
      </c>
      <c r="Z1177" s="1">
        <v>6.0146875240000002</v>
      </c>
      <c r="AA1177" s="1">
        <v>5.6453330910000004</v>
      </c>
      <c r="AB1177" s="1">
        <v>6.4527679449999997</v>
      </c>
      <c r="AC1177" s="1">
        <v>6.5096691079999998</v>
      </c>
      <c r="AD1177" s="1">
        <v>6.7323805009999997</v>
      </c>
      <c r="AE1177" s="1">
        <v>6.9731375299999998</v>
      </c>
    </row>
    <row r="1178" spans="1:31" x14ac:dyDescent="0.25">
      <c r="A1178" s="1" t="s">
        <v>198</v>
      </c>
      <c r="B1178" s="1" t="s">
        <v>2642</v>
      </c>
      <c r="C1178" s="1" t="s">
        <v>2643</v>
      </c>
      <c r="D1178" s="1" t="s">
        <v>2687</v>
      </c>
      <c r="E1178" s="1" t="s">
        <v>3491</v>
      </c>
      <c r="F1178" s="1" t="s">
        <v>3492</v>
      </c>
      <c r="G1178" s="1" t="s">
        <v>198</v>
      </c>
      <c r="H1178" s="1">
        <v>4.2900513550000001</v>
      </c>
      <c r="I1178" s="1">
        <v>4.2055918060000002</v>
      </c>
      <c r="J1178" s="1">
        <v>3.6453331530000002</v>
      </c>
      <c r="K1178" s="1">
        <v>4.4318297590000002</v>
      </c>
      <c r="L1178" s="1">
        <v>4.5190290319999997</v>
      </c>
      <c r="M1178" s="1">
        <v>5.029201552</v>
      </c>
      <c r="N1178" s="1">
        <v>3.5368298970000001</v>
      </c>
      <c r="O1178" s="1">
        <v>3.193511794</v>
      </c>
      <c r="P1178" s="1">
        <v>4.0684607960000001</v>
      </c>
      <c r="Q1178" s="1">
        <v>4.5369064569999997</v>
      </c>
      <c r="R1178" s="1">
        <v>4.7472384160000001</v>
      </c>
      <c r="S1178" s="1">
        <v>4.2250836859999996</v>
      </c>
      <c r="T1178" s="1">
        <v>4.5190290319999997</v>
      </c>
      <c r="U1178" s="1">
        <v>5.029201552</v>
      </c>
      <c r="V1178" s="1">
        <v>4.0758289169999999</v>
      </c>
      <c r="W1178" s="1">
        <v>3.9848641250000001</v>
      </c>
      <c r="X1178" s="1">
        <v>4.8203448399999997</v>
      </c>
      <c r="Y1178" s="1">
        <v>3.7705059300000001</v>
      </c>
      <c r="Z1178" s="1">
        <v>4.7472384160000001</v>
      </c>
      <c r="AA1178" s="1">
        <v>4.2250836859999996</v>
      </c>
      <c r="AB1178" s="1">
        <v>3.8237667059999998</v>
      </c>
      <c r="AC1178" s="1">
        <v>4.5576875899999996</v>
      </c>
      <c r="AD1178" s="1">
        <v>4.0967699450000001</v>
      </c>
      <c r="AE1178" s="1">
        <v>4.0685293649999998</v>
      </c>
    </row>
    <row r="1179" spans="1:31" x14ac:dyDescent="0.25">
      <c r="A1179" s="1" t="s">
        <v>200</v>
      </c>
      <c r="B1179" s="1" t="s">
        <v>2520</v>
      </c>
      <c r="C1179" s="1" t="s">
        <v>2521</v>
      </c>
      <c r="D1179" s="1" t="s">
        <v>2535</v>
      </c>
      <c r="E1179" s="1" t="s">
        <v>4490</v>
      </c>
      <c r="F1179" s="1" t="s">
        <v>4491</v>
      </c>
      <c r="G1179" s="1" t="s">
        <v>200</v>
      </c>
      <c r="H1179" s="1">
        <v>4.9322401630000003</v>
      </c>
      <c r="I1179" s="1">
        <v>4.7893724280000001</v>
      </c>
      <c r="J1179" s="1">
        <v>4.8434621079999998</v>
      </c>
      <c r="K1179" s="1">
        <v>4.8793048219999999</v>
      </c>
      <c r="L1179" s="1">
        <v>5.7251137559999998</v>
      </c>
      <c r="M1179" s="1">
        <v>5.6801009100000002</v>
      </c>
      <c r="N1179" s="1">
        <v>5.2649372489999999</v>
      </c>
      <c r="O1179" s="1">
        <v>5.0724039640000003</v>
      </c>
      <c r="P1179" s="1">
        <v>5.565195407</v>
      </c>
      <c r="Q1179" s="1">
        <v>5.4628336309999996</v>
      </c>
      <c r="R1179" s="1">
        <v>5.2434057019999996</v>
      </c>
      <c r="S1179" s="1">
        <v>5.9440521669999997</v>
      </c>
      <c r="T1179" s="1">
        <v>5.7251137559999998</v>
      </c>
      <c r="U1179" s="1">
        <v>5.6801009100000002</v>
      </c>
      <c r="V1179" s="1">
        <v>5.5505659869999997</v>
      </c>
      <c r="W1179" s="1">
        <v>5.4743148909999997</v>
      </c>
      <c r="X1179" s="1">
        <v>5.8569434649999996</v>
      </c>
      <c r="Y1179" s="1">
        <v>5.503438128</v>
      </c>
      <c r="Z1179" s="1">
        <v>5.2434057019999996</v>
      </c>
      <c r="AA1179" s="1">
        <v>5.9440521669999997</v>
      </c>
      <c r="AB1179" s="1">
        <v>5.675717079</v>
      </c>
      <c r="AC1179" s="1">
        <v>5.6386390840000002</v>
      </c>
      <c r="AD1179" s="1">
        <v>5.3536174839999999</v>
      </c>
      <c r="AE1179" s="1">
        <v>5.3205054189999998</v>
      </c>
    </row>
    <row r="1180" spans="1:31" x14ac:dyDescent="0.25">
      <c r="A1180" s="1" t="s">
        <v>201</v>
      </c>
      <c r="B1180" s="1" t="s">
        <v>2579</v>
      </c>
      <c r="C1180" s="1" t="s">
        <v>2983</v>
      </c>
      <c r="D1180" s="1" t="s">
        <v>2535</v>
      </c>
      <c r="E1180" s="1" t="s">
        <v>4492</v>
      </c>
      <c r="G1180" s="1" t="s">
        <v>201</v>
      </c>
      <c r="H1180" s="1">
        <v>4.183793842</v>
      </c>
      <c r="I1180" s="1">
        <v>3.5006354609999999</v>
      </c>
      <c r="J1180" s="1">
        <v>5.1953777219999999</v>
      </c>
      <c r="K1180" s="1">
        <v>4.5974987220000001</v>
      </c>
      <c r="L1180" s="1">
        <v>5.6492182990000002</v>
      </c>
      <c r="M1180" s="1">
        <v>6.0026802679999998</v>
      </c>
      <c r="N1180" s="1">
        <v>3.7779028299999999</v>
      </c>
      <c r="O1180" s="1">
        <v>4.2767880749999998</v>
      </c>
      <c r="P1180" s="1">
        <v>4.6791060150000003</v>
      </c>
      <c r="Q1180" s="1">
        <v>5.2931690810000003</v>
      </c>
      <c r="R1180" s="1">
        <v>5.8111782390000002</v>
      </c>
      <c r="S1180" s="1">
        <v>5.5773053920000004</v>
      </c>
      <c r="T1180" s="1">
        <v>5.6492182990000002</v>
      </c>
      <c r="U1180" s="1">
        <v>6.0026802679999998</v>
      </c>
      <c r="V1180" s="1">
        <v>4.6987742170000004</v>
      </c>
      <c r="W1180" s="1">
        <v>4.4367165279999998</v>
      </c>
      <c r="X1180" s="1">
        <v>5.3550813679999996</v>
      </c>
      <c r="Y1180" s="1">
        <v>4.8250325140000001</v>
      </c>
      <c r="Z1180" s="1">
        <v>5.8111782390000002</v>
      </c>
      <c r="AA1180" s="1">
        <v>5.5773053920000004</v>
      </c>
      <c r="AB1180" s="1">
        <v>5.1073354020000004</v>
      </c>
      <c r="AC1180" s="1">
        <v>4.8610120620000004</v>
      </c>
      <c r="AD1180" s="1">
        <v>5.116107059</v>
      </c>
      <c r="AE1180" s="1">
        <v>5.0415666330000004</v>
      </c>
    </row>
    <row r="1181" spans="1:31" x14ac:dyDescent="0.25">
      <c r="A1181" s="1" t="s">
        <v>205</v>
      </c>
      <c r="B1181" s="1" t="s">
        <v>2530</v>
      </c>
      <c r="C1181" s="1" t="s">
        <v>2531</v>
      </c>
      <c r="D1181" s="1" t="s">
        <v>2535</v>
      </c>
      <c r="E1181" s="1" t="s">
        <v>4493</v>
      </c>
      <c r="G1181" s="1" t="s">
        <v>205</v>
      </c>
      <c r="H1181" s="1">
        <v>4.7972697699999998</v>
      </c>
      <c r="I1181" s="1">
        <v>5.5177814730000003</v>
      </c>
      <c r="J1181" s="1">
        <v>4.8434621079999998</v>
      </c>
      <c r="K1181" s="1">
        <v>5.2674352469999999</v>
      </c>
      <c r="L1181" s="1">
        <v>6.2716175139999999</v>
      </c>
      <c r="M1181" s="1">
        <v>6.1691684679999996</v>
      </c>
      <c r="N1181" s="1">
        <v>5.5139471840000001</v>
      </c>
      <c r="O1181" s="1">
        <v>5.3864027800000001</v>
      </c>
      <c r="P1181" s="1">
        <v>6.2573947350000001</v>
      </c>
      <c r="Q1181" s="1">
        <v>6.5742324390000002</v>
      </c>
      <c r="R1181" s="1">
        <v>6.3726832150000003</v>
      </c>
      <c r="S1181" s="1">
        <v>6.168262747</v>
      </c>
      <c r="T1181" s="1">
        <v>6.2716175139999999</v>
      </c>
      <c r="U1181" s="1">
        <v>6.1691684679999996</v>
      </c>
      <c r="V1181" s="1">
        <v>6.3484277020000004</v>
      </c>
      <c r="W1181" s="1">
        <v>5.9408128590000002</v>
      </c>
      <c r="X1181" s="1">
        <v>6.2034432739999996</v>
      </c>
      <c r="Y1181" s="1">
        <v>6.399298012</v>
      </c>
      <c r="Z1181" s="1">
        <v>6.3726832150000003</v>
      </c>
      <c r="AA1181" s="1">
        <v>6.168262747</v>
      </c>
      <c r="AB1181" s="1">
        <v>6.0812876019999997</v>
      </c>
      <c r="AC1181" s="1">
        <v>6.346005549</v>
      </c>
      <c r="AD1181" s="1">
        <v>6.2383411879999997</v>
      </c>
      <c r="AE1181" s="1">
        <v>6.4941297889999996</v>
      </c>
    </row>
    <row r="1182" spans="1:31" x14ac:dyDescent="0.25">
      <c r="A1182" s="1" t="s">
        <v>212</v>
      </c>
      <c r="B1182" s="1" t="s">
        <v>2530</v>
      </c>
      <c r="C1182" s="1" t="s">
        <v>2531</v>
      </c>
      <c r="D1182" s="1" t="s">
        <v>2535</v>
      </c>
      <c r="E1182" s="1" t="s">
        <v>2562</v>
      </c>
      <c r="G1182" s="1" t="s">
        <v>212</v>
      </c>
      <c r="H1182" s="1">
        <v>1.7393328349999999</v>
      </c>
      <c r="I1182" s="1">
        <v>1.7393328349999999</v>
      </c>
      <c r="J1182" s="1">
        <v>1.7393328349999999</v>
      </c>
      <c r="K1182" s="1">
        <v>1.7393328349999999</v>
      </c>
      <c r="L1182" s="1">
        <v>1.7393328349999999</v>
      </c>
      <c r="M1182" s="1">
        <v>1.7393328349999999</v>
      </c>
      <c r="N1182" s="1">
        <v>2.372908427</v>
      </c>
      <c r="O1182" s="1">
        <v>2.6816282820000001</v>
      </c>
      <c r="P1182" s="1">
        <v>1.7393328349999999</v>
      </c>
      <c r="Q1182" s="1">
        <v>1.7393328349999999</v>
      </c>
      <c r="R1182" s="1">
        <v>1.7393328349999999</v>
      </c>
      <c r="S1182" s="1">
        <v>1.7393328349999999</v>
      </c>
      <c r="T1182" s="1">
        <v>1.7393328349999999</v>
      </c>
      <c r="U1182" s="1">
        <v>1.7393328349999999</v>
      </c>
      <c r="V1182" s="1">
        <v>2.5140266200000001</v>
      </c>
      <c r="W1182" s="1">
        <v>2.6606351240000001</v>
      </c>
      <c r="X1182" s="1">
        <v>1.7393328349999999</v>
      </c>
      <c r="Y1182" s="1">
        <v>1.7393328349999999</v>
      </c>
      <c r="Z1182" s="1">
        <v>1.7393328349999999</v>
      </c>
      <c r="AA1182" s="1">
        <v>1.7393328349999999</v>
      </c>
      <c r="AB1182" s="1">
        <v>1.7393328349999999</v>
      </c>
      <c r="AC1182" s="1">
        <v>1.7393328349999999</v>
      </c>
      <c r="AD1182" s="1">
        <v>2.9432342459999998</v>
      </c>
      <c r="AE1182" s="1">
        <v>2.3627668220000002</v>
      </c>
    </row>
    <row r="1183" spans="1:31" x14ac:dyDescent="0.25">
      <c r="A1183" s="1" t="s">
        <v>216</v>
      </c>
      <c r="B1183" s="1" t="s">
        <v>2598</v>
      </c>
      <c r="C1183" s="1" t="s">
        <v>2603</v>
      </c>
      <c r="D1183" s="1" t="s">
        <v>3551</v>
      </c>
      <c r="E1183" s="1" t="s">
        <v>3552</v>
      </c>
      <c r="F1183" s="1" t="s">
        <v>3553</v>
      </c>
      <c r="G1183" s="1" t="s">
        <v>216</v>
      </c>
      <c r="H1183" s="1">
        <v>8.6758147099999992</v>
      </c>
      <c r="I1183" s="1">
        <v>9.5009123889999998</v>
      </c>
      <c r="J1183" s="1">
        <v>9.3789827700000004</v>
      </c>
      <c r="K1183" s="1">
        <v>9.2843355980000002</v>
      </c>
      <c r="L1183" s="1">
        <v>9.0330547449999994</v>
      </c>
      <c r="M1183" s="1">
        <v>9.0249338380000008</v>
      </c>
      <c r="N1183" s="1">
        <v>8.8063316930000006</v>
      </c>
      <c r="O1183" s="1">
        <v>8.384792676</v>
      </c>
      <c r="P1183" s="1">
        <v>9.2100407329999996</v>
      </c>
      <c r="Q1183" s="1">
        <v>9.897094117</v>
      </c>
      <c r="R1183" s="1">
        <v>8.4187685059999993</v>
      </c>
      <c r="S1183" s="1">
        <v>8.7634921739999996</v>
      </c>
      <c r="T1183" s="1">
        <v>9.0330547449999994</v>
      </c>
      <c r="U1183" s="1">
        <v>9.0249338380000008</v>
      </c>
      <c r="V1183" s="1">
        <v>9.6780639480000001</v>
      </c>
      <c r="W1183" s="1">
        <v>9.438808216</v>
      </c>
      <c r="X1183" s="1">
        <v>8.8152257360000004</v>
      </c>
      <c r="Y1183" s="1">
        <v>9.6523933339999992</v>
      </c>
      <c r="Z1183" s="1">
        <v>8.4187685059999993</v>
      </c>
      <c r="AA1183" s="1">
        <v>8.7634921739999996</v>
      </c>
      <c r="AB1183" s="1">
        <v>8.4125493599999999</v>
      </c>
      <c r="AC1183" s="1">
        <v>7.8587955760000003</v>
      </c>
      <c r="AD1183" s="1">
        <v>8.3083056880000008</v>
      </c>
      <c r="AE1183" s="1">
        <v>8.7470469000000008</v>
      </c>
    </row>
    <row r="1184" spans="1:31" x14ac:dyDescent="0.25">
      <c r="A1184" s="1" t="s">
        <v>219</v>
      </c>
      <c r="B1184" s="1" t="s">
        <v>2608</v>
      </c>
      <c r="C1184" s="1" t="s">
        <v>2609</v>
      </c>
      <c r="D1184" s="1" t="s">
        <v>4494</v>
      </c>
      <c r="E1184" s="1" t="s">
        <v>4495</v>
      </c>
      <c r="F1184" s="1" t="s">
        <v>4496</v>
      </c>
      <c r="G1184" s="1" t="s">
        <v>219</v>
      </c>
      <c r="H1184" s="1">
        <v>3.4660955969999998</v>
      </c>
      <c r="I1184" s="1">
        <v>4.0101074990000001</v>
      </c>
      <c r="J1184" s="1">
        <v>3.6453331530000002</v>
      </c>
      <c r="K1184" s="1">
        <v>4.0244910950000001</v>
      </c>
      <c r="L1184" s="1">
        <v>3.4685048369999998</v>
      </c>
      <c r="M1184" s="1">
        <v>2.665084539</v>
      </c>
      <c r="N1184" s="1">
        <v>3.622455167</v>
      </c>
      <c r="O1184" s="1">
        <v>3.8071106499999998</v>
      </c>
      <c r="P1184" s="1">
        <v>3.3003929539999999</v>
      </c>
      <c r="Q1184" s="1">
        <v>3.185675432</v>
      </c>
      <c r="R1184" s="1">
        <v>3.386455024</v>
      </c>
      <c r="S1184" s="1">
        <v>1.7393328349999999</v>
      </c>
      <c r="T1184" s="1">
        <v>3.4685048369999998</v>
      </c>
      <c r="U1184" s="1">
        <v>2.665084539</v>
      </c>
      <c r="V1184" s="1">
        <v>3.5405335899999999</v>
      </c>
      <c r="W1184" s="1">
        <v>3.9848641250000001</v>
      </c>
      <c r="X1184" s="1">
        <v>3.0884111989999998</v>
      </c>
      <c r="Y1184" s="1">
        <v>3.9087436480000002</v>
      </c>
      <c r="Z1184" s="1">
        <v>3.386455024</v>
      </c>
      <c r="AA1184" s="1">
        <v>1.7393328349999999</v>
      </c>
      <c r="AB1184" s="1">
        <v>1.7393328349999999</v>
      </c>
      <c r="AC1184" s="1">
        <v>3.4716344729999999</v>
      </c>
      <c r="AD1184" s="1">
        <v>2.9432342459999998</v>
      </c>
      <c r="AE1184" s="1">
        <v>2.803297787</v>
      </c>
    </row>
    <row r="1185" spans="1:31" x14ac:dyDescent="0.25">
      <c r="A1185" s="1" t="s">
        <v>221</v>
      </c>
      <c r="B1185" s="1" t="s">
        <v>2520</v>
      </c>
      <c r="C1185" s="1" t="s">
        <v>3160</v>
      </c>
      <c r="D1185" s="1" t="s">
        <v>3656</v>
      </c>
      <c r="E1185" s="1" t="s">
        <v>4497</v>
      </c>
      <c r="F1185" s="1" t="s">
        <v>4498</v>
      </c>
      <c r="G1185" s="1" t="s">
        <v>221</v>
      </c>
      <c r="H1185" s="1">
        <v>8.2542995700000006</v>
      </c>
      <c r="I1185" s="1">
        <v>7.8836806819999996</v>
      </c>
      <c r="J1185" s="1">
        <v>7.9586799450000001</v>
      </c>
      <c r="K1185" s="1">
        <v>8.2758476420000004</v>
      </c>
      <c r="L1185" s="1">
        <v>6.8262513709999997</v>
      </c>
      <c r="M1185" s="1">
        <v>7.3048203200000001</v>
      </c>
      <c r="N1185" s="1">
        <v>7.371702998</v>
      </c>
      <c r="O1185" s="1">
        <v>7.760986119</v>
      </c>
      <c r="P1185" s="1">
        <v>7.3364236539999998</v>
      </c>
      <c r="Q1185" s="1">
        <v>7.4458102659999996</v>
      </c>
      <c r="R1185" s="1">
        <v>7.5195484720000003</v>
      </c>
      <c r="S1185" s="1">
        <v>7.6962470280000002</v>
      </c>
      <c r="T1185" s="1">
        <v>6.8262513709999997</v>
      </c>
      <c r="U1185" s="1">
        <v>7.3048203200000001</v>
      </c>
      <c r="V1185" s="1">
        <v>7.8235243289999996</v>
      </c>
      <c r="W1185" s="1">
        <v>7.7487515379999996</v>
      </c>
      <c r="X1185" s="1">
        <v>7.2200905110000004</v>
      </c>
      <c r="Y1185" s="1">
        <v>7.4104262099999998</v>
      </c>
      <c r="Z1185" s="1">
        <v>7.5195484720000003</v>
      </c>
      <c r="AA1185" s="1">
        <v>7.6962470280000002</v>
      </c>
      <c r="AB1185" s="1">
        <v>7.4673828389999999</v>
      </c>
      <c r="AC1185" s="1">
        <v>7.5352821600000004</v>
      </c>
      <c r="AD1185" s="1">
        <v>7.4335619030000002</v>
      </c>
      <c r="AE1185" s="1">
        <v>7.4200101360000001</v>
      </c>
    </row>
    <row r="1186" spans="1:31" x14ac:dyDescent="0.25">
      <c r="A1186" s="1" t="s">
        <v>231</v>
      </c>
      <c r="B1186" s="1" t="s">
        <v>2530</v>
      </c>
      <c r="C1186" s="1" t="s">
        <v>2531</v>
      </c>
      <c r="D1186" s="1" t="s">
        <v>2535</v>
      </c>
      <c r="E1186" s="1" t="s">
        <v>4499</v>
      </c>
      <c r="G1186" s="1" t="s">
        <v>231</v>
      </c>
      <c r="H1186" s="1">
        <v>6.0380558219999996</v>
      </c>
      <c r="I1186" s="1">
        <v>6.1880668090000004</v>
      </c>
      <c r="J1186" s="1">
        <v>5.4400990890000003</v>
      </c>
      <c r="K1186" s="1">
        <v>5.5719358019999996</v>
      </c>
      <c r="L1186" s="1">
        <v>5.3368026579999999</v>
      </c>
      <c r="M1186" s="1">
        <v>5.029201552</v>
      </c>
      <c r="N1186" s="1">
        <v>5.4717898820000004</v>
      </c>
      <c r="O1186" s="1">
        <v>6.0178362080000003</v>
      </c>
      <c r="P1186" s="1">
        <v>6.0847091730000002</v>
      </c>
      <c r="Q1186" s="1">
        <v>6.3770715449999997</v>
      </c>
      <c r="R1186" s="1">
        <v>6.1192055940000003</v>
      </c>
      <c r="S1186" s="1">
        <v>5.8607892960000001</v>
      </c>
      <c r="T1186" s="1">
        <v>5.3368026579999999</v>
      </c>
      <c r="U1186" s="1">
        <v>5.029201552</v>
      </c>
      <c r="V1186" s="1">
        <v>5.3892424569999999</v>
      </c>
      <c r="W1186" s="1">
        <v>5.4743148909999997</v>
      </c>
      <c r="X1186" s="1">
        <v>6.1660170440000002</v>
      </c>
      <c r="Y1186" s="1">
        <v>5.503438128</v>
      </c>
      <c r="Z1186" s="1">
        <v>6.1192055940000003</v>
      </c>
      <c r="AA1186" s="1">
        <v>5.8607892960000001</v>
      </c>
      <c r="AB1186" s="1">
        <v>6.4527679449999997</v>
      </c>
      <c r="AC1186" s="1">
        <v>6.0708982899999997</v>
      </c>
      <c r="AD1186" s="1">
        <v>5.4791562909999998</v>
      </c>
      <c r="AE1186" s="1">
        <v>6.1648337089999998</v>
      </c>
    </row>
    <row r="1187" spans="1:31" x14ac:dyDescent="0.25">
      <c r="A1187" s="1" t="s">
        <v>232</v>
      </c>
      <c r="B1187" s="1" t="s">
        <v>2557</v>
      </c>
      <c r="C1187" s="1" t="s">
        <v>2718</v>
      </c>
      <c r="D1187" s="1" t="s">
        <v>2719</v>
      </c>
      <c r="E1187" s="1" t="s">
        <v>4500</v>
      </c>
      <c r="F1187" s="1" t="s">
        <v>4501</v>
      </c>
      <c r="G1187" s="1" t="s">
        <v>232</v>
      </c>
      <c r="H1187" s="1">
        <v>5.977563322</v>
      </c>
      <c r="I1187" s="1">
        <v>6.1427370300000002</v>
      </c>
      <c r="J1187" s="1">
        <v>5.8310524639999999</v>
      </c>
      <c r="K1187" s="1">
        <v>5.5719358019999996</v>
      </c>
      <c r="L1187" s="1">
        <v>5.9184294340000001</v>
      </c>
      <c r="M1187" s="1">
        <v>5.7197461279999997</v>
      </c>
      <c r="N1187" s="1">
        <v>5.9416077520000004</v>
      </c>
      <c r="O1187" s="1">
        <v>5.9154339690000004</v>
      </c>
      <c r="P1187" s="1">
        <v>6.1950446890000004</v>
      </c>
      <c r="Q1187" s="1">
        <v>5.991605206</v>
      </c>
      <c r="R1187" s="1">
        <v>5.57388789</v>
      </c>
      <c r="S1187" s="1">
        <v>5.8607892960000001</v>
      </c>
      <c r="T1187" s="1">
        <v>5.9184294340000001</v>
      </c>
      <c r="U1187" s="1">
        <v>5.7197461279999997</v>
      </c>
      <c r="V1187" s="1">
        <v>5.9931161309999998</v>
      </c>
      <c r="W1187" s="1">
        <v>5.6874298530000003</v>
      </c>
      <c r="X1187" s="1">
        <v>5.9183192990000002</v>
      </c>
      <c r="Y1187" s="1">
        <v>6.0488320509999998</v>
      </c>
      <c r="Z1187" s="1">
        <v>5.57388789</v>
      </c>
      <c r="AA1187" s="1">
        <v>5.8607892960000001</v>
      </c>
      <c r="AB1187" s="1">
        <v>5.9325296429999996</v>
      </c>
      <c r="AC1187" s="1">
        <v>5.5741318</v>
      </c>
      <c r="AD1187" s="1">
        <v>5.5945353439999996</v>
      </c>
      <c r="AE1187" s="1">
        <v>5.9740468760000001</v>
      </c>
    </row>
    <row r="1188" spans="1:31" x14ac:dyDescent="0.25">
      <c r="A1188" s="1" t="s">
        <v>233</v>
      </c>
      <c r="B1188" s="1" t="s">
        <v>2662</v>
      </c>
      <c r="C1188" s="1" t="s">
        <v>2531</v>
      </c>
      <c r="D1188" s="1" t="s">
        <v>2535</v>
      </c>
      <c r="E1188" s="1" t="s">
        <v>4502</v>
      </c>
      <c r="G1188" s="1" t="s">
        <v>233</v>
      </c>
      <c r="H1188" s="1">
        <v>4.0684382540000001</v>
      </c>
      <c r="I1188" s="1">
        <v>4.2936285989999998</v>
      </c>
      <c r="J1188" s="1">
        <v>3.1324899180000001</v>
      </c>
      <c r="K1188" s="1">
        <v>3.762021974</v>
      </c>
      <c r="L1188" s="1">
        <v>3.3884746630000002</v>
      </c>
      <c r="M1188" s="1">
        <v>3.6044002019999999</v>
      </c>
      <c r="N1188" s="1">
        <v>3.9164981490000002</v>
      </c>
      <c r="O1188" s="1">
        <v>4.2767880749999998</v>
      </c>
      <c r="P1188" s="1">
        <v>4.161525224</v>
      </c>
      <c r="Q1188" s="1">
        <v>3.8492287269999999</v>
      </c>
      <c r="R1188" s="1">
        <v>3.8462631940000001</v>
      </c>
      <c r="S1188" s="1">
        <v>2.9034795349999998</v>
      </c>
      <c r="T1188" s="1">
        <v>3.3884746630000002</v>
      </c>
      <c r="U1188" s="1">
        <v>3.6044002019999999</v>
      </c>
      <c r="V1188" s="1">
        <v>3.6670520409999998</v>
      </c>
      <c r="W1188" s="1">
        <v>3.9848641250000001</v>
      </c>
      <c r="X1188" s="1">
        <v>3.5883256710000002</v>
      </c>
      <c r="Y1188" s="1">
        <v>4.1479647589999997</v>
      </c>
      <c r="Z1188" s="1">
        <v>3.8462631940000001</v>
      </c>
      <c r="AA1188" s="1">
        <v>2.9034795349999998</v>
      </c>
      <c r="AB1188" s="1">
        <v>3.990981031</v>
      </c>
      <c r="AC1188" s="1">
        <v>3.1109927919999998</v>
      </c>
      <c r="AD1188" s="1">
        <v>3.3987395579999999</v>
      </c>
      <c r="AE1188" s="1">
        <v>3.67472814</v>
      </c>
    </row>
    <row r="1189" spans="1:31" x14ac:dyDescent="0.25">
      <c r="A1189" s="1" t="s">
        <v>234</v>
      </c>
      <c r="B1189" s="1" t="s">
        <v>2539</v>
      </c>
      <c r="C1189" s="1" t="s">
        <v>2563</v>
      </c>
      <c r="D1189" s="1" t="s">
        <v>4503</v>
      </c>
      <c r="E1189" s="1" t="s">
        <v>4504</v>
      </c>
      <c r="F1189" s="1" t="s">
        <v>4505</v>
      </c>
      <c r="G1189" s="1" t="s">
        <v>234</v>
      </c>
      <c r="H1189" s="1">
        <v>6.8356879179999996</v>
      </c>
      <c r="I1189" s="1">
        <v>6.3760216270000001</v>
      </c>
      <c r="J1189" s="1">
        <v>5.1953777219999999</v>
      </c>
      <c r="K1189" s="1">
        <v>5.2674352469999999</v>
      </c>
      <c r="L1189" s="1">
        <v>5.1504600580000002</v>
      </c>
      <c r="M1189" s="1">
        <v>4.7872698079999996</v>
      </c>
      <c r="N1189" s="1">
        <v>6.2207206929999996</v>
      </c>
      <c r="O1189" s="1">
        <v>6.5601688740000004</v>
      </c>
      <c r="P1189" s="1">
        <v>5.1018341500000002</v>
      </c>
      <c r="Q1189" s="1">
        <v>5.3805263300000004</v>
      </c>
      <c r="R1189" s="1">
        <v>4.6795267799999998</v>
      </c>
      <c r="S1189" s="1">
        <v>4.9261733090000002</v>
      </c>
      <c r="T1189" s="1">
        <v>5.1504600580000002</v>
      </c>
      <c r="U1189" s="1">
        <v>4.7872698079999996</v>
      </c>
      <c r="V1189" s="1">
        <v>5.1274300740000003</v>
      </c>
      <c r="W1189" s="1">
        <v>5.0488589419999998</v>
      </c>
      <c r="X1189" s="1">
        <v>4.7537743670000001</v>
      </c>
      <c r="Y1189" s="1">
        <v>5.0702808140000002</v>
      </c>
      <c r="Z1189" s="1">
        <v>4.6795267799999998</v>
      </c>
      <c r="AA1189" s="1">
        <v>4.9261733090000002</v>
      </c>
      <c r="AB1189" s="1">
        <v>5.4746970709999996</v>
      </c>
      <c r="AC1189" s="1">
        <v>5.3610280289999999</v>
      </c>
      <c r="AD1189" s="1">
        <v>5.2159266190000002</v>
      </c>
      <c r="AE1189" s="1">
        <v>5.0965372069999999</v>
      </c>
    </row>
    <row r="1190" spans="1:31" x14ac:dyDescent="0.25">
      <c r="A1190" s="1" t="s">
        <v>235</v>
      </c>
      <c r="B1190" s="1" t="s">
        <v>2568</v>
      </c>
      <c r="C1190" s="1" t="s">
        <v>2816</v>
      </c>
      <c r="D1190" s="1" t="s">
        <v>2535</v>
      </c>
      <c r="E1190" s="1" t="s">
        <v>4506</v>
      </c>
      <c r="G1190" s="1" t="s">
        <v>235</v>
      </c>
      <c r="H1190" s="1">
        <v>8.8072969350000001</v>
      </c>
      <c r="I1190" s="1">
        <v>9.7699427990000007</v>
      </c>
      <c r="J1190" s="1">
        <v>9.1702596780000007</v>
      </c>
      <c r="K1190" s="1">
        <v>9.1763144790000002</v>
      </c>
      <c r="L1190" s="1">
        <v>9.8209674650000007</v>
      </c>
      <c r="M1190" s="1">
        <v>8.7525396610000001</v>
      </c>
      <c r="N1190" s="1">
        <v>8.8560754209999999</v>
      </c>
      <c r="O1190" s="1">
        <v>8.7854498220000004</v>
      </c>
      <c r="P1190" s="1">
        <v>9.1095995629999997</v>
      </c>
      <c r="Q1190" s="1">
        <v>9.5517459270000007</v>
      </c>
      <c r="R1190" s="1">
        <v>8.4340106069999994</v>
      </c>
      <c r="S1190" s="1">
        <v>8.7326950520000004</v>
      </c>
      <c r="T1190" s="1">
        <v>9.8209674650000007</v>
      </c>
      <c r="U1190" s="1">
        <v>8.7525396610000001</v>
      </c>
      <c r="V1190" s="1">
        <v>9.371570277</v>
      </c>
      <c r="W1190" s="1">
        <v>9.1620734759999998</v>
      </c>
      <c r="X1190" s="1">
        <v>8.6826507880000001</v>
      </c>
      <c r="Y1190" s="1">
        <v>9.2832418150000002</v>
      </c>
      <c r="Z1190" s="1">
        <v>8.4340106069999994</v>
      </c>
      <c r="AA1190" s="1">
        <v>8.7326950520000004</v>
      </c>
      <c r="AB1190" s="1">
        <v>8.6860493119999997</v>
      </c>
      <c r="AC1190" s="1">
        <v>8.5641826810000001</v>
      </c>
      <c r="AD1190" s="1">
        <v>8.7450785539999991</v>
      </c>
      <c r="AE1190" s="1">
        <v>8.9021369220000004</v>
      </c>
    </row>
    <row r="1191" spans="1:31" x14ac:dyDescent="0.25">
      <c r="A1191" s="1" t="s">
        <v>236</v>
      </c>
      <c r="B1191" s="1" t="s">
        <v>2530</v>
      </c>
      <c r="C1191" s="1" t="s">
        <v>2531</v>
      </c>
      <c r="D1191" s="1" t="s">
        <v>3842</v>
      </c>
      <c r="E1191" s="1" t="s">
        <v>2536</v>
      </c>
      <c r="G1191" s="1" t="s">
        <v>236</v>
      </c>
      <c r="H1191" s="1">
        <v>7.3696505800000001</v>
      </c>
      <c r="I1191" s="1">
        <v>7.9310191970000004</v>
      </c>
      <c r="J1191" s="1">
        <v>7.7862100549999997</v>
      </c>
      <c r="K1191" s="1">
        <v>7.9704768140000004</v>
      </c>
      <c r="L1191" s="1">
        <v>7.1887526199999998</v>
      </c>
      <c r="M1191" s="1">
        <v>7.4051365179999999</v>
      </c>
      <c r="N1191" s="1">
        <v>7.6223148409999997</v>
      </c>
      <c r="O1191" s="1">
        <v>7.2684380739999996</v>
      </c>
      <c r="P1191" s="1">
        <v>7.9776305689999996</v>
      </c>
      <c r="Q1191" s="1">
        <v>8.0593045669999999</v>
      </c>
      <c r="R1191" s="1">
        <v>7.4311375970000002</v>
      </c>
      <c r="S1191" s="1">
        <v>7.7510706950000001</v>
      </c>
      <c r="T1191" s="1">
        <v>7.1887526199999998</v>
      </c>
      <c r="U1191" s="1">
        <v>7.4051365179999999</v>
      </c>
      <c r="V1191" s="1">
        <v>8.0006355800000009</v>
      </c>
      <c r="W1191" s="1">
        <v>7.1621289209999999</v>
      </c>
      <c r="X1191" s="1">
        <v>7.30848005</v>
      </c>
      <c r="Y1191" s="1">
        <v>7.9841119819999999</v>
      </c>
      <c r="Z1191" s="1">
        <v>7.4311375970000002</v>
      </c>
      <c r="AA1191" s="1">
        <v>7.7510706950000001</v>
      </c>
      <c r="AB1191" s="1">
        <v>7.2956971089999998</v>
      </c>
      <c r="AC1191" s="1">
        <v>7.2467803200000001</v>
      </c>
      <c r="AD1191" s="1">
        <v>7.4840748010000002</v>
      </c>
      <c r="AE1191" s="1">
        <v>7.5130041609999996</v>
      </c>
    </row>
    <row r="1192" spans="1:31" x14ac:dyDescent="0.25">
      <c r="A1192" s="1" t="s">
        <v>237</v>
      </c>
      <c r="B1192" s="1" t="s">
        <v>2631</v>
      </c>
      <c r="C1192" s="1" t="s">
        <v>2980</v>
      </c>
      <c r="D1192" s="1" t="s">
        <v>2535</v>
      </c>
      <c r="E1192" s="1" t="s">
        <v>4507</v>
      </c>
      <c r="F1192" s="1" t="s">
        <v>4508</v>
      </c>
      <c r="G1192" s="1" t="s">
        <v>237</v>
      </c>
      <c r="H1192" s="1">
        <v>8.8625587499999998</v>
      </c>
      <c r="I1192" s="1">
        <v>9.1357174289999996</v>
      </c>
      <c r="J1192" s="1">
        <v>8.0651865429999994</v>
      </c>
      <c r="K1192" s="1">
        <v>8.3572652690000009</v>
      </c>
      <c r="L1192" s="1">
        <v>8.6697531300000001</v>
      </c>
      <c r="M1192" s="1">
        <v>8.237592158</v>
      </c>
      <c r="N1192" s="1">
        <v>8.8903007340000002</v>
      </c>
      <c r="O1192" s="1">
        <v>8.5948632160000003</v>
      </c>
      <c r="P1192" s="1">
        <v>8.3785325900000007</v>
      </c>
      <c r="Q1192" s="1">
        <v>8.3767127850000005</v>
      </c>
      <c r="R1192" s="1">
        <v>7.5664197040000003</v>
      </c>
      <c r="S1192" s="1">
        <v>7.938195565</v>
      </c>
      <c r="T1192" s="1">
        <v>8.6697531300000001</v>
      </c>
      <c r="U1192" s="1">
        <v>8.237592158</v>
      </c>
      <c r="V1192" s="1">
        <v>8.4091384409999996</v>
      </c>
      <c r="W1192" s="1">
        <v>8.2736480700000001</v>
      </c>
      <c r="X1192" s="1">
        <v>8.0340674750000005</v>
      </c>
      <c r="Y1192" s="1">
        <v>8.2714871789999993</v>
      </c>
      <c r="Z1192" s="1">
        <v>7.5664197040000003</v>
      </c>
      <c r="AA1192" s="1">
        <v>7.938195565</v>
      </c>
      <c r="AB1192" s="1">
        <v>7.6684897779999996</v>
      </c>
      <c r="AC1192" s="1">
        <v>7.6409603700000002</v>
      </c>
      <c r="AD1192" s="1">
        <v>7.6700942400000001</v>
      </c>
      <c r="AE1192" s="1">
        <v>7.9572873629999998</v>
      </c>
    </row>
    <row r="1193" spans="1:31" x14ac:dyDescent="0.25">
      <c r="A1193" s="1" t="s">
        <v>238</v>
      </c>
      <c r="B1193" s="1" t="s">
        <v>2530</v>
      </c>
      <c r="C1193" s="1" t="s">
        <v>2531</v>
      </c>
      <c r="D1193" s="1" t="s">
        <v>3842</v>
      </c>
      <c r="E1193" s="1" t="s">
        <v>3535</v>
      </c>
      <c r="G1193" s="1" t="s">
        <v>238</v>
      </c>
      <c r="H1193" s="1">
        <v>6.5340358859999998</v>
      </c>
      <c r="I1193" s="1">
        <v>7.2240264759999997</v>
      </c>
      <c r="J1193" s="1">
        <v>6.0426942559999999</v>
      </c>
      <c r="K1193" s="1">
        <v>5.8870623049999997</v>
      </c>
      <c r="L1193" s="1">
        <v>5.8658055969999996</v>
      </c>
      <c r="M1193" s="1">
        <v>5.7772279879999999</v>
      </c>
      <c r="N1193" s="1">
        <v>6.2948737059999997</v>
      </c>
      <c r="O1193" s="1">
        <v>6.5936608059999999</v>
      </c>
      <c r="P1193" s="1">
        <v>5.8072178450000003</v>
      </c>
      <c r="Q1193" s="1">
        <v>5.6144419360000004</v>
      </c>
      <c r="R1193" s="1">
        <v>5.3764768539999999</v>
      </c>
      <c r="S1193" s="1">
        <v>5.6117239269999999</v>
      </c>
      <c r="T1193" s="1">
        <v>5.8658055969999996</v>
      </c>
      <c r="U1193" s="1">
        <v>5.7772279879999999</v>
      </c>
      <c r="V1193" s="1">
        <v>6.2394706979999999</v>
      </c>
      <c r="W1193" s="1">
        <v>5.9736131119999998</v>
      </c>
      <c r="X1193" s="1">
        <v>5.2866392680000001</v>
      </c>
      <c r="Y1193" s="1">
        <v>6.0201969059999998</v>
      </c>
      <c r="Z1193" s="1">
        <v>5.3764768539999999</v>
      </c>
      <c r="AA1193" s="1">
        <v>5.6117239269999999</v>
      </c>
      <c r="AB1193" s="1">
        <v>5.8098709350000002</v>
      </c>
      <c r="AC1193" s="1">
        <v>6.047382313</v>
      </c>
      <c r="AD1193" s="1">
        <v>5.8632235870000002</v>
      </c>
      <c r="AE1193" s="1">
        <v>5.7875258069999997</v>
      </c>
    </row>
    <row r="1194" spans="1:31" x14ac:dyDescent="0.25">
      <c r="A1194" s="1" t="s">
        <v>240</v>
      </c>
      <c r="B1194" s="1" t="s">
        <v>2530</v>
      </c>
      <c r="C1194" s="1" t="s">
        <v>2531</v>
      </c>
      <c r="D1194" s="1" t="s">
        <v>2535</v>
      </c>
      <c r="E1194" s="1" t="s">
        <v>2536</v>
      </c>
      <c r="G1194" s="1" t="s">
        <v>240</v>
      </c>
      <c r="H1194" s="1">
        <v>4.9322401630000003</v>
      </c>
      <c r="I1194" s="1">
        <v>5.4447012069999996</v>
      </c>
      <c r="J1194" s="1">
        <v>4.4503473070000004</v>
      </c>
      <c r="K1194" s="1">
        <v>4.5171444090000001</v>
      </c>
      <c r="L1194" s="1">
        <v>4.4838783849999997</v>
      </c>
      <c r="M1194" s="1">
        <v>4.4472617469999998</v>
      </c>
      <c r="N1194" s="1">
        <v>6.1290762189999999</v>
      </c>
      <c r="O1194" s="1">
        <v>5.6856657850000003</v>
      </c>
      <c r="P1194" s="1">
        <v>4.6791060150000003</v>
      </c>
      <c r="Q1194" s="1">
        <v>4.0840108080000004</v>
      </c>
      <c r="R1194" s="1">
        <v>4.3698765340000003</v>
      </c>
      <c r="S1194" s="1">
        <v>4.0285685429999996</v>
      </c>
      <c r="T1194" s="1">
        <v>4.4838783849999997</v>
      </c>
      <c r="U1194" s="1">
        <v>4.4472617469999998</v>
      </c>
      <c r="V1194" s="1">
        <v>4.0758289169999999</v>
      </c>
      <c r="W1194" s="1">
        <v>4.1128053839999996</v>
      </c>
      <c r="X1194" s="1">
        <v>4.2691515329999996</v>
      </c>
      <c r="Y1194" s="1">
        <v>3.229986142</v>
      </c>
      <c r="Z1194" s="1">
        <v>4.3698765340000003</v>
      </c>
      <c r="AA1194" s="1">
        <v>4.0285685429999996</v>
      </c>
      <c r="AB1194" s="1">
        <v>4.139369361</v>
      </c>
      <c r="AC1194" s="1">
        <v>4.3377211620000002</v>
      </c>
      <c r="AD1194" s="1">
        <v>4.7657555159999996</v>
      </c>
      <c r="AE1194" s="1">
        <v>4.6936201110000004</v>
      </c>
    </row>
    <row r="1195" spans="1:31" x14ac:dyDescent="0.25">
      <c r="A1195" s="1" t="s">
        <v>247</v>
      </c>
      <c r="B1195" s="1" t="s">
        <v>2557</v>
      </c>
      <c r="C1195" s="1" t="s">
        <v>3063</v>
      </c>
      <c r="D1195" s="1" t="s">
        <v>3146</v>
      </c>
      <c r="E1195" s="1" t="s">
        <v>4509</v>
      </c>
      <c r="F1195" s="1" t="s">
        <v>4510</v>
      </c>
      <c r="G1195" s="1" t="s">
        <v>247</v>
      </c>
      <c r="H1195" s="1">
        <v>4.5667504939999999</v>
      </c>
      <c r="I1195" s="1">
        <v>4.0101074990000001</v>
      </c>
      <c r="J1195" s="1">
        <v>4.1077874330000004</v>
      </c>
      <c r="K1195" s="1">
        <v>3.607491666</v>
      </c>
      <c r="L1195" s="1">
        <v>4.5867597299999998</v>
      </c>
      <c r="M1195" s="1">
        <v>4.3473799800000004</v>
      </c>
      <c r="N1195" s="1">
        <v>4.6560102480000003</v>
      </c>
      <c r="O1195" s="1">
        <v>4.4862678239999996</v>
      </c>
      <c r="P1195" s="1">
        <v>3.86011382</v>
      </c>
      <c r="Q1195" s="1">
        <v>4.2835653880000004</v>
      </c>
      <c r="R1195" s="1">
        <v>3.7109484589999999</v>
      </c>
      <c r="S1195" s="1">
        <v>4.4749637470000003</v>
      </c>
      <c r="T1195" s="1">
        <v>4.5867597299999998</v>
      </c>
      <c r="U1195" s="1">
        <v>4.3473799800000004</v>
      </c>
      <c r="V1195" s="1">
        <v>4.3163797720000003</v>
      </c>
      <c r="W1195" s="1">
        <v>3.9848641250000001</v>
      </c>
      <c r="X1195" s="1">
        <v>4.2691515329999996</v>
      </c>
      <c r="Y1195" s="1">
        <v>4.6081171230000004</v>
      </c>
      <c r="Z1195" s="1">
        <v>3.7109484589999999</v>
      </c>
      <c r="AA1195" s="1">
        <v>4.4749637470000003</v>
      </c>
      <c r="AB1195" s="1">
        <v>4.3946012420000002</v>
      </c>
      <c r="AC1195" s="1">
        <v>4.1685844940000001</v>
      </c>
      <c r="AD1195" s="1">
        <v>3.8610926929999998</v>
      </c>
      <c r="AE1195" s="1">
        <v>4.5815229759999996</v>
      </c>
    </row>
    <row r="1196" spans="1:31" x14ac:dyDescent="0.25">
      <c r="A1196" s="1" t="s">
        <v>248</v>
      </c>
      <c r="B1196" s="1" t="s">
        <v>2838</v>
      </c>
      <c r="C1196" s="1" t="s">
        <v>2839</v>
      </c>
      <c r="D1196" s="1" t="s">
        <v>4511</v>
      </c>
      <c r="E1196" s="1" t="s">
        <v>4512</v>
      </c>
      <c r="F1196" s="1" t="s">
        <v>4513</v>
      </c>
      <c r="G1196" s="1" t="s">
        <v>248</v>
      </c>
      <c r="H1196" s="1">
        <v>4.6479005740000003</v>
      </c>
      <c r="I1196" s="1">
        <v>4.903725959</v>
      </c>
      <c r="J1196" s="1">
        <v>5.2817155790000001</v>
      </c>
      <c r="K1196" s="1">
        <v>4.4318297590000002</v>
      </c>
      <c r="L1196" s="1">
        <v>5.8387509910000004</v>
      </c>
      <c r="M1196" s="1">
        <v>5.8504486010000001</v>
      </c>
      <c r="N1196" s="1">
        <v>5.3372793730000003</v>
      </c>
      <c r="O1196" s="1">
        <v>5.2522077749999996</v>
      </c>
      <c r="P1196" s="1">
        <v>5.5318451900000003</v>
      </c>
      <c r="Q1196" s="1">
        <v>5.1511590549999999</v>
      </c>
      <c r="R1196" s="1">
        <v>5.7472990829999997</v>
      </c>
      <c r="S1196" s="1">
        <v>6.0227453090000003</v>
      </c>
      <c r="T1196" s="1">
        <v>5.8387509910000004</v>
      </c>
      <c r="U1196" s="1">
        <v>5.8504486010000001</v>
      </c>
      <c r="V1196" s="1">
        <v>5.4882083000000002</v>
      </c>
      <c r="W1196" s="1">
        <v>4.7760085830000003</v>
      </c>
      <c r="X1196" s="1">
        <v>5.7596503070000002</v>
      </c>
      <c r="Y1196" s="1">
        <v>5.503438128</v>
      </c>
      <c r="Z1196" s="1">
        <v>5.7472990829999997</v>
      </c>
      <c r="AA1196" s="1">
        <v>6.0227453090000003</v>
      </c>
      <c r="AB1196" s="1">
        <v>5.1755434500000002</v>
      </c>
      <c r="AC1196" s="1">
        <v>5.9991619270000003</v>
      </c>
      <c r="AD1196" s="1">
        <v>5.4791562909999998</v>
      </c>
      <c r="AE1196" s="1">
        <v>5.7875258069999997</v>
      </c>
    </row>
    <row r="1197" spans="1:31" x14ac:dyDescent="0.25">
      <c r="A1197" s="1" t="s">
        <v>249</v>
      </c>
      <c r="B1197" s="1" t="s">
        <v>2530</v>
      </c>
      <c r="C1197" s="1" t="s">
        <v>2531</v>
      </c>
      <c r="D1197" s="1" t="s">
        <v>2535</v>
      </c>
      <c r="E1197" s="1" t="s">
        <v>4514</v>
      </c>
      <c r="G1197" s="1" t="s">
        <v>249</v>
      </c>
      <c r="H1197" s="1">
        <v>4.7245801409999997</v>
      </c>
      <c r="I1197" s="1">
        <v>4.7893724280000001</v>
      </c>
      <c r="J1197" s="1">
        <v>5.2817155790000001</v>
      </c>
      <c r="K1197" s="1">
        <v>4.5171444090000001</v>
      </c>
      <c r="L1197" s="1">
        <v>5.6492182990000002</v>
      </c>
      <c r="M1197" s="1">
        <v>5.9370080740000004</v>
      </c>
      <c r="N1197" s="1">
        <v>4.8677953240000003</v>
      </c>
      <c r="O1197" s="1">
        <v>5.1040005129999999</v>
      </c>
      <c r="P1197" s="1">
        <v>5.3522904530000002</v>
      </c>
      <c r="Q1197" s="1">
        <v>5.2931690810000003</v>
      </c>
      <c r="R1197" s="1">
        <v>5.3764768539999999</v>
      </c>
      <c r="S1197" s="1">
        <v>5.3098842800000003</v>
      </c>
      <c r="T1197" s="1">
        <v>5.6492182990000002</v>
      </c>
      <c r="U1197" s="1">
        <v>5.9370080740000004</v>
      </c>
      <c r="V1197" s="1">
        <v>5.6103143839999996</v>
      </c>
      <c r="W1197" s="1">
        <v>4.69862249</v>
      </c>
      <c r="X1197" s="1">
        <v>5.5426459120000002</v>
      </c>
      <c r="Y1197" s="1">
        <v>5.1785898169999998</v>
      </c>
      <c r="Z1197" s="1">
        <v>5.3764768539999999</v>
      </c>
      <c r="AA1197" s="1">
        <v>5.3098842800000003</v>
      </c>
      <c r="AB1197" s="1">
        <v>5.5276660309999999</v>
      </c>
      <c r="AC1197" s="1">
        <v>5.6698330419999996</v>
      </c>
      <c r="AD1197" s="1">
        <v>5.5186611069999998</v>
      </c>
      <c r="AE1197" s="1">
        <v>5.4312016559999998</v>
      </c>
    </row>
    <row r="1198" spans="1:31" x14ac:dyDescent="0.25">
      <c r="A1198" s="1" t="s">
        <v>250</v>
      </c>
      <c r="B1198" s="1" t="s">
        <v>2608</v>
      </c>
      <c r="C1198" s="1" t="s">
        <v>2609</v>
      </c>
      <c r="D1198" s="1" t="s">
        <v>3890</v>
      </c>
      <c r="E1198" s="1" t="s">
        <v>4515</v>
      </c>
      <c r="F1198" s="1" t="s">
        <v>4516</v>
      </c>
      <c r="G1198" s="1" t="s">
        <v>250</v>
      </c>
      <c r="H1198" s="1">
        <v>2.9945681560000001</v>
      </c>
      <c r="I1198" s="1">
        <v>3.9003964459999998</v>
      </c>
      <c r="J1198" s="1">
        <v>3.7773371739999999</v>
      </c>
      <c r="K1198" s="1">
        <v>3.8998480660000001</v>
      </c>
      <c r="L1198" s="1">
        <v>4.2088403679999997</v>
      </c>
      <c r="M1198" s="1">
        <v>3.9942443089999999</v>
      </c>
      <c r="N1198" s="1">
        <v>4.5776172920000002</v>
      </c>
      <c r="O1198" s="1">
        <v>4.0953574540000002</v>
      </c>
      <c r="P1198" s="1">
        <v>4.3303557189999999</v>
      </c>
      <c r="Q1198" s="1">
        <v>4.3733115800000002</v>
      </c>
      <c r="R1198" s="1">
        <v>3.968758995</v>
      </c>
      <c r="S1198" s="1">
        <v>4.5490843459999999</v>
      </c>
      <c r="T1198" s="1">
        <v>4.2088403679999997</v>
      </c>
      <c r="U1198" s="1">
        <v>3.9942443089999999</v>
      </c>
      <c r="V1198" s="1">
        <v>5.3546652259999998</v>
      </c>
      <c r="W1198" s="1">
        <v>4.9854391920000003</v>
      </c>
      <c r="X1198" s="1">
        <v>4.4502657640000001</v>
      </c>
      <c r="Y1198" s="1">
        <v>4.5275934409999996</v>
      </c>
      <c r="Z1198" s="1">
        <v>3.968758995</v>
      </c>
      <c r="AA1198" s="1">
        <v>4.5490843459999999</v>
      </c>
      <c r="AB1198" s="1">
        <v>4.139369361</v>
      </c>
      <c r="AC1198" s="1">
        <v>3.9750819590000002</v>
      </c>
      <c r="AD1198" s="1">
        <v>4.5511338559999999</v>
      </c>
      <c r="AE1198" s="1">
        <v>4.4163948289999997</v>
      </c>
    </row>
    <row r="1199" spans="1:31" x14ac:dyDescent="0.25">
      <c r="A1199" s="1" t="s">
        <v>254</v>
      </c>
      <c r="B1199" s="1" t="s">
        <v>2579</v>
      </c>
      <c r="C1199" s="1" t="s">
        <v>2531</v>
      </c>
      <c r="D1199" s="1" t="s">
        <v>4517</v>
      </c>
      <c r="E1199" s="1" t="s">
        <v>4518</v>
      </c>
      <c r="F1199" s="1" t="s">
        <v>4519</v>
      </c>
      <c r="G1199" s="1" t="s">
        <v>254</v>
      </c>
      <c r="H1199" s="1">
        <v>5.5062820300000004</v>
      </c>
      <c r="I1199" s="1">
        <v>5.6535958219999998</v>
      </c>
      <c r="J1199" s="1">
        <v>6.1146491980000004</v>
      </c>
      <c r="K1199" s="1">
        <v>5.6848657879999998</v>
      </c>
      <c r="L1199" s="1">
        <v>6.2614813600000003</v>
      </c>
      <c r="M1199" s="1">
        <v>6.211413758</v>
      </c>
      <c r="N1199" s="1">
        <v>6.421619185</v>
      </c>
      <c r="O1199" s="1">
        <v>6.3670506839999996</v>
      </c>
      <c r="P1199" s="1">
        <v>5.7791106289999998</v>
      </c>
      <c r="Q1199" s="1">
        <v>6.123526483</v>
      </c>
      <c r="R1199" s="1">
        <v>6.0146875240000002</v>
      </c>
      <c r="S1199" s="1">
        <v>5.6453330910000004</v>
      </c>
      <c r="T1199" s="1">
        <v>6.2614813600000003</v>
      </c>
      <c r="U1199" s="1">
        <v>6.211413758</v>
      </c>
      <c r="V1199" s="1">
        <v>5.4230002329999998</v>
      </c>
      <c r="W1199" s="1">
        <v>5.7645115660000004</v>
      </c>
      <c r="X1199" s="1">
        <v>6.3102062310000004</v>
      </c>
      <c r="Y1199" s="1">
        <v>6.0201969059999998</v>
      </c>
      <c r="Z1199" s="1">
        <v>6.0146875240000002</v>
      </c>
      <c r="AA1199" s="1">
        <v>5.6453330910000004</v>
      </c>
      <c r="AB1199" s="1">
        <v>6.008835446</v>
      </c>
      <c r="AC1199" s="1">
        <v>5.9492644930000003</v>
      </c>
      <c r="AD1199" s="1">
        <v>6.2617300800000004</v>
      </c>
      <c r="AE1199" s="1">
        <v>6.0029044730000001</v>
      </c>
    </row>
    <row r="1200" spans="1:31" x14ac:dyDescent="0.25">
      <c r="A1200" s="1" t="s">
        <v>262</v>
      </c>
      <c r="B1200" s="1" t="s">
        <v>2525</v>
      </c>
      <c r="C1200" s="1" t="s">
        <v>3759</v>
      </c>
      <c r="D1200" s="1" t="s">
        <v>3975</v>
      </c>
      <c r="E1200" s="1" t="s">
        <v>4520</v>
      </c>
      <c r="F1200" s="1" t="s">
        <v>4521</v>
      </c>
      <c r="G1200" s="1" t="s">
        <v>262</v>
      </c>
      <c r="H1200" s="1">
        <v>6.0380558219999996</v>
      </c>
      <c r="I1200" s="1">
        <v>5.9717652650000002</v>
      </c>
      <c r="J1200" s="1">
        <v>5.2817155790000001</v>
      </c>
      <c r="K1200" s="1">
        <v>5.9181521149999998</v>
      </c>
      <c r="L1200" s="1">
        <v>6.433821816</v>
      </c>
      <c r="M1200" s="1">
        <v>6.2923515759999997</v>
      </c>
      <c r="N1200" s="1">
        <v>6.9121873169999999</v>
      </c>
      <c r="O1200" s="1">
        <v>6.7304105019999998</v>
      </c>
      <c r="P1200" s="1">
        <v>5.8618301099999996</v>
      </c>
      <c r="Q1200" s="1">
        <v>5.6846114249999999</v>
      </c>
      <c r="R1200" s="1">
        <v>5.7472990829999997</v>
      </c>
      <c r="S1200" s="1">
        <v>6.145010976</v>
      </c>
      <c r="T1200" s="1">
        <v>6.433821816</v>
      </c>
      <c r="U1200" s="1">
        <v>6.2923515759999997</v>
      </c>
      <c r="V1200" s="1">
        <v>5.519727617</v>
      </c>
      <c r="W1200" s="1">
        <v>5.8015499779999997</v>
      </c>
      <c r="X1200" s="1">
        <v>6.1405132890000003</v>
      </c>
      <c r="Y1200" s="1">
        <v>5.9611531490000003</v>
      </c>
      <c r="Z1200" s="1">
        <v>5.7472990829999997</v>
      </c>
      <c r="AA1200" s="1">
        <v>6.145010976</v>
      </c>
      <c r="AB1200" s="1">
        <v>5.851934376</v>
      </c>
      <c r="AC1200" s="1">
        <v>5.6386390840000002</v>
      </c>
      <c r="AD1200" s="1">
        <v>5.7351750150000003</v>
      </c>
      <c r="AE1200" s="1">
        <v>5.868211906</v>
      </c>
    </row>
    <row r="1201" spans="1:31" x14ac:dyDescent="0.25">
      <c r="A1201" s="1" t="s">
        <v>265</v>
      </c>
      <c r="B1201" s="1" t="s">
        <v>2530</v>
      </c>
      <c r="C1201" s="1" t="s">
        <v>2573</v>
      </c>
      <c r="D1201" s="1" t="s">
        <v>2535</v>
      </c>
      <c r="E1201" s="1" t="s">
        <v>4522</v>
      </c>
      <c r="G1201" s="1" t="s">
        <v>265</v>
      </c>
      <c r="H1201" s="1">
        <v>3.2549621289999999</v>
      </c>
      <c r="I1201" s="1">
        <v>3.1348991329999998</v>
      </c>
      <c r="J1201" s="1">
        <v>3.1324899180000001</v>
      </c>
      <c r="K1201" s="1">
        <v>3.4309024589999999</v>
      </c>
      <c r="L1201" s="1">
        <v>3.1084154310000001</v>
      </c>
      <c r="M1201" s="1">
        <v>3.027864058</v>
      </c>
      <c r="N1201" s="1">
        <v>4.0417975630000003</v>
      </c>
      <c r="O1201" s="1">
        <v>3.3203005989999999</v>
      </c>
      <c r="P1201" s="1">
        <v>4.5499605860000001</v>
      </c>
      <c r="Q1201" s="1">
        <v>3.388910638</v>
      </c>
      <c r="R1201" s="1">
        <v>3.7109484589999999</v>
      </c>
      <c r="S1201" s="1">
        <v>3.3463386960000001</v>
      </c>
      <c r="T1201" s="1">
        <v>3.1084154310000001</v>
      </c>
      <c r="U1201" s="1">
        <v>3.027864058</v>
      </c>
      <c r="V1201" s="1">
        <v>3.5405335899999999</v>
      </c>
      <c r="W1201" s="1">
        <v>3.9848641250000001</v>
      </c>
      <c r="X1201" s="1">
        <v>3.0884111989999998</v>
      </c>
      <c r="Y1201" s="1">
        <v>3.229986142</v>
      </c>
      <c r="Z1201" s="1">
        <v>3.7109484589999999</v>
      </c>
      <c r="AA1201" s="1">
        <v>3.3463386960000001</v>
      </c>
      <c r="AB1201" s="1">
        <v>3.6315729079999999</v>
      </c>
      <c r="AC1201" s="1">
        <v>3.8665622239999999</v>
      </c>
      <c r="AD1201" s="1">
        <v>4.0967699450000001</v>
      </c>
      <c r="AE1201" s="1">
        <v>3.5954838599999999</v>
      </c>
    </row>
    <row r="1202" spans="1:31" x14ac:dyDescent="0.25">
      <c r="A1202" s="1" t="s">
        <v>266</v>
      </c>
      <c r="B1202" s="1" t="s">
        <v>2539</v>
      </c>
      <c r="C1202" s="1" t="s">
        <v>2606</v>
      </c>
      <c r="D1202" s="1" t="s">
        <v>3385</v>
      </c>
      <c r="E1202" s="1" t="s">
        <v>4523</v>
      </c>
      <c r="F1202" s="1" t="s">
        <v>4524</v>
      </c>
      <c r="G1202" s="1" t="s">
        <v>266</v>
      </c>
      <c r="H1202" s="1">
        <v>8.802957031</v>
      </c>
      <c r="I1202" s="1">
        <v>8.5096104409999995</v>
      </c>
      <c r="J1202" s="1">
        <v>7.0087830479999997</v>
      </c>
      <c r="K1202" s="1">
        <v>7.6301644289999997</v>
      </c>
      <c r="L1202" s="1">
        <v>4.5867597299999998</v>
      </c>
      <c r="M1202" s="1">
        <v>4.2945656129999996</v>
      </c>
      <c r="N1202" s="1">
        <v>7.6648147560000002</v>
      </c>
      <c r="O1202" s="1">
        <v>8.346056677</v>
      </c>
      <c r="P1202" s="1">
        <v>5.8618301099999996</v>
      </c>
      <c r="Q1202" s="1">
        <v>5.4628336309999996</v>
      </c>
      <c r="R1202" s="1">
        <v>5.0440296189999998</v>
      </c>
      <c r="S1202" s="1">
        <v>5.3098842800000003</v>
      </c>
      <c r="T1202" s="1">
        <v>4.5867597299999998</v>
      </c>
      <c r="U1202" s="1">
        <v>4.2945656129999996</v>
      </c>
      <c r="V1202" s="1">
        <v>5.5505659869999997</v>
      </c>
      <c r="W1202" s="1">
        <v>5.726489559</v>
      </c>
      <c r="X1202" s="1">
        <v>4.6102919370000004</v>
      </c>
      <c r="Y1202" s="1">
        <v>5.8995743010000004</v>
      </c>
      <c r="Z1202" s="1">
        <v>5.0440296189999998</v>
      </c>
      <c r="AA1202" s="1">
        <v>5.3098842800000003</v>
      </c>
      <c r="AB1202" s="1">
        <v>5.4746970709999996</v>
      </c>
      <c r="AC1202" s="1">
        <v>5.198889973</v>
      </c>
      <c r="AD1202" s="1">
        <v>6.0361091350000002</v>
      </c>
      <c r="AE1202" s="1">
        <v>6.0726073669999998</v>
      </c>
    </row>
    <row r="1203" spans="1:31" x14ac:dyDescent="0.25">
      <c r="A1203" s="1" t="s">
        <v>267</v>
      </c>
      <c r="B1203" s="1" t="s">
        <v>2525</v>
      </c>
      <c r="C1203" s="1" t="s">
        <v>2749</v>
      </c>
      <c r="D1203" s="1" t="s">
        <v>2535</v>
      </c>
      <c r="E1203" s="1" t="s">
        <v>4525</v>
      </c>
      <c r="G1203" s="1" t="s">
        <v>267</v>
      </c>
      <c r="H1203" s="1">
        <v>9.8543277089999997</v>
      </c>
      <c r="I1203" s="1">
        <v>9.6046379989999995</v>
      </c>
      <c r="J1203" s="1">
        <v>6.9445377779999999</v>
      </c>
      <c r="K1203" s="1">
        <v>7.2340224260000001</v>
      </c>
      <c r="L1203" s="1">
        <v>6.3406371909999999</v>
      </c>
      <c r="M1203" s="1">
        <v>6.5662231340000003</v>
      </c>
      <c r="N1203" s="1">
        <v>9.2181294539999996</v>
      </c>
      <c r="O1203" s="1">
        <v>10.09477504</v>
      </c>
      <c r="P1203" s="1">
        <v>6.9151345580000001</v>
      </c>
      <c r="Q1203" s="1">
        <v>6.7957952910000001</v>
      </c>
      <c r="R1203" s="1">
        <v>7.0106433910000003</v>
      </c>
      <c r="S1203" s="1">
        <v>6.6028455509999997</v>
      </c>
      <c r="T1203" s="1">
        <v>6.3406371909999999</v>
      </c>
      <c r="U1203" s="1">
        <v>6.5662231340000003</v>
      </c>
      <c r="V1203" s="1">
        <v>6.9986300650000004</v>
      </c>
      <c r="W1203" s="1">
        <v>7.0126858380000003</v>
      </c>
      <c r="X1203" s="1">
        <v>6.4619662419999999</v>
      </c>
      <c r="Y1203" s="1">
        <v>6.9006741439999999</v>
      </c>
      <c r="Z1203" s="1">
        <v>7.0106433910000003</v>
      </c>
      <c r="AA1203" s="1">
        <v>6.6028455509999997</v>
      </c>
      <c r="AB1203" s="1">
        <v>6.6320802959999998</v>
      </c>
      <c r="AC1203" s="1">
        <v>6.346005549</v>
      </c>
      <c r="AD1203" s="1">
        <v>7.1124159809999998</v>
      </c>
      <c r="AE1203" s="1">
        <v>7.2382459949999998</v>
      </c>
    </row>
    <row r="1204" spans="1:31" x14ac:dyDescent="0.25">
      <c r="A1204" s="1" t="s">
        <v>268</v>
      </c>
      <c r="B1204" s="1" t="s">
        <v>2557</v>
      </c>
      <c r="C1204" s="1" t="s">
        <v>3063</v>
      </c>
      <c r="D1204" s="1" t="s">
        <v>3064</v>
      </c>
      <c r="E1204" s="1" t="s">
        <v>4526</v>
      </c>
      <c r="F1204" s="1" t="s">
        <v>4527</v>
      </c>
      <c r="G1204" s="1" t="s">
        <v>268</v>
      </c>
      <c r="H1204" s="1">
        <v>6.0961014899999997</v>
      </c>
      <c r="I1204" s="1">
        <v>6.7376237200000002</v>
      </c>
      <c r="J1204" s="1">
        <v>5.5131441250000002</v>
      </c>
      <c r="K1204" s="1">
        <v>5.4913640639999999</v>
      </c>
      <c r="L1204" s="1">
        <v>5.05907325</v>
      </c>
      <c r="M1204" s="1">
        <v>4.9970812499999999</v>
      </c>
      <c r="N1204" s="1">
        <v>6.6363750030000004</v>
      </c>
      <c r="O1204" s="1">
        <v>6.8916349099999996</v>
      </c>
      <c r="P1204" s="1">
        <v>5.8618301099999996</v>
      </c>
      <c r="Q1204" s="1">
        <v>5.2473923969999996</v>
      </c>
      <c r="R1204" s="1">
        <v>5.3764768539999999</v>
      </c>
      <c r="S1204" s="1">
        <v>4.980227309</v>
      </c>
      <c r="T1204" s="1">
        <v>5.05907325</v>
      </c>
      <c r="U1204" s="1">
        <v>4.9970812499999999</v>
      </c>
      <c r="V1204" s="1">
        <v>5.695500268</v>
      </c>
      <c r="W1204" s="1">
        <v>5.6059572260000001</v>
      </c>
      <c r="X1204" s="1">
        <v>5.0312607360000001</v>
      </c>
      <c r="Y1204" s="1">
        <v>5.417933841</v>
      </c>
      <c r="Z1204" s="1">
        <v>5.3764768539999999</v>
      </c>
      <c r="AA1204" s="1">
        <v>4.980227309</v>
      </c>
      <c r="AB1204" s="1">
        <v>5.0356743460000004</v>
      </c>
      <c r="AC1204" s="1">
        <v>4.9660712470000004</v>
      </c>
      <c r="AD1204" s="1">
        <v>5.1668950269999998</v>
      </c>
      <c r="AE1204" s="1">
        <v>5.0693189500000004</v>
      </c>
    </row>
    <row r="1205" spans="1:31" x14ac:dyDescent="0.25">
      <c r="A1205" s="1" t="s">
        <v>269</v>
      </c>
      <c r="B1205" s="1" t="s">
        <v>2530</v>
      </c>
      <c r="C1205" s="1" t="s">
        <v>2531</v>
      </c>
      <c r="D1205" s="1" t="s">
        <v>2535</v>
      </c>
      <c r="E1205" s="1" t="s">
        <v>4528</v>
      </c>
      <c r="G1205" s="1" t="s">
        <v>269</v>
      </c>
      <c r="H1205" s="1">
        <v>5.6684727009999998</v>
      </c>
      <c r="I1205" s="1">
        <v>6.1427370300000002</v>
      </c>
      <c r="J1205" s="1">
        <v>6.1831700180000002</v>
      </c>
      <c r="K1205" s="1">
        <v>6.5734492549999999</v>
      </c>
      <c r="L1205" s="1">
        <v>5.6492182990000002</v>
      </c>
      <c r="M1205" s="1">
        <v>5.3414536530000003</v>
      </c>
      <c r="N1205" s="1">
        <v>6.1017809820000002</v>
      </c>
      <c r="O1205" s="1">
        <v>6.2316979249999997</v>
      </c>
      <c r="P1205" s="1">
        <v>5.1018341500000002</v>
      </c>
      <c r="Q1205" s="1">
        <v>5.2931690810000003</v>
      </c>
      <c r="R1205" s="1">
        <v>5.7472990829999997</v>
      </c>
      <c r="S1205" s="1">
        <v>5.6781703969999997</v>
      </c>
      <c r="T1205" s="1">
        <v>5.6492182990000002</v>
      </c>
      <c r="U1205" s="1">
        <v>5.3414536530000003</v>
      </c>
      <c r="V1205" s="1">
        <v>5.8270932010000003</v>
      </c>
      <c r="W1205" s="1">
        <v>5.6874298530000003</v>
      </c>
      <c r="X1205" s="1">
        <v>5.7084070709999999</v>
      </c>
      <c r="Y1205" s="1">
        <v>5.503438128</v>
      </c>
      <c r="Z1205" s="1">
        <v>5.7472990829999997</v>
      </c>
      <c r="AA1205" s="1">
        <v>5.6781703969999997</v>
      </c>
      <c r="AB1205" s="1">
        <v>5.5787398220000002</v>
      </c>
      <c r="AC1205" s="1">
        <v>5.9236494000000004</v>
      </c>
      <c r="AD1205" s="1">
        <v>5.0634297190000002</v>
      </c>
      <c r="AE1205" s="1">
        <v>5.1494525009999998</v>
      </c>
    </row>
    <row r="1206" spans="1:31" x14ac:dyDescent="0.25">
      <c r="A1206" s="1" t="s">
        <v>270</v>
      </c>
      <c r="B1206" s="1" t="s">
        <v>2530</v>
      </c>
      <c r="C1206" s="1" t="s">
        <v>2531</v>
      </c>
      <c r="D1206" s="1" t="s">
        <v>2535</v>
      </c>
      <c r="E1206" s="1" t="s">
        <v>2536</v>
      </c>
      <c r="G1206" s="1" t="s">
        <v>270</v>
      </c>
      <c r="H1206" s="1">
        <v>6.1518914650000003</v>
      </c>
      <c r="I1206" s="1">
        <v>6.395465862</v>
      </c>
      <c r="J1206" s="1">
        <v>7.6152412759999999</v>
      </c>
      <c r="K1206" s="1">
        <v>7.6762285410000004</v>
      </c>
      <c r="L1206" s="1">
        <v>7.8632050009999999</v>
      </c>
      <c r="M1206" s="1">
        <v>7.654767359</v>
      </c>
      <c r="N1206" s="1">
        <v>6.8398021150000003</v>
      </c>
      <c r="O1206" s="1">
        <v>6.6897001009999997</v>
      </c>
      <c r="P1206" s="1">
        <v>7.5832093260000004</v>
      </c>
      <c r="Q1206" s="1">
        <v>7.5430688720000001</v>
      </c>
      <c r="R1206" s="1">
        <v>7.872724163</v>
      </c>
      <c r="S1206" s="1">
        <v>7.5537229699999999</v>
      </c>
      <c r="T1206" s="1">
        <v>7.8632050009999999</v>
      </c>
      <c r="U1206" s="1">
        <v>7.654767359</v>
      </c>
      <c r="V1206" s="1">
        <v>7.5010614740000001</v>
      </c>
      <c r="W1206" s="1">
        <v>7.2040983350000003</v>
      </c>
      <c r="X1206" s="1">
        <v>7.569195713</v>
      </c>
      <c r="Y1206" s="1">
        <v>7.259693789</v>
      </c>
      <c r="Z1206" s="1">
        <v>7.872724163</v>
      </c>
      <c r="AA1206" s="1">
        <v>7.5537229699999999</v>
      </c>
      <c r="AB1206" s="1">
        <v>7.494109613</v>
      </c>
      <c r="AC1206" s="1">
        <v>7.7320797140000002</v>
      </c>
      <c r="AD1206" s="1">
        <v>7.2472341379999996</v>
      </c>
      <c r="AE1206" s="1">
        <v>7.5079922229999996</v>
      </c>
    </row>
    <row r="1207" spans="1:31" x14ac:dyDescent="0.25">
      <c r="A1207" s="1" t="s">
        <v>274</v>
      </c>
      <c r="B1207" s="1" t="s">
        <v>2530</v>
      </c>
      <c r="C1207" s="1" t="s">
        <v>2573</v>
      </c>
      <c r="D1207" s="1" t="s">
        <v>2535</v>
      </c>
      <c r="E1207" s="1" t="s">
        <v>4529</v>
      </c>
      <c r="G1207" s="1" t="s">
        <v>274</v>
      </c>
      <c r="H1207" s="1">
        <v>4.6479005740000003</v>
      </c>
      <c r="I1207" s="1">
        <v>4.8477128089999999</v>
      </c>
      <c r="J1207" s="1">
        <v>3.8969924050000002</v>
      </c>
      <c r="K1207" s="1">
        <v>3.4309024589999999</v>
      </c>
      <c r="L1207" s="1">
        <v>5.6335437009999998</v>
      </c>
      <c r="M1207" s="1">
        <v>5.2356861500000003</v>
      </c>
      <c r="N1207" s="1">
        <v>5.1887139119999999</v>
      </c>
      <c r="O1207" s="1">
        <v>4.2189785100000003</v>
      </c>
      <c r="P1207" s="1">
        <v>5.2325771159999999</v>
      </c>
      <c r="Q1207" s="1">
        <v>5.5780218530000001</v>
      </c>
      <c r="R1207" s="1">
        <v>5.2434057019999996</v>
      </c>
      <c r="S1207" s="1">
        <v>5.4687741709999997</v>
      </c>
      <c r="T1207" s="1">
        <v>5.6335437009999998</v>
      </c>
      <c r="U1207" s="1">
        <v>5.2356861500000003</v>
      </c>
      <c r="V1207" s="1">
        <v>5.2455869269999997</v>
      </c>
      <c r="W1207" s="1">
        <v>4.69862249</v>
      </c>
      <c r="X1207" s="1">
        <v>6.4516415819999997</v>
      </c>
      <c r="Y1207" s="1">
        <v>6.1044436219999998</v>
      </c>
      <c r="Z1207" s="1">
        <v>5.2434057019999996</v>
      </c>
      <c r="AA1207" s="1">
        <v>5.4687741709999997</v>
      </c>
      <c r="AB1207" s="1">
        <v>6.008835446</v>
      </c>
      <c r="AC1207" s="1">
        <v>6.0940352600000001</v>
      </c>
      <c r="AD1207" s="1">
        <v>5.7682763389999998</v>
      </c>
      <c r="AE1207" s="1">
        <v>6.1648337089999998</v>
      </c>
    </row>
    <row r="1208" spans="1:31" x14ac:dyDescent="0.25">
      <c r="A1208" s="1" t="s">
        <v>278</v>
      </c>
      <c r="B1208" s="1" t="s">
        <v>2547</v>
      </c>
      <c r="C1208" s="1" t="s">
        <v>2694</v>
      </c>
      <c r="D1208" s="1" t="s">
        <v>4530</v>
      </c>
      <c r="E1208" s="1" t="s">
        <v>4531</v>
      </c>
      <c r="G1208" s="1" t="s">
        <v>278</v>
      </c>
      <c r="H1208" s="1">
        <v>4.183793842</v>
      </c>
      <c r="I1208" s="1">
        <v>3.9003964459999998</v>
      </c>
      <c r="J1208" s="1">
        <v>2.8907526730000002</v>
      </c>
      <c r="K1208" s="1">
        <v>2.9677134359999999</v>
      </c>
      <c r="L1208" s="1">
        <v>2.9964092330000001</v>
      </c>
      <c r="M1208" s="1">
        <v>2.3994532390000001</v>
      </c>
      <c r="N1208" s="1">
        <v>3.23577855</v>
      </c>
      <c r="O1208" s="1">
        <v>3.5386882399999999</v>
      </c>
      <c r="P1208" s="1">
        <v>3.106446558</v>
      </c>
      <c r="Q1208" s="1">
        <v>2.597100669</v>
      </c>
      <c r="R1208" s="1">
        <v>3.386455024</v>
      </c>
      <c r="S1208" s="1">
        <v>3.3463386960000001</v>
      </c>
      <c r="T1208" s="1">
        <v>2.9964092330000001</v>
      </c>
      <c r="U1208" s="1">
        <v>2.3994532390000001</v>
      </c>
      <c r="V1208" s="1">
        <v>3.5405335899999999</v>
      </c>
      <c r="W1208" s="1">
        <v>3.0218530750000001</v>
      </c>
      <c r="X1208" s="1">
        <v>2.3600830049999999</v>
      </c>
      <c r="Y1208" s="1">
        <v>1.7393328349999999</v>
      </c>
      <c r="Z1208" s="1">
        <v>3.386455024</v>
      </c>
      <c r="AA1208" s="1">
        <v>3.3463386960000001</v>
      </c>
      <c r="AB1208" s="1">
        <v>2.73487305</v>
      </c>
      <c r="AC1208" s="1">
        <v>3.1109927919999998</v>
      </c>
      <c r="AD1208" s="1">
        <v>3.5727029510000001</v>
      </c>
      <c r="AE1208" s="1">
        <v>2.3627668220000002</v>
      </c>
    </row>
    <row r="1209" spans="1:31" x14ac:dyDescent="0.25">
      <c r="A1209" s="1" t="s">
        <v>279</v>
      </c>
      <c r="B1209" s="1" t="s">
        <v>2530</v>
      </c>
      <c r="C1209" s="1" t="s">
        <v>2573</v>
      </c>
      <c r="D1209" s="1" t="s">
        <v>2535</v>
      </c>
      <c r="E1209" s="1" t="s">
        <v>4532</v>
      </c>
      <c r="G1209" s="1" t="s">
        <v>279</v>
      </c>
      <c r="H1209" s="1">
        <v>3.9421380259999999</v>
      </c>
      <c r="I1209" s="1">
        <v>4.4542943209999999</v>
      </c>
      <c r="J1209" s="1">
        <v>3.329519721</v>
      </c>
      <c r="K1209" s="1">
        <v>4.1384138449999996</v>
      </c>
      <c r="L1209" s="1">
        <v>3.918224124</v>
      </c>
      <c r="M1209" s="1">
        <v>3.8521266660000002</v>
      </c>
      <c r="N1209" s="1">
        <v>3.8490531570000002</v>
      </c>
      <c r="O1209" s="1">
        <v>3.8071106499999998</v>
      </c>
      <c r="P1209" s="1">
        <v>4.0684607960000001</v>
      </c>
      <c r="Q1209" s="1">
        <v>3.8492287269999999</v>
      </c>
      <c r="R1209" s="1">
        <v>4.5333476509999997</v>
      </c>
      <c r="S1209" s="1">
        <v>4.2250836859999996</v>
      </c>
      <c r="T1209" s="1">
        <v>3.918224124</v>
      </c>
      <c r="U1209" s="1">
        <v>3.8521266660000002</v>
      </c>
      <c r="V1209" s="1">
        <v>4.3879408260000003</v>
      </c>
      <c r="W1209" s="1">
        <v>3.6840067150000002</v>
      </c>
      <c r="X1209" s="1">
        <v>3.8785046219999999</v>
      </c>
      <c r="Y1209" s="1">
        <v>5.1785898169999998</v>
      </c>
      <c r="Z1209" s="1">
        <v>4.5333476509999997</v>
      </c>
      <c r="AA1209" s="1">
        <v>4.2250836859999996</v>
      </c>
      <c r="AB1209" s="1">
        <v>3.404153038</v>
      </c>
      <c r="AC1209" s="1">
        <v>4.0753403910000001</v>
      </c>
      <c r="AD1209" s="1">
        <v>4.4715299570000004</v>
      </c>
      <c r="AE1209" s="1">
        <v>4.2780702540000002</v>
      </c>
    </row>
    <row r="1210" spans="1:31" x14ac:dyDescent="0.25">
      <c r="A1210" s="1" t="s">
        <v>280</v>
      </c>
      <c r="B1210" s="1" t="s">
        <v>2568</v>
      </c>
      <c r="C1210" s="1" t="s">
        <v>2531</v>
      </c>
      <c r="D1210" s="1" t="s">
        <v>4530</v>
      </c>
      <c r="E1210" s="1" t="s">
        <v>4533</v>
      </c>
      <c r="F1210" s="1" t="s">
        <v>4534</v>
      </c>
      <c r="G1210" s="1" t="s">
        <v>280</v>
      </c>
      <c r="H1210" s="1">
        <v>5.1686839359999999</v>
      </c>
      <c r="I1210" s="1">
        <v>5.6856247609999997</v>
      </c>
      <c r="J1210" s="1">
        <v>4.2898244959999996</v>
      </c>
      <c r="K1210" s="1">
        <v>4.6734567340000002</v>
      </c>
      <c r="L1210" s="1">
        <v>3.8051274570000002</v>
      </c>
      <c r="M1210" s="1">
        <v>3.9942443089999999</v>
      </c>
      <c r="N1210" s="1">
        <v>5.6524063629999999</v>
      </c>
      <c r="O1210" s="1">
        <v>5.4853382609999999</v>
      </c>
      <c r="P1210" s="1">
        <v>6.2775910990000003</v>
      </c>
      <c r="Q1210" s="1">
        <v>5.3805263300000004</v>
      </c>
      <c r="R1210" s="1">
        <v>5.2891602459999998</v>
      </c>
      <c r="S1210" s="1">
        <v>5.4687741709999997</v>
      </c>
      <c r="T1210" s="1">
        <v>3.8051274570000002</v>
      </c>
      <c r="U1210" s="1">
        <v>3.9942443089999999</v>
      </c>
      <c r="V1210" s="1">
        <v>4.998512388</v>
      </c>
      <c r="W1210" s="1">
        <v>4.9190341039999996</v>
      </c>
      <c r="X1210" s="1">
        <v>4.6102919370000004</v>
      </c>
      <c r="Y1210" s="1">
        <v>5.0128502209999999</v>
      </c>
      <c r="Z1210" s="1">
        <v>5.2891602459999998</v>
      </c>
      <c r="AA1210" s="1">
        <v>5.4687741709999997</v>
      </c>
      <c r="AB1210" s="1">
        <v>5.1073354020000004</v>
      </c>
      <c r="AC1210" s="1">
        <v>4.9145215069999999</v>
      </c>
      <c r="AD1210" s="1">
        <v>4.6978214539999996</v>
      </c>
      <c r="AE1210" s="1">
        <v>5.4312016559999998</v>
      </c>
    </row>
    <row r="1211" spans="1:31" x14ac:dyDescent="0.25">
      <c r="A1211" s="1" t="s">
        <v>281</v>
      </c>
      <c r="B1211" s="1" t="s">
        <v>2530</v>
      </c>
      <c r="C1211" s="1" t="s">
        <v>2573</v>
      </c>
      <c r="D1211" s="1" t="s">
        <v>2535</v>
      </c>
      <c r="E1211" s="1" t="s">
        <v>4535</v>
      </c>
      <c r="G1211" s="1" t="s">
        <v>281</v>
      </c>
      <c r="H1211" s="1">
        <v>4.3886087140000001</v>
      </c>
      <c r="I1211" s="1">
        <v>4.7284970130000001</v>
      </c>
      <c r="J1211" s="1">
        <v>4.2898244959999996</v>
      </c>
      <c r="K1211" s="1">
        <v>4.2434183680000004</v>
      </c>
      <c r="L1211" s="1">
        <v>3.8051274570000002</v>
      </c>
      <c r="M1211" s="1">
        <v>4.3473799800000004</v>
      </c>
      <c r="N1211" s="1">
        <v>3.444746345</v>
      </c>
      <c r="O1211" s="1">
        <v>4.7100516409999997</v>
      </c>
      <c r="P1211" s="1">
        <v>5.1018341500000002</v>
      </c>
      <c r="Q1211" s="1">
        <v>4.611970812</v>
      </c>
      <c r="R1211" s="1">
        <v>4.9894654599999999</v>
      </c>
      <c r="S1211" s="1">
        <v>5.032286365</v>
      </c>
      <c r="T1211" s="1">
        <v>3.8051274570000002</v>
      </c>
      <c r="U1211" s="1">
        <v>4.3473799800000004</v>
      </c>
      <c r="V1211" s="1">
        <v>5.0857495259999999</v>
      </c>
      <c r="W1211" s="1">
        <v>4.9190341039999996</v>
      </c>
      <c r="X1211" s="1">
        <v>4.3627028770000003</v>
      </c>
      <c r="Y1211" s="1">
        <v>3.7705059300000001</v>
      </c>
      <c r="Z1211" s="1">
        <v>4.9894654599999999</v>
      </c>
      <c r="AA1211" s="1">
        <v>5.032286365</v>
      </c>
      <c r="AB1211" s="1">
        <v>4.6096720080000004</v>
      </c>
      <c r="AC1211" s="1">
        <v>4.9660712470000004</v>
      </c>
      <c r="AD1211" s="1">
        <v>4.0967699450000001</v>
      </c>
      <c r="AE1211" s="1">
        <v>4.893979055</v>
      </c>
    </row>
    <row r="1212" spans="1:31" x14ac:dyDescent="0.25">
      <c r="A1212" s="1" t="s">
        <v>282</v>
      </c>
      <c r="B1212" s="1" t="s">
        <v>2520</v>
      </c>
      <c r="C1212" s="1" t="s">
        <v>2521</v>
      </c>
      <c r="D1212" s="1" t="s">
        <v>2535</v>
      </c>
      <c r="E1212" s="1" t="s">
        <v>4536</v>
      </c>
      <c r="G1212" s="1" t="s">
        <v>282</v>
      </c>
      <c r="H1212" s="1">
        <v>1.7393328349999999</v>
      </c>
      <c r="I1212" s="1">
        <v>1.7393328349999999</v>
      </c>
      <c r="J1212" s="1">
        <v>2.5640169199999998</v>
      </c>
      <c r="K1212" s="1">
        <v>1.7393328349999999</v>
      </c>
      <c r="L1212" s="1">
        <v>2.5490970000000002</v>
      </c>
      <c r="M1212" s="1">
        <v>2.665084539</v>
      </c>
      <c r="N1212" s="1">
        <v>1.7393328349999999</v>
      </c>
      <c r="O1212" s="1">
        <v>2.411448644</v>
      </c>
      <c r="P1212" s="1">
        <v>1.7393328349999999</v>
      </c>
      <c r="Q1212" s="1">
        <v>2.935765398</v>
      </c>
      <c r="R1212" s="1">
        <v>1.7393328349999999</v>
      </c>
      <c r="S1212" s="1">
        <v>2.9034795349999998</v>
      </c>
      <c r="T1212" s="1">
        <v>2.5490970000000002</v>
      </c>
      <c r="U1212" s="1">
        <v>2.665084539</v>
      </c>
      <c r="V1212" s="1">
        <v>2.5140266200000001</v>
      </c>
      <c r="W1212" s="1">
        <v>1.7393328349999999</v>
      </c>
      <c r="X1212" s="1">
        <v>2.3600830049999999</v>
      </c>
      <c r="Y1212" s="1">
        <v>1.7393328349999999</v>
      </c>
      <c r="Z1212" s="1">
        <v>1.7393328349999999</v>
      </c>
      <c r="AA1212" s="1">
        <v>2.9034795349999998</v>
      </c>
      <c r="AB1212" s="1">
        <v>2.73487305</v>
      </c>
      <c r="AC1212" s="1">
        <v>2.5506926650000001</v>
      </c>
      <c r="AD1212" s="1">
        <v>2.9432342459999998</v>
      </c>
      <c r="AE1212" s="1">
        <v>3.0939349979999999</v>
      </c>
    </row>
    <row r="1213" spans="1:31" x14ac:dyDescent="0.25">
      <c r="A1213" s="1" t="s">
        <v>283</v>
      </c>
      <c r="B1213" s="1" t="s">
        <v>2535</v>
      </c>
      <c r="C1213" s="1" t="s">
        <v>2535</v>
      </c>
      <c r="D1213" s="1" t="s">
        <v>2535</v>
      </c>
      <c r="E1213" s="1" t="s">
        <v>2535</v>
      </c>
      <c r="F1213" s="1" t="s">
        <v>2535</v>
      </c>
      <c r="G1213" s="1" t="s">
        <v>283</v>
      </c>
      <c r="H1213" s="1">
        <v>4.4805534380000003</v>
      </c>
      <c r="I1213" s="1">
        <v>4.4542943209999999</v>
      </c>
      <c r="J1213" s="1">
        <v>4.0065844400000001</v>
      </c>
      <c r="K1213" s="1">
        <v>4.0244910950000001</v>
      </c>
      <c r="L1213" s="1">
        <v>3.5435353630000002</v>
      </c>
      <c r="M1213" s="1">
        <v>4.1225413939999997</v>
      </c>
      <c r="N1213" s="1">
        <v>4.210067993</v>
      </c>
      <c r="O1213" s="1">
        <v>3.5386882399999999</v>
      </c>
      <c r="P1213" s="1">
        <v>4.4075207919999997</v>
      </c>
      <c r="Q1213" s="1">
        <v>4.7509440400000003</v>
      </c>
      <c r="R1213" s="1">
        <v>3.5594063970000001</v>
      </c>
      <c r="S1213" s="1">
        <v>3.9182367880000002</v>
      </c>
      <c r="T1213" s="1">
        <v>3.5435353630000002</v>
      </c>
      <c r="U1213" s="1">
        <v>4.1225413939999997</v>
      </c>
      <c r="V1213" s="1">
        <v>3.887436229</v>
      </c>
      <c r="W1213" s="1">
        <v>3.6840067150000002</v>
      </c>
      <c r="X1213" s="1">
        <v>3.6673381269999998</v>
      </c>
      <c r="Y1213" s="1">
        <v>3.6154848500000001</v>
      </c>
      <c r="Z1213" s="1">
        <v>3.5594063970000001</v>
      </c>
      <c r="AA1213" s="1">
        <v>3.9182367880000002</v>
      </c>
      <c r="AB1213" s="1">
        <v>3.1218319999999999</v>
      </c>
      <c r="AC1213" s="1">
        <v>3.3054795530000001</v>
      </c>
      <c r="AD1213" s="1">
        <v>4.0967699450000001</v>
      </c>
      <c r="AE1213" s="1">
        <v>4.4163948289999997</v>
      </c>
    </row>
    <row r="1214" spans="1:31" x14ac:dyDescent="0.25">
      <c r="A1214" s="1" t="s">
        <v>284</v>
      </c>
      <c r="B1214" s="1" t="s">
        <v>2530</v>
      </c>
      <c r="C1214" s="1" t="s">
        <v>2573</v>
      </c>
      <c r="D1214" s="1" t="s">
        <v>2535</v>
      </c>
      <c r="E1214" s="1" t="s">
        <v>4537</v>
      </c>
      <c r="G1214" s="1" t="s">
        <v>284</v>
      </c>
      <c r="H1214" s="1">
        <v>8.8832620490000007</v>
      </c>
      <c r="I1214" s="1">
        <v>8.7510402989999996</v>
      </c>
      <c r="J1214" s="1">
        <v>9.0953606990000004</v>
      </c>
      <c r="K1214" s="1">
        <v>9.0733788030000007</v>
      </c>
      <c r="L1214" s="1">
        <v>9.7656689520000004</v>
      </c>
      <c r="M1214" s="1">
        <v>9.6175341589999999</v>
      </c>
      <c r="N1214" s="1">
        <v>8.7460426390000006</v>
      </c>
      <c r="O1214" s="1">
        <v>8.8878802970000006</v>
      </c>
      <c r="P1214" s="1">
        <v>9.2866390419999991</v>
      </c>
      <c r="Q1214" s="1">
        <v>9.2544125790000002</v>
      </c>
      <c r="R1214" s="1">
        <v>9.5609826029999994</v>
      </c>
      <c r="S1214" s="1">
        <v>9.1920053629999998</v>
      </c>
      <c r="T1214" s="1">
        <v>9.7656689520000004</v>
      </c>
      <c r="U1214" s="1">
        <v>9.6175341589999999</v>
      </c>
      <c r="V1214" s="1">
        <v>8.8555209139999995</v>
      </c>
      <c r="W1214" s="1">
        <v>8.8012348229999997</v>
      </c>
      <c r="X1214" s="1">
        <v>9.2642549750000001</v>
      </c>
      <c r="Y1214" s="1">
        <v>8.7943402590000002</v>
      </c>
      <c r="Z1214" s="1">
        <v>9.5609826029999994</v>
      </c>
      <c r="AA1214" s="1">
        <v>9.1920053629999998</v>
      </c>
      <c r="AB1214" s="1">
        <v>9.3296518180000003</v>
      </c>
      <c r="AC1214" s="1">
        <v>9.3695586249999998</v>
      </c>
      <c r="AD1214" s="1">
        <v>9.1690071540000009</v>
      </c>
      <c r="AE1214" s="1">
        <v>9.2394586570000001</v>
      </c>
    </row>
    <row r="1215" spans="1:31" x14ac:dyDescent="0.25">
      <c r="A1215" s="1" t="s">
        <v>285</v>
      </c>
      <c r="B1215" s="1" t="s">
        <v>2642</v>
      </c>
      <c r="C1215" s="1" t="s">
        <v>2643</v>
      </c>
      <c r="D1215" s="1" t="s">
        <v>2687</v>
      </c>
      <c r="E1215" s="1" t="s">
        <v>4305</v>
      </c>
      <c r="F1215" s="1" t="s">
        <v>4306</v>
      </c>
      <c r="G1215" s="1" t="s">
        <v>285</v>
      </c>
      <c r="H1215" s="1">
        <v>1.7393328349999999</v>
      </c>
      <c r="I1215" s="1">
        <v>2.8927893610000002</v>
      </c>
      <c r="J1215" s="1">
        <v>2.5640169199999998</v>
      </c>
      <c r="K1215" s="1">
        <v>1.7393328349999999</v>
      </c>
      <c r="L1215" s="1">
        <v>2.5490970000000002</v>
      </c>
      <c r="M1215" s="1">
        <v>1.7393328349999999</v>
      </c>
      <c r="N1215" s="1">
        <v>2.9782685729999998</v>
      </c>
      <c r="O1215" s="1">
        <v>2.411448644</v>
      </c>
      <c r="P1215" s="1">
        <v>1.7393328349999999</v>
      </c>
      <c r="Q1215" s="1">
        <v>2.597100669</v>
      </c>
      <c r="R1215" s="1">
        <v>2.595728008</v>
      </c>
      <c r="S1215" s="1">
        <v>2.9034795349999998</v>
      </c>
      <c r="T1215" s="1">
        <v>2.5490970000000002</v>
      </c>
      <c r="U1215" s="1">
        <v>1.7393328349999999</v>
      </c>
      <c r="V1215" s="1">
        <v>1.7393328349999999</v>
      </c>
      <c r="W1215" s="1">
        <v>1.7393328349999999</v>
      </c>
      <c r="X1215" s="1">
        <v>2.3600830049999999</v>
      </c>
      <c r="Y1215" s="1">
        <v>1.7393328349999999</v>
      </c>
      <c r="Z1215" s="1">
        <v>2.595728008</v>
      </c>
      <c r="AA1215" s="1">
        <v>2.9034795349999998</v>
      </c>
      <c r="AB1215" s="1">
        <v>1.7393328349999999</v>
      </c>
      <c r="AC1215" s="1">
        <v>1.7393328349999999</v>
      </c>
      <c r="AD1215" s="1">
        <v>1.7393328349999999</v>
      </c>
      <c r="AE1215" s="1">
        <v>2.803297787</v>
      </c>
    </row>
    <row r="1216" spans="1:31" x14ac:dyDescent="0.25">
      <c r="A1216" s="1" t="s">
        <v>287</v>
      </c>
      <c r="B1216" s="1" t="s">
        <v>2530</v>
      </c>
      <c r="C1216" s="1" t="s">
        <v>2531</v>
      </c>
      <c r="D1216" s="1" t="s">
        <v>2535</v>
      </c>
      <c r="E1216" s="1" t="s">
        <v>4538</v>
      </c>
      <c r="G1216" s="1" t="s">
        <v>287</v>
      </c>
      <c r="H1216" s="1">
        <v>4.183793842</v>
      </c>
      <c r="I1216" s="1">
        <v>3.9003964459999998</v>
      </c>
      <c r="J1216" s="1">
        <v>4.1077874330000004</v>
      </c>
      <c r="K1216" s="1">
        <v>3.8998480660000001</v>
      </c>
      <c r="L1216" s="1">
        <v>5.2974536179999996</v>
      </c>
      <c r="M1216" s="1">
        <v>5.3667108829999997</v>
      </c>
      <c r="N1216" s="1">
        <v>4.1002678350000004</v>
      </c>
      <c r="O1216" s="1">
        <v>3.9591193910000002</v>
      </c>
      <c r="P1216" s="1">
        <v>4.7972962780000001</v>
      </c>
      <c r="Q1216" s="1">
        <v>4.9365262349999997</v>
      </c>
      <c r="R1216" s="1">
        <v>4.8118229140000004</v>
      </c>
      <c r="S1216" s="1">
        <v>4.3135540739999998</v>
      </c>
      <c r="T1216" s="1">
        <v>5.2974536179999996</v>
      </c>
      <c r="U1216" s="1">
        <v>5.3667108829999997</v>
      </c>
      <c r="V1216" s="1">
        <v>5.1679192199999999</v>
      </c>
      <c r="W1216" s="1">
        <v>4.7760085830000003</v>
      </c>
      <c r="X1216" s="1">
        <v>5.6370967820000004</v>
      </c>
      <c r="Y1216" s="1">
        <v>5.1254702539999997</v>
      </c>
      <c r="Z1216" s="1">
        <v>4.8118229140000004</v>
      </c>
      <c r="AA1216" s="1">
        <v>4.3135540739999998</v>
      </c>
      <c r="AB1216" s="1">
        <v>4.9601840040000003</v>
      </c>
      <c r="AC1216" s="1">
        <v>5.198889973</v>
      </c>
      <c r="AD1216" s="1">
        <v>5.116107059</v>
      </c>
      <c r="AE1216" s="1">
        <v>5.175187158</v>
      </c>
    </row>
    <row r="1217" spans="1:31" x14ac:dyDescent="0.25">
      <c r="A1217" s="1" t="s">
        <v>288</v>
      </c>
      <c r="B1217" s="1" t="s">
        <v>2530</v>
      </c>
      <c r="C1217" s="1" t="s">
        <v>2531</v>
      </c>
      <c r="D1217" s="1" t="s">
        <v>2535</v>
      </c>
      <c r="E1217" s="1" t="s">
        <v>4539</v>
      </c>
      <c r="G1217" s="1" t="s">
        <v>288</v>
      </c>
      <c r="H1217" s="1">
        <v>6.0961014899999997</v>
      </c>
      <c r="I1217" s="1">
        <v>6.2746491359999998</v>
      </c>
      <c r="J1217" s="1">
        <v>6.5886089180000003</v>
      </c>
      <c r="K1217" s="1">
        <v>6.4083964440000001</v>
      </c>
      <c r="L1217" s="1">
        <v>7.167226157</v>
      </c>
      <c r="M1217" s="1">
        <v>6.8594941509999998</v>
      </c>
      <c r="N1217" s="1">
        <v>6.0598398590000002</v>
      </c>
      <c r="O1217" s="1">
        <v>6.5142648510000001</v>
      </c>
      <c r="P1217" s="1">
        <v>7.0266062859999998</v>
      </c>
      <c r="Q1217" s="1">
        <v>6.7476078419999999</v>
      </c>
      <c r="R1217" s="1">
        <v>6.6762859529999998</v>
      </c>
      <c r="S1217" s="1">
        <v>6.748647074</v>
      </c>
      <c r="T1217" s="1">
        <v>7.167226157</v>
      </c>
      <c r="U1217" s="1">
        <v>6.8594941509999998</v>
      </c>
      <c r="V1217" s="1">
        <v>6.7828668890000001</v>
      </c>
      <c r="W1217" s="1">
        <v>6.7734156700000003</v>
      </c>
      <c r="X1217" s="1">
        <v>6.8788394439999996</v>
      </c>
      <c r="Y1217" s="1">
        <v>6.9620714589999997</v>
      </c>
      <c r="Z1217" s="1">
        <v>6.6762859529999998</v>
      </c>
      <c r="AA1217" s="1">
        <v>6.748647074</v>
      </c>
      <c r="AB1217" s="1">
        <v>6.875265154</v>
      </c>
      <c r="AC1217" s="1">
        <v>6.7899177740000001</v>
      </c>
      <c r="AD1217" s="1">
        <v>6.8136746160000001</v>
      </c>
      <c r="AE1217" s="1">
        <v>6.8517371130000004</v>
      </c>
    </row>
    <row r="1218" spans="1:31" x14ac:dyDescent="0.25">
      <c r="A1218" s="1" t="s">
        <v>291</v>
      </c>
      <c r="B1218" s="1" t="s">
        <v>2530</v>
      </c>
      <c r="C1218" s="1" t="s">
        <v>2531</v>
      </c>
      <c r="D1218" s="1" t="s">
        <v>2535</v>
      </c>
      <c r="E1218" s="1" t="s">
        <v>4540</v>
      </c>
      <c r="G1218" s="1" t="s">
        <v>291</v>
      </c>
      <c r="H1218" s="1">
        <v>4.183793842</v>
      </c>
      <c r="I1218" s="1">
        <v>4.0101074990000001</v>
      </c>
      <c r="J1218" s="1">
        <v>4.2898244959999996</v>
      </c>
      <c r="K1218" s="1">
        <v>4.0244910950000001</v>
      </c>
      <c r="L1218" s="1">
        <v>4.3727018190000004</v>
      </c>
      <c r="M1218" s="1">
        <v>4.239619416</v>
      </c>
      <c r="N1218" s="1">
        <v>3.7025667929999999</v>
      </c>
      <c r="O1218" s="1">
        <v>4.3322392709999997</v>
      </c>
      <c r="P1218" s="1">
        <v>4.6160325330000003</v>
      </c>
      <c r="Q1218" s="1">
        <v>4.611970812</v>
      </c>
      <c r="R1218" s="1">
        <v>4.45403635</v>
      </c>
      <c r="S1218" s="1">
        <v>4.5490843459999999</v>
      </c>
      <c r="T1218" s="1">
        <v>4.3727018190000004</v>
      </c>
      <c r="U1218" s="1">
        <v>4.239619416</v>
      </c>
      <c r="V1218" s="1">
        <v>4.8059579570000004</v>
      </c>
      <c r="W1218" s="1">
        <v>3.8431653940000001</v>
      </c>
      <c r="X1218" s="1">
        <v>4.4920419310000002</v>
      </c>
      <c r="Y1218" s="1">
        <v>3.9087436480000002</v>
      </c>
      <c r="Z1218" s="1">
        <v>4.45403635</v>
      </c>
      <c r="AA1218" s="1">
        <v>4.5490843459999999</v>
      </c>
      <c r="AB1218" s="1">
        <v>4.139369361</v>
      </c>
      <c r="AC1218" s="1">
        <v>4.9145215069999999</v>
      </c>
      <c r="AD1218" s="1">
        <v>4.0967699450000001</v>
      </c>
      <c r="AE1218" s="1">
        <v>4.3718229419999997</v>
      </c>
    </row>
    <row r="1219" spans="1:31" x14ac:dyDescent="0.25">
      <c r="A1219" s="1" t="s">
        <v>293</v>
      </c>
      <c r="B1219" s="1" t="s">
        <v>2530</v>
      </c>
      <c r="C1219" s="1" t="s">
        <v>2531</v>
      </c>
      <c r="D1219" s="1" t="s">
        <v>2535</v>
      </c>
      <c r="E1219" s="1" t="s">
        <v>4541</v>
      </c>
      <c r="G1219" s="1" t="s">
        <v>293</v>
      </c>
      <c r="H1219" s="1">
        <v>6.1242673779999999</v>
      </c>
      <c r="I1219" s="1">
        <v>5.7169522959999997</v>
      </c>
      <c r="J1219" s="1">
        <v>5.9141206909999999</v>
      </c>
      <c r="K1219" s="1">
        <v>6.1968079280000001</v>
      </c>
      <c r="L1219" s="1">
        <v>5.9312890439999997</v>
      </c>
      <c r="M1219" s="1">
        <v>5.5758954550000004</v>
      </c>
      <c r="N1219" s="1">
        <v>6.1290762189999999</v>
      </c>
      <c r="O1219" s="1">
        <v>6.4907517290000003</v>
      </c>
      <c r="P1219" s="1">
        <v>6.6927797440000001</v>
      </c>
      <c r="Q1219" s="1">
        <v>6.6106183620000003</v>
      </c>
      <c r="R1219" s="1">
        <v>6.3514004780000004</v>
      </c>
      <c r="S1219" s="1">
        <v>6.3212713310000002</v>
      </c>
      <c r="T1219" s="1">
        <v>5.9312890439999997</v>
      </c>
      <c r="U1219" s="1">
        <v>5.5758954550000004</v>
      </c>
      <c r="V1219" s="1">
        <v>5.9476095180000002</v>
      </c>
      <c r="W1219" s="1">
        <v>6.1843530070000003</v>
      </c>
      <c r="X1219" s="1">
        <v>6.0611663609999997</v>
      </c>
      <c r="Y1219" s="1">
        <v>5.9909787290000001</v>
      </c>
      <c r="Z1219" s="1">
        <v>6.3514004780000004</v>
      </c>
      <c r="AA1219" s="1">
        <v>6.3212713310000002</v>
      </c>
      <c r="AB1219" s="1">
        <v>5.7665348979999997</v>
      </c>
      <c r="AC1219" s="1">
        <v>6.4392179089999999</v>
      </c>
      <c r="AD1219" s="1">
        <v>6.3073961189999999</v>
      </c>
      <c r="AE1219" s="1">
        <v>6.5142855109999998</v>
      </c>
    </row>
    <row r="1220" spans="1:31" x14ac:dyDescent="0.25">
      <c r="A1220" s="1" t="s">
        <v>295</v>
      </c>
      <c r="B1220" s="1" t="s">
        <v>2642</v>
      </c>
      <c r="C1220" s="1" t="s">
        <v>2643</v>
      </c>
      <c r="D1220" s="1" t="s">
        <v>2687</v>
      </c>
      <c r="E1220" s="1" t="s">
        <v>2688</v>
      </c>
      <c r="F1220" s="1" t="s">
        <v>2689</v>
      </c>
      <c r="G1220" s="1" t="s">
        <v>295</v>
      </c>
      <c r="H1220" s="1">
        <v>1.7393328349999999</v>
      </c>
      <c r="I1220" s="1">
        <v>1.7393328349999999</v>
      </c>
      <c r="J1220" s="1">
        <v>1.7393328349999999</v>
      </c>
      <c r="K1220" s="1">
        <v>2.620638279</v>
      </c>
      <c r="L1220" s="1">
        <v>1.7393328349999999</v>
      </c>
      <c r="M1220" s="1">
        <v>2.8639998100000001</v>
      </c>
      <c r="N1220" s="1">
        <v>2.372908427</v>
      </c>
      <c r="O1220" s="1">
        <v>2.411448644</v>
      </c>
      <c r="P1220" s="1">
        <v>2.5478783159999998</v>
      </c>
      <c r="Q1220" s="1">
        <v>1.7393328349999999</v>
      </c>
      <c r="R1220" s="1">
        <v>1.7393328349999999</v>
      </c>
      <c r="S1220" s="1">
        <v>1.7393328349999999</v>
      </c>
      <c r="T1220" s="1">
        <v>1.7393328349999999</v>
      </c>
      <c r="U1220" s="1">
        <v>2.8639998100000001</v>
      </c>
      <c r="V1220" s="1">
        <v>1.7393328349999999</v>
      </c>
      <c r="W1220" s="1">
        <v>1.7393328349999999</v>
      </c>
      <c r="X1220" s="1">
        <v>1.7393328349999999</v>
      </c>
      <c r="Y1220" s="1">
        <v>2.624795792</v>
      </c>
      <c r="Z1220" s="1">
        <v>1.7393328349999999</v>
      </c>
      <c r="AA1220" s="1">
        <v>1.7393328349999999</v>
      </c>
      <c r="AB1220" s="1">
        <v>3.1218319999999999</v>
      </c>
      <c r="AC1220" s="1">
        <v>1.7393328349999999</v>
      </c>
      <c r="AD1220" s="1">
        <v>2.6025990879999998</v>
      </c>
      <c r="AE1220" s="1">
        <v>2.3627668220000002</v>
      </c>
    </row>
    <row r="1221" spans="1:31" x14ac:dyDescent="0.25">
      <c r="A1221" s="1" t="s">
        <v>300</v>
      </c>
      <c r="B1221" s="1" t="s">
        <v>2631</v>
      </c>
      <c r="C1221" s="1" t="s">
        <v>2980</v>
      </c>
      <c r="D1221" s="1" t="s">
        <v>4542</v>
      </c>
      <c r="E1221" s="1" t="s">
        <v>4543</v>
      </c>
      <c r="G1221" s="1" t="s">
        <v>300</v>
      </c>
      <c r="H1221" s="1">
        <v>5.3232649629999997</v>
      </c>
      <c r="I1221" s="1">
        <v>5.3275363779999996</v>
      </c>
      <c r="J1221" s="1">
        <v>5.3229940280000001</v>
      </c>
      <c r="K1221" s="1">
        <v>5.0014827119999996</v>
      </c>
      <c r="L1221" s="1">
        <v>4.7429188570000003</v>
      </c>
      <c r="M1221" s="1">
        <v>4.930560163</v>
      </c>
      <c r="N1221" s="1">
        <v>4.8006971780000001</v>
      </c>
      <c r="O1221" s="1">
        <v>5.1651541859999996</v>
      </c>
      <c r="P1221" s="1">
        <v>4.9577743410000004</v>
      </c>
      <c r="Q1221" s="1">
        <v>4.8773483779999998</v>
      </c>
      <c r="R1221" s="1">
        <v>5.0440296189999998</v>
      </c>
      <c r="S1221" s="1">
        <v>4.980227309</v>
      </c>
      <c r="T1221" s="1">
        <v>4.7429188570000003</v>
      </c>
      <c r="U1221" s="1">
        <v>4.930560163</v>
      </c>
      <c r="V1221" s="1">
        <v>3.887436229</v>
      </c>
      <c r="W1221" s="1">
        <v>4.4367165279999998</v>
      </c>
      <c r="X1221" s="1">
        <v>5.2630731749999997</v>
      </c>
      <c r="Y1221" s="1">
        <v>5.1785898169999998</v>
      </c>
      <c r="Z1221" s="1">
        <v>5.0440296189999998</v>
      </c>
      <c r="AA1221" s="1">
        <v>4.980227309</v>
      </c>
      <c r="AB1221" s="1">
        <v>5.1755434500000002</v>
      </c>
      <c r="AC1221" s="1">
        <v>4.9660712470000004</v>
      </c>
      <c r="AD1221" s="1">
        <v>4.6264106470000002</v>
      </c>
      <c r="AE1221" s="1">
        <v>5.0132584360000001</v>
      </c>
    </row>
    <row r="1222" spans="1:31" x14ac:dyDescent="0.25">
      <c r="A1222" s="1" t="s">
        <v>301</v>
      </c>
      <c r="B1222" s="1" t="s">
        <v>2530</v>
      </c>
      <c r="C1222" s="1" t="s">
        <v>2531</v>
      </c>
      <c r="D1222" s="1" t="s">
        <v>2535</v>
      </c>
      <c r="E1222" s="1" t="s">
        <v>4544</v>
      </c>
      <c r="G1222" s="1" t="s">
        <v>301</v>
      </c>
      <c r="H1222" s="1">
        <v>5.1131742039999999</v>
      </c>
      <c r="I1222" s="1">
        <v>5.1078624770000003</v>
      </c>
      <c r="J1222" s="1">
        <v>4.6607313550000002</v>
      </c>
      <c r="K1222" s="1">
        <v>4.8793048219999999</v>
      </c>
      <c r="L1222" s="1">
        <v>4.3335465510000004</v>
      </c>
      <c r="M1222" s="1">
        <v>4.930560163</v>
      </c>
      <c r="N1222" s="1">
        <v>4.9930900400000002</v>
      </c>
      <c r="O1222" s="1">
        <v>5.1040005129999999</v>
      </c>
      <c r="P1222" s="1">
        <v>5.426847231</v>
      </c>
      <c r="Q1222" s="1">
        <v>4.8155696649999999</v>
      </c>
      <c r="R1222" s="1">
        <v>5.1472208640000003</v>
      </c>
      <c r="S1222" s="1">
        <v>5.032286365</v>
      </c>
      <c r="T1222" s="1">
        <v>4.3335465510000004</v>
      </c>
      <c r="U1222" s="1">
        <v>4.930560163</v>
      </c>
      <c r="V1222" s="1">
        <v>4.9527859210000003</v>
      </c>
      <c r="W1222" s="1">
        <v>4.8493412630000003</v>
      </c>
      <c r="X1222" s="1">
        <v>4.97415056</v>
      </c>
      <c r="Y1222" s="1">
        <v>4.8250325140000001</v>
      </c>
      <c r="Z1222" s="1">
        <v>5.1472208640000003</v>
      </c>
      <c r="AA1222" s="1">
        <v>5.032286365</v>
      </c>
      <c r="AB1222" s="1">
        <v>4.8804215500000003</v>
      </c>
      <c r="AC1222" s="1">
        <v>4.5576875899999996</v>
      </c>
      <c r="AD1222" s="1">
        <v>4.7657555159999996</v>
      </c>
      <c r="AE1222" s="1">
        <v>4.9843711490000002</v>
      </c>
    </row>
    <row r="1223" spans="1:31" x14ac:dyDescent="0.25">
      <c r="A1223" s="1" t="s">
        <v>302</v>
      </c>
      <c r="B1223" s="1" t="s">
        <v>2530</v>
      </c>
      <c r="C1223" s="1" t="s">
        <v>2531</v>
      </c>
      <c r="D1223" s="1" t="s">
        <v>2535</v>
      </c>
      <c r="E1223" s="1" t="s">
        <v>4545</v>
      </c>
      <c r="F1223" s="1" t="s">
        <v>4546</v>
      </c>
      <c r="G1223" s="1" t="s">
        <v>302</v>
      </c>
      <c r="H1223" s="1">
        <v>1.7393328349999999</v>
      </c>
      <c r="I1223" s="1">
        <v>3.1348991329999998</v>
      </c>
      <c r="J1223" s="1">
        <v>1.7393328349999999</v>
      </c>
      <c r="K1223" s="1">
        <v>1.7393328349999999</v>
      </c>
      <c r="L1223" s="1">
        <v>2.5490970000000002</v>
      </c>
      <c r="M1223" s="1">
        <v>1.7393328349999999</v>
      </c>
      <c r="N1223" s="1">
        <v>3.1147763629999998</v>
      </c>
      <c r="O1223" s="1">
        <v>2.411448644</v>
      </c>
      <c r="P1223" s="1">
        <v>1.7393328349999999</v>
      </c>
      <c r="Q1223" s="1">
        <v>2.597100669</v>
      </c>
      <c r="R1223" s="1">
        <v>2.595728008</v>
      </c>
      <c r="S1223" s="1">
        <v>2.5733617299999998</v>
      </c>
      <c r="T1223" s="1">
        <v>2.5490970000000002</v>
      </c>
      <c r="U1223" s="1">
        <v>1.7393328349999999</v>
      </c>
      <c r="V1223" s="1">
        <v>1.7393328349999999</v>
      </c>
      <c r="W1223" s="1">
        <v>3.0218530750000001</v>
      </c>
      <c r="X1223" s="1">
        <v>2.3600830049999999</v>
      </c>
      <c r="Y1223" s="1">
        <v>1.7393328349999999</v>
      </c>
      <c r="Z1223" s="1">
        <v>2.595728008</v>
      </c>
      <c r="AA1223" s="1">
        <v>2.5733617299999998</v>
      </c>
      <c r="AB1223" s="1">
        <v>1.7393328349999999</v>
      </c>
      <c r="AC1223" s="1">
        <v>1.7393328349999999</v>
      </c>
      <c r="AD1223" s="1">
        <v>1.7393328349999999</v>
      </c>
      <c r="AE1223" s="1">
        <v>2.803297787</v>
      </c>
    </row>
    <row r="1224" spans="1:31" x14ac:dyDescent="0.25">
      <c r="A1224" s="1" t="s">
        <v>303</v>
      </c>
      <c r="B1224" s="1" t="s">
        <v>3099</v>
      </c>
      <c r="C1224" s="1" t="s">
        <v>3100</v>
      </c>
      <c r="D1224" s="1" t="s">
        <v>3101</v>
      </c>
      <c r="E1224" s="1" t="s">
        <v>4547</v>
      </c>
      <c r="F1224" s="1" t="s">
        <v>4548</v>
      </c>
      <c r="G1224" s="1" t="s">
        <v>303</v>
      </c>
      <c r="H1224" s="1">
        <v>5.2221022919999998</v>
      </c>
      <c r="I1224" s="1">
        <v>5.3275363779999996</v>
      </c>
      <c r="J1224" s="1">
        <v>4.5240842389999996</v>
      </c>
      <c r="K1224" s="1">
        <v>4.7454889089999996</v>
      </c>
      <c r="L1224" s="1">
        <v>4.6825378889999998</v>
      </c>
      <c r="M1224" s="1">
        <v>4.6276332350000002</v>
      </c>
      <c r="N1224" s="1">
        <v>4.6560102480000003</v>
      </c>
      <c r="O1224" s="1">
        <v>4.9384407589999997</v>
      </c>
      <c r="P1224" s="1">
        <v>5.0554269730000003</v>
      </c>
      <c r="Q1224" s="1">
        <v>5.0479127070000001</v>
      </c>
      <c r="R1224" s="1">
        <v>4.6083586160000003</v>
      </c>
      <c r="S1224" s="1">
        <v>4.980227309</v>
      </c>
      <c r="T1224" s="1">
        <v>4.6825378889999998</v>
      </c>
      <c r="U1224" s="1">
        <v>4.6276332350000002</v>
      </c>
      <c r="V1224" s="1">
        <v>5.6103143839999996</v>
      </c>
      <c r="W1224" s="1">
        <v>5.2774499109999997</v>
      </c>
      <c r="X1224" s="1">
        <v>5.6731962669999998</v>
      </c>
      <c r="Y1224" s="1">
        <v>6.1044436219999998</v>
      </c>
      <c r="Z1224" s="1">
        <v>4.6083586160000003</v>
      </c>
      <c r="AA1224" s="1">
        <v>4.980227309</v>
      </c>
      <c r="AB1224" s="1">
        <v>6.0812876019999997</v>
      </c>
      <c r="AC1224" s="1">
        <v>5.9492644930000003</v>
      </c>
      <c r="AD1224" s="1">
        <v>6.0361091350000002</v>
      </c>
      <c r="AE1224" s="1">
        <v>5.8838179420000003</v>
      </c>
    </row>
    <row r="1225" spans="1:31" x14ac:dyDescent="0.25">
      <c r="A1225" s="1" t="s">
        <v>304</v>
      </c>
      <c r="B1225" s="1" t="s">
        <v>2557</v>
      </c>
      <c r="C1225" s="1" t="s">
        <v>2680</v>
      </c>
      <c r="D1225" s="1" t="s">
        <v>3471</v>
      </c>
      <c r="E1225" s="1" t="s">
        <v>4549</v>
      </c>
      <c r="F1225" s="1" t="s">
        <v>4550</v>
      </c>
      <c r="G1225" s="1" t="s">
        <v>304</v>
      </c>
      <c r="H1225" s="1">
        <v>3.8023684370000002</v>
      </c>
      <c r="I1225" s="1">
        <v>4.3763156859999999</v>
      </c>
      <c r="J1225" s="1">
        <v>3.6453331530000002</v>
      </c>
      <c r="K1225" s="1">
        <v>4.0244910950000001</v>
      </c>
      <c r="L1225" s="1">
        <v>4.0714409539999998</v>
      </c>
      <c r="M1225" s="1">
        <v>3.9942443089999999</v>
      </c>
      <c r="N1225" s="1">
        <v>4.2617896110000002</v>
      </c>
      <c r="O1225" s="1">
        <v>4.2767880749999998</v>
      </c>
      <c r="P1225" s="1">
        <v>4.161525224</v>
      </c>
      <c r="Q1225" s="1">
        <v>4.2835653880000004</v>
      </c>
      <c r="R1225" s="1">
        <v>4.45403635</v>
      </c>
      <c r="S1225" s="1">
        <v>4.0285685429999996</v>
      </c>
      <c r="T1225" s="1">
        <v>4.0714409539999998</v>
      </c>
      <c r="U1225" s="1">
        <v>3.9942443089999999</v>
      </c>
      <c r="V1225" s="1">
        <v>4.8059579570000004</v>
      </c>
      <c r="W1225" s="1">
        <v>3.9848641250000001</v>
      </c>
      <c r="X1225" s="1">
        <v>4.8524813179999997</v>
      </c>
      <c r="Y1225" s="1">
        <v>5.2297915760000002</v>
      </c>
      <c r="Z1225" s="1">
        <v>4.45403635</v>
      </c>
      <c r="AA1225" s="1">
        <v>4.0285685429999996</v>
      </c>
      <c r="AB1225" s="1">
        <v>4.6096720080000004</v>
      </c>
      <c r="AC1225" s="1">
        <v>4.415017905</v>
      </c>
      <c r="AD1225" s="1">
        <v>5.3091856960000001</v>
      </c>
      <c r="AE1225" s="1">
        <v>5.0132584360000001</v>
      </c>
    </row>
    <row r="1226" spans="1:31" x14ac:dyDescent="0.25">
      <c r="A1226" s="1" t="s">
        <v>306</v>
      </c>
      <c r="B1226" s="1" t="s">
        <v>2598</v>
      </c>
      <c r="C1226" s="1" t="s">
        <v>2599</v>
      </c>
      <c r="D1226" s="1" t="s">
        <v>3025</v>
      </c>
      <c r="E1226" s="1" t="s">
        <v>4551</v>
      </c>
      <c r="F1226" s="1" t="s">
        <v>4552</v>
      </c>
      <c r="G1226" s="1" t="s">
        <v>306</v>
      </c>
      <c r="H1226" s="1">
        <v>6.6546803429999999</v>
      </c>
      <c r="I1226" s="1">
        <v>6.3760216270000001</v>
      </c>
      <c r="J1226" s="1">
        <v>8.1009749170000003</v>
      </c>
      <c r="K1226" s="1">
        <v>7.8867635690000002</v>
      </c>
      <c r="L1226" s="1">
        <v>7.5630042419999999</v>
      </c>
      <c r="M1226" s="1">
        <v>8.0372887540000004</v>
      </c>
      <c r="N1226" s="1">
        <v>6.0311824969999996</v>
      </c>
      <c r="O1226" s="1">
        <v>5.7859173799999999</v>
      </c>
      <c r="P1226" s="1">
        <v>7.5912873400000001</v>
      </c>
      <c r="Q1226" s="1">
        <v>7.8007584510000001</v>
      </c>
      <c r="R1226" s="1">
        <v>8.3981918790000005</v>
      </c>
      <c r="S1226" s="1">
        <v>8.2898506829999992</v>
      </c>
      <c r="T1226" s="1">
        <v>7.5630042419999999</v>
      </c>
      <c r="U1226" s="1">
        <v>8.0372887540000004</v>
      </c>
      <c r="V1226" s="1">
        <v>8.3838054819999996</v>
      </c>
      <c r="W1226" s="1">
        <v>8.1286961190000007</v>
      </c>
      <c r="X1226" s="1">
        <v>8.088322647</v>
      </c>
      <c r="Y1226" s="1">
        <v>7.8114790870000004</v>
      </c>
      <c r="Z1226" s="1">
        <v>8.3981918790000005</v>
      </c>
      <c r="AA1226" s="1">
        <v>8.2898506829999992</v>
      </c>
      <c r="AB1226" s="1">
        <v>8.2338390189999995</v>
      </c>
      <c r="AC1226" s="1">
        <v>8.3070044599999999</v>
      </c>
      <c r="AD1226" s="1">
        <v>7.8732382789999997</v>
      </c>
      <c r="AE1226" s="1">
        <v>7.7222105000000001</v>
      </c>
    </row>
    <row r="1227" spans="1:31" x14ac:dyDescent="0.25">
      <c r="A1227" s="1" t="s">
        <v>309</v>
      </c>
      <c r="B1227" s="1" t="s">
        <v>2547</v>
      </c>
      <c r="C1227" s="1" t="s">
        <v>2548</v>
      </c>
      <c r="D1227" s="1" t="s">
        <v>3072</v>
      </c>
      <c r="E1227" s="1" t="s">
        <v>3073</v>
      </c>
      <c r="F1227" s="1" t="s">
        <v>3074</v>
      </c>
      <c r="G1227" s="1" t="s">
        <v>309</v>
      </c>
      <c r="H1227" s="1">
        <v>3.2549621289999999</v>
      </c>
      <c r="I1227" s="1">
        <v>4.0101074990000001</v>
      </c>
      <c r="J1227" s="1">
        <v>3.4977151119999998</v>
      </c>
      <c r="K1227" s="1">
        <v>3.607491666</v>
      </c>
      <c r="L1227" s="1">
        <v>4.2516940449999998</v>
      </c>
      <c r="M1227" s="1">
        <v>3.6924658159999999</v>
      </c>
      <c r="N1227" s="1">
        <v>3.344961128</v>
      </c>
      <c r="O1227" s="1">
        <v>3.7238257350000001</v>
      </c>
      <c r="P1227" s="1">
        <v>3.9684043939999998</v>
      </c>
      <c r="Q1227" s="1">
        <v>3.8492287269999999</v>
      </c>
      <c r="R1227" s="1">
        <v>3.968758995</v>
      </c>
      <c r="S1227" s="1">
        <v>4.1304223819999999</v>
      </c>
      <c r="T1227" s="1">
        <v>4.2516940449999998</v>
      </c>
      <c r="U1227" s="1">
        <v>3.6924658159999999</v>
      </c>
      <c r="V1227" s="1">
        <v>4.2408545169999998</v>
      </c>
      <c r="W1227" s="1">
        <v>4.3370700810000002</v>
      </c>
      <c r="X1227" s="1">
        <v>3.5883256710000002</v>
      </c>
      <c r="Y1227" s="1">
        <v>3.9087436480000002</v>
      </c>
      <c r="Z1227" s="1">
        <v>3.968758995</v>
      </c>
      <c r="AA1227" s="1">
        <v>4.1304223819999999</v>
      </c>
      <c r="AB1227" s="1">
        <v>2.73487305</v>
      </c>
      <c r="AC1227" s="1">
        <v>4.0753403910000001</v>
      </c>
      <c r="AD1227" s="1">
        <v>3.984188064</v>
      </c>
      <c r="AE1227" s="1">
        <v>3.8196998459999998</v>
      </c>
    </row>
    <row r="1228" spans="1:31" x14ac:dyDescent="0.25">
      <c r="A1228" s="1" t="s">
        <v>310</v>
      </c>
      <c r="B1228" s="1" t="s">
        <v>2557</v>
      </c>
      <c r="C1228" s="1" t="s">
        <v>2680</v>
      </c>
      <c r="D1228" s="1" t="s">
        <v>2939</v>
      </c>
      <c r="E1228" s="1" t="s">
        <v>4553</v>
      </c>
      <c r="F1228" s="1" t="s">
        <v>4554</v>
      </c>
      <c r="G1228" s="1" t="s">
        <v>310</v>
      </c>
      <c r="H1228" s="1">
        <v>9.5904303629999994</v>
      </c>
      <c r="I1228" s="1">
        <v>9.4391130410000006</v>
      </c>
      <c r="J1228" s="1">
        <v>10.98175006</v>
      </c>
      <c r="K1228" s="1">
        <v>10.88079464</v>
      </c>
      <c r="L1228" s="1">
        <v>10.69350427</v>
      </c>
      <c r="M1228" s="1">
        <v>10.867388630000001</v>
      </c>
      <c r="N1228" s="1">
        <v>9.0590896609999998</v>
      </c>
      <c r="O1228" s="1">
        <v>9.0712284820000004</v>
      </c>
      <c r="P1228" s="1">
        <v>10.78855549</v>
      </c>
      <c r="Q1228" s="1">
        <v>10.78082972</v>
      </c>
      <c r="R1228" s="1">
        <v>11.05029482</v>
      </c>
      <c r="S1228" s="1">
        <v>11.059151079999999</v>
      </c>
      <c r="T1228" s="1">
        <v>10.69350427</v>
      </c>
      <c r="U1228" s="1">
        <v>10.867388630000001</v>
      </c>
      <c r="V1228" s="1">
        <v>10.871385249999999</v>
      </c>
      <c r="W1228" s="1">
        <v>10.822535419999999</v>
      </c>
      <c r="X1228" s="1">
        <v>10.840749629999999</v>
      </c>
      <c r="Y1228" s="1">
        <v>10.84064444</v>
      </c>
      <c r="Z1228" s="1">
        <v>11.05029482</v>
      </c>
      <c r="AA1228" s="1">
        <v>11.059151079999999</v>
      </c>
      <c r="AB1228" s="1">
        <v>10.89464031</v>
      </c>
      <c r="AC1228" s="1">
        <v>10.915959429999999</v>
      </c>
      <c r="AD1228" s="1">
        <v>10.82051959</v>
      </c>
      <c r="AE1228" s="1">
        <v>10.84938833</v>
      </c>
    </row>
    <row r="1229" spans="1:31" x14ac:dyDescent="0.25">
      <c r="A1229" s="1" t="s">
        <v>312</v>
      </c>
      <c r="B1229" s="1" t="s">
        <v>2642</v>
      </c>
      <c r="C1229" s="1" t="s">
        <v>2643</v>
      </c>
      <c r="D1229" s="1" t="s">
        <v>2687</v>
      </c>
      <c r="E1229" s="1" t="s">
        <v>3094</v>
      </c>
      <c r="F1229" s="1" t="s">
        <v>3095</v>
      </c>
      <c r="G1229" s="1" t="s">
        <v>312</v>
      </c>
      <c r="H1229" s="1">
        <v>4.3886087140000001</v>
      </c>
      <c r="I1229" s="1">
        <v>4.9575946069999999</v>
      </c>
      <c r="J1229" s="1">
        <v>3.329519721</v>
      </c>
      <c r="K1229" s="1">
        <v>4.1384138449999996</v>
      </c>
      <c r="L1229" s="1">
        <v>2.315629231</v>
      </c>
      <c r="M1229" s="1">
        <v>2.8639998100000001</v>
      </c>
      <c r="N1229" s="1">
        <v>4.765904581</v>
      </c>
      <c r="O1229" s="1">
        <v>4.6248126879999996</v>
      </c>
      <c r="P1229" s="1">
        <v>3.106446558</v>
      </c>
      <c r="Q1229" s="1">
        <v>2.597100669</v>
      </c>
      <c r="R1229" s="1">
        <v>3.1834741979999999</v>
      </c>
      <c r="S1229" s="1">
        <v>3.1475403900000001</v>
      </c>
      <c r="T1229" s="1">
        <v>2.315629231</v>
      </c>
      <c r="U1229" s="1">
        <v>2.8639998100000001</v>
      </c>
      <c r="V1229" s="1">
        <v>3.0516113059999999</v>
      </c>
      <c r="W1229" s="1">
        <v>2.6606351240000001</v>
      </c>
      <c r="X1229" s="1">
        <v>1.7393328349999999</v>
      </c>
      <c r="Y1229" s="1">
        <v>4.2532353330000001</v>
      </c>
      <c r="Z1229" s="1">
        <v>3.1834741979999999</v>
      </c>
      <c r="AA1229" s="1">
        <v>3.1475403900000001</v>
      </c>
      <c r="AB1229" s="1">
        <v>3.1218319999999999</v>
      </c>
      <c r="AC1229" s="1">
        <v>2.5506926650000001</v>
      </c>
      <c r="AD1229" s="1">
        <v>3.1944880649999998</v>
      </c>
      <c r="AE1229" s="1">
        <v>2.803297787</v>
      </c>
    </row>
    <row r="1230" spans="1:31" x14ac:dyDescent="0.25">
      <c r="A1230" s="1" t="s">
        <v>313</v>
      </c>
      <c r="B1230" s="1" t="s">
        <v>2547</v>
      </c>
      <c r="C1230" s="1" t="s">
        <v>2675</v>
      </c>
      <c r="D1230" s="1" t="s">
        <v>4555</v>
      </c>
      <c r="E1230" s="1" t="s">
        <v>4556</v>
      </c>
      <c r="F1230" s="1" t="s">
        <v>4557</v>
      </c>
      <c r="G1230" s="1" t="s">
        <v>313</v>
      </c>
      <c r="H1230" s="1">
        <v>7.7312450779999997</v>
      </c>
      <c r="I1230" s="1">
        <v>7.4636765299999999</v>
      </c>
      <c r="J1230" s="1">
        <v>6.7018094870000002</v>
      </c>
      <c r="K1230" s="1">
        <v>7.0220088839999999</v>
      </c>
      <c r="L1230" s="1">
        <v>7.0892457220000002</v>
      </c>
      <c r="M1230" s="1">
        <v>6.8683115939999997</v>
      </c>
      <c r="N1230" s="1">
        <v>6.8064250089999998</v>
      </c>
      <c r="O1230" s="1">
        <v>7.2615137970000001</v>
      </c>
      <c r="P1230" s="1">
        <v>6.9781248280000003</v>
      </c>
      <c r="Q1230" s="1">
        <v>6.8576352290000004</v>
      </c>
      <c r="R1230" s="1">
        <v>6.5697987150000001</v>
      </c>
      <c r="S1230" s="1">
        <v>6.8382423799999996</v>
      </c>
      <c r="T1230" s="1">
        <v>7.0892457220000002</v>
      </c>
      <c r="U1230" s="1">
        <v>6.8683115939999997</v>
      </c>
      <c r="V1230" s="1">
        <v>6.258213456</v>
      </c>
      <c r="W1230" s="1">
        <v>6.9646536269999997</v>
      </c>
      <c r="X1230" s="1">
        <v>6.8158741230000004</v>
      </c>
      <c r="Y1230" s="1">
        <v>5.9909787290000001</v>
      </c>
      <c r="Z1230" s="1">
        <v>6.5697987150000001</v>
      </c>
      <c r="AA1230" s="1">
        <v>6.8382423799999996</v>
      </c>
      <c r="AB1230" s="1">
        <v>7.0294463739999999</v>
      </c>
      <c r="AC1230" s="1">
        <v>6.7899177740000001</v>
      </c>
      <c r="AD1230" s="1">
        <v>6.6985326699999996</v>
      </c>
      <c r="AE1230" s="1">
        <v>6.3332249579999997</v>
      </c>
    </row>
    <row r="1231" spans="1:31" x14ac:dyDescent="0.25">
      <c r="A1231" s="1" t="s">
        <v>314</v>
      </c>
      <c r="B1231" s="1" t="s">
        <v>2547</v>
      </c>
      <c r="C1231" s="1" t="s">
        <v>2675</v>
      </c>
      <c r="D1231" s="1" t="s">
        <v>4555</v>
      </c>
      <c r="E1231" s="1" t="s">
        <v>4558</v>
      </c>
      <c r="F1231" s="1" t="s">
        <v>4559</v>
      </c>
      <c r="G1231" s="1" t="s">
        <v>314</v>
      </c>
      <c r="H1231" s="1">
        <v>6.3556221559999999</v>
      </c>
      <c r="I1231" s="1">
        <v>6.3363261639999999</v>
      </c>
      <c r="J1231" s="1">
        <v>6.6543806500000002</v>
      </c>
      <c r="K1231" s="1">
        <v>6.7562562289999999</v>
      </c>
      <c r="L1231" s="1">
        <v>6.3502321200000003</v>
      </c>
      <c r="M1231" s="1">
        <v>6.4058065400000004</v>
      </c>
      <c r="N1231" s="1">
        <v>6.5278870189999996</v>
      </c>
      <c r="O1231" s="1">
        <v>6.9270840419999997</v>
      </c>
      <c r="P1231" s="1">
        <v>6.5001108719999996</v>
      </c>
      <c r="Q1231" s="1">
        <v>6.4187248529999996</v>
      </c>
      <c r="R1231" s="1">
        <v>6.0146875240000002</v>
      </c>
      <c r="S1231" s="1">
        <v>6.1213765840000001</v>
      </c>
      <c r="T1231" s="1">
        <v>6.3502321200000003</v>
      </c>
      <c r="U1231" s="1">
        <v>6.4058065400000004</v>
      </c>
      <c r="V1231" s="1">
        <v>6.433314288</v>
      </c>
      <c r="W1231" s="1">
        <v>6.3179498900000004</v>
      </c>
      <c r="X1231" s="1">
        <v>6.0057221949999997</v>
      </c>
      <c r="Y1231" s="1">
        <v>6.3769095809999996</v>
      </c>
      <c r="Z1231" s="1">
        <v>6.0146875240000002</v>
      </c>
      <c r="AA1231" s="1">
        <v>6.1213765840000001</v>
      </c>
      <c r="AB1231" s="1">
        <v>6.557950226</v>
      </c>
      <c r="AC1231" s="1">
        <v>5.9744301399999999</v>
      </c>
      <c r="AD1231" s="1">
        <v>6.4155919319999999</v>
      </c>
      <c r="AE1231" s="1">
        <v>6.4736876839999997</v>
      </c>
    </row>
    <row r="1232" spans="1:31" x14ac:dyDescent="0.25">
      <c r="A1232" s="1" t="s">
        <v>315</v>
      </c>
      <c r="B1232" s="1" t="s">
        <v>2547</v>
      </c>
      <c r="C1232" s="1" t="s">
        <v>2675</v>
      </c>
      <c r="D1232" s="1" t="s">
        <v>4555</v>
      </c>
      <c r="E1232" s="1" t="s">
        <v>4560</v>
      </c>
      <c r="F1232" s="1" t="s">
        <v>4561</v>
      </c>
      <c r="G1232" s="1" t="s">
        <v>315</v>
      </c>
      <c r="H1232" s="1">
        <v>5.946332924</v>
      </c>
      <c r="I1232" s="1">
        <v>5.7169522959999997</v>
      </c>
      <c r="J1232" s="1">
        <v>5.9926388770000001</v>
      </c>
      <c r="K1232" s="1">
        <v>6.0642310579999998</v>
      </c>
      <c r="L1232" s="1">
        <v>6.1668872849999996</v>
      </c>
      <c r="M1232" s="1">
        <v>6.0654778350000003</v>
      </c>
      <c r="N1232" s="1">
        <v>6.5482301630000004</v>
      </c>
      <c r="O1232" s="1">
        <v>6.8460602799999997</v>
      </c>
      <c r="P1232" s="1">
        <v>6.3931504810000002</v>
      </c>
      <c r="Q1232" s="1">
        <v>6.2443420209999996</v>
      </c>
      <c r="R1232" s="1">
        <v>6.2166299269999996</v>
      </c>
      <c r="S1232" s="1">
        <v>6.2576799799999998</v>
      </c>
      <c r="T1232" s="1">
        <v>6.1668872849999996</v>
      </c>
      <c r="U1232" s="1">
        <v>6.0654778350000003</v>
      </c>
      <c r="V1232" s="1">
        <v>5.9006116210000004</v>
      </c>
      <c r="W1232" s="1">
        <v>5.7645115660000004</v>
      </c>
      <c r="X1232" s="1">
        <v>6.3880871680000002</v>
      </c>
      <c r="Y1232" s="1">
        <v>6.1840201749999997</v>
      </c>
      <c r="Z1232" s="1">
        <v>6.2166299269999996</v>
      </c>
      <c r="AA1232" s="1">
        <v>6.2576799799999998</v>
      </c>
      <c r="AB1232" s="1">
        <v>5.9711898400000001</v>
      </c>
      <c r="AC1232" s="1">
        <v>6.139219926</v>
      </c>
      <c r="AD1232" s="1">
        <v>6.008703369</v>
      </c>
      <c r="AE1232" s="1">
        <v>6.4212742540000001</v>
      </c>
    </row>
    <row r="1233" spans="1:31" x14ac:dyDescent="0.25">
      <c r="A1233" s="1" t="s">
        <v>318</v>
      </c>
      <c r="B1233" s="1" t="s">
        <v>2557</v>
      </c>
      <c r="C1233" s="1" t="s">
        <v>3497</v>
      </c>
      <c r="D1233" s="1" t="s">
        <v>4352</v>
      </c>
      <c r="E1233" s="1" t="s">
        <v>4562</v>
      </c>
      <c r="F1233" s="1" t="s">
        <v>4563</v>
      </c>
      <c r="G1233" s="1" t="s">
        <v>318</v>
      </c>
      <c r="H1233" s="1">
        <v>4.4805534380000003</v>
      </c>
      <c r="I1233" s="1">
        <v>4.1114152529999997</v>
      </c>
      <c r="J1233" s="1">
        <v>4.4503473070000004</v>
      </c>
      <c r="K1233" s="1">
        <v>4.5974987220000001</v>
      </c>
      <c r="L1233" s="1">
        <v>4.4107687259999997</v>
      </c>
      <c r="M1233" s="1">
        <v>4.7490378550000001</v>
      </c>
      <c r="N1233" s="1">
        <v>3.622455167</v>
      </c>
      <c r="O1233" s="1">
        <v>4.3322392709999997</v>
      </c>
      <c r="P1233" s="1">
        <v>5.0554269730000003</v>
      </c>
      <c r="Q1233" s="1">
        <v>4.611970812</v>
      </c>
      <c r="R1233" s="1">
        <v>4.6083586160000003</v>
      </c>
      <c r="S1233" s="1">
        <v>4.8114074450000004</v>
      </c>
      <c r="T1233" s="1">
        <v>4.4107687259999997</v>
      </c>
      <c r="U1233" s="1">
        <v>4.7490378550000001</v>
      </c>
      <c r="V1233" s="1">
        <v>4.8059579570000004</v>
      </c>
      <c r="W1233" s="1">
        <v>4.8493412630000003</v>
      </c>
      <c r="X1233" s="1">
        <v>4.5719855100000002</v>
      </c>
      <c r="Y1233" s="1">
        <v>4.0337379980000003</v>
      </c>
      <c r="Z1233" s="1">
        <v>4.6083586160000003</v>
      </c>
      <c r="AA1233" s="1">
        <v>4.8114074450000004</v>
      </c>
      <c r="AB1233" s="1">
        <v>4.7958605490000004</v>
      </c>
      <c r="AC1233" s="1">
        <v>4.5576875899999996</v>
      </c>
      <c r="AD1233" s="1">
        <v>4.2970121150000002</v>
      </c>
      <c r="AE1233" s="1">
        <v>4.124053773</v>
      </c>
    </row>
    <row r="1234" spans="1:31" x14ac:dyDescent="0.25">
      <c r="A1234" s="1" t="s">
        <v>320</v>
      </c>
      <c r="B1234" s="1" t="s">
        <v>2667</v>
      </c>
      <c r="C1234" s="1" t="s">
        <v>2668</v>
      </c>
      <c r="D1234" s="1" t="s">
        <v>2669</v>
      </c>
      <c r="E1234" s="1" t="s">
        <v>4564</v>
      </c>
      <c r="F1234" s="1" t="s">
        <v>4565</v>
      </c>
      <c r="G1234" s="1" t="s">
        <v>320</v>
      </c>
      <c r="H1234" s="1">
        <v>6.5548587630000004</v>
      </c>
      <c r="I1234" s="1">
        <v>6.1655807180000002</v>
      </c>
      <c r="J1234" s="1">
        <v>5.5826322800000003</v>
      </c>
      <c r="K1234" s="1">
        <v>5.6848657879999998</v>
      </c>
      <c r="L1234" s="1">
        <v>5.8791437640000002</v>
      </c>
      <c r="M1234" s="1">
        <v>5.8857020010000003</v>
      </c>
      <c r="N1234" s="1">
        <v>6.3993900010000004</v>
      </c>
      <c r="O1234" s="1">
        <v>6.3277659169999998</v>
      </c>
      <c r="P1234" s="1">
        <v>5.2325771159999999</v>
      </c>
      <c r="Q1234" s="1">
        <v>5.7838067430000004</v>
      </c>
      <c r="R1234" s="1">
        <v>5.2434057019999996</v>
      </c>
      <c r="S1234" s="1">
        <v>6.0729078190000001</v>
      </c>
      <c r="T1234" s="1">
        <v>5.8791437640000002</v>
      </c>
      <c r="U1234" s="1">
        <v>5.8857020010000003</v>
      </c>
      <c r="V1234" s="1">
        <v>5.9931161309999998</v>
      </c>
      <c r="W1234" s="1">
        <v>5.7645115660000004</v>
      </c>
      <c r="X1234" s="1">
        <v>5.9183192990000002</v>
      </c>
      <c r="Y1234" s="1">
        <v>5.8019430659999998</v>
      </c>
      <c r="Z1234" s="1">
        <v>5.2434057019999996</v>
      </c>
      <c r="AA1234" s="1">
        <v>6.0729078190000001</v>
      </c>
      <c r="AB1234" s="1">
        <v>6.0812876019999997</v>
      </c>
      <c r="AC1234" s="1">
        <v>6.3069602739999997</v>
      </c>
      <c r="AD1234" s="1">
        <v>5.4385263000000004</v>
      </c>
      <c r="AE1234" s="1">
        <v>5.387950011</v>
      </c>
    </row>
    <row r="1235" spans="1:31" x14ac:dyDescent="0.25">
      <c r="A1235" s="1" t="s">
        <v>322</v>
      </c>
      <c r="B1235" s="1" t="s">
        <v>2942</v>
      </c>
      <c r="C1235" s="1" t="s">
        <v>2531</v>
      </c>
      <c r="D1235" s="1" t="s">
        <v>3871</v>
      </c>
      <c r="E1235" s="1" t="s">
        <v>3872</v>
      </c>
      <c r="F1235" s="1" t="s">
        <v>3873</v>
      </c>
      <c r="G1235" s="1" t="s">
        <v>322</v>
      </c>
      <c r="H1235" s="1">
        <v>5.5062820300000004</v>
      </c>
      <c r="I1235" s="1">
        <v>5.009480355</v>
      </c>
      <c r="J1235" s="1">
        <v>6.2905743620000001</v>
      </c>
      <c r="K1235" s="1">
        <v>5.8552832600000002</v>
      </c>
      <c r="L1235" s="1">
        <v>6.4517555480000004</v>
      </c>
      <c r="M1235" s="1">
        <v>6.5877467249999997</v>
      </c>
      <c r="N1235" s="1">
        <v>5.7078727669999996</v>
      </c>
      <c r="O1235" s="1">
        <v>5.5552821830000001</v>
      </c>
      <c r="P1235" s="1">
        <v>5.7211848500000002</v>
      </c>
      <c r="Q1235" s="1">
        <v>5.5406489910000003</v>
      </c>
      <c r="R1235" s="1">
        <v>6.8531456039999998</v>
      </c>
      <c r="S1235" s="1">
        <v>6.2791912019999998</v>
      </c>
      <c r="T1235" s="1">
        <v>6.4517555480000004</v>
      </c>
      <c r="U1235" s="1">
        <v>6.5877467249999997</v>
      </c>
      <c r="V1235" s="1">
        <v>6.2012354710000004</v>
      </c>
      <c r="W1235" s="1">
        <v>6.3680955829999997</v>
      </c>
      <c r="X1235" s="1">
        <v>6.2399193000000004</v>
      </c>
      <c r="Y1235" s="1">
        <v>5.9611531490000003</v>
      </c>
      <c r="Z1235" s="1">
        <v>6.8531456039999998</v>
      </c>
      <c r="AA1235" s="1">
        <v>6.2791912019999998</v>
      </c>
      <c r="AB1235" s="1">
        <v>6.4527679449999997</v>
      </c>
      <c r="AC1235" s="1">
        <v>6.1612901029999998</v>
      </c>
      <c r="AD1235" s="1">
        <v>6.2145653230000004</v>
      </c>
      <c r="AE1235" s="1">
        <v>6.2026157089999998</v>
      </c>
    </row>
    <row r="1236" spans="1:31" x14ac:dyDescent="0.25">
      <c r="A1236" s="1" t="s">
        <v>323</v>
      </c>
      <c r="B1236" s="1" t="s">
        <v>2547</v>
      </c>
      <c r="C1236" s="1" t="s">
        <v>2548</v>
      </c>
      <c r="D1236" s="1" t="s">
        <v>3072</v>
      </c>
      <c r="E1236" s="1" t="s">
        <v>4566</v>
      </c>
      <c r="F1236" s="1" t="s">
        <v>4343</v>
      </c>
      <c r="G1236" s="1" t="s">
        <v>323</v>
      </c>
      <c r="H1236" s="1">
        <v>3.6455184960000002</v>
      </c>
      <c r="I1236" s="1">
        <v>4.2055918060000002</v>
      </c>
      <c r="J1236" s="1">
        <v>4.7243317210000004</v>
      </c>
      <c r="K1236" s="1">
        <v>4.5974987220000001</v>
      </c>
      <c r="L1236" s="1">
        <v>5.2569846910000004</v>
      </c>
      <c r="M1236" s="1">
        <v>4.9642129490000002</v>
      </c>
      <c r="N1236" s="1">
        <v>4.6560102480000003</v>
      </c>
      <c r="O1236" s="1">
        <v>4.8288877169999997</v>
      </c>
      <c r="P1236" s="1">
        <v>4.7394495640000001</v>
      </c>
      <c r="Q1236" s="1">
        <v>4.5369064569999997</v>
      </c>
      <c r="R1236" s="1">
        <v>4.7472384160000001</v>
      </c>
      <c r="S1236" s="1">
        <v>4.3135540739999998</v>
      </c>
      <c r="T1236" s="1">
        <v>5.2569846910000004</v>
      </c>
      <c r="U1236" s="1">
        <v>4.9642129490000002</v>
      </c>
      <c r="V1236" s="1">
        <v>4.5826682710000002</v>
      </c>
      <c r="W1236" s="1">
        <v>5.3792812999999997</v>
      </c>
      <c r="X1236" s="1">
        <v>5.1389930130000003</v>
      </c>
      <c r="Y1236" s="1">
        <v>5.0128502209999999</v>
      </c>
      <c r="Z1236" s="1">
        <v>4.7472384160000001</v>
      </c>
      <c r="AA1236" s="1">
        <v>4.3135540739999998</v>
      </c>
      <c r="AB1236" s="1">
        <v>4.8804215500000003</v>
      </c>
      <c r="AC1236" s="1">
        <v>5.198889973</v>
      </c>
      <c r="AD1236" s="1">
        <v>5.0634297190000002</v>
      </c>
      <c r="AE1236" s="1">
        <v>4.5815229759999996</v>
      </c>
    </row>
    <row r="1237" spans="1:31" x14ac:dyDescent="0.25">
      <c r="A1237" s="1" t="s">
        <v>324</v>
      </c>
      <c r="B1237" s="1" t="s">
        <v>2557</v>
      </c>
      <c r="C1237" s="1" t="s">
        <v>2718</v>
      </c>
      <c r="D1237" s="1" t="s">
        <v>4567</v>
      </c>
      <c r="E1237" s="1" t="s">
        <v>4568</v>
      </c>
      <c r="F1237" s="1" t="s">
        <v>4569</v>
      </c>
      <c r="G1237" s="1" t="s">
        <v>324</v>
      </c>
      <c r="H1237" s="1">
        <v>4.3886087140000001</v>
      </c>
      <c r="I1237" s="1">
        <v>4.3763156859999999</v>
      </c>
      <c r="J1237" s="1">
        <v>5.1953777219999999</v>
      </c>
      <c r="K1237" s="1">
        <v>4.5974987220000001</v>
      </c>
      <c r="L1237" s="1">
        <v>5.1504600580000002</v>
      </c>
      <c r="M1237" s="1">
        <v>5.2356861500000003</v>
      </c>
      <c r="N1237" s="1">
        <v>5.1623684499999998</v>
      </c>
      <c r="O1237" s="1">
        <v>5.4612405070000003</v>
      </c>
      <c r="P1237" s="1">
        <v>5.1903212940000003</v>
      </c>
      <c r="Q1237" s="1">
        <v>4.9365262349999997</v>
      </c>
      <c r="R1237" s="1">
        <v>5.2434057019999996</v>
      </c>
      <c r="S1237" s="1">
        <v>4.4749637470000003</v>
      </c>
      <c r="T1237" s="1">
        <v>5.1504600580000002</v>
      </c>
      <c r="U1237" s="1">
        <v>5.2356861500000003</v>
      </c>
      <c r="V1237" s="1">
        <v>4.8059579570000004</v>
      </c>
      <c r="W1237" s="1">
        <v>5.16775612</v>
      </c>
      <c r="X1237" s="1">
        <v>4.7192629950000002</v>
      </c>
      <c r="Y1237" s="1">
        <v>5.0702808140000002</v>
      </c>
      <c r="Z1237" s="1">
        <v>5.2434057019999996</v>
      </c>
      <c r="AA1237" s="1">
        <v>4.4749637470000003</v>
      </c>
      <c r="AB1237" s="1">
        <v>3.990981031</v>
      </c>
      <c r="AC1237" s="1">
        <v>4.9660712470000004</v>
      </c>
      <c r="AD1237" s="1">
        <v>4.3870463700000002</v>
      </c>
      <c r="AE1237" s="1">
        <v>4.6936201110000004</v>
      </c>
    </row>
    <row r="1238" spans="1:31" x14ac:dyDescent="0.25">
      <c r="A1238" s="1" t="s">
        <v>328</v>
      </c>
      <c r="B1238" s="1" t="s">
        <v>2598</v>
      </c>
      <c r="C1238" s="1" t="s">
        <v>2603</v>
      </c>
      <c r="D1238" s="1" t="s">
        <v>3266</v>
      </c>
      <c r="E1238" s="1" t="s">
        <v>4570</v>
      </c>
      <c r="G1238" s="1" t="s">
        <v>328</v>
      </c>
      <c r="H1238" s="1">
        <v>5.7431528099999998</v>
      </c>
      <c r="I1238" s="1">
        <v>6.295503557</v>
      </c>
      <c r="J1238" s="1">
        <v>5.7122264270000001</v>
      </c>
      <c r="K1238" s="1">
        <v>6.0642310579999998</v>
      </c>
      <c r="L1238" s="1">
        <v>5.5015434460000003</v>
      </c>
      <c r="M1238" s="1">
        <v>5.4399015869999996</v>
      </c>
      <c r="N1238" s="1">
        <v>5.7786343999999996</v>
      </c>
      <c r="O1238" s="1">
        <v>5.9675486500000003</v>
      </c>
      <c r="P1238" s="1">
        <v>6.0141943849999997</v>
      </c>
      <c r="Q1238" s="1">
        <v>5.6144419360000004</v>
      </c>
      <c r="R1238" s="1">
        <v>5.7795948069999996</v>
      </c>
      <c r="S1238" s="1">
        <v>5.9440521669999997</v>
      </c>
      <c r="T1238" s="1">
        <v>5.5015434460000003</v>
      </c>
      <c r="U1238" s="1">
        <v>5.4399015869999996</v>
      </c>
      <c r="V1238" s="1">
        <v>5.519727617</v>
      </c>
      <c r="W1238" s="1">
        <v>5.6059572260000001</v>
      </c>
      <c r="X1238" s="1">
        <v>6.0057221949999997</v>
      </c>
      <c r="Y1238" s="1">
        <v>5.6971672010000001</v>
      </c>
      <c r="Z1238" s="1">
        <v>5.7795948069999996</v>
      </c>
      <c r="AA1238" s="1">
        <v>5.9440521669999997</v>
      </c>
      <c r="AB1238" s="1">
        <v>5.9711898400000001</v>
      </c>
      <c r="AC1238" s="1">
        <v>5.7882226870000002</v>
      </c>
      <c r="AD1238" s="1">
        <v>5.8632235870000002</v>
      </c>
      <c r="AE1238" s="1">
        <v>5.7539342490000003</v>
      </c>
    </row>
    <row r="1239" spans="1:31" x14ac:dyDescent="0.25">
      <c r="A1239" s="1" t="s">
        <v>330</v>
      </c>
      <c r="B1239" s="1" t="s">
        <v>2530</v>
      </c>
      <c r="C1239" s="1" t="s">
        <v>2531</v>
      </c>
      <c r="D1239" s="1" t="s">
        <v>2535</v>
      </c>
      <c r="E1239" s="1" t="s">
        <v>2536</v>
      </c>
      <c r="G1239" s="1" t="s">
        <v>330</v>
      </c>
      <c r="H1239" s="1">
        <v>6.9657132009999998</v>
      </c>
      <c r="I1239" s="1">
        <v>6.923095075</v>
      </c>
      <c r="J1239" s="1">
        <v>6.4096880770000002</v>
      </c>
      <c r="K1239" s="1">
        <v>6.5928106870000001</v>
      </c>
      <c r="L1239" s="1">
        <v>5.0110661050000003</v>
      </c>
      <c r="M1239" s="1">
        <v>5.1214027209999999</v>
      </c>
      <c r="N1239" s="1">
        <v>6.4757340919999997</v>
      </c>
      <c r="O1239" s="1">
        <v>6.8826346169999999</v>
      </c>
      <c r="P1239" s="1">
        <v>5.7504406890000004</v>
      </c>
      <c r="Q1239" s="1">
        <v>5.5022716190000001</v>
      </c>
      <c r="R1239" s="1">
        <v>5.7472990829999997</v>
      </c>
      <c r="S1239" s="1">
        <v>5.9707657090000001</v>
      </c>
      <c r="T1239" s="1">
        <v>5.0110661050000003</v>
      </c>
      <c r="U1239" s="1">
        <v>5.1214027209999999</v>
      </c>
      <c r="V1239" s="1">
        <v>6.1215697740000001</v>
      </c>
      <c r="W1239" s="1">
        <v>6.3432413370000003</v>
      </c>
      <c r="X1239" s="1">
        <v>5.4828239310000004</v>
      </c>
      <c r="Y1239" s="1">
        <v>6.7864979940000003</v>
      </c>
      <c r="Z1239" s="1">
        <v>5.7472990829999997</v>
      </c>
      <c r="AA1239" s="1">
        <v>5.9707657090000001</v>
      </c>
      <c r="AB1239" s="1">
        <v>5.8098709350000002</v>
      </c>
      <c r="AC1239" s="1">
        <v>5.6067493529999997</v>
      </c>
      <c r="AD1239" s="1">
        <v>6.1153202110000002</v>
      </c>
      <c r="AE1239" s="1">
        <v>6.3888842260000001</v>
      </c>
    </row>
    <row r="1240" spans="1:31" x14ac:dyDescent="0.25">
      <c r="A1240" s="1" t="s">
        <v>333</v>
      </c>
      <c r="B1240" s="1" t="s">
        <v>3099</v>
      </c>
      <c r="C1240" s="1" t="s">
        <v>3100</v>
      </c>
      <c r="D1240" s="1" t="s">
        <v>3220</v>
      </c>
      <c r="E1240" s="1" t="s">
        <v>4571</v>
      </c>
      <c r="F1240" s="1" t="s">
        <v>4572</v>
      </c>
      <c r="G1240" s="1" t="s">
        <v>333</v>
      </c>
      <c r="H1240" s="1">
        <v>6.6155784799999999</v>
      </c>
      <c r="I1240" s="1">
        <v>6.610348052</v>
      </c>
      <c r="J1240" s="1">
        <v>8.7419827370000007</v>
      </c>
      <c r="K1240" s="1">
        <v>8.2456190189999994</v>
      </c>
      <c r="L1240" s="1">
        <v>8.6231017669999996</v>
      </c>
      <c r="M1240" s="1">
        <v>8.5916020829999997</v>
      </c>
      <c r="N1240" s="1">
        <v>7.3194458109999996</v>
      </c>
      <c r="O1240" s="1">
        <v>7.4191532240000004</v>
      </c>
      <c r="P1240" s="1">
        <v>8.5206343750000002</v>
      </c>
      <c r="Q1240" s="1">
        <v>8.7139186849999994</v>
      </c>
      <c r="R1240" s="1">
        <v>8.7983038049999998</v>
      </c>
      <c r="S1240" s="1">
        <v>8.6151972279999995</v>
      </c>
      <c r="T1240" s="1">
        <v>8.6231017669999996</v>
      </c>
      <c r="U1240" s="1">
        <v>8.5916020829999997</v>
      </c>
      <c r="V1240" s="1">
        <v>8.3139916009999997</v>
      </c>
      <c r="W1240" s="1">
        <v>8.2802001300000008</v>
      </c>
      <c r="X1240" s="1">
        <v>8.3604695469999992</v>
      </c>
      <c r="Y1240" s="1">
        <v>8.0491811109999993</v>
      </c>
      <c r="Z1240" s="1">
        <v>8.7983038049999998</v>
      </c>
      <c r="AA1240" s="1">
        <v>8.6151972279999995</v>
      </c>
      <c r="AB1240" s="1">
        <v>8.5777979299999991</v>
      </c>
      <c r="AC1240" s="1">
        <v>8.5600441969999999</v>
      </c>
      <c r="AD1240" s="1">
        <v>8.4971841559999994</v>
      </c>
      <c r="AE1240" s="1">
        <v>8.3252236929999999</v>
      </c>
    </row>
    <row r="1241" spans="1:31" x14ac:dyDescent="0.25">
      <c r="A1241" s="1" t="s">
        <v>334</v>
      </c>
      <c r="B1241" s="1" t="s">
        <v>2608</v>
      </c>
      <c r="C1241" s="1" t="s">
        <v>2700</v>
      </c>
      <c r="D1241" s="1" t="s">
        <v>2701</v>
      </c>
      <c r="E1241" s="1" t="s">
        <v>4573</v>
      </c>
      <c r="F1241" s="1" t="s">
        <v>4574</v>
      </c>
      <c r="G1241" s="1" t="s">
        <v>334</v>
      </c>
      <c r="H1241" s="1">
        <v>6.7114110580000004</v>
      </c>
      <c r="I1241" s="1">
        <v>6.0959298439999996</v>
      </c>
      <c r="J1241" s="1">
        <v>8.3443466720000004</v>
      </c>
      <c r="K1241" s="1">
        <v>8.1246000919999997</v>
      </c>
      <c r="L1241" s="1">
        <v>8.1449610460000006</v>
      </c>
      <c r="M1241" s="1">
        <v>8.3488028140000008</v>
      </c>
      <c r="N1241" s="1">
        <v>6.3881452249999997</v>
      </c>
      <c r="O1241" s="1">
        <v>6.6689049149999997</v>
      </c>
      <c r="P1241" s="1">
        <v>8.2156707309999994</v>
      </c>
      <c r="Q1241" s="1">
        <v>8.1911617589999999</v>
      </c>
      <c r="R1241" s="1">
        <v>8.3981918790000005</v>
      </c>
      <c r="S1241" s="1">
        <v>8.6151972279999995</v>
      </c>
      <c r="T1241" s="1">
        <v>8.1449610460000006</v>
      </c>
      <c r="U1241" s="1">
        <v>8.3488028140000008</v>
      </c>
      <c r="V1241" s="1">
        <v>7.9838717629999998</v>
      </c>
      <c r="W1241" s="1">
        <v>8.0618180880000008</v>
      </c>
      <c r="X1241" s="1">
        <v>7.8578627619999999</v>
      </c>
      <c r="Y1241" s="1">
        <v>7.61533295</v>
      </c>
      <c r="Z1241" s="1">
        <v>8.3981918790000005</v>
      </c>
      <c r="AA1241" s="1">
        <v>8.6151972279999995</v>
      </c>
      <c r="AB1241" s="1">
        <v>8.056950552</v>
      </c>
      <c r="AC1241" s="1">
        <v>8.1172423140000003</v>
      </c>
      <c r="AD1241" s="1">
        <v>7.9685499660000003</v>
      </c>
      <c r="AE1241" s="1">
        <v>7.7857043829999997</v>
      </c>
    </row>
    <row r="1242" spans="1:31" x14ac:dyDescent="0.25">
      <c r="A1242" s="1" t="s">
        <v>335</v>
      </c>
      <c r="B1242" s="1" t="s">
        <v>2608</v>
      </c>
      <c r="C1242" s="1" t="s">
        <v>2700</v>
      </c>
      <c r="D1242" s="1" t="s">
        <v>2701</v>
      </c>
      <c r="E1242" s="1" t="s">
        <v>4575</v>
      </c>
      <c r="F1242" s="1" t="s">
        <v>4576</v>
      </c>
      <c r="G1242" s="1" t="s">
        <v>335</v>
      </c>
      <c r="H1242" s="1">
        <v>9.0968593010000003</v>
      </c>
      <c r="I1242" s="1">
        <v>8.6455408279999997</v>
      </c>
      <c r="J1242" s="1">
        <v>9.7940623979999994</v>
      </c>
      <c r="K1242" s="1">
        <v>9.6007993099999993</v>
      </c>
      <c r="L1242" s="1">
        <v>9.2647006239999996</v>
      </c>
      <c r="M1242" s="1">
        <v>9.5258477179999996</v>
      </c>
      <c r="N1242" s="1">
        <v>7.8521878970000003</v>
      </c>
      <c r="O1242" s="1">
        <v>8.3879742060000009</v>
      </c>
      <c r="P1242" s="1">
        <v>9.4487591369999997</v>
      </c>
      <c r="Q1242" s="1">
        <v>9.3353642010000009</v>
      </c>
      <c r="R1242" s="1">
        <v>10.007212559999999</v>
      </c>
      <c r="S1242" s="1">
        <v>9.7600853129999994</v>
      </c>
      <c r="T1242" s="1">
        <v>9.2647006239999996</v>
      </c>
      <c r="U1242" s="1">
        <v>9.5258477179999996</v>
      </c>
      <c r="V1242" s="1">
        <v>9.6693545630000006</v>
      </c>
      <c r="W1242" s="1">
        <v>9.4504730610000003</v>
      </c>
      <c r="X1242" s="1">
        <v>9.1933190479999993</v>
      </c>
      <c r="Y1242" s="1">
        <v>9.1772779460000002</v>
      </c>
      <c r="Z1242" s="1">
        <v>10.007212559999999</v>
      </c>
      <c r="AA1242" s="1">
        <v>9.7600853129999994</v>
      </c>
      <c r="AB1242" s="1">
        <v>9.611709823</v>
      </c>
      <c r="AC1242" s="1">
        <v>9.5721800330000004</v>
      </c>
      <c r="AD1242" s="1">
        <v>9.2616550899999996</v>
      </c>
      <c r="AE1242" s="1">
        <v>9.2604657859999993</v>
      </c>
    </row>
    <row r="1243" spans="1:31" x14ac:dyDescent="0.25">
      <c r="A1243" s="1" t="s">
        <v>336</v>
      </c>
      <c r="B1243" s="1" t="s">
        <v>2608</v>
      </c>
      <c r="C1243" s="1" t="s">
        <v>2700</v>
      </c>
      <c r="D1243" s="1" t="s">
        <v>2701</v>
      </c>
      <c r="E1243" s="1" t="s">
        <v>4577</v>
      </c>
      <c r="F1243" s="1" t="s">
        <v>4578</v>
      </c>
      <c r="G1243" s="1" t="s">
        <v>336</v>
      </c>
      <c r="H1243" s="1">
        <v>8.9157814430000002</v>
      </c>
      <c r="I1243" s="1">
        <v>8.6973006799999997</v>
      </c>
      <c r="J1243" s="1">
        <v>9.8441899369999994</v>
      </c>
      <c r="K1243" s="1">
        <v>10.002537159999999</v>
      </c>
      <c r="L1243" s="1">
        <v>9.5540213040000008</v>
      </c>
      <c r="M1243" s="1">
        <v>9.8138730869999993</v>
      </c>
      <c r="N1243" s="1">
        <v>7.843992074</v>
      </c>
      <c r="O1243" s="1">
        <v>8.2052620619999992</v>
      </c>
      <c r="P1243" s="1">
        <v>9.6064899920000002</v>
      </c>
      <c r="Q1243" s="1">
        <v>9.5726223180000005</v>
      </c>
      <c r="R1243" s="1">
        <v>10.29563933</v>
      </c>
      <c r="S1243" s="1">
        <v>9.7977656540000009</v>
      </c>
      <c r="T1243" s="1">
        <v>9.5540213040000008</v>
      </c>
      <c r="U1243" s="1">
        <v>9.8138730869999993</v>
      </c>
      <c r="V1243" s="1">
        <v>9.3235296549999997</v>
      </c>
      <c r="W1243" s="1">
        <v>9.5941105499999999</v>
      </c>
      <c r="X1243" s="1">
        <v>9.4164667410000007</v>
      </c>
      <c r="Y1243" s="1">
        <v>9.2498036369999994</v>
      </c>
      <c r="Z1243" s="1">
        <v>10.29563933</v>
      </c>
      <c r="AA1243" s="1">
        <v>9.7977656540000009</v>
      </c>
      <c r="AB1243" s="1">
        <v>9.8292921539999991</v>
      </c>
      <c r="AC1243" s="1">
        <v>9.7732418249999995</v>
      </c>
      <c r="AD1243" s="1">
        <v>9.5446232179999999</v>
      </c>
      <c r="AE1243" s="1">
        <v>9.4250030389999999</v>
      </c>
    </row>
    <row r="1244" spans="1:31" x14ac:dyDescent="0.25">
      <c r="A1244" s="1" t="s">
        <v>337</v>
      </c>
      <c r="B1244" s="1" t="s">
        <v>2608</v>
      </c>
      <c r="C1244" s="1" t="s">
        <v>2700</v>
      </c>
      <c r="D1244" s="1" t="s">
        <v>2701</v>
      </c>
      <c r="E1244" s="1" t="s">
        <v>4579</v>
      </c>
      <c r="F1244" s="1" t="s">
        <v>4580</v>
      </c>
      <c r="G1244" s="1" t="s">
        <v>337</v>
      </c>
      <c r="H1244" s="1">
        <v>8.9036724159999991</v>
      </c>
      <c r="I1244" s="1">
        <v>8.6251279660000009</v>
      </c>
      <c r="J1244" s="1">
        <v>10.214583259999999</v>
      </c>
      <c r="K1244" s="1">
        <v>10.1712205</v>
      </c>
      <c r="L1244" s="1">
        <v>9.6790067109999995</v>
      </c>
      <c r="M1244" s="1">
        <v>10.01173129</v>
      </c>
      <c r="N1244" s="1">
        <v>7.5586262619999998</v>
      </c>
      <c r="O1244" s="1">
        <v>8.1538558180000003</v>
      </c>
      <c r="P1244" s="1">
        <v>9.8514222660000001</v>
      </c>
      <c r="Q1244" s="1">
        <v>9.9080864850000001</v>
      </c>
      <c r="R1244" s="1">
        <v>10.4547863</v>
      </c>
      <c r="S1244" s="1">
        <v>10.22308666</v>
      </c>
      <c r="T1244" s="1">
        <v>9.6790067109999995</v>
      </c>
      <c r="U1244" s="1">
        <v>10.01173129</v>
      </c>
      <c r="V1244" s="1">
        <v>9.9365335039999998</v>
      </c>
      <c r="W1244" s="1">
        <v>9.946876928</v>
      </c>
      <c r="X1244" s="1">
        <v>9.817657616</v>
      </c>
      <c r="Y1244" s="1">
        <v>9.9365492230000001</v>
      </c>
      <c r="Z1244" s="1">
        <v>10.4547863</v>
      </c>
      <c r="AA1244" s="1">
        <v>10.22308666</v>
      </c>
      <c r="AB1244" s="1">
        <v>10.0879379</v>
      </c>
      <c r="AC1244" s="1">
        <v>9.9685349179999996</v>
      </c>
      <c r="AD1244" s="1">
        <v>9.94687549</v>
      </c>
      <c r="AE1244" s="1">
        <v>9.6543094309999997</v>
      </c>
    </row>
    <row r="1245" spans="1:31" x14ac:dyDescent="0.25">
      <c r="A1245" s="1" t="s">
        <v>338</v>
      </c>
      <c r="B1245" s="1" t="s">
        <v>2598</v>
      </c>
      <c r="C1245" s="1" t="s">
        <v>2603</v>
      </c>
      <c r="D1245" s="1" t="s">
        <v>3151</v>
      </c>
      <c r="E1245" s="1" t="s">
        <v>4581</v>
      </c>
      <c r="F1245" s="1" t="s">
        <v>4582</v>
      </c>
      <c r="G1245" s="1" t="s">
        <v>338</v>
      </c>
      <c r="H1245" s="1">
        <v>4.4805534380000003</v>
      </c>
      <c r="I1245" s="1">
        <v>4.7284970130000001</v>
      </c>
      <c r="J1245" s="1">
        <v>4.2898244959999996</v>
      </c>
      <c r="K1245" s="1">
        <v>4.0244910950000001</v>
      </c>
      <c r="L1245" s="1">
        <v>3.6142294740000001</v>
      </c>
      <c r="M1245" s="1">
        <v>4.239619416</v>
      </c>
      <c r="N1245" s="1">
        <v>2.628425199</v>
      </c>
      <c r="O1245" s="1">
        <v>4.2189785100000003</v>
      </c>
      <c r="P1245" s="1">
        <v>4.0684607960000001</v>
      </c>
      <c r="Q1245" s="1">
        <v>4.18747588</v>
      </c>
      <c r="R1245" s="1">
        <v>4.3698765340000003</v>
      </c>
      <c r="S1245" s="1">
        <v>4.8699614389999999</v>
      </c>
      <c r="T1245" s="1">
        <v>3.6142294740000001</v>
      </c>
      <c r="U1245" s="1">
        <v>4.239619416</v>
      </c>
      <c r="V1245" s="1">
        <v>3.7819764450000002</v>
      </c>
      <c r="W1245" s="1">
        <v>4.2295768090000001</v>
      </c>
      <c r="X1245" s="1">
        <v>4.1154863700000002</v>
      </c>
      <c r="Y1245" s="1">
        <v>4.0337379980000003</v>
      </c>
      <c r="Z1245" s="1">
        <v>4.3698765340000003</v>
      </c>
      <c r="AA1245" s="1">
        <v>4.8699614389999999</v>
      </c>
      <c r="AB1245" s="1">
        <v>4.6096720080000004</v>
      </c>
      <c r="AC1245" s="1">
        <v>4.2557864319999998</v>
      </c>
      <c r="AD1245" s="1">
        <v>3.725077481</v>
      </c>
      <c r="AE1245" s="1">
        <v>4.3718229419999997</v>
      </c>
    </row>
    <row r="1246" spans="1:31" x14ac:dyDescent="0.25">
      <c r="A1246" s="1" t="s">
        <v>340</v>
      </c>
      <c r="B1246" s="1" t="s">
        <v>2608</v>
      </c>
      <c r="C1246" s="1" t="s">
        <v>2700</v>
      </c>
      <c r="D1246" s="1" t="s">
        <v>2535</v>
      </c>
      <c r="E1246" s="1" t="s">
        <v>4583</v>
      </c>
      <c r="F1246" s="1" t="s">
        <v>4584</v>
      </c>
      <c r="G1246" s="1" t="s">
        <v>340</v>
      </c>
      <c r="H1246" s="1">
        <v>5.5896774330000003</v>
      </c>
      <c r="I1246" s="1">
        <v>5.8358262759999997</v>
      </c>
      <c r="J1246" s="1">
        <v>6.6703645099999997</v>
      </c>
      <c r="K1246" s="1">
        <v>6.8233399239999999</v>
      </c>
      <c r="L1246" s="1">
        <v>6.1777105819999996</v>
      </c>
      <c r="M1246" s="1">
        <v>5.9370080740000004</v>
      </c>
      <c r="N1246" s="1">
        <v>6.0739568119999996</v>
      </c>
      <c r="O1246" s="1">
        <v>6.0504081489999999</v>
      </c>
      <c r="P1246" s="1">
        <v>6.2775910990000003</v>
      </c>
      <c r="Q1246" s="1">
        <v>6.1972278550000004</v>
      </c>
      <c r="R1246" s="1">
        <v>5.7142579380000003</v>
      </c>
      <c r="S1246" s="1">
        <v>5.9707657090000001</v>
      </c>
      <c r="T1246" s="1">
        <v>6.1777105819999996</v>
      </c>
      <c r="U1246" s="1">
        <v>5.9370080740000004</v>
      </c>
      <c r="V1246" s="1">
        <v>5.9243031000000004</v>
      </c>
      <c r="W1246" s="1">
        <v>6.3179498900000004</v>
      </c>
      <c r="X1246" s="1">
        <v>6.3552247629999998</v>
      </c>
      <c r="Y1246" s="1">
        <v>5.8352313850000002</v>
      </c>
      <c r="Z1246" s="1">
        <v>5.7142579380000003</v>
      </c>
      <c r="AA1246" s="1">
        <v>5.9707657090000001</v>
      </c>
      <c r="AB1246" s="1">
        <v>5.9325296429999996</v>
      </c>
      <c r="AC1246" s="1">
        <v>6.2668248259999997</v>
      </c>
      <c r="AD1246" s="1">
        <v>6.2145653230000004</v>
      </c>
      <c r="AE1246" s="1">
        <v>6.1775384349999998</v>
      </c>
    </row>
    <row r="1247" spans="1:31" x14ac:dyDescent="0.25">
      <c r="A1247" s="1" t="s">
        <v>341</v>
      </c>
      <c r="B1247" s="1" t="s">
        <v>2579</v>
      </c>
      <c r="C1247" s="1" t="s">
        <v>2933</v>
      </c>
      <c r="D1247" s="1" t="s">
        <v>4585</v>
      </c>
      <c r="E1247" s="1" t="s">
        <v>4586</v>
      </c>
      <c r="F1247" s="1" t="s">
        <v>4587</v>
      </c>
      <c r="G1247" s="1" t="s">
        <v>341</v>
      </c>
      <c r="H1247" s="1">
        <v>2.9945681560000001</v>
      </c>
      <c r="I1247" s="1">
        <v>3.6484415459999999</v>
      </c>
      <c r="J1247" s="1">
        <v>4.7243317210000004</v>
      </c>
      <c r="K1247" s="1">
        <v>5.166960875</v>
      </c>
      <c r="L1247" s="1">
        <v>4.8008003170000002</v>
      </c>
      <c r="M1247" s="1">
        <v>4.1823509169999999</v>
      </c>
      <c r="N1247" s="1">
        <v>3.7025667929999999</v>
      </c>
      <c r="O1247" s="1">
        <v>4.1585876539999997</v>
      </c>
      <c r="P1247" s="1">
        <v>3.86011382</v>
      </c>
      <c r="Q1247" s="1">
        <v>4.993318082</v>
      </c>
      <c r="R1247" s="1">
        <v>4.8118229140000004</v>
      </c>
      <c r="S1247" s="1">
        <v>4.980227309</v>
      </c>
      <c r="T1247" s="1">
        <v>4.8008003170000002</v>
      </c>
      <c r="U1247" s="1">
        <v>4.1823509169999999</v>
      </c>
      <c r="V1247" s="1">
        <v>4.3879408260000003</v>
      </c>
      <c r="W1247" s="1">
        <v>4.6166922860000001</v>
      </c>
      <c r="X1247" s="1">
        <v>4.7874549340000003</v>
      </c>
      <c r="Y1247" s="1">
        <v>4.6842287809999998</v>
      </c>
      <c r="Z1247" s="1">
        <v>4.8118229140000004</v>
      </c>
      <c r="AA1247" s="1">
        <v>4.980227309</v>
      </c>
      <c r="AB1247" s="1">
        <v>3.8237667059999998</v>
      </c>
      <c r="AC1247" s="1">
        <v>4.5576875899999996</v>
      </c>
      <c r="AD1247" s="1">
        <v>3.984188064</v>
      </c>
      <c r="AE1247" s="1">
        <v>4.5014252270000004</v>
      </c>
    </row>
    <row r="1248" spans="1:31" x14ac:dyDescent="0.25">
      <c r="A1248" s="1" t="s">
        <v>342</v>
      </c>
      <c r="B1248" s="1" t="s">
        <v>2525</v>
      </c>
      <c r="C1248" s="1" t="s">
        <v>3759</v>
      </c>
      <c r="D1248" s="1" t="s">
        <v>3760</v>
      </c>
      <c r="E1248" s="1" t="s">
        <v>4588</v>
      </c>
      <c r="F1248" s="1" t="s">
        <v>4589</v>
      </c>
      <c r="G1248" s="1" t="s">
        <v>342</v>
      </c>
      <c r="H1248" s="1">
        <v>6.6546803429999999</v>
      </c>
      <c r="I1248" s="1">
        <v>7.0263944179999998</v>
      </c>
      <c r="J1248" s="1">
        <v>9.1730641750000004</v>
      </c>
      <c r="K1248" s="1">
        <v>9.0350128640000005</v>
      </c>
      <c r="L1248" s="1">
        <v>8.8711523460000006</v>
      </c>
      <c r="M1248" s="1">
        <v>8.9418140000000008</v>
      </c>
      <c r="N1248" s="1">
        <v>7.5128260249999999</v>
      </c>
      <c r="O1248" s="1">
        <v>7.6001763599999999</v>
      </c>
      <c r="P1248" s="1">
        <v>8.4468887469999991</v>
      </c>
      <c r="Q1248" s="1">
        <v>8.6234376239999992</v>
      </c>
      <c r="R1248" s="1">
        <v>8.8293748730000008</v>
      </c>
      <c r="S1248" s="1">
        <v>8.8804987139999998</v>
      </c>
      <c r="T1248" s="1">
        <v>8.8711523460000006</v>
      </c>
      <c r="U1248" s="1">
        <v>8.9418140000000008</v>
      </c>
      <c r="V1248" s="1">
        <v>8.799148937</v>
      </c>
      <c r="W1248" s="1">
        <v>8.8938582729999993</v>
      </c>
      <c r="X1248" s="1">
        <v>8.6626762540000009</v>
      </c>
      <c r="Y1248" s="1">
        <v>8.6848618660000003</v>
      </c>
      <c r="Z1248" s="1">
        <v>8.8293748730000008</v>
      </c>
      <c r="AA1248" s="1">
        <v>8.8804987139999998</v>
      </c>
      <c r="AB1248" s="1">
        <v>8.7921341979999994</v>
      </c>
      <c r="AC1248" s="1">
        <v>8.8851927029999995</v>
      </c>
      <c r="AD1248" s="1">
        <v>8.7367723769999994</v>
      </c>
      <c r="AE1248" s="1">
        <v>8.6041019890000001</v>
      </c>
    </row>
    <row r="1249" spans="1:31" x14ac:dyDescent="0.25">
      <c r="A1249" s="1" t="s">
        <v>345</v>
      </c>
      <c r="B1249" s="1" t="s">
        <v>2608</v>
      </c>
      <c r="C1249" s="1" t="s">
        <v>2791</v>
      </c>
      <c r="D1249" s="1" t="s">
        <v>4590</v>
      </c>
      <c r="E1249" s="1" t="s">
        <v>4591</v>
      </c>
      <c r="F1249" s="1" t="s">
        <v>4592</v>
      </c>
      <c r="G1249" s="1" t="s">
        <v>345</v>
      </c>
      <c r="H1249" s="1">
        <v>5.6296178589999997</v>
      </c>
      <c r="I1249" s="1">
        <v>5.5177814730000003</v>
      </c>
      <c r="J1249" s="1">
        <v>6.6382173169999996</v>
      </c>
      <c r="K1249" s="1">
        <v>6.1712535270000002</v>
      </c>
      <c r="L1249" s="1">
        <v>7.0777530180000001</v>
      </c>
      <c r="M1249" s="1">
        <v>7.154388333</v>
      </c>
      <c r="N1249" s="1">
        <v>6.1690703840000003</v>
      </c>
      <c r="O1249" s="1">
        <v>6.0178362080000003</v>
      </c>
      <c r="P1249" s="1">
        <v>6.7660226430000003</v>
      </c>
      <c r="Q1249" s="1">
        <v>6.3980489909999996</v>
      </c>
      <c r="R1249" s="1">
        <v>7.0106433910000003</v>
      </c>
      <c r="S1249" s="1">
        <v>6.717498838</v>
      </c>
      <c r="T1249" s="1">
        <v>7.0777530180000001</v>
      </c>
      <c r="U1249" s="1">
        <v>7.154388333</v>
      </c>
      <c r="V1249" s="1">
        <v>6.6473747999999997</v>
      </c>
      <c r="W1249" s="1">
        <v>6.3925275360000002</v>
      </c>
      <c r="X1249" s="1">
        <v>7.0931162030000001</v>
      </c>
      <c r="Y1249" s="1">
        <v>6.6438618839999997</v>
      </c>
      <c r="Z1249" s="1">
        <v>7.0106433910000003</v>
      </c>
      <c r="AA1249" s="1">
        <v>6.717498838</v>
      </c>
      <c r="AB1249" s="1">
        <v>6.8339958249999997</v>
      </c>
      <c r="AC1249" s="1">
        <v>7.1175143109999999</v>
      </c>
      <c r="AD1249" s="1">
        <v>7.0195523419999999</v>
      </c>
      <c r="AE1249" s="1">
        <v>7.0371821480000003</v>
      </c>
    </row>
    <row r="1250" spans="1:31" x14ac:dyDescent="0.25">
      <c r="A1250" s="1" t="s">
        <v>349</v>
      </c>
      <c r="B1250" s="1" t="s">
        <v>2530</v>
      </c>
      <c r="C1250" s="1" t="s">
        <v>2573</v>
      </c>
      <c r="D1250" s="1" t="s">
        <v>2535</v>
      </c>
      <c r="E1250" s="1" t="s">
        <v>4593</v>
      </c>
      <c r="G1250" s="1" t="s">
        <v>349</v>
      </c>
      <c r="H1250" s="1">
        <v>3.9421380259999999</v>
      </c>
      <c r="I1250" s="1">
        <v>4.5981535630000003</v>
      </c>
      <c r="J1250" s="1">
        <v>4.7851628320000001</v>
      </c>
      <c r="K1250" s="1">
        <v>4.5974987220000001</v>
      </c>
      <c r="L1250" s="1">
        <v>5.4123805689999998</v>
      </c>
      <c r="M1250" s="1">
        <v>5.2356861500000003</v>
      </c>
      <c r="N1250" s="1">
        <v>4.5776172920000002</v>
      </c>
      <c r="O1250" s="1">
        <v>4.7903853170000001</v>
      </c>
      <c r="P1250" s="1">
        <v>4.9577743410000004</v>
      </c>
      <c r="Q1250" s="1">
        <v>4.4575363990000003</v>
      </c>
      <c r="R1250" s="1">
        <v>5.0965654090000001</v>
      </c>
      <c r="S1250" s="1">
        <v>4.6864044680000001</v>
      </c>
      <c r="T1250" s="1">
        <v>5.4123805689999998</v>
      </c>
      <c r="U1250" s="1">
        <v>5.2356861500000003</v>
      </c>
      <c r="V1250" s="1">
        <v>5.3892424569999999</v>
      </c>
      <c r="W1250" s="1">
        <v>4.5296290450000001</v>
      </c>
      <c r="X1250" s="1">
        <v>5.1128189019999999</v>
      </c>
      <c r="Y1250" s="1">
        <v>4.5275934409999996</v>
      </c>
      <c r="Z1250" s="1">
        <v>5.0965654090000001</v>
      </c>
      <c r="AA1250" s="1">
        <v>4.6864044680000001</v>
      </c>
      <c r="AB1250" s="1">
        <v>5.5276660309999999</v>
      </c>
      <c r="AC1250" s="1">
        <v>4.7474570290000004</v>
      </c>
      <c r="AD1250" s="1">
        <v>4.8924744240000004</v>
      </c>
      <c r="AE1250" s="1">
        <v>4.893979055</v>
      </c>
    </row>
    <row r="1251" spans="1:31" x14ac:dyDescent="0.25">
      <c r="A1251" s="1" t="s">
        <v>350</v>
      </c>
      <c r="B1251" s="1" t="s">
        <v>2942</v>
      </c>
      <c r="C1251" s="1" t="s">
        <v>3342</v>
      </c>
      <c r="D1251" s="1" t="s">
        <v>3800</v>
      </c>
      <c r="E1251" s="1" t="s">
        <v>4594</v>
      </c>
      <c r="G1251" s="1" t="s">
        <v>350</v>
      </c>
      <c r="H1251" s="1">
        <v>3.4660955969999998</v>
      </c>
      <c r="I1251" s="1">
        <v>3.5006354609999999</v>
      </c>
      <c r="J1251" s="1">
        <v>4.0065844400000001</v>
      </c>
      <c r="K1251" s="1">
        <v>3.8998480660000001</v>
      </c>
      <c r="L1251" s="1">
        <v>3.7446308510000001</v>
      </c>
      <c r="M1251" s="1">
        <v>4.059937712</v>
      </c>
      <c r="N1251" s="1">
        <v>3.9806352139999999</v>
      </c>
      <c r="O1251" s="1">
        <v>4.2189785100000003</v>
      </c>
      <c r="P1251" s="1">
        <v>3.86011382</v>
      </c>
      <c r="Q1251" s="1">
        <v>3.56206471</v>
      </c>
      <c r="R1251" s="1">
        <v>3.968758995</v>
      </c>
      <c r="S1251" s="1">
        <v>4.3966315629999997</v>
      </c>
      <c r="T1251" s="1">
        <v>3.7446308510000001</v>
      </c>
      <c r="U1251" s="1">
        <v>4.059937712</v>
      </c>
      <c r="V1251" s="1">
        <v>3.9849921849999999</v>
      </c>
      <c r="W1251" s="1">
        <v>4.4367165279999998</v>
      </c>
      <c r="X1251" s="1">
        <v>3.5883256710000002</v>
      </c>
      <c r="Y1251" s="1">
        <v>4.1479647589999997</v>
      </c>
      <c r="Z1251" s="1">
        <v>3.968758995</v>
      </c>
      <c r="AA1251" s="1">
        <v>4.3966315629999997</v>
      </c>
      <c r="AB1251" s="1">
        <v>4.3946012420000002</v>
      </c>
      <c r="AC1251" s="1">
        <v>4.3377211620000002</v>
      </c>
      <c r="AD1251" s="1">
        <v>3.725077481</v>
      </c>
      <c r="AE1251" s="1">
        <v>4.4163948289999997</v>
      </c>
    </row>
    <row r="1252" spans="1:31" x14ac:dyDescent="0.25">
      <c r="A1252" s="1" t="s">
        <v>352</v>
      </c>
      <c r="B1252" s="1" t="s">
        <v>2539</v>
      </c>
      <c r="C1252" s="1" t="s">
        <v>2606</v>
      </c>
      <c r="D1252" s="1" t="s">
        <v>2697</v>
      </c>
      <c r="E1252" s="1" t="s">
        <v>2698</v>
      </c>
      <c r="F1252" s="1" t="s">
        <v>2699</v>
      </c>
      <c r="G1252" s="1" t="s">
        <v>352</v>
      </c>
      <c r="H1252" s="1">
        <v>10.472495009999999</v>
      </c>
      <c r="I1252" s="1">
        <v>10.65189985</v>
      </c>
      <c r="J1252" s="1">
        <v>7.2722043909999998</v>
      </c>
      <c r="K1252" s="1">
        <v>8.2333479220000001</v>
      </c>
      <c r="L1252" s="1">
        <v>4.7721586460000003</v>
      </c>
      <c r="M1252" s="1">
        <v>4.896083601</v>
      </c>
      <c r="N1252" s="1">
        <v>9.9226123089999998</v>
      </c>
      <c r="O1252" s="1">
        <v>10.230328220000001</v>
      </c>
      <c r="P1252" s="1">
        <v>7.0384759670000001</v>
      </c>
      <c r="Q1252" s="1">
        <v>6.7311802209999998</v>
      </c>
      <c r="R1252" s="1">
        <v>6.7431387049999998</v>
      </c>
      <c r="S1252" s="1">
        <v>6.748647074</v>
      </c>
      <c r="T1252" s="1">
        <v>4.7721586460000003</v>
      </c>
      <c r="U1252" s="1">
        <v>4.896083601</v>
      </c>
      <c r="V1252" s="1">
        <v>7.2899342779999996</v>
      </c>
      <c r="W1252" s="1">
        <v>7.5677538909999997</v>
      </c>
      <c r="X1252" s="1">
        <v>6.0881054910000003</v>
      </c>
      <c r="Y1252" s="1">
        <v>7.9466522599999996</v>
      </c>
      <c r="Z1252" s="1">
        <v>6.7431387049999998</v>
      </c>
      <c r="AA1252" s="1">
        <v>6.748647074</v>
      </c>
      <c r="AB1252" s="1">
        <v>7.0294463739999999</v>
      </c>
      <c r="AC1252" s="1">
        <v>6.5768311190000004</v>
      </c>
      <c r="AD1252" s="1">
        <v>7.8732382789999997</v>
      </c>
      <c r="AE1252" s="1">
        <v>7.8425445360000001</v>
      </c>
    </row>
    <row r="1253" spans="1:31" x14ac:dyDescent="0.25">
      <c r="A1253" s="1" t="s">
        <v>356</v>
      </c>
      <c r="B1253" s="1" t="s">
        <v>3099</v>
      </c>
      <c r="C1253" s="1" t="s">
        <v>3100</v>
      </c>
      <c r="D1253" s="1" t="s">
        <v>3101</v>
      </c>
      <c r="E1253" s="1" t="s">
        <v>4595</v>
      </c>
      <c r="F1253" s="1" t="s">
        <v>4596</v>
      </c>
      <c r="G1253" s="1" t="s">
        <v>356</v>
      </c>
      <c r="H1253" s="1">
        <v>6.6927481100000001</v>
      </c>
      <c r="I1253" s="1">
        <v>6.8118118589999996</v>
      </c>
      <c r="J1253" s="1">
        <v>6.0910626519999997</v>
      </c>
      <c r="K1253" s="1">
        <v>6.5137511750000003</v>
      </c>
      <c r="L1253" s="1">
        <v>5.4841512059999999</v>
      </c>
      <c r="M1253" s="1">
        <v>5.3414536530000003</v>
      </c>
      <c r="N1253" s="1">
        <v>5.7612691810000003</v>
      </c>
      <c r="O1253" s="1">
        <v>5.9503866380000003</v>
      </c>
      <c r="P1253" s="1">
        <v>5.2736118430000003</v>
      </c>
      <c r="Q1253" s="1">
        <v>4.993318082</v>
      </c>
      <c r="R1253" s="1">
        <v>5.0440296189999998</v>
      </c>
      <c r="S1253" s="1">
        <v>5.6117239269999999</v>
      </c>
      <c r="T1253" s="1">
        <v>5.4841512059999999</v>
      </c>
      <c r="U1253" s="1">
        <v>5.3414536530000003</v>
      </c>
      <c r="V1253" s="1">
        <v>5.2072842770000003</v>
      </c>
      <c r="W1253" s="1">
        <v>5.0488589419999998</v>
      </c>
      <c r="X1253" s="1">
        <v>4.9447045230000004</v>
      </c>
      <c r="Y1253" s="1">
        <v>5.0128502209999999</v>
      </c>
      <c r="Z1253" s="1">
        <v>5.0440296189999998</v>
      </c>
      <c r="AA1253" s="1">
        <v>5.6117239269999999</v>
      </c>
      <c r="AB1253" s="1">
        <v>4.9601840040000003</v>
      </c>
      <c r="AC1253" s="1">
        <v>4.9145215069999999</v>
      </c>
      <c r="AD1253" s="1">
        <v>5.1668950269999998</v>
      </c>
      <c r="AE1253" s="1">
        <v>5.0965372069999999</v>
      </c>
    </row>
    <row r="1254" spans="1:31" x14ac:dyDescent="0.25">
      <c r="A1254" s="1" t="s">
        <v>357</v>
      </c>
      <c r="B1254" s="1" t="s">
        <v>2530</v>
      </c>
      <c r="C1254" s="1" t="s">
        <v>2531</v>
      </c>
      <c r="D1254" s="1" t="s">
        <v>2535</v>
      </c>
      <c r="E1254" s="1" t="s">
        <v>2536</v>
      </c>
      <c r="G1254" s="1" t="s">
        <v>357</v>
      </c>
      <c r="H1254" s="1">
        <v>4.8663747150000001</v>
      </c>
      <c r="I1254" s="1">
        <v>4.8477128089999999</v>
      </c>
      <c r="J1254" s="1">
        <v>4.5240842389999996</v>
      </c>
      <c r="K1254" s="1">
        <v>4.8139921829999999</v>
      </c>
      <c r="L1254" s="1">
        <v>4.1188213390000001</v>
      </c>
      <c r="M1254" s="1">
        <v>4.1823509169999999</v>
      </c>
      <c r="N1254" s="1">
        <v>4.2617896110000002</v>
      </c>
      <c r="O1254" s="1">
        <v>4.3322392709999997</v>
      </c>
      <c r="P1254" s="1">
        <v>4.0684607960000001</v>
      </c>
      <c r="Q1254" s="1">
        <v>4.4575363990000003</v>
      </c>
      <c r="R1254" s="1">
        <v>3.7109484589999999</v>
      </c>
      <c r="S1254" s="1">
        <v>4.3966315629999997</v>
      </c>
      <c r="T1254" s="1">
        <v>4.1188213390000001</v>
      </c>
      <c r="U1254" s="1">
        <v>4.1823509169999999</v>
      </c>
      <c r="V1254" s="1">
        <v>3.9849921849999999</v>
      </c>
      <c r="W1254" s="1">
        <v>4.2295768090000001</v>
      </c>
      <c r="X1254" s="1">
        <v>3.0884111989999998</v>
      </c>
      <c r="Y1254" s="1">
        <v>4.0337379980000003</v>
      </c>
      <c r="Z1254" s="1">
        <v>3.7109484589999999</v>
      </c>
      <c r="AA1254" s="1">
        <v>4.3966315629999997</v>
      </c>
      <c r="AB1254" s="1">
        <v>3.404153038</v>
      </c>
      <c r="AC1254" s="1">
        <v>3.6175630609999998</v>
      </c>
      <c r="AD1254" s="1">
        <v>4.0967699450000001</v>
      </c>
      <c r="AE1254" s="1">
        <v>3.5954838599999999</v>
      </c>
    </row>
    <row r="1255" spans="1:31" x14ac:dyDescent="0.25">
      <c r="A1255" s="1" t="s">
        <v>358</v>
      </c>
      <c r="B1255" s="1" t="s">
        <v>2530</v>
      </c>
      <c r="C1255" s="1" t="s">
        <v>2531</v>
      </c>
      <c r="D1255" s="1" t="s">
        <v>2535</v>
      </c>
      <c r="E1255" s="1" t="s">
        <v>4597</v>
      </c>
      <c r="G1255" s="1" t="s">
        <v>358</v>
      </c>
      <c r="H1255" s="1">
        <v>6.3073323200000004</v>
      </c>
      <c r="I1255" s="1">
        <v>5.9974724879999997</v>
      </c>
      <c r="J1255" s="1">
        <v>4.8434621079999998</v>
      </c>
      <c r="K1255" s="1">
        <v>5.5322182199999999</v>
      </c>
      <c r="L1255" s="1">
        <v>4.4478088219999998</v>
      </c>
      <c r="M1255" s="1">
        <v>4.6276332350000002</v>
      </c>
      <c r="N1255" s="1">
        <v>5.1081614489999998</v>
      </c>
      <c r="O1255" s="1">
        <v>5.4612405070000003</v>
      </c>
      <c r="P1255" s="1">
        <v>4.9062897479999998</v>
      </c>
      <c r="Q1255" s="1">
        <v>4.5369064569999997</v>
      </c>
      <c r="R1255" s="1">
        <v>4.6795267799999998</v>
      </c>
      <c r="S1255" s="1">
        <v>4.2250836859999996</v>
      </c>
      <c r="T1255" s="1">
        <v>4.4478088219999998</v>
      </c>
      <c r="U1255" s="1">
        <v>4.6276332350000002</v>
      </c>
      <c r="V1255" s="1">
        <v>4.6987742170000004</v>
      </c>
      <c r="W1255" s="1">
        <v>4.7760085830000003</v>
      </c>
      <c r="X1255" s="1">
        <v>4.2691515329999996</v>
      </c>
      <c r="Y1255" s="1">
        <v>4.2532353330000001</v>
      </c>
      <c r="Z1255" s="1">
        <v>4.6795267799999998</v>
      </c>
      <c r="AA1255" s="1">
        <v>4.2250836859999996</v>
      </c>
      <c r="AB1255" s="1">
        <v>3.990981031</v>
      </c>
      <c r="AC1255" s="1">
        <v>4.6870272159999997</v>
      </c>
      <c r="AD1255" s="1">
        <v>4.2005997429999997</v>
      </c>
      <c r="AE1255" s="1">
        <v>4.3718229419999997</v>
      </c>
    </row>
    <row r="1256" spans="1:31" x14ac:dyDescent="0.25">
      <c r="A1256" s="1" t="s">
        <v>359</v>
      </c>
      <c r="B1256" s="1" t="s">
        <v>2530</v>
      </c>
      <c r="C1256" s="1" t="s">
        <v>2573</v>
      </c>
      <c r="D1256" s="1" t="s">
        <v>4598</v>
      </c>
      <c r="E1256" s="1" t="s">
        <v>4599</v>
      </c>
      <c r="G1256" s="1" t="s">
        <v>359</v>
      </c>
      <c r="H1256" s="1">
        <v>7.2082969639999996</v>
      </c>
      <c r="I1256" s="1">
        <v>7.4910143309999997</v>
      </c>
      <c r="J1256" s="1">
        <v>7.2616988469999999</v>
      </c>
      <c r="K1256" s="1">
        <v>7.3522597120000004</v>
      </c>
      <c r="L1256" s="1">
        <v>7.7227480899999996</v>
      </c>
      <c r="M1256" s="1">
        <v>7.8046091520000003</v>
      </c>
      <c r="N1256" s="1">
        <v>7.295598075</v>
      </c>
      <c r="O1256" s="1">
        <v>6.6263910580000003</v>
      </c>
      <c r="P1256" s="1">
        <v>7.1077111620000002</v>
      </c>
      <c r="Q1256" s="1">
        <v>7.2522753939999998</v>
      </c>
      <c r="R1256" s="1">
        <v>7.8577297809999997</v>
      </c>
      <c r="S1256" s="1">
        <v>7.6225507190000004</v>
      </c>
      <c r="T1256" s="1">
        <v>7.7227480899999996</v>
      </c>
      <c r="U1256" s="1">
        <v>7.8046091520000003</v>
      </c>
      <c r="V1256" s="1">
        <v>7.1959894090000001</v>
      </c>
      <c r="W1256" s="1">
        <v>7.3607277580000003</v>
      </c>
      <c r="X1256" s="1">
        <v>8.4945784339999992</v>
      </c>
      <c r="Y1256" s="1">
        <v>7.794710083</v>
      </c>
      <c r="Z1256" s="1">
        <v>7.8577297809999997</v>
      </c>
      <c r="AA1256" s="1">
        <v>7.6225507190000004</v>
      </c>
      <c r="AB1256" s="1">
        <v>7.8240379579999999</v>
      </c>
      <c r="AC1256" s="1">
        <v>7.9374813880000001</v>
      </c>
      <c r="AD1256" s="1">
        <v>8.3847240450000005</v>
      </c>
      <c r="AE1256" s="1">
        <v>8.2340940880000009</v>
      </c>
    </row>
    <row r="1257" spans="1:31" x14ac:dyDescent="0.25">
      <c r="A1257" s="1" t="s">
        <v>362</v>
      </c>
      <c r="B1257" s="1" t="s">
        <v>2530</v>
      </c>
      <c r="C1257" s="1" t="s">
        <v>2531</v>
      </c>
      <c r="D1257" s="1" t="s">
        <v>2535</v>
      </c>
      <c r="E1257" s="1" t="s">
        <v>2536</v>
      </c>
      <c r="G1257" s="1" t="s">
        <v>362</v>
      </c>
      <c r="H1257" s="1">
        <v>6.6155784799999999</v>
      </c>
      <c r="I1257" s="1">
        <v>6.854556928</v>
      </c>
      <c r="J1257" s="1">
        <v>6.6218704260000001</v>
      </c>
      <c r="K1257" s="1">
        <v>6.5339269729999998</v>
      </c>
      <c r="L1257" s="1">
        <v>6.3786386329999996</v>
      </c>
      <c r="M1257" s="1">
        <v>6.140298574</v>
      </c>
      <c r="N1257" s="1">
        <v>7.2088795220000002</v>
      </c>
      <c r="O1257" s="1">
        <v>7.0202976680000004</v>
      </c>
      <c r="P1257" s="1">
        <v>6.1298655379999998</v>
      </c>
      <c r="Q1257" s="1">
        <v>6.1730784669999998</v>
      </c>
      <c r="R1257" s="1">
        <v>6.0678975499999996</v>
      </c>
      <c r="S1257" s="1">
        <v>5.9969908790000002</v>
      </c>
      <c r="T1257" s="1">
        <v>6.3786386329999996</v>
      </c>
      <c r="U1257" s="1">
        <v>6.140298574</v>
      </c>
      <c r="V1257" s="1">
        <v>5.7758979430000004</v>
      </c>
      <c r="W1257" s="1">
        <v>5.872872095</v>
      </c>
      <c r="X1257" s="1">
        <v>6.0475048180000002</v>
      </c>
      <c r="Y1257" s="1">
        <v>6.1044436219999998</v>
      </c>
      <c r="Z1257" s="1">
        <v>6.0678975499999996</v>
      </c>
      <c r="AA1257" s="1">
        <v>5.9969908790000002</v>
      </c>
      <c r="AB1257" s="1">
        <v>5.9711898400000001</v>
      </c>
      <c r="AC1257" s="1">
        <v>6.1830263060000004</v>
      </c>
      <c r="AD1257" s="1">
        <v>5.9231977699999998</v>
      </c>
      <c r="AE1257" s="1">
        <v>6.0589349549999998</v>
      </c>
    </row>
    <row r="1258" spans="1:31" x14ac:dyDescent="0.25">
      <c r="A1258" s="1" t="s">
        <v>363</v>
      </c>
      <c r="B1258" s="1" t="s">
        <v>2530</v>
      </c>
      <c r="C1258" s="1" t="s">
        <v>2531</v>
      </c>
      <c r="D1258" s="1" t="s">
        <v>2535</v>
      </c>
      <c r="E1258" s="1" t="s">
        <v>2536</v>
      </c>
      <c r="G1258" s="1" t="s">
        <v>363</v>
      </c>
      <c r="H1258" s="1">
        <v>2.9945681560000001</v>
      </c>
      <c r="I1258" s="1">
        <v>3.7806045529999999</v>
      </c>
      <c r="J1258" s="1">
        <v>2.5640169199999998</v>
      </c>
      <c r="K1258" s="1">
        <v>3.22334677</v>
      </c>
      <c r="L1258" s="1">
        <v>3.5435353630000002</v>
      </c>
      <c r="M1258" s="1">
        <v>3.027864058</v>
      </c>
      <c r="N1258" s="1">
        <v>3.444746345</v>
      </c>
      <c r="O1258" s="1">
        <v>3.3203005989999999</v>
      </c>
      <c r="P1258" s="1">
        <v>2.8687501260000001</v>
      </c>
      <c r="Q1258" s="1">
        <v>2.935765398</v>
      </c>
      <c r="R1258" s="1">
        <v>2.595728008</v>
      </c>
      <c r="S1258" s="1">
        <v>3.5159502420000002</v>
      </c>
      <c r="T1258" s="1">
        <v>3.5435353630000002</v>
      </c>
      <c r="U1258" s="1">
        <v>3.027864058</v>
      </c>
      <c r="V1258" s="1">
        <v>3.2389700330000002</v>
      </c>
      <c r="W1258" s="1">
        <v>3.8431653940000001</v>
      </c>
      <c r="X1258" s="1">
        <v>3.7416722899999999</v>
      </c>
      <c r="Y1258" s="1">
        <v>3.6154848500000001</v>
      </c>
      <c r="Z1258" s="1">
        <v>2.595728008</v>
      </c>
      <c r="AA1258" s="1">
        <v>3.5159502420000002</v>
      </c>
      <c r="AB1258" s="1">
        <v>3.8237667059999998</v>
      </c>
      <c r="AC1258" s="1">
        <v>2.87258916</v>
      </c>
      <c r="AD1258" s="1">
        <v>2.9432342459999998</v>
      </c>
      <c r="AE1258" s="1">
        <v>3.321206681</v>
      </c>
    </row>
    <row r="1259" spans="1:31" x14ac:dyDescent="0.25">
      <c r="A1259" s="1" t="s">
        <v>364</v>
      </c>
      <c r="B1259" s="1" t="s">
        <v>2667</v>
      </c>
      <c r="C1259" s="1" t="s">
        <v>2802</v>
      </c>
      <c r="D1259" s="1" t="s">
        <v>4600</v>
      </c>
      <c r="E1259" s="1" t="s">
        <v>4601</v>
      </c>
      <c r="F1259" s="1" t="s">
        <v>4602</v>
      </c>
      <c r="G1259" s="1" t="s">
        <v>364</v>
      </c>
      <c r="H1259" s="1">
        <v>6.7114110580000004</v>
      </c>
      <c r="I1259" s="1">
        <v>6.8823647440000002</v>
      </c>
      <c r="J1259" s="1">
        <v>8.9911539200000004</v>
      </c>
      <c r="K1259" s="1">
        <v>8.3287122310000008</v>
      </c>
      <c r="L1259" s="1">
        <v>9.1111909260000008</v>
      </c>
      <c r="M1259" s="1">
        <v>9.1921571800000006</v>
      </c>
      <c r="N1259" s="1">
        <v>7.7151134629999998</v>
      </c>
      <c r="O1259" s="1">
        <v>7.8467401350000001</v>
      </c>
      <c r="P1259" s="1">
        <v>8.9460435979999993</v>
      </c>
      <c r="Q1259" s="1">
        <v>8.9052826740000004</v>
      </c>
      <c r="R1259" s="1">
        <v>9.3575494290000005</v>
      </c>
      <c r="S1259" s="1">
        <v>9.2824967380000007</v>
      </c>
      <c r="T1259" s="1">
        <v>9.1111909260000008</v>
      </c>
      <c r="U1259" s="1">
        <v>9.1921571800000006</v>
      </c>
      <c r="V1259" s="1">
        <v>8.8307382580000002</v>
      </c>
      <c r="W1259" s="1">
        <v>8.6676907189999994</v>
      </c>
      <c r="X1259" s="1">
        <v>8.9981463420000001</v>
      </c>
      <c r="Y1259" s="1">
        <v>8.5564751520000009</v>
      </c>
      <c r="Z1259" s="1">
        <v>9.3575494290000005</v>
      </c>
      <c r="AA1259" s="1">
        <v>9.2824967380000007</v>
      </c>
      <c r="AB1259" s="1">
        <v>9.0614266299999997</v>
      </c>
      <c r="AC1259" s="1">
        <v>9.0711572710000006</v>
      </c>
      <c r="AD1259" s="1">
        <v>8.8295222370000008</v>
      </c>
      <c r="AE1259" s="1">
        <v>8.8216358229999994</v>
      </c>
    </row>
    <row r="1260" spans="1:31" x14ac:dyDescent="0.25">
      <c r="A1260" s="1" t="s">
        <v>365</v>
      </c>
      <c r="B1260" s="1" t="s">
        <v>2608</v>
      </c>
      <c r="C1260" s="1" t="s">
        <v>2700</v>
      </c>
      <c r="D1260" s="1" t="s">
        <v>2975</v>
      </c>
      <c r="E1260" s="1" t="s">
        <v>4603</v>
      </c>
      <c r="F1260" s="1" t="s">
        <v>4604</v>
      </c>
      <c r="G1260" s="1" t="s">
        <v>365</v>
      </c>
      <c r="H1260" s="1">
        <v>4.6479005740000003</v>
      </c>
      <c r="I1260" s="1">
        <v>4.9575946069999999</v>
      </c>
      <c r="J1260" s="1">
        <v>7.152203697</v>
      </c>
      <c r="K1260" s="1">
        <v>6.9637453809999998</v>
      </c>
      <c r="L1260" s="1">
        <v>6.9064163350000003</v>
      </c>
      <c r="M1260" s="1">
        <v>6.9030513070000001</v>
      </c>
      <c r="N1260" s="1">
        <v>6.1951276320000002</v>
      </c>
      <c r="O1260" s="1">
        <v>6.3540746549999998</v>
      </c>
      <c r="P1260" s="1">
        <v>6.5001108719999996</v>
      </c>
      <c r="Q1260" s="1">
        <v>6.3341756560000002</v>
      </c>
      <c r="R1260" s="1">
        <v>6.9268762089999996</v>
      </c>
      <c r="S1260" s="1">
        <v>6.9629796969999997</v>
      </c>
      <c r="T1260" s="1">
        <v>6.9064163350000003</v>
      </c>
      <c r="U1260" s="1">
        <v>6.9030513070000001</v>
      </c>
      <c r="V1260" s="1">
        <v>6.7031108210000001</v>
      </c>
      <c r="W1260" s="1">
        <v>6.8281395839999997</v>
      </c>
      <c r="X1260" s="1">
        <v>6.4412422830000002</v>
      </c>
      <c r="Y1260" s="1">
        <v>6.3310590680000001</v>
      </c>
      <c r="Z1260" s="1">
        <v>6.9268762089999996</v>
      </c>
      <c r="AA1260" s="1">
        <v>6.9629796969999997</v>
      </c>
      <c r="AB1260" s="1">
        <v>6.7253316390000002</v>
      </c>
      <c r="AC1260" s="1">
        <v>6.7899177740000001</v>
      </c>
      <c r="AD1260" s="1">
        <v>6.3296964060000001</v>
      </c>
      <c r="AE1260" s="1">
        <v>6.5042429439999996</v>
      </c>
    </row>
    <row r="1261" spans="1:31" x14ac:dyDescent="0.25">
      <c r="A1261" s="1" t="s">
        <v>372</v>
      </c>
      <c r="B1261" s="1" t="s">
        <v>2568</v>
      </c>
      <c r="C1261" s="1" t="s">
        <v>2589</v>
      </c>
      <c r="D1261" s="1" t="s">
        <v>2786</v>
      </c>
      <c r="E1261" s="1" t="s">
        <v>4605</v>
      </c>
      <c r="F1261" s="1" t="s">
        <v>4606</v>
      </c>
      <c r="G1261" s="1" t="s">
        <v>372</v>
      </c>
      <c r="H1261" s="1">
        <v>4.6479005740000003</v>
      </c>
      <c r="I1261" s="1">
        <v>4.5981535630000003</v>
      </c>
      <c r="J1261" s="1">
        <v>5.1034438250000003</v>
      </c>
      <c r="K1261" s="1">
        <v>4.7454889089999996</v>
      </c>
      <c r="L1261" s="1">
        <v>5.9691901850000004</v>
      </c>
      <c r="M1261" s="1">
        <v>5.7197461279999997</v>
      </c>
      <c r="N1261" s="1">
        <v>4.9318354150000001</v>
      </c>
      <c r="O1261" s="1">
        <v>4.9384407589999997</v>
      </c>
      <c r="P1261" s="1">
        <v>5.565195407</v>
      </c>
      <c r="Q1261" s="1">
        <v>4.8773483779999998</v>
      </c>
      <c r="R1261" s="1">
        <v>5.4182058560000002</v>
      </c>
      <c r="S1261" s="1">
        <v>5.6117239269999999</v>
      </c>
      <c r="T1261" s="1">
        <v>5.9691901850000004</v>
      </c>
      <c r="U1261" s="1">
        <v>5.7197461279999997</v>
      </c>
      <c r="V1261" s="1">
        <v>6.0153393629999998</v>
      </c>
      <c r="W1261" s="1">
        <v>5.8376547490000004</v>
      </c>
      <c r="X1261" s="1">
        <v>6.21570512</v>
      </c>
      <c r="Y1261" s="1">
        <v>5.4613266610000002</v>
      </c>
      <c r="Z1261" s="1">
        <v>5.4182058560000002</v>
      </c>
      <c r="AA1261" s="1">
        <v>5.6117239269999999</v>
      </c>
      <c r="AB1261" s="1">
        <v>5.2406211000000003</v>
      </c>
      <c r="AC1261" s="1">
        <v>5.8163513240000002</v>
      </c>
      <c r="AD1261" s="1">
        <v>5.2159266190000002</v>
      </c>
      <c r="AE1261" s="1">
        <v>5.3433438500000001</v>
      </c>
    </row>
    <row r="1262" spans="1:31" x14ac:dyDescent="0.25">
      <c r="A1262" s="1" t="s">
        <v>373</v>
      </c>
      <c r="B1262" s="1" t="s">
        <v>2557</v>
      </c>
      <c r="C1262" s="1" t="s">
        <v>2616</v>
      </c>
      <c r="D1262" s="1" t="s">
        <v>2617</v>
      </c>
      <c r="E1262" s="1" t="s">
        <v>4607</v>
      </c>
      <c r="F1262" s="1" t="s">
        <v>4608</v>
      </c>
      <c r="G1262" s="1" t="s">
        <v>373</v>
      </c>
      <c r="H1262" s="1">
        <v>9.3014490779999992</v>
      </c>
      <c r="I1262" s="1">
        <v>8.9347602219999995</v>
      </c>
      <c r="J1262" s="1">
        <v>8.8719415700000006</v>
      </c>
      <c r="K1262" s="1">
        <v>8.9992265679999992</v>
      </c>
      <c r="L1262" s="1">
        <v>8.6830803519999993</v>
      </c>
      <c r="M1262" s="1">
        <v>8.7947461869999994</v>
      </c>
      <c r="N1262" s="1">
        <v>8.7036483600000007</v>
      </c>
      <c r="O1262" s="1">
        <v>8.9687200449999995</v>
      </c>
      <c r="P1262" s="1">
        <v>8.9365658939999992</v>
      </c>
      <c r="Q1262" s="1">
        <v>8.8378993280000007</v>
      </c>
      <c r="R1262" s="1">
        <v>9.0792375159999992</v>
      </c>
      <c r="S1262" s="1">
        <v>8.9821913930000008</v>
      </c>
      <c r="T1262" s="1">
        <v>8.6830803519999993</v>
      </c>
      <c r="U1262" s="1">
        <v>8.7947461869999994</v>
      </c>
      <c r="V1262" s="1">
        <v>9.0234906160000001</v>
      </c>
      <c r="W1262" s="1">
        <v>9.1832012259999996</v>
      </c>
      <c r="X1262" s="1">
        <v>9.4787181470000004</v>
      </c>
      <c r="Y1262" s="1">
        <v>9.1837312919999992</v>
      </c>
      <c r="Z1262" s="1">
        <v>9.0792375159999992</v>
      </c>
      <c r="AA1262" s="1">
        <v>8.9821913930000008</v>
      </c>
      <c r="AB1262" s="1">
        <v>9.4402662910000004</v>
      </c>
      <c r="AC1262" s="1">
        <v>9.2793039529999994</v>
      </c>
      <c r="AD1262" s="1">
        <v>9.5133582669999992</v>
      </c>
      <c r="AE1262" s="1">
        <v>9.2257907239999994</v>
      </c>
    </row>
    <row r="1263" spans="1:31" x14ac:dyDescent="0.25">
      <c r="A1263" s="1" t="s">
        <v>374</v>
      </c>
      <c r="B1263" s="1" t="s">
        <v>2547</v>
      </c>
      <c r="C1263" s="1" t="s">
        <v>2675</v>
      </c>
      <c r="D1263" s="1" t="s">
        <v>2574</v>
      </c>
      <c r="E1263" s="1" t="s">
        <v>4609</v>
      </c>
      <c r="F1263" s="1" t="s">
        <v>4610</v>
      </c>
      <c r="G1263" s="1" t="s">
        <v>374</v>
      </c>
      <c r="H1263" s="1">
        <v>5.5485883999999999</v>
      </c>
      <c r="I1263" s="1">
        <v>5.2862358589999996</v>
      </c>
      <c r="J1263" s="1">
        <v>5.3229940280000001</v>
      </c>
      <c r="K1263" s="1">
        <v>4.8793048219999999</v>
      </c>
      <c r="L1263" s="1">
        <v>5.4123805689999998</v>
      </c>
      <c r="M1263" s="1">
        <v>5.1796951440000001</v>
      </c>
      <c r="N1263" s="1">
        <v>4.9627953409999996</v>
      </c>
      <c r="O1263" s="1">
        <v>5.3864027800000001</v>
      </c>
      <c r="P1263" s="1">
        <v>5.1018341500000002</v>
      </c>
      <c r="Q1263" s="1">
        <v>4.993318082</v>
      </c>
      <c r="R1263" s="1">
        <v>5.6457947050000001</v>
      </c>
      <c r="S1263" s="1">
        <v>5.2232498669999998</v>
      </c>
      <c r="T1263" s="1">
        <v>5.4123805689999998</v>
      </c>
      <c r="U1263" s="1">
        <v>5.1796951440000001</v>
      </c>
      <c r="V1263" s="1">
        <v>5.519727617</v>
      </c>
      <c r="W1263" s="1">
        <v>5.329276363</v>
      </c>
      <c r="X1263" s="1">
        <v>5.6186994139999999</v>
      </c>
      <c r="Y1263" s="1">
        <v>5.6604650660000004</v>
      </c>
      <c r="Z1263" s="1">
        <v>5.6457947050000001</v>
      </c>
      <c r="AA1263" s="1">
        <v>5.2232498669999998</v>
      </c>
      <c r="AB1263" s="1">
        <v>5.7218462399999996</v>
      </c>
      <c r="AC1263" s="1">
        <v>4.6238605430000002</v>
      </c>
      <c r="AD1263" s="1">
        <v>5.4385263000000004</v>
      </c>
      <c r="AE1263" s="1">
        <v>5.5339175159999998</v>
      </c>
    </row>
    <row r="1264" spans="1:31" x14ac:dyDescent="0.25">
      <c r="A1264" s="1" t="s">
        <v>378</v>
      </c>
      <c r="B1264" s="1" t="s">
        <v>2579</v>
      </c>
      <c r="C1264" s="1" t="s">
        <v>2812</v>
      </c>
      <c r="D1264" s="1" t="s">
        <v>3425</v>
      </c>
      <c r="E1264" s="1" t="s">
        <v>4611</v>
      </c>
      <c r="F1264" s="1" t="s">
        <v>4612</v>
      </c>
      <c r="G1264" s="1" t="s">
        <v>378</v>
      </c>
      <c r="H1264" s="1">
        <v>9.9788191519999998</v>
      </c>
      <c r="I1264" s="1">
        <v>10.06639204</v>
      </c>
      <c r="J1264" s="1">
        <v>9.8300446289999996</v>
      </c>
      <c r="K1264" s="1">
        <v>9.8481578919999997</v>
      </c>
      <c r="L1264" s="1">
        <v>9.2810692810000006</v>
      </c>
      <c r="M1264" s="1">
        <v>9.2489204980000004</v>
      </c>
      <c r="N1264" s="1">
        <v>9.6457314749999998</v>
      </c>
      <c r="O1264" s="1">
        <v>9.6329139789999996</v>
      </c>
      <c r="P1264" s="1">
        <v>9.4598283399999996</v>
      </c>
      <c r="Q1264" s="1">
        <v>9.5726223180000005</v>
      </c>
      <c r="R1264" s="1">
        <v>9.5115532589999994</v>
      </c>
      <c r="S1264" s="1">
        <v>9.4480469930000002</v>
      </c>
      <c r="T1264" s="1">
        <v>9.2810692810000006</v>
      </c>
      <c r="U1264" s="1">
        <v>9.2489204980000004</v>
      </c>
      <c r="V1264" s="1">
        <v>9.8217514979999994</v>
      </c>
      <c r="W1264" s="1">
        <v>9.7343073380000007</v>
      </c>
      <c r="X1264" s="1">
        <v>9.4659687669999997</v>
      </c>
      <c r="Y1264" s="1">
        <v>9.6050972380000008</v>
      </c>
      <c r="Z1264" s="1">
        <v>9.5115532589999994</v>
      </c>
      <c r="AA1264" s="1">
        <v>9.4480469930000002</v>
      </c>
      <c r="AB1264" s="1">
        <v>9.4539406439999993</v>
      </c>
      <c r="AC1264" s="1">
        <v>9.5220038670000005</v>
      </c>
      <c r="AD1264" s="1">
        <v>9.61655266</v>
      </c>
      <c r="AE1264" s="1">
        <v>9.7218614750000008</v>
      </c>
    </row>
    <row r="1265" spans="1:31" x14ac:dyDescent="0.25">
      <c r="A1265" s="1" t="s">
        <v>381</v>
      </c>
      <c r="B1265" s="1" t="s">
        <v>2530</v>
      </c>
      <c r="C1265" s="1" t="s">
        <v>2531</v>
      </c>
      <c r="D1265" s="1" t="s">
        <v>2535</v>
      </c>
      <c r="E1265" s="1" t="s">
        <v>2536</v>
      </c>
      <c r="G1265" s="1" t="s">
        <v>381</v>
      </c>
      <c r="H1265" s="1">
        <v>4.5667504939999999</v>
      </c>
      <c r="I1265" s="1">
        <v>5.1998500889999999</v>
      </c>
      <c r="J1265" s="1">
        <v>4.2018709520000002</v>
      </c>
      <c r="K1265" s="1">
        <v>3.4309024589999999</v>
      </c>
      <c r="L1265" s="1">
        <v>4.2516940449999998</v>
      </c>
      <c r="M1265" s="1">
        <v>5.1214027209999999</v>
      </c>
      <c r="N1265" s="1">
        <v>4.765904581</v>
      </c>
      <c r="O1265" s="1">
        <v>4.5340058970000001</v>
      </c>
      <c r="P1265" s="1">
        <v>4.2485661720000003</v>
      </c>
      <c r="Q1265" s="1">
        <v>4.0840108080000004</v>
      </c>
      <c r="R1265" s="1">
        <v>4.7472384160000001</v>
      </c>
      <c r="S1265" s="1">
        <v>5.3098842800000003</v>
      </c>
      <c r="T1265" s="1">
        <v>4.2516940449999998</v>
      </c>
      <c r="U1265" s="1">
        <v>5.1214027209999999</v>
      </c>
      <c r="V1265" s="1">
        <v>4.5826682710000002</v>
      </c>
      <c r="W1265" s="1">
        <v>3.8431653940000001</v>
      </c>
      <c r="X1265" s="1">
        <v>4.6475707550000003</v>
      </c>
      <c r="Y1265" s="1">
        <v>4.4420910779999998</v>
      </c>
      <c r="Z1265" s="1">
        <v>4.7472384160000001</v>
      </c>
      <c r="AA1265" s="1">
        <v>5.3098842800000003</v>
      </c>
      <c r="AB1265" s="1">
        <v>4.9601840040000003</v>
      </c>
      <c r="AC1265" s="1">
        <v>4.4881955270000002</v>
      </c>
      <c r="AD1265" s="1">
        <v>4.2005997429999997</v>
      </c>
      <c r="AE1265" s="1">
        <v>4.542053224</v>
      </c>
    </row>
    <row r="1266" spans="1:31" x14ac:dyDescent="0.25">
      <c r="A1266" s="1" t="s">
        <v>382</v>
      </c>
      <c r="B1266" s="1" t="s">
        <v>2530</v>
      </c>
      <c r="C1266" s="1" t="s">
        <v>2531</v>
      </c>
      <c r="D1266" s="1" t="s">
        <v>2535</v>
      </c>
      <c r="E1266" s="1" t="s">
        <v>2536</v>
      </c>
      <c r="G1266" s="1" t="s">
        <v>382</v>
      </c>
      <c r="H1266" s="1">
        <v>4.3886087140000001</v>
      </c>
      <c r="I1266" s="1">
        <v>3.3322126910000001</v>
      </c>
      <c r="J1266" s="1">
        <v>4.2898244959999996</v>
      </c>
      <c r="K1266" s="1">
        <v>4.5974987220000001</v>
      </c>
      <c r="L1266" s="1">
        <v>4.5867597299999998</v>
      </c>
      <c r="M1266" s="1">
        <v>4.3473799800000004</v>
      </c>
      <c r="N1266" s="1">
        <v>4.3596796910000002</v>
      </c>
      <c r="O1266" s="1">
        <v>4.1585876539999997</v>
      </c>
      <c r="P1266" s="1">
        <v>4.3303557189999999</v>
      </c>
      <c r="Q1266" s="1">
        <v>4.611970812</v>
      </c>
      <c r="R1266" s="1">
        <v>4.9894654599999999</v>
      </c>
      <c r="S1266" s="1">
        <v>5.032286365</v>
      </c>
      <c r="T1266" s="1">
        <v>4.5867597299999998</v>
      </c>
      <c r="U1266" s="1">
        <v>4.3473799800000004</v>
      </c>
      <c r="V1266" s="1">
        <v>4.2408545169999998</v>
      </c>
      <c r="W1266" s="1">
        <v>4.5296290450000001</v>
      </c>
      <c r="X1266" s="1">
        <v>4.5719855100000002</v>
      </c>
      <c r="Y1266" s="1">
        <v>4.1479647589999997</v>
      </c>
      <c r="Z1266" s="1">
        <v>4.9894654599999999</v>
      </c>
      <c r="AA1266" s="1">
        <v>5.032286365</v>
      </c>
      <c r="AB1266" s="1">
        <v>5.0356743460000004</v>
      </c>
      <c r="AC1266" s="1">
        <v>4.6238605430000002</v>
      </c>
      <c r="AD1266" s="1">
        <v>4.3870463700000002</v>
      </c>
      <c r="AE1266" s="1">
        <v>4.3718229419999997</v>
      </c>
    </row>
    <row r="1267" spans="1:31" x14ac:dyDescent="0.25">
      <c r="A1267" s="1" t="s">
        <v>383</v>
      </c>
      <c r="B1267" s="1" t="s">
        <v>2667</v>
      </c>
      <c r="C1267" s="1" t="s">
        <v>2867</v>
      </c>
      <c r="D1267" s="1" t="s">
        <v>2964</v>
      </c>
      <c r="E1267" s="1" t="s">
        <v>4613</v>
      </c>
      <c r="F1267" s="1" t="s">
        <v>4614</v>
      </c>
      <c r="G1267" s="1" t="s">
        <v>383</v>
      </c>
      <c r="H1267" s="1">
        <v>4.183793842</v>
      </c>
      <c r="I1267" s="1">
        <v>4.3763156859999999</v>
      </c>
      <c r="J1267" s="1">
        <v>6.2270996539999999</v>
      </c>
      <c r="K1267" s="1">
        <v>5.0014827119999996</v>
      </c>
      <c r="L1267" s="1">
        <v>6.1991155779999998</v>
      </c>
      <c r="M1267" s="1">
        <v>6.7962126380000001</v>
      </c>
      <c r="N1267" s="1">
        <v>4.2617896110000002</v>
      </c>
      <c r="O1267" s="1">
        <v>4.5340058970000001</v>
      </c>
      <c r="P1267" s="1">
        <v>5.8618301099999996</v>
      </c>
      <c r="Q1267" s="1">
        <v>6.0189773029999998</v>
      </c>
      <c r="R1267" s="1">
        <v>6.7431387049999998</v>
      </c>
      <c r="S1267" s="1">
        <v>6.7016683280000002</v>
      </c>
      <c r="T1267" s="1">
        <v>6.1991155779999998</v>
      </c>
      <c r="U1267" s="1">
        <v>6.7962126380000001</v>
      </c>
      <c r="V1267" s="1">
        <v>6.6186760830000004</v>
      </c>
      <c r="W1267" s="1">
        <v>6.5088246730000003</v>
      </c>
      <c r="X1267" s="1">
        <v>6.3441015869999999</v>
      </c>
      <c r="Y1267" s="1">
        <v>5.6604650660000004</v>
      </c>
      <c r="Z1267" s="1">
        <v>6.7431387049999998</v>
      </c>
      <c r="AA1267" s="1">
        <v>6.7016683280000002</v>
      </c>
      <c r="AB1267" s="1">
        <v>6.3685053089999997</v>
      </c>
      <c r="AC1267" s="1">
        <v>6.4210524800000002</v>
      </c>
      <c r="AD1267" s="1">
        <v>5.9231977699999998</v>
      </c>
      <c r="AE1267" s="1">
        <v>6.0589349549999998</v>
      </c>
    </row>
    <row r="1268" spans="1:31" x14ac:dyDescent="0.25">
      <c r="A1268" s="1" t="s">
        <v>384</v>
      </c>
      <c r="B1268" s="1" t="s">
        <v>2539</v>
      </c>
      <c r="C1268" s="1" t="s">
        <v>2563</v>
      </c>
      <c r="D1268" s="1" t="s">
        <v>2535</v>
      </c>
      <c r="E1268" s="1" t="s">
        <v>4015</v>
      </c>
      <c r="G1268" s="1" t="s">
        <v>384</v>
      </c>
      <c r="H1268" s="1">
        <v>7.8025536249999998</v>
      </c>
      <c r="I1268" s="1">
        <v>8.129590726</v>
      </c>
      <c r="J1268" s="1">
        <v>7.8223937020000003</v>
      </c>
      <c r="K1268" s="1">
        <v>7.9254184179999996</v>
      </c>
      <c r="L1268" s="1">
        <v>7.8564977560000004</v>
      </c>
      <c r="M1268" s="1">
        <v>8.0215758729999997</v>
      </c>
      <c r="N1268" s="1">
        <v>7.1368832189999996</v>
      </c>
      <c r="O1268" s="1">
        <v>7.0766218429999999</v>
      </c>
      <c r="P1268" s="1">
        <v>8.0844911059999998</v>
      </c>
      <c r="Q1268" s="1">
        <v>8.0658645100000008</v>
      </c>
      <c r="R1268" s="1">
        <v>7.8349417690000003</v>
      </c>
      <c r="S1268" s="1">
        <v>8.2138322539999997</v>
      </c>
      <c r="T1268" s="1">
        <v>7.8564977560000004</v>
      </c>
      <c r="U1268" s="1">
        <v>8.0215758729999997</v>
      </c>
      <c r="V1268" s="1">
        <v>8.1533673600000007</v>
      </c>
      <c r="W1268" s="1">
        <v>8.0465255520000003</v>
      </c>
      <c r="X1268" s="1">
        <v>7.6435645900000004</v>
      </c>
      <c r="Y1268" s="1">
        <v>7.9003771619999998</v>
      </c>
      <c r="Z1268" s="1">
        <v>7.8349417690000003</v>
      </c>
      <c r="AA1268" s="1">
        <v>8.2138322539999997</v>
      </c>
      <c r="AB1268" s="1">
        <v>7.8655635909999999</v>
      </c>
      <c r="AC1268" s="1">
        <v>7.9876503669999996</v>
      </c>
      <c r="AD1268" s="1">
        <v>7.5519453929999996</v>
      </c>
      <c r="AE1268" s="1">
        <v>7.7091692030000001</v>
      </c>
    </row>
    <row r="1269" spans="1:31" x14ac:dyDescent="0.25">
      <c r="A1269" s="1" t="s">
        <v>385</v>
      </c>
      <c r="B1269" s="1" t="s">
        <v>2631</v>
      </c>
      <c r="C1269" s="1" t="s">
        <v>3045</v>
      </c>
      <c r="D1269" s="1" t="s">
        <v>3056</v>
      </c>
      <c r="E1269" s="1" t="s">
        <v>4615</v>
      </c>
      <c r="F1269" s="1" t="s">
        <v>4616</v>
      </c>
      <c r="G1269" s="1" t="s">
        <v>385</v>
      </c>
      <c r="H1269" s="1">
        <v>8.1556295540000008</v>
      </c>
      <c r="I1269" s="1">
        <v>7.9109212299999996</v>
      </c>
      <c r="J1269" s="1">
        <v>7.4948400700000004</v>
      </c>
      <c r="K1269" s="1">
        <v>7.4403281330000004</v>
      </c>
      <c r="L1269" s="1">
        <v>7.6235195920000001</v>
      </c>
      <c r="M1269" s="1">
        <v>7.5545863689999999</v>
      </c>
      <c r="N1269" s="1">
        <v>6.988566745</v>
      </c>
      <c r="O1269" s="1">
        <v>7.0766218429999999</v>
      </c>
      <c r="P1269" s="1">
        <v>7.4825689239999997</v>
      </c>
      <c r="Q1269" s="1">
        <v>7.455836744</v>
      </c>
      <c r="R1269" s="1">
        <v>7.5664197040000003</v>
      </c>
      <c r="S1269" s="1">
        <v>7.5089750439999996</v>
      </c>
      <c r="T1269" s="1">
        <v>7.6235195920000001</v>
      </c>
      <c r="U1269" s="1">
        <v>7.5545863689999999</v>
      </c>
      <c r="V1269" s="1">
        <v>7.621574356</v>
      </c>
      <c r="W1269" s="1">
        <v>7.589023847</v>
      </c>
      <c r="X1269" s="1">
        <v>7.347944021</v>
      </c>
      <c r="Y1269" s="1">
        <v>7.2350386169999998</v>
      </c>
      <c r="Z1269" s="1">
        <v>7.5664197040000003</v>
      </c>
      <c r="AA1269" s="1">
        <v>7.5089750439999996</v>
      </c>
      <c r="AB1269" s="1">
        <v>7.340573268</v>
      </c>
      <c r="AC1269" s="1">
        <v>7.5436920059999997</v>
      </c>
      <c r="AD1269" s="1">
        <v>7.4232434090000003</v>
      </c>
      <c r="AE1269" s="1">
        <v>7.4568905689999996</v>
      </c>
    </row>
    <row r="1270" spans="1:31" x14ac:dyDescent="0.25">
      <c r="A1270" s="1" t="s">
        <v>386</v>
      </c>
      <c r="B1270" s="1" t="s">
        <v>2631</v>
      </c>
      <c r="C1270" s="1" t="s">
        <v>3045</v>
      </c>
      <c r="D1270" s="1" t="s">
        <v>3056</v>
      </c>
      <c r="E1270" s="1" t="s">
        <v>4617</v>
      </c>
      <c r="F1270" s="1" t="s">
        <v>4618</v>
      </c>
      <c r="G1270" s="1" t="s">
        <v>386</v>
      </c>
      <c r="H1270" s="1">
        <v>6.8525976059999998</v>
      </c>
      <c r="I1270" s="1">
        <v>6.7825936330000003</v>
      </c>
      <c r="J1270" s="1">
        <v>6.7172781209999997</v>
      </c>
      <c r="K1270" s="1">
        <v>6.1712535270000002</v>
      </c>
      <c r="L1270" s="1">
        <v>6.1668872849999996</v>
      </c>
      <c r="M1270" s="1">
        <v>6.2658755480000004</v>
      </c>
      <c r="N1270" s="1">
        <v>6.1425317259999996</v>
      </c>
      <c r="O1270" s="1">
        <v>6.0979208290000004</v>
      </c>
      <c r="P1270" s="1">
        <v>6.5507496449999998</v>
      </c>
      <c r="Q1270" s="1">
        <v>6.098094251</v>
      </c>
      <c r="R1270" s="1">
        <v>6.1192055940000003</v>
      </c>
      <c r="S1270" s="1">
        <v>6.4213797350000004</v>
      </c>
      <c r="T1270" s="1">
        <v>6.1668872849999996</v>
      </c>
      <c r="U1270" s="1">
        <v>6.2658755480000004</v>
      </c>
      <c r="V1270" s="1">
        <v>6.3484277020000004</v>
      </c>
      <c r="W1270" s="1">
        <v>6.657303325</v>
      </c>
      <c r="X1270" s="1">
        <v>6.21570512</v>
      </c>
      <c r="Y1270" s="1">
        <v>6.3541670720000001</v>
      </c>
      <c r="Z1270" s="1">
        <v>6.1192055940000003</v>
      </c>
      <c r="AA1270" s="1">
        <v>6.4213797350000004</v>
      </c>
      <c r="AB1270" s="1">
        <v>6.2478766610000003</v>
      </c>
      <c r="AC1270" s="1">
        <v>6.3266154559999999</v>
      </c>
      <c r="AD1270" s="1">
        <v>6.0630013820000004</v>
      </c>
      <c r="AE1270" s="1">
        <v>6.5142855109999998</v>
      </c>
    </row>
    <row r="1271" spans="1:31" x14ac:dyDescent="0.25">
      <c r="A1271" s="1" t="s">
        <v>387</v>
      </c>
      <c r="B1271" s="1" t="s">
        <v>2631</v>
      </c>
      <c r="C1271" s="1" t="s">
        <v>3045</v>
      </c>
      <c r="D1271" s="1" t="s">
        <v>3053</v>
      </c>
      <c r="E1271" s="1" t="s">
        <v>4619</v>
      </c>
      <c r="F1271" s="1" t="s">
        <v>4620</v>
      </c>
      <c r="G1271" s="1" t="s">
        <v>387</v>
      </c>
      <c r="H1271" s="1">
        <v>7.0705901190000002</v>
      </c>
      <c r="I1271" s="1">
        <v>6.7527702749999996</v>
      </c>
      <c r="J1271" s="1">
        <v>6.8067545919999999</v>
      </c>
      <c r="K1271" s="1">
        <v>6.8396337100000002</v>
      </c>
      <c r="L1271" s="1">
        <v>6.5042531260000001</v>
      </c>
      <c r="M1271" s="1">
        <v>6.5553394090000001</v>
      </c>
      <c r="N1271" s="1">
        <v>6.3653884090000004</v>
      </c>
      <c r="O1271" s="1">
        <v>6.6155634619999999</v>
      </c>
      <c r="P1271" s="1">
        <v>6.8626807989999996</v>
      </c>
      <c r="Q1271" s="1">
        <v>6.3980489909999996</v>
      </c>
      <c r="R1271" s="1">
        <v>6.9553432400000004</v>
      </c>
      <c r="S1271" s="1">
        <v>6.748647074</v>
      </c>
      <c r="T1271" s="1">
        <v>6.5042531260000001</v>
      </c>
      <c r="U1271" s="1">
        <v>6.5553394090000001</v>
      </c>
      <c r="V1271" s="1">
        <v>6.7698772270000003</v>
      </c>
      <c r="W1271" s="1">
        <v>6.9646536269999997</v>
      </c>
      <c r="X1271" s="1">
        <v>6.6452477740000004</v>
      </c>
      <c r="Y1271" s="1">
        <v>6.5668682929999997</v>
      </c>
      <c r="Z1271" s="1">
        <v>6.9553432400000004</v>
      </c>
      <c r="AA1271" s="1">
        <v>6.748647074</v>
      </c>
      <c r="AB1271" s="1">
        <v>7.1351367960000003</v>
      </c>
      <c r="AC1271" s="1">
        <v>6.8988724469999996</v>
      </c>
      <c r="AD1271" s="1">
        <v>7.0331906609999999</v>
      </c>
      <c r="AE1271" s="1">
        <v>6.6296282299999998</v>
      </c>
    </row>
    <row r="1272" spans="1:31" x14ac:dyDescent="0.25">
      <c r="A1272" s="1" t="s">
        <v>388</v>
      </c>
      <c r="B1272" s="1" t="s">
        <v>2631</v>
      </c>
      <c r="C1272" s="1" t="s">
        <v>3045</v>
      </c>
      <c r="D1272" s="1" t="s">
        <v>3048</v>
      </c>
      <c r="E1272" s="1" t="s">
        <v>4621</v>
      </c>
      <c r="F1272" s="1" t="s">
        <v>4622</v>
      </c>
      <c r="G1272" s="1" t="s">
        <v>388</v>
      </c>
      <c r="H1272" s="1">
        <v>10.802066829999999</v>
      </c>
      <c r="I1272" s="1">
        <v>10.412069199999999</v>
      </c>
      <c r="J1272" s="1">
        <v>10.120379059999999</v>
      </c>
      <c r="K1272" s="1">
        <v>10.20617041</v>
      </c>
      <c r="L1272" s="1">
        <v>9.6846966329999997</v>
      </c>
      <c r="M1272" s="1">
        <v>9.7159939069999997</v>
      </c>
      <c r="N1272" s="1">
        <v>10.06865288</v>
      </c>
      <c r="O1272" s="1">
        <v>10.366378839999999</v>
      </c>
      <c r="P1272" s="1">
        <v>10.053454609999999</v>
      </c>
      <c r="Q1272" s="1">
        <v>10.08317821</v>
      </c>
      <c r="R1272" s="1">
        <v>10.146337040000001</v>
      </c>
      <c r="S1272" s="1">
        <v>10.089704429999999</v>
      </c>
      <c r="T1272" s="1">
        <v>9.6846966329999997</v>
      </c>
      <c r="U1272" s="1">
        <v>9.7159939069999997</v>
      </c>
      <c r="V1272" s="1">
        <v>9.9836636300000006</v>
      </c>
      <c r="W1272" s="1">
        <v>9.9571346770000009</v>
      </c>
      <c r="X1272" s="1">
        <v>9.9798008609999993</v>
      </c>
      <c r="Y1272" s="1">
        <v>10.168969860000001</v>
      </c>
      <c r="Z1272" s="1">
        <v>10.146337040000001</v>
      </c>
      <c r="AA1272" s="1">
        <v>10.089704429999999</v>
      </c>
      <c r="AB1272" s="1">
        <v>10.229814620000001</v>
      </c>
      <c r="AC1272" s="1">
        <v>10.09404763</v>
      </c>
      <c r="AD1272" s="1">
        <v>10.346799689999999</v>
      </c>
      <c r="AE1272" s="1">
        <v>10.293233000000001</v>
      </c>
    </row>
    <row r="1273" spans="1:31" x14ac:dyDescent="0.25">
      <c r="A1273" s="1" t="s">
        <v>389</v>
      </c>
      <c r="B1273" s="1" t="s">
        <v>2631</v>
      </c>
      <c r="C1273" s="1" t="s">
        <v>3045</v>
      </c>
      <c r="D1273" s="1" t="s">
        <v>3048</v>
      </c>
      <c r="E1273" s="1" t="s">
        <v>4623</v>
      </c>
      <c r="F1273" s="1" t="s">
        <v>3405</v>
      </c>
      <c r="G1273" s="1" t="s">
        <v>389</v>
      </c>
      <c r="H1273" s="1">
        <v>11.045589359999999</v>
      </c>
      <c r="I1273" s="1">
        <v>10.9758598</v>
      </c>
      <c r="J1273" s="1">
        <v>10.18014778</v>
      </c>
      <c r="K1273" s="1">
        <v>10.26008436</v>
      </c>
      <c r="L1273" s="1">
        <v>9.5857906610000008</v>
      </c>
      <c r="M1273" s="1">
        <v>9.7862465949999997</v>
      </c>
      <c r="N1273" s="1">
        <v>10.71297978</v>
      </c>
      <c r="O1273" s="1">
        <v>10.94243507</v>
      </c>
      <c r="P1273" s="1">
        <v>10.013446480000001</v>
      </c>
      <c r="Q1273" s="1">
        <v>10.079941570000001</v>
      </c>
      <c r="R1273" s="1">
        <v>10.2037806</v>
      </c>
      <c r="S1273" s="1">
        <v>10.155036020000001</v>
      </c>
      <c r="T1273" s="1">
        <v>9.5857906610000008</v>
      </c>
      <c r="U1273" s="1">
        <v>9.7862465949999997</v>
      </c>
      <c r="V1273" s="1">
        <v>10.003202249999999</v>
      </c>
      <c r="W1273" s="1">
        <v>10.017195149999999</v>
      </c>
      <c r="X1273" s="1">
        <v>9.8776106860000006</v>
      </c>
      <c r="Y1273" s="1">
        <v>10.0397575</v>
      </c>
      <c r="Z1273" s="1">
        <v>10.2037806</v>
      </c>
      <c r="AA1273" s="1">
        <v>10.155036020000001</v>
      </c>
      <c r="AB1273" s="1">
        <v>10.25150891</v>
      </c>
      <c r="AC1273" s="1">
        <v>10.09833439</v>
      </c>
      <c r="AD1273" s="1">
        <v>10.353605460000001</v>
      </c>
      <c r="AE1273" s="1">
        <v>10.225408460000001</v>
      </c>
    </row>
    <row r="1274" spans="1:31" x14ac:dyDescent="0.25">
      <c r="A1274" s="1" t="s">
        <v>390</v>
      </c>
      <c r="B1274" s="1" t="s">
        <v>2530</v>
      </c>
      <c r="C1274" s="1" t="s">
        <v>2573</v>
      </c>
      <c r="D1274" s="1" t="s">
        <v>2535</v>
      </c>
      <c r="E1274" s="1" t="s">
        <v>4624</v>
      </c>
      <c r="G1274" s="1" t="s">
        <v>390</v>
      </c>
      <c r="H1274" s="1">
        <v>7.8787742549999997</v>
      </c>
      <c r="I1274" s="1">
        <v>7.791418009</v>
      </c>
      <c r="J1274" s="1">
        <v>6.9834276859999997</v>
      </c>
      <c r="K1274" s="1">
        <v>7.0220088839999999</v>
      </c>
      <c r="L1274" s="1">
        <v>7.0367909559999999</v>
      </c>
      <c r="M1274" s="1">
        <v>7.1252663509999996</v>
      </c>
      <c r="N1274" s="1">
        <v>8.6293046370000006</v>
      </c>
      <c r="O1274" s="1">
        <v>8.544430899</v>
      </c>
      <c r="P1274" s="1">
        <v>6.9657451879999996</v>
      </c>
      <c r="Q1274" s="1">
        <v>7.1071188039999997</v>
      </c>
      <c r="R1274" s="1">
        <v>6.9832586330000002</v>
      </c>
      <c r="S1274" s="1">
        <v>7.0022687970000002</v>
      </c>
      <c r="T1274" s="1">
        <v>7.0367909559999999</v>
      </c>
      <c r="U1274" s="1">
        <v>7.1252663509999996</v>
      </c>
      <c r="V1274" s="1">
        <v>7.369548387</v>
      </c>
      <c r="W1274" s="1">
        <v>7.0743350659999997</v>
      </c>
      <c r="X1274" s="1">
        <v>7.0730669339999999</v>
      </c>
      <c r="Y1274" s="1">
        <v>7.1972465469999998</v>
      </c>
      <c r="Z1274" s="1">
        <v>6.9832586330000002</v>
      </c>
      <c r="AA1274" s="1">
        <v>7.0022687970000002</v>
      </c>
      <c r="AB1274" s="1">
        <v>7.2649841789999998</v>
      </c>
      <c r="AC1274" s="1">
        <v>6.7321847869999996</v>
      </c>
      <c r="AD1274" s="1">
        <v>7.1752643049999998</v>
      </c>
      <c r="AE1274" s="1">
        <v>7.1952338439999997</v>
      </c>
    </row>
    <row r="1275" spans="1:31" x14ac:dyDescent="0.25">
      <c r="A1275" s="1" t="s">
        <v>392</v>
      </c>
      <c r="B1275" s="1" t="s">
        <v>2530</v>
      </c>
      <c r="C1275" s="1" t="s">
        <v>2573</v>
      </c>
      <c r="D1275" s="1" t="s">
        <v>2535</v>
      </c>
      <c r="E1275" s="1" t="s">
        <v>4625</v>
      </c>
      <c r="G1275" s="1" t="s">
        <v>392</v>
      </c>
      <c r="H1275" s="1">
        <v>6.8185773340000004</v>
      </c>
      <c r="I1275" s="1">
        <v>6.8823647440000002</v>
      </c>
      <c r="J1275" s="1">
        <v>6.331385225</v>
      </c>
      <c r="K1275" s="1">
        <v>6.5339269729999998</v>
      </c>
      <c r="L1275" s="1">
        <v>5.7687912140000002</v>
      </c>
      <c r="M1275" s="1">
        <v>5.6184934039999996</v>
      </c>
      <c r="N1275" s="1">
        <v>6.5880735220000002</v>
      </c>
      <c r="O1275" s="1">
        <v>6.6897001009999997</v>
      </c>
      <c r="P1275" s="1">
        <v>5.565195407</v>
      </c>
      <c r="Q1275" s="1">
        <v>5.9637007390000001</v>
      </c>
      <c r="R1275" s="1">
        <v>5.8723300570000001</v>
      </c>
      <c r="S1275" s="1">
        <v>5.5773053920000004</v>
      </c>
      <c r="T1275" s="1">
        <v>5.7687912140000002</v>
      </c>
      <c r="U1275" s="1">
        <v>5.6184934039999996</v>
      </c>
      <c r="V1275" s="1">
        <v>5.6676649780000004</v>
      </c>
      <c r="W1275" s="1">
        <v>5.5634106699999997</v>
      </c>
      <c r="X1275" s="1">
        <v>6.0475048180000002</v>
      </c>
      <c r="Y1275" s="1">
        <v>6.0488320509999998</v>
      </c>
      <c r="Z1275" s="1">
        <v>5.8723300570000001</v>
      </c>
      <c r="AA1275" s="1">
        <v>5.5773053920000004</v>
      </c>
      <c r="AB1275" s="1">
        <v>5.851934376</v>
      </c>
      <c r="AC1275" s="1">
        <v>5.8975684140000002</v>
      </c>
      <c r="AD1275" s="1">
        <v>5.9231977699999998</v>
      </c>
      <c r="AE1275" s="1">
        <v>6.1260310530000002</v>
      </c>
    </row>
    <row r="1276" spans="1:31" x14ac:dyDescent="0.25">
      <c r="A1276" s="1" t="s">
        <v>393</v>
      </c>
      <c r="B1276" s="1" t="s">
        <v>2579</v>
      </c>
      <c r="C1276" s="1" t="s">
        <v>2983</v>
      </c>
      <c r="D1276" s="1" t="s">
        <v>2535</v>
      </c>
      <c r="E1276" s="1" t="s">
        <v>4626</v>
      </c>
      <c r="G1276" s="1" t="s">
        <v>393</v>
      </c>
      <c r="H1276" s="1">
        <v>5.1686839359999999</v>
      </c>
      <c r="I1276" s="1">
        <v>5.0595268689999999</v>
      </c>
      <c r="J1276" s="1">
        <v>4.6607313550000002</v>
      </c>
      <c r="K1276" s="1">
        <v>5.4493056099999997</v>
      </c>
      <c r="L1276" s="1">
        <v>5.1724144110000001</v>
      </c>
      <c r="M1276" s="1">
        <v>4.9642129490000002</v>
      </c>
      <c r="N1276" s="1">
        <v>4.8006971780000001</v>
      </c>
      <c r="O1276" s="1">
        <v>5.3074139359999997</v>
      </c>
      <c r="P1276" s="1">
        <v>5.0074447400000004</v>
      </c>
      <c r="Q1276" s="1">
        <v>4.611970812</v>
      </c>
      <c r="R1276" s="1">
        <v>3.968758995</v>
      </c>
      <c r="S1276" s="1">
        <v>4.980227309</v>
      </c>
      <c r="T1276" s="1">
        <v>5.1724144110000001</v>
      </c>
      <c r="U1276" s="1">
        <v>4.9642129490000002</v>
      </c>
      <c r="V1276" s="1">
        <v>4.5826682710000002</v>
      </c>
      <c r="W1276" s="1">
        <v>5.16775612</v>
      </c>
      <c r="X1276" s="1">
        <v>4.8838989719999999</v>
      </c>
      <c r="Y1276" s="1">
        <v>4.3509215530000001</v>
      </c>
      <c r="Z1276" s="1">
        <v>3.968758995</v>
      </c>
      <c r="AA1276" s="1">
        <v>4.980227309</v>
      </c>
      <c r="AB1276" s="1">
        <v>4.9601840040000003</v>
      </c>
      <c r="AC1276" s="1">
        <v>4.8610120620000004</v>
      </c>
      <c r="AD1276" s="1">
        <v>4.83054469</v>
      </c>
      <c r="AE1276" s="1">
        <v>4.6936201110000004</v>
      </c>
    </row>
    <row r="1277" spans="1:31" x14ac:dyDescent="0.25">
      <c r="A1277" s="1" t="s">
        <v>394</v>
      </c>
      <c r="B1277" s="1" t="s">
        <v>2530</v>
      </c>
      <c r="C1277" s="1" t="s">
        <v>2531</v>
      </c>
      <c r="D1277" s="1" t="s">
        <v>2535</v>
      </c>
      <c r="E1277" s="1" t="s">
        <v>4627</v>
      </c>
      <c r="G1277" s="1" t="s">
        <v>394</v>
      </c>
      <c r="H1277" s="1">
        <v>5.3232649629999997</v>
      </c>
      <c r="I1277" s="1">
        <v>5.0595268689999999</v>
      </c>
      <c r="J1277" s="1">
        <v>4.0065844400000001</v>
      </c>
      <c r="K1277" s="1">
        <v>4.4318297590000002</v>
      </c>
      <c r="L1277" s="1">
        <v>5.0110661050000003</v>
      </c>
      <c r="M1277" s="1">
        <v>4.709731562</v>
      </c>
      <c r="N1277" s="1">
        <v>5.1623684499999998</v>
      </c>
      <c r="O1277" s="1">
        <v>5.2522077749999996</v>
      </c>
      <c r="P1277" s="1">
        <v>4.5499605860000001</v>
      </c>
      <c r="Q1277" s="1">
        <v>4.683187717</v>
      </c>
      <c r="R1277" s="1">
        <v>4.5333476509999997</v>
      </c>
      <c r="S1277" s="1">
        <v>4.8114074450000004</v>
      </c>
      <c r="T1277" s="1">
        <v>5.0110661050000003</v>
      </c>
      <c r="U1277" s="1">
        <v>4.709731562</v>
      </c>
      <c r="V1277" s="1">
        <v>4.6419314959999998</v>
      </c>
      <c r="W1277" s="1">
        <v>4.3370700810000002</v>
      </c>
      <c r="X1277" s="1">
        <v>4.9447045230000004</v>
      </c>
      <c r="Y1277" s="1">
        <v>4.5275934409999996</v>
      </c>
      <c r="Z1277" s="1">
        <v>4.5333476509999997</v>
      </c>
      <c r="AA1277" s="1">
        <v>4.8114074450000004</v>
      </c>
      <c r="AB1277" s="1">
        <v>4.7958605490000004</v>
      </c>
      <c r="AC1277" s="1">
        <v>4.7474570290000004</v>
      </c>
      <c r="AD1277" s="1">
        <v>4.6264106470000002</v>
      </c>
      <c r="AE1277" s="1">
        <v>4.7636391339999999</v>
      </c>
    </row>
    <row r="1278" spans="1:31" x14ac:dyDescent="0.25">
      <c r="A1278" s="1" t="s">
        <v>395</v>
      </c>
      <c r="B1278" s="1" t="s">
        <v>2530</v>
      </c>
      <c r="C1278" s="1" t="s">
        <v>2531</v>
      </c>
      <c r="D1278" s="1" t="s">
        <v>2535</v>
      </c>
      <c r="E1278" s="1" t="s">
        <v>2536</v>
      </c>
      <c r="G1278" s="1" t="s">
        <v>395</v>
      </c>
      <c r="H1278" s="1">
        <v>4.7245801409999997</v>
      </c>
      <c r="I1278" s="1">
        <v>4.5981535630000003</v>
      </c>
      <c r="J1278" s="1">
        <v>4.7851628320000001</v>
      </c>
      <c r="K1278" s="1">
        <v>4.3408695499999999</v>
      </c>
      <c r="L1278" s="1">
        <v>4.4107687259999997</v>
      </c>
      <c r="M1278" s="1">
        <v>4.4472617469999998</v>
      </c>
      <c r="N1278" s="1">
        <v>4.9627953409999996</v>
      </c>
      <c r="O1278" s="1">
        <v>5.1651541859999996</v>
      </c>
      <c r="P1278" s="1">
        <v>4.8528499219999999</v>
      </c>
      <c r="Q1278" s="1">
        <v>4.2835653880000004</v>
      </c>
      <c r="R1278" s="1">
        <v>3.1834741979999999</v>
      </c>
      <c r="S1278" s="1">
        <v>4.6194390810000003</v>
      </c>
      <c r="T1278" s="1">
        <v>4.4107687259999997</v>
      </c>
      <c r="U1278" s="1">
        <v>4.4472617469999998</v>
      </c>
      <c r="V1278" s="1">
        <v>4.9527859210000003</v>
      </c>
      <c r="W1278" s="1">
        <v>4.3370700810000002</v>
      </c>
      <c r="X1278" s="1">
        <v>4.4920419310000002</v>
      </c>
      <c r="Y1278" s="1">
        <v>4.4420910779999998</v>
      </c>
      <c r="Z1278" s="1">
        <v>3.1834741979999999</v>
      </c>
      <c r="AA1278" s="1">
        <v>4.6194390810000003</v>
      </c>
      <c r="AB1278" s="1">
        <v>4.7958605490000004</v>
      </c>
      <c r="AC1278" s="1">
        <v>4.6238605430000002</v>
      </c>
      <c r="AD1278" s="1">
        <v>4.0967699450000001</v>
      </c>
      <c r="AE1278" s="1">
        <v>4.2780702540000002</v>
      </c>
    </row>
    <row r="1279" spans="1:31" x14ac:dyDescent="0.25">
      <c r="A1279" s="1" t="s">
        <v>397</v>
      </c>
      <c r="B1279" s="1" t="s">
        <v>2539</v>
      </c>
      <c r="C1279" s="1" t="s">
        <v>2606</v>
      </c>
      <c r="D1279" s="1" t="s">
        <v>4628</v>
      </c>
      <c r="E1279" s="1" t="s">
        <v>4629</v>
      </c>
      <c r="F1279" s="1" t="s">
        <v>3242</v>
      </c>
      <c r="G1279" s="1" t="s">
        <v>397</v>
      </c>
      <c r="H1279" s="1">
        <v>4.3886087140000001</v>
      </c>
      <c r="I1279" s="1">
        <v>4.0101074990000001</v>
      </c>
      <c r="J1279" s="1">
        <v>5.5826322800000003</v>
      </c>
      <c r="K1279" s="1">
        <v>6.0642310579999998</v>
      </c>
      <c r="L1279" s="1">
        <v>5.7398214760000004</v>
      </c>
      <c r="M1279" s="1">
        <v>5.5758954550000004</v>
      </c>
      <c r="N1279" s="1">
        <v>4.765904581</v>
      </c>
      <c r="O1279" s="1">
        <v>4.4862678239999996</v>
      </c>
      <c r="P1279" s="1">
        <v>5.8072178450000003</v>
      </c>
      <c r="Q1279" s="1">
        <v>5.3375178869999997</v>
      </c>
      <c r="R1279" s="1">
        <v>5.7472990829999997</v>
      </c>
      <c r="S1279" s="1">
        <v>5.8024660560000001</v>
      </c>
      <c r="T1279" s="1">
        <v>5.7398214760000004</v>
      </c>
      <c r="U1279" s="1">
        <v>5.5758954550000004</v>
      </c>
      <c r="V1279" s="1">
        <v>5.7758979430000004</v>
      </c>
      <c r="W1279" s="1">
        <v>5.5634106699999997</v>
      </c>
      <c r="X1279" s="1">
        <v>6.0475048180000002</v>
      </c>
      <c r="Y1279" s="1">
        <v>5.5443425189999997</v>
      </c>
      <c r="Z1279" s="1">
        <v>5.7472990829999997</v>
      </c>
      <c r="AA1279" s="1">
        <v>5.8024660560000001</v>
      </c>
      <c r="AB1279" s="1">
        <v>5.8927983030000002</v>
      </c>
      <c r="AC1279" s="1">
        <v>6.047382313</v>
      </c>
      <c r="AD1279" s="1">
        <v>6.0361091350000002</v>
      </c>
      <c r="AE1279" s="1">
        <v>5.9885482259999998</v>
      </c>
    </row>
    <row r="1280" spans="1:31" x14ac:dyDescent="0.25">
      <c r="A1280" s="1" t="s">
        <v>398</v>
      </c>
      <c r="B1280" s="1" t="s">
        <v>2530</v>
      </c>
      <c r="C1280" s="1" t="s">
        <v>2531</v>
      </c>
      <c r="D1280" s="1" t="s">
        <v>2535</v>
      </c>
      <c r="E1280" s="1" t="s">
        <v>2536</v>
      </c>
      <c r="G1280" s="1" t="s">
        <v>398</v>
      </c>
      <c r="H1280" s="1">
        <v>4.2900513550000001</v>
      </c>
      <c r="I1280" s="1">
        <v>3.7806045529999999</v>
      </c>
      <c r="J1280" s="1">
        <v>4.2018709520000002</v>
      </c>
      <c r="K1280" s="1">
        <v>3.8998480660000001</v>
      </c>
      <c r="L1280" s="1">
        <v>3.8629070379999999</v>
      </c>
      <c r="M1280" s="1">
        <v>4.239619416</v>
      </c>
      <c r="N1280" s="1">
        <v>3.622455167</v>
      </c>
      <c r="O1280" s="1">
        <v>3.6346882059999999</v>
      </c>
      <c r="P1280" s="1">
        <v>4.161525224</v>
      </c>
      <c r="Q1280" s="1">
        <v>3.7137735799999998</v>
      </c>
      <c r="R1280" s="1">
        <v>4.1841942410000001</v>
      </c>
      <c r="S1280" s="1">
        <v>3.6647387380000001</v>
      </c>
      <c r="T1280" s="1">
        <v>3.8629070379999999</v>
      </c>
      <c r="U1280" s="1">
        <v>4.239619416</v>
      </c>
      <c r="V1280" s="1">
        <v>3.887436229</v>
      </c>
      <c r="W1280" s="1">
        <v>4.3370700810000002</v>
      </c>
      <c r="X1280" s="1">
        <v>3.8119046220000001</v>
      </c>
      <c r="Y1280" s="1">
        <v>4.4420910779999998</v>
      </c>
      <c r="Z1280" s="1">
        <v>4.1841942410000001</v>
      </c>
      <c r="AA1280" s="1">
        <v>3.6647387380000001</v>
      </c>
      <c r="AB1280" s="1">
        <v>3.6315729079999999</v>
      </c>
      <c r="AC1280" s="1">
        <v>4.5576875899999996</v>
      </c>
      <c r="AD1280" s="1">
        <v>4.2005997429999997</v>
      </c>
      <c r="AE1280" s="1">
        <v>4.1773695330000002</v>
      </c>
    </row>
    <row r="1281" spans="1:31" x14ac:dyDescent="0.25">
      <c r="A1281" s="1" t="s">
        <v>401</v>
      </c>
      <c r="B1281" s="1" t="s">
        <v>2530</v>
      </c>
      <c r="C1281" s="1" t="s">
        <v>2573</v>
      </c>
      <c r="D1281" s="1" t="s">
        <v>2535</v>
      </c>
      <c r="E1281" s="1" t="s">
        <v>4630</v>
      </c>
      <c r="G1281" s="1" t="s">
        <v>401</v>
      </c>
      <c r="H1281" s="1">
        <v>2.640460343</v>
      </c>
      <c r="I1281" s="1">
        <v>3.1348991329999998</v>
      </c>
      <c r="J1281" s="1">
        <v>1.7393328349999999</v>
      </c>
      <c r="K1281" s="1">
        <v>1.7393328349999999</v>
      </c>
      <c r="L1281" s="1">
        <v>3.3884746630000002</v>
      </c>
      <c r="M1281" s="1">
        <v>3.8521266660000002</v>
      </c>
      <c r="N1281" s="1">
        <v>3.7779028299999999</v>
      </c>
      <c r="O1281" s="1">
        <v>2.883783352</v>
      </c>
      <c r="P1281" s="1">
        <v>3.3003929539999999</v>
      </c>
      <c r="Q1281" s="1">
        <v>3.388910638</v>
      </c>
      <c r="R1281" s="1">
        <v>3.1834741979999999</v>
      </c>
      <c r="S1281" s="1">
        <v>2.9034795349999998</v>
      </c>
      <c r="T1281" s="1">
        <v>3.3884746630000002</v>
      </c>
      <c r="U1281" s="1">
        <v>3.8521266660000002</v>
      </c>
      <c r="V1281" s="1">
        <v>3.7819764450000002</v>
      </c>
      <c r="W1281" s="1">
        <v>4.4367165279999998</v>
      </c>
      <c r="X1281" s="1">
        <v>3.7416722899999999</v>
      </c>
      <c r="Y1281" s="1">
        <v>3.4382968329999999</v>
      </c>
      <c r="Z1281" s="1">
        <v>3.1834741979999999</v>
      </c>
      <c r="AA1281" s="1">
        <v>2.9034795349999998</v>
      </c>
      <c r="AB1281" s="1">
        <v>3.1218319999999999</v>
      </c>
      <c r="AC1281" s="1">
        <v>4.1685844940000001</v>
      </c>
      <c r="AD1281" s="1">
        <v>3.3987395579999999</v>
      </c>
      <c r="AE1281" s="1">
        <v>3.67472814</v>
      </c>
    </row>
    <row r="1282" spans="1:31" x14ac:dyDescent="0.25">
      <c r="A1282" s="1" t="s">
        <v>403</v>
      </c>
      <c r="B1282" s="1" t="s">
        <v>2530</v>
      </c>
      <c r="C1282" s="1" t="s">
        <v>2573</v>
      </c>
      <c r="D1282" s="1" t="s">
        <v>4598</v>
      </c>
      <c r="E1282" s="1" t="s">
        <v>4599</v>
      </c>
      <c r="G1282" s="1" t="s">
        <v>403</v>
      </c>
      <c r="H1282" s="1">
        <v>3.9421380259999999</v>
      </c>
      <c r="I1282" s="1">
        <v>2.8927893610000002</v>
      </c>
      <c r="J1282" s="1">
        <v>2.5640169199999998</v>
      </c>
      <c r="K1282" s="1">
        <v>3.22334677</v>
      </c>
      <c r="L1282" s="1">
        <v>2.315629231</v>
      </c>
      <c r="M1282" s="1">
        <v>2.3994532390000001</v>
      </c>
      <c r="N1282" s="1">
        <v>2.628425199</v>
      </c>
      <c r="O1282" s="1">
        <v>3.3203005989999999</v>
      </c>
      <c r="P1282" s="1">
        <v>2.8687501260000001</v>
      </c>
      <c r="Q1282" s="1">
        <v>1.7393328349999999</v>
      </c>
      <c r="R1282" s="1">
        <v>2.595728008</v>
      </c>
      <c r="S1282" s="1">
        <v>1.7393328349999999</v>
      </c>
      <c r="T1282" s="1">
        <v>2.315629231</v>
      </c>
      <c r="U1282" s="1">
        <v>2.3994532390000001</v>
      </c>
      <c r="V1282" s="1">
        <v>2.5140266200000001</v>
      </c>
      <c r="W1282" s="1">
        <v>1.7393328349999999</v>
      </c>
      <c r="X1282" s="1">
        <v>2.6106888979999998</v>
      </c>
      <c r="Y1282" s="1">
        <v>2.9733498090000001</v>
      </c>
      <c r="Z1282" s="1">
        <v>2.595728008</v>
      </c>
      <c r="AA1282" s="1">
        <v>1.7393328349999999</v>
      </c>
      <c r="AB1282" s="1">
        <v>1.7393328349999999</v>
      </c>
      <c r="AC1282" s="1">
        <v>2.5506926650000001</v>
      </c>
      <c r="AD1282" s="1">
        <v>2.6025990879999998</v>
      </c>
      <c r="AE1282" s="1">
        <v>1.7393328349999999</v>
      </c>
    </row>
    <row r="1283" spans="1:31" x14ac:dyDescent="0.25">
      <c r="A1283" s="1" t="s">
        <v>404</v>
      </c>
      <c r="B1283" s="1" t="s">
        <v>2530</v>
      </c>
      <c r="C1283" s="1" t="s">
        <v>2573</v>
      </c>
      <c r="D1283" s="1" t="s">
        <v>4598</v>
      </c>
      <c r="E1283" s="1" t="s">
        <v>4599</v>
      </c>
      <c r="G1283" s="1" t="s">
        <v>404</v>
      </c>
      <c r="H1283" s="1">
        <v>7.3813453510000002</v>
      </c>
      <c r="I1283" s="1">
        <v>7.5178433790000003</v>
      </c>
      <c r="J1283" s="1">
        <v>7.2826339170000001</v>
      </c>
      <c r="K1283" s="1">
        <v>7.2216472190000003</v>
      </c>
      <c r="L1283" s="1">
        <v>7.6431398250000004</v>
      </c>
      <c r="M1283" s="1">
        <v>7.6238767340000004</v>
      </c>
      <c r="N1283" s="1">
        <v>7.0468824679999997</v>
      </c>
      <c r="O1283" s="1">
        <v>6.7893960399999997</v>
      </c>
      <c r="P1283" s="1">
        <v>7.0146380060000002</v>
      </c>
      <c r="Q1283" s="1">
        <v>7.0684241830000003</v>
      </c>
      <c r="R1283" s="1">
        <v>7.1402648610000004</v>
      </c>
      <c r="S1283" s="1">
        <v>6.66947534</v>
      </c>
      <c r="T1283" s="1">
        <v>7.6431398250000004</v>
      </c>
      <c r="U1283" s="1">
        <v>7.6238767340000004</v>
      </c>
      <c r="V1283" s="1">
        <v>6.6186760830000004</v>
      </c>
      <c r="W1283" s="1">
        <v>6.6773173909999999</v>
      </c>
      <c r="X1283" s="1">
        <v>7.5928506740000001</v>
      </c>
      <c r="Y1283" s="1">
        <v>6.8365428660000003</v>
      </c>
      <c r="Z1283" s="1">
        <v>7.1402648610000004</v>
      </c>
      <c r="AA1283" s="1">
        <v>6.66947534</v>
      </c>
      <c r="AB1283" s="1">
        <v>7.1351367960000003</v>
      </c>
      <c r="AC1283" s="1">
        <v>6.7613405999999996</v>
      </c>
      <c r="AD1283" s="1">
        <v>7.2588873100000004</v>
      </c>
      <c r="AE1283" s="1">
        <v>7.2442871269999998</v>
      </c>
    </row>
    <row r="1284" spans="1:31" x14ac:dyDescent="0.25">
      <c r="A1284" s="1" t="s">
        <v>405</v>
      </c>
      <c r="B1284" s="1" t="s">
        <v>2530</v>
      </c>
      <c r="C1284" s="1" t="s">
        <v>2531</v>
      </c>
      <c r="D1284" s="1" t="s">
        <v>4598</v>
      </c>
      <c r="E1284" s="1" t="s">
        <v>2621</v>
      </c>
      <c r="G1284" s="1" t="s">
        <v>405</v>
      </c>
      <c r="H1284" s="1">
        <v>9.7812037289999996</v>
      </c>
      <c r="I1284" s="1">
        <v>10.03269399</v>
      </c>
      <c r="J1284" s="1">
        <v>8.3739014199999993</v>
      </c>
      <c r="K1284" s="1">
        <v>8.9513363360000007</v>
      </c>
      <c r="L1284" s="1">
        <v>7.3310559489999996</v>
      </c>
      <c r="M1284" s="1">
        <v>7.4586404469999996</v>
      </c>
      <c r="N1284" s="1">
        <v>9.0975106199999995</v>
      </c>
      <c r="O1284" s="1">
        <v>8.7950681159999995</v>
      </c>
      <c r="P1284" s="1">
        <v>7.8147107450000002</v>
      </c>
      <c r="Q1284" s="1">
        <v>7.7527735560000002</v>
      </c>
      <c r="R1284" s="1">
        <v>7.5195484720000003</v>
      </c>
      <c r="S1284" s="1">
        <v>7.4721490179999996</v>
      </c>
      <c r="T1284" s="1">
        <v>7.3310559489999996</v>
      </c>
      <c r="U1284" s="1">
        <v>7.4586404469999996</v>
      </c>
      <c r="V1284" s="1">
        <v>6.7957404280000002</v>
      </c>
      <c r="W1284" s="1">
        <v>6.9482803070000001</v>
      </c>
      <c r="X1284" s="1">
        <v>7.7099652609999998</v>
      </c>
      <c r="Y1284" s="1">
        <v>7.4644471870000002</v>
      </c>
      <c r="Z1284" s="1">
        <v>7.5195484720000003</v>
      </c>
      <c r="AA1284" s="1">
        <v>7.4721490179999996</v>
      </c>
      <c r="AB1284" s="1">
        <v>7.3840944119999996</v>
      </c>
      <c r="AC1284" s="1">
        <v>7.3269352899999998</v>
      </c>
      <c r="AD1284" s="1">
        <v>7.523248315</v>
      </c>
      <c r="AE1284" s="1">
        <v>7.6960088799999999</v>
      </c>
    </row>
    <row r="1285" spans="1:31" x14ac:dyDescent="0.25">
      <c r="A1285" s="1" t="s">
        <v>406</v>
      </c>
      <c r="B1285" s="1" t="s">
        <v>2520</v>
      </c>
      <c r="C1285" s="1" t="s">
        <v>2521</v>
      </c>
      <c r="D1285" s="1" t="s">
        <v>2535</v>
      </c>
      <c r="E1285" s="1" t="s">
        <v>4631</v>
      </c>
      <c r="G1285" s="1" t="s">
        <v>406</v>
      </c>
      <c r="H1285" s="1">
        <v>6.765990908</v>
      </c>
      <c r="I1285" s="1">
        <v>7.1110789749999999</v>
      </c>
      <c r="J1285" s="1">
        <v>6.1146491980000004</v>
      </c>
      <c r="K1285" s="1">
        <v>6.270852401</v>
      </c>
      <c r="L1285" s="1">
        <v>6.2916778710000001</v>
      </c>
      <c r="M1285" s="1">
        <v>6.2791745209999998</v>
      </c>
      <c r="N1285" s="1">
        <v>6.7808745220000004</v>
      </c>
      <c r="O1285" s="1">
        <v>7.0447066889999999</v>
      </c>
      <c r="P1285" s="1">
        <v>5.8618301099999996</v>
      </c>
      <c r="Q1285" s="1">
        <v>5.7838067430000004</v>
      </c>
      <c r="R1285" s="1">
        <v>6.0678975499999996</v>
      </c>
      <c r="S1285" s="1">
        <v>5.8319244149999996</v>
      </c>
      <c r="T1285" s="1">
        <v>6.2916778710000001</v>
      </c>
      <c r="U1285" s="1">
        <v>6.2791745209999998</v>
      </c>
      <c r="V1285" s="1">
        <v>5.8520207290000004</v>
      </c>
      <c r="W1285" s="1">
        <v>6.1272304780000004</v>
      </c>
      <c r="X1285" s="1">
        <v>5.9626863439999997</v>
      </c>
      <c r="Y1285" s="1">
        <v>6.1840201749999997</v>
      </c>
      <c r="Z1285" s="1">
        <v>6.0678975499999996</v>
      </c>
      <c r="AA1285" s="1">
        <v>5.8319244149999996</v>
      </c>
      <c r="AB1285" s="1">
        <v>6.2789960090000001</v>
      </c>
      <c r="AC1285" s="1">
        <v>6.2668248259999997</v>
      </c>
      <c r="AD1285" s="1">
        <v>6.0893990919999998</v>
      </c>
      <c r="AE1285" s="1">
        <v>6.017118505</v>
      </c>
    </row>
    <row r="1286" spans="1:31" x14ac:dyDescent="0.25">
      <c r="A1286" s="1" t="s">
        <v>414</v>
      </c>
      <c r="B1286" s="1" t="s">
        <v>2530</v>
      </c>
      <c r="C1286" s="1" t="s">
        <v>2531</v>
      </c>
      <c r="D1286" s="1" t="s">
        <v>2535</v>
      </c>
      <c r="E1286" s="1" t="s">
        <v>2536</v>
      </c>
      <c r="G1286" s="1" t="s">
        <v>414</v>
      </c>
      <c r="H1286" s="1">
        <v>6.3073323200000004</v>
      </c>
      <c r="I1286" s="1">
        <v>6.4335830219999997</v>
      </c>
      <c r="J1286" s="1">
        <v>6.4286153060000002</v>
      </c>
      <c r="K1286" s="1">
        <v>6.9488037440000001</v>
      </c>
      <c r="L1286" s="1">
        <v>6.7340543439999996</v>
      </c>
      <c r="M1286" s="1">
        <v>6.9453299230000001</v>
      </c>
      <c r="N1286" s="1">
        <v>6.2582753870000003</v>
      </c>
      <c r="O1286" s="1">
        <v>6.4302305970000004</v>
      </c>
      <c r="P1286" s="1">
        <v>6.5001108719999996</v>
      </c>
      <c r="Q1286" s="1">
        <v>6.4985786230000002</v>
      </c>
      <c r="R1286" s="1">
        <v>6.588102728</v>
      </c>
      <c r="S1286" s="1">
        <v>7.0022687970000002</v>
      </c>
      <c r="T1286" s="1">
        <v>6.7340543439999996</v>
      </c>
      <c r="U1286" s="1">
        <v>6.9453299230000001</v>
      </c>
      <c r="V1286" s="1">
        <v>7.0207244439999998</v>
      </c>
      <c r="W1286" s="1">
        <v>7.0126858380000003</v>
      </c>
      <c r="X1286" s="1">
        <v>6.6898371699999997</v>
      </c>
      <c r="Y1286" s="1">
        <v>6.5469586450000001</v>
      </c>
      <c r="Z1286" s="1">
        <v>6.588102728</v>
      </c>
      <c r="AA1286" s="1">
        <v>7.0022687970000002</v>
      </c>
      <c r="AB1286" s="1">
        <v>6.6077920450000001</v>
      </c>
      <c r="AC1286" s="1">
        <v>6.7321847869999996</v>
      </c>
      <c r="AD1286" s="1">
        <v>6.4966454860000002</v>
      </c>
      <c r="AE1286" s="1">
        <v>6.3445305059999999</v>
      </c>
    </row>
    <row r="1287" spans="1:31" x14ac:dyDescent="0.25">
      <c r="A1287" s="1" t="s">
        <v>416</v>
      </c>
      <c r="B1287" s="1" t="s">
        <v>2557</v>
      </c>
      <c r="C1287" s="1" t="s">
        <v>2680</v>
      </c>
      <c r="D1287" s="1" t="s">
        <v>3164</v>
      </c>
      <c r="E1287" s="1" t="s">
        <v>4632</v>
      </c>
      <c r="F1287" s="1" t="s">
        <v>4633</v>
      </c>
      <c r="G1287" s="1" t="s">
        <v>416</v>
      </c>
      <c r="H1287" s="1">
        <v>9.2859838549999996</v>
      </c>
      <c r="I1287" s="1">
        <v>9.5687486780000004</v>
      </c>
      <c r="J1287" s="1">
        <v>8.8299095479999998</v>
      </c>
      <c r="K1287" s="1">
        <v>8.7973170150000009</v>
      </c>
      <c r="L1287" s="1">
        <v>8.5911410060000009</v>
      </c>
      <c r="M1287" s="1">
        <v>8.7139570989999999</v>
      </c>
      <c r="N1287" s="1">
        <v>8.977162452</v>
      </c>
      <c r="O1287" s="1">
        <v>9.1369931560000008</v>
      </c>
      <c r="P1287" s="1">
        <v>9.0256755480000006</v>
      </c>
      <c r="Q1287" s="1">
        <v>8.9162134529999992</v>
      </c>
      <c r="R1287" s="1">
        <v>8.8710334199999998</v>
      </c>
      <c r="S1287" s="1">
        <v>9.092426433</v>
      </c>
      <c r="T1287" s="1">
        <v>8.5911410060000009</v>
      </c>
      <c r="U1287" s="1">
        <v>8.7139570989999999</v>
      </c>
      <c r="V1287" s="1">
        <v>9.3345893059999998</v>
      </c>
      <c r="W1287" s="1">
        <v>9.1297900910000003</v>
      </c>
      <c r="X1287" s="1">
        <v>8.8292314399999992</v>
      </c>
      <c r="Y1287" s="1">
        <v>9.1077155059999999</v>
      </c>
      <c r="Z1287" s="1">
        <v>8.8710334199999998</v>
      </c>
      <c r="AA1287" s="1">
        <v>9.092426433</v>
      </c>
      <c r="AB1287" s="1">
        <v>8.8240762329999995</v>
      </c>
      <c r="AC1287" s="1">
        <v>8.7280763350000008</v>
      </c>
      <c r="AD1287" s="1">
        <v>8.7030609670000008</v>
      </c>
      <c r="AE1287" s="1">
        <v>8.9820003009999994</v>
      </c>
    </row>
    <row r="1288" spans="1:31" x14ac:dyDescent="0.25">
      <c r="A1288" s="1" t="s">
        <v>418</v>
      </c>
      <c r="B1288" s="1" t="s">
        <v>2579</v>
      </c>
      <c r="C1288" s="1" t="s">
        <v>2580</v>
      </c>
      <c r="D1288" s="1" t="s">
        <v>2581</v>
      </c>
      <c r="E1288" s="1" t="s">
        <v>4634</v>
      </c>
      <c r="F1288" s="1" t="s">
        <v>4635</v>
      </c>
      <c r="G1288" s="1" t="s">
        <v>418</v>
      </c>
      <c r="H1288" s="1">
        <v>10.861701650000001</v>
      </c>
      <c r="I1288" s="1">
        <v>10.153060569999999</v>
      </c>
      <c r="J1288" s="1">
        <v>10.63032084</v>
      </c>
      <c r="K1288" s="1">
        <v>10.320780279999999</v>
      </c>
      <c r="L1288" s="1">
        <v>10.725598099999999</v>
      </c>
      <c r="M1288" s="1">
        <v>10.813666830000001</v>
      </c>
      <c r="N1288" s="1">
        <v>9.287752502</v>
      </c>
      <c r="O1288" s="1">
        <v>9.4862655460000003</v>
      </c>
      <c r="P1288" s="1">
        <v>10.362704620000001</v>
      </c>
      <c r="Q1288" s="1">
        <v>10.438192450000001</v>
      </c>
      <c r="R1288" s="1">
        <v>10.719169150000001</v>
      </c>
      <c r="S1288" s="1">
        <v>10.62112773</v>
      </c>
      <c r="T1288" s="1">
        <v>10.725598099999999</v>
      </c>
      <c r="U1288" s="1">
        <v>10.813666830000001</v>
      </c>
      <c r="V1288" s="1">
        <v>10.55036024</v>
      </c>
      <c r="W1288" s="1">
        <v>10.469624830000001</v>
      </c>
      <c r="X1288" s="1">
        <v>11.012340529999999</v>
      </c>
      <c r="Y1288" s="1">
        <v>10.701418200000001</v>
      </c>
      <c r="Z1288" s="1">
        <v>10.719169150000001</v>
      </c>
      <c r="AA1288" s="1">
        <v>10.62112773</v>
      </c>
      <c r="AB1288" s="1">
        <v>10.777180319999999</v>
      </c>
      <c r="AC1288" s="1">
        <v>10.794408000000001</v>
      </c>
      <c r="AD1288" s="1">
        <v>10.82248323</v>
      </c>
      <c r="AE1288" s="1">
        <v>10.56816839</v>
      </c>
    </row>
    <row r="1289" spans="1:31" x14ac:dyDescent="0.25">
      <c r="A1289" s="1" t="s">
        <v>420</v>
      </c>
      <c r="B1289" s="1" t="s">
        <v>2530</v>
      </c>
      <c r="C1289" s="1" t="s">
        <v>2531</v>
      </c>
      <c r="D1289" s="1" t="s">
        <v>2535</v>
      </c>
      <c r="E1289" s="1" t="s">
        <v>2536</v>
      </c>
      <c r="G1289" s="1" t="s">
        <v>420</v>
      </c>
      <c r="H1289" s="1">
        <v>3.9421380259999999</v>
      </c>
      <c r="I1289" s="1">
        <v>4.3763156859999999</v>
      </c>
      <c r="J1289" s="1">
        <v>3.1324899180000001</v>
      </c>
      <c r="K1289" s="1">
        <v>3.4309024589999999</v>
      </c>
      <c r="L1289" s="1">
        <v>3.8051274570000002</v>
      </c>
      <c r="M1289" s="1">
        <v>3.8521266660000002</v>
      </c>
      <c r="N1289" s="1">
        <v>4.4061149080000002</v>
      </c>
      <c r="O1289" s="1">
        <v>4.7100516409999997</v>
      </c>
      <c r="P1289" s="1">
        <v>3.6116823170000001</v>
      </c>
      <c r="Q1289" s="1">
        <v>3.8492287269999999</v>
      </c>
      <c r="R1289" s="1">
        <v>3.7109484589999999</v>
      </c>
      <c r="S1289" s="1">
        <v>3.3463386960000001</v>
      </c>
      <c r="T1289" s="1">
        <v>3.8051274570000002</v>
      </c>
      <c r="U1289" s="1">
        <v>3.8521266660000002</v>
      </c>
      <c r="V1289" s="1">
        <v>3.3993802240000002</v>
      </c>
      <c r="W1289" s="1">
        <v>3.0218530750000001</v>
      </c>
      <c r="X1289" s="1">
        <v>3.5883256710000002</v>
      </c>
      <c r="Y1289" s="1">
        <v>3.6154848500000001</v>
      </c>
      <c r="Z1289" s="1">
        <v>3.7109484589999999</v>
      </c>
      <c r="AA1289" s="1">
        <v>3.3463386960000001</v>
      </c>
      <c r="AB1289" s="1">
        <v>3.8237667059999998</v>
      </c>
      <c r="AC1289" s="1">
        <v>2.87258916</v>
      </c>
      <c r="AD1289" s="1">
        <v>2.6025990879999998</v>
      </c>
      <c r="AE1289" s="1">
        <v>3.9499994520000001</v>
      </c>
    </row>
    <row r="1290" spans="1:31" x14ac:dyDescent="0.25">
      <c r="A1290" s="1" t="s">
        <v>423</v>
      </c>
      <c r="B1290" s="1" t="s">
        <v>2547</v>
      </c>
      <c r="C1290" s="1" t="s">
        <v>2566</v>
      </c>
      <c r="D1290" s="1" t="s">
        <v>2535</v>
      </c>
      <c r="E1290" s="1" t="s">
        <v>2567</v>
      </c>
      <c r="G1290" s="1" t="s">
        <v>423</v>
      </c>
      <c r="H1290" s="1">
        <v>5.1686839359999999</v>
      </c>
      <c r="I1290" s="1">
        <v>4.3763156859999999</v>
      </c>
      <c r="J1290" s="1">
        <v>6.1606909930000002</v>
      </c>
      <c r="K1290" s="1">
        <v>5.6848657879999998</v>
      </c>
      <c r="L1290" s="1">
        <v>5.7543796179999998</v>
      </c>
      <c r="M1290" s="1">
        <v>5.8324912810000002</v>
      </c>
      <c r="N1290" s="1">
        <v>5.0517962220000001</v>
      </c>
      <c r="O1290" s="1">
        <v>5.2237789919999997</v>
      </c>
      <c r="P1290" s="1">
        <v>5.6913184689999996</v>
      </c>
      <c r="Q1290" s="1">
        <v>5.8765740600000003</v>
      </c>
      <c r="R1290" s="1">
        <v>5.8420803340000003</v>
      </c>
      <c r="S1290" s="1">
        <v>5.8024660560000001</v>
      </c>
      <c r="T1290" s="1">
        <v>5.7543796179999998</v>
      </c>
      <c r="U1290" s="1">
        <v>5.8324912810000002</v>
      </c>
      <c r="V1290" s="1">
        <v>5.6392772100000004</v>
      </c>
      <c r="W1290" s="1">
        <v>5.329276363</v>
      </c>
      <c r="X1290" s="1">
        <v>5.6731962669999998</v>
      </c>
      <c r="Y1290" s="1">
        <v>5.5443425189999997</v>
      </c>
      <c r="Z1290" s="1">
        <v>5.8420803340000003</v>
      </c>
      <c r="AA1290" s="1">
        <v>5.8024660560000001</v>
      </c>
      <c r="AB1290" s="1">
        <v>5.2406211000000003</v>
      </c>
      <c r="AC1290" s="1">
        <v>5.9991619270000003</v>
      </c>
      <c r="AD1290" s="1">
        <v>5.116107059</v>
      </c>
      <c r="AE1290" s="1">
        <v>5.473179547</v>
      </c>
    </row>
    <row r="1291" spans="1:31" x14ac:dyDescent="0.25">
      <c r="A1291" s="1" t="s">
        <v>433</v>
      </c>
      <c r="B1291" s="1" t="s">
        <v>2525</v>
      </c>
      <c r="C1291" s="1" t="s">
        <v>3110</v>
      </c>
      <c r="D1291" s="1" t="s">
        <v>3547</v>
      </c>
      <c r="E1291" s="1" t="s">
        <v>4636</v>
      </c>
      <c r="F1291" s="1" t="s">
        <v>4637</v>
      </c>
      <c r="G1291" s="1" t="s">
        <v>433</v>
      </c>
      <c r="H1291" s="1">
        <v>7.4271981650000001</v>
      </c>
      <c r="I1291" s="1">
        <v>7.4544475050000001</v>
      </c>
      <c r="J1291" s="1">
        <v>8.3884547620000003</v>
      </c>
      <c r="K1291" s="1">
        <v>8.1112499590000002</v>
      </c>
      <c r="L1291" s="1">
        <v>8.5058552140000003</v>
      </c>
      <c r="M1291" s="1">
        <v>8.5538687160000002</v>
      </c>
      <c r="N1291" s="1">
        <v>7.6554779960000001</v>
      </c>
      <c r="O1291" s="1">
        <v>7.7262098100000003</v>
      </c>
      <c r="P1291" s="1">
        <v>8.3359078909999997</v>
      </c>
      <c r="Q1291" s="1">
        <v>8.3447035219999997</v>
      </c>
      <c r="R1291" s="1">
        <v>8.5364205490000007</v>
      </c>
      <c r="S1291" s="1">
        <v>8.3468899230000009</v>
      </c>
      <c r="T1291" s="1">
        <v>8.5058552140000003</v>
      </c>
      <c r="U1291" s="1">
        <v>8.5538687160000002</v>
      </c>
      <c r="V1291" s="1">
        <v>8.1879312770000006</v>
      </c>
      <c r="W1291" s="1">
        <v>8.3252496370000006</v>
      </c>
      <c r="X1291" s="1">
        <v>8.2694761460000006</v>
      </c>
      <c r="Y1291" s="1">
        <v>8.4373040360000005</v>
      </c>
      <c r="Z1291" s="1">
        <v>8.5364205490000007</v>
      </c>
      <c r="AA1291" s="1">
        <v>8.3468899230000009</v>
      </c>
      <c r="AB1291" s="1">
        <v>8.4402945959999993</v>
      </c>
      <c r="AC1291" s="1">
        <v>8.3314911249999994</v>
      </c>
      <c r="AD1291" s="1">
        <v>8.3953178049999995</v>
      </c>
      <c r="AE1291" s="1">
        <v>8.2993545649999998</v>
      </c>
    </row>
    <row r="1292" spans="1:31" x14ac:dyDescent="0.25">
      <c r="A1292" s="1" t="s">
        <v>441</v>
      </c>
      <c r="B1292" s="1" t="s">
        <v>2642</v>
      </c>
      <c r="C1292" s="1" t="s">
        <v>2643</v>
      </c>
      <c r="D1292" s="1" t="s">
        <v>2687</v>
      </c>
      <c r="E1292" s="1" t="s">
        <v>2688</v>
      </c>
      <c r="F1292" s="1" t="s">
        <v>2689</v>
      </c>
      <c r="G1292" s="1" t="s">
        <v>441</v>
      </c>
      <c r="H1292" s="1">
        <v>1.7393328349999999</v>
      </c>
      <c r="I1292" s="1">
        <v>1.7393328349999999</v>
      </c>
      <c r="J1292" s="1">
        <v>1.7393328349999999</v>
      </c>
      <c r="K1292" s="1">
        <v>1.7393328349999999</v>
      </c>
      <c r="L1292" s="1">
        <v>1.7393328349999999</v>
      </c>
      <c r="M1292" s="1">
        <v>2.3994532390000001</v>
      </c>
      <c r="N1292" s="1">
        <v>1.7393328349999999</v>
      </c>
      <c r="O1292" s="1">
        <v>1.7393328349999999</v>
      </c>
      <c r="P1292" s="1">
        <v>1.7393328349999999</v>
      </c>
      <c r="Q1292" s="1">
        <v>1.7393328349999999</v>
      </c>
      <c r="R1292" s="1">
        <v>1.7393328349999999</v>
      </c>
      <c r="S1292" s="1">
        <v>1.7393328349999999</v>
      </c>
      <c r="T1292" s="1">
        <v>1.7393328349999999</v>
      </c>
      <c r="U1292" s="1">
        <v>2.3994532390000001</v>
      </c>
      <c r="V1292" s="1">
        <v>1.7393328349999999</v>
      </c>
      <c r="W1292" s="1">
        <v>1.7393328349999999</v>
      </c>
      <c r="X1292" s="1">
        <v>1.7393328349999999</v>
      </c>
      <c r="Y1292" s="1">
        <v>1.7393328349999999</v>
      </c>
      <c r="Z1292" s="1">
        <v>1.7393328349999999</v>
      </c>
      <c r="AA1292" s="1">
        <v>1.7393328349999999</v>
      </c>
      <c r="AB1292" s="1">
        <v>1.7393328349999999</v>
      </c>
      <c r="AC1292" s="1">
        <v>1.7393328349999999</v>
      </c>
      <c r="AD1292" s="1">
        <v>1.7393328349999999</v>
      </c>
      <c r="AE1292" s="1">
        <v>1.7393328349999999</v>
      </c>
    </row>
    <row r="1293" spans="1:31" x14ac:dyDescent="0.25">
      <c r="A1293" s="1" t="s">
        <v>442</v>
      </c>
      <c r="B1293" s="1" t="s">
        <v>2557</v>
      </c>
      <c r="C1293" s="1" t="s">
        <v>2658</v>
      </c>
      <c r="D1293" s="1" t="s">
        <v>3418</v>
      </c>
      <c r="E1293" s="1" t="s">
        <v>4638</v>
      </c>
      <c r="F1293" s="1" t="s">
        <v>4639</v>
      </c>
      <c r="G1293" s="1" t="s">
        <v>442</v>
      </c>
      <c r="H1293" s="1">
        <v>4.6479005740000003</v>
      </c>
      <c r="I1293" s="1">
        <v>4.0101074990000001</v>
      </c>
      <c r="J1293" s="1">
        <v>5.6488969620000002</v>
      </c>
      <c r="K1293" s="1">
        <v>5.5719358019999996</v>
      </c>
      <c r="L1293" s="1">
        <v>4.9864364329999997</v>
      </c>
      <c r="M1293" s="1">
        <v>5.6801009100000002</v>
      </c>
      <c r="N1293" s="1">
        <v>4.6936110280000003</v>
      </c>
      <c r="O1293" s="1">
        <v>4.9384407589999997</v>
      </c>
      <c r="P1293" s="1">
        <v>5.1018341500000002</v>
      </c>
      <c r="Q1293" s="1">
        <v>5.6144419360000004</v>
      </c>
      <c r="R1293" s="1">
        <v>5.4182058560000002</v>
      </c>
      <c r="S1293" s="1">
        <v>5.7416668729999998</v>
      </c>
      <c r="T1293" s="1">
        <v>4.9864364329999997</v>
      </c>
      <c r="U1293" s="1">
        <v>5.6801009100000002</v>
      </c>
      <c r="V1293" s="1">
        <v>5.0857495259999999</v>
      </c>
      <c r="W1293" s="1">
        <v>5.4743148909999997</v>
      </c>
      <c r="X1293" s="1">
        <v>6.1145484569999997</v>
      </c>
      <c r="Y1293" s="1">
        <v>5.6227961889999998</v>
      </c>
      <c r="Z1293" s="1">
        <v>5.4182058560000002</v>
      </c>
      <c r="AA1293" s="1">
        <v>5.7416668729999998</v>
      </c>
      <c r="AB1293" s="1">
        <v>5.6280506069999996</v>
      </c>
      <c r="AC1293" s="1">
        <v>6.0234746389999998</v>
      </c>
      <c r="AD1293" s="1">
        <v>5.3536174839999999</v>
      </c>
      <c r="AE1293" s="1">
        <v>5.7368382310000001</v>
      </c>
    </row>
    <row r="1294" spans="1:31" x14ac:dyDescent="0.25">
      <c r="A1294" s="1" t="s">
        <v>445</v>
      </c>
      <c r="B1294" s="1" t="s">
        <v>2520</v>
      </c>
      <c r="C1294" s="1" t="s">
        <v>3853</v>
      </c>
      <c r="D1294" s="1" t="s">
        <v>3957</v>
      </c>
      <c r="E1294" s="1" t="s">
        <v>4640</v>
      </c>
      <c r="F1294" s="1" t="s">
        <v>4641</v>
      </c>
      <c r="G1294" s="1" t="s">
        <v>445</v>
      </c>
      <c r="H1294" s="1">
        <v>5.0553993879999997</v>
      </c>
      <c r="I1294" s="1">
        <v>4.903725959</v>
      </c>
      <c r="J1294" s="1">
        <v>4.9532699769999997</v>
      </c>
      <c r="K1294" s="1">
        <v>4.5171444090000001</v>
      </c>
      <c r="L1294" s="1">
        <v>4.3727018190000004</v>
      </c>
      <c r="M1294" s="1">
        <v>4.5846937370000003</v>
      </c>
      <c r="N1294" s="1">
        <v>5.428348615</v>
      </c>
      <c r="O1294" s="1">
        <v>5.1040005129999999</v>
      </c>
      <c r="P1294" s="1">
        <v>4.7972962780000001</v>
      </c>
      <c r="Q1294" s="1">
        <v>4.611970812</v>
      </c>
      <c r="R1294" s="1">
        <v>4.5333476509999997</v>
      </c>
      <c r="S1294" s="1">
        <v>4.5490843459999999</v>
      </c>
      <c r="T1294" s="1">
        <v>4.3727018190000004</v>
      </c>
      <c r="U1294" s="1">
        <v>4.5846937370000003</v>
      </c>
      <c r="V1294" s="1">
        <v>5.2072842770000003</v>
      </c>
      <c r="W1294" s="1">
        <v>5.6472737119999996</v>
      </c>
      <c r="X1294" s="1">
        <v>4.7192629950000002</v>
      </c>
      <c r="Y1294" s="1">
        <v>5.2297915760000002</v>
      </c>
      <c r="Z1294" s="1">
        <v>4.5333476509999997</v>
      </c>
      <c r="AA1294" s="1">
        <v>4.5490843459999999</v>
      </c>
      <c r="AB1294" s="1">
        <v>4.3946012420000002</v>
      </c>
      <c r="AC1294" s="1">
        <v>4.8610120620000004</v>
      </c>
      <c r="AD1294" s="1">
        <v>4.2970121150000002</v>
      </c>
      <c r="AE1294" s="1">
        <v>4.7290680490000003</v>
      </c>
    </row>
    <row r="1295" spans="1:31" x14ac:dyDescent="0.25">
      <c r="A1295" s="1" t="s">
        <v>446</v>
      </c>
      <c r="B1295" s="1" t="s">
        <v>2642</v>
      </c>
      <c r="C1295" s="1" t="s">
        <v>2643</v>
      </c>
      <c r="D1295" s="1" t="s">
        <v>2687</v>
      </c>
      <c r="E1295" s="1" t="s">
        <v>3094</v>
      </c>
      <c r="F1295" s="1" t="s">
        <v>3095</v>
      </c>
      <c r="G1295" s="1" t="s">
        <v>446</v>
      </c>
      <c r="H1295" s="1">
        <v>4.6479005740000003</v>
      </c>
      <c r="I1295" s="1">
        <v>4.1114152529999997</v>
      </c>
      <c r="J1295" s="1">
        <v>3.4977151119999998</v>
      </c>
      <c r="K1295" s="1">
        <v>3.607491666</v>
      </c>
      <c r="L1295" s="1">
        <v>1.7393328349999999</v>
      </c>
      <c r="M1295" s="1">
        <v>2.665084539</v>
      </c>
      <c r="N1295" s="1">
        <v>5.0517962220000001</v>
      </c>
      <c r="O1295" s="1">
        <v>5.2522077749999996</v>
      </c>
      <c r="P1295" s="1">
        <v>2.5478783159999998</v>
      </c>
      <c r="Q1295" s="1">
        <v>1.7393328349999999</v>
      </c>
      <c r="R1295" s="1">
        <v>3.5594063970000001</v>
      </c>
      <c r="S1295" s="1">
        <v>2.9034795349999998</v>
      </c>
      <c r="T1295" s="1">
        <v>1.7393328349999999</v>
      </c>
      <c r="U1295" s="1">
        <v>2.665084539</v>
      </c>
      <c r="V1295" s="1">
        <v>3.0516113059999999</v>
      </c>
      <c r="W1295" s="1">
        <v>2.6606351240000001</v>
      </c>
      <c r="X1295" s="1">
        <v>2.3600830049999999</v>
      </c>
      <c r="Y1295" s="1">
        <v>1.7393328349999999</v>
      </c>
      <c r="Z1295" s="1">
        <v>3.5594063970000001</v>
      </c>
      <c r="AA1295" s="1">
        <v>2.9034795349999998</v>
      </c>
      <c r="AB1295" s="1">
        <v>3.1218319999999999</v>
      </c>
      <c r="AC1295" s="1">
        <v>2.87258916</v>
      </c>
      <c r="AD1295" s="1">
        <v>3.3987395579999999</v>
      </c>
      <c r="AE1295" s="1">
        <v>3.419797387</v>
      </c>
    </row>
    <row r="1296" spans="1:31" x14ac:dyDescent="0.25">
      <c r="A1296" s="1" t="s">
        <v>447</v>
      </c>
      <c r="B1296" s="1" t="s">
        <v>2530</v>
      </c>
      <c r="C1296" s="1" t="s">
        <v>2531</v>
      </c>
      <c r="D1296" s="1" t="s">
        <v>2535</v>
      </c>
      <c r="E1296" s="1" t="s">
        <v>2536</v>
      </c>
      <c r="G1296" s="1" t="s">
        <v>447</v>
      </c>
      <c r="H1296" s="1">
        <v>5.5485883999999999</v>
      </c>
      <c r="I1296" s="1">
        <v>5.2436995780000002</v>
      </c>
      <c r="J1296" s="1">
        <v>3.6453331530000002</v>
      </c>
      <c r="K1296" s="1">
        <v>3.607491666</v>
      </c>
      <c r="L1296" s="1">
        <v>3.5435353630000002</v>
      </c>
      <c r="M1296" s="1">
        <v>3.6924658159999999</v>
      </c>
      <c r="N1296" s="1">
        <v>5.5548950010000002</v>
      </c>
      <c r="O1296" s="1">
        <v>5.8796079560000001</v>
      </c>
      <c r="P1296" s="1">
        <v>4.2485661720000003</v>
      </c>
      <c r="Q1296" s="1">
        <v>4.4575363990000003</v>
      </c>
      <c r="R1296" s="1">
        <v>3.968758995</v>
      </c>
      <c r="S1296" s="1">
        <v>3.6647387380000001</v>
      </c>
      <c r="T1296" s="1">
        <v>3.5435353630000002</v>
      </c>
      <c r="U1296" s="1">
        <v>3.6924658159999999</v>
      </c>
      <c r="V1296" s="1">
        <v>4.1608706030000002</v>
      </c>
      <c r="W1296" s="1">
        <v>4.1128053839999996</v>
      </c>
      <c r="X1296" s="1">
        <v>3.6673381269999998</v>
      </c>
      <c r="Y1296" s="1">
        <v>4.4420910779999998</v>
      </c>
      <c r="Z1296" s="1">
        <v>3.968758995</v>
      </c>
      <c r="AA1296" s="1">
        <v>3.6647387380000001</v>
      </c>
      <c r="AB1296" s="1">
        <v>3.8237667059999998</v>
      </c>
      <c r="AC1296" s="1">
        <v>3.8665622239999999</v>
      </c>
      <c r="AD1296" s="1">
        <v>4.2005997429999997</v>
      </c>
      <c r="AE1296" s="1">
        <v>4.542053224</v>
      </c>
    </row>
    <row r="1297" spans="1:31" x14ac:dyDescent="0.25">
      <c r="A1297" s="1" t="s">
        <v>448</v>
      </c>
      <c r="B1297" s="1" t="s">
        <v>2838</v>
      </c>
      <c r="C1297" s="1" t="s">
        <v>4642</v>
      </c>
      <c r="D1297" s="1" t="s">
        <v>2535</v>
      </c>
      <c r="E1297" s="1" t="s">
        <v>4643</v>
      </c>
      <c r="G1297" s="1" t="s">
        <v>448</v>
      </c>
      <c r="H1297" s="1">
        <v>5.7431528099999998</v>
      </c>
      <c r="I1297" s="1">
        <v>5.4817092260000004</v>
      </c>
      <c r="J1297" s="1">
        <v>5.5131441250000002</v>
      </c>
      <c r="K1297" s="1">
        <v>5.166960875</v>
      </c>
      <c r="L1297" s="1">
        <v>6.5298006300000004</v>
      </c>
      <c r="M1297" s="1">
        <v>6.1691684679999996</v>
      </c>
      <c r="N1297" s="1">
        <v>6.1558623460000002</v>
      </c>
      <c r="O1297" s="1">
        <v>5.7062857469999999</v>
      </c>
      <c r="P1297" s="1">
        <v>5.7504406890000004</v>
      </c>
      <c r="Q1297" s="1">
        <v>5.6846114249999999</v>
      </c>
      <c r="R1297" s="1">
        <v>5.8723300570000001</v>
      </c>
      <c r="S1297" s="1">
        <v>5.6117239269999999</v>
      </c>
      <c r="T1297" s="1">
        <v>6.5298006300000004</v>
      </c>
      <c r="U1297" s="1">
        <v>6.1691684679999996</v>
      </c>
      <c r="V1297" s="1">
        <v>5.7495972609999999</v>
      </c>
      <c r="W1297" s="1">
        <v>5.872872095</v>
      </c>
      <c r="X1297" s="1">
        <v>5.8252409690000002</v>
      </c>
      <c r="Y1297" s="1">
        <v>5.0128502209999999</v>
      </c>
      <c r="Z1297" s="1">
        <v>5.8723300570000001</v>
      </c>
      <c r="AA1297" s="1">
        <v>5.6117239269999999</v>
      </c>
      <c r="AB1297" s="1">
        <v>5.5276660309999999</v>
      </c>
      <c r="AC1297" s="1">
        <v>5.6067493529999997</v>
      </c>
      <c r="AD1297" s="1">
        <v>5.2633210659999996</v>
      </c>
      <c r="AE1297" s="1">
        <v>5.0965372069999999</v>
      </c>
    </row>
    <row r="1298" spans="1:31" x14ac:dyDescent="0.25">
      <c r="A1298" s="1" t="s">
        <v>449</v>
      </c>
      <c r="B1298" s="1" t="s">
        <v>2530</v>
      </c>
      <c r="C1298" s="1" t="s">
        <v>2531</v>
      </c>
      <c r="D1298" s="1" t="s">
        <v>2535</v>
      </c>
      <c r="E1298" s="1" t="s">
        <v>2536</v>
      </c>
      <c r="G1298" s="1" t="s">
        <v>449</v>
      </c>
      <c r="H1298" s="1">
        <v>6.512907255</v>
      </c>
      <c r="I1298" s="1">
        <v>5.9974724879999997</v>
      </c>
      <c r="J1298" s="1">
        <v>5.1501560140000002</v>
      </c>
      <c r="K1298" s="1">
        <v>5.2674352469999999</v>
      </c>
      <c r="L1298" s="1">
        <v>4.8288685039999999</v>
      </c>
      <c r="M1298" s="1">
        <v>4.9970812499999999</v>
      </c>
      <c r="N1298" s="1">
        <v>6.3768118319999996</v>
      </c>
      <c r="O1298" s="1">
        <v>6.6263910580000003</v>
      </c>
      <c r="P1298" s="1">
        <v>6.849263358</v>
      </c>
      <c r="Q1298" s="1">
        <v>6.6807419020000003</v>
      </c>
      <c r="R1298" s="1">
        <v>6.0937807429999999</v>
      </c>
      <c r="S1298" s="1">
        <v>6.8810329960000001</v>
      </c>
      <c r="T1298" s="1">
        <v>4.8288685039999999</v>
      </c>
      <c r="U1298" s="1">
        <v>4.9970812499999999</v>
      </c>
      <c r="V1298" s="1">
        <v>5.8270932010000003</v>
      </c>
      <c r="W1298" s="1">
        <v>6.0677414089999999</v>
      </c>
      <c r="X1298" s="1">
        <v>5.8569434649999996</v>
      </c>
      <c r="Y1298" s="1">
        <v>6.5062933870000004</v>
      </c>
      <c r="Z1298" s="1">
        <v>6.0937807429999999</v>
      </c>
      <c r="AA1298" s="1">
        <v>6.8810329960000001</v>
      </c>
      <c r="AB1298" s="1">
        <v>6.2478766610000003</v>
      </c>
      <c r="AC1298" s="1">
        <v>5.6386390840000002</v>
      </c>
      <c r="AD1298" s="1">
        <v>6.4768062029999998</v>
      </c>
      <c r="AE1298" s="1">
        <v>6.6388355429999999</v>
      </c>
    </row>
    <row r="1299" spans="1:31" x14ac:dyDescent="0.25">
      <c r="A1299" s="1" t="s">
        <v>450</v>
      </c>
      <c r="B1299" s="1" t="s">
        <v>2530</v>
      </c>
      <c r="C1299" s="1" t="s">
        <v>2573</v>
      </c>
      <c r="D1299" s="1" t="s">
        <v>2535</v>
      </c>
      <c r="E1299" s="1" t="s">
        <v>4644</v>
      </c>
      <c r="G1299" s="1" t="s">
        <v>450</v>
      </c>
      <c r="H1299" s="1">
        <v>4.7972697699999998</v>
      </c>
      <c r="I1299" s="1">
        <v>4.2055918060000002</v>
      </c>
      <c r="J1299" s="1">
        <v>3.329519721</v>
      </c>
      <c r="K1299" s="1">
        <v>3.4309024589999999</v>
      </c>
      <c r="L1299" s="1">
        <v>3.3884746630000002</v>
      </c>
      <c r="M1299" s="1">
        <v>3.7747836370000001</v>
      </c>
      <c r="N1299" s="1">
        <v>4.6936110280000003</v>
      </c>
      <c r="O1299" s="1">
        <v>5.1947693419999998</v>
      </c>
      <c r="P1299" s="1">
        <v>5.1903212940000003</v>
      </c>
      <c r="Q1299" s="1">
        <v>5.2931690810000003</v>
      </c>
      <c r="R1299" s="1">
        <v>4.6795267799999998</v>
      </c>
      <c r="S1299" s="1">
        <v>4.6194390810000003</v>
      </c>
      <c r="T1299" s="1">
        <v>3.3884746630000002</v>
      </c>
      <c r="U1299" s="1">
        <v>3.7747836370000001</v>
      </c>
      <c r="V1299" s="1">
        <v>3.6670520409999998</v>
      </c>
      <c r="W1299" s="1">
        <v>3.9848641250000001</v>
      </c>
      <c r="X1299" s="1">
        <v>4.5325909299999996</v>
      </c>
      <c r="Y1299" s="1">
        <v>4.8904630100000004</v>
      </c>
      <c r="Z1299" s="1">
        <v>4.6795267799999998</v>
      </c>
      <c r="AA1299" s="1">
        <v>4.6194390810000003</v>
      </c>
      <c r="AB1299" s="1">
        <v>4.5063178209999997</v>
      </c>
      <c r="AC1299" s="1">
        <v>4.6870272159999997</v>
      </c>
      <c r="AD1299" s="1">
        <v>4.6264106470000002</v>
      </c>
      <c r="AE1299" s="1">
        <v>4.6572481659999996</v>
      </c>
    </row>
    <row r="1300" spans="1:31" x14ac:dyDescent="0.25">
      <c r="A1300" s="1" t="s">
        <v>452</v>
      </c>
      <c r="B1300" s="1" t="s">
        <v>2547</v>
      </c>
      <c r="C1300" s="1" t="s">
        <v>2566</v>
      </c>
      <c r="D1300" s="1" t="s">
        <v>2822</v>
      </c>
      <c r="E1300" s="1" t="s">
        <v>4645</v>
      </c>
      <c r="F1300" s="1" t="s">
        <v>4646</v>
      </c>
      <c r="G1300" s="1" t="s">
        <v>452</v>
      </c>
      <c r="H1300" s="1">
        <v>5.1131742039999999</v>
      </c>
      <c r="I1300" s="1">
        <v>4.903725959</v>
      </c>
      <c r="J1300" s="1">
        <v>5.1501560140000002</v>
      </c>
      <c r="K1300" s="1">
        <v>5.166960875</v>
      </c>
      <c r="L1300" s="1">
        <v>5.7398214760000004</v>
      </c>
      <c r="M1300" s="1">
        <v>5.6393255609999997</v>
      </c>
      <c r="N1300" s="1">
        <v>4.9930900400000002</v>
      </c>
      <c r="O1300" s="1">
        <v>4.9028628039999997</v>
      </c>
      <c r="P1300" s="1">
        <v>5.4627121560000003</v>
      </c>
      <c r="Q1300" s="1">
        <v>5.2473923969999996</v>
      </c>
      <c r="R1300" s="1">
        <v>5.8420803340000003</v>
      </c>
      <c r="S1300" s="1">
        <v>5.2672271329999996</v>
      </c>
      <c r="T1300" s="1">
        <v>5.7398214760000004</v>
      </c>
      <c r="U1300" s="1">
        <v>5.6393255609999997</v>
      </c>
      <c r="V1300" s="1">
        <v>4.9527859210000003</v>
      </c>
      <c r="W1300" s="1">
        <v>4.8493412630000003</v>
      </c>
      <c r="X1300" s="1">
        <v>5.7763317320000001</v>
      </c>
      <c r="Y1300" s="1">
        <v>5.1785898169999998</v>
      </c>
      <c r="Z1300" s="1">
        <v>5.8420803340000003</v>
      </c>
      <c r="AA1300" s="1">
        <v>5.2672271329999996</v>
      </c>
      <c r="AB1300" s="1">
        <v>5.675717079</v>
      </c>
      <c r="AC1300" s="1">
        <v>5.3988312660000002</v>
      </c>
      <c r="AD1300" s="1">
        <v>5.396704357</v>
      </c>
      <c r="AE1300" s="1">
        <v>4.9548800440000003</v>
      </c>
    </row>
    <row r="1301" spans="1:31" x14ac:dyDescent="0.25">
      <c r="A1301" s="1" t="s">
        <v>453</v>
      </c>
      <c r="B1301" s="1" t="s">
        <v>2547</v>
      </c>
      <c r="C1301" s="1" t="s">
        <v>2566</v>
      </c>
      <c r="D1301" s="1" t="s">
        <v>3578</v>
      </c>
      <c r="E1301" s="1" t="s">
        <v>4647</v>
      </c>
      <c r="F1301" s="1" t="s">
        <v>4648</v>
      </c>
      <c r="G1301" s="1" t="s">
        <v>453</v>
      </c>
      <c r="H1301" s="1">
        <v>4.6479005740000003</v>
      </c>
      <c r="I1301" s="1">
        <v>4.66484875</v>
      </c>
      <c r="J1301" s="1">
        <v>3.7773371739999999</v>
      </c>
      <c r="K1301" s="1">
        <v>5.0588199180000002</v>
      </c>
      <c r="L1301" s="1">
        <v>4.6825378889999998</v>
      </c>
      <c r="M1301" s="1">
        <v>4.5403831759999997</v>
      </c>
      <c r="N1301" s="1">
        <v>4.2617896110000002</v>
      </c>
      <c r="O1301" s="1">
        <v>4.5801520279999997</v>
      </c>
      <c r="P1301" s="1">
        <v>4.6160325330000003</v>
      </c>
      <c r="Q1301" s="1">
        <v>5.1004769559999996</v>
      </c>
      <c r="R1301" s="1">
        <v>4.2802026870000001</v>
      </c>
      <c r="S1301" s="1">
        <v>4.2250836859999996</v>
      </c>
      <c r="T1301" s="1">
        <v>4.6825378889999998</v>
      </c>
      <c r="U1301" s="1">
        <v>4.5403831759999997</v>
      </c>
      <c r="V1301" s="1">
        <v>3.887436229</v>
      </c>
      <c r="W1301" s="1">
        <v>4.7760085830000003</v>
      </c>
      <c r="X1301" s="1">
        <v>4.7537743670000001</v>
      </c>
      <c r="Y1301" s="1">
        <v>4.5275934409999996</v>
      </c>
      <c r="Z1301" s="1">
        <v>4.2802026870000001</v>
      </c>
      <c r="AA1301" s="1">
        <v>4.2250836859999996</v>
      </c>
      <c r="AB1301" s="1">
        <v>4.6096720080000004</v>
      </c>
      <c r="AC1301" s="1">
        <v>4.1685844940000001</v>
      </c>
      <c r="AD1301" s="1">
        <v>4.2005997429999997</v>
      </c>
      <c r="AE1301" s="1">
        <v>3.9499994520000001</v>
      </c>
    </row>
    <row r="1302" spans="1:31" x14ac:dyDescent="0.25">
      <c r="A1302" s="1" t="s">
        <v>454</v>
      </c>
      <c r="B1302" s="1" t="s">
        <v>2542</v>
      </c>
      <c r="C1302" s="1" t="s">
        <v>2543</v>
      </c>
      <c r="D1302" s="1" t="s">
        <v>2776</v>
      </c>
      <c r="E1302" s="1" t="s">
        <v>4649</v>
      </c>
      <c r="F1302" s="1" t="s">
        <v>4650</v>
      </c>
      <c r="G1302" s="1" t="s">
        <v>454</v>
      </c>
      <c r="H1302" s="1">
        <v>3.8023684370000002</v>
      </c>
      <c r="I1302" s="1">
        <v>3.7806045529999999</v>
      </c>
      <c r="J1302" s="1">
        <v>5.7728716349999996</v>
      </c>
      <c r="K1302" s="1">
        <v>4.941717659</v>
      </c>
      <c r="L1302" s="1">
        <v>6.2202063540000001</v>
      </c>
      <c r="M1302" s="1">
        <v>6.4178773749999998</v>
      </c>
      <c r="N1302" s="1">
        <v>4.3116130799999999</v>
      </c>
      <c r="O1302" s="1">
        <v>4.3322392709999997</v>
      </c>
      <c r="P1302" s="1">
        <v>5.7791106289999998</v>
      </c>
      <c r="Q1302" s="1">
        <v>5.991605206</v>
      </c>
      <c r="R1302" s="1">
        <v>6.3078659510000001</v>
      </c>
      <c r="S1302" s="1">
        <v>6.4405915680000003</v>
      </c>
      <c r="T1302" s="1">
        <v>6.2202063540000001</v>
      </c>
      <c r="U1302" s="1">
        <v>6.4178773749999998</v>
      </c>
      <c r="V1302" s="1">
        <v>6.1817294079999998</v>
      </c>
      <c r="W1302" s="1">
        <v>6.463427716</v>
      </c>
      <c r="X1302" s="1">
        <v>6.7915338409999997</v>
      </c>
      <c r="Y1302" s="1">
        <v>6.4644452860000001</v>
      </c>
      <c r="Z1302" s="1">
        <v>6.3078659510000001</v>
      </c>
      <c r="AA1302" s="1">
        <v>6.4405915680000003</v>
      </c>
      <c r="AB1302" s="1">
        <v>6.4252252849999998</v>
      </c>
      <c r="AC1302" s="1">
        <v>6.6873132819999999</v>
      </c>
      <c r="AD1302" s="1">
        <v>6.7490106299999999</v>
      </c>
      <c r="AE1302" s="1">
        <v>6.6479843379999997</v>
      </c>
    </row>
    <row r="1303" spans="1:31" x14ac:dyDescent="0.25">
      <c r="A1303" s="1" t="s">
        <v>456</v>
      </c>
      <c r="B1303" s="1" t="s">
        <v>2667</v>
      </c>
      <c r="C1303" s="1" t="s">
        <v>2875</v>
      </c>
      <c r="D1303" s="1" t="s">
        <v>4651</v>
      </c>
      <c r="E1303" s="1" t="s">
        <v>4652</v>
      </c>
      <c r="F1303" s="1" t="s">
        <v>4653</v>
      </c>
      <c r="G1303" s="1" t="s">
        <v>456</v>
      </c>
      <c r="H1303" s="1">
        <v>10.011157409999999</v>
      </c>
      <c r="I1303" s="1">
        <v>9.7379823549999998</v>
      </c>
      <c r="J1303" s="1">
        <v>8.4312539750000006</v>
      </c>
      <c r="K1303" s="1">
        <v>8.6756287000000007</v>
      </c>
      <c r="L1303" s="1">
        <v>8.1477104889999996</v>
      </c>
      <c r="M1303" s="1">
        <v>8.0136547670000002</v>
      </c>
      <c r="N1303" s="1">
        <v>8.9506949860000002</v>
      </c>
      <c r="O1303" s="1">
        <v>9.3800359330000003</v>
      </c>
      <c r="P1303" s="1">
        <v>8.3407066499999996</v>
      </c>
      <c r="Q1303" s="1">
        <v>8.3924549220000006</v>
      </c>
      <c r="R1303" s="1">
        <v>8.3237702299999992</v>
      </c>
      <c r="S1303" s="1">
        <v>8.2026378730000005</v>
      </c>
      <c r="T1303" s="1">
        <v>8.1477104889999996</v>
      </c>
      <c r="U1303" s="1">
        <v>8.0136547670000002</v>
      </c>
      <c r="V1303" s="1">
        <v>8.4174848450000006</v>
      </c>
      <c r="W1303" s="1">
        <v>8.4113353770000003</v>
      </c>
      <c r="X1303" s="1">
        <v>8.0340674750000005</v>
      </c>
      <c r="Y1303" s="1">
        <v>8.5464945149999991</v>
      </c>
      <c r="Z1303" s="1">
        <v>8.3237702299999992</v>
      </c>
      <c r="AA1303" s="1">
        <v>8.2026378730000005</v>
      </c>
      <c r="AB1303" s="1">
        <v>8.3554046</v>
      </c>
      <c r="AC1303" s="1">
        <v>8.3555690219999992</v>
      </c>
      <c r="AD1303" s="1">
        <v>8.5737952659999994</v>
      </c>
      <c r="AE1303" s="1">
        <v>8.4867551419999998</v>
      </c>
    </row>
    <row r="1304" spans="1:31" x14ac:dyDescent="0.25">
      <c r="A1304" s="1" t="s">
        <v>457</v>
      </c>
      <c r="B1304" s="1" t="s">
        <v>2530</v>
      </c>
      <c r="C1304" s="1" t="s">
        <v>2531</v>
      </c>
      <c r="D1304" s="1" t="s">
        <v>2535</v>
      </c>
      <c r="E1304" s="1" t="s">
        <v>4654</v>
      </c>
      <c r="G1304" s="1" t="s">
        <v>457</v>
      </c>
      <c r="H1304" s="1">
        <v>6.4696957609999997</v>
      </c>
      <c r="I1304" s="1">
        <v>6.5422250579999996</v>
      </c>
      <c r="J1304" s="1">
        <v>5.2817155790000001</v>
      </c>
      <c r="K1304" s="1">
        <v>5.7895293819999996</v>
      </c>
      <c r="L1304" s="1">
        <v>5.3560765139999997</v>
      </c>
      <c r="M1304" s="1">
        <v>4.8607408789999997</v>
      </c>
      <c r="N1304" s="1">
        <v>6.7894418200000004</v>
      </c>
      <c r="O1304" s="1">
        <v>7.3092993990000004</v>
      </c>
      <c r="P1304" s="1">
        <v>5.1467681949999999</v>
      </c>
      <c r="Q1304" s="1">
        <v>5.1511590549999999</v>
      </c>
      <c r="R1304" s="1">
        <v>5.1472208640000003</v>
      </c>
      <c r="S1304" s="1">
        <v>4.4749637470000003</v>
      </c>
      <c r="T1304" s="1">
        <v>5.3560765139999997</v>
      </c>
      <c r="U1304" s="1">
        <v>4.8607408789999997</v>
      </c>
      <c r="V1304" s="1">
        <v>5.0857495259999999</v>
      </c>
      <c r="W1304" s="1">
        <v>5.8015499779999997</v>
      </c>
      <c r="X1304" s="1">
        <v>4.8838989719999999</v>
      </c>
      <c r="Y1304" s="1">
        <v>5.0128502209999999</v>
      </c>
      <c r="Z1304" s="1">
        <v>5.1472208640000003</v>
      </c>
      <c r="AA1304" s="1">
        <v>4.4749637470000003</v>
      </c>
      <c r="AB1304" s="1">
        <v>4.6096720080000004</v>
      </c>
      <c r="AC1304" s="1">
        <v>5.0638423939999999</v>
      </c>
      <c r="AD1304" s="1">
        <v>5.6665831520000003</v>
      </c>
      <c r="AE1304" s="1">
        <v>5.175187158</v>
      </c>
    </row>
    <row r="1305" spans="1:31" x14ac:dyDescent="0.25">
      <c r="A1305" s="1" t="s">
        <v>459</v>
      </c>
      <c r="B1305" s="1" t="s">
        <v>2520</v>
      </c>
      <c r="C1305" s="1" t="s">
        <v>3853</v>
      </c>
      <c r="D1305" s="1" t="s">
        <v>4655</v>
      </c>
      <c r="E1305" s="1" t="s">
        <v>4656</v>
      </c>
      <c r="F1305" s="1" t="s">
        <v>4657</v>
      </c>
      <c r="G1305" s="1" t="s">
        <v>459</v>
      </c>
      <c r="H1305" s="1">
        <v>5.5062820300000004</v>
      </c>
      <c r="I1305" s="1">
        <v>4.5981535630000003</v>
      </c>
      <c r="J1305" s="1">
        <v>4.2898244959999996</v>
      </c>
      <c r="K1305" s="1">
        <v>3.8998480660000001</v>
      </c>
      <c r="L1305" s="1">
        <v>3.8629070379999999</v>
      </c>
      <c r="M1305" s="1">
        <v>3.7747836370000001</v>
      </c>
      <c r="N1305" s="1">
        <v>5.3372793730000003</v>
      </c>
      <c r="O1305" s="1">
        <v>4.7507950320000001</v>
      </c>
      <c r="P1305" s="1">
        <v>3.6116823170000001</v>
      </c>
      <c r="Q1305" s="1">
        <v>4.18747588</v>
      </c>
      <c r="R1305" s="1">
        <v>3.968758995</v>
      </c>
      <c r="S1305" s="1">
        <v>3.6647387380000001</v>
      </c>
      <c r="T1305" s="1">
        <v>3.8629070379999999</v>
      </c>
      <c r="U1305" s="1">
        <v>3.7747836370000001</v>
      </c>
      <c r="V1305" s="1">
        <v>3.887436229</v>
      </c>
      <c r="W1305" s="1">
        <v>3.6840067150000002</v>
      </c>
      <c r="X1305" s="1">
        <v>4.0022987600000004</v>
      </c>
      <c r="Y1305" s="1">
        <v>4.6842287809999998</v>
      </c>
      <c r="Z1305" s="1">
        <v>3.968758995</v>
      </c>
      <c r="AA1305" s="1">
        <v>3.6647387380000001</v>
      </c>
      <c r="AB1305" s="1">
        <v>3.6315729079999999</v>
      </c>
      <c r="AC1305" s="1">
        <v>3.8665622239999999</v>
      </c>
      <c r="AD1305" s="1">
        <v>3.5727029510000001</v>
      </c>
      <c r="AE1305" s="1">
        <v>4.542053224</v>
      </c>
    </row>
    <row r="1306" spans="1:31" x14ac:dyDescent="0.25">
      <c r="A1306" s="1" t="s">
        <v>460</v>
      </c>
      <c r="B1306" s="1" t="s">
        <v>2530</v>
      </c>
      <c r="C1306" s="1" t="s">
        <v>2531</v>
      </c>
      <c r="D1306" s="1" t="s">
        <v>2535</v>
      </c>
      <c r="E1306" s="1" t="s">
        <v>2536</v>
      </c>
      <c r="G1306" s="1" t="s">
        <v>460</v>
      </c>
      <c r="H1306" s="1">
        <v>3.6455184960000002</v>
      </c>
      <c r="I1306" s="1">
        <v>4.0101074990000001</v>
      </c>
      <c r="J1306" s="1">
        <v>3.1324899180000001</v>
      </c>
      <c r="K1306" s="1">
        <v>2.620638279</v>
      </c>
      <c r="L1306" s="1">
        <v>3.971296959</v>
      </c>
      <c r="M1306" s="1">
        <v>3.8521266660000002</v>
      </c>
      <c r="N1306" s="1">
        <v>3.9806352139999999</v>
      </c>
      <c r="O1306" s="1">
        <v>3.6346882059999999</v>
      </c>
      <c r="P1306" s="1">
        <v>3.7419514989999998</v>
      </c>
      <c r="Q1306" s="1">
        <v>2.935765398</v>
      </c>
      <c r="R1306" s="1">
        <v>3.5594063970000001</v>
      </c>
      <c r="S1306" s="1">
        <v>3.1475403900000001</v>
      </c>
      <c r="T1306" s="1">
        <v>3.971296959</v>
      </c>
      <c r="U1306" s="1">
        <v>3.8521266660000002</v>
      </c>
      <c r="V1306" s="1">
        <v>2.8225047829999999</v>
      </c>
      <c r="W1306" s="1">
        <v>3.2870366010000001</v>
      </c>
      <c r="X1306" s="1">
        <v>3.4131791489999999</v>
      </c>
      <c r="Y1306" s="1">
        <v>3.4382968329999999</v>
      </c>
      <c r="Z1306" s="1">
        <v>3.5594063970000001</v>
      </c>
      <c r="AA1306" s="1">
        <v>3.1475403900000001</v>
      </c>
      <c r="AB1306" s="1">
        <v>3.8237667059999998</v>
      </c>
      <c r="AC1306" s="1">
        <v>3.9750819590000002</v>
      </c>
      <c r="AD1306" s="1">
        <v>2.6025990879999998</v>
      </c>
      <c r="AE1306" s="1">
        <v>3.5108161330000001</v>
      </c>
    </row>
    <row r="1307" spans="1:31" x14ac:dyDescent="0.25">
      <c r="A1307" s="1" t="s">
        <v>461</v>
      </c>
      <c r="B1307" s="1" t="s">
        <v>2557</v>
      </c>
      <c r="C1307" s="1" t="s">
        <v>3771</v>
      </c>
      <c r="D1307" s="1" t="s">
        <v>4658</v>
      </c>
      <c r="E1307" s="1" t="s">
        <v>4659</v>
      </c>
      <c r="F1307" s="1" t="s">
        <v>4660</v>
      </c>
      <c r="G1307" s="1" t="s">
        <v>461</v>
      </c>
      <c r="H1307" s="1">
        <v>5.9144073309999996</v>
      </c>
      <c r="I1307" s="1">
        <v>5.6856247609999997</v>
      </c>
      <c r="J1307" s="1">
        <v>5.5483108110000003</v>
      </c>
      <c r="K1307" s="1">
        <v>5.2674352469999999</v>
      </c>
      <c r="L1307" s="1">
        <v>5.1940340669999996</v>
      </c>
      <c r="M1307" s="1">
        <v>5.1508485750000004</v>
      </c>
      <c r="N1307" s="1">
        <v>5.1623684499999998</v>
      </c>
      <c r="O1307" s="1">
        <v>5.2237789919999997</v>
      </c>
      <c r="P1307" s="1">
        <v>5.0074447400000004</v>
      </c>
      <c r="Q1307" s="1">
        <v>5.5780218530000001</v>
      </c>
      <c r="R1307" s="1">
        <v>5.6102934549999999</v>
      </c>
      <c r="S1307" s="1">
        <v>5.7416668729999998</v>
      </c>
      <c r="T1307" s="1">
        <v>5.1940340669999996</v>
      </c>
      <c r="U1307" s="1">
        <v>5.1508485750000004</v>
      </c>
      <c r="V1307" s="1">
        <v>6.433314288</v>
      </c>
      <c r="W1307" s="1">
        <v>6.3432413370000003</v>
      </c>
      <c r="X1307" s="1">
        <v>6.982810765</v>
      </c>
      <c r="Y1307" s="1">
        <v>6.6624835610000002</v>
      </c>
      <c r="Z1307" s="1">
        <v>5.6102934549999999</v>
      </c>
      <c r="AA1307" s="1">
        <v>5.7416668729999998</v>
      </c>
      <c r="AB1307" s="1">
        <v>6.5830868880000004</v>
      </c>
      <c r="AC1307" s="1">
        <v>6.7024263700000004</v>
      </c>
      <c r="AD1307" s="1">
        <v>7.4128505269999998</v>
      </c>
      <c r="AE1307" s="1">
        <v>6.8907852160000003</v>
      </c>
    </row>
    <row r="1308" spans="1:31" x14ac:dyDescent="0.25">
      <c r="A1308" s="1" t="s">
        <v>468</v>
      </c>
      <c r="B1308" s="1" t="s">
        <v>2598</v>
      </c>
      <c r="C1308" s="1" t="s">
        <v>3183</v>
      </c>
      <c r="D1308" s="1" t="s">
        <v>4661</v>
      </c>
      <c r="E1308" s="1" t="s">
        <v>4662</v>
      </c>
      <c r="G1308" s="1" t="s">
        <v>468</v>
      </c>
      <c r="H1308" s="1">
        <v>3.2549621289999999</v>
      </c>
      <c r="I1308" s="1">
        <v>3.3322126910000001</v>
      </c>
      <c r="J1308" s="1">
        <v>1.7393328349999999</v>
      </c>
      <c r="K1308" s="1">
        <v>1.7393328349999999</v>
      </c>
      <c r="L1308" s="1">
        <v>3.5435353630000002</v>
      </c>
      <c r="M1308" s="1">
        <v>3.2940962960000002</v>
      </c>
      <c r="N1308" s="1">
        <v>3.5368298970000001</v>
      </c>
      <c r="O1308" s="1">
        <v>3.193511794</v>
      </c>
      <c r="P1308" s="1">
        <v>3.466113682</v>
      </c>
      <c r="Q1308" s="1">
        <v>2.597100669</v>
      </c>
      <c r="R1308" s="1">
        <v>2.595728008</v>
      </c>
      <c r="S1308" s="1">
        <v>2.9034795349999998</v>
      </c>
      <c r="T1308" s="1">
        <v>3.5435353630000002</v>
      </c>
      <c r="U1308" s="1">
        <v>3.2940962960000002</v>
      </c>
      <c r="V1308" s="1">
        <v>2.8225047829999999</v>
      </c>
      <c r="W1308" s="1">
        <v>3.8431653940000001</v>
      </c>
      <c r="X1308" s="1">
        <v>3.3149070109999998</v>
      </c>
      <c r="Y1308" s="1">
        <v>2.9733498090000001</v>
      </c>
      <c r="Z1308" s="1">
        <v>2.595728008</v>
      </c>
      <c r="AA1308" s="1">
        <v>2.9034795349999998</v>
      </c>
      <c r="AB1308" s="1">
        <v>3.404153038</v>
      </c>
      <c r="AC1308" s="1">
        <v>2.87258916</v>
      </c>
      <c r="AD1308" s="1">
        <v>3.3987395579999999</v>
      </c>
      <c r="AE1308" s="1">
        <v>3.419797387</v>
      </c>
    </row>
    <row r="1309" spans="1:31" x14ac:dyDescent="0.25">
      <c r="A1309" s="1" t="s">
        <v>469</v>
      </c>
      <c r="B1309" s="1" t="s">
        <v>2579</v>
      </c>
      <c r="C1309" s="1" t="s">
        <v>2585</v>
      </c>
      <c r="D1309" s="1" t="s">
        <v>2890</v>
      </c>
      <c r="E1309" s="1" t="s">
        <v>4663</v>
      </c>
      <c r="F1309" s="1" t="s">
        <v>4664</v>
      </c>
      <c r="G1309" s="1" t="s">
        <v>469</v>
      </c>
      <c r="H1309" s="1">
        <v>9.6877918160000007</v>
      </c>
      <c r="I1309" s="1">
        <v>8.9707971509999993</v>
      </c>
      <c r="J1309" s="1">
        <v>10.024257759999999</v>
      </c>
      <c r="K1309" s="1">
        <v>9.8780211130000009</v>
      </c>
      <c r="L1309" s="1">
        <v>9.6941302470000004</v>
      </c>
      <c r="M1309" s="1">
        <v>10.013717979999999</v>
      </c>
      <c r="N1309" s="1">
        <v>7.9810982529999999</v>
      </c>
      <c r="O1309" s="1">
        <v>8.4802963180000006</v>
      </c>
      <c r="P1309" s="1">
        <v>10.09095988</v>
      </c>
      <c r="Q1309" s="1">
        <v>10.376213720000001</v>
      </c>
      <c r="R1309" s="1">
        <v>10.3025754</v>
      </c>
      <c r="S1309" s="1">
        <v>10.06055196</v>
      </c>
      <c r="T1309" s="1">
        <v>9.6941302470000004</v>
      </c>
      <c r="U1309" s="1">
        <v>10.013717979999999</v>
      </c>
      <c r="V1309" s="1">
        <v>9.8138700249999999</v>
      </c>
      <c r="W1309" s="1">
        <v>9.9489343209999994</v>
      </c>
      <c r="X1309" s="1">
        <v>10.216649070000001</v>
      </c>
      <c r="Y1309" s="1">
        <v>9.9555291219999997</v>
      </c>
      <c r="Z1309" s="1">
        <v>10.3025754</v>
      </c>
      <c r="AA1309" s="1">
        <v>10.06055196</v>
      </c>
      <c r="AB1309" s="1">
        <v>10.09885877</v>
      </c>
      <c r="AC1309" s="1">
        <v>10.246030469999999</v>
      </c>
      <c r="AD1309" s="1">
        <v>10.140329319999999</v>
      </c>
      <c r="AE1309" s="1">
        <v>10.16700801</v>
      </c>
    </row>
    <row r="1310" spans="1:31" x14ac:dyDescent="0.25">
      <c r="A1310" s="1" t="s">
        <v>470</v>
      </c>
      <c r="B1310" s="1" t="s">
        <v>2579</v>
      </c>
      <c r="C1310" s="1" t="s">
        <v>2585</v>
      </c>
      <c r="D1310" s="1" t="s">
        <v>2890</v>
      </c>
      <c r="E1310" s="1" t="s">
        <v>4665</v>
      </c>
      <c r="F1310" s="1" t="s">
        <v>4666</v>
      </c>
      <c r="G1310" s="1" t="s">
        <v>470</v>
      </c>
      <c r="H1310" s="1">
        <v>10.23383252</v>
      </c>
      <c r="I1310" s="1">
        <v>9.3146245459999992</v>
      </c>
      <c r="J1310" s="1">
        <v>10.420954070000001</v>
      </c>
      <c r="K1310" s="1">
        <v>10.319329870000001</v>
      </c>
      <c r="L1310" s="1">
        <v>10.15740533</v>
      </c>
      <c r="M1310" s="1">
        <v>10.51441814</v>
      </c>
      <c r="N1310" s="1">
        <v>8.5609543349999999</v>
      </c>
      <c r="O1310" s="1">
        <v>9.0351588839999994</v>
      </c>
      <c r="P1310" s="1">
        <v>10.461832279999999</v>
      </c>
      <c r="Q1310" s="1">
        <v>10.627439770000001</v>
      </c>
      <c r="R1310" s="1">
        <v>10.822191030000001</v>
      </c>
      <c r="S1310" s="1">
        <v>10.704826600000001</v>
      </c>
      <c r="T1310" s="1">
        <v>10.15740533</v>
      </c>
      <c r="U1310" s="1">
        <v>10.51441814</v>
      </c>
      <c r="V1310" s="1">
        <v>10.395271299999999</v>
      </c>
      <c r="W1310" s="1">
        <v>10.48954932</v>
      </c>
      <c r="X1310" s="1">
        <v>10.72620283</v>
      </c>
      <c r="Y1310" s="1">
        <v>10.43548779</v>
      </c>
      <c r="Z1310" s="1">
        <v>10.822191030000001</v>
      </c>
      <c r="AA1310" s="1">
        <v>10.704826600000001</v>
      </c>
      <c r="AB1310" s="1">
        <v>10.616240339999999</v>
      </c>
      <c r="AC1310" s="1">
        <v>10.78113684</v>
      </c>
      <c r="AD1310" s="1">
        <v>10.599012979999999</v>
      </c>
      <c r="AE1310" s="1">
        <v>10.63748213</v>
      </c>
    </row>
    <row r="1311" spans="1:31" x14ac:dyDescent="0.25">
      <c r="A1311" s="1" t="s">
        <v>471</v>
      </c>
      <c r="B1311" s="1" t="s">
        <v>2579</v>
      </c>
      <c r="C1311" s="1" t="s">
        <v>2585</v>
      </c>
      <c r="D1311" s="1" t="s">
        <v>2890</v>
      </c>
      <c r="E1311" s="1" t="s">
        <v>4667</v>
      </c>
      <c r="F1311" s="1" t="s">
        <v>4668</v>
      </c>
      <c r="G1311" s="1" t="s">
        <v>471</v>
      </c>
      <c r="H1311" s="1">
        <v>9.8332027110000002</v>
      </c>
      <c r="I1311" s="1">
        <v>9.161460108</v>
      </c>
      <c r="J1311" s="1">
        <v>9.8494588739999998</v>
      </c>
      <c r="K1311" s="1">
        <v>9.6031852180000001</v>
      </c>
      <c r="L1311" s="1">
        <v>10.147138610000001</v>
      </c>
      <c r="M1311" s="1">
        <v>10.140955330000001</v>
      </c>
      <c r="N1311" s="1">
        <v>8.0821092889999999</v>
      </c>
      <c r="O1311" s="1">
        <v>8.2479117419999994</v>
      </c>
      <c r="P1311" s="1">
        <v>10.12334388</v>
      </c>
      <c r="Q1311" s="1">
        <v>10.17401488</v>
      </c>
      <c r="R1311" s="1">
        <v>9.9693576519999993</v>
      </c>
      <c r="S1311" s="1">
        <v>10.00203291</v>
      </c>
      <c r="T1311" s="1">
        <v>10.147138610000001</v>
      </c>
      <c r="U1311" s="1">
        <v>10.140955330000001</v>
      </c>
      <c r="V1311" s="1">
        <v>9.5922004629999993</v>
      </c>
      <c r="W1311" s="1">
        <v>9.6882513610000007</v>
      </c>
      <c r="X1311" s="1">
        <v>10.15761608</v>
      </c>
      <c r="Y1311" s="1">
        <v>9.6336605500000001</v>
      </c>
      <c r="Z1311" s="1">
        <v>9.9693576519999993</v>
      </c>
      <c r="AA1311" s="1">
        <v>10.00203291</v>
      </c>
      <c r="AB1311" s="1">
        <v>9.9667901449999992</v>
      </c>
      <c r="AC1311" s="1">
        <v>9.8616362909999999</v>
      </c>
      <c r="AD1311" s="1">
        <v>9.8384920989999998</v>
      </c>
      <c r="AE1311" s="1">
        <v>9.7936151630000001</v>
      </c>
    </row>
    <row r="1312" spans="1:31" x14ac:dyDescent="0.25">
      <c r="A1312" s="1" t="s">
        <v>472</v>
      </c>
      <c r="B1312" s="1" t="s">
        <v>2579</v>
      </c>
      <c r="C1312" s="1" t="s">
        <v>2585</v>
      </c>
      <c r="D1312" s="1" t="s">
        <v>2890</v>
      </c>
      <c r="E1312" s="1" t="s">
        <v>4669</v>
      </c>
      <c r="F1312" s="1" t="s">
        <v>2892</v>
      </c>
      <c r="G1312" s="1" t="s">
        <v>472</v>
      </c>
      <c r="H1312" s="1">
        <v>8.3585280700000002</v>
      </c>
      <c r="I1312" s="1">
        <v>7.9109212299999996</v>
      </c>
      <c r="J1312" s="1">
        <v>9.0225920380000009</v>
      </c>
      <c r="K1312" s="1">
        <v>8.9513363360000007</v>
      </c>
      <c r="L1312" s="1">
        <v>8.7296969529999995</v>
      </c>
      <c r="M1312" s="1">
        <v>9.1530348799999999</v>
      </c>
      <c r="N1312" s="1">
        <v>7.1700553200000003</v>
      </c>
      <c r="O1312" s="1">
        <v>7.1976511859999999</v>
      </c>
      <c r="P1312" s="1">
        <v>8.7507683210000007</v>
      </c>
      <c r="Q1312" s="1">
        <v>8.9449636340000005</v>
      </c>
      <c r="R1312" s="1">
        <v>9.2381776450000004</v>
      </c>
      <c r="S1312" s="1">
        <v>9.0304699639999999</v>
      </c>
      <c r="T1312" s="1">
        <v>8.7296969529999995</v>
      </c>
      <c r="U1312" s="1">
        <v>9.1530348799999999</v>
      </c>
      <c r="V1312" s="1">
        <v>8.5935415769999999</v>
      </c>
      <c r="W1312" s="1">
        <v>8.6424859109999996</v>
      </c>
      <c r="X1312" s="1">
        <v>8.7970162530000007</v>
      </c>
      <c r="Y1312" s="1">
        <v>8.2593170810000007</v>
      </c>
      <c r="Z1312" s="1">
        <v>9.2381776450000004</v>
      </c>
      <c r="AA1312" s="1">
        <v>9.0304699639999999</v>
      </c>
      <c r="AB1312" s="1">
        <v>8.764964677</v>
      </c>
      <c r="AC1312" s="1">
        <v>8.9561935899999998</v>
      </c>
      <c r="AD1312" s="1">
        <v>8.637646664</v>
      </c>
      <c r="AE1312" s="1">
        <v>8.7406535049999992</v>
      </c>
    </row>
    <row r="1313" spans="1:31" x14ac:dyDescent="0.25">
      <c r="A1313" s="1" t="s">
        <v>473</v>
      </c>
      <c r="B1313" s="1" t="s">
        <v>2579</v>
      </c>
      <c r="C1313" s="1" t="s">
        <v>2585</v>
      </c>
      <c r="D1313" s="1" t="s">
        <v>2890</v>
      </c>
      <c r="E1313" s="1" t="s">
        <v>4670</v>
      </c>
      <c r="F1313" s="1" t="s">
        <v>4671</v>
      </c>
      <c r="G1313" s="1" t="s">
        <v>473</v>
      </c>
      <c r="H1313" s="1">
        <v>9.0166751230000006</v>
      </c>
      <c r="I1313" s="1">
        <v>8.4033386550000007</v>
      </c>
      <c r="J1313" s="1">
        <v>9.9411502089999999</v>
      </c>
      <c r="K1313" s="1">
        <v>9.5815686499999995</v>
      </c>
      <c r="L1313" s="1">
        <v>9.5735756989999992</v>
      </c>
      <c r="M1313" s="1">
        <v>9.8958693530000001</v>
      </c>
      <c r="N1313" s="1">
        <v>7.7196002520000002</v>
      </c>
      <c r="O1313" s="1">
        <v>7.9876349920000003</v>
      </c>
      <c r="P1313" s="1">
        <v>9.6341144169999993</v>
      </c>
      <c r="Q1313" s="1">
        <v>9.6876617839999994</v>
      </c>
      <c r="R1313" s="1">
        <v>10.08490267</v>
      </c>
      <c r="S1313" s="1">
        <v>9.8471215589999996</v>
      </c>
      <c r="T1313" s="1">
        <v>9.5735756989999992</v>
      </c>
      <c r="U1313" s="1">
        <v>9.8958693530000001</v>
      </c>
      <c r="V1313" s="1">
        <v>9.4428042679999997</v>
      </c>
      <c r="W1313" s="1">
        <v>9.5729221209999995</v>
      </c>
      <c r="X1313" s="1">
        <v>9.6235201650000004</v>
      </c>
      <c r="Y1313" s="1">
        <v>9.2832418150000002</v>
      </c>
      <c r="Z1313" s="1">
        <v>10.08490267</v>
      </c>
      <c r="AA1313" s="1">
        <v>9.8471215589999996</v>
      </c>
      <c r="AB1313" s="1">
        <v>9.7566744799999991</v>
      </c>
      <c r="AC1313" s="1">
        <v>9.7660743490000002</v>
      </c>
      <c r="AD1313" s="1">
        <v>9.6676938030000006</v>
      </c>
      <c r="AE1313" s="1">
        <v>9.5001000040000001</v>
      </c>
    </row>
    <row r="1314" spans="1:31" x14ac:dyDescent="0.25">
      <c r="A1314" s="1" t="s">
        <v>474</v>
      </c>
      <c r="B1314" s="1" t="s">
        <v>2579</v>
      </c>
      <c r="C1314" s="1" t="s">
        <v>2585</v>
      </c>
      <c r="D1314" s="1" t="s">
        <v>2890</v>
      </c>
      <c r="E1314" s="1" t="s">
        <v>4672</v>
      </c>
      <c r="F1314" s="1" t="s">
        <v>4673</v>
      </c>
      <c r="G1314" s="1" t="s">
        <v>474</v>
      </c>
      <c r="H1314" s="1">
        <v>8.8873672900000003</v>
      </c>
      <c r="I1314" s="1">
        <v>8.2249208189999994</v>
      </c>
      <c r="J1314" s="1">
        <v>9.6999730040000003</v>
      </c>
      <c r="K1314" s="1">
        <v>9.6408326619999993</v>
      </c>
      <c r="L1314" s="1">
        <v>9.4980308729999994</v>
      </c>
      <c r="M1314" s="1">
        <v>9.6305391359999994</v>
      </c>
      <c r="N1314" s="1">
        <v>7.5883709350000004</v>
      </c>
      <c r="O1314" s="1">
        <v>7.8139945649999998</v>
      </c>
      <c r="P1314" s="1">
        <v>9.4509797829999993</v>
      </c>
      <c r="Q1314" s="1">
        <v>9.4921188860000001</v>
      </c>
      <c r="R1314" s="1">
        <v>9.6419671709999992</v>
      </c>
      <c r="S1314" s="1">
        <v>9.7524296889999995</v>
      </c>
      <c r="T1314" s="1">
        <v>9.4980308729999994</v>
      </c>
      <c r="U1314" s="1">
        <v>9.6305391359999994</v>
      </c>
      <c r="V1314" s="1">
        <v>9.1763872109999998</v>
      </c>
      <c r="W1314" s="1">
        <v>9.2876887569999997</v>
      </c>
      <c r="X1314" s="1">
        <v>9.3720554380000003</v>
      </c>
      <c r="Y1314" s="1">
        <v>9.0274702439999999</v>
      </c>
      <c r="Z1314" s="1">
        <v>9.6419671709999992</v>
      </c>
      <c r="AA1314" s="1">
        <v>9.7524296889999995</v>
      </c>
      <c r="AB1314" s="1">
        <v>9.6418915470000002</v>
      </c>
      <c r="AC1314" s="1">
        <v>9.5326021240000003</v>
      </c>
      <c r="AD1314" s="1">
        <v>9.5326782889999997</v>
      </c>
      <c r="AE1314" s="1">
        <v>9.3527845870000004</v>
      </c>
    </row>
    <row r="1315" spans="1:31" x14ac:dyDescent="0.25">
      <c r="A1315" s="1" t="s">
        <v>475</v>
      </c>
      <c r="B1315" s="1" t="s">
        <v>2579</v>
      </c>
      <c r="C1315" s="1" t="s">
        <v>2585</v>
      </c>
      <c r="D1315" s="1" t="s">
        <v>2890</v>
      </c>
      <c r="E1315" s="1" t="s">
        <v>4674</v>
      </c>
      <c r="F1315" s="1" t="s">
        <v>4675</v>
      </c>
      <c r="G1315" s="1" t="s">
        <v>475</v>
      </c>
      <c r="H1315" s="1">
        <v>10.9467721</v>
      </c>
      <c r="I1315" s="1">
        <v>10.36607025</v>
      </c>
      <c r="J1315" s="1">
        <v>11.4025844</v>
      </c>
      <c r="K1315" s="1">
        <v>11.608808610000001</v>
      </c>
      <c r="L1315" s="1">
        <v>10.8259816</v>
      </c>
      <c r="M1315" s="1">
        <v>11.08330252</v>
      </c>
      <c r="N1315" s="1">
        <v>9.5457041880000002</v>
      </c>
      <c r="O1315" s="1">
        <v>9.9233916139999998</v>
      </c>
      <c r="P1315" s="1">
        <v>11.08868753</v>
      </c>
      <c r="Q1315" s="1">
        <v>11.22875775</v>
      </c>
      <c r="R1315" s="1">
        <v>11.422993099999999</v>
      </c>
      <c r="S1315" s="1">
        <v>11.25945428</v>
      </c>
      <c r="T1315" s="1">
        <v>10.8259816</v>
      </c>
      <c r="U1315" s="1">
        <v>11.08330252</v>
      </c>
      <c r="V1315" s="1">
        <v>11.038289669999999</v>
      </c>
      <c r="W1315" s="1">
        <v>11.0282032</v>
      </c>
      <c r="X1315" s="1">
        <v>10.964196019999999</v>
      </c>
      <c r="Y1315" s="1">
        <v>11.027133429999999</v>
      </c>
      <c r="Z1315" s="1">
        <v>11.422993099999999</v>
      </c>
      <c r="AA1315" s="1">
        <v>11.25945428</v>
      </c>
      <c r="AB1315" s="1">
        <v>11.265118190000001</v>
      </c>
      <c r="AC1315" s="1">
        <v>11.19880528</v>
      </c>
      <c r="AD1315" s="1">
        <v>11.1360645</v>
      </c>
      <c r="AE1315" s="1">
        <v>10.94470802</v>
      </c>
    </row>
    <row r="1316" spans="1:31" x14ac:dyDescent="0.25">
      <c r="A1316" s="1" t="s">
        <v>476</v>
      </c>
      <c r="B1316" s="1" t="s">
        <v>2525</v>
      </c>
      <c r="C1316" s="1" t="s">
        <v>3110</v>
      </c>
      <c r="D1316" s="1" t="s">
        <v>4676</v>
      </c>
      <c r="E1316" s="1" t="s">
        <v>4677</v>
      </c>
      <c r="G1316" s="1" t="s">
        <v>476</v>
      </c>
      <c r="H1316" s="1">
        <v>8.9748472760000002</v>
      </c>
      <c r="I1316" s="1">
        <v>8.5749252620000007</v>
      </c>
      <c r="J1316" s="1">
        <v>6.5372293419999998</v>
      </c>
      <c r="K1316" s="1">
        <v>6.9637453809999998</v>
      </c>
      <c r="L1316" s="1">
        <v>5.6952369550000004</v>
      </c>
      <c r="M1316" s="1">
        <v>5.8857020010000003</v>
      </c>
      <c r="N1316" s="1">
        <v>8.1633935990000008</v>
      </c>
      <c r="O1316" s="1">
        <v>8.7238373770000006</v>
      </c>
      <c r="P1316" s="1">
        <v>5.9651829550000004</v>
      </c>
      <c r="Q1316" s="1">
        <v>6.5369026620000001</v>
      </c>
      <c r="R1316" s="1">
        <v>5.6102934549999999</v>
      </c>
      <c r="S1316" s="1">
        <v>5.9168316079999999</v>
      </c>
      <c r="T1316" s="1">
        <v>5.6952369550000004</v>
      </c>
      <c r="U1316" s="1">
        <v>5.8857020010000003</v>
      </c>
      <c r="V1316" s="1">
        <v>5.7495972609999999</v>
      </c>
      <c r="W1316" s="1">
        <v>6.1843530070000003</v>
      </c>
      <c r="X1316" s="1">
        <v>5.8091227329999997</v>
      </c>
      <c r="Y1316" s="1">
        <v>5.6971672010000001</v>
      </c>
      <c r="Z1316" s="1">
        <v>5.6102934549999999</v>
      </c>
      <c r="AA1316" s="1">
        <v>5.9168316079999999</v>
      </c>
      <c r="AB1316" s="1">
        <v>5.8927983030000002</v>
      </c>
      <c r="AC1316" s="1">
        <v>5.6067493529999997</v>
      </c>
      <c r="AD1316" s="1">
        <v>6.1657997020000002</v>
      </c>
      <c r="AE1316" s="1">
        <v>6.2870921800000001</v>
      </c>
    </row>
    <row r="1317" spans="1:31" x14ac:dyDescent="0.25">
      <c r="A1317" s="1" t="s">
        <v>477</v>
      </c>
      <c r="B1317" s="1" t="s">
        <v>2631</v>
      </c>
      <c r="C1317" s="1" t="s">
        <v>2980</v>
      </c>
      <c r="D1317" s="1" t="s">
        <v>4542</v>
      </c>
      <c r="E1317" s="1" t="s">
        <v>4678</v>
      </c>
      <c r="F1317" s="1" t="s">
        <v>4679</v>
      </c>
      <c r="G1317" s="1" t="s">
        <v>477</v>
      </c>
      <c r="H1317" s="1">
        <v>7.4158709649999999</v>
      </c>
      <c r="I1317" s="1">
        <v>7.2131218309999996</v>
      </c>
      <c r="J1317" s="1">
        <v>6.7775425279999997</v>
      </c>
      <c r="K1317" s="1">
        <v>6.9931716399999999</v>
      </c>
      <c r="L1317" s="1">
        <v>7.3066533610000004</v>
      </c>
      <c r="M1317" s="1">
        <v>6.9944789749999998</v>
      </c>
      <c r="N1317" s="1">
        <v>7.4761696899999999</v>
      </c>
      <c r="O1317" s="1">
        <v>7.746184564</v>
      </c>
      <c r="P1317" s="1">
        <v>7.2369365309999996</v>
      </c>
      <c r="Q1317" s="1">
        <v>7.0814381859999997</v>
      </c>
      <c r="R1317" s="1">
        <v>6.9268762089999996</v>
      </c>
      <c r="S1317" s="1">
        <v>7.1259952369999997</v>
      </c>
      <c r="T1317" s="1">
        <v>7.3066533610000004</v>
      </c>
      <c r="U1317" s="1">
        <v>6.9944789749999998</v>
      </c>
      <c r="V1317" s="1">
        <v>6.8461137650000001</v>
      </c>
      <c r="W1317" s="1">
        <v>7.1334545250000003</v>
      </c>
      <c r="X1317" s="1">
        <v>7.3863563020000003</v>
      </c>
      <c r="Y1317" s="1">
        <v>7.1584367220000003</v>
      </c>
      <c r="Z1317" s="1">
        <v>6.9268762089999996</v>
      </c>
      <c r="AA1317" s="1">
        <v>7.1259952369999997</v>
      </c>
      <c r="AB1317" s="1">
        <v>7.118051328</v>
      </c>
      <c r="AC1317" s="1">
        <v>6.9504073259999997</v>
      </c>
      <c r="AD1317" s="1">
        <v>7.5613855440000002</v>
      </c>
      <c r="AE1317" s="1">
        <v>7.213825022</v>
      </c>
    </row>
    <row r="1318" spans="1:31" x14ac:dyDescent="0.25">
      <c r="A1318" s="1" t="s">
        <v>478</v>
      </c>
      <c r="B1318" s="1" t="s">
        <v>2547</v>
      </c>
      <c r="C1318" s="1" t="s">
        <v>3061</v>
      </c>
      <c r="D1318" s="1" t="s">
        <v>2535</v>
      </c>
      <c r="E1318" s="1" t="s">
        <v>4680</v>
      </c>
      <c r="G1318" s="1" t="s">
        <v>478</v>
      </c>
      <c r="H1318" s="1">
        <v>8.1001087080000005</v>
      </c>
      <c r="I1318" s="1">
        <v>8.1411386219999997</v>
      </c>
      <c r="J1318" s="1">
        <v>6.9180153889999998</v>
      </c>
      <c r="K1318" s="1">
        <v>6.7733223929999999</v>
      </c>
      <c r="L1318" s="1">
        <v>7.2152162750000004</v>
      </c>
      <c r="M1318" s="1">
        <v>7.4760427390000004</v>
      </c>
      <c r="N1318" s="1">
        <v>7.5485734259999999</v>
      </c>
      <c r="O1318" s="1">
        <v>7.4066553930000003</v>
      </c>
      <c r="P1318" s="1">
        <v>7.4384695250000004</v>
      </c>
      <c r="Q1318" s="1">
        <v>7.3522884079999997</v>
      </c>
      <c r="R1318" s="1">
        <v>6.8978352640000002</v>
      </c>
      <c r="S1318" s="1">
        <v>7.375745384</v>
      </c>
      <c r="T1318" s="1">
        <v>7.2152162750000004</v>
      </c>
      <c r="U1318" s="1">
        <v>7.4760427390000004</v>
      </c>
      <c r="V1318" s="1">
        <v>7.0532434420000003</v>
      </c>
      <c r="W1318" s="1">
        <v>6.6370070730000004</v>
      </c>
      <c r="X1318" s="1">
        <v>7.0390188040000004</v>
      </c>
      <c r="Y1318" s="1">
        <v>7.1972465469999998</v>
      </c>
      <c r="Z1318" s="1">
        <v>6.8978352640000002</v>
      </c>
      <c r="AA1318" s="1">
        <v>7.375745384</v>
      </c>
      <c r="AB1318" s="1">
        <v>7.2649841789999998</v>
      </c>
      <c r="AC1318" s="1">
        <v>7.0947960390000002</v>
      </c>
      <c r="AD1318" s="1">
        <v>6.8136746160000001</v>
      </c>
      <c r="AE1318" s="1">
        <v>6.9585103139999998</v>
      </c>
    </row>
    <row r="1319" spans="1:31" x14ac:dyDescent="0.25">
      <c r="A1319" s="1" t="s">
        <v>480</v>
      </c>
      <c r="B1319" s="1" t="s">
        <v>2547</v>
      </c>
      <c r="C1319" s="1" t="s">
        <v>2694</v>
      </c>
      <c r="D1319" s="1" t="s">
        <v>4681</v>
      </c>
      <c r="E1319" s="1" t="s">
        <v>4682</v>
      </c>
      <c r="F1319" s="1" t="s">
        <v>4683</v>
      </c>
      <c r="G1319" s="1" t="s">
        <v>480</v>
      </c>
      <c r="H1319" s="1">
        <v>5.4177093730000001</v>
      </c>
      <c r="I1319" s="1">
        <v>5.7476087250000001</v>
      </c>
      <c r="J1319" s="1">
        <v>4.5940881259999999</v>
      </c>
      <c r="K1319" s="1">
        <v>4.7454889089999996</v>
      </c>
      <c r="L1319" s="1">
        <v>4.8563863139999999</v>
      </c>
      <c r="M1319" s="1">
        <v>5.3915279009999999</v>
      </c>
      <c r="N1319" s="1">
        <v>5.9569306830000004</v>
      </c>
      <c r="O1319" s="1">
        <v>5.9330167859999996</v>
      </c>
      <c r="P1319" s="1">
        <v>5.426847231</v>
      </c>
      <c r="Q1319" s="1">
        <v>5.1511590549999999</v>
      </c>
      <c r="R1319" s="1">
        <v>5.1472208640000003</v>
      </c>
      <c r="S1319" s="1">
        <v>5.3098842800000003</v>
      </c>
      <c r="T1319" s="1">
        <v>4.8563863139999999</v>
      </c>
      <c r="U1319" s="1">
        <v>5.3915279009999999</v>
      </c>
      <c r="V1319" s="1">
        <v>5.0428039150000004</v>
      </c>
      <c r="W1319" s="1">
        <v>5.5195577800000004</v>
      </c>
      <c r="X1319" s="1">
        <v>5.7256927920000003</v>
      </c>
      <c r="Y1319" s="1">
        <v>4.9529845589999999</v>
      </c>
      <c r="Z1319" s="1">
        <v>5.1472208640000003</v>
      </c>
      <c r="AA1319" s="1">
        <v>5.3098842800000003</v>
      </c>
      <c r="AB1319" s="1">
        <v>5.0356743460000004</v>
      </c>
      <c r="AC1319" s="1">
        <v>5.4356573160000003</v>
      </c>
      <c r="AD1319" s="1">
        <v>5.3091856960000001</v>
      </c>
      <c r="AE1319" s="1">
        <v>5.4097399240000001</v>
      </c>
    </row>
    <row r="1320" spans="1:31" x14ac:dyDescent="0.25">
      <c r="A1320" s="1" t="s">
        <v>483</v>
      </c>
      <c r="B1320" s="1" t="s">
        <v>2539</v>
      </c>
      <c r="C1320" s="1" t="s">
        <v>2606</v>
      </c>
      <c r="D1320" s="1" t="s">
        <v>3536</v>
      </c>
      <c r="E1320" s="1" t="s">
        <v>4684</v>
      </c>
      <c r="F1320" s="1" t="s">
        <v>4685</v>
      </c>
      <c r="G1320" s="1" t="s">
        <v>483</v>
      </c>
      <c r="H1320" s="1">
        <v>6.5753846300000003</v>
      </c>
      <c r="I1320" s="1">
        <v>5.9455889470000001</v>
      </c>
      <c r="J1320" s="1">
        <v>6.0910626519999997</v>
      </c>
      <c r="K1320" s="1">
        <v>6.1452362870000004</v>
      </c>
      <c r="L1320" s="1">
        <v>6.4247703999999999</v>
      </c>
      <c r="M1320" s="1">
        <v>6.4651725329999996</v>
      </c>
      <c r="N1320" s="1">
        <v>5.53456788</v>
      </c>
      <c r="O1320" s="1">
        <v>5.8796079560000001</v>
      </c>
      <c r="P1320" s="1">
        <v>5.3522904530000002</v>
      </c>
      <c r="Q1320" s="1">
        <v>5.8154013029999998</v>
      </c>
      <c r="R1320" s="1">
        <v>6.1687435319999997</v>
      </c>
      <c r="S1320" s="1">
        <v>5.8890842929999998</v>
      </c>
      <c r="T1320" s="1">
        <v>6.4247703999999999</v>
      </c>
      <c r="U1320" s="1">
        <v>6.4651725329999996</v>
      </c>
      <c r="V1320" s="1">
        <v>5.8520207290000004</v>
      </c>
      <c r="W1320" s="1">
        <v>5.9736131119999998</v>
      </c>
      <c r="X1320" s="1">
        <v>5.7427722369999996</v>
      </c>
      <c r="Y1320" s="1">
        <v>5.2792112080000004</v>
      </c>
      <c r="Z1320" s="1">
        <v>6.1687435319999997</v>
      </c>
      <c r="AA1320" s="1">
        <v>5.8890842929999998</v>
      </c>
      <c r="AB1320" s="1">
        <v>5.5787398220000002</v>
      </c>
      <c r="AC1320" s="1">
        <v>5.9991619270000003</v>
      </c>
      <c r="AD1320" s="1">
        <v>5.6310130599999999</v>
      </c>
      <c r="AE1320" s="1">
        <v>5.9740468760000001</v>
      </c>
    </row>
    <row r="1321" spans="1:31" x14ac:dyDescent="0.25">
      <c r="A1321" s="1" t="s">
        <v>487</v>
      </c>
      <c r="B1321" s="1" t="s">
        <v>2547</v>
      </c>
      <c r="C1321" s="1" t="s">
        <v>2566</v>
      </c>
      <c r="D1321" s="1" t="s">
        <v>4686</v>
      </c>
      <c r="E1321" s="1" t="s">
        <v>4687</v>
      </c>
      <c r="F1321" s="1" t="s">
        <v>4688</v>
      </c>
      <c r="G1321" s="1" t="s">
        <v>487</v>
      </c>
      <c r="H1321" s="1">
        <v>6.3556221559999999</v>
      </c>
      <c r="I1321" s="1">
        <v>6.0475452040000004</v>
      </c>
      <c r="J1321" s="1">
        <v>7.2297148099999999</v>
      </c>
      <c r="K1321" s="1">
        <v>7.0362139130000001</v>
      </c>
      <c r="L1321" s="1">
        <v>6.3972692809999998</v>
      </c>
      <c r="M1321" s="1">
        <v>6.6606413570000003</v>
      </c>
      <c r="N1321" s="1">
        <v>5.6524063629999999</v>
      </c>
      <c r="O1321" s="1">
        <v>5.600077969</v>
      </c>
      <c r="P1321" s="1">
        <v>6.9021991040000001</v>
      </c>
      <c r="Q1321" s="1">
        <v>7.0015303629999996</v>
      </c>
      <c r="R1321" s="1">
        <v>7.1278149910000002</v>
      </c>
      <c r="S1321" s="1">
        <v>7.0777719039999996</v>
      </c>
      <c r="T1321" s="1">
        <v>6.3972692809999998</v>
      </c>
      <c r="U1321" s="1">
        <v>6.6606413570000003</v>
      </c>
      <c r="V1321" s="1">
        <v>7.2056642889999996</v>
      </c>
      <c r="W1321" s="1">
        <v>7.0438401490000002</v>
      </c>
      <c r="X1321" s="1">
        <v>7.4499143879999998</v>
      </c>
      <c r="Y1321" s="1">
        <v>7.2474189219999996</v>
      </c>
      <c r="Z1321" s="1">
        <v>7.1278149910000002</v>
      </c>
      <c r="AA1321" s="1">
        <v>7.0777719039999996</v>
      </c>
      <c r="AB1321" s="1">
        <v>6.8954646989999997</v>
      </c>
      <c r="AC1321" s="1">
        <v>7.1509339689999996</v>
      </c>
      <c r="AD1321" s="1">
        <v>7.7711786429999998</v>
      </c>
      <c r="AE1321" s="1">
        <v>7.5328794800000001</v>
      </c>
    </row>
    <row r="1322" spans="1:31" x14ac:dyDescent="0.25">
      <c r="A1322" s="1" t="s">
        <v>488</v>
      </c>
      <c r="B1322" s="1" t="s">
        <v>2608</v>
      </c>
      <c r="C1322" s="1" t="s">
        <v>2609</v>
      </c>
      <c r="D1322" s="1" t="s">
        <v>4063</v>
      </c>
      <c r="E1322" s="1" t="s">
        <v>4689</v>
      </c>
      <c r="F1322" s="1" t="s">
        <v>4690</v>
      </c>
      <c r="G1322" s="1" t="s">
        <v>488</v>
      </c>
      <c r="H1322" s="1">
        <v>5.3712699940000004</v>
      </c>
      <c r="I1322" s="1">
        <v>5.1078624770000003</v>
      </c>
      <c r="J1322" s="1">
        <v>5.9669407659999996</v>
      </c>
      <c r="K1322" s="1">
        <v>5.7206107949999998</v>
      </c>
      <c r="L1322" s="1">
        <v>5.4123805689999998</v>
      </c>
      <c r="M1322" s="1">
        <v>5.8504486010000001</v>
      </c>
      <c r="N1322" s="1">
        <v>5.2145790439999997</v>
      </c>
      <c r="O1322" s="1">
        <v>5.6647442659999996</v>
      </c>
      <c r="P1322" s="1">
        <v>5.9144375350000002</v>
      </c>
      <c r="Q1322" s="1">
        <v>5.6144419360000004</v>
      </c>
      <c r="R1322" s="1">
        <v>5.6804358580000001</v>
      </c>
      <c r="S1322" s="1">
        <v>5.9168316079999999</v>
      </c>
      <c r="T1322" s="1">
        <v>5.4123805689999998</v>
      </c>
      <c r="U1322" s="1">
        <v>5.8504486010000001</v>
      </c>
      <c r="V1322" s="1">
        <v>6.1215697740000001</v>
      </c>
      <c r="W1322" s="1">
        <v>6.0056801469999996</v>
      </c>
      <c r="X1322" s="1">
        <v>5.8569434649999996</v>
      </c>
      <c r="Y1322" s="1">
        <v>6.1579814659999998</v>
      </c>
      <c r="Z1322" s="1">
        <v>5.6804358580000001</v>
      </c>
      <c r="AA1322" s="1">
        <v>5.9168316079999999</v>
      </c>
      <c r="AB1322" s="1">
        <v>6.2789960090000001</v>
      </c>
      <c r="AC1322" s="1">
        <v>5.8975684140000002</v>
      </c>
      <c r="AD1322" s="1">
        <v>6.0630013820000004</v>
      </c>
      <c r="AE1322" s="1">
        <v>6.3888842260000001</v>
      </c>
    </row>
    <row r="1323" spans="1:31" x14ac:dyDescent="0.25">
      <c r="A1323" s="1" t="s">
        <v>493</v>
      </c>
      <c r="B1323" s="1" t="s">
        <v>2579</v>
      </c>
      <c r="C1323" s="1" t="s">
        <v>2933</v>
      </c>
      <c r="D1323" s="1" t="s">
        <v>4691</v>
      </c>
      <c r="E1323" s="1" t="s">
        <v>4692</v>
      </c>
      <c r="F1323" s="1" t="s">
        <v>4693</v>
      </c>
      <c r="G1323" s="1" t="s">
        <v>493</v>
      </c>
      <c r="H1323" s="1">
        <v>5.7431528099999998</v>
      </c>
      <c r="I1323" s="1">
        <v>4.8477128089999999</v>
      </c>
      <c r="J1323" s="1">
        <v>4.9532699769999997</v>
      </c>
      <c r="K1323" s="1">
        <v>5.4913640639999999</v>
      </c>
      <c r="L1323" s="1">
        <v>5.5690677470000001</v>
      </c>
      <c r="M1323" s="1">
        <v>5.3667108829999997</v>
      </c>
      <c r="N1323" s="1">
        <v>4.6936110280000003</v>
      </c>
      <c r="O1323" s="1">
        <v>4.6248126879999996</v>
      </c>
      <c r="P1323" s="1">
        <v>5.3900565609999997</v>
      </c>
      <c r="Q1323" s="1">
        <v>5.5406489910000003</v>
      </c>
      <c r="R1323" s="1">
        <v>6.2855941240000002</v>
      </c>
      <c r="S1323" s="1">
        <v>5.7416668729999998</v>
      </c>
      <c r="T1323" s="1">
        <v>5.5690677470000001</v>
      </c>
      <c r="U1323" s="1">
        <v>5.3667108829999997</v>
      </c>
      <c r="V1323" s="1">
        <v>6.4659141040000003</v>
      </c>
      <c r="W1323" s="1">
        <v>6.0977940090000002</v>
      </c>
      <c r="X1323" s="1">
        <v>6.430767253</v>
      </c>
      <c r="Y1323" s="1">
        <v>6.7864979940000003</v>
      </c>
      <c r="Z1323" s="1">
        <v>6.2855941240000002</v>
      </c>
      <c r="AA1323" s="1">
        <v>5.7416668729999998</v>
      </c>
      <c r="AB1323" s="1">
        <v>5.7218462399999996</v>
      </c>
      <c r="AC1323" s="1">
        <v>5.8710041640000004</v>
      </c>
      <c r="AD1323" s="1">
        <v>6.3945942340000004</v>
      </c>
      <c r="AE1323" s="1">
        <v>6.4424693460000002</v>
      </c>
    </row>
    <row r="1324" spans="1:31" x14ac:dyDescent="0.25">
      <c r="A1324" s="1" t="s">
        <v>497</v>
      </c>
      <c r="B1324" s="1" t="s">
        <v>2598</v>
      </c>
      <c r="C1324" s="1" t="s">
        <v>2795</v>
      </c>
      <c r="D1324" s="1" t="s">
        <v>2535</v>
      </c>
      <c r="E1324" s="1" t="s">
        <v>4694</v>
      </c>
      <c r="F1324" s="1" t="s">
        <v>4695</v>
      </c>
      <c r="G1324" s="1" t="s">
        <v>497</v>
      </c>
      <c r="H1324" s="1">
        <v>6.7114110580000004</v>
      </c>
      <c r="I1324" s="1">
        <v>6.4889292899999997</v>
      </c>
      <c r="J1324" s="1">
        <v>5.4400990890000003</v>
      </c>
      <c r="K1324" s="1">
        <v>5.3151275040000003</v>
      </c>
      <c r="L1324" s="1">
        <v>4.8833754540000003</v>
      </c>
      <c r="M1324" s="1">
        <v>5.1214027209999999</v>
      </c>
      <c r="N1324" s="1">
        <v>5.7957915680000003</v>
      </c>
      <c r="O1324" s="1">
        <v>6.4302305970000004</v>
      </c>
      <c r="P1324" s="1">
        <v>5.2325771159999999</v>
      </c>
      <c r="Q1324" s="1">
        <v>5.5406489910000003</v>
      </c>
      <c r="R1324" s="1">
        <v>5.2891602459999998</v>
      </c>
      <c r="S1324" s="1">
        <v>4.6864044680000001</v>
      </c>
      <c r="T1324" s="1">
        <v>4.8833754540000003</v>
      </c>
      <c r="U1324" s="1">
        <v>5.1214027209999999</v>
      </c>
      <c r="V1324" s="1">
        <v>5.519727617</v>
      </c>
      <c r="W1324" s="1">
        <v>5.3792812999999997</v>
      </c>
      <c r="X1324" s="1">
        <v>5.1389930130000003</v>
      </c>
      <c r="Y1324" s="1">
        <v>4.6081171230000004</v>
      </c>
      <c r="Z1324" s="1">
        <v>5.2891602459999998</v>
      </c>
      <c r="AA1324" s="1">
        <v>4.6864044680000001</v>
      </c>
      <c r="AB1324" s="1">
        <v>5.3028471579999996</v>
      </c>
      <c r="AC1324" s="1">
        <v>5.5407520860000004</v>
      </c>
      <c r="AD1324" s="1">
        <v>4.95179218</v>
      </c>
      <c r="AE1324" s="1">
        <v>5.5139573549999996</v>
      </c>
    </row>
    <row r="1325" spans="1:31" x14ac:dyDescent="0.25">
      <c r="A1325" s="1" t="s">
        <v>499</v>
      </c>
      <c r="B1325" s="1" t="s">
        <v>2838</v>
      </c>
      <c r="C1325" s="1" t="s">
        <v>4696</v>
      </c>
      <c r="D1325" s="1" t="s">
        <v>2595</v>
      </c>
      <c r="E1325" s="1" t="s">
        <v>4697</v>
      </c>
      <c r="F1325" s="1" t="s">
        <v>4698</v>
      </c>
      <c r="G1325" s="1" t="s">
        <v>499</v>
      </c>
      <c r="H1325" s="1">
        <v>5.3232649629999997</v>
      </c>
      <c r="I1325" s="1">
        <v>5.1998500889999999</v>
      </c>
      <c r="J1325" s="1">
        <v>5.5826322800000003</v>
      </c>
      <c r="K1325" s="1">
        <v>5.7895293819999996</v>
      </c>
      <c r="L1325" s="1">
        <v>5.9566674209999997</v>
      </c>
      <c r="M1325" s="1">
        <v>5.7958869929999999</v>
      </c>
      <c r="N1325" s="1">
        <v>5.3135718379999997</v>
      </c>
      <c r="O1325" s="1">
        <v>5.6856657850000003</v>
      </c>
      <c r="P1325" s="1">
        <v>5.3522904530000002</v>
      </c>
      <c r="Q1325" s="1">
        <v>5.8765740600000003</v>
      </c>
      <c r="R1325" s="1">
        <v>5.2891602459999998</v>
      </c>
      <c r="S1325" s="1">
        <v>5.710270789</v>
      </c>
      <c r="T1325" s="1">
        <v>5.9566674209999997</v>
      </c>
      <c r="U1325" s="1">
        <v>5.7958869929999999</v>
      </c>
      <c r="V1325" s="1">
        <v>5.7758979430000004</v>
      </c>
      <c r="W1325" s="1">
        <v>5.9072448660000001</v>
      </c>
      <c r="X1325" s="1">
        <v>5.6370967820000004</v>
      </c>
      <c r="Y1325" s="1">
        <v>5.0702808140000002</v>
      </c>
      <c r="Z1325" s="1">
        <v>5.2891602459999998</v>
      </c>
      <c r="AA1325" s="1">
        <v>5.710270789</v>
      </c>
      <c r="AB1325" s="1">
        <v>5.4746970709999996</v>
      </c>
      <c r="AC1325" s="1">
        <v>5.9492644930000003</v>
      </c>
      <c r="AD1325" s="1">
        <v>5.6310130599999999</v>
      </c>
      <c r="AE1325" s="1">
        <v>5.4523450599999999</v>
      </c>
    </row>
    <row r="1326" spans="1:31" x14ac:dyDescent="0.25">
      <c r="A1326" s="1" t="s">
        <v>500</v>
      </c>
      <c r="B1326" s="1" t="s">
        <v>2530</v>
      </c>
      <c r="C1326" s="1" t="s">
        <v>2531</v>
      </c>
      <c r="D1326" s="1" t="s">
        <v>2535</v>
      </c>
      <c r="E1326" s="1" t="s">
        <v>4699</v>
      </c>
      <c r="G1326" s="1" t="s">
        <v>500</v>
      </c>
      <c r="H1326" s="1">
        <v>9.1795315150000008</v>
      </c>
      <c r="I1326" s="1">
        <v>8.6044220859999996</v>
      </c>
      <c r="J1326" s="1">
        <v>8.32430162</v>
      </c>
      <c r="K1326" s="1">
        <v>8.6481613129999992</v>
      </c>
      <c r="L1326" s="1">
        <v>7.1780295799999996</v>
      </c>
      <c r="M1326" s="1">
        <v>7.6800134499999997</v>
      </c>
      <c r="N1326" s="1">
        <v>7.8357494059999997</v>
      </c>
      <c r="O1326" s="1">
        <v>8.3655547059999993</v>
      </c>
      <c r="P1326" s="1">
        <v>8.1893081480000003</v>
      </c>
      <c r="Q1326" s="1">
        <v>8.2325649199999997</v>
      </c>
      <c r="R1326" s="1">
        <v>7.9525172480000004</v>
      </c>
      <c r="S1326" s="1">
        <v>7.8901561559999998</v>
      </c>
      <c r="T1326" s="1">
        <v>7.1780295799999996</v>
      </c>
      <c r="U1326" s="1">
        <v>7.6800134499999997</v>
      </c>
      <c r="V1326" s="1">
        <v>8.0658076810000008</v>
      </c>
      <c r="W1326" s="1">
        <v>8.0694039760000003</v>
      </c>
      <c r="X1326" s="1">
        <v>8.5463694050000001</v>
      </c>
      <c r="Y1326" s="1">
        <v>8.3073932199999998</v>
      </c>
      <c r="Z1326" s="1">
        <v>7.9525172480000004</v>
      </c>
      <c r="AA1326" s="1">
        <v>7.8901561559999998</v>
      </c>
      <c r="AB1326" s="1">
        <v>8.3699044330000003</v>
      </c>
      <c r="AC1326" s="1">
        <v>8.150654201</v>
      </c>
      <c r="AD1326" s="1">
        <v>8.5407774090000004</v>
      </c>
      <c r="AE1326" s="1">
        <v>8.8296903340000004</v>
      </c>
    </row>
    <row r="1327" spans="1:31" x14ac:dyDescent="0.25">
      <c r="A1327" s="1" t="s">
        <v>507</v>
      </c>
      <c r="B1327" s="1" t="s">
        <v>2530</v>
      </c>
      <c r="C1327" s="1" t="s">
        <v>2531</v>
      </c>
      <c r="D1327" s="1" t="s">
        <v>2535</v>
      </c>
      <c r="E1327" s="1" t="s">
        <v>4700</v>
      </c>
      <c r="G1327" s="1" t="s">
        <v>507</v>
      </c>
      <c r="H1327" s="1">
        <v>5.6296178589999997</v>
      </c>
      <c r="I1327" s="1">
        <v>4.903725959</v>
      </c>
      <c r="J1327" s="1">
        <v>6.1606909930000002</v>
      </c>
      <c r="K1327" s="1">
        <v>6.091743707</v>
      </c>
      <c r="L1327" s="1">
        <v>5.5690677470000001</v>
      </c>
      <c r="M1327" s="1">
        <v>5.9201092089999996</v>
      </c>
      <c r="N1327" s="1">
        <v>5.6524063629999999</v>
      </c>
      <c r="O1327" s="1">
        <v>5.824131875</v>
      </c>
      <c r="P1327" s="1">
        <v>5.7211848500000002</v>
      </c>
      <c r="Q1327" s="1">
        <v>5.718446159</v>
      </c>
      <c r="R1327" s="1">
        <v>6.1687435319999997</v>
      </c>
      <c r="S1327" s="1">
        <v>6.0227453090000003</v>
      </c>
      <c r="T1327" s="1">
        <v>5.5690677470000001</v>
      </c>
      <c r="U1327" s="1">
        <v>5.9201092089999996</v>
      </c>
      <c r="V1327" s="1">
        <v>6.1009432270000001</v>
      </c>
      <c r="W1327" s="1">
        <v>6.156075682</v>
      </c>
      <c r="X1327" s="1">
        <v>6.0475048180000002</v>
      </c>
      <c r="Y1327" s="1">
        <v>6.2594192150000003</v>
      </c>
      <c r="Z1327" s="1">
        <v>6.1687435319999997</v>
      </c>
      <c r="AA1327" s="1">
        <v>6.0227453090000003</v>
      </c>
      <c r="AB1327" s="1">
        <v>6.3094558689999998</v>
      </c>
      <c r="AC1327" s="1">
        <v>6.1612901029999998</v>
      </c>
      <c r="AD1327" s="1">
        <v>6.2145653230000004</v>
      </c>
      <c r="AE1327" s="1">
        <v>5.8364806040000001</v>
      </c>
    </row>
    <row r="1328" spans="1:31" x14ac:dyDescent="0.25">
      <c r="A1328" s="1" t="s">
        <v>509</v>
      </c>
      <c r="B1328" s="1" t="s">
        <v>2530</v>
      </c>
      <c r="C1328" s="1" t="s">
        <v>2531</v>
      </c>
      <c r="D1328" s="1" t="s">
        <v>2535</v>
      </c>
      <c r="E1328" s="1" t="s">
        <v>4409</v>
      </c>
      <c r="G1328" s="1" t="s">
        <v>509</v>
      </c>
      <c r="H1328" s="1">
        <v>1.7393328349999999</v>
      </c>
      <c r="I1328" s="1">
        <v>1.7393328349999999</v>
      </c>
      <c r="J1328" s="1">
        <v>2.5640169199999998</v>
      </c>
      <c r="K1328" s="1">
        <v>1.7393328349999999</v>
      </c>
      <c r="L1328" s="1">
        <v>2.315629231</v>
      </c>
      <c r="M1328" s="1">
        <v>2.3994532390000001</v>
      </c>
      <c r="N1328" s="1">
        <v>2.628425199</v>
      </c>
      <c r="O1328" s="1">
        <v>1.7393328349999999</v>
      </c>
      <c r="P1328" s="1">
        <v>2.5478783159999998</v>
      </c>
      <c r="Q1328" s="1">
        <v>2.935765398</v>
      </c>
      <c r="R1328" s="1">
        <v>1.7393328349999999</v>
      </c>
      <c r="S1328" s="1">
        <v>1.7393328349999999</v>
      </c>
      <c r="T1328" s="1">
        <v>2.315629231</v>
      </c>
      <c r="U1328" s="1">
        <v>2.3994532390000001</v>
      </c>
      <c r="V1328" s="1">
        <v>2.8225047829999999</v>
      </c>
      <c r="W1328" s="1">
        <v>3.2870366010000001</v>
      </c>
      <c r="X1328" s="1">
        <v>2.3600830049999999</v>
      </c>
      <c r="Y1328" s="1">
        <v>2.9733498090000001</v>
      </c>
      <c r="Z1328" s="1">
        <v>1.7393328349999999</v>
      </c>
      <c r="AA1328" s="1">
        <v>1.7393328349999999</v>
      </c>
      <c r="AB1328" s="1">
        <v>1.7393328349999999</v>
      </c>
      <c r="AC1328" s="1">
        <v>1.7393328349999999</v>
      </c>
      <c r="AD1328" s="1">
        <v>2.9432342459999998</v>
      </c>
      <c r="AE1328" s="1">
        <v>2.3627668220000002</v>
      </c>
    </row>
    <row r="1329" spans="1:31" x14ac:dyDescent="0.25">
      <c r="A1329" s="1" t="s">
        <v>512</v>
      </c>
      <c r="B1329" s="1" t="s">
        <v>2557</v>
      </c>
      <c r="C1329" s="1" t="s">
        <v>2680</v>
      </c>
      <c r="D1329" s="1" t="s">
        <v>3923</v>
      </c>
      <c r="E1329" s="1" t="s">
        <v>4701</v>
      </c>
      <c r="F1329" s="1" t="s">
        <v>4702</v>
      </c>
      <c r="G1329" s="1" t="s">
        <v>512</v>
      </c>
      <c r="H1329" s="1">
        <v>6.9500875559999997</v>
      </c>
      <c r="I1329" s="1">
        <v>7.308415042</v>
      </c>
      <c r="J1329" s="1">
        <v>9.5951402059999999</v>
      </c>
      <c r="K1329" s="1">
        <v>9.4285359149999994</v>
      </c>
      <c r="L1329" s="1">
        <v>8.9938686790000002</v>
      </c>
      <c r="M1329" s="1">
        <v>9.1257389809999996</v>
      </c>
      <c r="N1329" s="1">
        <v>8.1131302089999995</v>
      </c>
      <c r="O1329" s="1">
        <v>8.1044230559999999</v>
      </c>
      <c r="P1329" s="1">
        <v>9.0345872660000008</v>
      </c>
      <c r="Q1329" s="1">
        <v>9.0144279439999995</v>
      </c>
      <c r="R1329" s="1">
        <v>9.1547755380000009</v>
      </c>
      <c r="S1329" s="1">
        <v>9.1863342410000008</v>
      </c>
      <c r="T1329" s="1">
        <v>8.9938686790000002</v>
      </c>
      <c r="U1329" s="1">
        <v>9.1257389809999996</v>
      </c>
      <c r="V1329" s="1">
        <v>8.9506014379999996</v>
      </c>
      <c r="W1329" s="1">
        <v>9.0008623120000006</v>
      </c>
      <c r="X1329" s="1">
        <v>8.8411290400000002</v>
      </c>
      <c r="Y1329" s="1">
        <v>8.5364443390000009</v>
      </c>
      <c r="Z1329" s="1">
        <v>9.1547755380000009</v>
      </c>
      <c r="AA1329" s="1">
        <v>9.1863342410000008</v>
      </c>
      <c r="AB1329" s="1">
        <v>9.0252456320000007</v>
      </c>
      <c r="AC1329" s="1">
        <v>9.0148203579999997</v>
      </c>
      <c r="AD1329" s="1">
        <v>8.720015149</v>
      </c>
      <c r="AE1329" s="1">
        <v>8.7555275869999996</v>
      </c>
    </row>
    <row r="1330" spans="1:31" x14ac:dyDescent="0.25">
      <c r="A1330" s="1" t="s">
        <v>514</v>
      </c>
      <c r="B1330" s="1" t="s">
        <v>2631</v>
      </c>
      <c r="C1330" s="1" t="s">
        <v>2531</v>
      </c>
      <c r="D1330" s="1" t="s">
        <v>4703</v>
      </c>
      <c r="E1330" s="1" t="s">
        <v>4704</v>
      </c>
      <c r="F1330" s="1" t="s">
        <v>4705</v>
      </c>
      <c r="G1330" s="1" t="s">
        <v>514</v>
      </c>
      <c r="H1330" s="1">
        <v>8.3761642369999993</v>
      </c>
      <c r="I1330" s="1">
        <v>8.6251279660000009</v>
      </c>
      <c r="J1330" s="1">
        <v>7.152203697</v>
      </c>
      <c r="K1330" s="1">
        <v>7.0362139130000001</v>
      </c>
      <c r="L1330" s="1">
        <v>7.3115670399999999</v>
      </c>
      <c r="M1330" s="1">
        <v>7.1399009050000002</v>
      </c>
      <c r="N1330" s="1">
        <v>8.202380024</v>
      </c>
      <c r="O1330" s="1">
        <v>7.8832752130000001</v>
      </c>
      <c r="P1330" s="1">
        <v>7.1077111620000002</v>
      </c>
      <c r="Q1330" s="1">
        <v>7.3197157400000004</v>
      </c>
      <c r="R1330" s="1">
        <v>6.2629717720000002</v>
      </c>
      <c r="S1330" s="1">
        <v>6.478262194</v>
      </c>
      <c r="T1330" s="1">
        <v>7.3115670399999999</v>
      </c>
      <c r="U1330" s="1">
        <v>7.1399009050000002</v>
      </c>
      <c r="V1330" s="1">
        <v>6.6186760830000004</v>
      </c>
      <c r="W1330" s="1">
        <v>6.6370070730000004</v>
      </c>
      <c r="X1330" s="1">
        <v>6.5709008840000003</v>
      </c>
      <c r="Y1330" s="1">
        <v>6.6438618839999997</v>
      </c>
      <c r="Z1330" s="1">
        <v>6.2629717720000002</v>
      </c>
      <c r="AA1330" s="1">
        <v>6.478262194</v>
      </c>
      <c r="AB1330" s="1">
        <v>6.1502584210000002</v>
      </c>
      <c r="AC1330" s="1">
        <v>6.3266154559999999</v>
      </c>
      <c r="AD1330" s="1">
        <v>6.4768062029999998</v>
      </c>
      <c r="AE1330" s="1">
        <v>6.6388355429999999</v>
      </c>
    </row>
    <row r="1331" spans="1:31" x14ac:dyDescent="0.25">
      <c r="A1331" s="1" t="s">
        <v>515</v>
      </c>
      <c r="B1331" s="1" t="s">
        <v>2631</v>
      </c>
      <c r="C1331" s="1" t="s">
        <v>2531</v>
      </c>
      <c r="D1331" s="1" t="s">
        <v>4703</v>
      </c>
      <c r="E1331" s="1" t="s">
        <v>4706</v>
      </c>
      <c r="F1331" s="1" t="s">
        <v>4707</v>
      </c>
      <c r="G1331" s="1" t="s">
        <v>515</v>
      </c>
      <c r="H1331" s="1">
        <v>5.7062998909999996</v>
      </c>
      <c r="I1331" s="1">
        <v>5.1078624770000003</v>
      </c>
      <c r="J1331" s="1">
        <v>5.0551375939999996</v>
      </c>
      <c r="K1331" s="1">
        <v>5.3612725399999999</v>
      </c>
      <c r="L1331" s="1">
        <v>5.6492182990000002</v>
      </c>
      <c r="M1331" s="1">
        <v>5.3157400949999998</v>
      </c>
      <c r="N1331" s="1">
        <v>5.8127456459999998</v>
      </c>
      <c r="O1331" s="1">
        <v>5.6435121610000003</v>
      </c>
      <c r="P1331" s="1">
        <v>5.0554269730000003</v>
      </c>
      <c r="Q1331" s="1">
        <v>5.2000913229999997</v>
      </c>
      <c r="R1331" s="1">
        <v>4.9327063119999996</v>
      </c>
      <c r="S1331" s="1">
        <v>4.9261733090000002</v>
      </c>
      <c r="T1331" s="1">
        <v>5.6492182990000002</v>
      </c>
      <c r="U1331" s="1">
        <v>5.3157400949999998</v>
      </c>
      <c r="V1331" s="1">
        <v>4.6419314959999998</v>
      </c>
      <c r="W1331" s="1">
        <v>4.9854391920000003</v>
      </c>
      <c r="X1331" s="1">
        <v>5.2630731749999997</v>
      </c>
      <c r="Y1331" s="1">
        <v>4.5275934409999996</v>
      </c>
      <c r="Z1331" s="1">
        <v>4.9327063119999996</v>
      </c>
      <c r="AA1331" s="1">
        <v>4.9261733090000002</v>
      </c>
      <c r="AB1331" s="1">
        <v>5.0356743460000004</v>
      </c>
      <c r="AC1331" s="1">
        <v>5.0638423939999999</v>
      </c>
      <c r="AD1331" s="1">
        <v>4.83054469</v>
      </c>
      <c r="AE1331" s="1">
        <v>4.9843711490000002</v>
      </c>
    </row>
    <row r="1332" spans="1:31" x14ac:dyDescent="0.25">
      <c r="A1332" s="1" t="s">
        <v>516</v>
      </c>
      <c r="B1332" s="1" t="s">
        <v>2631</v>
      </c>
      <c r="C1332" s="1" t="s">
        <v>2531</v>
      </c>
      <c r="D1332" s="1" t="s">
        <v>4703</v>
      </c>
      <c r="E1332" s="1" t="s">
        <v>4708</v>
      </c>
      <c r="F1332" s="1" t="s">
        <v>4709</v>
      </c>
      <c r="G1332" s="1" t="s">
        <v>516</v>
      </c>
      <c r="H1332" s="1">
        <v>7.6172000190000002</v>
      </c>
      <c r="I1332" s="1">
        <v>8.0024043880000004</v>
      </c>
      <c r="J1332" s="1">
        <v>7.1970048560000004</v>
      </c>
      <c r="K1332" s="1">
        <v>7.1581252400000004</v>
      </c>
      <c r="L1332" s="1">
        <v>7.1940843680000004</v>
      </c>
      <c r="M1332" s="1">
        <v>7.1899822589999998</v>
      </c>
      <c r="N1332" s="1">
        <v>8.1468330039999994</v>
      </c>
      <c r="O1332" s="1">
        <v>8.0731387199999993</v>
      </c>
      <c r="P1332" s="1">
        <v>6.9151345580000001</v>
      </c>
      <c r="Q1332" s="1">
        <v>7.2751079179999998</v>
      </c>
      <c r="R1332" s="1">
        <v>7.2477233400000003</v>
      </c>
      <c r="S1332" s="1">
        <v>7.1726569370000002</v>
      </c>
      <c r="T1332" s="1">
        <v>7.1940843680000004</v>
      </c>
      <c r="U1332" s="1">
        <v>7.1899822589999998</v>
      </c>
      <c r="V1332" s="1">
        <v>7.6501919369999998</v>
      </c>
      <c r="W1332" s="1">
        <v>7.7768262349999997</v>
      </c>
      <c r="X1332" s="1">
        <v>6.807806319</v>
      </c>
      <c r="Y1332" s="1">
        <v>7.4104262099999998</v>
      </c>
      <c r="Z1332" s="1">
        <v>7.2477233400000003</v>
      </c>
      <c r="AA1332" s="1">
        <v>7.1726569370000002</v>
      </c>
      <c r="AB1332" s="1">
        <v>7.1687117850000002</v>
      </c>
      <c r="AC1332" s="1">
        <v>7.1175143109999999</v>
      </c>
      <c r="AD1332" s="1">
        <v>7.1629120009999996</v>
      </c>
      <c r="AE1332" s="1">
        <v>6.98039582</v>
      </c>
    </row>
    <row r="1333" spans="1:31" x14ac:dyDescent="0.25">
      <c r="A1333" s="1" t="s">
        <v>517</v>
      </c>
      <c r="B1333" s="1" t="s">
        <v>2557</v>
      </c>
      <c r="C1333" s="1" t="s">
        <v>2772</v>
      </c>
      <c r="D1333" s="1" t="s">
        <v>3276</v>
      </c>
      <c r="E1333" s="1" t="s">
        <v>4710</v>
      </c>
      <c r="F1333" s="1" t="s">
        <v>4711</v>
      </c>
      <c r="G1333" s="1" t="s">
        <v>517</v>
      </c>
      <c r="H1333" s="1">
        <v>5.5485883999999999</v>
      </c>
      <c r="I1333" s="1">
        <v>6.7527702749999996</v>
      </c>
      <c r="J1333" s="1">
        <v>6.311124607</v>
      </c>
      <c r="K1333" s="1">
        <v>5.8227835140000002</v>
      </c>
      <c r="L1333" s="1">
        <v>6.4956354840000001</v>
      </c>
      <c r="M1333" s="1">
        <v>6.3311731590000004</v>
      </c>
      <c r="N1333" s="1">
        <v>7.1700553200000003</v>
      </c>
      <c r="O1333" s="1">
        <v>6.9702028699999996</v>
      </c>
      <c r="P1333" s="1">
        <v>6.429694821</v>
      </c>
      <c r="Q1333" s="1">
        <v>5.9062084209999997</v>
      </c>
      <c r="R1333" s="1">
        <v>5.7472990829999997</v>
      </c>
      <c r="S1333" s="1">
        <v>5.9707657090000001</v>
      </c>
      <c r="T1333" s="1">
        <v>6.4956354840000001</v>
      </c>
      <c r="U1333" s="1">
        <v>6.3311731590000004</v>
      </c>
      <c r="V1333" s="1">
        <v>6.5134692110000003</v>
      </c>
      <c r="W1333" s="1">
        <v>6.7357424699999999</v>
      </c>
      <c r="X1333" s="1">
        <v>5.4415021479999997</v>
      </c>
      <c r="Y1333" s="1">
        <v>6.2095953220000002</v>
      </c>
      <c r="Z1333" s="1">
        <v>5.7472990829999997</v>
      </c>
      <c r="AA1333" s="1">
        <v>5.9707657090000001</v>
      </c>
      <c r="AB1333" s="1">
        <v>5.675717079</v>
      </c>
      <c r="AC1333" s="1">
        <v>5.471555994</v>
      </c>
      <c r="AD1333" s="1">
        <v>5.3536174839999999</v>
      </c>
      <c r="AE1333" s="1">
        <v>5.8524340769999998</v>
      </c>
    </row>
    <row r="1334" spans="1:31" x14ac:dyDescent="0.25">
      <c r="A1334" s="1" t="s">
        <v>518</v>
      </c>
      <c r="B1334" s="1" t="s">
        <v>2539</v>
      </c>
      <c r="C1334" s="1" t="s">
        <v>2606</v>
      </c>
      <c r="D1334" s="1" t="s">
        <v>2535</v>
      </c>
      <c r="E1334" s="1" t="s">
        <v>4712</v>
      </c>
      <c r="G1334" s="1" t="s">
        <v>518</v>
      </c>
      <c r="H1334" s="1">
        <v>5.3712699940000004</v>
      </c>
      <c r="I1334" s="1">
        <v>4.2936285989999998</v>
      </c>
      <c r="J1334" s="1">
        <v>4.3724365990000003</v>
      </c>
      <c r="K1334" s="1">
        <v>4.5171444090000001</v>
      </c>
      <c r="L1334" s="1">
        <v>5.128160297</v>
      </c>
      <c r="M1334" s="1">
        <v>4.930560163</v>
      </c>
      <c r="N1334" s="1">
        <v>5.5749368700000002</v>
      </c>
      <c r="O1334" s="1">
        <v>5.6219600229999998</v>
      </c>
      <c r="P1334" s="1">
        <v>4.7394495640000001</v>
      </c>
      <c r="Q1334" s="1">
        <v>4.611970812</v>
      </c>
      <c r="R1334" s="1">
        <v>4.8118229140000004</v>
      </c>
      <c r="S1334" s="1">
        <v>4.6864044680000001</v>
      </c>
      <c r="T1334" s="1">
        <v>5.128160297</v>
      </c>
      <c r="U1334" s="1">
        <v>4.930560163</v>
      </c>
      <c r="V1334" s="1">
        <v>4.1608706030000002</v>
      </c>
      <c r="W1334" s="1">
        <v>4.69862249</v>
      </c>
      <c r="X1334" s="1">
        <v>5.0589726410000004</v>
      </c>
      <c r="Y1334" s="1">
        <v>4.6842287809999998</v>
      </c>
      <c r="Z1334" s="1">
        <v>4.8118229140000004</v>
      </c>
      <c r="AA1334" s="1">
        <v>4.6864044680000001</v>
      </c>
      <c r="AB1334" s="1">
        <v>4.5063178209999997</v>
      </c>
      <c r="AC1334" s="1">
        <v>5.1552886820000001</v>
      </c>
      <c r="AD1334" s="1">
        <v>4.3870463700000002</v>
      </c>
      <c r="AE1334" s="1">
        <v>4.3257514669999999</v>
      </c>
    </row>
    <row r="1335" spans="1:31" x14ac:dyDescent="0.25">
      <c r="A1335" s="1" t="s">
        <v>522</v>
      </c>
      <c r="B1335" s="1" t="s">
        <v>2530</v>
      </c>
      <c r="C1335" s="1" t="s">
        <v>2531</v>
      </c>
      <c r="D1335" s="1" t="s">
        <v>2535</v>
      </c>
      <c r="E1335" s="1" t="s">
        <v>4713</v>
      </c>
      <c r="G1335" s="1" t="s">
        <v>522</v>
      </c>
      <c r="H1335" s="1">
        <v>4.7245801409999997</v>
      </c>
      <c r="I1335" s="1">
        <v>4.903725959</v>
      </c>
      <c r="J1335" s="1">
        <v>2.8907526730000002</v>
      </c>
      <c r="K1335" s="1">
        <v>3.4309024589999999</v>
      </c>
      <c r="L1335" s="1">
        <v>4.4838783849999997</v>
      </c>
      <c r="M1335" s="1">
        <v>4.4472617469999998</v>
      </c>
      <c r="N1335" s="1">
        <v>4.5776172920000002</v>
      </c>
      <c r="O1335" s="1">
        <v>5.0400854920000002</v>
      </c>
      <c r="P1335" s="1">
        <v>4.4805784009999998</v>
      </c>
      <c r="Q1335" s="1">
        <v>3.8492287269999999</v>
      </c>
      <c r="R1335" s="1">
        <v>3.386455024</v>
      </c>
      <c r="S1335" s="1">
        <v>4.2250836859999996</v>
      </c>
      <c r="T1335" s="1">
        <v>4.4838783849999997</v>
      </c>
      <c r="U1335" s="1">
        <v>4.4472617469999998</v>
      </c>
      <c r="V1335" s="1">
        <v>3.887436229</v>
      </c>
      <c r="W1335" s="1">
        <v>3.9848641250000001</v>
      </c>
      <c r="X1335" s="1">
        <v>4.4502657640000001</v>
      </c>
      <c r="Y1335" s="1">
        <v>4.2532353330000001</v>
      </c>
      <c r="Z1335" s="1">
        <v>3.386455024</v>
      </c>
      <c r="AA1335" s="1">
        <v>4.2250836859999996</v>
      </c>
      <c r="AB1335" s="1">
        <v>4.139369361</v>
      </c>
      <c r="AC1335" s="1">
        <v>4.415017905</v>
      </c>
      <c r="AD1335" s="1">
        <v>4.2005997429999997</v>
      </c>
      <c r="AE1335" s="1">
        <v>3.67472814</v>
      </c>
    </row>
    <row r="1336" spans="1:31" x14ac:dyDescent="0.25">
      <c r="A1336" s="1" t="s">
        <v>524</v>
      </c>
      <c r="B1336" s="1" t="s">
        <v>2539</v>
      </c>
      <c r="C1336" s="1" t="s">
        <v>2563</v>
      </c>
      <c r="D1336" s="1" t="s">
        <v>2989</v>
      </c>
      <c r="E1336" s="1" t="s">
        <v>4714</v>
      </c>
      <c r="F1336" s="1" t="s">
        <v>4715</v>
      </c>
      <c r="G1336" s="1" t="s">
        <v>524</v>
      </c>
      <c r="H1336" s="1">
        <v>3.4660955969999998</v>
      </c>
      <c r="I1336" s="1">
        <v>3.5006354609999999</v>
      </c>
      <c r="J1336" s="1">
        <v>3.6453331530000002</v>
      </c>
      <c r="K1336" s="1">
        <v>2.9677134359999999</v>
      </c>
      <c r="L1336" s="1">
        <v>4.0714409539999998</v>
      </c>
      <c r="M1336" s="1">
        <v>3.8521266660000002</v>
      </c>
      <c r="N1336" s="1">
        <v>3.622455167</v>
      </c>
      <c r="O1336" s="1">
        <v>3.434496577</v>
      </c>
      <c r="P1336" s="1">
        <v>3.3003929539999999</v>
      </c>
      <c r="Q1336" s="1">
        <v>2.935765398</v>
      </c>
      <c r="R1336" s="1">
        <v>3.968758995</v>
      </c>
      <c r="S1336" s="1">
        <v>3.1475403900000001</v>
      </c>
      <c r="T1336" s="1">
        <v>4.0714409539999998</v>
      </c>
      <c r="U1336" s="1">
        <v>3.8521266660000002</v>
      </c>
      <c r="V1336" s="1">
        <v>3.9849921849999999</v>
      </c>
      <c r="W1336" s="1">
        <v>4.5296290450000001</v>
      </c>
      <c r="X1336" s="1">
        <v>5.0312607360000001</v>
      </c>
      <c r="Y1336" s="1">
        <v>4.3509215530000001</v>
      </c>
      <c r="Z1336" s="1">
        <v>3.968758995</v>
      </c>
      <c r="AA1336" s="1">
        <v>3.1475403900000001</v>
      </c>
      <c r="AB1336" s="1">
        <v>3.404153038</v>
      </c>
      <c r="AC1336" s="1">
        <v>3.9750819590000002</v>
      </c>
      <c r="AD1336" s="1">
        <v>4.95179218</v>
      </c>
      <c r="AE1336" s="1">
        <v>4.7973769099999997</v>
      </c>
    </row>
    <row r="1337" spans="1:31" x14ac:dyDescent="0.25">
      <c r="A1337" s="1" t="s">
        <v>525</v>
      </c>
      <c r="B1337" s="1" t="s">
        <v>2530</v>
      </c>
      <c r="C1337" s="1" t="s">
        <v>2573</v>
      </c>
      <c r="D1337" s="1" t="s">
        <v>2535</v>
      </c>
      <c r="E1337" s="1" t="s">
        <v>3328</v>
      </c>
      <c r="G1337" s="1" t="s">
        <v>525</v>
      </c>
      <c r="H1337" s="1">
        <v>3.4660955969999998</v>
      </c>
      <c r="I1337" s="1">
        <v>4.0101074990000001</v>
      </c>
      <c r="J1337" s="1">
        <v>3.6453331530000002</v>
      </c>
      <c r="K1337" s="1">
        <v>3.607491666</v>
      </c>
      <c r="L1337" s="1">
        <v>4.1645832880000002</v>
      </c>
      <c r="M1337" s="1">
        <v>4.239619416</v>
      </c>
      <c r="N1337" s="1">
        <v>3.9164981490000002</v>
      </c>
      <c r="O1337" s="1">
        <v>3.88533178</v>
      </c>
      <c r="P1337" s="1">
        <v>4.3303557189999999</v>
      </c>
      <c r="Q1337" s="1">
        <v>4.18747588</v>
      </c>
      <c r="R1337" s="1">
        <v>4.3698765340000003</v>
      </c>
      <c r="S1337" s="1">
        <v>4.3135540739999998</v>
      </c>
      <c r="T1337" s="1">
        <v>4.1645832880000002</v>
      </c>
      <c r="U1337" s="1">
        <v>4.239619416</v>
      </c>
      <c r="V1337" s="1">
        <v>4.5207607210000003</v>
      </c>
      <c r="W1337" s="1">
        <v>3.9848641250000001</v>
      </c>
      <c r="X1337" s="1">
        <v>4.4502657640000001</v>
      </c>
      <c r="Y1337" s="1">
        <v>4.6842287809999998</v>
      </c>
      <c r="Z1337" s="1">
        <v>4.3698765340000003</v>
      </c>
      <c r="AA1337" s="1">
        <v>4.3135540739999998</v>
      </c>
      <c r="AB1337" s="1">
        <v>4.7958605490000004</v>
      </c>
      <c r="AC1337" s="1">
        <v>4.5576875899999996</v>
      </c>
      <c r="AD1337" s="1">
        <v>4.3870463700000002</v>
      </c>
      <c r="AE1337" s="1">
        <v>4.5815229759999996</v>
      </c>
    </row>
    <row r="1338" spans="1:31" x14ac:dyDescent="0.25">
      <c r="A1338" s="1" t="s">
        <v>526</v>
      </c>
      <c r="B1338" s="1" t="s">
        <v>2579</v>
      </c>
      <c r="C1338" s="1" t="s">
        <v>2933</v>
      </c>
      <c r="D1338" s="1" t="s">
        <v>2934</v>
      </c>
      <c r="E1338" s="1" t="s">
        <v>4716</v>
      </c>
      <c r="F1338" s="1" t="s">
        <v>4717</v>
      </c>
      <c r="G1338" s="1" t="s">
        <v>526</v>
      </c>
      <c r="H1338" s="1">
        <v>7.2471677080000001</v>
      </c>
      <c r="I1338" s="1">
        <v>6.8960698870000003</v>
      </c>
      <c r="J1338" s="1">
        <v>8.5264408219999996</v>
      </c>
      <c r="K1338" s="1">
        <v>8.7931432340000004</v>
      </c>
      <c r="L1338" s="1">
        <v>7.3066533610000004</v>
      </c>
      <c r="M1338" s="1">
        <v>7.2786111590000004</v>
      </c>
      <c r="N1338" s="1">
        <v>8.4839392490000005</v>
      </c>
      <c r="O1338" s="1">
        <v>8.2302940489999994</v>
      </c>
      <c r="P1338" s="1">
        <v>7.5504369310000001</v>
      </c>
      <c r="Q1338" s="1">
        <v>7.7527735560000002</v>
      </c>
      <c r="R1338" s="1">
        <v>8.0214139519999996</v>
      </c>
      <c r="S1338" s="1">
        <v>7.719998564</v>
      </c>
      <c r="T1338" s="1">
        <v>7.3066533610000004</v>
      </c>
      <c r="U1338" s="1">
        <v>7.2786111590000004</v>
      </c>
      <c r="V1338" s="1">
        <v>7.5088959519999996</v>
      </c>
      <c r="W1338" s="1">
        <v>7.6710982799999998</v>
      </c>
      <c r="X1338" s="1">
        <v>7.6207336870000004</v>
      </c>
      <c r="Y1338" s="1">
        <v>7.506252259</v>
      </c>
      <c r="Z1338" s="1">
        <v>8.0214139519999996</v>
      </c>
      <c r="AA1338" s="1">
        <v>7.719998564</v>
      </c>
      <c r="AB1338" s="1">
        <v>7.9059268769999997</v>
      </c>
      <c r="AC1338" s="1">
        <v>7.8315830829999999</v>
      </c>
      <c r="AD1338" s="1">
        <v>7.8656389180000001</v>
      </c>
      <c r="AE1338" s="1">
        <v>7.7773983329999998</v>
      </c>
    </row>
    <row r="1339" spans="1:31" x14ac:dyDescent="0.25">
      <c r="A1339" s="1" t="s">
        <v>527</v>
      </c>
      <c r="B1339" s="1" t="s">
        <v>2667</v>
      </c>
      <c r="C1339" s="1" t="s">
        <v>2867</v>
      </c>
      <c r="D1339" s="1" t="s">
        <v>2964</v>
      </c>
      <c r="E1339" s="1" t="s">
        <v>4718</v>
      </c>
      <c r="F1339" s="1" t="s">
        <v>4719</v>
      </c>
      <c r="G1339" s="1" t="s">
        <v>527</v>
      </c>
      <c r="H1339" s="1">
        <v>7.5040903459999999</v>
      </c>
      <c r="I1339" s="1">
        <v>7.4728468509999999</v>
      </c>
      <c r="J1339" s="1">
        <v>6.1831700180000002</v>
      </c>
      <c r="K1339" s="1">
        <v>6.6493796840000003</v>
      </c>
      <c r="L1339" s="1">
        <v>6.3597634449999996</v>
      </c>
      <c r="M1339" s="1">
        <v>6.211413758</v>
      </c>
      <c r="N1339" s="1">
        <v>7.4547970069999998</v>
      </c>
      <c r="O1339" s="1">
        <v>7.6645696750000001</v>
      </c>
      <c r="P1339" s="1">
        <v>6.7077294260000002</v>
      </c>
      <c r="Q1339" s="1">
        <v>6.289960497</v>
      </c>
      <c r="R1339" s="1">
        <v>6.6061768719999998</v>
      </c>
      <c r="S1339" s="1">
        <v>6.478262194</v>
      </c>
      <c r="T1339" s="1">
        <v>6.3597634449999996</v>
      </c>
      <c r="U1339" s="1">
        <v>6.211413758</v>
      </c>
      <c r="V1339" s="1">
        <v>6.9066996950000004</v>
      </c>
      <c r="W1339" s="1">
        <v>7.176254965</v>
      </c>
      <c r="X1339" s="1">
        <v>6.7996930640000004</v>
      </c>
      <c r="Y1339" s="1">
        <v>7.8444431989999996</v>
      </c>
      <c r="Z1339" s="1">
        <v>6.6061768719999998</v>
      </c>
      <c r="AA1339" s="1">
        <v>6.478262194</v>
      </c>
      <c r="AB1339" s="1">
        <v>7.0476086139999996</v>
      </c>
      <c r="AC1339" s="1">
        <v>6.8039964739999998</v>
      </c>
      <c r="AD1339" s="1">
        <v>7.5037946040000003</v>
      </c>
      <c r="AE1339" s="1">
        <v>7.2975472589999999</v>
      </c>
    </row>
    <row r="1340" spans="1:31" x14ac:dyDescent="0.25">
      <c r="A1340" s="1" t="s">
        <v>529</v>
      </c>
      <c r="B1340" s="1" t="s">
        <v>2530</v>
      </c>
      <c r="C1340" s="1" t="s">
        <v>2573</v>
      </c>
      <c r="D1340" s="1" t="s">
        <v>2535</v>
      </c>
      <c r="E1340" s="1" t="s">
        <v>4720</v>
      </c>
      <c r="G1340" s="1" t="s">
        <v>529</v>
      </c>
      <c r="H1340" s="1">
        <v>4.6479005740000003</v>
      </c>
      <c r="I1340" s="1">
        <v>4.7284970130000001</v>
      </c>
      <c r="J1340" s="1">
        <v>5.9141206909999999</v>
      </c>
      <c r="K1340" s="1">
        <v>4.8139921829999999</v>
      </c>
      <c r="L1340" s="1">
        <v>6.0772329310000002</v>
      </c>
      <c r="M1340" s="1">
        <v>5.6184934039999996</v>
      </c>
      <c r="N1340" s="1">
        <v>5.9870940719999997</v>
      </c>
      <c r="O1340" s="1">
        <v>5.600077969</v>
      </c>
      <c r="P1340" s="1">
        <v>5.834784151</v>
      </c>
      <c r="Q1340" s="1">
        <v>5.5022716190000001</v>
      </c>
      <c r="R1340" s="1">
        <v>5.6457947050000001</v>
      </c>
      <c r="S1340" s="1">
        <v>5.6453330910000004</v>
      </c>
      <c r="T1340" s="1">
        <v>6.0772329310000002</v>
      </c>
      <c r="U1340" s="1">
        <v>5.6184934039999996</v>
      </c>
      <c r="V1340" s="1">
        <v>5.8765220630000004</v>
      </c>
      <c r="W1340" s="1">
        <v>6.0977940090000002</v>
      </c>
      <c r="X1340" s="1">
        <v>6.4516415819999997</v>
      </c>
      <c r="Y1340" s="1">
        <v>6.5469586450000001</v>
      </c>
      <c r="Z1340" s="1">
        <v>5.6457947050000001</v>
      </c>
      <c r="AA1340" s="1">
        <v>5.6453330910000004</v>
      </c>
      <c r="AB1340" s="1">
        <v>5.8927983030000002</v>
      </c>
      <c r="AC1340" s="1">
        <v>6.2870326270000003</v>
      </c>
      <c r="AD1340" s="1">
        <v>6.1407817189999996</v>
      </c>
      <c r="AE1340" s="1">
        <v>6.2634584459999996</v>
      </c>
    </row>
    <row r="1341" spans="1:31" x14ac:dyDescent="0.25">
      <c r="A1341" s="1" t="s">
        <v>530</v>
      </c>
      <c r="B1341" s="1" t="s">
        <v>2539</v>
      </c>
      <c r="C1341" s="1" t="s">
        <v>2563</v>
      </c>
      <c r="D1341" s="1" t="s">
        <v>2535</v>
      </c>
      <c r="E1341" s="1" t="s">
        <v>4721</v>
      </c>
      <c r="G1341" s="1" t="s">
        <v>530</v>
      </c>
      <c r="H1341" s="1">
        <v>5.6684727009999998</v>
      </c>
      <c r="I1341" s="1">
        <v>5.8070199389999999</v>
      </c>
      <c r="J1341" s="1">
        <v>5.0051223570000003</v>
      </c>
      <c r="K1341" s="1">
        <v>5.2674352469999999</v>
      </c>
      <c r="L1341" s="1">
        <v>6.0887506509999998</v>
      </c>
      <c r="M1341" s="1">
        <v>6.2524523690000002</v>
      </c>
      <c r="N1341" s="1">
        <v>6.3187649539999997</v>
      </c>
      <c r="O1341" s="1">
        <v>5.984507765</v>
      </c>
      <c r="P1341" s="1">
        <v>5.9144375350000002</v>
      </c>
      <c r="Q1341" s="1">
        <v>5.7838067430000004</v>
      </c>
      <c r="R1341" s="1">
        <v>6.4143264479999997</v>
      </c>
      <c r="S1341" s="1">
        <v>5.8319244149999996</v>
      </c>
      <c r="T1341" s="1">
        <v>6.0887506509999998</v>
      </c>
      <c r="U1341" s="1">
        <v>6.2524523690000002</v>
      </c>
      <c r="V1341" s="1">
        <v>5.9705432629999997</v>
      </c>
      <c r="W1341" s="1">
        <v>5.5634106699999997</v>
      </c>
      <c r="X1341" s="1">
        <v>6.1533217709999999</v>
      </c>
      <c r="Y1341" s="1">
        <v>5.503438128</v>
      </c>
      <c r="Z1341" s="1">
        <v>6.4143264479999997</v>
      </c>
      <c r="AA1341" s="1">
        <v>5.8319244149999996</v>
      </c>
      <c r="AB1341" s="1">
        <v>5.7665348979999997</v>
      </c>
      <c r="AC1341" s="1">
        <v>5.8163513240000002</v>
      </c>
      <c r="AD1341" s="1">
        <v>5.8632235870000002</v>
      </c>
      <c r="AE1341" s="1">
        <v>5.9296419269999996</v>
      </c>
    </row>
    <row r="1342" spans="1:31" x14ac:dyDescent="0.25">
      <c r="A1342" s="1" t="s">
        <v>531</v>
      </c>
      <c r="B1342" s="1" t="s">
        <v>2530</v>
      </c>
      <c r="C1342" s="1" t="s">
        <v>2531</v>
      </c>
      <c r="D1342" s="1" t="s">
        <v>2535</v>
      </c>
      <c r="E1342" s="1" t="s">
        <v>2621</v>
      </c>
      <c r="G1342" s="1" t="s">
        <v>531</v>
      </c>
      <c r="H1342" s="1">
        <v>3.4660955969999998</v>
      </c>
      <c r="I1342" s="1">
        <v>4.3763156859999999</v>
      </c>
      <c r="J1342" s="1">
        <v>4.6607313550000002</v>
      </c>
      <c r="K1342" s="1">
        <v>4.5171444090000001</v>
      </c>
      <c r="L1342" s="1">
        <v>4.8833754540000003</v>
      </c>
      <c r="M1342" s="1">
        <v>4.3473799800000004</v>
      </c>
      <c r="N1342" s="1">
        <v>4.9001796750000004</v>
      </c>
      <c r="O1342" s="1">
        <v>4.8288877169999997</v>
      </c>
      <c r="P1342" s="1">
        <v>4.3303557189999999</v>
      </c>
      <c r="Q1342" s="1">
        <v>3.56206471</v>
      </c>
      <c r="R1342" s="1">
        <v>4.1841942410000001</v>
      </c>
      <c r="S1342" s="1">
        <v>4.5490843459999999</v>
      </c>
      <c r="T1342" s="1">
        <v>4.8833754540000003</v>
      </c>
      <c r="U1342" s="1">
        <v>4.3473799800000004</v>
      </c>
      <c r="V1342" s="1">
        <v>3.5405335899999999</v>
      </c>
      <c r="W1342" s="1">
        <v>4.2295768090000001</v>
      </c>
      <c r="X1342" s="1">
        <v>4.1686775799999998</v>
      </c>
      <c r="Y1342" s="1">
        <v>4.8250325140000001</v>
      </c>
      <c r="Z1342" s="1">
        <v>4.1841942410000001</v>
      </c>
      <c r="AA1342" s="1">
        <v>4.5490843459999999</v>
      </c>
      <c r="AB1342" s="1">
        <v>3.6315729079999999</v>
      </c>
      <c r="AC1342" s="1">
        <v>4.2557864319999998</v>
      </c>
      <c r="AD1342" s="1">
        <v>4.4715299570000004</v>
      </c>
      <c r="AE1342" s="1">
        <v>4.542053224</v>
      </c>
    </row>
    <row r="1343" spans="1:31" x14ac:dyDescent="0.25">
      <c r="A1343" s="1" t="s">
        <v>532</v>
      </c>
      <c r="B1343" s="1" t="s">
        <v>3099</v>
      </c>
      <c r="C1343" s="1" t="s">
        <v>3100</v>
      </c>
      <c r="D1343" s="1" t="s">
        <v>3101</v>
      </c>
      <c r="E1343" s="1" t="s">
        <v>4722</v>
      </c>
      <c r="F1343" s="1" t="s">
        <v>4723</v>
      </c>
      <c r="G1343" s="1" t="s">
        <v>532</v>
      </c>
      <c r="H1343" s="1">
        <v>3.4660955969999998</v>
      </c>
      <c r="I1343" s="1">
        <v>4.1114152529999997</v>
      </c>
      <c r="J1343" s="1">
        <v>4.0065844400000001</v>
      </c>
      <c r="K1343" s="1">
        <v>3.607491666</v>
      </c>
      <c r="L1343" s="1">
        <v>4.2088403679999997</v>
      </c>
      <c r="M1343" s="1">
        <v>4.239619416</v>
      </c>
      <c r="N1343" s="1">
        <v>4.8677953240000003</v>
      </c>
      <c r="O1343" s="1">
        <v>4.8288877169999997</v>
      </c>
      <c r="P1343" s="1">
        <v>3.6116823170000001</v>
      </c>
      <c r="Q1343" s="1">
        <v>4.3733115800000002</v>
      </c>
      <c r="R1343" s="1">
        <v>3.386455024</v>
      </c>
      <c r="S1343" s="1">
        <v>3.6647387380000001</v>
      </c>
      <c r="T1343" s="1">
        <v>4.2088403679999997</v>
      </c>
      <c r="U1343" s="1">
        <v>4.239619416</v>
      </c>
      <c r="V1343" s="1">
        <v>4.2408545169999998</v>
      </c>
      <c r="W1343" s="1">
        <v>3.8431653940000001</v>
      </c>
      <c r="X1343" s="1">
        <v>4.2198471</v>
      </c>
      <c r="Y1343" s="1">
        <v>3.6154848500000001</v>
      </c>
      <c r="Z1343" s="1">
        <v>3.386455024</v>
      </c>
      <c r="AA1343" s="1">
        <v>3.6647387380000001</v>
      </c>
      <c r="AB1343" s="1">
        <v>3.6315729079999999</v>
      </c>
      <c r="AC1343" s="1">
        <v>3.3054795530000001</v>
      </c>
      <c r="AD1343" s="1">
        <v>4.0967699450000001</v>
      </c>
      <c r="AE1343" s="1">
        <v>3.7492737119999999</v>
      </c>
    </row>
    <row r="1344" spans="1:31" x14ac:dyDescent="0.25">
      <c r="A1344" s="1" t="s">
        <v>534</v>
      </c>
      <c r="B1344" s="1" t="s">
        <v>2547</v>
      </c>
      <c r="C1344" s="1" t="s">
        <v>2566</v>
      </c>
      <c r="D1344" s="1" t="s">
        <v>4724</v>
      </c>
      <c r="E1344" s="1" t="s">
        <v>4725</v>
      </c>
      <c r="F1344" s="1" t="s">
        <v>4726</v>
      </c>
      <c r="G1344" s="1" t="s">
        <v>534</v>
      </c>
      <c r="H1344" s="1">
        <v>5.946332924</v>
      </c>
      <c r="I1344" s="1">
        <v>5.3676718369999996</v>
      </c>
      <c r="J1344" s="1">
        <v>5.3631085470000004</v>
      </c>
      <c r="K1344" s="1">
        <v>5.1139224319999999</v>
      </c>
      <c r="L1344" s="1">
        <v>5.3172641829999998</v>
      </c>
      <c r="M1344" s="1">
        <v>5.5319881950000003</v>
      </c>
      <c r="N1344" s="1">
        <v>5.5548950010000002</v>
      </c>
      <c r="O1344" s="1">
        <v>5.2800788330000001</v>
      </c>
      <c r="P1344" s="1">
        <v>5.5318451900000003</v>
      </c>
      <c r="Q1344" s="1">
        <v>5.2931690810000003</v>
      </c>
      <c r="R1344" s="1">
        <v>5.6102934549999999</v>
      </c>
      <c r="S1344" s="1">
        <v>5.4687741709999997</v>
      </c>
      <c r="T1344" s="1">
        <v>5.3172641829999998</v>
      </c>
      <c r="U1344" s="1">
        <v>5.5319881950000003</v>
      </c>
      <c r="V1344" s="1">
        <v>5.1679192199999999</v>
      </c>
      <c r="W1344" s="1">
        <v>5.0488589419999998</v>
      </c>
      <c r="X1344" s="1">
        <v>5.6731962669999998</v>
      </c>
      <c r="Y1344" s="1">
        <v>4.9529845589999999</v>
      </c>
      <c r="Z1344" s="1">
        <v>5.6102934549999999</v>
      </c>
      <c r="AA1344" s="1">
        <v>5.4687741709999997</v>
      </c>
      <c r="AB1344" s="1">
        <v>5.3028471579999996</v>
      </c>
      <c r="AC1344" s="1">
        <v>5.5741318</v>
      </c>
      <c r="AD1344" s="1">
        <v>5.7351750150000003</v>
      </c>
      <c r="AE1344" s="1">
        <v>5.3205054189999998</v>
      </c>
    </row>
    <row r="1345" spans="1:31" x14ac:dyDescent="0.25">
      <c r="A1345" s="1" t="s">
        <v>536</v>
      </c>
      <c r="B1345" s="1" t="s">
        <v>2539</v>
      </c>
      <c r="C1345" s="1" t="s">
        <v>2563</v>
      </c>
      <c r="D1345" s="1" t="s">
        <v>2535</v>
      </c>
      <c r="E1345" s="1" t="s">
        <v>4727</v>
      </c>
      <c r="G1345" s="1" t="s">
        <v>536</v>
      </c>
      <c r="H1345" s="1">
        <v>7.5770883920000003</v>
      </c>
      <c r="I1345" s="1">
        <v>7.0992816530000002</v>
      </c>
      <c r="J1345" s="1">
        <v>6.6218704260000001</v>
      </c>
      <c r="K1345" s="1">
        <v>6.6307692840000003</v>
      </c>
      <c r="L1345" s="1">
        <v>5.7687912140000002</v>
      </c>
      <c r="M1345" s="1">
        <v>5.7197461279999997</v>
      </c>
      <c r="N1345" s="1">
        <v>5.894631425</v>
      </c>
      <c r="O1345" s="1">
        <v>6.6478049300000004</v>
      </c>
      <c r="P1345" s="1">
        <v>6.2975076100000003</v>
      </c>
      <c r="Q1345" s="1">
        <v>5.8154013029999998</v>
      </c>
      <c r="R1345" s="1">
        <v>5.9594282490000001</v>
      </c>
      <c r="S1345" s="1">
        <v>5.7416668729999998</v>
      </c>
      <c r="T1345" s="1">
        <v>5.7687912140000002</v>
      </c>
      <c r="U1345" s="1">
        <v>5.7197461279999997</v>
      </c>
      <c r="V1345" s="1">
        <v>6.3484277020000004</v>
      </c>
      <c r="W1345" s="1">
        <v>6.3179498900000004</v>
      </c>
      <c r="X1345" s="1">
        <v>5.6909099879999996</v>
      </c>
      <c r="Y1345" s="1">
        <v>5.6227961889999998</v>
      </c>
      <c r="Z1345" s="1">
        <v>5.9594282490000001</v>
      </c>
      <c r="AA1345" s="1">
        <v>5.7416668729999998</v>
      </c>
      <c r="AB1345" s="1">
        <v>5.675717079</v>
      </c>
      <c r="AC1345" s="1">
        <v>5.8163513240000002</v>
      </c>
      <c r="AD1345" s="1">
        <v>6.4566895009999996</v>
      </c>
      <c r="AE1345" s="1">
        <v>5.820347505</v>
      </c>
    </row>
    <row r="1346" spans="1:31" x14ac:dyDescent="0.25">
      <c r="A1346" s="1" t="s">
        <v>537</v>
      </c>
      <c r="B1346" s="1" t="s">
        <v>2667</v>
      </c>
      <c r="C1346" s="1" t="s">
        <v>3370</v>
      </c>
      <c r="D1346" s="1" t="s">
        <v>4242</v>
      </c>
      <c r="E1346" s="1" t="s">
        <v>4243</v>
      </c>
      <c r="F1346" s="1" t="s">
        <v>4244</v>
      </c>
      <c r="G1346" s="1" t="s">
        <v>537</v>
      </c>
      <c r="H1346" s="1">
        <v>9.1994799369999996</v>
      </c>
      <c r="I1346" s="1">
        <v>8.5448126500000008</v>
      </c>
      <c r="J1346" s="1">
        <v>8.8011920079999992</v>
      </c>
      <c r="K1346" s="1">
        <v>8.9248752610000004</v>
      </c>
      <c r="L1346" s="1">
        <v>7.9850512680000003</v>
      </c>
      <c r="M1346" s="1">
        <v>8.4666280609999998</v>
      </c>
      <c r="N1346" s="1">
        <v>7.8764995420000004</v>
      </c>
      <c r="O1346" s="1">
        <v>8.2124584980000002</v>
      </c>
      <c r="P1346" s="1">
        <v>8.4645829080000006</v>
      </c>
      <c r="Q1346" s="1">
        <v>8.4637285290000008</v>
      </c>
      <c r="R1346" s="1">
        <v>8.6451959479999996</v>
      </c>
      <c r="S1346" s="1">
        <v>8.5326778099999991</v>
      </c>
      <c r="T1346" s="1">
        <v>7.9850512680000003</v>
      </c>
      <c r="U1346" s="1">
        <v>8.4666280609999998</v>
      </c>
      <c r="V1346" s="1">
        <v>8.4944560229999997</v>
      </c>
      <c r="W1346" s="1">
        <v>8.3565876279999998</v>
      </c>
      <c r="X1346" s="1">
        <v>8.2487823260000006</v>
      </c>
      <c r="Y1346" s="1">
        <v>8.4210081090000006</v>
      </c>
      <c r="Z1346" s="1">
        <v>8.6451959479999996</v>
      </c>
      <c r="AA1346" s="1">
        <v>8.5326778099999991</v>
      </c>
      <c r="AB1346" s="1">
        <v>8.7090405079999993</v>
      </c>
      <c r="AC1346" s="1">
        <v>8.7057725240000003</v>
      </c>
      <c r="AD1346" s="1">
        <v>8.3083056880000008</v>
      </c>
      <c r="AE1346" s="1">
        <v>8.0184724519999993</v>
      </c>
    </row>
    <row r="1347" spans="1:31" x14ac:dyDescent="0.25">
      <c r="A1347" s="1" t="s">
        <v>538</v>
      </c>
      <c r="B1347" s="1" t="s">
        <v>2530</v>
      </c>
      <c r="C1347" s="1" t="s">
        <v>2531</v>
      </c>
      <c r="D1347" s="1" t="s">
        <v>2535</v>
      </c>
      <c r="E1347" s="1" t="s">
        <v>2562</v>
      </c>
      <c r="G1347" s="1" t="s">
        <v>538</v>
      </c>
      <c r="H1347" s="1">
        <v>6.7298351800000002</v>
      </c>
      <c r="I1347" s="1">
        <v>6.2320099659999997</v>
      </c>
      <c r="J1347" s="1">
        <v>5.8592801899999998</v>
      </c>
      <c r="K1347" s="1">
        <v>6.7901886659999997</v>
      </c>
      <c r="L1347" s="1">
        <v>5.6016693059999998</v>
      </c>
      <c r="M1347" s="1">
        <v>5.7772279879999999</v>
      </c>
      <c r="N1347" s="1">
        <v>6.1951276320000002</v>
      </c>
      <c r="O1347" s="1">
        <v>6.4668479379999999</v>
      </c>
      <c r="P1347" s="1">
        <v>5.9651829550000004</v>
      </c>
      <c r="Q1347" s="1">
        <v>5.4628336309999996</v>
      </c>
      <c r="R1347" s="1">
        <v>5.57388789</v>
      </c>
      <c r="S1347" s="1">
        <v>6.168262747</v>
      </c>
      <c r="T1347" s="1">
        <v>5.6016693059999998</v>
      </c>
      <c r="U1347" s="1">
        <v>5.7772279879999999</v>
      </c>
      <c r="V1347" s="1">
        <v>5.8017242820000003</v>
      </c>
      <c r="W1347" s="1">
        <v>6.2120844699999997</v>
      </c>
      <c r="X1347" s="1">
        <v>5.9771755410000003</v>
      </c>
      <c r="Y1347" s="1">
        <v>5.8352313850000002</v>
      </c>
      <c r="Z1347" s="1">
        <v>5.57388789</v>
      </c>
      <c r="AA1347" s="1">
        <v>6.168262747</v>
      </c>
      <c r="AB1347" s="1">
        <v>6.0455186249999997</v>
      </c>
      <c r="AC1347" s="1">
        <v>5.7302515789999999</v>
      </c>
      <c r="AD1347" s="1">
        <v>6.2617300800000004</v>
      </c>
      <c r="AE1347" s="1">
        <v>5.9593974410000001</v>
      </c>
    </row>
    <row r="1348" spans="1:31" x14ac:dyDescent="0.25">
      <c r="A1348" s="1" t="s">
        <v>541</v>
      </c>
      <c r="B1348" s="1" t="s">
        <v>2520</v>
      </c>
      <c r="C1348" s="1" t="s">
        <v>2646</v>
      </c>
      <c r="D1348" s="1" t="s">
        <v>4598</v>
      </c>
      <c r="E1348" s="1" t="s">
        <v>4728</v>
      </c>
      <c r="F1348" s="1" t="s">
        <v>4729</v>
      </c>
      <c r="G1348" s="1" t="s">
        <v>541</v>
      </c>
      <c r="H1348" s="1">
        <v>5.2221022919999998</v>
      </c>
      <c r="I1348" s="1">
        <v>5.3676718369999996</v>
      </c>
      <c r="J1348" s="1">
        <v>8.1978032990000003</v>
      </c>
      <c r="K1348" s="1">
        <v>8.2333479220000001</v>
      </c>
      <c r="L1348" s="1">
        <v>8.6716645739999993</v>
      </c>
      <c r="M1348" s="1">
        <v>8.7016853059999999</v>
      </c>
      <c r="N1348" s="1">
        <v>6.9121873169999999</v>
      </c>
      <c r="O1348" s="1">
        <v>6.3540746549999998</v>
      </c>
      <c r="P1348" s="1">
        <v>7.9464858329999997</v>
      </c>
      <c r="Q1348" s="1">
        <v>7.9851044230000001</v>
      </c>
      <c r="R1348" s="1">
        <v>8.4885594950000005</v>
      </c>
      <c r="S1348" s="1">
        <v>8.3056318729999994</v>
      </c>
      <c r="T1348" s="1">
        <v>8.6716645739999993</v>
      </c>
      <c r="U1348" s="1">
        <v>8.7016853059999999</v>
      </c>
      <c r="V1348" s="1">
        <v>8.4091384409999996</v>
      </c>
      <c r="W1348" s="1">
        <v>8.2996796009999994</v>
      </c>
      <c r="X1348" s="1">
        <v>8.3850601030000007</v>
      </c>
      <c r="Y1348" s="1">
        <v>7.8925181980000003</v>
      </c>
      <c r="Z1348" s="1">
        <v>8.4885594950000005</v>
      </c>
      <c r="AA1348" s="1">
        <v>8.3056318729999994</v>
      </c>
      <c r="AB1348" s="1">
        <v>8.460758813</v>
      </c>
      <c r="AC1348" s="1">
        <v>8.5051346819999996</v>
      </c>
      <c r="AD1348" s="1">
        <v>8.0579512330000007</v>
      </c>
      <c r="AE1348" s="1">
        <v>7.8021743209999999</v>
      </c>
    </row>
    <row r="1349" spans="1:31" x14ac:dyDescent="0.25">
      <c r="A1349" s="1" t="s">
        <v>542</v>
      </c>
      <c r="B1349" s="1" t="s">
        <v>2520</v>
      </c>
      <c r="C1349" s="1" t="s">
        <v>2521</v>
      </c>
      <c r="D1349" s="1" t="s">
        <v>3928</v>
      </c>
      <c r="E1349" s="1" t="s">
        <v>4730</v>
      </c>
      <c r="F1349" s="1" t="s">
        <v>4731</v>
      </c>
      <c r="G1349" s="1" t="s">
        <v>542</v>
      </c>
      <c r="H1349" s="1">
        <v>8.2025166830000007</v>
      </c>
      <c r="I1349" s="1">
        <v>8.7244207280000001</v>
      </c>
      <c r="J1349" s="1">
        <v>8.7382002060000001</v>
      </c>
      <c r="K1349" s="1">
        <v>8.6342289640000001</v>
      </c>
      <c r="L1349" s="1">
        <v>8.4864393339999999</v>
      </c>
      <c r="M1349" s="1">
        <v>8.7333773709999996</v>
      </c>
      <c r="N1349" s="1">
        <v>8.636439416</v>
      </c>
      <c r="O1349" s="1">
        <v>8.72131729</v>
      </c>
      <c r="P1349" s="1">
        <v>8.5988263909999993</v>
      </c>
      <c r="Q1349" s="1">
        <v>8.5125648050000002</v>
      </c>
      <c r="R1349" s="1">
        <v>8.7785389499999997</v>
      </c>
      <c r="S1349" s="1">
        <v>8.8449431720000007</v>
      </c>
      <c r="T1349" s="1">
        <v>8.4864393339999999</v>
      </c>
      <c r="U1349" s="1">
        <v>8.7333773709999996</v>
      </c>
      <c r="V1349" s="1">
        <v>9.0014528739999999</v>
      </c>
      <c r="W1349" s="1">
        <v>8.6875422009999994</v>
      </c>
      <c r="X1349" s="1">
        <v>8.8212448390000002</v>
      </c>
      <c r="Y1349" s="1">
        <v>9.1965520180000002</v>
      </c>
      <c r="Z1349" s="1">
        <v>8.7785389499999997</v>
      </c>
      <c r="AA1349" s="1">
        <v>8.8449431720000007</v>
      </c>
      <c r="AB1349" s="1">
        <v>8.5840298260000001</v>
      </c>
      <c r="AC1349" s="1">
        <v>8.7317603380000008</v>
      </c>
      <c r="AD1349" s="1">
        <v>8.9813752190000002</v>
      </c>
      <c r="AE1349" s="1">
        <v>8.9856094070000001</v>
      </c>
    </row>
    <row r="1350" spans="1:31" x14ac:dyDescent="0.25">
      <c r="A1350" s="1" t="s">
        <v>543</v>
      </c>
      <c r="B1350" s="1" t="s">
        <v>2539</v>
      </c>
      <c r="C1350" s="1" t="s">
        <v>2606</v>
      </c>
      <c r="D1350" s="1" t="s">
        <v>3928</v>
      </c>
      <c r="E1350" s="1" t="s">
        <v>4732</v>
      </c>
      <c r="F1350" s="1" t="s">
        <v>4733</v>
      </c>
      <c r="G1350" s="1" t="s">
        <v>543</v>
      </c>
      <c r="H1350" s="1">
        <v>8.1211802790000007</v>
      </c>
      <c r="I1350" s="1">
        <v>7.7542989220000003</v>
      </c>
      <c r="J1350" s="1">
        <v>8.6239560130000008</v>
      </c>
      <c r="K1350" s="1">
        <v>8.3629086709999996</v>
      </c>
      <c r="L1350" s="1">
        <v>8.6792851219999996</v>
      </c>
      <c r="M1350" s="1">
        <v>8.6127289610000002</v>
      </c>
      <c r="N1350" s="1">
        <v>8.0681051050000008</v>
      </c>
      <c r="O1350" s="1">
        <v>8.4348737679999992</v>
      </c>
      <c r="P1350" s="1">
        <v>8.4379595999999992</v>
      </c>
      <c r="Q1350" s="1">
        <v>8.6585790520000003</v>
      </c>
      <c r="R1350" s="1">
        <v>8.9223707119999993</v>
      </c>
      <c r="S1350" s="1">
        <v>8.7365808410000003</v>
      </c>
      <c r="T1350" s="1">
        <v>8.6792851219999996</v>
      </c>
      <c r="U1350" s="1">
        <v>8.6127289610000002</v>
      </c>
      <c r="V1350" s="1">
        <v>8.5179334680000007</v>
      </c>
      <c r="W1350" s="1">
        <v>8.7920952890000006</v>
      </c>
      <c r="X1350" s="1">
        <v>8.7430818289999994</v>
      </c>
      <c r="Y1350" s="1">
        <v>9.0768445819999997</v>
      </c>
      <c r="Z1350" s="1">
        <v>8.9223707119999993</v>
      </c>
      <c r="AA1350" s="1">
        <v>8.7365808410000003</v>
      </c>
      <c r="AB1350" s="1">
        <v>9.0206585290000003</v>
      </c>
      <c r="AC1350" s="1">
        <v>8.6601028830000004</v>
      </c>
      <c r="AD1350" s="1">
        <v>8.9778554719999999</v>
      </c>
      <c r="AE1350" s="1">
        <v>8.7971988860000003</v>
      </c>
    </row>
    <row r="1351" spans="1:31" x14ac:dyDescent="0.25">
      <c r="A1351" s="1" t="s">
        <v>548</v>
      </c>
      <c r="B1351" s="1" t="s">
        <v>2525</v>
      </c>
      <c r="C1351" s="1" t="s">
        <v>3175</v>
      </c>
      <c r="D1351" s="1" t="s">
        <v>4734</v>
      </c>
      <c r="E1351" s="1" t="s">
        <v>4735</v>
      </c>
      <c r="G1351" s="1" t="s">
        <v>548</v>
      </c>
      <c r="H1351" s="1">
        <v>6.9342905650000004</v>
      </c>
      <c r="I1351" s="1">
        <v>6.4522693780000004</v>
      </c>
      <c r="J1351" s="1">
        <v>5.1501560140000002</v>
      </c>
      <c r="K1351" s="1">
        <v>5.4059688240000003</v>
      </c>
      <c r="L1351" s="1">
        <v>4.4107687259999997</v>
      </c>
      <c r="M1351" s="1">
        <v>4.5846937370000003</v>
      </c>
      <c r="N1351" s="1">
        <v>5.4717898820000004</v>
      </c>
      <c r="O1351" s="1">
        <v>6.478849479</v>
      </c>
      <c r="P1351" s="1">
        <v>4.8528499219999999</v>
      </c>
      <c r="Q1351" s="1">
        <v>5.1004769559999996</v>
      </c>
      <c r="R1351" s="1">
        <v>4.8735636449999999</v>
      </c>
      <c r="S1351" s="1">
        <v>4.8114074450000004</v>
      </c>
      <c r="T1351" s="1">
        <v>4.4107687259999997</v>
      </c>
      <c r="U1351" s="1">
        <v>4.5846937370000003</v>
      </c>
      <c r="V1351" s="1">
        <v>5.2072842770000003</v>
      </c>
      <c r="W1351" s="1">
        <v>4.9190341039999996</v>
      </c>
      <c r="X1351" s="1">
        <v>4.8838989719999999</v>
      </c>
      <c r="Y1351" s="1">
        <v>5.4613266610000002</v>
      </c>
      <c r="Z1351" s="1">
        <v>4.8735636449999999</v>
      </c>
      <c r="AA1351" s="1">
        <v>4.8114074450000004</v>
      </c>
      <c r="AB1351" s="1">
        <v>5.8098709350000002</v>
      </c>
      <c r="AC1351" s="1">
        <v>4.9660712470000004</v>
      </c>
      <c r="AD1351" s="1">
        <v>5.2633210659999996</v>
      </c>
      <c r="AE1351" s="1">
        <v>5.4312016559999998</v>
      </c>
    </row>
    <row r="1352" spans="1:31" x14ac:dyDescent="0.25">
      <c r="A1352" s="1" t="s">
        <v>556</v>
      </c>
      <c r="B1352" s="1" t="s">
        <v>2579</v>
      </c>
      <c r="C1352" s="1" t="s">
        <v>2585</v>
      </c>
      <c r="D1352" s="1" t="s">
        <v>2890</v>
      </c>
      <c r="E1352" s="1" t="s">
        <v>4736</v>
      </c>
      <c r="F1352" s="1" t="s">
        <v>4737</v>
      </c>
      <c r="G1352" s="1" t="s">
        <v>556</v>
      </c>
      <c r="H1352" s="1">
        <v>9.5853854520000006</v>
      </c>
      <c r="I1352" s="1">
        <v>8.9772536869999993</v>
      </c>
      <c r="J1352" s="1">
        <v>11.373620300000001</v>
      </c>
      <c r="K1352" s="1">
        <v>11.319920550000001</v>
      </c>
      <c r="L1352" s="1">
        <v>11.06104652</v>
      </c>
      <c r="M1352" s="1">
        <v>11.27065413</v>
      </c>
      <c r="N1352" s="1">
        <v>8.5100705019999996</v>
      </c>
      <c r="O1352" s="1">
        <v>8.6248368420000006</v>
      </c>
      <c r="P1352" s="1">
        <v>11.13361757</v>
      </c>
      <c r="Q1352" s="1">
        <v>11.134404999999999</v>
      </c>
      <c r="R1352" s="1">
        <v>11.394710419999999</v>
      </c>
      <c r="S1352" s="1">
        <v>11.428117459999999</v>
      </c>
      <c r="T1352" s="1">
        <v>11.06104652</v>
      </c>
      <c r="U1352" s="1">
        <v>11.27065413</v>
      </c>
      <c r="V1352" s="1">
        <v>11.199412000000001</v>
      </c>
      <c r="W1352" s="1">
        <v>11.24631729</v>
      </c>
      <c r="X1352" s="1">
        <v>11.03150346</v>
      </c>
      <c r="Y1352" s="1">
        <v>10.920089669999999</v>
      </c>
      <c r="Z1352" s="1">
        <v>11.394710419999999</v>
      </c>
      <c r="AA1352" s="1">
        <v>11.428117459999999</v>
      </c>
      <c r="AB1352" s="1">
        <v>11.24362923</v>
      </c>
      <c r="AC1352" s="1">
        <v>11.32488219</v>
      </c>
      <c r="AD1352" s="1">
        <v>10.989088929999999</v>
      </c>
      <c r="AE1352" s="1">
        <v>10.96906736</v>
      </c>
    </row>
    <row r="1353" spans="1:31" x14ac:dyDescent="0.25">
      <c r="A1353" s="1" t="s">
        <v>557</v>
      </c>
      <c r="B1353" s="1" t="s">
        <v>2579</v>
      </c>
      <c r="C1353" s="1" t="s">
        <v>2585</v>
      </c>
      <c r="D1353" s="1" t="s">
        <v>2890</v>
      </c>
      <c r="E1353" s="1" t="s">
        <v>4738</v>
      </c>
      <c r="F1353" s="1" t="s">
        <v>4739</v>
      </c>
      <c r="G1353" s="1" t="s">
        <v>557</v>
      </c>
      <c r="H1353" s="1">
        <v>7.6172000190000002</v>
      </c>
      <c r="I1353" s="1">
        <v>7.6849773069999996</v>
      </c>
      <c r="J1353" s="1">
        <v>8.6483465769999999</v>
      </c>
      <c r="K1353" s="1">
        <v>8.6435321320000007</v>
      </c>
      <c r="L1353" s="1">
        <v>8.1255667759999994</v>
      </c>
      <c r="M1353" s="1">
        <v>8.3519473669999993</v>
      </c>
      <c r="N1353" s="1">
        <v>6.9959866049999997</v>
      </c>
      <c r="O1353" s="1">
        <v>6.909468521</v>
      </c>
      <c r="P1353" s="1">
        <v>8.5290675819999997</v>
      </c>
      <c r="Q1353" s="1">
        <v>8.4386760239999994</v>
      </c>
      <c r="R1353" s="1">
        <v>8.7904303299999995</v>
      </c>
      <c r="S1353" s="1">
        <v>8.6892459070000001</v>
      </c>
      <c r="T1353" s="1">
        <v>8.1255667759999994</v>
      </c>
      <c r="U1353" s="1">
        <v>8.3519473669999993</v>
      </c>
      <c r="V1353" s="1">
        <v>8.8213338829999994</v>
      </c>
      <c r="W1353" s="1">
        <v>8.9023771170000003</v>
      </c>
      <c r="X1353" s="1">
        <v>8.4408584350000009</v>
      </c>
      <c r="Y1353" s="1">
        <v>8.7428262649999997</v>
      </c>
      <c r="Z1353" s="1">
        <v>8.7904303299999995</v>
      </c>
      <c r="AA1353" s="1">
        <v>8.6892459070000001</v>
      </c>
      <c r="AB1353" s="1">
        <v>8.5840298260000001</v>
      </c>
      <c r="AC1353" s="1">
        <v>8.6089391840000005</v>
      </c>
      <c r="AD1353" s="1">
        <v>8.6685428309999999</v>
      </c>
      <c r="AE1353" s="1">
        <v>8.5244617799999993</v>
      </c>
    </row>
    <row r="1354" spans="1:31" x14ac:dyDescent="0.25">
      <c r="A1354" s="1" t="s">
        <v>559</v>
      </c>
      <c r="B1354" s="1" t="s">
        <v>2520</v>
      </c>
      <c r="C1354" s="1" t="s">
        <v>2521</v>
      </c>
      <c r="D1354" s="1" t="s">
        <v>4740</v>
      </c>
      <c r="E1354" s="1" t="s">
        <v>4741</v>
      </c>
      <c r="F1354" s="1" t="s">
        <v>4742</v>
      </c>
      <c r="G1354" s="1" t="s">
        <v>559</v>
      </c>
      <c r="H1354" s="1">
        <v>9.7454664080000004</v>
      </c>
      <c r="I1354" s="1">
        <v>9.2914958359999993</v>
      </c>
      <c r="J1354" s="1">
        <v>8.8440567370000007</v>
      </c>
      <c r="K1354" s="1">
        <v>9.3108527720000005</v>
      </c>
      <c r="L1354" s="1">
        <v>8.1722224289999996</v>
      </c>
      <c r="M1354" s="1">
        <v>8.4013496629999995</v>
      </c>
      <c r="N1354" s="1">
        <v>8.8126442780000005</v>
      </c>
      <c r="O1354" s="1">
        <v>9.2232322349999993</v>
      </c>
      <c r="P1354" s="1">
        <v>8.4199337520000004</v>
      </c>
      <c r="Q1354" s="1">
        <v>8.5268989899999994</v>
      </c>
      <c r="R1354" s="1">
        <v>8.5458051039999994</v>
      </c>
      <c r="S1354" s="1">
        <v>8.5010451699999994</v>
      </c>
      <c r="T1354" s="1">
        <v>8.1722224289999996</v>
      </c>
      <c r="U1354" s="1">
        <v>8.4013496629999995</v>
      </c>
      <c r="V1354" s="1">
        <v>8.1879312770000006</v>
      </c>
      <c r="W1354" s="1">
        <v>8.3565876279999998</v>
      </c>
      <c r="X1354" s="1">
        <v>8.2898772610000009</v>
      </c>
      <c r="Y1354" s="1">
        <v>8.3539184750000004</v>
      </c>
      <c r="Z1354" s="1">
        <v>8.5458051039999994</v>
      </c>
      <c r="AA1354" s="1">
        <v>8.5010451699999994</v>
      </c>
      <c r="AB1354" s="1">
        <v>8.4125493599999999</v>
      </c>
      <c r="AC1354" s="1">
        <v>8.3932766860000001</v>
      </c>
      <c r="AD1354" s="1">
        <v>8.3847240450000005</v>
      </c>
      <c r="AE1354" s="1">
        <v>8.3865722950000006</v>
      </c>
    </row>
    <row r="1355" spans="1:31" x14ac:dyDescent="0.25">
      <c r="A1355" s="1" t="s">
        <v>564</v>
      </c>
      <c r="B1355" s="1" t="s">
        <v>2598</v>
      </c>
      <c r="C1355" s="1" t="s">
        <v>2603</v>
      </c>
      <c r="D1355" s="1" t="s">
        <v>4210</v>
      </c>
      <c r="E1355" s="1" t="s">
        <v>4743</v>
      </c>
      <c r="F1355" s="1" t="s">
        <v>4744</v>
      </c>
      <c r="G1355" s="1" t="s">
        <v>564</v>
      </c>
      <c r="H1355" s="1">
        <v>3.6455184960000002</v>
      </c>
      <c r="I1355" s="1">
        <v>3.6484415459999999</v>
      </c>
      <c r="J1355" s="1">
        <v>4.3724365990000003</v>
      </c>
      <c r="K1355" s="1">
        <v>4.1384138449999996</v>
      </c>
      <c r="L1355" s="1">
        <v>3.8051274570000002</v>
      </c>
      <c r="M1355" s="1">
        <v>3.8521266660000002</v>
      </c>
      <c r="N1355" s="1">
        <v>3.622455167</v>
      </c>
      <c r="O1355" s="1">
        <v>3.050193165</v>
      </c>
      <c r="P1355" s="1">
        <v>4.0684607960000001</v>
      </c>
      <c r="Q1355" s="1">
        <v>3.185675432</v>
      </c>
      <c r="R1355" s="1">
        <v>3.968758995</v>
      </c>
      <c r="S1355" s="1">
        <v>2.9034795349999998</v>
      </c>
      <c r="T1355" s="1">
        <v>3.8051274570000002</v>
      </c>
      <c r="U1355" s="1">
        <v>3.8521266660000002</v>
      </c>
      <c r="V1355" s="1">
        <v>4.1608706030000002</v>
      </c>
      <c r="W1355" s="1">
        <v>4.3370700810000002</v>
      </c>
      <c r="X1355" s="1">
        <v>3.8785046219999999</v>
      </c>
      <c r="Y1355" s="1">
        <v>3.6154848500000001</v>
      </c>
      <c r="Z1355" s="1">
        <v>3.968758995</v>
      </c>
      <c r="AA1355" s="1">
        <v>2.9034795349999998</v>
      </c>
      <c r="AB1355" s="1">
        <v>3.404153038</v>
      </c>
      <c r="AC1355" s="1">
        <v>3.4716344729999999</v>
      </c>
      <c r="AD1355" s="1">
        <v>4.0967699450000001</v>
      </c>
      <c r="AE1355" s="1">
        <v>4.3718229419999997</v>
      </c>
    </row>
    <row r="1356" spans="1:31" x14ac:dyDescent="0.25">
      <c r="A1356" s="1" t="s">
        <v>567</v>
      </c>
      <c r="B1356" s="1" t="s">
        <v>2608</v>
      </c>
      <c r="C1356" s="1" t="s">
        <v>2609</v>
      </c>
      <c r="D1356" s="1" t="s">
        <v>4494</v>
      </c>
      <c r="E1356" s="1" t="s">
        <v>4745</v>
      </c>
      <c r="F1356" s="1" t="s">
        <v>4746</v>
      </c>
      <c r="G1356" s="1" t="s">
        <v>567</v>
      </c>
      <c r="H1356" s="1">
        <v>7.0115982959999998</v>
      </c>
      <c r="I1356" s="1">
        <v>6.8685279430000001</v>
      </c>
      <c r="J1356" s="1">
        <v>7.1407823549999998</v>
      </c>
      <c r="K1356" s="1">
        <v>7.6301644289999997</v>
      </c>
      <c r="L1356" s="1">
        <v>7.3115670399999999</v>
      </c>
      <c r="M1356" s="1">
        <v>7.3369255029999998</v>
      </c>
      <c r="N1356" s="1">
        <v>6.9660750880000002</v>
      </c>
      <c r="O1356" s="1">
        <v>6.8826346169999999</v>
      </c>
      <c r="P1356" s="1">
        <v>7.3555228489999998</v>
      </c>
      <c r="Q1356" s="1">
        <v>7.2751079179999998</v>
      </c>
      <c r="R1356" s="1">
        <v>7.0638992009999999</v>
      </c>
      <c r="S1356" s="1">
        <v>7.434357597</v>
      </c>
      <c r="T1356" s="1">
        <v>7.3115670399999999</v>
      </c>
      <c r="U1356" s="1">
        <v>7.3369255029999998</v>
      </c>
      <c r="V1356" s="1">
        <v>7.0207244439999998</v>
      </c>
      <c r="W1356" s="1">
        <v>7.2714406069999997</v>
      </c>
      <c r="X1356" s="1">
        <v>7.347944021</v>
      </c>
      <c r="Y1356" s="1">
        <v>6.9620714589999997</v>
      </c>
      <c r="Z1356" s="1">
        <v>7.0638992009999999</v>
      </c>
      <c r="AA1356" s="1">
        <v>7.434357597</v>
      </c>
      <c r="AB1356" s="1">
        <v>7.0476086139999996</v>
      </c>
      <c r="AC1356" s="1">
        <v>7.1061999450000002</v>
      </c>
      <c r="AD1356" s="1">
        <v>7.0864885400000004</v>
      </c>
      <c r="AE1356" s="1">
        <v>6.875292773</v>
      </c>
    </row>
    <row r="1357" spans="1:31" x14ac:dyDescent="0.25">
      <c r="A1357" s="1" t="s">
        <v>568</v>
      </c>
      <c r="B1357" s="1" t="s">
        <v>2520</v>
      </c>
      <c r="C1357" s="1" t="s">
        <v>3160</v>
      </c>
      <c r="D1357" s="1" t="s">
        <v>3638</v>
      </c>
      <c r="E1357" s="1" t="s">
        <v>4747</v>
      </c>
      <c r="F1357" s="1" t="s">
        <v>4748</v>
      </c>
      <c r="G1357" s="1" t="s">
        <v>568</v>
      </c>
      <c r="H1357" s="1">
        <v>5.5062820300000004</v>
      </c>
      <c r="I1357" s="1">
        <v>5.1546023129999998</v>
      </c>
      <c r="J1357" s="1">
        <v>5.2392025899999997</v>
      </c>
      <c r="K1357" s="1">
        <v>5.1139224319999999</v>
      </c>
      <c r="L1357" s="1">
        <v>5.2153292420000001</v>
      </c>
      <c r="M1357" s="1">
        <v>5.2628748920000001</v>
      </c>
      <c r="N1357" s="1">
        <v>5.5548950010000002</v>
      </c>
      <c r="O1357" s="1">
        <v>5.0724039640000003</v>
      </c>
      <c r="P1357" s="1">
        <v>5.1018341500000002</v>
      </c>
      <c r="Q1357" s="1">
        <v>5.4628336309999996</v>
      </c>
      <c r="R1357" s="1">
        <v>5.2434057019999996</v>
      </c>
      <c r="S1357" s="1">
        <v>5.6117239269999999</v>
      </c>
      <c r="T1357" s="1">
        <v>5.2153292420000001</v>
      </c>
      <c r="U1357" s="1">
        <v>5.2628748920000001</v>
      </c>
      <c r="V1357" s="1">
        <v>5.2828838410000003</v>
      </c>
      <c r="W1357" s="1">
        <v>5.9072448660000001</v>
      </c>
      <c r="X1357" s="1">
        <v>5.3326311679999998</v>
      </c>
      <c r="Y1357" s="1">
        <v>5.0128502209999999</v>
      </c>
      <c r="Z1357" s="1">
        <v>5.2434057019999996</v>
      </c>
      <c r="AA1357" s="1">
        <v>5.6117239269999999</v>
      </c>
      <c r="AB1357" s="1">
        <v>5.0356743460000004</v>
      </c>
      <c r="AC1357" s="1">
        <v>5.198889973</v>
      </c>
      <c r="AD1357" s="1">
        <v>5.2159266190000002</v>
      </c>
      <c r="AE1357" s="1">
        <v>5.1494525009999998</v>
      </c>
    </row>
    <row r="1358" spans="1:31" x14ac:dyDescent="0.25">
      <c r="A1358" s="1" t="s">
        <v>569</v>
      </c>
      <c r="B1358" s="1" t="s">
        <v>2530</v>
      </c>
      <c r="C1358" s="1" t="s">
        <v>2531</v>
      </c>
      <c r="D1358" s="1" t="s">
        <v>2535</v>
      </c>
      <c r="E1358" s="1" t="s">
        <v>2536</v>
      </c>
      <c r="G1358" s="1" t="s">
        <v>569</v>
      </c>
      <c r="H1358" s="1">
        <v>4.2900513550000001</v>
      </c>
      <c r="I1358" s="1">
        <v>4.0101074990000001</v>
      </c>
      <c r="J1358" s="1">
        <v>4.5240842389999996</v>
      </c>
      <c r="K1358" s="1">
        <v>4.5171444090000001</v>
      </c>
      <c r="L1358" s="1">
        <v>4.5867597299999998</v>
      </c>
      <c r="M1358" s="1">
        <v>4.6692867769999999</v>
      </c>
      <c r="N1358" s="1">
        <v>5.1355241630000004</v>
      </c>
      <c r="O1358" s="1">
        <v>4.5801520279999997</v>
      </c>
      <c r="P1358" s="1">
        <v>4.6791060150000003</v>
      </c>
      <c r="Q1358" s="1">
        <v>4.18747588</v>
      </c>
      <c r="R1358" s="1">
        <v>4.3698765340000003</v>
      </c>
      <c r="S1358" s="1">
        <v>4.4749637470000003</v>
      </c>
      <c r="T1358" s="1">
        <v>4.5867597299999998</v>
      </c>
      <c r="U1358" s="1">
        <v>4.6692867769999999</v>
      </c>
      <c r="V1358" s="1">
        <v>4.998512388</v>
      </c>
      <c r="W1358" s="1">
        <v>4.9854391920000003</v>
      </c>
      <c r="X1358" s="1">
        <v>4.6838774470000004</v>
      </c>
      <c r="Y1358" s="1">
        <v>4.8904630100000004</v>
      </c>
      <c r="Z1358" s="1">
        <v>4.3698765340000003</v>
      </c>
      <c r="AA1358" s="1">
        <v>4.4749637470000003</v>
      </c>
      <c r="AB1358" s="1">
        <v>4.705867896</v>
      </c>
      <c r="AC1358" s="1">
        <v>4.6870272159999997</v>
      </c>
      <c r="AD1358" s="1">
        <v>3.3987395579999999</v>
      </c>
      <c r="AE1358" s="1">
        <v>4.3257514669999999</v>
      </c>
    </row>
    <row r="1359" spans="1:31" x14ac:dyDescent="0.25">
      <c r="A1359" s="1" t="s">
        <v>577</v>
      </c>
      <c r="B1359" s="1" t="s">
        <v>2530</v>
      </c>
      <c r="C1359" s="1" t="s">
        <v>2531</v>
      </c>
      <c r="D1359" s="1" t="s">
        <v>2535</v>
      </c>
      <c r="E1359" s="1" t="s">
        <v>2536</v>
      </c>
      <c r="G1359" s="1" t="s">
        <v>577</v>
      </c>
      <c r="H1359" s="1">
        <v>8.9825431039999994</v>
      </c>
      <c r="I1359" s="1">
        <v>8.3245032959999996</v>
      </c>
      <c r="J1359" s="1">
        <v>9.6097039459999998</v>
      </c>
      <c r="K1359" s="1">
        <v>9.5960156239999996</v>
      </c>
      <c r="L1359" s="1">
        <v>8.7960375099999997</v>
      </c>
      <c r="M1359" s="1">
        <v>9.103524191</v>
      </c>
      <c r="N1359" s="1">
        <v>7.4601699559999997</v>
      </c>
      <c r="O1359" s="1">
        <v>7.7312294990000003</v>
      </c>
      <c r="P1359" s="1">
        <v>9.457621284</v>
      </c>
      <c r="Q1359" s="1">
        <v>9.4601106549999994</v>
      </c>
      <c r="R1359" s="1">
        <v>9.5400056309999997</v>
      </c>
      <c r="S1359" s="1">
        <v>9.4808479559999999</v>
      </c>
      <c r="T1359" s="1">
        <v>8.7960375099999997</v>
      </c>
      <c r="U1359" s="1">
        <v>9.103524191</v>
      </c>
      <c r="V1359" s="1">
        <v>9.0980748079999998</v>
      </c>
      <c r="W1359" s="1">
        <v>9.1115377049999999</v>
      </c>
      <c r="X1359" s="1">
        <v>8.9963741390000003</v>
      </c>
      <c r="Y1359" s="1">
        <v>9.0803074899999991</v>
      </c>
      <c r="Z1359" s="1">
        <v>9.5400056309999997</v>
      </c>
      <c r="AA1359" s="1">
        <v>9.4808479559999999</v>
      </c>
      <c r="AB1359" s="1">
        <v>9.3878011079999997</v>
      </c>
      <c r="AC1359" s="1">
        <v>9.3789860610000009</v>
      </c>
      <c r="AD1359" s="1">
        <v>9.3211978280000007</v>
      </c>
      <c r="AE1359" s="1">
        <v>9.3471845509999998</v>
      </c>
    </row>
    <row r="1360" spans="1:31" x14ac:dyDescent="0.25">
      <c r="A1360" s="1" t="s">
        <v>578</v>
      </c>
      <c r="B1360" s="1" t="s">
        <v>2530</v>
      </c>
      <c r="C1360" s="1" t="s">
        <v>2531</v>
      </c>
      <c r="D1360" s="1" t="s">
        <v>2535</v>
      </c>
      <c r="E1360" s="1" t="s">
        <v>2536</v>
      </c>
      <c r="G1360" s="1" t="s">
        <v>578</v>
      </c>
      <c r="H1360" s="1">
        <v>9.8182289740000002</v>
      </c>
      <c r="I1360" s="1">
        <v>9.4036005459999998</v>
      </c>
      <c r="J1360" s="1">
        <v>9.9129079559999997</v>
      </c>
      <c r="K1360" s="1">
        <v>9.9528905880000007</v>
      </c>
      <c r="L1360" s="1">
        <v>9.2468626230000002</v>
      </c>
      <c r="M1360" s="1">
        <v>9.4279362970000005</v>
      </c>
      <c r="N1360" s="1">
        <v>8.1097162049999998</v>
      </c>
      <c r="O1360" s="1">
        <v>8.0966653599999994</v>
      </c>
      <c r="P1360" s="1">
        <v>9.6669624269999996</v>
      </c>
      <c r="Q1360" s="1">
        <v>9.7743148269999995</v>
      </c>
      <c r="R1360" s="1">
        <v>9.8399372540000005</v>
      </c>
      <c r="S1360" s="1">
        <v>9.7350545369999999</v>
      </c>
      <c r="T1360" s="1">
        <v>9.2468626230000002</v>
      </c>
      <c r="U1360" s="1">
        <v>9.4279362970000005</v>
      </c>
      <c r="V1360" s="1">
        <v>9.4097200740000009</v>
      </c>
      <c r="W1360" s="1">
        <v>9.3636849170000005</v>
      </c>
      <c r="X1360" s="1">
        <v>9.2847277780000006</v>
      </c>
      <c r="Y1360" s="1">
        <v>9.2711719630000005</v>
      </c>
      <c r="Z1360" s="1">
        <v>9.8399372540000005</v>
      </c>
      <c r="AA1360" s="1">
        <v>9.7350545369999999</v>
      </c>
      <c r="AB1360" s="1">
        <v>9.6389016309999995</v>
      </c>
      <c r="AC1360" s="1">
        <v>9.4589495019999994</v>
      </c>
      <c r="AD1360" s="1">
        <v>9.4838842670000005</v>
      </c>
      <c r="AE1360" s="1">
        <v>9.3387435249999999</v>
      </c>
    </row>
    <row r="1361" spans="1:31" x14ac:dyDescent="0.25">
      <c r="A1361" s="1" t="s">
        <v>580</v>
      </c>
      <c r="B1361" s="1" t="s">
        <v>2547</v>
      </c>
      <c r="C1361" s="1" t="s">
        <v>2789</v>
      </c>
      <c r="D1361" s="1" t="s">
        <v>3296</v>
      </c>
      <c r="E1361" s="1" t="s">
        <v>4749</v>
      </c>
      <c r="F1361" s="1" t="s">
        <v>4750</v>
      </c>
      <c r="G1361" s="1" t="s">
        <v>580</v>
      </c>
      <c r="H1361" s="1">
        <v>6.9500875559999997</v>
      </c>
      <c r="I1361" s="1">
        <v>6.3760216270000001</v>
      </c>
      <c r="J1361" s="1">
        <v>6.2053027219999999</v>
      </c>
      <c r="K1361" s="1">
        <v>6.4514685810000003</v>
      </c>
      <c r="L1361" s="1">
        <v>5.7687912140000002</v>
      </c>
      <c r="M1361" s="1">
        <v>5.7583226490000001</v>
      </c>
      <c r="N1361" s="1">
        <v>6.8064250089999998</v>
      </c>
      <c r="O1361" s="1">
        <v>6.1287443579999996</v>
      </c>
      <c r="P1361" s="1">
        <v>6.1298655379999998</v>
      </c>
      <c r="Q1361" s="1">
        <v>5.5406489910000003</v>
      </c>
      <c r="R1361" s="1">
        <v>5.57388789</v>
      </c>
      <c r="S1361" s="1">
        <v>5.6117239269999999</v>
      </c>
      <c r="T1361" s="1">
        <v>5.7687912140000002</v>
      </c>
      <c r="U1361" s="1">
        <v>5.7583226490000001</v>
      </c>
      <c r="V1361" s="1">
        <v>6.1009432270000001</v>
      </c>
      <c r="W1361" s="1">
        <v>5.8015499779999997</v>
      </c>
      <c r="X1361" s="1">
        <v>5.7928210719999997</v>
      </c>
      <c r="Y1361" s="1">
        <v>5.8352313850000002</v>
      </c>
      <c r="Z1361" s="1">
        <v>5.57388789</v>
      </c>
      <c r="AA1361" s="1">
        <v>5.6117239269999999</v>
      </c>
      <c r="AB1361" s="1">
        <v>5.4746970709999996</v>
      </c>
      <c r="AC1361" s="1">
        <v>5.5741318</v>
      </c>
      <c r="AD1361" s="1">
        <v>5.9231977699999998</v>
      </c>
      <c r="AE1361" s="1">
        <v>5.7539342490000003</v>
      </c>
    </row>
    <row r="1362" spans="1:31" x14ac:dyDescent="0.25">
      <c r="A1362" s="1" t="s">
        <v>581</v>
      </c>
      <c r="B1362" s="1" t="s">
        <v>2539</v>
      </c>
      <c r="C1362" s="1" t="s">
        <v>2606</v>
      </c>
      <c r="D1362" s="1" t="s">
        <v>4751</v>
      </c>
      <c r="E1362" s="1" t="s">
        <v>4752</v>
      </c>
      <c r="F1362" s="1" t="s">
        <v>4753</v>
      </c>
      <c r="G1362" s="1" t="s">
        <v>581</v>
      </c>
      <c r="H1362" s="1">
        <v>4.5667504939999999</v>
      </c>
      <c r="I1362" s="1">
        <v>5.3275363779999996</v>
      </c>
      <c r="J1362" s="1">
        <v>3.4977151119999998</v>
      </c>
      <c r="K1362" s="1">
        <v>2.9677134359999999</v>
      </c>
      <c r="L1362" s="1">
        <v>3.8051274570000002</v>
      </c>
      <c r="M1362" s="1">
        <v>2.8639998100000001</v>
      </c>
      <c r="N1362" s="1">
        <v>5.4502346690000003</v>
      </c>
      <c r="O1362" s="1">
        <v>5.3342335859999999</v>
      </c>
      <c r="P1362" s="1">
        <v>3.466113682</v>
      </c>
      <c r="Q1362" s="1">
        <v>3.388910638</v>
      </c>
      <c r="R1362" s="1">
        <v>3.7109484589999999</v>
      </c>
      <c r="S1362" s="1">
        <v>3.3463386960000001</v>
      </c>
      <c r="T1362" s="1">
        <v>3.8051274570000002</v>
      </c>
      <c r="U1362" s="1">
        <v>2.8639998100000001</v>
      </c>
      <c r="V1362" s="1">
        <v>3.5405335899999999</v>
      </c>
      <c r="W1362" s="1">
        <v>3.8431653940000001</v>
      </c>
      <c r="X1362" s="1">
        <v>3.7416722899999999</v>
      </c>
      <c r="Y1362" s="1">
        <v>3.7705059300000001</v>
      </c>
      <c r="Z1362" s="1">
        <v>3.7109484589999999</v>
      </c>
      <c r="AA1362" s="1">
        <v>3.3463386960000001</v>
      </c>
      <c r="AB1362" s="1">
        <v>3.404153038</v>
      </c>
      <c r="AC1362" s="1">
        <v>3.1109927919999998</v>
      </c>
      <c r="AD1362" s="1">
        <v>3.5727029510000001</v>
      </c>
      <c r="AE1362" s="1">
        <v>3.8864783150000002</v>
      </c>
    </row>
    <row r="1363" spans="1:31" x14ac:dyDescent="0.25">
      <c r="A1363" s="1" t="s">
        <v>586</v>
      </c>
      <c r="B1363" s="1" t="s">
        <v>2547</v>
      </c>
      <c r="C1363" s="1" t="s">
        <v>2622</v>
      </c>
      <c r="D1363" s="1" t="s">
        <v>2535</v>
      </c>
      <c r="E1363" s="1" t="s">
        <v>4754</v>
      </c>
      <c r="G1363" s="1" t="s">
        <v>586</v>
      </c>
      <c r="H1363" s="1">
        <v>4.183793842</v>
      </c>
      <c r="I1363" s="1">
        <v>4.1114152529999997</v>
      </c>
      <c r="J1363" s="1">
        <v>4.1077874330000004</v>
      </c>
      <c r="K1363" s="1">
        <v>4.0244910950000001</v>
      </c>
      <c r="L1363" s="1">
        <v>4.0714409539999998</v>
      </c>
      <c r="M1363" s="1">
        <v>4.2945656129999996</v>
      </c>
      <c r="N1363" s="1">
        <v>4.2617896110000002</v>
      </c>
      <c r="O1363" s="1">
        <v>3.88533178</v>
      </c>
      <c r="P1363" s="1">
        <v>4.6160325330000003</v>
      </c>
      <c r="Q1363" s="1">
        <v>3.7137735799999998</v>
      </c>
      <c r="R1363" s="1">
        <v>4.0808207129999996</v>
      </c>
      <c r="S1363" s="1">
        <v>3.7977317990000001</v>
      </c>
      <c r="T1363" s="1">
        <v>4.0714409539999998</v>
      </c>
      <c r="U1363" s="1">
        <v>4.2945656129999996</v>
      </c>
      <c r="V1363" s="1">
        <v>4.3163797720000003</v>
      </c>
      <c r="W1363" s="1">
        <v>4.2295768090000001</v>
      </c>
      <c r="X1363" s="1">
        <v>3.8785046219999999</v>
      </c>
      <c r="Y1363" s="1">
        <v>4.1479647589999997</v>
      </c>
      <c r="Z1363" s="1">
        <v>4.0808207129999996</v>
      </c>
      <c r="AA1363" s="1">
        <v>3.7977317990000001</v>
      </c>
      <c r="AB1363" s="1">
        <v>3.404153038</v>
      </c>
      <c r="AC1363" s="1">
        <v>3.8665622239999999</v>
      </c>
      <c r="AD1363" s="1">
        <v>3.8610926929999998</v>
      </c>
      <c r="AE1363" s="1">
        <v>4.1773695330000002</v>
      </c>
    </row>
    <row r="1364" spans="1:31" x14ac:dyDescent="0.25">
      <c r="A1364" s="1" t="s">
        <v>588</v>
      </c>
      <c r="B1364" s="1" t="s">
        <v>2535</v>
      </c>
      <c r="C1364" s="1" t="s">
        <v>2535</v>
      </c>
      <c r="D1364" s="1" t="s">
        <v>2535</v>
      </c>
      <c r="E1364" s="1" t="s">
        <v>2535</v>
      </c>
      <c r="F1364" s="1" t="s">
        <v>2535</v>
      </c>
      <c r="G1364" s="1" t="s">
        <v>588</v>
      </c>
      <c r="H1364" s="1">
        <v>4.3886087140000001</v>
      </c>
      <c r="I1364" s="1">
        <v>5.0595268689999999</v>
      </c>
      <c r="J1364" s="1">
        <v>4.0065844400000001</v>
      </c>
      <c r="K1364" s="1">
        <v>3.8998480660000001</v>
      </c>
      <c r="L1364" s="1">
        <v>3.6811173419999998</v>
      </c>
      <c r="M1364" s="1">
        <v>3.027864058</v>
      </c>
      <c r="N1364" s="1">
        <v>4.3116130799999999</v>
      </c>
      <c r="O1364" s="1">
        <v>3.050193165</v>
      </c>
      <c r="P1364" s="1">
        <v>4.2485661720000003</v>
      </c>
      <c r="Q1364" s="1">
        <v>4.3733115800000002</v>
      </c>
      <c r="R1364" s="1">
        <v>3.386455024</v>
      </c>
      <c r="S1364" s="1">
        <v>3.5159502420000002</v>
      </c>
      <c r="T1364" s="1">
        <v>3.6811173419999998</v>
      </c>
      <c r="U1364" s="1">
        <v>3.027864058</v>
      </c>
      <c r="V1364" s="1">
        <v>5.4230002329999998</v>
      </c>
      <c r="W1364" s="1">
        <v>5.427589942</v>
      </c>
      <c r="X1364" s="1">
        <v>3.9418607479999999</v>
      </c>
      <c r="Y1364" s="1">
        <v>5.6971672010000001</v>
      </c>
      <c r="Z1364" s="1">
        <v>3.386455024</v>
      </c>
      <c r="AA1364" s="1">
        <v>3.5159502420000002</v>
      </c>
      <c r="AB1364" s="1">
        <v>3.1218319999999999</v>
      </c>
      <c r="AC1364" s="1">
        <v>3.9750819590000002</v>
      </c>
      <c r="AD1364" s="1">
        <v>3.5727029510000001</v>
      </c>
      <c r="AE1364" s="1">
        <v>4.4163948289999997</v>
      </c>
    </row>
    <row r="1365" spans="1:31" x14ac:dyDescent="0.25">
      <c r="A1365" s="1" t="s">
        <v>590</v>
      </c>
      <c r="B1365" s="1" t="s">
        <v>2530</v>
      </c>
      <c r="C1365" s="1" t="s">
        <v>2531</v>
      </c>
      <c r="D1365" s="1" t="s">
        <v>2535</v>
      </c>
      <c r="E1365" s="1" t="s">
        <v>2536</v>
      </c>
      <c r="G1365" s="1" t="s">
        <v>590</v>
      </c>
      <c r="H1365" s="1">
        <v>5.8817546890000001</v>
      </c>
      <c r="I1365" s="1">
        <v>6.3563108719999999</v>
      </c>
      <c r="J1365" s="1">
        <v>5.2817155790000001</v>
      </c>
      <c r="K1365" s="1">
        <v>5.6105789259999996</v>
      </c>
      <c r="L1365" s="1">
        <v>5.6647229430000001</v>
      </c>
      <c r="M1365" s="1">
        <v>5.7197461279999997</v>
      </c>
      <c r="N1365" s="1">
        <v>6.233348286</v>
      </c>
      <c r="O1365" s="1">
        <v>6.4052906920000003</v>
      </c>
      <c r="P1365" s="1">
        <v>5.4976972829999999</v>
      </c>
      <c r="Q1365" s="1">
        <v>5.2000913229999997</v>
      </c>
      <c r="R1365" s="1">
        <v>5.6457947050000001</v>
      </c>
      <c r="S1365" s="1">
        <v>5.3915434019999999</v>
      </c>
      <c r="T1365" s="1">
        <v>5.6647229430000001</v>
      </c>
      <c r="U1365" s="1">
        <v>5.7197461279999997</v>
      </c>
      <c r="V1365" s="1">
        <v>4.6419314959999998</v>
      </c>
      <c r="W1365" s="1">
        <v>4.9854391920000003</v>
      </c>
      <c r="X1365" s="1">
        <v>5.7427722369999996</v>
      </c>
      <c r="Y1365" s="1">
        <v>5.6604650660000004</v>
      </c>
      <c r="Z1365" s="1">
        <v>5.6457947050000001</v>
      </c>
      <c r="AA1365" s="1">
        <v>5.3915434019999999</v>
      </c>
      <c r="AB1365" s="1">
        <v>5.3624643089999999</v>
      </c>
      <c r="AC1365" s="1">
        <v>5.0638423939999999</v>
      </c>
      <c r="AD1365" s="1">
        <v>5.3091856960000001</v>
      </c>
      <c r="AE1365" s="1">
        <v>5.5139573549999996</v>
      </c>
    </row>
    <row r="1366" spans="1:31" x14ac:dyDescent="0.25">
      <c r="A1366" s="1" t="s">
        <v>593</v>
      </c>
      <c r="B1366" s="1" t="s">
        <v>2557</v>
      </c>
      <c r="C1366" s="1" t="s">
        <v>2680</v>
      </c>
      <c r="D1366" s="1" t="s">
        <v>2712</v>
      </c>
      <c r="E1366" s="1" t="s">
        <v>4755</v>
      </c>
      <c r="F1366" s="1" t="s">
        <v>4756</v>
      </c>
      <c r="G1366" s="1" t="s">
        <v>593</v>
      </c>
      <c r="H1366" s="1">
        <v>2.9945681560000001</v>
      </c>
      <c r="I1366" s="1">
        <v>4.0101074990000001</v>
      </c>
      <c r="J1366" s="1">
        <v>4.4503473070000004</v>
      </c>
      <c r="K1366" s="1">
        <v>3.8998480660000001</v>
      </c>
      <c r="L1366" s="1">
        <v>4.3335465510000004</v>
      </c>
      <c r="M1366" s="1">
        <v>4.4472617469999998</v>
      </c>
      <c r="N1366" s="1">
        <v>3.622455167</v>
      </c>
      <c r="O1366" s="1">
        <v>3.9591193910000002</v>
      </c>
      <c r="P1366" s="1">
        <v>3.86011382</v>
      </c>
      <c r="Q1366" s="1">
        <v>3.9718447549999998</v>
      </c>
      <c r="R1366" s="1">
        <v>4.2802026870000001</v>
      </c>
      <c r="S1366" s="1">
        <v>4.0285685429999996</v>
      </c>
      <c r="T1366" s="1">
        <v>4.3335465510000004</v>
      </c>
      <c r="U1366" s="1">
        <v>4.4472617469999998</v>
      </c>
      <c r="V1366" s="1">
        <v>3.9849921849999999</v>
      </c>
      <c r="W1366" s="1">
        <v>4.2295768090000001</v>
      </c>
      <c r="X1366" s="1">
        <v>4.5719855100000002</v>
      </c>
      <c r="Y1366" s="1">
        <v>4.3509215530000001</v>
      </c>
      <c r="Z1366" s="1">
        <v>4.2802026870000001</v>
      </c>
      <c r="AA1366" s="1">
        <v>4.0285685429999996</v>
      </c>
      <c r="AB1366" s="1">
        <v>4.5063178209999997</v>
      </c>
      <c r="AC1366" s="1">
        <v>4.5576875899999996</v>
      </c>
      <c r="AD1366" s="1">
        <v>3.5727029510000001</v>
      </c>
      <c r="AE1366" s="1">
        <v>3.7492737119999999</v>
      </c>
    </row>
    <row r="1367" spans="1:31" x14ac:dyDescent="0.25">
      <c r="A1367" s="1" t="s">
        <v>604</v>
      </c>
      <c r="B1367" s="1" t="s">
        <v>2557</v>
      </c>
      <c r="C1367" s="1" t="s">
        <v>2680</v>
      </c>
      <c r="D1367" s="1" t="s">
        <v>2939</v>
      </c>
      <c r="E1367" s="1" t="s">
        <v>4757</v>
      </c>
      <c r="F1367" s="1" t="s">
        <v>4758</v>
      </c>
      <c r="G1367" s="1" t="s">
        <v>604</v>
      </c>
      <c r="H1367" s="1">
        <v>7.9113985979999999</v>
      </c>
      <c r="I1367" s="1">
        <v>7.9243509469999998</v>
      </c>
      <c r="J1367" s="1">
        <v>8.8156222389999996</v>
      </c>
      <c r="K1367" s="1">
        <v>8.7377556540000008</v>
      </c>
      <c r="L1367" s="1">
        <v>7.5712212179999998</v>
      </c>
      <c r="M1367" s="1">
        <v>7.8228570030000002</v>
      </c>
      <c r="N1367" s="1">
        <v>8.5509201529999999</v>
      </c>
      <c r="O1367" s="1">
        <v>8.2825144030000004</v>
      </c>
      <c r="P1367" s="1">
        <v>7.9776305689999996</v>
      </c>
      <c r="Q1367" s="1">
        <v>8.1911617589999999</v>
      </c>
      <c r="R1367" s="1">
        <v>7.8949274059999999</v>
      </c>
      <c r="S1367" s="1">
        <v>7.931429992</v>
      </c>
      <c r="T1367" s="1">
        <v>7.5712212179999998</v>
      </c>
      <c r="U1367" s="1">
        <v>7.8228570030000002</v>
      </c>
      <c r="V1367" s="1">
        <v>7.8729209280000001</v>
      </c>
      <c r="W1367" s="1">
        <v>7.8402833730000001</v>
      </c>
      <c r="X1367" s="1">
        <v>7.8222859869999999</v>
      </c>
      <c r="Y1367" s="1">
        <v>7.5267088309999997</v>
      </c>
      <c r="Z1367" s="1">
        <v>7.8949274059999999</v>
      </c>
      <c r="AA1367" s="1">
        <v>7.931429992</v>
      </c>
      <c r="AB1367" s="1">
        <v>8.1183556590000006</v>
      </c>
      <c r="AC1367" s="1">
        <v>8.1670743029999997</v>
      </c>
      <c r="AD1367" s="1">
        <v>7.7045824190000003</v>
      </c>
      <c r="AE1367" s="1">
        <v>7.9086821269999996</v>
      </c>
    </row>
    <row r="1368" spans="1:31" x14ac:dyDescent="0.25">
      <c r="A1368" s="1" t="s">
        <v>605</v>
      </c>
      <c r="B1368" s="1" t="s">
        <v>2525</v>
      </c>
      <c r="C1368" s="1" t="s">
        <v>2971</v>
      </c>
      <c r="D1368" s="1" t="s">
        <v>3032</v>
      </c>
      <c r="E1368" s="1" t="s">
        <v>4759</v>
      </c>
      <c r="F1368" s="1" t="s">
        <v>4760</v>
      </c>
      <c r="G1368" s="1" t="s">
        <v>605</v>
      </c>
      <c r="H1368" s="1">
        <v>6.512907255</v>
      </c>
      <c r="I1368" s="1">
        <v>6.8118118589999996</v>
      </c>
      <c r="J1368" s="1">
        <v>6.2270996539999999</v>
      </c>
      <c r="K1368" s="1">
        <v>6.5339269729999998</v>
      </c>
      <c r="L1368" s="1">
        <v>5.9184294340000001</v>
      </c>
      <c r="M1368" s="1">
        <v>5.4634864729999997</v>
      </c>
      <c r="N1368" s="1">
        <v>6.763585483</v>
      </c>
      <c r="O1368" s="1">
        <v>7.0447066889999999</v>
      </c>
      <c r="P1368" s="1">
        <v>6.2573947350000001</v>
      </c>
      <c r="Q1368" s="1">
        <v>6.1485161530000001</v>
      </c>
      <c r="R1368" s="1">
        <v>5.9594282490000001</v>
      </c>
      <c r="S1368" s="1">
        <v>5.7416668729999998</v>
      </c>
      <c r="T1368" s="1">
        <v>5.9184294340000001</v>
      </c>
      <c r="U1368" s="1">
        <v>5.4634864729999997</v>
      </c>
      <c r="V1368" s="1">
        <v>5.8270932010000003</v>
      </c>
      <c r="W1368" s="1">
        <v>5.8015499779999997</v>
      </c>
      <c r="X1368" s="1">
        <v>6.1405132890000003</v>
      </c>
      <c r="Y1368" s="1">
        <v>6.4644452860000001</v>
      </c>
      <c r="Z1368" s="1">
        <v>5.9594282490000001</v>
      </c>
      <c r="AA1368" s="1">
        <v>5.7416668729999998</v>
      </c>
      <c r="AB1368" s="1">
        <v>6.339283708</v>
      </c>
      <c r="AC1368" s="1">
        <v>6.5096691079999998</v>
      </c>
      <c r="AD1368" s="1">
        <v>6.4566895009999996</v>
      </c>
      <c r="AE1368" s="1">
        <v>6.3997621550000003</v>
      </c>
    </row>
    <row r="1369" spans="1:31" x14ac:dyDescent="0.25">
      <c r="A1369" s="1" t="s">
        <v>606</v>
      </c>
      <c r="B1369" s="1" t="s">
        <v>2547</v>
      </c>
      <c r="C1369" s="1" t="s">
        <v>2622</v>
      </c>
      <c r="D1369" s="1" t="s">
        <v>2564</v>
      </c>
      <c r="E1369" s="1" t="s">
        <v>3041</v>
      </c>
      <c r="G1369" s="1" t="s">
        <v>606</v>
      </c>
      <c r="H1369" s="1">
        <v>7.675349765</v>
      </c>
      <c r="I1369" s="1">
        <v>7.2131218309999996</v>
      </c>
      <c r="J1369" s="1">
        <v>7.3536010579999997</v>
      </c>
      <c r="K1369" s="1">
        <v>7.69424989</v>
      </c>
      <c r="L1369" s="1">
        <v>6.9128996369999998</v>
      </c>
      <c r="M1369" s="1">
        <v>7.2719837209999998</v>
      </c>
      <c r="N1369" s="1">
        <v>7.4494039580000004</v>
      </c>
      <c r="O1369" s="1">
        <v>7.6219618960000002</v>
      </c>
      <c r="P1369" s="1">
        <v>7.2369365309999996</v>
      </c>
      <c r="Q1369" s="1">
        <v>7.3841412809999998</v>
      </c>
      <c r="R1369" s="1">
        <v>7.4412330640000004</v>
      </c>
      <c r="S1369" s="1">
        <v>6.8089922789999999</v>
      </c>
      <c r="T1369" s="1">
        <v>6.9128996369999998</v>
      </c>
      <c r="U1369" s="1">
        <v>7.2719837209999998</v>
      </c>
      <c r="V1369" s="1">
        <v>7.2808105950000002</v>
      </c>
      <c r="W1369" s="1">
        <v>7.2448800699999998</v>
      </c>
      <c r="X1369" s="1">
        <v>7.569195713</v>
      </c>
      <c r="Y1369" s="1">
        <v>7.34280986</v>
      </c>
      <c r="Z1369" s="1">
        <v>7.4412330640000004</v>
      </c>
      <c r="AA1369" s="1">
        <v>6.8089922789999999</v>
      </c>
      <c r="AB1369" s="1">
        <v>7.310811599</v>
      </c>
      <c r="AC1369" s="1">
        <v>7.317156314</v>
      </c>
      <c r="AD1369" s="1">
        <v>7.7792910080000004</v>
      </c>
      <c r="AE1369" s="1">
        <v>7.9536061079999998</v>
      </c>
    </row>
    <row r="1370" spans="1:31" x14ac:dyDescent="0.25">
      <c r="A1370" s="1" t="s">
        <v>611</v>
      </c>
      <c r="B1370" s="1" t="s">
        <v>2525</v>
      </c>
      <c r="C1370" s="1" t="s">
        <v>2526</v>
      </c>
      <c r="D1370" s="1" t="s">
        <v>4761</v>
      </c>
      <c r="E1370" s="1" t="s">
        <v>4762</v>
      </c>
      <c r="F1370" s="1" t="s">
        <v>4763</v>
      </c>
      <c r="G1370" s="1" t="s">
        <v>611</v>
      </c>
      <c r="H1370" s="1">
        <v>4.0684382540000001</v>
      </c>
      <c r="I1370" s="1">
        <v>3.5006354609999999</v>
      </c>
      <c r="J1370" s="1">
        <v>5.1953777219999999</v>
      </c>
      <c r="K1370" s="1">
        <v>4.7454889089999996</v>
      </c>
      <c r="L1370" s="1">
        <v>5.2773631679999999</v>
      </c>
      <c r="M1370" s="1">
        <v>5.5095176620000004</v>
      </c>
      <c r="N1370" s="1">
        <v>4.0417975630000003</v>
      </c>
      <c r="O1370" s="1">
        <v>4.385526188</v>
      </c>
      <c r="P1370" s="1">
        <v>4.5499605860000001</v>
      </c>
      <c r="Q1370" s="1">
        <v>4.9365262349999997</v>
      </c>
      <c r="R1370" s="1">
        <v>4.9327063119999996</v>
      </c>
      <c r="S1370" s="1">
        <v>5.0824952919999999</v>
      </c>
      <c r="T1370" s="1">
        <v>5.2773631679999999</v>
      </c>
      <c r="U1370" s="1">
        <v>5.5095176620000004</v>
      </c>
      <c r="V1370" s="1">
        <v>5.3192272129999996</v>
      </c>
      <c r="W1370" s="1">
        <v>5.2236621110000003</v>
      </c>
      <c r="X1370" s="1">
        <v>5.2391096700000004</v>
      </c>
      <c r="Y1370" s="1">
        <v>5.0702808140000002</v>
      </c>
      <c r="Z1370" s="1">
        <v>4.9327063119999996</v>
      </c>
      <c r="AA1370" s="1">
        <v>5.0824952919999999</v>
      </c>
      <c r="AB1370" s="1">
        <v>5.2406211000000003</v>
      </c>
      <c r="AC1370" s="1">
        <v>4.6238605430000002</v>
      </c>
      <c r="AD1370" s="1">
        <v>5.0634297190000002</v>
      </c>
      <c r="AE1370" s="1">
        <v>5.2972943729999997</v>
      </c>
    </row>
    <row r="1371" spans="1:31" x14ac:dyDescent="0.25">
      <c r="A1371" s="1" t="s">
        <v>614</v>
      </c>
      <c r="B1371" s="1" t="s">
        <v>2530</v>
      </c>
      <c r="C1371" s="1" t="s">
        <v>2531</v>
      </c>
      <c r="D1371" s="1" t="s">
        <v>2535</v>
      </c>
      <c r="E1371" s="1" t="s">
        <v>2536</v>
      </c>
      <c r="G1371" s="1" t="s">
        <v>614</v>
      </c>
      <c r="H1371" s="1">
        <v>3.6455184960000002</v>
      </c>
      <c r="I1371" s="1">
        <v>3.5006354609999999</v>
      </c>
      <c r="J1371" s="1">
        <v>2.8907526730000002</v>
      </c>
      <c r="K1371" s="1">
        <v>1.7393328349999999</v>
      </c>
      <c r="L1371" s="1">
        <v>2.7248816410000001</v>
      </c>
      <c r="M1371" s="1">
        <v>2.3994532390000001</v>
      </c>
      <c r="N1371" s="1">
        <v>2.8201075470000001</v>
      </c>
      <c r="O1371" s="1">
        <v>2.883783352</v>
      </c>
      <c r="P1371" s="1">
        <v>2.8687501260000001</v>
      </c>
      <c r="Q1371" s="1">
        <v>3.8492287269999999</v>
      </c>
      <c r="R1371" s="1">
        <v>3.7109484589999999</v>
      </c>
      <c r="S1371" s="1">
        <v>3.1475403900000001</v>
      </c>
      <c r="T1371" s="1">
        <v>2.7248816410000001</v>
      </c>
      <c r="U1371" s="1">
        <v>2.3994532390000001</v>
      </c>
      <c r="V1371" s="1">
        <v>2.5140266200000001</v>
      </c>
      <c r="W1371" s="1">
        <v>1.7393328349999999</v>
      </c>
      <c r="X1371" s="1">
        <v>3.6673381269999998</v>
      </c>
      <c r="Y1371" s="1">
        <v>2.624795792</v>
      </c>
      <c r="Z1371" s="1">
        <v>3.7109484589999999</v>
      </c>
      <c r="AA1371" s="1">
        <v>3.1475403900000001</v>
      </c>
      <c r="AB1371" s="1">
        <v>1.7393328349999999</v>
      </c>
      <c r="AC1371" s="1">
        <v>2.5506926650000001</v>
      </c>
      <c r="AD1371" s="1">
        <v>3.3987395579999999</v>
      </c>
      <c r="AE1371" s="1">
        <v>3.321206681</v>
      </c>
    </row>
    <row r="1372" spans="1:31" x14ac:dyDescent="0.25">
      <c r="A1372" s="1" t="s">
        <v>616</v>
      </c>
      <c r="B1372" s="1" t="s">
        <v>2608</v>
      </c>
      <c r="C1372" s="1" t="s">
        <v>2609</v>
      </c>
      <c r="D1372" s="1" t="s">
        <v>2636</v>
      </c>
      <c r="E1372" s="1" t="s">
        <v>4764</v>
      </c>
      <c r="F1372" s="1" t="s">
        <v>4765</v>
      </c>
      <c r="G1372" s="1" t="s">
        <v>616</v>
      </c>
      <c r="H1372" s="1">
        <v>5.1131742039999999</v>
      </c>
      <c r="I1372" s="1">
        <v>5.8358262759999997</v>
      </c>
      <c r="J1372" s="1">
        <v>5.0551375939999996</v>
      </c>
      <c r="K1372" s="1">
        <v>4.5171444090000001</v>
      </c>
      <c r="L1372" s="1">
        <v>4.9358482109999997</v>
      </c>
      <c r="M1372" s="1">
        <v>4.709731562</v>
      </c>
      <c r="N1372" s="1">
        <v>4.9930900400000002</v>
      </c>
      <c r="O1372" s="1">
        <v>4.9384407589999997</v>
      </c>
      <c r="P1372" s="1">
        <v>5.0074447400000004</v>
      </c>
      <c r="Q1372" s="1">
        <v>4.18747588</v>
      </c>
      <c r="R1372" s="1">
        <v>4.6083586160000003</v>
      </c>
      <c r="S1372" s="1">
        <v>5.1309834260000002</v>
      </c>
      <c r="T1372" s="1">
        <v>4.9358482109999997</v>
      </c>
      <c r="U1372" s="1">
        <v>4.709731562</v>
      </c>
      <c r="V1372" s="1">
        <v>4.998512388</v>
      </c>
      <c r="W1372" s="1">
        <v>5.1095551629999996</v>
      </c>
      <c r="X1372" s="1">
        <v>4.7192629950000002</v>
      </c>
      <c r="Y1372" s="1">
        <v>4.8904630100000004</v>
      </c>
      <c r="Z1372" s="1">
        <v>4.6083586160000003</v>
      </c>
      <c r="AA1372" s="1">
        <v>5.1309834260000002</v>
      </c>
      <c r="AB1372" s="1">
        <v>4.2729702720000002</v>
      </c>
      <c r="AC1372" s="1">
        <v>4.8610120620000004</v>
      </c>
      <c r="AD1372" s="1">
        <v>4.6978214539999996</v>
      </c>
      <c r="AE1372" s="1">
        <v>4.5014252270000004</v>
      </c>
    </row>
    <row r="1373" spans="1:31" x14ac:dyDescent="0.25">
      <c r="A1373" s="1" t="s">
        <v>617</v>
      </c>
      <c r="B1373" s="1" t="s">
        <v>2520</v>
      </c>
      <c r="C1373" s="1" t="s">
        <v>2646</v>
      </c>
      <c r="D1373" s="1" t="s">
        <v>4766</v>
      </c>
      <c r="E1373" s="1" t="s">
        <v>4767</v>
      </c>
      <c r="F1373" s="1" t="s">
        <v>4768</v>
      </c>
      <c r="G1373" s="1" t="s">
        <v>617</v>
      </c>
      <c r="H1373" s="1">
        <v>9.7386659719999997</v>
      </c>
      <c r="I1373" s="1">
        <v>9.0738021660000001</v>
      </c>
      <c r="J1373" s="1">
        <v>9.680395678</v>
      </c>
      <c r="K1373" s="1">
        <v>9.8094214930000003</v>
      </c>
      <c r="L1373" s="1">
        <v>9.1718697129999995</v>
      </c>
      <c r="M1373" s="1">
        <v>9.3451534360000004</v>
      </c>
      <c r="N1373" s="1">
        <v>8.4274725789999998</v>
      </c>
      <c r="O1373" s="1">
        <v>8.7926695479999992</v>
      </c>
      <c r="P1373" s="1">
        <v>9.5371139540000005</v>
      </c>
      <c r="Q1373" s="1">
        <v>9.5470654150000005</v>
      </c>
      <c r="R1373" s="1">
        <v>9.4553993829999996</v>
      </c>
      <c r="S1373" s="1">
        <v>9.5197003979999995</v>
      </c>
      <c r="T1373" s="1">
        <v>9.1718697129999995</v>
      </c>
      <c r="U1373" s="1">
        <v>9.3451534360000004</v>
      </c>
      <c r="V1373" s="1">
        <v>9.312384561</v>
      </c>
      <c r="W1373" s="1">
        <v>9.3419298709999996</v>
      </c>
      <c r="X1373" s="1">
        <v>9.4375170950000005</v>
      </c>
      <c r="Y1373" s="1">
        <v>9.2772195120000003</v>
      </c>
      <c r="Z1373" s="1">
        <v>9.4553993829999996</v>
      </c>
      <c r="AA1373" s="1">
        <v>9.5197003979999995</v>
      </c>
      <c r="AB1373" s="1">
        <v>9.6448752790000007</v>
      </c>
      <c r="AC1373" s="1">
        <v>9.3695586249999998</v>
      </c>
      <c r="AD1373" s="1">
        <v>9.5254635669999992</v>
      </c>
      <c r="AE1373" s="1">
        <v>9.3749698450000007</v>
      </c>
    </row>
    <row r="1374" spans="1:31" x14ac:dyDescent="0.25">
      <c r="A1374" s="1" t="s">
        <v>618</v>
      </c>
      <c r="B1374" s="1" t="s">
        <v>2631</v>
      </c>
      <c r="C1374" s="1" t="s">
        <v>2980</v>
      </c>
      <c r="D1374" s="1" t="s">
        <v>3333</v>
      </c>
      <c r="E1374" s="1" t="s">
        <v>4769</v>
      </c>
      <c r="F1374" s="1" t="s">
        <v>4770</v>
      </c>
      <c r="G1374" s="1" t="s">
        <v>618</v>
      </c>
      <c r="H1374" s="1">
        <v>8.4050869580000001</v>
      </c>
      <c r="I1374" s="1">
        <v>7.9768530909999997</v>
      </c>
      <c r="J1374" s="1">
        <v>7.6876495020000002</v>
      </c>
      <c r="K1374" s="1">
        <v>8.1831921019999996</v>
      </c>
      <c r="L1374" s="1">
        <v>6.8867894850000004</v>
      </c>
      <c r="M1374" s="1">
        <v>7.0184387069999996</v>
      </c>
      <c r="N1374" s="1">
        <v>7.1831132760000003</v>
      </c>
      <c r="O1374" s="1">
        <v>7.7707700849999997</v>
      </c>
      <c r="P1374" s="1">
        <v>7.0735093620000002</v>
      </c>
      <c r="Q1374" s="1">
        <v>7.1815238780000001</v>
      </c>
      <c r="R1374" s="1">
        <v>7.2591832319999998</v>
      </c>
      <c r="S1374" s="1">
        <v>7.015130621</v>
      </c>
      <c r="T1374" s="1">
        <v>6.8867894850000004</v>
      </c>
      <c r="U1374" s="1">
        <v>7.0184387069999996</v>
      </c>
      <c r="V1374" s="1">
        <v>7.1058621789999998</v>
      </c>
      <c r="W1374" s="1">
        <v>7.3483061000000003</v>
      </c>
      <c r="X1374" s="1">
        <v>6.7996930640000004</v>
      </c>
      <c r="Y1374" s="1">
        <v>7.259693789</v>
      </c>
      <c r="Z1374" s="1">
        <v>7.2591832319999998</v>
      </c>
      <c r="AA1374" s="1">
        <v>7.015130621</v>
      </c>
      <c r="AB1374" s="1">
        <v>7.340573268</v>
      </c>
      <c r="AC1374" s="1">
        <v>7.2260251899999997</v>
      </c>
      <c r="AD1374" s="1">
        <v>7.2704470209999998</v>
      </c>
      <c r="AE1374" s="1">
        <v>7.5130041609999996</v>
      </c>
    </row>
    <row r="1375" spans="1:31" x14ac:dyDescent="0.25">
      <c r="A1375" s="1" t="s">
        <v>621</v>
      </c>
      <c r="B1375" s="1" t="s">
        <v>2598</v>
      </c>
      <c r="C1375" s="1" t="s">
        <v>3183</v>
      </c>
      <c r="D1375" s="1" t="s">
        <v>3324</v>
      </c>
      <c r="E1375" s="1" t="s">
        <v>4771</v>
      </c>
      <c r="F1375" s="1" t="s">
        <v>4772</v>
      </c>
      <c r="G1375" s="1" t="s">
        <v>621</v>
      </c>
      <c r="H1375" s="1">
        <v>5.946332924</v>
      </c>
      <c r="I1375" s="1">
        <v>6.7068440599999999</v>
      </c>
      <c r="J1375" s="1">
        <v>5.5483108110000003</v>
      </c>
      <c r="K1375" s="1">
        <v>5.6848657879999998</v>
      </c>
      <c r="L1375" s="1">
        <v>6.0182159679999998</v>
      </c>
      <c r="M1375" s="1">
        <v>5.9537101330000004</v>
      </c>
      <c r="N1375" s="1">
        <v>6.5682897249999996</v>
      </c>
      <c r="O1375" s="1">
        <v>6.1439115280000003</v>
      </c>
      <c r="P1375" s="1">
        <v>5.8618301099999996</v>
      </c>
      <c r="Q1375" s="1">
        <v>6.0722034220000003</v>
      </c>
      <c r="R1375" s="1">
        <v>5.6102934549999999</v>
      </c>
      <c r="S1375" s="1">
        <v>6.2791912019999998</v>
      </c>
      <c r="T1375" s="1">
        <v>6.0182159679999998</v>
      </c>
      <c r="U1375" s="1">
        <v>5.9537101330000004</v>
      </c>
      <c r="V1375" s="1">
        <v>6.1817294079999998</v>
      </c>
      <c r="W1375" s="1">
        <v>5.7645115660000004</v>
      </c>
      <c r="X1375" s="1">
        <v>6.1533217709999999</v>
      </c>
      <c r="Y1375" s="1">
        <v>6.2095953220000002</v>
      </c>
      <c r="Z1375" s="1">
        <v>5.6102934549999999</v>
      </c>
      <c r="AA1375" s="1">
        <v>6.2791912019999998</v>
      </c>
      <c r="AB1375" s="1">
        <v>5.9325296429999996</v>
      </c>
      <c r="AC1375" s="1">
        <v>6.2668248259999997</v>
      </c>
      <c r="AD1375" s="1">
        <v>5.3091856960000001</v>
      </c>
      <c r="AE1375" s="1">
        <v>6.086150795</v>
      </c>
    </row>
    <row r="1376" spans="1:31" x14ac:dyDescent="0.25">
      <c r="A1376" s="1" t="s">
        <v>622</v>
      </c>
      <c r="B1376" s="1" t="s">
        <v>2530</v>
      </c>
      <c r="C1376" s="1" t="s">
        <v>2531</v>
      </c>
      <c r="D1376" s="1" t="s">
        <v>2535</v>
      </c>
      <c r="E1376" s="1" t="s">
        <v>2536</v>
      </c>
      <c r="G1376" s="1" t="s">
        <v>622</v>
      </c>
      <c r="H1376" s="1">
        <v>6.0081283179999998</v>
      </c>
      <c r="I1376" s="1">
        <v>5.8070199389999999</v>
      </c>
      <c r="J1376" s="1">
        <v>5.8869626679999998</v>
      </c>
      <c r="K1376" s="1">
        <v>5.8227835140000002</v>
      </c>
      <c r="L1376" s="1">
        <v>6.5382166509999999</v>
      </c>
      <c r="M1376" s="1">
        <v>6.2252239280000001</v>
      </c>
      <c r="N1376" s="1">
        <v>6.233348286</v>
      </c>
      <c r="O1376" s="1">
        <v>5.7466551829999997</v>
      </c>
      <c r="P1376" s="1">
        <v>5.9651829550000004</v>
      </c>
      <c r="Q1376" s="1">
        <v>5.991605206</v>
      </c>
      <c r="R1376" s="1">
        <v>5.4182058560000002</v>
      </c>
      <c r="S1376" s="1">
        <v>6.0480456849999999</v>
      </c>
      <c r="T1376" s="1">
        <v>6.5382166509999999</v>
      </c>
      <c r="U1376" s="1">
        <v>6.2252239280000001</v>
      </c>
      <c r="V1376" s="1">
        <v>6.2394706979999999</v>
      </c>
      <c r="W1376" s="1">
        <v>6.0977940090000002</v>
      </c>
      <c r="X1376" s="1">
        <v>5.9915198639999998</v>
      </c>
      <c r="Y1376" s="1">
        <v>5.9611531490000003</v>
      </c>
      <c r="Z1376" s="1">
        <v>5.4182058560000002</v>
      </c>
      <c r="AA1376" s="1">
        <v>6.0480456849999999</v>
      </c>
      <c r="AB1376" s="1">
        <v>6.0455186249999997</v>
      </c>
      <c r="AC1376" s="1">
        <v>5.8975684140000002</v>
      </c>
      <c r="AD1376" s="1">
        <v>5.4791562909999998</v>
      </c>
      <c r="AE1376" s="1">
        <v>5.7708285269999999</v>
      </c>
    </row>
    <row r="1377" spans="1:31" x14ac:dyDescent="0.25">
      <c r="A1377" s="1" t="s">
        <v>623</v>
      </c>
      <c r="B1377" s="1" t="s">
        <v>2557</v>
      </c>
      <c r="C1377" s="1" t="s">
        <v>2680</v>
      </c>
      <c r="D1377" s="1" t="s">
        <v>3991</v>
      </c>
      <c r="E1377" s="1" t="s">
        <v>4773</v>
      </c>
      <c r="F1377" s="1" t="s">
        <v>4774</v>
      </c>
      <c r="G1377" s="1" t="s">
        <v>623</v>
      </c>
      <c r="H1377" s="1">
        <v>7.9974869689999997</v>
      </c>
      <c r="I1377" s="1">
        <v>8.4411972909999999</v>
      </c>
      <c r="J1377" s="1">
        <v>6.8353858709999997</v>
      </c>
      <c r="K1377" s="1">
        <v>7.1965733920000003</v>
      </c>
      <c r="L1377" s="1">
        <v>6.6818509820000003</v>
      </c>
      <c r="M1377" s="1">
        <v>6.7396661670000002</v>
      </c>
      <c r="N1377" s="1">
        <v>7.8316103359999998</v>
      </c>
      <c r="O1377" s="1">
        <v>8.1943996319999997</v>
      </c>
      <c r="P1377" s="1">
        <v>6.5171892439999999</v>
      </c>
      <c r="Q1377" s="1">
        <v>6.7145630089999999</v>
      </c>
      <c r="R1377" s="1">
        <v>6.0937807429999999</v>
      </c>
      <c r="S1377" s="1">
        <v>6.3821686289999997</v>
      </c>
      <c r="T1377" s="1">
        <v>6.6818509820000003</v>
      </c>
      <c r="U1377" s="1">
        <v>6.7396661670000002</v>
      </c>
      <c r="V1377" s="1">
        <v>6.6755125270000004</v>
      </c>
      <c r="W1377" s="1">
        <v>6.8281395839999997</v>
      </c>
      <c r="X1377" s="1">
        <v>6.3552247629999998</v>
      </c>
      <c r="Y1377" s="1">
        <v>6.6058798599999999</v>
      </c>
      <c r="Z1377" s="1">
        <v>6.0937807429999999</v>
      </c>
      <c r="AA1377" s="1">
        <v>6.3821686289999997</v>
      </c>
      <c r="AB1377" s="1">
        <v>6.4797931459999996</v>
      </c>
      <c r="AC1377" s="1">
        <v>6.2668248259999997</v>
      </c>
      <c r="AD1377" s="1">
        <v>6.2145653230000004</v>
      </c>
      <c r="AE1377" s="1">
        <v>6.81160079</v>
      </c>
    </row>
    <row r="1378" spans="1:31" x14ac:dyDescent="0.25">
      <c r="A1378" s="1" t="s">
        <v>624</v>
      </c>
      <c r="B1378" s="1" t="s">
        <v>2547</v>
      </c>
      <c r="C1378" s="1" t="s">
        <v>2694</v>
      </c>
      <c r="D1378" s="1" t="s">
        <v>2695</v>
      </c>
      <c r="E1378" s="1" t="s">
        <v>4775</v>
      </c>
      <c r="G1378" s="1" t="s">
        <v>624</v>
      </c>
      <c r="H1378" s="1">
        <v>6.4696957609999997</v>
      </c>
      <c r="I1378" s="1">
        <v>6.3760216270000001</v>
      </c>
      <c r="J1378" s="1">
        <v>4.6607313550000002</v>
      </c>
      <c r="K1378" s="1">
        <v>5.5322182199999999</v>
      </c>
      <c r="L1378" s="1">
        <v>5.7687912140000002</v>
      </c>
      <c r="M1378" s="1">
        <v>5.4634864729999997</v>
      </c>
      <c r="N1378" s="1">
        <v>6.4757340919999997</v>
      </c>
      <c r="O1378" s="1">
        <v>6.6371378139999999</v>
      </c>
      <c r="P1378" s="1">
        <v>5.426847231</v>
      </c>
      <c r="Q1378" s="1">
        <v>5.2931690810000003</v>
      </c>
      <c r="R1378" s="1">
        <v>5.1472208640000003</v>
      </c>
      <c r="S1378" s="1">
        <v>5.4687741709999997</v>
      </c>
      <c r="T1378" s="1">
        <v>5.7687912140000002</v>
      </c>
      <c r="U1378" s="1">
        <v>5.4634864729999997</v>
      </c>
      <c r="V1378" s="1">
        <v>5.4230002329999998</v>
      </c>
      <c r="W1378" s="1">
        <v>5.5634106699999997</v>
      </c>
      <c r="X1378" s="1">
        <v>5.3550813679999996</v>
      </c>
      <c r="Y1378" s="1">
        <v>5.3269702959999998</v>
      </c>
      <c r="Z1378" s="1">
        <v>5.1472208640000003</v>
      </c>
      <c r="AA1378" s="1">
        <v>5.4687741709999997</v>
      </c>
      <c r="AB1378" s="1">
        <v>4.7958605490000004</v>
      </c>
      <c r="AC1378" s="1">
        <v>5.3988312660000002</v>
      </c>
      <c r="AD1378" s="1">
        <v>5.2159266190000002</v>
      </c>
      <c r="AE1378" s="1">
        <v>5.387950011</v>
      </c>
    </row>
    <row r="1379" spans="1:31" x14ac:dyDescent="0.25">
      <c r="A1379" s="1" t="s">
        <v>626</v>
      </c>
      <c r="B1379" s="1" t="s">
        <v>2598</v>
      </c>
      <c r="C1379" s="1" t="s">
        <v>3183</v>
      </c>
      <c r="D1379" s="1" t="s">
        <v>4661</v>
      </c>
      <c r="E1379" s="1" t="s">
        <v>4776</v>
      </c>
      <c r="F1379" s="1" t="s">
        <v>4777</v>
      </c>
      <c r="G1379" s="1" t="s">
        <v>626</v>
      </c>
      <c r="H1379" s="1">
        <v>10.440723950000001</v>
      </c>
      <c r="I1379" s="1">
        <v>9.9365764720000005</v>
      </c>
      <c r="J1379" s="1">
        <v>8.1301348069999992</v>
      </c>
      <c r="K1379" s="1">
        <v>8.0141699890000009</v>
      </c>
      <c r="L1379" s="1">
        <v>8.6485583619999993</v>
      </c>
      <c r="M1379" s="1">
        <v>8.7236999159999993</v>
      </c>
      <c r="N1379" s="1">
        <v>8.7957489389999992</v>
      </c>
      <c r="O1379" s="1">
        <v>9.0771533649999991</v>
      </c>
      <c r="P1379" s="1">
        <v>8.3116716519999994</v>
      </c>
      <c r="Q1379" s="1">
        <v>8.3064388339999997</v>
      </c>
      <c r="R1379" s="1">
        <v>8.7175656519999993</v>
      </c>
      <c r="S1379" s="1">
        <v>8.7481757990000002</v>
      </c>
      <c r="T1379" s="1">
        <v>8.6485583619999993</v>
      </c>
      <c r="U1379" s="1">
        <v>8.7236999159999993</v>
      </c>
      <c r="V1379" s="1">
        <v>8.3449517610000008</v>
      </c>
      <c r="W1379" s="1">
        <v>8.4172921469999995</v>
      </c>
      <c r="X1379" s="1">
        <v>8.3877666879999992</v>
      </c>
      <c r="Y1379" s="1">
        <v>8.209583061</v>
      </c>
      <c r="Z1379" s="1">
        <v>8.7175656519999993</v>
      </c>
      <c r="AA1379" s="1">
        <v>8.7481757990000002</v>
      </c>
      <c r="AB1379" s="1">
        <v>8.4471483109999994</v>
      </c>
      <c r="AC1379" s="1">
        <v>8.5094335020000003</v>
      </c>
      <c r="AD1379" s="1">
        <v>8.4058343270000009</v>
      </c>
      <c r="AE1379" s="1">
        <v>8.310909272</v>
      </c>
    </row>
    <row r="1380" spans="1:31" x14ac:dyDescent="0.25">
      <c r="A1380" s="1" t="s">
        <v>627</v>
      </c>
      <c r="B1380" s="1" t="s">
        <v>2667</v>
      </c>
      <c r="C1380" s="1" t="s">
        <v>2781</v>
      </c>
      <c r="D1380" s="1" t="s">
        <v>4778</v>
      </c>
      <c r="E1380" s="1" t="s">
        <v>4779</v>
      </c>
      <c r="F1380" s="1" t="s">
        <v>4780</v>
      </c>
      <c r="G1380" s="1" t="s">
        <v>627</v>
      </c>
      <c r="H1380" s="1">
        <v>6.5753846300000003</v>
      </c>
      <c r="I1380" s="1">
        <v>6.8685279430000001</v>
      </c>
      <c r="J1380" s="1">
        <v>5.7122264270000001</v>
      </c>
      <c r="K1380" s="1">
        <v>6.3181776090000001</v>
      </c>
      <c r="L1380" s="1">
        <v>5.7687912140000002</v>
      </c>
      <c r="M1380" s="1">
        <v>5.8504486010000001</v>
      </c>
      <c r="N1380" s="1">
        <v>6.6458437989999997</v>
      </c>
      <c r="O1380" s="1">
        <v>6.9954679869999996</v>
      </c>
      <c r="P1380" s="1">
        <v>5.8072178450000003</v>
      </c>
      <c r="Q1380" s="1">
        <v>5.5406489910000003</v>
      </c>
      <c r="R1380" s="1">
        <v>6.0415391009999997</v>
      </c>
      <c r="S1380" s="1">
        <v>5.8024660560000001</v>
      </c>
      <c r="T1380" s="1">
        <v>5.7687912140000002</v>
      </c>
      <c r="U1380" s="1">
        <v>5.8504486010000001</v>
      </c>
      <c r="V1380" s="1">
        <v>6.0587793220000004</v>
      </c>
      <c r="W1380" s="1">
        <v>6.4401804780000003</v>
      </c>
      <c r="X1380" s="1">
        <v>5.6370967820000004</v>
      </c>
      <c r="Y1380" s="1">
        <v>5.6971672010000001</v>
      </c>
      <c r="Z1380" s="1">
        <v>6.0415391009999997</v>
      </c>
      <c r="AA1380" s="1">
        <v>5.8024660560000001</v>
      </c>
      <c r="AB1380" s="1">
        <v>5.2406211000000003</v>
      </c>
      <c r="AC1380" s="1">
        <v>5.6698330419999996</v>
      </c>
      <c r="AD1380" s="1">
        <v>5.3091856960000001</v>
      </c>
      <c r="AE1380" s="1">
        <v>5.7708285269999999</v>
      </c>
    </row>
    <row r="1381" spans="1:31" x14ac:dyDescent="0.25">
      <c r="A1381" s="1" t="s">
        <v>632</v>
      </c>
      <c r="B1381" s="1" t="s">
        <v>2598</v>
      </c>
      <c r="C1381" s="1" t="s">
        <v>2603</v>
      </c>
      <c r="D1381" s="1" t="s">
        <v>2807</v>
      </c>
      <c r="E1381" s="1" t="s">
        <v>4781</v>
      </c>
      <c r="F1381" s="1" t="s">
        <v>4782</v>
      </c>
      <c r="G1381" s="1" t="s">
        <v>632</v>
      </c>
      <c r="H1381" s="1">
        <v>5.6296178589999997</v>
      </c>
      <c r="I1381" s="1">
        <v>5.9189259930000002</v>
      </c>
      <c r="J1381" s="1">
        <v>5.9669407659999996</v>
      </c>
      <c r="K1381" s="1">
        <v>6.0361807939999998</v>
      </c>
      <c r="L1381" s="1">
        <v>6.3597634449999996</v>
      </c>
      <c r="M1381" s="1">
        <v>6.0344224830000002</v>
      </c>
      <c r="N1381" s="1">
        <v>5.7786343999999996</v>
      </c>
      <c r="O1381" s="1">
        <v>5.6219600229999998</v>
      </c>
      <c r="P1381" s="1">
        <v>6.1519221809999998</v>
      </c>
      <c r="Q1381" s="1">
        <v>6.0722034220000003</v>
      </c>
      <c r="R1381" s="1">
        <v>6.2629717720000002</v>
      </c>
      <c r="S1381" s="1">
        <v>6.0227453090000003</v>
      </c>
      <c r="T1381" s="1">
        <v>6.3597634449999996</v>
      </c>
      <c r="U1381" s="1">
        <v>6.0344224830000002</v>
      </c>
      <c r="V1381" s="1">
        <v>6.2949812820000002</v>
      </c>
      <c r="W1381" s="1">
        <v>6.3432413370000003</v>
      </c>
      <c r="X1381" s="1">
        <v>6.2871570439999998</v>
      </c>
      <c r="Y1381" s="1">
        <v>5.9611531490000003</v>
      </c>
      <c r="Z1381" s="1">
        <v>6.2629717720000002</v>
      </c>
      <c r="AA1381" s="1">
        <v>6.0227453090000003</v>
      </c>
      <c r="AB1381" s="1">
        <v>5.851934376</v>
      </c>
      <c r="AC1381" s="1">
        <v>6.4026546910000004</v>
      </c>
      <c r="AD1381" s="1">
        <v>6.3296964060000001</v>
      </c>
      <c r="AE1381" s="1">
        <v>6.0029044730000001</v>
      </c>
    </row>
    <row r="1382" spans="1:31" x14ac:dyDescent="0.25">
      <c r="A1382" s="1" t="s">
        <v>634</v>
      </c>
      <c r="B1382" s="1" t="s">
        <v>2542</v>
      </c>
      <c r="C1382" s="1" t="s">
        <v>2553</v>
      </c>
      <c r="D1382" s="1" t="s">
        <v>2994</v>
      </c>
      <c r="E1382" s="1" t="s">
        <v>4783</v>
      </c>
      <c r="F1382" s="1" t="s">
        <v>4784</v>
      </c>
      <c r="G1382" s="1" t="s">
        <v>634</v>
      </c>
      <c r="H1382" s="1">
        <v>4.2900513550000001</v>
      </c>
      <c r="I1382" s="1">
        <v>4.9575946069999999</v>
      </c>
      <c r="J1382" s="1">
        <v>4.4503473070000004</v>
      </c>
      <c r="K1382" s="1">
        <v>3.4309024589999999</v>
      </c>
      <c r="L1382" s="1">
        <v>5.1940340669999996</v>
      </c>
      <c r="M1382" s="1">
        <v>4.709731562</v>
      </c>
      <c r="N1382" s="1">
        <v>3.7025667929999999</v>
      </c>
      <c r="O1382" s="1">
        <v>4.2767880749999998</v>
      </c>
      <c r="P1382" s="1">
        <v>4.3303557189999999</v>
      </c>
      <c r="Q1382" s="1">
        <v>5.2473923969999996</v>
      </c>
      <c r="R1382" s="1">
        <v>4.1841942410000001</v>
      </c>
      <c r="S1382" s="1">
        <v>4.3966315629999997</v>
      </c>
      <c r="T1382" s="1">
        <v>5.1940340669999996</v>
      </c>
      <c r="U1382" s="1">
        <v>4.709731562</v>
      </c>
      <c r="V1382" s="1">
        <v>5.2455869269999997</v>
      </c>
      <c r="W1382" s="1">
        <v>4.7760085830000003</v>
      </c>
      <c r="X1382" s="1">
        <v>4.5325909299999996</v>
      </c>
      <c r="Y1382" s="1">
        <v>4.9529845589999999</v>
      </c>
      <c r="Z1382" s="1">
        <v>4.1841942410000001</v>
      </c>
      <c r="AA1382" s="1">
        <v>4.3966315629999997</v>
      </c>
      <c r="AB1382" s="1">
        <v>4.705867896</v>
      </c>
      <c r="AC1382" s="1">
        <v>4.0753403910000001</v>
      </c>
      <c r="AD1382" s="1">
        <v>4.2005997429999997</v>
      </c>
      <c r="AE1382" s="1">
        <v>4.2780702540000002</v>
      </c>
    </row>
    <row r="1383" spans="1:31" x14ac:dyDescent="0.25">
      <c r="A1383" s="1" t="s">
        <v>638</v>
      </c>
      <c r="B1383" s="1" t="s">
        <v>2535</v>
      </c>
      <c r="C1383" s="1" t="s">
        <v>2535</v>
      </c>
      <c r="D1383" s="1" t="s">
        <v>2535</v>
      </c>
      <c r="E1383" s="1" t="s">
        <v>2535</v>
      </c>
      <c r="F1383" s="1" t="s">
        <v>2535</v>
      </c>
      <c r="G1383" s="1" t="s">
        <v>638</v>
      </c>
      <c r="H1383" s="1">
        <v>1.7393328349999999</v>
      </c>
      <c r="I1383" s="1">
        <v>1.7393328349999999</v>
      </c>
      <c r="J1383" s="1">
        <v>1.7393328349999999</v>
      </c>
      <c r="K1383" s="1">
        <v>1.7393328349999999</v>
      </c>
      <c r="L1383" s="1">
        <v>2.315629231</v>
      </c>
      <c r="M1383" s="1">
        <v>1.7393328349999999</v>
      </c>
      <c r="N1383" s="1">
        <v>1.7393328349999999</v>
      </c>
      <c r="O1383" s="1">
        <v>2.411448644</v>
      </c>
      <c r="P1383" s="1">
        <v>2.5478783159999998</v>
      </c>
      <c r="Q1383" s="1">
        <v>1.7393328349999999</v>
      </c>
      <c r="R1383" s="1">
        <v>1.7393328349999999</v>
      </c>
      <c r="S1383" s="1">
        <v>2.5733617299999998</v>
      </c>
      <c r="T1383" s="1">
        <v>2.315629231</v>
      </c>
      <c r="U1383" s="1">
        <v>1.7393328349999999</v>
      </c>
      <c r="V1383" s="1">
        <v>2.5140266200000001</v>
      </c>
      <c r="W1383" s="1">
        <v>1.7393328349999999</v>
      </c>
      <c r="X1383" s="1">
        <v>1.7393328349999999</v>
      </c>
      <c r="Y1383" s="1">
        <v>2.624795792</v>
      </c>
      <c r="Z1383" s="1">
        <v>1.7393328349999999</v>
      </c>
      <c r="AA1383" s="1">
        <v>2.5733617299999998</v>
      </c>
      <c r="AB1383" s="1">
        <v>1.7393328349999999</v>
      </c>
      <c r="AC1383" s="1">
        <v>1.7393328349999999</v>
      </c>
      <c r="AD1383" s="1">
        <v>1.7393328349999999</v>
      </c>
      <c r="AE1383" s="1">
        <v>1.7393328349999999</v>
      </c>
    </row>
    <row r="1384" spans="1:31" x14ac:dyDescent="0.25">
      <c r="A1384" s="1" t="s">
        <v>639</v>
      </c>
      <c r="B1384" s="1" t="s">
        <v>2530</v>
      </c>
      <c r="C1384" s="1" t="s">
        <v>2531</v>
      </c>
      <c r="D1384" s="1" t="s">
        <v>2535</v>
      </c>
      <c r="E1384" s="1" t="s">
        <v>4148</v>
      </c>
      <c r="G1384" s="1" t="s">
        <v>639</v>
      </c>
      <c r="H1384" s="1">
        <v>5.2221022919999998</v>
      </c>
      <c r="I1384" s="1">
        <v>6.2320099659999997</v>
      </c>
      <c r="J1384" s="1">
        <v>6.2270996539999999</v>
      </c>
      <c r="K1384" s="1">
        <v>6.1712535270000002</v>
      </c>
      <c r="L1384" s="1">
        <v>6.61977583</v>
      </c>
      <c r="M1384" s="1">
        <v>6.5877467249999997</v>
      </c>
      <c r="N1384" s="1">
        <v>5.7436907640000001</v>
      </c>
      <c r="O1384" s="1">
        <v>5.9330167859999996</v>
      </c>
      <c r="P1384" s="1">
        <v>6.1950446890000004</v>
      </c>
      <c r="Q1384" s="1">
        <v>5.6499570400000003</v>
      </c>
      <c r="R1384" s="1">
        <v>6.9832586330000002</v>
      </c>
      <c r="S1384" s="1">
        <v>6.4019078089999999</v>
      </c>
      <c r="T1384" s="1">
        <v>6.61977583</v>
      </c>
      <c r="U1384" s="1">
        <v>6.5877467249999997</v>
      </c>
      <c r="V1384" s="1">
        <v>6.8461137650000001</v>
      </c>
      <c r="W1384" s="1">
        <v>6.7918889980000001</v>
      </c>
      <c r="X1384" s="1">
        <v>6.2637322309999997</v>
      </c>
      <c r="Y1384" s="1">
        <v>6.7169455439999997</v>
      </c>
      <c r="Z1384" s="1">
        <v>6.9832586330000002</v>
      </c>
      <c r="AA1384" s="1">
        <v>6.4019078089999999</v>
      </c>
      <c r="AB1384" s="1">
        <v>6.9924202729999996</v>
      </c>
      <c r="AC1384" s="1">
        <v>6.5603321899999996</v>
      </c>
      <c r="AD1384" s="1">
        <v>6.7817055540000002</v>
      </c>
      <c r="AE1384" s="1">
        <v>6.1390820970000002</v>
      </c>
    </row>
    <row r="1385" spans="1:31" x14ac:dyDescent="0.25">
      <c r="A1385" s="1" t="s">
        <v>640</v>
      </c>
      <c r="B1385" s="1" t="s">
        <v>2525</v>
      </c>
      <c r="C1385" s="1" t="s">
        <v>3110</v>
      </c>
      <c r="D1385" s="1" t="s">
        <v>4676</v>
      </c>
      <c r="E1385" s="1" t="s">
        <v>4785</v>
      </c>
      <c r="F1385" s="1" t="s">
        <v>4786</v>
      </c>
      <c r="G1385" s="1" t="s">
        <v>640</v>
      </c>
      <c r="H1385" s="1">
        <v>6.5548587630000004</v>
      </c>
      <c r="I1385" s="1">
        <v>6.7068440599999999</v>
      </c>
      <c r="J1385" s="1">
        <v>7.0822770159999999</v>
      </c>
      <c r="K1385" s="1">
        <v>7.3408629970000003</v>
      </c>
      <c r="L1385" s="1">
        <v>7.0949578820000001</v>
      </c>
      <c r="M1385" s="1">
        <v>7.1471628239999996</v>
      </c>
      <c r="N1385" s="1">
        <v>6.7548624930000001</v>
      </c>
      <c r="O1385" s="1">
        <v>7.0607526280000004</v>
      </c>
      <c r="P1385" s="1">
        <v>7.0964005209999996</v>
      </c>
      <c r="Q1385" s="1">
        <v>7.4952595559999997</v>
      </c>
      <c r="R1385" s="1">
        <v>7.304132815</v>
      </c>
      <c r="S1385" s="1">
        <v>7.015130621</v>
      </c>
      <c r="T1385" s="1">
        <v>7.0949578820000001</v>
      </c>
      <c r="U1385" s="1">
        <v>7.1471628239999996</v>
      </c>
      <c r="V1385" s="1">
        <v>6.71671408</v>
      </c>
      <c r="W1385" s="1">
        <v>6.5528329879999996</v>
      </c>
      <c r="X1385" s="1">
        <v>7.1452559320000004</v>
      </c>
      <c r="Y1385" s="1">
        <v>6.8200537160000003</v>
      </c>
      <c r="Z1385" s="1">
        <v>7.304132815</v>
      </c>
      <c r="AA1385" s="1">
        <v>7.015130621</v>
      </c>
      <c r="AB1385" s="1">
        <v>6.8547782980000003</v>
      </c>
      <c r="AC1385" s="1">
        <v>6.8723966970000001</v>
      </c>
      <c r="AD1385" s="1">
        <v>7.0995105729999999</v>
      </c>
      <c r="AE1385" s="1">
        <v>6.8907852160000003</v>
      </c>
    </row>
    <row r="1386" spans="1:31" x14ac:dyDescent="0.25">
      <c r="A1386" s="1" t="s">
        <v>641</v>
      </c>
      <c r="B1386" s="1" t="s">
        <v>2547</v>
      </c>
      <c r="C1386" s="1" t="s">
        <v>2675</v>
      </c>
      <c r="D1386" s="1" t="s">
        <v>2535</v>
      </c>
      <c r="E1386" s="1" t="s">
        <v>4787</v>
      </c>
      <c r="G1386" s="1" t="s">
        <v>641</v>
      </c>
      <c r="H1386" s="1">
        <v>6.2317126350000001</v>
      </c>
      <c r="I1386" s="1">
        <v>6.395465862</v>
      </c>
      <c r="J1386" s="1">
        <v>5.8310524639999999</v>
      </c>
      <c r="K1386" s="1">
        <v>6.1452362870000004</v>
      </c>
      <c r="L1386" s="1">
        <v>6.3597634449999996</v>
      </c>
      <c r="M1386" s="1">
        <v>6.38135662</v>
      </c>
      <c r="N1386" s="1">
        <v>5.6896218779999996</v>
      </c>
      <c r="O1386" s="1">
        <v>6.1439115280000003</v>
      </c>
      <c r="P1386" s="1">
        <v>6.5835451750000002</v>
      </c>
      <c r="Q1386" s="1">
        <v>6.8270471480000001</v>
      </c>
      <c r="R1386" s="1">
        <v>6.4547978119999998</v>
      </c>
      <c r="S1386" s="1">
        <v>6.6028455509999997</v>
      </c>
      <c r="T1386" s="1">
        <v>6.3597634449999996</v>
      </c>
      <c r="U1386" s="1">
        <v>6.38135662</v>
      </c>
      <c r="V1386" s="1">
        <v>6.1215697740000001</v>
      </c>
      <c r="W1386" s="1">
        <v>6.595535302</v>
      </c>
      <c r="X1386" s="1">
        <v>6.4412422830000002</v>
      </c>
      <c r="Y1386" s="1">
        <v>5.7329513619999997</v>
      </c>
      <c r="Z1386" s="1">
        <v>6.4547978119999998</v>
      </c>
      <c r="AA1386" s="1">
        <v>6.6028455509999997</v>
      </c>
      <c r="AB1386" s="1">
        <v>6.3971449009999999</v>
      </c>
      <c r="AC1386" s="1">
        <v>6.384018502</v>
      </c>
      <c r="AD1386" s="1">
        <v>6.5733752870000002</v>
      </c>
      <c r="AE1386" s="1">
        <v>6.1775384349999998</v>
      </c>
    </row>
    <row r="1387" spans="1:31" x14ac:dyDescent="0.25">
      <c r="A1387" s="1" t="s">
        <v>642</v>
      </c>
      <c r="B1387" s="1" t="s">
        <v>2557</v>
      </c>
      <c r="C1387" s="1" t="s">
        <v>3063</v>
      </c>
      <c r="D1387" s="1" t="s">
        <v>3064</v>
      </c>
      <c r="E1387" s="1" t="s">
        <v>4788</v>
      </c>
      <c r="F1387" s="1" t="s">
        <v>4789</v>
      </c>
      <c r="G1387" s="1" t="s">
        <v>642</v>
      </c>
      <c r="H1387" s="1">
        <v>6.0380558219999996</v>
      </c>
      <c r="I1387" s="1">
        <v>5.9717652650000002</v>
      </c>
      <c r="J1387" s="1">
        <v>6.1378545859999996</v>
      </c>
      <c r="K1387" s="1">
        <v>6.5734492549999999</v>
      </c>
      <c r="L1387" s="1">
        <v>6.1449929210000001</v>
      </c>
      <c r="M1387" s="1">
        <v>6.5109621640000004</v>
      </c>
      <c r="N1387" s="1">
        <v>6.0739568119999996</v>
      </c>
      <c r="O1387" s="1">
        <v>5.984507765</v>
      </c>
      <c r="P1387" s="1">
        <v>6.5001108719999996</v>
      </c>
      <c r="Q1387" s="1">
        <v>6.4985786230000002</v>
      </c>
      <c r="R1387" s="1">
        <v>6.624026862</v>
      </c>
      <c r="S1387" s="1">
        <v>6.4967339439999998</v>
      </c>
      <c r="T1387" s="1">
        <v>6.1449929210000001</v>
      </c>
      <c r="U1387" s="1">
        <v>6.5109621640000004</v>
      </c>
      <c r="V1387" s="1">
        <v>6.0800160549999998</v>
      </c>
      <c r="W1387" s="1">
        <v>6.2922055309999996</v>
      </c>
      <c r="X1387" s="1">
        <v>6.1786011009999999</v>
      </c>
      <c r="Y1387" s="1">
        <v>6.3075735850000001</v>
      </c>
      <c r="Z1387" s="1">
        <v>6.624026862</v>
      </c>
      <c r="AA1387" s="1">
        <v>6.4967339439999998</v>
      </c>
      <c r="AB1387" s="1">
        <v>5.8927983030000002</v>
      </c>
      <c r="AC1387" s="1">
        <v>6.6252225420000004</v>
      </c>
      <c r="AD1387" s="1">
        <v>6.284744441</v>
      </c>
      <c r="AE1387" s="1">
        <v>6.3332249579999997</v>
      </c>
    </row>
    <row r="1388" spans="1:31" x14ac:dyDescent="0.25">
      <c r="A1388" s="1" t="s">
        <v>644</v>
      </c>
      <c r="B1388" s="1" t="s">
        <v>2530</v>
      </c>
      <c r="C1388" s="1" t="s">
        <v>2531</v>
      </c>
      <c r="D1388" s="1" t="s">
        <v>2535</v>
      </c>
      <c r="E1388" s="1" t="s">
        <v>2536</v>
      </c>
      <c r="G1388" s="1" t="s">
        <v>644</v>
      </c>
      <c r="H1388" s="1">
        <v>5.2735834620000004</v>
      </c>
      <c r="I1388" s="1">
        <v>4.4542943209999999</v>
      </c>
      <c r="J1388" s="1">
        <v>4.4503473070000004</v>
      </c>
      <c r="K1388" s="1">
        <v>3.8998480660000001</v>
      </c>
      <c r="L1388" s="1">
        <v>4.8563863139999999</v>
      </c>
      <c r="M1388" s="1">
        <v>4.6692867769999999</v>
      </c>
      <c r="N1388" s="1">
        <v>3.7779028299999999</v>
      </c>
      <c r="O1388" s="1">
        <v>3.7238257350000001</v>
      </c>
      <c r="P1388" s="1">
        <v>4.0684607960000001</v>
      </c>
      <c r="Q1388" s="1">
        <v>4.4575363990000003</v>
      </c>
      <c r="R1388" s="1">
        <v>4.2802026870000001</v>
      </c>
      <c r="S1388" s="1">
        <v>4.3966315629999997</v>
      </c>
      <c r="T1388" s="1">
        <v>4.8563863139999999</v>
      </c>
      <c r="U1388" s="1">
        <v>4.6692867769999999</v>
      </c>
      <c r="V1388" s="1">
        <v>4.0758289169999999</v>
      </c>
      <c r="W1388" s="1">
        <v>4.6166922860000001</v>
      </c>
      <c r="X1388" s="1">
        <v>4.8838989719999999</v>
      </c>
      <c r="Y1388" s="1">
        <v>5.0702808140000002</v>
      </c>
      <c r="Z1388" s="1">
        <v>4.2802026870000001</v>
      </c>
      <c r="AA1388" s="1">
        <v>4.3966315629999997</v>
      </c>
      <c r="AB1388" s="1">
        <v>4.7958605490000004</v>
      </c>
      <c r="AC1388" s="1">
        <v>4.2557864319999998</v>
      </c>
      <c r="AD1388" s="1">
        <v>4.7657555159999996</v>
      </c>
      <c r="AE1388" s="1">
        <v>4.6199010239999998</v>
      </c>
    </row>
    <row r="1389" spans="1:31" x14ac:dyDescent="0.25">
      <c r="A1389" s="1" t="s">
        <v>648</v>
      </c>
      <c r="B1389" s="1" t="s">
        <v>2642</v>
      </c>
      <c r="C1389" s="1" t="s">
        <v>2643</v>
      </c>
      <c r="D1389" s="1" t="s">
        <v>2644</v>
      </c>
      <c r="E1389" s="1" t="s">
        <v>2645</v>
      </c>
      <c r="G1389" s="1" t="s">
        <v>648</v>
      </c>
      <c r="H1389" s="1">
        <v>4.7245801409999997</v>
      </c>
      <c r="I1389" s="1">
        <v>5.1546023129999998</v>
      </c>
      <c r="J1389" s="1">
        <v>5.0551375939999996</v>
      </c>
      <c r="K1389" s="1">
        <v>4.8139921829999999</v>
      </c>
      <c r="L1389" s="1">
        <v>4.5533082269999996</v>
      </c>
      <c r="M1389" s="1">
        <v>4.3982295550000003</v>
      </c>
      <c r="N1389" s="1">
        <v>4.6936110280000003</v>
      </c>
      <c r="O1389" s="1">
        <v>4.7903853170000001</v>
      </c>
      <c r="P1389" s="1">
        <v>5.0554269730000003</v>
      </c>
      <c r="Q1389" s="1">
        <v>4.8773483779999998</v>
      </c>
      <c r="R1389" s="1">
        <v>5.1472208640000003</v>
      </c>
      <c r="S1389" s="1">
        <v>4.3966315629999997</v>
      </c>
      <c r="T1389" s="1">
        <v>4.5533082269999996</v>
      </c>
      <c r="U1389" s="1">
        <v>4.3982295550000003</v>
      </c>
      <c r="V1389" s="1">
        <v>4.2408545169999998</v>
      </c>
      <c r="W1389" s="1">
        <v>4.7760085830000003</v>
      </c>
      <c r="X1389" s="1">
        <v>4.4920419310000002</v>
      </c>
      <c r="Y1389" s="1">
        <v>4.8904630100000004</v>
      </c>
      <c r="Z1389" s="1">
        <v>5.1472208640000003</v>
      </c>
      <c r="AA1389" s="1">
        <v>4.3966315629999997</v>
      </c>
      <c r="AB1389" s="1">
        <v>4.7958605490000004</v>
      </c>
      <c r="AC1389" s="1">
        <v>4.7474570290000004</v>
      </c>
      <c r="AD1389" s="1">
        <v>4.5511338559999999</v>
      </c>
      <c r="AE1389" s="1">
        <v>4.4595659249999997</v>
      </c>
    </row>
    <row r="1390" spans="1:31" x14ac:dyDescent="0.25">
      <c r="A1390" s="1" t="s">
        <v>650</v>
      </c>
      <c r="B1390" s="1" t="s">
        <v>2843</v>
      </c>
      <c r="C1390" s="1" t="s">
        <v>2844</v>
      </c>
      <c r="D1390" s="1" t="s">
        <v>4007</v>
      </c>
      <c r="E1390" s="1" t="s">
        <v>4790</v>
      </c>
      <c r="F1390" s="1" t="s">
        <v>4791</v>
      </c>
      <c r="G1390" s="1" t="s">
        <v>650</v>
      </c>
      <c r="H1390" s="1">
        <v>4.2900513550000001</v>
      </c>
      <c r="I1390" s="1">
        <v>4.7284970130000001</v>
      </c>
      <c r="J1390" s="1">
        <v>3.1324899180000001</v>
      </c>
      <c r="K1390" s="1">
        <v>2.9677134359999999</v>
      </c>
      <c r="L1390" s="1">
        <v>3.3025959560000002</v>
      </c>
      <c r="M1390" s="1">
        <v>3.5095973119999999</v>
      </c>
      <c r="N1390" s="1">
        <v>4.2617896110000002</v>
      </c>
      <c r="O1390" s="1">
        <v>3.9591193910000002</v>
      </c>
      <c r="P1390" s="1">
        <v>3.3003929539999999</v>
      </c>
      <c r="Q1390" s="1">
        <v>2.935765398</v>
      </c>
      <c r="R1390" s="1">
        <v>2.9339002829999998</v>
      </c>
      <c r="S1390" s="1">
        <v>3.5159502420000002</v>
      </c>
      <c r="T1390" s="1">
        <v>3.3025959560000002</v>
      </c>
      <c r="U1390" s="1">
        <v>3.5095973119999999</v>
      </c>
      <c r="V1390" s="1">
        <v>3.887436229</v>
      </c>
      <c r="W1390" s="1">
        <v>3.8431653940000001</v>
      </c>
      <c r="X1390" s="1">
        <v>3.3149070109999998</v>
      </c>
      <c r="Y1390" s="1">
        <v>3.9087436480000002</v>
      </c>
      <c r="Z1390" s="1">
        <v>2.9339002829999998</v>
      </c>
      <c r="AA1390" s="1">
        <v>3.5159502420000002</v>
      </c>
      <c r="AB1390" s="1">
        <v>1.7393328349999999</v>
      </c>
      <c r="AC1390" s="1">
        <v>2.87258916</v>
      </c>
      <c r="AD1390" s="1">
        <v>3.5727029510000001</v>
      </c>
      <c r="AE1390" s="1">
        <v>3.9499994520000001</v>
      </c>
    </row>
    <row r="1391" spans="1:31" x14ac:dyDescent="0.25">
      <c r="A1391" s="1" t="s">
        <v>654</v>
      </c>
      <c r="B1391" s="1" t="s">
        <v>2568</v>
      </c>
      <c r="C1391" s="1" t="s">
        <v>2569</v>
      </c>
      <c r="D1391" s="1" t="s">
        <v>2949</v>
      </c>
      <c r="E1391" s="1" t="s">
        <v>4792</v>
      </c>
      <c r="G1391" s="1" t="s">
        <v>654</v>
      </c>
      <c r="H1391" s="1">
        <v>4.0684382540000001</v>
      </c>
      <c r="I1391" s="1">
        <v>4.2936285989999998</v>
      </c>
      <c r="J1391" s="1">
        <v>3.8969924050000002</v>
      </c>
      <c r="K1391" s="1">
        <v>3.607491666</v>
      </c>
      <c r="L1391" s="1">
        <v>3.4685048369999998</v>
      </c>
      <c r="M1391" s="1">
        <v>3.6924658159999999</v>
      </c>
      <c r="N1391" s="1">
        <v>4.6173662499999999</v>
      </c>
      <c r="O1391" s="1">
        <v>4.5801520279999997</v>
      </c>
      <c r="P1391" s="1">
        <v>3.3003929539999999</v>
      </c>
      <c r="Q1391" s="1">
        <v>4.0840108080000004</v>
      </c>
      <c r="R1391" s="1">
        <v>3.8462631940000001</v>
      </c>
      <c r="S1391" s="1">
        <v>3.9182367880000002</v>
      </c>
      <c r="T1391" s="1">
        <v>3.4685048369999998</v>
      </c>
      <c r="U1391" s="1">
        <v>3.6924658159999999</v>
      </c>
      <c r="V1391" s="1">
        <v>3.2389700330000002</v>
      </c>
      <c r="W1391" s="1">
        <v>4.6166922860000001</v>
      </c>
      <c r="X1391" s="1">
        <v>3.3149070109999998</v>
      </c>
      <c r="Y1391" s="1">
        <v>3.7705059300000001</v>
      </c>
      <c r="Z1391" s="1">
        <v>3.8462631940000001</v>
      </c>
      <c r="AA1391" s="1">
        <v>3.9182367880000002</v>
      </c>
      <c r="AB1391" s="1">
        <v>4.2729702720000002</v>
      </c>
      <c r="AC1391" s="1">
        <v>3.3054795530000001</v>
      </c>
      <c r="AD1391" s="1">
        <v>3.1944880649999998</v>
      </c>
      <c r="AE1391" s="1">
        <v>3.8196998459999998</v>
      </c>
    </row>
    <row r="1392" spans="1:31" x14ac:dyDescent="0.25">
      <c r="A1392" s="1" t="s">
        <v>656</v>
      </c>
      <c r="B1392" s="1" t="s">
        <v>2520</v>
      </c>
      <c r="C1392" s="1" t="s">
        <v>2521</v>
      </c>
      <c r="D1392" s="1" t="s">
        <v>4793</v>
      </c>
      <c r="E1392" s="1" t="s">
        <v>4794</v>
      </c>
      <c r="F1392" s="1" t="s">
        <v>4795</v>
      </c>
      <c r="G1392" s="1" t="s">
        <v>656</v>
      </c>
      <c r="H1392" s="1">
        <v>4.0684382540000001</v>
      </c>
      <c r="I1392" s="1">
        <v>4.3763156859999999</v>
      </c>
      <c r="J1392" s="1">
        <v>4.2898244959999996</v>
      </c>
      <c r="K1392" s="1">
        <v>3.8998480660000001</v>
      </c>
      <c r="L1392" s="1">
        <v>5.128160297</v>
      </c>
      <c r="M1392" s="1">
        <v>4.9970812499999999</v>
      </c>
      <c r="N1392" s="1">
        <v>4.4061149080000002</v>
      </c>
      <c r="O1392" s="1">
        <v>3.7238257350000001</v>
      </c>
      <c r="P1392" s="1">
        <v>4.2485661720000003</v>
      </c>
      <c r="Q1392" s="1">
        <v>4.7509440400000003</v>
      </c>
      <c r="R1392" s="1">
        <v>4.45403635</v>
      </c>
      <c r="S1392" s="1">
        <v>4.4749637470000003</v>
      </c>
      <c r="T1392" s="1">
        <v>5.128160297</v>
      </c>
      <c r="U1392" s="1">
        <v>4.9970812499999999</v>
      </c>
      <c r="V1392" s="1">
        <v>4.4559512029999997</v>
      </c>
      <c r="W1392" s="1">
        <v>4.2295768090000001</v>
      </c>
      <c r="X1392" s="1">
        <v>4.5325909299999996</v>
      </c>
      <c r="Y1392" s="1">
        <v>4.1479647589999997</v>
      </c>
      <c r="Z1392" s="1">
        <v>4.45403635</v>
      </c>
      <c r="AA1392" s="1">
        <v>4.4749637470000003</v>
      </c>
      <c r="AB1392" s="1">
        <v>4.3946012420000002</v>
      </c>
      <c r="AC1392" s="1">
        <v>4.0753403910000001</v>
      </c>
      <c r="AD1392" s="1">
        <v>4.6978214539999996</v>
      </c>
      <c r="AE1392" s="1">
        <v>3.67472814</v>
      </c>
    </row>
    <row r="1393" spans="1:31" x14ac:dyDescent="0.25">
      <c r="A1393" s="1" t="s">
        <v>658</v>
      </c>
      <c r="B1393" s="1" t="s">
        <v>2530</v>
      </c>
      <c r="C1393" s="1" t="s">
        <v>2531</v>
      </c>
      <c r="D1393" s="1" t="s">
        <v>2535</v>
      </c>
      <c r="E1393" s="1" t="s">
        <v>2536</v>
      </c>
      <c r="G1393" s="1" t="s">
        <v>658</v>
      </c>
      <c r="H1393" s="1">
        <v>4.0684382540000001</v>
      </c>
      <c r="I1393" s="1">
        <v>3.5006354609999999</v>
      </c>
      <c r="J1393" s="1">
        <v>3.1324899180000001</v>
      </c>
      <c r="K1393" s="1">
        <v>3.4309024589999999</v>
      </c>
      <c r="L1393" s="1">
        <v>2.7248816410000001</v>
      </c>
      <c r="M1393" s="1">
        <v>2.3994532390000001</v>
      </c>
      <c r="N1393" s="1">
        <v>3.9164981490000002</v>
      </c>
      <c r="O1393" s="1">
        <v>3.3203005989999999</v>
      </c>
      <c r="P1393" s="1">
        <v>3.3003929539999999</v>
      </c>
      <c r="Q1393" s="1">
        <v>2.597100669</v>
      </c>
      <c r="R1393" s="1">
        <v>1.7393328349999999</v>
      </c>
      <c r="S1393" s="1">
        <v>2.9034795349999998</v>
      </c>
      <c r="T1393" s="1">
        <v>2.7248816410000001</v>
      </c>
      <c r="U1393" s="1">
        <v>2.3994532390000001</v>
      </c>
      <c r="V1393" s="1">
        <v>3.2389700330000002</v>
      </c>
      <c r="W1393" s="1">
        <v>3.0218530750000001</v>
      </c>
      <c r="X1393" s="1">
        <v>2.7988456519999998</v>
      </c>
      <c r="Y1393" s="1">
        <v>2.9733498090000001</v>
      </c>
      <c r="Z1393" s="1">
        <v>1.7393328349999999</v>
      </c>
      <c r="AA1393" s="1">
        <v>2.9034795349999998</v>
      </c>
      <c r="AB1393" s="1">
        <v>1.7393328349999999</v>
      </c>
      <c r="AC1393" s="1">
        <v>3.1109927919999998</v>
      </c>
      <c r="AD1393" s="1">
        <v>3.5727029510000001</v>
      </c>
      <c r="AE1393" s="1">
        <v>3.0939349979999999</v>
      </c>
    </row>
    <row r="1394" spans="1:31" x14ac:dyDescent="0.25">
      <c r="A1394" s="1" t="s">
        <v>659</v>
      </c>
      <c r="B1394" s="1" t="s">
        <v>2530</v>
      </c>
      <c r="C1394" s="1" t="s">
        <v>2531</v>
      </c>
      <c r="D1394" s="1" t="s">
        <v>2535</v>
      </c>
      <c r="E1394" s="1" t="s">
        <v>2536</v>
      </c>
      <c r="G1394" s="1" t="s">
        <v>659</v>
      </c>
      <c r="H1394" s="1">
        <v>4.8663747150000001</v>
      </c>
      <c r="I1394" s="1">
        <v>4.9575946069999999</v>
      </c>
      <c r="J1394" s="1">
        <v>4.1077874330000004</v>
      </c>
      <c r="K1394" s="1">
        <v>5.4913640639999999</v>
      </c>
      <c r="L1394" s="1">
        <v>4.1645832880000002</v>
      </c>
      <c r="M1394" s="1">
        <v>3.6924658159999999</v>
      </c>
      <c r="N1394" s="1">
        <v>4.5366957899999996</v>
      </c>
      <c r="O1394" s="1">
        <v>4.5801520279999997</v>
      </c>
      <c r="P1394" s="1">
        <v>3.3003929539999999</v>
      </c>
      <c r="Q1394" s="1">
        <v>3.56206471</v>
      </c>
      <c r="R1394" s="1">
        <v>4.0808207129999996</v>
      </c>
      <c r="S1394" s="1">
        <v>4.3966315629999997</v>
      </c>
      <c r="T1394" s="1">
        <v>4.1645832880000002</v>
      </c>
      <c r="U1394" s="1">
        <v>3.6924658159999999</v>
      </c>
      <c r="V1394" s="1">
        <v>3.3993802240000002</v>
      </c>
      <c r="W1394" s="1">
        <v>4.2295768090000001</v>
      </c>
      <c r="X1394" s="1">
        <v>4.1686775799999998</v>
      </c>
      <c r="Y1394" s="1">
        <v>4.8250325140000001</v>
      </c>
      <c r="Z1394" s="1">
        <v>4.0808207129999996</v>
      </c>
      <c r="AA1394" s="1">
        <v>4.3966315629999997</v>
      </c>
      <c r="AB1394" s="1">
        <v>3.6315729079999999</v>
      </c>
      <c r="AC1394" s="1">
        <v>4.1685844940000001</v>
      </c>
      <c r="AD1394" s="1">
        <v>4.6264106470000002</v>
      </c>
      <c r="AE1394" s="1">
        <v>4.4595659249999997</v>
      </c>
    </row>
    <row r="1395" spans="1:31" x14ac:dyDescent="0.25">
      <c r="A1395" s="1" t="s">
        <v>665</v>
      </c>
      <c r="B1395" s="1" t="s">
        <v>2579</v>
      </c>
      <c r="C1395" s="1" t="s">
        <v>2585</v>
      </c>
      <c r="D1395" s="1" t="s">
        <v>2586</v>
      </c>
      <c r="E1395" s="1" t="s">
        <v>4796</v>
      </c>
      <c r="F1395" s="1" t="s">
        <v>4797</v>
      </c>
      <c r="G1395" s="1" t="s">
        <v>665</v>
      </c>
      <c r="H1395" s="1">
        <v>6.5340358859999998</v>
      </c>
      <c r="I1395" s="1">
        <v>6.1195241339999997</v>
      </c>
      <c r="J1395" s="1">
        <v>6.5019279570000004</v>
      </c>
      <c r="K1395" s="1">
        <v>6.4083964440000001</v>
      </c>
      <c r="L1395" s="1">
        <v>6.6118247779999999</v>
      </c>
      <c r="M1395" s="1">
        <v>6.7962126380000001</v>
      </c>
      <c r="N1395" s="1">
        <v>5.4502346690000003</v>
      </c>
      <c r="O1395" s="1">
        <v>4.9731423550000002</v>
      </c>
      <c r="P1395" s="1">
        <v>6.0847091730000002</v>
      </c>
      <c r="Q1395" s="1">
        <v>6.6106183620000003</v>
      </c>
      <c r="R1395" s="1">
        <v>6.8070247769999996</v>
      </c>
      <c r="S1395" s="1">
        <v>6.8669102400000002</v>
      </c>
      <c r="T1395" s="1">
        <v>6.6118247779999999</v>
      </c>
      <c r="U1395" s="1">
        <v>6.7962126380000001</v>
      </c>
      <c r="V1395" s="1">
        <v>6.6330969629999998</v>
      </c>
      <c r="W1395" s="1">
        <v>6.8281395839999997</v>
      </c>
      <c r="X1395" s="1">
        <v>6.5224049439999998</v>
      </c>
      <c r="Y1395" s="1">
        <v>6.6990194939999999</v>
      </c>
      <c r="Z1395" s="1">
        <v>6.8070247769999996</v>
      </c>
      <c r="AA1395" s="1">
        <v>6.8669102400000002</v>
      </c>
      <c r="AB1395" s="1">
        <v>6.8547782980000003</v>
      </c>
      <c r="AC1395" s="1">
        <v>6.5931430439999996</v>
      </c>
      <c r="AD1395" s="1">
        <v>6.7155560489999999</v>
      </c>
      <c r="AE1395" s="1">
        <v>6.4105584240000004</v>
      </c>
    </row>
    <row r="1396" spans="1:31" x14ac:dyDescent="0.25">
      <c r="A1396" s="1" t="s">
        <v>666</v>
      </c>
      <c r="B1396" s="1" t="s">
        <v>2530</v>
      </c>
      <c r="C1396" s="1" t="s">
        <v>2531</v>
      </c>
      <c r="D1396" s="1" t="s">
        <v>2535</v>
      </c>
      <c r="E1396" s="1" t="s">
        <v>4798</v>
      </c>
      <c r="G1396" s="1" t="s">
        <v>666</v>
      </c>
      <c r="H1396" s="1">
        <v>5.9144073309999996</v>
      </c>
      <c r="I1396" s="1">
        <v>6.0475452040000004</v>
      </c>
      <c r="J1396" s="1">
        <v>6.2053027219999999</v>
      </c>
      <c r="K1396" s="1">
        <v>5.9181521149999998</v>
      </c>
      <c r="L1396" s="1">
        <v>6.111512565</v>
      </c>
      <c r="M1396" s="1">
        <v>6.2923515759999997</v>
      </c>
      <c r="N1396" s="1">
        <v>5.1887139119999999</v>
      </c>
      <c r="O1396" s="1">
        <v>5.0724039640000003</v>
      </c>
      <c r="P1396" s="1">
        <v>6.2975076100000003</v>
      </c>
      <c r="Q1396" s="1">
        <v>6.289960497</v>
      </c>
      <c r="R1396" s="1">
        <v>5.9019545559999997</v>
      </c>
      <c r="S1396" s="1">
        <v>5.9440521669999997</v>
      </c>
      <c r="T1396" s="1">
        <v>6.111512565</v>
      </c>
      <c r="U1396" s="1">
        <v>6.2923515759999997</v>
      </c>
      <c r="V1396" s="1">
        <v>6.0587793220000004</v>
      </c>
      <c r="W1396" s="1">
        <v>6.0977940090000002</v>
      </c>
      <c r="X1396" s="1">
        <v>6.4412422830000002</v>
      </c>
      <c r="Y1396" s="1">
        <v>6.0488320509999998</v>
      </c>
      <c r="Z1396" s="1">
        <v>5.9019545559999997</v>
      </c>
      <c r="AA1396" s="1">
        <v>5.9440521669999997</v>
      </c>
      <c r="AB1396" s="1">
        <v>6.3685053089999997</v>
      </c>
      <c r="AC1396" s="1">
        <v>6.3266154559999999</v>
      </c>
      <c r="AD1396" s="1">
        <v>6.1657997020000002</v>
      </c>
      <c r="AE1396" s="1">
        <v>5.868211906</v>
      </c>
    </row>
    <row r="1397" spans="1:31" x14ac:dyDescent="0.25">
      <c r="A1397" s="1" t="s">
        <v>678</v>
      </c>
      <c r="B1397" s="1" t="s">
        <v>2608</v>
      </c>
      <c r="C1397" s="1" t="s">
        <v>2609</v>
      </c>
      <c r="D1397" s="1" t="s">
        <v>4494</v>
      </c>
      <c r="E1397" s="1" t="s">
        <v>4799</v>
      </c>
      <c r="F1397" s="1" t="s">
        <v>4800</v>
      </c>
      <c r="G1397" s="1" t="s">
        <v>678</v>
      </c>
      <c r="H1397" s="1">
        <v>4.2900513550000001</v>
      </c>
      <c r="I1397" s="1">
        <v>4.66484875</v>
      </c>
      <c r="J1397" s="1">
        <v>3.7773371739999999</v>
      </c>
      <c r="K1397" s="1">
        <v>3.4309024589999999</v>
      </c>
      <c r="L1397" s="1">
        <v>3.971296959</v>
      </c>
      <c r="M1397" s="1">
        <v>4.2945656129999996</v>
      </c>
      <c r="N1397" s="1">
        <v>4.0417975630000003</v>
      </c>
      <c r="O1397" s="1">
        <v>4.4368189940000002</v>
      </c>
      <c r="P1397" s="1">
        <v>3.466113682</v>
      </c>
      <c r="Q1397" s="1">
        <v>3.185675432</v>
      </c>
      <c r="R1397" s="1">
        <v>3.386455024</v>
      </c>
      <c r="S1397" s="1">
        <v>3.1475403900000001</v>
      </c>
      <c r="T1397" s="1">
        <v>3.971296959</v>
      </c>
      <c r="U1397" s="1">
        <v>4.2945656129999996</v>
      </c>
      <c r="V1397" s="1">
        <v>3.3993802240000002</v>
      </c>
      <c r="W1397" s="1">
        <v>3.8431653940000001</v>
      </c>
      <c r="X1397" s="1">
        <v>2.3600830049999999</v>
      </c>
      <c r="Y1397" s="1">
        <v>3.229986142</v>
      </c>
      <c r="Z1397" s="1">
        <v>3.386455024</v>
      </c>
      <c r="AA1397" s="1">
        <v>3.1475403900000001</v>
      </c>
      <c r="AB1397" s="1">
        <v>3.8237667059999998</v>
      </c>
      <c r="AC1397" s="1">
        <v>3.6175630609999998</v>
      </c>
      <c r="AD1397" s="1">
        <v>2.9432342459999998</v>
      </c>
      <c r="AE1397" s="1">
        <v>3.5954838599999999</v>
      </c>
    </row>
    <row r="1398" spans="1:31" x14ac:dyDescent="0.25">
      <c r="A1398" s="1" t="s">
        <v>681</v>
      </c>
      <c r="B1398" s="1" t="s">
        <v>2530</v>
      </c>
      <c r="C1398" s="1" t="s">
        <v>2531</v>
      </c>
      <c r="D1398" s="1" t="s">
        <v>2535</v>
      </c>
      <c r="E1398" s="1" t="s">
        <v>4801</v>
      </c>
      <c r="G1398" s="1" t="s">
        <v>681</v>
      </c>
      <c r="H1398" s="1">
        <v>2.9945681560000001</v>
      </c>
      <c r="I1398" s="1">
        <v>1.7393328349999999</v>
      </c>
      <c r="J1398" s="1">
        <v>1.7393328349999999</v>
      </c>
      <c r="K1398" s="1">
        <v>1.7393328349999999</v>
      </c>
      <c r="L1398" s="1">
        <v>3.1084154310000001</v>
      </c>
      <c r="M1398" s="1">
        <v>2.3994532390000001</v>
      </c>
      <c r="N1398" s="1">
        <v>2.372908427</v>
      </c>
      <c r="O1398" s="1">
        <v>1.7393328349999999</v>
      </c>
      <c r="P1398" s="1">
        <v>2.8687501260000001</v>
      </c>
      <c r="Q1398" s="1">
        <v>1.7393328349999999</v>
      </c>
      <c r="R1398" s="1">
        <v>2.9339002829999998</v>
      </c>
      <c r="S1398" s="1">
        <v>1.7393328349999999</v>
      </c>
      <c r="T1398" s="1">
        <v>3.1084154310000001</v>
      </c>
      <c r="U1398" s="1">
        <v>2.3994532390000001</v>
      </c>
      <c r="V1398" s="1">
        <v>1.7393328349999999</v>
      </c>
      <c r="W1398" s="1">
        <v>3.0218530750000001</v>
      </c>
      <c r="X1398" s="1">
        <v>3.0884111989999998</v>
      </c>
      <c r="Y1398" s="1">
        <v>1.7393328349999999</v>
      </c>
      <c r="Z1398" s="1">
        <v>2.9339002829999998</v>
      </c>
      <c r="AA1398" s="1">
        <v>1.7393328349999999</v>
      </c>
      <c r="AB1398" s="1">
        <v>3.1218319999999999</v>
      </c>
      <c r="AC1398" s="1">
        <v>1.7393328349999999</v>
      </c>
      <c r="AD1398" s="1">
        <v>1.7393328349999999</v>
      </c>
      <c r="AE1398" s="1">
        <v>1.7393328349999999</v>
      </c>
    </row>
    <row r="1399" spans="1:31" x14ac:dyDescent="0.25">
      <c r="A1399" s="1" t="s">
        <v>682</v>
      </c>
      <c r="B1399" s="1" t="s">
        <v>2598</v>
      </c>
      <c r="C1399" s="1" t="s">
        <v>3183</v>
      </c>
      <c r="D1399" s="1" t="s">
        <v>3324</v>
      </c>
      <c r="E1399" s="1" t="s">
        <v>4802</v>
      </c>
      <c r="F1399" s="1" t="s">
        <v>4803</v>
      </c>
      <c r="G1399" s="1" t="s">
        <v>682</v>
      </c>
      <c r="H1399" s="1">
        <v>6.6352621809999999</v>
      </c>
      <c r="I1399" s="1">
        <v>6.6432373650000001</v>
      </c>
      <c r="J1399" s="1">
        <v>7.0581931579999999</v>
      </c>
      <c r="K1399" s="1">
        <v>6.7389853689999999</v>
      </c>
      <c r="L1399" s="1">
        <v>7.3739658349999999</v>
      </c>
      <c r="M1399" s="1">
        <v>7.4410255230000004</v>
      </c>
      <c r="N1399" s="1">
        <v>6.5278870189999996</v>
      </c>
      <c r="O1399" s="1">
        <v>6.6371378139999999</v>
      </c>
      <c r="P1399" s="1">
        <v>7.1300695420000002</v>
      </c>
      <c r="Q1399" s="1">
        <v>7.1071188039999997</v>
      </c>
      <c r="R1399" s="1">
        <v>7.2009502379999999</v>
      </c>
      <c r="S1399" s="1">
        <v>7.2831008779999999</v>
      </c>
      <c r="T1399" s="1">
        <v>7.3739658349999999</v>
      </c>
      <c r="U1399" s="1">
        <v>7.4410255230000004</v>
      </c>
      <c r="V1399" s="1">
        <v>7.1764425960000002</v>
      </c>
      <c r="W1399" s="1">
        <v>7.1478630409999999</v>
      </c>
      <c r="X1399" s="1">
        <v>7.1580013410000003</v>
      </c>
      <c r="Y1399" s="1">
        <v>7.0495236999999999</v>
      </c>
      <c r="Z1399" s="1">
        <v>7.2009502379999999</v>
      </c>
      <c r="AA1399" s="1">
        <v>7.2831008779999999</v>
      </c>
      <c r="AB1399" s="1">
        <v>6.875265154</v>
      </c>
      <c r="AC1399" s="1">
        <v>7.483766116</v>
      </c>
      <c r="AD1399" s="1">
        <v>6.875559473</v>
      </c>
      <c r="AE1399" s="1">
        <v>7.0715696509999999</v>
      </c>
    </row>
    <row r="1400" spans="1:31" x14ac:dyDescent="0.25">
      <c r="A1400" s="1" t="s">
        <v>683</v>
      </c>
      <c r="B1400" s="1" t="s">
        <v>2530</v>
      </c>
      <c r="C1400" s="1" t="s">
        <v>2573</v>
      </c>
      <c r="D1400" s="1" t="s">
        <v>2535</v>
      </c>
      <c r="E1400" s="1" t="s">
        <v>4804</v>
      </c>
      <c r="G1400" s="1" t="s">
        <v>683</v>
      </c>
      <c r="H1400" s="1">
        <v>3.2549621289999999</v>
      </c>
      <c r="I1400" s="1">
        <v>3.7806045529999999</v>
      </c>
      <c r="J1400" s="1">
        <v>4.7243317210000004</v>
      </c>
      <c r="K1400" s="1">
        <v>4.5171444090000001</v>
      </c>
      <c r="L1400" s="1">
        <v>4.4478088219999998</v>
      </c>
      <c r="M1400" s="1">
        <v>4.709731562</v>
      </c>
      <c r="N1400" s="1">
        <v>3.9806352139999999</v>
      </c>
      <c r="O1400" s="1">
        <v>3.88533178</v>
      </c>
      <c r="P1400" s="1">
        <v>3.466113682</v>
      </c>
      <c r="Q1400" s="1">
        <v>4.8155696649999999</v>
      </c>
      <c r="R1400" s="1">
        <v>4.6083586160000003</v>
      </c>
      <c r="S1400" s="1">
        <v>4.8699614389999999</v>
      </c>
      <c r="T1400" s="1">
        <v>4.4478088219999998</v>
      </c>
      <c r="U1400" s="1">
        <v>4.709731562</v>
      </c>
      <c r="V1400" s="1">
        <v>5.2072842770000003</v>
      </c>
      <c r="W1400" s="1">
        <v>4.4367165279999998</v>
      </c>
      <c r="X1400" s="1">
        <v>4.4502657640000001</v>
      </c>
      <c r="Y1400" s="1">
        <v>4.3509215530000001</v>
      </c>
      <c r="Z1400" s="1">
        <v>4.6083586160000003</v>
      </c>
      <c r="AA1400" s="1">
        <v>4.8699614389999999</v>
      </c>
      <c r="AB1400" s="1">
        <v>5.1073354020000004</v>
      </c>
      <c r="AC1400" s="1">
        <v>4.415017905</v>
      </c>
      <c r="AD1400" s="1">
        <v>5.116107059</v>
      </c>
      <c r="AE1400" s="1">
        <v>4.7973769099999997</v>
      </c>
    </row>
    <row r="1401" spans="1:31" x14ac:dyDescent="0.25">
      <c r="A1401" s="1" t="s">
        <v>684</v>
      </c>
      <c r="B1401" s="1" t="s">
        <v>2530</v>
      </c>
      <c r="C1401" s="1" t="s">
        <v>2531</v>
      </c>
      <c r="D1401" s="1" t="s">
        <v>2535</v>
      </c>
      <c r="E1401" s="1" t="s">
        <v>2621</v>
      </c>
      <c r="G1401" s="1" t="s">
        <v>684</v>
      </c>
      <c r="H1401" s="1">
        <v>4.995162745</v>
      </c>
      <c r="I1401" s="1">
        <v>6.0959298439999996</v>
      </c>
      <c r="J1401" s="1">
        <v>5.1501560140000002</v>
      </c>
      <c r="K1401" s="1">
        <v>4.8793048219999999</v>
      </c>
      <c r="L1401" s="1">
        <v>5.1504600580000002</v>
      </c>
      <c r="M1401" s="1">
        <v>4.7490378550000001</v>
      </c>
      <c r="N1401" s="1">
        <v>6.5582948950000004</v>
      </c>
      <c r="O1401" s="1">
        <v>6.1589202040000002</v>
      </c>
      <c r="P1401" s="1">
        <v>4.8528499219999999</v>
      </c>
      <c r="Q1401" s="1">
        <v>4.7509440400000003</v>
      </c>
      <c r="R1401" s="1">
        <v>4.6795267799999998</v>
      </c>
      <c r="S1401" s="1">
        <v>5.1309834260000002</v>
      </c>
      <c r="T1401" s="1">
        <v>5.1504600580000002</v>
      </c>
      <c r="U1401" s="1">
        <v>4.7490378550000001</v>
      </c>
      <c r="V1401" s="1">
        <v>5.519727617</v>
      </c>
      <c r="W1401" s="1">
        <v>5.427589942</v>
      </c>
      <c r="X1401" s="1">
        <v>4.6102919370000004</v>
      </c>
      <c r="Y1401" s="1">
        <v>5.2792112080000004</v>
      </c>
      <c r="Z1401" s="1">
        <v>4.6795267799999998</v>
      </c>
      <c r="AA1401" s="1">
        <v>5.1309834260000002</v>
      </c>
      <c r="AB1401" s="1">
        <v>5.1755434500000002</v>
      </c>
      <c r="AC1401" s="1">
        <v>4.6238605430000002</v>
      </c>
      <c r="AD1401" s="1">
        <v>4.5511338559999999</v>
      </c>
      <c r="AE1401" s="1">
        <v>5.4523450599999999</v>
      </c>
    </row>
    <row r="1402" spans="1:31" x14ac:dyDescent="0.25">
      <c r="A1402" s="1" t="s">
        <v>685</v>
      </c>
      <c r="B1402" s="1" t="s">
        <v>2547</v>
      </c>
      <c r="C1402" s="1" t="s">
        <v>2622</v>
      </c>
      <c r="D1402" s="1" t="s">
        <v>2535</v>
      </c>
      <c r="E1402" s="1" t="s">
        <v>3041</v>
      </c>
      <c r="G1402" s="1" t="s">
        <v>685</v>
      </c>
      <c r="H1402" s="1">
        <v>8.5258777670000008</v>
      </c>
      <c r="I1402" s="1">
        <v>8.0943816900000005</v>
      </c>
      <c r="J1402" s="1">
        <v>7.606966785</v>
      </c>
      <c r="K1402" s="1">
        <v>8.1509352659999994</v>
      </c>
      <c r="L1402" s="1">
        <v>7.627465055</v>
      </c>
      <c r="M1402" s="1">
        <v>7.3745310240000004</v>
      </c>
      <c r="N1402" s="1">
        <v>7.9773565299999998</v>
      </c>
      <c r="O1402" s="1">
        <v>8.4162965300000003</v>
      </c>
      <c r="P1402" s="1">
        <v>7.3364236539999998</v>
      </c>
      <c r="Q1402" s="1">
        <v>7.719872928</v>
      </c>
      <c r="R1402" s="1">
        <v>7.4906764319999999</v>
      </c>
      <c r="S1402" s="1">
        <v>7.345520681</v>
      </c>
      <c r="T1402" s="1">
        <v>7.627465055</v>
      </c>
      <c r="U1402" s="1">
        <v>7.3745310240000004</v>
      </c>
      <c r="V1402" s="1">
        <v>7.562576688</v>
      </c>
      <c r="W1402" s="1">
        <v>7.589023847</v>
      </c>
      <c r="X1402" s="1">
        <v>7.4550865460000004</v>
      </c>
      <c r="Y1402" s="1">
        <v>7.5568595529999998</v>
      </c>
      <c r="Z1402" s="1">
        <v>7.4906764319999999</v>
      </c>
      <c r="AA1402" s="1">
        <v>7.345520681</v>
      </c>
      <c r="AB1402" s="1">
        <v>7.6086032499999998</v>
      </c>
      <c r="AC1402" s="1">
        <v>7.3558803629999998</v>
      </c>
      <c r="AD1402" s="1">
        <v>7.7045824190000003</v>
      </c>
      <c r="AE1402" s="1">
        <v>7.6557915190000001</v>
      </c>
    </row>
    <row r="1403" spans="1:31" x14ac:dyDescent="0.25">
      <c r="A1403" s="1" t="s">
        <v>686</v>
      </c>
      <c r="B1403" s="1" t="s">
        <v>2608</v>
      </c>
      <c r="C1403" s="1" t="s">
        <v>2609</v>
      </c>
      <c r="D1403" s="1" t="s">
        <v>3890</v>
      </c>
      <c r="E1403" s="1" t="s">
        <v>4805</v>
      </c>
      <c r="F1403" s="1" t="s">
        <v>4806</v>
      </c>
      <c r="G1403" s="1" t="s">
        <v>686</v>
      </c>
      <c r="H1403" s="1">
        <v>6.4696957609999997</v>
      </c>
      <c r="I1403" s="1">
        <v>6.7972768459999999</v>
      </c>
      <c r="J1403" s="1">
        <v>4.8994370109999998</v>
      </c>
      <c r="K1403" s="1">
        <v>5.4493056099999997</v>
      </c>
      <c r="L1403" s="1">
        <v>4.6825378889999998</v>
      </c>
      <c r="M1403" s="1">
        <v>4.824486168</v>
      </c>
      <c r="N1403" s="1">
        <v>6.0166363460000003</v>
      </c>
      <c r="O1403" s="1">
        <v>6.3277659169999998</v>
      </c>
      <c r="P1403" s="1">
        <v>4.9577743410000004</v>
      </c>
      <c r="Q1403" s="1">
        <v>5.2473923969999996</v>
      </c>
      <c r="R1403" s="1">
        <v>4.9894654599999999</v>
      </c>
      <c r="S1403" s="1">
        <v>5.1309834260000002</v>
      </c>
      <c r="T1403" s="1">
        <v>4.6825378889999998</v>
      </c>
      <c r="U1403" s="1">
        <v>4.824486168</v>
      </c>
      <c r="V1403" s="1">
        <v>5.0857495259999999</v>
      </c>
      <c r="W1403" s="1">
        <v>5.2236621110000003</v>
      </c>
      <c r="X1403" s="1">
        <v>4.6838774470000004</v>
      </c>
      <c r="Y1403" s="1">
        <v>5.417933841</v>
      </c>
      <c r="Z1403" s="1">
        <v>4.9894654599999999</v>
      </c>
      <c r="AA1403" s="1">
        <v>5.1309834260000002</v>
      </c>
      <c r="AB1403" s="1">
        <v>5.0356743460000004</v>
      </c>
      <c r="AC1403" s="1">
        <v>5.0638423939999999</v>
      </c>
      <c r="AD1403" s="1">
        <v>4.95179218</v>
      </c>
      <c r="AE1403" s="1">
        <v>5.4312016559999998</v>
      </c>
    </row>
    <row r="1404" spans="1:31" x14ac:dyDescent="0.25">
      <c r="A1404" s="1" t="s">
        <v>688</v>
      </c>
      <c r="B1404" s="1" t="s">
        <v>2525</v>
      </c>
      <c r="C1404" s="1" t="s">
        <v>3175</v>
      </c>
      <c r="D1404" s="1" t="s">
        <v>3602</v>
      </c>
      <c r="E1404" s="1" t="s">
        <v>4807</v>
      </c>
      <c r="F1404" s="1" t="s">
        <v>4808</v>
      </c>
      <c r="G1404" s="1" t="s">
        <v>688</v>
      </c>
      <c r="H1404" s="1">
        <v>6.1789942880000002</v>
      </c>
      <c r="I1404" s="1">
        <v>6.0719413549999999</v>
      </c>
      <c r="J1404" s="1">
        <v>7.8223937020000003</v>
      </c>
      <c r="K1404" s="1">
        <v>7.2340224260000001</v>
      </c>
      <c r="L1404" s="1">
        <v>7.5505902989999996</v>
      </c>
      <c r="M1404" s="1">
        <v>7.8542454519999998</v>
      </c>
      <c r="N1404" s="1">
        <v>4.765904581</v>
      </c>
      <c r="O1404" s="1">
        <v>4.7507950320000001</v>
      </c>
      <c r="P1404" s="1">
        <v>7.5253593219999999</v>
      </c>
      <c r="Q1404" s="1">
        <v>7.6517302039999997</v>
      </c>
      <c r="R1404" s="1">
        <v>7.8501737169999997</v>
      </c>
      <c r="S1404" s="1">
        <v>7.9178028759999997</v>
      </c>
      <c r="T1404" s="1">
        <v>7.5505902989999996</v>
      </c>
      <c r="U1404" s="1">
        <v>7.8542454519999998</v>
      </c>
      <c r="V1404" s="1">
        <v>7.7193454790000002</v>
      </c>
      <c r="W1404" s="1">
        <v>7.3852544990000002</v>
      </c>
      <c r="X1404" s="1">
        <v>7.6114991319999996</v>
      </c>
      <c r="Y1404" s="1">
        <v>7.1714898009999999</v>
      </c>
      <c r="Z1404" s="1">
        <v>7.8501737169999997</v>
      </c>
      <c r="AA1404" s="1">
        <v>7.9178028759999997</v>
      </c>
      <c r="AB1404" s="1">
        <v>7.7259879290000004</v>
      </c>
      <c r="AC1404" s="1">
        <v>7.6409603700000002</v>
      </c>
      <c r="AD1404" s="1">
        <v>7.6700942400000001</v>
      </c>
      <c r="AE1404" s="1">
        <v>7.2503030439999998</v>
      </c>
    </row>
    <row r="1405" spans="1:31" x14ac:dyDescent="0.25">
      <c r="A1405" s="1" t="s">
        <v>689</v>
      </c>
      <c r="B1405" s="1" t="s">
        <v>2608</v>
      </c>
      <c r="C1405" s="1" t="s">
        <v>2609</v>
      </c>
      <c r="D1405" s="1" t="s">
        <v>3890</v>
      </c>
      <c r="E1405" s="1" t="s">
        <v>4809</v>
      </c>
      <c r="F1405" s="1" t="s">
        <v>4810</v>
      </c>
      <c r="G1405" s="1" t="s">
        <v>689</v>
      </c>
      <c r="H1405" s="1">
        <v>5.0553993879999997</v>
      </c>
      <c r="I1405" s="1">
        <v>4.9575946069999999</v>
      </c>
      <c r="J1405" s="1">
        <v>5.8869626679999998</v>
      </c>
      <c r="K1405" s="1">
        <v>5.7895293819999996</v>
      </c>
      <c r="L1405" s="1">
        <v>5.9312890439999997</v>
      </c>
      <c r="M1405" s="1">
        <v>6.0807571469999999</v>
      </c>
      <c r="N1405" s="1">
        <v>4.3116130799999999</v>
      </c>
      <c r="O1405" s="1">
        <v>3.7238257350000001</v>
      </c>
      <c r="P1405" s="1">
        <v>5.8072178450000003</v>
      </c>
      <c r="Q1405" s="1">
        <v>6.0189773029999998</v>
      </c>
      <c r="R1405" s="1">
        <v>6.4547978119999998</v>
      </c>
      <c r="S1405" s="1">
        <v>6.145010976</v>
      </c>
      <c r="T1405" s="1">
        <v>5.9312890439999997</v>
      </c>
      <c r="U1405" s="1">
        <v>6.0807571469999999</v>
      </c>
      <c r="V1405" s="1">
        <v>6.2394706979999999</v>
      </c>
      <c r="W1405" s="1">
        <v>5.7645115660000004</v>
      </c>
      <c r="X1405" s="1">
        <v>5.5426459120000002</v>
      </c>
      <c r="Y1405" s="1">
        <v>5.6604650660000004</v>
      </c>
      <c r="Z1405" s="1">
        <v>6.4547978119999998</v>
      </c>
      <c r="AA1405" s="1">
        <v>6.145010976</v>
      </c>
      <c r="AB1405" s="1">
        <v>5.9711898400000001</v>
      </c>
      <c r="AC1405" s="1">
        <v>5.8975684140000002</v>
      </c>
      <c r="AD1405" s="1">
        <v>5.9231977699999998</v>
      </c>
      <c r="AE1405" s="1">
        <v>5.8524340769999998</v>
      </c>
    </row>
    <row r="1406" spans="1:31" x14ac:dyDescent="0.25">
      <c r="A1406" s="1" t="s">
        <v>697</v>
      </c>
      <c r="B1406" s="1" t="s">
        <v>2579</v>
      </c>
      <c r="C1406" s="1" t="s">
        <v>2585</v>
      </c>
      <c r="D1406" s="1" t="s">
        <v>2586</v>
      </c>
      <c r="E1406" s="1" t="s">
        <v>4811</v>
      </c>
      <c r="F1406" s="1" t="s">
        <v>4812</v>
      </c>
      <c r="G1406" s="1" t="s">
        <v>697</v>
      </c>
      <c r="H1406" s="1">
        <v>6.5956218609999997</v>
      </c>
      <c r="I1406" s="1">
        <v>6.1195241339999997</v>
      </c>
      <c r="J1406" s="1">
        <v>8.5696509820000006</v>
      </c>
      <c r="K1406" s="1">
        <v>8.2394965199999994</v>
      </c>
      <c r="L1406" s="1">
        <v>8.3354608060000004</v>
      </c>
      <c r="M1406" s="1">
        <v>8.526298894</v>
      </c>
      <c r="N1406" s="1">
        <v>6.3422656530000001</v>
      </c>
      <c r="O1406" s="1">
        <v>6.5025563220000002</v>
      </c>
      <c r="P1406" s="1">
        <v>8.3310931129999997</v>
      </c>
      <c r="Q1406" s="1">
        <v>8.4336128830000003</v>
      </c>
      <c r="R1406" s="1">
        <v>8.5872960410000001</v>
      </c>
      <c r="S1406" s="1">
        <v>8.6852303119999998</v>
      </c>
      <c r="T1406" s="1">
        <v>8.3354608060000004</v>
      </c>
      <c r="U1406" s="1">
        <v>8.526298894</v>
      </c>
      <c r="V1406" s="1">
        <v>8.7203867590000002</v>
      </c>
      <c r="W1406" s="1">
        <v>8.6424859109999996</v>
      </c>
      <c r="X1406" s="1">
        <v>9.1381318480000004</v>
      </c>
      <c r="Y1406" s="1">
        <v>8.64799805</v>
      </c>
      <c r="Z1406" s="1">
        <v>8.5872960410000001</v>
      </c>
      <c r="AA1406" s="1">
        <v>8.6852303119999998</v>
      </c>
      <c r="AB1406" s="1">
        <v>8.8909491030000005</v>
      </c>
      <c r="AC1406" s="1">
        <v>8.9749659820000005</v>
      </c>
      <c r="AD1406" s="1">
        <v>8.8373125560000005</v>
      </c>
      <c r="AE1406" s="1">
        <v>8.8074312979999991</v>
      </c>
    </row>
    <row r="1407" spans="1:31" x14ac:dyDescent="0.25">
      <c r="A1407" s="1" t="s">
        <v>698</v>
      </c>
      <c r="B1407" s="1" t="s">
        <v>2579</v>
      </c>
      <c r="C1407" s="1" t="s">
        <v>2585</v>
      </c>
      <c r="D1407" s="1" t="s">
        <v>2586</v>
      </c>
      <c r="E1407" s="1" t="s">
        <v>4813</v>
      </c>
      <c r="F1407" s="1" t="s">
        <v>4814</v>
      </c>
      <c r="G1407" s="1" t="s">
        <v>698</v>
      </c>
      <c r="H1407" s="1">
        <v>6.9500875559999997</v>
      </c>
      <c r="I1407" s="1">
        <v>6.1427370300000002</v>
      </c>
      <c r="J1407" s="1">
        <v>8.4028627319999991</v>
      </c>
      <c r="K1407" s="1">
        <v>8.2147432790000003</v>
      </c>
      <c r="L1407" s="1">
        <v>8.2200308979999992</v>
      </c>
      <c r="M1407" s="1">
        <v>8.3983110990000007</v>
      </c>
      <c r="N1407" s="1">
        <v>5.6141964020000001</v>
      </c>
      <c r="O1407" s="1">
        <v>5.6647442659999996</v>
      </c>
      <c r="P1407" s="1">
        <v>8.0672218470000008</v>
      </c>
      <c r="Q1407" s="1">
        <v>8.1608430710000004</v>
      </c>
      <c r="R1407" s="1">
        <v>8.2044017710000006</v>
      </c>
      <c r="S1407" s="1">
        <v>8.4066452330000008</v>
      </c>
      <c r="T1407" s="1">
        <v>8.2200308979999992</v>
      </c>
      <c r="U1407" s="1">
        <v>8.3983110990000007</v>
      </c>
      <c r="V1407" s="1">
        <v>8.235914288</v>
      </c>
      <c r="W1407" s="1">
        <v>8.2336980959999995</v>
      </c>
      <c r="X1407" s="1">
        <v>8.6848532029999994</v>
      </c>
      <c r="Y1407" s="1">
        <v>8.4318924909999993</v>
      </c>
      <c r="Z1407" s="1">
        <v>8.2044017710000006</v>
      </c>
      <c r="AA1407" s="1">
        <v>8.4066452330000008</v>
      </c>
      <c r="AB1407" s="1">
        <v>8.5398303460000005</v>
      </c>
      <c r="AC1407" s="1">
        <v>8.4525240190000002</v>
      </c>
      <c r="AD1407" s="1">
        <v>8.5407774090000004</v>
      </c>
      <c r="AE1407" s="1">
        <v>8.5417264779999993</v>
      </c>
    </row>
    <row r="1408" spans="1:31" x14ac:dyDescent="0.25">
      <c r="A1408" s="1" t="s">
        <v>699</v>
      </c>
      <c r="B1408" s="1" t="s">
        <v>2579</v>
      </c>
      <c r="C1408" s="1" t="s">
        <v>2585</v>
      </c>
      <c r="D1408" s="1" t="s">
        <v>2586</v>
      </c>
      <c r="E1408" s="1" t="s">
        <v>4815</v>
      </c>
      <c r="F1408" s="1" t="s">
        <v>4816</v>
      </c>
      <c r="G1408" s="1" t="s">
        <v>699</v>
      </c>
      <c r="H1408" s="1">
        <v>6.4696957609999997</v>
      </c>
      <c r="I1408" s="1">
        <v>5.8070199389999999</v>
      </c>
      <c r="J1408" s="1">
        <v>7.5986445360000001</v>
      </c>
      <c r="K1408" s="1">
        <v>7.5825799859999998</v>
      </c>
      <c r="L1408" s="1">
        <v>6.951198378</v>
      </c>
      <c r="M1408" s="1">
        <v>7.3990671810000004</v>
      </c>
      <c r="N1408" s="1">
        <v>4.9930900400000002</v>
      </c>
      <c r="O1408" s="1">
        <v>5.6435121610000003</v>
      </c>
      <c r="P1408" s="1">
        <v>7.3555228489999998</v>
      </c>
      <c r="Q1408" s="1">
        <v>7.2173337469999996</v>
      </c>
      <c r="R1408" s="1">
        <v>7.1890158729999998</v>
      </c>
      <c r="S1408" s="1">
        <v>7.5448838030000003</v>
      </c>
      <c r="T1408" s="1">
        <v>6.951198378</v>
      </c>
      <c r="U1408" s="1">
        <v>7.3990671810000004</v>
      </c>
      <c r="V1408" s="1">
        <v>7.4772993139999997</v>
      </c>
      <c r="W1408" s="1">
        <v>7.4212794869999996</v>
      </c>
      <c r="X1408" s="1">
        <v>7.9449835059999998</v>
      </c>
      <c r="Y1408" s="1">
        <v>7.4959140870000001</v>
      </c>
      <c r="Z1408" s="1">
        <v>7.1890158729999998</v>
      </c>
      <c r="AA1408" s="1">
        <v>7.5448838030000003</v>
      </c>
      <c r="AB1408" s="1">
        <v>7.7259879290000004</v>
      </c>
      <c r="AC1408" s="1">
        <v>7.6565524309999997</v>
      </c>
      <c r="AD1408" s="1">
        <v>8.0173765439999993</v>
      </c>
      <c r="AE1408" s="1">
        <v>7.7980744380000004</v>
      </c>
    </row>
    <row r="1409" spans="1:31" x14ac:dyDescent="0.25">
      <c r="A1409" s="1" t="s">
        <v>700</v>
      </c>
      <c r="B1409" s="1" t="s">
        <v>2579</v>
      </c>
      <c r="C1409" s="1" t="s">
        <v>2585</v>
      </c>
      <c r="D1409" s="1" t="s">
        <v>2586</v>
      </c>
      <c r="E1409" s="1" t="s">
        <v>4817</v>
      </c>
      <c r="F1409" s="1" t="s">
        <v>4818</v>
      </c>
      <c r="G1409" s="1" t="s">
        <v>700</v>
      </c>
      <c r="H1409" s="1">
        <v>5.8483408880000001</v>
      </c>
      <c r="I1409" s="1">
        <v>5.5873017430000003</v>
      </c>
      <c r="J1409" s="1">
        <v>7.3732517919999996</v>
      </c>
      <c r="K1409" s="1">
        <v>7.5433483600000004</v>
      </c>
      <c r="L1409" s="1">
        <v>7.2918110130000002</v>
      </c>
      <c r="M1409" s="1">
        <v>7.2983125720000004</v>
      </c>
      <c r="N1409" s="1">
        <v>5.0227480880000002</v>
      </c>
      <c r="O1409" s="1">
        <v>5.2237789919999997</v>
      </c>
      <c r="P1409" s="1">
        <v>6.8759744009999997</v>
      </c>
      <c r="Q1409" s="1">
        <v>7.2290753380000004</v>
      </c>
      <c r="R1409" s="1">
        <v>7.6471295799999996</v>
      </c>
      <c r="S1409" s="1">
        <v>7.1378030700000004</v>
      </c>
      <c r="T1409" s="1">
        <v>7.2918110130000002</v>
      </c>
      <c r="U1409" s="1">
        <v>7.2983125720000004</v>
      </c>
      <c r="V1409" s="1">
        <v>6.7031108210000001</v>
      </c>
      <c r="W1409" s="1">
        <v>6.9149645719999997</v>
      </c>
      <c r="X1409" s="1">
        <v>7.4184855909999996</v>
      </c>
      <c r="Y1409" s="1">
        <v>6.8689654070000001</v>
      </c>
      <c r="Z1409" s="1">
        <v>7.6471295799999996</v>
      </c>
      <c r="AA1409" s="1">
        <v>7.1378030700000004</v>
      </c>
      <c r="AB1409" s="1">
        <v>7.325769244</v>
      </c>
      <c r="AC1409" s="1">
        <v>7.2773631549999998</v>
      </c>
      <c r="AD1409" s="1">
        <v>7.7382649529999998</v>
      </c>
      <c r="AE1409" s="1">
        <v>7.6648261489999996</v>
      </c>
    </row>
    <row r="1410" spans="1:31" x14ac:dyDescent="0.25">
      <c r="A1410" s="1" t="s">
        <v>701</v>
      </c>
      <c r="B1410" s="1" t="s">
        <v>2520</v>
      </c>
      <c r="C1410" s="1" t="s">
        <v>2521</v>
      </c>
      <c r="D1410" s="1" t="s">
        <v>2522</v>
      </c>
      <c r="E1410" s="1" t="s">
        <v>4819</v>
      </c>
      <c r="F1410" s="1" t="s">
        <v>4820</v>
      </c>
      <c r="G1410" s="1" t="s">
        <v>701</v>
      </c>
      <c r="H1410" s="1">
        <v>7.935391471</v>
      </c>
      <c r="I1410" s="1">
        <v>7.8629071890000004</v>
      </c>
      <c r="J1410" s="1">
        <v>7.8646487040000004</v>
      </c>
      <c r="K1410" s="1">
        <v>8.2517156380000003</v>
      </c>
      <c r="L1410" s="1">
        <v>8.1030777769999993</v>
      </c>
      <c r="M1410" s="1">
        <v>8.2239264040000002</v>
      </c>
      <c r="N1410" s="1">
        <v>8.1401551550000004</v>
      </c>
      <c r="O1410" s="1">
        <v>8.0084575600000001</v>
      </c>
      <c r="P1410" s="1">
        <v>8.7216333699999993</v>
      </c>
      <c r="Q1410" s="1">
        <v>8.7305277960000005</v>
      </c>
      <c r="R1410" s="1">
        <v>8.6008653190000004</v>
      </c>
      <c r="S1410" s="1">
        <v>8.640304854</v>
      </c>
      <c r="T1410" s="1">
        <v>8.1030777769999993</v>
      </c>
      <c r="U1410" s="1">
        <v>8.2239264040000002</v>
      </c>
      <c r="V1410" s="1">
        <v>8.3580196359999999</v>
      </c>
      <c r="W1410" s="1">
        <v>8.2064364869999995</v>
      </c>
      <c r="X1410" s="1">
        <v>8.5244005719999993</v>
      </c>
      <c r="Y1410" s="1">
        <v>8.6939324800000009</v>
      </c>
      <c r="Z1410" s="1">
        <v>8.6008653190000004</v>
      </c>
      <c r="AA1410" s="1">
        <v>8.640304854</v>
      </c>
      <c r="AB1410" s="1">
        <v>8.4809367560000002</v>
      </c>
      <c r="AC1410" s="1">
        <v>8.6523486989999991</v>
      </c>
      <c r="AD1410" s="1">
        <v>8.7615487860000005</v>
      </c>
      <c r="AE1410" s="1">
        <v>8.7342316459999996</v>
      </c>
    </row>
    <row r="1411" spans="1:31" x14ac:dyDescent="0.25">
      <c r="A1411" s="1" t="s">
        <v>702</v>
      </c>
      <c r="B1411" s="1" t="s">
        <v>2530</v>
      </c>
      <c r="C1411" s="1" t="s">
        <v>2531</v>
      </c>
      <c r="D1411" s="1" t="s">
        <v>2535</v>
      </c>
      <c r="E1411" s="1" t="s">
        <v>4821</v>
      </c>
      <c r="G1411" s="1" t="s">
        <v>702</v>
      </c>
      <c r="H1411" s="1">
        <v>4.7245801409999997</v>
      </c>
      <c r="I1411" s="1">
        <v>5.4067069720000003</v>
      </c>
      <c r="J1411" s="1">
        <v>4.7851628320000001</v>
      </c>
      <c r="K1411" s="1">
        <v>5.166960875</v>
      </c>
      <c r="L1411" s="1">
        <v>4.8008003170000002</v>
      </c>
      <c r="M1411" s="1">
        <v>4.930560163</v>
      </c>
      <c r="N1411" s="1">
        <v>5.7078727669999996</v>
      </c>
      <c r="O1411" s="1">
        <v>5.8051520590000001</v>
      </c>
      <c r="P1411" s="1">
        <v>5.660815296</v>
      </c>
      <c r="Q1411" s="1">
        <v>5.2473923969999996</v>
      </c>
      <c r="R1411" s="1">
        <v>5.5365302600000001</v>
      </c>
      <c r="S1411" s="1">
        <v>5.542037144</v>
      </c>
      <c r="T1411" s="1">
        <v>4.8008003170000002</v>
      </c>
      <c r="U1411" s="1">
        <v>4.930560163</v>
      </c>
      <c r="V1411" s="1">
        <v>5.7495972609999999</v>
      </c>
      <c r="W1411" s="1">
        <v>5.4743148909999997</v>
      </c>
      <c r="X1411" s="1">
        <v>5.1646924079999996</v>
      </c>
      <c r="Y1411" s="1">
        <v>5.3731782380000004</v>
      </c>
      <c r="Z1411" s="1">
        <v>5.5365302600000001</v>
      </c>
      <c r="AA1411" s="1">
        <v>5.542037144</v>
      </c>
      <c r="AB1411" s="1">
        <v>5.5276660309999999</v>
      </c>
      <c r="AC1411" s="1">
        <v>5.6386390840000002</v>
      </c>
      <c r="AD1411" s="1">
        <v>5.116107059</v>
      </c>
      <c r="AE1411" s="1">
        <v>5.1232419389999997</v>
      </c>
    </row>
    <row r="1412" spans="1:31" x14ac:dyDescent="0.25">
      <c r="A1412" s="1" t="s">
        <v>703</v>
      </c>
      <c r="B1412" s="1" t="s">
        <v>2642</v>
      </c>
      <c r="C1412" s="1" t="s">
        <v>2643</v>
      </c>
      <c r="D1412" s="1" t="s">
        <v>2687</v>
      </c>
      <c r="E1412" s="1" t="s">
        <v>4822</v>
      </c>
      <c r="G1412" s="1" t="s">
        <v>703</v>
      </c>
      <c r="H1412" s="1">
        <v>4.0684382540000001</v>
      </c>
      <c r="I1412" s="1">
        <v>3.7806045529999999</v>
      </c>
      <c r="J1412" s="1">
        <v>1.7393328349999999</v>
      </c>
      <c r="K1412" s="1">
        <v>2.9677134359999999</v>
      </c>
      <c r="L1412" s="1">
        <v>3.1084154310000001</v>
      </c>
      <c r="M1412" s="1">
        <v>3.4067547010000001</v>
      </c>
      <c r="N1412" s="1">
        <v>3.444746345</v>
      </c>
      <c r="O1412" s="1">
        <v>3.88533178</v>
      </c>
      <c r="P1412" s="1">
        <v>2.8687501260000001</v>
      </c>
      <c r="Q1412" s="1">
        <v>2.597100669</v>
      </c>
      <c r="R1412" s="1">
        <v>2.595728008</v>
      </c>
      <c r="S1412" s="1">
        <v>2.9034795349999998</v>
      </c>
      <c r="T1412" s="1">
        <v>3.1084154310000001</v>
      </c>
      <c r="U1412" s="1">
        <v>3.4067547010000001</v>
      </c>
      <c r="V1412" s="1">
        <v>2.8225047829999999</v>
      </c>
      <c r="W1412" s="1">
        <v>3.2870366010000001</v>
      </c>
      <c r="X1412" s="1">
        <v>2.9542167930000001</v>
      </c>
      <c r="Y1412" s="1">
        <v>2.9733498090000001</v>
      </c>
      <c r="Z1412" s="1">
        <v>2.595728008</v>
      </c>
      <c r="AA1412" s="1">
        <v>2.9034795349999998</v>
      </c>
      <c r="AB1412" s="1">
        <v>2.73487305</v>
      </c>
      <c r="AC1412" s="1">
        <v>3.4716344729999999</v>
      </c>
      <c r="AD1412" s="1">
        <v>3.3987395579999999</v>
      </c>
      <c r="AE1412" s="1">
        <v>3.321206681</v>
      </c>
    </row>
    <row r="1413" spans="1:31" x14ac:dyDescent="0.25">
      <c r="A1413" s="1" t="s">
        <v>704</v>
      </c>
      <c r="B1413" s="1" t="s">
        <v>2642</v>
      </c>
      <c r="C1413" s="1" t="s">
        <v>2643</v>
      </c>
      <c r="D1413" s="1" t="s">
        <v>2687</v>
      </c>
      <c r="E1413" s="1" t="s">
        <v>4822</v>
      </c>
      <c r="G1413" s="1" t="s">
        <v>704</v>
      </c>
      <c r="H1413" s="1">
        <v>4.7972697699999998</v>
      </c>
      <c r="I1413" s="1">
        <v>5.3275363779999996</v>
      </c>
      <c r="J1413" s="1">
        <v>4.1077874330000004</v>
      </c>
      <c r="K1413" s="1">
        <v>3.8998480660000001</v>
      </c>
      <c r="L1413" s="1">
        <v>3.8629070379999999</v>
      </c>
      <c r="M1413" s="1">
        <v>3.9251125939999998</v>
      </c>
      <c r="N1413" s="1">
        <v>4.210067993</v>
      </c>
      <c r="O1413" s="1">
        <v>4.4368189940000002</v>
      </c>
      <c r="P1413" s="1">
        <v>4.2485661720000003</v>
      </c>
      <c r="Q1413" s="1">
        <v>4.0840108080000004</v>
      </c>
      <c r="R1413" s="1">
        <v>4.1841942410000001</v>
      </c>
      <c r="S1413" s="1">
        <v>4.0285685429999996</v>
      </c>
      <c r="T1413" s="1">
        <v>3.8629070379999999</v>
      </c>
      <c r="U1413" s="1">
        <v>3.9251125939999998</v>
      </c>
      <c r="V1413" s="1">
        <v>4.2408545169999998</v>
      </c>
      <c r="W1413" s="1">
        <v>3.8431653940000001</v>
      </c>
      <c r="X1413" s="1">
        <v>4.3627028770000003</v>
      </c>
      <c r="Y1413" s="1">
        <v>4.3509215530000001</v>
      </c>
      <c r="Z1413" s="1">
        <v>4.1841942410000001</v>
      </c>
      <c r="AA1413" s="1">
        <v>4.0285685429999996</v>
      </c>
      <c r="AB1413" s="1">
        <v>4.6096720080000004</v>
      </c>
      <c r="AC1413" s="1">
        <v>3.6175630609999998</v>
      </c>
      <c r="AD1413" s="1">
        <v>3.984188064</v>
      </c>
      <c r="AE1413" s="1">
        <v>3.8864783150000002</v>
      </c>
    </row>
    <row r="1414" spans="1:31" x14ac:dyDescent="0.25">
      <c r="A1414" s="1" t="s">
        <v>705</v>
      </c>
      <c r="B1414" s="1" t="s">
        <v>2642</v>
      </c>
      <c r="C1414" s="1" t="s">
        <v>2643</v>
      </c>
      <c r="D1414" s="1" t="s">
        <v>2687</v>
      </c>
      <c r="E1414" s="1" t="s">
        <v>4822</v>
      </c>
      <c r="G1414" s="1" t="s">
        <v>705</v>
      </c>
      <c r="H1414" s="1">
        <v>4.7972697699999998</v>
      </c>
      <c r="I1414" s="1">
        <v>4.66484875</v>
      </c>
      <c r="J1414" s="1">
        <v>3.7773371739999999</v>
      </c>
      <c r="K1414" s="1">
        <v>4.0244910950000001</v>
      </c>
      <c r="L1414" s="1">
        <v>4.0223143549999998</v>
      </c>
      <c r="M1414" s="1">
        <v>3.6924658159999999</v>
      </c>
      <c r="N1414" s="1">
        <v>4.4061149080000002</v>
      </c>
      <c r="O1414" s="1">
        <v>4.5340058970000001</v>
      </c>
      <c r="P1414" s="1">
        <v>3.86011382</v>
      </c>
      <c r="Q1414" s="1">
        <v>3.56206471</v>
      </c>
      <c r="R1414" s="1">
        <v>4.3698765340000003</v>
      </c>
      <c r="S1414" s="1">
        <v>3.1475403900000001</v>
      </c>
      <c r="T1414" s="1">
        <v>4.0223143549999998</v>
      </c>
      <c r="U1414" s="1">
        <v>3.6924658159999999</v>
      </c>
      <c r="V1414" s="1">
        <v>3.887436229</v>
      </c>
      <c r="W1414" s="1">
        <v>4.2295768090000001</v>
      </c>
      <c r="X1414" s="1">
        <v>3.4131791489999999</v>
      </c>
      <c r="Y1414" s="1">
        <v>4.0337379980000003</v>
      </c>
      <c r="Z1414" s="1">
        <v>4.3698765340000003</v>
      </c>
      <c r="AA1414" s="1">
        <v>3.1475403900000001</v>
      </c>
      <c r="AB1414" s="1">
        <v>4.2729702720000002</v>
      </c>
      <c r="AC1414" s="1">
        <v>4.1685844940000001</v>
      </c>
      <c r="AD1414" s="1">
        <v>3.984188064</v>
      </c>
      <c r="AE1414" s="1">
        <v>4.542053224</v>
      </c>
    </row>
    <row r="1415" spans="1:31" x14ac:dyDescent="0.25">
      <c r="A1415" s="1" t="s">
        <v>706</v>
      </c>
      <c r="B1415" s="1" t="s">
        <v>2642</v>
      </c>
      <c r="C1415" s="1" t="s">
        <v>2643</v>
      </c>
      <c r="D1415" s="1" t="s">
        <v>2687</v>
      </c>
      <c r="E1415" s="1" t="s">
        <v>4822</v>
      </c>
      <c r="G1415" s="1" t="s">
        <v>706</v>
      </c>
      <c r="H1415" s="1">
        <v>4.183793842</v>
      </c>
      <c r="I1415" s="1">
        <v>4.1114152529999997</v>
      </c>
      <c r="J1415" s="1">
        <v>4.0065844400000001</v>
      </c>
      <c r="K1415" s="1">
        <v>4.1384138449999996</v>
      </c>
      <c r="L1415" s="1">
        <v>3.3025959560000002</v>
      </c>
      <c r="M1415" s="1">
        <v>3.169085575</v>
      </c>
      <c r="N1415" s="1">
        <v>3.7779028299999999</v>
      </c>
      <c r="O1415" s="1">
        <v>3.9591193910000002</v>
      </c>
      <c r="P1415" s="1">
        <v>4.3303557189999999</v>
      </c>
      <c r="Q1415" s="1">
        <v>2.935765398</v>
      </c>
      <c r="R1415" s="1">
        <v>4.0808207129999996</v>
      </c>
      <c r="S1415" s="1">
        <v>3.3463386960000001</v>
      </c>
      <c r="T1415" s="1">
        <v>3.3025959560000002</v>
      </c>
      <c r="U1415" s="1">
        <v>3.169085575</v>
      </c>
      <c r="V1415" s="1">
        <v>3.5405335899999999</v>
      </c>
      <c r="W1415" s="1">
        <v>3.0218530750000001</v>
      </c>
      <c r="X1415" s="1">
        <v>3.5883256710000002</v>
      </c>
      <c r="Y1415" s="1">
        <v>3.4382968329999999</v>
      </c>
      <c r="Z1415" s="1">
        <v>4.0808207129999996</v>
      </c>
      <c r="AA1415" s="1">
        <v>3.3463386960000001</v>
      </c>
      <c r="AB1415" s="1">
        <v>3.1218319999999999</v>
      </c>
      <c r="AC1415" s="1">
        <v>4.1685844940000001</v>
      </c>
      <c r="AD1415" s="1">
        <v>3.8610926929999998</v>
      </c>
      <c r="AE1415" s="1">
        <v>3.9499994520000001</v>
      </c>
    </row>
    <row r="1416" spans="1:31" x14ac:dyDescent="0.25">
      <c r="A1416" s="1" t="s">
        <v>707</v>
      </c>
      <c r="B1416" s="1" t="s">
        <v>2642</v>
      </c>
      <c r="C1416" s="1" t="s">
        <v>2643</v>
      </c>
      <c r="D1416" s="1" t="s">
        <v>2687</v>
      </c>
      <c r="E1416" s="1" t="s">
        <v>4822</v>
      </c>
      <c r="G1416" s="1" t="s">
        <v>707</v>
      </c>
      <c r="H1416" s="1">
        <v>5.7062998909999996</v>
      </c>
      <c r="I1416" s="1">
        <v>5.5529645800000003</v>
      </c>
      <c r="J1416" s="1">
        <v>4.9532699769999997</v>
      </c>
      <c r="K1416" s="1">
        <v>5.3151275040000003</v>
      </c>
      <c r="L1416" s="1">
        <v>4.619423984</v>
      </c>
      <c r="M1416" s="1">
        <v>5.0913316819999999</v>
      </c>
      <c r="N1416" s="1">
        <v>5.2649372489999999</v>
      </c>
      <c r="O1416" s="1">
        <v>5.1947693419999998</v>
      </c>
      <c r="P1416" s="1">
        <v>5.0554269730000003</v>
      </c>
      <c r="Q1416" s="1">
        <v>5.2473923969999996</v>
      </c>
      <c r="R1416" s="1">
        <v>4.9894654599999999</v>
      </c>
      <c r="S1416" s="1">
        <v>4.8699614389999999</v>
      </c>
      <c r="T1416" s="1">
        <v>4.619423984</v>
      </c>
      <c r="U1416" s="1">
        <v>5.0913316819999999</v>
      </c>
      <c r="V1416" s="1">
        <v>4.6987742170000004</v>
      </c>
      <c r="W1416" s="1">
        <v>5.0488589419999998</v>
      </c>
      <c r="X1416" s="1">
        <v>5.1128189019999999</v>
      </c>
      <c r="Y1416" s="1">
        <v>5.3731782380000004</v>
      </c>
      <c r="Z1416" s="1">
        <v>4.9894654599999999</v>
      </c>
      <c r="AA1416" s="1">
        <v>4.8699614389999999</v>
      </c>
      <c r="AB1416" s="1">
        <v>4.705867896</v>
      </c>
      <c r="AC1416" s="1">
        <v>4.7474570290000004</v>
      </c>
      <c r="AD1416" s="1">
        <v>5.5186611069999998</v>
      </c>
      <c r="AE1416" s="1">
        <v>4.9548800440000003</v>
      </c>
    </row>
    <row r="1417" spans="1:31" x14ac:dyDescent="0.25">
      <c r="A1417" s="1" t="s">
        <v>708</v>
      </c>
      <c r="B1417" s="1" t="s">
        <v>2530</v>
      </c>
      <c r="C1417" s="1" t="s">
        <v>2531</v>
      </c>
      <c r="D1417" s="1" t="s">
        <v>2535</v>
      </c>
      <c r="E1417" s="1" t="s">
        <v>2536</v>
      </c>
      <c r="G1417" s="1" t="s">
        <v>708</v>
      </c>
      <c r="H1417" s="1">
        <v>10.348447699999999</v>
      </c>
      <c r="I1417" s="1">
        <v>10.015545120000001</v>
      </c>
      <c r="J1417" s="1">
        <v>9.6685204759999994</v>
      </c>
      <c r="K1417" s="1">
        <v>9.7696162260000001</v>
      </c>
      <c r="L1417" s="1">
        <v>9.4148911749999993</v>
      </c>
      <c r="M1417" s="1">
        <v>9.3993475370000006</v>
      </c>
      <c r="N1417" s="1">
        <v>9.8911448669999995</v>
      </c>
      <c r="O1417" s="1">
        <v>10.411627319999999</v>
      </c>
      <c r="P1417" s="1">
        <v>9.5681330290000002</v>
      </c>
      <c r="Q1417" s="1">
        <v>9.6379066069999997</v>
      </c>
      <c r="R1417" s="1">
        <v>9.9571015789999997</v>
      </c>
      <c r="S1417" s="1">
        <v>9.9494340349999995</v>
      </c>
      <c r="T1417" s="1">
        <v>9.4148911749999993</v>
      </c>
      <c r="U1417" s="1">
        <v>9.3993475370000006</v>
      </c>
      <c r="V1417" s="1">
        <v>9.5977192779999996</v>
      </c>
      <c r="W1417" s="1">
        <v>9.5809042949999998</v>
      </c>
      <c r="X1417" s="1">
        <v>9.5322917619999998</v>
      </c>
      <c r="Y1417" s="1">
        <v>9.7205514270000002</v>
      </c>
      <c r="Z1417" s="1">
        <v>9.9571015789999997</v>
      </c>
      <c r="AA1417" s="1">
        <v>9.9494340349999995</v>
      </c>
      <c r="AB1417" s="1">
        <v>9.8681098200000008</v>
      </c>
      <c r="AC1417" s="1">
        <v>9.9856058789999995</v>
      </c>
      <c r="AD1417" s="1">
        <v>10.06768744</v>
      </c>
      <c r="AE1417" s="1">
        <v>10.07683653</v>
      </c>
    </row>
    <row r="1418" spans="1:31" x14ac:dyDescent="0.25">
      <c r="A1418" s="1" t="s">
        <v>709</v>
      </c>
      <c r="B1418" s="1" t="s">
        <v>2530</v>
      </c>
      <c r="C1418" s="1" t="s">
        <v>2531</v>
      </c>
      <c r="D1418" s="1" t="s">
        <v>2535</v>
      </c>
      <c r="E1418" s="1" t="s">
        <v>2536</v>
      </c>
      <c r="G1418" s="1" t="s">
        <v>709</v>
      </c>
      <c r="H1418" s="1">
        <v>7.2725110900000001</v>
      </c>
      <c r="I1418" s="1">
        <v>7.2877765649999997</v>
      </c>
      <c r="J1418" s="1">
        <v>6.8211413800000003</v>
      </c>
      <c r="K1418" s="1">
        <v>6.5928106870000001</v>
      </c>
      <c r="L1418" s="1">
        <v>6.6665813350000001</v>
      </c>
      <c r="M1418" s="1">
        <v>6.6808079219999996</v>
      </c>
      <c r="N1418" s="1">
        <v>6.8232102509999999</v>
      </c>
      <c r="O1418" s="1">
        <v>7.2475646429999996</v>
      </c>
      <c r="P1418" s="1">
        <v>6.6313784599999996</v>
      </c>
      <c r="Q1418" s="1">
        <v>6.9169289909999998</v>
      </c>
      <c r="R1418" s="1">
        <v>7.1402648610000004</v>
      </c>
      <c r="S1418" s="1">
        <v>6.9761954739999998</v>
      </c>
      <c r="T1418" s="1">
        <v>6.6665813350000001</v>
      </c>
      <c r="U1418" s="1">
        <v>6.6808079219999996</v>
      </c>
      <c r="V1418" s="1">
        <v>6.7698772270000003</v>
      </c>
      <c r="W1418" s="1">
        <v>6.7165296740000002</v>
      </c>
      <c r="X1418" s="1">
        <v>6.6085543170000003</v>
      </c>
      <c r="Y1418" s="1">
        <v>7.0064610119999999</v>
      </c>
      <c r="Z1418" s="1">
        <v>7.1402648610000004</v>
      </c>
      <c r="AA1418" s="1">
        <v>6.9761954739999998</v>
      </c>
      <c r="AB1418" s="1">
        <v>7.2493787579999998</v>
      </c>
      <c r="AC1418" s="1">
        <v>7.2973970530000001</v>
      </c>
      <c r="AD1418" s="1">
        <v>7.3705131210000001</v>
      </c>
      <c r="AE1418" s="1">
        <v>7.2503030439999998</v>
      </c>
    </row>
    <row r="1419" spans="1:31" x14ac:dyDescent="0.25">
      <c r="A1419" s="1" t="s">
        <v>710</v>
      </c>
      <c r="B1419" s="1" t="s">
        <v>2648</v>
      </c>
      <c r="C1419" s="1" t="s">
        <v>2649</v>
      </c>
      <c r="D1419" s="1" t="s">
        <v>3399</v>
      </c>
      <c r="E1419" s="1" t="s">
        <v>3403</v>
      </c>
      <c r="G1419" s="1" t="s">
        <v>710</v>
      </c>
      <c r="H1419" s="1">
        <v>8.114190572</v>
      </c>
      <c r="I1419" s="1">
        <v>7.6928463459999996</v>
      </c>
      <c r="J1419" s="1">
        <v>7.303269265</v>
      </c>
      <c r="K1419" s="1">
        <v>7.838967104</v>
      </c>
      <c r="L1419" s="1">
        <v>7.236042812</v>
      </c>
      <c r="M1419" s="1">
        <v>7.411180409</v>
      </c>
      <c r="N1419" s="1">
        <v>7.5128260249999999</v>
      </c>
      <c r="O1419" s="1">
        <v>7.7362317730000001</v>
      </c>
      <c r="P1419" s="1">
        <v>7.3170679959999996</v>
      </c>
      <c r="Q1419" s="1">
        <v>7.4756828979999996</v>
      </c>
      <c r="R1419" s="1">
        <v>7.5571665660000003</v>
      </c>
      <c r="S1419" s="1">
        <v>7.672097699</v>
      </c>
      <c r="T1419" s="1">
        <v>7.236042812</v>
      </c>
      <c r="U1419" s="1">
        <v>7.411180409</v>
      </c>
      <c r="V1419" s="1">
        <v>7.4368040840000003</v>
      </c>
      <c r="W1419" s="1">
        <v>7.3852544990000002</v>
      </c>
      <c r="X1419" s="1">
        <v>7.3423720299999999</v>
      </c>
      <c r="Y1419" s="1">
        <v>7.5667712890000001</v>
      </c>
      <c r="Z1419" s="1">
        <v>7.5571665660000003</v>
      </c>
      <c r="AA1419" s="1">
        <v>7.672097699</v>
      </c>
      <c r="AB1419" s="1">
        <v>7.7703907120000002</v>
      </c>
      <c r="AC1419" s="1">
        <v>7.8655192139999999</v>
      </c>
      <c r="AD1419" s="1">
        <v>8.0712263679999996</v>
      </c>
      <c r="AE1419" s="1">
        <v>7.8895427610000004</v>
      </c>
    </row>
    <row r="1420" spans="1:31" x14ac:dyDescent="0.25">
      <c r="A1420" s="1" t="s">
        <v>711</v>
      </c>
      <c r="B1420" s="1" t="s">
        <v>2648</v>
      </c>
      <c r="C1420" s="1" t="s">
        <v>2649</v>
      </c>
      <c r="D1420" s="1" t="s">
        <v>3399</v>
      </c>
      <c r="E1420" s="1" t="s">
        <v>3403</v>
      </c>
      <c r="G1420" s="1" t="s">
        <v>711</v>
      </c>
      <c r="H1420" s="1">
        <v>7.3218989680000002</v>
      </c>
      <c r="I1420" s="1">
        <v>6.5069147860000003</v>
      </c>
      <c r="J1420" s="1">
        <v>6.5886089180000003</v>
      </c>
      <c r="K1420" s="1">
        <v>6.2219157379999999</v>
      </c>
      <c r="L1420" s="1">
        <v>5.680061308</v>
      </c>
      <c r="M1420" s="1">
        <v>6.0654778350000003</v>
      </c>
      <c r="N1420" s="1">
        <v>6.4326062579999999</v>
      </c>
      <c r="O1420" s="1">
        <v>6.9870954149999998</v>
      </c>
      <c r="P1420" s="1">
        <v>6.4476246020000003</v>
      </c>
      <c r="Q1420" s="1">
        <v>6.3341756560000002</v>
      </c>
      <c r="R1420" s="1">
        <v>6.5512588940000001</v>
      </c>
      <c r="S1420" s="1">
        <v>6.5329808710000004</v>
      </c>
      <c r="T1420" s="1">
        <v>5.680061308</v>
      </c>
      <c r="U1420" s="1">
        <v>6.0654778350000003</v>
      </c>
      <c r="V1420" s="1">
        <v>6.3484277020000004</v>
      </c>
      <c r="W1420" s="1">
        <v>6.265991681</v>
      </c>
      <c r="X1420" s="1">
        <v>6.1145484569999997</v>
      </c>
      <c r="Y1420" s="1">
        <v>6.0769070919999999</v>
      </c>
      <c r="Z1420" s="1">
        <v>6.5512588940000001</v>
      </c>
      <c r="AA1420" s="1">
        <v>6.5329808710000004</v>
      </c>
      <c r="AB1420" s="1">
        <v>6.6077920450000001</v>
      </c>
      <c r="AC1420" s="1">
        <v>6.7321847869999996</v>
      </c>
      <c r="AD1420" s="1">
        <v>6.8136746160000001</v>
      </c>
      <c r="AE1420" s="1">
        <v>6.6016475489999999</v>
      </c>
    </row>
    <row r="1421" spans="1:31" x14ac:dyDescent="0.25">
      <c r="A1421" s="1" t="s">
        <v>712</v>
      </c>
      <c r="B1421" s="1" t="s">
        <v>2648</v>
      </c>
      <c r="C1421" s="1" t="s">
        <v>2649</v>
      </c>
      <c r="D1421" s="1" t="s">
        <v>3399</v>
      </c>
      <c r="E1421" s="1" t="s">
        <v>3403</v>
      </c>
      <c r="G1421" s="1" t="s">
        <v>712</v>
      </c>
      <c r="H1421" s="1">
        <v>7.0849682740000004</v>
      </c>
      <c r="I1421" s="1">
        <v>7.1573255429999998</v>
      </c>
      <c r="J1421" s="1">
        <v>6.8909954960000004</v>
      </c>
      <c r="K1421" s="1">
        <v>6.8233399239999999</v>
      </c>
      <c r="L1421" s="1">
        <v>6.2096996640000004</v>
      </c>
      <c r="M1421" s="1">
        <v>6.4651725329999996</v>
      </c>
      <c r="N1421" s="1">
        <v>6.8884608170000003</v>
      </c>
      <c r="O1421" s="1">
        <v>7.1830668309999997</v>
      </c>
      <c r="P1421" s="1">
        <v>6.5672408280000001</v>
      </c>
      <c r="Q1421" s="1">
        <v>6.6106183620000003</v>
      </c>
      <c r="R1421" s="1">
        <v>6.868196749</v>
      </c>
      <c r="S1421" s="1">
        <v>7.0278786420000001</v>
      </c>
      <c r="T1421" s="1">
        <v>6.2096996640000004</v>
      </c>
      <c r="U1421" s="1">
        <v>6.4651725329999996</v>
      </c>
      <c r="V1421" s="1">
        <v>6.8947846659999996</v>
      </c>
      <c r="W1421" s="1">
        <v>6.7734156700000003</v>
      </c>
      <c r="X1421" s="1">
        <v>6.2871570439999998</v>
      </c>
      <c r="Y1421" s="1">
        <v>7.0064610119999999</v>
      </c>
      <c r="Z1421" s="1">
        <v>6.868196749</v>
      </c>
      <c r="AA1421" s="1">
        <v>7.0278786420000001</v>
      </c>
      <c r="AB1421" s="1">
        <v>7.0110522609999997</v>
      </c>
      <c r="AC1421" s="1">
        <v>6.8856954019999996</v>
      </c>
      <c r="AD1421" s="1">
        <v>6.89062397</v>
      </c>
      <c r="AE1421" s="1">
        <v>6.9061127999999998</v>
      </c>
    </row>
    <row r="1422" spans="1:31" x14ac:dyDescent="0.25">
      <c r="A1422" s="1" t="s">
        <v>720</v>
      </c>
      <c r="B1422" s="1" t="s">
        <v>2608</v>
      </c>
      <c r="C1422" s="1" t="s">
        <v>2758</v>
      </c>
      <c r="D1422" s="1" t="s">
        <v>2759</v>
      </c>
      <c r="E1422" s="1" t="s">
        <v>4823</v>
      </c>
      <c r="F1422" s="1" t="s">
        <v>4824</v>
      </c>
      <c r="G1422" s="1" t="s">
        <v>720</v>
      </c>
      <c r="H1422" s="1">
        <v>4.7245801409999997</v>
      </c>
      <c r="I1422" s="1">
        <v>5.9455889470000001</v>
      </c>
      <c r="J1422" s="1">
        <v>6.2053027219999999</v>
      </c>
      <c r="K1422" s="1">
        <v>5.6848657879999998</v>
      </c>
      <c r="L1422" s="1">
        <v>6.6818509820000003</v>
      </c>
      <c r="M1422" s="1">
        <v>6.7300220370000003</v>
      </c>
      <c r="N1422" s="1">
        <v>5.8295014189999996</v>
      </c>
      <c r="O1422" s="1">
        <v>5.0070106360000004</v>
      </c>
      <c r="P1422" s="1">
        <v>5.9651829550000004</v>
      </c>
      <c r="Q1422" s="1">
        <v>6.1485161530000001</v>
      </c>
      <c r="R1422" s="1">
        <v>6.1192055940000003</v>
      </c>
      <c r="S1422" s="1">
        <v>6.4967339439999998</v>
      </c>
      <c r="T1422" s="1">
        <v>6.6818509820000003</v>
      </c>
      <c r="U1422" s="1">
        <v>6.7300220370000003</v>
      </c>
      <c r="V1422" s="1">
        <v>6.1817294079999998</v>
      </c>
      <c r="W1422" s="1">
        <v>6.239290832</v>
      </c>
      <c r="X1422" s="1">
        <v>6.5992329070000002</v>
      </c>
      <c r="Y1422" s="1">
        <v>6.0201969059999998</v>
      </c>
      <c r="Z1422" s="1">
        <v>6.1192055940000003</v>
      </c>
      <c r="AA1422" s="1">
        <v>6.4967339439999998</v>
      </c>
      <c r="AB1422" s="1">
        <v>5.7665348979999997</v>
      </c>
      <c r="AC1422" s="1">
        <v>6.2463288529999996</v>
      </c>
      <c r="AD1422" s="1">
        <v>5.3536174839999999</v>
      </c>
      <c r="AE1422" s="1">
        <v>5.820347505</v>
      </c>
    </row>
    <row r="1423" spans="1:31" x14ac:dyDescent="0.25">
      <c r="A1423" s="1" t="s">
        <v>721</v>
      </c>
      <c r="B1423" s="1" t="s">
        <v>2942</v>
      </c>
      <c r="C1423" s="1" t="s">
        <v>3659</v>
      </c>
      <c r="D1423" s="1" t="s">
        <v>2535</v>
      </c>
      <c r="E1423" s="1" t="s">
        <v>4825</v>
      </c>
      <c r="G1423" s="1" t="s">
        <v>721</v>
      </c>
      <c r="H1423" s="1">
        <v>3.8023684370000002</v>
      </c>
      <c r="I1423" s="1">
        <v>3.3322126910000001</v>
      </c>
      <c r="J1423" s="1">
        <v>5.5826322800000003</v>
      </c>
      <c r="K1423" s="1">
        <v>4.5171444090000001</v>
      </c>
      <c r="L1423" s="1">
        <v>5.6647229430000001</v>
      </c>
      <c r="M1423" s="1">
        <v>5.3667108829999997</v>
      </c>
      <c r="N1423" s="1">
        <v>4.1562881980000004</v>
      </c>
      <c r="O1423" s="1">
        <v>3.8071106499999998</v>
      </c>
      <c r="P1423" s="1">
        <v>5.0074447400000004</v>
      </c>
      <c r="Q1423" s="1">
        <v>5.3805263300000004</v>
      </c>
      <c r="R1423" s="1">
        <v>5.8111782390000002</v>
      </c>
      <c r="S1423" s="1">
        <v>5.9440521669999997</v>
      </c>
      <c r="T1423" s="1">
        <v>5.6647229430000001</v>
      </c>
      <c r="U1423" s="1">
        <v>5.3667108829999997</v>
      </c>
      <c r="V1423" s="1">
        <v>5.5505659869999997</v>
      </c>
      <c r="W1423" s="1">
        <v>5.6472737119999996</v>
      </c>
      <c r="X1423" s="1">
        <v>5.3098210989999997</v>
      </c>
      <c r="Y1423" s="1">
        <v>5.503438128</v>
      </c>
      <c r="Z1423" s="1">
        <v>5.8111782390000002</v>
      </c>
      <c r="AA1423" s="1">
        <v>5.9440521669999997</v>
      </c>
      <c r="AB1423" s="1">
        <v>5.675717079</v>
      </c>
      <c r="AC1423" s="1">
        <v>4.8053838390000001</v>
      </c>
      <c r="AD1423" s="1">
        <v>5.5945353439999996</v>
      </c>
      <c r="AE1423" s="1">
        <v>5.2252968339999999</v>
      </c>
    </row>
    <row r="1424" spans="1:31" x14ac:dyDescent="0.25">
      <c r="A1424" s="1" t="s">
        <v>723</v>
      </c>
      <c r="B1424" s="1" t="s">
        <v>2525</v>
      </c>
      <c r="C1424" s="1" t="s">
        <v>3759</v>
      </c>
      <c r="D1424" s="1" t="s">
        <v>4826</v>
      </c>
      <c r="E1424" s="1" t="s">
        <v>4827</v>
      </c>
      <c r="F1424" s="1" t="s">
        <v>4828</v>
      </c>
      <c r="G1424" s="1" t="s">
        <v>723</v>
      </c>
      <c r="H1424" s="1">
        <v>8.3042876119999995</v>
      </c>
      <c r="I1424" s="1">
        <v>8.3693770999999995</v>
      </c>
      <c r="J1424" s="1">
        <v>8.8120281919999996</v>
      </c>
      <c r="K1424" s="1">
        <v>8.7678437210000002</v>
      </c>
      <c r="L1424" s="1">
        <v>8.8893354379999998</v>
      </c>
      <c r="M1424" s="1">
        <v>8.9271315310000006</v>
      </c>
      <c r="N1424" s="1">
        <v>8.0821092889999999</v>
      </c>
      <c r="O1424" s="1">
        <v>8.1575890770000008</v>
      </c>
      <c r="P1424" s="1">
        <v>9.0137069669999992</v>
      </c>
      <c r="Q1424" s="1">
        <v>8.82248798</v>
      </c>
      <c r="R1424" s="1">
        <v>8.9402715219999997</v>
      </c>
      <c r="S1424" s="1">
        <v>9.0493378910000004</v>
      </c>
      <c r="T1424" s="1">
        <v>8.8893354379999998</v>
      </c>
      <c r="U1424" s="1">
        <v>8.9271315310000006</v>
      </c>
      <c r="V1424" s="1">
        <v>9.0902656089999994</v>
      </c>
      <c r="W1424" s="1">
        <v>8.9359581590000001</v>
      </c>
      <c r="X1424" s="1">
        <v>8.8800936040000007</v>
      </c>
      <c r="Y1424" s="1">
        <v>9.005781292</v>
      </c>
      <c r="Z1424" s="1">
        <v>8.9402715219999997</v>
      </c>
      <c r="AA1424" s="1">
        <v>9.0493378910000004</v>
      </c>
      <c r="AB1424" s="1">
        <v>8.6389375000000008</v>
      </c>
      <c r="AC1424" s="1">
        <v>8.7427562299999995</v>
      </c>
      <c r="AD1424" s="1">
        <v>8.8680598140000004</v>
      </c>
      <c r="AE1424" s="1">
        <v>8.9211082430000008</v>
      </c>
    </row>
    <row r="1425" spans="1:31" x14ac:dyDescent="0.25">
      <c r="A1425" s="1" t="s">
        <v>724</v>
      </c>
      <c r="B1425" s="1" t="s">
        <v>2557</v>
      </c>
      <c r="C1425" s="1" t="s">
        <v>2772</v>
      </c>
      <c r="D1425" s="1" t="s">
        <v>3611</v>
      </c>
      <c r="E1425" s="1" t="s">
        <v>4829</v>
      </c>
      <c r="F1425" s="1" t="s">
        <v>4830</v>
      </c>
      <c r="G1425" s="1" t="s">
        <v>724</v>
      </c>
      <c r="H1425" s="1">
        <v>9.3318908660000002</v>
      </c>
      <c r="I1425" s="1">
        <v>8.8977999309999998</v>
      </c>
      <c r="J1425" s="1">
        <v>6.5372293419999998</v>
      </c>
      <c r="K1425" s="1">
        <v>7.1965733920000003</v>
      </c>
      <c r="L1425" s="1">
        <v>4.9358482109999997</v>
      </c>
      <c r="M1425" s="1">
        <v>4.896083601</v>
      </c>
      <c r="N1425" s="1">
        <v>8.5881937639999997</v>
      </c>
      <c r="O1425" s="1">
        <v>9.2321103900000008</v>
      </c>
      <c r="P1425" s="1">
        <v>6.1519221809999998</v>
      </c>
      <c r="Q1425" s="1">
        <v>5.9352426600000001</v>
      </c>
      <c r="R1425" s="1">
        <v>6.0937807429999999</v>
      </c>
      <c r="S1425" s="1">
        <v>6.168262747</v>
      </c>
      <c r="T1425" s="1">
        <v>4.9358482109999997</v>
      </c>
      <c r="U1425" s="1">
        <v>4.896083601</v>
      </c>
      <c r="V1425" s="1">
        <v>5.5505659869999997</v>
      </c>
      <c r="W1425" s="1">
        <v>5.5634106699999997</v>
      </c>
      <c r="X1425" s="1">
        <v>4.5325909299999996</v>
      </c>
      <c r="Y1425" s="1">
        <v>5.7329513619999997</v>
      </c>
      <c r="Z1425" s="1">
        <v>6.0937807429999999</v>
      </c>
      <c r="AA1425" s="1">
        <v>6.168262747</v>
      </c>
      <c r="AB1425" s="1">
        <v>6.0455186249999997</v>
      </c>
      <c r="AC1425" s="1">
        <v>5.7003611899999997</v>
      </c>
      <c r="AD1425" s="1">
        <v>6.0630013820000004</v>
      </c>
      <c r="AE1425" s="1">
        <v>5.9445968479999998</v>
      </c>
    </row>
    <row r="1426" spans="1:31" x14ac:dyDescent="0.25">
      <c r="A1426" s="1" t="s">
        <v>726</v>
      </c>
      <c r="B1426" s="1" t="s">
        <v>2557</v>
      </c>
      <c r="C1426" s="1" t="s">
        <v>2772</v>
      </c>
      <c r="D1426" s="1" t="s">
        <v>3276</v>
      </c>
      <c r="E1426" s="1" t="s">
        <v>4831</v>
      </c>
      <c r="F1426" s="1" t="s">
        <v>4832</v>
      </c>
      <c r="G1426" s="1" t="s">
        <v>726</v>
      </c>
      <c r="H1426" s="1">
        <v>8.7453169299999995</v>
      </c>
      <c r="I1426" s="1">
        <v>8.4128968759999996</v>
      </c>
      <c r="J1426" s="1">
        <v>6.0178848</v>
      </c>
      <c r="K1426" s="1">
        <v>6.3863668120000003</v>
      </c>
      <c r="L1426" s="1">
        <v>5.5357047289999999</v>
      </c>
      <c r="M1426" s="1">
        <v>5.7958869929999999</v>
      </c>
      <c r="N1426" s="1">
        <v>8.5733996959999992</v>
      </c>
      <c r="O1426" s="1">
        <v>9.2722605520000005</v>
      </c>
      <c r="P1426" s="1">
        <v>6.0847091730000002</v>
      </c>
      <c r="Q1426" s="1">
        <v>6.0722034220000003</v>
      </c>
      <c r="R1426" s="1">
        <v>5.8723300570000001</v>
      </c>
      <c r="S1426" s="1">
        <v>6.0729078190000001</v>
      </c>
      <c r="T1426" s="1">
        <v>5.5357047289999999</v>
      </c>
      <c r="U1426" s="1">
        <v>5.7958869929999999</v>
      </c>
      <c r="V1426" s="1">
        <v>5.3192272129999996</v>
      </c>
      <c r="W1426" s="1">
        <v>5.5195577800000004</v>
      </c>
      <c r="X1426" s="1">
        <v>5.3550813679999996</v>
      </c>
      <c r="Y1426" s="1">
        <v>5.4613266610000002</v>
      </c>
      <c r="Z1426" s="1">
        <v>5.8723300570000001</v>
      </c>
      <c r="AA1426" s="1">
        <v>6.0729078190000001</v>
      </c>
      <c r="AB1426" s="1">
        <v>6.0812876019999997</v>
      </c>
      <c r="AC1426" s="1">
        <v>6.0940352600000001</v>
      </c>
      <c r="AD1426" s="1">
        <v>6.3296964060000001</v>
      </c>
      <c r="AE1426" s="1">
        <v>6.0589349549999998</v>
      </c>
    </row>
    <row r="1427" spans="1:31" x14ac:dyDescent="0.25">
      <c r="A1427" s="1" t="s">
        <v>729</v>
      </c>
      <c r="B1427" s="1" t="s">
        <v>2530</v>
      </c>
      <c r="C1427" s="1" t="s">
        <v>2531</v>
      </c>
      <c r="D1427" s="1" t="s">
        <v>2535</v>
      </c>
      <c r="E1427" s="1" t="s">
        <v>2536</v>
      </c>
      <c r="G1427" s="1" t="s">
        <v>729</v>
      </c>
      <c r="H1427" s="1">
        <v>2.9945681560000001</v>
      </c>
      <c r="I1427" s="1">
        <v>1.7393328349999999</v>
      </c>
      <c r="J1427" s="1">
        <v>1.7393328349999999</v>
      </c>
      <c r="K1427" s="1">
        <v>2.620638279</v>
      </c>
      <c r="L1427" s="1">
        <v>2.8704126319999999</v>
      </c>
      <c r="M1427" s="1">
        <v>2.665084539</v>
      </c>
      <c r="N1427" s="1">
        <v>1.7393328349999999</v>
      </c>
      <c r="O1427" s="1">
        <v>1.7393328349999999</v>
      </c>
      <c r="P1427" s="1">
        <v>1.7393328349999999</v>
      </c>
      <c r="Q1427" s="1">
        <v>2.597100669</v>
      </c>
      <c r="R1427" s="1">
        <v>2.595728008</v>
      </c>
      <c r="S1427" s="1">
        <v>2.5733617299999998</v>
      </c>
      <c r="T1427" s="1">
        <v>2.8704126319999999</v>
      </c>
      <c r="U1427" s="1">
        <v>2.665084539</v>
      </c>
      <c r="V1427" s="1">
        <v>1.7393328349999999</v>
      </c>
      <c r="W1427" s="1">
        <v>3.0218530750000001</v>
      </c>
      <c r="X1427" s="1">
        <v>2.9542167930000001</v>
      </c>
      <c r="Y1427" s="1">
        <v>2.624795792</v>
      </c>
      <c r="Z1427" s="1">
        <v>2.595728008</v>
      </c>
      <c r="AA1427" s="1">
        <v>2.5733617299999998</v>
      </c>
      <c r="AB1427" s="1">
        <v>1.7393328349999999</v>
      </c>
      <c r="AC1427" s="1">
        <v>3.3054795530000001</v>
      </c>
      <c r="AD1427" s="1">
        <v>2.6025990879999998</v>
      </c>
      <c r="AE1427" s="1">
        <v>2.9592545700000001</v>
      </c>
    </row>
    <row r="1428" spans="1:31" x14ac:dyDescent="0.25">
      <c r="A1428" s="1" t="s">
        <v>730</v>
      </c>
      <c r="B1428" s="1" t="s">
        <v>2535</v>
      </c>
      <c r="C1428" s="1" t="s">
        <v>2535</v>
      </c>
      <c r="D1428" s="1" t="s">
        <v>2535</v>
      </c>
      <c r="E1428" s="1" t="s">
        <v>2535</v>
      </c>
      <c r="F1428" s="1" t="s">
        <v>2535</v>
      </c>
      <c r="G1428" s="1" t="s">
        <v>730</v>
      </c>
      <c r="H1428" s="1">
        <v>7.2725110900000001</v>
      </c>
      <c r="I1428" s="1">
        <v>7.7692614080000002</v>
      </c>
      <c r="J1428" s="1">
        <v>5.9407738800000001</v>
      </c>
      <c r="K1428" s="1">
        <v>5.9485821269999999</v>
      </c>
      <c r="L1428" s="1">
        <v>5.1055038850000001</v>
      </c>
      <c r="M1428" s="1">
        <v>4.5846937370000003</v>
      </c>
      <c r="N1428" s="1">
        <v>7.6970253780000002</v>
      </c>
      <c r="O1428" s="1">
        <v>8.0001645739999994</v>
      </c>
      <c r="P1428" s="1">
        <v>5.4627121560000003</v>
      </c>
      <c r="Q1428" s="1">
        <v>5.3375178869999997</v>
      </c>
      <c r="R1428" s="1">
        <v>4.9327063119999996</v>
      </c>
      <c r="S1428" s="1">
        <v>5.1309834260000002</v>
      </c>
      <c r="T1428" s="1">
        <v>5.1055038850000001</v>
      </c>
      <c r="U1428" s="1">
        <v>4.5846937370000003</v>
      </c>
      <c r="V1428" s="1">
        <v>5.8017242820000003</v>
      </c>
      <c r="W1428" s="1">
        <v>5.9736131119999998</v>
      </c>
      <c r="X1428" s="1">
        <v>5.6186994139999999</v>
      </c>
      <c r="Y1428" s="1">
        <v>6.3310590680000001</v>
      </c>
      <c r="Z1428" s="1">
        <v>4.9327063119999996</v>
      </c>
      <c r="AA1428" s="1">
        <v>5.1309834260000002</v>
      </c>
      <c r="AB1428" s="1">
        <v>5.5276660309999999</v>
      </c>
      <c r="AC1428" s="1">
        <v>5.4356573160000003</v>
      </c>
      <c r="AD1428" s="1">
        <v>6.190389411</v>
      </c>
      <c r="AE1428" s="1">
        <v>6.1648337089999998</v>
      </c>
    </row>
    <row r="1429" spans="1:31" x14ac:dyDescent="0.25">
      <c r="A1429" s="1" t="s">
        <v>731</v>
      </c>
      <c r="B1429" s="1" t="s">
        <v>2535</v>
      </c>
      <c r="C1429" s="1" t="s">
        <v>2535</v>
      </c>
      <c r="D1429" s="1" t="s">
        <v>2535</v>
      </c>
      <c r="E1429" s="1" t="s">
        <v>2535</v>
      </c>
      <c r="F1429" s="1" t="s">
        <v>2535</v>
      </c>
      <c r="G1429" s="1" t="s">
        <v>731</v>
      </c>
      <c r="H1429" s="1">
        <v>5.4626831620000003</v>
      </c>
      <c r="I1429" s="1">
        <v>5.4447012069999996</v>
      </c>
      <c r="J1429" s="1">
        <v>4.3724365990000003</v>
      </c>
      <c r="K1429" s="1">
        <v>4.2434183680000004</v>
      </c>
      <c r="L1429" s="1">
        <v>3.8629070379999999</v>
      </c>
      <c r="M1429" s="1">
        <v>4.3982295550000003</v>
      </c>
      <c r="N1429" s="1">
        <v>5.8624363539999997</v>
      </c>
      <c r="O1429" s="1">
        <v>5.824131875</v>
      </c>
      <c r="P1429" s="1">
        <v>4.161525224</v>
      </c>
      <c r="Q1429" s="1">
        <v>4.3733115800000002</v>
      </c>
      <c r="R1429" s="1">
        <v>3.386455024</v>
      </c>
      <c r="S1429" s="1">
        <v>4.3135540739999998</v>
      </c>
      <c r="T1429" s="1">
        <v>3.8629070379999999</v>
      </c>
      <c r="U1429" s="1">
        <v>4.3982295550000003</v>
      </c>
      <c r="V1429" s="1">
        <v>4.3879408260000003</v>
      </c>
      <c r="W1429" s="1">
        <v>4.5296290450000001</v>
      </c>
      <c r="X1429" s="1">
        <v>3.7416722899999999</v>
      </c>
      <c r="Y1429" s="1">
        <v>4.6081171230000004</v>
      </c>
      <c r="Z1429" s="1">
        <v>3.386455024</v>
      </c>
      <c r="AA1429" s="1">
        <v>4.3135540739999998</v>
      </c>
      <c r="AB1429" s="1">
        <v>3.990981031</v>
      </c>
      <c r="AC1429" s="1">
        <v>4.415017905</v>
      </c>
      <c r="AD1429" s="1">
        <v>4.2005997429999997</v>
      </c>
      <c r="AE1429" s="1">
        <v>4.124053773</v>
      </c>
    </row>
    <row r="1430" spans="1:31" x14ac:dyDescent="0.25">
      <c r="A1430" s="1" t="s">
        <v>733</v>
      </c>
      <c r="B1430" s="1" t="s">
        <v>2631</v>
      </c>
      <c r="C1430" s="1" t="s">
        <v>3045</v>
      </c>
      <c r="D1430" s="1" t="s">
        <v>2535</v>
      </c>
      <c r="E1430" s="1" t="s">
        <v>3406</v>
      </c>
      <c r="G1430" s="1" t="s">
        <v>733</v>
      </c>
      <c r="H1430" s="1">
        <v>7.1683487230000003</v>
      </c>
      <c r="I1430" s="1">
        <v>7.4169289850000002</v>
      </c>
      <c r="J1430" s="1">
        <v>7.2929885179999996</v>
      </c>
      <c r="K1430" s="1">
        <v>7.0076624089999999</v>
      </c>
      <c r="L1430" s="1">
        <v>7.7116410489999998</v>
      </c>
      <c r="M1430" s="1">
        <v>7.4875286509999999</v>
      </c>
      <c r="N1430" s="1">
        <v>6.7372563640000003</v>
      </c>
      <c r="O1430" s="1">
        <v>6.6046537970000001</v>
      </c>
      <c r="P1430" s="1">
        <v>7.2161876950000003</v>
      </c>
      <c r="Q1430" s="1">
        <v>7.3522884079999997</v>
      </c>
      <c r="R1430" s="1">
        <v>6.9970160760000004</v>
      </c>
      <c r="S1430" s="1">
        <v>6.8236915869999999</v>
      </c>
      <c r="T1430" s="1">
        <v>7.7116410489999998</v>
      </c>
      <c r="U1430" s="1">
        <v>7.4875286509999999</v>
      </c>
      <c r="V1430" s="1">
        <v>7.0424851190000002</v>
      </c>
      <c r="W1430" s="1">
        <v>6.7165296740000002</v>
      </c>
      <c r="X1430" s="1">
        <v>6.9168392939999999</v>
      </c>
      <c r="Y1430" s="1">
        <v>7.0775333739999997</v>
      </c>
      <c r="Z1430" s="1">
        <v>6.9970160760000004</v>
      </c>
      <c r="AA1430" s="1">
        <v>6.8236915869999999</v>
      </c>
      <c r="AB1430" s="1">
        <v>7.2649841789999998</v>
      </c>
      <c r="AC1430" s="1">
        <v>6.9630080459999997</v>
      </c>
      <c r="AD1430" s="1">
        <v>6.9493542489999998</v>
      </c>
      <c r="AE1430" s="1">
        <v>6.9437330570000002</v>
      </c>
    </row>
    <row r="1431" spans="1:31" x14ac:dyDescent="0.25">
      <c r="A1431" s="1" t="s">
        <v>734</v>
      </c>
      <c r="B1431" s="1" t="s">
        <v>2667</v>
      </c>
      <c r="C1431" s="1" t="s">
        <v>2781</v>
      </c>
      <c r="D1431" s="1" t="s">
        <v>3447</v>
      </c>
      <c r="E1431" s="1" t="s">
        <v>4833</v>
      </c>
      <c r="F1431" s="1" t="s">
        <v>4834</v>
      </c>
      <c r="G1431" s="1" t="s">
        <v>734</v>
      </c>
      <c r="H1431" s="1">
        <v>7.357860155</v>
      </c>
      <c r="I1431" s="1">
        <v>7.5089557219999996</v>
      </c>
      <c r="J1431" s="1">
        <v>7.4676776189999998</v>
      </c>
      <c r="K1431" s="1">
        <v>7.5922233370000001</v>
      </c>
      <c r="L1431" s="1">
        <v>6.7193312350000003</v>
      </c>
      <c r="M1431" s="1">
        <v>6.9782815510000002</v>
      </c>
      <c r="N1431" s="1">
        <v>6.8148420840000004</v>
      </c>
      <c r="O1431" s="1">
        <v>7.3025691139999998</v>
      </c>
      <c r="P1431" s="1">
        <v>7.0502486639999997</v>
      </c>
      <c r="Q1431" s="1">
        <v>7.0684241830000003</v>
      </c>
      <c r="R1431" s="1">
        <v>7.270552726</v>
      </c>
      <c r="S1431" s="1">
        <v>7.4814440869999999</v>
      </c>
      <c r="T1431" s="1">
        <v>6.7193312350000003</v>
      </c>
      <c r="U1431" s="1">
        <v>6.9782815510000002</v>
      </c>
      <c r="V1431" s="1">
        <v>7.3080101959999997</v>
      </c>
      <c r="W1431" s="1">
        <v>7.46795381</v>
      </c>
      <c r="X1431" s="1">
        <v>6.8788394439999996</v>
      </c>
      <c r="Y1431" s="1">
        <v>7.3657028609999999</v>
      </c>
      <c r="Z1431" s="1">
        <v>7.270552726</v>
      </c>
      <c r="AA1431" s="1">
        <v>7.4814440869999999</v>
      </c>
      <c r="AB1431" s="1">
        <v>7.6684897779999996</v>
      </c>
      <c r="AC1431" s="1">
        <v>7.5097542229999998</v>
      </c>
      <c r="AD1431" s="1">
        <v>7.199655763</v>
      </c>
      <c r="AE1431" s="1">
        <v>7.3432919820000002</v>
      </c>
    </row>
    <row r="1432" spans="1:31" x14ac:dyDescent="0.25">
      <c r="A1432" s="1" t="s">
        <v>735</v>
      </c>
      <c r="B1432" s="1" t="s">
        <v>2579</v>
      </c>
      <c r="C1432" s="1" t="s">
        <v>2585</v>
      </c>
      <c r="D1432" s="1" t="s">
        <v>2586</v>
      </c>
      <c r="E1432" s="1" t="s">
        <v>4835</v>
      </c>
      <c r="F1432" s="1" t="s">
        <v>4836</v>
      </c>
      <c r="G1432" s="1" t="s">
        <v>735</v>
      </c>
      <c r="H1432" s="1">
        <v>6.7837339390000002</v>
      </c>
      <c r="I1432" s="1">
        <v>6.4335830219999997</v>
      </c>
      <c r="J1432" s="1">
        <v>7.671870094</v>
      </c>
      <c r="K1432" s="1">
        <v>8.0213251999999997</v>
      </c>
      <c r="L1432" s="1">
        <v>7.7116410489999998</v>
      </c>
      <c r="M1432" s="1">
        <v>7.6598520629999998</v>
      </c>
      <c r="N1432" s="1">
        <v>6.920010091</v>
      </c>
      <c r="O1432" s="1">
        <v>6.8085329139999997</v>
      </c>
      <c r="P1432" s="1">
        <v>7.7367499679999998</v>
      </c>
      <c r="Q1432" s="1">
        <v>7.8995522490000001</v>
      </c>
      <c r="R1432" s="1">
        <v>7.6644677049999999</v>
      </c>
      <c r="S1432" s="1">
        <v>7.6962470280000002</v>
      </c>
      <c r="T1432" s="1">
        <v>7.7116410489999998</v>
      </c>
      <c r="U1432" s="1">
        <v>7.6598520629999998</v>
      </c>
      <c r="V1432" s="1">
        <v>8.4216400050000004</v>
      </c>
      <c r="W1432" s="1">
        <v>8.4113353770000003</v>
      </c>
      <c r="X1432" s="1">
        <v>8.8685143439999994</v>
      </c>
      <c r="Y1432" s="1">
        <v>8.9386864369999994</v>
      </c>
      <c r="Z1432" s="1">
        <v>7.6644677049999999</v>
      </c>
      <c r="AA1432" s="1">
        <v>7.6962470280000002</v>
      </c>
      <c r="AB1432" s="1">
        <v>8.2496069540000008</v>
      </c>
      <c r="AC1432" s="1">
        <v>8.0480027790000008</v>
      </c>
      <c r="AD1432" s="1">
        <v>8.6421011239999999</v>
      </c>
      <c r="AE1432" s="1">
        <v>8.7910244160000008</v>
      </c>
    </row>
    <row r="1433" spans="1:31" x14ac:dyDescent="0.25">
      <c r="A1433" s="1" t="s">
        <v>737</v>
      </c>
      <c r="B1433" s="1" t="s">
        <v>2530</v>
      </c>
      <c r="C1433" s="1" t="s">
        <v>2531</v>
      </c>
      <c r="D1433" s="1" t="s">
        <v>2535</v>
      </c>
      <c r="E1433" s="1" t="s">
        <v>4837</v>
      </c>
      <c r="G1433" s="1" t="s">
        <v>737</v>
      </c>
      <c r="H1433" s="1">
        <v>4.5667504939999999</v>
      </c>
      <c r="I1433" s="1">
        <v>4.4542943209999999</v>
      </c>
      <c r="J1433" s="1">
        <v>4.8434621079999998</v>
      </c>
      <c r="K1433" s="1">
        <v>5.3612725399999999</v>
      </c>
      <c r="L1433" s="1">
        <v>4.1645832880000002</v>
      </c>
      <c r="M1433" s="1">
        <v>4.3473799800000004</v>
      </c>
      <c r="N1433" s="1">
        <v>4.4510307109999996</v>
      </c>
      <c r="O1433" s="1">
        <v>4.8663619410000001</v>
      </c>
      <c r="P1433" s="1">
        <v>4.7972962780000001</v>
      </c>
      <c r="Q1433" s="1">
        <v>5.1511590549999999</v>
      </c>
      <c r="R1433" s="1">
        <v>4.9894654599999999</v>
      </c>
      <c r="S1433" s="1">
        <v>4.9261733090000002</v>
      </c>
      <c r="T1433" s="1">
        <v>4.1645832880000002</v>
      </c>
      <c r="U1433" s="1">
        <v>4.3473799800000004</v>
      </c>
      <c r="V1433" s="1">
        <v>5.2455869269999997</v>
      </c>
      <c r="W1433" s="1">
        <v>5.0488589419999998</v>
      </c>
      <c r="X1433" s="1">
        <v>5.4828239310000004</v>
      </c>
      <c r="Y1433" s="1">
        <v>5.2792112080000004</v>
      </c>
      <c r="Z1433" s="1">
        <v>4.9894654599999999</v>
      </c>
      <c r="AA1433" s="1">
        <v>4.9261733090000002</v>
      </c>
      <c r="AB1433" s="1">
        <v>5.1755434500000002</v>
      </c>
      <c r="AC1433" s="1">
        <v>5.0638423939999999</v>
      </c>
      <c r="AD1433" s="1">
        <v>5.396704357</v>
      </c>
      <c r="AE1433" s="1">
        <v>5.5536024810000004</v>
      </c>
    </row>
    <row r="1434" spans="1:31" x14ac:dyDescent="0.25">
      <c r="A1434" s="1" t="s">
        <v>738</v>
      </c>
      <c r="B1434" s="1" t="s">
        <v>2525</v>
      </c>
      <c r="C1434" s="1" t="s">
        <v>2526</v>
      </c>
      <c r="D1434" s="1" t="s">
        <v>4838</v>
      </c>
      <c r="E1434" s="1" t="s">
        <v>4839</v>
      </c>
      <c r="F1434" s="1" t="s">
        <v>4840</v>
      </c>
      <c r="G1434" s="1" t="s">
        <v>738</v>
      </c>
      <c r="H1434" s="1">
        <v>4.6479005740000003</v>
      </c>
      <c r="I1434" s="1">
        <v>5.0595268689999999</v>
      </c>
      <c r="J1434" s="1">
        <v>5.5483108110000003</v>
      </c>
      <c r="K1434" s="1">
        <v>4.5974987220000001</v>
      </c>
      <c r="L1434" s="1">
        <v>6.1777105819999996</v>
      </c>
      <c r="M1434" s="1">
        <v>6.1974695630000003</v>
      </c>
      <c r="N1434" s="1">
        <v>5.7786343999999996</v>
      </c>
      <c r="O1434" s="1">
        <v>5.4853382609999999</v>
      </c>
      <c r="P1434" s="1">
        <v>5.7791106289999998</v>
      </c>
      <c r="Q1434" s="1">
        <v>5.9062084209999997</v>
      </c>
      <c r="R1434" s="1">
        <v>5.7795948069999996</v>
      </c>
      <c r="S1434" s="1">
        <v>5.8319244149999996</v>
      </c>
      <c r="T1434" s="1">
        <v>6.1777105819999996</v>
      </c>
      <c r="U1434" s="1">
        <v>6.1974695630000003</v>
      </c>
      <c r="V1434" s="1">
        <v>5.6392772100000004</v>
      </c>
      <c r="W1434" s="1">
        <v>5.5195577800000004</v>
      </c>
      <c r="X1434" s="1">
        <v>6.0881054910000003</v>
      </c>
      <c r="Y1434" s="1">
        <v>5.4613266610000002</v>
      </c>
      <c r="Z1434" s="1">
        <v>5.7795948069999996</v>
      </c>
      <c r="AA1434" s="1">
        <v>5.8319244149999996</v>
      </c>
      <c r="AB1434" s="1">
        <v>5.851934376</v>
      </c>
      <c r="AC1434" s="1">
        <v>5.8163513240000002</v>
      </c>
      <c r="AD1434" s="1">
        <v>5.7012900599999998</v>
      </c>
      <c r="AE1434" s="1">
        <v>5.1494525009999998</v>
      </c>
    </row>
    <row r="1435" spans="1:31" x14ac:dyDescent="0.25">
      <c r="A1435" s="1" t="s">
        <v>740</v>
      </c>
      <c r="B1435" s="1" t="s">
        <v>2568</v>
      </c>
      <c r="C1435" s="1" t="s">
        <v>2569</v>
      </c>
      <c r="D1435" s="1" t="s">
        <v>2535</v>
      </c>
      <c r="E1435" s="1" t="s">
        <v>4841</v>
      </c>
      <c r="G1435" s="1" t="s">
        <v>740</v>
      </c>
      <c r="H1435" s="1">
        <v>4.183793842</v>
      </c>
      <c r="I1435" s="1">
        <v>3.6484415459999999</v>
      </c>
      <c r="J1435" s="1">
        <v>4.7243317210000004</v>
      </c>
      <c r="K1435" s="1">
        <v>5.0588199180000002</v>
      </c>
      <c r="L1435" s="1">
        <v>4.9864364329999997</v>
      </c>
      <c r="M1435" s="1">
        <v>5.3157400949999998</v>
      </c>
      <c r="N1435" s="1">
        <v>4.730225151</v>
      </c>
      <c r="O1435" s="1">
        <v>5.1349072580000001</v>
      </c>
      <c r="P1435" s="1">
        <v>4.7394495640000001</v>
      </c>
      <c r="Q1435" s="1">
        <v>5.1004769559999996</v>
      </c>
      <c r="R1435" s="1">
        <v>5.3334881589999998</v>
      </c>
      <c r="S1435" s="1">
        <v>5.6453330910000004</v>
      </c>
      <c r="T1435" s="1">
        <v>4.9864364329999997</v>
      </c>
      <c r="U1435" s="1">
        <v>5.3157400949999998</v>
      </c>
      <c r="V1435" s="1">
        <v>5.3192272129999996</v>
      </c>
      <c r="W1435" s="1">
        <v>5.1095551629999996</v>
      </c>
      <c r="X1435" s="1">
        <v>5.1389930130000003</v>
      </c>
      <c r="Y1435" s="1">
        <v>5.1254702539999997</v>
      </c>
      <c r="Z1435" s="1">
        <v>5.3334881589999998</v>
      </c>
      <c r="AA1435" s="1">
        <v>5.6453330910000004</v>
      </c>
      <c r="AB1435" s="1">
        <v>5.3028471579999996</v>
      </c>
      <c r="AC1435" s="1">
        <v>5.0638423939999999</v>
      </c>
      <c r="AD1435" s="1">
        <v>4.95179218</v>
      </c>
      <c r="AE1435" s="1">
        <v>4.9843711490000002</v>
      </c>
    </row>
    <row r="1436" spans="1:31" x14ac:dyDescent="0.25">
      <c r="A1436" s="1" t="s">
        <v>741</v>
      </c>
      <c r="B1436" s="1" t="s">
        <v>2525</v>
      </c>
      <c r="C1436" s="1" t="s">
        <v>2749</v>
      </c>
      <c r="D1436" s="1" t="s">
        <v>4842</v>
      </c>
      <c r="E1436" s="1" t="s">
        <v>4843</v>
      </c>
      <c r="F1436" s="1" t="s">
        <v>4844</v>
      </c>
      <c r="G1436" s="1" t="s">
        <v>741</v>
      </c>
      <c r="H1436" s="1">
        <v>3.6455184960000002</v>
      </c>
      <c r="I1436" s="1">
        <v>3.3322126910000001</v>
      </c>
      <c r="J1436" s="1">
        <v>3.1324899180000001</v>
      </c>
      <c r="K1436" s="1">
        <v>2.620638279</v>
      </c>
      <c r="L1436" s="1">
        <v>3.1084154310000001</v>
      </c>
      <c r="M1436" s="1">
        <v>2.665084539</v>
      </c>
      <c r="N1436" s="1">
        <v>2.628425199</v>
      </c>
      <c r="O1436" s="1">
        <v>2.6816282820000001</v>
      </c>
      <c r="P1436" s="1">
        <v>3.3003929539999999</v>
      </c>
      <c r="Q1436" s="1">
        <v>3.8492287269999999</v>
      </c>
      <c r="R1436" s="1">
        <v>3.7109484589999999</v>
      </c>
      <c r="S1436" s="1">
        <v>3.1475403900000001</v>
      </c>
      <c r="T1436" s="1">
        <v>3.1084154310000001</v>
      </c>
      <c r="U1436" s="1">
        <v>2.665084539</v>
      </c>
      <c r="V1436" s="1">
        <v>3.5405335899999999</v>
      </c>
      <c r="W1436" s="1">
        <v>3.2870366010000001</v>
      </c>
      <c r="X1436" s="1">
        <v>3.5883256710000002</v>
      </c>
      <c r="Y1436" s="1">
        <v>3.4382968329999999</v>
      </c>
      <c r="Z1436" s="1">
        <v>3.7109484589999999</v>
      </c>
      <c r="AA1436" s="1">
        <v>3.1475403900000001</v>
      </c>
      <c r="AB1436" s="1">
        <v>1.7393328349999999</v>
      </c>
      <c r="AC1436" s="1">
        <v>3.4716344729999999</v>
      </c>
      <c r="AD1436" s="1">
        <v>2.6025990879999998</v>
      </c>
      <c r="AE1436" s="1">
        <v>3.5954838599999999</v>
      </c>
    </row>
    <row r="1437" spans="1:31" x14ac:dyDescent="0.25">
      <c r="A1437" s="1" t="s">
        <v>742</v>
      </c>
      <c r="B1437" s="1" t="s">
        <v>2667</v>
      </c>
      <c r="C1437" s="1" t="s">
        <v>2875</v>
      </c>
      <c r="D1437" s="1" t="s">
        <v>2876</v>
      </c>
      <c r="E1437" s="1" t="s">
        <v>4845</v>
      </c>
      <c r="F1437" s="1" t="s">
        <v>4846</v>
      </c>
      <c r="G1437" s="1" t="s">
        <v>742</v>
      </c>
      <c r="H1437" s="1">
        <v>4.0684382540000001</v>
      </c>
      <c r="I1437" s="1">
        <v>4.5981535630000003</v>
      </c>
      <c r="J1437" s="1">
        <v>6.8067545919999999</v>
      </c>
      <c r="K1437" s="1">
        <v>6.4300937310000004</v>
      </c>
      <c r="L1437" s="1">
        <v>7.0544889050000004</v>
      </c>
      <c r="M1437" s="1">
        <v>7.2786111590000004</v>
      </c>
      <c r="N1437" s="1">
        <v>4.5366957899999996</v>
      </c>
      <c r="O1437" s="1">
        <v>4.385526188</v>
      </c>
      <c r="P1437" s="1">
        <v>6.6927797440000001</v>
      </c>
      <c r="Q1437" s="1">
        <v>6.5556885899999999</v>
      </c>
      <c r="R1437" s="1">
        <v>7.5664197040000003</v>
      </c>
      <c r="S1437" s="1">
        <v>7.2831008779999999</v>
      </c>
      <c r="T1437" s="1">
        <v>7.0544889050000004</v>
      </c>
      <c r="U1437" s="1">
        <v>7.2786111590000004</v>
      </c>
      <c r="V1437" s="1">
        <v>6.8336846429999998</v>
      </c>
      <c r="W1437" s="1">
        <v>6.863500084</v>
      </c>
      <c r="X1437" s="1">
        <v>6.9611542279999998</v>
      </c>
      <c r="Y1437" s="1">
        <v>6.3769095809999996</v>
      </c>
      <c r="Z1437" s="1">
        <v>7.5664197040000003</v>
      </c>
      <c r="AA1437" s="1">
        <v>7.2831008779999999</v>
      </c>
      <c r="AB1437" s="1">
        <v>7.1687117850000002</v>
      </c>
      <c r="AC1437" s="1">
        <v>7.1398799740000003</v>
      </c>
      <c r="AD1437" s="1">
        <v>6.4566895009999996</v>
      </c>
      <c r="AE1437" s="1">
        <v>6.6388355429999999</v>
      </c>
    </row>
    <row r="1438" spans="1:31" x14ac:dyDescent="0.25">
      <c r="A1438" s="1" t="s">
        <v>744</v>
      </c>
      <c r="B1438" s="1" t="s">
        <v>2530</v>
      </c>
      <c r="C1438" s="1" t="s">
        <v>2531</v>
      </c>
      <c r="D1438" s="1" t="s">
        <v>2535</v>
      </c>
      <c r="E1438" s="1" t="s">
        <v>2562</v>
      </c>
      <c r="G1438" s="1" t="s">
        <v>744</v>
      </c>
      <c r="H1438" s="1">
        <v>7.1410877929999996</v>
      </c>
      <c r="I1438" s="1">
        <v>7.0632988579999996</v>
      </c>
      <c r="J1438" s="1">
        <v>7.547676311</v>
      </c>
      <c r="K1438" s="1">
        <v>7.1450778140000004</v>
      </c>
      <c r="L1438" s="1">
        <v>7.4201917110000002</v>
      </c>
      <c r="M1438" s="1">
        <v>7.699896818</v>
      </c>
      <c r="N1438" s="1">
        <v>6.831530076</v>
      </c>
      <c r="O1438" s="1">
        <v>6.8826346169999999</v>
      </c>
      <c r="P1438" s="1">
        <v>7.1737717869999997</v>
      </c>
      <c r="Q1438" s="1">
        <v>7.2751079179999998</v>
      </c>
      <c r="R1438" s="1">
        <v>7.2930261510000003</v>
      </c>
      <c r="S1438" s="1">
        <v>7.424752894</v>
      </c>
      <c r="T1438" s="1">
        <v>7.4201917110000002</v>
      </c>
      <c r="U1438" s="1">
        <v>7.699896818</v>
      </c>
      <c r="V1438" s="1">
        <v>7.2530878300000001</v>
      </c>
      <c r="W1438" s="1">
        <v>7.4093709079999996</v>
      </c>
      <c r="X1438" s="1">
        <v>7.1323967919999998</v>
      </c>
      <c r="Y1438" s="1">
        <v>7.0064610119999999</v>
      </c>
      <c r="Z1438" s="1">
        <v>7.2930261510000003</v>
      </c>
      <c r="AA1438" s="1">
        <v>7.424752894</v>
      </c>
      <c r="AB1438" s="1">
        <v>7.5714398440000004</v>
      </c>
      <c r="AC1438" s="1">
        <v>7.336648372</v>
      </c>
      <c r="AD1438" s="1">
        <v>7.0467010940000003</v>
      </c>
      <c r="AE1438" s="1">
        <v>7.1700665609999996</v>
      </c>
    </row>
    <row r="1439" spans="1:31" x14ac:dyDescent="0.25">
      <c r="A1439" s="1" t="s">
        <v>745</v>
      </c>
      <c r="B1439" s="1" t="s">
        <v>2608</v>
      </c>
      <c r="C1439" s="1" t="s">
        <v>2758</v>
      </c>
      <c r="D1439" s="1" t="s">
        <v>3014</v>
      </c>
      <c r="E1439" s="1" t="s">
        <v>4847</v>
      </c>
      <c r="F1439" s="1" t="s">
        <v>4848</v>
      </c>
      <c r="G1439" s="1" t="s">
        <v>745</v>
      </c>
      <c r="H1439" s="1">
        <v>4.0684382540000001</v>
      </c>
      <c r="I1439" s="1">
        <v>4.5280931029999998</v>
      </c>
      <c r="J1439" s="1">
        <v>4.5940881259999999</v>
      </c>
      <c r="K1439" s="1">
        <v>5.4913640639999999</v>
      </c>
      <c r="L1439" s="1">
        <v>4.713054648</v>
      </c>
      <c r="M1439" s="1">
        <v>4.6276332350000002</v>
      </c>
      <c r="N1439" s="1">
        <v>4.8677953240000003</v>
      </c>
      <c r="O1439" s="1">
        <v>5.2800788330000001</v>
      </c>
      <c r="P1439" s="1">
        <v>4.6791060150000003</v>
      </c>
      <c r="Q1439" s="1">
        <v>3.7137735799999998</v>
      </c>
      <c r="R1439" s="1">
        <v>4.6083586160000003</v>
      </c>
      <c r="S1439" s="1">
        <v>5.1309834260000002</v>
      </c>
      <c r="T1439" s="1">
        <v>4.713054648</v>
      </c>
      <c r="U1439" s="1">
        <v>4.6276332350000002</v>
      </c>
      <c r="V1439" s="1">
        <v>4.9527859210000003</v>
      </c>
      <c r="W1439" s="1">
        <v>5.1095551629999996</v>
      </c>
      <c r="X1439" s="1">
        <v>4.4502657640000001</v>
      </c>
      <c r="Y1439" s="1">
        <v>5.0128502209999999</v>
      </c>
      <c r="Z1439" s="1">
        <v>4.6083586160000003</v>
      </c>
      <c r="AA1439" s="1">
        <v>5.1309834260000002</v>
      </c>
      <c r="AB1439" s="1">
        <v>4.3946012420000002</v>
      </c>
      <c r="AC1439" s="1">
        <v>4.7474570290000004</v>
      </c>
      <c r="AD1439" s="1">
        <v>4.83054469</v>
      </c>
      <c r="AE1439" s="1">
        <v>4.8303216779999998</v>
      </c>
    </row>
    <row r="1440" spans="1:31" x14ac:dyDescent="0.25">
      <c r="A1440" s="1" t="s">
        <v>750</v>
      </c>
      <c r="B1440" s="1" t="s">
        <v>2530</v>
      </c>
      <c r="C1440" s="1" t="s">
        <v>2531</v>
      </c>
      <c r="D1440" s="1" t="s">
        <v>2535</v>
      </c>
      <c r="E1440" s="1" t="s">
        <v>4849</v>
      </c>
      <c r="G1440" s="1" t="s">
        <v>750</v>
      </c>
      <c r="H1440" s="1">
        <v>5.6296178589999997</v>
      </c>
      <c r="I1440" s="1">
        <v>5.0595268689999999</v>
      </c>
      <c r="J1440" s="1">
        <v>5.3229940280000001</v>
      </c>
      <c r="K1440" s="1">
        <v>5.3151275040000003</v>
      </c>
      <c r="L1440" s="1">
        <v>4.6825378889999998</v>
      </c>
      <c r="M1440" s="1">
        <v>4.824486168</v>
      </c>
      <c r="N1440" s="1">
        <v>6.0311824969999996</v>
      </c>
      <c r="O1440" s="1">
        <v>6.3670506839999996</v>
      </c>
      <c r="P1440" s="1">
        <v>6.8220475609999998</v>
      </c>
      <c r="Q1440" s="1">
        <v>6.8576352290000004</v>
      </c>
      <c r="R1440" s="1">
        <v>5.8420803340000003</v>
      </c>
      <c r="S1440" s="1">
        <v>6.168262747</v>
      </c>
      <c r="T1440" s="1">
        <v>4.6825378889999998</v>
      </c>
      <c r="U1440" s="1">
        <v>4.824486168</v>
      </c>
      <c r="V1440" s="1">
        <v>5.6392772100000004</v>
      </c>
      <c r="W1440" s="1">
        <v>5.329276363</v>
      </c>
      <c r="X1440" s="1">
        <v>5.6909099879999996</v>
      </c>
      <c r="Y1440" s="1">
        <v>5.9909787290000001</v>
      </c>
      <c r="Z1440" s="1">
        <v>5.8420803340000003</v>
      </c>
      <c r="AA1440" s="1">
        <v>6.168262747</v>
      </c>
      <c r="AB1440" s="1">
        <v>6.008835446</v>
      </c>
      <c r="AC1440" s="1">
        <v>5.5065733579999998</v>
      </c>
      <c r="AD1440" s="1">
        <v>5.7351750150000003</v>
      </c>
      <c r="AE1440" s="1">
        <v>6.017118505</v>
      </c>
    </row>
    <row r="1441" spans="1:31" x14ac:dyDescent="0.25">
      <c r="A1441" s="1" t="s">
        <v>751</v>
      </c>
      <c r="B1441" s="1" t="s">
        <v>2530</v>
      </c>
      <c r="C1441" s="1" t="s">
        <v>2531</v>
      </c>
      <c r="D1441" s="1" t="s">
        <v>2535</v>
      </c>
      <c r="E1441" s="1" t="s">
        <v>4850</v>
      </c>
      <c r="G1441" s="1" t="s">
        <v>751</v>
      </c>
      <c r="H1441" s="1">
        <v>6.8012610130000004</v>
      </c>
      <c r="I1441" s="1">
        <v>6.2746491359999998</v>
      </c>
      <c r="J1441" s="1">
        <v>6.8211413800000003</v>
      </c>
      <c r="K1441" s="1">
        <v>6.7901886659999997</v>
      </c>
      <c r="L1441" s="1">
        <v>6.3879841260000001</v>
      </c>
      <c r="M1441" s="1">
        <v>6.5221854410000004</v>
      </c>
      <c r="N1441" s="1">
        <v>6.421619185</v>
      </c>
      <c r="O1441" s="1">
        <v>6.3277659169999998</v>
      </c>
      <c r="P1441" s="1">
        <v>7.0146380060000002</v>
      </c>
      <c r="Q1441" s="1">
        <v>6.6807419020000003</v>
      </c>
      <c r="R1441" s="1">
        <v>6.624026862</v>
      </c>
      <c r="S1441" s="1">
        <v>6.5856947659999996</v>
      </c>
      <c r="T1441" s="1">
        <v>6.3879841260000001</v>
      </c>
      <c r="U1441" s="1">
        <v>6.5221854410000004</v>
      </c>
      <c r="V1441" s="1">
        <v>6.0800160549999998</v>
      </c>
      <c r="W1441" s="1">
        <v>6.0977940090000002</v>
      </c>
      <c r="X1441" s="1">
        <v>6.7667750739999999</v>
      </c>
      <c r="Y1441" s="1">
        <v>5.8352313850000002</v>
      </c>
      <c r="Z1441" s="1">
        <v>6.624026862</v>
      </c>
      <c r="AA1441" s="1">
        <v>6.5856947659999996</v>
      </c>
      <c r="AB1441" s="1">
        <v>6.557950226</v>
      </c>
      <c r="AC1441" s="1">
        <v>6.6092721640000001</v>
      </c>
      <c r="AD1441" s="1">
        <v>6.3945942340000004</v>
      </c>
      <c r="AE1441" s="1">
        <v>6.3218298060000002</v>
      </c>
    </row>
    <row r="1442" spans="1:31" x14ac:dyDescent="0.25">
      <c r="A1442" s="1" t="s">
        <v>752</v>
      </c>
      <c r="B1442" s="1" t="s">
        <v>2631</v>
      </c>
      <c r="C1442" s="1" t="s">
        <v>2980</v>
      </c>
      <c r="D1442" s="1" t="s">
        <v>4686</v>
      </c>
      <c r="E1442" s="1" t="s">
        <v>4851</v>
      </c>
      <c r="G1442" s="1" t="s">
        <v>752</v>
      </c>
      <c r="H1442" s="1">
        <v>7.2213707080000002</v>
      </c>
      <c r="I1442" s="1">
        <v>7.4910143309999997</v>
      </c>
      <c r="J1442" s="1">
        <v>6.7325823309999997</v>
      </c>
      <c r="K1442" s="1">
        <v>6.1968079280000001</v>
      </c>
      <c r="L1442" s="1">
        <v>6.5631733570000002</v>
      </c>
      <c r="M1442" s="1">
        <v>6.6504511339999999</v>
      </c>
      <c r="N1442" s="1">
        <v>7.6270993899999997</v>
      </c>
      <c r="O1442" s="1">
        <v>6.909468521</v>
      </c>
      <c r="P1442" s="1">
        <v>6.6927797440000001</v>
      </c>
      <c r="Q1442" s="1">
        <v>6.6284720950000002</v>
      </c>
      <c r="R1442" s="1">
        <v>6.2855941240000002</v>
      </c>
      <c r="S1442" s="1">
        <v>6.3621547329999997</v>
      </c>
      <c r="T1442" s="1">
        <v>6.5631733570000002</v>
      </c>
      <c r="U1442" s="1">
        <v>6.6504511339999999</v>
      </c>
      <c r="V1442" s="1">
        <v>6.6615124100000003</v>
      </c>
      <c r="W1442" s="1">
        <v>6.4165513509999998</v>
      </c>
      <c r="X1442" s="1">
        <v>6.2399193000000004</v>
      </c>
      <c r="Y1442" s="1">
        <v>5.9306942229999997</v>
      </c>
      <c r="Z1442" s="1">
        <v>6.2855941240000002</v>
      </c>
      <c r="AA1442" s="1">
        <v>6.3621547329999997</v>
      </c>
      <c r="AB1442" s="1">
        <v>6.8547782980000003</v>
      </c>
      <c r="AC1442" s="1">
        <v>6.4748747230000001</v>
      </c>
      <c r="AD1442" s="1">
        <v>6.4155919319999999</v>
      </c>
      <c r="AE1442" s="1">
        <v>6.463356664</v>
      </c>
    </row>
    <row r="1443" spans="1:31" x14ac:dyDescent="0.25">
      <c r="A1443" s="1" t="s">
        <v>753</v>
      </c>
      <c r="B1443" s="1" t="s">
        <v>2530</v>
      </c>
      <c r="C1443" s="1" t="s">
        <v>2531</v>
      </c>
      <c r="D1443" s="1" t="s">
        <v>2535</v>
      </c>
      <c r="E1443" s="1" t="s">
        <v>3320</v>
      </c>
      <c r="G1443" s="1" t="s">
        <v>753</v>
      </c>
      <c r="H1443" s="1">
        <v>2.9945681560000001</v>
      </c>
      <c r="I1443" s="1">
        <v>4.2055918060000002</v>
      </c>
      <c r="J1443" s="1">
        <v>3.329519721</v>
      </c>
      <c r="K1443" s="1">
        <v>3.22334677</v>
      </c>
      <c r="L1443" s="1">
        <v>3.1084154310000001</v>
      </c>
      <c r="M1443" s="1">
        <v>2.8639998100000001</v>
      </c>
      <c r="N1443" s="1">
        <v>4.210067993</v>
      </c>
      <c r="O1443" s="1">
        <v>3.88533178</v>
      </c>
      <c r="P1443" s="1">
        <v>3.3003929539999999</v>
      </c>
      <c r="Q1443" s="1">
        <v>3.388910638</v>
      </c>
      <c r="R1443" s="1">
        <v>3.1834741979999999</v>
      </c>
      <c r="S1443" s="1">
        <v>3.5159502420000002</v>
      </c>
      <c r="T1443" s="1">
        <v>3.1084154310000001</v>
      </c>
      <c r="U1443" s="1">
        <v>2.8639998100000001</v>
      </c>
      <c r="V1443" s="1">
        <v>4.2408545169999998</v>
      </c>
      <c r="W1443" s="1">
        <v>2.6606351240000001</v>
      </c>
      <c r="X1443" s="1">
        <v>3.2074401739999998</v>
      </c>
      <c r="Y1443" s="1">
        <v>3.4382968329999999</v>
      </c>
      <c r="Z1443" s="1">
        <v>3.1834741979999999</v>
      </c>
      <c r="AA1443" s="1">
        <v>3.5159502420000002</v>
      </c>
      <c r="AB1443" s="1">
        <v>2.73487305</v>
      </c>
      <c r="AC1443" s="1">
        <v>3.1109927919999998</v>
      </c>
      <c r="AD1443" s="1">
        <v>2.9432342459999998</v>
      </c>
      <c r="AE1443" s="1">
        <v>3.5108161330000001</v>
      </c>
    </row>
    <row r="1444" spans="1:31" x14ac:dyDescent="0.25">
      <c r="A1444" s="1" t="s">
        <v>756</v>
      </c>
      <c r="B1444" s="1" t="s">
        <v>2535</v>
      </c>
      <c r="C1444" s="1" t="s">
        <v>2535</v>
      </c>
      <c r="D1444" s="1" t="s">
        <v>2535</v>
      </c>
      <c r="E1444" s="1" t="s">
        <v>2535</v>
      </c>
      <c r="F1444" s="1" t="s">
        <v>2535</v>
      </c>
      <c r="G1444" s="1" t="s">
        <v>756</v>
      </c>
      <c r="H1444" s="1">
        <v>1.7393328349999999</v>
      </c>
      <c r="I1444" s="1">
        <v>2.5655118899999998</v>
      </c>
      <c r="J1444" s="1">
        <v>1.7393328349999999</v>
      </c>
      <c r="K1444" s="1">
        <v>1.7393328349999999</v>
      </c>
      <c r="L1444" s="1">
        <v>1.7393328349999999</v>
      </c>
      <c r="M1444" s="1">
        <v>1.7393328349999999</v>
      </c>
      <c r="N1444" s="1">
        <v>2.372908427</v>
      </c>
      <c r="O1444" s="1">
        <v>1.7393328349999999</v>
      </c>
      <c r="P1444" s="1">
        <v>2.5478783159999998</v>
      </c>
      <c r="Q1444" s="1">
        <v>1.7393328349999999</v>
      </c>
      <c r="R1444" s="1">
        <v>2.595728008</v>
      </c>
      <c r="S1444" s="1">
        <v>2.5733617299999998</v>
      </c>
      <c r="T1444" s="1">
        <v>1.7393328349999999</v>
      </c>
      <c r="U1444" s="1">
        <v>1.7393328349999999</v>
      </c>
      <c r="V1444" s="1">
        <v>1.7393328349999999</v>
      </c>
      <c r="W1444" s="1">
        <v>2.6606351240000001</v>
      </c>
      <c r="X1444" s="1">
        <v>2.3600830049999999</v>
      </c>
      <c r="Y1444" s="1">
        <v>2.624795792</v>
      </c>
      <c r="Z1444" s="1">
        <v>2.595728008</v>
      </c>
      <c r="AA1444" s="1">
        <v>2.5733617299999998</v>
      </c>
      <c r="AB1444" s="1">
        <v>2.73487305</v>
      </c>
      <c r="AC1444" s="1">
        <v>1.7393328349999999</v>
      </c>
      <c r="AD1444" s="1">
        <v>1.7393328349999999</v>
      </c>
      <c r="AE1444" s="1">
        <v>2.803297787</v>
      </c>
    </row>
    <row r="1445" spans="1:31" x14ac:dyDescent="0.25">
      <c r="A1445" s="1" t="s">
        <v>757</v>
      </c>
      <c r="B1445" s="1" t="s">
        <v>2530</v>
      </c>
      <c r="C1445" s="1" t="s">
        <v>2531</v>
      </c>
      <c r="D1445" s="1" t="s">
        <v>2535</v>
      </c>
      <c r="E1445" s="1" t="s">
        <v>2536</v>
      </c>
      <c r="G1445" s="1" t="s">
        <v>757</v>
      </c>
      <c r="H1445" s="1">
        <v>3.4660955969999998</v>
      </c>
      <c r="I1445" s="1">
        <v>4.0101074990000001</v>
      </c>
      <c r="J1445" s="1">
        <v>4.7243317210000004</v>
      </c>
      <c r="K1445" s="1">
        <v>4.5974987220000001</v>
      </c>
      <c r="L1445" s="1">
        <v>6.6818509820000003</v>
      </c>
      <c r="M1445" s="1">
        <v>6.5443727410000001</v>
      </c>
      <c r="N1445" s="1">
        <v>3.8490531570000002</v>
      </c>
      <c r="O1445" s="1">
        <v>3.6346882059999999</v>
      </c>
      <c r="P1445" s="1">
        <v>6.0141943849999997</v>
      </c>
      <c r="Q1445" s="1">
        <v>5.9062084209999997</v>
      </c>
      <c r="R1445" s="1">
        <v>5.987323913</v>
      </c>
      <c r="S1445" s="1">
        <v>6.2791912019999998</v>
      </c>
      <c r="T1445" s="1">
        <v>6.6818509820000003</v>
      </c>
      <c r="U1445" s="1">
        <v>6.5443727410000001</v>
      </c>
      <c r="V1445" s="1">
        <v>5.7758979430000004</v>
      </c>
      <c r="W1445" s="1">
        <v>5.872872095</v>
      </c>
      <c r="X1445" s="1">
        <v>6.7072932889999999</v>
      </c>
      <c r="Y1445" s="1">
        <v>5.9611531490000003</v>
      </c>
      <c r="Z1445" s="1">
        <v>5.987323913</v>
      </c>
      <c r="AA1445" s="1">
        <v>6.2791912019999998</v>
      </c>
      <c r="AB1445" s="1">
        <v>5.9325296429999996</v>
      </c>
      <c r="AC1445" s="1">
        <v>6.0234746389999998</v>
      </c>
      <c r="AD1445" s="1">
        <v>5.396704357</v>
      </c>
      <c r="AE1445" s="1">
        <v>5.592176748</v>
      </c>
    </row>
    <row r="1446" spans="1:31" x14ac:dyDescent="0.25">
      <c r="A1446" s="1" t="s">
        <v>759</v>
      </c>
      <c r="B1446" s="1" t="s">
        <v>2579</v>
      </c>
      <c r="C1446" s="1" t="s">
        <v>2933</v>
      </c>
      <c r="D1446" s="1" t="s">
        <v>3912</v>
      </c>
      <c r="E1446" s="1" t="s">
        <v>4852</v>
      </c>
      <c r="F1446" s="1" t="s">
        <v>4853</v>
      </c>
      <c r="G1446" s="1" t="s">
        <v>759</v>
      </c>
      <c r="H1446" s="1">
        <v>15.790307629999999</v>
      </c>
      <c r="I1446" s="1">
        <v>14.93861199</v>
      </c>
      <c r="J1446" s="1">
        <v>15.11613322</v>
      </c>
      <c r="K1446" s="1">
        <v>15.038912890000001</v>
      </c>
      <c r="L1446" s="1">
        <v>13.97642701</v>
      </c>
      <c r="M1446" s="1">
        <v>14.363464860000001</v>
      </c>
      <c r="N1446" s="1">
        <v>14.07999074</v>
      </c>
      <c r="O1446" s="1">
        <v>14.739142940000001</v>
      </c>
      <c r="P1446" s="1">
        <v>14.93461018</v>
      </c>
      <c r="Q1446" s="1">
        <v>15.05820874</v>
      </c>
      <c r="R1446" s="1">
        <v>14.90167598</v>
      </c>
      <c r="S1446" s="1">
        <v>14.879545350000001</v>
      </c>
      <c r="T1446" s="1">
        <v>13.97642701</v>
      </c>
      <c r="U1446" s="1">
        <v>14.363464860000001</v>
      </c>
      <c r="V1446" s="1">
        <v>14.68637097</v>
      </c>
      <c r="W1446" s="1">
        <v>14.72062397</v>
      </c>
      <c r="X1446" s="1">
        <v>14.82300575</v>
      </c>
      <c r="Y1446" s="1">
        <v>14.64011468</v>
      </c>
      <c r="Z1446" s="1">
        <v>14.90167598</v>
      </c>
      <c r="AA1446" s="1">
        <v>14.879545350000001</v>
      </c>
      <c r="AB1446" s="1">
        <v>14.84007785</v>
      </c>
      <c r="AC1446" s="1">
        <v>14.877645060000001</v>
      </c>
      <c r="AD1446" s="1">
        <v>14.90505112</v>
      </c>
      <c r="AE1446" s="1">
        <v>15.02986318</v>
      </c>
    </row>
    <row r="1447" spans="1:31" x14ac:dyDescent="0.25">
      <c r="A1447" s="1" t="s">
        <v>760</v>
      </c>
      <c r="B1447" s="1" t="s">
        <v>2579</v>
      </c>
      <c r="C1447" s="1" t="s">
        <v>2933</v>
      </c>
      <c r="D1447" s="1" t="s">
        <v>3912</v>
      </c>
      <c r="E1447" s="1" t="s">
        <v>4854</v>
      </c>
      <c r="F1447" s="1" t="s">
        <v>4855</v>
      </c>
      <c r="G1447" s="1" t="s">
        <v>760</v>
      </c>
      <c r="H1447" s="1">
        <v>15.775745069999999</v>
      </c>
      <c r="I1447" s="1">
        <v>14.916998319999999</v>
      </c>
      <c r="J1447" s="1">
        <v>15.06590548</v>
      </c>
      <c r="K1447" s="1">
        <v>14.97466037</v>
      </c>
      <c r="L1447" s="1">
        <v>13.87260622</v>
      </c>
      <c r="M1447" s="1">
        <v>14.34232763</v>
      </c>
      <c r="N1447" s="1">
        <v>14.086462989999999</v>
      </c>
      <c r="O1447" s="1">
        <v>14.744155470000001</v>
      </c>
      <c r="P1447" s="1">
        <v>14.932873470000001</v>
      </c>
      <c r="Q1447" s="1">
        <v>15.003046149999999</v>
      </c>
      <c r="R1447" s="1">
        <v>14.84940842</v>
      </c>
      <c r="S1447" s="1">
        <v>14.865918430000001</v>
      </c>
      <c r="T1447" s="1">
        <v>13.87260622</v>
      </c>
      <c r="U1447" s="1">
        <v>14.34232763</v>
      </c>
      <c r="V1447" s="1">
        <v>14.583450409999999</v>
      </c>
      <c r="W1447" s="1">
        <v>14.72325577</v>
      </c>
      <c r="X1447" s="1">
        <v>14.78132308</v>
      </c>
      <c r="Y1447" s="1">
        <v>14.570722719999999</v>
      </c>
      <c r="Z1447" s="1">
        <v>14.84940842</v>
      </c>
      <c r="AA1447" s="1">
        <v>14.865918430000001</v>
      </c>
      <c r="AB1447" s="1">
        <v>14.81513107</v>
      </c>
      <c r="AC1447" s="1">
        <v>14.827583280000001</v>
      </c>
      <c r="AD1447" s="1">
        <v>14.858381169999999</v>
      </c>
      <c r="AE1447" s="1">
        <v>14.95014304</v>
      </c>
    </row>
    <row r="1448" spans="1:31" x14ac:dyDescent="0.25">
      <c r="A1448" s="1" t="s">
        <v>761</v>
      </c>
      <c r="B1448" s="1" t="s">
        <v>2530</v>
      </c>
      <c r="C1448" s="1" t="s">
        <v>2531</v>
      </c>
      <c r="D1448" s="1" t="s">
        <v>2535</v>
      </c>
      <c r="E1448" s="1" t="s">
        <v>3535</v>
      </c>
      <c r="G1448" s="1" t="s">
        <v>761</v>
      </c>
      <c r="H1448" s="1">
        <v>10.01303727</v>
      </c>
      <c r="I1448" s="1">
        <v>9.4344282479999997</v>
      </c>
      <c r="J1448" s="1">
        <v>10.105775850000001</v>
      </c>
      <c r="K1448" s="1">
        <v>9.9528905880000007</v>
      </c>
      <c r="L1448" s="1">
        <v>9.5999119489999991</v>
      </c>
      <c r="M1448" s="1">
        <v>9.8893918939999992</v>
      </c>
      <c r="N1448" s="1">
        <v>8.9696497409999996</v>
      </c>
      <c r="O1448" s="1">
        <v>9.2944693990000005</v>
      </c>
      <c r="P1448" s="1">
        <v>9.7594533549999998</v>
      </c>
      <c r="Q1448" s="1">
        <v>9.9810395070000002</v>
      </c>
      <c r="R1448" s="1">
        <v>10.01060517</v>
      </c>
      <c r="S1448" s="1">
        <v>9.9017823329999999</v>
      </c>
      <c r="T1448" s="1">
        <v>9.5999119489999991</v>
      </c>
      <c r="U1448" s="1">
        <v>9.8893918939999992</v>
      </c>
      <c r="V1448" s="1">
        <v>9.3433763830000007</v>
      </c>
      <c r="W1448" s="1">
        <v>9.4151916940000007</v>
      </c>
      <c r="X1448" s="1">
        <v>9.8976869409999999</v>
      </c>
      <c r="Y1448" s="1">
        <v>9.2650989559999992</v>
      </c>
      <c r="Z1448" s="1">
        <v>10.01060517</v>
      </c>
      <c r="AA1448" s="1">
        <v>9.9017823329999999</v>
      </c>
      <c r="AB1448" s="1">
        <v>9.8858733809999997</v>
      </c>
      <c r="AC1448" s="1">
        <v>9.9014310069999993</v>
      </c>
      <c r="AD1448" s="1">
        <v>9.8011400640000002</v>
      </c>
      <c r="AE1448" s="1">
        <v>9.7581843779999993</v>
      </c>
    </row>
    <row r="1449" spans="1:31" x14ac:dyDescent="0.25">
      <c r="A1449" s="1" t="s">
        <v>765</v>
      </c>
      <c r="B1449" s="1" t="s">
        <v>2568</v>
      </c>
      <c r="C1449" s="1" t="s">
        <v>2589</v>
      </c>
      <c r="D1449" s="1" t="s">
        <v>4856</v>
      </c>
      <c r="E1449" s="1" t="s">
        <v>4857</v>
      </c>
      <c r="F1449" s="1" t="s">
        <v>4858</v>
      </c>
      <c r="G1449" s="1" t="s">
        <v>765</v>
      </c>
      <c r="H1449" s="1">
        <v>4.9322401630000003</v>
      </c>
      <c r="I1449" s="1">
        <v>4.5280931029999998</v>
      </c>
      <c r="J1449" s="1">
        <v>5.5483108110000003</v>
      </c>
      <c r="K1449" s="1">
        <v>6.2219157379999999</v>
      </c>
      <c r="L1449" s="1">
        <v>5.6176953479999998</v>
      </c>
      <c r="M1449" s="1">
        <v>5.9370080740000004</v>
      </c>
      <c r="N1449" s="1">
        <v>3.7779028299999999</v>
      </c>
      <c r="O1449" s="1">
        <v>4.7100516409999997</v>
      </c>
      <c r="P1449" s="1">
        <v>5.5977847030000003</v>
      </c>
      <c r="Q1449" s="1">
        <v>5.6846114249999999</v>
      </c>
      <c r="R1449" s="1">
        <v>5.9309793060000002</v>
      </c>
      <c r="S1449" s="1">
        <v>5.3915434019999999</v>
      </c>
      <c r="T1449" s="1">
        <v>5.6176953479999998</v>
      </c>
      <c r="U1449" s="1">
        <v>5.9370080740000004</v>
      </c>
      <c r="V1449" s="1">
        <v>5.4230002329999998</v>
      </c>
      <c r="W1449" s="1">
        <v>5.1095551629999996</v>
      </c>
      <c r="X1449" s="1">
        <v>5.3771830209999996</v>
      </c>
      <c r="Y1449" s="1">
        <v>5.2297915760000002</v>
      </c>
      <c r="Z1449" s="1">
        <v>5.9309793060000002</v>
      </c>
      <c r="AA1449" s="1">
        <v>5.3915434019999999</v>
      </c>
      <c r="AB1449" s="1">
        <v>5.4746970709999996</v>
      </c>
      <c r="AC1449" s="1">
        <v>5.2822693689999998</v>
      </c>
      <c r="AD1449" s="1">
        <v>5.2159266190000002</v>
      </c>
      <c r="AE1449" s="1">
        <v>5.0693189500000004</v>
      </c>
    </row>
    <row r="1450" spans="1:31" x14ac:dyDescent="0.25">
      <c r="A1450" s="1" t="s">
        <v>766</v>
      </c>
      <c r="B1450" s="1" t="s">
        <v>3099</v>
      </c>
      <c r="C1450" s="1" t="s">
        <v>3100</v>
      </c>
      <c r="D1450" s="1" t="s">
        <v>3101</v>
      </c>
      <c r="E1450" s="1" t="s">
        <v>4859</v>
      </c>
      <c r="F1450" s="1" t="s">
        <v>4860</v>
      </c>
      <c r="G1450" s="1" t="s">
        <v>766</v>
      </c>
      <c r="H1450" s="1">
        <v>7.8705015310000004</v>
      </c>
      <c r="I1450" s="1">
        <v>7.5954590910000004</v>
      </c>
      <c r="J1450" s="1">
        <v>6.7922226300000004</v>
      </c>
      <c r="K1450" s="1">
        <v>7.533371356</v>
      </c>
      <c r="L1450" s="1">
        <v>5.9691901850000004</v>
      </c>
      <c r="M1450" s="1">
        <v>6.140298574</v>
      </c>
      <c r="N1450" s="1">
        <v>7.4867383759999999</v>
      </c>
      <c r="O1450" s="1">
        <v>7.5499209680000003</v>
      </c>
      <c r="P1450" s="1">
        <v>6.336531473</v>
      </c>
      <c r="Q1450" s="1">
        <v>6.6807419020000003</v>
      </c>
      <c r="R1450" s="1">
        <v>6.2166299269999996</v>
      </c>
      <c r="S1450" s="1">
        <v>6.2576799799999998</v>
      </c>
      <c r="T1450" s="1">
        <v>5.9691901850000004</v>
      </c>
      <c r="U1450" s="1">
        <v>6.140298574</v>
      </c>
      <c r="V1450" s="1">
        <v>6.3484277020000004</v>
      </c>
      <c r="W1450" s="1">
        <v>6.9808429480000003</v>
      </c>
      <c r="X1450" s="1">
        <v>6.21570512</v>
      </c>
      <c r="Y1450" s="1">
        <v>6.8689654070000001</v>
      </c>
      <c r="Z1450" s="1">
        <v>6.2166299269999996</v>
      </c>
      <c r="AA1450" s="1">
        <v>6.2576799799999998</v>
      </c>
      <c r="AB1450" s="1">
        <v>6.008835446</v>
      </c>
      <c r="AC1450" s="1">
        <v>6.4210524800000002</v>
      </c>
      <c r="AD1450" s="1">
        <v>6.3296964060000001</v>
      </c>
      <c r="AE1450" s="1">
        <v>6.3997621550000003</v>
      </c>
    </row>
    <row r="1451" spans="1:31" x14ac:dyDescent="0.25">
      <c r="A1451" s="1" t="s">
        <v>767</v>
      </c>
      <c r="B1451" s="1" t="s">
        <v>2631</v>
      </c>
      <c r="C1451" s="1" t="s">
        <v>2531</v>
      </c>
      <c r="D1451" s="1" t="s">
        <v>3315</v>
      </c>
      <c r="E1451" s="1" t="s">
        <v>4861</v>
      </c>
      <c r="F1451" s="1" t="s">
        <v>4862</v>
      </c>
      <c r="G1451" s="1" t="s">
        <v>767</v>
      </c>
      <c r="H1451" s="1">
        <v>7.3097097360000003</v>
      </c>
      <c r="I1451" s="1">
        <v>7.3977970910000002</v>
      </c>
      <c r="J1451" s="1">
        <v>5.7428701560000004</v>
      </c>
      <c r="K1451" s="1">
        <v>6.0075713720000001</v>
      </c>
      <c r="L1451" s="1">
        <v>5.1940340669999996</v>
      </c>
      <c r="M1451" s="1">
        <v>5.9030088159999998</v>
      </c>
      <c r="N1451" s="1">
        <v>7.4276277210000003</v>
      </c>
      <c r="O1451" s="1">
        <v>7.5780565979999999</v>
      </c>
      <c r="P1451" s="1">
        <v>5.7211848500000002</v>
      </c>
      <c r="Q1451" s="1">
        <v>5.5780218530000001</v>
      </c>
      <c r="R1451" s="1">
        <v>5.6457947050000001</v>
      </c>
      <c r="S1451" s="1">
        <v>5.2672271329999996</v>
      </c>
      <c r="T1451" s="1">
        <v>5.1940340669999996</v>
      </c>
      <c r="U1451" s="1">
        <v>5.9030088159999998</v>
      </c>
      <c r="V1451" s="1">
        <v>5.8017242820000003</v>
      </c>
      <c r="W1451" s="1">
        <v>5.9736131119999998</v>
      </c>
      <c r="X1451" s="1">
        <v>5.7596503070000002</v>
      </c>
      <c r="Y1451" s="1">
        <v>5.8352313850000002</v>
      </c>
      <c r="Z1451" s="1">
        <v>5.6457947050000001</v>
      </c>
      <c r="AA1451" s="1">
        <v>5.2672271329999996</v>
      </c>
      <c r="AB1451" s="1">
        <v>4.7958605490000004</v>
      </c>
      <c r="AC1451" s="1">
        <v>5.3221936159999998</v>
      </c>
      <c r="AD1451" s="1">
        <v>6.284744441</v>
      </c>
      <c r="AE1451" s="1">
        <v>6.031193128</v>
      </c>
    </row>
    <row r="1452" spans="1:31" x14ac:dyDescent="0.25">
      <c r="A1452" s="1" t="s">
        <v>768</v>
      </c>
      <c r="B1452" s="1" t="s">
        <v>2530</v>
      </c>
      <c r="C1452" s="1" t="s">
        <v>2573</v>
      </c>
      <c r="D1452" s="1" t="s">
        <v>2535</v>
      </c>
      <c r="E1452" s="1" t="s">
        <v>4863</v>
      </c>
      <c r="F1452" s="1" t="s">
        <v>4864</v>
      </c>
      <c r="G1452" s="1" t="s">
        <v>768</v>
      </c>
      <c r="H1452" s="1">
        <v>7.5872213979999996</v>
      </c>
      <c r="I1452" s="1">
        <v>7.6449747700000001</v>
      </c>
      <c r="J1452" s="1">
        <v>7.0702854049999999</v>
      </c>
      <c r="K1452" s="1">
        <v>6.9337055090000002</v>
      </c>
      <c r="L1452" s="1">
        <v>7.0248703890000002</v>
      </c>
      <c r="M1452" s="1">
        <v>7.0575068930000002</v>
      </c>
      <c r="N1452" s="1">
        <v>8.0432657360000004</v>
      </c>
      <c r="O1452" s="1">
        <v>8.1121392480000001</v>
      </c>
      <c r="P1452" s="1">
        <v>7.0964005209999996</v>
      </c>
      <c r="Q1452" s="1">
        <v>6.8576352290000004</v>
      </c>
      <c r="R1452" s="1">
        <v>6.7913170000000003</v>
      </c>
      <c r="S1452" s="1">
        <v>7.0530412199999999</v>
      </c>
      <c r="T1452" s="1">
        <v>7.0248703890000002</v>
      </c>
      <c r="U1452" s="1">
        <v>7.0575068930000002</v>
      </c>
      <c r="V1452" s="1">
        <v>7.074522065</v>
      </c>
      <c r="W1452" s="1">
        <v>6.9149645719999997</v>
      </c>
      <c r="X1452" s="1">
        <v>7.086464061</v>
      </c>
      <c r="Y1452" s="1">
        <v>6.9918159360000001</v>
      </c>
      <c r="Z1452" s="1">
        <v>6.7913170000000003</v>
      </c>
      <c r="AA1452" s="1">
        <v>7.0530412199999999</v>
      </c>
      <c r="AB1452" s="1">
        <v>7.0476086139999996</v>
      </c>
      <c r="AC1452" s="1">
        <v>7.1287405320000001</v>
      </c>
      <c r="AD1452" s="1">
        <v>7.5707642870000003</v>
      </c>
      <c r="AE1452" s="1">
        <v>7.2917257270000002</v>
      </c>
    </row>
    <row r="1453" spans="1:31" x14ac:dyDescent="0.25">
      <c r="A1453" s="1" t="s">
        <v>769</v>
      </c>
      <c r="B1453" s="1" t="s">
        <v>2557</v>
      </c>
      <c r="C1453" s="1" t="s">
        <v>2680</v>
      </c>
      <c r="D1453" s="1" t="s">
        <v>3164</v>
      </c>
      <c r="E1453" s="1" t="s">
        <v>4865</v>
      </c>
      <c r="F1453" s="1" t="s">
        <v>4866</v>
      </c>
      <c r="G1453" s="1" t="s">
        <v>769</v>
      </c>
      <c r="H1453" s="1">
        <v>6.2573638139999996</v>
      </c>
      <c r="I1453" s="1">
        <v>6.5422250579999996</v>
      </c>
      <c r="J1453" s="1">
        <v>7.6639151590000001</v>
      </c>
      <c r="K1453" s="1">
        <v>7.385919006</v>
      </c>
      <c r="L1453" s="1">
        <v>8.5037107550000002</v>
      </c>
      <c r="M1453" s="1">
        <v>8.3040437019999995</v>
      </c>
      <c r="N1453" s="1">
        <v>7.1502438269999997</v>
      </c>
      <c r="O1453" s="1">
        <v>6.8916349099999996</v>
      </c>
      <c r="P1453" s="1">
        <v>7.6466006479999997</v>
      </c>
      <c r="Q1453" s="1">
        <v>7.728168728</v>
      </c>
      <c r="R1453" s="1">
        <v>7.9383339499999996</v>
      </c>
      <c r="S1453" s="1">
        <v>8.0105945280000004</v>
      </c>
      <c r="T1453" s="1">
        <v>8.5037107550000002</v>
      </c>
      <c r="U1453" s="1">
        <v>8.3040437019999995</v>
      </c>
      <c r="V1453" s="1">
        <v>7.6287821759999996</v>
      </c>
      <c r="W1453" s="1">
        <v>7.5242488339999998</v>
      </c>
      <c r="X1453" s="1">
        <v>8.1533916980000001</v>
      </c>
      <c r="Y1453" s="1">
        <v>7.3882379680000003</v>
      </c>
      <c r="Z1453" s="1">
        <v>7.9383339499999996</v>
      </c>
      <c r="AA1453" s="1">
        <v>8.0105945280000004</v>
      </c>
      <c r="AB1453" s="1">
        <v>7.9644295420000004</v>
      </c>
      <c r="AC1453" s="1">
        <v>7.8108313330000003</v>
      </c>
      <c r="AD1453" s="1">
        <v>7.4023821740000004</v>
      </c>
      <c r="AE1453" s="1">
        <v>7.4039107590000004</v>
      </c>
    </row>
    <row r="1454" spans="1:31" x14ac:dyDescent="0.25">
      <c r="A1454" s="1" t="s">
        <v>770</v>
      </c>
      <c r="B1454" s="1" t="s">
        <v>2530</v>
      </c>
      <c r="C1454" s="1" t="s">
        <v>2573</v>
      </c>
      <c r="D1454" s="1" t="s">
        <v>2535</v>
      </c>
      <c r="E1454" s="1" t="s">
        <v>3530</v>
      </c>
      <c r="G1454" s="1" t="s">
        <v>770</v>
      </c>
      <c r="H1454" s="1">
        <v>5.2221022919999998</v>
      </c>
      <c r="I1454" s="1">
        <v>5.2862358589999996</v>
      </c>
      <c r="J1454" s="1">
        <v>6.4657385989999998</v>
      </c>
      <c r="K1454" s="1">
        <v>6.7389853689999999</v>
      </c>
      <c r="L1454" s="1">
        <v>6.8999037210000003</v>
      </c>
      <c r="M1454" s="1">
        <v>7.0184387069999996</v>
      </c>
      <c r="N1454" s="1">
        <v>6.1951276320000002</v>
      </c>
      <c r="O1454" s="1">
        <v>6.478849479</v>
      </c>
      <c r="P1454" s="1">
        <v>6.3931504810000002</v>
      </c>
      <c r="Q1454" s="1">
        <v>6.5556885899999999</v>
      </c>
      <c r="R1454" s="1">
        <v>6.7754359979999998</v>
      </c>
      <c r="S1454" s="1">
        <v>6.4019078089999999</v>
      </c>
      <c r="T1454" s="1">
        <v>6.8999037210000003</v>
      </c>
      <c r="U1454" s="1">
        <v>7.0184387069999996</v>
      </c>
      <c r="V1454" s="1">
        <v>6.730190017</v>
      </c>
      <c r="W1454" s="1">
        <v>6.7165296740000002</v>
      </c>
      <c r="X1454" s="1">
        <v>6.7833281259999998</v>
      </c>
      <c r="Y1454" s="1">
        <v>6.3769095809999996</v>
      </c>
      <c r="Z1454" s="1">
        <v>6.7754359979999998</v>
      </c>
      <c r="AA1454" s="1">
        <v>6.4019078089999999</v>
      </c>
      <c r="AB1454" s="1">
        <v>6.5830868880000004</v>
      </c>
      <c r="AC1454" s="1">
        <v>6.9376954160000004</v>
      </c>
      <c r="AD1454" s="1">
        <v>6.5919351060000002</v>
      </c>
      <c r="AE1454" s="1">
        <v>6.4941297889999996</v>
      </c>
    </row>
    <row r="1455" spans="1:31" x14ac:dyDescent="0.25">
      <c r="A1455" s="1" t="s">
        <v>771</v>
      </c>
      <c r="B1455" s="1" t="s">
        <v>2530</v>
      </c>
      <c r="C1455" s="1" t="s">
        <v>2531</v>
      </c>
      <c r="D1455" s="1" t="s">
        <v>2535</v>
      </c>
      <c r="E1455" s="1" t="s">
        <v>4867</v>
      </c>
      <c r="G1455" s="1" t="s">
        <v>771</v>
      </c>
      <c r="H1455" s="1">
        <v>4.7245801409999997</v>
      </c>
      <c r="I1455" s="1">
        <v>4.5280931029999998</v>
      </c>
      <c r="J1455" s="1">
        <v>4.8434621079999998</v>
      </c>
      <c r="K1455" s="1">
        <v>4.8793048219999999</v>
      </c>
      <c r="L1455" s="1">
        <v>4.8288685039999999</v>
      </c>
      <c r="M1455" s="1">
        <v>5.1796951440000001</v>
      </c>
      <c r="N1455" s="1">
        <v>5.1081614489999998</v>
      </c>
      <c r="O1455" s="1">
        <v>5.1947693419999998</v>
      </c>
      <c r="P1455" s="1">
        <v>4.4805784009999998</v>
      </c>
      <c r="Q1455" s="1">
        <v>4.8155696649999999</v>
      </c>
      <c r="R1455" s="1">
        <v>4.45403635</v>
      </c>
      <c r="S1455" s="1">
        <v>3.6647387380000001</v>
      </c>
      <c r="T1455" s="1">
        <v>4.8288685039999999</v>
      </c>
      <c r="U1455" s="1">
        <v>5.1796951440000001</v>
      </c>
      <c r="V1455" s="1">
        <v>4.6419314959999998</v>
      </c>
      <c r="W1455" s="1">
        <v>4.6166922860000001</v>
      </c>
      <c r="X1455" s="1">
        <v>4.8524813179999997</v>
      </c>
      <c r="Y1455" s="1">
        <v>4.8904630100000004</v>
      </c>
      <c r="Z1455" s="1">
        <v>4.45403635</v>
      </c>
      <c r="AA1455" s="1">
        <v>3.6647387380000001</v>
      </c>
      <c r="AB1455" s="1">
        <v>4.7958605490000004</v>
      </c>
      <c r="AC1455" s="1">
        <v>5.2411914069999996</v>
      </c>
      <c r="AD1455" s="1">
        <v>4.8924744240000004</v>
      </c>
      <c r="AE1455" s="1">
        <v>5.0132584360000001</v>
      </c>
    </row>
    <row r="1456" spans="1:31" x14ac:dyDescent="0.25">
      <c r="A1456" s="1" t="s">
        <v>778</v>
      </c>
      <c r="B1456" s="1" t="s">
        <v>2530</v>
      </c>
      <c r="C1456" s="1" t="s">
        <v>2531</v>
      </c>
      <c r="D1456" s="1" t="s">
        <v>2535</v>
      </c>
      <c r="E1456" s="1" t="s">
        <v>4868</v>
      </c>
      <c r="G1456" s="1" t="s">
        <v>778</v>
      </c>
      <c r="H1456" s="1">
        <v>5.7062998909999996</v>
      </c>
      <c r="I1456" s="1">
        <v>5.6535958219999998</v>
      </c>
      <c r="J1456" s="1">
        <v>5.1501560140000002</v>
      </c>
      <c r="K1456" s="1">
        <v>4.8793048219999999</v>
      </c>
      <c r="L1456" s="1">
        <v>5.7398214760000004</v>
      </c>
      <c r="M1456" s="1">
        <v>5.6801009100000002</v>
      </c>
      <c r="N1456" s="1">
        <v>6.7283719059999996</v>
      </c>
      <c r="O1456" s="1">
        <v>6.3670506839999996</v>
      </c>
      <c r="P1456" s="1">
        <v>5.6296473389999999</v>
      </c>
      <c r="Q1456" s="1">
        <v>5.2473923969999996</v>
      </c>
      <c r="R1456" s="1">
        <v>4.9894654599999999</v>
      </c>
      <c r="S1456" s="1">
        <v>5.3098842800000003</v>
      </c>
      <c r="T1456" s="1">
        <v>5.7398214760000004</v>
      </c>
      <c r="U1456" s="1">
        <v>5.6801009100000002</v>
      </c>
      <c r="V1456" s="1">
        <v>5.7228043460000002</v>
      </c>
      <c r="W1456" s="1">
        <v>4.9854391920000003</v>
      </c>
      <c r="X1456" s="1">
        <v>4.97415056</v>
      </c>
      <c r="Y1456" s="1">
        <v>5.2792112080000004</v>
      </c>
      <c r="Z1456" s="1">
        <v>4.9894654599999999</v>
      </c>
      <c r="AA1456" s="1">
        <v>5.3098842800000003</v>
      </c>
      <c r="AB1456" s="1">
        <v>4.7958605490000004</v>
      </c>
      <c r="AC1456" s="1">
        <v>5.0158027430000001</v>
      </c>
      <c r="AD1456" s="1">
        <v>4.8924744240000004</v>
      </c>
      <c r="AE1456" s="1">
        <v>4.9843711490000002</v>
      </c>
    </row>
    <row r="1457" spans="1:31" x14ac:dyDescent="0.25">
      <c r="A1457" s="1" t="s">
        <v>779</v>
      </c>
      <c r="B1457" s="1" t="s">
        <v>2608</v>
      </c>
      <c r="C1457" s="1" t="s">
        <v>2758</v>
      </c>
      <c r="D1457" s="1" t="s">
        <v>2759</v>
      </c>
      <c r="E1457" s="1" t="s">
        <v>4869</v>
      </c>
      <c r="F1457" s="1" t="s">
        <v>4870</v>
      </c>
      <c r="G1457" s="1" t="s">
        <v>779</v>
      </c>
      <c r="H1457" s="1">
        <v>6.5548587630000004</v>
      </c>
      <c r="I1457" s="1">
        <v>6.9756704020000004</v>
      </c>
      <c r="J1457" s="1">
        <v>6.5886089180000003</v>
      </c>
      <c r="K1457" s="1">
        <v>7.1319111780000002</v>
      </c>
      <c r="L1457" s="1">
        <v>7.4998372240000002</v>
      </c>
      <c r="M1457" s="1">
        <v>7.4291615179999999</v>
      </c>
      <c r="N1457" s="1">
        <v>7.0540087339999999</v>
      </c>
      <c r="O1457" s="1">
        <v>7.1757189309999996</v>
      </c>
      <c r="P1457" s="1">
        <v>6.8626807989999996</v>
      </c>
      <c r="Q1457" s="1">
        <v>6.8875871899999996</v>
      </c>
      <c r="R1457" s="1">
        <v>7.1769818540000001</v>
      </c>
      <c r="S1457" s="1">
        <v>7.1611323899999997</v>
      </c>
      <c r="T1457" s="1">
        <v>7.4998372240000002</v>
      </c>
      <c r="U1457" s="1">
        <v>7.4291615179999999</v>
      </c>
      <c r="V1457" s="1">
        <v>6.8827702540000004</v>
      </c>
      <c r="W1457" s="1">
        <v>6.9317187499999999</v>
      </c>
      <c r="X1457" s="1">
        <v>7.164332023</v>
      </c>
      <c r="Y1457" s="1">
        <v>6.9162705400000002</v>
      </c>
      <c r="Z1457" s="1">
        <v>7.1769818540000001</v>
      </c>
      <c r="AA1457" s="1">
        <v>7.1611323899999997</v>
      </c>
      <c r="AB1457" s="1">
        <v>7.0832603900000004</v>
      </c>
      <c r="AC1457" s="1">
        <v>7.0947960390000002</v>
      </c>
      <c r="AD1457" s="1">
        <v>6.8603357530000002</v>
      </c>
      <c r="AE1457" s="1">
        <v>6.7449610880000002</v>
      </c>
    </row>
    <row r="1458" spans="1:31" x14ac:dyDescent="0.25">
      <c r="A1458" s="1" t="s">
        <v>780</v>
      </c>
      <c r="B1458" s="1" t="s">
        <v>2530</v>
      </c>
      <c r="C1458" s="1" t="s">
        <v>2531</v>
      </c>
      <c r="D1458" s="1" t="s">
        <v>2535</v>
      </c>
      <c r="E1458" s="1" t="s">
        <v>3234</v>
      </c>
      <c r="G1458" s="1" t="s">
        <v>780</v>
      </c>
      <c r="H1458" s="1">
        <v>6.7837339390000002</v>
      </c>
      <c r="I1458" s="1">
        <v>6.8262016389999998</v>
      </c>
      <c r="J1458" s="1">
        <v>5.6809121170000001</v>
      </c>
      <c r="K1458" s="1">
        <v>6.0642310579999998</v>
      </c>
      <c r="L1458" s="1">
        <v>6.0887506509999998</v>
      </c>
      <c r="M1458" s="1">
        <v>5.7391643339999998</v>
      </c>
      <c r="N1458" s="1">
        <v>6.8724232059999997</v>
      </c>
      <c r="O1458" s="1">
        <v>7.0202976680000004</v>
      </c>
      <c r="P1458" s="1">
        <v>5.2736118430000003</v>
      </c>
      <c r="Q1458" s="1">
        <v>6.123526483</v>
      </c>
      <c r="R1458" s="1">
        <v>6.0146875240000002</v>
      </c>
      <c r="S1458" s="1">
        <v>5.9440521669999997</v>
      </c>
      <c r="T1458" s="1">
        <v>6.0887506509999998</v>
      </c>
      <c r="U1458" s="1">
        <v>5.7391643339999998</v>
      </c>
      <c r="V1458" s="1">
        <v>6.276714932</v>
      </c>
      <c r="W1458" s="1">
        <v>6.6773173909999999</v>
      </c>
      <c r="X1458" s="1">
        <v>5.9626863439999997</v>
      </c>
      <c r="Y1458" s="1">
        <v>6.7346511490000003</v>
      </c>
      <c r="Z1458" s="1">
        <v>6.0146875240000002</v>
      </c>
      <c r="AA1458" s="1">
        <v>5.9440521669999997</v>
      </c>
      <c r="AB1458" s="1">
        <v>5.9711898400000001</v>
      </c>
      <c r="AC1458" s="1">
        <v>5.8710041640000004</v>
      </c>
      <c r="AD1458" s="1">
        <v>6.4768062029999998</v>
      </c>
      <c r="AE1458" s="1">
        <v>6.1775384349999998</v>
      </c>
    </row>
    <row r="1459" spans="1:31" x14ac:dyDescent="0.25">
      <c r="A1459" s="1" t="s">
        <v>781</v>
      </c>
      <c r="B1459" s="1" t="s">
        <v>2547</v>
      </c>
      <c r="C1459" s="1" t="s">
        <v>2694</v>
      </c>
      <c r="D1459" s="1" t="s">
        <v>3788</v>
      </c>
      <c r="E1459" s="1" t="s">
        <v>4871</v>
      </c>
      <c r="F1459" s="1" t="s">
        <v>4872</v>
      </c>
      <c r="G1459" s="1" t="s">
        <v>781</v>
      </c>
      <c r="H1459" s="1">
        <v>5.9144073309999996</v>
      </c>
      <c r="I1459" s="1">
        <v>5.7476087250000001</v>
      </c>
      <c r="J1459" s="1">
        <v>5.6488969620000002</v>
      </c>
      <c r="K1459" s="1">
        <v>5.5322182199999999</v>
      </c>
      <c r="L1459" s="1">
        <v>6.5042531260000001</v>
      </c>
      <c r="M1459" s="1">
        <v>6.140298574</v>
      </c>
      <c r="N1459" s="1">
        <v>5.9870940719999997</v>
      </c>
      <c r="O1459" s="1">
        <v>5.5552821830000001</v>
      </c>
      <c r="P1459" s="1">
        <v>5.8072178450000003</v>
      </c>
      <c r="Q1459" s="1">
        <v>5.8765740600000003</v>
      </c>
      <c r="R1459" s="1">
        <v>5.7142579380000003</v>
      </c>
      <c r="S1459" s="1">
        <v>5.7416668729999998</v>
      </c>
      <c r="T1459" s="1">
        <v>6.5042531260000001</v>
      </c>
      <c r="U1459" s="1">
        <v>6.140298574</v>
      </c>
      <c r="V1459" s="1">
        <v>6.0800160549999998</v>
      </c>
      <c r="W1459" s="1">
        <v>6.3432413370000003</v>
      </c>
      <c r="X1459" s="1">
        <v>5.7596503070000002</v>
      </c>
      <c r="Y1459" s="1">
        <v>5.6227961889999998</v>
      </c>
      <c r="Z1459" s="1">
        <v>5.7142579380000003</v>
      </c>
      <c r="AA1459" s="1">
        <v>5.7416668729999998</v>
      </c>
      <c r="AB1459" s="1">
        <v>6.008835446</v>
      </c>
      <c r="AC1459" s="1">
        <v>5.5741318</v>
      </c>
      <c r="AD1459" s="1">
        <v>5.7682763389999998</v>
      </c>
      <c r="AE1459" s="1">
        <v>5.8040306609999996</v>
      </c>
    </row>
    <row r="1460" spans="1:31" x14ac:dyDescent="0.25">
      <c r="A1460" s="1" t="s">
        <v>782</v>
      </c>
      <c r="B1460" s="1" t="s">
        <v>2530</v>
      </c>
      <c r="C1460" s="1" t="s">
        <v>2573</v>
      </c>
      <c r="D1460" s="1" t="s">
        <v>2535</v>
      </c>
      <c r="E1460" s="1" t="s">
        <v>4873</v>
      </c>
      <c r="G1460" s="1" t="s">
        <v>782</v>
      </c>
      <c r="H1460" s="1">
        <v>3.6455184960000002</v>
      </c>
      <c r="I1460" s="1">
        <v>2.5655118899999998</v>
      </c>
      <c r="J1460" s="1">
        <v>3.1324899180000001</v>
      </c>
      <c r="K1460" s="1">
        <v>2.9677134359999999</v>
      </c>
      <c r="L1460" s="1">
        <v>2.9964092330000001</v>
      </c>
      <c r="M1460" s="1">
        <v>3.169085575</v>
      </c>
      <c r="N1460" s="1">
        <v>3.5368298970000001</v>
      </c>
      <c r="O1460" s="1">
        <v>3.7238257350000001</v>
      </c>
      <c r="P1460" s="1">
        <v>3.3003929539999999</v>
      </c>
      <c r="Q1460" s="1">
        <v>3.8492287269999999</v>
      </c>
      <c r="R1460" s="1">
        <v>2.9339002829999998</v>
      </c>
      <c r="S1460" s="1">
        <v>3.6647387380000001</v>
      </c>
      <c r="T1460" s="1">
        <v>2.9964092330000001</v>
      </c>
      <c r="U1460" s="1">
        <v>3.169085575</v>
      </c>
      <c r="V1460" s="1">
        <v>3.5405335899999999</v>
      </c>
      <c r="W1460" s="1">
        <v>2.6606351240000001</v>
      </c>
      <c r="X1460" s="1">
        <v>3.4131791489999999</v>
      </c>
      <c r="Y1460" s="1">
        <v>3.229986142</v>
      </c>
      <c r="Z1460" s="1">
        <v>2.9339002829999998</v>
      </c>
      <c r="AA1460" s="1">
        <v>3.6647387380000001</v>
      </c>
      <c r="AB1460" s="1">
        <v>3.6315729079999999</v>
      </c>
      <c r="AC1460" s="1">
        <v>3.3054795530000001</v>
      </c>
      <c r="AD1460" s="1">
        <v>3.725077481</v>
      </c>
      <c r="AE1460" s="1">
        <v>3.213378847</v>
      </c>
    </row>
    <row r="1461" spans="1:31" x14ac:dyDescent="0.25">
      <c r="A1461" s="1" t="s">
        <v>783</v>
      </c>
      <c r="B1461" s="1" t="s">
        <v>2530</v>
      </c>
      <c r="C1461" s="1" t="s">
        <v>2531</v>
      </c>
      <c r="D1461" s="1" t="s">
        <v>2535</v>
      </c>
      <c r="E1461" s="1" t="s">
        <v>2536</v>
      </c>
      <c r="G1461" s="1" t="s">
        <v>783</v>
      </c>
      <c r="H1461" s="1">
        <v>3.6455184960000002</v>
      </c>
      <c r="I1461" s="1">
        <v>3.1348991329999998</v>
      </c>
      <c r="J1461" s="1">
        <v>3.1324899180000001</v>
      </c>
      <c r="K1461" s="1">
        <v>2.9677134359999999</v>
      </c>
      <c r="L1461" s="1">
        <v>3.6142294740000001</v>
      </c>
      <c r="M1461" s="1">
        <v>3.6044002019999999</v>
      </c>
      <c r="N1461" s="1">
        <v>3.344961128</v>
      </c>
      <c r="O1461" s="1">
        <v>3.9591193910000002</v>
      </c>
      <c r="P1461" s="1">
        <v>3.9684043939999998</v>
      </c>
      <c r="Q1461" s="1">
        <v>3.8492287269999999</v>
      </c>
      <c r="R1461" s="1">
        <v>4.1841942410000001</v>
      </c>
      <c r="S1461" s="1">
        <v>4.0285685429999996</v>
      </c>
      <c r="T1461" s="1">
        <v>3.6142294740000001</v>
      </c>
      <c r="U1461" s="1">
        <v>3.6044002019999999</v>
      </c>
      <c r="V1461" s="1">
        <v>4.0758289169999999</v>
      </c>
      <c r="W1461" s="1">
        <v>4.2295768090000001</v>
      </c>
      <c r="X1461" s="1">
        <v>3.8119046220000001</v>
      </c>
      <c r="Y1461" s="1">
        <v>4.3509215530000001</v>
      </c>
      <c r="Z1461" s="1">
        <v>4.1841942410000001</v>
      </c>
      <c r="AA1461" s="1">
        <v>4.0285685429999996</v>
      </c>
      <c r="AB1461" s="1">
        <v>3.404153038</v>
      </c>
      <c r="AC1461" s="1">
        <v>3.6175630609999998</v>
      </c>
      <c r="AD1461" s="1">
        <v>3.3987395579999999</v>
      </c>
      <c r="AE1461" s="1">
        <v>3.8864783150000002</v>
      </c>
    </row>
    <row r="1462" spans="1:31" x14ac:dyDescent="0.25">
      <c r="A1462" s="1" t="s">
        <v>784</v>
      </c>
      <c r="B1462" s="1" t="s">
        <v>2530</v>
      </c>
      <c r="C1462" s="1" t="s">
        <v>2531</v>
      </c>
      <c r="D1462" s="1" t="s">
        <v>2535</v>
      </c>
      <c r="E1462" s="1" t="s">
        <v>2536</v>
      </c>
      <c r="G1462" s="1" t="s">
        <v>784</v>
      </c>
      <c r="H1462" s="1">
        <v>4.8663747150000001</v>
      </c>
      <c r="I1462" s="1">
        <v>4.5981535630000003</v>
      </c>
      <c r="J1462" s="1">
        <v>6.5372293419999998</v>
      </c>
      <c r="K1462" s="1">
        <v>5.9485821269999999</v>
      </c>
      <c r="L1462" s="1">
        <v>6.1884529439999998</v>
      </c>
      <c r="M1462" s="1">
        <v>6.4882495090000001</v>
      </c>
      <c r="N1462" s="1">
        <v>4.3596796910000002</v>
      </c>
      <c r="O1462" s="1">
        <v>4.9384407589999997</v>
      </c>
      <c r="P1462" s="1">
        <v>6.3931504810000002</v>
      </c>
      <c r="Q1462" s="1">
        <v>6.4391077020000003</v>
      </c>
      <c r="R1462" s="1">
        <v>6.7913170000000003</v>
      </c>
      <c r="S1462" s="1">
        <v>6.3212713310000002</v>
      </c>
      <c r="T1462" s="1">
        <v>6.1884529439999998</v>
      </c>
      <c r="U1462" s="1">
        <v>6.4882495090000001</v>
      </c>
      <c r="V1462" s="1">
        <v>6.433314288</v>
      </c>
      <c r="W1462" s="1">
        <v>6.1843530070000003</v>
      </c>
      <c r="X1462" s="1">
        <v>6.6810290930000003</v>
      </c>
      <c r="Y1462" s="1">
        <v>6.2095953220000002</v>
      </c>
      <c r="Z1462" s="1">
        <v>6.7913170000000003</v>
      </c>
      <c r="AA1462" s="1">
        <v>6.3212713310000002</v>
      </c>
      <c r="AB1462" s="1">
        <v>6.339283708</v>
      </c>
      <c r="AC1462" s="1">
        <v>6.6409981050000004</v>
      </c>
      <c r="AD1462" s="1">
        <v>6.3073961189999999</v>
      </c>
      <c r="AE1462" s="1">
        <v>6.4212742540000001</v>
      </c>
    </row>
    <row r="1463" spans="1:31" x14ac:dyDescent="0.25">
      <c r="A1463" s="1" t="s">
        <v>785</v>
      </c>
      <c r="B1463" s="1" t="s">
        <v>2942</v>
      </c>
      <c r="C1463" s="1" t="s">
        <v>2943</v>
      </c>
      <c r="D1463" s="1" t="s">
        <v>2535</v>
      </c>
      <c r="E1463" s="1" t="s">
        <v>4874</v>
      </c>
      <c r="F1463" s="1" t="s">
        <v>4875</v>
      </c>
      <c r="G1463" s="1" t="s">
        <v>785</v>
      </c>
      <c r="H1463" s="1">
        <v>6.5548587630000004</v>
      </c>
      <c r="I1463" s="1">
        <v>6.9627053569999999</v>
      </c>
      <c r="J1463" s="1">
        <v>7.2722043909999998</v>
      </c>
      <c r="K1463" s="1">
        <v>7.1186231319999997</v>
      </c>
      <c r="L1463" s="1">
        <v>8.0802325499999998</v>
      </c>
      <c r="M1463" s="1">
        <v>7.8762547229999997</v>
      </c>
      <c r="N1463" s="1">
        <v>6.6363750030000004</v>
      </c>
      <c r="O1463" s="1">
        <v>6.0979208290000004</v>
      </c>
      <c r="P1463" s="1">
        <v>7.3743722920000003</v>
      </c>
      <c r="Q1463" s="1">
        <v>7.394604395</v>
      </c>
      <c r="R1463" s="1">
        <v>6.8830922379999997</v>
      </c>
      <c r="S1463" s="1">
        <v>7.1840900559999996</v>
      </c>
      <c r="T1463" s="1">
        <v>8.0802325499999998</v>
      </c>
      <c r="U1463" s="1">
        <v>7.8762547229999997</v>
      </c>
      <c r="V1463" s="1">
        <v>7.3258622400000002</v>
      </c>
      <c r="W1463" s="1">
        <v>7.2582215190000001</v>
      </c>
      <c r="X1463" s="1">
        <v>7.0527347530000002</v>
      </c>
      <c r="Y1463" s="1">
        <v>7.2350386169999998</v>
      </c>
      <c r="Z1463" s="1">
        <v>6.8830922379999997</v>
      </c>
      <c r="AA1463" s="1">
        <v>7.1840900559999996</v>
      </c>
      <c r="AB1463" s="1">
        <v>6.9735441659999999</v>
      </c>
      <c r="AC1463" s="1">
        <v>7.2467803200000001</v>
      </c>
      <c r="AD1463" s="1">
        <v>6.6638698749999996</v>
      </c>
      <c r="AE1463" s="1">
        <v>6.98039582</v>
      </c>
    </row>
    <row r="1464" spans="1:31" x14ac:dyDescent="0.25">
      <c r="A1464" s="1" t="s">
        <v>791</v>
      </c>
      <c r="B1464" s="1" t="s">
        <v>2667</v>
      </c>
      <c r="C1464" s="1" t="s">
        <v>2875</v>
      </c>
      <c r="D1464" s="1" t="s">
        <v>4157</v>
      </c>
      <c r="E1464" s="1" t="s">
        <v>4876</v>
      </c>
      <c r="F1464" s="1" t="s">
        <v>4877</v>
      </c>
      <c r="G1464" s="1" t="s">
        <v>791</v>
      </c>
      <c r="H1464" s="1">
        <v>8.114190572</v>
      </c>
      <c r="I1464" s="1">
        <v>8.2249208189999994</v>
      </c>
      <c r="J1464" s="1">
        <v>7.2826339170000001</v>
      </c>
      <c r="K1464" s="1">
        <v>7.1581252400000004</v>
      </c>
      <c r="L1464" s="1">
        <v>6.8467147739999996</v>
      </c>
      <c r="M1464" s="1">
        <v>7.1687315680000001</v>
      </c>
      <c r="N1464" s="1">
        <v>7.4385569570000003</v>
      </c>
      <c r="O1464" s="1">
        <v>7.6219618960000002</v>
      </c>
      <c r="P1464" s="1">
        <v>7.0735093620000002</v>
      </c>
      <c r="Q1464" s="1">
        <v>7.2173337469999996</v>
      </c>
      <c r="R1464" s="1">
        <v>7.050768648</v>
      </c>
      <c r="S1464" s="1">
        <v>7.4814440869999999</v>
      </c>
      <c r="T1464" s="1">
        <v>6.8467147739999996</v>
      </c>
      <c r="U1464" s="1">
        <v>7.1687315680000001</v>
      </c>
      <c r="V1464" s="1">
        <v>7.316963855</v>
      </c>
      <c r="W1464" s="1">
        <v>7.4212794869999996</v>
      </c>
      <c r="X1464" s="1">
        <v>6.8398098559999996</v>
      </c>
      <c r="Y1464" s="1">
        <v>7.259693789</v>
      </c>
      <c r="Z1464" s="1">
        <v>7.050768648</v>
      </c>
      <c r="AA1464" s="1">
        <v>7.4814440869999999</v>
      </c>
      <c r="AB1464" s="1">
        <v>6.8547782980000003</v>
      </c>
      <c r="AC1464" s="1">
        <v>7.0947960390000002</v>
      </c>
      <c r="AD1464" s="1">
        <v>6.844949401</v>
      </c>
      <c r="AE1464" s="1">
        <v>6.8034375320000002</v>
      </c>
    </row>
    <row r="1465" spans="1:31" x14ac:dyDescent="0.25">
      <c r="A1465" s="1" t="s">
        <v>792</v>
      </c>
      <c r="B1465" s="1" t="s">
        <v>2579</v>
      </c>
      <c r="C1465" s="1" t="s">
        <v>2580</v>
      </c>
      <c r="D1465" s="1" t="s">
        <v>3075</v>
      </c>
      <c r="E1465" s="1" t="s">
        <v>4878</v>
      </c>
      <c r="F1465" s="1" t="s">
        <v>4879</v>
      </c>
      <c r="G1465" s="1" t="s">
        <v>792</v>
      </c>
      <c r="H1465" s="1">
        <v>10.772409039999999</v>
      </c>
      <c r="I1465" s="1">
        <v>10.112578129999999</v>
      </c>
      <c r="J1465" s="1">
        <v>7.2188937690000001</v>
      </c>
      <c r="K1465" s="1">
        <v>8.2638321080000008</v>
      </c>
      <c r="L1465" s="1">
        <v>5.9054534529999998</v>
      </c>
      <c r="M1465" s="1">
        <v>6.4996506539999999</v>
      </c>
      <c r="N1465" s="1">
        <v>9.3527263549999997</v>
      </c>
      <c r="O1465" s="1">
        <v>9.9211974319999996</v>
      </c>
      <c r="P1465" s="1">
        <v>6.8082443379999997</v>
      </c>
      <c r="Q1465" s="1">
        <v>6.9456850320000001</v>
      </c>
      <c r="R1465" s="1">
        <v>7.1402648610000004</v>
      </c>
      <c r="S1465" s="1">
        <v>6.748647074</v>
      </c>
      <c r="T1465" s="1">
        <v>5.9054534529999998</v>
      </c>
      <c r="U1465" s="1">
        <v>6.4996506539999999</v>
      </c>
      <c r="V1465" s="1">
        <v>6.6041092590000003</v>
      </c>
      <c r="W1465" s="1">
        <v>6.9968523659999997</v>
      </c>
      <c r="X1465" s="1">
        <v>6.6542768270000003</v>
      </c>
      <c r="Y1465" s="1">
        <v>7.271865</v>
      </c>
      <c r="Z1465" s="1">
        <v>7.1402648610000004</v>
      </c>
      <c r="AA1465" s="1">
        <v>6.748647074</v>
      </c>
      <c r="AB1465" s="1">
        <v>6.9544174490000001</v>
      </c>
      <c r="AC1465" s="1">
        <v>7.0244096589999998</v>
      </c>
      <c r="AD1465" s="1">
        <v>7.326894544</v>
      </c>
      <c r="AE1465" s="1">
        <v>7.5476082020000002</v>
      </c>
    </row>
    <row r="1466" spans="1:31" x14ac:dyDescent="0.25">
      <c r="A1466" s="1" t="s">
        <v>793</v>
      </c>
      <c r="B1466" s="1" t="s">
        <v>2579</v>
      </c>
      <c r="C1466" s="1" t="s">
        <v>3259</v>
      </c>
      <c r="D1466" s="1" t="s">
        <v>3260</v>
      </c>
      <c r="E1466" s="1" t="s">
        <v>3261</v>
      </c>
      <c r="F1466" s="1" t="s">
        <v>3262</v>
      </c>
      <c r="G1466" s="1" t="s">
        <v>793</v>
      </c>
      <c r="H1466" s="1">
        <v>6.7298351800000002</v>
      </c>
      <c r="I1466" s="1">
        <v>6.8262016389999998</v>
      </c>
      <c r="J1466" s="1">
        <v>5.2817155790000001</v>
      </c>
      <c r="K1466" s="1">
        <v>5.3151275040000003</v>
      </c>
      <c r="L1466" s="1">
        <v>4.9864364329999997</v>
      </c>
      <c r="M1466" s="1">
        <v>4.494607383</v>
      </c>
      <c r="N1466" s="1">
        <v>7.1166071390000001</v>
      </c>
      <c r="O1466" s="1">
        <v>7.1232070820000004</v>
      </c>
      <c r="P1466" s="1">
        <v>5.1467681949999999</v>
      </c>
      <c r="Q1466" s="1">
        <v>5.5406489910000003</v>
      </c>
      <c r="R1466" s="1">
        <v>4.5333476509999997</v>
      </c>
      <c r="S1466" s="1">
        <v>4.6864044680000001</v>
      </c>
      <c r="T1466" s="1">
        <v>4.9864364329999997</v>
      </c>
      <c r="U1466" s="1">
        <v>4.494607383</v>
      </c>
      <c r="V1466" s="1">
        <v>5.6676649780000004</v>
      </c>
      <c r="W1466" s="1">
        <v>5.6059572260000001</v>
      </c>
      <c r="X1466" s="1">
        <v>4.8838989719999999</v>
      </c>
      <c r="Y1466" s="1">
        <v>5.7678626939999997</v>
      </c>
      <c r="Z1466" s="1">
        <v>4.5333476509999997</v>
      </c>
      <c r="AA1466" s="1">
        <v>4.6864044680000001</v>
      </c>
      <c r="AB1466" s="1">
        <v>5.1073354020000004</v>
      </c>
      <c r="AC1466" s="1">
        <v>5.198889973</v>
      </c>
      <c r="AD1466" s="1">
        <v>5.7351750150000003</v>
      </c>
      <c r="AE1466" s="1">
        <v>5.3658215939999998</v>
      </c>
    </row>
    <row r="1467" spans="1:31" x14ac:dyDescent="0.25">
      <c r="A1467" s="1" t="s">
        <v>794</v>
      </c>
      <c r="B1467" s="1" t="s">
        <v>2557</v>
      </c>
      <c r="C1467" s="1" t="s">
        <v>2680</v>
      </c>
      <c r="D1467" s="1" t="s">
        <v>2712</v>
      </c>
      <c r="E1467" s="1" t="s">
        <v>4880</v>
      </c>
      <c r="F1467" s="1" t="s">
        <v>4881</v>
      </c>
      <c r="G1467" s="1" t="s">
        <v>794</v>
      </c>
      <c r="H1467" s="1">
        <v>5.3712699940000004</v>
      </c>
      <c r="I1467" s="1">
        <v>5.8070199389999999</v>
      </c>
      <c r="J1467" s="1">
        <v>4.4503473070000004</v>
      </c>
      <c r="K1467" s="1">
        <v>4.3408695499999999</v>
      </c>
      <c r="L1467" s="1">
        <v>5.680061308</v>
      </c>
      <c r="M1467" s="1">
        <v>5.2895531800000004</v>
      </c>
      <c r="N1467" s="1">
        <v>6.0455826970000004</v>
      </c>
      <c r="O1467" s="1">
        <v>5.6219600229999998</v>
      </c>
      <c r="P1467" s="1">
        <v>4.6160325330000003</v>
      </c>
      <c r="Q1467" s="1">
        <v>5.1004769559999996</v>
      </c>
      <c r="R1467" s="1">
        <v>3.968758995</v>
      </c>
      <c r="S1467" s="1">
        <v>4.980227309</v>
      </c>
      <c r="T1467" s="1">
        <v>5.680061308</v>
      </c>
      <c r="U1467" s="1">
        <v>5.2895531800000004</v>
      </c>
      <c r="V1467" s="1">
        <v>5.8765220630000004</v>
      </c>
      <c r="W1467" s="1">
        <v>5.6874298530000003</v>
      </c>
      <c r="X1467" s="1">
        <v>4.407182283</v>
      </c>
      <c r="Y1467" s="1">
        <v>5.7678626939999997</v>
      </c>
      <c r="Z1467" s="1">
        <v>3.968758995</v>
      </c>
      <c r="AA1467" s="1">
        <v>4.980227309</v>
      </c>
      <c r="AB1467" s="1">
        <v>4.139369361</v>
      </c>
      <c r="AC1467" s="1">
        <v>3.9750819590000002</v>
      </c>
      <c r="AD1467" s="1">
        <v>4.2970121150000002</v>
      </c>
      <c r="AE1467" s="1">
        <v>4.7973769099999997</v>
      </c>
    </row>
    <row r="1468" spans="1:31" x14ac:dyDescent="0.25">
      <c r="A1468" s="1" t="s">
        <v>800</v>
      </c>
      <c r="B1468" s="1" t="s">
        <v>2530</v>
      </c>
      <c r="C1468" s="1" t="s">
        <v>2531</v>
      </c>
      <c r="D1468" s="1" t="s">
        <v>2535</v>
      </c>
      <c r="E1468" s="1" t="s">
        <v>2536</v>
      </c>
      <c r="G1468" s="1" t="s">
        <v>800</v>
      </c>
      <c r="H1468" s="1">
        <v>3.9421380259999999</v>
      </c>
      <c r="I1468" s="1">
        <v>5.2862358589999996</v>
      </c>
      <c r="J1468" s="1">
        <v>2.8907526730000002</v>
      </c>
      <c r="K1468" s="1">
        <v>2.9677134359999999</v>
      </c>
      <c r="L1468" s="1">
        <v>3.2097511390000002</v>
      </c>
      <c r="M1468" s="1">
        <v>3.4067547010000001</v>
      </c>
      <c r="N1468" s="1">
        <v>5.5139471840000001</v>
      </c>
      <c r="O1468" s="1">
        <v>4.7100516409999997</v>
      </c>
      <c r="P1468" s="1">
        <v>3.7419514989999998</v>
      </c>
      <c r="Q1468" s="1">
        <v>3.7137735799999998</v>
      </c>
      <c r="R1468" s="1">
        <v>3.1834741979999999</v>
      </c>
      <c r="S1468" s="1">
        <v>3.5159502420000002</v>
      </c>
      <c r="T1468" s="1">
        <v>3.2097511390000002</v>
      </c>
      <c r="U1468" s="1">
        <v>3.4067547010000001</v>
      </c>
      <c r="V1468" s="1">
        <v>3.6670520409999998</v>
      </c>
      <c r="W1468" s="1">
        <v>1.7393328349999999</v>
      </c>
      <c r="X1468" s="1">
        <v>3.5039136989999999</v>
      </c>
      <c r="Y1468" s="1">
        <v>3.229986142</v>
      </c>
      <c r="Z1468" s="1">
        <v>3.1834741979999999</v>
      </c>
      <c r="AA1468" s="1">
        <v>3.5159502420000002</v>
      </c>
      <c r="AB1468" s="1">
        <v>3.404153038</v>
      </c>
      <c r="AC1468" s="1">
        <v>2.87258916</v>
      </c>
      <c r="AD1468" s="1">
        <v>2.9432342459999998</v>
      </c>
      <c r="AE1468" s="1">
        <v>2.803297787</v>
      </c>
    </row>
    <row r="1469" spans="1:31" x14ac:dyDescent="0.25">
      <c r="A1469" s="1" t="s">
        <v>801</v>
      </c>
      <c r="B1469" s="1" t="s">
        <v>2535</v>
      </c>
      <c r="C1469" s="1" t="s">
        <v>2535</v>
      </c>
      <c r="D1469" s="1" t="s">
        <v>2535</v>
      </c>
      <c r="E1469" s="1" t="s">
        <v>2535</v>
      </c>
      <c r="F1469" s="1" t="s">
        <v>2535</v>
      </c>
      <c r="G1469" s="1" t="s">
        <v>801</v>
      </c>
      <c r="H1469" s="1">
        <v>1.7393328349999999</v>
      </c>
      <c r="I1469" s="1">
        <v>2.5655118899999998</v>
      </c>
      <c r="J1469" s="1">
        <v>2.5640169199999998</v>
      </c>
      <c r="K1469" s="1">
        <v>2.9677134359999999</v>
      </c>
      <c r="L1469" s="1">
        <v>3.3025959560000002</v>
      </c>
      <c r="M1469" s="1">
        <v>2.3994532390000001</v>
      </c>
      <c r="N1469" s="1">
        <v>2.628425199</v>
      </c>
      <c r="O1469" s="1">
        <v>2.883783352</v>
      </c>
      <c r="P1469" s="1">
        <v>2.8687501260000001</v>
      </c>
      <c r="Q1469" s="1">
        <v>2.935765398</v>
      </c>
      <c r="R1469" s="1">
        <v>1.7393328349999999</v>
      </c>
      <c r="S1469" s="1">
        <v>2.5733617299999998</v>
      </c>
      <c r="T1469" s="1">
        <v>3.3025959560000002</v>
      </c>
      <c r="U1469" s="1">
        <v>2.3994532390000001</v>
      </c>
      <c r="V1469" s="1">
        <v>2.5140266200000001</v>
      </c>
      <c r="W1469" s="1">
        <v>3.0218530750000001</v>
      </c>
      <c r="X1469" s="1">
        <v>2.9542167930000001</v>
      </c>
      <c r="Y1469" s="1">
        <v>3.229986142</v>
      </c>
      <c r="Z1469" s="1">
        <v>1.7393328349999999</v>
      </c>
      <c r="AA1469" s="1">
        <v>2.5733617299999998</v>
      </c>
      <c r="AB1469" s="1">
        <v>3.1218319999999999</v>
      </c>
      <c r="AC1469" s="1">
        <v>3.1109927919999998</v>
      </c>
      <c r="AD1469" s="1">
        <v>2.9432342459999998</v>
      </c>
      <c r="AE1469" s="1">
        <v>2.803297787</v>
      </c>
    </row>
    <row r="1470" spans="1:31" x14ac:dyDescent="0.25">
      <c r="A1470" s="1" t="s">
        <v>802</v>
      </c>
      <c r="B1470" s="1" t="s">
        <v>2608</v>
      </c>
      <c r="C1470" s="1" t="s">
        <v>2758</v>
      </c>
      <c r="D1470" s="1" t="s">
        <v>2759</v>
      </c>
      <c r="E1470" s="1" t="s">
        <v>4882</v>
      </c>
      <c r="F1470" s="1" t="s">
        <v>4883</v>
      </c>
      <c r="G1470" s="1" t="s">
        <v>802</v>
      </c>
      <c r="H1470" s="1">
        <v>7.8705015310000004</v>
      </c>
      <c r="I1470" s="1">
        <v>8.0643696489999996</v>
      </c>
      <c r="J1470" s="1">
        <v>8.3393614639999996</v>
      </c>
      <c r="K1470" s="1">
        <v>8.3907991590000002</v>
      </c>
      <c r="L1470" s="1">
        <v>8.5079964889999999</v>
      </c>
      <c r="M1470" s="1">
        <v>8.3007928399999997</v>
      </c>
      <c r="N1470" s="1">
        <v>7.9508890750000001</v>
      </c>
      <c r="O1470" s="1">
        <v>7.9707577330000001</v>
      </c>
      <c r="P1470" s="1">
        <v>8.1515717839999997</v>
      </c>
      <c r="Q1470" s="1">
        <v>8.3819792769999992</v>
      </c>
      <c r="R1470" s="1">
        <v>8.2681581980000001</v>
      </c>
      <c r="S1470" s="1">
        <v>8.1217457230000001</v>
      </c>
      <c r="T1470" s="1">
        <v>8.5079964889999999</v>
      </c>
      <c r="U1470" s="1">
        <v>8.3007928399999997</v>
      </c>
      <c r="V1470" s="1">
        <v>8.1879312770000006</v>
      </c>
      <c r="W1470" s="1">
        <v>8.3503742620000008</v>
      </c>
      <c r="X1470" s="1">
        <v>8.0512424879999998</v>
      </c>
      <c r="Y1470" s="1">
        <v>8.2593170810000007</v>
      </c>
      <c r="Z1470" s="1">
        <v>8.2681581980000001</v>
      </c>
      <c r="AA1470" s="1">
        <v>8.1217457230000001</v>
      </c>
      <c r="AB1470" s="1">
        <v>7.8655635909999999</v>
      </c>
      <c r="AC1470" s="1">
        <v>8.1451390279999991</v>
      </c>
      <c r="AD1470" s="1">
        <v>7.8883179070000002</v>
      </c>
      <c r="AE1470" s="1">
        <v>8.0043077389999997</v>
      </c>
    </row>
    <row r="1471" spans="1:31" x14ac:dyDescent="0.25">
      <c r="A1471" s="1" t="s">
        <v>803</v>
      </c>
      <c r="B1471" s="1" t="s">
        <v>2530</v>
      </c>
      <c r="C1471" s="1" t="s">
        <v>2573</v>
      </c>
      <c r="D1471" s="1" t="s">
        <v>2535</v>
      </c>
      <c r="E1471" s="1" t="s">
        <v>4884</v>
      </c>
      <c r="G1471" s="1" t="s">
        <v>803</v>
      </c>
      <c r="H1471" s="1">
        <v>4.995162745</v>
      </c>
      <c r="I1471" s="1">
        <v>5.8070199389999999</v>
      </c>
      <c r="J1471" s="1">
        <v>6.0178848</v>
      </c>
      <c r="K1471" s="1">
        <v>6.3412685260000003</v>
      </c>
      <c r="L1471" s="1">
        <v>6.0539165129999999</v>
      </c>
      <c r="M1471" s="1">
        <v>5.8857020010000003</v>
      </c>
      <c r="N1471" s="1">
        <v>5.6141964020000001</v>
      </c>
      <c r="O1471" s="1">
        <v>5.8051520590000001</v>
      </c>
      <c r="P1471" s="1">
        <v>6.1950446890000004</v>
      </c>
      <c r="Q1471" s="1">
        <v>5.9352426600000001</v>
      </c>
      <c r="R1471" s="1">
        <v>6.0146875240000002</v>
      </c>
      <c r="S1471" s="1">
        <v>5.9707657090000001</v>
      </c>
      <c r="T1471" s="1">
        <v>6.0539165129999999</v>
      </c>
      <c r="U1471" s="1">
        <v>5.8857020010000003</v>
      </c>
      <c r="V1471" s="1">
        <v>5.9243031000000004</v>
      </c>
      <c r="W1471" s="1">
        <v>5.9072448660000001</v>
      </c>
      <c r="X1471" s="1">
        <v>6.0197853329999997</v>
      </c>
      <c r="Y1471" s="1">
        <v>6.4855214879999998</v>
      </c>
      <c r="Z1471" s="1">
        <v>6.0146875240000002</v>
      </c>
      <c r="AA1471" s="1">
        <v>5.9707657090000001</v>
      </c>
      <c r="AB1471" s="1">
        <v>6.0812876019999997</v>
      </c>
      <c r="AC1471" s="1">
        <v>5.9991619270000003</v>
      </c>
      <c r="AD1471" s="1">
        <v>6.284744441</v>
      </c>
      <c r="AE1471" s="1">
        <v>5.868211906</v>
      </c>
    </row>
    <row r="1472" spans="1:31" x14ac:dyDescent="0.25">
      <c r="A1472" s="1" t="s">
        <v>804</v>
      </c>
      <c r="B1472" s="1" t="s">
        <v>2530</v>
      </c>
      <c r="C1472" s="1" t="s">
        <v>2531</v>
      </c>
      <c r="D1472" s="1" t="s">
        <v>2535</v>
      </c>
      <c r="E1472" s="1" t="s">
        <v>2536</v>
      </c>
      <c r="G1472" s="1" t="s">
        <v>804</v>
      </c>
      <c r="H1472" s="1">
        <v>4.4805534380000003</v>
      </c>
      <c r="I1472" s="1">
        <v>4.5280931029999998</v>
      </c>
      <c r="J1472" s="1">
        <v>4.3724365990000003</v>
      </c>
      <c r="K1472" s="1">
        <v>4.0244910950000001</v>
      </c>
      <c r="L1472" s="1">
        <v>4.5190290319999997</v>
      </c>
      <c r="M1472" s="1">
        <v>4.059937712</v>
      </c>
      <c r="N1472" s="1">
        <v>4.5776172920000002</v>
      </c>
      <c r="O1472" s="1">
        <v>4.8288877169999997</v>
      </c>
      <c r="P1472" s="1">
        <v>3.86011382</v>
      </c>
      <c r="Q1472" s="1">
        <v>4.683187717</v>
      </c>
      <c r="R1472" s="1">
        <v>4.6083586160000003</v>
      </c>
      <c r="S1472" s="1">
        <v>3.7977317990000001</v>
      </c>
      <c r="T1472" s="1">
        <v>4.5190290319999997</v>
      </c>
      <c r="U1472" s="1">
        <v>4.059937712</v>
      </c>
      <c r="V1472" s="1">
        <v>4.4559512029999997</v>
      </c>
      <c r="W1472" s="1">
        <v>4.6166922860000001</v>
      </c>
      <c r="X1472" s="1">
        <v>4.4920419310000002</v>
      </c>
      <c r="Y1472" s="1">
        <v>4.8250325140000001</v>
      </c>
      <c r="Z1472" s="1">
        <v>4.6083586160000003</v>
      </c>
      <c r="AA1472" s="1">
        <v>3.7977317990000001</v>
      </c>
      <c r="AB1472" s="1">
        <v>4.6096720080000004</v>
      </c>
      <c r="AC1472" s="1">
        <v>3.7481372300000002</v>
      </c>
      <c r="AD1472" s="1">
        <v>4.7657555159999996</v>
      </c>
      <c r="AE1472" s="1">
        <v>4.7290680490000003</v>
      </c>
    </row>
    <row r="1473" spans="1:31" x14ac:dyDescent="0.25">
      <c r="A1473" s="1" t="s">
        <v>806</v>
      </c>
      <c r="B1473" s="1" t="s">
        <v>2530</v>
      </c>
      <c r="C1473" s="1" t="s">
        <v>2531</v>
      </c>
      <c r="D1473" s="1" t="s">
        <v>2535</v>
      </c>
      <c r="E1473" s="1" t="s">
        <v>2536</v>
      </c>
      <c r="G1473" s="1" t="s">
        <v>806</v>
      </c>
      <c r="H1473" s="1">
        <v>4.0684382540000001</v>
      </c>
      <c r="I1473" s="1">
        <v>3.7806045529999999</v>
      </c>
      <c r="J1473" s="1">
        <v>3.4977151119999998</v>
      </c>
      <c r="K1473" s="1">
        <v>3.22334677</v>
      </c>
      <c r="L1473" s="1">
        <v>4.0223143549999998</v>
      </c>
      <c r="M1473" s="1">
        <v>3.7747836370000001</v>
      </c>
      <c r="N1473" s="1">
        <v>4.3596796910000002</v>
      </c>
      <c r="O1473" s="1">
        <v>4.6248126879999996</v>
      </c>
      <c r="P1473" s="1">
        <v>4.2485661720000003</v>
      </c>
      <c r="Q1473" s="1">
        <v>1.7393328349999999</v>
      </c>
      <c r="R1473" s="1">
        <v>3.386455024</v>
      </c>
      <c r="S1473" s="1">
        <v>2.5733617299999998</v>
      </c>
      <c r="T1473" s="1">
        <v>4.0223143549999998</v>
      </c>
      <c r="U1473" s="1">
        <v>3.7747836370000001</v>
      </c>
      <c r="V1473" s="1">
        <v>3.2389700330000002</v>
      </c>
      <c r="W1473" s="1">
        <v>3.8431653940000001</v>
      </c>
      <c r="X1473" s="1">
        <v>3.6673381269999998</v>
      </c>
      <c r="Y1473" s="1">
        <v>2.9733498090000001</v>
      </c>
      <c r="Z1473" s="1">
        <v>3.386455024</v>
      </c>
      <c r="AA1473" s="1">
        <v>2.5733617299999998</v>
      </c>
      <c r="AB1473" s="1">
        <v>3.8237667059999998</v>
      </c>
      <c r="AC1473" s="1">
        <v>3.3054795530000001</v>
      </c>
      <c r="AD1473" s="1">
        <v>3.3987395579999999</v>
      </c>
      <c r="AE1473" s="1">
        <v>4.124053773</v>
      </c>
    </row>
    <row r="1474" spans="1:31" x14ac:dyDescent="0.25">
      <c r="A1474" s="1" t="s">
        <v>807</v>
      </c>
      <c r="B1474" s="1" t="s">
        <v>2525</v>
      </c>
      <c r="C1474" s="1" t="s">
        <v>2526</v>
      </c>
      <c r="D1474" s="1" t="s">
        <v>3206</v>
      </c>
      <c r="E1474" s="1" t="s">
        <v>4121</v>
      </c>
      <c r="F1474" s="1" t="s">
        <v>4122</v>
      </c>
      <c r="G1474" s="1" t="s">
        <v>807</v>
      </c>
      <c r="H1474" s="1">
        <v>9.03158949</v>
      </c>
      <c r="I1474" s="1">
        <v>8.9413797069999994</v>
      </c>
      <c r="J1474" s="1">
        <v>9.7250327030000001</v>
      </c>
      <c r="K1474" s="1">
        <v>9.6244826579999998</v>
      </c>
      <c r="L1474" s="1">
        <v>10.02387459</v>
      </c>
      <c r="M1474" s="1">
        <v>9.9539288389999996</v>
      </c>
      <c r="N1474" s="1">
        <v>9.1909275279999996</v>
      </c>
      <c r="O1474" s="1">
        <v>9.2584216599999998</v>
      </c>
      <c r="P1474" s="1">
        <v>9.5619823410000002</v>
      </c>
      <c r="Q1474" s="1">
        <v>9.7003640349999998</v>
      </c>
      <c r="R1474" s="1">
        <v>9.7595480010000006</v>
      </c>
      <c r="S1474" s="1">
        <v>9.7940415999999999</v>
      </c>
      <c r="T1474" s="1">
        <v>10.02387459</v>
      </c>
      <c r="U1474" s="1">
        <v>9.9539288389999996</v>
      </c>
      <c r="V1474" s="1">
        <v>9.5977192779999996</v>
      </c>
      <c r="W1474" s="1">
        <v>9.6432198840000005</v>
      </c>
      <c r="X1474" s="1">
        <v>9.5933563930000005</v>
      </c>
      <c r="Y1474" s="1">
        <v>9.5361643740000002</v>
      </c>
      <c r="Z1474" s="1">
        <v>9.7595480010000006</v>
      </c>
      <c r="AA1474" s="1">
        <v>9.7940415999999999</v>
      </c>
      <c r="AB1474" s="1">
        <v>9.6208308250000005</v>
      </c>
      <c r="AC1474" s="1">
        <v>9.7017917400000009</v>
      </c>
      <c r="AD1474" s="1">
        <v>9.4986965380000008</v>
      </c>
      <c r="AE1474" s="1">
        <v>9.4103087090000006</v>
      </c>
    </row>
    <row r="1475" spans="1:31" x14ac:dyDescent="0.25">
      <c r="A1475" s="1" t="s">
        <v>808</v>
      </c>
      <c r="B1475" s="1" t="s">
        <v>2547</v>
      </c>
      <c r="C1475" s="1" t="s">
        <v>2789</v>
      </c>
      <c r="D1475" s="1" t="s">
        <v>4127</v>
      </c>
      <c r="E1475" s="1" t="s">
        <v>4885</v>
      </c>
      <c r="F1475" s="1" t="s">
        <v>4886</v>
      </c>
      <c r="G1475" s="1" t="s">
        <v>808</v>
      </c>
      <c r="H1475" s="1">
        <v>6.8525976059999998</v>
      </c>
      <c r="I1475" s="1">
        <v>7.2877765649999997</v>
      </c>
      <c r="J1475" s="1">
        <v>7.2079908670000004</v>
      </c>
      <c r="K1475" s="1">
        <v>7.2340224260000001</v>
      </c>
      <c r="L1475" s="1">
        <v>7.0544889050000004</v>
      </c>
      <c r="M1475" s="1">
        <v>7.4051365179999999</v>
      </c>
      <c r="N1475" s="1">
        <v>7.1097845480000004</v>
      </c>
      <c r="O1475" s="1">
        <v>7.3359106240000003</v>
      </c>
      <c r="P1475" s="1">
        <v>7.3072918209999997</v>
      </c>
      <c r="Q1475" s="1">
        <v>7.5145739430000003</v>
      </c>
      <c r="R1475" s="1">
        <v>6.9693685500000004</v>
      </c>
      <c r="S1475" s="1">
        <v>7.2508471459999999</v>
      </c>
      <c r="T1475" s="1">
        <v>7.0544889050000004</v>
      </c>
      <c r="U1475" s="1">
        <v>7.4051365179999999</v>
      </c>
      <c r="V1475" s="1">
        <v>7.3080101959999997</v>
      </c>
      <c r="W1475" s="1">
        <v>7.3357764689999998</v>
      </c>
      <c r="X1475" s="1">
        <v>7.1706350160000003</v>
      </c>
      <c r="Y1475" s="1">
        <v>7.3657028609999999</v>
      </c>
      <c r="Z1475" s="1">
        <v>6.9693685500000004</v>
      </c>
      <c r="AA1475" s="1">
        <v>7.2508471459999999</v>
      </c>
      <c r="AB1475" s="1">
        <v>6.9924202729999996</v>
      </c>
      <c r="AC1475" s="1">
        <v>6.9630080459999997</v>
      </c>
      <c r="AD1475" s="1">
        <v>6.4362874889999997</v>
      </c>
      <c r="AE1475" s="1">
        <v>7.150898411</v>
      </c>
    </row>
    <row r="1476" spans="1:31" x14ac:dyDescent="0.25">
      <c r="A1476" s="1" t="s">
        <v>809</v>
      </c>
      <c r="B1476" s="1" t="s">
        <v>2667</v>
      </c>
      <c r="C1476" s="1" t="s">
        <v>2867</v>
      </c>
      <c r="D1476" s="1" t="s">
        <v>2964</v>
      </c>
      <c r="E1476" s="1" t="s">
        <v>4887</v>
      </c>
      <c r="F1476" s="1" t="s">
        <v>4888</v>
      </c>
      <c r="G1476" s="1" t="s">
        <v>809</v>
      </c>
      <c r="H1476" s="1">
        <v>5.1131742039999999</v>
      </c>
      <c r="I1476" s="1">
        <v>5.1998500889999999</v>
      </c>
      <c r="J1476" s="1">
        <v>5.8869626679999998</v>
      </c>
      <c r="K1476" s="1">
        <v>6.0075713720000001</v>
      </c>
      <c r="L1476" s="1">
        <v>6.469468451</v>
      </c>
      <c r="M1476" s="1">
        <v>6.6298516919999999</v>
      </c>
      <c r="N1476" s="1">
        <v>5.894631425</v>
      </c>
      <c r="O1476" s="1">
        <v>5.9330167859999996</v>
      </c>
      <c r="P1476" s="1">
        <v>5.8618301099999996</v>
      </c>
      <c r="Q1476" s="1">
        <v>6.098094251</v>
      </c>
      <c r="R1476" s="1">
        <v>6.2855941240000002</v>
      </c>
      <c r="S1476" s="1">
        <v>6.4595501860000004</v>
      </c>
      <c r="T1476" s="1">
        <v>6.469468451</v>
      </c>
      <c r="U1476" s="1">
        <v>6.6298516919999999</v>
      </c>
      <c r="V1476" s="1">
        <v>6.3130184290000004</v>
      </c>
      <c r="W1476" s="1">
        <v>5.9072448660000001</v>
      </c>
      <c r="X1476" s="1">
        <v>5.8725355390000002</v>
      </c>
      <c r="Y1476" s="1">
        <v>6.4644452860000001</v>
      </c>
      <c r="Z1476" s="1">
        <v>6.2855941240000002</v>
      </c>
      <c r="AA1476" s="1">
        <v>6.4595501860000004</v>
      </c>
      <c r="AB1476" s="1">
        <v>6.2478766610000003</v>
      </c>
      <c r="AC1476" s="1">
        <v>5.9492644930000003</v>
      </c>
      <c r="AD1476" s="1">
        <v>6.0893990919999998</v>
      </c>
      <c r="AE1476" s="1">
        <v>6.086150795</v>
      </c>
    </row>
    <row r="1477" spans="1:31" x14ac:dyDescent="0.25">
      <c r="A1477" s="1" t="s">
        <v>811</v>
      </c>
      <c r="B1477" s="1" t="s">
        <v>2530</v>
      </c>
      <c r="C1477" s="1" t="s">
        <v>2531</v>
      </c>
      <c r="D1477" s="1" t="s">
        <v>2535</v>
      </c>
      <c r="E1477" s="1" t="s">
        <v>2536</v>
      </c>
      <c r="G1477" s="1" t="s">
        <v>811</v>
      </c>
      <c r="H1477" s="1">
        <v>6.8525976059999998</v>
      </c>
      <c r="I1477" s="1">
        <v>7.7391795520000004</v>
      </c>
      <c r="J1477" s="1">
        <v>7.5733856289999997</v>
      </c>
      <c r="K1477" s="1">
        <v>7.0780075809999996</v>
      </c>
      <c r="L1477" s="1">
        <v>7.236042812</v>
      </c>
      <c r="M1477" s="1">
        <v>7.5102295459999997</v>
      </c>
      <c r="N1477" s="1">
        <v>7.4110769220000003</v>
      </c>
      <c r="O1477" s="1">
        <v>7.130826946</v>
      </c>
      <c r="P1477" s="1">
        <v>7.751241759</v>
      </c>
      <c r="Q1477" s="1">
        <v>7.7446185060000001</v>
      </c>
      <c r="R1477" s="1">
        <v>7.5571665660000003</v>
      </c>
      <c r="S1477" s="1">
        <v>7.6056493469999999</v>
      </c>
      <c r="T1477" s="1">
        <v>7.236042812</v>
      </c>
      <c r="U1477" s="1">
        <v>7.5102295459999997</v>
      </c>
      <c r="V1477" s="1">
        <v>7.4772993139999997</v>
      </c>
      <c r="W1477" s="1">
        <v>7.2845395589999997</v>
      </c>
      <c r="X1477" s="1">
        <v>7.2679051220000002</v>
      </c>
      <c r="Y1477" s="1">
        <v>7.1452643309999999</v>
      </c>
      <c r="Z1477" s="1">
        <v>7.5571665660000003</v>
      </c>
      <c r="AA1477" s="1">
        <v>7.6056493469999999</v>
      </c>
      <c r="AB1477" s="1">
        <v>7.5203499220000003</v>
      </c>
      <c r="AC1477" s="1">
        <v>7.6872396780000001</v>
      </c>
      <c r="AD1477" s="1">
        <v>7.4840748010000002</v>
      </c>
      <c r="AE1477" s="1">
        <v>7.207654571</v>
      </c>
    </row>
    <row r="1478" spans="1:31" x14ac:dyDescent="0.25">
      <c r="A1478" s="1" t="s">
        <v>821</v>
      </c>
      <c r="B1478" s="1" t="s">
        <v>2579</v>
      </c>
      <c r="C1478" s="1" t="s">
        <v>2933</v>
      </c>
      <c r="D1478" s="1" t="s">
        <v>4889</v>
      </c>
      <c r="E1478" s="1" t="s">
        <v>4890</v>
      </c>
      <c r="F1478" s="1" t="s">
        <v>4891</v>
      </c>
      <c r="G1478" s="1" t="s">
        <v>821</v>
      </c>
      <c r="H1478" s="1">
        <v>9.1559042650000002</v>
      </c>
      <c r="I1478" s="1">
        <v>8.3041023070000008</v>
      </c>
      <c r="J1478" s="1">
        <v>9.5825389029999997</v>
      </c>
      <c r="K1478" s="1">
        <v>9.4150190980000001</v>
      </c>
      <c r="L1478" s="1">
        <v>9.2442962350000002</v>
      </c>
      <c r="M1478" s="1">
        <v>9.5327914729999996</v>
      </c>
      <c r="N1478" s="1">
        <v>7.4439906589999998</v>
      </c>
      <c r="O1478" s="1">
        <v>7.8187182750000002</v>
      </c>
      <c r="P1478" s="1">
        <v>9.3593744609999998</v>
      </c>
      <c r="Q1478" s="1">
        <v>9.6401059349999993</v>
      </c>
      <c r="R1478" s="1">
        <v>9.7227889600000008</v>
      </c>
      <c r="S1478" s="1">
        <v>9.6531403250000007</v>
      </c>
      <c r="T1478" s="1">
        <v>9.2442962350000002</v>
      </c>
      <c r="U1478" s="1">
        <v>9.5327914729999996</v>
      </c>
      <c r="V1478" s="1">
        <v>9.4731464140000003</v>
      </c>
      <c r="W1478" s="1">
        <v>9.438808216</v>
      </c>
      <c r="X1478" s="1">
        <v>10.071025410000001</v>
      </c>
      <c r="Y1478" s="1">
        <v>9.6936733579999999</v>
      </c>
      <c r="Z1478" s="1">
        <v>9.7227889600000008</v>
      </c>
      <c r="AA1478" s="1">
        <v>9.6531403250000007</v>
      </c>
      <c r="AB1478" s="1">
        <v>9.9059103270000008</v>
      </c>
      <c r="AC1478" s="1">
        <v>9.7998071069999995</v>
      </c>
      <c r="AD1478" s="1">
        <v>9.9396566190000009</v>
      </c>
      <c r="AE1478" s="1">
        <v>9.8302052230000001</v>
      </c>
    </row>
    <row r="1479" spans="1:31" x14ac:dyDescent="0.25">
      <c r="A1479" s="1" t="s">
        <v>822</v>
      </c>
      <c r="B1479" s="1" t="s">
        <v>2579</v>
      </c>
      <c r="C1479" s="1" t="s">
        <v>2933</v>
      </c>
      <c r="D1479" s="1" t="s">
        <v>4889</v>
      </c>
      <c r="E1479" s="1" t="s">
        <v>4892</v>
      </c>
      <c r="F1479" s="1" t="s">
        <v>4893</v>
      </c>
      <c r="G1479" s="1" t="s">
        <v>822</v>
      </c>
      <c r="H1479" s="1">
        <v>9.7701306189999997</v>
      </c>
      <c r="I1479" s="1">
        <v>8.8598677069999994</v>
      </c>
      <c r="J1479" s="1">
        <v>9.3420785619999993</v>
      </c>
      <c r="K1479" s="1">
        <v>9.4761739269999996</v>
      </c>
      <c r="L1479" s="1">
        <v>9.0360254250000001</v>
      </c>
      <c r="M1479" s="1">
        <v>9.3356551079999992</v>
      </c>
      <c r="N1479" s="1">
        <v>8.5979728489999996</v>
      </c>
      <c r="O1479" s="1">
        <v>8.5642535199999994</v>
      </c>
      <c r="P1479" s="1">
        <v>9.3617369329999995</v>
      </c>
      <c r="Q1479" s="1">
        <v>9.4601106549999994</v>
      </c>
      <c r="R1479" s="1">
        <v>9.1486295979999994</v>
      </c>
      <c r="S1479" s="1">
        <v>9.2664603630000002</v>
      </c>
      <c r="T1479" s="1">
        <v>9.0360254250000001</v>
      </c>
      <c r="U1479" s="1">
        <v>9.3356551079999992</v>
      </c>
      <c r="V1479" s="1">
        <v>9.2669226669999993</v>
      </c>
      <c r="W1479" s="1">
        <v>9.1936501869999994</v>
      </c>
      <c r="X1479" s="1">
        <v>9.7738466240000008</v>
      </c>
      <c r="Y1479" s="1">
        <v>9.4234418860000009</v>
      </c>
      <c r="Z1479" s="1">
        <v>9.1486295979999994</v>
      </c>
      <c r="AA1479" s="1">
        <v>9.2664603630000002</v>
      </c>
      <c r="AB1479" s="1">
        <v>9.4975077950000006</v>
      </c>
      <c r="AC1479" s="1">
        <v>9.2691996989999996</v>
      </c>
      <c r="AD1479" s="1">
        <v>9.6456809299999993</v>
      </c>
      <c r="AE1479" s="1">
        <v>9.4746436739999993</v>
      </c>
    </row>
    <row r="1480" spans="1:31" x14ac:dyDescent="0.25">
      <c r="A1480" s="1" t="s">
        <v>825</v>
      </c>
      <c r="B1480" s="1" t="s">
        <v>2598</v>
      </c>
      <c r="C1480" s="1" t="s">
        <v>2603</v>
      </c>
      <c r="D1480" s="1" t="s">
        <v>4031</v>
      </c>
      <c r="E1480" s="1" t="s">
        <v>4894</v>
      </c>
      <c r="F1480" s="1" t="s">
        <v>4895</v>
      </c>
      <c r="G1480" s="1" t="s">
        <v>825</v>
      </c>
      <c r="H1480" s="1">
        <v>4.5667504939999999</v>
      </c>
      <c r="I1480" s="1">
        <v>4.7284970130000001</v>
      </c>
      <c r="J1480" s="1">
        <v>3.329519721</v>
      </c>
      <c r="K1480" s="1">
        <v>3.22334677</v>
      </c>
      <c r="L1480" s="1">
        <v>4.2932354009999996</v>
      </c>
      <c r="M1480" s="1">
        <v>3.6924658159999999</v>
      </c>
      <c r="N1480" s="1">
        <v>4.5366957899999996</v>
      </c>
      <c r="O1480" s="1">
        <v>3.9591193910000002</v>
      </c>
      <c r="P1480" s="1">
        <v>4.0684607960000001</v>
      </c>
      <c r="Q1480" s="1">
        <v>3.8492287269999999</v>
      </c>
      <c r="R1480" s="1">
        <v>2.595728008</v>
      </c>
      <c r="S1480" s="1">
        <v>3.5159502420000002</v>
      </c>
      <c r="T1480" s="1">
        <v>4.2932354009999996</v>
      </c>
      <c r="U1480" s="1">
        <v>3.6924658159999999</v>
      </c>
      <c r="V1480" s="1">
        <v>3.0516113059999999</v>
      </c>
      <c r="W1480" s="1">
        <v>3.8431653940000001</v>
      </c>
      <c r="X1480" s="1">
        <v>3.8119046220000001</v>
      </c>
      <c r="Y1480" s="1">
        <v>4.0337379980000003</v>
      </c>
      <c r="Z1480" s="1">
        <v>2.595728008</v>
      </c>
      <c r="AA1480" s="1">
        <v>3.5159502420000002</v>
      </c>
      <c r="AB1480" s="1">
        <v>4.139369361</v>
      </c>
      <c r="AC1480" s="1">
        <v>4.5576875899999996</v>
      </c>
      <c r="AD1480" s="1">
        <v>3.8610926929999998</v>
      </c>
      <c r="AE1480" s="1">
        <v>4.0105905760000002</v>
      </c>
    </row>
    <row r="1481" spans="1:31" x14ac:dyDescent="0.25">
      <c r="A1481" s="1" t="s">
        <v>826</v>
      </c>
      <c r="B1481" s="1" t="s">
        <v>2530</v>
      </c>
      <c r="C1481" s="1" t="s">
        <v>2531</v>
      </c>
      <c r="D1481" s="1" t="s">
        <v>2535</v>
      </c>
      <c r="E1481" s="1" t="s">
        <v>2536</v>
      </c>
      <c r="G1481" s="1" t="s">
        <v>826</v>
      </c>
      <c r="H1481" s="1">
        <v>4.0684382540000001</v>
      </c>
      <c r="I1481" s="1">
        <v>4.2936285989999998</v>
      </c>
      <c r="J1481" s="1">
        <v>3.7773371739999999</v>
      </c>
      <c r="K1481" s="1">
        <v>4.8793048219999999</v>
      </c>
      <c r="L1481" s="1">
        <v>3.6811173419999998</v>
      </c>
      <c r="M1481" s="1">
        <v>3.4067547010000001</v>
      </c>
      <c r="N1481" s="1">
        <v>4.1002678350000004</v>
      </c>
      <c r="O1481" s="1">
        <v>3.9591193910000002</v>
      </c>
      <c r="P1481" s="1">
        <v>3.3003929539999999</v>
      </c>
      <c r="Q1481" s="1">
        <v>3.8492287269999999</v>
      </c>
      <c r="R1481" s="1">
        <v>4.45403635</v>
      </c>
      <c r="S1481" s="1">
        <v>4.0285685429999996</v>
      </c>
      <c r="T1481" s="1">
        <v>3.6811173419999998</v>
      </c>
      <c r="U1481" s="1">
        <v>3.4067547010000001</v>
      </c>
      <c r="V1481" s="1">
        <v>3.7819764450000002</v>
      </c>
      <c r="W1481" s="1">
        <v>3.50175473</v>
      </c>
      <c r="X1481" s="1">
        <v>3.8119046220000001</v>
      </c>
      <c r="Y1481" s="1">
        <v>4.2532353330000001</v>
      </c>
      <c r="Z1481" s="1">
        <v>4.45403635</v>
      </c>
      <c r="AA1481" s="1">
        <v>4.0285685429999996</v>
      </c>
      <c r="AB1481" s="1">
        <v>4.139369361</v>
      </c>
      <c r="AC1481" s="1">
        <v>3.4716344729999999</v>
      </c>
      <c r="AD1481" s="1">
        <v>3.725077481</v>
      </c>
      <c r="AE1481" s="1">
        <v>3.7492737119999999</v>
      </c>
    </row>
    <row r="1482" spans="1:31" x14ac:dyDescent="0.25">
      <c r="A1482" s="1" t="s">
        <v>828</v>
      </c>
      <c r="B1482" s="1" t="s">
        <v>2530</v>
      </c>
      <c r="C1482" s="1" t="s">
        <v>2573</v>
      </c>
      <c r="D1482" s="1" t="s">
        <v>2535</v>
      </c>
      <c r="E1482" s="1" t="s">
        <v>4896</v>
      </c>
      <c r="G1482" s="1" t="s">
        <v>828</v>
      </c>
      <c r="H1482" s="1">
        <v>3.8023684370000002</v>
      </c>
      <c r="I1482" s="1">
        <v>4.2936285989999998</v>
      </c>
      <c r="J1482" s="1">
        <v>5.0051223570000003</v>
      </c>
      <c r="K1482" s="1">
        <v>4.5974987220000001</v>
      </c>
      <c r="L1482" s="1">
        <v>5.7251137559999998</v>
      </c>
      <c r="M1482" s="1">
        <v>5.5541105499999999</v>
      </c>
      <c r="N1482" s="1">
        <v>4.9627953409999996</v>
      </c>
      <c r="O1482" s="1">
        <v>5.1651541859999996</v>
      </c>
      <c r="P1482" s="1">
        <v>4.7394495640000001</v>
      </c>
      <c r="Q1482" s="1">
        <v>4.7509440400000003</v>
      </c>
      <c r="R1482" s="1">
        <v>4.9894654599999999</v>
      </c>
      <c r="S1482" s="1">
        <v>5.1778667870000001</v>
      </c>
      <c r="T1482" s="1">
        <v>5.7251137559999998</v>
      </c>
      <c r="U1482" s="1">
        <v>5.5541105499999999</v>
      </c>
      <c r="V1482" s="1">
        <v>5.2072842770000003</v>
      </c>
      <c r="W1482" s="1">
        <v>5.2774499109999997</v>
      </c>
      <c r="X1482" s="1">
        <v>5.3098210989999997</v>
      </c>
      <c r="Y1482" s="1">
        <v>5.2297915760000002</v>
      </c>
      <c r="Z1482" s="1">
        <v>4.9894654599999999</v>
      </c>
      <c r="AA1482" s="1">
        <v>5.1778667870000001</v>
      </c>
      <c r="AB1482" s="1">
        <v>4.7958605490000004</v>
      </c>
      <c r="AC1482" s="1">
        <v>4.9145215069999999</v>
      </c>
      <c r="AD1482" s="1">
        <v>4.6978214539999996</v>
      </c>
      <c r="AE1482" s="1">
        <v>4.4163948289999997</v>
      </c>
    </row>
    <row r="1483" spans="1:31" x14ac:dyDescent="0.25">
      <c r="A1483" s="1" t="s">
        <v>830</v>
      </c>
      <c r="B1483" s="1" t="s">
        <v>2530</v>
      </c>
      <c r="C1483" s="1" t="s">
        <v>2531</v>
      </c>
      <c r="D1483" s="1" t="s">
        <v>2535</v>
      </c>
      <c r="E1483" s="1" t="s">
        <v>2536</v>
      </c>
      <c r="G1483" s="1" t="s">
        <v>830</v>
      </c>
      <c r="H1483" s="1">
        <v>8.189275168</v>
      </c>
      <c r="I1483" s="1">
        <v>8.7089860459999997</v>
      </c>
      <c r="J1483" s="1">
        <v>7.0212953349999996</v>
      </c>
      <c r="K1483" s="1">
        <v>7.492758244</v>
      </c>
      <c r="L1483" s="1">
        <v>7.030843001</v>
      </c>
      <c r="M1483" s="1">
        <v>6.8145785730000004</v>
      </c>
      <c r="N1483" s="1">
        <v>7.943236862</v>
      </c>
      <c r="O1483" s="1">
        <v>7.949379564</v>
      </c>
      <c r="P1483" s="1">
        <v>7.8352611239999996</v>
      </c>
      <c r="Q1483" s="1">
        <v>7.7115291260000003</v>
      </c>
      <c r="R1483" s="1">
        <v>6.941180041</v>
      </c>
      <c r="S1483" s="1">
        <v>7.1495149380000003</v>
      </c>
      <c r="T1483" s="1">
        <v>7.030843001</v>
      </c>
      <c r="U1483" s="1">
        <v>6.8145785730000004</v>
      </c>
      <c r="V1483" s="1">
        <v>7.0532434420000003</v>
      </c>
      <c r="W1483" s="1">
        <v>6.9968523659999997</v>
      </c>
      <c r="X1483" s="1">
        <v>7.207884827</v>
      </c>
      <c r="Y1483" s="1">
        <v>7.506252259</v>
      </c>
      <c r="Z1483" s="1">
        <v>6.941180041</v>
      </c>
      <c r="AA1483" s="1">
        <v>7.1495149380000003</v>
      </c>
      <c r="AB1483" s="1">
        <v>6.8954646989999997</v>
      </c>
      <c r="AC1483" s="1">
        <v>7.2155344560000003</v>
      </c>
      <c r="AD1483" s="1">
        <v>7.1875116349999999</v>
      </c>
      <c r="AE1483" s="1">
        <v>7.4253368870000003</v>
      </c>
    </row>
    <row r="1484" spans="1:31" x14ac:dyDescent="0.25">
      <c r="A1484" s="1" t="s">
        <v>831</v>
      </c>
      <c r="B1484" s="1" t="s">
        <v>2843</v>
      </c>
      <c r="C1484" s="1" t="s">
        <v>2903</v>
      </c>
      <c r="D1484" s="1" t="s">
        <v>2535</v>
      </c>
      <c r="E1484" s="1" t="s">
        <v>4897</v>
      </c>
      <c r="G1484" s="1" t="s">
        <v>831</v>
      </c>
      <c r="H1484" s="1">
        <v>5.4177093730000001</v>
      </c>
      <c r="I1484" s="1">
        <v>6.1880668090000004</v>
      </c>
      <c r="J1484" s="1">
        <v>4.5940881259999999</v>
      </c>
      <c r="K1484" s="1">
        <v>4.5171444090000001</v>
      </c>
      <c r="L1484" s="1">
        <v>5.3938587340000002</v>
      </c>
      <c r="M1484" s="1">
        <v>5.0606078119999998</v>
      </c>
      <c r="N1484" s="1">
        <v>6.0879362979999998</v>
      </c>
      <c r="O1484" s="1">
        <v>6.217434312</v>
      </c>
      <c r="P1484" s="1">
        <v>5.834784151</v>
      </c>
      <c r="Q1484" s="1">
        <v>5.6499570400000003</v>
      </c>
      <c r="R1484" s="1">
        <v>5.4182058560000002</v>
      </c>
      <c r="S1484" s="1">
        <v>5.2232498669999998</v>
      </c>
      <c r="T1484" s="1">
        <v>5.3938587340000002</v>
      </c>
      <c r="U1484" s="1">
        <v>5.0606078119999998</v>
      </c>
      <c r="V1484" s="1">
        <v>5.6103143839999996</v>
      </c>
      <c r="W1484" s="1">
        <v>4.9190341039999996</v>
      </c>
      <c r="X1484" s="1">
        <v>5.1646924079999996</v>
      </c>
      <c r="Y1484" s="1">
        <v>5.2792112080000004</v>
      </c>
      <c r="Z1484" s="1">
        <v>5.4182058560000002</v>
      </c>
      <c r="AA1484" s="1">
        <v>5.2232498669999998</v>
      </c>
      <c r="AB1484" s="1">
        <v>5.5276660309999999</v>
      </c>
      <c r="AC1484" s="1">
        <v>5.2411914069999996</v>
      </c>
      <c r="AD1484" s="1">
        <v>5.3091856960000001</v>
      </c>
      <c r="AE1484" s="1">
        <v>5.9296419269999996</v>
      </c>
    </row>
    <row r="1485" spans="1:31" x14ac:dyDescent="0.25">
      <c r="A1485" s="1" t="s">
        <v>834</v>
      </c>
      <c r="B1485" s="1" t="s">
        <v>2598</v>
      </c>
      <c r="C1485" s="1" t="s">
        <v>2531</v>
      </c>
      <c r="D1485" s="1" t="s">
        <v>2535</v>
      </c>
      <c r="E1485" s="1" t="s">
        <v>4898</v>
      </c>
      <c r="F1485" s="1" t="s">
        <v>4899</v>
      </c>
      <c r="G1485" s="1" t="s">
        <v>834</v>
      </c>
      <c r="H1485" s="1">
        <v>4.183793842</v>
      </c>
      <c r="I1485" s="1">
        <v>4.1114152529999997</v>
      </c>
      <c r="J1485" s="1">
        <v>2.5640169199999998</v>
      </c>
      <c r="K1485" s="1">
        <v>3.762021974</v>
      </c>
      <c r="L1485" s="1">
        <v>4.0714409539999998</v>
      </c>
      <c r="M1485" s="1">
        <v>3.6044002019999999</v>
      </c>
      <c r="N1485" s="1">
        <v>4.6936110280000003</v>
      </c>
      <c r="O1485" s="1">
        <v>4.2767880749999998</v>
      </c>
      <c r="P1485" s="1">
        <v>3.86011382</v>
      </c>
      <c r="Q1485" s="1">
        <v>3.185675432</v>
      </c>
      <c r="R1485" s="1">
        <v>2.9339002829999998</v>
      </c>
      <c r="S1485" s="1">
        <v>3.7977317990000001</v>
      </c>
      <c r="T1485" s="1">
        <v>4.0714409539999998</v>
      </c>
      <c r="U1485" s="1">
        <v>3.6044002019999999</v>
      </c>
      <c r="V1485" s="1">
        <v>3.5405335899999999</v>
      </c>
      <c r="W1485" s="1">
        <v>3.50175473</v>
      </c>
      <c r="X1485" s="1">
        <v>3.6673381269999998</v>
      </c>
      <c r="Y1485" s="1">
        <v>3.6154848500000001</v>
      </c>
      <c r="Z1485" s="1">
        <v>2.9339002829999998</v>
      </c>
      <c r="AA1485" s="1">
        <v>3.7977317990000001</v>
      </c>
      <c r="AB1485" s="1">
        <v>2.73487305</v>
      </c>
      <c r="AC1485" s="1">
        <v>3.4716344729999999</v>
      </c>
      <c r="AD1485" s="1">
        <v>3.1944880649999998</v>
      </c>
      <c r="AE1485" s="1">
        <v>3.213378847</v>
      </c>
    </row>
    <row r="1486" spans="1:31" x14ac:dyDescent="0.25">
      <c r="A1486" s="1" t="s">
        <v>840</v>
      </c>
      <c r="B1486" s="1" t="s">
        <v>2547</v>
      </c>
      <c r="C1486" s="1" t="s">
        <v>2566</v>
      </c>
      <c r="D1486" s="1" t="s">
        <v>2535</v>
      </c>
      <c r="E1486" s="1" t="s">
        <v>4900</v>
      </c>
      <c r="G1486" s="1" t="s">
        <v>840</v>
      </c>
      <c r="H1486" s="1">
        <v>5.2735834620000004</v>
      </c>
      <c r="I1486" s="1">
        <v>5.009480355</v>
      </c>
      <c r="J1486" s="1">
        <v>5.4400990890000003</v>
      </c>
      <c r="K1486" s="1">
        <v>5.3151275040000003</v>
      </c>
      <c r="L1486" s="1">
        <v>4.9864364329999997</v>
      </c>
      <c r="M1486" s="1">
        <v>5.0913316819999999</v>
      </c>
      <c r="N1486" s="1">
        <v>4.9001796750000004</v>
      </c>
      <c r="O1486" s="1">
        <v>5.2237789919999997</v>
      </c>
      <c r="P1486" s="1">
        <v>5.4627121560000003</v>
      </c>
      <c r="Q1486" s="1">
        <v>5.5022716190000001</v>
      </c>
      <c r="R1486" s="1">
        <v>5.2434057019999996</v>
      </c>
      <c r="S1486" s="1">
        <v>5.1778667870000001</v>
      </c>
      <c r="T1486" s="1">
        <v>4.9864364329999997</v>
      </c>
      <c r="U1486" s="1">
        <v>5.0913316819999999</v>
      </c>
      <c r="V1486" s="1">
        <v>5.7758979430000004</v>
      </c>
      <c r="W1486" s="1">
        <v>6.0370461979999996</v>
      </c>
      <c r="X1486" s="1">
        <v>5.4415021479999997</v>
      </c>
      <c r="Y1486" s="1">
        <v>6.1044436219999998</v>
      </c>
      <c r="Z1486" s="1">
        <v>5.2434057019999996</v>
      </c>
      <c r="AA1486" s="1">
        <v>5.1778667870000001</v>
      </c>
      <c r="AB1486" s="1">
        <v>5.5787398220000002</v>
      </c>
      <c r="AC1486" s="1">
        <v>5.4356573160000003</v>
      </c>
      <c r="AD1486" s="1">
        <v>5.6665831520000003</v>
      </c>
      <c r="AE1486" s="1">
        <v>5.820347505</v>
      </c>
    </row>
    <row r="1487" spans="1:31" x14ac:dyDescent="0.25">
      <c r="A1487" s="1" t="s">
        <v>842</v>
      </c>
      <c r="B1487" s="1" t="s">
        <v>2530</v>
      </c>
      <c r="C1487" s="1" t="s">
        <v>2573</v>
      </c>
      <c r="D1487" s="1" t="s">
        <v>2535</v>
      </c>
      <c r="E1487" s="1" t="s">
        <v>4901</v>
      </c>
      <c r="G1487" s="1" t="s">
        <v>842</v>
      </c>
      <c r="H1487" s="1">
        <v>7.0992043760000003</v>
      </c>
      <c r="I1487" s="1">
        <v>7.2348492340000004</v>
      </c>
      <c r="J1487" s="1">
        <v>8.5308205529999999</v>
      </c>
      <c r="K1487" s="1">
        <v>7.9556132220000002</v>
      </c>
      <c r="L1487" s="1">
        <v>8.3641130839999995</v>
      </c>
      <c r="M1487" s="1">
        <v>8.4925041100000005</v>
      </c>
      <c r="N1487" s="1">
        <v>6.5582948950000004</v>
      </c>
      <c r="O1487" s="1">
        <v>6.4178147000000001</v>
      </c>
      <c r="P1487" s="1">
        <v>8.6422307600000003</v>
      </c>
      <c r="Q1487" s="1">
        <v>8.5551469820000001</v>
      </c>
      <c r="R1487" s="1">
        <v>8.6797049499999996</v>
      </c>
      <c r="S1487" s="1">
        <v>8.8231814419999992</v>
      </c>
      <c r="T1487" s="1">
        <v>8.3641130839999995</v>
      </c>
      <c r="U1487" s="1">
        <v>8.4925041100000005</v>
      </c>
      <c r="V1487" s="1">
        <v>8.5062425099999999</v>
      </c>
      <c r="W1487" s="1">
        <v>8.0694039760000003</v>
      </c>
      <c r="X1487" s="1">
        <v>8.7001766669999991</v>
      </c>
      <c r="Y1487" s="1">
        <v>8.5957211359999999</v>
      </c>
      <c r="Z1487" s="1">
        <v>8.6797049499999996</v>
      </c>
      <c r="AA1487" s="1">
        <v>8.8231814419999992</v>
      </c>
      <c r="AB1487" s="1">
        <v>8.5525975689999996</v>
      </c>
      <c r="AC1487" s="1">
        <v>8.5265018010000002</v>
      </c>
      <c r="AD1487" s="1">
        <v>8.4723840270000004</v>
      </c>
      <c r="AE1487" s="1">
        <v>8.681800848</v>
      </c>
    </row>
    <row r="1488" spans="1:31" x14ac:dyDescent="0.25">
      <c r="A1488" s="1" t="s">
        <v>845</v>
      </c>
      <c r="B1488" s="1" t="s">
        <v>2520</v>
      </c>
      <c r="C1488" s="1" t="s">
        <v>2646</v>
      </c>
      <c r="D1488" s="1" t="s">
        <v>2535</v>
      </c>
      <c r="E1488" s="1" t="s">
        <v>4902</v>
      </c>
      <c r="F1488" s="1" t="s">
        <v>4903</v>
      </c>
      <c r="G1488" s="1" t="s">
        <v>845</v>
      </c>
      <c r="H1488" s="1">
        <v>7.3218989680000002</v>
      </c>
      <c r="I1488" s="1">
        <v>7.4073947770000004</v>
      </c>
      <c r="J1488" s="1">
        <v>7.581854527</v>
      </c>
      <c r="K1488" s="1">
        <v>7.5233248289999999</v>
      </c>
      <c r="L1488" s="1">
        <v>7.8531323989999997</v>
      </c>
      <c r="M1488" s="1">
        <v>7.8000108810000004</v>
      </c>
      <c r="N1488" s="1">
        <v>7.0468824679999997</v>
      </c>
      <c r="O1488" s="1">
        <v>7.2120894309999999</v>
      </c>
      <c r="P1488" s="1">
        <v>7.4998377830000003</v>
      </c>
      <c r="Q1488" s="1">
        <v>7.4855044560000001</v>
      </c>
      <c r="R1488" s="1">
        <v>7.5756138359999996</v>
      </c>
      <c r="S1488" s="1">
        <v>7.579919909</v>
      </c>
      <c r="T1488" s="1">
        <v>7.8531323989999997</v>
      </c>
      <c r="U1488" s="1">
        <v>7.8000108810000004</v>
      </c>
      <c r="V1488" s="1">
        <v>7.6782525760000002</v>
      </c>
      <c r="W1488" s="1">
        <v>7.8043647690000002</v>
      </c>
      <c r="X1488" s="1">
        <v>7.8733972420000002</v>
      </c>
      <c r="Y1488" s="1">
        <v>7.7862518840000003</v>
      </c>
      <c r="Z1488" s="1">
        <v>7.5756138359999996</v>
      </c>
      <c r="AA1488" s="1">
        <v>7.579919909</v>
      </c>
      <c r="AB1488" s="1">
        <v>7.7812810140000002</v>
      </c>
      <c r="AC1488" s="1">
        <v>7.6796288759999998</v>
      </c>
      <c r="AD1488" s="1">
        <v>7.6076808400000004</v>
      </c>
      <c r="AE1488" s="1">
        <v>7.5573444179999996</v>
      </c>
    </row>
    <row r="1489" spans="1:31" x14ac:dyDescent="0.25">
      <c r="A1489" s="1" t="s">
        <v>846</v>
      </c>
      <c r="B1489" s="1" t="s">
        <v>2530</v>
      </c>
      <c r="C1489" s="1" t="s">
        <v>2531</v>
      </c>
      <c r="D1489" s="1" t="s">
        <v>2535</v>
      </c>
      <c r="E1489" s="1" t="s">
        <v>2562</v>
      </c>
      <c r="G1489" s="1" t="s">
        <v>846</v>
      </c>
      <c r="H1489" s="1">
        <v>5.4626831620000003</v>
      </c>
      <c r="I1489" s="1">
        <v>5.8070199389999999</v>
      </c>
      <c r="J1489" s="1">
        <v>5.0051223570000003</v>
      </c>
      <c r="K1489" s="1">
        <v>5.0014827119999996</v>
      </c>
      <c r="L1489" s="1">
        <v>4.7429188570000003</v>
      </c>
      <c r="M1489" s="1">
        <v>4.8607408789999997</v>
      </c>
      <c r="N1489" s="1">
        <v>4.9930900400000002</v>
      </c>
      <c r="O1489" s="1">
        <v>5.6856657850000003</v>
      </c>
      <c r="P1489" s="1">
        <v>4.6791060150000003</v>
      </c>
      <c r="Q1489" s="1">
        <v>5.2000913229999997</v>
      </c>
      <c r="R1489" s="1">
        <v>4.7472384160000001</v>
      </c>
      <c r="S1489" s="1">
        <v>5.032286365</v>
      </c>
      <c r="T1489" s="1">
        <v>4.7429188570000003</v>
      </c>
      <c r="U1489" s="1">
        <v>4.8607408789999997</v>
      </c>
      <c r="V1489" s="1">
        <v>4.9527859210000003</v>
      </c>
      <c r="W1489" s="1">
        <v>5.427589942</v>
      </c>
      <c r="X1489" s="1">
        <v>4.8524813179999997</v>
      </c>
      <c r="Y1489" s="1">
        <v>5.3269702959999998</v>
      </c>
      <c r="Z1489" s="1">
        <v>4.7472384160000001</v>
      </c>
      <c r="AA1489" s="1">
        <v>5.032286365</v>
      </c>
      <c r="AB1489" s="1">
        <v>4.9601840040000003</v>
      </c>
      <c r="AC1489" s="1">
        <v>5.5407520860000004</v>
      </c>
      <c r="AD1489" s="1">
        <v>5.2159266190000002</v>
      </c>
      <c r="AE1489" s="1">
        <v>5.0415666330000004</v>
      </c>
    </row>
    <row r="1490" spans="1:31" x14ac:dyDescent="0.25">
      <c r="A1490" s="1" t="s">
        <v>847</v>
      </c>
      <c r="B1490" s="1" t="s">
        <v>2530</v>
      </c>
      <c r="C1490" s="1" t="s">
        <v>2573</v>
      </c>
      <c r="D1490" s="1" t="s">
        <v>2535</v>
      </c>
      <c r="E1490" s="1" t="s">
        <v>4904</v>
      </c>
      <c r="G1490" s="1" t="s">
        <v>847</v>
      </c>
      <c r="H1490" s="1">
        <v>4.3886087140000001</v>
      </c>
      <c r="I1490" s="1">
        <v>5.1078624770000003</v>
      </c>
      <c r="J1490" s="1">
        <v>4.2018709520000002</v>
      </c>
      <c r="K1490" s="1">
        <v>4.3408695499999999</v>
      </c>
      <c r="L1490" s="1">
        <v>4.8833754540000003</v>
      </c>
      <c r="M1490" s="1">
        <v>4.9970812499999999</v>
      </c>
      <c r="N1490" s="1">
        <v>5.428348615</v>
      </c>
      <c r="O1490" s="1">
        <v>5.4117878270000004</v>
      </c>
      <c r="P1490" s="1">
        <v>4.4075207919999997</v>
      </c>
      <c r="Q1490" s="1">
        <v>4.683187717</v>
      </c>
      <c r="R1490" s="1">
        <v>4.1841942410000001</v>
      </c>
      <c r="S1490" s="1">
        <v>4.4749637470000003</v>
      </c>
      <c r="T1490" s="1">
        <v>4.8833754540000003</v>
      </c>
      <c r="U1490" s="1">
        <v>4.9970812499999999</v>
      </c>
      <c r="V1490" s="1">
        <v>4.9055261469999998</v>
      </c>
      <c r="W1490" s="1">
        <v>4.2295768090000001</v>
      </c>
      <c r="X1490" s="1">
        <v>4.4502657640000001</v>
      </c>
      <c r="Y1490" s="1">
        <v>4.1479647589999997</v>
      </c>
      <c r="Z1490" s="1">
        <v>4.1841942410000001</v>
      </c>
      <c r="AA1490" s="1">
        <v>4.4749637470000003</v>
      </c>
      <c r="AB1490" s="1">
        <v>4.6096720080000004</v>
      </c>
      <c r="AC1490" s="1">
        <v>4.9660712470000004</v>
      </c>
      <c r="AD1490" s="1">
        <v>4.0967699450000001</v>
      </c>
      <c r="AE1490" s="1">
        <v>4.6199010239999998</v>
      </c>
    </row>
    <row r="1491" spans="1:31" x14ac:dyDescent="0.25">
      <c r="A1491" s="1" t="s">
        <v>853</v>
      </c>
      <c r="B1491" s="1" t="s">
        <v>2530</v>
      </c>
      <c r="C1491" s="1" t="s">
        <v>2531</v>
      </c>
      <c r="D1491" s="1" t="s">
        <v>2535</v>
      </c>
      <c r="E1491" s="1" t="s">
        <v>2536</v>
      </c>
      <c r="G1491" s="1" t="s">
        <v>853</v>
      </c>
      <c r="H1491" s="1">
        <v>4.3886087140000001</v>
      </c>
      <c r="I1491" s="1">
        <v>4.1114152529999997</v>
      </c>
      <c r="J1491" s="1">
        <v>4.0065844400000001</v>
      </c>
      <c r="K1491" s="1">
        <v>3.762021974</v>
      </c>
      <c r="L1491" s="1">
        <v>3.971296959</v>
      </c>
      <c r="M1491" s="1">
        <v>4.1225413939999997</v>
      </c>
      <c r="N1491" s="1">
        <v>4.1562881980000004</v>
      </c>
      <c r="O1491" s="1">
        <v>4.385526188</v>
      </c>
      <c r="P1491" s="1">
        <v>3.7419514989999998</v>
      </c>
      <c r="Q1491" s="1">
        <v>4.5369064569999997</v>
      </c>
      <c r="R1491" s="1">
        <v>4.8735636449999999</v>
      </c>
      <c r="S1491" s="1">
        <v>3.6647387380000001</v>
      </c>
      <c r="T1491" s="1">
        <v>3.971296959</v>
      </c>
      <c r="U1491" s="1">
        <v>4.1225413939999997</v>
      </c>
      <c r="V1491" s="1">
        <v>4.6419314959999998</v>
      </c>
      <c r="W1491" s="1">
        <v>4.2295768090000001</v>
      </c>
      <c r="X1491" s="1">
        <v>3.8785046219999999</v>
      </c>
      <c r="Y1491" s="1">
        <v>4.5275934409999996</v>
      </c>
      <c r="Z1491" s="1">
        <v>4.8735636449999999</v>
      </c>
      <c r="AA1491" s="1">
        <v>3.6647387380000001</v>
      </c>
      <c r="AB1491" s="1">
        <v>4.3946012420000002</v>
      </c>
      <c r="AC1491" s="1">
        <v>4.3377211620000002</v>
      </c>
      <c r="AD1491" s="1">
        <v>3.984188064</v>
      </c>
      <c r="AE1491" s="1">
        <v>4.3718229419999997</v>
      </c>
    </row>
    <row r="1492" spans="1:31" x14ac:dyDescent="0.25">
      <c r="A1492" s="1" t="s">
        <v>854</v>
      </c>
      <c r="B1492" s="1" t="s">
        <v>2547</v>
      </c>
      <c r="C1492" s="1" t="s">
        <v>2622</v>
      </c>
      <c r="D1492" s="1" t="s">
        <v>2535</v>
      </c>
      <c r="E1492" s="1" t="s">
        <v>4905</v>
      </c>
      <c r="G1492" s="1" t="s">
        <v>854</v>
      </c>
      <c r="H1492" s="1">
        <v>5.1686839359999999</v>
      </c>
      <c r="I1492" s="1">
        <v>5.3275363779999996</v>
      </c>
      <c r="J1492" s="1">
        <v>5.9141206909999999</v>
      </c>
      <c r="K1492" s="1">
        <v>5.7895293819999996</v>
      </c>
      <c r="L1492" s="1">
        <v>5.9440343650000003</v>
      </c>
      <c r="M1492" s="1">
        <v>5.5541105499999999</v>
      </c>
      <c r="N1492" s="1">
        <v>5.8460635029999999</v>
      </c>
      <c r="O1492" s="1">
        <v>5.4612405070000003</v>
      </c>
      <c r="P1492" s="1">
        <v>5.4976972829999999</v>
      </c>
      <c r="Q1492" s="1">
        <v>5.6499570400000003</v>
      </c>
      <c r="R1492" s="1">
        <v>5.5365302600000001</v>
      </c>
      <c r="S1492" s="1">
        <v>5.2232498669999998</v>
      </c>
      <c r="T1492" s="1">
        <v>5.9440343650000003</v>
      </c>
      <c r="U1492" s="1">
        <v>5.5541105499999999</v>
      </c>
      <c r="V1492" s="1">
        <v>5.9006116210000004</v>
      </c>
      <c r="W1492" s="1">
        <v>6.0677414089999999</v>
      </c>
      <c r="X1492" s="1">
        <v>5.3989469190000001</v>
      </c>
      <c r="Y1492" s="1">
        <v>5.7329513619999997</v>
      </c>
      <c r="Z1492" s="1">
        <v>5.5365302600000001</v>
      </c>
      <c r="AA1492" s="1">
        <v>5.2232498669999998</v>
      </c>
      <c r="AB1492" s="1">
        <v>5.4746970709999996</v>
      </c>
      <c r="AC1492" s="1">
        <v>5.6386390840000002</v>
      </c>
      <c r="AD1492" s="1">
        <v>5.2159266190000002</v>
      </c>
      <c r="AE1492" s="1">
        <v>5.5339175159999998</v>
      </c>
    </row>
    <row r="1493" spans="1:31" x14ac:dyDescent="0.25">
      <c r="A1493" s="1" t="s">
        <v>858</v>
      </c>
      <c r="B1493" s="1" t="s">
        <v>2539</v>
      </c>
      <c r="C1493" s="1" t="s">
        <v>2606</v>
      </c>
      <c r="D1493" s="1" t="s">
        <v>4906</v>
      </c>
      <c r="E1493" s="1" t="s">
        <v>4907</v>
      </c>
      <c r="F1493" s="1" t="s">
        <v>4908</v>
      </c>
      <c r="G1493" s="1" t="s">
        <v>858</v>
      </c>
      <c r="H1493" s="1">
        <v>11.08990124</v>
      </c>
      <c r="I1493" s="1">
        <v>10.7044061</v>
      </c>
      <c r="J1493" s="1">
        <v>9.7096629330000006</v>
      </c>
      <c r="K1493" s="1">
        <v>10.29001122</v>
      </c>
      <c r="L1493" s="1">
        <v>8.3012975190000002</v>
      </c>
      <c r="M1493" s="1">
        <v>8.4461763370000007</v>
      </c>
      <c r="N1493" s="1">
        <v>9.8405602820000002</v>
      </c>
      <c r="O1493" s="1">
        <v>10.14170316</v>
      </c>
      <c r="P1493" s="1">
        <v>8.9925199960000004</v>
      </c>
      <c r="Q1493" s="1">
        <v>9.1347330610000004</v>
      </c>
      <c r="R1493" s="1">
        <v>8.8635480740000006</v>
      </c>
      <c r="S1493" s="1">
        <v>8.7443211590000001</v>
      </c>
      <c r="T1493" s="1">
        <v>8.3012975190000002</v>
      </c>
      <c r="U1493" s="1">
        <v>8.4461763370000007</v>
      </c>
      <c r="V1493" s="1">
        <v>8.903844393</v>
      </c>
      <c r="W1493" s="1">
        <v>9.1188663949999995</v>
      </c>
      <c r="X1493" s="1">
        <v>8.5869747689999993</v>
      </c>
      <c r="Y1493" s="1">
        <v>9.4069888820000003</v>
      </c>
      <c r="Z1493" s="1">
        <v>8.8635480740000006</v>
      </c>
      <c r="AA1493" s="1">
        <v>8.7443211590000001</v>
      </c>
      <c r="AB1493" s="1">
        <v>9.29967392</v>
      </c>
      <c r="AC1493" s="1">
        <v>8.6327788909999992</v>
      </c>
      <c r="AD1493" s="1">
        <v>9.5060460290000002</v>
      </c>
      <c r="AE1493" s="1">
        <v>9.3666903030000004</v>
      </c>
    </row>
    <row r="1494" spans="1:31" x14ac:dyDescent="0.25">
      <c r="A1494" s="1" t="s">
        <v>862</v>
      </c>
      <c r="B1494" s="1" t="s">
        <v>2530</v>
      </c>
      <c r="C1494" s="1" t="s">
        <v>2531</v>
      </c>
      <c r="D1494" s="1" t="s">
        <v>4909</v>
      </c>
      <c r="E1494" s="1" t="s">
        <v>4910</v>
      </c>
      <c r="F1494" s="1" t="s">
        <v>4911</v>
      </c>
      <c r="G1494" s="1" t="s">
        <v>862</v>
      </c>
      <c r="H1494" s="1">
        <v>4.9322401630000003</v>
      </c>
      <c r="I1494" s="1">
        <v>5.6535958219999998</v>
      </c>
      <c r="J1494" s="1">
        <v>5.1034438250000003</v>
      </c>
      <c r="K1494" s="1">
        <v>5.2674352469999999</v>
      </c>
      <c r="L1494" s="1">
        <v>4.8563863139999999</v>
      </c>
      <c r="M1494" s="1">
        <v>5.2079667260000004</v>
      </c>
      <c r="N1494" s="1">
        <v>5.0227480880000002</v>
      </c>
      <c r="O1494" s="1">
        <v>5.3074139359999997</v>
      </c>
      <c r="P1494" s="1">
        <v>5.7504406890000004</v>
      </c>
      <c r="Q1494" s="1">
        <v>5.3375178869999997</v>
      </c>
      <c r="R1494" s="1">
        <v>5.4182058560000002</v>
      </c>
      <c r="S1494" s="1">
        <v>5.4687741709999997</v>
      </c>
      <c r="T1494" s="1">
        <v>4.8563863139999999</v>
      </c>
      <c r="U1494" s="1">
        <v>5.2079667260000004</v>
      </c>
      <c r="V1494" s="1">
        <v>5.3892424569999999</v>
      </c>
      <c r="W1494" s="1">
        <v>5.329276363</v>
      </c>
      <c r="X1494" s="1">
        <v>4.8203448399999997</v>
      </c>
      <c r="Y1494" s="1">
        <v>4.8904630100000004</v>
      </c>
      <c r="Z1494" s="1">
        <v>5.4182058560000002</v>
      </c>
      <c r="AA1494" s="1">
        <v>5.4687741709999997</v>
      </c>
      <c r="AB1494" s="1">
        <v>4.7958605490000004</v>
      </c>
      <c r="AC1494" s="1">
        <v>5.2411914069999996</v>
      </c>
      <c r="AD1494" s="1">
        <v>4.2005997429999997</v>
      </c>
      <c r="AE1494" s="1">
        <v>5.0965372069999999</v>
      </c>
    </row>
    <row r="1495" spans="1:31" x14ac:dyDescent="0.25">
      <c r="A1495" s="1" t="s">
        <v>863</v>
      </c>
      <c r="B1495" s="1" t="s">
        <v>2557</v>
      </c>
      <c r="C1495" s="1" t="s">
        <v>2858</v>
      </c>
      <c r="D1495" s="1" t="s">
        <v>4100</v>
      </c>
      <c r="E1495" s="1" t="s">
        <v>4912</v>
      </c>
      <c r="F1495" s="1" t="s">
        <v>4913</v>
      </c>
      <c r="G1495" s="1" t="s">
        <v>863</v>
      </c>
      <c r="H1495" s="1">
        <v>3.8023684370000002</v>
      </c>
      <c r="I1495" s="1">
        <v>3.9003964459999998</v>
      </c>
      <c r="J1495" s="1">
        <v>6.0670821549999996</v>
      </c>
      <c r="K1495" s="1">
        <v>4.8139921829999999</v>
      </c>
      <c r="L1495" s="1">
        <v>6.4956354840000001</v>
      </c>
      <c r="M1495" s="1">
        <v>6.7682169480000001</v>
      </c>
      <c r="N1495" s="1">
        <v>4.5776172920000002</v>
      </c>
      <c r="O1495" s="1">
        <v>4.1585876539999997</v>
      </c>
      <c r="P1495" s="1">
        <v>5.7211848500000002</v>
      </c>
      <c r="Q1495" s="1">
        <v>5.5780218530000001</v>
      </c>
      <c r="R1495" s="1">
        <v>6.7101003170000002</v>
      </c>
      <c r="S1495" s="1">
        <v>6.6856618179999998</v>
      </c>
      <c r="T1495" s="1">
        <v>6.4956354840000001</v>
      </c>
      <c r="U1495" s="1">
        <v>6.7682169480000001</v>
      </c>
      <c r="V1495" s="1">
        <v>6.5289779240000003</v>
      </c>
      <c r="W1495" s="1">
        <v>6.3680955829999997</v>
      </c>
      <c r="X1495" s="1">
        <v>6.5613315610000003</v>
      </c>
      <c r="Y1495" s="1">
        <v>6.2347231909999996</v>
      </c>
      <c r="Z1495" s="1">
        <v>6.7101003170000002</v>
      </c>
      <c r="AA1495" s="1">
        <v>6.6856618179999998</v>
      </c>
      <c r="AB1495" s="1">
        <v>6.5830868880000004</v>
      </c>
      <c r="AC1495" s="1">
        <v>6.3069602739999997</v>
      </c>
      <c r="AD1495" s="1">
        <v>6.1153202110000002</v>
      </c>
      <c r="AE1495" s="1">
        <v>5.8040306609999996</v>
      </c>
    </row>
    <row r="1496" spans="1:31" x14ac:dyDescent="0.25">
      <c r="A1496" s="1" t="s">
        <v>866</v>
      </c>
      <c r="B1496" s="1" t="s">
        <v>2530</v>
      </c>
      <c r="C1496" s="1" t="s">
        <v>2531</v>
      </c>
      <c r="D1496" s="1" t="s">
        <v>2535</v>
      </c>
      <c r="E1496" s="1" t="s">
        <v>4914</v>
      </c>
      <c r="G1496" s="1" t="s">
        <v>866</v>
      </c>
      <c r="H1496" s="1">
        <v>3.2549621289999999</v>
      </c>
      <c r="I1496" s="1">
        <v>3.5006354609999999</v>
      </c>
      <c r="J1496" s="1">
        <v>3.6453331530000002</v>
      </c>
      <c r="K1496" s="1">
        <v>3.22334677</v>
      </c>
      <c r="L1496" s="1">
        <v>3.6142294740000001</v>
      </c>
      <c r="M1496" s="1">
        <v>3.8521266660000002</v>
      </c>
      <c r="N1496" s="1">
        <v>4.210067993</v>
      </c>
      <c r="O1496" s="1">
        <v>3.434496577</v>
      </c>
      <c r="P1496" s="1">
        <v>3.7419514989999998</v>
      </c>
      <c r="Q1496" s="1">
        <v>4.3733115800000002</v>
      </c>
      <c r="R1496" s="1">
        <v>3.386455024</v>
      </c>
      <c r="S1496" s="1">
        <v>4.0285685429999996</v>
      </c>
      <c r="T1496" s="1">
        <v>3.6142294740000001</v>
      </c>
      <c r="U1496" s="1">
        <v>3.8521266660000002</v>
      </c>
      <c r="V1496" s="1">
        <v>4.0758289169999999</v>
      </c>
      <c r="W1496" s="1">
        <v>3.2870366010000001</v>
      </c>
      <c r="X1496" s="1">
        <v>3.9418607479999999</v>
      </c>
      <c r="Y1496" s="1">
        <v>2.9733498090000001</v>
      </c>
      <c r="Z1496" s="1">
        <v>3.386455024</v>
      </c>
      <c r="AA1496" s="1">
        <v>4.0285685429999996</v>
      </c>
      <c r="AB1496" s="1">
        <v>4.139369361</v>
      </c>
      <c r="AC1496" s="1">
        <v>3.9750819590000002</v>
      </c>
      <c r="AD1496" s="1">
        <v>3.3987395579999999</v>
      </c>
      <c r="AE1496" s="1">
        <v>3.7492737119999999</v>
      </c>
    </row>
    <row r="1497" spans="1:31" x14ac:dyDescent="0.25">
      <c r="A1497" s="1" t="s">
        <v>867</v>
      </c>
      <c r="B1497" s="1" t="s">
        <v>2530</v>
      </c>
      <c r="C1497" s="1" t="s">
        <v>2531</v>
      </c>
      <c r="D1497" s="1" t="s">
        <v>2535</v>
      </c>
      <c r="E1497" s="1" t="s">
        <v>2536</v>
      </c>
      <c r="G1497" s="1" t="s">
        <v>867</v>
      </c>
      <c r="H1497" s="1">
        <v>3.6455184960000002</v>
      </c>
      <c r="I1497" s="1">
        <v>2.8927893610000002</v>
      </c>
      <c r="J1497" s="1">
        <v>4.5940881259999999</v>
      </c>
      <c r="K1497" s="1">
        <v>3.22334677</v>
      </c>
      <c r="L1497" s="1">
        <v>4.6825378889999998</v>
      </c>
      <c r="M1497" s="1">
        <v>5.1796951440000001</v>
      </c>
      <c r="N1497" s="1">
        <v>4.1002678350000004</v>
      </c>
      <c r="O1497" s="1">
        <v>3.88533178</v>
      </c>
      <c r="P1497" s="1">
        <v>4.9062897479999998</v>
      </c>
      <c r="Q1497" s="1">
        <v>4.9365262349999997</v>
      </c>
      <c r="R1497" s="1">
        <v>4.7472384160000001</v>
      </c>
      <c r="S1497" s="1">
        <v>5.3915434019999999</v>
      </c>
      <c r="T1497" s="1">
        <v>4.6825378889999998</v>
      </c>
      <c r="U1497" s="1">
        <v>5.1796951440000001</v>
      </c>
      <c r="V1497" s="1">
        <v>4.3879408260000003</v>
      </c>
      <c r="W1497" s="1">
        <v>4.69862249</v>
      </c>
      <c r="X1497" s="1">
        <v>4.2691515329999996</v>
      </c>
      <c r="Y1497" s="1">
        <v>4.3509215530000001</v>
      </c>
      <c r="Z1497" s="1">
        <v>4.7472384160000001</v>
      </c>
      <c r="AA1497" s="1">
        <v>5.3915434019999999</v>
      </c>
      <c r="AB1497" s="1">
        <v>4.6096720080000004</v>
      </c>
      <c r="AC1497" s="1">
        <v>5.2411914069999996</v>
      </c>
      <c r="AD1497" s="1">
        <v>4.6978214539999996</v>
      </c>
      <c r="AE1497" s="1">
        <v>4.3257514669999999</v>
      </c>
    </row>
    <row r="1498" spans="1:31" x14ac:dyDescent="0.25">
      <c r="A1498" s="1" t="s">
        <v>868</v>
      </c>
      <c r="B1498" s="1" t="s">
        <v>2579</v>
      </c>
      <c r="C1498" s="1" t="s">
        <v>2580</v>
      </c>
      <c r="D1498" s="1" t="s">
        <v>2535</v>
      </c>
      <c r="E1498" s="1" t="s">
        <v>4915</v>
      </c>
      <c r="F1498" s="1" t="s">
        <v>4916</v>
      </c>
      <c r="G1498" s="1" t="s">
        <v>868</v>
      </c>
      <c r="H1498" s="1">
        <v>4.183793842</v>
      </c>
      <c r="I1498" s="1">
        <v>4.1114152529999997</v>
      </c>
      <c r="J1498" s="1">
        <v>5.9926388770000001</v>
      </c>
      <c r="K1498" s="1">
        <v>5.7895293819999996</v>
      </c>
      <c r="L1498" s="1">
        <v>5.8923589620000003</v>
      </c>
      <c r="M1498" s="1">
        <v>5.9370080740000004</v>
      </c>
      <c r="N1498" s="1">
        <v>4.5776172920000002</v>
      </c>
      <c r="O1498" s="1">
        <v>4.0953574540000002</v>
      </c>
      <c r="P1498" s="1">
        <v>6.038086302</v>
      </c>
      <c r="Q1498" s="1">
        <v>6.4187248529999996</v>
      </c>
      <c r="R1498" s="1">
        <v>6.1687435319999997</v>
      </c>
      <c r="S1498" s="1">
        <v>6.0480456849999999</v>
      </c>
      <c r="T1498" s="1">
        <v>5.8923589620000003</v>
      </c>
      <c r="U1498" s="1">
        <v>5.9370080740000004</v>
      </c>
      <c r="V1498" s="1">
        <v>5.8765220630000004</v>
      </c>
      <c r="W1498" s="1">
        <v>6.0370461979999996</v>
      </c>
      <c r="X1498" s="1">
        <v>5.5811786620000001</v>
      </c>
      <c r="Y1498" s="1">
        <v>5.9306942229999997</v>
      </c>
      <c r="Z1498" s="1">
        <v>6.1687435319999997</v>
      </c>
      <c r="AA1498" s="1">
        <v>6.0480456849999999</v>
      </c>
      <c r="AB1498" s="1">
        <v>6.1835402750000004</v>
      </c>
      <c r="AC1498" s="1">
        <v>6.047382313</v>
      </c>
      <c r="AD1498" s="1">
        <v>5.8632235870000002</v>
      </c>
      <c r="AE1498" s="1">
        <v>5.8992559069999997</v>
      </c>
    </row>
    <row r="1499" spans="1:31" x14ac:dyDescent="0.25">
      <c r="A1499" s="1" t="s">
        <v>869</v>
      </c>
      <c r="B1499" s="1" t="s">
        <v>2843</v>
      </c>
      <c r="C1499" s="1" t="s">
        <v>2903</v>
      </c>
      <c r="D1499" s="1" t="s">
        <v>3478</v>
      </c>
      <c r="E1499" s="1" t="s">
        <v>4917</v>
      </c>
      <c r="F1499" s="1" t="s">
        <v>4918</v>
      </c>
      <c r="G1499" s="1" t="s">
        <v>869</v>
      </c>
      <c r="H1499" s="1">
        <v>3.4660955969999998</v>
      </c>
      <c r="I1499" s="1">
        <v>4.5981535630000003</v>
      </c>
      <c r="J1499" s="1">
        <v>7.5562971210000001</v>
      </c>
      <c r="K1499" s="1">
        <v>7.0780075809999996</v>
      </c>
      <c r="L1499" s="1">
        <v>7.9157686820000004</v>
      </c>
      <c r="M1499" s="1">
        <v>8.1607757250000006</v>
      </c>
      <c r="N1499" s="1">
        <v>4.3596796910000002</v>
      </c>
      <c r="O1499" s="1">
        <v>4.6680836990000003</v>
      </c>
      <c r="P1499" s="1">
        <v>7.5083952590000003</v>
      </c>
      <c r="Q1499" s="1">
        <v>7.719872928</v>
      </c>
      <c r="R1499" s="1">
        <v>8.4136518030000005</v>
      </c>
      <c r="S1499" s="1">
        <v>8.0977751680000001</v>
      </c>
      <c r="T1499" s="1">
        <v>7.9157686820000004</v>
      </c>
      <c r="U1499" s="1">
        <v>8.1607757250000006</v>
      </c>
      <c r="V1499" s="1">
        <v>7.9782402399999999</v>
      </c>
      <c r="W1499" s="1">
        <v>8.0154452519999992</v>
      </c>
      <c r="X1499" s="1">
        <v>8.1406106190000003</v>
      </c>
      <c r="Y1499" s="1">
        <v>7.4644471870000002</v>
      </c>
      <c r="Z1499" s="1">
        <v>8.4136518030000005</v>
      </c>
      <c r="AA1499" s="1">
        <v>8.0977751680000001</v>
      </c>
      <c r="AB1499" s="1">
        <v>8.0206512459999999</v>
      </c>
      <c r="AC1499" s="1">
        <v>7.9564998579999999</v>
      </c>
      <c r="AD1499" s="1">
        <v>7.8656389180000001</v>
      </c>
      <c r="AE1499" s="1">
        <v>7.6738045240000003</v>
      </c>
    </row>
    <row r="1500" spans="1:31" x14ac:dyDescent="0.25">
      <c r="A1500" s="1" t="s">
        <v>870</v>
      </c>
      <c r="B1500" s="1" t="s">
        <v>2843</v>
      </c>
      <c r="C1500" s="1" t="s">
        <v>2844</v>
      </c>
      <c r="D1500" s="1" t="s">
        <v>3874</v>
      </c>
      <c r="E1500" s="1" t="s">
        <v>4919</v>
      </c>
      <c r="F1500" s="1" t="s">
        <v>4920</v>
      </c>
      <c r="G1500" s="1" t="s">
        <v>870</v>
      </c>
      <c r="H1500" s="1">
        <v>5.2735834620000004</v>
      </c>
      <c r="I1500" s="1">
        <v>5.009480355</v>
      </c>
      <c r="J1500" s="1">
        <v>7.0459985720000002</v>
      </c>
      <c r="K1500" s="1">
        <v>6.6493796840000003</v>
      </c>
      <c r="L1500" s="1">
        <v>6.8999037210000003</v>
      </c>
      <c r="M1500" s="1">
        <v>6.6401882609999996</v>
      </c>
      <c r="N1500" s="1">
        <v>4.5776172920000002</v>
      </c>
      <c r="O1500" s="1">
        <v>4.5340058970000001</v>
      </c>
      <c r="P1500" s="1">
        <v>6.5507496449999998</v>
      </c>
      <c r="Q1500" s="1">
        <v>6.3122380549999999</v>
      </c>
      <c r="R1500" s="1">
        <v>6.624026862</v>
      </c>
      <c r="S1500" s="1">
        <v>6.636545935</v>
      </c>
      <c r="T1500" s="1">
        <v>6.8999037210000003</v>
      </c>
      <c r="U1500" s="1">
        <v>6.6401882609999996</v>
      </c>
      <c r="V1500" s="1">
        <v>6.9185169750000002</v>
      </c>
      <c r="W1500" s="1">
        <v>6.7165296740000002</v>
      </c>
      <c r="X1500" s="1">
        <v>6.3441015869999999</v>
      </c>
      <c r="Y1500" s="1">
        <v>6.1579814659999998</v>
      </c>
      <c r="Z1500" s="1">
        <v>6.624026862</v>
      </c>
      <c r="AA1500" s="1">
        <v>6.636545935</v>
      </c>
      <c r="AB1500" s="1">
        <v>6.557950226</v>
      </c>
      <c r="AC1500" s="1">
        <v>6.7173824599999996</v>
      </c>
      <c r="AD1500" s="1">
        <v>6.5919351060000002</v>
      </c>
      <c r="AE1500" s="1">
        <v>6.5242584700000004</v>
      </c>
    </row>
    <row r="1501" spans="1:31" x14ac:dyDescent="0.25">
      <c r="A1501" s="1" t="s">
        <v>871</v>
      </c>
      <c r="B1501" s="1" t="s">
        <v>2942</v>
      </c>
      <c r="C1501" s="1" t="s">
        <v>2943</v>
      </c>
      <c r="D1501" s="1" t="s">
        <v>4921</v>
      </c>
      <c r="E1501" s="1" t="s">
        <v>4922</v>
      </c>
      <c r="F1501" s="1" t="s">
        <v>4923</v>
      </c>
      <c r="G1501" s="1" t="s">
        <v>871</v>
      </c>
      <c r="H1501" s="1">
        <v>2.640460343</v>
      </c>
      <c r="I1501" s="1">
        <v>2.8927893610000002</v>
      </c>
      <c r="J1501" s="1">
        <v>3.8969924050000002</v>
      </c>
      <c r="K1501" s="1">
        <v>4.0244910950000001</v>
      </c>
      <c r="L1501" s="1">
        <v>3.5435353630000002</v>
      </c>
      <c r="M1501" s="1">
        <v>3.9942443089999999</v>
      </c>
      <c r="N1501" s="1">
        <v>3.1147763629999998</v>
      </c>
      <c r="O1501" s="1">
        <v>3.3203005989999999</v>
      </c>
      <c r="P1501" s="1">
        <v>3.3003929539999999</v>
      </c>
      <c r="Q1501" s="1">
        <v>3.388910638</v>
      </c>
      <c r="R1501" s="1">
        <v>1.7393328349999999</v>
      </c>
      <c r="S1501" s="1">
        <v>2.5733617299999998</v>
      </c>
      <c r="T1501" s="1">
        <v>3.5435353630000002</v>
      </c>
      <c r="U1501" s="1">
        <v>3.9942443089999999</v>
      </c>
      <c r="V1501" s="1">
        <v>3.3993802240000002</v>
      </c>
      <c r="W1501" s="1">
        <v>3.2870366010000001</v>
      </c>
      <c r="X1501" s="1">
        <v>2.9542167930000001</v>
      </c>
      <c r="Y1501" s="1">
        <v>3.229986142</v>
      </c>
      <c r="Z1501" s="1">
        <v>1.7393328349999999</v>
      </c>
      <c r="AA1501" s="1">
        <v>2.5733617299999998</v>
      </c>
      <c r="AB1501" s="1">
        <v>2.73487305</v>
      </c>
      <c r="AC1501" s="1">
        <v>3.8665622239999999</v>
      </c>
      <c r="AD1501" s="1">
        <v>3.1944880649999998</v>
      </c>
      <c r="AE1501" s="1">
        <v>2.9592545700000001</v>
      </c>
    </row>
    <row r="1502" spans="1:31" x14ac:dyDescent="0.25">
      <c r="A1502" s="1" t="s">
        <v>874</v>
      </c>
      <c r="B1502" s="1" t="s">
        <v>2547</v>
      </c>
      <c r="C1502" s="1" t="s">
        <v>3886</v>
      </c>
      <c r="D1502" s="1" t="s">
        <v>3887</v>
      </c>
      <c r="E1502" s="1" t="s">
        <v>4924</v>
      </c>
      <c r="F1502" s="1" t="s">
        <v>4925</v>
      </c>
      <c r="G1502" s="1" t="s">
        <v>874</v>
      </c>
      <c r="H1502" s="1">
        <v>5.3232649629999997</v>
      </c>
      <c r="I1502" s="1">
        <v>4.4542943209999999</v>
      </c>
      <c r="J1502" s="1">
        <v>5.8022574259999997</v>
      </c>
      <c r="K1502" s="1">
        <v>5.6482047069999997</v>
      </c>
      <c r="L1502" s="1">
        <v>5.6492182990000002</v>
      </c>
      <c r="M1502" s="1">
        <v>5.9537101330000004</v>
      </c>
      <c r="N1502" s="1">
        <v>5.4502346690000003</v>
      </c>
      <c r="O1502" s="1">
        <v>5.4117878270000004</v>
      </c>
      <c r="P1502" s="1">
        <v>5.8072178450000003</v>
      </c>
      <c r="Q1502" s="1">
        <v>5.8154013029999998</v>
      </c>
      <c r="R1502" s="1">
        <v>5.6102934549999999</v>
      </c>
      <c r="S1502" s="1">
        <v>5.3915434019999999</v>
      </c>
      <c r="T1502" s="1">
        <v>5.6492182990000002</v>
      </c>
      <c r="U1502" s="1">
        <v>5.9537101330000004</v>
      </c>
      <c r="V1502" s="1">
        <v>5.3546652259999998</v>
      </c>
      <c r="W1502" s="1">
        <v>5.6472737119999996</v>
      </c>
      <c r="X1502" s="1">
        <v>5.7427722369999996</v>
      </c>
      <c r="Y1502" s="1">
        <v>5.7678626939999997</v>
      </c>
      <c r="Z1502" s="1">
        <v>5.6102934549999999</v>
      </c>
      <c r="AA1502" s="1">
        <v>5.3915434019999999</v>
      </c>
      <c r="AB1502" s="1">
        <v>6.4527679449999997</v>
      </c>
      <c r="AC1502" s="1">
        <v>6.2668248259999997</v>
      </c>
      <c r="AD1502" s="1">
        <v>5.8632235870000002</v>
      </c>
      <c r="AE1502" s="1">
        <v>5.9445968479999998</v>
      </c>
    </row>
    <row r="1503" spans="1:31" x14ac:dyDescent="0.25">
      <c r="A1503" s="1" t="s">
        <v>875</v>
      </c>
      <c r="B1503" s="1" t="s">
        <v>2667</v>
      </c>
      <c r="C1503" s="1" t="s">
        <v>3441</v>
      </c>
      <c r="D1503" s="1" t="s">
        <v>3662</v>
      </c>
      <c r="E1503" s="1" t="s">
        <v>4926</v>
      </c>
      <c r="F1503" s="1" t="s">
        <v>4927</v>
      </c>
      <c r="G1503" s="1" t="s">
        <v>875</v>
      </c>
      <c r="H1503" s="1">
        <v>6.4475933449999996</v>
      </c>
      <c r="I1503" s="1">
        <v>6.295503557</v>
      </c>
      <c r="J1503" s="1">
        <v>7.303269265</v>
      </c>
      <c r="K1503" s="1">
        <v>6.7901886659999997</v>
      </c>
      <c r="L1503" s="1">
        <v>6.9637416520000004</v>
      </c>
      <c r="M1503" s="1">
        <v>7.2917753100000002</v>
      </c>
      <c r="N1503" s="1">
        <v>6.1558623460000002</v>
      </c>
      <c r="O1503" s="1">
        <v>6.4907517290000003</v>
      </c>
      <c r="P1503" s="1">
        <v>6.8759744009999997</v>
      </c>
      <c r="Q1503" s="1">
        <v>6.6807419020000003</v>
      </c>
      <c r="R1503" s="1">
        <v>7.3151545530000002</v>
      </c>
      <c r="S1503" s="1">
        <v>7.2289365620000003</v>
      </c>
      <c r="T1503" s="1">
        <v>6.9637416520000004</v>
      </c>
      <c r="U1503" s="1">
        <v>7.2917753100000002</v>
      </c>
      <c r="V1503" s="1">
        <v>6.5443212659999999</v>
      </c>
      <c r="W1503" s="1">
        <v>6.7165296740000002</v>
      </c>
      <c r="X1503" s="1">
        <v>6.931762923</v>
      </c>
      <c r="Y1503" s="1">
        <v>6.8200537160000003</v>
      </c>
      <c r="Z1503" s="1">
        <v>7.3151545530000002</v>
      </c>
      <c r="AA1503" s="1">
        <v>7.2289365620000003</v>
      </c>
      <c r="AB1503" s="1">
        <v>7.0294463739999999</v>
      </c>
      <c r="AC1503" s="1">
        <v>6.9754995060000002</v>
      </c>
      <c r="AD1503" s="1">
        <v>6.7323805009999997</v>
      </c>
      <c r="AE1503" s="1">
        <v>6.9288026440000001</v>
      </c>
    </row>
    <row r="1504" spans="1:31" x14ac:dyDescent="0.25">
      <c r="A1504" s="1" t="s">
        <v>876</v>
      </c>
      <c r="B1504" s="1" t="s">
        <v>2667</v>
      </c>
      <c r="C1504" s="1" t="s">
        <v>3370</v>
      </c>
      <c r="D1504" s="1" t="s">
        <v>4242</v>
      </c>
      <c r="E1504" s="1" t="s">
        <v>4928</v>
      </c>
      <c r="F1504" s="1" t="s">
        <v>4929</v>
      </c>
      <c r="G1504" s="1" t="s">
        <v>876</v>
      </c>
      <c r="H1504" s="1">
        <v>6.3073323200000004</v>
      </c>
      <c r="I1504" s="1">
        <v>6.1427370300000002</v>
      </c>
      <c r="J1504" s="1">
        <v>7.3236133590000003</v>
      </c>
      <c r="K1504" s="1">
        <v>7.0220088839999999</v>
      </c>
      <c r="L1504" s="1">
        <v>7.5380685420000004</v>
      </c>
      <c r="M1504" s="1">
        <v>7.6800134499999997</v>
      </c>
      <c r="N1504" s="1">
        <v>6.9355293360000001</v>
      </c>
      <c r="O1504" s="1">
        <v>6.8460602799999997</v>
      </c>
      <c r="P1504" s="1">
        <v>7.575085799</v>
      </c>
      <c r="Q1504" s="1">
        <v>7.5802066870000004</v>
      </c>
      <c r="R1504" s="1">
        <v>7.9383339499999996</v>
      </c>
      <c r="S1504" s="1">
        <v>7.5625082770000001</v>
      </c>
      <c r="T1504" s="1">
        <v>7.5380685420000004</v>
      </c>
      <c r="U1504" s="1">
        <v>7.6800134499999997</v>
      </c>
      <c r="V1504" s="1">
        <v>7.698945406</v>
      </c>
      <c r="W1504" s="1">
        <v>7.690907148</v>
      </c>
      <c r="X1504" s="1">
        <v>8.0201786639999995</v>
      </c>
      <c r="Y1504" s="1">
        <v>7.8846161710000002</v>
      </c>
      <c r="Z1504" s="1">
        <v>7.9383339499999996</v>
      </c>
      <c r="AA1504" s="1">
        <v>7.5625082770000001</v>
      </c>
      <c r="AB1504" s="1">
        <v>8.0389150980000004</v>
      </c>
      <c r="AC1504" s="1">
        <v>8.0887953570000004</v>
      </c>
      <c r="AD1504" s="1">
        <v>7.8503189950000003</v>
      </c>
      <c r="AE1504" s="1">
        <v>7.8225006930000003</v>
      </c>
    </row>
    <row r="1505" spans="1:31" x14ac:dyDescent="0.25">
      <c r="A1505" s="1" t="s">
        <v>886</v>
      </c>
      <c r="B1505" s="1" t="s">
        <v>2608</v>
      </c>
      <c r="C1505" s="1" t="s">
        <v>2609</v>
      </c>
      <c r="D1505" s="1" t="s">
        <v>4494</v>
      </c>
      <c r="E1505" s="1" t="s">
        <v>4930</v>
      </c>
      <c r="F1505" s="1" t="s">
        <v>4931</v>
      </c>
      <c r="G1505" s="1" t="s">
        <v>886</v>
      </c>
      <c r="H1505" s="1">
        <v>3.2549621289999999</v>
      </c>
      <c r="I1505" s="1">
        <v>2.8927893610000002</v>
      </c>
      <c r="J1505" s="1">
        <v>2.8907526730000002</v>
      </c>
      <c r="K1505" s="1">
        <v>3.4309024589999999</v>
      </c>
      <c r="L1505" s="1">
        <v>4.1188213390000001</v>
      </c>
      <c r="M1505" s="1">
        <v>3.5095973119999999</v>
      </c>
      <c r="N1505" s="1">
        <v>3.7779028299999999</v>
      </c>
      <c r="O1505" s="1">
        <v>3.193511794</v>
      </c>
      <c r="P1505" s="1">
        <v>3.466113682</v>
      </c>
      <c r="Q1505" s="1">
        <v>3.185675432</v>
      </c>
      <c r="R1505" s="1">
        <v>3.1834741979999999</v>
      </c>
      <c r="S1505" s="1">
        <v>3.1475403900000001</v>
      </c>
      <c r="T1505" s="1">
        <v>4.1188213390000001</v>
      </c>
      <c r="U1505" s="1">
        <v>3.5095973119999999</v>
      </c>
      <c r="V1505" s="1">
        <v>3.5405335899999999</v>
      </c>
      <c r="W1505" s="1">
        <v>3.0218530750000001</v>
      </c>
      <c r="X1505" s="1">
        <v>3.6673381269999998</v>
      </c>
      <c r="Y1505" s="1">
        <v>3.4382968329999999</v>
      </c>
      <c r="Z1505" s="1">
        <v>3.1834741979999999</v>
      </c>
      <c r="AA1505" s="1">
        <v>3.1475403900000001</v>
      </c>
      <c r="AB1505" s="1">
        <v>3.1218319999999999</v>
      </c>
      <c r="AC1505" s="1">
        <v>3.4716344729999999</v>
      </c>
      <c r="AD1505" s="1">
        <v>2.6025990879999998</v>
      </c>
      <c r="AE1505" s="1">
        <v>2.9592545700000001</v>
      </c>
    </row>
    <row r="1506" spans="1:31" x14ac:dyDescent="0.25">
      <c r="A1506" s="1" t="s">
        <v>887</v>
      </c>
      <c r="B1506" s="1" t="s">
        <v>2662</v>
      </c>
      <c r="C1506" s="1" t="s">
        <v>2663</v>
      </c>
      <c r="D1506" s="1" t="s">
        <v>2908</v>
      </c>
      <c r="E1506" s="1" t="s">
        <v>2909</v>
      </c>
      <c r="F1506" s="1" t="s">
        <v>2910</v>
      </c>
      <c r="G1506" s="1" t="s">
        <v>887</v>
      </c>
      <c r="H1506" s="1">
        <v>4.7245801409999997</v>
      </c>
      <c r="I1506" s="1">
        <v>4.3763156859999999</v>
      </c>
      <c r="J1506" s="1">
        <v>4.1077874330000004</v>
      </c>
      <c r="K1506" s="1">
        <v>4.3408695499999999</v>
      </c>
      <c r="L1506" s="1">
        <v>3.3884746630000002</v>
      </c>
      <c r="M1506" s="1">
        <v>3.7747836370000001</v>
      </c>
      <c r="N1506" s="1">
        <v>5.2145790439999997</v>
      </c>
      <c r="O1506" s="1">
        <v>4.7507950320000001</v>
      </c>
      <c r="P1506" s="1">
        <v>4.2485661720000003</v>
      </c>
      <c r="Q1506" s="1">
        <v>4.18747588</v>
      </c>
      <c r="R1506" s="1">
        <v>4.3698765340000003</v>
      </c>
      <c r="S1506" s="1">
        <v>4.0285685429999996</v>
      </c>
      <c r="T1506" s="1">
        <v>3.3884746630000002</v>
      </c>
      <c r="U1506" s="1">
        <v>3.7747836370000001</v>
      </c>
      <c r="V1506" s="1">
        <v>3.6670520409999998</v>
      </c>
      <c r="W1506" s="1">
        <v>3.50175473</v>
      </c>
      <c r="X1506" s="1">
        <v>4.5325909299999996</v>
      </c>
      <c r="Y1506" s="1">
        <v>3.4382968329999999</v>
      </c>
      <c r="Z1506" s="1">
        <v>4.3698765340000003</v>
      </c>
      <c r="AA1506" s="1">
        <v>4.0285685429999996</v>
      </c>
      <c r="AB1506" s="1">
        <v>4.2729702720000002</v>
      </c>
      <c r="AC1506" s="1">
        <v>3.6175630609999998</v>
      </c>
      <c r="AD1506" s="1">
        <v>3.8610926929999998</v>
      </c>
      <c r="AE1506" s="1">
        <v>4.124053773</v>
      </c>
    </row>
    <row r="1507" spans="1:31" x14ac:dyDescent="0.25">
      <c r="A1507" s="1" t="s">
        <v>888</v>
      </c>
      <c r="B1507" s="1" t="s">
        <v>2530</v>
      </c>
      <c r="C1507" s="1" t="s">
        <v>2531</v>
      </c>
      <c r="D1507" s="1" t="s">
        <v>2535</v>
      </c>
      <c r="E1507" s="1" t="s">
        <v>2536</v>
      </c>
      <c r="G1507" s="1" t="s">
        <v>888</v>
      </c>
      <c r="H1507" s="1">
        <v>1.7393328349999999</v>
      </c>
      <c r="I1507" s="1">
        <v>2.8927893610000002</v>
      </c>
      <c r="J1507" s="1">
        <v>3.329519721</v>
      </c>
      <c r="K1507" s="1">
        <v>2.9677134359999999</v>
      </c>
      <c r="L1507" s="1">
        <v>3.8051274570000002</v>
      </c>
      <c r="M1507" s="1">
        <v>3.5095973119999999</v>
      </c>
      <c r="N1507" s="1">
        <v>2.628425199</v>
      </c>
      <c r="O1507" s="1">
        <v>3.434496577</v>
      </c>
      <c r="P1507" s="1">
        <v>2.8687501260000001</v>
      </c>
      <c r="Q1507" s="1">
        <v>3.56206471</v>
      </c>
      <c r="R1507" s="1">
        <v>2.595728008</v>
      </c>
      <c r="S1507" s="1">
        <v>3.3463386960000001</v>
      </c>
      <c r="T1507" s="1">
        <v>3.8051274570000002</v>
      </c>
      <c r="U1507" s="1">
        <v>3.5095973119999999</v>
      </c>
      <c r="V1507" s="1">
        <v>4.0758289169999999</v>
      </c>
      <c r="W1507" s="1">
        <v>3.0218530750000001</v>
      </c>
      <c r="X1507" s="1">
        <v>3.7416722899999999</v>
      </c>
      <c r="Y1507" s="1">
        <v>3.7705059300000001</v>
      </c>
      <c r="Z1507" s="1">
        <v>2.595728008</v>
      </c>
      <c r="AA1507" s="1">
        <v>3.3463386960000001</v>
      </c>
      <c r="AB1507" s="1">
        <v>1.7393328349999999</v>
      </c>
      <c r="AC1507" s="1">
        <v>3.9750819590000002</v>
      </c>
      <c r="AD1507" s="1">
        <v>3.8610926929999998</v>
      </c>
      <c r="AE1507" s="1">
        <v>3.321206681</v>
      </c>
    </row>
    <row r="1508" spans="1:31" x14ac:dyDescent="0.25">
      <c r="A1508" s="1" t="s">
        <v>895</v>
      </c>
      <c r="B1508" s="1" t="s">
        <v>2530</v>
      </c>
      <c r="C1508" s="1" t="s">
        <v>2531</v>
      </c>
      <c r="D1508" s="1" t="s">
        <v>2535</v>
      </c>
      <c r="E1508" s="1" t="s">
        <v>2536</v>
      </c>
      <c r="G1508" s="1" t="s">
        <v>895</v>
      </c>
      <c r="H1508" s="1">
        <v>2.640460343</v>
      </c>
      <c r="I1508" s="1">
        <v>4.0101074990000001</v>
      </c>
      <c r="J1508" s="1">
        <v>3.329519721</v>
      </c>
      <c r="K1508" s="1">
        <v>3.762021974</v>
      </c>
      <c r="L1508" s="1">
        <v>1.7393328349999999</v>
      </c>
      <c r="M1508" s="1">
        <v>2.3994532390000001</v>
      </c>
      <c r="N1508" s="1">
        <v>3.5368298970000001</v>
      </c>
      <c r="O1508" s="1">
        <v>3.434496577</v>
      </c>
      <c r="P1508" s="1">
        <v>2.5478783159999998</v>
      </c>
      <c r="Q1508" s="1">
        <v>3.8492287269999999</v>
      </c>
      <c r="R1508" s="1">
        <v>2.9339002829999998</v>
      </c>
      <c r="S1508" s="1">
        <v>2.5733617299999998</v>
      </c>
      <c r="T1508" s="1">
        <v>1.7393328349999999</v>
      </c>
      <c r="U1508" s="1">
        <v>2.3994532390000001</v>
      </c>
      <c r="V1508" s="1">
        <v>2.5140266200000001</v>
      </c>
      <c r="W1508" s="1">
        <v>2.6606351240000001</v>
      </c>
      <c r="X1508" s="1">
        <v>2.6106888979999998</v>
      </c>
      <c r="Y1508" s="1">
        <v>2.624795792</v>
      </c>
      <c r="Z1508" s="1">
        <v>2.9339002829999998</v>
      </c>
      <c r="AA1508" s="1">
        <v>2.5733617299999998</v>
      </c>
      <c r="AB1508" s="1">
        <v>1.7393328349999999</v>
      </c>
      <c r="AC1508" s="1">
        <v>2.87258916</v>
      </c>
      <c r="AD1508" s="1">
        <v>1.7393328349999999</v>
      </c>
      <c r="AE1508" s="1">
        <v>3.67472814</v>
      </c>
    </row>
    <row r="1509" spans="1:31" x14ac:dyDescent="0.25">
      <c r="A1509" s="1" t="s">
        <v>897</v>
      </c>
      <c r="B1509" s="1" t="s">
        <v>2530</v>
      </c>
      <c r="C1509" s="1" t="s">
        <v>2531</v>
      </c>
      <c r="D1509" s="1" t="s">
        <v>2535</v>
      </c>
      <c r="E1509" s="1" t="s">
        <v>2536</v>
      </c>
      <c r="G1509" s="1" t="s">
        <v>897</v>
      </c>
      <c r="H1509" s="1">
        <v>4.4805534380000003</v>
      </c>
      <c r="I1509" s="1">
        <v>4.1114152529999997</v>
      </c>
      <c r="J1509" s="1">
        <v>3.7773371739999999</v>
      </c>
      <c r="K1509" s="1">
        <v>3.4309024589999999</v>
      </c>
      <c r="L1509" s="1">
        <v>3.1084154310000001</v>
      </c>
      <c r="M1509" s="1">
        <v>3.027864058</v>
      </c>
      <c r="N1509" s="1">
        <v>3.9164981490000002</v>
      </c>
      <c r="O1509" s="1">
        <v>3.050193165</v>
      </c>
      <c r="P1509" s="1">
        <v>3.466113682</v>
      </c>
      <c r="Q1509" s="1">
        <v>2.935765398</v>
      </c>
      <c r="R1509" s="1">
        <v>3.7109484589999999</v>
      </c>
      <c r="S1509" s="1">
        <v>3.3463386960000001</v>
      </c>
      <c r="T1509" s="1">
        <v>3.1084154310000001</v>
      </c>
      <c r="U1509" s="1">
        <v>3.027864058</v>
      </c>
      <c r="V1509" s="1">
        <v>2.8225047829999999</v>
      </c>
      <c r="W1509" s="1">
        <v>2.6606351240000001</v>
      </c>
      <c r="X1509" s="1">
        <v>3.2074401739999998</v>
      </c>
      <c r="Y1509" s="1">
        <v>3.4382968329999999</v>
      </c>
      <c r="Z1509" s="1">
        <v>3.7109484589999999</v>
      </c>
      <c r="AA1509" s="1">
        <v>3.3463386960000001</v>
      </c>
      <c r="AB1509" s="1">
        <v>3.6315729079999999</v>
      </c>
      <c r="AC1509" s="1">
        <v>3.1109927919999998</v>
      </c>
      <c r="AD1509" s="1">
        <v>3.5727029510000001</v>
      </c>
      <c r="AE1509" s="1">
        <v>3.0939349979999999</v>
      </c>
    </row>
    <row r="1510" spans="1:31" x14ac:dyDescent="0.25">
      <c r="A1510" s="1" t="s">
        <v>898</v>
      </c>
      <c r="B1510" s="1" t="s">
        <v>2520</v>
      </c>
      <c r="C1510" s="1" t="s">
        <v>2646</v>
      </c>
      <c r="D1510" s="1" t="s">
        <v>2535</v>
      </c>
      <c r="E1510" s="1" t="s">
        <v>4932</v>
      </c>
      <c r="F1510" s="1" t="s">
        <v>4933</v>
      </c>
      <c r="G1510" s="1" t="s">
        <v>898</v>
      </c>
      <c r="H1510" s="1">
        <v>8.2479274700000005</v>
      </c>
      <c r="I1510" s="1">
        <v>8.2411086870000005</v>
      </c>
      <c r="J1510" s="1">
        <v>8.0097816749999993</v>
      </c>
      <c r="K1510" s="1">
        <v>8.5964044249999993</v>
      </c>
      <c r="L1510" s="1">
        <v>7.8086526950000001</v>
      </c>
      <c r="M1510" s="1">
        <v>7.9815279830000003</v>
      </c>
      <c r="N1510" s="1">
        <v>7.4919938070000001</v>
      </c>
      <c r="O1510" s="1">
        <v>7.648738936</v>
      </c>
      <c r="P1510" s="1">
        <v>8.1570235199999992</v>
      </c>
      <c r="Q1510" s="1">
        <v>8.1547020969999995</v>
      </c>
      <c r="R1510" s="1">
        <v>8.6008653190000004</v>
      </c>
      <c r="S1510" s="1">
        <v>7.9715553799999999</v>
      </c>
      <c r="T1510" s="1">
        <v>7.8086526950000001</v>
      </c>
      <c r="U1510" s="1">
        <v>7.9815279830000003</v>
      </c>
      <c r="V1510" s="1">
        <v>7.5700847749999998</v>
      </c>
      <c r="W1510" s="1">
        <v>7.630644964</v>
      </c>
      <c r="X1510" s="1">
        <v>8.078304052</v>
      </c>
      <c r="Y1510" s="1">
        <v>8.0420944970000008</v>
      </c>
      <c r="Z1510" s="1">
        <v>8.6008653190000004</v>
      </c>
      <c r="AA1510" s="1">
        <v>7.9715553799999999</v>
      </c>
      <c r="AB1510" s="1">
        <v>8.2574267480000003</v>
      </c>
      <c r="AC1510" s="1">
        <v>8.0772575900000003</v>
      </c>
      <c r="AD1510" s="1">
        <v>8.5597371970000005</v>
      </c>
      <c r="AE1510" s="1">
        <v>8.2759636959999998</v>
      </c>
    </row>
    <row r="1511" spans="1:31" x14ac:dyDescent="0.25">
      <c r="A1511" s="1" t="s">
        <v>903</v>
      </c>
      <c r="B1511" s="1" t="s">
        <v>2608</v>
      </c>
      <c r="C1511" s="1" t="s">
        <v>2700</v>
      </c>
      <c r="D1511" s="1" t="s">
        <v>3380</v>
      </c>
      <c r="E1511" s="1" t="s">
        <v>4934</v>
      </c>
      <c r="F1511" s="1" t="s">
        <v>4935</v>
      </c>
      <c r="G1511" s="1" t="s">
        <v>903</v>
      </c>
      <c r="H1511" s="1">
        <v>7.3696505800000001</v>
      </c>
      <c r="I1511" s="1">
        <v>7.2562539529999999</v>
      </c>
      <c r="J1511" s="1">
        <v>7.303269265</v>
      </c>
      <c r="K1511" s="1">
        <v>7.5433483600000004</v>
      </c>
      <c r="L1511" s="1">
        <v>7.7555649359999999</v>
      </c>
      <c r="M1511" s="1">
        <v>7.4410255230000004</v>
      </c>
      <c r="N1511" s="1">
        <v>7.7938141859999996</v>
      </c>
      <c r="O1511" s="1">
        <v>7.9056483660000003</v>
      </c>
      <c r="P1511" s="1">
        <v>7.1844933700000002</v>
      </c>
      <c r="Q1511" s="1">
        <v>7.5617573509999998</v>
      </c>
      <c r="R1511" s="1">
        <v>7.1648465019999996</v>
      </c>
      <c r="S1511" s="1">
        <v>7.4627936310000003</v>
      </c>
      <c r="T1511" s="1">
        <v>7.7555649359999999</v>
      </c>
      <c r="U1511" s="1">
        <v>7.4410255230000004</v>
      </c>
      <c r="V1511" s="1">
        <v>7.1365351649999997</v>
      </c>
      <c r="W1511" s="1">
        <v>6.9968523659999997</v>
      </c>
      <c r="X1511" s="1">
        <v>7.3311630130000003</v>
      </c>
      <c r="Y1511" s="1">
        <v>7.0495236999999999</v>
      </c>
      <c r="Z1511" s="1">
        <v>7.1648465019999996</v>
      </c>
      <c r="AA1511" s="1">
        <v>7.4627936310000003</v>
      </c>
      <c r="AB1511" s="1">
        <v>7.1351367960000003</v>
      </c>
      <c r="AC1511" s="1">
        <v>7.4303408089999996</v>
      </c>
      <c r="AD1511" s="1">
        <v>6.89062397</v>
      </c>
      <c r="AE1511" s="1">
        <v>7.1763997049999997</v>
      </c>
    </row>
    <row r="1512" spans="1:31" x14ac:dyDescent="0.25">
      <c r="A1512" s="1" t="s">
        <v>907</v>
      </c>
      <c r="B1512" s="1" t="s">
        <v>2667</v>
      </c>
      <c r="C1512" s="1" t="s">
        <v>2867</v>
      </c>
      <c r="D1512" s="1" t="s">
        <v>2868</v>
      </c>
      <c r="E1512" s="1" t="s">
        <v>4936</v>
      </c>
      <c r="F1512" s="1" t="s">
        <v>4937</v>
      </c>
      <c r="G1512" s="1" t="s">
        <v>907</v>
      </c>
      <c r="H1512" s="1">
        <v>4.6479005740000003</v>
      </c>
      <c r="I1512" s="1">
        <v>3.9003964459999998</v>
      </c>
      <c r="J1512" s="1">
        <v>4.7243317210000004</v>
      </c>
      <c r="K1512" s="1">
        <v>4.941717659</v>
      </c>
      <c r="L1512" s="1">
        <v>4.4107687259999997</v>
      </c>
      <c r="M1512" s="1">
        <v>4.494607383</v>
      </c>
      <c r="N1512" s="1">
        <v>3.7779028299999999</v>
      </c>
      <c r="O1512" s="1">
        <v>3.6346882059999999</v>
      </c>
      <c r="P1512" s="1">
        <v>4.8528499219999999</v>
      </c>
      <c r="Q1512" s="1">
        <v>4.7509440400000003</v>
      </c>
      <c r="R1512" s="1">
        <v>4.8118229140000004</v>
      </c>
      <c r="S1512" s="1">
        <v>4.6194390810000003</v>
      </c>
      <c r="T1512" s="1">
        <v>4.4107687259999997</v>
      </c>
      <c r="U1512" s="1">
        <v>4.494607383</v>
      </c>
      <c r="V1512" s="1">
        <v>4.4559512029999997</v>
      </c>
      <c r="W1512" s="1">
        <v>4.2295768090000001</v>
      </c>
      <c r="X1512" s="1">
        <v>4.8203448399999997</v>
      </c>
      <c r="Y1512" s="1">
        <v>5.0128502209999999</v>
      </c>
      <c r="Z1512" s="1">
        <v>4.8118229140000004</v>
      </c>
      <c r="AA1512" s="1">
        <v>4.6194390810000003</v>
      </c>
      <c r="AB1512" s="1">
        <v>4.705867896</v>
      </c>
      <c r="AC1512" s="1">
        <v>5.0638423939999999</v>
      </c>
      <c r="AD1512" s="1">
        <v>4.5511338559999999</v>
      </c>
      <c r="AE1512" s="1">
        <v>4.5815229759999996</v>
      </c>
    </row>
    <row r="1513" spans="1:31" x14ac:dyDescent="0.25">
      <c r="A1513" s="1" t="s">
        <v>908</v>
      </c>
      <c r="B1513" s="1" t="s">
        <v>2530</v>
      </c>
      <c r="C1513" s="1" t="s">
        <v>2531</v>
      </c>
      <c r="D1513" s="1" t="s">
        <v>2535</v>
      </c>
      <c r="E1513" s="1" t="s">
        <v>4938</v>
      </c>
      <c r="G1513" s="1" t="s">
        <v>908</v>
      </c>
      <c r="H1513" s="1">
        <v>4.2900513550000001</v>
      </c>
      <c r="I1513" s="1">
        <v>4.8477128089999999</v>
      </c>
      <c r="J1513" s="1">
        <v>4.2898244959999996</v>
      </c>
      <c r="K1513" s="1">
        <v>4.0244910950000001</v>
      </c>
      <c r="L1513" s="1">
        <v>4.5533082269999996</v>
      </c>
      <c r="M1513" s="1">
        <v>4.6692867769999999</v>
      </c>
      <c r="N1513" s="1">
        <v>4.8006971780000001</v>
      </c>
      <c r="O1513" s="1">
        <v>4.7100516409999997</v>
      </c>
      <c r="P1513" s="1">
        <v>5.3134950500000002</v>
      </c>
      <c r="Q1513" s="1">
        <v>5.5022716190000001</v>
      </c>
      <c r="R1513" s="1">
        <v>5.1472208640000003</v>
      </c>
      <c r="S1513" s="1">
        <v>4.5490843459999999</v>
      </c>
      <c r="T1513" s="1">
        <v>4.5533082269999996</v>
      </c>
      <c r="U1513" s="1">
        <v>4.6692867769999999</v>
      </c>
      <c r="V1513" s="1">
        <v>4.5207607210000003</v>
      </c>
      <c r="W1513" s="1">
        <v>4.7760085830000003</v>
      </c>
      <c r="X1513" s="1">
        <v>4.5325909299999996</v>
      </c>
      <c r="Y1513" s="1">
        <v>4.6842287809999998</v>
      </c>
      <c r="Z1513" s="1">
        <v>5.1472208640000003</v>
      </c>
      <c r="AA1513" s="1">
        <v>4.5490843459999999</v>
      </c>
      <c r="AB1513" s="1">
        <v>4.139369361</v>
      </c>
      <c r="AC1513" s="1">
        <v>4.0753403910000001</v>
      </c>
      <c r="AD1513" s="1">
        <v>4.6264106470000002</v>
      </c>
      <c r="AE1513" s="1">
        <v>4.4595659249999997</v>
      </c>
    </row>
    <row r="1514" spans="1:31" x14ac:dyDescent="0.25">
      <c r="A1514" s="1" t="s">
        <v>909</v>
      </c>
      <c r="B1514" s="1" t="s">
        <v>2530</v>
      </c>
      <c r="C1514" s="1" t="s">
        <v>2531</v>
      </c>
      <c r="D1514" s="1" t="s">
        <v>2535</v>
      </c>
      <c r="E1514" s="1" t="s">
        <v>2562</v>
      </c>
      <c r="G1514" s="1" t="s">
        <v>909</v>
      </c>
      <c r="H1514" s="1">
        <v>5.4626831620000003</v>
      </c>
      <c r="I1514" s="1">
        <v>5.5529645800000003</v>
      </c>
      <c r="J1514" s="1">
        <v>5.0051223570000003</v>
      </c>
      <c r="K1514" s="1">
        <v>5.0014827119999996</v>
      </c>
      <c r="L1514" s="1">
        <v>4.8288685039999999</v>
      </c>
      <c r="M1514" s="1">
        <v>4.930560163</v>
      </c>
      <c r="N1514" s="1">
        <v>5.5749368700000002</v>
      </c>
      <c r="O1514" s="1">
        <v>5.4367285829999998</v>
      </c>
      <c r="P1514" s="1">
        <v>4.6791060150000003</v>
      </c>
      <c r="Q1514" s="1">
        <v>4.683187717</v>
      </c>
      <c r="R1514" s="1">
        <v>4.5333476509999997</v>
      </c>
      <c r="S1514" s="1">
        <v>5.032286365</v>
      </c>
      <c r="T1514" s="1">
        <v>4.8288685039999999</v>
      </c>
      <c r="U1514" s="1">
        <v>4.930560163</v>
      </c>
      <c r="V1514" s="1">
        <v>4.9527859210000003</v>
      </c>
      <c r="W1514" s="1">
        <v>4.7760085830000003</v>
      </c>
      <c r="X1514" s="1">
        <v>4.7537743670000001</v>
      </c>
      <c r="Y1514" s="1">
        <v>4.6081171230000004</v>
      </c>
      <c r="Z1514" s="1">
        <v>4.5333476509999997</v>
      </c>
      <c r="AA1514" s="1">
        <v>5.032286365</v>
      </c>
      <c r="AB1514" s="1">
        <v>4.6096720080000004</v>
      </c>
      <c r="AC1514" s="1">
        <v>4.2557864319999998</v>
      </c>
      <c r="AD1514" s="1">
        <v>4.2970121150000002</v>
      </c>
      <c r="AE1514" s="1">
        <v>4.5014252270000004</v>
      </c>
    </row>
    <row r="1515" spans="1:31" x14ac:dyDescent="0.25">
      <c r="A1515" s="1" t="s">
        <v>915</v>
      </c>
      <c r="B1515" s="1" t="s">
        <v>2547</v>
      </c>
      <c r="C1515" s="1" t="s">
        <v>2622</v>
      </c>
      <c r="D1515" s="1" t="s">
        <v>2535</v>
      </c>
      <c r="E1515" s="1" t="s">
        <v>4939</v>
      </c>
      <c r="G1515" s="1" t="s">
        <v>915</v>
      </c>
      <c r="H1515" s="1">
        <v>1.7393328349999999</v>
      </c>
      <c r="I1515" s="1">
        <v>1.7393328349999999</v>
      </c>
      <c r="J1515" s="1">
        <v>3.329519721</v>
      </c>
      <c r="K1515" s="1">
        <v>1.7393328349999999</v>
      </c>
      <c r="L1515" s="1">
        <v>3.6811173419999998</v>
      </c>
      <c r="M1515" s="1">
        <v>2.8639998100000001</v>
      </c>
      <c r="N1515" s="1">
        <v>2.9782685729999998</v>
      </c>
      <c r="O1515" s="1">
        <v>1.7393328349999999</v>
      </c>
      <c r="P1515" s="1">
        <v>3.106446558</v>
      </c>
      <c r="Q1515" s="1">
        <v>3.185675432</v>
      </c>
      <c r="R1515" s="1">
        <v>2.595728008</v>
      </c>
      <c r="S1515" s="1">
        <v>2.5733617299999998</v>
      </c>
      <c r="T1515" s="1">
        <v>3.6811173419999998</v>
      </c>
      <c r="U1515" s="1">
        <v>2.8639998100000001</v>
      </c>
      <c r="V1515" s="1">
        <v>3.2389700330000002</v>
      </c>
      <c r="W1515" s="1">
        <v>3.6840067150000002</v>
      </c>
      <c r="X1515" s="1">
        <v>3.3149070109999998</v>
      </c>
      <c r="Y1515" s="1">
        <v>2.624795792</v>
      </c>
      <c r="Z1515" s="1">
        <v>2.595728008</v>
      </c>
      <c r="AA1515" s="1">
        <v>2.5733617299999998</v>
      </c>
      <c r="AB1515" s="1">
        <v>3.404153038</v>
      </c>
      <c r="AC1515" s="1">
        <v>3.1109927919999998</v>
      </c>
      <c r="AD1515" s="1">
        <v>3.1944880649999998</v>
      </c>
      <c r="AE1515" s="1">
        <v>3.213378847</v>
      </c>
    </row>
    <row r="1516" spans="1:31" x14ac:dyDescent="0.25">
      <c r="A1516" s="1" t="s">
        <v>917</v>
      </c>
      <c r="B1516" s="1" t="s">
        <v>2547</v>
      </c>
      <c r="C1516" s="1" t="s">
        <v>2622</v>
      </c>
      <c r="D1516" s="1" t="s">
        <v>2535</v>
      </c>
      <c r="E1516" s="1" t="s">
        <v>4939</v>
      </c>
      <c r="G1516" s="1" t="s">
        <v>917</v>
      </c>
      <c r="H1516" s="1">
        <v>6.0380558219999996</v>
      </c>
      <c r="I1516" s="1">
        <v>5.2862358589999996</v>
      </c>
      <c r="J1516" s="1">
        <v>6.0910626519999997</v>
      </c>
      <c r="K1516" s="1">
        <v>6.2465923569999999</v>
      </c>
      <c r="L1516" s="1">
        <v>5.993912463</v>
      </c>
      <c r="M1516" s="1">
        <v>6.3689739899999998</v>
      </c>
      <c r="N1516" s="1">
        <v>5.3835417159999999</v>
      </c>
      <c r="O1516" s="1">
        <v>5.3864027800000001</v>
      </c>
      <c r="P1516" s="1">
        <v>6.038086302</v>
      </c>
      <c r="Q1516" s="1">
        <v>5.7514994149999996</v>
      </c>
      <c r="R1516" s="1">
        <v>6.1441881260000004</v>
      </c>
      <c r="S1516" s="1">
        <v>5.9440521669999997</v>
      </c>
      <c r="T1516" s="1">
        <v>5.993912463</v>
      </c>
      <c r="U1516" s="1">
        <v>6.3689739899999998</v>
      </c>
      <c r="V1516" s="1">
        <v>5.519727617</v>
      </c>
      <c r="W1516" s="1">
        <v>5.5634106699999997</v>
      </c>
      <c r="X1516" s="1">
        <v>6.3772162630000002</v>
      </c>
      <c r="Y1516" s="1">
        <v>5.8677638710000002</v>
      </c>
      <c r="Z1516" s="1">
        <v>6.1441881260000004</v>
      </c>
      <c r="AA1516" s="1">
        <v>5.9440521669999997</v>
      </c>
      <c r="AB1516" s="1">
        <v>5.7665348979999997</v>
      </c>
      <c r="AC1516" s="1">
        <v>6.047382313</v>
      </c>
      <c r="AD1516" s="1">
        <v>6.3073961189999999</v>
      </c>
      <c r="AE1516" s="1">
        <v>5.8364806040000001</v>
      </c>
    </row>
    <row r="1517" spans="1:31" x14ac:dyDescent="0.25">
      <c r="A1517" s="1" t="s">
        <v>918</v>
      </c>
      <c r="B1517" s="1" t="s">
        <v>2530</v>
      </c>
      <c r="C1517" s="1" t="s">
        <v>2531</v>
      </c>
      <c r="D1517" s="1" t="s">
        <v>2535</v>
      </c>
      <c r="E1517" s="1" t="s">
        <v>2536</v>
      </c>
      <c r="G1517" s="1" t="s">
        <v>918</v>
      </c>
      <c r="H1517" s="1">
        <v>3.6455184960000002</v>
      </c>
      <c r="I1517" s="1">
        <v>4.903725959</v>
      </c>
      <c r="J1517" s="1">
        <v>4.2898244959999996</v>
      </c>
      <c r="K1517" s="1">
        <v>4.2434183680000004</v>
      </c>
      <c r="L1517" s="1">
        <v>4.7721586460000003</v>
      </c>
      <c r="M1517" s="1">
        <v>4.4472617469999998</v>
      </c>
      <c r="N1517" s="1">
        <v>4.210067993</v>
      </c>
      <c r="O1517" s="1">
        <v>3.6346882059999999</v>
      </c>
      <c r="P1517" s="1">
        <v>4.2485661720000003</v>
      </c>
      <c r="Q1517" s="1">
        <v>4.9365262349999997</v>
      </c>
      <c r="R1517" s="1">
        <v>4.1841942410000001</v>
      </c>
      <c r="S1517" s="1">
        <v>4.2250836859999996</v>
      </c>
      <c r="T1517" s="1">
        <v>4.7721586460000003</v>
      </c>
      <c r="U1517" s="1">
        <v>4.4472617469999998</v>
      </c>
      <c r="V1517" s="1">
        <v>3.6670520409999998</v>
      </c>
      <c r="W1517" s="1">
        <v>4.9190341039999996</v>
      </c>
      <c r="X1517" s="1">
        <v>4.1154863700000002</v>
      </c>
      <c r="Y1517" s="1">
        <v>4.1479647589999997</v>
      </c>
      <c r="Z1517" s="1">
        <v>4.1841942410000001</v>
      </c>
      <c r="AA1517" s="1">
        <v>4.2250836859999996</v>
      </c>
      <c r="AB1517" s="1">
        <v>4.7958605490000004</v>
      </c>
      <c r="AC1517" s="1">
        <v>3.9750819590000002</v>
      </c>
      <c r="AD1517" s="1">
        <v>4.0967699450000001</v>
      </c>
      <c r="AE1517" s="1">
        <v>4.5014252270000004</v>
      </c>
    </row>
    <row r="1518" spans="1:31" x14ac:dyDescent="0.25">
      <c r="A1518" s="1" t="s">
        <v>920</v>
      </c>
      <c r="B1518" s="1" t="s">
        <v>2520</v>
      </c>
      <c r="C1518" s="1" t="s">
        <v>2521</v>
      </c>
      <c r="D1518" s="1" t="s">
        <v>2535</v>
      </c>
      <c r="E1518" s="1" t="s">
        <v>4940</v>
      </c>
      <c r="G1518" s="1" t="s">
        <v>920</v>
      </c>
      <c r="H1518" s="1">
        <v>5.977563322</v>
      </c>
      <c r="I1518" s="1">
        <v>5.6535958219999998</v>
      </c>
      <c r="J1518" s="1">
        <v>4.7851628320000001</v>
      </c>
      <c r="K1518" s="1">
        <v>5.4059688240000003</v>
      </c>
      <c r="L1518" s="1">
        <v>5.5690677470000001</v>
      </c>
      <c r="M1518" s="1">
        <v>5.3915279009999999</v>
      </c>
      <c r="N1518" s="1">
        <v>6.0739568119999996</v>
      </c>
      <c r="O1518" s="1">
        <v>6.1884751419999997</v>
      </c>
      <c r="P1518" s="1">
        <v>6.7660226430000003</v>
      </c>
      <c r="Q1518" s="1">
        <v>6.5369026620000001</v>
      </c>
      <c r="R1518" s="1">
        <v>5.7472990829999997</v>
      </c>
      <c r="S1518" s="1">
        <v>6.1213765840000001</v>
      </c>
      <c r="T1518" s="1">
        <v>5.5690677470000001</v>
      </c>
      <c r="U1518" s="1">
        <v>5.3915279009999999</v>
      </c>
      <c r="V1518" s="1">
        <v>5.4230002329999998</v>
      </c>
      <c r="W1518" s="1">
        <v>5.2774499109999997</v>
      </c>
      <c r="X1518" s="1">
        <v>5.8091227329999997</v>
      </c>
      <c r="Y1518" s="1">
        <v>6.0488320509999998</v>
      </c>
      <c r="Z1518" s="1">
        <v>5.7472990829999997</v>
      </c>
      <c r="AA1518" s="1">
        <v>6.1213765840000001</v>
      </c>
      <c r="AB1518" s="1">
        <v>5.675717079</v>
      </c>
      <c r="AC1518" s="1">
        <v>6.0708982899999997</v>
      </c>
      <c r="AD1518" s="1">
        <v>6.3732854110000003</v>
      </c>
      <c r="AE1518" s="1">
        <v>6.1901317870000003</v>
      </c>
    </row>
    <row r="1519" spans="1:31" x14ac:dyDescent="0.25">
      <c r="A1519" s="1" t="s">
        <v>921</v>
      </c>
      <c r="B1519" s="1" t="s">
        <v>2530</v>
      </c>
      <c r="C1519" s="1" t="s">
        <v>2531</v>
      </c>
      <c r="D1519" s="1" t="s">
        <v>2535</v>
      </c>
      <c r="E1519" s="1" t="s">
        <v>2536</v>
      </c>
      <c r="G1519" s="1" t="s">
        <v>921</v>
      </c>
      <c r="H1519" s="1">
        <v>8.4501898719999993</v>
      </c>
      <c r="I1519" s="1">
        <v>8.2411086870000005</v>
      </c>
      <c r="J1519" s="1">
        <v>8.0034921079999997</v>
      </c>
      <c r="K1519" s="1">
        <v>8.3287122310000008</v>
      </c>
      <c r="L1519" s="1">
        <v>7.9254145899999999</v>
      </c>
      <c r="M1519" s="1">
        <v>8.0909736599999995</v>
      </c>
      <c r="N1519" s="1">
        <v>7.8022993559999998</v>
      </c>
      <c r="O1519" s="1">
        <v>8.0691800300000001</v>
      </c>
      <c r="P1519" s="1">
        <v>8.0672218470000008</v>
      </c>
      <c r="Q1519" s="1">
        <v>8.0460944849999994</v>
      </c>
      <c r="R1519" s="1">
        <v>8.4136518030000005</v>
      </c>
      <c r="S1519" s="1">
        <v>8.2193970309999997</v>
      </c>
      <c r="T1519" s="1">
        <v>7.9254145899999999</v>
      </c>
      <c r="U1519" s="1">
        <v>8.0909736599999995</v>
      </c>
      <c r="V1519" s="1">
        <v>8.6758574409999998</v>
      </c>
      <c r="W1519" s="1">
        <v>8.4925714600000006</v>
      </c>
      <c r="X1519" s="1">
        <v>8.1972540820000006</v>
      </c>
      <c r="Y1519" s="1">
        <v>8.8194234330000008</v>
      </c>
      <c r="Z1519" s="1">
        <v>8.4136518030000005</v>
      </c>
      <c r="AA1519" s="1">
        <v>8.2193970309999997</v>
      </c>
      <c r="AB1519" s="1">
        <v>8.8081936249999995</v>
      </c>
      <c r="AC1519" s="1">
        <v>8.5968699359999992</v>
      </c>
      <c r="AD1519" s="1">
        <v>8.6106271099999994</v>
      </c>
      <c r="AE1519" s="1">
        <v>8.7868933719999998</v>
      </c>
    </row>
    <row r="1520" spans="1:31" x14ac:dyDescent="0.25">
      <c r="A1520" s="1" t="s">
        <v>922</v>
      </c>
      <c r="B1520" s="1" t="s">
        <v>2557</v>
      </c>
      <c r="C1520" s="1" t="s">
        <v>3497</v>
      </c>
      <c r="D1520" s="1" t="s">
        <v>3498</v>
      </c>
      <c r="E1520" s="1" t="s">
        <v>4941</v>
      </c>
      <c r="F1520" s="1" t="s">
        <v>4942</v>
      </c>
      <c r="G1520" s="1" t="s">
        <v>922</v>
      </c>
      <c r="H1520" s="1">
        <v>6.0673720150000001</v>
      </c>
      <c r="I1520" s="1">
        <v>6.395465862</v>
      </c>
      <c r="J1520" s="1">
        <v>5.6809121170000001</v>
      </c>
      <c r="K1520" s="1">
        <v>5.1139224319999999</v>
      </c>
      <c r="L1520" s="1">
        <v>5.4841512059999999</v>
      </c>
      <c r="M1520" s="1">
        <v>5.3157400949999998</v>
      </c>
      <c r="N1520" s="1">
        <v>5.894631425</v>
      </c>
      <c r="O1520" s="1">
        <v>6.4302305970000004</v>
      </c>
      <c r="P1520" s="1">
        <v>5.9651829550000004</v>
      </c>
      <c r="Q1520" s="1">
        <v>6.1972278550000004</v>
      </c>
      <c r="R1520" s="1">
        <v>5.8111782390000002</v>
      </c>
      <c r="S1520" s="1">
        <v>6.0227453090000003</v>
      </c>
      <c r="T1520" s="1">
        <v>5.4841512059999999</v>
      </c>
      <c r="U1520" s="1">
        <v>5.3157400949999998</v>
      </c>
      <c r="V1520" s="1">
        <v>6.2949812820000002</v>
      </c>
      <c r="W1520" s="1">
        <v>6.5528329879999996</v>
      </c>
      <c r="X1520" s="1">
        <v>5.522982507</v>
      </c>
      <c r="Y1520" s="1">
        <v>6.3310590680000001</v>
      </c>
      <c r="Z1520" s="1">
        <v>5.8111782390000002</v>
      </c>
      <c r="AA1520" s="1">
        <v>6.0227453090000003</v>
      </c>
      <c r="AB1520" s="1">
        <v>5.9711898400000001</v>
      </c>
      <c r="AC1520" s="1">
        <v>5.7882226870000002</v>
      </c>
      <c r="AD1520" s="1">
        <v>6.284744441</v>
      </c>
      <c r="AE1520" s="1">
        <v>6.2272627849999997</v>
      </c>
    </row>
    <row r="1521" spans="1:31" x14ac:dyDescent="0.25">
      <c r="A1521" s="1" t="s">
        <v>924</v>
      </c>
      <c r="B1521" s="1" t="s">
        <v>2557</v>
      </c>
      <c r="C1521" s="1" t="s">
        <v>2680</v>
      </c>
      <c r="D1521" s="1" t="s">
        <v>2712</v>
      </c>
      <c r="E1521" s="1" t="s">
        <v>4943</v>
      </c>
      <c r="F1521" s="1" t="s">
        <v>4944</v>
      </c>
      <c r="G1521" s="1" t="s">
        <v>924</v>
      </c>
      <c r="H1521" s="1">
        <v>8.5258777670000008</v>
      </c>
      <c r="I1521" s="1">
        <v>8.6168812460000002</v>
      </c>
      <c r="J1521" s="1">
        <v>7.0459985720000002</v>
      </c>
      <c r="K1521" s="1">
        <v>7.2462922790000004</v>
      </c>
      <c r="L1521" s="1">
        <v>7.1726379920000003</v>
      </c>
      <c r="M1521" s="1">
        <v>7.0651950020000003</v>
      </c>
      <c r="N1521" s="1">
        <v>8.3427669929999997</v>
      </c>
      <c r="O1521" s="1">
        <v>8.4379468450000008</v>
      </c>
      <c r="P1521" s="1">
        <v>6.9903989949999996</v>
      </c>
      <c r="Q1521" s="1">
        <v>7.3306552820000004</v>
      </c>
      <c r="R1521" s="1">
        <v>6.8978352640000002</v>
      </c>
      <c r="S1521" s="1">
        <v>6.9892911179999997</v>
      </c>
      <c r="T1521" s="1">
        <v>7.1726379920000003</v>
      </c>
      <c r="U1521" s="1">
        <v>7.0651950020000003</v>
      </c>
      <c r="V1521" s="1">
        <v>7.1959894090000001</v>
      </c>
      <c r="W1521" s="1">
        <v>7.3103856619999998</v>
      </c>
      <c r="X1521" s="1">
        <v>6.8158741230000004</v>
      </c>
      <c r="Y1521" s="1">
        <v>7.063596596</v>
      </c>
      <c r="Z1521" s="1">
        <v>6.8978352640000002</v>
      </c>
      <c r="AA1521" s="1">
        <v>6.9892911179999997</v>
      </c>
      <c r="AB1521" s="1">
        <v>7.1520220669999999</v>
      </c>
      <c r="AC1521" s="1">
        <v>6.8856954019999996</v>
      </c>
      <c r="AD1521" s="1">
        <v>6.9493542489999998</v>
      </c>
      <c r="AE1521" s="1">
        <v>7.0783497569999998</v>
      </c>
    </row>
    <row r="1522" spans="1:31" x14ac:dyDescent="0.25">
      <c r="A1522" s="1" t="s">
        <v>927</v>
      </c>
      <c r="B1522" s="1" t="s">
        <v>2530</v>
      </c>
      <c r="C1522" s="1" t="s">
        <v>2531</v>
      </c>
      <c r="D1522" s="1" t="s">
        <v>2535</v>
      </c>
      <c r="E1522" s="1" t="s">
        <v>4945</v>
      </c>
      <c r="G1522" s="1" t="s">
        <v>927</v>
      </c>
      <c r="H1522" s="1">
        <v>7.3696505800000001</v>
      </c>
      <c r="I1522" s="1">
        <v>7.5870385970000003</v>
      </c>
      <c r="J1522" s="1">
        <v>7.2929885179999996</v>
      </c>
      <c r="K1522" s="1">
        <v>8.0213251999999997</v>
      </c>
      <c r="L1522" s="1">
        <v>6.2716175139999999</v>
      </c>
      <c r="M1522" s="1">
        <v>5.9537101330000004</v>
      </c>
      <c r="N1522" s="1">
        <v>7.2835245979999996</v>
      </c>
      <c r="O1522" s="1">
        <v>7.4860192379999999</v>
      </c>
      <c r="P1522" s="1">
        <v>6.6469760500000001</v>
      </c>
      <c r="Q1522" s="1">
        <v>6.6635286550000004</v>
      </c>
      <c r="R1522" s="1">
        <v>6.7267142719999997</v>
      </c>
      <c r="S1522" s="1">
        <v>7.0777719039999996</v>
      </c>
      <c r="T1522" s="1">
        <v>6.2716175139999999</v>
      </c>
      <c r="U1522" s="1">
        <v>5.9537101330000004</v>
      </c>
      <c r="V1522" s="1">
        <v>7.0424851190000002</v>
      </c>
      <c r="W1522" s="1">
        <v>7.0126858380000003</v>
      </c>
      <c r="X1522" s="1">
        <v>6.4202153790000001</v>
      </c>
      <c r="Y1522" s="1">
        <v>7.3657028609999999</v>
      </c>
      <c r="Z1522" s="1">
        <v>6.7267142719999997</v>
      </c>
      <c r="AA1522" s="1">
        <v>7.0777719039999996</v>
      </c>
      <c r="AB1522" s="1">
        <v>6.8954646989999997</v>
      </c>
      <c r="AC1522" s="1">
        <v>6.4923770970000003</v>
      </c>
      <c r="AD1522" s="1">
        <v>6.7977787940000001</v>
      </c>
      <c r="AE1522" s="1">
        <v>7.1314718639999999</v>
      </c>
    </row>
    <row r="1523" spans="1:31" x14ac:dyDescent="0.25">
      <c r="A1523" s="1" t="s">
        <v>928</v>
      </c>
      <c r="B1523" s="1" t="s">
        <v>2579</v>
      </c>
      <c r="C1523" s="1" t="s">
        <v>2585</v>
      </c>
      <c r="D1523" s="1" t="s">
        <v>2586</v>
      </c>
      <c r="E1523" s="1" t="s">
        <v>4946</v>
      </c>
      <c r="F1523" s="1" t="s">
        <v>4947</v>
      </c>
      <c r="G1523" s="1" t="s">
        <v>928</v>
      </c>
      <c r="H1523" s="1">
        <v>6.6155784799999999</v>
      </c>
      <c r="I1523" s="1">
        <v>5.7776224090000001</v>
      </c>
      <c r="J1523" s="1">
        <v>7.2511161680000003</v>
      </c>
      <c r="K1523" s="1">
        <v>7.0780075809999996</v>
      </c>
      <c r="L1523" s="1">
        <v>6.777341389</v>
      </c>
      <c r="M1523" s="1">
        <v>7.1829334549999997</v>
      </c>
      <c r="N1523" s="1">
        <v>4.9930900400000002</v>
      </c>
      <c r="O1523" s="1">
        <v>5.3074139359999997</v>
      </c>
      <c r="P1523" s="1">
        <v>6.9903989949999996</v>
      </c>
      <c r="Q1523" s="1">
        <v>7.0286617009999999</v>
      </c>
      <c r="R1523" s="1">
        <v>7.4906764319999999</v>
      </c>
      <c r="S1523" s="1">
        <v>7.314648633</v>
      </c>
      <c r="T1523" s="1">
        <v>6.777341389</v>
      </c>
      <c r="U1523" s="1">
        <v>7.1829334549999997</v>
      </c>
      <c r="V1523" s="1">
        <v>7.4449946410000001</v>
      </c>
      <c r="W1523" s="1">
        <v>7.5995423029999998</v>
      </c>
      <c r="X1523" s="1">
        <v>7.9632459600000001</v>
      </c>
      <c r="Y1523" s="1">
        <v>7.5961041060000003</v>
      </c>
      <c r="Z1523" s="1">
        <v>7.4906764319999999</v>
      </c>
      <c r="AA1523" s="1">
        <v>7.314648633</v>
      </c>
      <c r="AB1523" s="1">
        <v>7.9354748419999996</v>
      </c>
      <c r="AC1523" s="1">
        <v>8.059776008</v>
      </c>
      <c r="AD1523" s="1">
        <v>8.2569514930000008</v>
      </c>
      <c r="AE1523" s="1">
        <v>8.2935423139999997</v>
      </c>
    </row>
    <row r="1524" spans="1:31" x14ac:dyDescent="0.25">
      <c r="A1524" s="1" t="s">
        <v>929</v>
      </c>
      <c r="B1524" s="1" t="s">
        <v>2579</v>
      </c>
      <c r="C1524" s="1" t="s">
        <v>2585</v>
      </c>
      <c r="D1524" s="1" t="s">
        <v>2586</v>
      </c>
      <c r="E1524" s="1" t="s">
        <v>4948</v>
      </c>
      <c r="F1524" s="1" t="s">
        <v>4949</v>
      </c>
      <c r="G1524" s="1" t="s">
        <v>929</v>
      </c>
      <c r="H1524" s="1">
        <v>6.8356879179999996</v>
      </c>
      <c r="I1524" s="1">
        <v>6.2534876759999998</v>
      </c>
      <c r="J1524" s="1">
        <v>6.9705806790000002</v>
      </c>
      <c r="K1524" s="1">
        <v>6.9030258440000001</v>
      </c>
      <c r="L1524" s="1">
        <v>6.1449929210000001</v>
      </c>
      <c r="M1524" s="1">
        <v>6.4534937259999996</v>
      </c>
      <c r="N1524" s="1">
        <v>5.0802595029999997</v>
      </c>
      <c r="O1524" s="1">
        <v>5.7062857469999999</v>
      </c>
      <c r="P1524" s="1">
        <v>6.6776731939999996</v>
      </c>
      <c r="Q1524" s="1">
        <v>6.8424223910000004</v>
      </c>
      <c r="R1524" s="1">
        <v>7.1526080929999996</v>
      </c>
      <c r="S1524" s="1">
        <v>6.9361787750000001</v>
      </c>
      <c r="T1524" s="1">
        <v>6.1449929210000001</v>
      </c>
      <c r="U1524" s="1">
        <v>6.4534937259999996</v>
      </c>
      <c r="V1524" s="1">
        <v>6.9761915710000002</v>
      </c>
      <c r="W1524" s="1">
        <v>7.5242488339999998</v>
      </c>
      <c r="X1524" s="1">
        <v>7.4131801910000004</v>
      </c>
      <c r="Y1524" s="1">
        <v>7.1714898009999999</v>
      </c>
      <c r="Z1524" s="1">
        <v>7.1526080929999996</v>
      </c>
      <c r="AA1524" s="1">
        <v>6.9361787750000001</v>
      </c>
      <c r="AB1524" s="1">
        <v>7.5461211700000002</v>
      </c>
      <c r="AC1524" s="1">
        <v>7.4924809730000002</v>
      </c>
      <c r="AD1524" s="1">
        <v>7.5800824159999998</v>
      </c>
      <c r="AE1524" s="1">
        <v>7.7690441620000001</v>
      </c>
    </row>
    <row r="1525" spans="1:31" x14ac:dyDescent="0.25">
      <c r="A1525" s="1" t="s">
        <v>930</v>
      </c>
      <c r="B1525" s="1" t="s">
        <v>2579</v>
      </c>
      <c r="C1525" s="1" t="s">
        <v>2580</v>
      </c>
      <c r="D1525" s="1" t="s">
        <v>3800</v>
      </c>
      <c r="E1525" s="1" t="s">
        <v>4950</v>
      </c>
      <c r="F1525" s="1" t="s">
        <v>4951</v>
      </c>
      <c r="G1525" s="1" t="s">
        <v>930</v>
      </c>
      <c r="H1525" s="1">
        <v>6.7480265230000001</v>
      </c>
      <c r="I1525" s="1">
        <v>6.3363261639999999</v>
      </c>
      <c r="J1525" s="1">
        <v>6.8772930739999998</v>
      </c>
      <c r="K1525" s="1">
        <v>6.7562562289999999</v>
      </c>
      <c r="L1525" s="1">
        <v>6.4156616629999998</v>
      </c>
      <c r="M1525" s="1">
        <v>6.7300220370000003</v>
      </c>
      <c r="N1525" s="1">
        <v>5.5947014570000002</v>
      </c>
      <c r="O1525" s="1">
        <v>5.4853382609999999</v>
      </c>
      <c r="P1525" s="1">
        <v>6.429694821</v>
      </c>
      <c r="Q1525" s="1">
        <v>6.8875871899999996</v>
      </c>
      <c r="R1525" s="1">
        <v>7.1025878479999998</v>
      </c>
      <c r="S1525" s="1">
        <v>6.4967339439999998</v>
      </c>
      <c r="T1525" s="1">
        <v>6.4156616629999998</v>
      </c>
      <c r="U1525" s="1">
        <v>6.7300220370000003</v>
      </c>
      <c r="V1525" s="1">
        <v>6.6755125270000004</v>
      </c>
      <c r="W1525" s="1">
        <v>6.7547022720000003</v>
      </c>
      <c r="X1525" s="1">
        <v>7.1063290629999996</v>
      </c>
      <c r="Y1525" s="1">
        <v>7.1050089449999998</v>
      </c>
      <c r="Z1525" s="1">
        <v>7.1025878479999998</v>
      </c>
      <c r="AA1525" s="1">
        <v>6.4967339439999998</v>
      </c>
      <c r="AB1525" s="1">
        <v>7.1351367960000003</v>
      </c>
      <c r="AC1525" s="1">
        <v>6.7613405999999996</v>
      </c>
      <c r="AD1525" s="1">
        <v>7.326894544</v>
      </c>
      <c r="AE1525" s="1">
        <v>7.3821613629999998</v>
      </c>
    </row>
    <row r="1526" spans="1:31" x14ac:dyDescent="0.25">
      <c r="A1526" s="1" t="s">
        <v>932</v>
      </c>
      <c r="B1526" s="1" t="s">
        <v>2838</v>
      </c>
      <c r="C1526" s="1" t="s">
        <v>2839</v>
      </c>
      <c r="D1526" s="1" t="s">
        <v>2840</v>
      </c>
      <c r="E1526" s="1" t="s">
        <v>4952</v>
      </c>
      <c r="F1526" s="1" t="s">
        <v>4953</v>
      </c>
      <c r="G1526" s="1" t="s">
        <v>932</v>
      </c>
      <c r="H1526" s="1">
        <v>4.0684382540000001</v>
      </c>
      <c r="I1526" s="1">
        <v>4.2936285989999998</v>
      </c>
      <c r="J1526" s="1">
        <v>4.7851628320000001</v>
      </c>
      <c r="K1526" s="1">
        <v>4.6734567340000002</v>
      </c>
      <c r="L1526" s="1">
        <v>5.2363096809999998</v>
      </c>
      <c r="M1526" s="1">
        <v>5.1508485750000004</v>
      </c>
      <c r="N1526" s="1">
        <v>5.1081614489999998</v>
      </c>
      <c r="O1526" s="1">
        <v>4.385526188</v>
      </c>
      <c r="P1526" s="1">
        <v>5.0554269730000003</v>
      </c>
      <c r="Q1526" s="1">
        <v>4.8155696649999999</v>
      </c>
      <c r="R1526" s="1">
        <v>5.4981688889999996</v>
      </c>
      <c r="S1526" s="1">
        <v>5.1309834260000002</v>
      </c>
      <c r="T1526" s="1">
        <v>5.2363096809999998</v>
      </c>
      <c r="U1526" s="1">
        <v>5.1508485750000004</v>
      </c>
      <c r="V1526" s="1">
        <v>5.2828838410000003</v>
      </c>
      <c r="W1526" s="1">
        <v>4.69862249</v>
      </c>
      <c r="X1526" s="1">
        <v>5.3326311679999998</v>
      </c>
      <c r="Y1526" s="1">
        <v>5.8677638710000002</v>
      </c>
      <c r="Z1526" s="1">
        <v>5.4981688889999996</v>
      </c>
      <c r="AA1526" s="1">
        <v>5.1309834260000002</v>
      </c>
      <c r="AB1526" s="1">
        <v>4.705867896</v>
      </c>
      <c r="AC1526" s="1">
        <v>5.7003611899999997</v>
      </c>
      <c r="AD1526" s="1">
        <v>5.9231977699999998</v>
      </c>
      <c r="AE1526" s="1">
        <v>5.5139573549999996</v>
      </c>
    </row>
    <row r="1527" spans="1:31" x14ac:dyDescent="0.25">
      <c r="A1527" s="1" t="s">
        <v>933</v>
      </c>
      <c r="B1527" s="1" t="s">
        <v>2667</v>
      </c>
      <c r="C1527" s="1" t="s">
        <v>3441</v>
      </c>
      <c r="D1527" s="1" t="s">
        <v>4954</v>
      </c>
      <c r="E1527" s="1" t="s">
        <v>4955</v>
      </c>
      <c r="F1527" s="1" t="s">
        <v>4956</v>
      </c>
      <c r="G1527" s="1" t="s">
        <v>933</v>
      </c>
      <c r="H1527" s="1">
        <v>6.5340358859999998</v>
      </c>
      <c r="I1527" s="1">
        <v>6.7825936330000003</v>
      </c>
      <c r="J1527" s="1">
        <v>6.7325823309999997</v>
      </c>
      <c r="K1527" s="1">
        <v>6.363994462</v>
      </c>
      <c r="L1527" s="1">
        <v>7.7663399929999999</v>
      </c>
      <c r="M1527" s="1">
        <v>7.4291615179999999</v>
      </c>
      <c r="N1527" s="1">
        <v>6.7894418200000004</v>
      </c>
      <c r="O1527" s="1">
        <v>6.8460602799999997</v>
      </c>
      <c r="P1527" s="1">
        <v>7.1737717869999997</v>
      </c>
      <c r="Q1527" s="1">
        <v>7.0015303629999996</v>
      </c>
      <c r="R1527" s="1">
        <v>7.2930261510000003</v>
      </c>
      <c r="S1527" s="1">
        <v>7.4814440869999999</v>
      </c>
      <c r="T1527" s="1">
        <v>7.7663399929999999</v>
      </c>
      <c r="U1527" s="1">
        <v>7.4291615179999999</v>
      </c>
      <c r="V1527" s="1">
        <v>7.2437271340000002</v>
      </c>
      <c r="W1527" s="1">
        <v>7.2845395589999997</v>
      </c>
      <c r="X1527" s="1">
        <v>7.3809311040000001</v>
      </c>
      <c r="Y1527" s="1">
        <v>7.1319704259999996</v>
      </c>
      <c r="Z1527" s="1">
        <v>7.2930261510000003</v>
      </c>
      <c r="AA1527" s="1">
        <v>7.4814440869999999</v>
      </c>
      <c r="AB1527" s="1">
        <v>6.8547782980000003</v>
      </c>
      <c r="AC1527" s="1">
        <v>7.374859141</v>
      </c>
      <c r="AD1527" s="1">
        <v>6.6283518130000001</v>
      </c>
      <c r="AE1527" s="1">
        <v>6.6388355429999999</v>
      </c>
    </row>
    <row r="1528" spans="1:31" x14ac:dyDescent="0.25">
      <c r="A1528" s="1" t="s">
        <v>934</v>
      </c>
      <c r="B1528" s="1" t="s">
        <v>2530</v>
      </c>
      <c r="C1528" s="1" t="s">
        <v>2531</v>
      </c>
      <c r="D1528" s="1" t="s">
        <v>2535</v>
      </c>
      <c r="E1528" s="1" t="s">
        <v>2536</v>
      </c>
      <c r="G1528" s="1" t="s">
        <v>934</v>
      </c>
      <c r="H1528" s="1">
        <v>5.3712699940000004</v>
      </c>
      <c r="I1528" s="1">
        <v>4.5981535630000003</v>
      </c>
      <c r="J1528" s="1">
        <v>4.1077874330000004</v>
      </c>
      <c r="K1528" s="1">
        <v>4.8139921829999999</v>
      </c>
      <c r="L1528" s="1">
        <v>4.0714409539999998</v>
      </c>
      <c r="M1528" s="1">
        <v>4.239619416</v>
      </c>
      <c r="N1528" s="1">
        <v>4.4061149080000002</v>
      </c>
      <c r="O1528" s="1">
        <v>5.1040005129999999</v>
      </c>
      <c r="P1528" s="1">
        <v>4.161525224</v>
      </c>
      <c r="Q1528" s="1">
        <v>4.18747588</v>
      </c>
      <c r="R1528" s="1">
        <v>4.45403635</v>
      </c>
      <c r="S1528" s="1">
        <v>3.7977317990000001</v>
      </c>
      <c r="T1528" s="1">
        <v>4.0714409539999998</v>
      </c>
      <c r="U1528" s="1">
        <v>4.239619416</v>
      </c>
      <c r="V1528" s="1">
        <v>3.3993802240000002</v>
      </c>
      <c r="W1528" s="1">
        <v>3.50175473</v>
      </c>
      <c r="X1528" s="1">
        <v>4.2198471</v>
      </c>
      <c r="Y1528" s="1">
        <v>4.4420910779999998</v>
      </c>
      <c r="Z1528" s="1">
        <v>4.45403635</v>
      </c>
      <c r="AA1528" s="1">
        <v>3.7977317990000001</v>
      </c>
      <c r="AB1528" s="1">
        <v>4.139369361</v>
      </c>
      <c r="AC1528" s="1">
        <v>4.0753403910000001</v>
      </c>
      <c r="AD1528" s="1">
        <v>3.984188064</v>
      </c>
      <c r="AE1528" s="1">
        <v>3.8864783150000002</v>
      </c>
    </row>
    <row r="1529" spans="1:31" x14ac:dyDescent="0.25">
      <c r="A1529" s="1" t="s">
        <v>935</v>
      </c>
      <c r="B1529" s="1" t="s">
        <v>2631</v>
      </c>
      <c r="C1529" s="1" t="s">
        <v>2531</v>
      </c>
      <c r="D1529" s="1" t="s">
        <v>4957</v>
      </c>
      <c r="E1529" s="1" t="s">
        <v>4958</v>
      </c>
      <c r="G1529" s="1" t="s">
        <v>935</v>
      </c>
      <c r="H1529" s="1">
        <v>7.8369277369999999</v>
      </c>
      <c r="I1529" s="1">
        <v>7.7084567530000001</v>
      </c>
      <c r="J1529" s="1">
        <v>7.8223937020000003</v>
      </c>
      <c r="K1529" s="1">
        <v>8.0977750969999995</v>
      </c>
      <c r="L1529" s="1">
        <v>8.2356212679999992</v>
      </c>
      <c r="M1529" s="1">
        <v>8.0016909320000007</v>
      </c>
      <c r="N1529" s="1">
        <v>7.8885033770000001</v>
      </c>
      <c r="O1529" s="1">
        <v>7.9189075249999998</v>
      </c>
      <c r="P1529" s="1">
        <v>7.9146536269999999</v>
      </c>
      <c r="Q1529" s="1">
        <v>7.7849402410000001</v>
      </c>
      <c r="R1529" s="1">
        <v>7.4412330640000004</v>
      </c>
      <c r="S1529" s="1">
        <v>7.7042077559999997</v>
      </c>
      <c r="T1529" s="1">
        <v>8.2356212679999992</v>
      </c>
      <c r="U1529" s="1">
        <v>8.0016909320000007</v>
      </c>
      <c r="V1529" s="1">
        <v>7.4612374600000004</v>
      </c>
      <c r="W1529" s="1">
        <v>7.9010654520000001</v>
      </c>
      <c r="X1529" s="1">
        <v>7.5354128989999998</v>
      </c>
      <c r="Y1529" s="1">
        <v>7.9081935300000001</v>
      </c>
      <c r="Z1529" s="1">
        <v>7.4412330640000004</v>
      </c>
      <c r="AA1529" s="1">
        <v>7.7042077559999997</v>
      </c>
      <c r="AB1529" s="1">
        <v>7.8345320049999998</v>
      </c>
      <c r="AC1529" s="1">
        <v>7.5603659499999996</v>
      </c>
      <c r="AD1529" s="1">
        <v>7.9398884570000003</v>
      </c>
      <c r="AE1529" s="1">
        <v>7.8385579930000002</v>
      </c>
    </row>
    <row r="1530" spans="1:31" x14ac:dyDescent="0.25">
      <c r="A1530" s="1" t="s">
        <v>941</v>
      </c>
      <c r="B1530" s="1" t="s">
        <v>2557</v>
      </c>
      <c r="C1530" s="1" t="s">
        <v>2680</v>
      </c>
      <c r="D1530" s="1" t="s">
        <v>3471</v>
      </c>
      <c r="E1530" s="1" t="s">
        <v>4959</v>
      </c>
      <c r="G1530" s="1" t="s">
        <v>941</v>
      </c>
      <c r="H1530" s="1">
        <v>4.3886087140000001</v>
      </c>
      <c r="I1530" s="1">
        <v>4.66484875</v>
      </c>
      <c r="J1530" s="1">
        <v>5.4021237849999997</v>
      </c>
      <c r="K1530" s="1">
        <v>5.6848657879999998</v>
      </c>
      <c r="L1530" s="1">
        <v>5.5690677470000001</v>
      </c>
      <c r="M1530" s="1">
        <v>5.7000608240000004</v>
      </c>
      <c r="N1530" s="1">
        <v>4.3116130799999999</v>
      </c>
      <c r="O1530" s="1">
        <v>4.6680836990000003</v>
      </c>
      <c r="P1530" s="1">
        <v>5.5977847030000003</v>
      </c>
      <c r="Q1530" s="1">
        <v>5.5022716190000001</v>
      </c>
      <c r="R1530" s="1">
        <v>5.4182058560000002</v>
      </c>
      <c r="S1530" s="1">
        <v>5.9168316079999999</v>
      </c>
      <c r="T1530" s="1">
        <v>5.5690677470000001</v>
      </c>
      <c r="U1530" s="1">
        <v>5.7000608240000004</v>
      </c>
      <c r="V1530" s="1">
        <v>5.4882083000000002</v>
      </c>
      <c r="W1530" s="1">
        <v>5.1095551629999996</v>
      </c>
      <c r="X1530" s="1">
        <v>5.7596503070000002</v>
      </c>
      <c r="Y1530" s="1">
        <v>5.7329513619999997</v>
      </c>
      <c r="Z1530" s="1">
        <v>5.4182058560000002</v>
      </c>
      <c r="AA1530" s="1">
        <v>5.9168316079999999</v>
      </c>
      <c r="AB1530" s="1">
        <v>5.675717079</v>
      </c>
      <c r="AC1530" s="1">
        <v>5.3221936159999998</v>
      </c>
      <c r="AD1530" s="1">
        <v>5.5945353439999996</v>
      </c>
      <c r="AE1530" s="1">
        <v>5.5730198079999997</v>
      </c>
    </row>
    <row r="1531" spans="1:31" x14ac:dyDescent="0.25">
      <c r="A1531" s="1" t="s">
        <v>948</v>
      </c>
      <c r="B1531" s="1" t="s">
        <v>2539</v>
      </c>
      <c r="C1531" s="1" t="s">
        <v>2540</v>
      </c>
      <c r="D1531" s="1" t="s">
        <v>4960</v>
      </c>
      <c r="E1531" s="1" t="s">
        <v>4961</v>
      </c>
      <c r="F1531" s="1" t="s">
        <v>4962</v>
      </c>
      <c r="G1531" s="1" t="s">
        <v>948</v>
      </c>
      <c r="H1531" s="1">
        <v>10.0242653</v>
      </c>
      <c r="I1531" s="1">
        <v>9.8066586779999998</v>
      </c>
      <c r="J1531" s="1">
        <v>8.4265607389999992</v>
      </c>
      <c r="K1531" s="1">
        <v>8.9550771759999996</v>
      </c>
      <c r="L1531" s="1">
        <v>7.5212018790000004</v>
      </c>
      <c r="M1531" s="1">
        <v>7.7048251130000001</v>
      </c>
      <c r="N1531" s="1">
        <v>9.3784855319999991</v>
      </c>
      <c r="O1531" s="1">
        <v>9.9803537430000002</v>
      </c>
      <c r="P1531" s="1">
        <v>8.0958901280000006</v>
      </c>
      <c r="Q1531" s="1">
        <v>8.1547020969999995</v>
      </c>
      <c r="R1531" s="1">
        <v>7.819547214</v>
      </c>
      <c r="S1531" s="1">
        <v>7.854835338</v>
      </c>
      <c r="T1531" s="1">
        <v>7.5212018790000004</v>
      </c>
      <c r="U1531" s="1">
        <v>7.7048251130000001</v>
      </c>
      <c r="V1531" s="1">
        <v>7.9725866410000004</v>
      </c>
      <c r="W1531" s="1">
        <v>7.589023847</v>
      </c>
      <c r="X1531" s="1">
        <v>7.6344755639999997</v>
      </c>
      <c r="Y1531" s="1">
        <v>8.0133946100000006</v>
      </c>
      <c r="Z1531" s="1">
        <v>7.819547214</v>
      </c>
      <c r="AA1531" s="1">
        <v>7.854835338</v>
      </c>
      <c r="AB1531" s="1">
        <v>7.9548424219999996</v>
      </c>
      <c r="AC1531" s="1">
        <v>7.7612167000000003</v>
      </c>
      <c r="AD1531" s="1">
        <v>8.1038892669999996</v>
      </c>
      <c r="AE1531" s="1">
        <v>8.1139114889999995</v>
      </c>
    </row>
    <row r="1532" spans="1:31" x14ac:dyDescent="0.25">
      <c r="A1532" s="1" t="s">
        <v>950</v>
      </c>
      <c r="B1532" s="1" t="s">
        <v>2547</v>
      </c>
      <c r="C1532" s="1" t="s">
        <v>2548</v>
      </c>
      <c r="D1532" s="1" t="s">
        <v>3706</v>
      </c>
      <c r="E1532" s="1" t="s">
        <v>4963</v>
      </c>
      <c r="F1532" s="1" t="s">
        <v>4964</v>
      </c>
      <c r="G1532" s="1" t="s">
        <v>950</v>
      </c>
      <c r="H1532" s="1">
        <v>4.6479005740000003</v>
      </c>
      <c r="I1532" s="1">
        <v>4.66484875</v>
      </c>
      <c r="J1532" s="1">
        <v>4.7851628320000001</v>
      </c>
      <c r="K1532" s="1">
        <v>4.941717659</v>
      </c>
      <c r="L1532" s="1">
        <v>5.0110661050000003</v>
      </c>
      <c r="M1532" s="1">
        <v>5.2628748920000001</v>
      </c>
      <c r="N1532" s="1">
        <v>3.622455167</v>
      </c>
      <c r="O1532" s="1">
        <v>3.8071106499999998</v>
      </c>
      <c r="P1532" s="1">
        <v>5.3900565609999997</v>
      </c>
      <c r="Q1532" s="1">
        <v>4.993318082</v>
      </c>
      <c r="R1532" s="1">
        <v>5.2891602459999998</v>
      </c>
      <c r="S1532" s="1">
        <v>5.4306817489999997</v>
      </c>
      <c r="T1532" s="1">
        <v>5.0110661050000003</v>
      </c>
      <c r="U1532" s="1">
        <v>5.2628748920000001</v>
      </c>
      <c r="V1532" s="1">
        <v>4.8566239800000002</v>
      </c>
      <c r="W1532" s="1">
        <v>4.9190341039999996</v>
      </c>
      <c r="X1532" s="1">
        <v>5.2866392680000001</v>
      </c>
      <c r="Y1532" s="1">
        <v>4.6842287809999998</v>
      </c>
      <c r="Z1532" s="1">
        <v>5.2891602459999998</v>
      </c>
      <c r="AA1532" s="1">
        <v>5.4306817489999997</v>
      </c>
      <c r="AB1532" s="1">
        <v>5.6280506069999996</v>
      </c>
      <c r="AC1532" s="1">
        <v>5.5065733579999998</v>
      </c>
      <c r="AD1532" s="1">
        <v>5.0087140049999999</v>
      </c>
      <c r="AE1532" s="1">
        <v>4.8625108150000003</v>
      </c>
    </row>
    <row r="1533" spans="1:31" x14ac:dyDescent="0.25">
      <c r="A1533" s="1" t="s">
        <v>951</v>
      </c>
      <c r="B1533" s="1" t="s">
        <v>2579</v>
      </c>
      <c r="C1533" s="1" t="s">
        <v>2812</v>
      </c>
      <c r="D1533" s="1" t="s">
        <v>4965</v>
      </c>
      <c r="E1533" s="1" t="s">
        <v>4966</v>
      </c>
      <c r="F1533" s="1" t="s">
        <v>4967</v>
      </c>
      <c r="G1533" s="1" t="s">
        <v>951</v>
      </c>
      <c r="H1533" s="1">
        <v>4.2900513550000001</v>
      </c>
      <c r="I1533" s="1">
        <v>4.2936285989999998</v>
      </c>
      <c r="J1533" s="1">
        <v>5.1953777219999999</v>
      </c>
      <c r="K1533" s="1">
        <v>5.0014827119999996</v>
      </c>
      <c r="L1533" s="1">
        <v>5.1940340669999996</v>
      </c>
      <c r="M1533" s="1">
        <v>5.2079667260000004</v>
      </c>
      <c r="N1533" s="1">
        <v>3.622455167</v>
      </c>
      <c r="O1533" s="1">
        <v>3.7238257350000001</v>
      </c>
      <c r="P1533" s="1">
        <v>5.1467681949999999</v>
      </c>
      <c r="Q1533" s="1">
        <v>4.993318082</v>
      </c>
      <c r="R1533" s="1">
        <v>5.2434057019999996</v>
      </c>
      <c r="S1533" s="1">
        <v>5.032286365</v>
      </c>
      <c r="T1533" s="1">
        <v>5.1940340669999996</v>
      </c>
      <c r="U1533" s="1">
        <v>5.2079667260000004</v>
      </c>
      <c r="V1533" s="1">
        <v>5.7758979430000004</v>
      </c>
      <c r="W1533" s="1">
        <v>5.2236621110000003</v>
      </c>
      <c r="X1533" s="1">
        <v>5.3098210989999997</v>
      </c>
      <c r="Y1533" s="1">
        <v>5.2792112080000004</v>
      </c>
      <c r="Z1533" s="1">
        <v>5.2434057019999996</v>
      </c>
      <c r="AA1533" s="1">
        <v>5.032286365</v>
      </c>
      <c r="AB1533" s="1">
        <v>5.3624643089999999</v>
      </c>
      <c r="AC1533" s="1">
        <v>5.5065733579999998</v>
      </c>
      <c r="AD1533" s="1">
        <v>5.5186611069999998</v>
      </c>
      <c r="AE1533" s="1">
        <v>5.1232419389999997</v>
      </c>
    </row>
    <row r="1534" spans="1:31" x14ac:dyDescent="0.25">
      <c r="A1534" s="1" t="s">
        <v>952</v>
      </c>
      <c r="B1534" s="1" t="s">
        <v>2520</v>
      </c>
      <c r="C1534" s="1" t="s">
        <v>2743</v>
      </c>
      <c r="D1534" s="1" t="s">
        <v>2744</v>
      </c>
      <c r="E1534" s="1" t="s">
        <v>4968</v>
      </c>
      <c r="F1534" s="1" t="s">
        <v>4969</v>
      </c>
      <c r="G1534" s="1" t="s">
        <v>952</v>
      </c>
      <c r="H1534" s="1">
        <v>7.0992043760000003</v>
      </c>
      <c r="I1534" s="1">
        <v>6.7223161380000001</v>
      </c>
      <c r="J1534" s="1">
        <v>6.5196869069999996</v>
      </c>
      <c r="K1534" s="1">
        <v>6.4725304650000002</v>
      </c>
      <c r="L1534" s="1">
        <v>6.3972692809999998</v>
      </c>
      <c r="M1534" s="1">
        <v>6.5983890030000003</v>
      </c>
      <c r="N1534" s="1">
        <v>6.2458658810000003</v>
      </c>
      <c r="O1534" s="1">
        <v>6.217434312</v>
      </c>
      <c r="P1534" s="1">
        <v>6.6156100010000003</v>
      </c>
      <c r="Q1534" s="1">
        <v>6.6977517669999997</v>
      </c>
      <c r="R1534" s="1">
        <v>6.7754359979999998</v>
      </c>
      <c r="S1534" s="1">
        <v>6.8236915869999999</v>
      </c>
      <c r="T1534" s="1">
        <v>6.3972692809999998</v>
      </c>
      <c r="U1534" s="1">
        <v>6.5983890030000003</v>
      </c>
      <c r="V1534" s="1">
        <v>6.1419042490000004</v>
      </c>
      <c r="W1534" s="1">
        <v>6.463427716</v>
      </c>
      <c r="X1534" s="1">
        <v>6.4619662419999999</v>
      </c>
      <c r="Y1534" s="1">
        <v>6.0769070919999999</v>
      </c>
      <c r="Z1534" s="1">
        <v>6.7754359979999998</v>
      </c>
      <c r="AA1534" s="1">
        <v>6.8236915869999999</v>
      </c>
      <c r="AB1534" s="1">
        <v>6.7915089589999997</v>
      </c>
      <c r="AC1534" s="1">
        <v>6.3069602739999997</v>
      </c>
      <c r="AD1534" s="1">
        <v>6.8136746160000001</v>
      </c>
      <c r="AE1534" s="1">
        <v>6.4736876839999997</v>
      </c>
    </row>
    <row r="1535" spans="1:31" x14ac:dyDescent="0.25">
      <c r="A1535" s="1" t="s">
        <v>953</v>
      </c>
      <c r="B1535" s="1" t="s">
        <v>2667</v>
      </c>
      <c r="C1535" s="1" t="s">
        <v>4077</v>
      </c>
      <c r="D1535" s="1" t="s">
        <v>4970</v>
      </c>
      <c r="E1535" s="1" t="s">
        <v>4971</v>
      </c>
      <c r="F1535" s="1" t="s">
        <v>4972</v>
      </c>
      <c r="G1535" s="1" t="s">
        <v>953</v>
      </c>
      <c r="H1535" s="1">
        <v>3.4660955969999998</v>
      </c>
      <c r="I1535" s="1">
        <v>3.9003964459999998</v>
      </c>
      <c r="J1535" s="1">
        <v>3.1324899180000001</v>
      </c>
      <c r="K1535" s="1">
        <v>3.762021974</v>
      </c>
      <c r="L1535" s="1">
        <v>3.3025959560000002</v>
      </c>
      <c r="M1535" s="1">
        <v>3.4067547010000001</v>
      </c>
      <c r="N1535" s="1">
        <v>2.9782685729999998</v>
      </c>
      <c r="O1535" s="1">
        <v>2.883783352</v>
      </c>
      <c r="P1535" s="1">
        <v>3.466113682</v>
      </c>
      <c r="Q1535" s="1">
        <v>3.388910638</v>
      </c>
      <c r="R1535" s="1">
        <v>3.1834741979999999</v>
      </c>
      <c r="S1535" s="1">
        <v>3.7977317990000001</v>
      </c>
      <c r="T1535" s="1">
        <v>3.3025959560000002</v>
      </c>
      <c r="U1535" s="1">
        <v>3.4067547010000001</v>
      </c>
      <c r="V1535" s="1">
        <v>3.6670520409999998</v>
      </c>
      <c r="W1535" s="1">
        <v>3.8431653940000001</v>
      </c>
      <c r="X1535" s="1">
        <v>3.6673381269999998</v>
      </c>
      <c r="Y1535" s="1">
        <v>3.7705059300000001</v>
      </c>
      <c r="Z1535" s="1">
        <v>3.1834741979999999</v>
      </c>
      <c r="AA1535" s="1">
        <v>3.7977317990000001</v>
      </c>
      <c r="AB1535" s="1">
        <v>3.990981031</v>
      </c>
      <c r="AC1535" s="1">
        <v>3.7481372300000002</v>
      </c>
      <c r="AD1535" s="1">
        <v>3.984188064</v>
      </c>
      <c r="AE1535" s="1">
        <v>3.419797387</v>
      </c>
    </row>
    <row r="1536" spans="1:31" x14ac:dyDescent="0.25">
      <c r="A1536" s="1" t="s">
        <v>959</v>
      </c>
      <c r="B1536" s="1" t="s">
        <v>2530</v>
      </c>
      <c r="C1536" s="1" t="s">
        <v>2531</v>
      </c>
      <c r="D1536" s="1" t="s">
        <v>2535</v>
      </c>
      <c r="E1536" s="1" t="s">
        <v>2536</v>
      </c>
      <c r="G1536" s="1" t="s">
        <v>959</v>
      </c>
      <c r="H1536" s="1">
        <v>3.4660955969999998</v>
      </c>
      <c r="I1536" s="1">
        <v>2.5655118899999998</v>
      </c>
      <c r="J1536" s="1">
        <v>3.7773371739999999</v>
      </c>
      <c r="K1536" s="1">
        <v>3.22334677</v>
      </c>
      <c r="L1536" s="1">
        <v>3.4685048369999998</v>
      </c>
      <c r="M1536" s="1">
        <v>2.8639998100000001</v>
      </c>
      <c r="N1536" s="1">
        <v>4.0417975630000003</v>
      </c>
      <c r="O1536" s="1">
        <v>4.0953574540000002</v>
      </c>
      <c r="P1536" s="1">
        <v>3.106446558</v>
      </c>
      <c r="Q1536" s="1">
        <v>2.597100669</v>
      </c>
      <c r="R1536" s="1">
        <v>3.1834741979999999</v>
      </c>
      <c r="S1536" s="1">
        <v>2.5733617299999998</v>
      </c>
      <c r="T1536" s="1">
        <v>3.4685048369999998</v>
      </c>
      <c r="U1536" s="1">
        <v>2.8639998100000001</v>
      </c>
      <c r="V1536" s="1">
        <v>3.3993802240000002</v>
      </c>
      <c r="W1536" s="1">
        <v>3.50175473</v>
      </c>
      <c r="X1536" s="1">
        <v>3.8785046219999999</v>
      </c>
      <c r="Y1536" s="1">
        <v>2.624795792</v>
      </c>
      <c r="Z1536" s="1">
        <v>3.1834741979999999</v>
      </c>
      <c r="AA1536" s="1">
        <v>2.5733617299999998</v>
      </c>
      <c r="AB1536" s="1">
        <v>1.7393328349999999</v>
      </c>
      <c r="AC1536" s="1">
        <v>4.2557864319999998</v>
      </c>
      <c r="AD1536" s="1">
        <v>2.6025990879999998</v>
      </c>
      <c r="AE1536" s="1">
        <v>2.9592545700000001</v>
      </c>
    </row>
    <row r="1537" spans="1:31" x14ac:dyDescent="0.25">
      <c r="A1537" s="1" t="s">
        <v>960</v>
      </c>
      <c r="B1537" s="1" t="s">
        <v>2530</v>
      </c>
      <c r="C1537" s="1" t="s">
        <v>2531</v>
      </c>
      <c r="D1537" s="1" t="s">
        <v>2535</v>
      </c>
      <c r="E1537" s="1" t="s">
        <v>4973</v>
      </c>
      <c r="G1537" s="1" t="s">
        <v>960</v>
      </c>
      <c r="H1537" s="1">
        <v>3.9421380259999999</v>
      </c>
      <c r="I1537" s="1">
        <v>3.5006354609999999</v>
      </c>
      <c r="J1537" s="1">
        <v>4.2898244959999996</v>
      </c>
      <c r="K1537" s="1">
        <v>4.3408695499999999</v>
      </c>
      <c r="L1537" s="1">
        <v>4.0714409539999998</v>
      </c>
      <c r="M1537" s="1">
        <v>4.239619416</v>
      </c>
      <c r="N1537" s="1">
        <v>4.6936110280000003</v>
      </c>
      <c r="O1537" s="1">
        <v>4.385526188</v>
      </c>
      <c r="P1537" s="1">
        <v>3.86011382</v>
      </c>
      <c r="Q1537" s="1">
        <v>4.18747588</v>
      </c>
      <c r="R1537" s="1">
        <v>3.8462631940000001</v>
      </c>
      <c r="S1537" s="1">
        <v>3.9182367880000002</v>
      </c>
      <c r="T1537" s="1">
        <v>4.0714409539999998</v>
      </c>
      <c r="U1537" s="1">
        <v>4.239619416</v>
      </c>
      <c r="V1537" s="1">
        <v>4.2408545169999998</v>
      </c>
      <c r="W1537" s="1">
        <v>4.7760085830000003</v>
      </c>
      <c r="X1537" s="1">
        <v>4.6838774470000004</v>
      </c>
      <c r="Y1537" s="1">
        <v>4.0337379980000003</v>
      </c>
      <c r="Z1537" s="1">
        <v>3.8462631940000001</v>
      </c>
      <c r="AA1537" s="1">
        <v>3.9182367880000002</v>
      </c>
      <c r="AB1537" s="1">
        <v>4.139369361</v>
      </c>
      <c r="AC1537" s="1">
        <v>4.6870272159999997</v>
      </c>
      <c r="AD1537" s="1">
        <v>4.3870463700000002</v>
      </c>
      <c r="AE1537" s="1">
        <v>3.8196998459999998</v>
      </c>
    </row>
    <row r="1538" spans="1:31" x14ac:dyDescent="0.25">
      <c r="A1538" s="1" t="s">
        <v>961</v>
      </c>
      <c r="B1538" s="1" t="s">
        <v>2568</v>
      </c>
      <c r="C1538" s="1" t="s">
        <v>2589</v>
      </c>
      <c r="D1538" s="1" t="s">
        <v>3510</v>
      </c>
      <c r="E1538" s="1" t="s">
        <v>4974</v>
      </c>
      <c r="F1538" s="1" t="s">
        <v>4975</v>
      </c>
      <c r="G1538" s="1" t="s">
        <v>961</v>
      </c>
      <c r="H1538" s="1">
        <v>5.5062820300000004</v>
      </c>
      <c r="I1538" s="1">
        <v>5.4817092260000004</v>
      </c>
      <c r="J1538" s="1">
        <v>7.2079908670000004</v>
      </c>
      <c r="K1538" s="1">
        <v>7.1052114120000001</v>
      </c>
      <c r="L1538" s="1">
        <v>7.2967754630000004</v>
      </c>
      <c r="M1538" s="1">
        <v>7.4760427390000004</v>
      </c>
      <c r="N1538" s="1">
        <v>5.5947014570000002</v>
      </c>
      <c r="O1538" s="1">
        <v>5.7859173799999999</v>
      </c>
      <c r="P1538" s="1">
        <v>7.2472000000000003</v>
      </c>
      <c r="Q1538" s="1">
        <v>6.9738782769999998</v>
      </c>
      <c r="R1538" s="1">
        <v>7.5290454130000004</v>
      </c>
      <c r="S1538" s="1">
        <v>7.375745384</v>
      </c>
      <c r="T1538" s="1">
        <v>7.2967754630000004</v>
      </c>
      <c r="U1538" s="1">
        <v>7.4760427390000004</v>
      </c>
      <c r="V1538" s="1">
        <v>7.3609164329999999</v>
      </c>
      <c r="W1538" s="1">
        <v>7.0893438719999997</v>
      </c>
      <c r="X1538" s="1">
        <v>7.4237715360000003</v>
      </c>
      <c r="Y1538" s="1">
        <v>7.2225510460000004</v>
      </c>
      <c r="Z1538" s="1">
        <v>7.5290454130000004</v>
      </c>
      <c r="AA1538" s="1">
        <v>7.375745384</v>
      </c>
      <c r="AB1538" s="1">
        <v>7.1351367960000003</v>
      </c>
      <c r="AC1538" s="1">
        <v>7.4483701260000004</v>
      </c>
      <c r="AD1538" s="1">
        <v>6.9636701729999997</v>
      </c>
      <c r="AE1538" s="1">
        <v>7.0783497569999998</v>
      </c>
    </row>
    <row r="1539" spans="1:31" x14ac:dyDescent="0.25">
      <c r="A1539" s="1" t="s">
        <v>962</v>
      </c>
      <c r="B1539" s="1" t="s">
        <v>2568</v>
      </c>
      <c r="C1539" s="1" t="s">
        <v>2589</v>
      </c>
      <c r="D1539" s="1" t="s">
        <v>3510</v>
      </c>
      <c r="E1539" s="1" t="s">
        <v>4976</v>
      </c>
      <c r="F1539" s="1" t="s">
        <v>4977</v>
      </c>
      <c r="G1539" s="1" t="s">
        <v>962</v>
      </c>
      <c r="H1539" s="1">
        <v>4.2900513550000001</v>
      </c>
      <c r="I1539" s="1">
        <v>4.5280931029999998</v>
      </c>
      <c r="J1539" s="1">
        <v>6.2053027219999999</v>
      </c>
      <c r="K1539" s="1">
        <v>5.5719358019999996</v>
      </c>
      <c r="L1539" s="1">
        <v>5.4665443290000004</v>
      </c>
      <c r="M1539" s="1">
        <v>5.3667108829999997</v>
      </c>
      <c r="N1539" s="1">
        <v>5.1887139119999999</v>
      </c>
      <c r="O1539" s="1">
        <v>5.3864027800000001</v>
      </c>
      <c r="P1539" s="1">
        <v>5.9651829550000004</v>
      </c>
      <c r="Q1539" s="1">
        <v>5.7514994149999996</v>
      </c>
      <c r="R1539" s="1">
        <v>5.6102934549999999</v>
      </c>
      <c r="S1539" s="1">
        <v>6.168262747</v>
      </c>
      <c r="T1539" s="1">
        <v>5.4665443290000004</v>
      </c>
      <c r="U1539" s="1">
        <v>5.3667108829999997</v>
      </c>
      <c r="V1539" s="1">
        <v>5.8520207290000004</v>
      </c>
      <c r="W1539" s="1">
        <v>5.9408128590000002</v>
      </c>
      <c r="X1539" s="1">
        <v>5.7256927920000003</v>
      </c>
      <c r="Y1539" s="1">
        <v>5.9306942229999997</v>
      </c>
      <c r="Z1539" s="1">
        <v>5.6102934549999999</v>
      </c>
      <c r="AA1539" s="1">
        <v>6.168262747</v>
      </c>
      <c r="AB1539" s="1">
        <v>5.1755434500000002</v>
      </c>
      <c r="AC1539" s="1">
        <v>5.8163513240000002</v>
      </c>
      <c r="AD1539" s="1">
        <v>6.0361091350000002</v>
      </c>
      <c r="AE1539" s="1">
        <v>5.49371411</v>
      </c>
    </row>
    <row r="1540" spans="1:31" x14ac:dyDescent="0.25">
      <c r="A1540" s="1" t="s">
        <v>963</v>
      </c>
      <c r="B1540" s="1" t="s">
        <v>2568</v>
      </c>
      <c r="C1540" s="1" t="s">
        <v>2589</v>
      </c>
      <c r="D1540" s="1" t="s">
        <v>3510</v>
      </c>
      <c r="E1540" s="1" t="s">
        <v>4978</v>
      </c>
      <c r="F1540" s="1" t="s">
        <v>4979</v>
      </c>
      <c r="G1540" s="1" t="s">
        <v>963</v>
      </c>
      <c r="H1540" s="1">
        <v>4.0684382540000001</v>
      </c>
      <c r="I1540" s="1">
        <v>4.7893724280000001</v>
      </c>
      <c r="J1540" s="1">
        <v>5.0551375939999996</v>
      </c>
      <c r="K1540" s="1">
        <v>4.5974987220000001</v>
      </c>
      <c r="L1540" s="1">
        <v>4.9864364329999997</v>
      </c>
      <c r="M1540" s="1">
        <v>4.4472617469999998</v>
      </c>
      <c r="N1540" s="1">
        <v>4.3116130799999999</v>
      </c>
      <c r="O1540" s="1">
        <v>4.5340058970000001</v>
      </c>
      <c r="P1540" s="1">
        <v>4.9577743410000004</v>
      </c>
      <c r="Q1540" s="1">
        <v>4.3733115800000002</v>
      </c>
      <c r="R1540" s="1">
        <v>4.2802026870000001</v>
      </c>
      <c r="S1540" s="1">
        <v>4.2250836859999996</v>
      </c>
      <c r="T1540" s="1">
        <v>4.9864364329999997</v>
      </c>
      <c r="U1540" s="1">
        <v>4.4472617469999998</v>
      </c>
      <c r="V1540" s="1">
        <v>4.4559512029999997</v>
      </c>
      <c r="W1540" s="1">
        <v>4.4367165279999998</v>
      </c>
      <c r="X1540" s="1">
        <v>4.407182283</v>
      </c>
      <c r="Y1540" s="1">
        <v>4.4420910779999998</v>
      </c>
      <c r="Z1540" s="1">
        <v>4.2802026870000001</v>
      </c>
      <c r="AA1540" s="1">
        <v>4.2250836859999996</v>
      </c>
      <c r="AB1540" s="1">
        <v>4.7958605490000004</v>
      </c>
      <c r="AC1540" s="1">
        <v>4.6238605430000002</v>
      </c>
      <c r="AD1540" s="1">
        <v>4.5511338559999999</v>
      </c>
      <c r="AE1540" s="1">
        <v>4.542053224</v>
      </c>
    </row>
    <row r="1541" spans="1:31" x14ac:dyDescent="0.25">
      <c r="A1541" s="1" t="s">
        <v>965</v>
      </c>
      <c r="B1541" s="1" t="s">
        <v>2608</v>
      </c>
      <c r="C1541" s="1" t="s">
        <v>2609</v>
      </c>
      <c r="D1541" s="1" t="s">
        <v>3137</v>
      </c>
      <c r="E1541" s="1" t="s">
        <v>4980</v>
      </c>
      <c r="F1541" s="1" t="s">
        <v>4981</v>
      </c>
      <c r="G1541" s="1" t="s">
        <v>965</v>
      </c>
      <c r="H1541" s="1">
        <v>4.0684382540000001</v>
      </c>
      <c r="I1541" s="1">
        <v>5.009480355</v>
      </c>
      <c r="J1541" s="1">
        <v>4.4503473070000004</v>
      </c>
      <c r="K1541" s="1">
        <v>4.5974987220000001</v>
      </c>
      <c r="L1541" s="1">
        <v>5.4306647579999998</v>
      </c>
      <c r="M1541" s="1">
        <v>5.0606078119999998</v>
      </c>
      <c r="N1541" s="1">
        <v>4.9627953409999996</v>
      </c>
      <c r="O1541" s="1">
        <v>4.2767880749999998</v>
      </c>
      <c r="P1541" s="1">
        <v>4.4805784009999998</v>
      </c>
      <c r="Q1541" s="1">
        <v>4.611970812</v>
      </c>
      <c r="R1541" s="1">
        <v>4.5333476509999997</v>
      </c>
      <c r="S1541" s="1">
        <v>4.8699614389999999</v>
      </c>
      <c r="T1541" s="1">
        <v>5.4306647579999998</v>
      </c>
      <c r="U1541" s="1">
        <v>5.0606078119999998</v>
      </c>
      <c r="V1541" s="1">
        <v>5.1679192199999999</v>
      </c>
      <c r="W1541" s="1">
        <v>4.6166922860000001</v>
      </c>
      <c r="X1541" s="1">
        <v>4.8524813179999997</v>
      </c>
      <c r="Y1541" s="1">
        <v>5.0128502209999999</v>
      </c>
      <c r="Z1541" s="1">
        <v>4.5333476509999997</v>
      </c>
      <c r="AA1541" s="1">
        <v>4.8699614389999999</v>
      </c>
      <c r="AB1541" s="1">
        <v>4.6096720080000004</v>
      </c>
      <c r="AC1541" s="1">
        <v>4.7474570290000004</v>
      </c>
      <c r="AD1541" s="1">
        <v>4.4715299570000004</v>
      </c>
      <c r="AE1541" s="1">
        <v>4.8625108150000003</v>
      </c>
    </row>
    <row r="1542" spans="1:31" x14ac:dyDescent="0.25">
      <c r="A1542" s="1" t="s">
        <v>972</v>
      </c>
      <c r="B1542" s="1" t="s">
        <v>2530</v>
      </c>
      <c r="C1542" s="1" t="s">
        <v>2531</v>
      </c>
      <c r="D1542" s="1" t="s">
        <v>2535</v>
      </c>
      <c r="E1542" s="1" t="s">
        <v>2536</v>
      </c>
      <c r="G1542" s="1" t="s">
        <v>972</v>
      </c>
      <c r="H1542" s="1">
        <v>4.7245801409999997</v>
      </c>
      <c r="I1542" s="1">
        <v>4.9575946069999999</v>
      </c>
      <c r="J1542" s="1">
        <v>4.7851628320000001</v>
      </c>
      <c r="K1542" s="1">
        <v>4.2434183680000004</v>
      </c>
      <c r="L1542" s="1">
        <v>4.5867597299999998</v>
      </c>
      <c r="M1542" s="1">
        <v>4.6276332350000002</v>
      </c>
      <c r="N1542" s="1">
        <v>4.9930900400000002</v>
      </c>
      <c r="O1542" s="1">
        <v>5.0400854920000002</v>
      </c>
      <c r="P1542" s="1">
        <v>5.8072178450000003</v>
      </c>
      <c r="Q1542" s="1">
        <v>5.2000913229999997</v>
      </c>
      <c r="R1542" s="1">
        <v>5.0440296189999998</v>
      </c>
      <c r="S1542" s="1">
        <v>5.3098842800000003</v>
      </c>
      <c r="T1542" s="1">
        <v>4.5867597299999998</v>
      </c>
      <c r="U1542" s="1">
        <v>4.6276332350000002</v>
      </c>
      <c r="V1542" s="1">
        <v>4.998512388</v>
      </c>
      <c r="W1542" s="1">
        <v>5.2236621110000003</v>
      </c>
      <c r="X1542" s="1">
        <v>4.7537743670000001</v>
      </c>
      <c r="Y1542" s="1">
        <v>4.8250325140000001</v>
      </c>
      <c r="Z1542" s="1">
        <v>5.0440296189999998</v>
      </c>
      <c r="AA1542" s="1">
        <v>5.3098842800000003</v>
      </c>
      <c r="AB1542" s="1">
        <v>4.7958605490000004</v>
      </c>
      <c r="AC1542" s="1">
        <v>5.198889973</v>
      </c>
      <c r="AD1542" s="1">
        <v>4.8924744240000004</v>
      </c>
      <c r="AE1542" s="1">
        <v>5.0965372069999999</v>
      </c>
    </row>
    <row r="1543" spans="1:31" x14ac:dyDescent="0.25">
      <c r="A1543" s="1" t="s">
        <v>974</v>
      </c>
      <c r="B1543" s="1" t="s">
        <v>2568</v>
      </c>
      <c r="C1543" s="1" t="s">
        <v>2569</v>
      </c>
      <c r="D1543" s="1" t="s">
        <v>4982</v>
      </c>
      <c r="E1543" s="1" t="s">
        <v>4983</v>
      </c>
      <c r="F1543" s="1" t="s">
        <v>4984</v>
      </c>
      <c r="G1543" s="1" t="s">
        <v>974</v>
      </c>
      <c r="H1543" s="1">
        <v>1.7393328349999999</v>
      </c>
      <c r="I1543" s="1">
        <v>3.1348991329999998</v>
      </c>
      <c r="J1543" s="1">
        <v>3.1324899180000001</v>
      </c>
      <c r="K1543" s="1">
        <v>1.7393328349999999</v>
      </c>
      <c r="L1543" s="1">
        <v>3.2097511390000002</v>
      </c>
      <c r="M1543" s="1">
        <v>3.4067547010000001</v>
      </c>
      <c r="N1543" s="1">
        <v>3.5368298970000001</v>
      </c>
      <c r="O1543" s="1">
        <v>3.050193165</v>
      </c>
      <c r="P1543" s="1">
        <v>3.3003929539999999</v>
      </c>
      <c r="Q1543" s="1">
        <v>3.388910638</v>
      </c>
      <c r="R1543" s="1">
        <v>2.9339002829999998</v>
      </c>
      <c r="S1543" s="1">
        <v>3.3463386960000001</v>
      </c>
      <c r="T1543" s="1">
        <v>3.2097511390000002</v>
      </c>
      <c r="U1543" s="1">
        <v>3.4067547010000001</v>
      </c>
      <c r="V1543" s="1">
        <v>3.887436229</v>
      </c>
      <c r="W1543" s="1">
        <v>2.6606351240000001</v>
      </c>
      <c r="X1543" s="1">
        <v>3.8119046220000001</v>
      </c>
      <c r="Y1543" s="1">
        <v>4.0337379980000003</v>
      </c>
      <c r="Z1543" s="1">
        <v>2.9339002829999998</v>
      </c>
      <c r="AA1543" s="1">
        <v>3.3463386960000001</v>
      </c>
      <c r="AB1543" s="1">
        <v>3.1218319999999999</v>
      </c>
      <c r="AC1543" s="1">
        <v>3.1109927919999998</v>
      </c>
      <c r="AD1543" s="1">
        <v>3.3987395579999999</v>
      </c>
      <c r="AE1543" s="1">
        <v>3.5954838599999999</v>
      </c>
    </row>
    <row r="1544" spans="1:31" x14ac:dyDescent="0.25">
      <c r="A1544" s="1" t="s">
        <v>976</v>
      </c>
      <c r="B1544" s="1" t="s">
        <v>2520</v>
      </c>
      <c r="C1544" s="1" t="s">
        <v>2743</v>
      </c>
      <c r="D1544" s="1" t="s">
        <v>4985</v>
      </c>
      <c r="E1544" s="1" t="s">
        <v>4986</v>
      </c>
      <c r="F1544" s="1" t="s">
        <v>4987</v>
      </c>
      <c r="G1544" s="1" t="s">
        <v>976</v>
      </c>
      <c r="H1544" s="1">
        <v>5.3712699940000004</v>
      </c>
      <c r="I1544" s="1">
        <v>5.1078624770000003</v>
      </c>
      <c r="J1544" s="1">
        <v>5.2392025899999997</v>
      </c>
      <c r="K1544" s="1">
        <v>5.7895293819999996</v>
      </c>
      <c r="L1544" s="1">
        <v>5.3172641829999998</v>
      </c>
      <c r="M1544" s="1">
        <v>5.5973531489999999</v>
      </c>
      <c r="N1544" s="1">
        <v>5.7258938089999996</v>
      </c>
      <c r="O1544" s="1">
        <v>5.6647442659999996</v>
      </c>
      <c r="P1544" s="1">
        <v>4.7972962780000001</v>
      </c>
      <c r="Q1544" s="1">
        <v>5.3375178869999997</v>
      </c>
      <c r="R1544" s="1">
        <v>5.1961281320000001</v>
      </c>
      <c r="S1544" s="1">
        <v>5.6117239269999999</v>
      </c>
      <c r="T1544" s="1">
        <v>5.3172641829999998</v>
      </c>
      <c r="U1544" s="1">
        <v>5.5973531489999999</v>
      </c>
      <c r="V1544" s="1">
        <v>5.5807524949999996</v>
      </c>
      <c r="W1544" s="1">
        <v>5.1095551629999996</v>
      </c>
      <c r="X1544" s="1">
        <v>5.8879598250000003</v>
      </c>
      <c r="Y1544" s="1">
        <v>5.6227961889999998</v>
      </c>
      <c r="Z1544" s="1">
        <v>5.1961281320000001</v>
      </c>
      <c r="AA1544" s="1">
        <v>5.6117239269999999</v>
      </c>
      <c r="AB1544" s="1">
        <v>6.008835446</v>
      </c>
      <c r="AC1544" s="1">
        <v>5.7595305120000004</v>
      </c>
      <c r="AD1544" s="1">
        <v>6.008703369</v>
      </c>
      <c r="AE1544" s="1">
        <v>5.9740468760000001</v>
      </c>
    </row>
    <row r="1545" spans="1:31" x14ac:dyDescent="0.25">
      <c r="A1545" s="1" t="s">
        <v>977</v>
      </c>
      <c r="B1545" s="1" t="s">
        <v>2942</v>
      </c>
      <c r="C1545" s="1" t="s">
        <v>3342</v>
      </c>
      <c r="D1545" s="1" t="s">
        <v>4988</v>
      </c>
      <c r="E1545" s="1" t="s">
        <v>3801</v>
      </c>
      <c r="F1545" s="1" t="s">
        <v>3802</v>
      </c>
      <c r="G1545" s="1" t="s">
        <v>977</v>
      </c>
      <c r="H1545" s="1">
        <v>5.4626831620000003</v>
      </c>
      <c r="I1545" s="1">
        <v>4.8477128089999999</v>
      </c>
      <c r="J1545" s="1">
        <v>5.3631085470000004</v>
      </c>
      <c r="K1545" s="1">
        <v>4.7454889089999996</v>
      </c>
      <c r="L1545" s="1">
        <v>5.9184294340000001</v>
      </c>
      <c r="M1545" s="1">
        <v>5.9370080740000004</v>
      </c>
      <c r="N1545" s="1">
        <v>4.6936110280000003</v>
      </c>
      <c r="O1545" s="1">
        <v>4.9731423550000002</v>
      </c>
      <c r="P1545" s="1">
        <v>6.0615870090000001</v>
      </c>
      <c r="Q1545" s="1">
        <v>5.8154013029999998</v>
      </c>
      <c r="R1545" s="1">
        <v>5.987323913</v>
      </c>
      <c r="S1545" s="1">
        <v>6.4213797350000004</v>
      </c>
      <c r="T1545" s="1">
        <v>5.9184294340000001</v>
      </c>
      <c r="U1545" s="1">
        <v>5.9370080740000004</v>
      </c>
      <c r="V1545" s="1">
        <v>5.3546652259999998</v>
      </c>
      <c r="W1545" s="1">
        <v>4.9190341039999996</v>
      </c>
      <c r="X1545" s="1">
        <v>5.7427722369999996</v>
      </c>
      <c r="Y1545" s="1">
        <v>5.9306942229999997</v>
      </c>
      <c r="Z1545" s="1">
        <v>5.987323913</v>
      </c>
      <c r="AA1545" s="1">
        <v>6.4213797350000004</v>
      </c>
      <c r="AB1545" s="1">
        <v>5.8098709350000002</v>
      </c>
      <c r="AC1545" s="1">
        <v>6.2463288529999996</v>
      </c>
      <c r="AD1545" s="1">
        <v>5.7351750150000003</v>
      </c>
      <c r="AE1545" s="1">
        <v>5.4523450599999999</v>
      </c>
    </row>
    <row r="1546" spans="1:31" x14ac:dyDescent="0.25">
      <c r="A1546" s="1" t="s">
        <v>982</v>
      </c>
      <c r="B1546" s="1" t="s">
        <v>2579</v>
      </c>
      <c r="C1546" s="1" t="s">
        <v>2933</v>
      </c>
      <c r="D1546" s="1" t="s">
        <v>4889</v>
      </c>
      <c r="E1546" s="1" t="s">
        <v>4989</v>
      </c>
      <c r="F1546" s="1" t="s">
        <v>4990</v>
      </c>
      <c r="G1546" s="1" t="s">
        <v>982</v>
      </c>
      <c r="H1546" s="1">
        <v>8.7407861929999999</v>
      </c>
      <c r="I1546" s="1">
        <v>8.5620967530000005</v>
      </c>
      <c r="J1546" s="1">
        <v>9.0069586190000006</v>
      </c>
      <c r="K1546" s="1">
        <v>8.9362752069999996</v>
      </c>
      <c r="L1546" s="1">
        <v>8.9024170159999994</v>
      </c>
      <c r="M1546" s="1">
        <v>8.9101665140000001</v>
      </c>
      <c r="N1546" s="1">
        <v>7.5834559080000004</v>
      </c>
      <c r="O1546" s="1">
        <v>7.9622444550000004</v>
      </c>
      <c r="P1546" s="1">
        <v>8.9142060470000004</v>
      </c>
      <c r="Q1546" s="1">
        <v>9.0346313190000007</v>
      </c>
      <c r="R1546" s="1">
        <v>8.9754202200000002</v>
      </c>
      <c r="S1546" s="1">
        <v>8.9423703769999996</v>
      </c>
      <c r="T1546" s="1">
        <v>8.9024170159999994</v>
      </c>
      <c r="U1546" s="1">
        <v>8.9101665140000001</v>
      </c>
      <c r="V1546" s="1">
        <v>9.0207542390000004</v>
      </c>
      <c r="W1546" s="1">
        <v>8.9401013529999993</v>
      </c>
      <c r="X1546" s="1">
        <v>9.2627814540000006</v>
      </c>
      <c r="Y1546" s="1">
        <v>8.983761264</v>
      </c>
      <c r="Z1546" s="1">
        <v>8.9754202200000002</v>
      </c>
      <c r="AA1546" s="1">
        <v>8.9423703769999996</v>
      </c>
      <c r="AB1546" s="1">
        <v>9.1183515199999992</v>
      </c>
      <c r="AC1546" s="1">
        <v>9.2868359690000002</v>
      </c>
      <c r="AD1546" s="1">
        <v>9.5036003559999997</v>
      </c>
      <c r="AE1546" s="1">
        <v>9.2855699129999998</v>
      </c>
    </row>
    <row r="1547" spans="1:31" x14ac:dyDescent="0.25">
      <c r="A1547" s="1" t="s">
        <v>983</v>
      </c>
      <c r="B1547" s="1" t="s">
        <v>2579</v>
      </c>
      <c r="C1547" s="1" t="s">
        <v>2933</v>
      </c>
      <c r="D1547" s="1" t="s">
        <v>4889</v>
      </c>
      <c r="E1547" s="1" t="s">
        <v>4991</v>
      </c>
      <c r="F1547" s="1" t="s">
        <v>4992</v>
      </c>
      <c r="G1547" s="1" t="s">
        <v>983</v>
      </c>
      <c r="H1547" s="1">
        <v>9.325853682</v>
      </c>
      <c r="I1547" s="1">
        <v>8.8772333710000009</v>
      </c>
      <c r="J1547" s="1">
        <v>9.8737959610000008</v>
      </c>
      <c r="K1547" s="1">
        <v>9.9751669169999992</v>
      </c>
      <c r="L1547" s="1">
        <v>9.5857906610000008</v>
      </c>
      <c r="M1547" s="1">
        <v>9.8565610279999998</v>
      </c>
      <c r="N1547" s="1">
        <v>7.8845131899999998</v>
      </c>
      <c r="O1547" s="1">
        <v>8.3816041139999999</v>
      </c>
      <c r="P1547" s="1">
        <v>9.7825602969999998</v>
      </c>
      <c r="Q1547" s="1">
        <v>9.7622499519999995</v>
      </c>
      <c r="R1547" s="1">
        <v>10.10567284</v>
      </c>
      <c r="S1547" s="1">
        <v>9.9906896570000008</v>
      </c>
      <c r="T1547" s="1">
        <v>9.5857906610000008</v>
      </c>
      <c r="U1547" s="1">
        <v>9.8565610279999998</v>
      </c>
      <c r="V1547" s="1">
        <v>9.959576813</v>
      </c>
      <c r="W1547" s="1">
        <v>9.9448165970000009</v>
      </c>
      <c r="X1547" s="1">
        <v>10.12067555</v>
      </c>
      <c r="Y1547" s="1">
        <v>10.201133609999999</v>
      </c>
      <c r="Z1547" s="1">
        <v>10.10567284</v>
      </c>
      <c r="AA1547" s="1">
        <v>9.9906896570000008</v>
      </c>
      <c r="AB1547" s="1">
        <v>10.14384454</v>
      </c>
      <c r="AC1547" s="1">
        <v>10.19490487</v>
      </c>
      <c r="AD1547" s="1">
        <v>10.07429467</v>
      </c>
      <c r="AE1547" s="1">
        <v>10.04864819</v>
      </c>
    </row>
    <row r="1548" spans="1:31" x14ac:dyDescent="0.25">
      <c r="A1548" s="1" t="s">
        <v>984</v>
      </c>
      <c r="B1548" s="1" t="s">
        <v>2608</v>
      </c>
      <c r="C1548" s="1" t="s">
        <v>2609</v>
      </c>
      <c r="D1548" s="1" t="s">
        <v>4063</v>
      </c>
      <c r="E1548" s="1" t="s">
        <v>4993</v>
      </c>
      <c r="F1548" s="1" t="s">
        <v>4994</v>
      </c>
      <c r="G1548" s="1" t="s">
        <v>984</v>
      </c>
      <c r="H1548" s="1">
        <v>8.3761642369999993</v>
      </c>
      <c r="I1548" s="1">
        <v>8.8101013380000008</v>
      </c>
      <c r="J1548" s="1">
        <v>8.4171282059999992</v>
      </c>
      <c r="K1548" s="1">
        <v>8.5673705709999997</v>
      </c>
      <c r="L1548" s="1">
        <v>8.1227747529999998</v>
      </c>
      <c r="M1548" s="1">
        <v>8.206660093</v>
      </c>
      <c r="N1548" s="1">
        <v>7.823296386</v>
      </c>
      <c r="O1548" s="1">
        <v>7.9622444550000004</v>
      </c>
      <c r="P1548" s="1">
        <v>8.2919851100000006</v>
      </c>
      <c r="Q1548" s="1">
        <v>8.4336128830000003</v>
      </c>
      <c r="R1548" s="1">
        <v>8.3183045280000005</v>
      </c>
      <c r="S1548" s="1">
        <v>8.411514876</v>
      </c>
      <c r="T1548" s="1">
        <v>8.1227747529999998</v>
      </c>
      <c r="U1548" s="1">
        <v>8.206660093</v>
      </c>
      <c r="V1548" s="1">
        <v>8.8493650509999995</v>
      </c>
      <c r="W1548" s="1">
        <v>8.6424859109999996</v>
      </c>
      <c r="X1548" s="1">
        <v>8.2869804229999993</v>
      </c>
      <c r="Y1548" s="1">
        <v>8.9688922659999992</v>
      </c>
      <c r="Z1548" s="1">
        <v>8.3183045280000005</v>
      </c>
      <c r="AA1548" s="1">
        <v>8.411514876</v>
      </c>
      <c r="AB1548" s="1">
        <v>8.295902152</v>
      </c>
      <c r="AC1548" s="1">
        <v>7.9690409170000001</v>
      </c>
      <c r="AD1548" s="1">
        <v>8.4471500349999999</v>
      </c>
      <c r="AE1548" s="1">
        <v>8.7016863870000005</v>
      </c>
    </row>
    <row r="1549" spans="1:31" x14ac:dyDescent="0.25">
      <c r="A1549" s="1" t="s">
        <v>985</v>
      </c>
      <c r="B1549" s="1" t="s">
        <v>2547</v>
      </c>
      <c r="C1549" s="1" t="s">
        <v>2694</v>
      </c>
      <c r="D1549" s="1" t="s">
        <v>4995</v>
      </c>
      <c r="E1549" s="1" t="s">
        <v>3041</v>
      </c>
      <c r="G1549" s="1" t="s">
        <v>985</v>
      </c>
      <c r="H1549" s="1">
        <v>6.2825651889999996</v>
      </c>
      <c r="I1549" s="1">
        <v>6.1880668090000004</v>
      </c>
      <c r="J1549" s="1">
        <v>6.2270996539999999</v>
      </c>
      <c r="K1549" s="1">
        <v>5.6848657879999998</v>
      </c>
      <c r="L1549" s="1">
        <v>6.7985065310000001</v>
      </c>
      <c r="M1549" s="1">
        <v>6.1974695630000003</v>
      </c>
      <c r="N1549" s="1">
        <v>6.2705786610000001</v>
      </c>
      <c r="O1549" s="1">
        <v>6.8735777320000002</v>
      </c>
      <c r="P1549" s="1">
        <v>6.3171519470000002</v>
      </c>
      <c r="Q1549" s="1">
        <v>6.3980489909999996</v>
      </c>
      <c r="R1549" s="1">
        <v>6.2166299269999996</v>
      </c>
      <c r="S1549" s="1">
        <v>5.9440521669999997</v>
      </c>
      <c r="T1549" s="1">
        <v>6.7985065310000001</v>
      </c>
      <c r="U1549" s="1">
        <v>6.1974695630000003</v>
      </c>
      <c r="V1549" s="1">
        <v>6.2204802570000002</v>
      </c>
      <c r="W1549" s="1">
        <v>6.0370461979999996</v>
      </c>
      <c r="X1549" s="1">
        <v>6.1660170440000002</v>
      </c>
      <c r="Y1549" s="1">
        <v>6.2347231909999996</v>
      </c>
      <c r="Z1549" s="1">
        <v>6.2166299269999996</v>
      </c>
      <c r="AA1549" s="1">
        <v>5.9440521669999997</v>
      </c>
      <c r="AB1549" s="1">
        <v>6.4252252849999998</v>
      </c>
      <c r="AC1549" s="1">
        <v>5.9991619270000003</v>
      </c>
      <c r="AD1549" s="1">
        <v>6.0893990919999998</v>
      </c>
      <c r="AE1549" s="1">
        <v>5.7875258069999997</v>
      </c>
    </row>
    <row r="1550" spans="1:31" x14ac:dyDescent="0.25">
      <c r="A1550" s="1" t="s">
        <v>986</v>
      </c>
      <c r="B1550" s="1" t="s">
        <v>2942</v>
      </c>
      <c r="C1550" s="1" t="s">
        <v>2943</v>
      </c>
      <c r="D1550" s="1" t="s">
        <v>4996</v>
      </c>
      <c r="E1550" s="1" t="s">
        <v>4997</v>
      </c>
      <c r="F1550" s="1" t="s">
        <v>4998</v>
      </c>
      <c r="G1550" s="1" t="s">
        <v>986</v>
      </c>
      <c r="H1550" s="1">
        <v>4.4805534380000003</v>
      </c>
      <c r="I1550" s="1">
        <v>4.903725959</v>
      </c>
      <c r="J1550" s="1">
        <v>5.2817155790000001</v>
      </c>
      <c r="K1550" s="1">
        <v>5.5322182199999999</v>
      </c>
      <c r="L1550" s="1">
        <v>5.6176953479999998</v>
      </c>
      <c r="M1550" s="1">
        <v>5.3667108829999997</v>
      </c>
      <c r="N1550" s="1">
        <v>4.4945275240000004</v>
      </c>
      <c r="O1550" s="1">
        <v>4.7903853170000001</v>
      </c>
      <c r="P1550" s="1">
        <v>5.4627121560000003</v>
      </c>
      <c r="Q1550" s="1">
        <v>5.5022716190000001</v>
      </c>
      <c r="R1550" s="1">
        <v>5.3334881589999998</v>
      </c>
      <c r="S1550" s="1">
        <v>5.4687741709999997</v>
      </c>
      <c r="T1550" s="1">
        <v>5.6176953479999998</v>
      </c>
      <c r="U1550" s="1">
        <v>5.3667108829999997</v>
      </c>
      <c r="V1550" s="1">
        <v>4.6419314959999998</v>
      </c>
      <c r="W1550" s="1">
        <v>4.9854391920000003</v>
      </c>
      <c r="X1550" s="1">
        <v>5.6186994139999999</v>
      </c>
      <c r="Y1550" s="1">
        <v>5.1785898169999998</v>
      </c>
      <c r="Z1550" s="1">
        <v>5.3334881589999998</v>
      </c>
      <c r="AA1550" s="1">
        <v>5.4687741709999997</v>
      </c>
      <c r="AB1550" s="1">
        <v>5.7218462399999996</v>
      </c>
      <c r="AC1550" s="1">
        <v>5.7003611899999997</v>
      </c>
      <c r="AD1550" s="1">
        <v>5.5186611069999998</v>
      </c>
      <c r="AE1550" s="1">
        <v>5.5536024810000004</v>
      </c>
    </row>
    <row r="1551" spans="1:31" x14ac:dyDescent="0.25">
      <c r="A1551" s="1" t="s">
        <v>988</v>
      </c>
      <c r="B1551" s="1" t="s">
        <v>2530</v>
      </c>
      <c r="C1551" s="1" t="s">
        <v>2531</v>
      </c>
      <c r="D1551" s="1" t="s">
        <v>2535</v>
      </c>
      <c r="E1551" s="1" t="s">
        <v>2536</v>
      </c>
      <c r="G1551" s="1" t="s">
        <v>988</v>
      </c>
      <c r="H1551" s="1">
        <v>5.8817546890000001</v>
      </c>
      <c r="I1551" s="1">
        <v>5.8070199389999999</v>
      </c>
      <c r="J1551" s="1">
        <v>3.7773371739999999</v>
      </c>
      <c r="K1551" s="1">
        <v>4.5974987220000001</v>
      </c>
      <c r="L1551" s="1">
        <v>4.2088403679999997</v>
      </c>
      <c r="M1551" s="1">
        <v>3.9942443089999999</v>
      </c>
      <c r="N1551" s="1">
        <v>6.0455826970000004</v>
      </c>
      <c r="O1551" s="1">
        <v>6.0664210660000002</v>
      </c>
      <c r="P1551" s="1">
        <v>4.8528499219999999</v>
      </c>
      <c r="Q1551" s="1">
        <v>4.4575363990000003</v>
      </c>
      <c r="R1551" s="1">
        <v>4.0808207129999996</v>
      </c>
      <c r="S1551" s="1">
        <v>3.9182367880000002</v>
      </c>
      <c r="T1551" s="1">
        <v>4.2088403679999997</v>
      </c>
      <c r="U1551" s="1">
        <v>3.9942443089999999</v>
      </c>
      <c r="V1551" s="1">
        <v>4.4559512029999997</v>
      </c>
      <c r="W1551" s="1">
        <v>4.3370700810000002</v>
      </c>
      <c r="X1551" s="1">
        <v>4.9146300209999998</v>
      </c>
      <c r="Y1551" s="1">
        <v>4.1479647589999997</v>
      </c>
      <c r="Z1551" s="1">
        <v>4.0808207129999996</v>
      </c>
      <c r="AA1551" s="1">
        <v>3.9182367880000002</v>
      </c>
      <c r="AB1551" s="1">
        <v>3.8237667059999998</v>
      </c>
      <c r="AC1551" s="1">
        <v>4.4881955270000002</v>
      </c>
      <c r="AD1551" s="1">
        <v>4.3870463700000002</v>
      </c>
      <c r="AE1551" s="1">
        <v>4.6936201110000004</v>
      </c>
    </row>
    <row r="1552" spans="1:31" x14ac:dyDescent="0.25">
      <c r="A1552" s="1" t="s">
        <v>989</v>
      </c>
      <c r="B1552" s="1" t="s">
        <v>2525</v>
      </c>
      <c r="C1552" s="1" t="s">
        <v>3175</v>
      </c>
      <c r="D1552" s="1" t="s">
        <v>2581</v>
      </c>
      <c r="E1552" s="1" t="s">
        <v>4999</v>
      </c>
      <c r="F1552" s="1" t="s">
        <v>5000</v>
      </c>
      <c r="G1552" s="1" t="s">
        <v>989</v>
      </c>
      <c r="H1552" s="1">
        <v>5.8141293449999996</v>
      </c>
      <c r="I1552" s="1">
        <v>5.9455889470000001</v>
      </c>
      <c r="J1552" s="1">
        <v>6.4839470649999997</v>
      </c>
      <c r="K1552" s="1">
        <v>6.1968079280000001</v>
      </c>
      <c r="L1552" s="1">
        <v>7.5996173669999996</v>
      </c>
      <c r="M1552" s="1">
        <v>7.5708745540000004</v>
      </c>
      <c r="N1552" s="1">
        <v>5.878624276</v>
      </c>
      <c r="O1552" s="1">
        <v>6.0342145780000003</v>
      </c>
      <c r="P1552" s="1">
        <v>7.06192595</v>
      </c>
      <c r="Q1552" s="1">
        <v>7.0286617009999999</v>
      </c>
      <c r="R1552" s="1">
        <v>7.1526080929999996</v>
      </c>
      <c r="S1552" s="1">
        <v>7.2724296290000003</v>
      </c>
      <c r="T1552" s="1">
        <v>7.5996173669999996</v>
      </c>
      <c r="U1552" s="1">
        <v>7.5708745540000004</v>
      </c>
      <c r="V1552" s="1">
        <v>6.8947846659999996</v>
      </c>
      <c r="W1552" s="1">
        <v>6.7734156700000003</v>
      </c>
      <c r="X1552" s="1">
        <v>6.982810765</v>
      </c>
      <c r="Y1552" s="1">
        <v>6.421343255</v>
      </c>
      <c r="Z1552" s="1">
        <v>7.1526080929999996</v>
      </c>
      <c r="AA1552" s="1">
        <v>7.2724296290000003</v>
      </c>
      <c r="AB1552" s="1">
        <v>7.1007608549999999</v>
      </c>
      <c r="AC1552" s="1">
        <v>7.2467803200000001</v>
      </c>
      <c r="AD1552" s="1">
        <v>6.4966454860000002</v>
      </c>
      <c r="AE1552" s="1">
        <v>6.4212742540000001</v>
      </c>
    </row>
    <row r="1553" spans="1:31" x14ac:dyDescent="0.25">
      <c r="A1553" s="1" t="s">
        <v>990</v>
      </c>
      <c r="B1553" s="1" t="s">
        <v>2530</v>
      </c>
      <c r="C1553" s="1" t="s">
        <v>2531</v>
      </c>
      <c r="D1553" s="1" t="s">
        <v>2535</v>
      </c>
      <c r="E1553" s="1" t="s">
        <v>5001</v>
      </c>
      <c r="G1553" s="1" t="s">
        <v>990</v>
      </c>
      <c r="H1553" s="1">
        <v>8.4278146970000005</v>
      </c>
      <c r="I1553" s="1">
        <v>7.8488900639999999</v>
      </c>
      <c r="J1553" s="1">
        <v>8.5438805179999999</v>
      </c>
      <c r="K1553" s="1">
        <v>8.3852640380000008</v>
      </c>
      <c r="L1553" s="1">
        <v>7.6701672150000002</v>
      </c>
      <c r="M1553" s="1">
        <v>7.9815279830000003</v>
      </c>
      <c r="N1553" s="1">
        <v>6.9043218279999996</v>
      </c>
      <c r="O1553" s="1">
        <v>7.7804881149999998</v>
      </c>
      <c r="P1553" s="1">
        <v>8.4513326769999999</v>
      </c>
      <c r="Q1553" s="1">
        <v>8.7263934120000002</v>
      </c>
      <c r="R1553" s="1">
        <v>8.3128180349999994</v>
      </c>
      <c r="S1553" s="1">
        <v>8.5010451699999994</v>
      </c>
      <c r="T1553" s="1">
        <v>7.6701672150000002</v>
      </c>
      <c r="U1553" s="1">
        <v>7.9815279830000003</v>
      </c>
      <c r="V1553" s="1">
        <v>8.6081990069999996</v>
      </c>
      <c r="W1553" s="1">
        <v>8.7071241950000005</v>
      </c>
      <c r="X1553" s="1">
        <v>8.5070793390000006</v>
      </c>
      <c r="Y1553" s="1">
        <v>9.0523686409999993</v>
      </c>
      <c r="Z1553" s="1">
        <v>8.3128180349999994</v>
      </c>
      <c r="AA1553" s="1">
        <v>8.5010451699999994</v>
      </c>
      <c r="AB1553" s="1">
        <v>8.5964134249999997</v>
      </c>
      <c r="AC1553" s="1">
        <v>8.2516242319999993</v>
      </c>
      <c r="AD1553" s="1">
        <v>9.0433048790000008</v>
      </c>
      <c r="AE1553" s="1">
        <v>8.8575321480000007</v>
      </c>
    </row>
    <row r="1554" spans="1:31" x14ac:dyDescent="0.25">
      <c r="A1554" s="1" t="s">
        <v>992</v>
      </c>
      <c r="B1554" s="1" t="s">
        <v>2568</v>
      </c>
      <c r="C1554" s="1" t="s">
        <v>2589</v>
      </c>
      <c r="D1554" s="1" t="s">
        <v>2595</v>
      </c>
      <c r="E1554" s="1" t="s">
        <v>5002</v>
      </c>
      <c r="F1554" s="1" t="s">
        <v>5003</v>
      </c>
      <c r="G1554" s="1" t="s">
        <v>992</v>
      </c>
      <c r="H1554" s="1">
        <v>6.7480265230000001</v>
      </c>
      <c r="I1554" s="1">
        <v>6.9756704020000004</v>
      </c>
      <c r="J1554" s="1">
        <v>6.1146491980000004</v>
      </c>
      <c r="K1554" s="1">
        <v>6.4083964440000001</v>
      </c>
      <c r="L1554" s="1">
        <v>6.3502321200000003</v>
      </c>
      <c r="M1554" s="1">
        <v>6.1691684679999996</v>
      </c>
      <c r="N1554" s="1">
        <v>6.6922754859999998</v>
      </c>
      <c r="O1554" s="1">
        <v>6.6689049149999997</v>
      </c>
      <c r="P1554" s="1">
        <v>5.8072178450000003</v>
      </c>
      <c r="Q1554" s="1">
        <v>6.045837068</v>
      </c>
      <c r="R1554" s="1">
        <v>5.9594282490000001</v>
      </c>
      <c r="S1554" s="1">
        <v>6.0729078190000001</v>
      </c>
      <c r="T1554" s="1">
        <v>6.3502321200000003</v>
      </c>
      <c r="U1554" s="1">
        <v>6.1691684679999996</v>
      </c>
      <c r="V1554" s="1">
        <v>6.4977915140000002</v>
      </c>
      <c r="W1554" s="1">
        <v>6.7918889980000001</v>
      </c>
      <c r="X1554" s="1">
        <v>5.6731962669999998</v>
      </c>
      <c r="Y1554" s="1">
        <v>6.680867428</v>
      </c>
      <c r="Z1554" s="1">
        <v>5.9594282490000001</v>
      </c>
      <c r="AA1554" s="1">
        <v>6.0729078190000001</v>
      </c>
      <c r="AB1554" s="1">
        <v>5.8098709350000002</v>
      </c>
      <c r="AC1554" s="1">
        <v>5.3221936159999998</v>
      </c>
      <c r="AD1554" s="1">
        <v>6.284744441</v>
      </c>
      <c r="AE1554" s="1">
        <v>6.1901317870000003</v>
      </c>
    </row>
    <row r="1555" spans="1:31" x14ac:dyDescent="0.25">
      <c r="A1555" s="1" t="s">
        <v>996</v>
      </c>
      <c r="B1555" s="1" t="s">
        <v>2530</v>
      </c>
      <c r="C1555" s="1" t="s">
        <v>2573</v>
      </c>
      <c r="D1555" s="1" t="s">
        <v>2535</v>
      </c>
      <c r="E1555" s="1" t="s">
        <v>5004</v>
      </c>
      <c r="G1555" s="1" t="s">
        <v>996</v>
      </c>
      <c r="H1555" s="1">
        <v>6.2573638139999996</v>
      </c>
      <c r="I1555" s="1">
        <v>6.4707161060000002</v>
      </c>
      <c r="J1555" s="1">
        <v>5.7428701560000004</v>
      </c>
      <c r="K1555" s="1">
        <v>6.0361807939999998</v>
      </c>
      <c r="L1555" s="1">
        <v>5.8523421369999999</v>
      </c>
      <c r="M1555" s="1">
        <v>5.7958869929999999</v>
      </c>
      <c r="N1555" s="1">
        <v>6.0311824969999996</v>
      </c>
      <c r="O1555" s="1">
        <v>5.8051520590000001</v>
      </c>
      <c r="P1555" s="1">
        <v>6.2775910990000003</v>
      </c>
      <c r="Q1555" s="1">
        <v>6.1485161530000001</v>
      </c>
      <c r="R1555" s="1">
        <v>5.987323913</v>
      </c>
      <c r="S1555" s="1">
        <v>6.4405915680000003</v>
      </c>
      <c r="T1555" s="1">
        <v>5.8523421369999999</v>
      </c>
      <c r="U1555" s="1">
        <v>5.7958869929999999</v>
      </c>
      <c r="V1555" s="1">
        <v>6.2012354710000004</v>
      </c>
      <c r="W1555" s="1">
        <v>6.0370461979999996</v>
      </c>
      <c r="X1555" s="1">
        <v>5.5620422200000004</v>
      </c>
      <c r="Y1555" s="1">
        <v>6.1840201749999997</v>
      </c>
      <c r="Z1555" s="1">
        <v>5.987323913</v>
      </c>
      <c r="AA1555" s="1">
        <v>6.4405915680000003</v>
      </c>
      <c r="AB1555" s="1">
        <v>6.2789960090000001</v>
      </c>
      <c r="AC1555" s="1">
        <v>6.1612901029999998</v>
      </c>
      <c r="AD1555" s="1">
        <v>5.9231977699999998</v>
      </c>
      <c r="AE1555" s="1">
        <v>5.9296419269999996</v>
      </c>
    </row>
    <row r="1556" spans="1:31" x14ac:dyDescent="0.25">
      <c r="A1556" s="1" t="s">
        <v>997</v>
      </c>
      <c r="B1556" s="1" t="s">
        <v>2530</v>
      </c>
      <c r="C1556" s="1" t="s">
        <v>2531</v>
      </c>
      <c r="D1556" s="1" t="s">
        <v>2535</v>
      </c>
      <c r="E1556" s="1" t="s">
        <v>5005</v>
      </c>
      <c r="G1556" s="1" t="s">
        <v>997</v>
      </c>
      <c r="H1556" s="1">
        <v>6.9021671930000004</v>
      </c>
      <c r="I1556" s="1">
        <v>7.1459022929999998</v>
      </c>
      <c r="J1556" s="1">
        <v>6.7775425279999997</v>
      </c>
      <c r="K1556" s="1">
        <v>6.9337055090000002</v>
      </c>
      <c r="L1556" s="1">
        <v>6.3016040330000003</v>
      </c>
      <c r="M1556" s="1">
        <v>6.4996506539999999</v>
      </c>
      <c r="N1556" s="1">
        <v>6.9121873169999999</v>
      </c>
      <c r="O1556" s="1">
        <v>6.740410754</v>
      </c>
      <c r="P1556" s="1">
        <v>7.0146380060000002</v>
      </c>
      <c r="Q1556" s="1">
        <v>6.9169289909999998</v>
      </c>
      <c r="R1556" s="1">
        <v>7.2361715980000003</v>
      </c>
      <c r="S1556" s="1">
        <v>6.748647074</v>
      </c>
      <c r="T1556" s="1">
        <v>6.3016040330000003</v>
      </c>
      <c r="U1556" s="1">
        <v>6.4996506539999999</v>
      </c>
      <c r="V1556" s="1">
        <v>6.9302380990000003</v>
      </c>
      <c r="W1556" s="1">
        <v>6.8980132320000003</v>
      </c>
      <c r="X1556" s="1">
        <v>6.7072932889999999</v>
      </c>
      <c r="Y1556" s="1">
        <v>6.8528453679999997</v>
      </c>
      <c r="Z1556" s="1">
        <v>7.2361715980000003</v>
      </c>
      <c r="AA1556" s="1">
        <v>6.748647074</v>
      </c>
      <c r="AB1556" s="1">
        <v>6.8547782980000003</v>
      </c>
      <c r="AC1556" s="1">
        <v>7.0717138469999998</v>
      </c>
      <c r="AD1556" s="1">
        <v>6.6985326699999996</v>
      </c>
      <c r="AE1556" s="1">
        <v>7.2562939550000003</v>
      </c>
    </row>
    <row r="1557" spans="1:31" x14ac:dyDescent="0.25">
      <c r="A1557" s="1" t="s">
        <v>998</v>
      </c>
      <c r="B1557" s="1" t="s">
        <v>2530</v>
      </c>
      <c r="C1557" s="1" t="s">
        <v>2531</v>
      </c>
      <c r="D1557" s="1" t="s">
        <v>2535</v>
      </c>
      <c r="E1557" s="1" t="s">
        <v>2621</v>
      </c>
      <c r="G1557" s="1" t="s">
        <v>998</v>
      </c>
      <c r="H1557" s="1">
        <v>6.8356879179999996</v>
      </c>
      <c r="I1557" s="1">
        <v>6.6912039060000001</v>
      </c>
      <c r="J1557" s="1">
        <v>5.8592801899999998</v>
      </c>
      <c r="K1557" s="1">
        <v>5.5719358019999996</v>
      </c>
      <c r="L1557" s="1">
        <v>6.2816826880000001</v>
      </c>
      <c r="M1557" s="1">
        <v>6.4178773749999998</v>
      </c>
      <c r="N1557" s="1">
        <v>6.3538735099999997</v>
      </c>
      <c r="O1557" s="1">
        <v>6.3926566659999997</v>
      </c>
      <c r="P1557" s="1">
        <v>6.3931504810000002</v>
      </c>
      <c r="Q1557" s="1">
        <v>6.4391077020000003</v>
      </c>
      <c r="R1557" s="1">
        <v>6.239987642</v>
      </c>
      <c r="S1557" s="1">
        <v>6.7016683280000002</v>
      </c>
      <c r="T1557" s="1">
        <v>6.2816826880000001</v>
      </c>
      <c r="U1557" s="1">
        <v>6.4178773749999998</v>
      </c>
      <c r="V1557" s="1">
        <v>6.481941097</v>
      </c>
      <c r="W1557" s="1">
        <v>6.6773173909999999</v>
      </c>
      <c r="X1557" s="1">
        <v>6.6270179660000004</v>
      </c>
      <c r="Y1557" s="1">
        <v>6.8033735860000002</v>
      </c>
      <c r="Z1557" s="1">
        <v>6.239987642</v>
      </c>
      <c r="AA1557" s="1">
        <v>6.7016683280000002</v>
      </c>
      <c r="AB1557" s="1">
        <v>6.6077920450000001</v>
      </c>
      <c r="AC1557" s="1">
        <v>6.3651376319999997</v>
      </c>
      <c r="AD1557" s="1">
        <v>6.6102586299999997</v>
      </c>
      <c r="AE1557" s="1">
        <v>6.3779233900000003</v>
      </c>
    </row>
    <row r="1558" spans="1:31" x14ac:dyDescent="0.25">
      <c r="A1558" s="1" t="s">
        <v>999</v>
      </c>
      <c r="B1558" s="1" t="s">
        <v>2539</v>
      </c>
      <c r="C1558" s="1" t="s">
        <v>2606</v>
      </c>
      <c r="D1558" s="1" t="s">
        <v>3536</v>
      </c>
      <c r="E1558" s="1" t="s">
        <v>3537</v>
      </c>
      <c r="G1558" s="1" t="s">
        <v>999</v>
      </c>
      <c r="H1558" s="1">
        <v>6.0081283179999998</v>
      </c>
      <c r="I1558" s="1">
        <v>6.2534876759999998</v>
      </c>
      <c r="J1558" s="1">
        <v>5.2817155790000001</v>
      </c>
      <c r="K1558" s="1">
        <v>5.0014827119999996</v>
      </c>
      <c r="L1558" s="1">
        <v>5.4487173919999998</v>
      </c>
      <c r="M1558" s="1">
        <v>5.4634864729999997</v>
      </c>
      <c r="N1558" s="1">
        <v>6.3422656530000001</v>
      </c>
      <c r="O1558" s="1">
        <v>6.3540746549999998</v>
      </c>
      <c r="P1558" s="1">
        <v>5.2736118430000003</v>
      </c>
      <c r="Q1558" s="1">
        <v>5.5022716190000001</v>
      </c>
      <c r="R1558" s="1">
        <v>5.3764768539999999</v>
      </c>
      <c r="S1558" s="1">
        <v>5.6453330910000004</v>
      </c>
      <c r="T1558" s="1">
        <v>5.4487173919999998</v>
      </c>
      <c r="U1558" s="1">
        <v>5.4634864729999997</v>
      </c>
      <c r="V1558" s="1">
        <v>5.3546652259999998</v>
      </c>
      <c r="W1558" s="1">
        <v>5.5195577800000004</v>
      </c>
      <c r="X1558" s="1">
        <v>5.2630731749999997</v>
      </c>
      <c r="Y1558" s="1">
        <v>6.0488320509999998</v>
      </c>
      <c r="Z1558" s="1">
        <v>5.3764768539999999</v>
      </c>
      <c r="AA1558" s="1">
        <v>5.6453330910000004</v>
      </c>
      <c r="AB1558" s="1">
        <v>5.3624643089999999</v>
      </c>
      <c r="AC1558" s="1">
        <v>5.471555994</v>
      </c>
      <c r="AD1558" s="1">
        <v>5.6665831520000003</v>
      </c>
      <c r="AE1558" s="1">
        <v>5.7539342490000003</v>
      </c>
    </row>
    <row r="1559" spans="1:31" x14ac:dyDescent="0.25">
      <c r="A1559" s="1" t="s">
        <v>1000</v>
      </c>
      <c r="B1559" s="1" t="s">
        <v>2530</v>
      </c>
      <c r="C1559" s="1" t="s">
        <v>2531</v>
      </c>
      <c r="D1559" s="1" t="s">
        <v>2535</v>
      </c>
      <c r="E1559" s="1" t="s">
        <v>2536</v>
      </c>
      <c r="G1559" s="1" t="s">
        <v>1000</v>
      </c>
      <c r="H1559" s="1">
        <v>3.9421380259999999</v>
      </c>
      <c r="I1559" s="1">
        <v>3.1348991329999998</v>
      </c>
      <c r="J1559" s="1">
        <v>4.1077874330000004</v>
      </c>
      <c r="K1559" s="1">
        <v>4.1384138449999996</v>
      </c>
      <c r="L1559" s="1">
        <v>4.8008003170000002</v>
      </c>
      <c r="M1559" s="1">
        <v>4.3473799800000004</v>
      </c>
      <c r="N1559" s="1">
        <v>4.210067993</v>
      </c>
      <c r="O1559" s="1">
        <v>4.6680836990000003</v>
      </c>
      <c r="P1559" s="1">
        <v>5.4976972829999999</v>
      </c>
      <c r="Q1559" s="1">
        <v>5.6144419360000004</v>
      </c>
      <c r="R1559" s="1">
        <v>4.8118229140000004</v>
      </c>
      <c r="S1559" s="1">
        <v>5.1309834260000002</v>
      </c>
      <c r="T1559" s="1">
        <v>4.8008003170000002</v>
      </c>
      <c r="U1559" s="1">
        <v>4.3473799800000004</v>
      </c>
      <c r="V1559" s="1">
        <v>4.2408545169999998</v>
      </c>
      <c r="W1559" s="1">
        <v>4.4367165279999998</v>
      </c>
      <c r="X1559" s="1">
        <v>4.7874549340000003</v>
      </c>
      <c r="Y1559" s="1">
        <v>4.0337379980000003</v>
      </c>
      <c r="Z1559" s="1">
        <v>4.8118229140000004</v>
      </c>
      <c r="AA1559" s="1">
        <v>5.1309834260000002</v>
      </c>
      <c r="AB1559" s="1">
        <v>4.2729702720000002</v>
      </c>
      <c r="AC1559" s="1">
        <v>4.8053838390000001</v>
      </c>
      <c r="AD1559" s="1">
        <v>4.4715299570000004</v>
      </c>
      <c r="AE1559" s="1">
        <v>4.6572481659999996</v>
      </c>
    </row>
    <row r="1560" spans="1:31" x14ac:dyDescent="0.25">
      <c r="A1560" s="1" t="s">
        <v>1002</v>
      </c>
      <c r="B1560" s="1" t="s">
        <v>2579</v>
      </c>
      <c r="C1560" s="1" t="s">
        <v>2585</v>
      </c>
      <c r="D1560" s="1" t="s">
        <v>5006</v>
      </c>
      <c r="E1560" s="1" t="s">
        <v>5007</v>
      </c>
      <c r="F1560" s="1" t="s">
        <v>5008</v>
      </c>
      <c r="G1560" s="1" t="s">
        <v>1002</v>
      </c>
      <c r="H1560" s="1">
        <v>4.7245801409999997</v>
      </c>
      <c r="I1560" s="1">
        <v>5.4817092260000004</v>
      </c>
      <c r="J1560" s="1">
        <v>5.0051223570000003</v>
      </c>
      <c r="K1560" s="1">
        <v>4.3408695499999999</v>
      </c>
      <c r="L1560" s="1">
        <v>5.5357047289999999</v>
      </c>
      <c r="M1560" s="1">
        <v>5.4866876930000004</v>
      </c>
      <c r="N1560" s="1">
        <v>5.0802595029999997</v>
      </c>
      <c r="O1560" s="1">
        <v>4.4862678239999996</v>
      </c>
      <c r="P1560" s="1">
        <v>5.426847231</v>
      </c>
      <c r="Q1560" s="1">
        <v>5.7838067430000004</v>
      </c>
      <c r="R1560" s="1">
        <v>5.4981688889999996</v>
      </c>
      <c r="S1560" s="1">
        <v>5.2672271329999996</v>
      </c>
      <c r="T1560" s="1">
        <v>5.5357047289999999</v>
      </c>
      <c r="U1560" s="1">
        <v>5.4866876930000004</v>
      </c>
      <c r="V1560" s="1">
        <v>5.4882083000000002</v>
      </c>
      <c r="W1560" s="1">
        <v>5.3792812999999997</v>
      </c>
      <c r="X1560" s="1">
        <v>5.4623126839999996</v>
      </c>
      <c r="Y1560" s="1">
        <v>5.6604650660000004</v>
      </c>
      <c r="Z1560" s="1">
        <v>5.4981688889999996</v>
      </c>
      <c r="AA1560" s="1">
        <v>5.2672271329999996</v>
      </c>
      <c r="AB1560" s="1">
        <v>5.3028471579999996</v>
      </c>
      <c r="AC1560" s="1">
        <v>5.6698330419999996</v>
      </c>
      <c r="AD1560" s="1">
        <v>5.4791562909999998</v>
      </c>
      <c r="AE1560" s="1">
        <v>5.5139573549999996</v>
      </c>
    </row>
    <row r="1561" spans="1:31" x14ac:dyDescent="0.25">
      <c r="A1561" s="1" t="s">
        <v>1004</v>
      </c>
      <c r="B1561" s="1" t="s">
        <v>2579</v>
      </c>
      <c r="C1561" s="1" t="s">
        <v>2854</v>
      </c>
      <c r="D1561" s="1" t="s">
        <v>2855</v>
      </c>
      <c r="E1561" s="1" t="s">
        <v>5009</v>
      </c>
      <c r="F1561" s="1" t="s">
        <v>5010</v>
      </c>
      <c r="G1561" s="1" t="s">
        <v>1004</v>
      </c>
      <c r="H1561" s="1">
        <v>3.8023684370000002</v>
      </c>
      <c r="I1561" s="1">
        <v>1.7393328349999999</v>
      </c>
      <c r="J1561" s="1">
        <v>4.5240842389999996</v>
      </c>
      <c r="K1561" s="1">
        <v>3.607491666</v>
      </c>
      <c r="L1561" s="1">
        <v>4.4478088219999998</v>
      </c>
      <c r="M1561" s="1">
        <v>4.2945656129999996</v>
      </c>
      <c r="N1561" s="1">
        <v>2.628425199</v>
      </c>
      <c r="O1561" s="1">
        <v>3.050193165</v>
      </c>
      <c r="P1561" s="1">
        <v>4.161525224</v>
      </c>
      <c r="Q1561" s="1">
        <v>4.683187717</v>
      </c>
      <c r="R1561" s="1">
        <v>4.1841942410000001</v>
      </c>
      <c r="S1561" s="1">
        <v>3.7977317990000001</v>
      </c>
      <c r="T1561" s="1">
        <v>4.4478088219999998</v>
      </c>
      <c r="U1561" s="1">
        <v>4.2945656129999996</v>
      </c>
      <c r="V1561" s="1">
        <v>4.3879408260000003</v>
      </c>
      <c r="W1561" s="1">
        <v>3.50175473</v>
      </c>
      <c r="X1561" s="1">
        <v>4.4920419310000002</v>
      </c>
      <c r="Y1561" s="1">
        <v>4.1479647589999997</v>
      </c>
      <c r="Z1561" s="1">
        <v>4.1841942410000001</v>
      </c>
      <c r="AA1561" s="1">
        <v>3.7977317990000001</v>
      </c>
      <c r="AB1561" s="1">
        <v>4.139369361</v>
      </c>
      <c r="AC1561" s="1">
        <v>4.3377211620000002</v>
      </c>
      <c r="AD1561" s="1">
        <v>4.3870463700000002</v>
      </c>
      <c r="AE1561" s="1">
        <v>3.8864783150000002</v>
      </c>
    </row>
    <row r="1562" spans="1:31" x14ac:dyDescent="0.25">
      <c r="A1562" s="1" t="s">
        <v>1005</v>
      </c>
      <c r="B1562" s="1" t="s">
        <v>2667</v>
      </c>
      <c r="C1562" s="1" t="s">
        <v>2802</v>
      </c>
      <c r="D1562" s="1" t="s">
        <v>3545</v>
      </c>
      <c r="E1562" s="1" t="s">
        <v>5011</v>
      </c>
      <c r="F1562" s="1" t="s">
        <v>5012</v>
      </c>
      <c r="G1562" s="1" t="s">
        <v>1005</v>
      </c>
      <c r="H1562" s="1">
        <v>7.556606199</v>
      </c>
      <c r="I1562" s="1">
        <v>7.6286577539999998</v>
      </c>
      <c r="J1562" s="1">
        <v>9.6960787350000004</v>
      </c>
      <c r="K1562" s="1">
        <v>9.3282639120000006</v>
      </c>
      <c r="L1562" s="1">
        <v>9.5519474429999995</v>
      </c>
      <c r="M1562" s="1">
        <v>9.8115909779999999</v>
      </c>
      <c r="N1562" s="1">
        <v>7.4761696899999999</v>
      </c>
      <c r="O1562" s="1">
        <v>7.2958072559999998</v>
      </c>
      <c r="P1562" s="1">
        <v>9.6650507569999995</v>
      </c>
      <c r="Q1562" s="1">
        <v>9.721289037</v>
      </c>
      <c r="R1562" s="1">
        <v>9.8794402449999996</v>
      </c>
      <c r="S1562" s="1">
        <v>9.7350545369999999</v>
      </c>
      <c r="T1562" s="1">
        <v>9.5519474429999995</v>
      </c>
      <c r="U1562" s="1">
        <v>9.8115909779999999</v>
      </c>
      <c r="V1562" s="1">
        <v>9.3455648149999995</v>
      </c>
      <c r="W1562" s="1">
        <v>9.1797013530000005</v>
      </c>
      <c r="X1562" s="1">
        <v>9.3248218569999999</v>
      </c>
      <c r="Y1562" s="1">
        <v>9.1111051819999993</v>
      </c>
      <c r="Z1562" s="1">
        <v>9.8794402449999996</v>
      </c>
      <c r="AA1562" s="1">
        <v>9.7350545369999999</v>
      </c>
      <c r="AB1562" s="1">
        <v>9.4842421080000001</v>
      </c>
      <c r="AC1562" s="1">
        <v>9.4500319770000001</v>
      </c>
      <c r="AD1562" s="1">
        <v>9.1091343919999996</v>
      </c>
      <c r="AE1562" s="1">
        <v>9.1115189399999998</v>
      </c>
    </row>
    <row r="1563" spans="1:31" x14ac:dyDescent="0.25">
      <c r="A1563" s="1" t="s">
        <v>1007</v>
      </c>
      <c r="B1563" s="1" t="s">
        <v>2530</v>
      </c>
      <c r="C1563" s="1" t="s">
        <v>2573</v>
      </c>
      <c r="D1563" s="1" t="s">
        <v>2535</v>
      </c>
      <c r="E1563" s="1" t="s">
        <v>5013</v>
      </c>
      <c r="G1563" s="1" t="s">
        <v>1007</v>
      </c>
      <c r="H1563" s="1">
        <v>6.6155784799999999</v>
      </c>
      <c r="I1563" s="1">
        <v>6.4335830219999997</v>
      </c>
      <c r="J1563" s="1">
        <v>6.9445377779999999</v>
      </c>
      <c r="K1563" s="1">
        <v>7.3177956320000002</v>
      </c>
      <c r="L1563" s="1">
        <v>7.2967754630000004</v>
      </c>
      <c r="M1563" s="1">
        <v>7.3241691099999997</v>
      </c>
      <c r="N1563" s="1">
        <v>6.5176065699999999</v>
      </c>
      <c r="O1563" s="1">
        <v>6.3799106659999998</v>
      </c>
      <c r="P1563" s="1">
        <v>6.8357197449999996</v>
      </c>
      <c r="Q1563" s="1">
        <v>6.9023327999999999</v>
      </c>
      <c r="R1563" s="1">
        <v>6.7913170000000003</v>
      </c>
      <c r="S1563" s="1">
        <v>7.1020852879999996</v>
      </c>
      <c r="T1563" s="1">
        <v>7.2967754630000004</v>
      </c>
      <c r="U1563" s="1">
        <v>7.3241691099999997</v>
      </c>
      <c r="V1563" s="1">
        <v>7.0639220319999998</v>
      </c>
      <c r="W1563" s="1">
        <v>6.9317187499999999</v>
      </c>
      <c r="X1563" s="1">
        <v>6.5709008840000003</v>
      </c>
      <c r="Y1563" s="1">
        <v>7.0495236999999999</v>
      </c>
      <c r="Z1563" s="1">
        <v>6.7913170000000003</v>
      </c>
      <c r="AA1563" s="1">
        <v>7.1020852879999996</v>
      </c>
      <c r="AB1563" s="1">
        <v>6.5830868880000004</v>
      </c>
      <c r="AC1563" s="1">
        <v>6.6566026520000001</v>
      </c>
      <c r="AD1563" s="1">
        <v>6.9493542489999998</v>
      </c>
      <c r="AE1563" s="1">
        <v>6.9511406329999996</v>
      </c>
    </row>
    <row r="1564" spans="1:31" x14ac:dyDescent="0.25">
      <c r="A1564" s="1" t="s">
        <v>1019</v>
      </c>
      <c r="B1564" s="1" t="s">
        <v>2542</v>
      </c>
      <c r="C1564" s="1" t="s">
        <v>2553</v>
      </c>
      <c r="D1564" s="1" t="s">
        <v>2994</v>
      </c>
      <c r="E1564" s="1" t="s">
        <v>5014</v>
      </c>
      <c r="F1564" s="1" t="s">
        <v>5015</v>
      </c>
      <c r="G1564" s="1" t="s">
        <v>1019</v>
      </c>
      <c r="H1564" s="1">
        <v>6.9964650620000004</v>
      </c>
      <c r="I1564" s="1">
        <v>6.8262016389999998</v>
      </c>
      <c r="J1564" s="1">
        <v>7.8853208019999999</v>
      </c>
      <c r="K1564" s="1">
        <v>7.6394957330000004</v>
      </c>
      <c r="L1564" s="1">
        <v>8.0570196240000005</v>
      </c>
      <c r="M1564" s="1">
        <v>8.2477571679999997</v>
      </c>
      <c r="N1564" s="1">
        <v>6.5682897249999996</v>
      </c>
      <c r="O1564" s="1">
        <v>6.5714196759999997</v>
      </c>
      <c r="P1564" s="1">
        <v>7.8952114890000002</v>
      </c>
      <c r="Q1564" s="1">
        <v>7.8318836589999998</v>
      </c>
      <c r="R1564" s="1">
        <v>8.0871688830000004</v>
      </c>
      <c r="S1564" s="1">
        <v>8.1335832410000002</v>
      </c>
      <c r="T1564" s="1">
        <v>8.0570196240000005</v>
      </c>
      <c r="U1564" s="1">
        <v>8.2477571679999997</v>
      </c>
      <c r="V1564" s="1">
        <v>7.9265417950000003</v>
      </c>
      <c r="W1564" s="1">
        <v>8.0694039760000003</v>
      </c>
      <c r="X1564" s="1">
        <v>8.272408317</v>
      </c>
      <c r="Y1564" s="1">
        <v>7.6715271349999998</v>
      </c>
      <c r="Z1564" s="1">
        <v>8.0871688830000004</v>
      </c>
      <c r="AA1564" s="1">
        <v>8.1335832410000002</v>
      </c>
      <c r="AB1564" s="1">
        <v>8.0747632540000005</v>
      </c>
      <c r="AC1564" s="1">
        <v>8.1725063900000006</v>
      </c>
      <c r="AD1564" s="1">
        <v>7.8732382789999997</v>
      </c>
      <c r="AE1564" s="1">
        <v>8.0839179039999998</v>
      </c>
    </row>
    <row r="1565" spans="1:31" x14ac:dyDescent="0.25">
      <c r="A1565" s="1" t="s">
        <v>1020</v>
      </c>
      <c r="B1565" s="1" t="s">
        <v>2530</v>
      </c>
      <c r="C1565" s="1" t="s">
        <v>2531</v>
      </c>
      <c r="D1565" s="1" t="s">
        <v>5016</v>
      </c>
      <c r="E1565" s="1" t="s">
        <v>5017</v>
      </c>
      <c r="G1565" s="1" t="s">
        <v>1020</v>
      </c>
      <c r="H1565" s="1">
        <v>5.8141293449999996</v>
      </c>
      <c r="I1565" s="1">
        <v>5.8070199389999999</v>
      </c>
      <c r="J1565" s="1">
        <v>6.248570891</v>
      </c>
      <c r="K1565" s="1">
        <v>6.0642310579999998</v>
      </c>
      <c r="L1565" s="1">
        <v>6.0061156689999997</v>
      </c>
      <c r="M1565" s="1">
        <v>6.4417193250000002</v>
      </c>
      <c r="N1565" s="1">
        <v>4.9627953409999996</v>
      </c>
      <c r="O1565" s="1">
        <v>4.7903853170000001</v>
      </c>
      <c r="P1565" s="1">
        <v>6.1736452379999998</v>
      </c>
      <c r="Q1565" s="1">
        <v>6.4391077020000003</v>
      </c>
      <c r="R1565" s="1">
        <v>6.4941616399999997</v>
      </c>
      <c r="S1565" s="1">
        <v>6.3418583389999998</v>
      </c>
      <c r="T1565" s="1">
        <v>6.0061156689999997</v>
      </c>
      <c r="U1565" s="1">
        <v>6.4417193250000002</v>
      </c>
      <c r="V1565" s="1">
        <v>6.3308320719999998</v>
      </c>
      <c r="W1565" s="1">
        <v>6.3432413370000003</v>
      </c>
      <c r="X1565" s="1">
        <v>6.227863213</v>
      </c>
      <c r="Y1565" s="1">
        <v>6.1314620050000004</v>
      </c>
      <c r="Z1565" s="1">
        <v>6.4941616399999997</v>
      </c>
      <c r="AA1565" s="1">
        <v>6.3418583389999998</v>
      </c>
      <c r="AB1565" s="1">
        <v>6.4252252849999998</v>
      </c>
      <c r="AC1565" s="1">
        <v>6.346005549</v>
      </c>
      <c r="AD1565" s="1">
        <v>6.008703369</v>
      </c>
      <c r="AE1565" s="1">
        <v>5.9593974410000001</v>
      </c>
    </row>
    <row r="1566" spans="1:31" x14ac:dyDescent="0.25">
      <c r="A1566" s="1" t="s">
        <v>1021</v>
      </c>
      <c r="B1566" s="1" t="s">
        <v>2642</v>
      </c>
      <c r="C1566" s="1" t="s">
        <v>2643</v>
      </c>
      <c r="D1566" s="1" t="s">
        <v>2644</v>
      </c>
      <c r="E1566" s="1" t="s">
        <v>2645</v>
      </c>
      <c r="G1566" s="1" t="s">
        <v>1021</v>
      </c>
      <c r="H1566" s="1">
        <v>2.640460343</v>
      </c>
      <c r="I1566" s="1">
        <v>2.8927893610000002</v>
      </c>
      <c r="J1566" s="1">
        <v>3.6453331530000002</v>
      </c>
      <c r="K1566" s="1">
        <v>2.9677134359999999</v>
      </c>
      <c r="L1566" s="1">
        <v>3.6142294740000001</v>
      </c>
      <c r="M1566" s="1">
        <v>3.6924658159999999</v>
      </c>
      <c r="N1566" s="1">
        <v>2.628425199</v>
      </c>
      <c r="O1566" s="1">
        <v>2.883783352</v>
      </c>
      <c r="P1566" s="1">
        <v>3.106446558</v>
      </c>
      <c r="Q1566" s="1">
        <v>3.56206471</v>
      </c>
      <c r="R1566" s="1">
        <v>3.386455024</v>
      </c>
      <c r="S1566" s="1">
        <v>4.0285685429999996</v>
      </c>
      <c r="T1566" s="1">
        <v>3.6142294740000001</v>
      </c>
      <c r="U1566" s="1">
        <v>3.6924658159999999</v>
      </c>
      <c r="V1566" s="1">
        <v>4.0758289169999999</v>
      </c>
      <c r="W1566" s="1">
        <v>3.2870366010000001</v>
      </c>
      <c r="X1566" s="1">
        <v>3.4131791489999999</v>
      </c>
      <c r="Y1566" s="1">
        <v>3.6154848500000001</v>
      </c>
      <c r="Z1566" s="1">
        <v>3.386455024</v>
      </c>
      <c r="AA1566" s="1">
        <v>4.0285685429999996</v>
      </c>
      <c r="AB1566" s="1">
        <v>2.73487305</v>
      </c>
      <c r="AC1566" s="1">
        <v>3.3054795530000001</v>
      </c>
      <c r="AD1566" s="1">
        <v>3.5727029510000001</v>
      </c>
      <c r="AE1566" s="1">
        <v>3.419797387</v>
      </c>
    </row>
    <row r="1567" spans="1:31" x14ac:dyDescent="0.25">
      <c r="A1567" s="1" t="s">
        <v>1022</v>
      </c>
      <c r="B1567" s="1" t="s">
        <v>2642</v>
      </c>
      <c r="C1567" s="1" t="s">
        <v>2643</v>
      </c>
      <c r="D1567" s="1" t="s">
        <v>2687</v>
      </c>
      <c r="E1567" s="1" t="s">
        <v>5018</v>
      </c>
      <c r="F1567" s="1" t="s">
        <v>5019</v>
      </c>
      <c r="G1567" s="1" t="s">
        <v>1022</v>
      </c>
      <c r="H1567" s="1">
        <v>3.4660955969999998</v>
      </c>
      <c r="I1567" s="1">
        <v>3.3322126910000001</v>
      </c>
      <c r="J1567" s="1">
        <v>3.329519721</v>
      </c>
      <c r="K1567" s="1">
        <v>3.4309024589999999</v>
      </c>
      <c r="L1567" s="1">
        <v>3.7446308510000001</v>
      </c>
      <c r="M1567" s="1">
        <v>3.7747836370000001</v>
      </c>
      <c r="N1567" s="1">
        <v>1.7393328349999999</v>
      </c>
      <c r="O1567" s="1">
        <v>2.883783352</v>
      </c>
      <c r="P1567" s="1">
        <v>3.466113682</v>
      </c>
      <c r="Q1567" s="1">
        <v>3.56206471</v>
      </c>
      <c r="R1567" s="1">
        <v>3.8462631940000001</v>
      </c>
      <c r="S1567" s="1">
        <v>3.5159502420000002</v>
      </c>
      <c r="T1567" s="1">
        <v>3.7446308510000001</v>
      </c>
      <c r="U1567" s="1">
        <v>3.7747836370000001</v>
      </c>
      <c r="V1567" s="1">
        <v>3.6670520409999998</v>
      </c>
      <c r="W1567" s="1">
        <v>3.50175473</v>
      </c>
      <c r="X1567" s="1">
        <v>3.5883256710000002</v>
      </c>
      <c r="Y1567" s="1">
        <v>3.229986142</v>
      </c>
      <c r="Z1567" s="1">
        <v>3.8462631940000001</v>
      </c>
      <c r="AA1567" s="1">
        <v>3.5159502420000002</v>
      </c>
      <c r="AB1567" s="1">
        <v>3.8237667059999998</v>
      </c>
      <c r="AC1567" s="1">
        <v>3.1109927919999998</v>
      </c>
      <c r="AD1567" s="1">
        <v>3.725077481</v>
      </c>
      <c r="AE1567" s="1">
        <v>3.5108161330000001</v>
      </c>
    </row>
    <row r="1568" spans="1:31" x14ac:dyDescent="0.25">
      <c r="A1568" s="1" t="s">
        <v>1023</v>
      </c>
      <c r="B1568" s="1" t="s">
        <v>2535</v>
      </c>
      <c r="C1568" s="1" t="s">
        <v>2535</v>
      </c>
      <c r="D1568" s="1" t="s">
        <v>2535</v>
      </c>
      <c r="E1568" s="1" t="s">
        <v>2535</v>
      </c>
      <c r="F1568" s="1" t="s">
        <v>2535</v>
      </c>
      <c r="G1568" s="1" t="s">
        <v>1023</v>
      </c>
      <c r="H1568" s="1">
        <v>5.1686839359999999</v>
      </c>
      <c r="I1568" s="1">
        <v>5.8358262759999997</v>
      </c>
      <c r="J1568" s="1">
        <v>4.3724365990000003</v>
      </c>
      <c r="K1568" s="1">
        <v>4.941717659</v>
      </c>
      <c r="L1568" s="1">
        <v>5.082479009</v>
      </c>
      <c r="M1568" s="1">
        <v>4.7490378550000001</v>
      </c>
      <c r="N1568" s="1">
        <v>5.4717898820000004</v>
      </c>
      <c r="O1568" s="1">
        <v>4.5801520279999997</v>
      </c>
      <c r="P1568" s="1">
        <v>5.1467681949999999</v>
      </c>
      <c r="Q1568" s="1">
        <v>5.5022716190000001</v>
      </c>
      <c r="R1568" s="1">
        <v>4.8735636449999999</v>
      </c>
      <c r="S1568" s="1">
        <v>4.2250836859999996</v>
      </c>
      <c r="T1568" s="1">
        <v>5.082479009</v>
      </c>
      <c r="U1568" s="1">
        <v>4.7490378550000001</v>
      </c>
      <c r="V1568" s="1">
        <v>4.5207607210000003</v>
      </c>
      <c r="W1568" s="1">
        <v>3.9848641250000001</v>
      </c>
      <c r="X1568" s="1">
        <v>4.1154863700000002</v>
      </c>
      <c r="Y1568" s="1">
        <v>4.8904630100000004</v>
      </c>
      <c r="Z1568" s="1">
        <v>4.8735636449999999</v>
      </c>
      <c r="AA1568" s="1">
        <v>4.2250836859999996</v>
      </c>
      <c r="AB1568" s="1">
        <v>4.6096720080000004</v>
      </c>
      <c r="AC1568" s="1">
        <v>3.8665622239999999</v>
      </c>
      <c r="AD1568" s="1">
        <v>4.6978214539999996</v>
      </c>
      <c r="AE1568" s="1">
        <v>4.6936201110000004</v>
      </c>
    </row>
    <row r="1569" spans="1:31" x14ac:dyDescent="0.25">
      <c r="A1569" s="1" t="s">
        <v>1026</v>
      </c>
      <c r="B1569" s="1" t="s">
        <v>2530</v>
      </c>
      <c r="C1569" s="1" t="s">
        <v>2531</v>
      </c>
      <c r="D1569" s="1" t="s">
        <v>2535</v>
      </c>
      <c r="E1569" s="1" t="s">
        <v>2536</v>
      </c>
      <c r="G1569" s="1" t="s">
        <v>1026</v>
      </c>
      <c r="H1569" s="1">
        <v>6.4914637309999996</v>
      </c>
      <c r="I1569" s="1">
        <v>6.7825936330000003</v>
      </c>
      <c r="J1569" s="1">
        <v>4.1077874330000004</v>
      </c>
      <c r="K1569" s="1">
        <v>5.3151275040000003</v>
      </c>
      <c r="L1569" s="1">
        <v>2.9964092330000001</v>
      </c>
      <c r="M1569" s="1">
        <v>3.2940962960000002</v>
      </c>
      <c r="N1569" s="1">
        <v>5.7957915680000003</v>
      </c>
      <c r="O1569" s="1">
        <v>5.9503866380000003</v>
      </c>
      <c r="P1569" s="1">
        <v>4.4075207919999997</v>
      </c>
      <c r="Q1569" s="1">
        <v>4.611970812</v>
      </c>
      <c r="R1569" s="1">
        <v>4.1841942410000001</v>
      </c>
      <c r="S1569" s="1">
        <v>3.7977317990000001</v>
      </c>
      <c r="T1569" s="1">
        <v>2.9964092330000001</v>
      </c>
      <c r="U1569" s="1">
        <v>3.2940962960000002</v>
      </c>
      <c r="V1569" s="1">
        <v>4.1608706030000002</v>
      </c>
      <c r="W1569" s="1">
        <v>3.9848641250000001</v>
      </c>
      <c r="X1569" s="1">
        <v>3.9418607479999999</v>
      </c>
      <c r="Y1569" s="1">
        <v>4.6842287809999998</v>
      </c>
      <c r="Z1569" s="1">
        <v>4.1841942410000001</v>
      </c>
      <c r="AA1569" s="1">
        <v>3.7977317990000001</v>
      </c>
      <c r="AB1569" s="1">
        <v>4.139369361</v>
      </c>
      <c r="AC1569" s="1">
        <v>3.8665622239999999</v>
      </c>
      <c r="AD1569" s="1">
        <v>4.3870463700000002</v>
      </c>
      <c r="AE1569" s="1">
        <v>4.9843711490000002</v>
      </c>
    </row>
    <row r="1570" spans="1:31" x14ac:dyDescent="0.25">
      <c r="A1570" s="1" t="s">
        <v>1027</v>
      </c>
      <c r="B1570" s="1" t="s">
        <v>2530</v>
      </c>
      <c r="C1570" s="1" t="s">
        <v>2573</v>
      </c>
      <c r="D1570" s="1" t="s">
        <v>2535</v>
      </c>
      <c r="E1570" s="1" t="s">
        <v>5020</v>
      </c>
      <c r="G1570" s="1" t="s">
        <v>1027</v>
      </c>
      <c r="H1570" s="1">
        <v>4.995162745</v>
      </c>
      <c r="I1570" s="1">
        <v>5.6856247609999997</v>
      </c>
      <c r="J1570" s="1">
        <v>3.7773371739999999</v>
      </c>
      <c r="K1570" s="1">
        <v>4.1384138449999996</v>
      </c>
      <c r="L1570" s="1">
        <v>4.8563863139999999</v>
      </c>
      <c r="M1570" s="1">
        <v>4.9970812499999999</v>
      </c>
      <c r="N1570" s="1">
        <v>5.7078727669999996</v>
      </c>
      <c r="O1570" s="1">
        <v>5.7466551829999997</v>
      </c>
      <c r="P1570" s="1">
        <v>4.5499605860000001</v>
      </c>
      <c r="Q1570" s="1">
        <v>4.18747588</v>
      </c>
      <c r="R1570" s="1">
        <v>4.6795267799999998</v>
      </c>
      <c r="S1570" s="1">
        <v>4.3135540739999998</v>
      </c>
      <c r="T1570" s="1">
        <v>4.8563863139999999</v>
      </c>
      <c r="U1570" s="1">
        <v>4.9970812499999999</v>
      </c>
      <c r="V1570" s="1">
        <v>4.5207607210000003</v>
      </c>
      <c r="W1570" s="1">
        <v>4.7760085830000003</v>
      </c>
      <c r="X1570" s="1">
        <v>4.8838989719999999</v>
      </c>
      <c r="Y1570" s="1">
        <v>4.7564010139999997</v>
      </c>
      <c r="Z1570" s="1">
        <v>4.6795267799999998</v>
      </c>
      <c r="AA1570" s="1">
        <v>4.3135540739999998</v>
      </c>
      <c r="AB1570" s="1">
        <v>4.7958605490000004</v>
      </c>
      <c r="AC1570" s="1">
        <v>4.8053838390000001</v>
      </c>
      <c r="AD1570" s="1">
        <v>4.7657555159999996</v>
      </c>
      <c r="AE1570" s="1">
        <v>4.7973769099999997</v>
      </c>
    </row>
    <row r="1571" spans="1:31" x14ac:dyDescent="0.25">
      <c r="A1571" s="1" t="s">
        <v>1028</v>
      </c>
      <c r="B1571" s="1" t="s">
        <v>2530</v>
      </c>
      <c r="C1571" s="1" t="s">
        <v>2531</v>
      </c>
      <c r="D1571" s="1" t="s">
        <v>2535</v>
      </c>
      <c r="E1571" s="1" t="s">
        <v>2536</v>
      </c>
      <c r="G1571" s="1" t="s">
        <v>1028</v>
      </c>
      <c r="H1571" s="1">
        <v>7.935391471</v>
      </c>
      <c r="I1571" s="1">
        <v>8.0150122590000006</v>
      </c>
      <c r="J1571" s="1">
        <v>7.4585085400000004</v>
      </c>
      <c r="K1571" s="1">
        <v>7.6394957330000004</v>
      </c>
      <c r="L1571" s="1">
        <v>7.4201917110000002</v>
      </c>
      <c r="M1571" s="1">
        <v>7.2917753100000002</v>
      </c>
      <c r="N1571" s="1">
        <v>7.69246768</v>
      </c>
      <c r="O1571" s="1">
        <v>7.6111102730000004</v>
      </c>
      <c r="P1571" s="1">
        <v>7.2875382760000003</v>
      </c>
      <c r="Q1571" s="1">
        <v>7.2407220460000001</v>
      </c>
      <c r="R1571" s="1">
        <v>7.593828061</v>
      </c>
      <c r="S1571" s="1">
        <v>7.2616787839999999</v>
      </c>
      <c r="T1571" s="1">
        <v>7.4201917110000002</v>
      </c>
      <c r="U1571" s="1">
        <v>7.2917753100000002</v>
      </c>
      <c r="V1571" s="1">
        <v>7.1466161049999997</v>
      </c>
      <c r="W1571" s="1">
        <v>7.0743350659999997</v>
      </c>
      <c r="X1571" s="1">
        <v>7.164332023</v>
      </c>
      <c r="Y1571" s="1">
        <v>7.1844257139999996</v>
      </c>
      <c r="Z1571" s="1">
        <v>7.593828061</v>
      </c>
      <c r="AA1571" s="1">
        <v>7.2616787839999999</v>
      </c>
      <c r="AB1571" s="1">
        <v>7.2649841789999998</v>
      </c>
      <c r="AC1571" s="1">
        <v>7.1619038179999999</v>
      </c>
      <c r="AD1571" s="1">
        <v>7.293291977</v>
      </c>
      <c r="AE1571" s="1">
        <v>7.3489093329999999</v>
      </c>
    </row>
    <row r="1572" spans="1:31" x14ac:dyDescent="0.25">
      <c r="A1572" s="1" t="s">
        <v>1029</v>
      </c>
      <c r="B1572" s="1" t="s">
        <v>2530</v>
      </c>
      <c r="C1572" s="1" t="s">
        <v>2531</v>
      </c>
      <c r="D1572" s="1" t="s">
        <v>2535</v>
      </c>
      <c r="E1572" s="1" t="s">
        <v>2536</v>
      </c>
      <c r="G1572" s="1" t="s">
        <v>1029</v>
      </c>
      <c r="H1572" s="1">
        <v>8.0201003810000007</v>
      </c>
      <c r="I1572" s="1">
        <v>7.87678938</v>
      </c>
      <c r="J1572" s="1">
        <v>8.1009749170000003</v>
      </c>
      <c r="K1572" s="1">
        <v>8.1958955150000001</v>
      </c>
      <c r="L1572" s="1">
        <v>7.0128503719999999</v>
      </c>
      <c r="M1572" s="1">
        <v>7.3177483289999996</v>
      </c>
      <c r="N1572" s="1">
        <v>7.3887093909999999</v>
      </c>
      <c r="O1572" s="1">
        <v>7.6905740270000003</v>
      </c>
      <c r="P1572" s="1">
        <v>7.4650907049999997</v>
      </c>
      <c r="Q1572" s="1">
        <v>7.7031367619999997</v>
      </c>
      <c r="R1572" s="1">
        <v>7.3900335339999996</v>
      </c>
      <c r="S1572" s="1">
        <v>7.5885475050000002</v>
      </c>
      <c r="T1572" s="1">
        <v>7.0128503719999999</v>
      </c>
      <c r="U1572" s="1">
        <v>7.3177483289999996</v>
      </c>
      <c r="V1572" s="1">
        <v>7.7057775480000004</v>
      </c>
      <c r="W1572" s="1">
        <v>7.7768262349999997</v>
      </c>
      <c r="X1572" s="1">
        <v>7.1194218710000001</v>
      </c>
      <c r="Y1572" s="1">
        <v>7.6715271349999998</v>
      </c>
      <c r="Z1572" s="1">
        <v>7.3900335339999996</v>
      </c>
      <c r="AA1572" s="1">
        <v>7.5885475050000002</v>
      </c>
      <c r="AB1572" s="1">
        <v>7.5714398440000004</v>
      </c>
      <c r="AC1572" s="1">
        <v>7.6409603700000002</v>
      </c>
      <c r="AD1572" s="1">
        <v>7.7873579910000004</v>
      </c>
      <c r="AE1572" s="1">
        <v>7.6097491980000003</v>
      </c>
    </row>
    <row r="1573" spans="1:31" x14ac:dyDescent="0.25">
      <c r="A1573" s="1" t="s">
        <v>1036</v>
      </c>
      <c r="B1573" s="1" t="s">
        <v>2530</v>
      </c>
      <c r="C1573" s="1" t="s">
        <v>2531</v>
      </c>
      <c r="D1573" s="1" t="s">
        <v>2535</v>
      </c>
      <c r="E1573" s="1" t="s">
        <v>2536</v>
      </c>
      <c r="G1573" s="1" t="s">
        <v>1036</v>
      </c>
      <c r="H1573" s="1">
        <v>3.4660955969999998</v>
      </c>
      <c r="I1573" s="1">
        <v>3.5006354609999999</v>
      </c>
      <c r="J1573" s="1">
        <v>3.1324899180000001</v>
      </c>
      <c r="K1573" s="1">
        <v>2.620638279</v>
      </c>
      <c r="L1573" s="1">
        <v>3.3884746630000002</v>
      </c>
      <c r="M1573" s="1">
        <v>3.2940962960000002</v>
      </c>
      <c r="N1573" s="1">
        <v>4.6560102480000003</v>
      </c>
      <c r="O1573" s="1">
        <v>4.3322392709999997</v>
      </c>
      <c r="P1573" s="1">
        <v>3.9684043939999998</v>
      </c>
      <c r="Q1573" s="1">
        <v>4.0840108080000004</v>
      </c>
      <c r="R1573" s="1">
        <v>3.386455024</v>
      </c>
      <c r="S1573" s="1">
        <v>3.3463386960000001</v>
      </c>
      <c r="T1573" s="1">
        <v>3.3884746630000002</v>
      </c>
      <c r="U1573" s="1">
        <v>3.2940962960000002</v>
      </c>
      <c r="V1573" s="1">
        <v>2.8225047829999999</v>
      </c>
      <c r="W1573" s="1">
        <v>3.50175473</v>
      </c>
      <c r="X1573" s="1">
        <v>3.5039136989999999</v>
      </c>
      <c r="Y1573" s="1">
        <v>3.229986142</v>
      </c>
      <c r="Z1573" s="1">
        <v>3.386455024</v>
      </c>
      <c r="AA1573" s="1">
        <v>3.3463386960000001</v>
      </c>
      <c r="AB1573" s="1">
        <v>3.404153038</v>
      </c>
      <c r="AC1573" s="1">
        <v>3.6175630609999998</v>
      </c>
      <c r="AD1573" s="1">
        <v>2.9432342459999998</v>
      </c>
      <c r="AE1573" s="1">
        <v>3.67472814</v>
      </c>
    </row>
    <row r="1574" spans="1:31" x14ac:dyDescent="0.25">
      <c r="A1574" s="1" t="s">
        <v>1040</v>
      </c>
      <c r="B1574" s="1" t="s">
        <v>2642</v>
      </c>
      <c r="C1574" s="1" t="s">
        <v>2643</v>
      </c>
      <c r="D1574" s="1" t="s">
        <v>2687</v>
      </c>
      <c r="E1574" s="1" t="s">
        <v>3726</v>
      </c>
      <c r="F1574" s="1" t="s">
        <v>3727</v>
      </c>
      <c r="G1574" s="1" t="s">
        <v>1040</v>
      </c>
      <c r="H1574" s="1">
        <v>1.7393328349999999</v>
      </c>
      <c r="I1574" s="1">
        <v>1.7393328349999999</v>
      </c>
      <c r="J1574" s="1">
        <v>1.7393328349999999</v>
      </c>
      <c r="K1574" s="1">
        <v>1.7393328349999999</v>
      </c>
      <c r="L1574" s="1">
        <v>2.5490970000000002</v>
      </c>
      <c r="M1574" s="1">
        <v>2.3994532390000001</v>
      </c>
      <c r="N1574" s="1">
        <v>1.7393328349999999</v>
      </c>
      <c r="O1574" s="1">
        <v>1.7393328349999999</v>
      </c>
      <c r="P1574" s="1">
        <v>1.7393328349999999</v>
      </c>
      <c r="Q1574" s="1">
        <v>2.597100669</v>
      </c>
      <c r="R1574" s="1">
        <v>1.7393328349999999</v>
      </c>
      <c r="S1574" s="1">
        <v>2.5733617299999998</v>
      </c>
      <c r="T1574" s="1">
        <v>2.5490970000000002</v>
      </c>
      <c r="U1574" s="1">
        <v>2.3994532390000001</v>
      </c>
      <c r="V1574" s="1">
        <v>1.7393328349999999</v>
      </c>
      <c r="W1574" s="1">
        <v>2.6606351240000001</v>
      </c>
      <c r="X1574" s="1">
        <v>2.3600830049999999</v>
      </c>
      <c r="Y1574" s="1">
        <v>2.9733498090000001</v>
      </c>
      <c r="Z1574" s="1">
        <v>1.7393328349999999</v>
      </c>
      <c r="AA1574" s="1">
        <v>2.5733617299999998</v>
      </c>
      <c r="AB1574" s="1">
        <v>2.73487305</v>
      </c>
      <c r="AC1574" s="1">
        <v>2.87258916</v>
      </c>
      <c r="AD1574" s="1">
        <v>1.7393328349999999</v>
      </c>
      <c r="AE1574" s="1">
        <v>2.3627668220000002</v>
      </c>
    </row>
    <row r="1575" spans="1:31" x14ac:dyDescent="0.25">
      <c r="A1575" s="1" t="s">
        <v>1041</v>
      </c>
      <c r="B1575" s="1" t="s">
        <v>2539</v>
      </c>
      <c r="C1575" s="1" t="s">
        <v>2563</v>
      </c>
      <c r="D1575" s="1" t="s">
        <v>4503</v>
      </c>
      <c r="E1575" s="1" t="s">
        <v>5021</v>
      </c>
      <c r="F1575" s="1" t="s">
        <v>5022</v>
      </c>
      <c r="G1575" s="1" t="s">
        <v>1041</v>
      </c>
      <c r="H1575" s="1">
        <v>5.1131742039999999</v>
      </c>
      <c r="I1575" s="1">
        <v>5.4817092260000004</v>
      </c>
      <c r="J1575" s="1">
        <v>4.2898244959999996</v>
      </c>
      <c r="K1575" s="1">
        <v>4.5974987220000001</v>
      </c>
      <c r="L1575" s="1">
        <v>4.5533082269999996</v>
      </c>
      <c r="M1575" s="1">
        <v>4.7872698079999996</v>
      </c>
      <c r="N1575" s="1">
        <v>4.9627953409999996</v>
      </c>
      <c r="O1575" s="1">
        <v>4.5340058970000001</v>
      </c>
      <c r="P1575" s="1">
        <v>4.9062897479999998</v>
      </c>
      <c r="Q1575" s="1">
        <v>4.9365262349999997</v>
      </c>
      <c r="R1575" s="1">
        <v>3.7109484589999999</v>
      </c>
      <c r="S1575" s="1">
        <v>4.5490843459999999</v>
      </c>
      <c r="T1575" s="1">
        <v>4.5533082269999996</v>
      </c>
      <c r="U1575" s="1">
        <v>4.7872698079999996</v>
      </c>
      <c r="V1575" s="1">
        <v>5.1679192199999999</v>
      </c>
      <c r="W1575" s="1">
        <v>4.69862249</v>
      </c>
      <c r="X1575" s="1">
        <v>4.7537743670000001</v>
      </c>
      <c r="Y1575" s="1">
        <v>5.3269702959999998</v>
      </c>
      <c r="Z1575" s="1">
        <v>3.7109484589999999</v>
      </c>
      <c r="AA1575" s="1">
        <v>4.5490843459999999</v>
      </c>
      <c r="AB1575" s="1">
        <v>4.6096720080000004</v>
      </c>
      <c r="AC1575" s="1">
        <v>4.9145215069999999</v>
      </c>
      <c r="AD1575" s="1">
        <v>4.8924744240000004</v>
      </c>
      <c r="AE1575" s="1">
        <v>5.3658215939999998</v>
      </c>
    </row>
    <row r="1576" spans="1:31" x14ac:dyDescent="0.25">
      <c r="A1576" s="1" t="s">
        <v>1055</v>
      </c>
      <c r="B1576" s="1" t="s">
        <v>2530</v>
      </c>
      <c r="C1576" s="1" t="s">
        <v>2531</v>
      </c>
      <c r="D1576" s="1" t="s">
        <v>2535</v>
      </c>
      <c r="E1576" s="1" t="s">
        <v>2536</v>
      </c>
      <c r="G1576" s="1" t="s">
        <v>1055</v>
      </c>
      <c r="H1576" s="1">
        <v>4.9322401630000003</v>
      </c>
      <c r="I1576" s="1">
        <v>4.5280931029999998</v>
      </c>
      <c r="J1576" s="1">
        <v>4.3724365990000003</v>
      </c>
      <c r="K1576" s="1">
        <v>4.2434183680000004</v>
      </c>
      <c r="L1576" s="1">
        <v>4.0223143549999998</v>
      </c>
      <c r="M1576" s="1">
        <v>3.9251125939999998</v>
      </c>
      <c r="N1576" s="1">
        <v>4.1002678350000004</v>
      </c>
      <c r="O1576" s="1">
        <v>3.5386882399999999</v>
      </c>
      <c r="P1576" s="1">
        <v>3.86011382</v>
      </c>
      <c r="Q1576" s="1">
        <v>3.8492287269999999</v>
      </c>
      <c r="R1576" s="1">
        <v>4.0808207129999996</v>
      </c>
      <c r="S1576" s="1">
        <v>3.7977317990000001</v>
      </c>
      <c r="T1576" s="1">
        <v>4.0223143549999998</v>
      </c>
      <c r="U1576" s="1">
        <v>3.9251125939999998</v>
      </c>
      <c r="V1576" s="1">
        <v>4.3879408260000003</v>
      </c>
      <c r="W1576" s="1">
        <v>3.8431653940000001</v>
      </c>
      <c r="X1576" s="1">
        <v>4.1154863700000002</v>
      </c>
      <c r="Y1576" s="1">
        <v>3.9087436480000002</v>
      </c>
      <c r="Z1576" s="1">
        <v>4.0808207129999996</v>
      </c>
      <c r="AA1576" s="1">
        <v>3.7977317990000001</v>
      </c>
      <c r="AB1576" s="1">
        <v>4.139369361</v>
      </c>
      <c r="AC1576" s="1">
        <v>4.4881955270000002</v>
      </c>
      <c r="AD1576" s="1">
        <v>3.8610926929999998</v>
      </c>
      <c r="AE1576" s="1">
        <v>4.124053773</v>
      </c>
    </row>
    <row r="1577" spans="1:31" x14ac:dyDescent="0.25">
      <c r="A1577" s="1" t="s">
        <v>1059</v>
      </c>
      <c r="B1577" s="1" t="s">
        <v>2530</v>
      </c>
      <c r="C1577" s="1" t="s">
        <v>2531</v>
      </c>
      <c r="D1577" s="1" t="s">
        <v>2535</v>
      </c>
      <c r="E1577" s="1" t="s">
        <v>5023</v>
      </c>
      <c r="G1577" s="1" t="s">
        <v>1059</v>
      </c>
      <c r="H1577" s="1">
        <v>8.4390456700000005</v>
      </c>
      <c r="I1577" s="1">
        <v>8.8977999309999998</v>
      </c>
      <c r="J1577" s="1">
        <v>7.094169655</v>
      </c>
      <c r="K1577" s="1">
        <v>7.4188102730000001</v>
      </c>
      <c r="L1577" s="1">
        <v>7.2463443019999998</v>
      </c>
      <c r="M1577" s="1">
        <v>7.1687315680000001</v>
      </c>
      <c r="N1577" s="1">
        <v>8.5433484429999993</v>
      </c>
      <c r="O1577" s="1">
        <v>8.7438411279999997</v>
      </c>
      <c r="P1577" s="1">
        <v>7.4294854240000001</v>
      </c>
      <c r="Q1577" s="1">
        <v>7.2290753380000004</v>
      </c>
      <c r="R1577" s="1">
        <v>7.6207251070000002</v>
      </c>
      <c r="S1577" s="1">
        <v>7.314648633</v>
      </c>
      <c r="T1577" s="1">
        <v>7.2463443019999998</v>
      </c>
      <c r="U1577" s="1">
        <v>7.1687315680000001</v>
      </c>
      <c r="V1577" s="1">
        <v>7.8969988879999997</v>
      </c>
      <c r="W1577" s="1">
        <v>7.3852544990000002</v>
      </c>
      <c r="X1577" s="1">
        <v>6.9611542279999998</v>
      </c>
      <c r="Y1577" s="1">
        <v>7.4322781100000004</v>
      </c>
      <c r="Z1577" s="1">
        <v>7.6207251070000002</v>
      </c>
      <c r="AA1577" s="1">
        <v>7.314648633</v>
      </c>
      <c r="AB1577" s="1">
        <v>7.453831321</v>
      </c>
      <c r="AC1577" s="1">
        <v>7.4483701260000004</v>
      </c>
      <c r="AD1577" s="1">
        <v>7.4939684189999998</v>
      </c>
      <c r="AE1577" s="1">
        <v>7.5573444179999996</v>
      </c>
    </row>
    <row r="1578" spans="1:31" x14ac:dyDescent="0.25">
      <c r="A1578" s="1" t="s">
        <v>1061</v>
      </c>
      <c r="B1578" s="1" t="s">
        <v>2530</v>
      </c>
      <c r="C1578" s="1" t="s">
        <v>2531</v>
      </c>
      <c r="D1578" s="1" t="s">
        <v>2535</v>
      </c>
      <c r="E1578" s="1" t="s">
        <v>2536</v>
      </c>
      <c r="G1578" s="1" t="s">
        <v>1061</v>
      </c>
      <c r="H1578" s="1">
        <v>6.9183184219999996</v>
      </c>
      <c r="I1578" s="1">
        <v>6.395465862</v>
      </c>
      <c r="J1578" s="1">
        <v>5.9926388770000001</v>
      </c>
      <c r="K1578" s="1">
        <v>6.8874374449999998</v>
      </c>
      <c r="L1578" s="1">
        <v>5.8791437640000002</v>
      </c>
      <c r="M1578" s="1">
        <v>6.1691684679999996</v>
      </c>
      <c r="N1578" s="1">
        <v>6.2079811459999998</v>
      </c>
      <c r="O1578" s="1">
        <v>6.3799106659999998</v>
      </c>
      <c r="P1578" s="1">
        <v>6.429694821</v>
      </c>
      <c r="Q1578" s="1">
        <v>6.3980489909999996</v>
      </c>
      <c r="R1578" s="1">
        <v>6.1441881260000004</v>
      </c>
      <c r="S1578" s="1">
        <v>6.3621547329999997</v>
      </c>
      <c r="T1578" s="1">
        <v>5.8791437640000002</v>
      </c>
      <c r="U1578" s="1">
        <v>6.1691684679999996</v>
      </c>
      <c r="V1578" s="1">
        <v>6.3130184290000004</v>
      </c>
      <c r="W1578" s="1">
        <v>6.4401804780000003</v>
      </c>
      <c r="X1578" s="1">
        <v>6.2987278330000001</v>
      </c>
      <c r="Y1578" s="1">
        <v>6.2594192150000003</v>
      </c>
      <c r="Z1578" s="1">
        <v>6.1441881260000004</v>
      </c>
      <c r="AA1578" s="1">
        <v>6.3621547329999997</v>
      </c>
      <c r="AB1578" s="1">
        <v>6.4252252849999998</v>
      </c>
      <c r="AC1578" s="1">
        <v>6.2255363350000001</v>
      </c>
      <c r="AD1578" s="1">
        <v>6.4566895009999996</v>
      </c>
      <c r="AE1578" s="1">
        <v>6.3668783680000001</v>
      </c>
    </row>
    <row r="1579" spans="1:31" x14ac:dyDescent="0.25">
      <c r="A1579" s="1" t="s">
        <v>1063</v>
      </c>
      <c r="B1579" s="1" t="s">
        <v>2542</v>
      </c>
      <c r="C1579" s="1" t="s">
        <v>2553</v>
      </c>
      <c r="D1579" s="1" t="s">
        <v>2994</v>
      </c>
      <c r="E1579" s="1" t="s">
        <v>5024</v>
      </c>
      <c r="F1579" s="1" t="s">
        <v>5025</v>
      </c>
      <c r="G1579" s="1" t="s">
        <v>1063</v>
      </c>
      <c r="H1579" s="1">
        <v>5.3232649629999997</v>
      </c>
      <c r="I1579" s="1">
        <v>5.8358262759999997</v>
      </c>
      <c r="J1579" s="1">
        <v>6.2697260589999999</v>
      </c>
      <c r="K1579" s="1">
        <v>5.5719358019999996</v>
      </c>
      <c r="L1579" s="1">
        <v>6.4156616629999998</v>
      </c>
      <c r="M1579" s="1">
        <v>6.6194403580000003</v>
      </c>
      <c r="N1579" s="1">
        <v>5.1887139119999999</v>
      </c>
      <c r="O1579" s="1">
        <v>5.6856657850000003</v>
      </c>
      <c r="P1579" s="1">
        <v>6.1298655379999998</v>
      </c>
      <c r="Q1579" s="1">
        <v>6.4187248529999996</v>
      </c>
      <c r="R1579" s="1">
        <v>6.7101003170000002</v>
      </c>
      <c r="S1579" s="1">
        <v>6.7016683280000002</v>
      </c>
      <c r="T1579" s="1">
        <v>6.4156616629999998</v>
      </c>
      <c r="U1579" s="1">
        <v>6.6194403580000003</v>
      </c>
      <c r="V1579" s="1">
        <v>6.1419042490000004</v>
      </c>
      <c r="W1579" s="1">
        <v>6.4165513509999998</v>
      </c>
      <c r="X1579" s="1">
        <v>6.2871570439999998</v>
      </c>
      <c r="Y1579" s="1">
        <v>6.3075735850000001</v>
      </c>
      <c r="Z1579" s="1">
        <v>6.7101003170000002</v>
      </c>
      <c r="AA1579" s="1">
        <v>6.7016683280000002</v>
      </c>
      <c r="AB1579" s="1">
        <v>6.2478766610000003</v>
      </c>
      <c r="AC1579" s="1">
        <v>6.526755767</v>
      </c>
      <c r="AD1579" s="1">
        <v>6.2383411879999997</v>
      </c>
      <c r="AE1579" s="1">
        <v>6.0451310640000004</v>
      </c>
    </row>
    <row r="1580" spans="1:31" x14ac:dyDescent="0.25">
      <c r="A1580" s="1" t="s">
        <v>1064</v>
      </c>
      <c r="B1580" s="1" t="s">
        <v>2542</v>
      </c>
      <c r="C1580" s="1" t="s">
        <v>2553</v>
      </c>
      <c r="D1580" s="1" t="s">
        <v>2994</v>
      </c>
      <c r="E1580" s="1" t="s">
        <v>5026</v>
      </c>
      <c r="F1580" s="1" t="s">
        <v>5027</v>
      </c>
      <c r="G1580" s="1" t="s">
        <v>1064</v>
      </c>
      <c r="H1580" s="1">
        <v>6.3316799680000004</v>
      </c>
      <c r="I1580" s="1">
        <v>6.0959298439999996</v>
      </c>
      <c r="J1580" s="1">
        <v>7.6152412759999999</v>
      </c>
      <c r="K1580" s="1">
        <v>7.6207723439999997</v>
      </c>
      <c r="L1580" s="1">
        <v>7.7699138599999999</v>
      </c>
      <c r="M1580" s="1">
        <v>7.8718796590000002</v>
      </c>
      <c r="N1580" s="1">
        <v>5.9261193419999998</v>
      </c>
      <c r="O1580" s="1">
        <v>6.5025563220000002</v>
      </c>
      <c r="P1580" s="1">
        <v>7.599320348</v>
      </c>
      <c r="Q1580" s="1">
        <v>7.5710115289999997</v>
      </c>
      <c r="R1580" s="1">
        <v>7.9240097770000002</v>
      </c>
      <c r="S1580" s="1">
        <v>7.8761314679999996</v>
      </c>
      <c r="T1580" s="1">
        <v>7.7699138599999999</v>
      </c>
      <c r="U1580" s="1">
        <v>7.8718796590000002</v>
      </c>
      <c r="V1580" s="1">
        <v>7.5775539670000001</v>
      </c>
      <c r="W1580" s="1">
        <v>7.3973631339999999</v>
      </c>
      <c r="X1580" s="1">
        <v>7.8061879100000002</v>
      </c>
      <c r="Y1580" s="1">
        <v>7.5267088309999997</v>
      </c>
      <c r="Z1580" s="1">
        <v>7.9240097770000002</v>
      </c>
      <c r="AA1580" s="1">
        <v>7.8761314679999996</v>
      </c>
      <c r="AB1580" s="1">
        <v>7.7146702569999999</v>
      </c>
      <c r="AC1580" s="1">
        <v>7.7172874260000004</v>
      </c>
      <c r="AD1580" s="1">
        <v>7.7548157030000002</v>
      </c>
      <c r="AE1580" s="1">
        <v>7.4412000559999996</v>
      </c>
    </row>
    <row r="1581" spans="1:31" x14ac:dyDescent="0.25">
      <c r="A1581" s="1" t="s">
        <v>1068</v>
      </c>
      <c r="B1581" s="1" t="s">
        <v>2520</v>
      </c>
      <c r="C1581" s="1" t="s">
        <v>2521</v>
      </c>
      <c r="D1581" s="1" t="s">
        <v>2535</v>
      </c>
      <c r="E1581" s="1" t="s">
        <v>5028</v>
      </c>
      <c r="G1581" s="1" t="s">
        <v>1068</v>
      </c>
      <c r="H1581" s="1">
        <v>4.0684382540000001</v>
      </c>
      <c r="I1581" s="1">
        <v>4.5280931029999998</v>
      </c>
      <c r="J1581" s="1">
        <v>3.4977151119999998</v>
      </c>
      <c r="K1581" s="1">
        <v>4.0244910950000001</v>
      </c>
      <c r="L1581" s="1">
        <v>4.3335465510000004</v>
      </c>
      <c r="M1581" s="1">
        <v>4.3473799800000004</v>
      </c>
      <c r="N1581" s="1">
        <v>4.210067993</v>
      </c>
      <c r="O1581" s="1">
        <v>4.0289865369999998</v>
      </c>
      <c r="P1581" s="1">
        <v>4.6160325330000003</v>
      </c>
      <c r="Q1581" s="1">
        <v>3.388910638</v>
      </c>
      <c r="R1581" s="1">
        <v>4.2802026870000001</v>
      </c>
      <c r="S1581" s="1">
        <v>4.2250836859999996</v>
      </c>
      <c r="T1581" s="1">
        <v>4.3335465510000004</v>
      </c>
      <c r="U1581" s="1">
        <v>4.3473799800000004</v>
      </c>
      <c r="V1581" s="1">
        <v>4.1608706030000002</v>
      </c>
      <c r="W1581" s="1">
        <v>4.2295768090000001</v>
      </c>
      <c r="X1581" s="1">
        <v>4.7192629950000002</v>
      </c>
      <c r="Y1581" s="1">
        <v>3.9087436480000002</v>
      </c>
      <c r="Z1581" s="1">
        <v>4.2802026870000001</v>
      </c>
      <c r="AA1581" s="1">
        <v>4.2250836859999996</v>
      </c>
      <c r="AB1581" s="1">
        <v>4.5063178209999997</v>
      </c>
      <c r="AC1581" s="1">
        <v>3.8665622239999999</v>
      </c>
      <c r="AD1581" s="1">
        <v>4.4715299570000004</v>
      </c>
      <c r="AE1581" s="1">
        <v>4.0105905760000002</v>
      </c>
    </row>
    <row r="1582" spans="1:31" x14ac:dyDescent="0.25">
      <c r="A1582" s="1" t="s">
        <v>1069</v>
      </c>
      <c r="B1582" s="1" t="s">
        <v>2547</v>
      </c>
      <c r="C1582" s="1" t="s">
        <v>2789</v>
      </c>
      <c r="D1582" s="1" t="s">
        <v>5029</v>
      </c>
      <c r="E1582" s="1" t="s">
        <v>5030</v>
      </c>
      <c r="F1582" s="1" t="s">
        <v>5031</v>
      </c>
      <c r="G1582" s="1" t="s">
        <v>1069</v>
      </c>
      <c r="H1582" s="1">
        <v>5.2221022919999998</v>
      </c>
      <c r="I1582" s="1">
        <v>4.5981535630000003</v>
      </c>
      <c r="J1582" s="1">
        <v>5.2817155790000001</v>
      </c>
      <c r="K1582" s="1">
        <v>4.8139921829999999</v>
      </c>
      <c r="L1582" s="1">
        <v>5.3172641829999998</v>
      </c>
      <c r="M1582" s="1">
        <v>5.5758954550000004</v>
      </c>
      <c r="N1582" s="1">
        <v>4.5366957899999996</v>
      </c>
      <c r="O1582" s="1">
        <v>4.4862678239999996</v>
      </c>
      <c r="P1582" s="1">
        <v>5.5318451900000003</v>
      </c>
      <c r="Q1582" s="1">
        <v>5.4628336309999996</v>
      </c>
      <c r="R1582" s="1">
        <v>5.9309793060000002</v>
      </c>
      <c r="S1582" s="1">
        <v>5.9440521669999997</v>
      </c>
      <c r="T1582" s="1">
        <v>5.3172641829999998</v>
      </c>
      <c r="U1582" s="1">
        <v>5.5758954550000004</v>
      </c>
      <c r="V1582" s="1">
        <v>5.3892424569999999</v>
      </c>
      <c r="W1582" s="1">
        <v>5.6059572260000001</v>
      </c>
      <c r="X1582" s="1">
        <v>5.5620422200000004</v>
      </c>
      <c r="Y1582" s="1">
        <v>4.8904630100000004</v>
      </c>
      <c r="Z1582" s="1">
        <v>5.9309793060000002</v>
      </c>
      <c r="AA1582" s="1">
        <v>5.9440521669999997</v>
      </c>
      <c r="AB1582" s="1">
        <v>5.5787398220000002</v>
      </c>
      <c r="AC1582" s="1">
        <v>5.6386390840000002</v>
      </c>
      <c r="AD1582" s="1">
        <v>5.6310130599999999</v>
      </c>
      <c r="AE1582" s="1">
        <v>5.3205054189999998</v>
      </c>
    </row>
    <row r="1583" spans="1:31" x14ac:dyDescent="0.25">
      <c r="A1583" s="1" t="s">
        <v>1070</v>
      </c>
      <c r="B1583" s="1" t="s">
        <v>2525</v>
      </c>
      <c r="C1583" s="1" t="s">
        <v>2526</v>
      </c>
      <c r="D1583" s="1" t="s">
        <v>5032</v>
      </c>
      <c r="E1583" s="1" t="s">
        <v>5033</v>
      </c>
      <c r="F1583" s="1" t="s">
        <v>5034</v>
      </c>
      <c r="G1583" s="1" t="s">
        <v>1070</v>
      </c>
      <c r="H1583" s="1">
        <v>6.0673720150000001</v>
      </c>
      <c r="I1583" s="1">
        <v>5.8640648840000003</v>
      </c>
      <c r="J1583" s="1">
        <v>7.2297148099999999</v>
      </c>
      <c r="K1583" s="1">
        <v>7.1052114120000001</v>
      </c>
      <c r="L1583" s="1">
        <v>7.5338703389999999</v>
      </c>
      <c r="M1583" s="1">
        <v>7.4817971329999997</v>
      </c>
      <c r="N1583" s="1">
        <v>6.5278870189999996</v>
      </c>
      <c r="O1583" s="1">
        <v>6.4907517290000003</v>
      </c>
      <c r="P1583" s="1">
        <v>7.06192595</v>
      </c>
      <c r="Q1583" s="1">
        <v>7.2054957130000004</v>
      </c>
      <c r="R1583" s="1">
        <v>7.1402648610000004</v>
      </c>
      <c r="S1583" s="1">
        <v>7.345520681</v>
      </c>
      <c r="T1583" s="1">
        <v>7.5338703389999999</v>
      </c>
      <c r="U1583" s="1">
        <v>7.4817971329999997</v>
      </c>
      <c r="V1583" s="1">
        <v>6.6615124100000003</v>
      </c>
      <c r="W1583" s="1">
        <v>6.7165296740000002</v>
      </c>
      <c r="X1583" s="1">
        <v>7.1516427269999996</v>
      </c>
      <c r="Y1583" s="1">
        <v>6.6058798599999999</v>
      </c>
      <c r="Z1583" s="1">
        <v>7.1402648610000004</v>
      </c>
      <c r="AA1583" s="1">
        <v>7.345520681</v>
      </c>
      <c r="AB1583" s="1">
        <v>7.0832603900000004</v>
      </c>
      <c r="AC1583" s="1">
        <v>6.9119300409999997</v>
      </c>
      <c r="AD1583" s="1">
        <v>6.9778452360000003</v>
      </c>
      <c r="AE1583" s="1">
        <v>7.0510357859999999</v>
      </c>
    </row>
    <row r="1584" spans="1:31" x14ac:dyDescent="0.25">
      <c r="A1584" s="1" t="s">
        <v>1073</v>
      </c>
      <c r="B1584" s="1" t="s">
        <v>2579</v>
      </c>
      <c r="C1584" s="1" t="s">
        <v>2933</v>
      </c>
      <c r="D1584" s="1" t="s">
        <v>3656</v>
      </c>
      <c r="E1584" s="1" t="s">
        <v>5035</v>
      </c>
      <c r="F1584" s="1" t="s">
        <v>5036</v>
      </c>
      <c r="G1584" s="1" t="s">
        <v>1073</v>
      </c>
      <c r="H1584" s="1">
        <v>3.4660955969999998</v>
      </c>
      <c r="I1584" s="1">
        <v>3.1348991329999998</v>
      </c>
      <c r="J1584" s="1">
        <v>3.4977151119999998</v>
      </c>
      <c r="K1584" s="1">
        <v>3.4309024589999999</v>
      </c>
      <c r="L1584" s="1">
        <v>3.4685048369999998</v>
      </c>
      <c r="M1584" s="1">
        <v>4.059937712</v>
      </c>
      <c r="N1584" s="1">
        <v>2.8201075470000001</v>
      </c>
      <c r="O1584" s="1">
        <v>2.883783352</v>
      </c>
      <c r="P1584" s="1">
        <v>3.466113682</v>
      </c>
      <c r="Q1584" s="1">
        <v>3.185675432</v>
      </c>
      <c r="R1584" s="1">
        <v>3.7109484589999999</v>
      </c>
      <c r="S1584" s="1">
        <v>4.6194390810000003</v>
      </c>
      <c r="T1584" s="1">
        <v>3.4685048369999998</v>
      </c>
      <c r="U1584" s="1">
        <v>4.059937712</v>
      </c>
      <c r="V1584" s="1">
        <v>3.887436229</v>
      </c>
      <c r="W1584" s="1">
        <v>2.6606351240000001</v>
      </c>
      <c r="X1584" s="1">
        <v>2.7988456519999998</v>
      </c>
      <c r="Y1584" s="1">
        <v>3.6154848500000001</v>
      </c>
      <c r="Z1584" s="1">
        <v>3.7109484589999999</v>
      </c>
      <c r="AA1584" s="1">
        <v>4.6194390810000003</v>
      </c>
      <c r="AB1584" s="1">
        <v>4.2729702720000002</v>
      </c>
      <c r="AC1584" s="1">
        <v>4.1685844940000001</v>
      </c>
      <c r="AD1584" s="1">
        <v>4.5511338559999999</v>
      </c>
      <c r="AE1584" s="1">
        <v>4.4163948289999997</v>
      </c>
    </row>
    <row r="1585" spans="1:31" x14ac:dyDescent="0.25">
      <c r="A1585" s="1" t="s">
        <v>1077</v>
      </c>
      <c r="B1585" s="1" t="s">
        <v>2608</v>
      </c>
      <c r="C1585" s="1" t="s">
        <v>2609</v>
      </c>
      <c r="D1585" s="1" t="s">
        <v>2535</v>
      </c>
      <c r="E1585" s="1" t="s">
        <v>5037</v>
      </c>
      <c r="F1585" s="1" t="s">
        <v>5038</v>
      </c>
      <c r="G1585" s="1" t="s">
        <v>1077</v>
      </c>
      <c r="H1585" s="1">
        <v>6.6546803429999999</v>
      </c>
      <c r="I1585" s="1">
        <v>6.7376237200000002</v>
      </c>
      <c r="J1585" s="1">
        <v>4.4503473070000004</v>
      </c>
      <c r="K1585" s="1">
        <v>5.1139224319999999</v>
      </c>
      <c r="L1585" s="1">
        <v>3.971296959</v>
      </c>
      <c r="M1585" s="1">
        <v>3.8521266660000002</v>
      </c>
      <c r="N1585" s="1">
        <v>6.7013847870000003</v>
      </c>
      <c r="O1585" s="1">
        <v>6.9702028699999996</v>
      </c>
      <c r="P1585" s="1">
        <v>3.9684043939999998</v>
      </c>
      <c r="Q1585" s="1">
        <v>4.2835653880000004</v>
      </c>
      <c r="R1585" s="1">
        <v>3.386455024</v>
      </c>
      <c r="S1585" s="1">
        <v>3.9182367880000002</v>
      </c>
      <c r="T1585" s="1">
        <v>3.971296959</v>
      </c>
      <c r="U1585" s="1">
        <v>3.8521266660000002</v>
      </c>
      <c r="V1585" s="1">
        <v>4.3163797720000003</v>
      </c>
      <c r="W1585" s="1">
        <v>4.9190341039999996</v>
      </c>
      <c r="X1585" s="1">
        <v>4.1154863700000002</v>
      </c>
      <c r="Y1585" s="1">
        <v>4.4420910779999998</v>
      </c>
      <c r="Z1585" s="1">
        <v>3.386455024</v>
      </c>
      <c r="AA1585" s="1">
        <v>3.9182367880000002</v>
      </c>
      <c r="AB1585" s="1">
        <v>3.404153038</v>
      </c>
      <c r="AC1585" s="1">
        <v>4.0753403910000001</v>
      </c>
      <c r="AD1585" s="1">
        <v>5.1668950269999998</v>
      </c>
      <c r="AE1585" s="1">
        <v>4.5815229759999996</v>
      </c>
    </row>
    <row r="1586" spans="1:31" x14ac:dyDescent="0.25">
      <c r="A1586" s="1" t="s">
        <v>1078</v>
      </c>
      <c r="B1586" s="1" t="s">
        <v>2662</v>
      </c>
      <c r="C1586" s="1" t="s">
        <v>3291</v>
      </c>
      <c r="D1586" s="1" t="s">
        <v>5039</v>
      </c>
      <c r="E1586" s="1" t="s">
        <v>5040</v>
      </c>
      <c r="F1586" s="1" t="s">
        <v>5041</v>
      </c>
      <c r="G1586" s="1" t="s">
        <v>1078</v>
      </c>
      <c r="H1586" s="1">
        <v>6.0380558219999996</v>
      </c>
      <c r="I1586" s="1">
        <v>6.8685279430000001</v>
      </c>
      <c r="J1586" s="1">
        <v>5.7728716349999996</v>
      </c>
      <c r="K1586" s="1">
        <v>5.9181521149999998</v>
      </c>
      <c r="L1586" s="1">
        <v>5.4841512059999999</v>
      </c>
      <c r="M1586" s="1">
        <v>4.930560163</v>
      </c>
      <c r="N1586" s="1">
        <v>7.1233975809999999</v>
      </c>
      <c r="O1586" s="1">
        <v>6.9870954149999998</v>
      </c>
      <c r="P1586" s="1">
        <v>5.6913184689999996</v>
      </c>
      <c r="Q1586" s="1">
        <v>5.3375178869999997</v>
      </c>
      <c r="R1586" s="1">
        <v>4.8735636449999999</v>
      </c>
      <c r="S1586" s="1">
        <v>4.8699614389999999</v>
      </c>
      <c r="T1586" s="1">
        <v>5.4841512059999999</v>
      </c>
      <c r="U1586" s="1">
        <v>4.930560163</v>
      </c>
      <c r="V1586" s="1">
        <v>5.4559769400000002</v>
      </c>
      <c r="W1586" s="1">
        <v>5.7645115660000004</v>
      </c>
      <c r="X1586" s="1">
        <v>5.3771830209999996</v>
      </c>
      <c r="Y1586" s="1">
        <v>5.8019430659999998</v>
      </c>
      <c r="Z1586" s="1">
        <v>4.8735636449999999</v>
      </c>
      <c r="AA1586" s="1">
        <v>4.8699614389999999</v>
      </c>
      <c r="AB1586" s="1">
        <v>5.2406211000000003</v>
      </c>
      <c r="AC1586" s="1">
        <v>5.3221936159999998</v>
      </c>
      <c r="AD1586" s="1">
        <v>5.3091856960000001</v>
      </c>
      <c r="AE1586" s="1">
        <v>5.9593974410000001</v>
      </c>
    </row>
    <row r="1587" spans="1:31" x14ac:dyDescent="0.25">
      <c r="A1587" s="1" t="s">
        <v>1080</v>
      </c>
      <c r="B1587" s="1" t="s">
        <v>2557</v>
      </c>
      <c r="C1587" s="1" t="s">
        <v>2680</v>
      </c>
      <c r="D1587" s="1" t="s">
        <v>2712</v>
      </c>
      <c r="E1587" s="1" t="s">
        <v>5042</v>
      </c>
      <c r="F1587" s="1" t="s">
        <v>5043</v>
      </c>
      <c r="G1587" s="1" t="s">
        <v>1080</v>
      </c>
      <c r="H1587" s="1">
        <v>3.2549621289999999</v>
      </c>
      <c r="I1587" s="1">
        <v>3.9003964459999998</v>
      </c>
      <c r="J1587" s="1">
        <v>2.5640169199999998</v>
      </c>
      <c r="K1587" s="1">
        <v>2.9677134359999999</v>
      </c>
      <c r="L1587" s="1">
        <v>3.2097511390000002</v>
      </c>
      <c r="M1587" s="1">
        <v>2.8639998100000001</v>
      </c>
      <c r="N1587" s="1">
        <v>3.344961128</v>
      </c>
      <c r="O1587" s="1">
        <v>3.5386882399999999</v>
      </c>
      <c r="P1587" s="1">
        <v>2.5478783159999998</v>
      </c>
      <c r="Q1587" s="1">
        <v>1.7393328349999999</v>
      </c>
      <c r="R1587" s="1">
        <v>3.1834741979999999</v>
      </c>
      <c r="S1587" s="1">
        <v>3.1475403900000001</v>
      </c>
      <c r="T1587" s="1">
        <v>3.2097511390000002</v>
      </c>
      <c r="U1587" s="1">
        <v>2.8639998100000001</v>
      </c>
      <c r="V1587" s="1">
        <v>3.3993802240000002</v>
      </c>
      <c r="W1587" s="1">
        <v>3.50175473</v>
      </c>
      <c r="X1587" s="1">
        <v>2.9542167930000001</v>
      </c>
      <c r="Y1587" s="1">
        <v>3.4382968329999999</v>
      </c>
      <c r="Z1587" s="1">
        <v>3.1834741979999999</v>
      </c>
      <c r="AA1587" s="1">
        <v>3.1475403900000001</v>
      </c>
      <c r="AB1587" s="1">
        <v>3.1218319999999999</v>
      </c>
      <c r="AC1587" s="1">
        <v>2.5506926650000001</v>
      </c>
      <c r="AD1587" s="1">
        <v>3.1944880649999998</v>
      </c>
      <c r="AE1587" s="1">
        <v>3.5108161330000001</v>
      </c>
    </row>
    <row r="1588" spans="1:31" x14ac:dyDescent="0.25">
      <c r="A1588" s="1" t="s">
        <v>1084</v>
      </c>
      <c r="B1588" s="1" t="s">
        <v>2530</v>
      </c>
      <c r="C1588" s="1" t="s">
        <v>2531</v>
      </c>
      <c r="D1588" s="1" t="s">
        <v>2535</v>
      </c>
      <c r="E1588" s="1" t="s">
        <v>2536</v>
      </c>
      <c r="G1588" s="1" t="s">
        <v>1084</v>
      </c>
      <c r="H1588" s="1">
        <v>8.2919520779999996</v>
      </c>
      <c r="I1588" s="1">
        <v>7.9896853249999999</v>
      </c>
      <c r="J1588" s="1">
        <v>7.8007926430000003</v>
      </c>
      <c r="K1588" s="1">
        <v>8.1112499590000002</v>
      </c>
      <c r="L1588" s="1">
        <v>5.7687912140000002</v>
      </c>
      <c r="M1588" s="1">
        <v>6.0186391370000001</v>
      </c>
      <c r="N1588" s="1">
        <v>7.1765990879999997</v>
      </c>
      <c r="O1588" s="1">
        <v>7.5724732250000004</v>
      </c>
      <c r="P1588" s="1">
        <v>6.8220475609999998</v>
      </c>
      <c r="Q1588" s="1">
        <v>6.7311802209999998</v>
      </c>
      <c r="R1588" s="1">
        <v>6.6932924079999996</v>
      </c>
      <c r="S1588" s="1">
        <v>6.5856947659999996</v>
      </c>
      <c r="T1588" s="1">
        <v>5.7687912140000002</v>
      </c>
      <c r="U1588" s="1">
        <v>6.0186391370000001</v>
      </c>
      <c r="V1588" s="1">
        <v>6.8947846659999996</v>
      </c>
      <c r="W1588" s="1">
        <v>7.1334545250000003</v>
      </c>
      <c r="X1588" s="1">
        <v>6.1145484569999997</v>
      </c>
      <c r="Y1588" s="1">
        <v>6.8849070279999998</v>
      </c>
      <c r="Z1588" s="1">
        <v>6.6932924079999996</v>
      </c>
      <c r="AA1588" s="1">
        <v>6.5856947659999996</v>
      </c>
      <c r="AB1588" s="1">
        <v>6.875265154</v>
      </c>
      <c r="AC1588" s="1">
        <v>6.4026546910000004</v>
      </c>
      <c r="AD1588" s="1">
        <v>6.7654508829999997</v>
      </c>
      <c r="AE1588" s="1">
        <v>6.8984693960000003</v>
      </c>
    </row>
    <row r="1589" spans="1:31" x14ac:dyDescent="0.25">
      <c r="A1589" s="1" t="s">
        <v>1088</v>
      </c>
      <c r="B1589" s="1" t="s">
        <v>2557</v>
      </c>
      <c r="C1589" s="1" t="s">
        <v>2680</v>
      </c>
      <c r="D1589" s="1" t="s">
        <v>2712</v>
      </c>
      <c r="E1589" s="1" t="s">
        <v>2715</v>
      </c>
      <c r="F1589" s="1" t="s">
        <v>2716</v>
      </c>
      <c r="G1589" s="1" t="s">
        <v>1088</v>
      </c>
      <c r="H1589" s="1">
        <v>3.2549621289999999</v>
      </c>
      <c r="I1589" s="1">
        <v>3.1348991329999998</v>
      </c>
      <c r="J1589" s="1">
        <v>4.7851628320000001</v>
      </c>
      <c r="K1589" s="1">
        <v>4.4318297590000002</v>
      </c>
      <c r="L1589" s="1">
        <v>5.3368026579999999</v>
      </c>
      <c r="M1589" s="1">
        <v>4.824486168</v>
      </c>
      <c r="N1589" s="1">
        <v>3.5368298970000001</v>
      </c>
      <c r="O1589" s="1">
        <v>4.1585876539999997</v>
      </c>
      <c r="P1589" s="1">
        <v>4.161525224</v>
      </c>
      <c r="Q1589" s="1">
        <v>4.2835653880000004</v>
      </c>
      <c r="R1589" s="1">
        <v>4.0808207129999996</v>
      </c>
      <c r="S1589" s="1">
        <v>4.7503017500000002</v>
      </c>
      <c r="T1589" s="1">
        <v>5.3368026579999999</v>
      </c>
      <c r="U1589" s="1">
        <v>4.824486168</v>
      </c>
      <c r="V1589" s="1">
        <v>3.9849921849999999</v>
      </c>
      <c r="W1589" s="1">
        <v>4.3370700810000002</v>
      </c>
      <c r="X1589" s="1">
        <v>4.9146300209999998</v>
      </c>
      <c r="Y1589" s="1">
        <v>3.9087436480000002</v>
      </c>
      <c r="Z1589" s="1">
        <v>4.0808207129999996</v>
      </c>
      <c r="AA1589" s="1">
        <v>4.7503017500000002</v>
      </c>
      <c r="AB1589" s="1">
        <v>3.990981031</v>
      </c>
      <c r="AC1589" s="1">
        <v>5.0158027430000001</v>
      </c>
      <c r="AD1589" s="1">
        <v>3.984188064</v>
      </c>
      <c r="AE1589" s="1">
        <v>3.9499994520000001</v>
      </c>
    </row>
    <row r="1590" spans="1:31" x14ac:dyDescent="0.25">
      <c r="A1590" s="1" t="s">
        <v>1089</v>
      </c>
      <c r="B1590" s="1" t="s">
        <v>2608</v>
      </c>
      <c r="C1590" s="1" t="s">
        <v>2700</v>
      </c>
      <c r="D1590" s="1" t="s">
        <v>2975</v>
      </c>
      <c r="E1590" s="1" t="s">
        <v>5044</v>
      </c>
      <c r="F1590" s="1" t="s">
        <v>5045</v>
      </c>
      <c r="G1590" s="1" t="s">
        <v>1089</v>
      </c>
      <c r="H1590" s="1">
        <v>3.8023684370000002</v>
      </c>
      <c r="I1590" s="1">
        <v>4.7284970130000001</v>
      </c>
      <c r="J1590" s="1">
        <v>4.7851628320000001</v>
      </c>
      <c r="K1590" s="1">
        <v>4.0244910950000001</v>
      </c>
      <c r="L1590" s="1">
        <v>5.2153292420000001</v>
      </c>
      <c r="M1590" s="1">
        <v>5.1508485750000004</v>
      </c>
      <c r="N1590" s="1">
        <v>4.3596796910000002</v>
      </c>
      <c r="O1590" s="1">
        <v>4.2189785100000003</v>
      </c>
      <c r="P1590" s="1">
        <v>4.4075207919999997</v>
      </c>
      <c r="Q1590" s="1">
        <v>4.993318082</v>
      </c>
      <c r="R1590" s="1">
        <v>4.5333476509999997</v>
      </c>
      <c r="S1590" s="1">
        <v>5.1309834260000002</v>
      </c>
      <c r="T1590" s="1">
        <v>5.2153292420000001</v>
      </c>
      <c r="U1590" s="1">
        <v>5.1508485750000004</v>
      </c>
      <c r="V1590" s="1">
        <v>5.1274300740000003</v>
      </c>
      <c r="W1590" s="1">
        <v>4.7760085830000003</v>
      </c>
      <c r="X1590" s="1">
        <v>4.3627028770000003</v>
      </c>
      <c r="Y1590" s="1">
        <v>5.0128502209999999</v>
      </c>
      <c r="Z1590" s="1">
        <v>4.5333476509999997</v>
      </c>
      <c r="AA1590" s="1">
        <v>5.1309834260000002</v>
      </c>
      <c r="AB1590" s="1">
        <v>4.5063178209999997</v>
      </c>
      <c r="AC1590" s="1">
        <v>4.1685844940000001</v>
      </c>
      <c r="AD1590" s="1">
        <v>4.4715299570000004</v>
      </c>
      <c r="AE1590" s="1">
        <v>4.3257514669999999</v>
      </c>
    </row>
    <row r="1591" spans="1:31" x14ac:dyDescent="0.25">
      <c r="A1591" s="1" t="s">
        <v>1090</v>
      </c>
      <c r="B1591" s="1" t="s">
        <v>2608</v>
      </c>
      <c r="C1591" s="1" t="s">
        <v>2791</v>
      </c>
      <c r="D1591" s="1" t="s">
        <v>5046</v>
      </c>
      <c r="E1591" s="1" t="s">
        <v>5047</v>
      </c>
      <c r="F1591" s="1" t="s">
        <v>5048</v>
      </c>
      <c r="G1591" s="1" t="s">
        <v>1090</v>
      </c>
      <c r="H1591" s="1">
        <v>9.8813357219999993</v>
      </c>
      <c r="I1591" s="1">
        <v>10.13006702</v>
      </c>
      <c r="J1591" s="1">
        <v>9.7212055849999999</v>
      </c>
      <c r="K1591" s="1">
        <v>9.8858813300000001</v>
      </c>
      <c r="L1591" s="1">
        <v>9.9037967990000002</v>
      </c>
      <c r="M1591" s="1">
        <v>9.8376197649999995</v>
      </c>
      <c r="N1591" s="1">
        <v>10.615859820000001</v>
      </c>
      <c r="O1591" s="1">
        <v>10.530825220000001</v>
      </c>
      <c r="P1591" s="1">
        <v>9.7268355540000009</v>
      </c>
      <c r="Q1591" s="1">
        <v>9.5234323270000001</v>
      </c>
      <c r="R1591" s="1">
        <v>9.765584467</v>
      </c>
      <c r="S1591" s="1">
        <v>9.5376280379999994</v>
      </c>
      <c r="T1591" s="1">
        <v>9.9037967990000002</v>
      </c>
      <c r="U1591" s="1">
        <v>9.8376197649999995</v>
      </c>
      <c r="V1591" s="1">
        <v>9.7208392180000001</v>
      </c>
      <c r="W1591" s="1">
        <v>9.6857861500000002</v>
      </c>
      <c r="X1591" s="1">
        <v>9.5001368119999992</v>
      </c>
      <c r="Y1591" s="1">
        <v>9.7249828199999993</v>
      </c>
      <c r="Z1591" s="1">
        <v>9.765584467</v>
      </c>
      <c r="AA1591" s="1">
        <v>9.5376280379999994</v>
      </c>
      <c r="AB1591" s="1">
        <v>9.6025307869999992</v>
      </c>
      <c r="AC1591" s="1">
        <v>9.6637304450000006</v>
      </c>
      <c r="AD1591" s="1">
        <v>9.6478973939999992</v>
      </c>
      <c r="AE1591" s="1">
        <v>9.5001000040000001</v>
      </c>
    </row>
    <row r="1592" spans="1:31" x14ac:dyDescent="0.25">
      <c r="A1592" s="1" t="s">
        <v>1091</v>
      </c>
      <c r="B1592" s="1" t="s">
        <v>2547</v>
      </c>
      <c r="C1592" s="1" t="s">
        <v>2789</v>
      </c>
      <c r="D1592" s="1" t="s">
        <v>2535</v>
      </c>
      <c r="E1592" s="1" t="s">
        <v>5049</v>
      </c>
      <c r="G1592" s="1" t="s">
        <v>1091</v>
      </c>
      <c r="H1592" s="1">
        <v>5.3712699940000004</v>
      </c>
      <c r="I1592" s="1">
        <v>5.7776224090000001</v>
      </c>
      <c r="J1592" s="1">
        <v>6.0178848</v>
      </c>
      <c r="K1592" s="1">
        <v>6.4083964440000001</v>
      </c>
      <c r="L1592" s="1">
        <v>6.6665813350000001</v>
      </c>
      <c r="M1592" s="1">
        <v>6.7105377930000003</v>
      </c>
      <c r="N1592" s="1">
        <v>6.3993900010000004</v>
      </c>
      <c r="O1592" s="1">
        <v>6.4302305970000004</v>
      </c>
      <c r="P1592" s="1">
        <v>6.3745240839999999</v>
      </c>
      <c r="Q1592" s="1">
        <v>6.5369026620000001</v>
      </c>
      <c r="R1592" s="1">
        <v>6.4547978119999998</v>
      </c>
      <c r="S1592" s="1">
        <v>6.5149715439999998</v>
      </c>
      <c r="T1592" s="1">
        <v>6.6665813350000001</v>
      </c>
      <c r="U1592" s="1">
        <v>6.7105377930000003</v>
      </c>
      <c r="V1592" s="1">
        <v>6.1419042490000004</v>
      </c>
      <c r="W1592" s="1">
        <v>6.5528329879999996</v>
      </c>
      <c r="X1592" s="1">
        <v>6.5898507339999997</v>
      </c>
      <c r="Y1592" s="1">
        <v>6.4644452860000001</v>
      </c>
      <c r="Z1592" s="1">
        <v>6.4547978119999998</v>
      </c>
      <c r="AA1592" s="1">
        <v>6.5149715439999998</v>
      </c>
      <c r="AB1592" s="1">
        <v>6.0812876019999997</v>
      </c>
      <c r="AC1592" s="1">
        <v>6.5603321899999996</v>
      </c>
      <c r="AD1592" s="1">
        <v>6.6283518130000001</v>
      </c>
      <c r="AE1592" s="1">
        <v>6.7278078839999997</v>
      </c>
    </row>
    <row r="1593" spans="1:31" x14ac:dyDescent="0.25">
      <c r="A1593" s="1" t="s">
        <v>1094</v>
      </c>
      <c r="B1593" s="1" t="s">
        <v>2662</v>
      </c>
      <c r="C1593" s="1" t="s">
        <v>3291</v>
      </c>
      <c r="D1593" s="1" t="s">
        <v>3667</v>
      </c>
      <c r="E1593" s="1" t="s">
        <v>5050</v>
      </c>
      <c r="F1593" s="1" t="s">
        <v>5051</v>
      </c>
      <c r="G1593" s="1" t="s">
        <v>1094</v>
      </c>
      <c r="H1593" s="1">
        <v>3.8023684370000002</v>
      </c>
      <c r="I1593" s="1">
        <v>3.3322126910000001</v>
      </c>
      <c r="J1593" s="1">
        <v>3.1324899180000001</v>
      </c>
      <c r="K1593" s="1">
        <v>3.22334677</v>
      </c>
      <c r="L1593" s="1">
        <v>3.8051274570000002</v>
      </c>
      <c r="M1593" s="1">
        <v>3.169085575</v>
      </c>
      <c r="N1593" s="1">
        <v>4.3116130799999999</v>
      </c>
      <c r="O1593" s="1">
        <v>4.2189785100000003</v>
      </c>
      <c r="P1593" s="1">
        <v>3.3003929539999999</v>
      </c>
      <c r="Q1593" s="1">
        <v>4.0840108080000004</v>
      </c>
      <c r="R1593" s="1">
        <v>3.7109484589999999</v>
      </c>
      <c r="S1593" s="1">
        <v>4.0285685429999996</v>
      </c>
      <c r="T1593" s="1">
        <v>3.8051274570000002</v>
      </c>
      <c r="U1593" s="1">
        <v>3.169085575</v>
      </c>
      <c r="V1593" s="1">
        <v>3.3993802240000002</v>
      </c>
      <c r="W1593" s="1">
        <v>3.2870366010000001</v>
      </c>
      <c r="X1593" s="1">
        <v>3.6673381269999998</v>
      </c>
      <c r="Y1593" s="1">
        <v>3.6154848500000001</v>
      </c>
      <c r="Z1593" s="1">
        <v>3.7109484589999999</v>
      </c>
      <c r="AA1593" s="1">
        <v>4.0285685429999996</v>
      </c>
      <c r="AB1593" s="1">
        <v>1.7393328349999999</v>
      </c>
      <c r="AC1593" s="1">
        <v>1.7393328349999999</v>
      </c>
      <c r="AD1593" s="1">
        <v>2.9432342459999998</v>
      </c>
      <c r="AE1593" s="1">
        <v>3.0939349979999999</v>
      </c>
    </row>
    <row r="1594" spans="1:31" x14ac:dyDescent="0.25">
      <c r="A1594" s="1" t="s">
        <v>1095</v>
      </c>
      <c r="B1594" s="1" t="s">
        <v>2520</v>
      </c>
      <c r="C1594" s="1" t="s">
        <v>2521</v>
      </c>
      <c r="D1594" s="1" t="s">
        <v>3928</v>
      </c>
      <c r="E1594" s="1" t="s">
        <v>5052</v>
      </c>
      <c r="F1594" s="1" t="s">
        <v>5053</v>
      </c>
      <c r="G1594" s="1" t="s">
        <v>1095</v>
      </c>
      <c r="H1594" s="1">
        <v>7.9194406559999999</v>
      </c>
      <c r="I1594" s="1">
        <v>7.3186245129999996</v>
      </c>
      <c r="J1594" s="1">
        <v>7.9257967169999999</v>
      </c>
      <c r="K1594" s="1">
        <v>7.685267369</v>
      </c>
      <c r="L1594" s="1">
        <v>7.1780295799999996</v>
      </c>
      <c r="M1594" s="1">
        <v>7.6496646610000001</v>
      </c>
      <c r="N1594" s="1">
        <v>7.3370762090000001</v>
      </c>
      <c r="O1594" s="1">
        <v>7.7312294990000003</v>
      </c>
      <c r="P1594" s="1">
        <v>8.0438697280000007</v>
      </c>
      <c r="Q1594" s="1">
        <v>8.2841087190000007</v>
      </c>
      <c r="R1594" s="1">
        <v>7.9383339499999996</v>
      </c>
      <c r="S1594" s="1">
        <v>8.1157903299999994</v>
      </c>
      <c r="T1594" s="1">
        <v>7.1780295799999996</v>
      </c>
      <c r="U1594" s="1">
        <v>7.6496646610000001</v>
      </c>
      <c r="V1594" s="1">
        <v>7.7658524209999999</v>
      </c>
      <c r="W1594" s="1">
        <v>7.8491249549999997</v>
      </c>
      <c r="X1594" s="1">
        <v>8.0512424879999998</v>
      </c>
      <c r="Y1594" s="1">
        <v>8.0420944970000008</v>
      </c>
      <c r="Z1594" s="1">
        <v>7.9383339499999996</v>
      </c>
      <c r="AA1594" s="1">
        <v>8.1157903299999994</v>
      </c>
      <c r="AB1594" s="1">
        <v>8.1269182329999996</v>
      </c>
      <c r="AC1594" s="1">
        <v>8.0714539080000005</v>
      </c>
      <c r="AD1594" s="1">
        <v>8.1976612249999992</v>
      </c>
      <c r="AE1594" s="1">
        <v>8.3337446499999999</v>
      </c>
    </row>
    <row r="1595" spans="1:31" x14ac:dyDescent="0.25">
      <c r="A1595" s="1" t="s">
        <v>1096</v>
      </c>
      <c r="B1595" s="1" t="s">
        <v>2530</v>
      </c>
      <c r="C1595" s="1" t="s">
        <v>2531</v>
      </c>
      <c r="D1595" s="1" t="s">
        <v>2535</v>
      </c>
      <c r="E1595" s="1" t="s">
        <v>2536</v>
      </c>
      <c r="G1595" s="1" t="s">
        <v>1096</v>
      </c>
      <c r="H1595" s="1">
        <v>7.0705901190000002</v>
      </c>
      <c r="I1595" s="1">
        <v>6.9364198850000003</v>
      </c>
      <c r="J1595" s="1">
        <v>7.2616988469999999</v>
      </c>
      <c r="K1595" s="1">
        <v>7.1965733920000003</v>
      </c>
      <c r="L1595" s="1">
        <v>7.1726379920000003</v>
      </c>
      <c r="M1595" s="1">
        <v>7.1399009050000002</v>
      </c>
      <c r="N1595" s="1">
        <v>6.7722559489999998</v>
      </c>
      <c r="O1595" s="1">
        <v>6.953109897</v>
      </c>
      <c r="P1595" s="1">
        <v>7.5421260999999999</v>
      </c>
      <c r="Q1595" s="1">
        <v>7.8318836589999998</v>
      </c>
      <c r="R1595" s="1">
        <v>7.4311375970000002</v>
      </c>
      <c r="S1595" s="1">
        <v>7.6557704830000004</v>
      </c>
      <c r="T1595" s="1">
        <v>7.1726379920000003</v>
      </c>
      <c r="U1595" s="1">
        <v>7.1399009050000002</v>
      </c>
      <c r="V1595" s="1">
        <v>7.1466161049999997</v>
      </c>
      <c r="W1595" s="1">
        <v>7.5242488339999998</v>
      </c>
      <c r="X1595" s="1">
        <v>7.5975354490000004</v>
      </c>
      <c r="Y1595" s="1">
        <v>7.7862518840000003</v>
      </c>
      <c r="Z1595" s="1">
        <v>7.4311375970000002</v>
      </c>
      <c r="AA1595" s="1">
        <v>7.6557704830000004</v>
      </c>
      <c r="AB1595" s="1">
        <v>7.2176516849999999</v>
      </c>
      <c r="AC1595" s="1">
        <v>7.6872396780000001</v>
      </c>
      <c r="AD1595" s="1">
        <v>7.7548157030000002</v>
      </c>
      <c r="AE1595" s="1">
        <v>7.4306440289999998</v>
      </c>
    </row>
    <row r="1596" spans="1:31" x14ac:dyDescent="0.25">
      <c r="A1596" s="1" t="s">
        <v>1097</v>
      </c>
      <c r="B1596" s="1" t="s">
        <v>2547</v>
      </c>
      <c r="C1596" s="1" t="s">
        <v>2622</v>
      </c>
      <c r="D1596" s="1" t="s">
        <v>2535</v>
      </c>
      <c r="E1596" s="1" t="s">
        <v>5054</v>
      </c>
      <c r="F1596" s="1" t="s">
        <v>5055</v>
      </c>
      <c r="G1596" s="1" t="s">
        <v>1097</v>
      </c>
      <c r="H1596" s="1">
        <v>6.6738400520000001</v>
      </c>
      <c r="I1596" s="1">
        <v>6.1195241339999997</v>
      </c>
      <c r="J1596" s="1">
        <v>6.5019279570000004</v>
      </c>
      <c r="K1596" s="1">
        <v>6.806859684</v>
      </c>
      <c r="L1596" s="1">
        <v>6.8193651099999997</v>
      </c>
      <c r="M1596" s="1">
        <v>6.8506223960000003</v>
      </c>
      <c r="N1596" s="1">
        <v>6.6363750030000004</v>
      </c>
      <c r="O1596" s="1">
        <v>6.6689049149999997</v>
      </c>
      <c r="P1596" s="1">
        <v>7.1077111620000002</v>
      </c>
      <c r="Q1596" s="1">
        <v>7.3629844279999999</v>
      </c>
      <c r="R1596" s="1">
        <v>6.7754359979999998</v>
      </c>
      <c r="S1596" s="1">
        <v>6.7791357530000003</v>
      </c>
      <c r="T1596" s="1">
        <v>6.8193651099999997</v>
      </c>
      <c r="U1596" s="1">
        <v>6.8506223960000003</v>
      </c>
      <c r="V1596" s="1">
        <v>6.433314288</v>
      </c>
      <c r="W1596" s="1">
        <v>6.6370070730000004</v>
      </c>
      <c r="X1596" s="1">
        <v>7.0730669339999999</v>
      </c>
      <c r="Y1596" s="1">
        <v>6.5267696659999999</v>
      </c>
      <c r="Z1596" s="1">
        <v>6.7754359979999998</v>
      </c>
      <c r="AA1596" s="1">
        <v>6.7791357530000003</v>
      </c>
      <c r="AB1596" s="1">
        <v>7.0294463739999999</v>
      </c>
      <c r="AC1596" s="1">
        <v>6.8589740600000004</v>
      </c>
      <c r="AD1596" s="1">
        <v>7.0733477520000001</v>
      </c>
      <c r="AE1596" s="1">
        <v>7.1379765209999997</v>
      </c>
    </row>
    <row r="1597" spans="1:31" x14ac:dyDescent="0.25">
      <c r="A1597" s="1" t="s">
        <v>1099</v>
      </c>
      <c r="B1597" s="1" t="s">
        <v>2547</v>
      </c>
      <c r="C1597" s="1" t="s">
        <v>3061</v>
      </c>
      <c r="D1597" s="1" t="s">
        <v>3788</v>
      </c>
      <c r="E1597" s="1" t="s">
        <v>5056</v>
      </c>
      <c r="F1597" s="1" t="s">
        <v>5057</v>
      </c>
      <c r="G1597" s="1" t="s">
        <v>1099</v>
      </c>
      <c r="H1597" s="1">
        <v>5.8141293449999996</v>
      </c>
      <c r="I1597" s="1">
        <v>5.7476087250000001</v>
      </c>
      <c r="J1597" s="1">
        <v>5.8869626679999998</v>
      </c>
      <c r="K1597" s="1">
        <v>6.0075713720000001</v>
      </c>
      <c r="L1597" s="1">
        <v>6.957483667</v>
      </c>
      <c r="M1597" s="1">
        <v>6.9116068830000001</v>
      </c>
      <c r="N1597" s="1">
        <v>6.4435100419999998</v>
      </c>
      <c r="O1597" s="1">
        <v>6.4052906920000003</v>
      </c>
      <c r="P1597" s="1">
        <v>6.2161300730000004</v>
      </c>
      <c r="Q1597" s="1">
        <v>5.8463140779999998</v>
      </c>
      <c r="R1597" s="1">
        <v>5.7142579380000003</v>
      </c>
      <c r="S1597" s="1">
        <v>6.3003852350000003</v>
      </c>
      <c r="T1597" s="1">
        <v>6.957483667</v>
      </c>
      <c r="U1597" s="1">
        <v>6.9116068830000001</v>
      </c>
      <c r="V1597" s="1">
        <v>5.8765220630000004</v>
      </c>
      <c r="W1597" s="1">
        <v>5.5634106699999997</v>
      </c>
      <c r="X1597" s="1">
        <v>6.5613315610000003</v>
      </c>
      <c r="Y1597" s="1">
        <v>5.8995743010000004</v>
      </c>
      <c r="Z1597" s="1">
        <v>5.7142579380000003</v>
      </c>
      <c r="AA1597" s="1">
        <v>6.3003852350000003</v>
      </c>
      <c r="AB1597" s="1">
        <v>6.0455186249999997</v>
      </c>
      <c r="AC1597" s="1">
        <v>6.2463288529999996</v>
      </c>
      <c r="AD1597" s="1">
        <v>5.8322684330000003</v>
      </c>
      <c r="AE1597" s="1">
        <v>6.3218298060000002</v>
      </c>
    </row>
    <row r="1598" spans="1:31" x14ac:dyDescent="0.25">
      <c r="A1598" s="1" t="s">
        <v>1100</v>
      </c>
      <c r="B1598" s="1" t="s">
        <v>2525</v>
      </c>
      <c r="C1598" s="1" t="s">
        <v>2971</v>
      </c>
      <c r="D1598" s="1" t="s">
        <v>3032</v>
      </c>
      <c r="E1598" s="1" t="s">
        <v>5058</v>
      </c>
      <c r="F1598" s="1" t="s">
        <v>5059</v>
      </c>
      <c r="G1598" s="1" t="s">
        <v>1100</v>
      </c>
      <c r="H1598" s="1">
        <v>4.7245801409999997</v>
      </c>
      <c r="I1598" s="1">
        <v>5.5873017430000003</v>
      </c>
      <c r="J1598" s="1">
        <v>5.1034438250000003</v>
      </c>
      <c r="K1598" s="1">
        <v>4.6734567340000002</v>
      </c>
      <c r="L1598" s="1">
        <v>5.082479009</v>
      </c>
      <c r="M1598" s="1">
        <v>5.2628748920000001</v>
      </c>
      <c r="N1598" s="1">
        <v>5.428348615</v>
      </c>
      <c r="O1598" s="1">
        <v>5.3864027800000001</v>
      </c>
      <c r="P1598" s="1">
        <v>4.6791060150000003</v>
      </c>
      <c r="Q1598" s="1">
        <v>5.2931690810000003</v>
      </c>
      <c r="R1598" s="1">
        <v>4.8118229140000004</v>
      </c>
      <c r="S1598" s="1">
        <v>5.1778667870000001</v>
      </c>
      <c r="T1598" s="1">
        <v>5.082479009</v>
      </c>
      <c r="U1598" s="1">
        <v>5.2628748920000001</v>
      </c>
      <c r="V1598" s="1">
        <v>5.5807524949999996</v>
      </c>
      <c r="W1598" s="1">
        <v>4.69862249</v>
      </c>
      <c r="X1598" s="1">
        <v>5.1646924079999996</v>
      </c>
      <c r="Y1598" s="1">
        <v>5.8677638710000002</v>
      </c>
      <c r="Z1598" s="1">
        <v>4.8118229140000004</v>
      </c>
      <c r="AA1598" s="1">
        <v>5.1778667870000001</v>
      </c>
      <c r="AB1598" s="1">
        <v>5.3028471579999996</v>
      </c>
      <c r="AC1598" s="1">
        <v>5.0638423939999999</v>
      </c>
      <c r="AD1598" s="1">
        <v>5.4385263000000004</v>
      </c>
      <c r="AE1598" s="1">
        <v>5.2252968339999999</v>
      </c>
    </row>
    <row r="1599" spans="1:31" x14ac:dyDescent="0.25">
      <c r="A1599" s="1" t="s">
        <v>1103</v>
      </c>
      <c r="B1599" s="1" t="s">
        <v>2525</v>
      </c>
      <c r="C1599" s="1" t="s">
        <v>2971</v>
      </c>
      <c r="D1599" s="1" t="s">
        <v>5060</v>
      </c>
      <c r="E1599" s="1" t="s">
        <v>5061</v>
      </c>
      <c r="F1599" s="1" t="s">
        <v>5062</v>
      </c>
      <c r="G1599" s="1" t="s">
        <v>1103</v>
      </c>
      <c r="H1599" s="1">
        <v>2.640460343</v>
      </c>
      <c r="I1599" s="1">
        <v>2.5655118899999998</v>
      </c>
      <c r="J1599" s="1">
        <v>4.2898244959999996</v>
      </c>
      <c r="K1599" s="1">
        <v>4.2434183680000004</v>
      </c>
      <c r="L1599" s="1">
        <v>4.4107687259999997</v>
      </c>
      <c r="M1599" s="1">
        <v>4.8607408789999997</v>
      </c>
      <c r="N1599" s="1">
        <v>3.23577855</v>
      </c>
      <c r="O1599" s="1">
        <v>2.6816282820000001</v>
      </c>
      <c r="P1599" s="1">
        <v>3.7419514989999998</v>
      </c>
      <c r="Q1599" s="1">
        <v>4.18747588</v>
      </c>
      <c r="R1599" s="1">
        <v>4.5333476509999997</v>
      </c>
      <c r="S1599" s="1">
        <v>4.5490843459999999</v>
      </c>
      <c r="T1599" s="1">
        <v>4.4107687259999997</v>
      </c>
      <c r="U1599" s="1">
        <v>4.8607408789999997</v>
      </c>
      <c r="V1599" s="1">
        <v>3.7819764450000002</v>
      </c>
      <c r="W1599" s="1">
        <v>4.69862249</v>
      </c>
      <c r="X1599" s="1">
        <v>4.3167291810000004</v>
      </c>
      <c r="Y1599" s="1">
        <v>4.1479647589999997</v>
      </c>
      <c r="Z1599" s="1">
        <v>4.5333476509999997</v>
      </c>
      <c r="AA1599" s="1">
        <v>4.5490843459999999</v>
      </c>
      <c r="AB1599" s="1">
        <v>3.990981031</v>
      </c>
      <c r="AC1599" s="1">
        <v>4.4881955270000002</v>
      </c>
      <c r="AD1599" s="1">
        <v>4.0967699450000001</v>
      </c>
      <c r="AE1599" s="1">
        <v>4.4595659249999997</v>
      </c>
    </row>
    <row r="1600" spans="1:31" x14ac:dyDescent="0.25">
      <c r="A1600" s="1" t="s">
        <v>1106</v>
      </c>
      <c r="B1600" s="1" t="s">
        <v>2530</v>
      </c>
      <c r="C1600" s="1" t="s">
        <v>2531</v>
      </c>
      <c r="D1600" s="1" t="s">
        <v>2535</v>
      </c>
      <c r="E1600" s="1" t="s">
        <v>2536</v>
      </c>
      <c r="G1600" s="1" t="s">
        <v>1106</v>
      </c>
      <c r="H1600" s="1">
        <v>3.2549621289999999</v>
      </c>
      <c r="I1600" s="1">
        <v>2.5655118899999998</v>
      </c>
      <c r="J1600" s="1">
        <v>3.6453331530000002</v>
      </c>
      <c r="K1600" s="1">
        <v>2.9677134359999999</v>
      </c>
      <c r="L1600" s="1">
        <v>4.7721586460000003</v>
      </c>
      <c r="M1600" s="1">
        <v>4.896083601</v>
      </c>
      <c r="N1600" s="1">
        <v>3.9164981490000002</v>
      </c>
      <c r="O1600" s="1">
        <v>3.3203005989999999</v>
      </c>
      <c r="P1600" s="1">
        <v>4.0684607960000001</v>
      </c>
      <c r="Q1600" s="1">
        <v>3.9718447549999998</v>
      </c>
      <c r="R1600" s="1">
        <v>4.2802026870000001</v>
      </c>
      <c r="S1600" s="1">
        <v>3.9182367880000002</v>
      </c>
      <c r="T1600" s="1">
        <v>4.7721586460000003</v>
      </c>
      <c r="U1600" s="1">
        <v>4.896083601</v>
      </c>
      <c r="V1600" s="1">
        <v>4.2408545169999998</v>
      </c>
      <c r="W1600" s="1">
        <v>3.9848641250000001</v>
      </c>
      <c r="X1600" s="1">
        <v>4.7192629950000002</v>
      </c>
      <c r="Y1600" s="1">
        <v>4.3509215530000001</v>
      </c>
      <c r="Z1600" s="1">
        <v>4.2802026870000001</v>
      </c>
      <c r="AA1600" s="1">
        <v>3.9182367880000002</v>
      </c>
      <c r="AB1600" s="1">
        <v>4.3946012420000002</v>
      </c>
      <c r="AC1600" s="1">
        <v>5.198889973</v>
      </c>
      <c r="AD1600" s="1">
        <v>4.0967699450000001</v>
      </c>
      <c r="AE1600" s="1">
        <v>4.0105905760000002</v>
      </c>
    </row>
    <row r="1601" spans="1:31" x14ac:dyDescent="0.25">
      <c r="A1601" s="1" t="s">
        <v>1107</v>
      </c>
      <c r="B1601" s="1" t="s">
        <v>2598</v>
      </c>
      <c r="C1601" s="1" t="s">
        <v>3183</v>
      </c>
      <c r="D1601" s="1" t="s">
        <v>3324</v>
      </c>
      <c r="E1601" s="1" t="s">
        <v>5063</v>
      </c>
      <c r="F1601" s="1" t="s">
        <v>5064</v>
      </c>
      <c r="G1601" s="1" t="s">
        <v>1107</v>
      </c>
      <c r="H1601" s="1">
        <v>3.2549621289999999</v>
      </c>
      <c r="I1601" s="1">
        <v>3.3322126910000001</v>
      </c>
      <c r="J1601" s="1">
        <v>4.7243317210000004</v>
      </c>
      <c r="K1601" s="1">
        <v>4.0244910950000001</v>
      </c>
      <c r="L1601" s="1">
        <v>6.579573914</v>
      </c>
      <c r="M1601" s="1">
        <v>6.4996506539999999</v>
      </c>
      <c r="N1601" s="1">
        <v>3.9806352139999999</v>
      </c>
      <c r="O1601" s="1">
        <v>3.6346882059999999</v>
      </c>
      <c r="P1601" s="1">
        <v>4.7972962780000001</v>
      </c>
      <c r="Q1601" s="1">
        <v>5.1511590549999999</v>
      </c>
      <c r="R1601" s="1">
        <v>5.8420803340000003</v>
      </c>
      <c r="S1601" s="1">
        <v>5.6453330910000004</v>
      </c>
      <c r="T1601" s="1">
        <v>6.579573914</v>
      </c>
      <c r="U1601" s="1">
        <v>6.4996506539999999</v>
      </c>
      <c r="V1601" s="1">
        <v>5.3546652259999998</v>
      </c>
      <c r="W1601" s="1">
        <v>5.4743148909999997</v>
      </c>
      <c r="X1601" s="1">
        <v>6.3441015869999999</v>
      </c>
      <c r="Y1601" s="1">
        <v>5.5443425189999997</v>
      </c>
      <c r="Z1601" s="1">
        <v>5.8420803340000003</v>
      </c>
      <c r="AA1601" s="1">
        <v>5.6453330910000004</v>
      </c>
      <c r="AB1601" s="1">
        <v>6.008835446</v>
      </c>
      <c r="AC1601" s="1">
        <v>5.8439382809999998</v>
      </c>
      <c r="AD1601" s="1">
        <v>5.7012900599999998</v>
      </c>
      <c r="AE1601" s="1">
        <v>5.5339175159999998</v>
      </c>
    </row>
    <row r="1602" spans="1:31" x14ac:dyDescent="0.25">
      <c r="A1602" s="1" t="s">
        <v>1112</v>
      </c>
      <c r="B1602" s="1" t="s">
        <v>2662</v>
      </c>
      <c r="C1602" s="1" t="s">
        <v>3291</v>
      </c>
      <c r="D1602" s="1" t="s">
        <v>5065</v>
      </c>
      <c r="E1602" s="1" t="s">
        <v>5066</v>
      </c>
      <c r="F1602" s="1" t="s">
        <v>5067</v>
      </c>
      <c r="G1602" s="1" t="s">
        <v>1112</v>
      </c>
      <c r="H1602" s="1">
        <v>8.1001087080000005</v>
      </c>
      <c r="I1602" s="1">
        <v>7.4819592080000001</v>
      </c>
      <c r="J1602" s="1">
        <v>7.581854527</v>
      </c>
      <c r="K1602" s="1">
        <v>7.2584585600000002</v>
      </c>
      <c r="L1602" s="1">
        <v>7.4516898989999998</v>
      </c>
      <c r="M1602" s="1">
        <v>7.5325785349999999</v>
      </c>
      <c r="N1602" s="1">
        <v>7.2713491330000002</v>
      </c>
      <c r="O1602" s="1">
        <v>7.2615137970000001</v>
      </c>
      <c r="P1602" s="1">
        <v>7.6310121779999998</v>
      </c>
      <c r="Q1602" s="1">
        <v>7.8623512399999997</v>
      </c>
      <c r="R1602" s="1">
        <v>7.7152652379999997</v>
      </c>
      <c r="S1602" s="1">
        <v>7.7510706950000001</v>
      </c>
      <c r="T1602" s="1">
        <v>7.4516898989999998</v>
      </c>
      <c r="U1602" s="1">
        <v>7.5325785349999999</v>
      </c>
      <c r="V1602" s="1">
        <v>8.0172067760000001</v>
      </c>
      <c r="W1602" s="1">
        <v>8.1067462179999996</v>
      </c>
      <c r="X1602" s="1">
        <v>8.3014067800000007</v>
      </c>
      <c r="Y1602" s="1">
        <v>8.2284348529999995</v>
      </c>
      <c r="Z1602" s="1">
        <v>7.7152652379999997</v>
      </c>
      <c r="AA1602" s="1">
        <v>7.7510706950000001</v>
      </c>
      <c r="AB1602" s="1">
        <v>8.0389150980000004</v>
      </c>
      <c r="AC1602" s="1">
        <v>8.1228649900000001</v>
      </c>
      <c r="AD1602" s="1">
        <v>8.4110639729999992</v>
      </c>
      <c r="AE1602" s="1">
        <v>8.2670933899999994</v>
      </c>
    </row>
    <row r="1603" spans="1:31" x14ac:dyDescent="0.25">
      <c r="A1603" s="1" t="s">
        <v>1115</v>
      </c>
      <c r="B1603" s="1" t="s">
        <v>2667</v>
      </c>
      <c r="C1603" s="1" t="s">
        <v>3370</v>
      </c>
      <c r="D1603" s="1" t="s">
        <v>3412</v>
      </c>
      <c r="E1603" s="1" t="s">
        <v>5068</v>
      </c>
      <c r="F1603" s="1" t="s">
        <v>5069</v>
      </c>
      <c r="G1603" s="1" t="s">
        <v>1115</v>
      </c>
      <c r="H1603" s="1">
        <v>4.8663747150000001</v>
      </c>
      <c r="I1603" s="1">
        <v>4.4542943209999999</v>
      </c>
      <c r="J1603" s="1">
        <v>5.7428701560000004</v>
      </c>
      <c r="K1603" s="1">
        <v>5.6482047069999997</v>
      </c>
      <c r="L1603" s="1">
        <v>7.4955260370000003</v>
      </c>
      <c r="M1603" s="1">
        <v>7.4644645829999998</v>
      </c>
      <c r="N1603" s="1">
        <v>4.8006971780000001</v>
      </c>
      <c r="O1603" s="1">
        <v>5.0400854920000002</v>
      </c>
      <c r="P1603" s="1">
        <v>6.2369105129999998</v>
      </c>
      <c r="Q1603" s="1">
        <v>6.459205753</v>
      </c>
      <c r="R1603" s="1">
        <v>6.6416582010000003</v>
      </c>
      <c r="S1603" s="1">
        <v>6.5507675829999998</v>
      </c>
      <c r="T1603" s="1">
        <v>7.4955260370000003</v>
      </c>
      <c r="U1603" s="1">
        <v>7.4644645829999998</v>
      </c>
      <c r="V1603" s="1">
        <v>7.0207244439999998</v>
      </c>
      <c r="W1603" s="1">
        <v>7.1478630409999999</v>
      </c>
      <c r="X1603" s="1">
        <v>7.2737719399999996</v>
      </c>
      <c r="Y1603" s="1">
        <v>6.680867428</v>
      </c>
      <c r="Z1603" s="1">
        <v>6.6416582010000003</v>
      </c>
      <c r="AA1603" s="1">
        <v>6.5507675829999998</v>
      </c>
      <c r="AB1603" s="1">
        <v>7.6207811940000001</v>
      </c>
      <c r="AC1603" s="1">
        <v>7.8520404419999998</v>
      </c>
      <c r="AD1603" s="1">
        <v>7.381214613</v>
      </c>
      <c r="AE1603" s="1">
        <v>7.1183737989999996</v>
      </c>
    </row>
    <row r="1604" spans="1:31" x14ac:dyDescent="0.25">
      <c r="A1604" s="1" t="s">
        <v>1116</v>
      </c>
      <c r="B1604" s="1" t="s">
        <v>2530</v>
      </c>
      <c r="C1604" s="1" t="s">
        <v>2531</v>
      </c>
      <c r="D1604" s="1" t="s">
        <v>2535</v>
      </c>
      <c r="E1604" s="1" t="s">
        <v>4148</v>
      </c>
      <c r="G1604" s="1" t="s">
        <v>1116</v>
      </c>
      <c r="H1604" s="1">
        <v>2.640460343</v>
      </c>
      <c r="I1604" s="1">
        <v>2.5655118899999998</v>
      </c>
      <c r="J1604" s="1">
        <v>2.8907526730000002</v>
      </c>
      <c r="K1604" s="1">
        <v>3.22334677</v>
      </c>
      <c r="L1604" s="1">
        <v>2.9964092330000001</v>
      </c>
      <c r="M1604" s="1">
        <v>3.027864058</v>
      </c>
      <c r="N1604" s="1">
        <v>3.344961128</v>
      </c>
      <c r="O1604" s="1">
        <v>2.6816282820000001</v>
      </c>
      <c r="P1604" s="1">
        <v>2.5478783159999998</v>
      </c>
      <c r="Q1604" s="1">
        <v>2.935765398</v>
      </c>
      <c r="R1604" s="1">
        <v>2.595728008</v>
      </c>
      <c r="S1604" s="1">
        <v>2.5733617299999998</v>
      </c>
      <c r="T1604" s="1">
        <v>2.9964092330000001</v>
      </c>
      <c r="U1604" s="1">
        <v>3.027864058</v>
      </c>
      <c r="V1604" s="1">
        <v>2.5140266200000001</v>
      </c>
      <c r="W1604" s="1">
        <v>3.9848641250000001</v>
      </c>
      <c r="X1604" s="1">
        <v>3.5039136989999999</v>
      </c>
      <c r="Y1604" s="1">
        <v>4.0337379980000003</v>
      </c>
      <c r="Z1604" s="1">
        <v>2.595728008</v>
      </c>
      <c r="AA1604" s="1">
        <v>2.5733617299999998</v>
      </c>
      <c r="AB1604" s="1">
        <v>3.6315729079999999</v>
      </c>
      <c r="AC1604" s="1">
        <v>3.7481372300000002</v>
      </c>
      <c r="AD1604" s="1">
        <v>3.3987395579999999</v>
      </c>
      <c r="AE1604" s="1">
        <v>4.124053773</v>
      </c>
    </row>
    <row r="1605" spans="1:31" x14ac:dyDescent="0.25">
      <c r="A1605" s="1" t="s">
        <v>1123</v>
      </c>
      <c r="B1605" s="1" t="s">
        <v>2530</v>
      </c>
      <c r="C1605" s="1" t="s">
        <v>2531</v>
      </c>
      <c r="D1605" s="1" t="s">
        <v>2535</v>
      </c>
      <c r="E1605" s="1" t="s">
        <v>2536</v>
      </c>
      <c r="G1605" s="1" t="s">
        <v>1123</v>
      </c>
      <c r="H1605" s="1">
        <v>2.9945681560000001</v>
      </c>
      <c r="I1605" s="1">
        <v>4.2936285989999998</v>
      </c>
      <c r="J1605" s="1">
        <v>2.8907526730000002</v>
      </c>
      <c r="K1605" s="1">
        <v>3.4309024589999999</v>
      </c>
      <c r="L1605" s="1">
        <v>3.6811173419999998</v>
      </c>
      <c r="M1605" s="1">
        <v>4.3473799800000004</v>
      </c>
      <c r="N1605" s="1">
        <v>3.344961128</v>
      </c>
      <c r="O1605" s="1">
        <v>3.050193165</v>
      </c>
      <c r="P1605" s="1">
        <v>3.7419514989999998</v>
      </c>
      <c r="Q1605" s="1">
        <v>2.935765398</v>
      </c>
      <c r="R1605" s="1">
        <v>2.9339002829999998</v>
      </c>
      <c r="S1605" s="1">
        <v>2.5733617299999998</v>
      </c>
      <c r="T1605" s="1">
        <v>3.6811173419999998</v>
      </c>
      <c r="U1605" s="1">
        <v>4.3473799800000004</v>
      </c>
      <c r="V1605" s="1">
        <v>3.5405335899999999</v>
      </c>
      <c r="W1605" s="1">
        <v>3.0218530750000001</v>
      </c>
      <c r="X1605" s="1">
        <v>3.0884111989999998</v>
      </c>
      <c r="Y1605" s="1">
        <v>2.624795792</v>
      </c>
      <c r="Z1605" s="1">
        <v>2.9339002829999998</v>
      </c>
      <c r="AA1605" s="1">
        <v>2.5733617299999998</v>
      </c>
      <c r="AB1605" s="1">
        <v>3.404153038</v>
      </c>
      <c r="AC1605" s="1">
        <v>2.5506926650000001</v>
      </c>
      <c r="AD1605" s="1">
        <v>1.7393328349999999</v>
      </c>
      <c r="AE1605" s="1">
        <v>3.213378847</v>
      </c>
    </row>
    <row r="1606" spans="1:31" x14ac:dyDescent="0.25">
      <c r="A1606" s="1" t="s">
        <v>1124</v>
      </c>
      <c r="B1606" s="1" t="s">
        <v>2539</v>
      </c>
      <c r="C1606" s="1" t="s">
        <v>2606</v>
      </c>
      <c r="D1606" s="1" t="s">
        <v>3536</v>
      </c>
      <c r="E1606" s="1" t="s">
        <v>3537</v>
      </c>
      <c r="G1606" s="1" t="s">
        <v>1124</v>
      </c>
      <c r="H1606" s="1">
        <v>4.8663747150000001</v>
      </c>
      <c r="I1606" s="1">
        <v>4.7893724280000001</v>
      </c>
      <c r="J1606" s="1">
        <v>4.2018709520000002</v>
      </c>
      <c r="K1606" s="1">
        <v>4.941717659</v>
      </c>
      <c r="L1606" s="1">
        <v>4.5190290319999997</v>
      </c>
      <c r="M1606" s="1">
        <v>5.029201552</v>
      </c>
      <c r="N1606" s="1">
        <v>5.0802595029999997</v>
      </c>
      <c r="O1606" s="1">
        <v>5.5323462069999998</v>
      </c>
      <c r="P1606" s="1">
        <v>4.8528499219999999</v>
      </c>
      <c r="Q1606" s="1">
        <v>3.9718447549999998</v>
      </c>
      <c r="R1606" s="1">
        <v>4.7472384160000001</v>
      </c>
      <c r="S1606" s="1">
        <v>4.6864044680000001</v>
      </c>
      <c r="T1606" s="1">
        <v>4.5190290319999997</v>
      </c>
      <c r="U1606" s="1">
        <v>5.029201552</v>
      </c>
      <c r="V1606" s="1">
        <v>4.5207607210000003</v>
      </c>
      <c r="W1606" s="1">
        <v>4.9190341039999996</v>
      </c>
      <c r="X1606" s="1">
        <v>5.0589726410000004</v>
      </c>
      <c r="Y1606" s="1">
        <v>4.7564010139999997</v>
      </c>
      <c r="Z1606" s="1">
        <v>4.7472384160000001</v>
      </c>
      <c r="AA1606" s="1">
        <v>4.6864044680000001</v>
      </c>
      <c r="AB1606" s="1">
        <v>4.6096720080000004</v>
      </c>
      <c r="AC1606" s="1">
        <v>4.5576875899999996</v>
      </c>
      <c r="AD1606" s="1">
        <v>5.2633210659999996</v>
      </c>
      <c r="AE1606" s="1">
        <v>4.9843711490000002</v>
      </c>
    </row>
    <row r="1607" spans="1:31" x14ac:dyDescent="0.25">
      <c r="A1607" s="1" t="s">
        <v>1127</v>
      </c>
      <c r="B1607" s="1" t="s">
        <v>2530</v>
      </c>
      <c r="C1607" s="1" t="s">
        <v>2531</v>
      </c>
      <c r="D1607" s="1" t="s">
        <v>2535</v>
      </c>
      <c r="E1607" s="1" t="s">
        <v>2536</v>
      </c>
      <c r="G1607" s="1" t="s">
        <v>1127</v>
      </c>
      <c r="H1607" s="1">
        <v>6.1242673779999999</v>
      </c>
      <c r="I1607" s="1">
        <v>5.6856247609999997</v>
      </c>
      <c r="J1607" s="1">
        <v>5.7428701560000004</v>
      </c>
      <c r="K1607" s="1">
        <v>6.091743707</v>
      </c>
      <c r="L1607" s="1">
        <v>5.1724144110000001</v>
      </c>
      <c r="M1607" s="1">
        <v>5.0606078119999998</v>
      </c>
      <c r="N1607" s="1">
        <v>5.1623684499999998</v>
      </c>
      <c r="O1607" s="1">
        <v>5.5552821830000001</v>
      </c>
      <c r="P1607" s="1">
        <v>5.1467681949999999</v>
      </c>
      <c r="Q1607" s="1">
        <v>5.2473923969999996</v>
      </c>
      <c r="R1607" s="1">
        <v>5.3764768539999999</v>
      </c>
      <c r="S1607" s="1">
        <v>5.6453330910000004</v>
      </c>
      <c r="T1607" s="1">
        <v>5.1724144110000001</v>
      </c>
      <c r="U1607" s="1">
        <v>5.0606078119999998</v>
      </c>
      <c r="V1607" s="1">
        <v>5.9006116210000004</v>
      </c>
      <c r="W1607" s="1">
        <v>5.7645115660000004</v>
      </c>
      <c r="X1607" s="1">
        <v>5.8725355390000002</v>
      </c>
      <c r="Y1607" s="1">
        <v>6.3769095809999996</v>
      </c>
      <c r="Z1607" s="1">
        <v>5.3764768539999999</v>
      </c>
      <c r="AA1607" s="1">
        <v>5.6453330910000004</v>
      </c>
      <c r="AB1607" s="1">
        <v>6.0455186249999997</v>
      </c>
      <c r="AC1607" s="1">
        <v>5.7595305120000004</v>
      </c>
      <c r="AD1607" s="1">
        <v>6.284744441</v>
      </c>
      <c r="AE1607" s="1">
        <v>5.9145294059999998</v>
      </c>
    </row>
    <row r="1608" spans="1:31" x14ac:dyDescent="0.25">
      <c r="A1608" s="1" t="s">
        <v>1128</v>
      </c>
      <c r="B1608" s="1" t="s">
        <v>2520</v>
      </c>
      <c r="C1608" s="1" t="s">
        <v>2646</v>
      </c>
      <c r="D1608" s="1" t="s">
        <v>2535</v>
      </c>
      <c r="E1608" s="1" t="s">
        <v>5070</v>
      </c>
      <c r="F1608" s="1" t="s">
        <v>5071</v>
      </c>
      <c r="G1608" s="1" t="s">
        <v>1128</v>
      </c>
      <c r="H1608" s="1">
        <v>6.7298351800000002</v>
      </c>
      <c r="I1608" s="1">
        <v>6.295503557</v>
      </c>
      <c r="J1608" s="1">
        <v>6.9576180770000002</v>
      </c>
      <c r="K1608" s="1">
        <v>6.8557452210000003</v>
      </c>
      <c r="L1608" s="1">
        <v>6.1777105819999996</v>
      </c>
      <c r="M1608" s="1">
        <v>6.3936335379999996</v>
      </c>
      <c r="N1608" s="1">
        <v>6.1425317259999996</v>
      </c>
      <c r="O1608" s="1">
        <v>5.9154339690000004</v>
      </c>
      <c r="P1608" s="1">
        <v>6.6927797440000001</v>
      </c>
      <c r="Q1608" s="1">
        <v>6.5178682329999997</v>
      </c>
      <c r="R1608" s="1">
        <v>7.050768648</v>
      </c>
      <c r="S1608" s="1">
        <v>6.6531047939999999</v>
      </c>
      <c r="T1608" s="1">
        <v>6.1777105819999996</v>
      </c>
      <c r="U1608" s="1">
        <v>6.3936335379999996</v>
      </c>
      <c r="V1608" s="1">
        <v>6.9418646219999998</v>
      </c>
      <c r="W1608" s="1">
        <v>6.9317187499999999</v>
      </c>
      <c r="X1608" s="1">
        <v>6.6085543170000003</v>
      </c>
      <c r="Y1608" s="1">
        <v>6.8365428660000003</v>
      </c>
      <c r="Z1608" s="1">
        <v>7.050768648</v>
      </c>
      <c r="AA1608" s="1">
        <v>6.6531047939999999</v>
      </c>
      <c r="AB1608" s="1">
        <v>7.1351367960000003</v>
      </c>
      <c r="AC1608" s="1">
        <v>6.7321847869999996</v>
      </c>
      <c r="AD1608" s="1">
        <v>6.9202883980000003</v>
      </c>
      <c r="AE1608" s="1">
        <v>6.8358165529999999</v>
      </c>
    </row>
    <row r="1609" spans="1:31" x14ac:dyDescent="0.25">
      <c r="A1609" s="1" t="s">
        <v>1129</v>
      </c>
      <c r="B1609" s="1" t="s">
        <v>2598</v>
      </c>
      <c r="C1609" s="1" t="s">
        <v>2603</v>
      </c>
      <c r="D1609" s="1" t="s">
        <v>3187</v>
      </c>
      <c r="E1609" s="1" t="s">
        <v>5072</v>
      </c>
      <c r="F1609" s="1" t="s">
        <v>5073</v>
      </c>
      <c r="G1609" s="1" t="s">
        <v>1129</v>
      </c>
      <c r="H1609" s="1">
        <v>5.5896774330000003</v>
      </c>
      <c r="I1609" s="1">
        <v>5.6535958219999998</v>
      </c>
      <c r="J1609" s="1">
        <v>5.4400990890000003</v>
      </c>
      <c r="K1609" s="1">
        <v>5.7554847420000002</v>
      </c>
      <c r="L1609" s="1">
        <v>5.58546151</v>
      </c>
      <c r="M1609" s="1">
        <v>5.8324912810000002</v>
      </c>
      <c r="N1609" s="1">
        <v>5.7612691810000003</v>
      </c>
      <c r="O1609" s="1">
        <v>5.7859173799999999</v>
      </c>
      <c r="P1609" s="1">
        <v>5.9144375350000002</v>
      </c>
      <c r="Q1609" s="1">
        <v>5.9062084209999997</v>
      </c>
      <c r="R1609" s="1">
        <v>5.7472990829999997</v>
      </c>
      <c r="S1609" s="1">
        <v>6.0227453090000003</v>
      </c>
      <c r="T1609" s="1">
        <v>5.58546151</v>
      </c>
      <c r="U1609" s="1">
        <v>5.8324912810000002</v>
      </c>
      <c r="V1609" s="1">
        <v>5.5807524949999996</v>
      </c>
      <c r="W1609" s="1">
        <v>5.9072448660000001</v>
      </c>
      <c r="X1609" s="1">
        <v>5.7427722369999996</v>
      </c>
      <c r="Y1609" s="1">
        <v>6.0488320509999998</v>
      </c>
      <c r="Z1609" s="1">
        <v>5.7472990829999997</v>
      </c>
      <c r="AA1609" s="1">
        <v>6.0227453090000003</v>
      </c>
      <c r="AB1609" s="1">
        <v>5.3028471579999996</v>
      </c>
      <c r="AC1609" s="1">
        <v>5.3610280289999999</v>
      </c>
      <c r="AD1609" s="1">
        <v>5.893524276</v>
      </c>
      <c r="AE1609" s="1">
        <v>5.7020211359999999</v>
      </c>
    </row>
    <row r="1610" spans="1:31" x14ac:dyDescent="0.25">
      <c r="A1610" s="1" t="s">
        <v>1139</v>
      </c>
      <c r="B1610" s="1" t="s">
        <v>2642</v>
      </c>
      <c r="C1610" s="1" t="s">
        <v>2643</v>
      </c>
      <c r="D1610" s="1" t="s">
        <v>2687</v>
      </c>
      <c r="E1610" s="1" t="s">
        <v>2688</v>
      </c>
      <c r="F1610" s="1" t="s">
        <v>2689</v>
      </c>
      <c r="G1610" s="1" t="s">
        <v>1139</v>
      </c>
      <c r="H1610" s="1">
        <v>2.9945681560000001</v>
      </c>
      <c r="I1610" s="1">
        <v>3.6484415459999999</v>
      </c>
      <c r="J1610" s="1">
        <v>3.4977151119999998</v>
      </c>
      <c r="K1610" s="1">
        <v>3.762021974</v>
      </c>
      <c r="L1610" s="1">
        <v>4.1645832880000002</v>
      </c>
      <c r="M1610" s="1">
        <v>4.2945656129999996</v>
      </c>
      <c r="N1610" s="1">
        <v>2.628425199</v>
      </c>
      <c r="O1610" s="1">
        <v>3.050193165</v>
      </c>
      <c r="P1610" s="1">
        <v>4.0684607960000001</v>
      </c>
      <c r="Q1610" s="1">
        <v>3.9718447549999998</v>
      </c>
      <c r="R1610" s="1">
        <v>1.7393328349999999</v>
      </c>
      <c r="S1610" s="1">
        <v>3.1475403900000001</v>
      </c>
      <c r="T1610" s="1">
        <v>4.1645832880000002</v>
      </c>
      <c r="U1610" s="1">
        <v>4.2945656129999996</v>
      </c>
      <c r="V1610" s="1">
        <v>3.3993802240000002</v>
      </c>
      <c r="W1610" s="1">
        <v>3.2870366010000001</v>
      </c>
      <c r="X1610" s="1">
        <v>3.5039136989999999</v>
      </c>
      <c r="Y1610" s="1">
        <v>3.229986142</v>
      </c>
      <c r="Z1610" s="1">
        <v>1.7393328349999999</v>
      </c>
      <c r="AA1610" s="1">
        <v>3.1475403900000001</v>
      </c>
      <c r="AB1610" s="1">
        <v>3.990981031</v>
      </c>
      <c r="AC1610" s="1">
        <v>3.1109927919999998</v>
      </c>
      <c r="AD1610" s="1">
        <v>3.725077481</v>
      </c>
      <c r="AE1610" s="1">
        <v>3.8864783150000002</v>
      </c>
    </row>
    <row r="1611" spans="1:31" x14ac:dyDescent="0.25">
      <c r="A1611" s="1" t="s">
        <v>1141</v>
      </c>
      <c r="B1611" s="1" t="s">
        <v>2642</v>
      </c>
      <c r="C1611" s="1" t="s">
        <v>2643</v>
      </c>
      <c r="D1611" s="1" t="s">
        <v>2687</v>
      </c>
      <c r="E1611" s="1" t="s">
        <v>3726</v>
      </c>
      <c r="F1611" s="1" t="s">
        <v>3727</v>
      </c>
      <c r="G1611" s="1" t="s">
        <v>1141</v>
      </c>
      <c r="H1611" s="1">
        <v>1.7393328349999999</v>
      </c>
      <c r="I1611" s="1">
        <v>1.7393328349999999</v>
      </c>
      <c r="J1611" s="1">
        <v>1.7393328349999999</v>
      </c>
      <c r="K1611" s="1">
        <v>1.7393328349999999</v>
      </c>
      <c r="L1611" s="1">
        <v>2.315629231</v>
      </c>
      <c r="M1611" s="1">
        <v>2.665084539</v>
      </c>
      <c r="N1611" s="1">
        <v>1.7393328349999999</v>
      </c>
      <c r="O1611" s="1">
        <v>1.7393328349999999</v>
      </c>
      <c r="P1611" s="1">
        <v>1.7393328349999999</v>
      </c>
      <c r="Q1611" s="1">
        <v>1.7393328349999999</v>
      </c>
      <c r="R1611" s="1">
        <v>1.7393328349999999</v>
      </c>
      <c r="S1611" s="1">
        <v>1.7393328349999999</v>
      </c>
      <c r="T1611" s="1">
        <v>2.315629231</v>
      </c>
      <c r="U1611" s="1">
        <v>2.665084539</v>
      </c>
      <c r="V1611" s="1">
        <v>2.5140266200000001</v>
      </c>
      <c r="W1611" s="1">
        <v>1.7393328349999999</v>
      </c>
      <c r="X1611" s="1">
        <v>1.7393328349999999</v>
      </c>
      <c r="Y1611" s="1">
        <v>2.624795792</v>
      </c>
      <c r="Z1611" s="1">
        <v>1.7393328349999999</v>
      </c>
      <c r="AA1611" s="1">
        <v>1.7393328349999999</v>
      </c>
      <c r="AB1611" s="1">
        <v>1.7393328349999999</v>
      </c>
      <c r="AC1611" s="1">
        <v>1.7393328349999999</v>
      </c>
      <c r="AD1611" s="1">
        <v>1.7393328349999999</v>
      </c>
      <c r="AE1611" s="1">
        <v>1.7393328349999999</v>
      </c>
    </row>
    <row r="1612" spans="1:31" x14ac:dyDescent="0.25">
      <c r="A1612" s="1" t="s">
        <v>1144</v>
      </c>
      <c r="B1612" s="1" t="s">
        <v>2642</v>
      </c>
      <c r="C1612" s="1" t="s">
        <v>2643</v>
      </c>
      <c r="D1612" s="1" t="s">
        <v>2644</v>
      </c>
      <c r="E1612" s="1" t="s">
        <v>2645</v>
      </c>
      <c r="G1612" s="1" t="s">
        <v>1144</v>
      </c>
      <c r="H1612" s="1">
        <v>3.4660955969999998</v>
      </c>
      <c r="I1612" s="1">
        <v>3.9003964459999998</v>
      </c>
      <c r="J1612" s="1">
        <v>3.1324899180000001</v>
      </c>
      <c r="K1612" s="1">
        <v>3.22334677</v>
      </c>
      <c r="L1612" s="1">
        <v>3.1084154310000001</v>
      </c>
      <c r="M1612" s="1">
        <v>3.8521266660000002</v>
      </c>
      <c r="N1612" s="1">
        <v>3.23577855</v>
      </c>
      <c r="O1612" s="1">
        <v>3.193511794</v>
      </c>
      <c r="P1612" s="1">
        <v>3.466113682</v>
      </c>
      <c r="Q1612" s="1">
        <v>2.935765398</v>
      </c>
      <c r="R1612" s="1">
        <v>3.386455024</v>
      </c>
      <c r="S1612" s="1">
        <v>3.1475403900000001</v>
      </c>
      <c r="T1612" s="1">
        <v>3.1084154310000001</v>
      </c>
      <c r="U1612" s="1">
        <v>3.8521266660000002</v>
      </c>
      <c r="V1612" s="1">
        <v>3.5405335899999999</v>
      </c>
      <c r="W1612" s="1">
        <v>3.50175473</v>
      </c>
      <c r="X1612" s="1">
        <v>2.7988456519999998</v>
      </c>
      <c r="Y1612" s="1">
        <v>2.624795792</v>
      </c>
      <c r="Z1612" s="1">
        <v>3.386455024</v>
      </c>
      <c r="AA1612" s="1">
        <v>3.1475403900000001</v>
      </c>
      <c r="AB1612" s="1">
        <v>3.404153038</v>
      </c>
      <c r="AC1612" s="1">
        <v>3.1109927919999998</v>
      </c>
      <c r="AD1612" s="1">
        <v>2.9432342459999998</v>
      </c>
      <c r="AE1612" s="1">
        <v>3.213378847</v>
      </c>
    </row>
    <row r="1613" spans="1:31" x14ac:dyDescent="0.25">
      <c r="A1613" s="1" t="s">
        <v>1145</v>
      </c>
      <c r="B1613" s="1" t="s">
        <v>2547</v>
      </c>
      <c r="C1613" s="1" t="s">
        <v>2789</v>
      </c>
      <c r="D1613" s="1" t="s">
        <v>5074</v>
      </c>
      <c r="E1613" s="1" t="s">
        <v>5075</v>
      </c>
      <c r="F1613" s="1" t="s">
        <v>5076</v>
      </c>
      <c r="G1613" s="1" t="s">
        <v>1145</v>
      </c>
      <c r="H1613" s="1">
        <v>6.3073323200000004</v>
      </c>
      <c r="I1613" s="1">
        <v>6.1195241339999997</v>
      </c>
      <c r="J1613" s="1">
        <v>9.6159008210000003</v>
      </c>
      <c r="K1613" s="1">
        <v>9.2512494870000008</v>
      </c>
      <c r="L1613" s="1">
        <v>9.544665363</v>
      </c>
      <c r="M1613" s="1">
        <v>9.6913812979999996</v>
      </c>
      <c r="N1613" s="1">
        <v>5.3135718379999997</v>
      </c>
      <c r="O1613" s="1">
        <v>5.1947693419999998</v>
      </c>
      <c r="P1613" s="1">
        <v>9.1346824850000008</v>
      </c>
      <c r="Q1613" s="1">
        <v>9.0774581419999993</v>
      </c>
      <c r="R1613" s="1">
        <v>9.7953936400000003</v>
      </c>
      <c r="S1613" s="1">
        <v>9.7056226690000003</v>
      </c>
      <c r="T1613" s="1">
        <v>9.544665363</v>
      </c>
      <c r="U1613" s="1">
        <v>9.6913812979999996</v>
      </c>
      <c r="V1613" s="1">
        <v>8.9361519969999996</v>
      </c>
      <c r="W1613" s="1">
        <v>8.7360076099999997</v>
      </c>
      <c r="X1613" s="1">
        <v>8.9255029780000008</v>
      </c>
      <c r="Y1613" s="1">
        <v>8.4587494490000008</v>
      </c>
      <c r="Z1613" s="1">
        <v>9.7953936400000003</v>
      </c>
      <c r="AA1613" s="1">
        <v>9.7056226690000003</v>
      </c>
      <c r="AB1613" s="1">
        <v>9.1813588209999999</v>
      </c>
      <c r="AC1613" s="1">
        <v>9.1695055540000006</v>
      </c>
      <c r="AD1613" s="1">
        <v>8.7533371760000005</v>
      </c>
      <c r="AE1613" s="1">
        <v>8.5269408529999993</v>
      </c>
    </row>
    <row r="1614" spans="1:31" x14ac:dyDescent="0.25">
      <c r="A1614" s="1" t="s">
        <v>1146</v>
      </c>
      <c r="B1614" s="1" t="s">
        <v>2547</v>
      </c>
      <c r="C1614" s="1" t="s">
        <v>2789</v>
      </c>
      <c r="D1614" s="1" t="s">
        <v>5074</v>
      </c>
      <c r="E1614" s="1" t="s">
        <v>5077</v>
      </c>
      <c r="F1614" s="1" t="s">
        <v>5078</v>
      </c>
      <c r="G1614" s="1" t="s">
        <v>1146</v>
      </c>
      <c r="H1614" s="1">
        <v>6.765990908</v>
      </c>
      <c r="I1614" s="1">
        <v>6.2102063709999999</v>
      </c>
      <c r="J1614" s="1">
        <v>8.2729352840000008</v>
      </c>
      <c r="K1614" s="1">
        <v>8.1443964159999993</v>
      </c>
      <c r="L1614" s="1">
        <v>7.5834595389999997</v>
      </c>
      <c r="M1614" s="1">
        <v>8.0215758729999997</v>
      </c>
      <c r="N1614" s="1">
        <v>5.878624276</v>
      </c>
      <c r="O1614" s="1">
        <v>5.5323462069999998</v>
      </c>
      <c r="P1614" s="1">
        <v>8.0379721370000006</v>
      </c>
      <c r="Q1614" s="1">
        <v>8.0527146510000005</v>
      </c>
      <c r="R1614" s="1">
        <v>8.0871688830000004</v>
      </c>
      <c r="S1614" s="1">
        <v>8.1742658000000006</v>
      </c>
      <c r="T1614" s="1">
        <v>7.5834595389999997</v>
      </c>
      <c r="U1614" s="1">
        <v>8.0215758729999997</v>
      </c>
      <c r="V1614" s="1">
        <v>7.6287821759999996</v>
      </c>
      <c r="W1614" s="1">
        <v>7.7104475739999998</v>
      </c>
      <c r="X1614" s="1">
        <v>7.6253288799999996</v>
      </c>
      <c r="Y1614" s="1">
        <v>7.2350386169999998</v>
      </c>
      <c r="Z1614" s="1">
        <v>8.0871688830000004</v>
      </c>
      <c r="AA1614" s="1">
        <v>8.1742658000000006</v>
      </c>
      <c r="AB1614" s="1">
        <v>7.4808081590000004</v>
      </c>
      <c r="AC1614" s="1">
        <v>7.8452535159999996</v>
      </c>
      <c r="AD1614" s="1">
        <v>7.4640815209999998</v>
      </c>
      <c r="AE1614" s="1">
        <v>7.6466999219999998</v>
      </c>
    </row>
    <row r="1615" spans="1:31" x14ac:dyDescent="0.25">
      <c r="A1615" s="1" t="s">
        <v>1147</v>
      </c>
      <c r="B1615" s="1" t="s">
        <v>2547</v>
      </c>
      <c r="C1615" s="1" t="s">
        <v>2789</v>
      </c>
      <c r="D1615" s="1" t="s">
        <v>5074</v>
      </c>
      <c r="E1615" s="1" t="s">
        <v>5079</v>
      </c>
      <c r="F1615" s="1" t="s">
        <v>5080</v>
      </c>
      <c r="G1615" s="1" t="s">
        <v>1147</v>
      </c>
      <c r="H1615" s="1">
        <v>7.5668836659999998</v>
      </c>
      <c r="I1615" s="1">
        <v>6.9756704020000004</v>
      </c>
      <c r="J1615" s="1">
        <v>7.3634599100000004</v>
      </c>
      <c r="K1615" s="1">
        <v>7.9177698919999999</v>
      </c>
      <c r="L1615" s="1">
        <v>7.4825145790000001</v>
      </c>
      <c r="M1615" s="1">
        <v>7.4644645829999998</v>
      </c>
      <c r="N1615" s="1">
        <v>6.5380945400000003</v>
      </c>
      <c r="O1615" s="1">
        <v>6.173773679</v>
      </c>
      <c r="P1615" s="1">
        <v>7.4384695250000004</v>
      </c>
      <c r="Q1615" s="1">
        <v>7.2637368679999996</v>
      </c>
      <c r="R1615" s="1">
        <v>7.5003648319999998</v>
      </c>
      <c r="S1615" s="1">
        <v>7.579919909</v>
      </c>
      <c r="T1615" s="1">
        <v>7.4825145790000001</v>
      </c>
      <c r="U1615" s="1">
        <v>7.4644645829999998</v>
      </c>
      <c r="V1615" s="1">
        <v>6.8947846659999996</v>
      </c>
      <c r="W1615" s="1">
        <v>7.0126858380000003</v>
      </c>
      <c r="X1615" s="1">
        <v>7.1516427269999996</v>
      </c>
      <c r="Y1615" s="1">
        <v>6.5062933870000004</v>
      </c>
      <c r="Z1615" s="1">
        <v>7.5003648319999998</v>
      </c>
      <c r="AA1615" s="1">
        <v>7.579919909</v>
      </c>
      <c r="AB1615" s="1">
        <v>6.9153848929999997</v>
      </c>
      <c r="AC1615" s="1">
        <v>7.1835961460000002</v>
      </c>
      <c r="AD1615" s="1">
        <v>6.875559473</v>
      </c>
      <c r="AE1615" s="1">
        <v>7.1314718639999999</v>
      </c>
    </row>
    <row r="1616" spans="1:31" x14ac:dyDescent="0.25">
      <c r="A1616" s="1" t="s">
        <v>1148</v>
      </c>
      <c r="B1616" s="1" t="s">
        <v>2547</v>
      </c>
      <c r="C1616" s="1" t="s">
        <v>2789</v>
      </c>
      <c r="D1616" s="1" t="s">
        <v>5074</v>
      </c>
      <c r="E1616" s="1" t="s">
        <v>5081</v>
      </c>
      <c r="F1616" s="1" t="s">
        <v>5082</v>
      </c>
      <c r="G1616" s="1" t="s">
        <v>1148</v>
      </c>
      <c r="H1616" s="1">
        <v>6.4914637309999996</v>
      </c>
      <c r="I1616" s="1">
        <v>6.4146507100000001</v>
      </c>
      <c r="J1616" s="1">
        <v>6.6382173169999996</v>
      </c>
      <c r="K1616" s="1">
        <v>6.9030258440000001</v>
      </c>
      <c r="L1616" s="1">
        <v>6.8467147739999996</v>
      </c>
      <c r="M1616" s="1">
        <v>6.6808079219999996</v>
      </c>
      <c r="N1616" s="1">
        <v>6.1558623460000002</v>
      </c>
      <c r="O1616" s="1">
        <v>5.9503866380000003</v>
      </c>
      <c r="P1616" s="1">
        <v>6.4653336469999996</v>
      </c>
      <c r="Q1616" s="1">
        <v>6.1730784669999998</v>
      </c>
      <c r="R1616" s="1">
        <v>6.6416582010000003</v>
      </c>
      <c r="S1616" s="1">
        <v>6.5149715439999998</v>
      </c>
      <c r="T1616" s="1">
        <v>6.8467147739999996</v>
      </c>
      <c r="U1616" s="1">
        <v>6.6808079219999996</v>
      </c>
      <c r="V1616" s="1">
        <v>5.8270932010000003</v>
      </c>
      <c r="W1616" s="1">
        <v>5.9072448660000001</v>
      </c>
      <c r="X1616" s="1">
        <v>6.1533217709999999</v>
      </c>
      <c r="Y1616" s="1">
        <v>6.1840201749999997</v>
      </c>
      <c r="Z1616" s="1">
        <v>6.6416582010000003</v>
      </c>
      <c r="AA1616" s="1">
        <v>6.5149715439999998</v>
      </c>
      <c r="AB1616" s="1">
        <v>6.1161870470000004</v>
      </c>
      <c r="AC1616" s="1">
        <v>6.3266154559999999</v>
      </c>
      <c r="AD1616" s="1">
        <v>5.980763981</v>
      </c>
      <c r="AE1616" s="1">
        <v>5.6663356680000003</v>
      </c>
    </row>
    <row r="1617" spans="1:31" x14ac:dyDescent="0.25">
      <c r="A1617" s="1" t="s">
        <v>1149</v>
      </c>
      <c r="B1617" s="1" t="s">
        <v>2547</v>
      </c>
      <c r="C1617" s="1" t="s">
        <v>2789</v>
      </c>
      <c r="D1617" s="1" t="s">
        <v>5074</v>
      </c>
      <c r="E1617" s="1" t="s">
        <v>5083</v>
      </c>
      <c r="F1617" s="1" t="s">
        <v>5084</v>
      </c>
      <c r="G1617" s="1" t="s">
        <v>1149</v>
      </c>
      <c r="H1617" s="1">
        <v>6.5340358859999998</v>
      </c>
      <c r="I1617" s="1">
        <v>6.4146507100000001</v>
      </c>
      <c r="J1617" s="1">
        <v>6.6053357520000002</v>
      </c>
      <c r="K1617" s="1">
        <v>6.3412685260000003</v>
      </c>
      <c r="L1617" s="1">
        <v>6.571396998</v>
      </c>
      <c r="M1617" s="1">
        <v>6.6298516919999999</v>
      </c>
      <c r="N1617" s="1">
        <v>6.6268435070000002</v>
      </c>
      <c r="O1617" s="1">
        <v>6.5601688740000004</v>
      </c>
      <c r="P1617" s="1">
        <v>6.429694821</v>
      </c>
      <c r="Q1617" s="1">
        <v>6.3770715449999997</v>
      </c>
      <c r="R1617" s="1">
        <v>6.7267142719999997</v>
      </c>
      <c r="S1617" s="1">
        <v>6.1213765840000001</v>
      </c>
      <c r="T1617" s="1">
        <v>6.571396998</v>
      </c>
      <c r="U1617" s="1">
        <v>6.6298516919999999</v>
      </c>
      <c r="V1617" s="1">
        <v>6.1419042490000004</v>
      </c>
      <c r="W1617" s="1">
        <v>6.2922055309999996</v>
      </c>
      <c r="X1617" s="1">
        <v>5.8879598250000003</v>
      </c>
      <c r="Y1617" s="1">
        <v>5.8352313850000002</v>
      </c>
      <c r="Z1617" s="1">
        <v>6.7267142719999997</v>
      </c>
      <c r="AA1617" s="1">
        <v>6.1213765840000001</v>
      </c>
      <c r="AB1617" s="1">
        <v>6.3971449009999999</v>
      </c>
      <c r="AC1617" s="1">
        <v>6.1830263060000004</v>
      </c>
      <c r="AD1617" s="1">
        <v>5.980763981</v>
      </c>
      <c r="AE1617" s="1">
        <v>5.7368382310000001</v>
      </c>
    </row>
    <row r="1618" spans="1:31" x14ac:dyDescent="0.25">
      <c r="A1618" s="1" t="s">
        <v>1152</v>
      </c>
      <c r="B1618" s="1" t="s">
        <v>2642</v>
      </c>
      <c r="C1618" s="1" t="s">
        <v>2643</v>
      </c>
      <c r="D1618" s="1" t="s">
        <v>2687</v>
      </c>
      <c r="E1618" s="1" t="s">
        <v>3094</v>
      </c>
      <c r="F1618" s="1" t="s">
        <v>3095</v>
      </c>
      <c r="G1618" s="1" t="s">
        <v>1152</v>
      </c>
      <c r="H1618" s="1">
        <v>4.6479005740000003</v>
      </c>
      <c r="I1618" s="1">
        <v>4.8477128089999999</v>
      </c>
      <c r="J1618" s="1">
        <v>2.8907526730000002</v>
      </c>
      <c r="K1618" s="1">
        <v>3.8998480660000001</v>
      </c>
      <c r="L1618" s="1">
        <v>3.2097511390000002</v>
      </c>
      <c r="M1618" s="1">
        <v>3.027864058</v>
      </c>
      <c r="N1618" s="1">
        <v>4.3116130799999999</v>
      </c>
      <c r="O1618" s="1">
        <v>4.7507950320000001</v>
      </c>
      <c r="P1618" s="1">
        <v>3.3003929539999999</v>
      </c>
      <c r="Q1618" s="1">
        <v>2.935765398</v>
      </c>
      <c r="R1618" s="1">
        <v>1.7393328349999999</v>
      </c>
      <c r="S1618" s="1">
        <v>3.1475403900000001</v>
      </c>
      <c r="T1618" s="1">
        <v>3.2097511390000002</v>
      </c>
      <c r="U1618" s="1">
        <v>3.027864058</v>
      </c>
      <c r="V1618" s="1">
        <v>2.8225047829999999</v>
      </c>
      <c r="W1618" s="1">
        <v>3.6840067150000002</v>
      </c>
      <c r="X1618" s="1">
        <v>2.3600830049999999</v>
      </c>
      <c r="Y1618" s="1">
        <v>3.4382968329999999</v>
      </c>
      <c r="Z1618" s="1">
        <v>1.7393328349999999</v>
      </c>
      <c r="AA1618" s="1">
        <v>3.1475403900000001</v>
      </c>
      <c r="AB1618" s="1">
        <v>3.404153038</v>
      </c>
      <c r="AC1618" s="1">
        <v>3.3054795530000001</v>
      </c>
      <c r="AD1618" s="1">
        <v>3.1944880649999998</v>
      </c>
      <c r="AE1618" s="1">
        <v>3.7492737119999999</v>
      </c>
    </row>
    <row r="1619" spans="1:31" x14ac:dyDescent="0.25">
      <c r="A1619" s="1" t="s">
        <v>1153</v>
      </c>
      <c r="B1619" s="1" t="s">
        <v>2539</v>
      </c>
      <c r="C1619" s="1" t="s">
        <v>2606</v>
      </c>
      <c r="D1619" s="1" t="s">
        <v>3536</v>
      </c>
      <c r="E1619" s="1" t="s">
        <v>3537</v>
      </c>
      <c r="G1619" s="1" t="s">
        <v>1153</v>
      </c>
      <c r="H1619" s="1">
        <v>6.379172209</v>
      </c>
      <c r="I1619" s="1">
        <v>7.5266765839999996</v>
      </c>
      <c r="J1619" s="1">
        <v>6.3513642939999997</v>
      </c>
      <c r="K1619" s="1">
        <v>6.3412685260000003</v>
      </c>
      <c r="L1619" s="1">
        <v>6.1339192999999996</v>
      </c>
      <c r="M1619" s="1">
        <v>6.2524523690000002</v>
      </c>
      <c r="N1619" s="1">
        <v>6.6922754859999998</v>
      </c>
      <c r="O1619" s="1">
        <v>6.6371378139999999</v>
      </c>
      <c r="P1619" s="1">
        <v>6.4653336469999996</v>
      </c>
      <c r="Q1619" s="1">
        <v>6.5925403830000002</v>
      </c>
      <c r="R1619" s="1">
        <v>5.6457947050000001</v>
      </c>
      <c r="S1619" s="1">
        <v>5.6453330910000004</v>
      </c>
      <c r="T1619" s="1">
        <v>6.1339192999999996</v>
      </c>
      <c r="U1619" s="1">
        <v>6.2524523690000002</v>
      </c>
      <c r="V1619" s="1">
        <v>7.2152746539999999</v>
      </c>
      <c r="W1619" s="1">
        <v>6.8281395839999997</v>
      </c>
      <c r="X1619" s="1">
        <v>5.8091227329999997</v>
      </c>
      <c r="Y1619" s="1">
        <v>7.1844257139999996</v>
      </c>
      <c r="Z1619" s="1">
        <v>5.6457947050000001</v>
      </c>
      <c r="AA1619" s="1">
        <v>5.6453330910000004</v>
      </c>
      <c r="AB1619" s="1">
        <v>5.9325296429999996</v>
      </c>
      <c r="AC1619" s="1">
        <v>5.3221936159999998</v>
      </c>
      <c r="AD1619" s="1">
        <v>5.8006297160000004</v>
      </c>
      <c r="AE1619" s="1">
        <v>6.0726073669999998</v>
      </c>
    </row>
    <row r="1620" spans="1:31" x14ac:dyDescent="0.25">
      <c r="A1620" s="1" t="s">
        <v>1154</v>
      </c>
      <c r="B1620" s="1" t="s">
        <v>2530</v>
      </c>
      <c r="C1620" s="1" t="s">
        <v>2531</v>
      </c>
      <c r="D1620" s="1" t="s">
        <v>2535</v>
      </c>
      <c r="E1620" s="1" t="s">
        <v>2536</v>
      </c>
      <c r="G1620" s="1" t="s">
        <v>1154</v>
      </c>
      <c r="H1620" s="1">
        <v>5.1686839359999999</v>
      </c>
      <c r="I1620" s="1">
        <v>5.1998500889999999</v>
      </c>
      <c r="J1620" s="1">
        <v>5.3229940280000001</v>
      </c>
      <c r="K1620" s="1">
        <v>5.6848657879999998</v>
      </c>
      <c r="L1620" s="1">
        <v>5.8523421369999999</v>
      </c>
      <c r="M1620" s="1">
        <v>6.0026802679999998</v>
      </c>
      <c r="N1620" s="1">
        <v>5.0517962220000001</v>
      </c>
      <c r="O1620" s="1">
        <v>5.3605571169999999</v>
      </c>
      <c r="P1620" s="1">
        <v>5.3522904530000002</v>
      </c>
      <c r="Q1620" s="1">
        <v>5.6499570400000003</v>
      </c>
      <c r="R1620" s="1">
        <v>5.4981688889999996</v>
      </c>
      <c r="S1620" s="1">
        <v>5.6453330910000004</v>
      </c>
      <c r="T1620" s="1">
        <v>5.8523421369999999</v>
      </c>
      <c r="U1620" s="1">
        <v>6.0026802679999998</v>
      </c>
      <c r="V1620" s="1">
        <v>5.3192272129999996</v>
      </c>
      <c r="W1620" s="1">
        <v>5.5634106699999997</v>
      </c>
      <c r="X1620" s="1">
        <v>5.5620422200000004</v>
      </c>
      <c r="Y1620" s="1">
        <v>5.0702808140000002</v>
      </c>
      <c r="Z1620" s="1">
        <v>5.4981688889999996</v>
      </c>
      <c r="AA1620" s="1">
        <v>5.6453330910000004</v>
      </c>
      <c r="AB1620" s="1">
        <v>5.5787398220000002</v>
      </c>
      <c r="AC1620" s="1">
        <v>5.2411914069999996</v>
      </c>
      <c r="AD1620" s="1">
        <v>5.5945353439999996</v>
      </c>
      <c r="AE1620" s="1">
        <v>5.7368382310000001</v>
      </c>
    </row>
    <row r="1621" spans="1:31" x14ac:dyDescent="0.25">
      <c r="A1621" s="1" t="s">
        <v>1155</v>
      </c>
      <c r="B1621" s="1" t="s">
        <v>2579</v>
      </c>
      <c r="C1621" s="1" t="s">
        <v>2585</v>
      </c>
      <c r="D1621" s="1" t="s">
        <v>2586</v>
      </c>
      <c r="E1621" s="1" t="s">
        <v>5085</v>
      </c>
      <c r="F1621" s="1" t="s">
        <v>5086</v>
      </c>
      <c r="G1621" s="1" t="s">
        <v>1155</v>
      </c>
      <c r="H1621" s="1">
        <v>3.9421380259999999</v>
      </c>
      <c r="I1621" s="1">
        <v>3.6484415459999999</v>
      </c>
      <c r="J1621" s="1">
        <v>5.0051223570000003</v>
      </c>
      <c r="K1621" s="1">
        <v>5.0014827119999996</v>
      </c>
      <c r="L1621" s="1">
        <v>5.9440343650000003</v>
      </c>
      <c r="M1621" s="1">
        <v>5.9537101330000004</v>
      </c>
      <c r="N1621" s="1">
        <v>4.730225151</v>
      </c>
      <c r="O1621" s="1">
        <v>5.1947693419999998</v>
      </c>
      <c r="P1621" s="1">
        <v>5.4976972829999999</v>
      </c>
      <c r="Q1621" s="1">
        <v>5.1511590549999999</v>
      </c>
      <c r="R1621" s="1">
        <v>5.9309793060000002</v>
      </c>
      <c r="S1621" s="1">
        <v>5.3512993040000003</v>
      </c>
      <c r="T1621" s="1">
        <v>5.9440343650000003</v>
      </c>
      <c r="U1621" s="1">
        <v>5.9537101330000004</v>
      </c>
      <c r="V1621" s="1">
        <v>5.2072842770000003</v>
      </c>
      <c r="W1621" s="1">
        <v>4.9190341039999996</v>
      </c>
      <c r="X1621" s="1">
        <v>6.033711995</v>
      </c>
      <c r="Y1621" s="1">
        <v>5.4613266610000002</v>
      </c>
      <c r="Z1621" s="1">
        <v>5.9309793060000002</v>
      </c>
      <c r="AA1621" s="1">
        <v>5.3512993040000003</v>
      </c>
      <c r="AB1621" s="1">
        <v>5.851934376</v>
      </c>
      <c r="AC1621" s="1">
        <v>5.0638423939999999</v>
      </c>
      <c r="AD1621" s="1">
        <v>5.116107059</v>
      </c>
      <c r="AE1621" s="1">
        <v>5.2972943729999997</v>
      </c>
    </row>
    <row r="1622" spans="1:31" x14ac:dyDescent="0.25">
      <c r="A1622" s="1" t="s">
        <v>1157</v>
      </c>
      <c r="B1622" s="1" t="s">
        <v>2598</v>
      </c>
      <c r="C1622" s="1" t="s">
        <v>2603</v>
      </c>
      <c r="D1622" s="1" t="s">
        <v>3011</v>
      </c>
      <c r="E1622" s="1" t="s">
        <v>5087</v>
      </c>
      <c r="F1622" s="1" t="s">
        <v>5088</v>
      </c>
      <c r="G1622" s="1" t="s">
        <v>1157</v>
      </c>
      <c r="H1622" s="1">
        <v>5.8817546890000001</v>
      </c>
      <c r="I1622" s="1">
        <v>6.1427370300000002</v>
      </c>
      <c r="J1622" s="1">
        <v>4.8434621079999998</v>
      </c>
      <c r="K1622" s="1">
        <v>4.6734567340000002</v>
      </c>
      <c r="L1622" s="1">
        <v>5.5357047289999999</v>
      </c>
      <c r="M1622" s="1">
        <v>5.4634864729999997</v>
      </c>
      <c r="N1622" s="1">
        <v>5.9720916549999998</v>
      </c>
      <c r="O1622" s="1">
        <v>5.861353501</v>
      </c>
      <c r="P1622" s="1">
        <v>5.1018341500000002</v>
      </c>
      <c r="Q1622" s="1">
        <v>4.9365262349999997</v>
      </c>
      <c r="R1622" s="1">
        <v>5.1961281320000001</v>
      </c>
      <c r="S1622" s="1">
        <v>5.1309834260000002</v>
      </c>
      <c r="T1622" s="1">
        <v>5.5357047289999999</v>
      </c>
      <c r="U1622" s="1">
        <v>5.4634864729999997</v>
      </c>
      <c r="V1622" s="1">
        <v>5.9931161309999998</v>
      </c>
      <c r="W1622" s="1">
        <v>5.6472737119999996</v>
      </c>
      <c r="X1622" s="1">
        <v>5.1899342839999996</v>
      </c>
      <c r="Y1622" s="1">
        <v>5.417933841</v>
      </c>
      <c r="Z1622" s="1">
        <v>5.1961281320000001</v>
      </c>
      <c r="AA1622" s="1">
        <v>5.1309834260000002</v>
      </c>
      <c r="AB1622" s="1">
        <v>5.1073354020000004</v>
      </c>
      <c r="AC1622" s="1">
        <v>5.3988312660000002</v>
      </c>
      <c r="AD1622" s="1">
        <v>4.95179218</v>
      </c>
      <c r="AE1622" s="1">
        <v>5.7368382310000001</v>
      </c>
    </row>
    <row r="1623" spans="1:31" x14ac:dyDescent="0.25">
      <c r="A1623" s="1" t="s">
        <v>1159</v>
      </c>
      <c r="B1623" s="1" t="s">
        <v>2520</v>
      </c>
      <c r="C1623" s="1" t="s">
        <v>3160</v>
      </c>
      <c r="D1623" s="1" t="s">
        <v>3279</v>
      </c>
      <c r="E1623" s="1" t="s">
        <v>5089</v>
      </c>
      <c r="F1623" s="1" t="s">
        <v>5090</v>
      </c>
      <c r="G1623" s="1" t="s">
        <v>1159</v>
      </c>
      <c r="H1623" s="1">
        <v>6.2825651889999996</v>
      </c>
      <c r="I1623" s="1">
        <v>6.9627053569999999</v>
      </c>
      <c r="J1623" s="1">
        <v>6.331385225</v>
      </c>
      <c r="K1623" s="1">
        <v>6.6493796840000003</v>
      </c>
      <c r="L1623" s="1">
        <v>7.4868647920000004</v>
      </c>
      <c r="M1623" s="1">
        <v>7.3305614170000002</v>
      </c>
      <c r="N1623" s="1">
        <v>6.3768118319999996</v>
      </c>
      <c r="O1623" s="1">
        <v>6.2458213499999999</v>
      </c>
      <c r="P1623" s="1">
        <v>6.6624064440000001</v>
      </c>
      <c r="Q1623" s="1">
        <v>6.9313787639999997</v>
      </c>
      <c r="R1623" s="1">
        <v>6.4547978119999998</v>
      </c>
      <c r="S1623" s="1">
        <v>6.2136668149999998</v>
      </c>
      <c r="T1623" s="1">
        <v>7.4868647920000004</v>
      </c>
      <c r="U1623" s="1">
        <v>7.3305614170000002</v>
      </c>
      <c r="V1623" s="1">
        <v>7.2437271340000002</v>
      </c>
      <c r="W1623" s="1">
        <v>6.9317187499999999</v>
      </c>
      <c r="X1623" s="1">
        <v>7.1323967919999998</v>
      </c>
      <c r="Y1623" s="1">
        <v>7.3657028609999999</v>
      </c>
      <c r="Z1623" s="1">
        <v>6.4547978119999998</v>
      </c>
      <c r="AA1623" s="1">
        <v>6.2136668149999998</v>
      </c>
      <c r="AB1623" s="1">
        <v>6.5830868880000004</v>
      </c>
      <c r="AC1623" s="1">
        <v>6.7613405999999996</v>
      </c>
      <c r="AD1623" s="1">
        <v>6.875559473</v>
      </c>
      <c r="AE1623" s="1">
        <v>6.9137158620000001</v>
      </c>
    </row>
    <row r="1624" spans="1:31" x14ac:dyDescent="0.25">
      <c r="A1624" s="1" t="s">
        <v>1160</v>
      </c>
      <c r="B1624" s="1" t="s">
        <v>2598</v>
      </c>
      <c r="C1624" s="1" t="s">
        <v>2603</v>
      </c>
      <c r="D1624" s="1" t="s">
        <v>2574</v>
      </c>
      <c r="E1624" s="1" t="s">
        <v>5091</v>
      </c>
      <c r="F1624" s="1" t="s">
        <v>5092</v>
      </c>
      <c r="G1624" s="1" t="s">
        <v>1160</v>
      </c>
      <c r="H1624" s="1">
        <v>4.0684382540000001</v>
      </c>
      <c r="I1624" s="1">
        <v>4.0101074990000001</v>
      </c>
      <c r="J1624" s="1">
        <v>5.3229940280000001</v>
      </c>
      <c r="K1624" s="1">
        <v>4.941717659</v>
      </c>
      <c r="L1624" s="1">
        <v>5.4841512059999999</v>
      </c>
      <c r="M1624" s="1">
        <v>5.4634864729999997</v>
      </c>
      <c r="N1624" s="1">
        <v>4.6173662499999999</v>
      </c>
      <c r="O1624" s="1">
        <v>4.8288877169999997</v>
      </c>
      <c r="P1624" s="1">
        <v>5.3134950500000002</v>
      </c>
      <c r="Q1624" s="1">
        <v>4.8155696649999999</v>
      </c>
      <c r="R1624" s="1">
        <v>5.1961281320000001</v>
      </c>
      <c r="S1624" s="1">
        <v>5.5773053920000004</v>
      </c>
      <c r="T1624" s="1">
        <v>5.4841512059999999</v>
      </c>
      <c r="U1624" s="1">
        <v>5.4634864729999997</v>
      </c>
      <c r="V1624" s="1">
        <v>5.6103143839999996</v>
      </c>
      <c r="W1624" s="1">
        <v>6.0056801469999996</v>
      </c>
      <c r="X1624" s="1">
        <v>5.8252409690000002</v>
      </c>
      <c r="Y1624" s="1">
        <v>5.6227961889999998</v>
      </c>
      <c r="Z1624" s="1">
        <v>5.1961281320000001</v>
      </c>
      <c r="AA1624" s="1">
        <v>5.5773053920000004</v>
      </c>
      <c r="AB1624" s="1">
        <v>5.851934376</v>
      </c>
      <c r="AC1624" s="1">
        <v>5.8439382809999998</v>
      </c>
      <c r="AD1624" s="1">
        <v>5.8632235870000002</v>
      </c>
      <c r="AE1624" s="1">
        <v>5.7539342490000003</v>
      </c>
    </row>
    <row r="1625" spans="1:31" x14ac:dyDescent="0.25">
      <c r="A1625" s="1" t="s">
        <v>1161</v>
      </c>
      <c r="B1625" s="1" t="s">
        <v>2579</v>
      </c>
      <c r="C1625" s="1" t="s">
        <v>2585</v>
      </c>
      <c r="D1625" s="1" t="s">
        <v>2535</v>
      </c>
      <c r="E1625" s="1" t="s">
        <v>5093</v>
      </c>
      <c r="F1625" s="1" t="s">
        <v>5094</v>
      </c>
      <c r="G1625" s="1" t="s">
        <v>1161</v>
      </c>
      <c r="H1625" s="1">
        <v>6.1789942880000002</v>
      </c>
      <c r="I1625" s="1">
        <v>6.0719413549999999</v>
      </c>
      <c r="J1625" s="1">
        <v>6.4096880770000002</v>
      </c>
      <c r="K1625" s="1">
        <v>6.5137511750000003</v>
      </c>
      <c r="L1625" s="1">
        <v>6.6742364040000002</v>
      </c>
      <c r="M1625" s="1">
        <v>6.3936335379999996</v>
      </c>
      <c r="N1625" s="1">
        <v>6.920010091</v>
      </c>
      <c r="O1625" s="1">
        <v>7.0766218429999999</v>
      </c>
      <c r="P1625" s="1">
        <v>6.2975076100000003</v>
      </c>
      <c r="Q1625" s="1">
        <v>6.123526483</v>
      </c>
      <c r="R1625" s="1">
        <v>6.588102728</v>
      </c>
      <c r="S1625" s="1">
        <v>6.4967339439999998</v>
      </c>
      <c r="T1625" s="1">
        <v>6.6742364040000002</v>
      </c>
      <c r="U1625" s="1">
        <v>6.3936335379999996</v>
      </c>
      <c r="V1625" s="1">
        <v>6.6473747999999997</v>
      </c>
      <c r="W1625" s="1">
        <v>6.3680955829999997</v>
      </c>
      <c r="X1625" s="1">
        <v>6.7500295250000004</v>
      </c>
      <c r="Y1625" s="1">
        <v>7.0913366450000002</v>
      </c>
      <c r="Z1625" s="1">
        <v>6.588102728</v>
      </c>
      <c r="AA1625" s="1">
        <v>6.4967339439999998</v>
      </c>
      <c r="AB1625" s="1">
        <v>6.679460873</v>
      </c>
      <c r="AC1625" s="1">
        <v>6.6720398579999998</v>
      </c>
      <c r="AD1625" s="1">
        <v>6.8136746160000001</v>
      </c>
      <c r="AE1625" s="1">
        <v>6.8358165529999999</v>
      </c>
    </row>
    <row r="1626" spans="1:31" x14ac:dyDescent="0.25">
      <c r="A1626" s="1" t="s">
        <v>1162</v>
      </c>
      <c r="B1626" s="1" t="s">
        <v>2598</v>
      </c>
      <c r="C1626" s="1" t="s">
        <v>2603</v>
      </c>
      <c r="D1626" s="1" t="s">
        <v>4210</v>
      </c>
      <c r="E1626" s="1" t="s">
        <v>5095</v>
      </c>
      <c r="F1626" s="1" t="s">
        <v>5096</v>
      </c>
      <c r="G1626" s="1" t="s">
        <v>1162</v>
      </c>
      <c r="H1626" s="1">
        <v>3.4660955969999998</v>
      </c>
      <c r="I1626" s="1">
        <v>3.1348991329999998</v>
      </c>
      <c r="J1626" s="1">
        <v>2.8907526730000002</v>
      </c>
      <c r="K1626" s="1">
        <v>3.22334677</v>
      </c>
      <c r="L1626" s="1">
        <v>2.5490970000000002</v>
      </c>
      <c r="M1626" s="1">
        <v>2.3994532390000001</v>
      </c>
      <c r="N1626" s="1">
        <v>3.622455167</v>
      </c>
      <c r="O1626" s="1">
        <v>3.88533178</v>
      </c>
      <c r="P1626" s="1">
        <v>2.5478783159999998</v>
      </c>
      <c r="Q1626" s="1">
        <v>2.597100669</v>
      </c>
      <c r="R1626" s="1">
        <v>3.1834741979999999</v>
      </c>
      <c r="S1626" s="1">
        <v>3.1475403900000001</v>
      </c>
      <c r="T1626" s="1">
        <v>2.5490970000000002</v>
      </c>
      <c r="U1626" s="1">
        <v>2.3994532390000001</v>
      </c>
      <c r="V1626" s="1">
        <v>3.3993802240000002</v>
      </c>
      <c r="W1626" s="1">
        <v>3.0218530750000001</v>
      </c>
      <c r="X1626" s="1">
        <v>2.7988456519999998</v>
      </c>
      <c r="Y1626" s="1">
        <v>3.229986142</v>
      </c>
      <c r="Z1626" s="1">
        <v>3.1834741979999999</v>
      </c>
      <c r="AA1626" s="1">
        <v>3.1475403900000001</v>
      </c>
      <c r="AB1626" s="1">
        <v>2.73487305</v>
      </c>
      <c r="AC1626" s="1">
        <v>2.5506926650000001</v>
      </c>
      <c r="AD1626" s="1">
        <v>2.9432342459999998</v>
      </c>
      <c r="AE1626" s="1">
        <v>2.9592545700000001</v>
      </c>
    </row>
    <row r="1627" spans="1:31" x14ac:dyDescent="0.25">
      <c r="A1627" s="1" t="s">
        <v>1164</v>
      </c>
      <c r="B1627" s="1" t="s">
        <v>2542</v>
      </c>
      <c r="C1627" s="1" t="s">
        <v>2543</v>
      </c>
      <c r="D1627" s="1" t="s">
        <v>2776</v>
      </c>
      <c r="E1627" s="1" t="s">
        <v>5097</v>
      </c>
      <c r="F1627" s="1" t="s">
        <v>5098</v>
      </c>
      <c r="G1627" s="1" t="s">
        <v>1164</v>
      </c>
      <c r="H1627" s="1">
        <v>4.5667504939999999</v>
      </c>
      <c r="I1627" s="1">
        <v>3.9003964459999998</v>
      </c>
      <c r="J1627" s="1">
        <v>5.6809121170000001</v>
      </c>
      <c r="K1627" s="1">
        <v>5.3612725399999999</v>
      </c>
      <c r="L1627" s="1">
        <v>5.993912463</v>
      </c>
      <c r="M1627" s="1">
        <v>5.9201092089999996</v>
      </c>
      <c r="N1627" s="1">
        <v>4.4945275240000004</v>
      </c>
      <c r="O1627" s="1">
        <v>4.6248126879999996</v>
      </c>
      <c r="P1627" s="1">
        <v>5.7504406890000004</v>
      </c>
      <c r="Q1627" s="1">
        <v>5.718446159</v>
      </c>
      <c r="R1627" s="1">
        <v>5.8723300570000001</v>
      </c>
      <c r="S1627" s="1">
        <v>5.9168316079999999</v>
      </c>
      <c r="T1627" s="1">
        <v>5.993912463</v>
      </c>
      <c r="U1627" s="1">
        <v>5.9201092089999996</v>
      </c>
      <c r="V1627" s="1">
        <v>5.7758979430000004</v>
      </c>
      <c r="W1627" s="1">
        <v>5.726489559</v>
      </c>
      <c r="X1627" s="1">
        <v>5.9032199179999996</v>
      </c>
      <c r="Y1627" s="1">
        <v>5.9611531490000003</v>
      </c>
      <c r="Z1627" s="1">
        <v>5.8723300570000001</v>
      </c>
      <c r="AA1627" s="1">
        <v>5.9168316079999999</v>
      </c>
      <c r="AB1627" s="1">
        <v>5.4746970709999996</v>
      </c>
      <c r="AC1627" s="1">
        <v>5.9991619270000003</v>
      </c>
      <c r="AD1627" s="1">
        <v>5.8322684330000003</v>
      </c>
      <c r="AE1627" s="1">
        <v>5.7708285269999999</v>
      </c>
    </row>
    <row r="1628" spans="1:31" x14ac:dyDescent="0.25">
      <c r="A1628" s="1" t="s">
        <v>1165</v>
      </c>
      <c r="B1628" s="1" t="s">
        <v>2530</v>
      </c>
      <c r="C1628" s="1" t="s">
        <v>2531</v>
      </c>
      <c r="D1628" s="1" t="s">
        <v>2535</v>
      </c>
      <c r="E1628" s="1" t="s">
        <v>2536</v>
      </c>
      <c r="G1628" s="1" t="s">
        <v>1165</v>
      </c>
      <c r="H1628" s="1">
        <v>1.7393328349999999</v>
      </c>
      <c r="I1628" s="1">
        <v>2.5655118899999998</v>
      </c>
      <c r="J1628" s="1">
        <v>3.1324899180000001</v>
      </c>
      <c r="K1628" s="1">
        <v>3.22334677</v>
      </c>
      <c r="L1628" s="1">
        <v>3.3884746630000002</v>
      </c>
      <c r="M1628" s="1">
        <v>3.6924658159999999</v>
      </c>
      <c r="N1628" s="1">
        <v>2.9782685729999998</v>
      </c>
      <c r="O1628" s="1">
        <v>3.193511794</v>
      </c>
      <c r="P1628" s="1">
        <v>3.3003929539999999</v>
      </c>
      <c r="Q1628" s="1">
        <v>3.8492287269999999</v>
      </c>
      <c r="R1628" s="1">
        <v>2.9339002829999998</v>
      </c>
      <c r="S1628" s="1">
        <v>3.3463386960000001</v>
      </c>
      <c r="T1628" s="1">
        <v>3.3884746630000002</v>
      </c>
      <c r="U1628" s="1">
        <v>3.6924658159999999</v>
      </c>
      <c r="V1628" s="1">
        <v>3.6670520409999998</v>
      </c>
      <c r="W1628" s="1">
        <v>3.0218530750000001</v>
      </c>
      <c r="X1628" s="1">
        <v>3.0884111989999998</v>
      </c>
      <c r="Y1628" s="1">
        <v>4.1479647589999997</v>
      </c>
      <c r="Z1628" s="1">
        <v>2.9339002829999998</v>
      </c>
      <c r="AA1628" s="1">
        <v>3.3463386960000001</v>
      </c>
      <c r="AB1628" s="1">
        <v>3.990981031</v>
      </c>
      <c r="AC1628" s="1">
        <v>3.1109927919999998</v>
      </c>
      <c r="AD1628" s="1">
        <v>3.1944880649999998</v>
      </c>
      <c r="AE1628" s="1">
        <v>2.803297787</v>
      </c>
    </row>
    <row r="1629" spans="1:31" x14ac:dyDescent="0.25">
      <c r="A1629" s="1" t="s">
        <v>1167</v>
      </c>
      <c r="B1629" s="1" t="s">
        <v>2642</v>
      </c>
      <c r="C1629" s="1" t="s">
        <v>2643</v>
      </c>
      <c r="D1629" s="1" t="s">
        <v>2687</v>
      </c>
      <c r="E1629" s="1" t="s">
        <v>2688</v>
      </c>
      <c r="F1629" s="1" t="s">
        <v>2689</v>
      </c>
      <c r="G1629" s="1" t="s">
        <v>1167</v>
      </c>
      <c r="H1629" s="1">
        <v>2.9945681560000001</v>
      </c>
      <c r="I1629" s="1">
        <v>3.5006354609999999</v>
      </c>
      <c r="J1629" s="1">
        <v>2.5640169199999998</v>
      </c>
      <c r="K1629" s="1">
        <v>1.7393328349999999</v>
      </c>
      <c r="L1629" s="1">
        <v>3.4685048369999998</v>
      </c>
      <c r="M1629" s="1">
        <v>2.8639998100000001</v>
      </c>
      <c r="N1629" s="1">
        <v>2.9782685729999998</v>
      </c>
      <c r="O1629" s="1">
        <v>2.411448644</v>
      </c>
      <c r="P1629" s="1">
        <v>2.8687501260000001</v>
      </c>
      <c r="Q1629" s="1">
        <v>2.597100669</v>
      </c>
      <c r="R1629" s="1">
        <v>3.1834741979999999</v>
      </c>
      <c r="S1629" s="1">
        <v>3.1475403900000001</v>
      </c>
      <c r="T1629" s="1">
        <v>3.4685048369999998</v>
      </c>
      <c r="U1629" s="1">
        <v>2.8639998100000001</v>
      </c>
      <c r="V1629" s="1">
        <v>1.7393328349999999</v>
      </c>
      <c r="W1629" s="1">
        <v>3.0218530750000001</v>
      </c>
      <c r="X1629" s="1">
        <v>3.3149070109999998</v>
      </c>
      <c r="Y1629" s="1">
        <v>1.7393328349999999</v>
      </c>
      <c r="Z1629" s="1">
        <v>3.1834741979999999</v>
      </c>
      <c r="AA1629" s="1">
        <v>3.1475403900000001</v>
      </c>
      <c r="AB1629" s="1">
        <v>2.73487305</v>
      </c>
      <c r="AC1629" s="1">
        <v>3.3054795530000001</v>
      </c>
      <c r="AD1629" s="1">
        <v>2.9432342459999998</v>
      </c>
      <c r="AE1629" s="1">
        <v>3.213378847</v>
      </c>
    </row>
    <row r="1630" spans="1:31" x14ac:dyDescent="0.25">
      <c r="A1630" s="1" t="s">
        <v>1168</v>
      </c>
      <c r="B1630" s="1" t="s">
        <v>2530</v>
      </c>
      <c r="C1630" s="1" t="s">
        <v>2531</v>
      </c>
      <c r="D1630" s="1" t="s">
        <v>2535</v>
      </c>
      <c r="E1630" s="1" t="s">
        <v>2536</v>
      </c>
      <c r="G1630" s="1" t="s">
        <v>1168</v>
      </c>
      <c r="H1630" s="1">
        <v>3.4660955969999998</v>
      </c>
      <c r="I1630" s="1">
        <v>3.7806045529999999</v>
      </c>
      <c r="J1630" s="1">
        <v>3.1324899180000001</v>
      </c>
      <c r="K1630" s="1">
        <v>3.22334677</v>
      </c>
      <c r="L1630" s="1">
        <v>2.9964092330000001</v>
      </c>
      <c r="M1630" s="1">
        <v>3.2940962960000002</v>
      </c>
      <c r="N1630" s="1">
        <v>3.1147763629999998</v>
      </c>
      <c r="O1630" s="1">
        <v>3.5386882399999999</v>
      </c>
      <c r="P1630" s="1">
        <v>3.106446558</v>
      </c>
      <c r="Q1630" s="1">
        <v>3.185675432</v>
      </c>
      <c r="R1630" s="1">
        <v>3.7109484589999999</v>
      </c>
      <c r="S1630" s="1">
        <v>1.7393328349999999</v>
      </c>
      <c r="T1630" s="1">
        <v>2.9964092330000001</v>
      </c>
      <c r="U1630" s="1">
        <v>3.2940962960000002</v>
      </c>
      <c r="V1630" s="1">
        <v>2.5140266200000001</v>
      </c>
      <c r="W1630" s="1">
        <v>2.6606351240000001</v>
      </c>
      <c r="X1630" s="1">
        <v>3.4131791489999999</v>
      </c>
      <c r="Y1630" s="1">
        <v>3.229986142</v>
      </c>
      <c r="Z1630" s="1">
        <v>3.7109484589999999</v>
      </c>
      <c r="AA1630" s="1">
        <v>1.7393328349999999</v>
      </c>
      <c r="AB1630" s="1">
        <v>2.73487305</v>
      </c>
      <c r="AC1630" s="1">
        <v>3.1109927919999998</v>
      </c>
      <c r="AD1630" s="1">
        <v>3.725077481</v>
      </c>
      <c r="AE1630" s="1">
        <v>3.0939349979999999</v>
      </c>
    </row>
    <row r="1631" spans="1:31" x14ac:dyDescent="0.25">
      <c r="A1631" s="1" t="s">
        <v>1171</v>
      </c>
      <c r="B1631" s="1" t="s">
        <v>2547</v>
      </c>
      <c r="C1631" s="1" t="s">
        <v>2622</v>
      </c>
      <c r="D1631" s="1" t="s">
        <v>2535</v>
      </c>
      <c r="E1631" s="1" t="s">
        <v>5099</v>
      </c>
      <c r="F1631" s="1" t="s">
        <v>5100</v>
      </c>
      <c r="G1631" s="1" t="s">
        <v>1171</v>
      </c>
      <c r="H1631" s="1">
        <v>7.3218989680000002</v>
      </c>
      <c r="I1631" s="1">
        <v>7.378407867</v>
      </c>
      <c r="J1631" s="1">
        <v>6.248570891</v>
      </c>
      <c r="K1631" s="1">
        <v>6.4725304650000002</v>
      </c>
      <c r="L1631" s="1">
        <v>6.2096996640000004</v>
      </c>
      <c r="M1631" s="1">
        <v>6.0344224830000002</v>
      </c>
      <c r="N1631" s="1">
        <v>7.1301561749999998</v>
      </c>
      <c r="O1631" s="1">
        <v>7.2120894309999999</v>
      </c>
      <c r="P1631" s="1">
        <v>6.8891464339999997</v>
      </c>
      <c r="Q1631" s="1">
        <v>6.6977517669999997</v>
      </c>
      <c r="R1631" s="1">
        <v>6.3078659510000001</v>
      </c>
      <c r="S1631" s="1">
        <v>6.4019078089999999</v>
      </c>
      <c r="T1631" s="1">
        <v>6.2096996640000004</v>
      </c>
      <c r="U1631" s="1">
        <v>6.0344224830000002</v>
      </c>
      <c r="V1631" s="1">
        <v>5.9705432629999997</v>
      </c>
      <c r="W1631" s="1">
        <v>5.7645115660000004</v>
      </c>
      <c r="X1631" s="1">
        <v>6.4095855210000003</v>
      </c>
      <c r="Y1631" s="1">
        <v>6.0769070919999999</v>
      </c>
      <c r="Z1631" s="1">
        <v>6.3078659510000001</v>
      </c>
      <c r="AA1631" s="1">
        <v>6.4019078089999999</v>
      </c>
      <c r="AB1631" s="1">
        <v>6.6559655099999997</v>
      </c>
      <c r="AC1631" s="1">
        <v>6.2255363350000001</v>
      </c>
      <c r="AD1631" s="1">
        <v>6.6462203879999997</v>
      </c>
      <c r="AE1631" s="1">
        <v>6.2026157089999998</v>
      </c>
    </row>
    <row r="1632" spans="1:31" x14ac:dyDescent="0.25">
      <c r="A1632" s="1" t="s">
        <v>1172</v>
      </c>
      <c r="B1632" s="1" t="s">
        <v>2530</v>
      </c>
      <c r="C1632" s="1" t="s">
        <v>2573</v>
      </c>
      <c r="D1632" s="1" t="s">
        <v>2535</v>
      </c>
      <c r="E1632" s="1" t="s">
        <v>5101</v>
      </c>
      <c r="G1632" s="1" t="s">
        <v>1172</v>
      </c>
      <c r="H1632" s="1">
        <v>4.6479005740000003</v>
      </c>
      <c r="I1632" s="1">
        <v>4.9575946069999999</v>
      </c>
      <c r="J1632" s="1">
        <v>3.329519721</v>
      </c>
      <c r="K1632" s="1">
        <v>4.0244910950000001</v>
      </c>
      <c r="L1632" s="1">
        <v>3.8629070379999999</v>
      </c>
      <c r="M1632" s="1">
        <v>3.7747836370000001</v>
      </c>
      <c r="N1632" s="1">
        <v>5.5749368700000002</v>
      </c>
      <c r="O1632" s="1">
        <v>5.2237789919999997</v>
      </c>
      <c r="P1632" s="1">
        <v>4.161525224</v>
      </c>
      <c r="Q1632" s="1">
        <v>3.9718447549999998</v>
      </c>
      <c r="R1632" s="1">
        <v>3.7109484589999999</v>
      </c>
      <c r="S1632" s="1">
        <v>4.6194390810000003</v>
      </c>
      <c r="T1632" s="1">
        <v>3.8629070379999999</v>
      </c>
      <c r="U1632" s="1">
        <v>3.7747836370000001</v>
      </c>
      <c r="V1632" s="1">
        <v>3.887436229</v>
      </c>
      <c r="W1632" s="1">
        <v>3.8431653940000001</v>
      </c>
      <c r="X1632" s="1">
        <v>3.5039136989999999</v>
      </c>
      <c r="Y1632" s="1">
        <v>3.4382968329999999</v>
      </c>
      <c r="Z1632" s="1">
        <v>3.7109484589999999</v>
      </c>
      <c r="AA1632" s="1">
        <v>4.6194390810000003</v>
      </c>
      <c r="AB1632" s="1">
        <v>3.8237667059999998</v>
      </c>
      <c r="AC1632" s="1">
        <v>3.9750819590000002</v>
      </c>
      <c r="AD1632" s="1">
        <v>3.984188064</v>
      </c>
      <c r="AE1632" s="1">
        <v>3.8196998459999998</v>
      </c>
    </row>
    <row r="1633" spans="1:31" x14ac:dyDescent="0.25">
      <c r="A1633" s="1" t="s">
        <v>1176</v>
      </c>
      <c r="B1633" s="1" t="s">
        <v>2547</v>
      </c>
      <c r="C1633" s="1" t="s">
        <v>2789</v>
      </c>
      <c r="D1633" s="1" t="s">
        <v>2535</v>
      </c>
      <c r="E1633" s="1" t="s">
        <v>5102</v>
      </c>
      <c r="F1633" s="1" t="s">
        <v>5103</v>
      </c>
      <c r="G1633" s="1" t="s">
        <v>1176</v>
      </c>
      <c r="H1633" s="1">
        <v>5.4177093730000001</v>
      </c>
      <c r="I1633" s="1">
        <v>5.4067069720000003</v>
      </c>
      <c r="J1633" s="1">
        <v>5.2392025899999997</v>
      </c>
      <c r="K1633" s="1">
        <v>5.166960875</v>
      </c>
      <c r="L1633" s="1">
        <v>6.1777105819999996</v>
      </c>
      <c r="M1633" s="1">
        <v>5.7197461279999997</v>
      </c>
      <c r="N1633" s="1">
        <v>5.0517962220000001</v>
      </c>
      <c r="O1633" s="1">
        <v>5.1947693419999998</v>
      </c>
      <c r="P1633" s="1">
        <v>5.7791106289999998</v>
      </c>
      <c r="Q1633" s="1">
        <v>5.5780218530000001</v>
      </c>
      <c r="R1633" s="1">
        <v>5.2891602459999998</v>
      </c>
      <c r="S1633" s="1">
        <v>5.3915434019999999</v>
      </c>
      <c r="T1633" s="1">
        <v>6.1777105819999996</v>
      </c>
      <c r="U1633" s="1">
        <v>5.7197461279999997</v>
      </c>
      <c r="V1633" s="1">
        <v>5.695500268</v>
      </c>
      <c r="W1633" s="1">
        <v>5.726489559</v>
      </c>
      <c r="X1633" s="1">
        <v>5.8569434649999996</v>
      </c>
      <c r="Y1633" s="1">
        <v>5.6971672010000001</v>
      </c>
      <c r="Z1633" s="1">
        <v>5.2891602459999998</v>
      </c>
      <c r="AA1633" s="1">
        <v>5.3915434019999999</v>
      </c>
      <c r="AB1633" s="1">
        <v>5.3028471579999996</v>
      </c>
      <c r="AC1633" s="1">
        <v>5.7003611899999997</v>
      </c>
      <c r="AD1633" s="1">
        <v>5.396704357</v>
      </c>
      <c r="AE1633" s="1">
        <v>5.3433438500000001</v>
      </c>
    </row>
    <row r="1634" spans="1:31" x14ac:dyDescent="0.25">
      <c r="A1634" s="1" t="s">
        <v>1178</v>
      </c>
      <c r="B1634" s="1" t="s">
        <v>2631</v>
      </c>
      <c r="C1634" s="1" t="s">
        <v>2980</v>
      </c>
      <c r="D1634" s="1" t="s">
        <v>2535</v>
      </c>
      <c r="E1634" s="1" t="s">
        <v>5104</v>
      </c>
      <c r="G1634" s="1" t="s">
        <v>1178</v>
      </c>
      <c r="H1634" s="1">
        <v>4.8663747150000001</v>
      </c>
      <c r="I1634" s="1">
        <v>4.2936285989999998</v>
      </c>
      <c r="J1634" s="1">
        <v>3.4977151119999998</v>
      </c>
      <c r="K1634" s="1">
        <v>3.607491666</v>
      </c>
      <c r="L1634" s="1">
        <v>4.0223143549999998</v>
      </c>
      <c r="M1634" s="1">
        <v>4.1823509169999999</v>
      </c>
      <c r="N1634" s="1">
        <v>4.4945275240000004</v>
      </c>
      <c r="O1634" s="1">
        <v>4.5340058970000001</v>
      </c>
      <c r="P1634" s="1">
        <v>3.6116823170000001</v>
      </c>
      <c r="Q1634" s="1">
        <v>3.7137735799999998</v>
      </c>
      <c r="R1634" s="1">
        <v>3.7109484589999999</v>
      </c>
      <c r="S1634" s="1">
        <v>4.1304223819999999</v>
      </c>
      <c r="T1634" s="1">
        <v>4.0223143549999998</v>
      </c>
      <c r="U1634" s="1">
        <v>4.1823509169999999</v>
      </c>
      <c r="V1634" s="1">
        <v>3.0516113059999999</v>
      </c>
      <c r="W1634" s="1">
        <v>3.50175473</v>
      </c>
      <c r="X1634" s="1">
        <v>4.0600950219999996</v>
      </c>
      <c r="Y1634" s="1">
        <v>4.0337379980000003</v>
      </c>
      <c r="Z1634" s="1">
        <v>3.7109484589999999</v>
      </c>
      <c r="AA1634" s="1">
        <v>4.1304223819999999</v>
      </c>
      <c r="AB1634" s="1">
        <v>4.5063178209999997</v>
      </c>
      <c r="AC1634" s="1">
        <v>4.0753403910000001</v>
      </c>
      <c r="AD1634" s="1">
        <v>3.3987395579999999</v>
      </c>
      <c r="AE1634" s="1">
        <v>3.8864783150000002</v>
      </c>
    </row>
    <row r="1635" spans="1:31" x14ac:dyDescent="0.25">
      <c r="A1635" s="1" t="s">
        <v>1179</v>
      </c>
      <c r="B1635" s="1" t="s">
        <v>2530</v>
      </c>
      <c r="C1635" s="1" t="s">
        <v>2531</v>
      </c>
      <c r="D1635" s="1" t="s">
        <v>2535</v>
      </c>
      <c r="E1635" s="1" t="s">
        <v>2536</v>
      </c>
      <c r="G1635" s="1" t="s">
        <v>1179</v>
      </c>
      <c r="H1635" s="1">
        <v>6.0081283179999998</v>
      </c>
      <c r="I1635" s="1">
        <v>6.0227272230000004</v>
      </c>
      <c r="J1635" s="1">
        <v>6.0670821549999996</v>
      </c>
      <c r="K1635" s="1">
        <v>6.0642310579999998</v>
      </c>
      <c r="L1635" s="1">
        <v>5.8923589620000003</v>
      </c>
      <c r="M1635" s="1">
        <v>6.0654778350000003</v>
      </c>
      <c r="N1635" s="1">
        <v>6.0455826970000004</v>
      </c>
      <c r="O1635" s="1">
        <v>6.2316979249999997</v>
      </c>
      <c r="P1635" s="1">
        <v>6.5171892439999999</v>
      </c>
      <c r="Q1635" s="1">
        <v>6.3980489909999996</v>
      </c>
      <c r="R1635" s="1">
        <v>6.6416582010000003</v>
      </c>
      <c r="S1635" s="1">
        <v>6.4019078089999999</v>
      </c>
      <c r="T1635" s="1">
        <v>5.8923589620000003</v>
      </c>
      <c r="U1635" s="1">
        <v>6.0654778350000003</v>
      </c>
      <c r="V1635" s="1">
        <v>6.1419042490000004</v>
      </c>
      <c r="W1635" s="1">
        <v>6.1272304780000004</v>
      </c>
      <c r="X1635" s="1">
        <v>6.1405132890000003</v>
      </c>
      <c r="Y1635" s="1">
        <v>6.1044436219999998</v>
      </c>
      <c r="Z1635" s="1">
        <v>6.6416582010000003</v>
      </c>
      <c r="AA1635" s="1">
        <v>6.4019078089999999</v>
      </c>
      <c r="AB1635" s="1">
        <v>6.3685053089999997</v>
      </c>
      <c r="AC1635" s="1">
        <v>6.4026546910000004</v>
      </c>
      <c r="AD1635" s="1">
        <v>6.0893990919999998</v>
      </c>
      <c r="AE1635" s="1">
        <v>6.3332249579999997</v>
      </c>
    </row>
    <row r="1636" spans="1:31" x14ac:dyDescent="0.25">
      <c r="A1636" s="1" t="s">
        <v>1182</v>
      </c>
      <c r="B1636" s="1" t="s">
        <v>2530</v>
      </c>
      <c r="C1636" s="1" t="s">
        <v>2573</v>
      </c>
      <c r="D1636" s="1" t="s">
        <v>2535</v>
      </c>
      <c r="E1636" s="1" t="s">
        <v>5105</v>
      </c>
      <c r="F1636" s="1" t="s">
        <v>5106</v>
      </c>
      <c r="G1636" s="1" t="s">
        <v>1182</v>
      </c>
      <c r="H1636" s="1">
        <v>5.5896774330000003</v>
      </c>
      <c r="I1636" s="1">
        <v>5.8640648840000003</v>
      </c>
      <c r="J1636" s="1">
        <v>4.6607313550000002</v>
      </c>
      <c r="K1636" s="1">
        <v>4.941717659</v>
      </c>
      <c r="L1636" s="1">
        <v>4.8833754540000003</v>
      </c>
      <c r="M1636" s="1">
        <v>4.3982295550000003</v>
      </c>
      <c r="N1636" s="1">
        <v>6.0598398590000002</v>
      </c>
      <c r="O1636" s="1">
        <v>5.7266127899999999</v>
      </c>
      <c r="P1636" s="1">
        <v>5.2325771159999999</v>
      </c>
      <c r="Q1636" s="1">
        <v>5.1511590549999999</v>
      </c>
      <c r="R1636" s="1">
        <v>3.5594063970000001</v>
      </c>
      <c r="S1636" s="1">
        <v>4.8699614389999999</v>
      </c>
      <c r="T1636" s="1">
        <v>4.8833754540000003</v>
      </c>
      <c r="U1636" s="1">
        <v>4.3982295550000003</v>
      </c>
      <c r="V1636" s="1">
        <v>4.6419314959999998</v>
      </c>
      <c r="W1636" s="1">
        <v>4.2295768090000001</v>
      </c>
      <c r="X1636" s="1">
        <v>4.3167291810000004</v>
      </c>
      <c r="Y1636" s="1">
        <v>4.0337379980000003</v>
      </c>
      <c r="Z1636" s="1">
        <v>3.5594063970000001</v>
      </c>
      <c r="AA1636" s="1">
        <v>4.8699614389999999</v>
      </c>
      <c r="AB1636" s="1">
        <v>4.8804215500000003</v>
      </c>
      <c r="AC1636" s="1">
        <v>4.3377211620000002</v>
      </c>
      <c r="AD1636" s="1">
        <v>4.83054469</v>
      </c>
      <c r="AE1636" s="1">
        <v>4.893979055</v>
      </c>
    </row>
    <row r="1637" spans="1:31" x14ac:dyDescent="0.25">
      <c r="A1637" s="1" t="s">
        <v>1183</v>
      </c>
      <c r="B1637" s="1" t="s">
        <v>2539</v>
      </c>
      <c r="C1637" s="1" t="s">
        <v>2540</v>
      </c>
      <c r="D1637" s="1" t="s">
        <v>2535</v>
      </c>
      <c r="E1637" s="1" t="s">
        <v>5107</v>
      </c>
      <c r="G1637" s="1" t="s">
        <v>1183</v>
      </c>
      <c r="H1637" s="1">
        <v>4.4805534380000003</v>
      </c>
      <c r="I1637" s="1">
        <v>4.0101074990000001</v>
      </c>
      <c r="J1637" s="1">
        <v>4.7851628320000001</v>
      </c>
      <c r="K1637" s="1">
        <v>4.0244910950000001</v>
      </c>
      <c r="L1637" s="1">
        <v>4.619423984</v>
      </c>
      <c r="M1637" s="1">
        <v>4.824486168</v>
      </c>
      <c r="N1637" s="1">
        <v>5.2145790439999997</v>
      </c>
      <c r="O1637" s="1">
        <v>4.7507950320000001</v>
      </c>
      <c r="P1637" s="1">
        <v>4.6160325330000003</v>
      </c>
      <c r="Q1637" s="1">
        <v>3.9718447549999998</v>
      </c>
      <c r="R1637" s="1">
        <v>4.8735636449999999</v>
      </c>
      <c r="S1637" s="1">
        <v>4.3966315629999997</v>
      </c>
      <c r="T1637" s="1">
        <v>4.619423984</v>
      </c>
      <c r="U1637" s="1">
        <v>4.824486168</v>
      </c>
      <c r="V1637" s="1">
        <v>3.5405335899999999</v>
      </c>
      <c r="W1637" s="1">
        <v>3.8431653940000001</v>
      </c>
      <c r="X1637" s="1">
        <v>4.5325909299999996</v>
      </c>
      <c r="Y1637" s="1">
        <v>4.0337379980000003</v>
      </c>
      <c r="Z1637" s="1">
        <v>4.8735636449999999</v>
      </c>
      <c r="AA1637" s="1">
        <v>4.3966315629999997</v>
      </c>
      <c r="AB1637" s="1">
        <v>4.8804215500000003</v>
      </c>
      <c r="AC1637" s="1">
        <v>4.3377211620000002</v>
      </c>
      <c r="AD1637" s="1">
        <v>4.0967699450000001</v>
      </c>
      <c r="AE1637" s="1">
        <v>4.6199010239999998</v>
      </c>
    </row>
    <row r="1638" spans="1:31" x14ac:dyDescent="0.25">
      <c r="A1638" s="1" t="s">
        <v>1184</v>
      </c>
      <c r="B1638" s="1" t="s">
        <v>2547</v>
      </c>
      <c r="C1638" s="1" t="s">
        <v>2566</v>
      </c>
      <c r="D1638" s="1" t="s">
        <v>3009</v>
      </c>
      <c r="E1638" s="1" t="s">
        <v>5108</v>
      </c>
      <c r="G1638" s="1" t="s">
        <v>1184</v>
      </c>
      <c r="H1638" s="1">
        <v>6.4475933449999996</v>
      </c>
      <c r="I1638" s="1">
        <v>5.9455889470000001</v>
      </c>
      <c r="J1638" s="1">
        <v>5.8592801899999998</v>
      </c>
      <c r="K1638" s="1">
        <v>5.8552832600000002</v>
      </c>
      <c r="L1638" s="1">
        <v>5.8523421369999999</v>
      </c>
      <c r="M1638" s="1">
        <v>5.6393255609999997</v>
      </c>
      <c r="N1638" s="1">
        <v>6.3881452249999997</v>
      </c>
      <c r="O1638" s="1">
        <v>6.5714196759999997</v>
      </c>
      <c r="P1638" s="1">
        <v>6.9021991040000001</v>
      </c>
      <c r="Q1638" s="1">
        <v>6.987770662</v>
      </c>
      <c r="R1638" s="1">
        <v>6.1441881260000004</v>
      </c>
      <c r="S1638" s="1">
        <v>6.4967339439999998</v>
      </c>
      <c r="T1638" s="1">
        <v>5.8523421369999999</v>
      </c>
      <c r="U1638" s="1">
        <v>5.6393255609999997</v>
      </c>
      <c r="V1638" s="1">
        <v>5.7758979430000004</v>
      </c>
      <c r="W1638" s="1">
        <v>5.427589942</v>
      </c>
      <c r="X1638" s="1">
        <v>5.9480492979999999</v>
      </c>
      <c r="Y1638" s="1">
        <v>5.6971672010000001</v>
      </c>
      <c r="Z1638" s="1">
        <v>6.1441881260000004</v>
      </c>
      <c r="AA1638" s="1">
        <v>6.4967339439999998</v>
      </c>
      <c r="AB1638" s="1">
        <v>6.1502584210000002</v>
      </c>
      <c r="AC1638" s="1">
        <v>6.4026546910000004</v>
      </c>
      <c r="AD1638" s="1">
        <v>6.0630013820000004</v>
      </c>
      <c r="AE1638" s="1">
        <v>6.2394295809999996</v>
      </c>
    </row>
    <row r="1639" spans="1:31" x14ac:dyDescent="0.25">
      <c r="A1639" s="1" t="s">
        <v>1186</v>
      </c>
      <c r="B1639" s="1" t="s">
        <v>2642</v>
      </c>
      <c r="C1639" s="1" t="s">
        <v>2643</v>
      </c>
      <c r="D1639" s="1" t="s">
        <v>2644</v>
      </c>
      <c r="E1639" s="1" t="s">
        <v>2645</v>
      </c>
      <c r="G1639" s="1" t="s">
        <v>1186</v>
      </c>
      <c r="H1639" s="1">
        <v>1.7393328349999999</v>
      </c>
      <c r="I1639" s="1">
        <v>1.7393328349999999</v>
      </c>
      <c r="J1639" s="1">
        <v>1.7393328349999999</v>
      </c>
      <c r="K1639" s="1">
        <v>1.7393328349999999</v>
      </c>
      <c r="L1639" s="1">
        <v>2.315629231</v>
      </c>
      <c r="M1639" s="1">
        <v>1.7393328349999999</v>
      </c>
      <c r="N1639" s="1">
        <v>1.7393328349999999</v>
      </c>
      <c r="O1639" s="1">
        <v>1.7393328349999999</v>
      </c>
      <c r="P1639" s="1">
        <v>1.7393328349999999</v>
      </c>
      <c r="Q1639" s="1">
        <v>1.7393328349999999</v>
      </c>
      <c r="R1639" s="1">
        <v>1.7393328349999999</v>
      </c>
      <c r="S1639" s="1">
        <v>1.7393328349999999</v>
      </c>
      <c r="T1639" s="1">
        <v>2.315629231</v>
      </c>
      <c r="U1639" s="1">
        <v>1.7393328349999999</v>
      </c>
      <c r="V1639" s="1">
        <v>1.7393328349999999</v>
      </c>
      <c r="W1639" s="1">
        <v>1.7393328349999999</v>
      </c>
      <c r="X1639" s="1">
        <v>1.7393328349999999</v>
      </c>
      <c r="Y1639" s="1">
        <v>1.7393328349999999</v>
      </c>
      <c r="Z1639" s="1">
        <v>1.7393328349999999</v>
      </c>
      <c r="AA1639" s="1">
        <v>1.7393328349999999</v>
      </c>
      <c r="AB1639" s="1">
        <v>1.7393328349999999</v>
      </c>
      <c r="AC1639" s="1">
        <v>1.7393328349999999</v>
      </c>
      <c r="AD1639" s="1">
        <v>1.7393328349999999</v>
      </c>
      <c r="AE1639" s="1">
        <v>1.7393328349999999</v>
      </c>
    </row>
    <row r="1640" spans="1:31" x14ac:dyDescent="0.25">
      <c r="A1640" s="1" t="s">
        <v>1188</v>
      </c>
      <c r="B1640" s="1" t="s">
        <v>2530</v>
      </c>
      <c r="C1640" s="1" t="s">
        <v>2531</v>
      </c>
      <c r="D1640" s="1" t="s">
        <v>2535</v>
      </c>
      <c r="E1640" s="1" t="s">
        <v>2536</v>
      </c>
      <c r="G1640" s="1" t="s">
        <v>1188</v>
      </c>
      <c r="H1640" s="1">
        <v>1.7393328349999999</v>
      </c>
      <c r="I1640" s="1">
        <v>2.5655118899999998</v>
      </c>
      <c r="J1640" s="1">
        <v>1.7393328349999999</v>
      </c>
      <c r="K1640" s="1">
        <v>1.7393328349999999</v>
      </c>
      <c r="L1640" s="1">
        <v>1.7393328349999999</v>
      </c>
      <c r="M1640" s="1">
        <v>1.7393328349999999</v>
      </c>
      <c r="N1640" s="1">
        <v>1.7393328349999999</v>
      </c>
      <c r="O1640" s="1">
        <v>2.411448644</v>
      </c>
      <c r="P1640" s="1">
        <v>1.7393328349999999</v>
      </c>
      <c r="Q1640" s="1">
        <v>1.7393328349999999</v>
      </c>
      <c r="R1640" s="1">
        <v>1.7393328349999999</v>
      </c>
      <c r="S1640" s="1">
        <v>1.7393328349999999</v>
      </c>
      <c r="T1640" s="1">
        <v>1.7393328349999999</v>
      </c>
      <c r="U1640" s="1">
        <v>1.7393328349999999</v>
      </c>
      <c r="V1640" s="1">
        <v>1.7393328349999999</v>
      </c>
      <c r="W1640" s="1">
        <v>1.7393328349999999</v>
      </c>
      <c r="X1640" s="1">
        <v>1.7393328349999999</v>
      </c>
      <c r="Y1640" s="1">
        <v>1.7393328349999999</v>
      </c>
      <c r="Z1640" s="1">
        <v>1.7393328349999999</v>
      </c>
      <c r="AA1640" s="1">
        <v>1.7393328349999999</v>
      </c>
      <c r="AB1640" s="1">
        <v>1.7393328349999999</v>
      </c>
      <c r="AC1640" s="1">
        <v>1.7393328349999999</v>
      </c>
      <c r="AD1640" s="1">
        <v>1.7393328349999999</v>
      </c>
      <c r="AE1640" s="1">
        <v>2.6144016259999998</v>
      </c>
    </row>
    <row r="1641" spans="1:31" x14ac:dyDescent="0.25">
      <c r="A1641" s="1" t="s">
        <v>1190</v>
      </c>
      <c r="B1641" s="1" t="s">
        <v>2557</v>
      </c>
      <c r="C1641" s="1" t="s">
        <v>3497</v>
      </c>
      <c r="D1641" s="1" t="s">
        <v>5109</v>
      </c>
      <c r="E1641" s="1" t="s">
        <v>5110</v>
      </c>
      <c r="F1641" s="1" t="s">
        <v>5111</v>
      </c>
      <c r="G1641" s="1" t="s">
        <v>1190</v>
      </c>
      <c r="H1641" s="1">
        <v>2.9945681560000001</v>
      </c>
      <c r="I1641" s="1">
        <v>1.7393328349999999</v>
      </c>
      <c r="J1641" s="1">
        <v>2.5640169199999998</v>
      </c>
      <c r="K1641" s="1">
        <v>1.7393328349999999</v>
      </c>
      <c r="L1641" s="1">
        <v>2.9964092330000001</v>
      </c>
      <c r="M1641" s="1">
        <v>3.6044002019999999</v>
      </c>
      <c r="N1641" s="1">
        <v>2.9782685729999998</v>
      </c>
      <c r="O1641" s="1">
        <v>2.883783352</v>
      </c>
      <c r="P1641" s="1">
        <v>2.8687501260000001</v>
      </c>
      <c r="Q1641" s="1">
        <v>3.56206471</v>
      </c>
      <c r="R1641" s="1">
        <v>3.5594063970000001</v>
      </c>
      <c r="S1641" s="1">
        <v>3.1475403900000001</v>
      </c>
      <c r="T1641" s="1">
        <v>2.9964092330000001</v>
      </c>
      <c r="U1641" s="1">
        <v>3.6044002019999999</v>
      </c>
      <c r="V1641" s="1">
        <v>2.5140266200000001</v>
      </c>
      <c r="W1641" s="1">
        <v>2.6606351240000001</v>
      </c>
      <c r="X1641" s="1">
        <v>3.0884111989999998</v>
      </c>
      <c r="Y1641" s="1">
        <v>2.9733498090000001</v>
      </c>
      <c r="Z1641" s="1">
        <v>3.5594063970000001</v>
      </c>
      <c r="AA1641" s="1">
        <v>3.1475403900000001</v>
      </c>
      <c r="AB1641" s="1">
        <v>1.7393328349999999</v>
      </c>
      <c r="AC1641" s="1">
        <v>1.7393328349999999</v>
      </c>
      <c r="AD1641" s="1">
        <v>2.6025990879999998</v>
      </c>
      <c r="AE1641" s="1">
        <v>3.67472814</v>
      </c>
    </row>
    <row r="1642" spans="1:31" x14ac:dyDescent="0.25">
      <c r="A1642" s="1" t="s">
        <v>1191</v>
      </c>
      <c r="B1642" s="1" t="s">
        <v>2942</v>
      </c>
      <c r="C1642" s="1" t="s">
        <v>2943</v>
      </c>
      <c r="D1642" s="1" t="s">
        <v>2535</v>
      </c>
      <c r="E1642" s="1" t="s">
        <v>5112</v>
      </c>
      <c r="F1642" s="1" t="s">
        <v>5113</v>
      </c>
      <c r="G1642" s="1" t="s">
        <v>1191</v>
      </c>
      <c r="H1642" s="1">
        <v>3.8023684370000002</v>
      </c>
      <c r="I1642" s="1">
        <v>2.5655118899999998</v>
      </c>
      <c r="J1642" s="1">
        <v>3.6453331530000002</v>
      </c>
      <c r="K1642" s="1">
        <v>3.8998480660000001</v>
      </c>
      <c r="L1642" s="1">
        <v>3.7446308510000001</v>
      </c>
      <c r="M1642" s="1">
        <v>4.059937712</v>
      </c>
      <c r="N1642" s="1">
        <v>3.7025667929999999</v>
      </c>
      <c r="O1642" s="1">
        <v>3.434496577</v>
      </c>
      <c r="P1642" s="1">
        <v>4.2485661720000003</v>
      </c>
      <c r="Q1642" s="1">
        <v>4.18747588</v>
      </c>
      <c r="R1642" s="1">
        <v>3.386455024</v>
      </c>
      <c r="S1642" s="1">
        <v>3.5159502420000002</v>
      </c>
      <c r="T1642" s="1">
        <v>3.7446308510000001</v>
      </c>
      <c r="U1642" s="1">
        <v>4.059937712</v>
      </c>
      <c r="V1642" s="1">
        <v>3.3993802240000002</v>
      </c>
      <c r="W1642" s="1">
        <v>3.6840067150000002</v>
      </c>
      <c r="X1642" s="1">
        <v>3.4131791489999999</v>
      </c>
      <c r="Y1642" s="1">
        <v>3.7705059300000001</v>
      </c>
      <c r="Z1642" s="1">
        <v>3.386455024</v>
      </c>
      <c r="AA1642" s="1">
        <v>3.5159502420000002</v>
      </c>
      <c r="AB1642" s="1">
        <v>3.404153038</v>
      </c>
      <c r="AC1642" s="1">
        <v>3.7481372300000002</v>
      </c>
      <c r="AD1642" s="1">
        <v>3.984188064</v>
      </c>
      <c r="AE1642" s="1">
        <v>3.8864783150000002</v>
      </c>
    </row>
    <row r="1643" spans="1:31" x14ac:dyDescent="0.25">
      <c r="A1643" s="1" t="s">
        <v>1193</v>
      </c>
      <c r="B1643" s="1" t="s">
        <v>2530</v>
      </c>
      <c r="C1643" s="1" t="s">
        <v>2531</v>
      </c>
      <c r="D1643" s="1" t="s">
        <v>2535</v>
      </c>
      <c r="E1643" s="1" t="s">
        <v>5114</v>
      </c>
      <c r="F1643" s="1" t="s">
        <v>5115</v>
      </c>
      <c r="G1643" s="1" t="s">
        <v>1193</v>
      </c>
      <c r="H1643" s="1">
        <v>1.7393328349999999</v>
      </c>
      <c r="I1643" s="1">
        <v>1.7393328349999999</v>
      </c>
      <c r="J1643" s="1">
        <v>2.5640169199999998</v>
      </c>
      <c r="K1643" s="1">
        <v>1.7393328349999999</v>
      </c>
      <c r="L1643" s="1">
        <v>2.315629231</v>
      </c>
      <c r="M1643" s="1">
        <v>1.7393328349999999</v>
      </c>
      <c r="N1643" s="1">
        <v>2.372908427</v>
      </c>
      <c r="O1643" s="1">
        <v>2.411448644</v>
      </c>
      <c r="P1643" s="1">
        <v>1.7393328349999999</v>
      </c>
      <c r="Q1643" s="1">
        <v>1.7393328349999999</v>
      </c>
      <c r="R1643" s="1">
        <v>1.7393328349999999</v>
      </c>
      <c r="S1643" s="1">
        <v>2.5733617299999998</v>
      </c>
      <c r="T1643" s="1">
        <v>2.315629231</v>
      </c>
      <c r="U1643" s="1">
        <v>1.7393328349999999</v>
      </c>
      <c r="V1643" s="1">
        <v>1.7393328349999999</v>
      </c>
      <c r="W1643" s="1">
        <v>1.7393328349999999</v>
      </c>
      <c r="X1643" s="1">
        <v>2.6106888979999998</v>
      </c>
      <c r="Y1643" s="1">
        <v>1.7393328349999999</v>
      </c>
      <c r="Z1643" s="1">
        <v>1.7393328349999999</v>
      </c>
      <c r="AA1643" s="1">
        <v>2.5733617299999998</v>
      </c>
      <c r="AB1643" s="1">
        <v>1.7393328349999999</v>
      </c>
      <c r="AC1643" s="1">
        <v>1.7393328349999999</v>
      </c>
      <c r="AD1643" s="1">
        <v>3.3987395579999999</v>
      </c>
      <c r="AE1643" s="1">
        <v>2.3627668220000002</v>
      </c>
    </row>
    <row r="1644" spans="1:31" x14ac:dyDescent="0.25">
      <c r="A1644" s="1" t="s">
        <v>1194</v>
      </c>
      <c r="B1644" s="1" t="s">
        <v>2525</v>
      </c>
      <c r="C1644" s="1" t="s">
        <v>2749</v>
      </c>
      <c r="D1644" s="1" t="s">
        <v>2750</v>
      </c>
      <c r="E1644" s="1" t="s">
        <v>5116</v>
      </c>
      <c r="F1644" s="1" t="s">
        <v>5117</v>
      </c>
      <c r="G1644" s="1" t="s">
        <v>1194</v>
      </c>
      <c r="H1644" s="1">
        <v>6.9183184219999996</v>
      </c>
      <c r="I1644" s="1">
        <v>6.8685279430000001</v>
      </c>
      <c r="J1644" s="1">
        <v>7.9390401170000002</v>
      </c>
      <c r="K1644" s="1">
        <v>7.9405948430000004</v>
      </c>
      <c r="L1644" s="1">
        <v>8.4174882489999998</v>
      </c>
      <c r="M1644" s="1">
        <v>8.5207211279999999</v>
      </c>
      <c r="N1644" s="1">
        <v>8.1131302089999995</v>
      </c>
      <c r="O1644" s="1">
        <v>7.9622444550000004</v>
      </c>
      <c r="P1644" s="1">
        <v>7.8215934620000001</v>
      </c>
      <c r="Q1644" s="1">
        <v>8.0193056909999996</v>
      </c>
      <c r="R1644" s="1">
        <v>8.6839611019999996</v>
      </c>
      <c r="S1644" s="1">
        <v>8.4733681589999996</v>
      </c>
      <c r="T1644" s="1">
        <v>8.4174882489999998</v>
      </c>
      <c r="U1644" s="1">
        <v>8.5207211279999999</v>
      </c>
      <c r="V1644" s="1">
        <v>7.949747973</v>
      </c>
      <c r="W1644" s="1">
        <v>7.7860643029999999</v>
      </c>
      <c r="X1644" s="1">
        <v>8.3494043829999995</v>
      </c>
      <c r="Y1644" s="1">
        <v>8.0061295040000005</v>
      </c>
      <c r="Z1644" s="1">
        <v>8.6839611019999996</v>
      </c>
      <c r="AA1644" s="1">
        <v>8.4733681589999996</v>
      </c>
      <c r="AB1644" s="1">
        <v>8.3554046</v>
      </c>
      <c r="AC1644" s="1">
        <v>8.5806188950000006</v>
      </c>
      <c r="AD1644" s="1">
        <v>7.9253412259999996</v>
      </c>
      <c r="AE1644" s="1">
        <v>8.0498433850000009</v>
      </c>
    </row>
    <row r="1645" spans="1:31" x14ac:dyDescent="0.25">
      <c r="A1645" s="1" t="s">
        <v>1195</v>
      </c>
      <c r="B1645" s="1" t="s">
        <v>2530</v>
      </c>
      <c r="C1645" s="1" t="s">
        <v>2531</v>
      </c>
      <c r="D1645" s="1" t="s">
        <v>2535</v>
      </c>
      <c r="E1645" s="1" t="s">
        <v>2621</v>
      </c>
      <c r="G1645" s="1" t="s">
        <v>1195</v>
      </c>
      <c r="H1645" s="1">
        <v>7.1683487230000003</v>
      </c>
      <c r="I1645" s="1">
        <v>7.0992816530000002</v>
      </c>
      <c r="J1645" s="1">
        <v>6.4286153060000002</v>
      </c>
      <c r="K1645" s="1">
        <v>6.7389853689999999</v>
      </c>
      <c r="L1645" s="1">
        <v>6.7267116079999996</v>
      </c>
      <c r="M1645" s="1">
        <v>6.3311731590000004</v>
      </c>
      <c r="N1645" s="1">
        <v>7.4221318739999997</v>
      </c>
      <c r="O1645" s="1">
        <v>7.5212253389999999</v>
      </c>
      <c r="P1645" s="1">
        <v>6.429694821</v>
      </c>
      <c r="Q1645" s="1">
        <v>6.7145630089999999</v>
      </c>
      <c r="R1645" s="1">
        <v>6.0937807429999999</v>
      </c>
      <c r="S1645" s="1">
        <v>6.4595501860000004</v>
      </c>
      <c r="T1645" s="1">
        <v>6.7267116079999996</v>
      </c>
      <c r="U1645" s="1">
        <v>6.3311731590000004</v>
      </c>
      <c r="V1645" s="1">
        <v>6.4977915140000002</v>
      </c>
      <c r="W1645" s="1">
        <v>6.595535302</v>
      </c>
      <c r="X1645" s="1">
        <v>6.6985916860000003</v>
      </c>
      <c r="Y1645" s="1">
        <v>6.3541670720000001</v>
      </c>
      <c r="Z1645" s="1">
        <v>6.0937807429999999</v>
      </c>
      <c r="AA1645" s="1">
        <v>6.4595501860000004</v>
      </c>
      <c r="AB1645" s="1">
        <v>6.557950226</v>
      </c>
      <c r="AC1645" s="1">
        <v>6.6252225420000004</v>
      </c>
      <c r="AD1645" s="1">
        <v>6.554572984</v>
      </c>
      <c r="AE1645" s="1">
        <v>6.6110350100000002</v>
      </c>
    </row>
    <row r="1646" spans="1:31" x14ac:dyDescent="0.25">
      <c r="A1646" s="1" t="s">
        <v>1196</v>
      </c>
      <c r="B1646" s="1" t="s">
        <v>2525</v>
      </c>
      <c r="C1646" s="1" t="s">
        <v>3110</v>
      </c>
      <c r="D1646" s="1" t="s">
        <v>4127</v>
      </c>
      <c r="E1646" s="1" t="s">
        <v>5118</v>
      </c>
      <c r="F1646" s="1" t="s">
        <v>5119</v>
      </c>
      <c r="G1646" s="1" t="s">
        <v>1196</v>
      </c>
      <c r="H1646" s="1">
        <v>5.8817546890000001</v>
      </c>
      <c r="I1646" s="1">
        <v>6.1655807180000002</v>
      </c>
      <c r="J1646" s="1">
        <v>5.9407738800000001</v>
      </c>
      <c r="K1646" s="1">
        <v>5.6848657879999998</v>
      </c>
      <c r="L1646" s="1">
        <v>6.2409920359999997</v>
      </c>
      <c r="M1646" s="1">
        <v>6.0026802679999998</v>
      </c>
      <c r="N1646" s="1">
        <v>7.1097845480000004</v>
      </c>
      <c r="O1646" s="1">
        <v>6.4907517290000003</v>
      </c>
      <c r="P1646" s="1">
        <v>5.8072178450000003</v>
      </c>
      <c r="Q1646" s="1">
        <v>5.9062084209999997</v>
      </c>
      <c r="R1646" s="1">
        <v>5.57388789</v>
      </c>
      <c r="S1646" s="1">
        <v>5.9969908790000002</v>
      </c>
      <c r="T1646" s="1">
        <v>6.2409920359999997</v>
      </c>
      <c r="U1646" s="1">
        <v>6.0026802679999998</v>
      </c>
      <c r="V1646" s="1">
        <v>6.0372236819999996</v>
      </c>
      <c r="W1646" s="1">
        <v>5.9072448660000001</v>
      </c>
      <c r="X1646" s="1">
        <v>5.8879598250000003</v>
      </c>
      <c r="Y1646" s="1">
        <v>6.1840201749999997</v>
      </c>
      <c r="Z1646" s="1">
        <v>5.57388789</v>
      </c>
      <c r="AA1646" s="1">
        <v>5.9969908790000002</v>
      </c>
      <c r="AB1646" s="1">
        <v>5.675717079</v>
      </c>
      <c r="AC1646" s="1">
        <v>5.2411914069999996</v>
      </c>
      <c r="AD1646" s="1">
        <v>6.008703369</v>
      </c>
      <c r="AE1646" s="1">
        <v>5.8524340769999998</v>
      </c>
    </row>
    <row r="1647" spans="1:31" x14ac:dyDescent="0.25">
      <c r="A1647" s="1" t="s">
        <v>1198</v>
      </c>
      <c r="B1647" s="1" t="s">
        <v>2530</v>
      </c>
      <c r="C1647" s="1" t="s">
        <v>2531</v>
      </c>
      <c r="D1647" s="1" t="s">
        <v>2535</v>
      </c>
      <c r="E1647" s="1" t="s">
        <v>2536</v>
      </c>
      <c r="G1647" s="1" t="s">
        <v>1198</v>
      </c>
      <c r="H1647" s="1">
        <v>3.4660955969999998</v>
      </c>
      <c r="I1647" s="1">
        <v>3.7806045529999999</v>
      </c>
      <c r="J1647" s="1">
        <v>3.6453331530000002</v>
      </c>
      <c r="K1647" s="1">
        <v>4.4318297590000002</v>
      </c>
      <c r="L1647" s="1">
        <v>3.1084154310000001</v>
      </c>
      <c r="M1647" s="1">
        <v>3.6044002019999999</v>
      </c>
      <c r="N1647" s="1">
        <v>3.1147763629999998</v>
      </c>
      <c r="O1647" s="1">
        <v>3.7238257350000001</v>
      </c>
      <c r="P1647" s="1">
        <v>3.106446558</v>
      </c>
      <c r="Q1647" s="1">
        <v>3.185675432</v>
      </c>
      <c r="R1647" s="1">
        <v>3.968758995</v>
      </c>
      <c r="S1647" s="1">
        <v>3.7977317990000001</v>
      </c>
      <c r="T1647" s="1">
        <v>3.1084154310000001</v>
      </c>
      <c r="U1647" s="1">
        <v>3.6044002019999999</v>
      </c>
      <c r="V1647" s="1">
        <v>3.887436229</v>
      </c>
      <c r="W1647" s="1">
        <v>3.9848641250000001</v>
      </c>
      <c r="X1647" s="1">
        <v>4.1154863700000002</v>
      </c>
      <c r="Y1647" s="1">
        <v>4.0337379980000003</v>
      </c>
      <c r="Z1647" s="1">
        <v>3.968758995</v>
      </c>
      <c r="AA1647" s="1">
        <v>3.7977317990000001</v>
      </c>
      <c r="AB1647" s="1">
        <v>4.2729702720000002</v>
      </c>
      <c r="AC1647" s="1">
        <v>3.7481372300000002</v>
      </c>
      <c r="AD1647" s="1">
        <v>3.8610926929999998</v>
      </c>
      <c r="AE1647" s="1">
        <v>3.8864783150000002</v>
      </c>
    </row>
    <row r="1648" spans="1:31" x14ac:dyDescent="0.25">
      <c r="A1648" s="1" t="s">
        <v>1199</v>
      </c>
      <c r="B1648" s="1" t="s">
        <v>2557</v>
      </c>
      <c r="C1648" s="1" t="s">
        <v>2658</v>
      </c>
      <c r="D1648" s="1" t="s">
        <v>2659</v>
      </c>
      <c r="E1648" s="1" t="s">
        <v>5120</v>
      </c>
      <c r="F1648" s="1" t="s">
        <v>5121</v>
      </c>
      <c r="G1648" s="1" t="s">
        <v>1199</v>
      </c>
      <c r="H1648" s="1">
        <v>4.3886087140000001</v>
      </c>
      <c r="I1648" s="1">
        <v>5.009480355</v>
      </c>
      <c r="J1648" s="1">
        <v>3.8969924050000002</v>
      </c>
      <c r="K1648" s="1">
        <v>4.1384138449999996</v>
      </c>
      <c r="L1648" s="1">
        <v>4.1188213390000001</v>
      </c>
      <c r="M1648" s="1">
        <v>3.9251125939999998</v>
      </c>
      <c r="N1648" s="1">
        <v>4.210067993</v>
      </c>
      <c r="O1648" s="1">
        <v>4.385526188</v>
      </c>
      <c r="P1648" s="1">
        <v>3.7419514989999998</v>
      </c>
      <c r="Q1648" s="1">
        <v>3.7137735799999998</v>
      </c>
      <c r="R1648" s="1">
        <v>3.7109484589999999</v>
      </c>
      <c r="S1648" s="1">
        <v>3.9182367880000002</v>
      </c>
      <c r="T1648" s="1">
        <v>4.1188213390000001</v>
      </c>
      <c r="U1648" s="1">
        <v>3.9251125939999998</v>
      </c>
      <c r="V1648" s="1">
        <v>3.7819764450000002</v>
      </c>
      <c r="W1648" s="1">
        <v>3.6840067150000002</v>
      </c>
      <c r="X1648" s="1">
        <v>3.3149070109999998</v>
      </c>
      <c r="Y1648" s="1">
        <v>4.8904630100000004</v>
      </c>
      <c r="Z1648" s="1">
        <v>3.7109484589999999</v>
      </c>
      <c r="AA1648" s="1">
        <v>3.9182367880000002</v>
      </c>
      <c r="AB1648" s="1">
        <v>3.1218319999999999</v>
      </c>
      <c r="AC1648" s="1">
        <v>4.0753403910000001</v>
      </c>
      <c r="AD1648" s="1">
        <v>3.5727029510000001</v>
      </c>
      <c r="AE1648" s="1">
        <v>3.8196998459999998</v>
      </c>
    </row>
    <row r="1649" spans="1:31" x14ac:dyDescent="0.25">
      <c r="A1649" s="1" t="s">
        <v>1201</v>
      </c>
      <c r="B1649" s="1" t="s">
        <v>2642</v>
      </c>
      <c r="C1649" s="1" t="s">
        <v>2643</v>
      </c>
      <c r="D1649" s="1" t="s">
        <v>2687</v>
      </c>
      <c r="E1649" s="1" t="s">
        <v>2688</v>
      </c>
      <c r="F1649" s="1" t="s">
        <v>2689</v>
      </c>
      <c r="G1649" s="1" t="s">
        <v>1201</v>
      </c>
      <c r="H1649" s="1">
        <v>5.5896774330000003</v>
      </c>
      <c r="I1649" s="1">
        <v>5.9717652650000002</v>
      </c>
      <c r="J1649" s="1">
        <v>6.6218704260000001</v>
      </c>
      <c r="K1649" s="1">
        <v>6.3412685260000003</v>
      </c>
      <c r="L1649" s="1">
        <v>6.6818509820000003</v>
      </c>
      <c r="M1649" s="1">
        <v>6.4651725329999996</v>
      </c>
      <c r="N1649" s="1">
        <v>5.3372793730000003</v>
      </c>
      <c r="O1649" s="1">
        <v>5.1349072580000001</v>
      </c>
      <c r="P1649" s="1">
        <v>6.6776731939999996</v>
      </c>
      <c r="Q1649" s="1">
        <v>6.8726890640000002</v>
      </c>
      <c r="R1649" s="1">
        <v>6.239987642</v>
      </c>
      <c r="S1649" s="1">
        <v>5.9707657090000001</v>
      </c>
      <c r="T1649" s="1">
        <v>6.6818509820000003</v>
      </c>
      <c r="U1649" s="1">
        <v>6.4651725329999996</v>
      </c>
      <c r="V1649" s="1">
        <v>5.9476095180000002</v>
      </c>
      <c r="W1649" s="1">
        <v>5.872872095</v>
      </c>
      <c r="X1649" s="1">
        <v>6.1275895519999999</v>
      </c>
      <c r="Y1649" s="1">
        <v>6.6438618839999997</v>
      </c>
      <c r="Z1649" s="1">
        <v>6.239987642</v>
      </c>
      <c r="AA1649" s="1">
        <v>5.9707657090000001</v>
      </c>
      <c r="AB1649" s="1">
        <v>6.1835402750000004</v>
      </c>
      <c r="AC1649" s="1">
        <v>5.9492644930000003</v>
      </c>
      <c r="AD1649" s="1">
        <v>6.0361091350000002</v>
      </c>
      <c r="AE1649" s="1">
        <v>6.0995676599999999</v>
      </c>
    </row>
    <row r="1650" spans="1:31" x14ac:dyDescent="0.25">
      <c r="A1650" s="1" t="s">
        <v>1202</v>
      </c>
      <c r="B1650" s="1" t="s">
        <v>2557</v>
      </c>
      <c r="C1650" s="1" t="s">
        <v>2772</v>
      </c>
      <c r="D1650" s="1" t="s">
        <v>5122</v>
      </c>
      <c r="E1650" s="1" t="s">
        <v>5123</v>
      </c>
      <c r="F1650" s="1" t="s">
        <v>5124</v>
      </c>
      <c r="G1650" s="1" t="s">
        <v>1202</v>
      </c>
      <c r="H1650" s="1">
        <v>5.3232649629999997</v>
      </c>
      <c r="I1650" s="1">
        <v>5.0595268689999999</v>
      </c>
      <c r="J1650" s="1">
        <v>4.0065844400000001</v>
      </c>
      <c r="K1650" s="1">
        <v>4.3408695499999999</v>
      </c>
      <c r="L1650" s="1">
        <v>4.6513384469999997</v>
      </c>
      <c r="M1650" s="1">
        <v>4.4472617469999998</v>
      </c>
      <c r="N1650" s="1">
        <v>4.210067993</v>
      </c>
      <c r="O1650" s="1">
        <v>4.2767880749999998</v>
      </c>
      <c r="P1650" s="1">
        <v>4.5499605860000001</v>
      </c>
      <c r="Q1650" s="1">
        <v>4.8773483779999998</v>
      </c>
      <c r="R1650" s="1">
        <v>4.1841942410000001</v>
      </c>
      <c r="S1650" s="1">
        <v>4.5490843459999999</v>
      </c>
      <c r="T1650" s="1">
        <v>4.6513384469999997</v>
      </c>
      <c r="U1650" s="1">
        <v>4.4472617469999998</v>
      </c>
      <c r="V1650" s="1">
        <v>4.3163797720000003</v>
      </c>
      <c r="W1650" s="1">
        <v>4.5296290450000001</v>
      </c>
      <c r="X1650" s="1">
        <v>4.6475707550000003</v>
      </c>
      <c r="Y1650" s="1">
        <v>5.0702808140000002</v>
      </c>
      <c r="Z1650" s="1">
        <v>4.1841942410000001</v>
      </c>
      <c r="AA1650" s="1">
        <v>4.5490843459999999</v>
      </c>
      <c r="AB1650" s="1">
        <v>4.2729702720000002</v>
      </c>
      <c r="AC1650" s="1">
        <v>5.0638423939999999</v>
      </c>
      <c r="AD1650" s="1">
        <v>4.4715299570000004</v>
      </c>
      <c r="AE1650" s="1">
        <v>4.6572481659999996</v>
      </c>
    </row>
    <row r="1651" spans="1:31" x14ac:dyDescent="0.25">
      <c r="A1651" s="1" t="s">
        <v>1203</v>
      </c>
      <c r="B1651" s="1" t="s">
        <v>2557</v>
      </c>
      <c r="C1651" s="1" t="s">
        <v>2772</v>
      </c>
      <c r="D1651" s="1" t="s">
        <v>5125</v>
      </c>
      <c r="E1651" s="1" t="s">
        <v>5126</v>
      </c>
      <c r="F1651" s="1" t="s">
        <v>5127</v>
      </c>
      <c r="G1651" s="1" t="s">
        <v>1203</v>
      </c>
      <c r="H1651" s="1">
        <v>2.9945681560000001</v>
      </c>
      <c r="I1651" s="1">
        <v>4.1114152529999997</v>
      </c>
      <c r="J1651" s="1">
        <v>3.329519721</v>
      </c>
      <c r="K1651" s="1">
        <v>3.4309024589999999</v>
      </c>
      <c r="L1651" s="1">
        <v>3.6811173419999998</v>
      </c>
      <c r="M1651" s="1">
        <v>3.9251125939999998</v>
      </c>
      <c r="N1651" s="1">
        <v>4.2617896110000002</v>
      </c>
      <c r="O1651" s="1">
        <v>3.6346882059999999</v>
      </c>
      <c r="P1651" s="1">
        <v>2.5478783159999998</v>
      </c>
      <c r="Q1651" s="1">
        <v>3.388910638</v>
      </c>
      <c r="R1651" s="1">
        <v>3.7109484589999999</v>
      </c>
      <c r="S1651" s="1">
        <v>3.7977317990000001</v>
      </c>
      <c r="T1651" s="1">
        <v>3.6811173419999998</v>
      </c>
      <c r="U1651" s="1">
        <v>3.9251125939999998</v>
      </c>
      <c r="V1651" s="1">
        <v>3.9849921849999999</v>
      </c>
      <c r="W1651" s="1">
        <v>3.2870366010000001</v>
      </c>
      <c r="X1651" s="1">
        <v>3.6673381269999998</v>
      </c>
      <c r="Y1651" s="1">
        <v>4.0337379980000003</v>
      </c>
      <c r="Z1651" s="1">
        <v>3.7109484589999999</v>
      </c>
      <c r="AA1651" s="1">
        <v>3.7977317990000001</v>
      </c>
      <c r="AB1651" s="1">
        <v>3.6315729079999999</v>
      </c>
      <c r="AC1651" s="1">
        <v>4.1685844940000001</v>
      </c>
      <c r="AD1651" s="1">
        <v>3.8610926929999998</v>
      </c>
      <c r="AE1651" s="1">
        <v>4.0105905760000002</v>
      </c>
    </row>
    <row r="1652" spans="1:31" x14ac:dyDescent="0.25">
      <c r="A1652" s="1" t="s">
        <v>1204</v>
      </c>
      <c r="B1652" s="1" t="s">
        <v>2539</v>
      </c>
      <c r="C1652" s="1" t="s">
        <v>2563</v>
      </c>
      <c r="D1652" s="1" t="s">
        <v>2920</v>
      </c>
      <c r="E1652" s="1" t="s">
        <v>5128</v>
      </c>
      <c r="F1652" s="1" t="s">
        <v>5129</v>
      </c>
      <c r="G1652" s="1" t="s">
        <v>1204</v>
      </c>
      <c r="H1652" s="1">
        <v>3.6455184960000002</v>
      </c>
      <c r="I1652" s="1">
        <v>1.7393328349999999</v>
      </c>
      <c r="J1652" s="1">
        <v>2.5640169199999998</v>
      </c>
      <c r="K1652" s="1">
        <v>3.762021974</v>
      </c>
      <c r="L1652" s="1">
        <v>2.7248816410000001</v>
      </c>
      <c r="M1652" s="1">
        <v>3.027864058</v>
      </c>
      <c r="N1652" s="1">
        <v>3.5368298970000001</v>
      </c>
      <c r="O1652" s="1">
        <v>3.8071106499999998</v>
      </c>
      <c r="P1652" s="1">
        <v>3.3003929539999999</v>
      </c>
      <c r="Q1652" s="1">
        <v>3.388910638</v>
      </c>
      <c r="R1652" s="1">
        <v>3.1834741979999999</v>
      </c>
      <c r="S1652" s="1">
        <v>2.5733617299999998</v>
      </c>
      <c r="T1652" s="1">
        <v>2.7248816410000001</v>
      </c>
      <c r="U1652" s="1">
        <v>3.027864058</v>
      </c>
      <c r="V1652" s="1">
        <v>2.8225047829999999</v>
      </c>
      <c r="W1652" s="1">
        <v>3.6840067150000002</v>
      </c>
      <c r="X1652" s="1">
        <v>2.7988456519999998</v>
      </c>
      <c r="Y1652" s="1">
        <v>2.9733498090000001</v>
      </c>
      <c r="Z1652" s="1">
        <v>3.1834741979999999</v>
      </c>
      <c r="AA1652" s="1">
        <v>2.5733617299999998</v>
      </c>
      <c r="AB1652" s="1">
        <v>3.1218319999999999</v>
      </c>
      <c r="AC1652" s="1">
        <v>3.1109927919999998</v>
      </c>
      <c r="AD1652" s="1">
        <v>2.9432342459999998</v>
      </c>
      <c r="AE1652" s="1">
        <v>2.9592545700000001</v>
      </c>
    </row>
    <row r="1653" spans="1:31" x14ac:dyDescent="0.25">
      <c r="A1653" s="1" t="s">
        <v>1205</v>
      </c>
      <c r="B1653" s="1" t="s">
        <v>2557</v>
      </c>
      <c r="C1653" s="1" t="s">
        <v>2772</v>
      </c>
      <c r="D1653" s="1" t="s">
        <v>5130</v>
      </c>
      <c r="E1653" s="1" t="s">
        <v>5131</v>
      </c>
      <c r="F1653" s="1" t="s">
        <v>5132</v>
      </c>
      <c r="G1653" s="1" t="s">
        <v>1205</v>
      </c>
      <c r="H1653" s="1">
        <v>4.9322401630000003</v>
      </c>
      <c r="I1653" s="1">
        <v>5.1546023129999998</v>
      </c>
      <c r="J1653" s="1">
        <v>5.1501560140000002</v>
      </c>
      <c r="K1653" s="1">
        <v>5.2180867539999998</v>
      </c>
      <c r="L1653" s="1">
        <v>5.4841512059999999</v>
      </c>
      <c r="M1653" s="1">
        <v>5.2356861500000003</v>
      </c>
      <c r="N1653" s="1">
        <v>5.3605984370000002</v>
      </c>
      <c r="O1653" s="1">
        <v>5.4367285829999998</v>
      </c>
      <c r="P1653" s="1">
        <v>5.3900565609999997</v>
      </c>
      <c r="Q1653" s="1">
        <v>5.0479127070000001</v>
      </c>
      <c r="R1653" s="1">
        <v>4.8118229140000004</v>
      </c>
      <c r="S1653" s="1">
        <v>4.6194390810000003</v>
      </c>
      <c r="T1653" s="1">
        <v>5.4841512059999999</v>
      </c>
      <c r="U1653" s="1">
        <v>5.2356861500000003</v>
      </c>
      <c r="V1653" s="1">
        <v>5.3892424569999999</v>
      </c>
      <c r="W1653" s="1">
        <v>5.2774499109999997</v>
      </c>
      <c r="X1653" s="1">
        <v>5.0861518739999996</v>
      </c>
      <c r="Y1653" s="1">
        <v>5.2297915760000002</v>
      </c>
      <c r="Z1653" s="1">
        <v>4.8118229140000004</v>
      </c>
      <c r="AA1653" s="1">
        <v>4.6194390810000003</v>
      </c>
      <c r="AB1653" s="1">
        <v>4.6096720080000004</v>
      </c>
      <c r="AC1653" s="1">
        <v>4.7474570290000004</v>
      </c>
      <c r="AD1653" s="1">
        <v>5.2633210659999996</v>
      </c>
      <c r="AE1653" s="1">
        <v>5.1494525009999998</v>
      </c>
    </row>
    <row r="1654" spans="1:31" x14ac:dyDescent="0.25">
      <c r="A1654" s="1" t="s">
        <v>1209</v>
      </c>
      <c r="B1654" s="1" t="s">
        <v>2530</v>
      </c>
      <c r="C1654" s="1" t="s">
        <v>2531</v>
      </c>
      <c r="D1654" s="1" t="s">
        <v>2535</v>
      </c>
      <c r="E1654" s="1" t="s">
        <v>2536</v>
      </c>
      <c r="G1654" s="1" t="s">
        <v>1209</v>
      </c>
      <c r="H1654" s="1">
        <v>4.0684382540000001</v>
      </c>
      <c r="I1654" s="1">
        <v>4.4542943209999999</v>
      </c>
      <c r="J1654" s="1">
        <v>4.7851628320000001</v>
      </c>
      <c r="K1654" s="1">
        <v>4.3408695499999999</v>
      </c>
      <c r="L1654" s="1">
        <v>4.3335465510000004</v>
      </c>
      <c r="M1654" s="1">
        <v>4.5403831759999997</v>
      </c>
      <c r="N1654" s="1">
        <v>3.9164981490000002</v>
      </c>
      <c r="O1654" s="1">
        <v>4.6680836990000003</v>
      </c>
      <c r="P1654" s="1">
        <v>4.7972962780000001</v>
      </c>
      <c r="Q1654" s="1">
        <v>4.2835653880000004</v>
      </c>
      <c r="R1654" s="1">
        <v>4.7472384160000001</v>
      </c>
      <c r="S1654" s="1">
        <v>4.5490843459999999</v>
      </c>
      <c r="T1654" s="1">
        <v>4.3335465510000004</v>
      </c>
      <c r="U1654" s="1">
        <v>4.5403831759999997</v>
      </c>
      <c r="V1654" s="1">
        <v>4.3163797720000003</v>
      </c>
      <c r="W1654" s="1">
        <v>4.9190341039999996</v>
      </c>
      <c r="X1654" s="1">
        <v>4.6838774470000004</v>
      </c>
      <c r="Y1654" s="1">
        <v>4.2532353330000001</v>
      </c>
      <c r="Z1654" s="1">
        <v>4.7472384160000001</v>
      </c>
      <c r="AA1654" s="1">
        <v>4.5490843459999999</v>
      </c>
      <c r="AB1654" s="1">
        <v>3.6315729079999999</v>
      </c>
      <c r="AC1654" s="1">
        <v>5.1103036370000003</v>
      </c>
      <c r="AD1654" s="1">
        <v>4.4715299570000004</v>
      </c>
      <c r="AE1654" s="1">
        <v>4.4163948289999997</v>
      </c>
    </row>
    <row r="1655" spans="1:31" x14ac:dyDescent="0.25">
      <c r="A1655" s="1" t="s">
        <v>1210</v>
      </c>
      <c r="B1655" s="1" t="s">
        <v>2667</v>
      </c>
      <c r="C1655" s="1" t="s">
        <v>2668</v>
      </c>
      <c r="D1655" s="1" t="s">
        <v>2669</v>
      </c>
      <c r="E1655" s="1" t="s">
        <v>5133</v>
      </c>
      <c r="F1655" s="1" t="s">
        <v>5134</v>
      </c>
      <c r="G1655" s="1" t="s">
        <v>1210</v>
      </c>
      <c r="H1655" s="1">
        <v>5.5485883999999999</v>
      </c>
      <c r="I1655" s="1">
        <v>5.7776224090000001</v>
      </c>
      <c r="J1655" s="1">
        <v>6.5886089180000003</v>
      </c>
      <c r="K1655" s="1">
        <v>6.363994462</v>
      </c>
      <c r="L1655" s="1">
        <v>6.0182159679999998</v>
      </c>
      <c r="M1655" s="1">
        <v>6.1833887049999996</v>
      </c>
      <c r="N1655" s="1">
        <v>5.5749368700000002</v>
      </c>
      <c r="O1655" s="1">
        <v>5.6856657850000003</v>
      </c>
      <c r="P1655" s="1">
        <v>6.3556532560000001</v>
      </c>
      <c r="Q1655" s="1">
        <v>6.3770715449999997</v>
      </c>
      <c r="R1655" s="1">
        <v>6.8379355119999996</v>
      </c>
      <c r="S1655" s="1">
        <v>6.8236915869999999</v>
      </c>
      <c r="T1655" s="1">
        <v>6.0182159679999998</v>
      </c>
      <c r="U1655" s="1">
        <v>6.1833887049999996</v>
      </c>
      <c r="V1655" s="1">
        <v>6.8461137650000001</v>
      </c>
      <c r="W1655" s="1">
        <v>6.4401804780000003</v>
      </c>
      <c r="X1655" s="1">
        <v>6.5898507339999997</v>
      </c>
      <c r="Y1655" s="1">
        <v>6.7169455439999997</v>
      </c>
      <c r="Z1655" s="1">
        <v>6.8379355119999996</v>
      </c>
      <c r="AA1655" s="1">
        <v>6.8236915869999999</v>
      </c>
      <c r="AB1655" s="1">
        <v>6.1835402750000004</v>
      </c>
      <c r="AC1655" s="1">
        <v>6.6252225420000004</v>
      </c>
      <c r="AD1655" s="1">
        <v>6.6102586299999997</v>
      </c>
      <c r="AE1655" s="1">
        <v>6.3668783680000001</v>
      </c>
    </row>
    <row r="1656" spans="1:31" x14ac:dyDescent="0.25">
      <c r="A1656" s="1" t="s">
        <v>1219</v>
      </c>
      <c r="B1656" s="1" t="s">
        <v>2662</v>
      </c>
      <c r="C1656" s="1" t="s">
        <v>3291</v>
      </c>
      <c r="D1656" s="1" t="s">
        <v>5135</v>
      </c>
      <c r="E1656" s="1" t="s">
        <v>5136</v>
      </c>
      <c r="F1656" s="1" t="s">
        <v>5137</v>
      </c>
      <c r="G1656" s="1" t="s">
        <v>1219</v>
      </c>
      <c r="H1656" s="1">
        <v>5.2221022919999998</v>
      </c>
      <c r="I1656" s="1">
        <v>4.66484875</v>
      </c>
      <c r="J1656" s="1">
        <v>5.4400990890000003</v>
      </c>
      <c r="K1656" s="1">
        <v>5.8552832600000002</v>
      </c>
      <c r="L1656" s="1">
        <v>5.1724144110000001</v>
      </c>
      <c r="M1656" s="1">
        <v>5.5095176620000004</v>
      </c>
      <c r="N1656" s="1">
        <v>4.3116130799999999</v>
      </c>
      <c r="O1656" s="1">
        <v>4.385526188</v>
      </c>
      <c r="P1656" s="1">
        <v>4.8528499219999999</v>
      </c>
      <c r="Q1656" s="1">
        <v>5.3375178869999997</v>
      </c>
      <c r="R1656" s="1">
        <v>5.9309793060000002</v>
      </c>
      <c r="S1656" s="1">
        <v>5.3512993040000003</v>
      </c>
      <c r="T1656" s="1">
        <v>5.1724144110000001</v>
      </c>
      <c r="U1656" s="1">
        <v>5.5095176620000004</v>
      </c>
      <c r="V1656" s="1">
        <v>5.1679192199999999</v>
      </c>
      <c r="W1656" s="1">
        <v>5.2774499109999997</v>
      </c>
      <c r="X1656" s="1">
        <v>6.0197853329999997</v>
      </c>
      <c r="Y1656" s="1">
        <v>5.3731782380000004</v>
      </c>
      <c r="Z1656" s="1">
        <v>5.9309793060000002</v>
      </c>
      <c r="AA1656" s="1">
        <v>5.3512993040000003</v>
      </c>
      <c r="AB1656" s="1">
        <v>5.8927983030000002</v>
      </c>
      <c r="AC1656" s="1">
        <v>5.7302515789999999</v>
      </c>
      <c r="AD1656" s="1">
        <v>5.9231977699999998</v>
      </c>
      <c r="AE1656" s="1">
        <v>5.7368382310000001</v>
      </c>
    </row>
    <row r="1657" spans="1:31" x14ac:dyDescent="0.25">
      <c r="A1657" s="1" t="s">
        <v>1222</v>
      </c>
      <c r="B1657" s="1" t="s">
        <v>2547</v>
      </c>
      <c r="C1657" s="1" t="s">
        <v>2789</v>
      </c>
      <c r="D1657" s="1" t="s">
        <v>2535</v>
      </c>
      <c r="E1657" s="1" t="s">
        <v>5138</v>
      </c>
      <c r="F1657" s="1" t="s">
        <v>5139</v>
      </c>
      <c r="G1657" s="1" t="s">
        <v>1222</v>
      </c>
      <c r="H1657" s="1">
        <v>5.2221022919999998</v>
      </c>
      <c r="I1657" s="1">
        <v>5.8640648840000003</v>
      </c>
      <c r="J1657" s="1">
        <v>5.2392025899999997</v>
      </c>
      <c r="K1657" s="1">
        <v>4.4318297590000002</v>
      </c>
      <c r="L1657" s="1">
        <v>5.2153292420000001</v>
      </c>
      <c r="M1657" s="1">
        <v>5.4159199769999997</v>
      </c>
      <c r="N1657" s="1">
        <v>5.0517962220000001</v>
      </c>
      <c r="O1657" s="1">
        <v>5.4117878270000004</v>
      </c>
      <c r="P1657" s="1">
        <v>5.2736118430000003</v>
      </c>
      <c r="Q1657" s="1">
        <v>5.4222740280000004</v>
      </c>
      <c r="R1657" s="1">
        <v>5.2434057019999996</v>
      </c>
      <c r="S1657" s="1">
        <v>5.032286365</v>
      </c>
      <c r="T1657" s="1">
        <v>5.2153292420000001</v>
      </c>
      <c r="U1657" s="1">
        <v>5.4159199769999997</v>
      </c>
      <c r="V1657" s="1">
        <v>5.519727617</v>
      </c>
      <c r="W1657" s="1">
        <v>4.9854391920000003</v>
      </c>
      <c r="X1657" s="1">
        <v>5.9915198639999998</v>
      </c>
      <c r="Y1657" s="1">
        <v>4.8250325140000001</v>
      </c>
      <c r="Z1657" s="1">
        <v>5.2434057019999996</v>
      </c>
      <c r="AA1657" s="1">
        <v>5.032286365</v>
      </c>
      <c r="AB1657" s="1">
        <v>5.2406211000000003</v>
      </c>
      <c r="AC1657" s="1">
        <v>4.8053838390000001</v>
      </c>
      <c r="AD1657" s="1">
        <v>5.4791562909999998</v>
      </c>
      <c r="AE1657" s="1">
        <v>5.175187158</v>
      </c>
    </row>
    <row r="1658" spans="1:31" x14ac:dyDescent="0.25">
      <c r="A1658" s="1" t="s">
        <v>26</v>
      </c>
      <c r="B1658" s="1" t="s">
        <v>2662</v>
      </c>
      <c r="C1658" s="1" t="s">
        <v>3291</v>
      </c>
      <c r="D1658" s="1" t="s">
        <v>3292</v>
      </c>
      <c r="E1658" s="1" t="s">
        <v>5140</v>
      </c>
      <c r="G1658" s="1" t="s">
        <v>26</v>
      </c>
      <c r="H1658" s="1">
        <v>5.7431528099999998</v>
      </c>
      <c r="I1658" s="1">
        <v>5.2436995780000002</v>
      </c>
      <c r="J1658" s="1">
        <v>6.3513642939999997</v>
      </c>
      <c r="K1658" s="1">
        <v>6.0361807939999998</v>
      </c>
      <c r="L1658" s="1">
        <v>6.7630564729999998</v>
      </c>
      <c r="M1658" s="1">
        <v>6.8506223960000003</v>
      </c>
      <c r="N1658" s="1">
        <v>3.8490531570000002</v>
      </c>
      <c r="O1658" s="1">
        <v>4.5340058970000001</v>
      </c>
      <c r="P1658" s="1">
        <v>6.0615870090000001</v>
      </c>
      <c r="Q1658" s="1">
        <v>6.0722034220000003</v>
      </c>
      <c r="R1658" s="1">
        <v>6.7431387049999998</v>
      </c>
      <c r="S1658" s="1">
        <v>6.168262747</v>
      </c>
      <c r="T1658" s="1">
        <v>6.7630564729999998</v>
      </c>
      <c r="U1658" s="1">
        <v>6.8506223960000003</v>
      </c>
      <c r="V1658" s="1">
        <v>5.9476095180000002</v>
      </c>
      <c r="W1658" s="1">
        <v>6.4165513509999998</v>
      </c>
      <c r="X1658" s="1">
        <v>7.0595440749999998</v>
      </c>
      <c r="Y1658" s="1">
        <v>6.0769070919999999</v>
      </c>
      <c r="Z1658" s="1">
        <v>6.7431387049999998</v>
      </c>
      <c r="AA1658" s="1">
        <v>6.168262747</v>
      </c>
      <c r="AB1658" s="1">
        <v>6.8339958249999997</v>
      </c>
      <c r="AC1658" s="1">
        <v>6.8856954019999996</v>
      </c>
      <c r="AD1658" s="1">
        <v>6.53552176</v>
      </c>
      <c r="AE1658" s="1">
        <v>6.4319108390000004</v>
      </c>
    </row>
    <row r="1659" spans="1:31" x14ac:dyDescent="0.25">
      <c r="A1659" s="1" t="s">
        <v>1231</v>
      </c>
      <c r="B1659" s="1" t="s">
        <v>2539</v>
      </c>
      <c r="C1659" s="1" t="s">
        <v>2563</v>
      </c>
      <c r="D1659" s="1" t="s">
        <v>3740</v>
      </c>
      <c r="E1659" s="1" t="s">
        <v>5141</v>
      </c>
      <c r="F1659" s="1" t="s">
        <v>5142</v>
      </c>
      <c r="G1659" s="1" t="s">
        <v>1231</v>
      </c>
      <c r="H1659" s="1">
        <v>7.1133012090000003</v>
      </c>
      <c r="I1659" s="1">
        <v>6.3160597540000003</v>
      </c>
      <c r="J1659" s="1">
        <v>6.5019279570000004</v>
      </c>
      <c r="K1659" s="1">
        <v>6.3863668120000003</v>
      </c>
      <c r="L1659" s="1">
        <v>6.957483667</v>
      </c>
      <c r="M1659" s="1">
        <v>6.9030513070000001</v>
      </c>
      <c r="N1659" s="1">
        <v>6.7548624930000001</v>
      </c>
      <c r="O1659" s="1">
        <v>6.8826346169999999</v>
      </c>
      <c r="P1659" s="1">
        <v>6.1736452379999998</v>
      </c>
      <c r="Q1659" s="1">
        <v>6.5556885899999999</v>
      </c>
      <c r="R1659" s="1">
        <v>6.5512588940000001</v>
      </c>
      <c r="S1659" s="1">
        <v>6.5507675829999998</v>
      </c>
      <c r="T1659" s="1">
        <v>6.957483667</v>
      </c>
      <c r="U1659" s="1">
        <v>6.9030513070000001</v>
      </c>
      <c r="V1659" s="1">
        <v>6.71671408</v>
      </c>
      <c r="W1659" s="1">
        <v>6.5309970670000004</v>
      </c>
      <c r="X1659" s="1">
        <v>6.8158741230000004</v>
      </c>
      <c r="Y1659" s="1">
        <v>6.8528453679999997</v>
      </c>
      <c r="Z1659" s="1">
        <v>6.5512588940000001</v>
      </c>
      <c r="AA1659" s="1">
        <v>6.5507675829999998</v>
      </c>
      <c r="AB1659" s="1">
        <v>6.5830868880000004</v>
      </c>
      <c r="AC1659" s="1">
        <v>6.4923770970000003</v>
      </c>
      <c r="AD1659" s="1">
        <v>6.4768062029999998</v>
      </c>
      <c r="AE1659" s="1">
        <v>6.4736876839999997</v>
      </c>
    </row>
    <row r="1660" spans="1:31" x14ac:dyDescent="0.25">
      <c r="A1660" s="1" t="s">
        <v>1233</v>
      </c>
      <c r="B1660" s="1" t="s">
        <v>2530</v>
      </c>
      <c r="C1660" s="1" t="s">
        <v>2531</v>
      </c>
      <c r="D1660" s="1" t="s">
        <v>2535</v>
      </c>
      <c r="E1660" s="1" t="s">
        <v>5143</v>
      </c>
      <c r="G1660" s="1" t="s">
        <v>1233</v>
      </c>
      <c r="H1660" s="1">
        <v>4.9322401630000003</v>
      </c>
      <c r="I1660" s="1">
        <v>4.9575946069999999</v>
      </c>
      <c r="J1660" s="1">
        <v>5.8310524639999999</v>
      </c>
      <c r="K1660" s="1">
        <v>5.8227835140000002</v>
      </c>
      <c r="L1660" s="1">
        <v>6.3406371909999999</v>
      </c>
      <c r="M1660" s="1">
        <v>5.8857020010000003</v>
      </c>
      <c r="N1660" s="1">
        <v>5.894631425</v>
      </c>
      <c r="O1660" s="1">
        <v>5.984507765</v>
      </c>
      <c r="P1660" s="1">
        <v>5.9144375350000002</v>
      </c>
      <c r="Q1660" s="1">
        <v>6.045837068</v>
      </c>
      <c r="R1660" s="1">
        <v>5.987323913</v>
      </c>
      <c r="S1660" s="1">
        <v>6.3621547329999997</v>
      </c>
      <c r="T1660" s="1">
        <v>6.3406371909999999</v>
      </c>
      <c r="U1660" s="1">
        <v>5.8857020010000003</v>
      </c>
      <c r="V1660" s="1">
        <v>5.5505659869999997</v>
      </c>
      <c r="W1660" s="1">
        <v>5.329276363</v>
      </c>
      <c r="X1660" s="1">
        <v>5.7596503070000002</v>
      </c>
      <c r="Y1660" s="1">
        <v>5.4613266610000002</v>
      </c>
      <c r="Z1660" s="1">
        <v>5.987323913</v>
      </c>
      <c r="AA1660" s="1">
        <v>6.3621547329999997</v>
      </c>
      <c r="AB1660" s="1">
        <v>5.5787398220000002</v>
      </c>
      <c r="AC1660" s="1">
        <v>5.9492644930000003</v>
      </c>
      <c r="AD1660" s="1">
        <v>5.9231977699999998</v>
      </c>
      <c r="AE1660" s="1">
        <v>5.7368382310000001</v>
      </c>
    </row>
    <row r="1661" spans="1:31" x14ac:dyDescent="0.25">
      <c r="A1661" s="1" t="s">
        <v>1234</v>
      </c>
      <c r="B1661" s="1" t="s">
        <v>2530</v>
      </c>
      <c r="C1661" s="1" t="s">
        <v>2531</v>
      </c>
      <c r="D1661" s="1" t="s">
        <v>2535</v>
      </c>
      <c r="E1661" s="1" t="s">
        <v>2536</v>
      </c>
      <c r="G1661" s="1" t="s">
        <v>1234</v>
      </c>
      <c r="H1661" s="1">
        <v>5.3232649629999997</v>
      </c>
      <c r="I1661" s="1">
        <v>5.4447012069999996</v>
      </c>
      <c r="J1661" s="1">
        <v>4.2898244959999996</v>
      </c>
      <c r="K1661" s="1">
        <v>4.3408695499999999</v>
      </c>
      <c r="L1661" s="1">
        <v>3.6811173419999998</v>
      </c>
      <c r="M1661" s="1">
        <v>3.7747836370000001</v>
      </c>
      <c r="N1661" s="1">
        <v>4.765904581</v>
      </c>
      <c r="O1661" s="1">
        <v>5.1947693419999998</v>
      </c>
      <c r="P1661" s="1">
        <v>4.6160325330000003</v>
      </c>
      <c r="Q1661" s="1">
        <v>4.611970812</v>
      </c>
      <c r="R1661" s="1">
        <v>4.1841942410000001</v>
      </c>
      <c r="S1661" s="1">
        <v>4.0285685429999996</v>
      </c>
      <c r="T1661" s="1">
        <v>3.6811173419999998</v>
      </c>
      <c r="U1661" s="1">
        <v>3.7747836370000001</v>
      </c>
      <c r="V1661" s="1">
        <v>3.3993802240000002</v>
      </c>
      <c r="W1661" s="1">
        <v>3.50175473</v>
      </c>
      <c r="X1661" s="1">
        <v>4.407182283</v>
      </c>
      <c r="Y1661" s="1">
        <v>4.5275934409999996</v>
      </c>
      <c r="Z1661" s="1">
        <v>4.1841942410000001</v>
      </c>
      <c r="AA1661" s="1">
        <v>4.0285685429999996</v>
      </c>
      <c r="AB1661" s="1">
        <v>3.990981031</v>
      </c>
      <c r="AC1661" s="1">
        <v>4.1685844940000001</v>
      </c>
      <c r="AD1661" s="1">
        <v>5.0087140049999999</v>
      </c>
      <c r="AE1661" s="1">
        <v>4.3718229419999997</v>
      </c>
    </row>
    <row r="1662" spans="1:31" x14ac:dyDescent="0.25">
      <c r="A1662" s="1" t="s">
        <v>1235</v>
      </c>
      <c r="B1662" s="1" t="s">
        <v>2539</v>
      </c>
      <c r="C1662" s="1" t="s">
        <v>2540</v>
      </c>
      <c r="D1662" s="1" t="s">
        <v>2535</v>
      </c>
      <c r="E1662" s="1" t="s">
        <v>5144</v>
      </c>
      <c r="G1662" s="1" t="s">
        <v>1235</v>
      </c>
      <c r="H1662" s="1">
        <v>5.8483408880000001</v>
      </c>
      <c r="I1662" s="1">
        <v>5.9189259930000002</v>
      </c>
      <c r="J1662" s="1">
        <v>4.7851628320000001</v>
      </c>
      <c r="K1662" s="1">
        <v>5.1139224319999999</v>
      </c>
      <c r="L1662" s="1">
        <v>4.4478088219999998</v>
      </c>
      <c r="M1662" s="1">
        <v>4.3473799800000004</v>
      </c>
      <c r="N1662" s="1">
        <v>6.0019412369999996</v>
      </c>
      <c r="O1662" s="1">
        <v>6.173773679</v>
      </c>
      <c r="P1662" s="1">
        <v>4.7394495640000001</v>
      </c>
      <c r="Q1662" s="1">
        <v>5.1511590549999999</v>
      </c>
      <c r="R1662" s="1">
        <v>4.3698765340000003</v>
      </c>
      <c r="S1662" s="1">
        <v>4.6194390810000003</v>
      </c>
      <c r="T1662" s="1">
        <v>4.4478088219999998</v>
      </c>
      <c r="U1662" s="1">
        <v>4.3473799800000004</v>
      </c>
      <c r="V1662" s="1">
        <v>4.5207607210000003</v>
      </c>
      <c r="W1662" s="1">
        <v>4.5296290450000001</v>
      </c>
      <c r="X1662" s="1">
        <v>4.7537743670000001</v>
      </c>
      <c r="Y1662" s="1">
        <v>4.6842287809999998</v>
      </c>
      <c r="Z1662" s="1">
        <v>4.3698765340000003</v>
      </c>
      <c r="AA1662" s="1">
        <v>4.6194390810000003</v>
      </c>
      <c r="AB1662" s="1">
        <v>4.2729702720000002</v>
      </c>
      <c r="AC1662" s="1">
        <v>4.7474570290000004</v>
      </c>
      <c r="AD1662" s="1">
        <v>4.95179218</v>
      </c>
      <c r="AE1662" s="1">
        <v>5.2736981710000004</v>
      </c>
    </row>
    <row r="1663" spans="1:31" x14ac:dyDescent="0.25">
      <c r="A1663" s="1" t="s">
        <v>1236</v>
      </c>
      <c r="B1663" s="1" t="s">
        <v>2579</v>
      </c>
      <c r="C1663" s="1" t="s">
        <v>2983</v>
      </c>
      <c r="D1663" s="1" t="s">
        <v>2984</v>
      </c>
      <c r="E1663" s="1" t="s">
        <v>5145</v>
      </c>
      <c r="F1663" s="1" t="s">
        <v>5146</v>
      </c>
      <c r="G1663" s="1" t="s">
        <v>1236</v>
      </c>
      <c r="H1663" s="1">
        <v>8.2919520779999996</v>
      </c>
      <c r="I1663" s="1">
        <v>7.7391795520000004</v>
      </c>
      <c r="J1663" s="1">
        <v>9.1561548259999999</v>
      </c>
      <c r="K1663" s="1">
        <v>9.0314739199999998</v>
      </c>
      <c r="L1663" s="1">
        <v>8.8991577260000003</v>
      </c>
      <c r="M1663" s="1">
        <v>9.0790657400000008</v>
      </c>
      <c r="N1663" s="1">
        <v>6.8232102509999999</v>
      </c>
      <c r="O1663" s="1">
        <v>6.8644635369999998</v>
      </c>
      <c r="P1663" s="1">
        <v>8.7579610339999991</v>
      </c>
      <c r="Q1663" s="1">
        <v>8.7672135069999992</v>
      </c>
      <c r="R1663" s="1">
        <v>8.9151477250000006</v>
      </c>
      <c r="S1663" s="1">
        <v>8.862830486</v>
      </c>
      <c r="T1663" s="1">
        <v>8.8991577260000003</v>
      </c>
      <c r="U1663" s="1">
        <v>9.0790657400000008</v>
      </c>
      <c r="V1663" s="1">
        <v>8.8086985789999996</v>
      </c>
      <c r="W1663" s="1">
        <v>8.7920952890000006</v>
      </c>
      <c r="X1663" s="1">
        <v>9.1381318480000004</v>
      </c>
      <c r="Y1663" s="1">
        <v>8.7119043699999992</v>
      </c>
      <c r="Z1663" s="1">
        <v>8.9151477250000006</v>
      </c>
      <c r="AA1663" s="1">
        <v>8.862830486</v>
      </c>
      <c r="AB1663" s="1">
        <v>8.8081936249999995</v>
      </c>
      <c r="AC1663" s="1">
        <v>8.9687356220000005</v>
      </c>
      <c r="AD1663" s="1">
        <v>8.7450785539999991</v>
      </c>
      <c r="AE1663" s="1">
        <v>8.6950882860000007</v>
      </c>
    </row>
    <row r="1664" spans="1:31" x14ac:dyDescent="0.25">
      <c r="A1664" s="1" t="s">
        <v>1239</v>
      </c>
      <c r="B1664" s="1" t="s">
        <v>2662</v>
      </c>
      <c r="C1664" s="1" t="s">
        <v>3291</v>
      </c>
      <c r="D1664" s="1" t="s">
        <v>3304</v>
      </c>
      <c r="E1664" s="1" t="s">
        <v>5147</v>
      </c>
      <c r="F1664" s="1" t="s">
        <v>5148</v>
      </c>
      <c r="G1664" s="1" t="s">
        <v>1239</v>
      </c>
      <c r="H1664" s="1">
        <v>5.3232649629999997</v>
      </c>
      <c r="I1664" s="1">
        <v>5.4067069720000003</v>
      </c>
      <c r="J1664" s="1">
        <v>5.2817155790000001</v>
      </c>
      <c r="K1664" s="1">
        <v>5.3151275040000003</v>
      </c>
      <c r="L1664" s="1">
        <v>4.9864364329999997</v>
      </c>
      <c r="M1664" s="1">
        <v>4.930560163</v>
      </c>
      <c r="N1664" s="1">
        <v>4.6173662499999999</v>
      </c>
      <c r="O1664" s="1">
        <v>4.4368189940000002</v>
      </c>
      <c r="P1664" s="1">
        <v>5.7504406890000004</v>
      </c>
      <c r="Q1664" s="1">
        <v>5.1511590549999999</v>
      </c>
      <c r="R1664" s="1">
        <v>4.9894654599999999</v>
      </c>
      <c r="S1664" s="1">
        <v>5.0824952919999999</v>
      </c>
      <c r="T1664" s="1">
        <v>4.9864364329999997</v>
      </c>
      <c r="U1664" s="1">
        <v>4.930560163</v>
      </c>
      <c r="V1664" s="1">
        <v>4.998512388</v>
      </c>
      <c r="W1664" s="1">
        <v>4.9854391920000003</v>
      </c>
      <c r="X1664" s="1">
        <v>5.6186994139999999</v>
      </c>
      <c r="Y1664" s="1">
        <v>5.3269702959999998</v>
      </c>
      <c r="Z1664" s="1">
        <v>4.9894654599999999</v>
      </c>
      <c r="AA1664" s="1">
        <v>5.0824952919999999</v>
      </c>
      <c r="AB1664" s="1">
        <v>5.4746970709999996</v>
      </c>
      <c r="AC1664" s="1">
        <v>5.471555994</v>
      </c>
      <c r="AD1664" s="1">
        <v>5.6665831520000003</v>
      </c>
      <c r="AE1664" s="1">
        <v>5.1494525009999998</v>
      </c>
    </row>
    <row r="1665" spans="1:31" x14ac:dyDescent="0.25">
      <c r="A1665" s="1" t="s">
        <v>1240</v>
      </c>
      <c r="B1665" s="1" t="s">
        <v>2631</v>
      </c>
      <c r="C1665" s="1" t="s">
        <v>2531</v>
      </c>
      <c r="D1665" s="1" t="s">
        <v>3517</v>
      </c>
      <c r="E1665" s="1" t="s">
        <v>5149</v>
      </c>
      <c r="G1665" s="1" t="s">
        <v>1240</v>
      </c>
      <c r="H1665" s="1">
        <v>6.2317126350000001</v>
      </c>
      <c r="I1665" s="1">
        <v>6.0227272230000004</v>
      </c>
      <c r="J1665" s="1">
        <v>5.6488969620000002</v>
      </c>
      <c r="K1665" s="1">
        <v>5.6482047069999997</v>
      </c>
      <c r="L1665" s="1">
        <v>5.5357047289999999</v>
      </c>
      <c r="M1665" s="1">
        <v>5.5095176620000004</v>
      </c>
      <c r="N1665" s="1">
        <v>5.7078727669999996</v>
      </c>
      <c r="O1665" s="1">
        <v>6.1439115280000003</v>
      </c>
      <c r="P1665" s="1">
        <v>5.7211848500000002</v>
      </c>
      <c r="Q1665" s="1">
        <v>5.6846114249999999</v>
      </c>
      <c r="R1665" s="1">
        <v>5.8420803340000003</v>
      </c>
      <c r="S1665" s="1">
        <v>5.6117239269999999</v>
      </c>
      <c r="T1665" s="1">
        <v>5.5357047289999999</v>
      </c>
      <c r="U1665" s="1">
        <v>5.5095176620000004</v>
      </c>
      <c r="V1665" s="1">
        <v>5.9006116210000004</v>
      </c>
      <c r="W1665" s="1">
        <v>5.872872095</v>
      </c>
      <c r="X1665" s="1">
        <v>5.7596503070000002</v>
      </c>
      <c r="Y1665" s="1">
        <v>5.8995743010000004</v>
      </c>
      <c r="Z1665" s="1">
        <v>5.8420803340000003</v>
      </c>
      <c r="AA1665" s="1">
        <v>5.6117239269999999</v>
      </c>
      <c r="AB1665" s="1">
        <v>5.8098709350000002</v>
      </c>
      <c r="AC1665" s="1">
        <v>5.9236494000000004</v>
      </c>
      <c r="AD1665" s="1">
        <v>6.3732854110000003</v>
      </c>
      <c r="AE1665" s="1">
        <v>6.017118505</v>
      </c>
    </row>
    <row r="1666" spans="1:31" x14ac:dyDescent="0.25">
      <c r="A1666" s="1" t="s">
        <v>1241</v>
      </c>
      <c r="B1666" s="1" t="s">
        <v>2942</v>
      </c>
      <c r="C1666" s="1" t="s">
        <v>2943</v>
      </c>
      <c r="D1666" s="1" t="s">
        <v>2535</v>
      </c>
      <c r="E1666" s="1" t="s">
        <v>5150</v>
      </c>
      <c r="F1666" s="1" t="s">
        <v>5151</v>
      </c>
      <c r="G1666" s="1" t="s">
        <v>1241</v>
      </c>
      <c r="H1666" s="1">
        <v>8.3466496770000003</v>
      </c>
      <c r="I1666" s="1">
        <v>8.129590726</v>
      </c>
      <c r="J1666" s="1">
        <v>8.9026809</v>
      </c>
      <c r="K1666" s="1">
        <v>8.6756287000000007</v>
      </c>
      <c r="L1666" s="1">
        <v>8.5748910869999992</v>
      </c>
      <c r="M1666" s="1">
        <v>8.8153952150000006</v>
      </c>
      <c r="N1666" s="1">
        <v>7.8521878970000003</v>
      </c>
      <c r="O1666" s="1">
        <v>8.2160432960000005</v>
      </c>
      <c r="P1666" s="1">
        <v>8.9365658939999992</v>
      </c>
      <c r="Q1666" s="1">
        <v>8.9870422889999997</v>
      </c>
      <c r="R1666" s="1">
        <v>9.0299353680000003</v>
      </c>
      <c r="S1666" s="1">
        <v>9.0016971340000005</v>
      </c>
      <c r="T1666" s="1">
        <v>8.5748910869999992</v>
      </c>
      <c r="U1666" s="1">
        <v>8.8153952150000006</v>
      </c>
      <c r="V1666" s="1">
        <v>8.7635825530000009</v>
      </c>
      <c r="W1666" s="1">
        <v>8.5205101610000007</v>
      </c>
      <c r="X1666" s="1">
        <v>8.9255029780000008</v>
      </c>
      <c r="Y1666" s="1">
        <v>8.64799805</v>
      </c>
      <c r="Z1666" s="1">
        <v>9.0299353680000003</v>
      </c>
      <c r="AA1666" s="1">
        <v>9.0016971340000005</v>
      </c>
      <c r="AB1666" s="1">
        <v>9.1731151579999999</v>
      </c>
      <c r="AC1666" s="1">
        <v>9.1420834929999995</v>
      </c>
      <c r="AD1666" s="1">
        <v>9.1283113920000005</v>
      </c>
      <c r="AE1666" s="1">
        <v>9.0141617259999993</v>
      </c>
    </row>
    <row r="1667" spans="1:31" x14ac:dyDescent="0.25">
      <c r="A1667" s="1" t="s">
        <v>1242</v>
      </c>
      <c r="B1667" s="1" t="s">
        <v>2667</v>
      </c>
      <c r="C1667" s="1" t="s">
        <v>2875</v>
      </c>
      <c r="D1667" s="1" t="s">
        <v>4157</v>
      </c>
      <c r="E1667" s="1" t="s">
        <v>5152</v>
      </c>
      <c r="F1667" s="1" t="s">
        <v>5153</v>
      </c>
      <c r="G1667" s="1" t="s">
        <v>1242</v>
      </c>
      <c r="H1667" s="1">
        <v>7.6562259040000002</v>
      </c>
      <c r="I1667" s="1">
        <v>8.1864272410000005</v>
      </c>
      <c r="J1667" s="1">
        <v>8.1009749170000003</v>
      </c>
      <c r="K1667" s="1">
        <v>8.0704417080000006</v>
      </c>
      <c r="L1667" s="1">
        <v>7.5875160030000002</v>
      </c>
      <c r="M1667" s="1">
        <v>7.5976191770000003</v>
      </c>
      <c r="N1667" s="1">
        <v>8.0786209699999993</v>
      </c>
      <c r="O1667" s="1">
        <v>7.8696827960000002</v>
      </c>
      <c r="P1667" s="1">
        <v>8.0787576310000002</v>
      </c>
      <c r="Q1667" s="1">
        <v>8.1361207170000007</v>
      </c>
      <c r="R1667" s="1">
        <v>7.9383339499999996</v>
      </c>
      <c r="S1667" s="1">
        <v>8.0297248410000002</v>
      </c>
      <c r="T1667" s="1">
        <v>7.5875160030000002</v>
      </c>
      <c r="U1667" s="1">
        <v>7.5976191770000003</v>
      </c>
      <c r="V1667" s="1">
        <v>8.0868932999999998</v>
      </c>
      <c r="W1667" s="1">
        <v>8.1574524920000009</v>
      </c>
      <c r="X1667" s="1">
        <v>7.5928506740000001</v>
      </c>
      <c r="Y1667" s="1">
        <v>8.0909847639999999</v>
      </c>
      <c r="Z1667" s="1">
        <v>7.9383339499999996</v>
      </c>
      <c r="AA1667" s="1">
        <v>8.0297248410000002</v>
      </c>
      <c r="AB1667" s="1">
        <v>8.0206512459999999</v>
      </c>
      <c r="AC1667" s="1">
        <v>8.059776008</v>
      </c>
      <c r="AD1667" s="1">
        <v>7.9896783750000004</v>
      </c>
      <c r="AE1667" s="1">
        <v>8.0635699479999996</v>
      </c>
    </row>
    <row r="1668" spans="1:31" x14ac:dyDescent="0.25">
      <c r="A1668" s="1" t="s">
        <v>1243</v>
      </c>
      <c r="B1668" s="1" t="s">
        <v>2530</v>
      </c>
      <c r="C1668" s="1" t="s">
        <v>2531</v>
      </c>
      <c r="D1668" s="1" t="s">
        <v>2535</v>
      </c>
      <c r="E1668" s="1" t="s">
        <v>2536</v>
      </c>
      <c r="G1668" s="1" t="s">
        <v>1243</v>
      </c>
      <c r="H1668" s="1">
        <v>6.0081283179999998</v>
      </c>
      <c r="I1668" s="1">
        <v>6.1880668090000004</v>
      </c>
      <c r="J1668" s="1">
        <v>6.0178848</v>
      </c>
      <c r="K1668" s="1">
        <v>5.7206107949999998</v>
      </c>
      <c r="L1668" s="1">
        <v>6.155981819</v>
      </c>
      <c r="M1668" s="1">
        <v>6.1974695630000003</v>
      </c>
      <c r="N1668" s="1">
        <v>6.421619185</v>
      </c>
      <c r="O1668" s="1">
        <v>6.2458213499999999</v>
      </c>
      <c r="P1668" s="1">
        <v>5.8883751269999998</v>
      </c>
      <c r="Q1668" s="1">
        <v>5.9062084209999997</v>
      </c>
      <c r="R1668" s="1">
        <v>6.1192055940000003</v>
      </c>
      <c r="S1668" s="1">
        <v>5.7723891209999998</v>
      </c>
      <c r="T1668" s="1">
        <v>6.155981819</v>
      </c>
      <c r="U1668" s="1">
        <v>6.1974695630000003</v>
      </c>
      <c r="V1668" s="1">
        <v>5.8520207290000004</v>
      </c>
      <c r="W1668" s="1">
        <v>6.0370461979999996</v>
      </c>
      <c r="X1668" s="1">
        <v>5.7596503070000002</v>
      </c>
      <c r="Y1668" s="1">
        <v>5.5841077690000001</v>
      </c>
      <c r="Z1668" s="1">
        <v>6.1192055940000003</v>
      </c>
      <c r="AA1668" s="1">
        <v>5.7723891209999998</v>
      </c>
      <c r="AB1668" s="1">
        <v>5.9325296429999996</v>
      </c>
      <c r="AC1668" s="1">
        <v>5.8439382809999998</v>
      </c>
      <c r="AD1668" s="1">
        <v>6.0630013820000004</v>
      </c>
      <c r="AE1668" s="1">
        <v>5.6297370090000003</v>
      </c>
    </row>
    <row r="1669" spans="1:31" x14ac:dyDescent="0.25">
      <c r="A1669" s="1" t="s">
        <v>1244</v>
      </c>
      <c r="B1669" s="1" t="s">
        <v>2667</v>
      </c>
      <c r="C1669" s="1" t="s">
        <v>4077</v>
      </c>
      <c r="D1669" s="1" t="s">
        <v>5154</v>
      </c>
      <c r="E1669" s="1" t="s">
        <v>5155</v>
      </c>
      <c r="F1669" s="1" t="s">
        <v>5156</v>
      </c>
      <c r="G1669" s="1" t="s">
        <v>1244</v>
      </c>
      <c r="H1669" s="1">
        <v>6.1518914650000003</v>
      </c>
      <c r="I1669" s="1">
        <v>6.3160597540000003</v>
      </c>
      <c r="J1669" s="1">
        <v>6.6218704260000001</v>
      </c>
      <c r="K1669" s="1">
        <v>6.55382379</v>
      </c>
      <c r="L1669" s="1">
        <v>7.3310559489999996</v>
      </c>
      <c r="M1669" s="1">
        <v>6.9116068830000001</v>
      </c>
      <c r="N1669" s="1">
        <v>6.927790613</v>
      </c>
      <c r="O1669" s="1">
        <v>6.7304105019999998</v>
      </c>
      <c r="P1669" s="1">
        <v>6.6776731939999996</v>
      </c>
      <c r="Q1669" s="1">
        <v>6.4790268769999999</v>
      </c>
      <c r="R1669" s="1">
        <v>6.6932924079999996</v>
      </c>
      <c r="S1669" s="1">
        <v>6.8236915869999999</v>
      </c>
      <c r="T1669" s="1">
        <v>7.3310559489999996</v>
      </c>
      <c r="U1669" s="1">
        <v>6.9116068830000001</v>
      </c>
      <c r="V1669" s="1">
        <v>6.416733067</v>
      </c>
      <c r="W1669" s="1">
        <v>6.5743425210000002</v>
      </c>
      <c r="X1669" s="1">
        <v>6.807806319</v>
      </c>
      <c r="Y1669" s="1">
        <v>6.6058798599999999</v>
      </c>
      <c r="Z1669" s="1">
        <v>6.6932924079999996</v>
      </c>
      <c r="AA1669" s="1">
        <v>6.8236915869999999</v>
      </c>
      <c r="AB1669" s="1">
        <v>6.7253316390000002</v>
      </c>
      <c r="AC1669" s="1">
        <v>6.3651376319999997</v>
      </c>
      <c r="AD1669" s="1">
        <v>6.53552176</v>
      </c>
      <c r="AE1669" s="1">
        <v>6.6661093170000001</v>
      </c>
    </row>
    <row r="1670" spans="1:31" x14ac:dyDescent="0.25">
      <c r="A1670" s="1" t="s">
        <v>1245</v>
      </c>
      <c r="B1670" s="1" t="s">
        <v>2598</v>
      </c>
      <c r="C1670" s="1" t="s">
        <v>3183</v>
      </c>
      <c r="D1670" s="1" t="s">
        <v>5157</v>
      </c>
      <c r="E1670" s="1" t="s">
        <v>5158</v>
      </c>
      <c r="G1670" s="1" t="s">
        <v>1245</v>
      </c>
      <c r="H1670" s="1">
        <v>7.9113985979999999</v>
      </c>
      <c r="I1670" s="1">
        <v>7.8276055539999998</v>
      </c>
      <c r="J1670" s="1">
        <v>8.2988470999999997</v>
      </c>
      <c r="K1670" s="1">
        <v>8.2271730010000006</v>
      </c>
      <c r="L1670" s="1">
        <v>8.6290163670000002</v>
      </c>
      <c r="M1670" s="1">
        <v>8.6942718039999995</v>
      </c>
      <c r="N1670" s="1">
        <v>7.371702998</v>
      </c>
      <c r="O1670" s="1">
        <v>7.945065638</v>
      </c>
      <c r="P1670" s="1">
        <v>8.2669929530000008</v>
      </c>
      <c r="Q1670" s="1">
        <v>8.3392988960000007</v>
      </c>
      <c r="R1670" s="1">
        <v>8.7134076460000003</v>
      </c>
      <c r="S1670" s="1">
        <v>8.673116018</v>
      </c>
      <c r="T1670" s="1">
        <v>8.6290163670000002</v>
      </c>
      <c r="U1670" s="1">
        <v>8.6942718039999995</v>
      </c>
      <c r="V1670" s="1">
        <v>8.7471215030000007</v>
      </c>
      <c r="W1670" s="1">
        <v>8.4755447460000006</v>
      </c>
      <c r="X1670" s="1">
        <v>8.6671390039999991</v>
      </c>
      <c r="Y1670" s="1">
        <v>8.4587494490000008</v>
      </c>
      <c r="Z1670" s="1">
        <v>8.7134076460000003</v>
      </c>
      <c r="AA1670" s="1">
        <v>8.673116018</v>
      </c>
      <c r="AB1670" s="1">
        <v>8.6269151409999996</v>
      </c>
      <c r="AC1670" s="1">
        <v>8.6754873129999996</v>
      </c>
      <c r="AD1670" s="1">
        <v>8.6421011239999999</v>
      </c>
      <c r="AE1670" s="1">
        <v>8.3562241329999996</v>
      </c>
    </row>
    <row r="1671" spans="1:31" x14ac:dyDescent="0.25">
      <c r="A1671" s="1" t="s">
        <v>1247</v>
      </c>
      <c r="B1671" s="1" t="s">
        <v>2608</v>
      </c>
      <c r="C1671" s="1" t="s">
        <v>2700</v>
      </c>
      <c r="D1671" s="1" t="s">
        <v>3077</v>
      </c>
      <c r="E1671" s="1" t="s">
        <v>5159</v>
      </c>
      <c r="F1671" s="1" t="s">
        <v>5160</v>
      </c>
      <c r="G1671" s="1" t="s">
        <v>1247</v>
      </c>
      <c r="H1671" s="1">
        <v>8.3935873690000005</v>
      </c>
      <c r="I1671" s="1">
        <v>8.0943816900000005</v>
      </c>
      <c r="J1671" s="1">
        <v>6.1831700180000002</v>
      </c>
      <c r="K1671" s="1">
        <v>6.1968079280000001</v>
      </c>
      <c r="L1671" s="1">
        <v>5.3560765139999997</v>
      </c>
      <c r="M1671" s="1">
        <v>5.7583226490000001</v>
      </c>
      <c r="N1671" s="1">
        <v>7.593269265</v>
      </c>
      <c r="O1671" s="1">
        <v>7.9189075249999998</v>
      </c>
      <c r="P1671" s="1">
        <v>6.336531473</v>
      </c>
      <c r="Q1671" s="1">
        <v>6.289960497</v>
      </c>
      <c r="R1671" s="1">
        <v>5.4182058560000002</v>
      </c>
      <c r="S1671" s="1">
        <v>5.5773053920000004</v>
      </c>
      <c r="T1671" s="1">
        <v>5.3560765139999997</v>
      </c>
      <c r="U1671" s="1">
        <v>5.7583226490000001</v>
      </c>
      <c r="V1671" s="1">
        <v>5.8765220630000004</v>
      </c>
      <c r="W1671" s="1">
        <v>6.3680955829999997</v>
      </c>
      <c r="X1671" s="1">
        <v>6.21570512</v>
      </c>
      <c r="Y1671" s="1">
        <v>6.680867428</v>
      </c>
      <c r="Z1671" s="1">
        <v>5.4182058560000002</v>
      </c>
      <c r="AA1671" s="1">
        <v>5.5773053920000004</v>
      </c>
      <c r="AB1671" s="1">
        <v>6.2789960090000001</v>
      </c>
      <c r="AC1671" s="1">
        <v>6.1168053020000004</v>
      </c>
      <c r="AD1671" s="1">
        <v>6.3945942340000004</v>
      </c>
      <c r="AE1671" s="1">
        <v>6.5826869190000004</v>
      </c>
    </row>
    <row r="1672" spans="1:31" x14ac:dyDescent="0.25">
      <c r="A1672" s="1" t="s">
        <v>1249</v>
      </c>
      <c r="B1672" s="1" t="s">
        <v>2547</v>
      </c>
      <c r="C1672" s="1" t="s">
        <v>2566</v>
      </c>
      <c r="D1672" s="1" t="s">
        <v>5161</v>
      </c>
      <c r="E1672" s="1" t="s">
        <v>5162</v>
      </c>
      <c r="F1672" s="1" t="s">
        <v>5163</v>
      </c>
      <c r="G1672" s="1" t="s">
        <v>1249</v>
      </c>
      <c r="H1672" s="1">
        <v>8.5363732670000001</v>
      </c>
      <c r="I1672" s="1">
        <v>8.2781884750000003</v>
      </c>
      <c r="J1672" s="1">
        <v>7.7263587060000001</v>
      </c>
      <c r="K1672" s="1">
        <v>7.9100805850000002</v>
      </c>
      <c r="L1672" s="1">
        <v>7.5422545559999996</v>
      </c>
      <c r="M1672" s="1">
        <v>7.644543841</v>
      </c>
      <c r="N1672" s="1">
        <v>7.5981510090000004</v>
      </c>
      <c r="O1672" s="1">
        <v>7.9622444550000004</v>
      </c>
      <c r="P1672" s="1">
        <v>7.5587001300000001</v>
      </c>
      <c r="Q1672" s="1">
        <v>7.6429813979999999</v>
      </c>
      <c r="R1672" s="1">
        <v>7.4809224849999998</v>
      </c>
      <c r="S1672" s="1">
        <v>7.7587352269999998</v>
      </c>
      <c r="T1672" s="1">
        <v>7.5422545559999996</v>
      </c>
      <c r="U1672" s="1">
        <v>7.644543841</v>
      </c>
      <c r="V1672" s="1">
        <v>7.2899342779999996</v>
      </c>
      <c r="W1672" s="1">
        <v>7.3730432910000001</v>
      </c>
      <c r="X1672" s="1">
        <v>7.6480877080000003</v>
      </c>
      <c r="Y1672" s="1">
        <v>7.3195474049999998</v>
      </c>
      <c r="Z1672" s="1">
        <v>7.4809224849999998</v>
      </c>
      <c r="AA1672" s="1">
        <v>7.7587352269999998</v>
      </c>
      <c r="AB1672" s="1">
        <v>7.6684897779999996</v>
      </c>
      <c r="AC1672" s="1">
        <v>7.4303408089999996</v>
      </c>
      <c r="AD1672" s="1">
        <v>7.6167641579999996</v>
      </c>
      <c r="AE1672" s="1">
        <v>7.4039107590000004</v>
      </c>
    </row>
    <row r="1673" spans="1:31" x14ac:dyDescent="0.25">
      <c r="A1673" s="1" t="s">
        <v>1251</v>
      </c>
      <c r="B1673" s="1" t="s">
        <v>2530</v>
      </c>
      <c r="C1673" s="1" t="s">
        <v>2531</v>
      </c>
      <c r="D1673" s="1" t="s">
        <v>2535</v>
      </c>
      <c r="E1673" s="1" t="s">
        <v>5164</v>
      </c>
      <c r="G1673" s="1" t="s">
        <v>1251</v>
      </c>
      <c r="H1673" s="1">
        <v>7.0992043760000003</v>
      </c>
      <c r="I1673" s="1">
        <v>6.854556928</v>
      </c>
      <c r="J1673" s="1">
        <v>6.3905084429999999</v>
      </c>
      <c r="K1673" s="1">
        <v>6.4932884399999997</v>
      </c>
      <c r="L1673" s="1">
        <v>6.1668872849999996</v>
      </c>
      <c r="M1673" s="1">
        <v>6.1974695630000003</v>
      </c>
      <c r="N1673" s="1">
        <v>6.7894418200000004</v>
      </c>
      <c r="O1673" s="1">
        <v>7.0844913900000002</v>
      </c>
      <c r="P1673" s="1">
        <v>6.4115387159999999</v>
      </c>
      <c r="Q1673" s="1">
        <v>6.3341756560000002</v>
      </c>
      <c r="R1673" s="1">
        <v>6.3514004780000004</v>
      </c>
      <c r="S1673" s="1">
        <v>6.3212713310000002</v>
      </c>
      <c r="T1673" s="1">
        <v>6.1668872849999996</v>
      </c>
      <c r="U1673" s="1">
        <v>6.1974695630000003</v>
      </c>
      <c r="V1673" s="1">
        <v>6.1009432270000001</v>
      </c>
      <c r="W1673" s="1">
        <v>5.872872095</v>
      </c>
      <c r="X1673" s="1">
        <v>6.7245402959999998</v>
      </c>
      <c r="Y1673" s="1">
        <v>6.6058798599999999</v>
      </c>
      <c r="Z1673" s="1">
        <v>6.3514004780000004</v>
      </c>
      <c r="AA1673" s="1">
        <v>6.3212713310000002</v>
      </c>
      <c r="AB1673" s="1">
        <v>5.9325296429999996</v>
      </c>
      <c r="AC1673" s="1">
        <v>6.5768311190000004</v>
      </c>
      <c r="AD1673" s="1">
        <v>6.5733752870000002</v>
      </c>
      <c r="AE1673" s="1">
        <v>6.463356664</v>
      </c>
    </row>
    <row r="1674" spans="1:31" x14ac:dyDescent="0.25">
      <c r="A1674" s="1" t="s">
        <v>1253</v>
      </c>
      <c r="B1674" s="1" t="s">
        <v>2525</v>
      </c>
      <c r="C1674" s="1" t="s">
        <v>3175</v>
      </c>
      <c r="D1674" s="1" t="s">
        <v>3602</v>
      </c>
      <c r="E1674" s="1" t="s">
        <v>5165</v>
      </c>
      <c r="F1674" s="1" t="s">
        <v>5166</v>
      </c>
      <c r="G1674" s="1" t="s">
        <v>1253</v>
      </c>
      <c r="H1674" s="1">
        <v>7.2213707080000002</v>
      </c>
      <c r="I1674" s="1">
        <v>6.9885198099999997</v>
      </c>
      <c r="J1674" s="1">
        <v>6.863459046</v>
      </c>
      <c r="K1674" s="1">
        <v>6.9337055090000002</v>
      </c>
      <c r="L1674" s="1">
        <v>6.9699725700000004</v>
      </c>
      <c r="M1674" s="1">
        <v>6.5443727410000001</v>
      </c>
      <c r="N1674" s="1">
        <v>7.2024810180000003</v>
      </c>
      <c r="O1674" s="1">
        <v>7.1155467110000004</v>
      </c>
      <c r="P1674" s="1">
        <v>6.4476246020000003</v>
      </c>
      <c r="Q1674" s="1">
        <v>6.3770715449999997</v>
      </c>
      <c r="R1674" s="1">
        <v>6.3297979870000001</v>
      </c>
      <c r="S1674" s="1">
        <v>6.3821686289999997</v>
      </c>
      <c r="T1674" s="1">
        <v>6.9699725700000004</v>
      </c>
      <c r="U1674" s="1">
        <v>6.5443727410000001</v>
      </c>
      <c r="V1674" s="1">
        <v>6.2204802570000002</v>
      </c>
      <c r="W1674" s="1">
        <v>6.3432413370000003</v>
      </c>
      <c r="X1674" s="1">
        <v>6.2754923570000001</v>
      </c>
      <c r="Y1674" s="1">
        <v>5.9909787290000001</v>
      </c>
      <c r="Z1674" s="1">
        <v>6.3297979870000001</v>
      </c>
      <c r="AA1674" s="1">
        <v>6.3821686289999997</v>
      </c>
      <c r="AB1674" s="1">
        <v>6.557950226</v>
      </c>
      <c r="AC1674" s="1">
        <v>6.2255363350000001</v>
      </c>
      <c r="AD1674" s="1">
        <v>6.2145653230000004</v>
      </c>
      <c r="AE1674" s="1">
        <v>6.5826869190000004</v>
      </c>
    </row>
    <row r="1675" spans="1:31" x14ac:dyDescent="0.25">
      <c r="A1675" s="1" t="s">
        <v>1258</v>
      </c>
      <c r="B1675" s="1" t="s">
        <v>2598</v>
      </c>
      <c r="C1675" s="1" t="s">
        <v>2599</v>
      </c>
      <c r="D1675" s="1" t="s">
        <v>2535</v>
      </c>
      <c r="E1675" s="1" t="s">
        <v>5167</v>
      </c>
      <c r="F1675" s="1" t="s">
        <v>5168</v>
      </c>
      <c r="G1675" s="1" t="s">
        <v>1258</v>
      </c>
      <c r="H1675" s="1">
        <v>4.183793842</v>
      </c>
      <c r="I1675" s="1">
        <v>3.7806045529999999</v>
      </c>
      <c r="J1675" s="1">
        <v>4.2018709520000002</v>
      </c>
      <c r="K1675" s="1">
        <v>3.4309024589999999</v>
      </c>
      <c r="L1675" s="1">
        <v>4.9098563420000003</v>
      </c>
      <c r="M1675" s="1">
        <v>4.494607383</v>
      </c>
      <c r="N1675" s="1">
        <v>3.7025667929999999</v>
      </c>
      <c r="O1675" s="1">
        <v>4.1585876539999997</v>
      </c>
      <c r="P1675" s="1">
        <v>4.7394495640000001</v>
      </c>
      <c r="Q1675" s="1">
        <v>4.0840108080000004</v>
      </c>
      <c r="R1675" s="1">
        <v>4.8118229140000004</v>
      </c>
      <c r="S1675" s="1">
        <v>4.0285685429999996</v>
      </c>
      <c r="T1675" s="1">
        <v>4.9098563420000003</v>
      </c>
      <c r="U1675" s="1">
        <v>4.494607383</v>
      </c>
      <c r="V1675" s="1">
        <v>4.7533922439999996</v>
      </c>
      <c r="W1675" s="1">
        <v>4.7760085830000003</v>
      </c>
      <c r="X1675" s="1">
        <v>5.5030444689999998</v>
      </c>
      <c r="Y1675" s="1">
        <v>4.4420910779999998</v>
      </c>
      <c r="Z1675" s="1">
        <v>4.8118229140000004</v>
      </c>
      <c r="AA1675" s="1">
        <v>4.0285685429999996</v>
      </c>
      <c r="AB1675" s="1">
        <v>4.139369361</v>
      </c>
      <c r="AC1675" s="1">
        <v>5.1103036370000003</v>
      </c>
      <c r="AD1675" s="1">
        <v>4.95179218</v>
      </c>
      <c r="AE1675" s="1">
        <v>4.5014252270000004</v>
      </c>
    </row>
    <row r="1676" spans="1:31" x14ac:dyDescent="0.25">
      <c r="A1676" s="1" t="s">
        <v>1259</v>
      </c>
      <c r="B1676" s="1" t="s">
        <v>2667</v>
      </c>
      <c r="C1676" s="1" t="s">
        <v>3441</v>
      </c>
      <c r="D1676" s="1" t="s">
        <v>4954</v>
      </c>
      <c r="E1676" s="1" t="s">
        <v>5169</v>
      </c>
      <c r="F1676" s="1" t="s">
        <v>5170</v>
      </c>
      <c r="G1676" s="1" t="s">
        <v>1259</v>
      </c>
      <c r="H1676" s="1">
        <v>8.2857445219999999</v>
      </c>
      <c r="I1676" s="1">
        <v>8.5448126500000008</v>
      </c>
      <c r="J1676" s="1">
        <v>7.430646125</v>
      </c>
      <c r="K1676" s="1">
        <v>7.7383418519999996</v>
      </c>
      <c r="L1676" s="1">
        <v>6.4517555480000004</v>
      </c>
      <c r="M1676" s="1">
        <v>6.5333218540000004</v>
      </c>
      <c r="N1676" s="1">
        <v>8.0143439539999992</v>
      </c>
      <c r="O1676" s="1">
        <v>8.5586176559999991</v>
      </c>
      <c r="P1676" s="1">
        <v>6.9781248280000003</v>
      </c>
      <c r="Q1676" s="1">
        <v>6.8875871899999996</v>
      </c>
      <c r="R1676" s="1">
        <v>6.9970160760000004</v>
      </c>
      <c r="S1676" s="1">
        <v>6.9088697640000003</v>
      </c>
      <c r="T1676" s="1">
        <v>6.4517555480000004</v>
      </c>
      <c r="U1676" s="1">
        <v>6.5333218540000004</v>
      </c>
      <c r="V1676" s="1">
        <v>7.1161592210000002</v>
      </c>
      <c r="W1676" s="1">
        <v>7.0743350659999997</v>
      </c>
      <c r="X1676" s="1">
        <v>6.4722173280000002</v>
      </c>
      <c r="Y1676" s="1">
        <v>7.0064610119999999</v>
      </c>
      <c r="Z1676" s="1">
        <v>6.9970160760000004</v>
      </c>
      <c r="AA1676" s="1">
        <v>6.9088697640000003</v>
      </c>
      <c r="AB1676" s="1">
        <v>6.769786034</v>
      </c>
      <c r="AC1676" s="1">
        <v>6.9878835869999998</v>
      </c>
      <c r="AD1676" s="1">
        <v>7.199655763</v>
      </c>
      <c r="AE1676" s="1">
        <v>7.2562939550000003</v>
      </c>
    </row>
    <row r="1677" spans="1:31" x14ac:dyDescent="0.25">
      <c r="A1677" s="1" t="s">
        <v>1260</v>
      </c>
      <c r="B1677" s="1" t="s">
        <v>2530</v>
      </c>
      <c r="C1677" s="1" t="s">
        <v>2531</v>
      </c>
      <c r="D1677" s="1" t="s">
        <v>2535</v>
      </c>
      <c r="E1677" s="1" t="s">
        <v>2536</v>
      </c>
      <c r="G1677" s="1" t="s">
        <v>1260</v>
      </c>
      <c r="H1677" s="1">
        <v>6.7837339390000002</v>
      </c>
      <c r="I1677" s="1">
        <v>5.8640648840000003</v>
      </c>
      <c r="J1677" s="1">
        <v>5.2817155790000001</v>
      </c>
      <c r="K1677" s="1">
        <v>6.0075713720000001</v>
      </c>
      <c r="L1677" s="1">
        <v>5.6176953479999998</v>
      </c>
      <c r="M1677" s="1">
        <v>5.9030088159999998</v>
      </c>
      <c r="N1677" s="1">
        <v>7.3487111379999996</v>
      </c>
      <c r="O1677" s="1">
        <v>7.6111102730000004</v>
      </c>
      <c r="P1677" s="1">
        <v>6.2161300730000004</v>
      </c>
      <c r="Q1677" s="1">
        <v>5.9637007390000001</v>
      </c>
      <c r="R1677" s="1">
        <v>5.6102934549999999</v>
      </c>
      <c r="S1677" s="1">
        <v>6.0973467069999998</v>
      </c>
      <c r="T1677" s="1">
        <v>5.6176953479999998</v>
      </c>
      <c r="U1677" s="1">
        <v>5.9030088159999998</v>
      </c>
      <c r="V1677" s="1">
        <v>5.6103143839999996</v>
      </c>
      <c r="W1677" s="1">
        <v>5.5634106699999997</v>
      </c>
      <c r="X1677" s="1">
        <v>5.5426459120000002</v>
      </c>
      <c r="Y1677" s="1">
        <v>6.0201969059999998</v>
      </c>
      <c r="Z1677" s="1">
        <v>5.6102934549999999</v>
      </c>
      <c r="AA1677" s="1">
        <v>6.0973467069999998</v>
      </c>
      <c r="AB1677" s="1">
        <v>6.1161870470000004</v>
      </c>
      <c r="AC1677" s="1">
        <v>5.8439382809999998</v>
      </c>
      <c r="AD1677" s="1">
        <v>6.1407817189999996</v>
      </c>
      <c r="AE1677" s="1">
        <v>6.0029044730000001</v>
      </c>
    </row>
    <row r="1678" spans="1:31" x14ac:dyDescent="0.25">
      <c r="A1678" s="1" t="s">
        <v>1261</v>
      </c>
      <c r="B1678" s="1" t="s">
        <v>2579</v>
      </c>
      <c r="C1678" s="1" t="s">
        <v>2983</v>
      </c>
      <c r="D1678" s="1" t="s">
        <v>2984</v>
      </c>
      <c r="E1678" s="1" t="s">
        <v>2985</v>
      </c>
      <c r="F1678" s="1" t="s">
        <v>2986</v>
      </c>
      <c r="G1678" s="1" t="s">
        <v>1261</v>
      </c>
      <c r="H1678" s="1">
        <v>8.7942378550000004</v>
      </c>
      <c r="I1678" s="1">
        <v>8.7992100170000001</v>
      </c>
      <c r="J1678" s="1">
        <v>7.5986445360000001</v>
      </c>
      <c r="K1678" s="1">
        <v>8.455615002</v>
      </c>
      <c r="L1678" s="1">
        <v>7.2918110130000002</v>
      </c>
      <c r="M1678" s="1">
        <v>7.0184387069999996</v>
      </c>
      <c r="N1678" s="1">
        <v>8.2277975629999993</v>
      </c>
      <c r="O1678" s="1">
        <v>8.5838074249999998</v>
      </c>
      <c r="P1678" s="1">
        <v>7.5587001300000001</v>
      </c>
      <c r="Q1678" s="1">
        <v>7.4657939720000002</v>
      </c>
      <c r="R1678" s="1">
        <v>7.2930261510000003</v>
      </c>
      <c r="S1678" s="1">
        <v>7.2724296290000003</v>
      </c>
      <c r="T1678" s="1">
        <v>7.2918110130000002</v>
      </c>
      <c r="U1678" s="1">
        <v>7.0184387069999996</v>
      </c>
      <c r="V1678" s="1">
        <v>7.5321471390000001</v>
      </c>
      <c r="W1678" s="1">
        <v>7.4448055310000001</v>
      </c>
      <c r="X1678" s="1">
        <v>7.5058124949999998</v>
      </c>
      <c r="Y1678" s="1">
        <v>7.7862518840000003</v>
      </c>
      <c r="Z1678" s="1">
        <v>7.2930261510000003</v>
      </c>
      <c r="AA1678" s="1">
        <v>7.2724296290000003</v>
      </c>
      <c r="AB1678" s="1">
        <v>7.632857145</v>
      </c>
      <c r="AC1678" s="1">
        <v>7.5268229719999997</v>
      </c>
      <c r="AD1678" s="1">
        <v>7.9542904119999998</v>
      </c>
      <c r="AE1678" s="1">
        <v>7.7939628660000002</v>
      </c>
    </row>
    <row r="1679" spans="1:31" x14ac:dyDescent="0.25">
      <c r="A1679" s="1" t="s">
        <v>1264</v>
      </c>
      <c r="B1679" s="1" t="s">
        <v>2568</v>
      </c>
      <c r="C1679" s="1" t="s">
        <v>2589</v>
      </c>
      <c r="D1679" s="1" t="s">
        <v>2595</v>
      </c>
      <c r="E1679" s="1" t="s">
        <v>5171</v>
      </c>
      <c r="F1679" s="1" t="s">
        <v>5172</v>
      </c>
      <c r="G1679" s="1" t="s">
        <v>1264</v>
      </c>
      <c r="H1679" s="1">
        <v>6.1242673779999999</v>
      </c>
      <c r="I1679" s="1">
        <v>5.8358262759999997</v>
      </c>
      <c r="J1679" s="1">
        <v>6.6703645099999997</v>
      </c>
      <c r="K1679" s="1">
        <v>6.2219157379999999</v>
      </c>
      <c r="L1679" s="1">
        <v>6.5213350950000004</v>
      </c>
      <c r="M1679" s="1">
        <v>6.5983890030000003</v>
      </c>
      <c r="N1679" s="1">
        <v>6.0879362979999998</v>
      </c>
      <c r="O1679" s="1">
        <v>6.0012687509999996</v>
      </c>
      <c r="P1679" s="1">
        <v>6.5835451750000002</v>
      </c>
      <c r="Q1679" s="1">
        <v>6.6284720950000002</v>
      </c>
      <c r="R1679" s="1">
        <v>6.9693685500000004</v>
      </c>
      <c r="S1679" s="1">
        <v>7.015130621</v>
      </c>
      <c r="T1679" s="1">
        <v>6.5213350950000004</v>
      </c>
      <c r="U1679" s="1">
        <v>6.5983890030000003</v>
      </c>
      <c r="V1679" s="1">
        <v>6.71671408</v>
      </c>
      <c r="W1679" s="1">
        <v>7.1041979590000004</v>
      </c>
      <c r="X1679" s="1">
        <v>6.5516981799999998</v>
      </c>
      <c r="Y1679" s="1">
        <v>6.399298012</v>
      </c>
      <c r="Z1679" s="1">
        <v>6.9693685500000004</v>
      </c>
      <c r="AA1679" s="1">
        <v>7.015130621</v>
      </c>
      <c r="AB1679" s="1">
        <v>6.769786034</v>
      </c>
      <c r="AC1679" s="1">
        <v>6.9376954160000004</v>
      </c>
      <c r="AD1679" s="1">
        <v>6.7977787940000001</v>
      </c>
      <c r="AE1679" s="1">
        <v>6.5439993899999997</v>
      </c>
    </row>
    <row r="1680" spans="1:31" x14ac:dyDescent="0.25">
      <c r="A1680" s="1" t="s">
        <v>1265</v>
      </c>
      <c r="B1680" s="1" t="s">
        <v>2598</v>
      </c>
      <c r="C1680" s="1" t="s">
        <v>2603</v>
      </c>
      <c r="D1680" s="1" t="s">
        <v>3187</v>
      </c>
      <c r="E1680" s="1" t="s">
        <v>5173</v>
      </c>
      <c r="G1680" s="1" t="s">
        <v>1265</v>
      </c>
      <c r="H1680" s="1">
        <v>4.6479005740000003</v>
      </c>
      <c r="I1680" s="1">
        <v>5.1546023129999998</v>
      </c>
      <c r="J1680" s="1">
        <v>4.9532699769999997</v>
      </c>
      <c r="K1680" s="1">
        <v>4.7454889089999996</v>
      </c>
      <c r="L1680" s="1">
        <v>5.680061308</v>
      </c>
      <c r="M1680" s="1">
        <v>4.9970812499999999</v>
      </c>
      <c r="N1680" s="1">
        <v>4.765904581</v>
      </c>
      <c r="O1680" s="1">
        <v>4.5340058970000001</v>
      </c>
      <c r="P1680" s="1">
        <v>5.1467681949999999</v>
      </c>
      <c r="Q1680" s="1">
        <v>4.18747588</v>
      </c>
      <c r="R1680" s="1">
        <v>4.0808207129999996</v>
      </c>
      <c r="S1680" s="1">
        <v>5.4306817489999997</v>
      </c>
      <c r="T1680" s="1">
        <v>5.680061308</v>
      </c>
      <c r="U1680" s="1">
        <v>4.9970812499999999</v>
      </c>
      <c r="V1680" s="1">
        <v>4.6987742170000004</v>
      </c>
      <c r="W1680" s="1">
        <v>5.1095551629999996</v>
      </c>
      <c r="X1680" s="1">
        <v>4.97415056</v>
      </c>
      <c r="Y1680" s="1">
        <v>4.3509215530000001</v>
      </c>
      <c r="Z1680" s="1">
        <v>4.0808207129999996</v>
      </c>
      <c r="AA1680" s="1">
        <v>5.4306817489999997</v>
      </c>
      <c r="AB1680" s="1">
        <v>5.2406211000000003</v>
      </c>
      <c r="AC1680" s="1">
        <v>5.0638423939999999</v>
      </c>
      <c r="AD1680" s="1">
        <v>4.95179218</v>
      </c>
      <c r="AE1680" s="1">
        <v>4.6936201110000004</v>
      </c>
    </row>
    <row r="1681" spans="1:31" x14ac:dyDescent="0.25">
      <c r="A1681" s="1" t="s">
        <v>1270</v>
      </c>
      <c r="B1681" s="1" t="s">
        <v>2547</v>
      </c>
      <c r="C1681" s="1" t="s">
        <v>3061</v>
      </c>
      <c r="D1681" s="1" t="s">
        <v>4503</v>
      </c>
      <c r="E1681" s="1" t="s">
        <v>5174</v>
      </c>
      <c r="F1681" s="1" t="s">
        <v>5175</v>
      </c>
      <c r="G1681" s="1" t="s">
        <v>1270</v>
      </c>
      <c r="H1681" s="1">
        <v>4.8663747150000001</v>
      </c>
      <c r="I1681" s="1">
        <v>5.5529645800000003</v>
      </c>
      <c r="J1681" s="1">
        <v>5.2392025899999997</v>
      </c>
      <c r="K1681" s="1">
        <v>4.7454889089999996</v>
      </c>
      <c r="L1681" s="1">
        <v>5.9184294340000001</v>
      </c>
      <c r="M1681" s="1">
        <v>5.6184934039999996</v>
      </c>
      <c r="N1681" s="1">
        <v>5.7258938089999996</v>
      </c>
      <c r="O1681" s="1">
        <v>4.8288877169999997</v>
      </c>
      <c r="P1681" s="1">
        <v>5.0554269730000003</v>
      </c>
      <c r="Q1681" s="1">
        <v>5.6846114249999999</v>
      </c>
      <c r="R1681" s="1">
        <v>5.6457947050000001</v>
      </c>
      <c r="S1681" s="1">
        <v>5.3915434019999999</v>
      </c>
      <c r="T1681" s="1">
        <v>5.9184294340000001</v>
      </c>
      <c r="U1681" s="1">
        <v>5.6184934039999996</v>
      </c>
      <c r="V1681" s="1">
        <v>5.2828838410000003</v>
      </c>
      <c r="W1681" s="1">
        <v>5.4743148909999997</v>
      </c>
      <c r="X1681" s="1">
        <v>5.8252409690000002</v>
      </c>
      <c r="Y1681" s="1">
        <v>5.5841077690000001</v>
      </c>
      <c r="Z1681" s="1">
        <v>5.6457947050000001</v>
      </c>
      <c r="AA1681" s="1">
        <v>5.3915434019999999</v>
      </c>
      <c r="AB1681" s="1">
        <v>5.1073354020000004</v>
      </c>
      <c r="AC1681" s="1">
        <v>5.3610280289999999</v>
      </c>
      <c r="AD1681" s="1">
        <v>5.4385263000000004</v>
      </c>
      <c r="AE1681" s="1">
        <v>5.175187158</v>
      </c>
    </row>
    <row r="1682" spans="1:31" x14ac:dyDescent="0.25">
      <c r="A1682" s="1" t="s">
        <v>1271</v>
      </c>
      <c r="B1682" s="1" t="s">
        <v>2535</v>
      </c>
      <c r="C1682" s="1" t="s">
        <v>2535</v>
      </c>
      <c r="D1682" s="1" t="s">
        <v>2535</v>
      </c>
      <c r="E1682" s="1" t="s">
        <v>2535</v>
      </c>
      <c r="F1682" s="1" t="s">
        <v>2535</v>
      </c>
      <c r="G1682" s="1" t="s">
        <v>1271</v>
      </c>
      <c r="H1682" s="1">
        <v>2.9945681560000001</v>
      </c>
      <c r="I1682" s="1">
        <v>3.3322126910000001</v>
      </c>
      <c r="J1682" s="1">
        <v>1.7393328349999999</v>
      </c>
      <c r="K1682" s="1">
        <v>1.7393328349999999</v>
      </c>
      <c r="L1682" s="1">
        <v>2.315629231</v>
      </c>
      <c r="M1682" s="1">
        <v>2.665084539</v>
      </c>
      <c r="N1682" s="1">
        <v>2.372908427</v>
      </c>
      <c r="O1682" s="1">
        <v>1.7393328349999999</v>
      </c>
      <c r="P1682" s="1">
        <v>2.5478783159999998</v>
      </c>
      <c r="Q1682" s="1">
        <v>2.597100669</v>
      </c>
      <c r="R1682" s="1">
        <v>1.7393328349999999</v>
      </c>
      <c r="S1682" s="1">
        <v>1.7393328349999999</v>
      </c>
      <c r="T1682" s="1">
        <v>2.315629231</v>
      </c>
      <c r="U1682" s="1">
        <v>2.665084539</v>
      </c>
      <c r="V1682" s="1">
        <v>2.5140266200000001</v>
      </c>
      <c r="W1682" s="1">
        <v>2.6606351240000001</v>
      </c>
      <c r="X1682" s="1">
        <v>1.7393328349999999</v>
      </c>
      <c r="Y1682" s="1">
        <v>1.7393328349999999</v>
      </c>
      <c r="Z1682" s="1">
        <v>1.7393328349999999</v>
      </c>
      <c r="AA1682" s="1">
        <v>1.7393328349999999</v>
      </c>
      <c r="AB1682" s="1">
        <v>1.7393328349999999</v>
      </c>
      <c r="AC1682" s="1">
        <v>1.7393328349999999</v>
      </c>
      <c r="AD1682" s="1">
        <v>2.6025990879999998</v>
      </c>
      <c r="AE1682" s="1">
        <v>2.3627668220000002</v>
      </c>
    </row>
    <row r="1683" spans="1:31" x14ac:dyDescent="0.25">
      <c r="A1683" s="1" t="s">
        <v>1273</v>
      </c>
      <c r="B1683" s="1" t="s">
        <v>2530</v>
      </c>
      <c r="C1683" s="1" t="s">
        <v>2531</v>
      </c>
      <c r="D1683" s="1" t="s">
        <v>2535</v>
      </c>
      <c r="E1683" s="1" t="s">
        <v>5176</v>
      </c>
      <c r="F1683" s="1" t="s">
        <v>5177</v>
      </c>
      <c r="G1683" s="1" t="s">
        <v>1273</v>
      </c>
      <c r="H1683" s="1">
        <v>7.9194406559999999</v>
      </c>
      <c r="I1683" s="1">
        <v>7.4451590169999999</v>
      </c>
      <c r="J1683" s="1">
        <v>8.8120281919999996</v>
      </c>
      <c r="K1683" s="1">
        <v>8.8464825499999993</v>
      </c>
      <c r="L1683" s="1">
        <v>8.1910033720000008</v>
      </c>
      <c r="M1683" s="1">
        <v>8.4402793270000007</v>
      </c>
      <c r="N1683" s="1">
        <v>7.1029295010000002</v>
      </c>
      <c r="O1683" s="1">
        <v>7.2405391110000004</v>
      </c>
      <c r="P1683" s="1">
        <v>8.7615439859999995</v>
      </c>
      <c r="Q1683" s="1">
        <v>8.5874186699999999</v>
      </c>
      <c r="R1683" s="1">
        <v>9.0727604399999997</v>
      </c>
      <c r="S1683" s="1">
        <v>8.9723387169999995</v>
      </c>
      <c r="T1683" s="1">
        <v>8.1910033720000008</v>
      </c>
      <c r="U1683" s="1">
        <v>8.4402793270000007</v>
      </c>
      <c r="V1683" s="1">
        <v>8.799148937</v>
      </c>
      <c r="W1683" s="1">
        <v>8.7312336909999999</v>
      </c>
      <c r="X1683" s="1">
        <v>8.6604396910000006</v>
      </c>
      <c r="Y1683" s="1">
        <v>8.6149508400000006</v>
      </c>
      <c r="Z1683" s="1">
        <v>9.0727604399999997</v>
      </c>
      <c r="AA1683" s="1">
        <v>8.9723387169999995</v>
      </c>
      <c r="AB1683" s="1">
        <v>8.7484138920000003</v>
      </c>
      <c r="AC1683" s="1">
        <v>8.796512495</v>
      </c>
      <c r="AD1683" s="1">
        <v>8.5215650909999994</v>
      </c>
      <c r="AE1683" s="1">
        <v>8.6087902169999992</v>
      </c>
    </row>
    <row r="1684" spans="1:31" x14ac:dyDescent="0.25">
      <c r="A1684" s="1" t="s">
        <v>1274</v>
      </c>
      <c r="B1684" s="1" t="s">
        <v>2530</v>
      </c>
      <c r="C1684" s="1" t="s">
        <v>2573</v>
      </c>
      <c r="D1684" s="1" t="s">
        <v>2535</v>
      </c>
      <c r="E1684" s="1" t="s">
        <v>5178</v>
      </c>
      <c r="G1684" s="1" t="s">
        <v>1274</v>
      </c>
      <c r="H1684" s="1">
        <v>7.7584006839999997</v>
      </c>
      <c r="I1684" s="1">
        <v>8.0460580030000006</v>
      </c>
      <c r="J1684" s="1">
        <v>8.6683616719999996</v>
      </c>
      <c r="K1684" s="1">
        <v>8.4072782079999993</v>
      </c>
      <c r="L1684" s="1">
        <v>8.8289543699999999</v>
      </c>
      <c r="M1684" s="1">
        <v>8.6868200049999995</v>
      </c>
      <c r="N1684" s="1">
        <v>7.4867383759999999</v>
      </c>
      <c r="O1684" s="1">
        <v>7.4191532240000004</v>
      </c>
      <c r="P1684" s="1">
        <v>8.3878360890000003</v>
      </c>
      <c r="Q1684" s="1">
        <v>8.3008886319999995</v>
      </c>
      <c r="R1684" s="1">
        <v>8.3614609820000005</v>
      </c>
      <c r="S1684" s="1">
        <v>8.5056068119999999</v>
      </c>
      <c r="T1684" s="1">
        <v>8.8289543699999999</v>
      </c>
      <c r="U1684" s="1">
        <v>8.6868200049999995</v>
      </c>
      <c r="V1684" s="1">
        <v>8.7304704419999997</v>
      </c>
      <c r="W1684" s="1">
        <v>8.4408762329999991</v>
      </c>
      <c r="X1684" s="1">
        <v>8.0131837780000001</v>
      </c>
      <c r="Y1684" s="1">
        <v>8.5663872049999998</v>
      </c>
      <c r="Z1684" s="1">
        <v>8.3614609820000005</v>
      </c>
      <c r="AA1684" s="1">
        <v>8.5056068119999999</v>
      </c>
      <c r="AB1684" s="1">
        <v>8.056950552</v>
      </c>
      <c r="AC1684" s="1">
        <v>7.9814738600000004</v>
      </c>
      <c r="AD1684" s="1">
        <v>8.1294972320000003</v>
      </c>
      <c r="AE1684" s="1">
        <v>8.2906273820000003</v>
      </c>
    </row>
    <row r="1685" spans="1:31" x14ac:dyDescent="0.25">
      <c r="A1685" s="1" t="s">
        <v>1276</v>
      </c>
      <c r="B1685" s="1" t="s">
        <v>2525</v>
      </c>
      <c r="C1685" s="1" t="s">
        <v>2526</v>
      </c>
      <c r="D1685" s="1" t="s">
        <v>4068</v>
      </c>
      <c r="E1685" s="1" t="s">
        <v>5179</v>
      </c>
      <c r="F1685" s="1" t="s">
        <v>4122</v>
      </c>
      <c r="G1685" s="1" t="s">
        <v>1276</v>
      </c>
      <c r="H1685" s="1">
        <v>4.2900513550000001</v>
      </c>
      <c r="I1685" s="1">
        <v>3.9003964459999998</v>
      </c>
      <c r="J1685" s="1">
        <v>3.4977151119999998</v>
      </c>
      <c r="K1685" s="1">
        <v>3.22334677</v>
      </c>
      <c r="L1685" s="1">
        <v>3.971296959</v>
      </c>
      <c r="M1685" s="1">
        <v>3.6924658159999999</v>
      </c>
      <c r="N1685" s="1">
        <v>3.9806352139999999</v>
      </c>
      <c r="O1685" s="1">
        <v>3.5386882399999999</v>
      </c>
      <c r="P1685" s="1">
        <v>4.3303557189999999</v>
      </c>
      <c r="Q1685" s="1">
        <v>4.18747588</v>
      </c>
      <c r="R1685" s="1">
        <v>3.7109484589999999</v>
      </c>
      <c r="S1685" s="1">
        <v>4.0285685429999996</v>
      </c>
      <c r="T1685" s="1">
        <v>3.971296959</v>
      </c>
      <c r="U1685" s="1">
        <v>3.6924658159999999</v>
      </c>
      <c r="V1685" s="1">
        <v>4.0758289169999999</v>
      </c>
      <c r="W1685" s="1">
        <v>4.4367165279999998</v>
      </c>
      <c r="X1685" s="1">
        <v>4.5325909299999996</v>
      </c>
      <c r="Y1685" s="1">
        <v>4.2532353330000001</v>
      </c>
      <c r="Z1685" s="1">
        <v>3.7109484589999999</v>
      </c>
      <c r="AA1685" s="1">
        <v>4.0285685429999996</v>
      </c>
      <c r="AB1685" s="1">
        <v>4.2729702720000002</v>
      </c>
      <c r="AC1685" s="1">
        <v>3.9750819590000002</v>
      </c>
      <c r="AD1685" s="1">
        <v>3.5727029510000001</v>
      </c>
      <c r="AE1685" s="1">
        <v>4.5014252270000004</v>
      </c>
    </row>
    <row r="1686" spans="1:31" x14ac:dyDescent="0.25">
      <c r="A1686" s="1" t="s">
        <v>1277</v>
      </c>
      <c r="B1686" s="1" t="s">
        <v>2547</v>
      </c>
      <c r="C1686" s="1" t="s">
        <v>2622</v>
      </c>
      <c r="D1686" s="1" t="s">
        <v>2535</v>
      </c>
      <c r="E1686" s="1" t="s">
        <v>2932</v>
      </c>
      <c r="G1686" s="1" t="s">
        <v>1277</v>
      </c>
      <c r="H1686" s="1">
        <v>5.3712699940000004</v>
      </c>
      <c r="I1686" s="1">
        <v>5.8358262759999997</v>
      </c>
      <c r="J1686" s="1">
        <v>4.7851628320000001</v>
      </c>
      <c r="K1686" s="1">
        <v>5.0588199180000002</v>
      </c>
      <c r="L1686" s="1">
        <v>5.1504600580000002</v>
      </c>
      <c r="M1686" s="1">
        <v>5.0606078119999998</v>
      </c>
      <c r="N1686" s="1">
        <v>5.7436907640000001</v>
      </c>
      <c r="O1686" s="1">
        <v>5.3605571169999999</v>
      </c>
      <c r="P1686" s="1">
        <v>5.2325771159999999</v>
      </c>
      <c r="Q1686" s="1">
        <v>4.993318082</v>
      </c>
      <c r="R1686" s="1">
        <v>5.0440296189999998</v>
      </c>
      <c r="S1686" s="1">
        <v>4.6194390810000003</v>
      </c>
      <c r="T1686" s="1">
        <v>5.1504600580000002</v>
      </c>
      <c r="U1686" s="1">
        <v>5.0606078119999998</v>
      </c>
      <c r="V1686" s="1">
        <v>5.4882083000000002</v>
      </c>
      <c r="W1686" s="1">
        <v>5.0488589419999998</v>
      </c>
      <c r="X1686" s="1">
        <v>5.1646924079999996</v>
      </c>
      <c r="Y1686" s="1">
        <v>5.7329513619999997</v>
      </c>
      <c r="Z1686" s="1">
        <v>5.0440296189999998</v>
      </c>
      <c r="AA1686" s="1">
        <v>4.6194390810000003</v>
      </c>
      <c r="AB1686" s="1">
        <v>5.1073354020000004</v>
      </c>
      <c r="AC1686" s="1">
        <v>5.198889973</v>
      </c>
      <c r="AD1686" s="1">
        <v>5.4385263000000004</v>
      </c>
      <c r="AE1686" s="1">
        <v>5.4523450599999999</v>
      </c>
    </row>
    <row r="1687" spans="1:31" x14ac:dyDescent="0.25">
      <c r="A1687" s="1" t="s">
        <v>1278</v>
      </c>
      <c r="B1687" s="1" t="s">
        <v>2843</v>
      </c>
      <c r="C1687" s="1" t="s">
        <v>3903</v>
      </c>
      <c r="D1687" s="1" t="s">
        <v>5180</v>
      </c>
      <c r="E1687" s="1" t="s">
        <v>5181</v>
      </c>
      <c r="G1687" s="1" t="s">
        <v>1278</v>
      </c>
      <c r="H1687" s="1">
        <v>7.0265742270000002</v>
      </c>
      <c r="I1687" s="1">
        <v>6.7376237200000002</v>
      </c>
      <c r="J1687" s="1">
        <v>5.1953777219999999</v>
      </c>
      <c r="K1687" s="1">
        <v>5.5322182199999999</v>
      </c>
      <c r="L1687" s="1">
        <v>5.0352735380000002</v>
      </c>
      <c r="M1687" s="1">
        <v>4.9642129490000002</v>
      </c>
      <c r="N1687" s="1">
        <v>6.9959866049999997</v>
      </c>
      <c r="O1687" s="1">
        <v>7.0284800409999999</v>
      </c>
      <c r="P1687" s="1">
        <v>5.2736118430000003</v>
      </c>
      <c r="Q1687" s="1">
        <v>5.6499570400000003</v>
      </c>
      <c r="R1687" s="1">
        <v>5.0965654090000001</v>
      </c>
      <c r="S1687" s="1">
        <v>4.8114074450000004</v>
      </c>
      <c r="T1687" s="1">
        <v>5.0352735380000002</v>
      </c>
      <c r="U1687" s="1">
        <v>4.9642129490000002</v>
      </c>
      <c r="V1687" s="1">
        <v>5.0857495259999999</v>
      </c>
      <c r="W1687" s="1">
        <v>5.16775612</v>
      </c>
      <c r="X1687" s="1">
        <v>5.1899342839999996</v>
      </c>
      <c r="Y1687" s="1">
        <v>5.8995743010000004</v>
      </c>
      <c r="Z1687" s="1">
        <v>5.0965654090000001</v>
      </c>
      <c r="AA1687" s="1">
        <v>4.8114074450000004</v>
      </c>
      <c r="AB1687" s="1">
        <v>5.4196851610000003</v>
      </c>
      <c r="AC1687" s="1">
        <v>5.3610280289999999</v>
      </c>
      <c r="AD1687" s="1">
        <v>5.893524276</v>
      </c>
      <c r="AE1687" s="1">
        <v>5.6481534240000002</v>
      </c>
    </row>
    <row r="1688" spans="1:31" x14ac:dyDescent="0.25">
      <c r="A1688" s="1" t="s">
        <v>1280</v>
      </c>
      <c r="B1688" s="1" t="s">
        <v>2525</v>
      </c>
      <c r="C1688" s="1" t="s">
        <v>2526</v>
      </c>
      <c r="D1688" s="1" t="s">
        <v>2535</v>
      </c>
      <c r="E1688" s="1" t="s">
        <v>5182</v>
      </c>
      <c r="G1688" s="1" t="s">
        <v>1280</v>
      </c>
      <c r="H1688" s="1">
        <v>7.7403538870000004</v>
      </c>
      <c r="I1688" s="1">
        <v>7.8698649889999999</v>
      </c>
      <c r="J1688" s="1">
        <v>5.4770890750000003</v>
      </c>
      <c r="K1688" s="1">
        <v>5.6848657879999998</v>
      </c>
      <c r="L1688" s="1">
        <v>5.8523421369999999</v>
      </c>
      <c r="M1688" s="1">
        <v>5.6184934039999996</v>
      </c>
      <c r="N1688" s="1">
        <v>7.6460803840000002</v>
      </c>
      <c r="O1688" s="1">
        <v>7.7362317730000001</v>
      </c>
      <c r="P1688" s="1">
        <v>5.8883751269999998</v>
      </c>
      <c r="Q1688" s="1">
        <v>5.9637007390000001</v>
      </c>
      <c r="R1688" s="1">
        <v>5.7142579380000003</v>
      </c>
      <c r="S1688" s="1">
        <v>6.2136668149999998</v>
      </c>
      <c r="T1688" s="1">
        <v>5.8523421369999999</v>
      </c>
      <c r="U1688" s="1">
        <v>5.6184934039999996</v>
      </c>
      <c r="V1688" s="1">
        <v>5.8270932010000003</v>
      </c>
      <c r="W1688" s="1">
        <v>5.872872095</v>
      </c>
      <c r="X1688" s="1">
        <v>5.9480492979999999</v>
      </c>
      <c r="Y1688" s="1">
        <v>5.7678626939999997</v>
      </c>
      <c r="Z1688" s="1">
        <v>5.7142579380000003</v>
      </c>
      <c r="AA1688" s="1">
        <v>6.2136668149999998</v>
      </c>
      <c r="AB1688" s="1">
        <v>5.6280506069999996</v>
      </c>
      <c r="AC1688" s="1">
        <v>5.8439382809999998</v>
      </c>
      <c r="AD1688" s="1">
        <v>5.5571020090000003</v>
      </c>
      <c r="AE1688" s="1">
        <v>5.3433438500000001</v>
      </c>
    </row>
    <row r="1689" spans="1:31" x14ac:dyDescent="0.25">
      <c r="A1689" s="1" t="s">
        <v>1281</v>
      </c>
      <c r="B1689" s="1" t="s">
        <v>2539</v>
      </c>
      <c r="C1689" s="1" t="s">
        <v>2606</v>
      </c>
      <c r="D1689" s="1" t="s">
        <v>2535</v>
      </c>
      <c r="E1689" s="1" t="s">
        <v>5183</v>
      </c>
      <c r="F1689" s="1" t="s">
        <v>5184</v>
      </c>
      <c r="G1689" s="1" t="s">
        <v>1281</v>
      </c>
      <c r="H1689" s="1">
        <v>4.2900513550000001</v>
      </c>
      <c r="I1689" s="1">
        <v>5.2862358589999996</v>
      </c>
      <c r="J1689" s="1">
        <v>5.5483108110000003</v>
      </c>
      <c r="K1689" s="1">
        <v>5.3612725399999999</v>
      </c>
      <c r="L1689" s="1">
        <v>5.0110661050000003</v>
      </c>
      <c r="M1689" s="1">
        <v>5.3414536530000003</v>
      </c>
      <c r="N1689" s="1">
        <v>5.6896218779999996</v>
      </c>
      <c r="O1689" s="1">
        <v>5.9330167859999996</v>
      </c>
      <c r="P1689" s="1">
        <v>5.1903212940000003</v>
      </c>
      <c r="Q1689" s="1">
        <v>5.1004769559999996</v>
      </c>
      <c r="R1689" s="1">
        <v>5.0965654090000001</v>
      </c>
      <c r="S1689" s="1">
        <v>5.3915434019999999</v>
      </c>
      <c r="T1689" s="1">
        <v>5.0110661050000003</v>
      </c>
      <c r="U1689" s="1">
        <v>5.3414536530000003</v>
      </c>
      <c r="V1689" s="1">
        <v>5.4559769400000002</v>
      </c>
      <c r="W1689" s="1">
        <v>5.2774499109999997</v>
      </c>
      <c r="X1689" s="1">
        <v>5.0029944190000002</v>
      </c>
      <c r="Y1689" s="1">
        <v>5.1254702539999997</v>
      </c>
      <c r="Z1689" s="1">
        <v>5.0965654090000001</v>
      </c>
      <c r="AA1689" s="1">
        <v>5.3915434019999999</v>
      </c>
      <c r="AB1689" s="1">
        <v>5.1073354020000004</v>
      </c>
      <c r="AC1689" s="1">
        <v>5.1552886820000001</v>
      </c>
      <c r="AD1689" s="1">
        <v>5.396704357</v>
      </c>
      <c r="AE1689" s="1">
        <v>5.2004631630000002</v>
      </c>
    </row>
    <row r="1690" spans="1:31" x14ac:dyDescent="0.25">
      <c r="A1690" s="1" t="s">
        <v>1282</v>
      </c>
      <c r="B1690" s="1" t="s">
        <v>2598</v>
      </c>
      <c r="C1690" s="1" t="s">
        <v>2599</v>
      </c>
      <c r="D1690" s="1" t="s">
        <v>3080</v>
      </c>
      <c r="E1690" s="1" t="s">
        <v>5185</v>
      </c>
      <c r="F1690" s="1" t="s">
        <v>5186</v>
      </c>
      <c r="G1690" s="1" t="s">
        <v>1282</v>
      </c>
      <c r="H1690" s="1">
        <v>4.0684382540000001</v>
      </c>
      <c r="I1690" s="1">
        <v>4.5280931029999998</v>
      </c>
      <c r="J1690" s="1">
        <v>5.6809121170000001</v>
      </c>
      <c r="K1690" s="1">
        <v>5.4059688240000003</v>
      </c>
      <c r="L1690" s="1">
        <v>5.5187262759999998</v>
      </c>
      <c r="M1690" s="1">
        <v>6.0186391370000001</v>
      </c>
      <c r="N1690" s="1">
        <v>4.210067993</v>
      </c>
      <c r="O1690" s="1">
        <v>4.4862678239999996</v>
      </c>
      <c r="P1690" s="1">
        <v>5.7504406890000004</v>
      </c>
      <c r="Q1690" s="1">
        <v>5.6499570400000003</v>
      </c>
      <c r="R1690" s="1">
        <v>5.4981688889999996</v>
      </c>
      <c r="S1690" s="1">
        <v>5.7416668729999998</v>
      </c>
      <c r="T1690" s="1">
        <v>5.5187262759999998</v>
      </c>
      <c r="U1690" s="1">
        <v>6.0186391370000001</v>
      </c>
      <c r="V1690" s="1">
        <v>5.6676649780000004</v>
      </c>
      <c r="W1690" s="1">
        <v>5.6874298530000003</v>
      </c>
      <c r="X1690" s="1">
        <v>5.0029944190000002</v>
      </c>
      <c r="Y1690" s="1">
        <v>4.8904630100000004</v>
      </c>
      <c r="Z1690" s="1">
        <v>5.4981688889999996</v>
      </c>
      <c r="AA1690" s="1">
        <v>5.7416668729999998</v>
      </c>
      <c r="AB1690" s="1">
        <v>5.3028471579999996</v>
      </c>
      <c r="AC1690" s="1">
        <v>5.0638423939999999</v>
      </c>
      <c r="AD1690" s="1">
        <v>4.4715299570000004</v>
      </c>
      <c r="AE1690" s="1">
        <v>5.175187158</v>
      </c>
    </row>
    <row r="1691" spans="1:31" x14ac:dyDescent="0.25">
      <c r="A1691" s="1" t="s">
        <v>1283</v>
      </c>
      <c r="B1691" s="1" t="s">
        <v>2530</v>
      </c>
      <c r="C1691" s="1" t="s">
        <v>2531</v>
      </c>
      <c r="D1691" s="1" t="s">
        <v>2535</v>
      </c>
      <c r="E1691" s="1" t="s">
        <v>2536</v>
      </c>
      <c r="G1691" s="1" t="s">
        <v>1283</v>
      </c>
      <c r="H1691" s="1">
        <v>6.4696957609999997</v>
      </c>
      <c r="I1691" s="1">
        <v>6.5422250579999996</v>
      </c>
      <c r="J1691" s="1">
        <v>5.4400990890000003</v>
      </c>
      <c r="K1691" s="1">
        <v>5.7206107949999998</v>
      </c>
      <c r="L1691" s="1">
        <v>5.8923589620000003</v>
      </c>
      <c r="M1691" s="1">
        <v>5.2895531800000004</v>
      </c>
      <c r="N1691" s="1">
        <v>6.5278870189999996</v>
      </c>
      <c r="O1691" s="1">
        <v>5.7664208490000002</v>
      </c>
      <c r="P1691" s="1">
        <v>6.0141943849999997</v>
      </c>
      <c r="Q1691" s="1">
        <v>5.718446159</v>
      </c>
      <c r="R1691" s="1">
        <v>5.0440296189999998</v>
      </c>
      <c r="S1691" s="1">
        <v>5.3512993040000003</v>
      </c>
      <c r="T1691" s="1">
        <v>5.8923589620000003</v>
      </c>
      <c r="U1691" s="1">
        <v>5.2895531800000004</v>
      </c>
      <c r="V1691" s="1">
        <v>5.2828838410000003</v>
      </c>
      <c r="W1691" s="1">
        <v>5.427589942</v>
      </c>
      <c r="X1691" s="1">
        <v>5.3771830209999996</v>
      </c>
      <c r="Y1691" s="1">
        <v>5.3269702959999998</v>
      </c>
      <c r="Z1691" s="1">
        <v>5.0440296189999998</v>
      </c>
      <c r="AA1691" s="1">
        <v>5.3512993040000003</v>
      </c>
      <c r="AB1691" s="1">
        <v>4.7958605490000004</v>
      </c>
      <c r="AC1691" s="1">
        <v>4.9145215069999999</v>
      </c>
      <c r="AD1691" s="1">
        <v>5.7012900599999998</v>
      </c>
      <c r="AE1691" s="1">
        <v>5.0693189500000004</v>
      </c>
    </row>
    <row r="1692" spans="1:31" x14ac:dyDescent="0.25">
      <c r="A1692" s="1" t="s">
        <v>1284</v>
      </c>
      <c r="B1692" s="1" t="s">
        <v>2530</v>
      </c>
      <c r="C1692" s="1" t="s">
        <v>2531</v>
      </c>
      <c r="D1692" s="1" t="s">
        <v>2535</v>
      </c>
      <c r="E1692" s="1" t="s">
        <v>5187</v>
      </c>
      <c r="G1692" s="1" t="s">
        <v>1284</v>
      </c>
      <c r="H1692" s="1">
        <v>6.9657132009999998</v>
      </c>
      <c r="I1692" s="1">
        <v>7.2668382759999997</v>
      </c>
      <c r="J1692" s="1">
        <v>5.6161485820000001</v>
      </c>
      <c r="K1692" s="1">
        <v>5.4493056099999997</v>
      </c>
      <c r="L1692" s="1">
        <v>5.6647229430000001</v>
      </c>
      <c r="M1692" s="1">
        <v>5.1508485750000004</v>
      </c>
      <c r="N1692" s="1">
        <v>6.6738821269999997</v>
      </c>
      <c r="O1692" s="1">
        <v>6.1589202040000002</v>
      </c>
      <c r="P1692" s="1">
        <v>5.7791106289999998</v>
      </c>
      <c r="Q1692" s="1">
        <v>5.6499570400000003</v>
      </c>
      <c r="R1692" s="1">
        <v>4.8118229140000004</v>
      </c>
      <c r="S1692" s="1">
        <v>4.8699614389999999</v>
      </c>
      <c r="T1692" s="1">
        <v>5.6647229430000001</v>
      </c>
      <c r="U1692" s="1">
        <v>5.1508485750000004</v>
      </c>
      <c r="V1692" s="1">
        <v>5.695500268</v>
      </c>
      <c r="W1692" s="1">
        <v>5.0488589419999998</v>
      </c>
      <c r="X1692" s="1">
        <v>4.97415056</v>
      </c>
      <c r="Y1692" s="1">
        <v>5.9909787290000001</v>
      </c>
      <c r="Z1692" s="1">
        <v>4.8118229140000004</v>
      </c>
      <c r="AA1692" s="1">
        <v>4.8699614389999999</v>
      </c>
      <c r="AB1692" s="1">
        <v>5.1073354020000004</v>
      </c>
      <c r="AC1692" s="1">
        <v>5.7882226870000002</v>
      </c>
      <c r="AD1692" s="1">
        <v>5.5186611069999998</v>
      </c>
      <c r="AE1692" s="1">
        <v>5.5139573549999996</v>
      </c>
    </row>
    <row r="1693" spans="1:31" x14ac:dyDescent="0.25">
      <c r="A1693" s="1" t="s">
        <v>1285</v>
      </c>
      <c r="B1693" s="1" t="s">
        <v>2547</v>
      </c>
      <c r="C1693" s="1" t="s">
        <v>2789</v>
      </c>
      <c r="D1693" s="1" t="s">
        <v>2535</v>
      </c>
      <c r="E1693" s="1" t="s">
        <v>5138</v>
      </c>
      <c r="F1693" s="1" t="s">
        <v>5139</v>
      </c>
      <c r="G1693" s="1" t="s">
        <v>1285</v>
      </c>
      <c r="H1693" s="1">
        <v>4.183793842</v>
      </c>
      <c r="I1693" s="1">
        <v>4.5280931029999998</v>
      </c>
      <c r="J1693" s="1">
        <v>4.3724365990000003</v>
      </c>
      <c r="K1693" s="1">
        <v>3.607491666</v>
      </c>
      <c r="L1693" s="1">
        <v>4.1645832880000002</v>
      </c>
      <c r="M1693" s="1">
        <v>4.3473799800000004</v>
      </c>
      <c r="N1693" s="1">
        <v>4.210067993</v>
      </c>
      <c r="O1693" s="1">
        <v>4.5340058970000001</v>
      </c>
      <c r="P1693" s="1">
        <v>3.6116823170000001</v>
      </c>
      <c r="Q1693" s="1">
        <v>4.2835653880000004</v>
      </c>
      <c r="R1693" s="1">
        <v>3.8462631940000001</v>
      </c>
      <c r="S1693" s="1">
        <v>3.7977317990000001</v>
      </c>
      <c r="T1693" s="1">
        <v>4.1645832880000002</v>
      </c>
      <c r="U1693" s="1">
        <v>4.3473799800000004</v>
      </c>
      <c r="V1693" s="1">
        <v>3.7819764450000002</v>
      </c>
      <c r="W1693" s="1">
        <v>4.6166922860000001</v>
      </c>
      <c r="X1693" s="1">
        <v>4.4502657640000001</v>
      </c>
      <c r="Y1693" s="1">
        <v>4.4420910779999998</v>
      </c>
      <c r="Z1693" s="1">
        <v>3.8462631940000001</v>
      </c>
      <c r="AA1693" s="1">
        <v>3.7977317990000001</v>
      </c>
      <c r="AB1693" s="1">
        <v>3.990981031</v>
      </c>
      <c r="AC1693" s="1">
        <v>4.0753403910000001</v>
      </c>
      <c r="AD1693" s="1">
        <v>4.2005997429999997</v>
      </c>
      <c r="AE1693" s="1">
        <v>4.5014252270000004</v>
      </c>
    </row>
    <row r="1694" spans="1:31" x14ac:dyDescent="0.25">
      <c r="A1694" s="1" t="s">
        <v>1287</v>
      </c>
      <c r="B1694" s="1" t="s">
        <v>2631</v>
      </c>
      <c r="C1694" s="1" t="s">
        <v>2980</v>
      </c>
      <c r="D1694" s="1" t="s">
        <v>2691</v>
      </c>
      <c r="E1694" s="1" t="s">
        <v>5188</v>
      </c>
      <c r="F1694" s="1" t="s">
        <v>5189</v>
      </c>
      <c r="G1694" s="1" t="s">
        <v>1287</v>
      </c>
      <c r="H1694" s="1">
        <v>4.0684382540000001</v>
      </c>
      <c r="I1694" s="1">
        <v>4.0101074990000001</v>
      </c>
      <c r="J1694" s="1">
        <v>4.2018709520000002</v>
      </c>
      <c r="K1694" s="1">
        <v>3.22334677</v>
      </c>
      <c r="L1694" s="1">
        <v>3.3025959560000002</v>
      </c>
      <c r="M1694" s="1">
        <v>3.8521266660000002</v>
      </c>
      <c r="N1694" s="1">
        <v>3.1147763629999998</v>
      </c>
      <c r="O1694" s="1">
        <v>3.5386882399999999</v>
      </c>
      <c r="P1694" s="1">
        <v>4.2485661720000003</v>
      </c>
      <c r="Q1694" s="1">
        <v>3.7137735799999998</v>
      </c>
      <c r="R1694" s="1">
        <v>4.2802026870000001</v>
      </c>
      <c r="S1694" s="1">
        <v>3.9182367880000002</v>
      </c>
      <c r="T1694" s="1">
        <v>3.3025959560000002</v>
      </c>
      <c r="U1694" s="1">
        <v>3.8521266660000002</v>
      </c>
      <c r="V1694" s="1">
        <v>4.2408545169999998</v>
      </c>
      <c r="W1694" s="1">
        <v>4.2295768090000001</v>
      </c>
      <c r="X1694" s="1">
        <v>4.0022987600000004</v>
      </c>
      <c r="Y1694" s="1">
        <v>3.4382968329999999</v>
      </c>
      <c r="Z1694" s="1">
        <v>4.2802026870000001</v>
      </c>
      <c r="AA1694" s="1">
        <v>3.9182367880000002</v>
      </c>
      <c r="AB1694" s="1">
        <v>3.8237667059999998</v>
      </c>
      <c r="AC1694" s="1">
        <v>4.415017905</v>
      </c>
      <c r="AD1694" s="1">
        <v>3.984188064</v>
      </c>
      <c r="AE1694" s="1">
        <v>3.419797387</v>
      </c>
    </row>
    <row r="1695" spans="1:31" x14ac:dyDescent="0.25">
      <c r="A1695" s="1" t="s">
        <v>1289</v>
      </c>
      <c r="B1695" s="1" t="s">
        <v>2530</v>
      </c>
      <c r="C1695" s="1" t="s">
        <v>2573</v>
      </c>
      <c r="D1695" s="1" t="s">
        <v>4358</v>
      </c>
      <c r="E1695" s="1" t="s">
        <v>5190</v>
      </c>
      <c r="G1695" s="1" t="s">
        <v>1289</v>
      </c>
      <c r="H1695" s="1">
        <v>8.802957031</v>
      </c>
      <c r="I1695" s="1">
        <v>8.5184918599999992</v>
      </c>
      <c r="J1695" s="1">
        <v>7.8853208019999999</v>
      </c>
      <c r="K1695" s="1">
        <v>8.0841731540000001</v>
      </c>
      <c r="L1695" s="1">
        <v>7.9413491040000004</v>
      </c>
      <c r="M1695" s="1">
        <v>7.6899894059999996</v>
      </c>
      <c r="N1695" s="1">
        <v>8.5152404229999998</v>
      </c>
      <c r="O1695" s="1">
        <v>8.5557914450000006</v>
      </c>
      <c r="P1695" s="1">
        <v>7.4825689239999997</v>
      </c>
      <c r="Q1695" s="1">
        <v>7.4756828979999996</v>
      </c>
      <c r="R1695" s="1">
        <v>7.2127865880000002</v>
      </c>
      <c r="S1695" s="1">
        <v>7.4053493550000002</v>
      </c>
      <c r="T1695" s="1">
        <v>7.9413491040000004</v>
      </c>
      <c r="U1695" s="1">
        <v>7.6899894059999996</v>
      </c>
      <c r="V1695" s="1">
        <v>7.8045554849999998</v>
      </c>
      <c r="W1695" s="1">
        <v>7.7768262349999997</v>
      </c>
      <c r="X1695" s="1">
        <v>7.8656509190000001</v>
      </c>
      <c r="Y1695" s="1">
        <v>8.3822526639999992</v>
      </c>
      <c r="Z1695" s="1">
        <v>7.2127865880000002</v>
      </c>
      <c r="AA1695" s="1">
        <v>7.4053493550000002</v>
      </c>
      <c r="AB1695" s="1">
        <v>7.9158436180000002</v>
      </c>
      <c r="AC1695" s="1">
        <v>7.601226209</v>
      </c>
      <c r="AD1695" s="1">
        <v>8.2216705860000001</v>
      </c>
      <c r="AE1695" s="1">
        <v>8.1432940140000003</v>
      </c>
    </row>
    <row r="1696" spans="1:31" x14ac:dyDescent="0.25">
      <c r="A1696" s="1" t="s">
        <v>1290</v>
      </c>
      <c r="B1696" s="1" t="s">
        <v>2539</v>
      </c>
      <c r="C1696" s="1" t="s">
        <v>2606</v>
      </c>
      <c r="D1696" s="1" t="s">
        <v>2535</v>
      </c>
      <c r="E1696" s="1" t="s">
        <v>5191</v>
      </c>
      <c r="F1696" s="1" t="s">
        <v>5192</v>
      </c>
      <c r="G1696" s="1" t="s">
        <v>1290</v>
      </c>
      <c r="H1696" s="1">
        <v>5.0553993879999997</v>
      </c>
      <c r="I1696" s="1">
        <v>4.5280931029999998</v>
      </c>
      <c r="J1696" s="1">
        <v>4.5940881259999999</v>
      </c>
      <c r="K1696" s="1">
        <v>3.762021974</v>
      </c>
      <c r="L1696" s="1">
        <v>3.6811173419999998</v>
      </c>
      <c r="M1696" s="1">
        <v>3.4067547010000001</v>
      </c>
      <c r="N1696" s="1">
        <v>5.5548950010000002</v>
      </c>
      <c r="O1696" s="1">
        <v>5.7266127899999999</v>
      </c>
      <c r="P1696" s="1">
        <v>4.0684607960000001</v>
      </c>
      <c r="Q1696" s="1">
        <v>4.18747588</v>
      </c>
      <c r="R1696" s="1">
        <v>3.968758995</v>
      </c>
      <c r="S1696" s="1">
        <v>3.6647387380000001</v>
      </c>
      <c r="T1696" s="1">
        <v>3.6811173419999998</v>
      </c>
      <c r="U1696" s="1">
        <v>3.4067547010000001</v>
      </c>
      <c r="V1696" s="1">
        <v>3.6670520409999998</v>
      </c>
      <c r="W1696" s="1">
        <v>3.6840067150000002</v>
      </c>
      <c r="X1696" s="1">
        <v>3.5039136989999999</v>
      </c>
      <c r="Y1696" s="1">
        <v>4.0337379980000003</v>
      </c>
      <c r="Z1696" s="1">
        <v>3.968758995</v>
      </c>
      <c r="AA1696" s="1">
        <v>3.6647387380000001</v>
      </c>
      <c r="AB1696" s="1">
        <v>3.8237667059999998</v>
      </c>
      <c r="AC1696" s="1">
        <v>3.6175630609999998</v>
      </c>
      <c r="AD1696" s="1">
        <v>3.8610926929999998</v>
      </c>
      <c r="AE1696" s="1">
        <v>4.3718229419999997</v>
      </c>
    </row>
    <row r="1697" spans="1:31" x14ac:dyDescent="0.25">
      <c r="A1697" s="1" t="s">
        <v>1291</v>
      </c>
      <c r="B1697" s="1" t="s">
        <v>2530</v>
      </c>
      <c r="C1697" s="1" t="s">
        <v>2531</v>
      </c>
      <c r="D1697" s="1" t="s">
        <v>2535</v>
      </c>
      <c r="E1697" s="1" t="s">
        <v>2536</v>
      </c>
      <c r="G1697" s="1" t="s">
        <v>1291</v>
      </c>
      <c r="H1697" s="1">
        <v>5.4177093730000001</v>
      </c>
      <c r="I1697" s="1">
        <v>5.7476087250000001</v>
      </c>
      <c r="J1697" s="1">
        <v>4.9532699769999997</v>
      </c>
      <c r="K1697" s="1">
        <v>5.0014827119999996</v>
      </c>
      <c r="L1697" s="1">
        <v>3.971296959</v>
      </c>
      <c r="M1697" s="1">
        <v>3.8521266660000002</v>
      </c>
      <c r="N1697" s="1">
        <v>5.2649372489999999</v>
      </c>
      <c r="O1697" s="1">
        <v>5.5090357550000002</v>
      </c>
      <c r="P1697" s="1">
        <v>4.4075207919999997</v>
      </c>
      <c r="Q1697" s="1">
        <v>4.8155696649999999</v>
      </c>
      <c r="R1697" s="1">
        <v>4.5333476509999997</v>
      </c>
      <c r="S1697" s="1">
        <v>4.3966315629999997</v>
      </c>
      <c r="T1697" s="1">
        <v>3.971296959</v>
      </c>
      <c r="U1697" s="1">
        <v>3.8521266660000002</v>
      </c>
      <c r="V1697" s="1">
        <v>4.8059579570000004</v>
      </c>
      <c r="W1697" s="1">
        <v>3.8431653940000001</v>
      </c>
      <c r="X1697" s="1">
        <v>4.8203448399999997</v>
      </c>
      <c r="Y1697" s="1">
        <v>4.9529845589999999</v>
      </c>
      <c r="Z1697" s="1">
        <v>4.5333476509999997</v>
      </c>
      <c r="AA1697" s="1">
        <v>4.3966315629999997</v>
      </c>
      <c r="AB1697" s="1">
        <v>4.7958605490000004</v>
      </c>
      <c r="AC1697" s="1">
        <v>4.7474570290000004</v>
      </c>
      <c r="AD1697" s="1">
        <v>5.0634297190000002</v>
      </c>
      <c r="AE1697" s="1">
        <v>5.175187158</v>
      </c>
    </row>
    <row r="1698" spans="1:31" x14ac:dyDescent="0.25">
      <c r="A1698" s="1" t="s">
        <v>1294</v>
      </c>
      <c r="B1698" s="1" t="s">
        <v>2530</v>
      </c>
      <c r="C1698" s="1" t="s">
        <v>2531</v>
      </c>
      <c r="D1698" s="1" t="s">
        <v>2535</v>
      </c>
      <c r="E1698" s="1" t="s">
        <v>2536</v>
      </c>
      <c r="G1698" s="1" t="s">
        <v>1294</v>
      </c>
      <c r="H1698" s="1">
        <v>2.9945681560000001</v>
      </c>
      <c r="I1698" s="1">
        <v>4.0101074990000001</v>
      </c>
      <c r="J1698" s="1">
        <v>4.0065844400000001</v>
      </c>
      <c r="K1698" s="1">
        <v>2.620638279</v>
      </c>
      <c r="L1698" s="1">
        <v>4.6513384469999997</v>
      </c>
      <c r="M1698" s="1">
        <v>4.2945656129999996</v>
      </c>
      <c r="N1698" s="1">
        <v>3.5368298970000001</v>
      </c>
      <c r="O1698" s="1">
        <v>3.193511794</v>
      </c>
      <c r="P1698" s="1">
        <v>3.7419514989999998</v>
      </c>
      <c r="Q1698" s="1">
        <v>4.2835653880000004</v>
      </c>
      <c r="R1698" s="1">
        <v>3.386455024</v>
      </c>
      <c r="S1698" s="1">
        <v>4.1304223819999999</v>
      </c>
      <c r="T1698" s="1">
        <v>4.6513384469999997</v>
      </c>
      <c r="U1698" s="1">
        <v>4.2945656129999996</v>
      </c>
      <c r="V1698" s="1">
        <v>4.3879408260000003</v>
      </c>
      <c r="W1698" s="1">
        <v>4.2295768090000001</v>
      </c>
      <c r="X1698" s="1">
        <v>4.2691515329999996</v>
      </c>
      <c r="Y1698" s="1">
        <v>4.2532353330000001</v>
      </c>
      <c r="Z1698" s="1">
        <v>3.386455024</v>
      </c>
      <c r="AA1698" s="1">
        <v>4.1304223819999999</v>
      </c>
      <c r="AB1698" s="1">
        <v>4.2729702720000002</v>
      </c>
      <c r="AC1698" s="1">
        <v>4.1685844940000001</v>
      </c>
      <c r="AD1698" s="1">
        <v>3.984188064</v>
      </c>
      <c r="AE1698" s="1">
        <v>4.3257514669999999</v>
      </c>
    </row>
    <row r="1699" spans="1:31" x14ac:dyDescent="0.25">
      <c r="A1699" s="1" t="s">
        <v>1295</v>
      </c>
      <c r="B1699" s="1" t="s">
        <v>2530</v>
      </c>
      <c r="C1699" s="1" t="s">
        <v>2531</v>
      </c>
      <c r="D1699" s="1" t="s">
        <v>2535</v>
      </c>
      <c r="E1699" s="1" t="s">
        <v>2536</v>
      </c>
      <c r="G1699" s="1" t="s">
        <v>1295</v>
      </c>
      <c r="H1699" s="1">
        <v>5.4626831620000003</v>
      </c>
      <c r="I1699" s="1">
        <v>5.8917578519999996</v>
      </c>
      <c r="J1699" s="1">
        <v>4.7851628320000001</v>
      </c>
      <c r="K1699" s="1">
        <v>4.5171444090000001</v>
      </c>
      <c r="L1699" s="1">
        <v>5.2974536179999996</v>
      </c>
      <c r="M1699" s="1">
        <v>5.1214027209999999</v>
      </c>
      <c r="N1699" s="1">
        <v>5.910461819</v>
      </c>
      <c r="O1699" s="1">
        <v>5.6219600229999998</v>
      </c>
      <c r="P1699" s="1">
        <v>5.4627121560000003</v>
      </c>
      <c r="Q1699" s="1">
        <v>5.1004769559999996</v>
      </c>
      <c r="R1699" s="1">
        <v>4.9327063119999996</v>
      </c>
      <c r="S1699" s="1">
        <v>4.980227309</v>
      </c>
      <c r="T1699" s="1">
        <v>5.2974536179999996</v>
      </c>
      <c r="U1699" s="1">
        <v>5.1214027209999999</v>
      </c>
      <c r="V1699" s="1">
        <v>5.0428039150000004</v>
      </c>
      <c r="W1699" s="1">
        <v>4.2295768090000001</v>
      </c>
      <c r="X1699" s="1">
        <v>4.8524813179999997</v>
      </c>
      <c r="Y1699" s="1">
        <v>4.9529845589999999</v>
      </c>
      <c r="Z1699" s="1">
        <v>4.9327063119999996</v>
      </c>
      <c r="AA1699" s="1">
        <v>4.980227309</v>
      </c>
      <c r="AB1699" s="1">
        <v>4.705867896</v>
      </c>
      <c r="AC1699" s="1">
        <v>4.3377211620000002</v>
      </c>
      <c r="AD1699" s="1">
        <v>4.2005997429999997</v>
      </c>
      <c r="AE1699" s="1">
        <v>4.6936201110000004</v>
      </c>
    </row>
    <row r="1700" spans="1:31" x14ac:dyDescent="0.25">
      <c r="A1700" s="1" t="s">
        <v>1296</v>
      </c>
      <c r="B1700" s="1" t="s">
        <v>2598</v>
      </c>
      <c r="C1700" s="1" t="s">
        <v>2599</v>
      </c>
      <c r="D1700" s="1" t="s">
        <v>2535</v>
      </c>
      <c r="E1700" s="1" t="s">
        <v>5193</v>
      </c>
      <c r="G1700" s="1" t="s">
        <v>1296</v>
      </c>
      <c r="H1700" s="1">
        <v>4.7245801409999997</v>
      </c>
      <c r="I1700" s="1">
        <v>4.5280931029999998</v>
      </c>
      <c r="J1700" s="1">
        <v>4.5240842389999996</v>
      </c>
      <c r="K1700" s="1">
        <v>4.2434183680000004</v>
      </c>
      <c r="L1700" s="1">
        <v>5.1724144110000001</v>
      </c>
      <c r="M1700" s="1">
        <v>4.5403831759999997</v>
      </c>
      <c r="N1700" s="1">
        <v>5.428348615</v>
      </c>
      <c r="O1700" s="1">
        <v>5.1349072580000001</v>
      </c>
      <c r="P1700" s="1">
        <v>5.2736118430000003</v>
      </c>
      <c r="Q1700" s="1">
        <v>5.0479127070000001</v>
      </c>
      <c r="R1700" s="1">
        <v>4.6083586160000003</v>
      </c>
      <c r="S1700" s="1">
        <v>4.5490843459999999</v>
      </c>
      <c r="T1700" s="1">
        <v>5.1724144110000001</v>
      </c>
      <c r="U1700" s="1">
        <v>4.5403831759999997</v>
      </c>
      <c r="V1700" s="1">
        <v>4.9055261469999998</v>
      </c>
      <c r="W1700" s="1">
        <v>5.1095551629999996</v>
      </c>
      <c r="X1700" s="1">
        <v>4.7537743670000001</v>
      </c>
      <c r="Y1700" s="1">
        <v>5.0702808140000002</v>
      </c>
      <c r="Z1700" s="1">
        <v>4.6083586160000003</v>
      </c>
      <c r="AA1700" s="1">
        <v>4.5490843459999999</v>
      </c>
      <c r="AB1700" s="1">
        <v>4.139369361</v>
      </c>
      <c r="AC1700" s="1">
        <v>4.2557864319999998</v>
      </c>
      <c r="AD1700" s="1">
        <v>4.83054469</v>
      </c>
      <c r="AE1700" s="1">
        <v>4.8303216779999998</v>
      </c>
    </row>
    <row r="1701" spans="1:31" x14ac:dyDescent="0.25">
      <c r="A1701" s="1" t="s">
        <v>1298</v>
      </c>
      <c r="B1701" s="1" t="s">
        <v>2530</v>
      </c>
      <c r="C1701" s="1" t="s">
        <v>2531</v>
      </c>
      <c r="D1701" s="1" t="s">
        <v>2535</v>
      </c>
      <c r="E1701" s="1" t="s">
        <v>3341</v>
      </c>
      <c r="G1701" s="1" t="s">
        <v>1298</v>
      </c>
      <c r="H1701" s="1">
        <v>6.5956218609999997</v>
      </c>
      <c r="I1701" s="1">
        <v>6.4146507100000001</v>
      </c>
      <c r="J1701" s="1">
        <v>6.931337622</v>
      </c>
      <c r="K1701" s="1">
        <v>6.7562562289999999</v>
      </c>
      <c r="L1701" s="1">
        <v>7.4018788500000001</v>
      </c>
      <c r="M1701" s="1">
        <v>7.4644645829999998</v>
      </c>
      <c r="N1701" s="1">
        <v>7.6413585089999998</v>
      </c>
      <c r="O1701" s="1">
        <v>7.3940482640000003</v>
      </c>
      <c r="P1701" s="1">
        <v>8.0730012729999991</v>
      </c>
      <c r="Q1701" s="1">
        <v>7.9141680489999997</v>
      </c>
      <c r="R1701" s="1">
        <v>7.6471295799999996</v>
      </c>
      <c r="S1701" s="1">
        <v>7.5270412149999997</v>
      </c>
      <c r="T1701" s="1">
        <v>7.4018788500000001</v>
      </c>
      <c r="U1701" s="1">
        <v>7.4644645829999998</v>
      </c>
      <c r="V1701" s="1">
        <v>7.1566270159999998</v>
      </c>
      <c r="W1701" s="1">
        <v>7.0126858380000003</v>
      </c>
      <c r="X1701" s="1">
        <v>7.2912304629999998</v>
      </c>
      <c r="Y1701" s="1">
        <v>7.3657028609999999</v>
      </c>
      <c r="Z1701" s="1">
        <v>7.6471295799999996</v>
      </c>
      <c r="AA1701" s="1">
        <v>7.5270412149999997</v>
      </c>
      <c r="AB1701" s="1">
        <v>7.5332931280000004</v>
      </c>
      <c r="AC1701" s="1">
        <v>7.483766116</v>
      </c>
      <c r="AD1701" s="1">
        <v>7.381214613</v>
      </c>
      <c r="AE1701" s="1">
        <v>7.387629553</v>
      </c>
    </row>
    <row r="1702" spans="1:31" x14ac:dyDescent="0.25">
      <c r="A1702" s="1" t="s">
        <v>1303</v>
      </c>
      <c r="B1702" s="1" t="s">
        <v>2608</v>
      </c>
      <c r="C1702" s="1" t="s">
        <v>2700</v>
      </c>
      <c r="D1702" s="1" t="s">
        <v>3868</v>
      </c>
      <c r="E1702" s="1" t="s">
        <v>5194</v>
      </c>
      <c r="F1702" s="1" t="s">
        <v>5195</v>
      </c>
      <c r="G1702" s="1" t="s">
        <v>1303</v>
      </c>
      <c r="H1702" s="1">
        <v>5.2221022919999998</v>
      </c>
      <c r="I1702" s="1">
        <v>4.7893724280000001</v>
      </c>
      <c r="J1702" s="1">
        <v>6.5545604910000002</v>
      </c>
      <c r="K1702" s="1">
        <v>6.55382379</v>
      </c>
      <c r="L1702" s="1">
        <v>6.3212530779999998</v>
      </c>
      <c r="M1702" s="1">
        <v>6.2389026359999997</v>
      </c>
      <c r="N1702" s="1">
        <v>5.1355241630000004</v>
      </c>
      <c r="O1702" s="1">
        <v>4.7100516409999997</v>
      </c>
      <c r="P1702" s="1">
        <v>5.5318451900000003</v>
      </c>
      <c r="Q1702" s="1">
        <v>5.6846114249999999</v>
      </c>
      <c r="R1702" s="1">
        <v>6.1928862330000003</v>
      </c>
      <c r="S1702" s="1">
        <v>6.0227453090000003</v>
      </c>
      <c r="T1702" s="1">
        <v>6.3212530779999998</v>
      </c>
      <c r="U1702" s="1">
        <v>6.2389026359999997</v>
      </c>
      <c r="V1702" s="1">
        <v>5.519727617</v>
      </c>
      <c r="W1702" s="1">
        <v>6.0056801469999996</v>
      </c>
      <c r="X1702" s="1">
        <v>5.3326311679999998</v>
      </c>
      <c r="Y1702" s="1">
        <v>5.1785898169999998</v>
      </c>
      <c r="Z1702" s="1">
        <v>6.1928862330000003</v>
      </c>
      <c r="AA1702" s="1">
        <v>6.0227453090000003</v>
      </c>
      <c r="AB1702" s="1">
        <v>5.6280506069999996</v>
      </c>
      <c r="AC1702" s="1">
        <v>5.8710041640000004</v>
      </c>
      <c r="AD1702" s="1">
        <v>5.5186611069999998</v>
      </c>
      <c r="AE1702" s="1">
        <v>5.6297370090000003</v>
      </c>
    </row>
    <row r="1703" spans="1:31" x14ac:dyDescent="0.25">
      <c r="A1703" s="1" t="s">
        <v>1304</v>
      </c>
      <c r="B1703" s="1" t="s">
        <v>2530</v>
      </c>
      <c r="C1703" s="1" t="s">
        <v>2531</v>
      </c>
      <c r="D1703" s="1" t="s">
        <v>2535</v>
      </c>
      <c r="E1703" s="1" t="s">
        <v>5196</v>
      </c>
      <c r="G1703" s="1" t="s">
        <v>1304</v>
      </c>
      <c r="H1703" s="1">
        <v>5.8483408880000001</v>
      </c>
      <c r="I1703" s="1">
        <v>6.610348052</v>
      </c>
      <c r="J1703" s="1">
        <v>6.8067545919999999</v>
      </c>
      <c r="K1703" s="1">
        <v>6.2947097530000002</v>
      </c>
      <c r="L1703" s="1">
        <v>7.7981903450000001</v>
      </c>
      <c r="M1703" s="1">
        <v>7.6496646610000001</v>
      </c>
      <c r="N1703" s="1">
        <v>6.6075890509999997</v>
      </c>
      <c r="O1703" s="1">
        <v>6.1589202040000002</v>
      </c>
      <c r="P1703" s="1">
        <v>6.7225254730000001</v>
      </c>
      <c r="Q1703" s="1">
        <v>6.8115059909999998</v>
      </c>
      <c r="R1703" s="1">
        <v>6.9693685500000004</v>
      </c>
      <c r="S1703" s="1">
        <v>6.9629796969999997</v>
      </c>
      <c r="T1703" s="1">
        <v>7.7981903450000001</v>
      </c>
      <c r="U1703" s="1">
        <v>7.6496646610000001</v>
      </c>
      <c r="V1703" s="1">
        <v>7.2056642889999996</v>
      </c>
      <c r="W1703" s="1">
        <v>6.9808429480000003</v>
      </c>
      <c r="X1703" s="1">
        <v>7.1955748899999996</v>
      </c>
      <c r="Y1703" s="1">
        <v>7.1584367220000003</v>
      </c>
      <c r="Z1703" s="1">
        <v>6.9693685500000004</v>
      </c>
      <c r="AA1703" s="1">
        <v>6.9629796969999997</v>
      </c>
      <c r="AB1703" s="1">
        <v>6.8129090650000004</v>
      </c>
      <c r="AC1703" s="1">
        <v>6.9754995060000002</v>
      </c>
      <c r="AD1703" s="1">
        <v>6.554572984</v>
      </c>
      <c r="AE1703" s="1">
        <v>6.6928759639999997</v>
      </c>
    </row>
    <row r="1704" spans="1:31" x14ac:dyDescent="0.25">
      <c r="A1704" s="1" t="s">
        <v>1305</v>
      </c>
      <c r="B1704" s="1" t="s">
        <v>2667</v>
      </c>
      <c r="C1704" s="1" t="s">
        <v>3370</v>
      </c>
      <c r="D1704" s="1" t="s">
        <v>3444</v>
      </c>
      <c r="E1704" s="1" t="s">
        <v>5197</v>
      </c>
      <c r="F1704" s="1" t="s">
        <v>5198</v>
      </c>
      <c r="G1704" s="1" t="s">
        <v>1305</v>
      </c>
      <c r="H1704" s="1">
        <v>5.7431528099999998</v>
      </c>
      <c r="I1704" s="1">
        <v>5.0595268689999999</v>
      </c>
      <c r="J1704" s="1">
        <v>5.8592801899999998</v>
      </c>
      <c r="K1704" s="1">
        <v>5.0014827119999996</v>
      </c>
      <c r="L1704" s="1">
        <v>6.6433688130000004</v>
      </c>
      <c r="M1704" s="1">
        <v>6.5662231340000003</v>
      </c>
      <c r="N1704" s="1">
        <v>4.6936110280000003</v>
      </c>
      <c r="O1704" s="1">
        <v>4.5801520279999997</v>
      </c>
      <c r="P1704" s="1">
        <v>6.038086302</v>
      </c>
      <c r="Q1704" s="1">
        <v>6.0722034220000003</v>
      </c>
      <c r="R1704" s="1">
        <v>6.3514004780000004</v>
      </c>
      <c r="S1704" s="1">
        <v>6.5507675829999998</v>
      </c>
      <c r="T1704" s="1">
        <v>6.6433688130000004</v>
      </c>
      <c r="U1704" s="1">
        <v>6.5662231340000003</v>
      </c>
      <c r="V1704" s="1">
        <v>6.1817294079999998</v>
      </c>
      <c r="W1704" s="1">
        <v>6.156075682</v>
      </c>
      <c r="X1704" s="1">
        <v>6.3441015869999999</v>
      </c>
      <c r="Y1704" s="1">
        <v>5.8677638710000002</v>
      </c>
      <c r="Z1704" s="1">
        <v>6.3514004780000004</v>
      </c>
      <c r="AA1704" s="1">
        <v>6.5507675829999998</v>
      </c>
      <c r="AB1704" s="1">
        <v>6.1502584210000002</v>
      </c>
      <c r="AC1704" s="1">
        <v>6.139219926</v>
      </c>
      <c r="AD1704" s="1">
        <v>5.6310130599999999</v>
      </c>
      <c r="AE1704" s="1">
        <v>5.868211906</v>
      </c>
    </row>
    <row r="1705" spans="1:31" x14ac:dyDescent="0.25">
      <c r="A1705" s="1" t="s">
        <v>1311</v>
      </c>
      <c r="B1705" s="1" t="s">
        <v>2525</v>
      </c>
      <c r="C1705" s="1" t="s">
        <v>2526</v>
      </c>
      <c r="D1705" s="1" t="s">
        <v>3206</v>
      </c>
      <c r="E1705" s="1" t="s">
        <v>5199</v>
      </c>
      <c r="F1705" s="1" t="s">
        <v>5200</v>
      </c>
      <c r="G1705" s="1" t="s">
        <v>1311</v>
      </c>
      <c r="H1705" s="1">
        <v>6.512907255</v>
      </c>
      <c r="I1705" s="1">
        <v>6.3760216270000001</v>
      </c>
      <c r="J1705" s="1">
        <v>7.771478492</v>
      </c>
      <c r="K1705" s="1">
        <v>7.6762285410000004</v>
      </c>
      <c r="L1705" s="1">
        <v>7.8259230129999997</v>
      </c>
      <c r="M1705" s="1">
        <v>7.6899894059999996</v>
      </c>
      <c r="N1705" s="1">
        <v>5.878624276</v>
      </c>
      <c r="O1705" s="1">
        <v>6.0979208290000004</v>
      </c>
      <c r="P1705" s="1">
        <v>7.8755036560000002</v>
      </c>
      <c r="Q1705" s="1">
        <v>7.9571471630000001</v>
      </c>
      <c r="R1705" s="1">
        <v>7.8117878660000004</v>
      </c>
      <c r="S1705" s="1">
        <v>7.8901561559999998</v>
      </c>
      <c r="T1705" s="1">
        <v>7.8259230129999997</v>
      </c>
      <c r="U1705" s="1">
        <v>7.6899894059999996</v>
      </c>
      <c r="V1705" s="1">
        <v>8.0172067760000001</v>
      </c>
      <c r="W1705" s="1">
        <v>8.1067462179999996</v>
      </c>
      <c r="X1705" s="1">
        <v>7.777576474</v>
      </c>
      <c r="Y1705" s="1">
        <v>7.5667712890000001</v>
      </c>
      <c r="Z1705" s="1">
        <v>7.8117878660000004</v>
      </c>
      <c r="AA1705" s="1">
        <v>7.8901561559999998</v>
      </c>
      <c r="AB1705" s="1">
        <v>7.7372174640000004</v>
      </c>
      <c r="AC1705" s="1">
        <v>7.7684098769999999</v>
      </c>
      <c r="AD1705" s="1">
        <v>7.6347609089999997</v>
      </c>
      <c r="AE1705" s="1">
        <v>7.517998736</v>
      </c>
    </row>
    <row r="1706" spans="1:31" x14ac:dyDescent="0.25">
      <c r="A1706" s="1" t="s">
        <v>1312</v>
      </c>
      <c r="B1706" s="1" t="s">
        <v>2579</v>
      </c>
      <c r="C1706" s="1" t="s">
        <v>2585</v>
      </c>
      <c r="D1706" s="1" t="s">
        <v>2586</v>
      </c>
      <c r="E1706" s="1" t="s">
        <v>5201</v>
      </c>
      <c r="F1706" s="1" t="s">
        <v>5202</v>
      </c>
      <c r="G1706" s="1" t="s">
        <v>1312</v>
      </c>
      <c r="H1706" s="1">
        <v>8.4612486340000004</v>
      </c>
      <c r="I1706" s="1">
        <v>8.2518005379999995</v>
      </c>
      <c r="J1706" s="1">
        <v>9.1897776150000006</v>
      </c>
      <c r="K1706" s="1">
        <v>9.066478644</v>
      </c>
      <c r="L1706" s="1">
        <v>8.8425924929999997</v>
      </c>
      <c r="M1706" s="1">
        <v>9.1091100419999993</v>
      </c>
      <c r="N1706" s="1">
        <v>7.9470680439999999</v>
      </c>
      <c r="O1706" s="1">
        <v>7.9834341569999996</v>
      </c>
      <c r="P1706" s="1">
        <v>9.0954738210000006</v>
      </c>
      <c r="Q1706" s="1">
        <v>8.9870422889999997</v>
      </c>
      <c r="R1706" s="1">
        <v>9.4201168549999998</v>
      </c>
      <c r="S1706" s="1">
        <v>9.0617807890000002</v>
      </c>
      <c r="T1706" s="1">
        <v>8.8425924929999997</v>
      </c>
      <c r="U1706" s="1">
        <v>9.1091100419999993</v>
      </c>
      <c r="V1706" s="1">
        <v>9.0316687400000006</v>
      </c>
      <c r="W1706" s="1">
        <v>9.2414355920000002</v>
      </c>
      <c r="X1706" s="1">
        <v>9.5150666650000009</v>
      </c>
      <c r="Y1706" s="1">
        <v>9.3706836259999999</v>
      </c>
      <c r="Z1706" s="1">
        <v>9.4201168549999998</v>
      </c>
      <c r="AA1706" s="1">
        <v>9.0617807890000002</v>
      </c>
      <c r="AB1706" s="1">
        <v>9.3296518180000003</v>
      </c>
      <c r="AC1706" s="1">
        <v>9.4567252830000008</v>
      </c>
      <c r="AD1706" s="1">
        <v>9.4937759929999999</v>
      </c>
      <c r="AE1706" s="1">
        <v>9.3694554330000006</v>
      </c>
    </row>
    <row r="1707" spans="1:31" x14ac:dyDescent="0.25">
      <c r="A1707" s="1" t="s">
        <v>28</v>
      </c>
      <c r="B1707" s="1" t="s">
        <v>2662</v>
      </c>
      <c r="C1707" s="1" t="s">
        <v>3291</v>
      </c>
      <c r="D1707" s="1" t="s">
        <v>3292</v>
      </c>
      <c r="E1707" s="1" t="s">
        <v>5203</v>
      </c>
      <c r="G1707" s="1" t="s">
        <v>28</v>
      </c>
      <c r="H1707" s="1">
        <v>6.6738400520000001</v>
      </c>
      <c r="I1707" s="1">
        <v>7.0873869479999998</v>
      </c>
      <c r="J1707" s="1">
        <v>6.7775425279999997</v>
      </c>
      <c r="K1707" s="1">
        <v>7.2340224260000001</v>
      </c>
      <c r="L1707" s="1">
        <v>7.4693846209999997</v>
      </c>
      <c r="M1707" s="1">
        <v>7.1758500060000001</v>
      </c>
      <c r="N1707" s="1">
        <v>7.252890893</v>
      </c>
      <c r="O1707" s="1">
        <v>6.7989962650000004</v>
      </c>
      <c r="P1707" s="1">
        <v>7.085000398</v>
      </c>
      <c r="Q1707" s="1">
        <v>6.9738782769999998</v>
      </c>
      <c r="R1707" s="1">
        <v>6.9970160760000004</v>
      </c>
      <c r="S1707" s="1">
        <v>6.8382423799999996</v>
      </c>
      <c r="T1707" s="1">
        <v>7.4693846209999997</v>
      </c>
      <c r="U1707" s="1">
        <v>7.1758500060000001</v>
      </c>
      <c r="V1707" s="1">
        <v>7.3781289599999997</v>
      </c>
      <c r="W1707" s="1">
        <v>7.6810367299999998</v>
      </c>
      <c r="X1707" s="1">
        <v>7.4602402149999998</v>
      </c>
      <c r="Y1707" s="1">
        <v>7.6988237589999997</v>
      </c>
      <c r="Z1707" s="1">
        <v>6.9970160760000004</v>
      </c>
      <c r="AA1707" s="1">
        <v>6.8382423799999996</v>
      </c>
      <c r="AB1707" s="1">
        <v>7.2804224470000003</v>
      </c>
      <c r="AC1707" s="1">
        <v>7.2874149099999999</v>
      </c>
      <c r="AD1707" s="1">
        <v>7.3705131210000001</v>
      </c>
      <c r="AE1707" s="1">
        <v>7.6466999219999998</v>
      </c>
    </row>
    <row r="1708" spans="1:31" x14ac:dyDescent="0.25">
      <c r="A1708" s="1" t="s">
        <v>1314</v>
      </c>
      <c r="B1708" s="1" t="s">
        <v>2530</v>
      </c>
      <c r="C1708" s="1" t="s">
        <v>2573</v>
      </c>
      <c r="D1708" s="1" t="s">
        <v>2535</v>
      </c>
      <c r="E1708" s="1" t="s">
        <v>5204</v>
      </c>
      <c r="G1708" s="1" t="s">
        <v>1314</v>
      </c>
      <c r="H1708" s="1">
        <v>5.7790807539999998</v>
      </c>
      <c r="I1708" s="1">
        <v>5.8070199389999999</v>
      </c>
      <c r="J1708" s="1">
        <v>4.2898244959999996</v>
      </c>
      <c r="K1708" s="1">
        <v>3.22334677</v>
      </c>
      <c r="L1708" s="1">
        <v>5.58546151</v>
      </c>
      <c r="M1708" s="1">
        <v>4.494607383</v>
      </c>
      <c r="N1708" s="1">
        <v>5.2145790439999997</v>
      </c>
      <c r="O1708" s="1">
        <v>5.4612405070000003</v>
      </c>
      <c r="P1708" s="1">
        <v>3.9684043939999998</v>
      </c>
      <c r="Q1708" s="1">
        <v>4.611970812</v>
      </c>
      <c r="R1708" s="1">
        <v>5.2891602459999998</v>
      </c>
      <c r="S1708" s="1">
        <v>5.0824952919999999</v>
      </c>
      <c r="T1708" s="1">
        <v>5.58546151</v>
      </c>
      <c r="U1708" s="1">
        <v>4.494607383</v>
      </c>
      <c r="V1708" s="1">
        <v>4.6987742170000004</v>
      </c>
      <c r="W1708" s="1">
        <v>4.4367165279999998</v>
      </c>
      <c r="X1708" s="1">
        <v>5.0861518739999996</v>
      </c>
      <c r="Y1708" s="1">
        <v>5.3731782380000004</v>
      </c>
      <c r="Z1708" s="1">
        <v>5.2891602459999998</v>
      </c>
      <c r="AA1708" s="1">
        <v>5.0824952919999999</v>
      </c>
      <c r="AB1708" s="1">
        <v>4.6096720080000004</v>
      </c>
      <c r="AC1708" s="1">
        <v>5.198889973</v>
      </c>
      <c r="AD1708" s="1">
        <v>5.3536174839999999</v>
      </c>
      <c r="AE1708" s="1">
        <v>4.8625108150000003</v>
      </c>
    </row>
    <row r="1709" spans="1:31" x14ac:dyDescent="0.25">
      <c r="A1709" s="1" t="s">
        <v>1318</v>
      </c>
      <c r="B1709" s="1" t="s">
        <v>2608</v>
      </c>
      <c r="C1709" s="1" t="s">
        <v>2791</v>
      </c>
      <c r="D1709" s="1" t="s">
        <v>3865</v>
      </c>
      <c r="E1709" s="1" t="s">
        <v>5205</v>
      </c>
      <c r="F1709" s="1" t="s">
        <v>5206</v>
      </c>
      <c r="G1709" s="1" t="s">
        <v>1318</v>
      </c>
      <c r="H1709" s="1">
        <v>5.0553993879999997</v>
      </c>
      <c r="I1709" s="1">
        <v>5.4067069720000003</v>
      </c>
      <c r="J1709" s="1">
        <v>8.2833559369999996</v>
      </c>
      <c r="K1709" s="1">
        <v>8.4503235449999998</v>
      </c>
      <c r="L1709" s="1">
        <v>8.4994122480000005</v>
      </c>
      <c r="M1709" s="1">
        <v>8.4608142409999996</v>
      </c>
      <c r="N1709" s="1">
        <v>6.0739568119999996</v>
      </c>
      <c r="O1709" s="1">
        <v>5.824131875</v>
      </c>
      <c r="P1709" s="1">
        <v>8.3407066499999996</v>
      </c>
      <c r="Q1709" s="1">
        <v>8.2149660359999999</v>
      </c>
      <c r="R1709" s="1">
        <v>8.6539009030000003</v>
      </c>
      <c r="S1709" s="1">
        <v>8.5460251449999998</v>
      </c>
      <c r="T1709" s="1">
        <v>8.4994122480000005</v>
      </c>
      <c r="U1709" s="1">
        <v>8.4608142409999996</v>
      </c>
      <c r="V1709" s="1">
        <v>8.2731835270000005</v>
      </c>
      <c r="W1709" s="1">
        <v>8.3750687310000007</v>
      </c>
      <c r="X1709" s="1">
        <v>8.1470153159999992</v>
      </c>
      <c r="Y1709" s="1">
        <v>7.8362725439999998</v>
      </c>
      <c r="Z1709" s="1">
        <v>8.6539009030000003</v>
      </c>
      <c r="AA1709" s="1">
        <v>8.5460251449999998</v>
      </c>
      <c r="AB1709" s="1">
        <v>8.3480996540000003</v>
      </c>
      <c r="AC1709" s="1">
        <v>8.6248760180000001</v>
      </c>
      <c r="AD1709" s="1">
        <v>8.0843804259999992</v>
      </c>
      <c r="AE1709" s="1">
        <v>7.9682750819999999</v>
      </c>
    </row>
    <row r="1710" spans="1:31" x14ac:dyDescent="0.25">
      <c r="A1710" s="1" t="s">
        <v>1319</v>
      </c>
      <c r="B1710" s="1" t="s">
        <v>2843</v>
      </c>
      <c r="C1710" s="1" t="s">
        <v>2844</v>
      </c>
      <c r="D1710" s="1" t="s">
        <v>3596</v>
      </c>
      <c r="E1710" s="1" t="s">
        <v>5207</v>
      </c>
      <c r="F1710" s="1" t="s">
        <v>5208</v>
      </c>
      <c r="G1710" s="1" t="s">
        <v>1319</v>
      </c>
      <c r="H1710" s="1">
        <v>4.183793842</v>
      </c>
      <c r="I1710" s="1">
        <v>5.2436995780000002</v>
      </c>
      <c r="J1710" s="1">
        <v>7.3829776090000001</v>
      </c>
      <c r="K1710" s="1">
        <v>6.9931716399999999</v>
      </c>
      <c r="L1710" s="1">
        <v>7.6470320359999997</v>
      </c>
      <c r="M1710" s="1">
        <v>7.7579529779999996</v>
      </c>
      <c r="N1710" s="1">
        <v>5.3835417159999999</v>
      </c>
      <c r="O1710" s="1">
        <v>5.5778556410000002</v>
      </c>
      <c r="P1710" s="1">
        <v>7.2974488869999998</v>
      </c>
      <c r="Q1710" s="1">
        <v>7.4049921110000003</v>
      </c>
      <c r="R1710" s="1">
        <v>7.6558247030000004</v>
      </c>
      <c r="S1710" s="1">
        <v>7.490679611</v>
      </c>
      <c r="T1710" s="1">
        <v>7.6470320359999997</v>
      </c>
      <c r="U1710" s="1">
        <v>7.7579529779999996</v>
      </c>
      <c r="V1710" s="1">
        <v>7.1959894090000001</v>
      </c>
      <c r="W1710" s="1">
        <v>7.2714406069999997</v>
      </c>
      <c r="X1710" s="1">
        <v>7.364531919</v>
      </c>
      <c r="Y1710" s="1">
        <v>6.9006741439999999</v>
      </c>
      <c r="Z1710" s="1">
        <v>7.6558247030000004</v>
      </c>
      <c r="AA1710" s="1">
        <v>7.490679611</v>
      </c>
      <c r="AB1710" s="1">
        <v>7.0110522609999997</v>
      </c>
      <c r="AC1710" s="1">
        <v>7.2364401149999997</v>
      </c>
      <c r="AD1710" s="1">
        <v>7.0864885400000004</v>
      </c>
      <c r="AE1710" s="1">
        <v>7.0579129729999996</v>
      </c>
    </row>
    <row r="1711" spans="1:31" x14ac:dyDescent="0.25">
      <c r="A1711" s="1" t="s">
        <v>1320</v>
      </c>
      <c r="B1711" s="1" t="s">
        <v>2667</v>
      </c>
      <c r="C1711" s="1" t="s">
        <v>3441</v>
      </c>
      <c r="D1711" s="1" t="s">
        <v>3299</v>
      </c>
      <c r="E1711" s="1" t="s">
        <v>5209</v>
      </c>
      <c r="F1711" s="1" t="s">
        <v>5210</v>
      </c>
      <c r="G1711" s="1" t="s">
        <v>1320</v>
      </c>
      <c r="H1711" s="1">
        <v>9.5726954469999992</v>
      </c>
      <c r="I1711" s="1">
        <v>8.8841215229999992</v>
      </c>
      <c r="J1711" s="1">
        <v>9.1925444600000006</v>
      </c>
      <c r="K1711" s="1">
        <v>9.1731061070000006</v>
      </c>
      <c r="L1711" s="1">
        <v>8.6830803519999993</v>
      </c>
      <c r="M1711" s="1">
        <v>8.8908393060000002</v>
      </c>
      <c r="N1711" s="1">
        <v>8.7216506710000008</v>
      </c>
      <c r="O1711" s="1">
        <v>8.9537694689999991</v>
      </c>
      <c r="P1711" s="1">
        <v>9.0983100560000008</v>
      </c>
      <c r="Q1711" s="1">
        <v>9.0008001019999995</v>
      </c>
      <c r="R1711" s="1">
        <v>9.1362586029999999</v>
      </c>
      <c r="S1711" s="1">
        <v>9.2255717409999995</v>
      </c>
      <c r="T1711" s="1">
        <v>8.6830803519999993</v>
      </c>
      <c r="U1711" s="1">
        <v>8.8908393060000002</v>
      </c>
      <c r="V1711" s="1">
        <v>9.0069939520000002</v>
      </c>
      <c r="W1711" s="1">
        <v>9.0048234760000003</v>
      </c>
      <c r="X1711" s="1">
        <v>9.1746345930000004</v>
      </c>
      <c r="Y1711" s="1">
        <v>9.0698937280000003</v>
      </c>
      <c r="Z1711" s="1">
        <v>9.1362586029999999</v>
      </c>
      <c r="AA1711" s="1">
        <v>9.2255717409999995</v>
      </c>
      <c r="AB1711" s="1">
        <v>9.3296518180000003</v>
      </c>
      <c r="AC1711" s="1">
        <v>9.3529109009999996</v>
      </c>
      <c r="AD1711" s="1">
        <v>9.4613767360000001</v>
      </c>
      <c r="AE1711" s="1">
        <v>9.2181410970000002</v>
      </c>
    </row>
    <row r="1712" spans="1:31" x14ac:dyDescent="0.25">
      <c r="A1712" s="1" t="s">
        <v>1326</v>
      </c>
      <c r="B1712" s="1" t="s">
        <v>2942</v>
      </c>
      <c r="C1712" s="1" t="s">
        <v>2943</v>
      </c>
      <c r="D1712" s="1" t="s">
        <v>2535</v>
      </c>
      <c r="E1712" s="1" t="s">
        <v>5211</v>
      </c>
      <c r="F1712" s="1" t="s">
        <v>5212</v>
      </c>
      <c r="G1712" s="1" t="s">
        <v>1326</v>
      </c>
      <c r="H1712" s="1">
        <v>4.183793842</v>
      </c>
      <c r="I1712" s="1">
        <v>3.5006354609999999</v>
      </c>
      <c r="J1712" s="1">
        <v>3.1324899180000001</v>
      </c>
      <c r="K1712" s="1">
        <v>3.22334677</v>
      </c>
      <c r="L1712" s="1">
        <v>4.1188213390000001</v>
      </c>
      <c r="M1712" s="1">
        <v>3.7747836370000001</v>
      </c>
      <c r="N1712" s="1">
        <v>4.765904581</v>
      </c>
      <c r="O1712" s="1">
        <v>3.88533178</v>
      </c>
      <c r="P1712" s="1">
        <v>4.4805784009999998</v>
      </c>
      <c r="Q1712" s="1">
        <v>3.8492287269999999</v>
      </c>
      <c r="R1712" s="1">
        <v>3.386455024</v>
      </c>
      <c r="S1712" s="1">
        <v>4.6864044680000001</v>
      </c>
      <c r="T1712" s="1">
        <v>4.1188213390000001</v>
      </c>
      <c r="U1712" s="1">
        <v>3.7747836370000001</v>
      </c>
      <c r="V1712" s="1">
        <v>3.887436229</v>
      </c>
      <c r="W1712" s="1">
        <v>3.2870366010000001</v>
      </c>
      <c r="X1712" s="1">
        <v>3.9418607479999999</v>
      </c>
      <c r="Y1712" s="1">
        <v>3.9087436480000002</v>
      </c>
      <c r="Z1712" s="1">
        <v>3.386455024</v>
      </c>
      <c r="AA1712" s="1">
        <v>4.6864044680000001</v>
      </c>
      <c r="AB1712" s="1">
        <v>4.2729702720000002</v>
      </c>
      <c r="AC1712" s="1">
        <v>4.2557864319999998</v>
      </c>
      <c r="AD1712" s="1">
        <v>2.6025990879999998</v>
      </c>
      <c r="AE1712" s="1">
        <v>3.5108161330000001</v>
      </c>
    </row>
    <row r="1713" spans="1:31" x14ac:dyDescent="0.25">
      <c r="A1713" s="1" t="s">
        <v>1327</v>
      </c>
      <c r="B1713" s="1" t="s">
        <v>2608</v>
      </c>
      <c r="C1713" s="1" t="s">
        <v>2700</v>
      </c>
      <c r="D1713" s="1" t="s">
        <v>2701</v>
      </c>
      <c r="E1713" s="1" t="s">
        <v>5213</v>
      </c>
      <c r="F1713" s="1" t="s">
        <v>5214</v>
      </c>
      <c r="G1713" s="1" t="s">
        <v>1327</v>
      </c>
      <c r="H1713" s="1">
        <v>7.9433012039999999</v>
      </c>
      <c r="I1713" s="1">
        <v>7.9639056530000003</v>
      </c>
      <c r="J1713" s="1">
        <v>9.2090350020000002</v>
      </c>
      <c r="K1713" s="1">
        <v>9.1858970039999992</v>
      </c>
      <c r="L1713" s="1">
        <v>8.7872488729999993</v>
      </c>
      <c r="M1713" s="1">
        <v>8.8994611599999995</v>
      </c>
      <c r="N1713" s="1">
        <v>7.9622918</v>
      </c>
      <c r="O1713" s="1">
        <v>7.9363988780000003</v>
      </c>
      <c r="P1713" s="1">
        <v>9.0463845589999998</v>
      </c>
      <c r="Q1713" s="1">
        <v>9.0935972770000006</v>
      </c>
      <c r="R1713" s="1">
        <v>9.5282185960000003</v>
      </c>
      <c r="S1713" s="1">
        <v>9.2420665199999998</v>
      </c>
      <c r="T1713" s="1">
        <v>8.7872488729999993</v>
      </c>
      <c r="U1713" s="1">
        <v>8.8994611599999995</v>
      </c>
      <c r="V1713" s="1">
        <v>9.0370951789999996</v>
      </c>
      <c r="W1713" s="1">
        <v>9.0127133219999997</v>
      </c>
      <c r="X1713" s="1">
        <v>8.8877617929999992</v>
      </c>
      <c r="Y1713" s="1">
        <v>8.9078345769999991</v>
      </c>
      <c r="Z1713" s="1">
        <v>9.5282185960000003</v>
      </c>
      <c r="AA1713" s="1">
        <v>9.2420665199999998</v>
      </c>
      <c r="AB1713" s="1">
        <v>9.1010741989999993</v>
      </c>
      <c r="AC1713" s="1">
        <v>9.2306656419999999</v>
      </c>
      <c r="AD1713" s="1">
        <v>8.9385606289999995</v>
      </c>
      <c r="AE1713" s="1">
        <v>9.1115189399999998</v>
      </c>
    </row>
    <row r="1714" spans="1:31" x14ac:dyDescent="0.25">
      <c r="A1714" s="1" t="s">
        <v>1331</v>
      </c>
      <c r="B1714" s="1" t="s">
        <v>2530</v>
      </c>
      <c r="C1714" s="1" t="s">
        <v>2531</v>
      </c>
      <c r="D1714" s="1" t="s">
        <v>2535</v>
      </c>
      <c r="E1714" s="1" t="s">
        <v>2536</v>
      </c>
      <c r="G1714" s="1" t="s">
        <v>1331</v>
      </c>
      <c r="H1714" s="1">
        <v>6.1242673779999999</v>
      </c>
      <c r="I1714" s="1">
        <v>5.6856247609999997</v>
      </c>
      <c r="J1714" s="1">
        <v>5.6161485820000001</v>
      </c>
      <c r="K1714" s="1">
        <v>5.4913640639999999</v>
      </c>
      <c r="L1714" s="1">
        <v>4.6513384469999997</v>
      </c>
      <c r="M1714" s="1">
        <v>4.930560163</v>
      </c>
      <c r="N1714" s="1">
        <v>5.1887139119999999</v>
      </c>
      <c r="O1714" s="1">
        <v>5.2237789919999997</v>
      </c>
      <c r="P1714" s="1">
        <v>4.8528499219999999</v>
      </c>
      <c r="Q1714" s="1">
        <v>5.5022716190000001</v>
      </c>
      <c r="R1714" s="1">
        <v>4.1841942410000001</v>
      </c>
      <c r="S1714" s="1">
        <v>4.8699614389999999</v>
      </c>
      <c r="T1714" s="1">
        <v>4.6513384469999997</v>
      </c>
      <c r="U1714" s="1">
        <v>4.930560163</v>
      </c>
      <c r="V1714" s="1">
        <v>4.3163797720000003</v>
      </c>
      <c r="W1714" s="1">
        <v>3.9848641250000001</v>
      </c>
      <c r="X1714" s="1">
        <v>4.6838774470000004</v>
      </c>
      <c r="Y1714" s="1">
        <v>3.7705059300000001</v>
      </c>
      <c r="Z1714" s="1">
        <v>4.1841942410000001</v>
      </c>
      <c r="AA1714" s="1">
        <v>4.8699614389999999</v>
      </c>
      <c r="AB1714" s="1">
        <v>4.7958605490000004</v>
      </c>
      <c r="AC1714" s="1">
        <v>4.3377211620000002</v>
      </c>
      <c r="AD1714" s="1">
        <v>4.5511338559999999</v>
      </c>
      <c r="AE1714" s="1">
        <v>4.6572481659999996</v>
      </c>
    </row>
    <row r="1715" spans="1:31" x14ac:dyDescent="0.25">
      <c r="A1715" s="1" t="s">
        <v>1339</v>
      </c>
      <c r="B1715" s="1" t="s">
        <v>2520</v>
      </c>
      <c r="C1715" s="1" t="s">
        <v>2646</v>
      </c>
      <c r="D1715" s="1" t="s">
        <v>2691</v>
      </c>
      <c r="E1715" s="1" t="s">
        <v>5215</v>
      </c>
      <c r="F1715" s="1" t="s">
        <v>2693</v>
      </c>
      <c r="G1715" s="1" t="s">
        <v>1339</v>
      </c>
      <c r="H1715" s="1">
        <v>8.6027934879999997</v>
      </c>
      <c r="I1715" s="1">
        <v>8.2624137149999992</v>
      </c>
      <c r="J1715" s="1">
        <v>8.4265607389999992</v>
      </c>
      <c r="K1715" s="1">
        <v>8.6936539610000008</v>
      </c>
      <c r="L1715" s="1">
        <v>7.6586460250000004</v>
      </c>
      <c r="M1715" s="1">
        <v>7.5325785349999999</v>
      </c>
      <c r="N1715" s="1">
        <v>8.5783479299999996</v>
      </c>
      <c r="O1715" s="1">
        <v>8.748799021</v>
      </c>
      <c r="P1715" s="1">
        <v>7.6388274789999997</v>
      </c>
      <c r="Q1715" s="1">
        <v>7.6604262460000001</v>
      </c>
      <c r="R1715" s="1">
        <v>7.7562709559999998</v>
      </c>
      <c r="S1715" s="1">
        <v>7.6392562679999996</v>
      </c>
      <c r="T1715" s="1">
        <v>7.6586460250000004</v>
      </c>
      <c r="U1715" s="1">
        <v>7.5325785349999999</v>
      </c>
      <c r="V1715" s="1">
        <v>7.7592997019999999</v>
      </c>
      <c r="W1715" s="1">
        <v>8.1926099870000009</v>
      </c>
      <c r="X1715" s="1">
        <v>7.5644177900000003</v>
      </c>
      <c r="Y1715" s="1">
        <v>7.8846161710000002</v>
      </c>
      <c r="Z1715" s="1">
        <v>7.7562709559999998</v>
      </c>
      <c r="AA1715" s="1">
        <v>7.6392562679999996</v>
      </c>
      <c r="AB1715" s="1">
        <v>7.8858864449999997</v>
      </c>
      <c r="AC1715" s="1">
        <v>8.0656267770000003</v>
      </c>
      <c r="AD1715" s="1">
        <v>8.3793978439999997</v>
      </c>
      <c r="AE1715" s="1">
        <v>8.3252236929999999</v>
      </c>
    </row>
    <row r="1716" spans="1:31" x14ac:dyDescent="0.25">
      <c r="A1716" s="1" t="s">
        <v>1340</v>
      </c>
      <c r="B1716" s="1" t="s">
        <v>2608</v>
      </c>
      <c r="C1716" s="1" t="s">
        <v>2609</v>
      </c>
      <c r="D1716" s="1" t="s">
        <v>4292</v>
      </c>
      <c r="E1716" s="1" t="s">
        <v>5216</v>
      </c>
      <c r="F1716" s="1" t="s">
        <v>5217</v>
      </c>
      <c r="G1716" s="1" t="s">
        <v>1340</v>
      </c>
      <c r="H1716" s="1">
        <v>6.8858328110000002</v>
      </c>
      <c r="I1716" s="1">
        <v>7.4636765299999999</v>
      </c>
      <c r="J1716" s="1">
        <v>6.931337622</v>
      </c>
      <c r="K1716" s="1">
        <v>7.1450778140000004</v>
      </c>
      <c r="L1716" s="1">
        <v>7.3407024740000004</v>
      </c>
      <c r="M1716" s="1">
        <v>7.2315660980000001</v>
      </c>
      <c r="N1716" s="1">
        <v>8.2372148349999996</v>
      </c>
      <c r="O1716" s="1">
        <v>8.3943162900000008</v>
      </c>
      <c r="P1716" s="1">
        <v>6.9406621209999999</v>
      </c>
      <c r="Q1716" s="1">
        <v>7.1071188039999997</v>
      </c>
      <c r="R1716" s="1">
        <v>6.9268762089999996</v>
      </c>
      <c r="S1716" s="1">
        <v>7.0777719039999996</v>
      </c>
      <c r="T1716" s="1">
        <v>7.3407024740000004</v>
      </c>
      <c r="U1716" s="1">
        <v>7.2315660980000001</v>
      </c>
      <c r="V1716" s="1">
        <v>6.6755125270000004</v>
      </c>
      <c r="W1716" s="1">
        <v>6.5088246730000003</v>
      </c>
      <c r="X1716" s="1">
        <v>6.871117677</v>
      </c>
      <c r="Y1716" s="1">
        <v>6.9770204600000003</v>
      </c>
      <c r="Z1716" s="1">
        <v>6.9268762089999996</v>
      </c>
      <c r="AA1716" s="1">
        <v>7.0777719039999996</v>
      </c>
      <c r="AB1716" s="1">
        <v>6.8954646989999997</v>
      </c>
      <c r="AC1716" s="1">
        <v>7.1727907960000001</v>
      </c>
      <c r="AD1716" s="1">
        <v>7.0331906609999999</v>
      </c>
      <c r="AE1716" s="1">
        <v>7.1314718639999999</v>
      </c>
    </row>
    <row r="1717" spans="1:31" x14ac:dyDescent="0.25">
      <c r="A1717" s="1" t="s">
        <v>1342</v>
      </c>
      <c r="B1717" s="1" t="s">
        <v>2598</v>
      </c>
      <c r="C1717" s="1" t="s">
        <v>2603</v>
      </c>
      <c r="D1717" s="1" t="s">
        <v>5218</v>
      </c>
      <c r="E1717" s="1" t="s">
        <v>5219</v>
      </c>
      <c r="F1717" s="1" t="s">
        <v>5220</v>
      </c>
      <c r="G1717" s="1" t="s">
        <v>1342</v>
      </c>
      <c r="H1717" s="1">
        <v>4.995162745</v>
      </c>
      <c r="I1717" s="1">
        <v>6.1880668090000004</v>
      </c>
      <c r="J1717" s="1">
        <v>5.4770890750000003</v>
      </c>
      <c r="K1717" s="1">
        <v>5.5322182199999999</v>
      </c>
      <c r="L1717" s="1">
        <v>5.7830592080000001</v>
      </c>
      <c r="M1717" s="1">
        <v>5.6393255609999997</v>
      </c>
      <c r="N1717" s="1">
        <v>5.4502346690000003</v>
      </c>
      <c r="O1717" s="1">
        <v>5.3342335859999999</v>
      </c>
      <c r="P1717" s="1">
        <v>5.7791106289999998</v>
      </c>
      <c r="Q1717" s="1">
        <v>5.6144419360000004</v>
      </c>
      <c r="R1717" s="1">
        <v>5.3334881589999998</v>
      </c>
      <c r="S1717" s="1">
        <v>5.3512993040000003</v>
      </c>
      <c r="T1717" s="1">
        <v>5.7830592080000001</v>
      </c>
      <c r="U1717" s="1">
        <v>5.6393255609999997</v>
      </c>
      <c r="V1717" s="1">
        <v>6.2204802570000002</v>
      </c>
      <c r="W1717" s="1">
        <v>5.6472737119999996</v>
      </c>
      <c r="X1717" s="1">
        <v>5.5030444689999998</v>
      </c>
      <c r="Y1717" s="1">
        <v>5.8677638710000002</v>
      </c>
      <c r="Z1717" s="1">
        <v>5.3334881589999998</v>
      </c>
      <c r="AA1717" s="1">
        <v>5.3512993040000003</v>
      </c>
      <c r="AB1717" s="1">
        <v>4.9601840040000003</v>
      </c>
      <c r="AC1717" s="1">
        <v>4.9145215069999999</v>
      </c>
      <c r="AD1717" s="1">
        <v>4.2970121150000002</v>
      </c>
      <c r="AE1717" s="1">
        <v>4.9843711490000002</v>
      </c>
    </row>
    <row r="1718" spans="1:31" x14ac:dyDescent="0.25">
      <c r="A1718" s="1" t="s">
        <v>1348</v>
      </c>
      <c r="B1718" s="1" t="s">
        <v>2942</v>
      </c>
      <c r="C1718" s="1" t="s">
        <v>2531</v>
      </c>
      <c r="D1718" s="1" t="s">
        <v>3421</v>
      </c>
      <c r="E1718" s="1" t="s">
        <v>5221</v>
      </c>
      <c r="G1718" s="1" t="s">
        <v>1348</v>
      </c>
      <c r="H1718" s="1">
        <v>6.1789942880000002</v>
      </c>
      <c r="I1718" s="1">
        <v>5.8917578519999996</v>
      </c>
      <c r="J1718" s="1">
        <v>5.4021237849999997</v>
      </c>
      <c r="K1718" s="1">
        <v>5.0014827119999996</v>
      </c>
      <c r="L1718" s="1">
        <v>5.7398214760000004</v>
      </c>
      <c r="M1718" s="1">
        <v>5.5973531489999999</v>
      </c>
      <c r="N1718" s="1">
        <v>5.7258938089999996</v>
      </c>
      <c r="O1718" s="1">
        <v>5.6647442659999996</v>
      </c>
      <c r="P1718" s="1">
        <v>5.4627121560000003</v>
      </c>
      <c r="Q1718" s="1">
        <v>5.6846114249999999</v>
      </c>
      <c r="R1718" s="1">
        <v>5.7142579380000003</v>
      </c>
      <c r="S1718" s="1">
        <v>5.6781703969999997</v>
      </c>
      <c r="T1718" s="1">
        <v>5.7398214760000004</v>
      </c>
      <c r="U1718" s="1">
        <v>5.5973531489999999</v>
      </c>
      <c r="V1718" s="1">
        <v>5.3192272129999996</v>
      </c>
      <c r="W1718" s="1">
        <v>5.16775612</v>
      </c>
      <c r="X1718" s="1">
        <v>5.4203833540000002</v>
      </c>
      <c r="Y1718" s="1">
        <v>5.2792112080000004</v>
      </c>
      <c r="Z1718" s="1">
        <v>5.7142579380000003</v>
      </c>
      <c r="AA1718" s="1">
        <v>5.6781703969999997</v>
      </c>
      <c r="AB1718" s="1">
        <v>5.2406211000000003</v>
      </c>
      <c r="AC1718" s="1">
        <v>5.8163513240000002</v>
      </c>
      <c r="AD1718" s="1">
        <v>4.83054469</v>
      </c>
      <c r="AE1718" s="1">
        <v>5.3433438500000001</v>
      </c>
    </row>
    <row r="1719" spans="1:31" x14ac:dyDescent="0.25">
      <c r="A1719" s="1" t="s">
        <v>1351</v>
      </c>
      <c r="B1719" s="1" t="s">
        <v>2539</v>
      </c>
      <c r="C1719" s="1" t="s">
        <v>2606</v>
      </c>
      <c r="D1719" s="1" t="s">
        <v>3536</v>
      </c>
      <c r="E1719" s="1" t="s">
        <v>5222</v>
      </c>
      <c r="F1719" s="1" t="s">
        <v>5223</v>
      </c>
      <c r="G1719" s="1" t="s">
        <v>1351</v>
      </c>
      <c r="H1719" s="1">
        <v>8.9554261470000007</v>
      </c>
      <c r="I1719" s="1">
        <v>8.813713581</v>
      </c>
      <c r="J1719" s="1">
        <v>7.6316491480000002</v>
      </c>
      <c r="K1719" s="1">
        <v>8.0495962559999992</v>
      </c>
      <c r="L1719" s="1">
        <v>7.7374256340000001</v>
      </c>
      <c r="M1719" s="1">
        <v>7.5976191770000003</v>
      </c>
      <c r="N1719" s="1">
        <v>9.1828283620000004</v>
      </c>
      <c r="O1719" s="1">
        <v>9.1926311520000006</v>
      </c>
      <c r="P1719" s="1">
        <v>7.623154285</v>
      </c>
      <c r="Q1719" s="1">
        <v>7.6776625599999999</v>
      </c>
      <c r="R1719" s="1">
        <v>7.9873769780000003</v>
      </c>
      <c r="S1719" s="1">
        <v>8.2026378730000005</v>
      </c>
      <c r="T1719" s="1">
        <v>7.7374256340000001</v>
      </c>
      <c r="U1719" s="1">
        <v>7.5976191770000003</v>
      </c>
      <c r="V1719" s="1">
        <v>8.2500033459999997</v>
      </c>
      <c r="W1719" s="1">
        <v>8.3252496370000006</v>
      </c>
      <c r="X1719" s="1">
        <v>8.3071371630000002</v>
      </c>
      <c r="Y1719" s="1">
        <v>8.7074323450000009</v>
      </c>
      <c r="Z1719" s="1">
        <v>7.9873769780000003</v>
      </c>
      <c r="AA1719" s="1">
        <v>8.2026378730000005</v>
      </c>
      <c r="AB1719" s="1">
        <v>8.2496069540000008</v>
      </c>
      <c r="AC1719" s="1">
        <v>8.1940324340000004</v>
      </c>
      <c r="AD1719" s="1">
        <v>8.5069860360000007</v>
      </c>
      <c r="AE1719" s="1">
        <v>8.7702498650000003</v>
      </c>
    </row>
    <row r="1720" spans="1:31" x14ac:dyDescent="0.25">
      <c r="A1720" s="1" t="s">
        <v>1353</v>
      </c>
      <c r="B1720" s="1" t="s">
        <v>2667</v>
      </c>
      <c r="C1720" s="1" t="s">
        <v>2875</v>
      </c>
      <c r="D1720" s="1" t="s">
        <v>3679</v>
      </c>
      <c r="E1720" s="1" t="s">
        <v>5224</v>
      </c>
      <c r="F1720" s="1" t="s">
        <v>4972</v>
      </c>
      <c r="G1720" s="1" t="s">
        <v>1353</v>
      </c>
      <c r="H1720" s="1">
        <v>5.2735834620000004</v>
      </c>
      <c r="I1720" s="1">
        <v>5.9189259930000002</v>
      </c>
      <c r="J1720" s="1">
        <v>6.1831700180000002</v>
      </c>
      <c r="K1720" s="1">
        <v>6.091743707</v>
      </c>
      <c r="L1720" s="1">
        <v>6.3879841260000001</v>
      </c>
      <c r="M1720" s="1">
        <v>6.2252239280000001</v>
      </c>
      <c r="N1720" s="1">
        <v>6.6363750030000004</v>
      </c>
      <c r="O1720" s="1">
        <v>6.173773679</v>
      </c>
      <c r="P1720" s="1">
        <v>6.4476246020000003</v>
      </c>
      <c r="Q1720" s="1">
        <v>6.4391077020000003</v>
      </c>
      <c r="R1720" s="1">
        <v>6.5134469040000003</v>
      </c>
      <c r="S1720" s="1">
        <v>6.5149715439999998</v>
      </c>
      <c r="T1720" s="1">
        <v>6.3879841260000001</v>
      </c>
      <c r="U1720" s="1">
        <v>6.2252239280000001</v>
      </c>
      <c r="V1720" s="1">
        <v>6.3829858890000004</v>
      </c>
      <c r="W1720" s="1">
        <v>6.6773173909999999</v>
      </c>
      <c r="X1720" s="1">
        <v>6.5025394790000002</v>
      </c>
      <c r="Y1720" s="1">
        <v>6.3769095809999996</v>
      </c>
      <c r="Z1720" s="1">
        <v>6.5134469040000003</v>
      </c>
      <c r="AA1720" s="1">
        <v>6.5149715439999998</v>
      </c>
      <c r="AB1720" s="1">
        <v>6.5063200270000001</v>
      </c>
      <c r="AC1720" s="1">
        <v>6.6252225420000004</v>
      </c>
      <c r="AD1720" s="1">
        <v>6.4566895009999996</v>
      </c>
      <c r="AE1720" s="1">
        <v>6.4105584240000004</v>
      </c>
    </row>
    <row r="1721" spans="1:31" x14ac:dyDescent="0.25">
      <c r="A1721" s="1" t="s">
        <v>1355</v>
      </c>
      <c r="B1721" s="1" t="s">
        <v>2631</v>
      </c>
      <c r="C1721" s="1" t="s">
        <v>2980</v>
      </c>
      <c r="D1721" s="1" t="s">
        <v>2535</v>
      </c>
      <c r="E1721" s="1" t="s">
        <v>5225</v>
      </c>
      <c r="F1721" s="1" t="s">
        <v>5226</v>
      </c>
      <c r="G1721" s="1" t="s">
        <v>1355</v>
      </c>
      <c r="H1721" s="1">
        <v>5.2735834620000004</v>
      </c>
      <c r="I1721" s="1">
        <v>5.4817092260000004</v>
      </c>
      <c r="J1721" s="1">
        <v>4.8994370109999998</v>
      </c>
      <c r="K1721" s="1">
        <v>4.8139921829999999</v>
      </c>
      <c r="L1721" s="1">
        <v>5.1724144110000001</v>
      </c>
      <c r="M1721" s="1">
        <v>5.4399015869999996</v>
      </c>
      <c r="N1721" s="1">
        <v>6.0739568119999996</v>
      </c>
      <c r="O1721" s="1">
        <v>4.7903853170000001</v>
      </c>
      <c r="P1721" s="1">
        <v>5.3900565609999997</v>
      </c>
      <c r="Q1721" s="1">
        <v>5.3805263300000004</v>
      </c>
      <c r="R1721" s="1">
        <v>5.0440296189999998</v>
      </c>
      <c r="S1721" s="1">
        <v>4.7503017500000002</v>
      </c>
      <c r="T1721" s="1">
        <v>5.1724144110000001</v>
      </c>
      <c r="U1721" s="1">
        <v>5.4399015869999996</v>
      </c>
      <c r="V1721" s="1">
        <v>4.9055261469999998</v>
      </c>
      <c r="W1721" s="1">
        <v>5.6059572260000001</v>
      </c>
      <c r="X1721" s="1">
        <v>5.0861518739999996</v>
      </c>
      <c r="Y1721" s="1">
        <v>4.8904630100000004</v>
      </c>
      <c r="Z1721" s="1">
        <v>5.0440296189999998</v>
      </c>
      <c r="AA1721" s="1">
        <v>4.7503017500000002</v>
      </c>
      <c r="AB1721" s="1">
        <v>4.705867896</v>
      </c>
      <c r="AC1721" s="1">
        <v>5.198889973</v>
      </c>
      <c r="AD1721" s="1">
        <v>5.396704357</v>
      </c>
      <c r="AE1721" s="1">
        <v>5.387950011</v>
      </c>
    </row>
    <row r="1722" spans="1:31" x14ac:dyDescent="0.25">
      <c r="A1722" s="1" t="s">
        <v>1356</v>
      </c>
      <c r="B1722" s="1" t="s">
        <v>2557</v>
      </c>
      <c r="C1722" s="1" t="s">
        <v>3063</v>
      </c>
      <c r="D1722" s="1" t="s">
        <v>3146</v>
      </c>
      <c r="E1722" s="1" t="s">
        <v>5227</v>
      </c>
      <c r="F1722" s="1" t="s">
        <v>5228</v>
      </c>
      <c r="G1722" s="1" t="s">
        <v>1356</v>
      </c>
      <c r="H1722" s="1">
        <v>2.9945681560000001</v>
      </c>
      <c r="I1722" s="1">
        <v>4.3763156859999999</v>
      </c>
      <c r="J1722" s="1">
        <v>4.2898244959999996</v>
      </c>
      <c r="K1722" s="1">
        <v>4.1384138449999996</v>
      </c>
      <c r="L1722" s="1">
        <v>4.9098563420000003</v>
      </c>
      <c r="M1722" s="1">
        <v>4.6276332350000002</v>
      </c>
      <c r="N1722" s="1">
        <v>4.4061149080000002</v>
      </c>
      <c r="O1722" s="1">
        <v>4.4368189940000002</v>
      </c>
      <c r="P1722" s="1">
        <v>4.0684607960000001</v>
      </c>
      <c r="Q1722" s="1">
        <v>4.18747588</v>
      </c>
      <c r="R1722" s="1">
        <v>4.5333476509999997</v>
      </c>
      <c r="S1722" s="1">
        <v>4.0285685429999996</v>
      </c>
      <c r="T1722" s="1">
        <v>4.9098563420000003</v>
      </c>
      <c r="U1722" s="1">
        <v>4.6276332350000002</v>
      </c>
      <c r="V1722" s="1">
        <v>4.5207607210000003</v>
      </c>
      <c r="W1722" s="1">
        <v>4.6166922860000001</v>
      </c>
      <c r="X1722" s="1">
        <v>4.4920419310000002</v>
      </c>
      <c r="Y1722" s="1">
        <v>4.6842287809999998</v>
      </c>
      <c r="Z1722" s="1">
        <v>4.5333476509999997</v>
      </c>
      <c r="AA1722" s="1">
        <v>4.0285685429999996</v>
      </c>
      <c r="AB1722" s="1">
        <v>4.139369361</v>
      </c>
      <c r="AC1722" s="1">
        <v>4.4881955270000002</v>
      </c>
      <c r="AD1722" s="1">
        <v>4.6264106470000002</v>
      </c>
      <c r="AE1722" s="1">
        <v>4.6572481659999996</v>
      </c>
    </row>
    <row r="1723" spans="1:31" x14ac:dyDescent="0.25">
      <c r="A1723" s="1" t="s">
        <v>1358</v>
      </c>
      <c r="B1723" s="1" t="s">
        <v>2530</v>
      </c>
      <c r="C1723" s="1" t="s">
        <v>2531</v>
      </c>
      <c r="D1723" s="1" t="s">
        <v>2535</v>
      </c>
      <c r="E1723" s="1" t="s">
        <v>2536</v>
      </c>
      <c r="G1723" s="1" t="s">
        <v>1358</v>
      </c>
      <c r="H1723" s="1">
        <v>7.6172000190000002</v>
      </c>
      <c r="I1723" s="1">
        <v>7.3488260959999998</v>
      </c>
      <c r="J1723" s="1">
        <v>7.581854527</v>
      </c>
      <c r="K1723" s="1">
        <v>7.6579791049999999</v>
      </c>
      <c r="L1723" s="1">
        <v>6.6742364040000002</v>
      </c>
      <c r="M1723" s="1">
        <v>6.7006958919999997</v>
      </c>
      <c r="N1723" s="1">
        <v>7.3135207649999998</v>
      </c>
      <c r="O1723" s="1">
        <v>7.7560691290000001</v>
      </c>
      <c r="P1723" s="1">
        <v>7.0266062859999998</v>
      </c>
      <c r="Q1723" s="1">
        <v>7.1815238780000001</v>
      </c>
      <c r="R1723" s="1">
        <v>7.4004199469999996</v>
      </c>
      <c r="S1723" s="1">
        <v>7.4438987320000001</v>
      </c>
      <c r="T1723" s="1">
        <v>6.6742364040000002</v>
      </c>
      <c r="U1723" s="1">
        <v>6.7006958919999997</v>
      </c>
      <c r="V1723" s="1">
        <v>7.1365351649999997</v>
      </c>
      <c r="W1723" s="1">
        <v>6.8980132320000003</v>
      </c>
      <c r="X1723" s="1">
        <v>7.262014325</v>
      </c>
      <c r="Y1723" s="1">
        <v>7.1185527400000002</v>
      </c>
      <c r="Z1723" s="1">
        <v>7.4004199469999996</v>
      </c>
      <c r="AA1723" s="1">
        <v>7.4438987320000001</v>
      </c>
      <c r="AB1723" s="1">
        <v>7.4263400370000001</v>
      </c>
      <c r="AC1723" s="1">
        <v>7.2155344560000003</v>
      </c>
      <c r="AD1723" s="1">
        <v>7.5424430249999999</v>
      </c>
      <c r="AE1723" s="1">
        <v>7.1117798499999996</v>
      </c>
    </row>
    <row r="1724" spans="1:31" x14ac:dyDescent="0.25">
      <c r="A1724" s="1" t="s">
        <v>1361</v>
      </c>
      <c r="B1724" s="1" t="s">
        <v>2662</v>
      </c>
      <c r="C1724" s="1" t="s">
        <v>5229</v>
      </c>
      <c r="D1724" s="1" t="s">
        <v>5230</v>
      </c>
      <c r="E1724" s="1" t="s">
        <v>5231</v>
      </c>
      <c r="F1724" s="1" t="s">
        <v>5232</v>
      </c>
      <c r="G1724" s="1" t="s">
        <v>1361</v>
      </c>
      <c r="H1724" s="1">
        <v>5.1131742039999999</v>
      </c>
      <c r="I1724" s="1">
        <v>4.4542943209999999</v>
      </c>
      <c r="J1724" s="1">
        <v>4.3724365990000003</v>
      </c>
      <c r="K1724" s="1">
        <v>4.5171444090000001</v>
      </c>
      <c r="L1724" s="1">
        <v>4.1645832880000002</v>
      </c>
      <c r="M1724" s="1">
        <v>3.9942443089999999</v>
      </c>
      <c r="N1724" s="1">
        <v>4.6173662499999999</v>
      </c>
      <c r="O1724" s="1">
        <v>4.7100516409999997</v>
      </c>
      <c r="P1724" s="1">
        <v>4.0684607960000001</v>
      </c>
      <c r="Q1724" s="1">
        <v>4.7509440400000003</v>
      </c>
      <c r="R1724" s="1">
        <v>4.2802026870000001</v>
      </c>
      <c r="S1724" s="1">
        <v>4.6194390810000003</v>
      </c>
      <c r="T1724" s="1">
        <v>4.1645832880000002</v>
      </c>
      <c r="U1724" s="1">
        <v>3.9942443089999999</v>
      </c>
      <c r="V1724" s="1">
        <v>4.2408545169999998</v>
      </c>
      <c r="W1724" s="1">
        <v>4.7760085830000003</v>
      </c>
      <c r="X1724" s="1">
        <v>4.1154863700000002</v>
      </c>
      <c r="Y1724" s="1">
        <v>5.5443425189999997</v>
      </c>
      <c r="Z1724" s="1">
        <v>4.2802026870000001</v>
      </c>
      <c r="AA1724" s="1">
        <v>4.6194390810000003</v>
      </c>
      <c r="AB1724" s="1">
        <v>4.8804215500000003</v>
      </c>
      <c r="AC1724" s="1">
        <v>4.6238605430000002</v>
      </c>
      <c r="AD1724" s="1">
        <v>4.3870463700000002</v>
      </c>
      <c r="AE1724" s="1">
        <v>4.9548800440000003</v>
      </c>
    </row>
    <row r="1725" spans="1:31" x14ac:dyDescent="0.25">
      <c r="A1725" s="1" t="s">
        <v>1366</v>
      </c>
      <c r="B1725" s="1" t="s">
        <v>2579</v>
      </c>
      <c r="C1725" s="1" t="s">
        <v>2812</v>
      </c>
      <c r="D1725" s="1" t="s">
        <v>3425</v>
      </c>
      <c r="E1725" s="1" t="s">
        <v>5233</v>
      </c>
      <c r="F1725" s="1" t="s">
        <v>5234</v>
      </c>
      <c r="G1725" s="1" t="s">
        <v>1366</v>
      </c>
      <c r="H1725" s="1">
        <v>7.1817882160000002</v>
      </c>
      <c r="I1725" s="1">
        <v>7.7161990380000001</v>
      </c>
      <c r="J1725" s="1">
        <v>7.1059649460000003</v>
      </c>
      <c r="K1725" s="1">
        <v>7.2943531070000001</v>
      </c>
      <c r="L1725" s="1">
        <v>6.777341389</v>
      </c>
      <c r="M1725" s="1">
        <v>6.5877467249999997</v>
      </c>
      <c r="N1725" s="1">
        <v>7.5686094910000001</v>
      </c>
      <c r="O1725" s="1">
        <v>7.5154170340000004</v>
      </c>
      <c r="P1725" s="1">
        <v>6.9532582459999999</v>
      </c>
      <c r="Q1725" s="1">
        <v>6.9023327999999999</v>
      </c>
      <c r="R1725" s="1">
        <v>6.532477096</v>
      </c>
      <c r="S1725" s="1">
        <v>6.5856947659999996</v>
      </c>
      <c r="T1725" s="1">
        <v>6.777341389</v>
      </c>
      <c r="U1725" s="1">
        <v>6.5877467249999997</v>
      </c>
      <c r="V1725" s="1">
        <v>6.4659141040000003</v>
      </c>
      <c r="W1725" s="1">
        <v>6.7165296740000002</v>
      </c>
      <c r="X1725" s="1">
        <v>6.1910758819999998</v>
      </c>
      <c r="Y1725" s="1">
        <v>6.5865062539999997</v>
      </c>
      <c r="Z1725" s="1">
        <v>6.532477096</v>
      </c>
      <c r="AA1725" s="1">
        <v>6.5856947659999996</v>
      </c>
      <c r="AB1725" s="1">
        <v>6.53236668</v>
      </c>
      <c r="AC1725" s="1">
        <v>6.047382313</v>
      </c>
      <c r="AD1725" s="1">
        <v>6.0893990919999998</v>
      </c>
      <c r="AE1725" s="1">
        <v>7.0510357859999999</v>
      </c>
    </row>
    <row r="1726" spans="1:31" x14ac:dyDescent="0.25">
      <c r="A1726" s="1" t="s">
        <v>1367</v>
      </c>
      <c r="B1726" s="1" t="s">
        <v>2530</v>
      </c>
      <c r="C1726" s="1" t="s">
        <v>2573</v>
      </c>
      <c r="D1726" s="1" t="s">
        <v>2949</v>
      </c>
      <c r="E1726" s="1" t="s">
        <v>5235</v>
      </c>
      <c r="G1726" s="1" t="s">
        <v>1367</v>
      </c>
      <c r="H1726" s="1">
        <v>6.5753846300000003</v>
      </c>
      <c r="I1726" s="1">
        <v>6.9096458590000003</v>
      </c>
      <c r="J1726" s="1">
        <v>6.1146491980000004</v>
      </c>
      <c r="K1726" s="1">
        <v>6.3863668120000003</v>
      </c>
      <c r="L1726" s="1">
        <v>6.6969603710000003</v>
      </c>
      <c r="M1726" s="1">
        <v>6.670759952</v>
      </c>
      <c r="N1726" s="1">
        <v>7.1301561749999998</v>
      </c>
      <c r="O1726" s="1">
        <v>7.0037921839999999</v>
      </c>
      <c r="P1726" s="1">
        <v>6.5507496449999998</v>
      </c>
      <c r="Q1726" s="1">
        <v>6.4391077020000003</v>
      </c>
      <c r="R1726" s="1">
        <v>6.868196749</v>
      </c>
      <c r="S1726" s="1">
        <v>6.2358418929999999</v>
      </c>
      <c r="T1726" s="1">
        <v>6.6969603710000003</v>
      </c>
      <c r="U1726" s="1">
        <v>6.670759952</v>
      </c>
      <c r="V1726" s="1">
        <v>6.3658106080000003</v>
      </c>
      <c r="W1726" s="1">
        <v>6.0977940090000002</v>
      </c>
      <c r="X1726" s="1">
        <v>6.1910758819999998</v>
      </c>
      <c r="Y1726" s="1">
        <v>6.2347231909999996</v>
      </c>
      <c r="Z1726" s="1">
        <v>6.868196749</v>
      </c>
      <c r="AA1726" s="1">
        <v>6.2358418929999999</v>
      </c>
      <c r="AB1726" s="1">
        <v>6.0812876019999997</v>
      </c>
      <c r="AC1726" s="1">
        <v>5.9744301399999999</v>
      </c>
      <c r="AD1726" s="1">
        <v>5.9522696560000004</v>
      </c>
      <c r="AE1726" s="1">
        <v>6.5731121019999996</v>
      </c>
    </row>
    <row r="1727" spans="1:31" x14ac:dyDescent="0.25">
      <c r="A1727" s="1" t="s">
        <v>1368</v>
      </c>
      <c r="B1727" s="1" t="s">
        <v>2530</v>
      </c>
      <c r="C1727" s="1" t="s">
        <v>2531</v>
      </c>
      <c r="D1727" s="1" t="s">
        <v>2949</v>
      </c>
      <c r="E1727" s="1" t="s">
        <v>5236</v>
      </c>
      <c r="G1727" s="1" t="s">
        <v>1368</v>
      </c>
      <c r="H1727" s="1">
        <v>5.2221022919999998</v>
      </c>
      <c r="I1727" s="1">
        <v>4.2055918060000002</v>
      </c>
      <c r="J1727" s="1">
        <v>5.0551375939999996</v>
      </c>
      <c r="K1727" s="1">
        <v>5.166960875</v>
      </c>
      <c r="L1727" s="1">
        <v>4.6825378889999998</v>
      </c>
      <c r="M1727" s="1">
        <v>4.3982295550000003</v>
      </c>
      <c r="N1727" s="1">
        <v>5.5139471840000001</v>
      </c>
      <c r="O1727" s="1">
        <v>5.4117878270000004</v>
      </c>
      <c r="P1727" s="1">
        <v>4.6160325330000003</v>
      </c>
      <c r="Q1727" s="1">
        <v>4.8155696649999999</v>
      </c>
      <c r="R1727" s="1">
        <v>4.3698765340000003</v>
      </c>
      <c r="S1727" s="1">
        <v>4.3966315629999997</v>
      </c>
      <c r="T1727" s="1">
        <v>4.6825378889999998</v>
      </c>
      <c r="U1727" s="1">
        <v>4.3982295550000003</v>
      </c>
      <c r="V1727" s="1">
        <v>4.0758289169999999</v>
      </c>
      <c r="W1727" s="1">
        <v>4.6166922860000001</v>
      </c>
      <c r="X1727" s="1">
        <v>4.9146300209999998</v>
      </c>
      <c r="Y1727" s="1">
        <v>3.9087436480000002</v>
      </c>
      <c r="Z1727" s="1">
        <v>4.3698765340000003</v>
      </c>
      <c r="AA1727" s="1">
        <v>4.3966315629999997</v>
      </c>
      <c r="AB1727" s="1">
        <v>4.6096720080000004</v>
      </c>
      <c r="AC1727" s="1">
        <v>4.6238605430000002</v>
      </c>
      <c r="AD1727" s="1">
        <v>4.6978214539999996</v>
      </c>
      <c r="AE1727" s="1">
        <v>4.5014252270000004</v>
      </c>
    </row>
    <row r="1728" spans="1:31" x14ac:dyDescent="0.25">
      <c r="A1728" s="1" t="s">
        <v>1369</v>
      </c>
      <c r="B1728" s="1" t="s">
        <v>2530</v>
      </c>
      <c r="C1728" s="1" t="s">
        <v>2573</v>
      </c>
      <c r="D1728" s="1" t="s">
        <v>2949</v>
      </c>
      <c r="E1728" s="1" t="s">
        <v>5237</v>
      </c>
      <c r="G1728" s="1" t="s">
        <v>1369</v>
      </c>
      <c r="H1728" s="1">
        <v>5.3712699940000004</v>
      </c>
      <c r="I1728" s="1">
        <v>6.3563108719999999</v>
      </c>
      <c r="J1728" s="1">
        <v>5.9926388770000001</v>
      </c>
      <c r="K1728" s="1">
        <v>6.091743707</v>
      </c>
      <c r="L1728" s="1">
        <v>5.8250296969999997</v>
      </c>
      <c r="M1728" s="1">
        <v>6.0344224830000002</v>
      </c>
      <c r="N1728" s="1">
        <v>7.2279063370000003</v>
      </c>
      <c r="O1728" s="1">
        <v>7.1459468570000002</v>
      </c>
      <c r="P1728" s="1">
        <v>5.6296473389999999</v>
      </c>
      <c r="Q1728" s="1">
        <v>5.2473923969999996</v>
      </c>
      <c r="R1728" s="1">
        <v>5.6804358580000001</v>
      </c>
      <c r="S1728" s="1">
        <v>6.0973467069999998</v>
      </c>
      <c r="T1728" s="1">
        <v>5.8250296969999997</v>
      </c>
      <c r="U1728" s="1">
        <v>6.0344224830000002</v>
      </c>
      <c r="V1728" s="1">
        <v>6.3829858890000004</v>
      </c>
      <c r="W1728" s="1">
        <v>6.3179498900000004</v>
      </c>
      <c r="X1728" s="1">
        <v>5.3098210989999997</v>
      </c>
      <c r="Y1728" s="1">
        <v>6.3310590680000001</v>
      </c>
      <c r="Z1728" s="1">
        <v>5.6804358580000001</v>
      </c>
      <c r="AA1728" s="1">
        <v>6.0973467069999998</v>
      </c>
      <c r="AB1728" s="1">
        <v>5.3624643089999999</v>
      </c>
      <c r="AC1728" s="1">
        <v>5.6067493529999997</v>
      </c>
      <c r="AD1728" s="1">
        <v>5.2159266190000002</v>
      </c>
      <c r="AE1728" s="1">
        <v>5.7708285269999999</v>
      </c>
    </row>
    <row r="1729" spans="1:31" x14ac:dyDescent="0.25">
      <c r="A1729" s="1" t="s">
        <v>1370</v>
      </c>
      <c r="B1729" s="1" t="s">
        <v>2547</v>
      </c>
      <c r="C1729" s="1" t="s">
        <v>2694</v>
      </c>
      <c r="D1729" s="1" t="s">
        <v>2949</v>
      </c>
      <c r="E1729" s="1" t="s">
        <v>5238</v>
      </c>
      <c r="G1729" s="1" t="s">
        <v>1370</v>
      </c>
      <c r="H1729" s="1">
        <v>3.6455184960000002</v>
      </c>
      <c r="I1729" s="1">
        <v>3.7806045529999999</v>
      </c>
      <c r="J1729" s="1">
        <v>3.8969924050000002</v>
      </c>
      <c r="K1729" s="1">
        <v>3.22334677</v>
      </c>
      <c r="L1729" s="1">
        <v>3.3025959560000002</v>
      </c>
      <c r="M1729" s="1">
        <v>3.2940962960000002</v>
      </c>
      <c r="N1729" s="1">
        <v>4.1562881980000004</v>
      </c>
      <c r="O1729" s="1">
        <v>4.3322392709999997</v>
      </c>
      <c r="P1729" s="1">
        <v>3.3003929539999999</v>
      </c>
      <c r="Q1729" s="1">
        <v>3.185675432</v>
      </c>
      <c r="R1729" s="1">
        <v>3.5594063970000001</v>
      </c>
      <c r="S1729" s="1">
        <v>4.0285685429999996</v>
      </c>
      <c r="T1729" s="1">
        <v>3.3025959560000002</v>
      </c>
      <c r="U1729" s="1">
        <v>3.2940962960000002</v>
      </c>
      <c r="V1729" s="1">
        <v>3.9849921849999999</v>
      </c>
      <c r="W1729" s="1">
        <v>2.6606351240000001</v>
      </c>
      <c r="X1729" s="1">
        <v>3.5039136989999999</v>
      </c>
      <c r="Y1729" s="1">
        <v>4.3509215530000001</v>
      </c>
      <c r="Z1729" s="1">
        <v>3.5594063970000001</v>
      </c>
      <c r="AA1729" s="1">
        <v>4.0285685429999996</v>
      </c>
      <c r="AB1729" s="1">
        <v>3.1218319999999999</v>
      </c>
      <c r="AC1729" s="1">
        <v>3.4716344729999999</v>
      </c>
      <c r="AD1729" s="1">
        <v>2.9432342459999998</v>
      </c>
      <c r="AE1729" s="1">
        <v>4.0685293649999998</v>
      </c>
    </row>
    <row r="1730" spans="1:31" x14ac:dyDescent="0.25">
      <c r="A1730" s="1" t="s">
        <v>1371</v>
      </c>
      <c r="B1730" s="1" t="s">
        <v>2530</v>
      </c>
      <c r="C1730" s="1" t="s">
        <v>2573</v>
      </c>
      <c r="D1730" s="1" t="s">
        <v>2949</v>
      </c>
      <c r="E1730" s="1" t="s">
        <v>3391</v>
      </c>
      <c r="G1730" s="1" t="s">
        <v>1371</v>
      </c>
      <c r="H1730" s="1">
        <v>6.4251460160000002</v>
      </c>
      <c r="I1730" s="1">
        <v>6.659404447</v>
      </c>
      <c r="J1730" s="1">
        <v>6.6543806500000002</v>
      </c>
      <c r="K1730" s="1">
        <v>6.6493796840000003</v>
      </c>
      <c r="L1730" s="1">
        <v>6.7985065310000001</v>
      </c>
      <c r="M1730" s="1">
        <v>6.8416956539999996</v>
      </c>
      <c r="N1730" s="1">
        <v>6.1558623460000002</v>
      </c>
      <c r="O1730" s="1">
        <v>5.6856657850000003</v>
      </c>
      <c r="P1730" s="1">
        <v>6.9903989949999996</v>
      </c>
      <c r="Q1730" s="1">
        <v>7.0943357039999997</v>
      </c>
      <c r="R1730" s="1">
        <v>6.8070247769999996</v>
      </c>
      <c r="S1730" s="1">
        <v>6.7016683280000002</v>
      </c>
      <c r="T1730" s="1">
        <v>6.7985065310000001</v>
      </c>
      <c r="U1730" s="1">
        <v>6.8416956539999996</v>
      </c>
      <c r="V1730" s="1">
        <v>6.416733067</v>
      </c>
      <c r="W1730" s="1">
        <v>6.2120844699999997</v>
      </c>
      <c r="X1730" s="1">
        <v>6.9168392939999999</v>
      </c>
      <c r="Y1730" s="1">
        <v>6.1840201749999997</v>
      </c>
      <c r="Z1730" s="1">
        <v>6.8070247769999996</v>
      </c>
      <c r="AA1730" s="1">
        <v>6.7016683280000002</v>
      </c>
      <c r="AB1730" s="1">
        <v>6.2789960090000001</v>
      </c>
      <c r="AC1730" s="1">
        <v>6.6252225420000004</v>
      </c>
      <c r="AD1730" s="1">
        <v>5.980763981</v>
      </c>
      <c r="AE1730" s="1">
        <v>6.6203616419999998</v>
      </c>
    </row>
    <row r="1731" spans="1:31" x14ac:dyDescent="0.25">
      <c r="A1731" s="1" t="s">
        <v>1374</v>
      </c>
      <c r="B1731" s="1" t="s">
        <v>2579</v>
      </c>
      <c r="C1731" s="1" t="s">
        <v>2854</v>
      </c>
      <c r="D1731" s="1" t="s">
        <v>3622</v>
      </c>
      <c r="E1731" s="1" t="s">
        <v>5239</v>
      </c>
      <c r="F1731" s="1" t="s">
        <v>5240</v>
      </c>
      <c r="G1731" s="1" t="s">
        <v>1374</v>
      </c>
      <c r="H1731" s="1">
        <v>10.18963731</v>
      </c>
      <c r="I1731" s="1">
        <v>9.4919223059999993</v>
      </c>
      <c r="J1731" s="1">
        <v>11.48501504</v>
      </c>
      <c r="K1731" s="1">
        <v>11.21307167</v>
      </c>
      <c r="L1731" s="1">
        <v>11.044178479999999</v>
      </c>
      <c r="M1731" s="1">
        <v>11.259395639999999</v>
      </c>
      <c r="N1731" s="1">
        <v>8.3104181399999995</v>
      </c>
      <c r="O1731" s="1">
        <v>8.3752057640000004</v>
      </c>
      <c r="P1731" s="1">
        <v>11.364948760000001</v>
      </c>
      <c r="Q1731" s="1">
        <v>11.33099502</v>
      </c>
      <c r="R1731" s="1">
        <v>11.53795583</v>
      </c>
      <c r="S1731" s="1">
        <v>11.462542259999999</v>
      </c>
      <c r="T1731" s="1">
        <v>11.044178479999999</v>
      </c>
      <c r="U1731" s="1">
        <v>11.259395639999999</v>
      </c>
      <c r="V1731" s="1">
        <v>10.942506310000001</v>
      </c>
      <c r="W1731" s="1">
        <v>10.938898590000001</v>
      </c>
      <c r="X1731" s="1">
        <v>10.93904635</v>
      </c>
      <c r="Y1731" s="1">
        <v>10.574571730000001</v>
      </c>
      <c r="Z1731" s="1">
        <v>11.53795583</v>
      </c>
      <c r="AA1731" s="1">
        <v>11.462542259999999</v>
      </c>
      <c r="AB1731" s="1">
        <v>11.084614650000001</v>
      </c>
      <c r="AC1731" s="1">
        <v>11.16650705</v>
      </c>
      <c r="AD1731" s="1">
        <v>10.790739739999999</v>
      </c>
      <c r="AE1731" s="1">
        <v>10.70908562</v>
      </c>
    </row>
    <row r="1732" spans="1:31" x14ac:dyDescent="0.25">
      <c r="A1732" s="1" t="s">
        <v>1375</v>
      </c>
      <c r="B1732" s="1" t="s">
        <v>2547</v>
      </c>
      <c r="C1732" s="1" t="s">
        <v>2675</v>
      </c>
      <c r="D1732" s="1" t="s">
        <v>5241</v>
      </c>
      <c r="E1732" s="1" t="s">
        <v>5242</v>
      </c>
      <c r="F1732" s="1" t="s">
        <v>5243</v>
      </c>
      <c r="G1732" s="1" t="s">
        <v>1375</v>
      </c>
      <c r="H1732" s="1">
        <v>10.31531373</v>
      </c>
      <c r="I1732" s="1">
        <v>9.6294446100000002</v>
      </c>
      <c r="J1732" s="1">
        <v>11.10801736</v>
      </c>
      <c r="K1732" s="1">
        <v>10.97867827</v>
      </c>
      <c r="L1732" s="1">
        <v>10.554887600000001</v>
      </c>
      <c r="M1732" s="1">
        <v>10.74357309</v>
      </c>
      <c r="N1732" s="1">
        <v>8.5955342859999995</v>
      </c>
      <c r="O1732" s="1">
        <v>8.7463222040000002</v>
      </c>
      <c r="P1732" s="1">
        <v>10.74668862</v>
      </c>
      <c r="Q1732" s="1">
        <v>10.7434726</v>
      </c>
      <c r="R1732" s="1">
        <v>11.06260456</v>
      </c>
      <c r="S1732" s="1">
        <v>10.953775220000001</v>
      </c>
      <c r="T1732" s="1">
        <v>10.554887600000001</v>
      </c>
      <c r="U1732" s="1">
        <v>10.74357309</v>
      </c>
      <c r="V1732" s="1">
        <v>10.451214569999999</v>
      </c>
      <c r="W1732" s="1">
        <v>10.384017439999999</v>
      </c>
      <c r="X1732" s="1">
        <v>10.290093629999999</v>
      </c>
      <c r="Y1732" s="1">
        <v>10.126055409999999</v>
      </c>
      <c r="Z1732" s="1">
        <v>11.06260456</v>
      </c>
      <c r="AA1732" s="1">
        <v>10.953775220000001</v>
      </c>
      <c r="AB1732" s="1">
        <v>10.56202809</v>
      </c>
      <c r="AC1732" s="1">
        <v>10.787345240000001</v>
      </c>
      <c r="AD1732" s="1">
        <v>10.399052279999999</v>
      </c>
      <c r="AE1732" s="1">
        <v>10.138923739999999</v>
      </c>
    </row>
    <row r="1733" spans="1:31" x14ac:dyDescent="0.25">
      <c r="A1733" s="1" t="s">
        <v>1376</v>
      </c>
      <c r="B1733" s="1" t="s">
        <v>2547</v>
      </c>
      <c r="C1733" s="1" t="s">
        <v>2675</v>
      </c>
      <c r="D1733" s="1" t="s">
        <v>5241</v>
      </c>
      <c r="E1733" s="1" t="s">
        <v>5244</v>
      </c>
      <c r="F1733" s="1" t="s">
        <v>5245</v>
      </c>
      <c r="G1733" s="1" t="s">
        <v>1376</v>
      </c>
      <c r="H1733" s="1">
        <v>9.9555476939999998</v>
      </c>
      <c r="I1733" s="1">
        <v>9.3720996710000009</v>
      </c>
      <c r="J1733" s="1">
        <v>10.49005401</v>
      </c>
      <c r="K1733" s="1">
        <v>10.540854810000001</v>
      </c>
      <c r="L1733" s="1">
        <v>9.9821276520000009</v>
      </c>
      <c r="M1733" s="1">
        <v>10.293470790000001</v>
      </c>
      <c r="N1733" s="1">
        <v>8.6221343919999995</v>
      </c>
      <c r="O1733" s="1">
        <v>8.5557914450000006</v>
      </c>
      <c r="P1733" s="1">
        <v>10.288901879999999</v>
      </c>
      <c r="Q1733" s="1">
        <v>10.486660430000001</v>
      </c>
      <c r="R1733" s="1">
        <v>10.60710074</v>
      </c>
      <c r="S1733" s="1">
        <v>10.514277809999999</v>
      </c>
      <c r="T1733" s="1">
        <v>9.9821276520000009</v>
      </c>
      <c r="U1733" s="1">
        <v>10.293470790000001</v>
      </c>
      <c r="V1733" s="1">
        <v>9.5903561560000004</v>
      </c>
      <c r="W1733" s="1">
        <v>9.5941105499999999</v>
      </c>
      <c r="X1733" s="1">
        <v>9.7582452390000007</v>
      </c>
      <c r="Y1733" s="1">
        <v>9.3931332360000006</v>
      </c>
      <c r="Z1733" s="1">
        <v>10.60710074</v>
      </c>
      <c r="AA1733" s="1">
        <v>10.514277809999999</v>
      </c>
      <c r="AB1733" s="1">
        <v>10.191556670000001</v>
      </c>
      <c r="AC1733" s="1">
        <v>10.109703870000001</v>
      </c>
      <c r="AD1733" s="1">
        <v>9.8268008640000009</v>
      </c>
      <c r="AE1733" s="1">
        <v>9.9761228390000003</v>
      </c>
    </row>
    <row r="1734" spans="1:31" x14ac:dyDescent="0.25">
      <c r="A1734" s="1" t="s">
        <v>1377</v>
      </c>
      <c r="B1734" s="1" t="s">
        <v>2547</v>
      </c>
      <c r="C1734" s="1" t="s">
        <v>2675</v>
      </c>
      <c r="D1734" s="1" t="s">
        <v>5241</v>
      </c>
      <c r="E1734" s="1" t="s">
        <v>5246</v>
      </c>
      <c r="F1734" s="1" t="s">
        <v>5247</v>
      </c>
      <c r="G1734" s="1" t="s">
        <v>1377</v>
      </c>
      <c r="H1734" s="1">
        <v>10.191298550000001</v>
      </c>
      <c r="I1734" s="1">
        <v>9.635580182</v>
      </c>
      <c r="J1734" s="1">
        <v>10.39235996</v>
      </c>
      <c r="K1734" s="1">
        <v>10.464178130000001</v>
      </c>
      <c r="L1734" s="1">
        <v>9.8001505279999996</v>
      </c>
      <c r="M1734" s="1">
        <v>9.9886854700000001</v>
      </c>
      <c r="N1734" s="1">
        <v>9.03948851</v>
      </c>
      <c r="O1734" s="1">
        <v>9.4318181669999994</v>
      </c>
      <c r="P1734" s="1">
        <v>10.15909733</v>
      </c>
      <c r="Q1734" s="1">
        <v>10.202569799999999</v>
      </c>
      <c r="R1734" s="1">
        <v>10.50736494</v>
      </c>
      <c r="S1734" s="1">
        <v>10.32982333</v>
      </c>
      <c r="T1734" s="1">
        <v>9.8001505279999996</v>
      </c>
      <c r="U1734" s="1">
        <v>9.9886854700000001</v>
      </c>
      <c r="V1734" s="1">
        <v>9.8404931910000002</v>
      </c>
      <c r="W1734" s="1">
        <v>9.7603143669999994</v>
      </c>
      <c r="X1734" s="1">
        <v>9.8356092729999993</v>
      </c>
      <c r="Y1734" s="1">
        <v>9.6453970140000003</v>
      </c>
      <c r="Z1734" s="1">
        <v>10.50736494</v>
      </c>
      <c r="AA1734" s="1">
        <v>10.32982333</v>
      </c>
      <c r="AB1734" s="1">
        <v>10.013709349999999</v>
      </c>
      <c r="AC1734" s="1">
        <v>9.9994243269999998</v>
      </c>
      <c r="AD1734" s="1">
        <v>9.8481629379999998</v>
      </c>
      <c r="AE1734" s="1">
        <v>9.6768080249999997</v>
      </c>
    </row>
    <row r="1735" spans="1:31" x14ac:dyDescent="0.25">
      <c r="A1735" s="1" t="s">
        <v>1378</v>
      </c>
      <c r="B1735" s="1" t="s">
        <v>2642</v>
      </c>
      <c r="C1735" s="1" t="s">
        <v>2643</v>
      </c>
      <c r="D1735" s="1" t="s">
        <v>2687</v>
      </c>
      <c r="E1735" s="1" t="s">
        <v>3726</v>
      </c>
      <c r="F1735" s="1" t="s">
        <v>3727</v>
      </c>
      <c r="G1735" s="1" t="s">
        <v>1378</v>
      </c>
      <c r="H1735" s="1">
        <v>4.3886087140000001</v>
      </c>
      <c r="I1735" s="1">
        <v>4.5981535630000003</v>
      </c>
      <c r="J1735" s="1">
        <v>5.4021237849999997</v>
      </c>
      <c r="K1735" s="1">
        <v>4.6734567340000002</v>
      </c>
      <c r="L1735" s="1">
        <v>5.2153292420000001</v>
      </c>
      <c r="M1735" s="1">
        <v>5.3414536530000003</v>
      </c>
      <c r="N1735" s="1">
        <v>3.8490531570000002</v>
      </c>
      <c r="O1735" s="1">
        <v>4.7100516409999997</v>
      </c>
      <c r="P1735" s="1">
        <v>4.6160325330000003</v>
      </c>
      <c r="Q1735" s="1">
        <v>4.9365262349999997</v>
      </c>
      <c r="R1735" s="1">
        <v>4.9894654599999999</v>
      </c>
      <c r="S1735" s="1">
        <v>4.8699614389999999</v>
      </c>
      <c r="T1735" s="1">
        <v>5.2153292420000001</v>
      </c>
      <c r="U1735" s="1">
        <v>5.3414536530000003</v>
      </c>
      <c r="V1735" s="1">
        <v>4.9055261469999998</v>
      </c>
      <c r="W1735" s="1">
        <v>4.8493412630000003</v>
      </c>
      <c r="X1735" s="1">
        <v>5.0589726410000004</v>
      </c>
      <c r="Y1735" s="1">
        <v>3.9087436480000002</v>
      </c>
      <c r="Z1735" s="1">
        <v>4.9894654599999999</v>
      </c>
      <c r="AA1735" s="1">
        <v>4.8699614389999999</v>
      </c>
      <c r="AB1735" s="1">
        <v>4.7958605490000004</v>
      </c>
      <c r="AC1735" s="1">
        <v>4.7474570290000004</v>
      </c>
      <c r="AD1735" s="1">
        <v>4.6978214539999996</v>
      </c>
      <c r="AE1735" s="1">
        <v>4.8625108150000003</v>
      </c>
    </row>
    <row r="1736" spans="1:31" x14ac:dyDescent="0.25">
      <c r="A1736" s="1" t="s">
        <v>1379</v>
      </c>
      <c r="B1736" s="1" t="s">
        <v>2547</v>
      </c>
      <c r="C1736" s="1" t="s">
        <v>2675</v>
      </c>
      <c r="D1736" s="1" t="s">
        <v>5241</v>
      </c>
      <c r="E1736" s="1" t="s">
        <v>5248</v>
      </c>
      <c r="F1736" s="1" t="s">
        <v>5249</v>
      </c>
      <c r="G1736" s="1" t="s">
        <v>1379</v>
      </c>
      <c r="H1736" s="1">
        <v>8.1001087080000005</v>
      </c>
      <c r="I1736" s="1">
        <v>7.4264005519999996</v>
      </c>
      <c r="J1736" s="1">
        <v>8.4452427510000003</v>
      </c>
      <c r="K1736" s="1">
        <v>8.2577865960000008</v>
      </c>
      <c r="L1736" s="1">
        <v>8.5991978299999996</v>
      </c>
      <c r="M1736" s="1">
        <v>8.5538687160000002</v>
      </c>
      <c r="N1736" s="1">
        <v>7.295598075</v>
      </c>
      <c r="O1736" s="1">
        <v>7.4253617419999998</v>
      </c>
      <c r="P1736" s="1">
        <v>8.3454894970000009</v>
      </c>
      <c r="Q1736" s="1">
        <v>8.4785538020000004</v>
      </c>
      <c r="R1736" s="1">
        <v>8.6098411039999991</v>
      </c>
      <c r="S1736" s="1">
        <v>8.4212051179999996</v>
      </c>
      <c r="T1736" s="1">
        <v>8.5991978299999996</v>
      </c>
      <c r="U1736" s="1">
        <v>8.5538687160000002</v>
      </c>
      <c r="V1736" s="1">
        <v>7.8235243289999996</v>
      </c>
      <c r="W1736" s="1">
        <v>8.0388180439999992</v>
      </c>
      <c r="X1736" s="1">
        <v>8.1341773550000003</v>
      </c>
      <c r="Y1736" s="1">
        <v>7.6623122090000004</v>
      </c>
      <c r="Z1736" s="1">
        <v>8.6098411039999991</v>
      </c>
      <c r="AA1736" s="1">
        <v>8.4212051179999996</v>
      </c>
      <c r="AB1736" s="1">
        <v>8.4334081590000007</v>
      </c>
      <c r="AC1736" s="1">
        <v>8.2413225949999998</v>
      </c>
      <c r="AD1736" s="1">
        <v>8.4317949910000003</v>
      </c>
      <c r="AE1736" s="1">
        <v>8.1006579530000007</v>
      </c>
    </row>
    <row r="1737" spans="1:31" x14ac:dyDescent="0.25">
      <c r="A1737" s="1" t="s">
        <v>1380</v>
      </c>
      <c r="B1737" s="1" t="s">
        <v>2579</v>
      </c>
      <c r="C1737" s="1" t="s">
        <v>2854</v>
      </c>
      <c r="D1737" s="1" t="s">
        <v>3622</v>
      </c>
      <c r="E1737" s="1" t="s">
        <v>5250</v>
      </c>
      <c r="F1737" s="1" t="s">
        <v>5251</v>
      </c>
      <c r="G1737" s="1" t="s">
        <v>1380</v>
      </c>
      <c r="H1737" s="1">
        <v>8.2606436419999998</v>
      </c>
      <c r="I1737" s="1">
        <v>7.8629071890000004</v>
      </c>
      <c r="J1737" s="1">
        <v>7.7032581010000003</v>
      </c>
      <c r="K1737" s="1">
        <v>8.1509352659999994</v>
      </c>
      <c r="L1737" s="1">
        <v>7.8086526950000001</v>
      </c>
      <c r="M1737" s="1">
        <v>7.8498029999999996</v>
      </c>
      <c r="N1737" s="1">
        <v>7.5981510090000004</v>
      </c>
      <c r="O1737" s="1">
        <v>7.8605494849999999</v>
      </c>
      <c r="P1737" s="1">
        <v>8.0497433009999995</v>
      </c>
      <c r="Q1737" s="1">
        <v>7.9781657529999999</v>
      </c>
      <c r="R1737" s="1">
        <v>7.7152652379999997</v>
      </c>
      <c r="S1737" s="1">
        <v>7.8038861300000004</v>
      </c>
      <c r="T1737" s="1">
        <v>7.8086526950000001</v>
      </c>
      <c r="U1737" s="1">
        <v>7.8498029999999996</v>
      </c>
      <c r="V1737" s="1">
        <v>7.4035684220000002</v>
      </c>
      <c r="W1737" s="1">
        <v>7.6203517779999999</v>
      </c>
      <c r="X1737" s="1">
        <v>7.5499882810000001</v>
      </c>
      <c r="Y1737" s="1">
        <v>7.6343087260000004</v>
      </c>
      <c r="Z1737" s="1">
        <v>7.7152652379999997</v>
      </c>
      <c r="AA1737" s="1">
        <v>7.8038861300000004</v>
      </c>
      <c r="AB1737" s="1">
        <v>7.8240379579999999</v>
      </c>
      <c r="AC1737" s="1">
        <v>7.7023418179999998</v>
      </c>
      <c r="AD1737" s="1">
        <v>7.5328776130000001</v>
      </c>
      <c r="AE1737" s="1">
        <v>7.7091692030000001</v>
      </c>
    </row>
    <row r="1738" spans="1:31" x14ac:dyDescent="0.25">
      <c r="A1738" s="1" t="s">
        <v>1381</v>
      </c>
      <c r="B1738" s="1" t="s">
        <v>2530</v>
      </c>
      <c r="C1738" s="1" t="s">
        <v>2531</v>
      </c>
      <c r="D1738" s="1" t="s">
        <v>5252</v>
      </c>
      <c r="E1738" s="1" t="s">
        <v>5253</v>
      </c>
      <c r="F1738" s="1" t="s">
        <v>5254</v>
      </c>
      <c r="G1738" s="1" t="s">
        <v>1381</v>
      </c>
      <c r="H1738" s="1">
        <v>3.8023684370000002</v>
      </c>
      <c r="I1738" s="1">
        <v>4.2055918060000002</v>
      </c>
      <c r="J1738" s="1">
        <v>4.2018709520000002</v>
      </c>
      <c r="K1738" s="1">
        <v>4.2434183680000004</v>
      </c>
      <c r="L1738" s="1">
        <v>4.7429188570000003</v>
      </c>
      <c r="M1738" s="1">
        <v>4.059937712</v>
      </c>
      <c r="N1738" s="1">
        <v>3.8490531570000002</v>
      </c>
      <c r="O1738" s="1">
        <v>4.3322392709999997</v>
      </c>
      <c r="P1738" s="1">
        <v>4.4805784009999998</v>
      </c>
      <c r="Q1738" s="1">
        <v>4.18747588</v>
      </c>
      <c r="R1738" s="1">
        <v>3.7109484589999999</v>
      </c>
      <c r="S1738" s="1">
        <v>4.6194390810000003</v>
      </c>
      <c r="T1738" s="1">
        <v>4.7429188570000003</v>
      </c>
      <c r="U1738" s="1">
        <v>4.059937712</v>
      </c>
      <c r="V1738" s="1">
        <v>4.4559512029999997</v>
      </c>
      <c r="W1738" s="1">
        <v>4.7760085830000003</v>
      </c>
      <c r="X1738" s="1">
        <v>3.6673381269999998</v>
      </c>
      <c r="Y1738" s="1">
        <v>5.0128502209999999</v>
      </c>
      <c r="Z1738" s="1">
        <v>3.7109484589999999</v>
      </c>
      <c r="AA1738" s="1">
        <v>4.6194390810000003</v>
      </c>
      <c r="AB1738" s="1">
        <v>4.8804215500000003</v>
      </c>
      <c r="AC1738" s="1">
        <v>4.0753403910000001</v>
      </c>
      <c r="AD1738" s="1">
        <v>5.2633210659999996</v>
      </c>
      <c r="AE1738" s="1">
        <v>4.7636391339999999</v>
      </c>
    </row>
    <row r="1739" spans="1:31" x14ac:dyDescent="0.25">
      <c r="A1739" s="1" t="s">
        <v>1394</v>
      </c>
      <c r="B1739" s="1" t="s">
        <v>2598</v>
      </c>
      <c r="C1739" s="1" t="s">
        <v>2603</v>
      </c>
      <c r="D1739" s="1" t="s">
        <v>3140</v>
      </c>
      <c r="E1739" s="1" t="s">
        <v>5255</v>
      </c>
      <c r="F1739" s="1" t="s">
        <v>3814</v>
      </c>
      <c r="G1739" s="1" t="s">
        <v>1394</v>
      </c>
      <c r="H1739" s="1">
        <v>9.03158949</v>
      </c>
      <c r="I1739" s="1">
        <v>9.161460108</v>
      </c>
      <c r="J1739" s="1">
        <v>8.9261444759999993</v>
      </c>
      <c r="K1739" s="1">
        <v>8.874407175</v>
      </c>
      <c r="L1739" s="1">
        <v>9.2997282549999998</v>
      </c>
      <c r="M1739" s="1">
        <v>9.1220601909999992</v>
      </c>
      <c r="N1739" s="1">
        <v>9.017797238</v>
      </c>
      <c r="O1739" s="1">
        <v>9.2107103030000008</v>
      </c>
      <c r="P1739" s="1">
        <v>8.9238313080000005</v>
      </c>
      <c r="Q1739" s="1">
        <v>8.82248798</v>
      </c>
      <c r="R1739" s="1">
        <v>9.0888989270000007</v>
      </c>
      <c r="S1739" s="1">
        <v>8.8699237659999994</v>
      </c>
      <c r="T1739" s="1">
        <v>9.2997282549999998</v>
      </c>
      <c r="U1739" s="1">
        <v>9.1220601909999992</v>
      </c>
      <c r="V1739" s="1">
        <v>8.86775439</v>
      </c>
      <c r="W1739" s="1">
        <v>8.745508311</v>
      </c>
      <c r="X1739" s="1">
        <v>8.8877617929999992</v>
      </c>
      <c r="Y1739" s="1">
        <v>9.0346280300000004</v>
      </c>
      <c r="Z1739" s="1">
        <v>9.0888989270000007</v>
      </c>
      <c r="AA1739" s="1">
        <v>8.8699237659999994</v>
      </c>
      <c r="AB1739" s="1">
        <v>9.052466098</v>
      </c>
      <c r="AC1739" s="1">
        <v>8.9467149829999997</v>
      </c>
      <c r="AD1739" s="1">
        <v>8.9813752190000002</v>
      </c>
      <c r="AE1739" s="1">
        <v>8.9154429979999996</v>
      </c>
    </row>
    <row r="1740" spans="1:31" x14ac:dyDescent="0.25">
      <c r="A1740" s="1" t="s">
        <v>1395</v>
      </c>
      <c r="B1740" s="1" t="s">
        <v>2530</v>
      </c>
      <c r="C1740" s="1" t="s">
        <v>2573</v>
      </c>
      <c r="D1740" s="1" t="s">
        <v>2535</v>
      </c>
      <c r="E1740" s="1" t="s">
        <v>5256</v>
      </c>
      <c r="G1740" s="1" t="s">
        <v>1395</v>
      </c>
      <c r="H1740" s="1">
        <v>6.4251460160000002</v>
      </c>
      <c r="I1740" s="1">
        <v>6.6753919760000002</v>
      </c>
      <c r="J1740" s="1">
        <v>5.9141206909999999</v>
      </c>
      <c r="K1740" s="1">
        <v>6.091743707</v>
      </c>
      <c r="L1740" s="1">
        <v>6.0061156689999997</v>
      </c>
      <c r="M1740" s="1">
        <v>5.8143060450000004</v>
      </c>
      <c r="N1740" s="1">
        <v>6.8724232059999997</v>
      </c>
      <c r="O1740" s="1">
        <v>6.9358116760000001</v>
      </c>
      <c r="P1740" s="1">
        <v>5.8618301099999996</v>
      </c>
      <c r="Q1740" s="1">
        <v>5.9352426600000001</v>
      </c>
      <c r="R1740" s="1">
        <v>5.7472990829999997</v>
      </c>
      <c r="S1740" s="1">
        <v>5.8607892960000001</v>
      </c>
      <c r="T1740" s="1">
        <v>6.0061156689999997</v>
      </c>
      <c r="U1740" s="1">
        <v>5.8143060450000004</v>
      </c>
      <c r="V1740" s="1">
        <v>6.0587793220000004</v>
      </c>
      <c r="W1740" s="1">
        <v>6.0370461979999996</v>
      </c>
      <c r="X1740" s="1">
        <v>5.4415021479999997</v>
      </c>
      <c r="Y1740" s="1">
        <v>5.5841077690000001</v>
      </c>
      <c r="Z1740" s="1">
        <v>5.7472990829999997</v>
      </c>
      <c r="AA1740" s="1">
        <v>5.8607892960000001</v>
      </c>
      <c r="AB1740" s="1">
        <v>5.3028471579999996</v>
      </c>
      <c r="AC1740" s="1">
        <v>5.2822693689999998</v>
      </c>
      <c r="AD1740" s="1">
        <v>6.190389411</v>
      </c>
      <c r="AE1740" s="1">
        <v>6.0995676599999999</v>
      </c>
    </row>
    <row r="1741" spans="1:31" x14ac:dyDescent="0.25">
      <c r="A1741" s="1" t="s">
        <v>1396</v>
      </c>
      <c r="B1741" s="1" t="s">
        <v>2530</v>
      </c>
      <c r="C1741" s="1" t="s">
        <v>2573</v>
      </c>
      <c r="D1741" s="1" t="s">
        <v>2535</v>
      </c>
      <c r="E1741" s="1" t="s">
        <v>5257</v>
      </c>
      <c r="G1741" s="1" t="s">
        <v>1396</v>
      </c>
      <c r="H1741" s="1">
        <v>6.5753846300000003</v>
      </c>
      <c r="I1741" s="1">
        <v>6.854556928</v>
      </c>
      <c r="J1741" s="1">
        <v>5.7122264270000001</v>
      </c>
      <c r="K1741" s="1">
        <v>5.6848657879999998</v>
      </c>
      <c r="L1741" s="1">
        <v>5.8923589620000003</v>
      </c>
      <c r="M1741" s="1">
        <v>6.1256430599999998</v>
      </c>
      <c r="N1741" s="1">
        <v>6.2948737059999997</v>
      </c>
      <c r="O1741" s="1">
        <v>6.5714196759999997</v>
      </c>
      <c r="P1741" s="1">
        <v>5.7504406890000004</v>
      </c>
      <c r="Q1741" s="1">
        <v>5.8463140779999998</v>
      </c>
      <c r="R1741" s="1">
        <v>5.3334881589999998</v>
      </c>
      <c r="S1741" s="1">
        <v>5.8890842929999998</v>
      </c>
      <c r="T1741" s="1">
        <v>5.8923589620000003</v>
      </c>
      <c r="U1741" s="1">
        <v>6.1256430599999998</v>
      </c>
      <c r="V1741" s="1">
        <v>6.2949812820000002</v>
      </c>
      <c r="W1741" s="1">
        <v>6.2922055309999996</v>
      </c>
      <c r="X1741" s="1">
        <v>6.1405132890000003</v>
      </c>
      <c r="Y1741" s="1">
        <v>6.399298012</v>
      </c>
      <c r="Z1741" s="1">
        <v>5.3334881589999998</v>
      </c>
      <c r="AA1741" s="1">
        <v>5.8890842929999998</v>
      </c>
      <c r="AB1741" s="1">
        <v>6.008835446</v>
      </c>
      <c r="AC1741" s="1">
        <v>6.1612901029999998</v>
      </c>
      <c r="AD1741" s="1">
        <v>6.1657997020000002</v>
      </c>
      <c r="AE1741" s="1">
        <v>6.0995676599999999</v>
      </c>
    </row>
    <row r="1742" spans="1:31" x14ac:dyDescent="0.25">
      <c r="A1742" s="1" t="s">
        <v>1397</v>
      </c>
      <c r="B1742" s="1" t="s">
        <v>2530</v>
      </c>
      <c r="C1742" s="1" t="s">
        <v>2531</v>
      </c>
      <c r="D1742" s="1" t="s">
        <v>2535</v>
      </c>
      <c r="E1742" s="1" t="s">
        <v>5258</v>
      </c>
      <c r="G1742" s="1" t="s">
        <v>1397</v>
      </c>
      <c r="H1742" s="1">
        <v>9.9535913540000003</v>
      </c>
      <c r="I1742" s="1">
        <v>9.6376195869999997</v>
      </c>
      <c r="J1742" s="1">
        <v>8.3932734270000005</v>
      </c>
      <c r="K1742" s="1">
        <v>9.2111435119999996</v>
      </c>
      <c r="L1742" s="1">
        <v>6.595789678</v>
      </c>
      <c r="M1742" s="1">
        <v>6.4058065400000004</v>
      </c>
      <c r="N1742" s="1">
        <v>8.7416383040000003</v>
      </c>
      <c r="O1742" s="1">
        <v>9.3428136399999993</v>
      </c>
      <c r="P1742" s="1">
        <v>7.6073088489999998</v>
      </c>
      <c r="Q1742" s="1">
        <v>7.6074454640000004</v>
      </c>
      <c r="R1742" s="1">
        <v>7.4209709330000004</v>
      </c>
      <c r="S1742" s="1">
        <v>7.4053493550000002</v>
      </c>
      <c r="T1742" s="1">
        <v>6.595789678</v>
      </c>
      <c r="U1742" s="1">
        <v>6.4058065400000004</v>
      </c>
      <c r="V1742" s="1">
        <v>7.8969988879999997</v>
      </c>
      <c r="W1742" s="1">
        <v>7.8925375769999997</v>
      </c>
      <c r="X1742" s="1">
        <v>6.7996930640000004</v>
      </c>
      <c r="Y1742" s="1">
        <v>7.8444431989999996</v>
      </c>
      <c r="Z1742" s="1">
        <v>7.4209709330000004</v>
      </c>
      <c r="AA1742" s="1">
        <v>7.4053493550000002</v>
      </c>
      <c r="AB1742" s="1">
        <v>7.8449502390000001</v>
      </c>
      <c r="AC1742" s="1">
        <v>7.1835961460000002</v>
      </c>
      <c r="AD1742" s="1">
        <v>7.8957990010000003</v>
      </c>
      <c r="AE1742" s="1">
        <v>7.8425445360000001</v>
      </c>
    </row>
    <row r="1743" spans="1:31" x14ac:dyDescent="0.25">
      <c r="A1743" s="1" t="s">
        <v>1402</v>
      </c>
      <c r="B1743" s="1" t="s">
        <v>2579</v>
      </c>
      <c r="C1743" s="1" t="s">
        <v>2585</v>
      </c>
      <c r="D1743" s="1" t="s">
        <v>5259</v>
      </c>
      <c r="E1743" s="1" t="s">
        <v>5260</v>
      </c>
      <c r="F1743" s="1" t="s">
        <v>5261</v>
      </c>
      <c r="G1743" s="1" t="s">
        <v>1402</v>
      </c>
      <c r="H1743" s="1">
        <v>5.7062998909999996</v>
      </c>
      <c r="I1743" s="1">
        <v>6.1195241339999997</v>
      </c>
      <c r="J1743" s="1">
        <v>5.4400990890000003</v>
      </c>
      <c r="K1743" s="1">
        <v>5.5719358019999996</v>
      </c>
      <c r="L1743" s="1">
        <v>4.9864364329999997</v>
      </c>
      <c r="M1743" s="1">
        <v>5.4159199769999997</v>
      </c>
      <c r="N1743" s="1">
        <v>6.1558623460000002</v>
      </c>
      <c r="O1743" s="1">
        <v>6.1589202040000002</v>
      </c>
      <c r="P1743" s="1">
        <v>5.5318451900000003</v>
      </c>
      <c r="Q1743" s="1">
        <v>5.9352426600000001</v>
      </c>
      <c r="R1743" s="1">
        <v>5.4981688889999996</v>
      </c>
      <c r="S1743" s="1">
        <v>5.8319244149999996</v>
      </c>
      <c r="T1743" s="1">
        <v>4.9864364329999997</v>
      </c>
      <c r="U1743" s="1">
        <v>5.4159199769999997</v>
      </c>
      <c r="V1743" s="1">
        <v>5.7228043460000002</v>
      </c>
      <c r="W1743" s="1">
        <v>5.9072448660000001</v>
      </c>
      <c r="X1743" s="1">
        <v>5.6000621730000004</v>
      </c>
      <c r="Y1743" s="1">
        <v>5.8677638710000002</v>
      </c>
      <c r="Z1743" s="1">
        <v>5.4981688889999996</v>
      </c>
      <c r="AA1743" s="1">
        <v>5.8319244149999996</v>
      </c>
      <c r="AB1743" s="1">
        <v>5.3028471579999996</v>
      </c>
      <c r="AC1743" s="1">
        <v>5.8710041640000004</v>
      </c>
      <c r="AD1743" s="1">
        <v>5.7012900599999998</v>
      </c>
      <c r="AE1743" s="1">
        <v>5.4523450599999999</v>
      </c>
    </row>
    <row r="1744" spans="1:31" x14ac:dyDescent="0.25">
      <c r="A1744" s="1" t="s">
        <v>1403</v>
      </c>
      <c r="B1744" s="1" t="s">
        <v>2547</v>
      </c>
      <c r="C1744" s="1" t="s">
        <v>2566</v>
      </c>
      <c r="D1744" s="1" t="s">
        <v>4358</v>
      </c>
      <c r="E1744" s="1" t="s">
        <v>5262</v>
      </c>
      <c r="G1744" s="1" t="s">
        <v>1403</v>
      </c>
      <c r="H1744" s="1">
        <v>4.0684382540000001</v>
      </c>
      <c r="I1744" s="1">
        <v>4.66484875</v>
      </c>
      <c r="J1744" s="1">
        <v>2.8907526730000002</v>
      </c>
      <c r="K1744" s="1">
        <v>4.3408695499999999</v>
      </c>
      <c r="L1744" s="1">
        <v>4.5533082269999996</v>
      </c>
      <c r="M1744" s="1">
        <v>3.5095973119999999</v>
      </c>
      <c r="N1744" s="1">
        <v>5.4502346690000003</v>
      </c>
      <c r="O1744" s="1">
        <v>5.3342335859999999</v>
      </c>
      <c r="P1744" s="1">
        <v>4.3303557189999999</v>
      </c>
      <c r="Q1744" s="1">
        <v>3.8492287269999999</v>
      </c>
      <c r="R1744" s="1">
        <v>4.3698765340000003</v>
      </c>
      <c r="S1744" s="1">
        <v>4.2250836859999996</v>
      </c>
      <c r="T1744" s="1">
        <v>4.5533082269999996</v>
      </c>
      <c r="U1744" s="1">
        <v>3.5095973119999999</v>
      </c>
      <c r="V1744" s="1">
        <v>3.7819764450000002</v>
      </c>
      <c r="W1744" s="1">
        <v>3.8431653940000001</v>
      </c>
      <c r="X1744" s="1">
        <v>4.2691515329999996</v>
      </c>
      <c r="Y1744" s="1">
        <v>4.2532353330000001</v>
      </c>
      <c r="Z1744" s="1">
        <v>4.3698765340000003</v>
      </c>
      <c r="AA1744" s="1">
        <v>4.2250836859999996</v>
      </c>
      <c r="AB1744" s="1">
        <v>4.5063178209999997</v>
      </c>
      <c r="AC1744" s="1">
        <v>4.2557864319999998</v>
      </c>
      <c r="AD1744" s="1">
        <v>4.5511338559999999</v>
      </c>
      <c r="AE1744" s="1">
        <v>4.2286559190000004</v>
      </c>
    </row>
    <row r="1745" spans="1:31" x14ac:dyDescent="0.25">
      <c r="A1745" s="1" t="s">
        <v>1404</v>
      </c>
      <c r="B1745" s="1" t="s">
        <v>2642</v>
      </c>
      <c r="C1745" s="1" t="s">
        <v>2643</v>
      </c>
      <c r="D1745" s="1" t="s">
        <v>2687</v>
      </c>
      <c r="E1745" s="1" t="s">
        <v>2688</v>
      </c>
      <c r="F1745" s="1" t="s">
        <v>2689</v>
      </c>
      <c r="G1745" s="1" t="s">
        <v>1404</v>
      </c>
      <c r="H1745" s="1">
        <v>1.7393328349999999</v>
      </c>
      <c r="I1745" s="1">
        <v>1.7393328349999999</v>
      </c>
      <c r="J1745" s="1">
        <v>1.7393328349999999</v>
      </c>
      <c r="K1745" s="1">
        <v>1.7393328349999999</v>
      </c>
      <c r="L1745" s="1">
        <v>1.7393328349999999</v>
      </c>
      <c r="M1745" s="1">
        <v>1.7393328349999999</v>
      </c>
      <c r="N1745" s="1">
        <v>1.7393328349999999</v>
      </c>
      <c r="O1745" s="1">
        <v>1.7393328349999999</v>
      </c>
      <c r="P1745" s="1">
        <v>1.7393328349999999</v>
      </c>
      <c r="Q1745" s="1">
        <v>1.7393328349999999</v>
      </c>
      <c r="R1745" s="1">
        <v>1.7393328349999999</v>
      </c>
      <c r="S1745" s="1">
        <v>1.7393328349999999</v>
      </c>
      <c r="T1745" s="1">
        <v>1.7393328349999999</v>
      </c>
      <c r="U1745" s="1">
        <v>1.7393328349999999</v>
      </c>
      <c r="V1745" s="1">
        <v>1.7393328349999999</v>
      </c>
      <c r="W1745" s="1">
        <v>1.7393328349999999</v>
      </c>
      <c r="X1745" s="1">
        <v>2.3600830049999999</v>
      </c>
      <c r="Y1745" s="1">
        <v>1.7393328349999999</v>
      </c>
      <c r="Z1745" s="1">
        <v>1.7393328349999999</v>
      </c>
      <c r="AA1745" s="1">
        <v>1.7393328349999999</v>
      </c>
      <c r="AB1745" s="1">
        <v>1.7393328349999999</v>
      </c>
      <c r="AC1745" s="1">
        <v>1.7393328349999999</v>
      </c>
      <c r="AD1745" s="1">
        <v>1.7393328349999999</v>
      </c>
      <c r="AE1745" s="1">
        <v>1.7393328349999999</v>
      </c>
    </row>
    <row r="1746" spans="1:31" x14ac:dyDescent="0.25">
      <c r="A1746" s="1" t="s">
        <v>1405</v>
      </c>
      <c r="B1746" s="1" t="s">
        <v>2547</v>
      </c>
      <c r="C1746" s="1" t="s">
        <v>2566</v>
      </c>
      <c r="D1746" s="1" t="s">
        <v>4358</v>
      </c>
      <c r="E1746" s="1" t="s">
        <v>5263</v>
      </c>
      <c r="F1746" s="1" t="s">
        <v>5264</v>
      </c>
      <c r="G1746" s="1" t="s">
        <v>1405</v>
      </c>
      <c r="H1746" s="1">
        <v>3.4660955969999998</v>
      </c>
      <c r="I1746" s="1">
        <v>1.7393328349999999</v>
      </c>
      <c r="J1746" s="1">
        <v>1.7393328349999999</v>
      </c>
      <c r="K1746" s="1">
        <v>1.7393328349999999</v>
      </c>
      <c r="L1746" s="1">
        <v>2.5490970000000002</v>
      </c>
      <c r="M1746" s="1">
        <v>1.7393328349999999</v>
      </c>
      <c r="N1746" s="1">
        <v>2.628425199</v>
      </c>
      <c r="O1746" s="1">
        <v>1.7393328349999999</v>
      </c>
      <c r="P1746" s="1">
        <v>1.7393328349999999</v>
      </c>
      <c r="Q1746" s="1">
        <v>2.935765398</v>
      </c>
      <c r="R1746" s="1">
        <v>1.7393328349999999</v>
      </c>
      <c r="S1746" s="1">
        <v>2.9034795349999998</v>
      </c>
      <c r="T1746" s="1">
        <v>2.5490970000000002</v>
      </c>
      <c r="U1746" s="1">
        <v>1.7393328349999999</v>
      </c>
      <c r="V1746" s="1">
        <v>1.7393328349999999</v>
      </c>
      <c r="W1746" s="1">
        <v>2.6606351240000001</v>
      </c>
      <c r="X1746" s="1">
        <v>2.6106888979999998</v>
      </c>
      <c r="Y1746" s="1">
        <v>2.624795792</v>
      </c>
      <c r="Z1746" s="1">
        <v>1.7393328349999999</v>
      </c>
      <c r="AA1746" s="1">
        <v>2.9034795349999998</v>
      </c>
      <c r="AB1746" s="1">
        <v>2.73487305</v>
      </c>
      <c r="AC1746" s="1">
        <v>2.5506926650000001</v>
      </c>
      <c r="AD1746" s="1">
        <v>2.6025990879999998</v>
      </c>
      <c r="AE1746" s="1">
        <v>1.7393328349999999</v>
      </c>
    </row>
    <row r="1747" spans="1:31" x14ac:dyDescent="0.25">
      <c r="A1747" s="1" t="s">
        <v>1413</v>
      </c>
      <c r="B1747" s="1" t="s">
        <v>2520</v>
      </c>
      <c r="C1747" s="1" t="s">
        <v>2646</v>
      </c>
      <c r="D1747" s="1" t="s">
        <v>3302</v>
      </c>
      <c r="E1747" s="1" t="s">
        <v>5265</v>
      </c>
      <c r="F1747" s="1" t="s">
        <v>5266</v>
      </c>
      <c r="G1747" s="1" t="s">
        <v>1413</v>
      </c>
      <c r="H1747" s="1">
        <v>8.8330656909999998</v>
      </c>
      <c r="I1747" s="1">
        <v>8.5918543750000005</v>
      </c>
      <c r="J1747" s="1">
        <v>8.32430162</v>
      </c>
      <c r="K1747" s="1">
        <v>8.3287122310000008</v>
      </c>
      <c r="L1747" s="1">
        <v>8.0033828339999999</v>
      </c>
      <c r="M1747" s="1">
        <v>8.0528322879999994</v>
      </c>
      <c r="N1747" s="1">
        <v>8.3222654709999997</v>
      </c>
      <c r="O1747" s="1">
        <v>8.4256150559999998</v>
      </c>
      <c r="P1747" s="1">
        <v>8.4289748339999999</v>
      </c>
      <c r="Q1747" s="1">
        <v>8.2897237409999995</v>
      </c>
      <c r="R1747" s="1">
        <v>8.3825644570000009</v>
      </c>
      <c r="S1747" s="1">
        <v>8.387000574</v>
      </c>
      <c r="T1747" s="1">
        <v>8.0033828339999999</v>
      </c>
      <c r="U1747" s="1">
        <v>8.0528322879999994</v>
      </c>
      <c r="V1747" s="1">
        <v>8.2593201690000004</v>
      </c>
      <c r="W1747" s="1">
        <v>8.0844570919999992</v>
      </c>
      <c r="X1747" s="1">
        <v>8.2547252039999996</v>
      </c>
      <c r="Y1747" s="1">
        <v>8.0491811109999993</v>
      </c>
      <c r="Z1747" s="1">
        <v>8.3825644570000009</v>
      </c>
      <c r="AA1747" s="1">
        <v>8.387000574</v>
      </c>
      <c r="AB1747" s="1">
        <v>8.3842599539999991</v>
      </c>
      <c r="AC1747" s="1">
        <v>8.4209243039999997</v>
      </c>
      <c r="AD1747" s="1">
        <v>8.5691244490000003</v>
      </c>
      <c r="AE1747" s="1">
        <v>8.3534332819999992</v>
      </c>
    </row>
    <row r="1748" spans="1:31" x14ac:dyDescent="0.25">
      <c r="A1748" s="1" t="s">
        <v>1414</v>
      </c>
      <c r="B1748" s="1" t="s">
        <v>2547</v>
      </c>
      <c r="C1748" s="1" t="s">
        <v>2622</v>
      </c>
      <c r="D1748" s="1" t="s">
        <v>2535</v>
      </c>
      <c r="E1748" s="1" t="s">
        <v>5267</v>
      </c>
      <c r="G1748" s="1" t="s">
        <v>1414</v>
      </c>
      <c r="H1748" s="1">
        <v>5.977563322</v>
      </c>
      <c r="I1748" s="1">
        <v>6.1655807180000002</v>
      </c>
      <c r="J1748" s="1">
        <v>5.9141206909999999</v>
      </c>
      <c r="K1748" s="1">
        <v>6.1452362870000004</v>
      </c>
      <c r="L1748" s="1">
        <v>6.1227596330000003</v>
      </c>
      <c r="M1748" s="1">
        <v>6.1256430599999998</v>
      </c>
      <c r="N1748" s="1">
        <v>6.2948737059999997</v>
      </c>
      <c r="O1748" s="1">
        <v>6.1287443579999996</v>
      </c>
      <c r="P1748" s="1">
        <v>6.3745240839999999</v>
      </c>
      <c r="Q1748" s="1">
        <v>6.1972278550000004</v>
      </c>
      <c r="R1748" s="1">
        <v>5.9309793060000002</v>
      </c>
      <c r="S1748" s="1">
        <v>6.3003852350000003</v>
      </c>
      <c r="T1748" s="1">
        <v>6.1227596330000003</v>
      </c>
      <c r="U1748" s="1">
        <v>6.1256430599999998</v>
      </c>
      <c r="V1748" s="1">
        <v>6.3308320719999998</v>
      </c>
      <c r="W1748" s="1">
        <v>6.5088246730000003</v>
      </c>
      <c r="X1748" s="1">
        <v>6.0475048180000002</v>
      </c>
      <c r="Y1748" s="1">
        <v>5.8352313850000002</v>
      </c>
      <c r="Z1748" s="1">
        <v>5.9309793060000002</v>
      </c>
      <c r="AA1748" s="1">
        <v>6.3003852350000003</v>
      </c>
      <c r="AB1748" s="1">
        <v>6.2478766610000003</v>
      </c>
      <c r="AC1748" s="1">
        <v>6.2255363350000001</v>
      </c>
      <c r="AD1748" s="1">
        <v>5.9231977699999998</v>
      </c>
      <c r="AE1748" s="1">
        <v>6.017118505</v>
      </c>
    </row>
    <row r="1749" spans="1:31" x14ac:dyDescent="0.25">
      <c r="A1749" s="1" t="s">
        <v>1415</v>
      </c>
      <c r="B1749" s="1" t="s">
        <v>2667</v>
      </c>
      <c r="C1749" s="1" t="s">
        <v>2875</v>
      </c>
      <c r="D1749" s="1" t="s">
        <v>2535</v>
      </c>
      <c r="E1749" s="1" t="s">
        <v>5268</v>
      </c>
      <c r="G1749" s="1" t="s">
        <v>1415</v>
      </c>
      <c r="H1749" s="1">
        <v>6.0081283179999998</v>
      </c>
      <c r="I1749" s="1">
        <v>5.7776224090000001</v>
      </c>
      <c r="J1749" s="1">
        <v>5.9669407659999996</v>
      </c>
      <c r="K1749" s="1">
        <v>5.5719358019999996</v>
      </c>
      <c r="L1749" s="1">
        <v>6.1001767109999996</v>
      </c>
      <c r="M1749" s="1">
        <v>5.9865419050000002</v>
      </c>
      <c r="N1749" s="1">
        <v>6.3768118319999996</v>
      </c>
      <c r="O1749" s="1">
        <v>6.4302305970000004</v>
      </c>
      <c r="P1749" s="1">
        <v>5.9651829550000004</v>
      </c>
      <c r="Q1749" s="1">
        <v>5.4628336309999996</v>
      </c>
      <c r="R1749" s="1">
        <v>6.2855941240000002</v>
      </c>
      <c r="S1749" s="1">
        <v>6.0973467069999998</v>
      </c>
      <c r="T1749" s="1">
        <v>6.1001767109999996</v>
      </c>
      <c r="U1749" s="1">
        <v>5.9865419050000002</v>
      </c>
      <c r="V1749" s="1">
        <v>5.9243031000000004</v>
      </c>
      <c r="W1749" s="1">
        <v>5.872872095</v>
      </c>
      <c r="X1749" s="1">
        <v>5.6186994139999999</v>
      </c>
      <c r="Y1749" s="1">
        <v>5.9909787290000001</v>
      </c>
      <c r="Z1749" s="1">
        <v>6.2855941240000002</v>
      </c>
      <c r="AA1749" s="1">
        <v>6.0973467069999998</v>
      </c>
      <c r="AB1749" s="1">
        <v>5.7218462399999996</v>
      </c>
      <c r="AC1749" s="1">
        <v>5.6067493529999997</v>
      </c>
      <c r="AD1749" s="1">
        <v>5.6665831520000003</v>
      </c>
      <c r="AE1749" s="1">
        <v>5.9740468760000001</v>
      </c>
    </row>
    <row r="1750" spans="1:31" x14ac:dyDescent="0.25">
      <c r="A1750" s="1" t="s">
        <v>1416</v>
      </c>
      <c r="B1750" s="1" t="s">
        <v>2530</v>
      </c>
      <c r="C1750" s="1" t="s">
        <v>2573</v>
      </c>
      <c r="D1750" s="1" t="s">
        <v>2535</v>
      </c>
      <c r="E1750" s="1" t="s">
        <v>3328</v>
      </c>
      <c r="G1750" s="1" t="s">
        <v>1416</v>
      </c>
      <c r="H1750" s="1">
        <v>5.4177093730000001</v>
      </c>
      <c r="I1750" s="1">
        <v>5.4067069720000003</v>
      </c>
      <c r="J1750" s="1">
        <v>5.3229940280000001</v>
      </c>
      <c r="K1750" s="1">
        <v>5.0588199180000002</v>
      </c>
      <c r="L1750" s="1">
        <v>5.3172641829999998</v>
      </c>
      <c r="M1750" s="1">
        <v>5.029201552</v>
      </c>
      <c r="N1750" s="1">
        <v>6.0879362979999998</v>
      </c>
      <c r="O1750" s="1">
        <v>5.7062857469999999</v>
      </c>
      <c r="P1750" s="1">
        <v>5.1467681949999999</v>
      </c>
      <c r="Q1750" s="1">
        <v>4.8773483779999998</v>
      </c>
      <c r="R1750" s="1">
        <v>4.7472384160000001</v>
      </c>
      <c r="S1750" s="1">
        <v>4.6864044680000001</v>
      </c>
      <c r="T1750" s="1">
        <v>5.3172641829999998</v>
      </c>
      <c r="U1750" s="1">
        <v>5.029201552</v>
      </c>
      <c r="V1750" s="1">
        <v>5.519727617</v>
      </c>
      <c r="W1750" s="1">
        <v>5.5195577800000004</v>
      </c>
      <c r="X1750" s="1">
        <v>5.2391096700000004</v>
      </c>
      <c r="Y1750" s="1">
        <v>4.6081171230000004</v>
      </c>
      <c r="Z1750" s="1">
        <v>4.7472384160000001</v>
      </c>
      <c r="AA1750" s="1">
        <v>4.6864044680000001</v>
      </c>
      <c r="AB1750" s="1">
        <v>4.2729702720000002</v>
      </c>
      <c r="AC1750" s="1">
        <v>4.7474570290000004</v>
      </c>
      <c r="AD1750" s="1">
        <v>5.0087140049999999</v>
      </c>
      <c r="AE1750" s="1">
        <v>4.7973769099999997</v>
      </c>
    </row>
    <row r="1751" spans="1:31" x14ac:dyDescent="0.25">
      <c r="A1751" s="1" t="s">
        <v>1426</v>
      </c>
      <c r="B1751" s="1" t="s">
        <v>2530</v>
      </c>
      <c r="C1751" s="1" t="s">
        <v>2531</v>
      </c>
      <c r="D1751" s="1" t="s">
        <v>2535</v>
      </c>
      <c r="E1751" s="1" t="s">
        <v>5269</v>
      </c>
      <c r="G1751" s="1" t="s">
        <v>1426</v>
      </c>
      <c r="H1751" s="1">
        <v>4.3886087140000001</v>
      </c>
      <c r="I1751" s="1">
        <v>4.66484875</v>
      </c>
      <c r="J1751" s="1">
        <v>3.7773371739999999</v>
      </c>
      <c r="K1751" s="1">
        <v>3.22334677</v>
      </c>
      <c r="L1751" s="1">
        <v>3.4685048369999998</v>
      </c>
      <c r="M1751" s="1">
        <v>3.5095973119999999</v>
      </c>
      <c r="N1751" s="1">
        <v>4.6936110280000003</v>
      </c>
      <c r="O1751" s="1">
        <v>4.385526188</v>
      </c>
      <c r="P1751" s="1">
        <v>3.7419514989999998</v>
      </c>
      <c r="Q1751" s="1">
        <v>4.0840108080000004</v>
      </c>
      <c r="R1751" s="1">
        <v>3.8462631940000001</v>
      </c>
      <c r="S1751" s="1">
        <v>3.7977317990000001</v>
      </c>
      <c r="T1751" s="1">
        <v>3.4685048369999998</v>
      </c>
      <c r="U1751" s="1">
        <v>3.5095973119999999</v>
      </c>
      <c r="V1751" s="1">
        <v>3.6670520409999998</v>
      </c>
      <c r="W1751" s="1">
        <v>3.6840067150000002</v>
      </c>
      <c r="X1751" s="1">
        <v>4.2198471</v>
      </c>
      <c r="Y1751" s="1">
        <v>3.229986142</v>
      </c>
      <c r="Z1751" s="1">
        <v>3.8462631940000001</v>
      </c>
      <c r="AA1751" s="1">
        <v>3.7977317990000001</v>
      </c>
      <c r="AB1751" s="1">
        <v>3.404153038</v>
      </c>
      <c r="AC1751" s="1">
        <v>3.1109927919999998</v>
      </c>
      <c r="AD1751" s="1">
        <v>2.9432342459999998</v>
      </c>
      <c r="AE1751" s="1">
        <v>3.0939349979999999</v>
      </c>
    </row>
    <row r="1752" spans="1:31" x14ac:dyDescent="0.25">
      <c r="A1752" s="1" t="s">
        <v>1436</v>
      </c>
      <c r="B1752" s="1" t="s">
        <v>2520</v>
      </c>
      <c r="C1752" s="1" t="s">
        <v>2646</v>
      </c>
      <c r="D1752" s="1" t="s">
        <v>2733</v>
      </c>
      <c r="E1752" s="1" t="s">
        <v>5270</v>
      </c>
      <c r="F1752" s="1" t="s">
        <v>5271</v>
      </c>
      <c r="G1752" s="1" t="s">
        <v>1436</v>
      </c>
      <c r="H1752" s="1">
        <v>9.1179757479999992</v>
      </c>
      <c r="I1752" s="1">
        <v>8.8806815579999991</v>
      </c>
      <c r="J1752" s="1">
        <v>10.68929842</v>
      </c>
      <c r="K1752" s="1">
        <v>10.595801059999999</v>
      </c>
      <c r="L1752" s="1">
        <v>10.556440090000001</v>
      </c>
      <c r="M1752" s="1">
        <v>10.75192837</v>
      </c>
      <c r="N1752" s="1">
        <v>8.468030207</v>
      </c>
      <c r="O1752" s="1">
        <v>8.6030998029999992</v>
      </c>
      <c r="P1752" s="1">
        <v>10.479343739999999</v>
      </c>
      <c r="Q1752" s="1">
        <v>10.48176363</v>
      </c>
      <c r="R1752" s="1">
        <v>11.085305440000001</v>
      </c>
      <c r="S1752" s="1">
        <v>10.88542107</v>
      </c>
      <c r="T1752" s="1">
        <v>10.556440090000001</v>
      </c>
      <c r="U1752" s="1">
        <v>10.75192837</v>
      </c>
      <c r="V1752" s="1">
        <v>10.7015323</v>
      </c>
      <c r="W1752" s="1">
        <v>10.610156679999999</v>
      </c>
      <c r="X1752" s="1">
        <v>10.610485730000001</v>
      </c>
      <c r="Y1752" s="1">
        <v>10.56224235</v>
      </c>
      <c r="Z1752" s="1">
        <v>11.085305440000001</v>
      </c>
      <c r="AA1752" s="1">
        <v>10.88542107</v>
      </c>
      <c r="AB1752" s="1">
        <v>10.70325341</v>
      </c>
      <c r="AC1752" s="1">
        <v>10.8352176</v>
      </c>
      <c r="AD1752" s="1">
        <v>10.68570671</v>
      </c>
      <c r="AE1752" s="1">
        <v>10.53837744</v>
      </c>
    </row>
    <row r="1753" spans="1:31" x14ac:dyDescent="0.25">
      <c r="A1753" s="1" t="s">
        <v>1439</v>
      </c>
      <c r="B1753" s="1" t="s">
        <v>2530</v>
      </c>
      <c r="C1753" s="1" t="s">
        <v>2531</v>
      </c>
      <c r="D1753" s="1" t="s">
        <v>2535</v>
      </c>
      <c r="E1753" s="1" t="s">
        <v>2536</v>
      </c>
      <c r="G1753" s="1" t="s">
        <v>1439</v>
      </c>
      <c r="H1753" s="1">
        <v>2.9945681560000001</v>
      </c>
      <c r="I1753" s="1">
        <v>3.1348991329999998</v>
      </c>
      <c r="J1753" s="1">
        <v>3.329519721</v>
      </c>
      <c r="K1753" s="1">
        <v>3.22334677</v>
      </c>
      <c r="L1753" s="1">
        <v>2.8704126319999999</v>
      </c>
      <c r="M1753" s="1">
        <v>2.8639998100000001</v>
      </c>
      <c r="N1753" s="1">
        <v>3.7779028299999999</v>
      </c>
      <c r="O1753" s="1">
        <v>3.5386882399999999</v>
      </c>
      <c r="P1753" s="1">
        <v>3.3003929539999999</v>
      </c>
      <c r="Q1753" s="1">
        <v>2.597100669</v>
      </c>
      <c r="R1753" s="1">
        <v>3.1834741979999999</v>
      </c>
      <c r="S1753" s="1">
        <v>3.1475403900000001</v>
      </c>
      <c r="T1753" s="1">
        <v>2.8704126319999999</v>
      </c>
      <c r="U1753" s="1">
        <v>2.8639998100000001</v>
      </c>
      <c r="V1753" s="1">
        <v>2.5140266200000001</v>
      </c>
      <c r="W1753" s="1">
        <v>2.6606351240000001</v>
      </c>
      <c r="X1753" s="1">
        <v>3.3149070109999998</v>
      </c>
      <c r="Y1753" s="1">
        <v>3.229986142</v>
      </c>
      <c r="Z1753" s="1">
        <v>3.1834741979999999</v>
      </c>
      <c r="AA1753" s="1">
        <v>3.1475403900000001</v>
      </c>
      <c r="AB1753" s="1">
        <v>3.404153038</v>
      </c>
      <c r="AC1753" s="1">
        <v>2.87258916</v>
      </c>
      <c r="AD1753" s="1">
        <v>3.1944880649999998</v>
      </c>
      <c r="AE1753" s="1">
        <v>3.213378847</v>
      </c>
    </row>
    <row r="1754" spans="1:31" x14ac:dyDescent="0.25">
      <c r="A1754" s="1" t="s">
        <v>1445</v>
      </c>
      <c r="B1754" s="1" t="s">
        <v>2530</v>
      </c>
      <c r="C1754" s="1" t="s">
        <v>2573</v>
      </c>
      <c r="D1754" s="1" t="s">
        <v>2535</v>
      </c>
      <c r="E1754" s="1" t="s">
        <v>5272</v>
      </c>
      <c r="G1754" s="1" t="s">
        <v>1445</v>
      </c>
      <c r="H1754" s="1">
        <v>4.7972697699999998</v>
      </c>
      <c r="I1754" s="1">
        <v>4.2055918060000002</v>
      </c>
      <c r="J1754" s="1">
        <v>5.5483108110000003</v>
      </c>
      <c r="K1754" s="1">
        <v>5.6848657879999998</v>
      </c>
      <c r="L1754" s="1">
        <v>5.2974536179999996</v>
      </c>
      <c r="M1754" s="1">
        <v>5.5758954550000004</v>
      </c>
      <c r="N1754" s="1">
        <v>4.6560102480000003</v>
      </c>
      <c r="O1754" s="1">
        <v>4.6680836990000003</v>
      </c>
      <c r="P1754" s="1">
        <v>5.5318451900000003</v>
      </c>
      <c r="Q1754" s="1">
        <v>5.2000913229999997</v>
      </c>
      <c r="R1754" s="1">
        <v>5.7142579380000003</v>
      </c>
      <c r="S1754" s="1">
        <v>5.5773053920000004</v>
      </c>
      <c r="T1754" s="1">
        <v>5.2974536179999996</v>
      </c>
      <c r="U1754" s="1">
        <v>5.5758954550000004</v>
      </c>
      <c r="V1754" s="1">
        <v>5.1274300740000003</v>
      </c>
      <c r="W1754" s="1">
        <v>5.3792812999999997</v>
      </c>
      <c r="X1754" s="1">
        <v>5.6186994139999999</v>
      </c>
      <c r="Y1754" s="1">
        <v>4.8250325140000001</v>
      </c>
      <c r="Z1754" s="1">
        <v>5.7142579380000003</v>
      </c>
      <c r="AA1754" s="1">
        <v>5.5773053920000004</v>
      </c>
      <c r="AB1754" s="1">
        <v>5.5787398220000002</v>
      </c>
      <c r="AC1754" s="1">
        <v>5.6698330419999996</v>
      </c>
      <c r="AD1754" s="1">
        <v>5.5186611069999998</v>
      </c>
      <c r="AE1754" s="1">
        <v>5.5139573549999996</v>
      </c>
    </row>
    <row r="1755" spans="1:31" x14ac:dyDescent="0.25">
      <c r="A1755" s="1" t="s">
        <v>1447</v>
      </c>
      <c r="B1755" s="1" t="s">
        <v>2530</v>
      </c>
      <c r="C1755" s="1" t="s">
        <v>2573</v>
      </c>
      <c r="D1755" s="1" t="s">
        <v>2535</v>
      </c>
      <c r="E1755" s="1" t="s">
        <v>5273</v>
      </c>
      <c r="G1755" s="1" t="s">
        <v>1447</v>
      </c>
      <c r="H1755" s="1">
        <v>8.0642905149999997</v>
      </c>
      <c r="I1755" s="1">
        <v>7.6121539699999996</v>
      </c>
      <c r="J1755" s="1">
        <v>7.5390036440000001</v>
      </c>
      <c r="K1755" s="1">
        <v>7.4509678069999996</v>
      </c>
      <c r="L1755" s="1">
        <v>7.0367909559999999</v>
      </c>
      <c r="M1755" s="1">
        <v>7.117892962</v>
      </c>
      <c r="N1755" s="1">
        <v>7.061099928</v>
      </c>
      <c r="O1755" s="1">
        <v>7.3424873699999997</v>
      </c>
      <c r="P1755" s="1">
        <v>7.575085799</v>
      </c>
      <c r="Q1755" s="1">
        <v>7.455836744</v>
      </c>
      <c r="R1755" s="1">
        <v>7.2477233400000003</v>
      </c>
      <c r="S1755" s="1">
        <v>7.3556661600000002</v>
      </c>
      <c r="T1755" s="1">
        <v>7.0367909559999999</v>
      </c>
      <c r="U1755" s="1">
        <v>7.117892962</v>
      </c>
      <c r="V1755" s="1">
        <v>7.1665688640000003</v>
      </c>
      <c r="W1755" s="1">
        <v>7.0283471970000004</v>
      </c>
      <c r="X1755" s="1">
        <v>7.1580013410000003</v>
      </c>
      <c r="Y1755" s="1">
        <v>7.1452643309999999</v>
      </c>
      <c r="Z1755" s="1">
        <v>7.2477233400000003</v>
      </c>
      <c r="AA1755" s="1">
        <v>7.3556661600000002</v>
      </c>
      <c r="AB1755" s="1">
        <v>7.632857145</v>
      </c>
      <c r="AC1755" s="1">
        <v>7.0717138469999998</v>
      </c>
      <c r="AD1755" s="1">
        <v>7.4232434090000003</v>
      </c>
      <c r="AE1755" s="1">
        <v>7.3319911790000001</v>
      </c>
    </row>
    <row r="1756" spans="1:31" x14ac:dyDescent="0.25">
      <c r="A1756" s="1" t="s">
        <v>1448</v>
      </c>
      <c r="B1756" s="1" t="s">
        <v>2530</v>
      </c>
      <c r="C1756" s="1" t="s">
        <v>2531</v>
      </c>
      <c r="D1756" s="1" t="s">
        <v>2535</v>
      </c>
      <c r="E1756" s="1" t="s">
        <v>2536</v>
      </c>
      <c r="G1756" s="1" t="s">
        <v>1448</v>
      </c>
      <c r="H1756" s="1">
        <v>9.8117637739999992</v>
      </c>
      <c r="I1756" s="1">
        <v>10.10964259</v>
      </c>
      <c r="J1756" s="1">
        <v>8.2833559369999996</v>
      </c>
      <c r="K1756" s="1">
        <v>8.5819605449999994</v>
      </c>
      <c r="L1756" s="1">
        <v>7.5630042419999999</v>
      </c>
      <c r="M1756" s="1">
        <v>7.592309792</v>
      </c>
      <c r="N1756" s="1">
        <v>9.4245482880000004</v>
      </c>
      <c r="O1756" s="1">
        <v>9.7288686240000004</v>
      </c>
      <c r="P1756" s="1">
        <v>8.1406060999999994</v>
      </c>
      <c r="Q1756" s="1">
        <v>8.2383838170000008</v>
      </c>
      <c r="R1756" s="1">
        <v>7.8652464599999998</v>
      </c>
      <c r="S1756" s="1">
        <v>7.854835338</v>
      </c>
      <c r="T1756" s="1">
        <v>7.5630042419999999</v>
      </c>
      <c r="U1756" s="1">
        <v>7.592309792</v>
      </c>
      <c r="V1756" s="1">
        <v>8.3139916009999997</v>
      </c>
      <c r="W1756" s="1">
        <v>8.3125212810000004</v>
      </c>
      <c r="X1756" s="1">
        <v>7.8102293080000003</v>
      </c>
      <c r="Y1756" s="1">
        <v>8.7730992049999994</v>
      </c>
      <c r="Z1756" s="1">
        <v>7.8652464599999998</v>
      </c>
      <c r="AA1756" s="1">
        <v>7.854835338</v>
      </c>
      <c r="AB1756" s="1">
        <v>8.1772528500000004</v>
      </c>
      <c r="AC1756" s="1">
        <v>8.0120952259999996</v>
      </c>
      <c r="AD1756" s="1">
        <v>8.5407774090000004</v>
      </c>
      <c r="AE1756" s="1">
        <v>8.5069879359999998</v>
      </c>
    </row>
    <row r="1757" spans="1:31" x14ac:dyDescent="0.25">
      <c r="A1757" s="1" t="s">
        <v>1449</v>
      </c>
      <c r="B1757" s="1" t="s">
        <v>2530</v>
      </c>
      <c r="C1757" s="1" t="s">
        <v>2531</v>
      </c>
      <c r="D1757" s="1" t="s">
        <v>2535</v>
      </c>
      <c r="E1757" s="1" t="s">
        <v>2536</v>
      </c>
      <c r="G1757" s="1" t="s">
        <v>1449</v>
      </c>
      <c r="H1757" s="1">
        <v>6.3556221559999999</v>
      </c>
      <c r="I1757" s="1">
        <v>6.8404490640000004</v>
      </c>
      <c r="J1757" s="1">
        <v>4.7243317210000004</v>
      </c>
      <c r="K1757" s="1">
        <v>4.8139921829999999</v>
      </c>
      <c r="L1757" s="1">
        <v>3.8629070379999999</v>
      </c>
      <c r="M1757" s="1">
        <v>3.6044002019999999</v>
      </c>
      <c r="N1757" s="1">
        <v>6.9355293360000001</v>
      </c>
      <c r="O1757" s="1">
        <v>7.2263844669999999</v>
      </c>
      <c r="P1757" s="1">
        <v>5.1018341500000002</v>
      </c>
      <c r="Q1757" s="1">
        <v>4.5369064569999997</v>
      </c>
      <c r="R1757" s="1">
        <v>3.8462631940000001</v>
      </c>
      <c r="S1757" s="1">
        <v>4.0285685429999996</v>
      </c>
      <c r="T1757" s="1">
        <v>3.8629070379999999</v>
      </c>
      <c r="U1757" s="1">
        <v>3.6044002019999999</v>
      </c>
      <c r="V1757" s="1">
        <v>4.5826682710000002</v>
      </c>
      <c r="W1757" s="1">
        <v>4.2295768090000001</v>
      </c>
      <c r="X1757" s="1">
        <v>3.8119046220000001</v>
      </c>
      <c r="Y1757" s="1">
        <v>4.8250325140000001</v>
      </c>
      <c r="Z1757" s="1">
        <v>3.8462631940000001</v>
      </c>
      <c r="AA1757" s="1">
        <v>4.0285685429999996</v>
      </c>
      <c r="AB1757" s="1">
        <v>3.990981031</v>
      </c>
      <c r="AC1757" s="1">
        <v>3.7481372300000002</v>
      </c>
      <c r="AD1757" s="1">
        <v>4.5511338559999999</v>
      </c>
      <c r="AE1757" s="1">
        <v>5.0965372069999999</v>
      </c>
    </row>
    <row r="1758" spans="1:31" x14ac:dyDescent="0.25">
      <c r="A1758" s="1" t="s">
        <v>1450</v>
      </c>
      <c r="B1758" s="1" t="s">
        <v>2557</v>
      </c>
      <c r="C1758" s="1" t="s">
        <v>2680</v>
      </c>
      <c r="D1758" s="1" t="s">
        <v>2939</v>
      </c>
      <c r="E1758" s="1" t="s">
        <v>5274</v>
      </c>
      <c r="F1758" s="1" t="s">
        <v>5275</v>
      </c>
      <c r="G1758" s="1" t="s">
        <v>1450</v>
      </c>
      <c r="H1758" s="1">
        <v>9.4751504799999999</v>
      </c>
      <c r="I1758" s="1">
        <v>9.8174936689999992</v>
      </c>
      <c r="J1758" s="1">
        <v>9.6241221299999999</v>
      </c>
      <c r="K1758" s="1">
        <v>9.9584920009999998</v>
      </c>
      <c r="L1758" s="1">
        <v>10.131947350000001</v>
      </c>
      <c r="M1758" s="1">
        <v>9.9299330290000007</v>
      </c>
      <c r="N1758" s="1">
        <v>10.37339422</v>
      </c>
      <c r="O1758" s="1">
        <v>10.07122066</v>
      </c>
      <c r="P1758" s="1">
        <v>9.8928494259999997</v>
      </c>
      <c r="Q1758" s="1">
        <v>9.7500833280000005</v>
      </c>
      <c r="R1758" s="1">
        <v>9.5210998690000004</v>
      </c>
      <c r="S1758" s="1">
        <v>9.4193258049999997</v>
      </c>
      <c r="T1758" s="1">
        <v>10.131947350000001</v>
      </c>
      <c r="U1758" s="1">
        <v>9.9299330290000007</v>
      </c>
      <c r="V1758" s="1">
        <v>9.2055958540000002</v>
      </c>
      <c r="W1758" s="1">
        <v>9.2581253340000007</v>
      </c>
      <c r="X1758" s="1">
        <v>10.047257310000001</v>
      </c>
      <c r="Y1758" s="1">
        <v>9.5004220880000005</v>
      </c>
      <c r="Z1758" s="1">
        <v>9.5210998690000004</v>
      </c>
      <c r="AA1758" s="1">
        <v>9.4193258049999997</v>
      </c>
      <c r="AB1758" s="1">
        <v>9.4842421080000001</v>
      </c>
      <c r="AC1758" s="1">
        <v>9.5986472910000007</v>
      </c>
      <c r="AD1758" s="1">
        <v>9.5658779759999994</v>
      </c>
      <c r="AE1758" s="1">
        <v>9.6509041730000007</v>
      </c>
    </row>
    <row r="1759" spans="1:31" x14ac:dyDescent="0.25">
      <c r="A1759" s="1" t="s">
        <v>1453</v>
      </c>
      <c r="B1759" s="1" t="s">
        <v>2579</v>
      </c>
      <c r="C1759" s="1" t="s">
        <v>2585</v>
      </c>
      <c r="D1759" s="1" t="s">
        <v>2586</v>
      </c>
      <c r="E1759" s="1" t="s">
        <v>5276</v>
      </c>
      <c r="F1759" s="1" t="s">
        <v>5277</v>
      </c>
      <c r="G1759" s="1" t="s">
        <v>1453</v>
      </c>
      <c r="H1759" s="1">
        <v>5.3232649629999997</v>
      </c>
      <c r="I1759" s="1">
        <v>4.7284970130000001</v>
      </c>
      <c r="J1759" s="1">
        <v>6.9445377779999999</v>
      </c>
      <c r="K1759" s="1">
        <v>6.7038094560000001</v>
      </c>
      <c r="L1759" s="1">
        <v>6.6118247779999999</v>
      </c>
      <c r="M1759" s="1">
        <v>7.2519165799999996</v>
      </c>
      <c r="N1759" s="1">
        <v>5.2145790439999997</v>
      </c>
      <c r="O1759" s="1">
        <v>5.1349072580000001</v>
      </c>
      <c r="P1759" s="1">
        <v>6.9021991040000001</v>
      </c>
      <c r="Q1759" s="1">
        <v>7.0814381859999997</v>
      </c>
      <c r="R1759" s="1">
        <v>7.1648465019999996</v>
      </c>
      <c r="S1759" s="1">
        <v>7.195433188</v>
      </c>
      <c r="T1759" s="1">
        <v>6.6118247779999999</v>
      </c>
      <c r="U1759" s="1">
        <v>7.2519165799999996</v>
      </c>
      <c r="V1759" s="1">
        <v>7.0424851190000002</v>
      </c>
      <c r="W1759" s="1">
        <v>6.8459283500000003</v>
      </c>
      <c r="X1759" s="1">
        <v>7.6925552440000002</v>
      </c>
      <c r="Y1759" s="1">
        <v>7.063596596</v>
      </c>
      <c r="Z1759" s="1">
        <v>7.1648465019999996</v>
      </c>
      <c r="AA1759" s="1">
        <v>7.195433188</v>
      </c>
      <c r="AB1759" s="1">
        <v>7.0294463739999999</v>
      </c>
      <c r="AC1759" s="1">
        <v>7.3462964409999998</v>
      </c>
      <c r="AD1759" s="1">
        <v>7.4741128190000001</v>
      </c>
      <c r="AE1759" s="1">
        <v>7.5328794800000001</v>
      </c>
    </row>
    <row r="1760" spans="1:31" x14ac:dyDescent="0.25">
      <c r="A1760" s="1" t="s">
        <v>1454</v>
      </c>
      <c r="B1760" s="1" t="s">
        <v>2579</v>
      </c>
      <c r="C1760" s="1" t="s">
        <v>2585</v>
      </c>
      <c r="D1760" s="1" t="s">
        <v>2586</v>
      </c>
      <c r="E1760" s="1" t="s">
        <v>5278</v>
      </c>
      <c r="F1760" s="1" t="s">
        <v>5279</v>
      </c>
      <c r="G1760" s="1" t="s">
        <v>1454</v>
      </c>
      <c r="H1760" s="1">
        <v>5.5896774330000003</v>
      </c>
      <c r="I1760" s="1">
        <v>5.2436995780000002</v>
      </c>
      <c r="J1760" s="1">
        <v>7.3436743140000003</v>
      </c>
      <c r="K1760" s="1">
        <v>7.0076624089999999</v>
      </c>
      <c r="L1760" s="1">
        <v>7.3310559489999996</v>
      </c>
      <c r="M1760" s="1">
        <v>7.592309792</v>
      </c>
      <c r="N1760" s="1">
        <v>5.1887139119999999</v>
      </c>
      <c r="O1760" s="1">
        <v>5.4612405070000003</v>
      </c>
      <c r="P1760" s="1">
        <v>7.5832093260000004</v>
      </c>
      <c r="Q1760" s="1">
        <v>7.5617573509999998</v>
      </c>
      <c r="R1760" s="1">
        <v>7.842577854</v>
      </c>
      <c r="S1760" s="1">
        <v>7.4053493550000002</v>
      </c>
      <c r="T1760" s="1">
        <v>7.3310559489999996</v>
      </c>
      <c r="U1760" s="1">
        <v>7.592309792</v>
      </c>
      <c r="V1760" s="1">
        <v>7.547442191</v>
      </c>
      <c r="W1760" s="1">
        <v>7.7860643029999999</v>
      </c>
      <c r="X1760" s="1">
        <v>8.0131837780000001</v>
      </c>
      <c r="Y1760" s="1">
        <v>7.643703779</v>
      </c>
      <c r="Z1760" s="1">
        <v>7.842577854</v>
      </c>
      <c r="AA1760" s="1">
        <v>7.4053493550000002</v>
      </c>
      <c r="AB1760" s="1">
        <v>7.5839343819999998</v>
      </c>
      <c r="AC1760" s="1">
        <v>7.6409603700000002</v>
      </c>
      <c r="AD1760" s="1">
        <v>7.8579993000000004</v>
      </c>
      <c r="AE1760" s="1">
        <v>7.9200449969999998</v>
      </c>
    </row>
    <row r="1761" spans="1:31" x14ac:dyDescent="0.25">
      <c r="A1761" s="1" t="s">
        <v>1455</v>
      </c>
      <c r="B1761" s="1" t="s">
        <v>2662</v>
      </c>
      <c r="C1761" s="1" t="s">
        <v>5229</v>
      </c>
      <c r="D1761" s="1" t="s">
        <v>2535</v>
      </c>
      <c r="E1761" s="1" t="s">
        <v>5280</v>
      </c>
      <c r="F1761" s="1" t="s">
        <v>5281</v>
      </c>
      <c r="G1761" s="1" t="s">
        <v>1455</v>
      </c>
      <c r="H1761" s="1">
        <v>6.1789942880000002</v>
      </c>
      <c r="I1761" s="1">
        <v>7.5089557219999996</v>
      </c>
      <c r="J1761" s="1">
        <v>6.1606909930000002</v>
      </c>
      <c r="K1761" s="1">
        <v>5.9783799200000001</v>
      </c>
      <c r="L1761" s="1">
        <v>6.0656220599999999</v>
      </c>
      <c r="M1761" s="1">
        <v>6.0958755599999996</v>
      </c>
      <c r="N1761" s="1">
        <v>6.1690703840000003</v>
      </c>
      <c r="O1761" s="1">
        <v>5.7062857469999999</v>
      </c>
      <c r="P1761" s="1">
        <v>6.1950446890000004</v>
      </c>
      <c r="Q1761" s="1">
        <v>6.3341756560000002</v>
      </c>
      <c r="R1761" s="1">
        <v>5.8420803340000003</v>
      </c>
      <c r="S1761" s="1">
        <v>6.4019078089999999</v>
      </c>
      <c r="T1761" s="1">
        <v>6.0656220599999999</v>
      </c>
      <c r="U1761" s="1">
        <v>6.0958755599999996</v>
      </c>
      <c r="V1761" s="1">
        <v>6.9761915710000002</v>
      </c>
      <c r="W1761" s="1">
        <v>6.8808600269999998</v>
      </c>
      <c r="X1761" s="1">
        <v>6.4412422830000002</v>
      </c>
      <c r="Y1761" s="1">
        <v>7.0495236999999999</v>
      </c>
      <c r="Z1761" s="1">
        <v>5.8420803340000003</v>
      </c>
      <c r="AA1761" s="1">
        <v>6.4019078089999999</v>
      </c>
      <c r="AB1761" s="1">
        <v>5.8098709350000002</v>
      </c>
      <c r="AC1761" s="1">
        <v>5.9236494000000004</v>
      </c>
      <c r="AD1761" s="1">
        <v>6.8603357530000002</v>
      </c>
      <c r="AE1761" s="1">
        <v>6.4212742540000001</v>
      </c>
    </row>
    <row r="1762" spans="1:31" x14ac:dyDescent="0.25">
      <c r="A1762" s="1" t="s">
        <v>1458</v>
      </c>
      <c r="B1762" s="1" t="s">
        <v>2568</v>
      </c>
      <c r="C1762" s="1" t="s">
        <v>2569</v>
      </c>
      <c r="D1762" s="1" t="s">
        <v>2949</v>
      </c>
      <c r="E1762" s="1" t="s">
        <v>2950</v>
      </c>
      <c r="F1762" s="1" t="s">
        <v>2951</v>
      </c>
      <c r="G1762" s="1" t="s">
        <v>1458</v>
      </c>
      <c r="H1762" s="1">
        <v>3.8023684370000002</v>
      </c>
      <c r="I1762" s="1">
        <v>4.4542943209999999</v>
      </c>
      <c r="J1762" s="1">
        <v>3.1324899180000001</v>
      </c>
      <c r="K1762" s="1">
        <v>3.22334677</v>
      </c>
      <c r="L1762" s="1">
        <v>2.7248816410000001</v>
      </c>
      <c r="M1762" s="1">
        <v>2.3994532390000001</v>
      </c>
      <c r="N1762" s="1">
        <v>3.622455167</v>
      </c>
      <c r="O1762" s="1">
        <v>3.3203005989999999</v>
      </c>
      <c r="P1762" s="1">
        <v>3.7419514989999998</v>
      </c>
      <c r="Q1762" s="1">
        <v>2.935765398</v>
      </c>
      <c r="R1762" s="1">
        <v>3.386455024</v>
      </c>
      <c r="S1762" s="1">
        <v>3.3463386960000001</v>
      </c>
      <c r="T1762" s="1">
        <v>2.7248816410000001</v>
      </c>
      <c r="U1762" s="1">
        <v>2.3994532390000001</v>
      </c>
      <c r="V1762" s="1">
        <v>3.3993802240000002</v>
      </c>
      <c r="W1762" s="1">
        <v>3.2870366010000001</v>
      </c>
      <c r="X1762" s="1">
        <v>3.5883256710000002</v>
      </c>
      <c r="Y1762" s="1">
        <v>3.4382968329999999</v>
      </c>
      <c r="Z1762" s="1">
        <v>3.386455024</v>
      </c>
      <c r="AA1762" s="1">
        <v>3.3463386960000001</v>
      </c>
      <c r="AB1762" s="1">
        <v>3.404153038</v>
      </c>
      <c r="AC1762" s="1">
        <v>3.3054795530000001</v>
      </c>
      <c r="AD1762" s="1">
        <v>3.5727029510000001</v>
      </c>
      <c r="AE1762" s="1">
        <v>2.9592545700000001</v>
      </c>
    </row>
    <row r="1763" spans="1:31" x14ac:dyDescent="0.25">
      <c r="A1763" s="1" t="s">
        <v>1460</v>
      </c>
      <c r="B1763" s="1" t="s">
        <v>2525</v>
      </c>
      <c r="C1763" s="1" t="s">
        <v>3364</v>
      </c>
      <c r="D1763" s="1" t="s">
        <v>5282</v>
      </c>
      <c r="E1763" s="1" t="s">
        <v>3366</v>
      </c>
      <c r="F1763" s="1" t="s">
        <v>3367</v>
      </c>
      <c r="G1763" s="1" t="s">
        <v>1460</v>
      </c>
      <c r="H1763" s="1">
        <v>6.5340358859999998</v>
      </c>
      <c r="I1763" s="1">
        <v>6.6912039060000001</v>
      </c>
      <c r="J1763" s="1">
        <v>7.2929885179999996</v>
      </c>
      <c r="K1763" s="1">
        <v>7.2705230040000002</v>
      </c>
      <c r="L1763" s="1">
        <v>6.9823541379999998</v>
      </c>
      <c r="M1763" s="1">
        <v>7.2917753100000002</v>
      </c>
      <c r="N1763" s="1">
        <v>6.5176065699999999</v>
      </c>
      <c r="O1763" s="1">
        <v>6.5025563220000002</v>
      </c>
      <c r="P1763" s="1">
        <v>7.2057001740000004</v>
      </c>
      <c r="Q1763" s="1">
        <v>7.2637368679999996</v>
      </c>
      <c r="R1763" s="1">
        <v>7.0638992009999999</v>
      </c>
      <c r="S1763" s="1">
        <v>7.04051486</v>
      </c>
      <c r="T1763" s="1">
        <v>6.9823541379999998</v>
      </c>
      <c r="U1763" s="1">
        <v>7.2917753100000002</v>
      </c>
      <c r="V1763" s="1">
        <v>7.0954910260000004</v>
      </c>
      <c r="W1763" s="1">
        <v>7.2178208650000002</v>
      </c>
      <c r="X1763" s="1">
        <v>7.1893802659999997</v>
      </c>
      <c r="Y1763" s="1">
        <v>7.1050089449999998</v>
      </c>
      <c r="Z1763" s="1">
        <v>7.0638992009999999</v>
      </c>
      <c r="AA1763" s="1">
        <v>7.04051486</v>
      </c>
      <c r="AB1763" s="1">
        <v>7.2015223370000001</v>
      </c>
      <c r="AC1763" s="1">
        <v>7.0947960390000002</v>
      </c>
      <c r="AD1763" s="1">
        <v>7.0195523419999999</v>
      </c>
      <c r="AE1763" s="1">
        <v>7.1314718639999999</v>
      </c>
    </row>
    <row r="1764" spans="1:31" x14ac:dyDescent="0.25">
      <c r="A1764" s="1" t="s">
        <v>1461</v>
      </c>
      <c r="B1764" s="1" t="s">
        <v>2530</v>
      </c>
      <c r="C1764" s="1" t="s">
        <v>2531</v>
      </c>
      <c r="D1764" s="1" t="s">
        <v>2535</v>
      </c>
      <c r="E1764" s="1" t="s">
        <v>5283</v>
      </c>
      <c r="F1764" s="1" t="s">
        <v>5284</v>
      </c>
      <c r="G1764" s="1" t="s">
        <v>1461</v>
      </c>
      <c r="H1764" s="1">
        <v>4.3886087140000001</v>
      </c>
      <c r="I1764" s="1">
        <v>5.4067069720000003</v>
      </c>
      <c r="J1764" s="1">
        <v>5.0551375939999996</v>
      </c>
      <c r="K1764" s="1">
        <v>5.3151275040000003</v>
      </c>
      <c r="L1764" s="1">
        <v>5.128160297</v>
      </c>
      <c r="M1764" s="1">
        <v>4.7490378550000001</v>
      </c>
      <c r="N1764" s="1">
        <v>4.5776172920000002</v>
      </c>
      <c r="O1764" s="1">
        <v>4.5801520279999997</v>
      </c>
      <c r="P1764" s="1">
        <v>4.9062897479999998</v>
      </c>
      <c r="Q1764" s="1">
        <v>4.8155696649999999</v>
      </c>
      <c r="R1764" s="1">
        <v>4.6083586160000003</v>
      </c>
      <c r="S1764" s="1">
        <v>4.980227309</v>
      </c>
      <c r="T1764" s="1">
        <v>5.128160297</v>
      </c>
      <c r="U1764" s="1">
        <v>4.7490378550000001</v>
      </c>
      <c r="V1764" s="1">
        <v>4.7533922439999996</v>
      </c>
      <c r="W1764" s="1">
        <v>4.8493412630000003</v>
      </c>
      <c r="X1764" s="1">
        <v>4.4502657640000001</v>
      </c>
      <c r="Y1764" s="1">
        <v>4.8250325140000001</v>
      </c>
      <c r="Z1764" s="1">
        <v>4.6083586160000003</v>
      </c>
      <c r="AA1764" s="1">
        <v>4.980227309</v>
      </c>
      <c r="AB1764" s="1">
        <v>4.8804215500000003</v>
      </c>
      <c r="AC1764" s="1">
        <v>4.1685844940000001</v>
      </c>
      <c r="AD1764" s="1">
        <v>4.95179218</v>
      </c>
      <c r="AE1764" s="1">
        <v>5.0415666330000004</v>
      </c>
    </row>
    <row r="1765" spans="1:31" x14ac:dyDescent="0.25">
      <c r="A1765" s="1" t="s">
        <v>1462</v>
      </c>
      <c r="B1765" s="1" t="s">
        <v>2547</v>
      </c>
      <c r="C1765" s="1" t="s">
        <v>2566</v>
      </c>
      <c r="D1765" s="1" t="s">
        <v>2535</v>
      </c>
      <c r="E1765" s="1" t="s">
        <v>2690</v>
      </c>
      <c r="G1765" s="1" t="s">
        <v>1462</v>
      </c>
      <c r="H1765" s="1">
        <v>7.3929460090000001</v>
      </c>
      <c r="I1765" s="1">
        <v>7.0388012209999999</v>
      </c>
      <c r="J1765" s="1">
        <v>6.248570891</v>
      </c>
      <c r="K1765" s="1">
        <v>6.7038094560000001</v>
      </c>
      <c r="L1765" s="1">
        <v>6.2512732120000001</v>
      </c>
      <c r="M1765" s="1">
        <v>6.3183487620000003</v>
      </c>
      <c r="N1765" s="1">
        <v>6.4757340919999997</v>
      </c>
      <c r="O1765" s="1">
        <v>6.740410754</v>
      </c>
      <c r="P1765" s="1">
        <v>7.0735093620000002</v>
      </c>
      <c r="Q1765" s="1">
        <v>6.9023327999999999</v>
      </c>
      <c r="R1765" s="1">
        <v>6.3936555549999996</v>
      </c>
      <c r="S1765" s="1">
        <v>6.7331571820000002</v>
      </c>
      <c r="T1765" s="1">
        <v>6.2512732120000001</v>
      </c>
      <c r="U1765" s="1">
        <v>6.3183487620000003</v>
      </c>
      <c r="V1765" s="1">
        <v>6.5134692110000003</v>
      </c>
      <c r="W1765" s="1">
        <v>6.5743425210000002</v>
      </c>
      <c r="X1765" s="1">
        <v>6.8318753970000001</v>
      </c>
      <c r="Y1765" s="1">
        <v>6.8849070279999998</v>
      </c>
      <c r="Z1765" s="1">
        <v>6.3936555549999996</v>
      </c>
      <c r="AA1765" s="1">
        <v>6.7331571820000002</v>
      </c>
      <c r="AB1765" s="1">
        <v>6.9735441659999999</v>
      </c>
      <c r="AC1765" s="1">
        <v>6.2870326270000003</v>
      </c>
      <c r="AD1765" s="1">
        <v>7.2588873100000004</v>
      </c>
      <c r="AE1765" s="1">
        <v>6.9437330570000002</v>
      </c>
    </row>
    <row r="1766" spans="1:31" x14ac:dyDescent="0.25">
      <c r="A1766" s="1" t="s">
        <v>1463</v>
      </c>
      <c r="B1766" s="1" t="s">
        <v>2530</v>
      </c>
      <c r="C1766" s="1" t="s">
        <v>2531</v>
      </c>
      <c r="D1766" s="1" t="s">
        <v>2535</v>
      </c>
      <c r="E1766" s="1" t="s">
        <v>5285</v>
      </c>
      <c r="G1766" s="1" t="s">
        <v>1463</v>
      </c>
      <c r="H1766" s="1">
        <v>6.5956218609999997</v>
      </c>
      <c r="I1766" s="1">
        <v>6.610348052</v>
      </c>
      <c r="J1766" s="1">
        <v>5.7728716349999996</v>
      </c>
      <c r="K1766" s="1">
        <v>5.6482047069999997</v>
      </c>
      <c r="L1766" s="1">
        <v>5.58546151</v>
      </c>
      <c r="M1766" s="1">
        <v>5.8857020010000003</v>
      </c>
      <c r="N1766" s="1">
        <v>7.4276277210000003</v>
      </c>
      <c r="O1766" s="1">
        <v>7.6645696750000001</v>
      </c>
      <c r="P1766" s="1">
        <v>8.8783535560000004</v>
      </c>
      <c r="Q1766" s="1">
        <v>8.9414010410000007</v>
      </c>
      <c r="R1766" s="1">
        <v>7.842577854</v>
      </c>
      <c r="S1766" s="1">
        <v>8.0917197590000001</v>
      </c>
      <c r="T1766" s="1">
        <v>5.58546151</v>
      </c>
      <c r="U1766" s="1">
        <v>5.8857020010000003</v>
      </c>
      <c r="V1766" s="1">
        <v>6.71671408</v>
      </c>
      <c r="W1766" s="1">
        <v>6.6164205459999996</v>
      </c>
      <c r="X1766" s="1">
        <v>7.1194218710000001</v>
      </c>
      <c r="Y1766" s="1">
        <v>7.1050089449999998</v>
      </c>
      <c r="Z1766" s="1">
        <v>7.842577854</v>
      </c>
      <c r="AA1766" s="1">
        <v>8.0917197590000001</v>
      </c>
      <c r="AB1766" s="1">
        <v>7.2176516849999999</v>
      </c>
      <c r="AC1766" s="1">
        <v>7.6251978569999999</v>
      </c>
      <c r="AD1766" s="1">
        <v>7.3918372449999996</v>
      </c>
      <c r="AE1766" s="1">
        <v>7.6466999219999998</v>
      </c>
    </row>
    <row r="1767" spans="1:31" x14ac:dyDescent="0.25">
      <c r="A1767" s="1" t="s">
        <v>1466</v>
      </c>
      <c r="B1767" s="1" t="s">
        <v>2530</v>
      </c>
      <c r="C1767" s="1" t="s">
        <v>2531</v>
      </c>
      <c r="D1767" s="1" t="s">
        <v>2535</v>
      </c>
      <c r="E1767" s="1" t="s">
        <v>2536</v>
      </c>
      <c r="G1767" s="1" t="s">
        <v>1466</v>
      </c>
      <c r="H1767" s="1">
        <v>5.1131742039999999</v>
      </c>
      <c r="I1767" s="1">
        <v>4.3763156859999999</v>
      </c>
      <c r="J1767" s="1">
        <v>4.2018709520000002</v>
      </c>
      <c r="K1767" s="1">
        <v>4.3408695499999999</v>
      </c>
      <c r="L1767" s="1">
        <v>3.918224124</v>
      </c>
      <c r="M1767" s="1">
        <v>4.494607383</v>
      </c>
      <c r="N1767" s="1">
        <v>5.2145790439999997</v>
      </c>
      <c r="O1767" s="1">
        <v>5.0400854920000002</v>
      </c>
      <c r="P1767" s="1">
        <v>7.3267783130000002</v>
      </c>
      <c r="Q1767" s="1">
        <v>7.5049490929999996</v>
      </c>
      <c r="R1767" s="1">
        <v>6.2855941240000002</v>
      </c>
      <c r="S1767" s="1">
        <v>5.8319244149999996</v>
      </c>
      <c r="T1767" s="1">
        <v>3.918224124</v>
      </c>
      <c r="U1767" s="1">
        <v>4.494607383</v>
      </c>
      <c r="V1767" s="1">
        <v>4.7533922439999996</v>
      </c>
      <c r="W1767" s="1">
        <v>4.2295768090000001</v>
      </c>
      <c r="X1767" s="1">
        <v>4.97415056</v>
      </c>
      <c r="Y1767" s="1">
        <v>4.8904630100000004</v>
      </c>
      <c r="Z1767" s="1">
        <v>6.2855941240000002</v>
      </c>
      <c r="AA1767" s="1">
        <v>5.8319244149999996</v>
      </c>
      <c r="AB1767" s="1">
        <v>5.3624643089999999</v>
      </c>
      <c r="AC1767" s="1">
        <v>5.8163513240000002</v>
      </c>
      <c r="AD1767" s="1">
        <v>5.9231977699999998</v>
      </c>
      <c r="AE1767" s="1">
        <v>5.7368382310000001</v>
      </c>
    </row>
    <row r="1768" spans="1:31" x14ac:dyDescent="0.25">
      <c r="A1768" s="1" t="s">
        <v>1468</v>
      </c>
      <c r="B1768" s="1" t="s">
        <v>2530</v>
      </c>
      <c r="C1768" s="1" t="s">
        <v>2531</v>
      </c>
      <c r="D1768" s="1" t="s">
        <v>2535</v>
      </c>
      <c r="E1768" s="1" t="s">
        <v>5286</v>
      </c>
      <c r="G1768" s="1" t="s">
        <v>1468</v>
      </c>
      <c r="H1768" s="1">
        <v>5.8141293449999996</v>
      </c>
      <c r="I1768" s="1">
        <v>6.2102063709999999</v>
      </c>
      <c r="J1768" s="1">
        <v>5.8310524639999999</v>
      </c>
      <c r="K1768" s="1">
        <v>5.8552832600000002</v>
      </c>
      <c r="L1768" s="1">
        <v>6.0302150909999996</v>
      </c>
      <c r="M1768" s="1">
        <v>5.7197461279999997</v>
      </c>
      <c r="N1768" s="1">
        <v>6.4435100419999998</v>
      </c>
      <c r="O1768" s="1">
        <v>6.4668479379999999</v>
      </c>
      <c r="P1768" s="1">
        <v>6.0615870090000001</v>
      </c>
      <c r="Q1768" s="1">
        <v>5.8765740600000003</v>
      </c>
      <c r="R1768" s="1">
        <v>5.9019545559999997</v>
      </c>
      <c r="S1768" s="1">
        <v>5.6117239269999999</v>
      </c>
      <c r="T1768" s="1">
        <v>6.0302150909999996</v>
      </c>
      <c r="U1768" s="1">
        <v>5.7197461279999997</v>
      </c>
      <c r="V1768" s="1">
        <v>5.6392772100000004</v>
      </c>
      <c r="W1768" s="1">
        <v>5.4743148909999997</v>
      </c>
      <c r="X1768" s="1">
        <v>6.0475048180000002</v>
      </c>
      <c r="Y1768" s="1">
        <v>5.5443425189999997</v>
      </c>
      <c r="Z1768" s="1">
        <v>5.9019545559999997</v>
      </c>
      <c r="AA1768" s="1">
        <v>5.6117239269999999</v>
      </c>
      <c r="AB1768" s="1">
        <v>5.7218462399999996</v>
      </c>
      <c r="AC1768" s="1">
        <v>6.1168053020000004</v>
      </c>
      <c r="AD1768" s="1">
        <v>5.980763981</v>
      </c>
      <c r="AE1768" s="1">
        <v>5.5139573549999996</v>
      </c>
    </row>
    <row r="1769" spans="1:31" x14ac:dyDescent="0.25">
      <c r="A1769" s="1" t="s">
        <v>1469</v>
      </c>
      <c r="B1769" s="1" t="s">
        <v>2547</v>
      </c>
      <c r="C1769" s="1" t="s">
        <v>2694</v>
      </c>
      <c r="D1769" s="1" t="s">
        <v>2848</v>
      </c>
      <c r="E1769" s="1" t="s">
        <v>5287</v>
      </c>
      <c r="F1769" s="1" t="s">
        <v>5288</v>
      </c>
      <c r="G1769" s="1" t="s">
        <v>1469</v>
      </c>
      <c r="H1769" s="1">
        <v>3.6455184960000002</v>
      </c>
      <c r="I1769" s="1">
        <v>4.4542943209999999</v>
      </c>
      <c r="J1769" s="1">
        <v>4.5940881259999999</v>
      </c>
      <c r="K1769" s="1">
        <v>5.166960875</v>
      </c>
      <c r="L1769" s="1">
        <v>4.4107687259999997</v>
      </c>
      <c r="M1769" s="1">
        <v>4.5403831759999997</v>
      </c>
      <c r="N1769" s="1">
        <v>5.0802595029999997</v>
      </c>
      <c r="O1769" s="1">
        <v>5.2237789919999997</v>
      </c>
      <c r="P1769" s="1">
        <v>4.9062897479999998</v>
      </c>
      <c r="Q1769" s="1">
        <v>4.993318082</v>
      </c>
      <c r="R1769" s="1">
        <v>4.3698765340000003</v>
      </c>
      <c r="S1769" s="1">
        <v>5.1778667870000001</v>
      </c>
      <c r="T1769" s="1">
        <v>4.4107687259999997</v>
      </c>
      <c r="U1769" s="1">
        <v>4.5403831759999997</v>
      </c>
      <c r="V1769" s="1">
        <v>4.8059579570000004</v>
      </c>
      <c r="W1769" s="1">
        <v>4.3370700810000002</v>
      </c>
      <c r="X1769" s="1">
        <v>4.7192629950000002</v>
      </c>
      <c r="Y1769" s="1">
        <v>4.3509215530000001</v>
      </c>
      <c r="Z1769" s="1">
        <v>4.3698765340000003</v>
      </c>
      <c r="AA1769" s="1">
        <v>5.1778667870000001</v>
      </c>
      <c r="AB1769" s="1">
        <v>4.5063178209999997</v>
      </c>
      <c r="AC1769" s="1">
        <v>4.8610120620000004</v>
      </c>
      <c r="AD1769" s="1">
        <v>5.0087140049999999</v>
      </c>
      <c r="AE1769" s="1">
        <v>5.1232419389999997</v>
      </c>
    </row>
    <row r="1770" spans="1:31" x14ac:dyDescent="0.25">
      <c r="A1770" s="1" t="s">
        <v>1470</v>
      </c>
      <c r="B1770" s="1" t="s">
        <v>2530</v>
      </c>
      <c r="C1770" s="1" t="s">
        <v>2531</v>
      </c>
      <c r="D1770" s="1" t="s">
        <v>2535</v>
      </c>
      <c r="E1770" s="1" t="s">
        <v>5289</v>
      </c>
      <c r="G1770" s="1" t="s">
        <v>1470</v>
      </c>
      <c r="H1770" s="1">
        <v>2.9945681560000001</v>
      </c>
      <c r="I1770" s="1">
        <v>3.7806045529999999</v>
      </c>
      <c r="J1770" s="1">
        <v>4.1077874330000004</v>
      </c>
      <c r="K1770" s="1">
        <v>3.762021974</v>
      </c>
      <c r="L1770" s="1">
        <v>3.8051274570000002</v>
      </c>
      <c r="M1770" s="1">
        <v>3.027864058</v>
      </c>
      <c r="N1770" s="1">
        <v>4.210067993</v>
      </c>
      <c r="O1770" s="1">
        <v>4.4862678239999996</v>
      </c>
      <c r="P1770" s="1">
        <v>2.8687501260000001</v>
      </c>
      <c r="Q1770" s="1">
        <v>3.388910638</v>
      </c>
      <c r="R1770" s="1">
        <v>3.5594063970000001</v>
      </c>
      <c r="S1770" s="1">
        <v>3.1475403900000001</v>
      </c>
      <c r="T1770" s="1">
        <v>3.8051274570000002</v>
      </c>
      <c r="U1770" s="1">
        <v>3.027864058</v>
      </c>
      <c r="V1770" s="1">
        <v>3.3993802240000002</v>
      </c>
      <c r="W1770" s="1">
        <v>2.6606351240000001</v>
      </c>
      <c r="X1770" s="1">
        <v>2.7988456519999998</v>
      </c>
      <c r="Y1770" s="1">
        <v>2.624795792</v>
      </c>
      <c r="Z1770" s="1">
        <v>3.5594063970000001</v>
      </c>
      <c r="AA1770" s="1">
        <v>3.1475403900000001</v>
      </c>
      <c r="AB1770" s="1">
        <v>3.1218319999999999</v>
      </c>
      <c r="AC1770" s="1">
        <v>3.3054795530000001</v>
      </c>
      <c r="AD1770" s="1">
        <v>3.3987395579999999</v>
      </c>
      <c r="AE1770" s="1">
        <v>3.9499994520000001</v>
      </c>
    </row>
    <row r="1771" spans="1:31" x14ac:dyDescent="0.25">
      <c r="A1771" s="1" t="s">
        <v>1471</v>
      </c>
      <c r="B1771" s="1" t="s">
        <v>2631</v>
      </c>
      <c r="C1771" s="1" t="s">
        <v>2531</v>
      </c>
      <c r="D1771" s="1" t="s">
        <v>2535</v>
      </c>
      <c r="E1771" s="1" t="s">
        <v>5290</v>
      </c>
      <c r="G1771" s="1" t="s">
        <v>1471</v>
      </c>
      <c r="H1771" s="1">
        <v>8.4390456700000005</v>
      </c>
      <c r="I1771" s="1">
        <v>8.0460580030000006</v>
      </c>
      <c r="J1771" s="1">
        <v>7.581854527</v>
      </c>
      <c r="K1771" s="1">
        <v>7.7383418519999996</v>
      </c>
      <c r="L1771" s="1">
        <v>7.3739658349999999</v>
      </c>
      <c r="M1771" s="1">
        <v>7.4586404469999996</v>
      </c>
      <c r="N1771" s="1">
        <v>7.8521878970000003</v>
      </c>
      <c r="O1771" s="1">
        <v>8.0208083059999993</v>
      </c>
      <c r="P1771" s="1">
        <v>7.599320348</v>
      </c>
      <c r="Q1771" s="1">
        <v>7.5802066870000004</v>
      </c>
      <c r="R1771" s="1">
        <v>7.2477233400000003</v>
      </c>
      <c r="S1771" s="1">
        <v>7.4053493550000002</v>
      </c>
      <c r="T1771" s="1">
        <v>7.3739658349999999</v>
      </c>
      <c r="U1771" s="1">
        <v>7.4586404469999996</v>
      </c>
      <c r="V1771" s="1">
        <v>7.539814947</v>
      </c>
      <c r="W1771" s="1">
        <v>7.4212794869999996</v>
      </c>
      <c r="X1771" s="1">
        <v>7.7441670939999998</v>
      </c>
      <c r="Y1771" s="1">
        <v>7.5667712890000001</v>
      </c>
      <c r="Z1771" s="1">
        <v>7.2477233400000003</v>
      </c>
      <c r="AA1771" s="1">
        <v>7.4053493550000002</v>
      </c>
      <c r="AB1771" s="1">
        <v>7.6086032499999998</v>
      </c>
      <c r="AC1771" s="1">
        <v>7.2973970530000001</v>
      </c>
      <c r="AD1771" s="1">
        <v>7.6960373979999996</v>
      </c>
      <c r="AE1771" s="1">
        <v>7.651252886</v>
      </c>
    </row>
    <row r="1772" spans="1:31" x14ac:dyDescent="0.25">
      <c r="A1772" s="1" t="s">
        <v>1472</v>
      </c>
      <c r="B1772" s="1" t="s">
        <v>2547</v>
      </c>
      <c r="C1772" s="1" t="s">
        <v>2566</v>
      </c>
      <c r="D1772" s="1" t="s">
        <v>5291</v>
      </c>
      <c r="E1772" s="1" t="s">
        <v>5292</v>
      </c>
      <c r="F1772" s="1" t="s">
        <v>5293</v>
      </c>
      <c r="G1772" s="1" t="s">
        <v>1472</v>
      </c>
      <c r="H1772" s="1">
        <v>7.4933536610000004</v>
      </c>
      <c r="I1772" s="1">
        <v>7.2348492340000004</v>
      </c>
      <c r="J1772" s="1">
        <v>6.4096880770000002</v>
      </c>
      <c r="K1772" s="1">
        <v>7.0362139130000001</v>
      </c>
      <c r="L1772" s="1">
        <v>6.4606392619999999</v>
      </c>
      <c r="M1772" s="1">
        <v>6.1691684679999996</v>
      </c>
      <c r="N1772" s="1">
        <v>7.5076461229999998</v>
      </c>
      <c r="O1772" s="1">
        <v>7.4376991339999998</v>
      </c>
      <c r="P1772" s="1">
        <v>6.7225254730000001</v>
      </c>
      <c r="Q1772" s="1">
        <v>6.7476078419999999</v>
      </c>
      <c r="R1772" s="1">
        <v>6.3726832150000003</v>
      </c>
      <c r="S1772" s="1">
        <v>6.5856947659999996</v>
      </c>
      <c r="T1772" s="1">
        <v>6.4606392619999999</v>
      </c>
      <c r="U1772" s="1">
        <v>6.1691684679999996</v>
      </c>
      <c r="V1772" s="1">
        <v>6.4659141040000003</v>
      </c>
      <c r="W1772" s="1">
        <v>6.9482803070000001</v>
      </c>
      <c r="X1772" s="1">
        <v>6.7584266409999998</v>
      </c>
      <c r="Y1772" s="1">
        <v>6.7521416749999998</v>
      </c>
      <c r="Z1772" s="1">
        <v>6.3726832150000003</v>
      </c>
      <c r="AA1772" s="1">
        <v>6.5856947659999996</v>
      </c>
      <c r="AB1772" s="1">
        <v>6.7477303849999997</v>
      </c>
      <c r="AC1772" s="1">
        <v>6.5768311190000004</v>
      </c>
      <c r="AD1772" s="1">
        <v>6.4566895009999996</v>
      </c>
      <c r="AE1772" s="1">
        <v>6.8907852160000003</v>
      </c>
    </row>
    <row r="1773" spans="1:31" x14ac:dyDescent="0.25">
      <c r="A1773" s="1" t="s">
        <v>1473</v>
      </c>
      <c r="B1773" s="1" t="s">
        <v>2557</v>
      </c>
      <c r="C1773" s="1" t="s">
        <v>2680</v>
      </c>
      <c r="D1773" s="1" t="s">
        <v>2712</v>
      </c>
      <c r="E1773" s="1" t="s">
        <v>5294</v>
      </c>
      <c r="F1773" s="1" t="s">
        <v>5295</v>
      </c>
      <c r="G1773" s="1" t="s">
        <v>1473</v>
      </c>
      <c r="H1773" s="1">
        <v>3.6455184960000002</v>
      </c>
      <c r="I1773" s="1">
        <v>4.66484875</v>
      </c>
      <c r="J1773" s="1">
        <v>4.2018709520000002</v>
      </c>
      <c r="K1773" s="1">
        <v>4.5171444090000001</v>
      </c>
      <c r="L1773" s="1">
        <v>4.1645832880000002</v>
      </c>
      <c r="M1773" s="1">
        <v>4.494607383</v>
      </c>
      <c r="N1773" s="1">
        <v>5.0802595029999997</v>
      </c>
      <c r="O1773" s="1">
        <v>4.9028628039999997</v>
      </c>
      <c r="P1773" s="1">
        <v>3.466113682</v>
      </c>
      <c r="Q1773" s="1">
        <v>3.9718447549999998</v>
      </c>
      <c r="R1773" s="1">
        <v>4.3698765340000003</v>
      </c>
      <c r="S1773" s="1">
        <v>3.6647387380000001</v>
      </c>
      <c r="T1773" s="1">
        <v>4.1645832880000002</v>
      </c>
      <c r="U1773" s="1">
        <v>4.494607383</v>
      </c>
      <c r="V1773" s="1">
        <v>4.6987742170000004</v>
      </c>
      <c r="W1773" s="1">
        <v>4.3370700810000002</v>
      </c>
      <c r="X1773" s="1">
        <v>4.2198471</v>
      </c>
      <c r="Y1773" s="1">
        <v>4.4420910779999998</v>
      </c>
      <c r="Z1773" s="1">
        <v>4.3698765340000003</v>
      </c>
      <c r="AA1773" s="1">
        <v>3.6647387380000001</v>
      </c>
      <c r="AB1773" s="1">
        <v>4.139369361</v>
      </c>
      <c r="AC1773" s="1">
        <v>3.7481372300000002</v>
      </c>
      <c r="AD1773" s="1">
        <v>4.3870463700000002</v>
      </c>
      <c r="AE1773" s="1">
        <v>4.4163948289999997</v>
      </c>
    </row>
    <row r="1774" spans="1:31" x14ac:dyDescent="0.25">
      <c r="A1774" s="1" t="s">
        <v>1484</v>
      </c>
      <c r="B1774" s="1" t="s">
        <v>2530</v>
      </c>
      <c r="C1774" s="1" t="s">
        <v>2531</v>
      </c>
      <c r="D1774" s="1" t="s">
        <v>2535</v>
      </c>
      <c r="E1774" s="1" t="s">
        <v>2536</v>
      </c>
      <c r="G1774" s="1" t="s">
        <v>1484</v>
      </c>
      <c r="H1774" s="1">
        <v>5.0553993879999997</v>
      </c>
      <c r="I1774" s="1">
        <v>7.2455913279999997</v>
      </c>
      <c r="J1774" s="1">
        <v>4.8434621079999998</v>
      </c>
      <c r="K1774" s="1">
        <v>5.2674352469999999</v>
      </c>
      <c r="L1774" s="1">
        <v>5.2974536179999996</v>
      </c>
      <c r="M1774" s="1">
        <v>5.029201552</v>
      </c>
      <c r="N1774" s="1">
        <v>5.7957915680000003</v>
      </c>
      <c r="O1774" s="1">
        <v>5.6647442659999996</v>
      </c>
      <c r="P1774" s="1">
        <v>5.2325771159999999</v>
      </c>
      <c r="Q1774" s="1">
        <v>4.2835653880000004</v>
      </c>
      <c r="R1774" s="1">
        <v>4.7472384160000001</v>
      </c>
      <c r="S1774" s="1">
        <v>4.6194390810000003</v>
      </c>
      <c r="T1774" s="1">
        <v>5.2974536179999996</v>
      </c>
      <c r="U1774" s="1">
        <v>5.029201552</v>
      </c>
      <c r="V1774" s="1">
        <v>5.7495972609999999</v>
      </c>
      <c r="W1774" s="1">
        <v>4.8493412630000003</v>
      </c>
      <c r="X1774" s="1">
        <v>5.4415021479999997</v>
      </c>
      <c r="Y1774" s="1">
        <v>5.5443425189999997</v>
      </c>
      <c r="Z1774" s="1">
        <v>4.7472384160000001</v>
      </c>
      <c r="AA1774" s="1">
        <v>4.6194390810000003</v>
      </c>
      <c r="AB1774" s="1">
        <v>4.139369361</v>
      </c>
      <c r="AC1774" s="1">
        <v>4.8610120620000004</v>
      </c>
      <c r="AD1774" s="1">
        <v>4.0967699450000001</v>
      </c>
      <c r="AE1774" s="1">
        <v>4.893979055</v>
      </c>
    </row>
    <row r="1775" spans="1:31" x14ac:dyDescent="0.25">
      <c r="A1775" s="1" t="s">
        <v>1485</v>
      </c>
      <c r="B1775" s="1" t="s">
        <v>2539</v>
      </c>
      <c r="C1775" s="1" t="s">
        <v>2606</v>
      </c>
      <c r="D1775" s="1" t="s">
        <v>3536</v>
      </c>
      <c r="E1775" s="1" t="s">
        <v>3537</v>
      </c>
      <c r="G1775" s="1" t="s">
        <v>1485</v>
      </c>
      <c r="H1775" s="1">
        <v>4.7972697699999998</v>
      </c>
      <c r="I1775" s="1">
        <v>5.4817092260000004</v>
      </c>
      <c r="J1775" s="1">
        <v>4.7243317210000004</v>
      </c>
      <c r="K1775" s="1">
        <v>4.8139921829999999</v>
      </c>
      <c r="L1775" s="1">
        <v>5.128160297</v>
      </c>
      <c r="M1775" s="1">
        <v>4.824486168</v>
      </c>
      <c r="N1775" s="1">
        <v>5.2399813159999997</v>
      </c>
      <c r="O1775" s="1">
        <v>5.0724039640000003</v>
      </c>
      <c r="P1775" s="1">
        <v>5.0074447400000004</v>
      </c>
      <c r="Q1775" s="1">
        <v>4.7509440400000003</v>
      </c>
      <c r="R1775" s="1">
        <v>4.8735636449999999</v>
      </c>
      <c r="S1775" s="1">
        <v>4.4749637470000003</v>
      </c>
      <c r="T1775" s="1">
        <v>5.128160297</v>
      </c>
      <c r="U1775" s="1">
        <v>4.824486168</v>
      </c>
      <c r="V1775" s="1">
        <v>4.9055261469999998</v>
      </c>
      <c r="W1775" s="1">
        <v>4.6166922860000001</v>
      </c>
      <c r="X1775" s="1">
        <v>5.1128189019999999</v>
      </c>
      <c r="Y1775" s="1">
        <v>4.8250325140000001</v>
      </c>
      <c r="Z1775" s="1">
        <v>4.8735636449999999</v>
      </c>
      <c r="AA1775" s="1">
        <v>4.4749637470000003</v>
      </c>
      <c r="AB1775" s="1">
        <v>4.7958605490000004</v>
      </c>
      <c r="AC1775" s="1">
        <v>4.8610120620000004</v>
      </c>
      <c r="AD1775" s="1">
        <v>4.2005997429999997</v>
      </c>
      <c r="AE1775" s="1">
        <v>5.0415666330000004</v>
      </c>
    </row>
    <row r="1776" spans="1:31" x14ac:dyDescent="0.25">
      <c r="A1776" s="1" t="s">
        <v>1486</v>
      </c>
      <c r="B1776" s="1" t="s">
        <v>2539</v>
      </c>
      <c r="C1776" s="1" t="s">
        <v>2606</v>
      </c>
      <c r="D1776" s="1" t="s">
        <v>2535</v>
      </c>
      <c r="E1776" s="1" t="s">
        <v>5296</v>
      </c>
      <c r="F1776" s="1" t="s">
        <v>5297</v>
      </c>
      <c r="G1776" s="1" t="s">
        <v>1486</v>
      </c>
      <c r="H1776" s="1">
        <v>6.9021671930000004</v>
      </c>
      <c r="I1776" s="1">
        <v>6.9096458590000003</v>
      </c>
      <c r="J1776" s="1">
        <v>5.0051223570000003</v>
      </c>
      <c r="K1776" s="1">
        <v>4.8793048219999999</v>
      </c>
      <c r="L1776" s="1">
        <v>5.1724144110000001</v>
      </c>
      <c r="M1776" s="1">
        <v>5.029201552</v>
      </c>
      <c r="N1776" s="1">
        <v>6.3881452249999997</v>
      </c>
      <c r="O1776" s="1">
        <v>6.5714196759999997</v>
      </c>
      <c r="P1776" s="1">
        <v>4.8528499219999999</v>
      </c>
      <c r="Q1776" s="1">
        <v>4.9365262349999997</v>
      </c>
      <c r="R1776" s="1">
        <v>4.8735636449999999</v>
      </c>
      <c r="S1776" s="1">
        <v>4.6864044680000001</v>
      </c>
      <c r="T1776" s="1">
        <v>5.1724144110000001</v>
      </c>
      <c r="U1776" s="1">
        <v>5.029201552</v>
      </c>
      <c r="V1776" s="1">
        <v>4.8059579570000004</v>
      </c>
      <c r="W1776" s="1">
        <v>4.8493412630000003</v>
      </c>
      <c r="X1776" s="1">
        <v>5.6000621730000004</v>
      </c>
      <c r="Y1776" s="1">
        <v>5.6227961889999998</v>
      </c>
      <c r="Z1776" s="1">
        <v>4.8735636449999999</v>
      </c>
      <c r="AA1776" s="1">
        <v>4.6864044680000001</v>
      </c>
      <c r="AB1776" s="1">
        <v>5.4746970709999996</v>
      </c>
      <c r="AC1776" s="1">
        <v>5.3221936159999998</v>
      </c>
      <c r="AD1776" s="1">
        <v>5.3536174839999999</v>
      </c>
      <c r="AE1776" s="1">
        <v>5.2497036230000003</v>
      </c>
    </row>
    <row r="1777" spans="1:31" x14ac:dyDescent="0.25">
      <c r="A1777" s="1" t="s">
        <v>1493</v>
      </c>
      <c r="B1777" s="1" t="s">
        <v>2530</v>
      </c>
      <c r="C1777" s="1" t="s">
        <v>2531</v>
      </c>
      <c r="D1777" s="1" t="s">
        <v>2535</v>
      </c>
      <c r="E1777" s="1" t="s">
        <v>5298</v>
      </c>
      <c r="G1777" s="1" t="s">
        <v>1493</v>
      </c>
      <c r="H1777" s="1">
        <v>3.9421380259999999</v>
      </c>
      <c r="I1777" s="1">
        <v>4.1114152529999997</v>
      </c>
      <c r="J1777" s="1">
        <v>6.9705806790000002</v>
      </c>
      <c r="K1777" s="1">
        <v>6.8233399239999999</v>
      </c>
      <c r="L1777" s="1">
        <v>7.3645400820000004</v>
      </c>
      <c r="M1777" s="1">
        <v>7.4760427390000004</v>
      </c>
      <c r="N1777" s="1">
        <v>4.0417975630000003</v>
      </c>
      <c r="O1777" s="1">
        <v>4.4368189940000002</v>
      </c>
      <c r="P1777" s="1">
        <v>7.3649783800000002</v>
      </c>
      <c r="Q1777" s="1">
        <v>7.4153055109999997</v>
      </c>
      <c r="R1777" s="1">
        <v>7.7152652379999997</v>
      </c>
      <c r="S1777" s="1">
        <v>7.1726569370000002</v>
      </c>
      <c r="T1777" s="1">
        <v>7.3645400820000004</v>
      </c>
      <c r="U1777" s="1">
        <v>7.4760427390000004</v>
      </c>
      <c r="V1777" s="1">
        <v>7.4035684220000002</v>
      </c>
      <c r="W1777" s="1">
        <v>7.3103856619999998</v>
      </c>
      <c r="X1777" s="1">
        <v>7.7858092599999997</v>
      </c>
      <c r="Y1777" s="1">
        <v>7.3882379680000003</v>
      </c>
      <c r="Z1777" s="1">
        <v>7.7152652379999997</v>
      </c>
      <c r="AA1777" s="1">
        <v>7.1726569370000002</v>
      </c>
      <c r="AB1777" s="1">
        <v>7.6684897779999996</v>
      </c>
      <c r="AC1777" s="1">
        <v>7.5436920059999997</v>
      </c>
      <c r="AD1777" s="1">
        <v>7.326894544</v>
      </c>
      <c r="AE1777" s="1">
        <v>7.2442871269999998</v>
      </c>
    </row>
    <row r="1778" spans="1:31" x14ac:dyDescent="0.25">
      <c r="A1778" s="1" t="s">
        <v>1494</v>
      </c>
      <c r="B1778" s="1" t="s">
        <v>2557</v>
      </c>
      <c r="C1778" s="1" t="s">
        <v>3771</v>
      </c>
      <c r="D1778" s="1" t="s">
        <v>5299</v>
      </c>
      <c r="E1778" s="1" t="s">
        <v>5300</v>
      </c>
      <c r="F1778" s="1" t="s">
        <v>5301</v>
      </c>
      <c r="G1778" s="1" t="s">
        <v>1494</v>
      </c>
      <c r="H1778" s="1">
        <v>4.8663747150000001</v>
      </c>
      <c r="I1778" s="1">
        <v>4.5280931029999998</v>
      </c>
      <c r="J1778" s="1">
        <v>5.1953777219999999</v>
      </c>
      <c r="K1778" s="1">
        <v>5.166960875</v>
      </c>
      <c r="L1778" s="1">
        <v>4.1188213390000001</v>
      </c>
      <c r="M1778" s="1">
        <v>3.6924658159999999</v>
      </c>
      <c r="N1778" s="1">
        <v>4.765904581</v>
      </c>
      <c r="O1778" s="1">
        <v>4.385526188</v>
      </c>
      <c r="P1778" s="1">
        <v>4.8528499219999999</v>
      </c>
      <c r="Q1778" s="1">
        <v>4.7509440400000003</v>
      </c>
      <c r="R1778" s="1">
        <v>5.1472208640000003</v>
      </c>
      <c r="S1778" s="1">
        <v>4.4749637470000003</v>
      </c>
      <c r="T1778" s="1">
        <v>4.1188213390000001</v>
      </c>
      <c r="U1778" s="1">
        <v>3.6924658159999999</v>
      </c>
      <c r="V1778" s="1">
        <v>5.4559769400000002</v>
      </c>
      <c r="W1778" s="1">
        <v>4.9190341039999996</v>
      </c>
      <c r="X1778" s="1">
        <v>4.6838774470000004</v>
      </c>
      <c r="Y1778" s="1">
        <v>5.3731782380000004</v>
      </c>
      <c r="Z1778" s="1">
        <v>5.1472208640000003</v>
      </c>
      <c r="AA1778" s="1">
        <v>4.4749637470000003</v>
      </c>
      <c r="AB1778" s="1">
        <v>4.9601840040000003</v>
      </c>
      <c r="AC1778" s="1">
        <v>4.4881955270000002</v>
      </c>
      <c r="AD1778" s="1">
        <v>5.3091856960000001</v>
      </c>
      <c r="AE1778" s="1">
        <v>5.2252968339999999</v>
      </c>
    </row>
    <row r="1779" spans="1:31" x14ac:dyDescent="0.25">
      <c r="A1779" s="1" t="s">
        <v>1496</v>
      </c>
      <c r="B1779" s="1" t="s">
        <v>2667</v>
      </c>
      <c r="C1779" s="1" t="s">
        <v>2867</v>
      </c>
      <c r="D1779" s="1" t="s">
        <v>3169</v>
      </c>
      <c r="E1779" s="1" t="s">
        <v>5302</v>
      </c>
      <c r="F1779" s="1" t="s">
        <v>5303</v>
      </c>
      <c r="G1779" s="1" t="s">
        <v>1496</v>
      </c>
      <c r="H1779" s="1">
        <v>5.1131742039999999</v>
      </c>
      <c r="I1779" s="1">
        <v>4.66484875</v>
      </c>
      <c r="J1779" s="1">
        <v>4.2898244959999996</v>
      </c>
      <c r="K1779" s="1">
        <v>4.8793048219999999</v>
      </c>
      <c r="L1779" s="1">
        <v>4.2088403679999997</v>
      </c>
      <c r="M1779" s="1">
        <v>4.1823509169999999</v>
      </c>
      <c r="N1779" s="1">
        <v>4.1562881980000004</v>
      </c>
      <c r="O1779" s="1">
        <v>5.0070106360000004</v>
      </c>
      <c r="P1779" s="1">
        <v>4.6160325330000003</v>
      </c>
      <c r="Q1779" s="1">
        <v>4.8773483779999998</v>
      </c>
      <c r="R1779" s="1">
        <v>4.8118229140000004</v>
      </c>
      <c r="S1779" s="1">
        <v>4.4749637470000003</v>
      </c>
      <c r="T1779" s="1">
        <v>4.2088403679999997</v>
      </c>
      <c r="U1779" s="1">
        <v>4.1823509169999999</v>
      </c>
      <c r="V1779" s="1">
        <v>4.2408545169999998</v>
      </c>
      <c r="W1779" s="1">
        <v>4.7760085830000003</v>
      </c>
      <c r="X1779" s="1">
        <v>4.6102919370000004</v>
      </c>
      <c r="Y1779" s="1">
        <v>5.1254702539999997</v>
      </c>
      <c r="Z1779" s="1">
        <v>4.8118229140000004</v>
      </c>
      <c r="AA1779" s="1">
        <v>4.4749637470000003</v>
      </c>
      <c r="AB1779" s="1">
        <v>4.7958605490000004</v>
      </c>
      <c r="AC1779" s="1">
        <v>4.6238605430000002</v>
      </c>
      <c r="AD1779" s="1">
        <v>4.3870463700000002</v>
      </c>
      <c r="AE1779" s="1">
        <v>4.542053224</v>
      </c>
    </row>
    <row r="1780" spans="1:31" x14ac:dyDescent="0.25">
      <c r="A1780" s="1" t="s">
        <v>1497</v>
      </c>
      <c r="B1780" s="1" t="s">
        <v>2530</v>
      </c>
      <c r="C1780" s="1" t="s">
        <v>2573</v>
      </c>
      <c r="D1780" s="1" t="s">
        <v>2535</v>
      </c>
      <c r="E1780" s="1" t="s">
        <v>5304</v>
      </c>
      <c r="G1780" s="1" t="s">
        <v>1497</v>
      </c>
      <c r="H1780" s="1">
        <v>5.2735834620000004</v>
      </c>
      <c r="I1780" s="1">
        <v>4.7284970130000001</v>
      </c>
      <c r="J1780" s="1">
        <v>5.8310524639999999</v>
      </c>
      <c r="K1780" s="1">
        <v>6.1712535270000002</v>
      </c>
      <c r="L1780" s="1">
        <v>5.8923589620000003</v>
      </c>
      <c r="M1780" s="1">
        <v>6.0500341449999997</v>
      </c>
      <c r="N1780" s="1">
        <v>5.5749368700000002</v>
      </c>
      <c r="O1780" s="1">
        <v>5.3074139359999997</v>
      </c>
      <c r="P1780" s="1">
        <v>5.4627121560000003</v>
      </c>
      <c r="Q1780" s="1">
        <v>5.6846114249999999</v>
      </c>
      <c r="R1780" s="1">
        <v>5.6457947050000001</v>
      </c>
      <c r="S1780" s="1">
        <v>5.542037144</v>
      </c>
      <c r="T1780" s="1">
        <v>5.8923589620000003</v>
      </c>
      <c r="U1780" s="1">
        <v>6.0500341449999997</v>
      </c>
      <c r="V1780" s="1">
        <v>6.2394706979999999</v>
      </c>
      <c r="W1780" s="1">
        <v>5.9072448660000001</v>
      </c>
      <c r="X1780" s="1">
        <v>5.7928210719999997</v>
      </c>
      <c r="Y1780" s="1">
        <v>5.2792112080000004</v>
      </c>
      <c r="Z1780" s="1">
        <v>5.6457947050000001</v>
      </c>
      <c r="AA1780" s="1">
        <v>5.542037144</v>
      </c>
      <c r="AB1780" s="1">
        <v>5.5276660309999999</v>
      </c>
      <c r="AC1780" s="1">
        <v>5.6386390840000002</v>
      </c>
      <c r="AD1780" s="1">
        <v>5.396704357</v>
      </c>
      <c r="AE1780" s="1">
        <v>5.6297370090000003</v>
      </c>
    </row>
    <row r="1781" spans="1:31" x14ac:dyDescent="0.25">
      <c r="A1781" s="1" t="s">
        <v>1498</v>
      </c>
      <c r="B1781" s="1" t="s">
        <v>2547</v>
      </c>
      <c r="C1781" s="1" t="s">
        <v>2622</v>
      </c>
      <c r="D1781" s="1" t="s">
        <v>5305</v>
      </c>
      <c r="E1781" s="1" t="s">
        <v>5306</v>
      </c>
      <c r="G1781" s="1" t="s">
        <v>1498</v>
      </c>
      <c r="H1781" s="1">
        <v>4.6479005740000003</v>
      </c>
      <c r="I1781" s="1">
        <v>5.5177814730000003</v>
      </c>
      <c r="J1781" s="1">
        <v>5.6161485820000001</v>
      </c>
      <c r="K1781" s="1">
        <v>5.9181521149999998</v>
      </c>
      <c r="L1781" s="1">
        <v>6.1001767109999996</v>
      </c>
      <c r="M1781" s="1">
        <v>6.140298574</v>
      </c>
      <c r="N1781" s="1">
        <v>5.1355241630000004</v>
      </c>
      <c r="O1781" s="1">
        <v>5.3605571169999999</v>
      </c>
      <c r="P1781" s="1">
        <v>6.3745240839999999</v>
      </c>
      <c r="Q1781" s="1">
        <v>5.6846114249999999</v>
      </c>
      <c r="R1781" s="1">
        <v>6.2855941240000002</v>
      </c>
      <c r="S1781" s="1">
        <v>6.2576799799999998</v>
      </c>
      <c r="T1781" s="1">
        <v>6.1001767109999996</v>
      </c>
      <c r="U1781" s="1">
        <v>6.140298574</v>
      </c>
      <c r="V1781" s="1">
        <v>5.9476095180000002</v>
      </c>
      <c r="W1781" s="1">
        <v>6.265991681</v>
      </c>
      <c r="X1781" s="1">
        <v>6.033711995</v>
      </c>
      <c r="Y1781" s="1">
        <v>6.399298012</v>
      </c>
      <c r="Z1781" s="1">
        <v>6.2855941240000002</v>
      </c>
      <c r="AA1781" s="1">
        <v>6.2576799799999998</v>
      </c>
      <c r="AB1781" s="1">
        <v>5.9711898400000001</v>
      </c>
      <c r="AC1781" s="1">
        <v>6.2463288529999996</v>
      </c>
      <c r="AD1781" s="1">
        <v>5.6665831520000003</v>
      </c>
      <c r="AE1781" s="1">
        <v>5.9740468760000001</v>
      </c>
    </row>
    <row r="1782" spans="1:31" x14ac:dyDescent="0.25">
      <c r="A1782" s="1" t="s">
        <v>1499</v>
      </c>
      <c r="B1782" s="1" t="s">
        <v>2547</v>
      </c>
      <c r="C1782" s="1" t="s">
        <v>2622</v>
      </c>
      <c r="D1782" s="1" t="s">
        <v>5307</v>
      </c>
      <c r="E1782" s="1" t="s">
        <v>3486</v>
      </c>
      <c r="F1782" s="1" t="s">
        <v>5308</v>
      </c>
      <c r="G1782" s="1" t="s">
        <v>1499</v>
      </c>
      <c r="H1782" s="1">
        <v>4.8663747150000001</v>
      </c>
      <c r="I1782" s="1">
        <v>4.66484875</v>
      </c>
      <c r="J1782" s="1">
        <v>5.2817155790000001</v>
      </c>
      <c r="K1782" s="1">
        <v>5.3151275040000003</v>
      </c>
      <c r="L1782" s="1">
        <v>5.5015434460000003</v>
      </c>
      <c r="M1782" s="1">
        <v>5.4634864729999997</v>
      </c>
      <c r="N1782" s="1">
        <v>4.6936110280000003</v>
      </c>
      <c r="O1782" s="1">
        <v>4.5340058970000001</v>
      </c>
      <c r="P1782" s="1">
        <v>5.565195407</v>
      </c>
      <c r="Q1782" s="1">
        <v>5.5780218530000001</v>
      </c>
      <c r="R1782" s="1">
        <v>5.6457947050000001</v>
      </c>
      <c r="S1782" s="1">
        <v>5.9440521669999997</v>
      </c>
      <c r="T1782" s="1">
        <v>5.5015434460000003</v>
      </c>
      <c r="U1782" s="1">
        <v>5.4634864729999997</v>
      </c>
      <c r="V1782" s="1">
        <v>5.2072842770000003</v>
      </c>
      <c r="W1782" s="1">
        <v>5.8015499779999997</v>
      </c>
      <c r="X1782" s="1">
        <v>5.8569434649999996</v>
      </c>
      <c r="Y1782" s="1">
        <v>4.9529845589999999</v>
      </c>
      <c r="Z1782" s="1">
        <v>5.6457947050000001</v>
      </c>
      <c r="AA1782" s="1">
        <v>5.9440521669999997</v>
      </c>
      <c r="AB1782" s="1">
        <v>5.3624643089999999</v>
      </c>
      <c r="AC1782" s="1">
        <v>5.5065733579999998</v>
      </c>
      <c r="AD1782" s="1">
        <v>4.7657555159999996</v>
      </c>
      <c r="AE1782" s="1">
        <v>5.3658215939999998</v>
      </c>
    </row>
    <row r="1783" spans="1:31" x14ac:dyDescent="0.25">
      <c r="A1783" s="1" t="s">
        <v>1500</v>
      </c>
      <c r="B1783" s="1" t="s">
        <v>2547</v>
      </c>
      <c r="C1783" s="1" t="s">
        <v>2622</v>
      </c>
      <c r="D1783" s="1" t="s">
        <v>5305</v>
      </c>
      <c r="E1783" s="1" t="s">
        <v>5309</v>
      </c>
      <c r="F1783" s="1" t="s">
        <v>5310</v>
      </c>
      <c r="G1783" s="1" t="s">
        <v>1500</v>
      </c>
      <c r="H1783" s="1">
        <v>5.5485883999999999</v>
      </c>
      <c r="I1783" s="1">
        <v>5.5873017430000003</v>
      </c>
      <c r="J1783" s="1">
        <v>6.5545604910000002</v>
      </c>
      <c r="K1783" s="1">
        <v>6.2947097530000002</v>
      </c>
      <c r="L1783" s="1">
        <v>6.8735547510000004</v>
      </c>
      <c r="M1783" s="1">
        <v>6.6606413570000003</v>
      </c>
      <c r="N1783" s="1">
        <v>5.6141964020000001</v>
      </c>
      <c r="O1783" s="1">
        <v>5.8051520590000001</v>
      </c>
      <c r="P1783" s="1">
        <v>6.6313784599999996</v>
      </c>
      <c r="Q1783" s="1">
        <v>6.2673322389999999</v>
      </c>
      <c r="R1783" s="1">
        <v>6.7101003170000002</v>
      </c>
      <c r="S1783" s="1">
        <v>6.8526476350000003</v>
      </c>
      <c r="T1783" s="1">
        <v>6.8735547510000004</v>
      </c>
      <c r="U1783" s="1">
        <v>6.6606413570000003</v>
      </c>
      <c r="V1783" s="1">
        <v>6.3308320719999998</v>
      </c>
      <c r="W1783" s="1">
        <v>6.4863052449999996</v>
      </c>
      <c r="X1783" s="1">
        <v>6.7245402959999998</v>
      </c>
      <c r="Y1783" s="1">
        <v>6.7521416749999998</v>
      </c>
      <c r="Z1783" s="1">
        <v>6.7101003170000002</v>
      </c>
      <c r="AA1783" s="1">
        <v>6.8526476350000003</v>
      </c>
      <c r="AB1783" s="1">
        <v>6.7915089589999997</v>
      </c>
      <c r="AC1783" s="1">
        <v>6.4571567910000001</v>
      </c>
      <c r="AD1783" s="1">
        <v>6.5733752870000002</v>
      </c>
      <c r="AE1783" s="1">
        <v>6.6388355429999999</v>
      </c>
    </row>
    <row r="1784" spans="1:31" x14ac:dyDescent="0.25">
      <c r="A1784" s="1" t="s">
        <v>1501</v>
      </c>
      <c r="B1784" s="1" t="s">
        <v>2547</v>
      </c>
      <c r="C1784" s="1" t="s">
        <v>2675</v>
      </c>
      <c r="D1784" s="1" t="s">
        <v>2535</v>
      </c>
      <c r="E1784" s="1" t="s">
        <v>2676</v>
      </c>
      <c r="G1784" s="1" t="s">
        <v>1501</v>
      </c>
      <c r="H1784" s="1">
        <v>3.6455184960000002</v>
      </c>
      <c r="I1784" s="1">
        <v>3.7806045529999999</v>
      </c>
      <c r="J1784" s="1">
        <v>4.1077874330000004</v>
      </c>
      <c r="K1784" s="1">
        <v>4.1384138449999996</v>
      </c>
      <c r="L1784" s="1">
        <v>4.2932354009999996</v>
      </c>
      <c r="M1784" s="1">
        <v>4.2945656129999996</v>
      </c>
      <c r="N1784" s="1">
        <v>3.622455167</v>
      </c>
      <c r="O1784" s="1">
        <v>3.7238257350000001</v>
      </c>
      <c r="P1784" s="1">
        <v>3.6116823170000001</v>
      </c>
      <c r="Q1784" s="1">
        <v>4.18747588</v>
      </c>
      <c r="R1784" s="1">
        <v>3.5594063970000001</v>
      </c>
      <c r="S1784" s="1">
        <v>3.9182367880000002</v>
      </c>
      <c r="T1784" s="1">
        <v>4.2932354009999996</v>
      </c>
      <c r="U1784" s="1">
        <v>4.2945656129999996</v>
      </c>
      <c r="V1784" s="1">
        <v>4.5207607210000003</v>
      </c>
      <c r="W1784" s="1">
        <v>4.69862249</v>
      </c>
      <c r="X1784" s="1">
        <v>4.4502657640000001</v>
      </c>
      <c r="Y1784" s="1">
        <v>4.2532353330000001</v>
      </c>
      <c r="Z1784" s="1">
        <v>3.5594063970000001</v>
      </c>
      <c r="AA1784" s="1">
        <v>3.9182367880000002</v>
      </c>
      <c r="AB1784" s="1">
        <v>4.139369361</v>
      </c>
      <c r="AC1784" s="1">
        <v>4.0753403910000001</v>
      </c>
      <c r="AD1784" s="1">
        <v>3.984188064</v>
      </c>
      <c r="AE1784" s="1">
        <v>3.5954838599999999</v>
      </c>
    </row>
    <row r="1785" spans="1:31" x14ac:dyDescent="0.25">
      <c r="A1785" s="1" t="s">
        <v>1502</v>
      </c>
      <c r="B1785" s="1" t="s">
        <v>2579</v>
      </c>
      <c r="C1785" s="1" t="s">
        <v>2933</v>
      </c>
      <c r="D1785" s="1" t="s">
        <v>4691</v>
      </c>
      <c r="E1785" s="1" t="s">
        <v>5311</v>
      </c>
      <c r="F1785" s="1" t="s">
        <v>5312</v>
      </c>
      <c r="G1785" s="1" t="s">
        <v>1502</v>
      </c>
      <c r="H1785" s="1">
        <v>7.7494055179999997</v>
      </c>
      <c r="I1785" s="1">
        <v>8.1808433249999997</v>
      </c>
      <c r="J1785" s="1">
        <v>12.232896200000001</v>
      </c>
      <c r="K1785" s="1">
        <v>12.30086917</v>
      </c>
      <c r="L1785" s="1">
        <v>12.604250220000001</v>
      </c>
      <c r="M1785" s="1">
        <v>12.97325156</v>
      </c>
      <c r="N1785" s="1">
        <v>7.4331026959999997</v>
      </c>
      <c r="O1785" s="1">
        <v>6.7203403079999999</v>
      </c>
      <c r="P1785" s="1">
        <v>11.97555096</v>
      </c>
      <c r="Q1785" s="1">
        <v>12.21683962</v>
      </c>
      <c r="R1785" s="1">
        <v>12.859469689999999</v>
      </c>
      <c r="S1785" s="1">
        <v>12.881381279999999</v>
      </c>
      <c r="T1785" s="1">
        <v>12.604250220000001</v>
      </c>
      <c r="U1785" s="1">
        <v>12.97325156</v>
      </c>
      <c r="V1785" s="1">
        <v>13.119134150000001</v>
      </c>
      <c r="W1785" s="1">
        <v>13.04940182</v>
      </c>
      <c r="X1785" s="1">
        <v>13.7469438</v>
      </c>
      <c r="Y1785" s="1">
        <v>13.34392748</v>
      </c>
      <c r="Z1785" s="1">
        <v>12.859469689999999</v>
      </c>
      <c r="AA1785" s="1">
        <v>12.881381279999999</v>
      </c>
      <c r="AB1785" s="1">
        <v>13.397253859999999</v>
      </c>
      <c r="AC1785" s="1">
        <v>13.32237054</v>
      </c>
      <c r="AD1785" s="1">
        <v>13.521368880000001</v>
      </c>
      <c r="AE1785" s="1">
        <v>13.43140406</v>
      </c>
    </row>
    <row r="1786" spans="1:31" x14ac:dyDescent="0.25">
      <c r="A1786" s="1" t="s">
        <v>1503</v>
      </c>
      <c r="B1786" s="1" t="s">
        <v>2530</v>
      </c>
      <c r="C1786" s="1" t="s">
        <v>2531</v>
      </c>
      <c r="D1786" s="1" t="s">
        <v>2535</v>
      </c>
      <c r="E1786" s="1" t="s">
        <v>2536</v>
      </c>
      <c r="G1786" s="1" t="s">
        <v>1503</v>
      </c>
      <c r="H1786" s="1">
        <v>2.640460343</v>
      </c>
      <c r="I1786" s="1">
        <v>3.7806045529999999</v>
      </c>
      <c r="J1786" s="1">
        <v>4.2898244959999996</v>
      </c>
      <c r="K1786" s="1">
        <v>3.8998480660000001</v>
      </c>
      <c r="L1786" s="1">
        <v>4.3335465510000004</v>
      </c>
      <c r="M1786" s="1">
        <v>4.3982295550000003</v>
      </c>
      <c r="N1786" s="1">
        <v>3.444746345</v>
      </c>
      <c r="O1786" s="1">
        <v>3.5386882399999999</v>
      </c>
      <c r="P1786" s="1">
        <v>4.161525224</v>
      </c>
      <c r="Q1786" s="1">
        <v>4.7509440400000003</v>
      </c>
      <c r="R1786" s="1">
        <v>4.45403635</v>
      </c>
      <c r="S1786" s="1">
        <v>4.6864044680000001</v>
      </c>
      <c r="T1786" s="1">
        <v>4.3335465510000004</v>
      </c>
      <c r="U1786" s="1">
        <v>4.3982295550000003</v>
      </c>
      <c r="V1786" s="1">
        <v>3.7819764450000002</v>
      </c>
      <c r="W1786" s="1">
        <v>4.1128053839999996</v>
      </c>
      <c r="X1786" s="1">
        <v>4.2691515329999996</v>
      </c>
      <c r="Y1786" s="1">
        <v>4.5275934409999996</v>
      </c>
      <c r="Z1786" s="1">
        <v>4.45403635</v>
      </c>
      <c r="AA1786" s="1">
        <v>4.6864044680000001</v>
      </c>
      <c r="AB1786" s="1">
        <v>3.6315729079999999</v>
      </c>
      <c r="AC1786" s="1">
        <v>3.7481372300000002</v>
      </c>
      <c r="AD1786" s="1">
        <v>4.2005997429999997</v>
      </c>
      <c r="AE1786" s="1">
        <v>4.6572481659999996</v>
      </c>
    </row>
    <row r="1787" spans="1:31" x14ac:dyDescent="0.25">
      <c r="A1787" s="1" t="s">
        <v>1509</v>
      </c>
      <c r="B1787" s="1" t="s">
        <v>2530</v>
      </c>
      <c r="C1787" s="1" t="s">
        <v>2531</v>
      </c>
      <c r="D1787" s="1" t="s">
        <v>2535</v>
      </c>
      <c r="E1787" s="1" t="s">
        <v>4914</v>
      </c>
      <c r="G1787" s="1" t="s">
        <v>1509</v>
      </c>
      <c r="H1787" s="1">
        <v>5.8817546890000001</v>
      </c>
      <c r="I1787" s="1">
        <v>5.9189259930000002</v>
      </c>
      <c r="J1787" s="1">
        <v>4.7851628320000001</v>
      </c>
      <c r="K1787" s="1">
        <v>5.5322182199999999</v>
      </c>
      <c r="L1787" s="1">
        <v>5.1940340669999996</v>
      </c>
      <c r="M1787" s="1">
        <v>5.3667108829999997</v>
      </c>
      <c r="N1787" s="1">
        <v>5.894631425</v>
      </c>
      <c r="O1787" s="1">
        <v>5.9330167859999996</v>
      </c>
      <c r="P1787" s="1">
        <v>5.3900565609999997</v>
      </c>
      <c r="Q1787" s="1">
        <v>4.9365262349999997</v>
      </c>
      <c r="R1787" s="1">
        <v>5.1472208640000003</v>
      </c>
      <c r="S1787" s="1">
        <v>5.6453330910000004</v>
      </c>
      <c r="T1787" s="1">
        <v>5.1940340669999996</v>
      </c>
      <c r="U1787" s="1">
        <v>5.3667108829999997</v>
      </c>
      <c r="V1787" s="1">
        <v>4.8059579570000004</v>
      </c>
      <c r="W1787" s="1">
        <v>4.9190341039999996</v>
      </c>
      <c r="X1787" s="1">
        <v>4.8524813179999997</v>
      </c>
      <c r="Y1787" s="1">
        <v>5.1785898169999998</v>
      </c>
      <c r="Z1787" s="1">
        <v>5.1472208640000003</v>
      </c>
      <c r="AA1787" s="1">
        <v>5.6453330910000004</v>
      </c>
      <c r="AB1787" s="1">
        <v>5.1755434500000002</v>
      </c>
      <c r="AC1787" s="1">
        <v>5.198889973</v>
      </c>
      <c r="AD1787" s="1">
        <v>5.3091856960000001</v>
      </c>
      <c r="AE1787" s="1">
        <v>5.6110802550000001</v>
      </c>
    </row>
    <row r="1788" spans="1:31" x14ac:dyDescent="0.25">
      <c r="A1788" s="1" t="s">
        <v>1510</v>
      </c>
      <c r="B1788" s="1" t="s">
        <v>2530</v>
      </c>
      <c r="C1788" s="1" t="s">
        <v>2531</v>
      </c>
      <c r="D1788" s="1" t="s">
        <v>2535</v>
      </c>
      <c r="E1788" s="1" t="s">
        <v>2536</v>
      </c>
      <c r="G1788" s="1" t="s">
        <v>1510</v>
      </c>
      <c r="H1788" s="1">
        <v>6.2055952369999998</v>
      </c>
      <c r="I1788" s="1">
        <v>6.7527702749999996</v>
      </c>
      <c r="J1788" s="1">
        <v>5.5826322800000003</v>
      </c>
      <c r="K1788" s="1">
        <v>4.8793048219999999</v>
      </c>
      <c r="L1788" s="1">
        <v>6.0656220599999999</v>
      </c>
      <c r="M1788" s="1">
        <v>5.7197461279999997</v>
      </c>
      <c r="N1788" s="1">
        <v>6.7372563640000003</v>
      </c>
      <c r="O1788" s="1">
        <v>6.4302305970000004</v>
      </c>
      <c r="P1788" s="1">
        <v>5.565195407</v>
      </c>
      <c r="Q1788" s="1">
        <v>5.2931690810000003</v>
      </c>
      <c r="R1788" s="1">
        <v>5.3334881589999998</v>
      </c>
      <c r="S1788" s="1">
        <v>5.032286365</v>
      </c>
      <c r="T1788" s="1">
        <v>6.0656220599999999</v>
      </c>
      <c r="U1788" s="1">
        <v>5.7197461279999997</v>
      </c>
      <c r="V1788" s="1">
        <v>5.3192272129999996</v>
      </c>
      <c r="W1788" s="1">
        <v>5.6472737119999996</v>
      </c>
      <c r="X1788" s="1">
        <v>5.522982507</v>
      </c>
      <c r="Y1788" s="1">
        <v>5.417933841</v>
      </c>
      <c r="Z1788" s="1">
        <v>5.3334881589999998</v>
      </c>
      <c r="AA1788" s="1">
        <v>5.032286365</v>
      </c>
      <c r="AB1788" s="1">
        <v>5.5276660309999999</v>
      </c>
      <c r="AC1788" s="1">
        <v>5.6698330419999996</v>
      </c>
      <c r="AD1788" s="1">
        <v>5.8006297160000004</v>
      </c>
      <c r="AE1788" s="1">
        <v>5.473179547</v>
      </c>
    </row>
    <row r="1789" spans="1:31" x14ac:dyDescent="0.25">
      <c r="A1789" s="1" t="s">
        <v>1514</v>
      </c>
      <c r="B1789" s="1" t="s">
        <v>2642</v>
      </c>
      <c r="C1789" s="1" t="s">
        <v>2643</v>
      </c>
      <c r="D1789" s="1" t="s">
        <v>2687</v>
      </c>
      <c r="E1789" s="1" t="s">
        <v>3094</v>
      </c>
      <c r="F1789" s="1" t="s">
        <v>3095</v>
      </c>
      <c r="G1789" s="1" t="s">
        <v>1514</v>
      </c>
      <c r="H1789" s="1">
        <v>5.2735834620000004</v>
      </c>
      <c r="I1789" s="1">
        <v>5.3676718369999996</v>
      </c>
      <c r="J1789" s="1">
        <v>3.7773371739999999</v>
      </c>
      <c r="K1789" s="1">
        <v>4.5171444090000001</v>
      </c>
      <c r="L1789" s="1">
        <v>4.2516940449999998</v>
      </c>
      <c r="M1789" s="1">
        <v>3.6924658159999999</v>
      </c>
      <c r="N1789" s="1">
        <v>4.8006971780000001</v>
      </c>
      <c r="O1789" s="1">
        <v>5.2522077749999996</v>
      </c>
      <c r="P1789" s="1">
        <v>4.0684607960000001</v>
      </c>
      <c r="Q1789" s="1">
        <v>3.388910638</v>
      </c>
      <c r="R1789" s="1">
        <v>4.0808207129999996</v>
      </c>
      <c r="S1789" s="1">
        <v>3.9182367880000002</v>
      </c>
      <c r="T1789" s="1">
        <v>4.2516940449999998</v>
      </c>
      <c r="U1789" s="1">
        <v>3.6924658159999999</v>
      </c>
      <c r="V1789" s="1">
        <v>4.3163797720000003</v>
      </c>
      <c r="W1789" s="1">
        <v>3.50175473</v>
      </c>
      <c r="X1789" s="1">
        <v>3.4131791489999999</v>
      </c>
      <c r="Y1789" s="1">
        <v>3.6154848500000001</v>
      </c>
      <c r="Z1789" s="1">
        <v>4.0808207129999996</v>
      </c>
      <c r="AA1789" s="1">
        <v>3.9182367880000002</v>
      </c>
      <c r="AB1789" s="1">
        <v>3.990981031</v>
      </c>
      <c r="AC1789" s="1">
        <v>3.6175630609999998</v>
      </c>
      <c r="AD1789" s="1">
        <v>4.3870463700000002</v>
      </c>
      <c r="AE1789" s="1">
        <v>4.7290680490000003</v>
      </c>
    </row>
    <row r="1790" spans="1:31" x14ac:dyDescent="0.25">
      <c r="A1790" s="1" t="s">
        <v>1515</v>
      </c>
      <c r="B1790" s="1" t="s">
        <v>2598</v>
      </c>
      <c r="C1790" s="1" t="s">
        <v>2603</v>
      </c>
      <c r="D1790" s="1" t="s">
        <v>5218</v>
      </c>
      <c r="E1790" s="1" t="s">
        <v>5313</v>
      </c>
      <c r="F1790" s="1" t="s">
        <v>5314</v>
      </c>
      <c r="G1790" s="1" t="s">
        <v>1515</v>
      </c>
      <c r="H1790" s="1">
        <v>7.5462549440000002</v>
      </c>
      <c r="I1790" s="1">
        <v>6.8823647440000002</v>
      </c>
      <c r="J1790" s="1">
        <v>6.7018094870000002</v>
      </c>
      <c r="K1790" s="1">
        <v>6.9337055090000002</v>
      </c>
      <c r="L1790" s="1">
        <v>6.3786386329999996</v>
      </c>
      <c r="M1790" s="1">
        <v>6.4058065400000004</v>
      </c>
      <c r="N1790" s="1">
        <v>6.233348286</v>
      </c>
      <c r="O1790" s="1">
        <v>6.6046537970000001</v>
      </c>
      <c r="P1790" s="1">
        <v>6.4476246020000003</v>
      </c>
      <c r="Q1790" s="1">
        <v>6.7476078419999999</v>
      </c>
      <c r="R1790" s="1">
        <v>6.6590761939999998</v>
      </c>
      <c r="S1790" s="1">
        <v>6.9892911179999997</v>
      </c>
      <c r="T1790" s="1">
        <v>6.3786386329999996</v>
      </c>
      <c r="U1790" s="1">
        <v>6.4058065400000004</v>
      </c>
      <c r="V1790" s="1">
        <v>6.5893934979999997</v>
      </c>
      <c r="W1790" s="1">
        <v>6.4401804780000003</v>
      </c>
      <c r="X1790" s="1">
        <v>6.5419998750000001</v>
      </c>
      <c r="Y1790" s="1">
        <v>6.1840201749999997</v>
      </c>
      <c r="Z1790" s="1">
        <v>6.6590761939999998</v>
      </c>
      <c r="AA1790" s="1">
        <v>6.9892911179999997</v>
      </c>
      <c r="AB1790" s="1">
        <v>6.9153848929999997</v>
      </c>
      <c r="AC1790" s="1">
        <v>6.5603321899999996</v>
      </c>
      <c r="AD1790" s="1">
        <v>6.6813055940000003</v>
      </c>
      <c r="AE1790" s="1">
        <v>6.5439993899999997</v>
      </c>
    </row>
    <row r="1791" spans="1:31" x14ac:dyDescent="0.25">
      <c r="A1791" s="1" t="s">
        <v>1516</v>
      </c>
      <c r="B1791" s="1" t="s">
        <v>2568</v>
      </c>
      <c r="C1791" s="1" t="s">
        <v>2589</v>
      </c>
      <c r="D1791" s="1" t="s">
        <v>2595</v>
      </c>
      <c r="E1791" s="1" t="s">
        <v>5315</v>
      </c>
      <c r="F1791" s="1" t="s">
        <v>2597</v>
      </c>
      <c r="G1791" s="1" t="s">
        <v>1516</v>
      </c>
      <c r="H1791" s="1">
        <v>7.8198430999999999</v>
      </c>
      <c r="I1791" s="1">
        <v>7.7542989220000003</v>
      </c>
      <c r="J1791" s="1">
        <v>6.8772930739999998</v>
      </c>
      <c r="K1791" s="1">
        <v>6.8874374449999998</v>
      </c>
      <c r="L1791" s="1">
        <v>7.1508676360000001</v>
      </c>
      <c r="M1791" s="1">
        <v>7.0955436860000001</v>
      </c>
      <c r="N1791" s="1">
        <v>7.2341931969999997</v>
      </c>
      <c r="O1791" s="1">
        <v>7.6380877180000004</v>
      </c>
      <c r="P1791" s="1">
        <v>6.7077294260000002</v>
      </c>
      <c r="Q1791" s="1">
        <v>6.6807419020000003</v>
      </c>
      <c r="R1791" s="1">
        <v>7.0898067039999999</v>
      </c>
      <c r="S1791" s="1">
        <v>6.9761954739999998</v>
      </c>
      <c r="T1791" s="1">
        <v>7.1508676360000001</v>
      </c>
      <c r="U1791" s="1">
        <v>7.0955436860000001</v>
      </c>
      <c r="V1791" s="1">
        <v>7.0207244439999998</v>
      </c>
      <c r="W1791" s="1">
        <v>7.0591682799999997</v>
      </c>
      <c r="X1791" s="1">
        <v>6.946533531</v>
      </c>
      <c r="Y1791" s="1">
        <v>7.3882379680000003</v>
      </c>
      <c r="Z1791" s="1">
        <v>7.0898067039999999</v>
      </c>
      <c r="AA1791" s="1">
        <v>6.9761954739999998</v>
      </c>
      <c r="AB1791" s="1">
        <v>6.9153848929999997</v>
      </c>
      <c r="AC1791" s="1">
        <v>6.6873132819999999</v>
      </c>
      <c r="AD1791" s="1">
        <v>7.1252068360000003</v>
      </c>
      <c r="AE1791" s="1">
        <v>7.3091202590000002</v>
      </c>
    </row>
    <row r="1792" spans="1:31" x14ac:dyDescent="0.25">
      <c r="A1792" s="1" t="s">
        <v>1519</v>
      </c>
      <c r="B1792" s="1" t="s">
        <v>2530</v>
      </c>
      <c r="C1792" s="1" t="s">
        <v>2531</v>
      </c>
      <c r="D1792" s="1" t="s">
        <v>2535</v>
      </c>
      <c r="E1792" s="1" t="s">
        <v>5316</v>
      </c>
      <c r="G1792" s="1" t="s">
        <v>1519</v>
      </c>
      <c r="H1792" s="1">
        <v>8.0642905149999997</v>
      </c>
      <c r="I1792" s="1">
        <v>7.791418009</v>
      </c>
      <c r="J1792" s="1">
        <v>7.094169655</v>
      </c>
      <c r="K1792" s="1">
        <v>7.1838709730000003</v>
      </c>
      <c r="L1792" s="1">
        <v>6.6969603710000003</v>
      </c>
      <c r="M1792" s="1">
        <v>6.8506223960000003</v>
      </c>
      <c r="N1792" s="1">
        <v>6.5278870189999996</v>
      </c>
      <c r="O1792" s="1">
        <v>6.961681735</v>
      </c>
      <c r="P1792" s="1">
        <v>7.2775590499999998</v>
      </c>
      <c r="Q1792" s="1">
        <v>7.2290753380000004</v>
      </c>
      <c r="R1792" s="1">
        <v>7.1402648610000004</v>
      </c>
      <c r="S1792" s="1">
        <v>7.365740733</v>
      </c>
      <c r="T1792" s="1">
        <v>6.6969603710000003</v>
      </c>
      <c r="U1792" s="1">
        <v>6.8506223960000003</v>
      </c>
      <c r="V1792" s="1">
        <v>7.2716287929999996</v>
      </c>
      <c r="W1792" s="1">
        <v>7.3231369720000004</v>
      </c>
      <c r="X1792" s="1">
        <v>7.8772548560000004</v>
      </c>
      <c r="Y1792" s="1">
        <v>7.7167385949999998</v>
      </c>
      <c r="Z1792" s="1">
        <v>7.1402648610000004</v>
      </c>
      <c r="AA1792" s="1">
        <v>7.365740733</v>
      </c>
      <c r="AB1792" s="1">
        <v>7.5714398440000004</v>
      </c>
      <c r="AC1792" s="1">
        <v>7.4120831520000001</v>
      </c>
      <c r="AD1792" s="1">
        <v>7.8348345720000001</v>
      </c>
      <c r="AE1792" s="1">
        <v>7.7178764930000003</v>
      </c>
    </row>
    <row r="1793" spans="1:31" x14ac:dyDescent="0.25">
      <c r="A1793" s="1" t="s">
        <v>1522</v>
      </c>
      <c r="B1793" s="1" t="s">
        <v>2539</v>
      </c>
      <c r="C1793" s="1" t="s">
        <v>2563</v>
      </c>
      <c r="D1793" s="1" t="s">
        <v>2535</v>
      </c>
      <c r="E1793" s="1" t="s">
        <v>5317</v>
      </c>
      <c r="G1793" s="1" t="s">
        <v>1522</v>
      </c>
      <c r="H1793" s="1">
        <v>4.9322401630000003</v>
      </c>
      <c r="I1793" s="1">
        <v>4.5981535630000003</v>
      </c>
      <c r="J1793" s="1">
        <v>4.2898244959999996</v>
      </c>
      <c r="K1793" s="1">
        <v>4.5171444090000001</v>
      </c>
      <c r="L1793" s="1">
        <v>4.6513384469999997</v>
      </c>
      <c r="M1793" s="1">
        <v>4.9642129490000002</v>
      </c>
      <c r="N1793" s="1">
        <v>4.9318354150000001</v>
      </c>
      <c r="O1793" s="1">
        <v>4.7507950320000001</v>
      </c>
      <c r="P1793" s="1">
        <v>4.4805784009999998</v>
      </c>
      <c r="Q1793" s="1">
        <v>4.7509440400000003</v>
      </c>
      <c r="R1793" s="1">
        <v>4.7472384160000001</v>
      </c>
      <c r="S1793" s="1">
        <v>4.6194390810000003</v>
      </c>
      <c r="T1793" s="1">
        <v>4.6513384469999997</v>
      </c>
      <c r="U1793" s="1">
        <v>4.9642129490000002</v>
      </c>
      <c r="V1793" s="1">
        <v>4.5826682710000002</v>
      </c>
      <c r="W1793" s="1">
        <v>4.6166922860000001</v>
      </c>
      <c r="X1793" s="1">
        <v>4.8524813179999997</v>
      </c>
      <c r="Y1793" s="1">
        <v>4.8250325140000001</v>
      </c>
      <c r="Z1793" s="1">
        <v>4.7472384160000001</v>
      </c>
      <c r="AA1793" s="1">
        <v>4.6194390810000003</v>
      </c>
      <c r="AB1793" s="1">
        <v>4.139369361</v>
      </c>
      <c r="AC1793" s="1">
        <v>5.2822693689999998</v>
      </c>
      <c r="AD1793" s="1">
        <v>4.6978214539999996</v>
      </c>
      <c r="AE1793" s="1">
        <v>4.7636391339999999</v>
      </c>
    </row>
    <row r="1794" spans="1:31" x14ac:dyDescent="0.25">
      <c r="A1794" s="1" t="s">
        <v>1523</v>
      </c>
      <c r="B1794" s="1" t="s">
        <v>2539</v>
      </c>
      <c r="C1794" s="1" t="s">
        <v>2606</v>
      </c>
      <c r="D1794" s="1" t="s">
        <v>3800</v>
      </c>
      <c r="E1794" s="1" t="s">
        <v>5318</v>
      </c>
      <c r="F1794" s="1" t="s">
        <v>5319</v>
      </c>
      <c r="G1794" s="1" t="s">
        <v>1523</v>
      </c>
      <c r="H1794" s="1">
        <v>4.9322401630000003</v>
      </c>
      <c r="I1794" s="1">
        <v>5.5529645800000003</v>
      </c>
      <c r="J1794" s="1">
        <v>5.5131441250000002</v>
      </c>
      <c r="K1794" s="1">
        <v>4.8793048219999999</v>
      </c>
      <c r="L1794" s="1">
        <v>5.993912463</v>
      </c>
      <c r="M1794" s="1">
        <v>5.8143060450000004</v>
      </c>
      <c r="N1794" s="1">
        <v>5.7957915680000003</v>
      </c>
      <c r="O1794" s="1">
        <v>5.4612405070000003</v>
      </c>
      <c r="P1794" s="1">
        <v>5.6296473389999999</v>
      </c>
      <c r="Q1794" s="1">
        <v>6.1972278550000004</v>
      </c>
      <c r="R1794" s="1">
        <v>5.8420803340000003</v>
      </c>
      <c r="S1794" s="1">
        <v>5.7723891209999998</v>
      </c>
      <c r="T1794" s="1">
        <v>5.993912463</v>
      </c>
      <c r="U1794" s="1">
        <v>5.8143060450000004</v>
      </c>
      <c r="V1794" s="1">
        <v>5.6103143839999996</v>
      </c>
      <c r="W1794" s="1">
        <v>5.3792812999999997</v>
      </c>
      <c r="X1794" s="1">
        <v>5.8411798890000002</v>
      </c>
      <c r="Y1794" s="1">
        <v>5.5443425189999997</v>
      </c>
      <c r="Z1794" s="1">
        <v>5.8420803340000003</v>
      </c>
      <c r="AA1794" s="1">
        <v>5.7723891209999998</v>
      </c>
      <c r="AB1794" s="1">
        <v>5.7218462399999996</v>
      </c>
      <c r="AC1794" s="1">
        <v>5.4356573160000003</v>
      </c>
      <c r="AD1794" s="1">
        <v>5.2633210659999996</v>
      </c>
      <c r="AE1794" s="1">
        <v>5.4523450599999999</v>
      </c>
    </row>
    <row r="1795" spans="1:31" x14ac:dyDescent="0.25">
      <c r="A1795" s="1" t="s">
        <v>1525</v>
      </c>
      <c r="B1795" s="1" t="s">
        <v>2642</v>
      </c>
      <c r="C1795" s="1" t="s">
        <v>2643</v>
      </c>
      <c r="D1795" s="1" t="s">
        <v>2687</v>
      </c>
      <c r="E1795" s="1" t="s">
        <v>4822</v>
      </c>
      <c r="G1795" s="1" t="s">
        <v>1525</v>
      </c>
      <c r="H1795" s="1">
        <v>4.8663747150000001</v>
      </c>
      <c r="I1795" s="1">
        <v>4.2055918060000002</v>
      </c>
      <c r="J1795" s="1">
        <v>4.8434621079999998</v>
      </c>
      <c r="K1795" s="1">
        <v>4.5974987220000001</v>
      </c>
      <c r="L1795" s="1">
        <v>3.3025959560000002</v>
      </c>
      <c r="M1795" s="1">
        <v>3.8521266660000002</v>
      </c>
      <c r="N1795" s="1">
        <v>4.4510307109999996</v>
      </c>
      <c r="O1795" s="1">
        <v>4.385526188</v>
      </c>
      <c r="P1795" s="1">
        <v>3.7419514989999998</v>
      </c>
      <c r="Q1795" s="1">
        <v>2.935765398</v>
      </c>
      <c r="R1795" s="1">
        <v>4.1841942410000001</v>
      </c>
      <c r="S1795" s="1">
        <v>3.3463386960000001</v>
      </c>
      <c r="T1795" s="1">
        <v>3.3025959560000002</v>
      </c>
      <c r="U1795" s="1">
        <v>3.8521266660000002</v>
      </c>
      <c r="V1795" s="1">
        <v>4.5207607210000003</v>
      </c>
      <c r="W1795" s="1">
        <v>3.9848641250000001</v>
      </c>
      <c r="X1795" s="1">
        <v>3.8119046220000001</v>
      </c>
      <c r="Y1795" s="1">
        <v>4.0337379980000003</v>
      </c>
      <c r="Z1795" s="1">
        <v>4.1841942410000001</v>
      </c>
      <c r="AA1795" s="1">
        <v>3.3463386960000001</v>
      </c>
      <c r="AB1795" s="1">
        <v>3.1218319999999999</v>
      </c>
      <c r="AC1795" s="1">
        <v>3.9750819590000002</v>
      </c>
      <c r="AD1795" s="1">
        <v>3.5727029510000001</v>
      </c>
      <c r="AE1795" s="1">
        <v>4.124053773</v>
      </c>
    </row>
    <row r="1796" spans="1:31" x14ac:dyDescent="0.25">
      <c r="A1796" s="1" t="s">
        <v>1526</v>
      </c>
      <c r="B1796" s="1" t="s">
        <v>2642</v>
      </c>
      <c r="C1796" s="1" t="s">
        <v>2643</v>
      </c>
      <c r="D1796" s="1" t="s">
        <v>2687</v>
      </c>
      <c r="E1796" s="1" t="s">
        <v>4822</v>
      </c>
      <c r="G1796" s="1" t="s">
        <v>1526</v>
      </c>
      <c r="H1796" s="1">
        <v>4.9322401630000003</v>
      </c>
      <c r="I1796" s="1">
        <v>5.1078624770000003</v>
      </c>
      <c r="J1796" s="1">
        <v>4.6607313550000002</v>
      </c>
      <c r="K1796" s="1">
        <v>4.3408695499999999</v>
      </c>
      <c r="L1796" s="1">
        <v>4.6513384469999997</v>
      </c>
      <c r="M1796" s="1">
        <v>4.2945656129999996</v>
      </c>
      <c r="N1796" s="1">
        <v>4.8677953240000003</v>
      </c>
      <c r="O1796" s="1">
        <v>4.7507950320000001</v>
      </c>
      <c r="P1796" s="1">
        <v>3.3003929539999999</v>
      </c>
      <c r="Q1796" s="1">
        <v>4.18747588</v>
      </c>
      <c r="R1796" s="1">
        <v>4.9894654599999999</v>
      </c>
      <c r="S1796" s="1">
        <v>3.9182367880000002</v>
      </c>
      <c r="T1796" s="1">
        <v>4.6513384469999997</v>
      </c>
      <c r="U1796" s="1">
        <v>4.2945656129999996</v>
      </c>
      <c r="V1796" s="1">
        <v>4.5207607210000003</v>
      </c>
      <c r="W1796" s="1">
        <v>4.3370700810000002</v>
      </c>
      <c r="X1796" s="1">
        <v>4.7192629950000002</v>
      </c>
      <c r="Y1796" s="1">
        <v>3.9087436480000002</v>
      </c>
      <c r="Z1796" s="1">
        <v>4.9894654599999999</v>
      </c>
      <c r="AA1796" s="1">
        <v>3.9182367880000002</v>
      </c>
      <c r="AB1796" s="1">
        <v>4.6096720080000004</v>
      </c>
      <c r="AC1796" s="1">
        <v>4.415017905</v>
      </c>
      <c r="AD1796" s="1">
        <v>4.2970121150000002</v>
      </c>
      <c r="AE1796" s="1">
        <v>4.6199010239999998</v>
      </c>
    </row>
    <row r="1797" spans="1:31" x14ac:dyDescent="0.25">
      <c r="A1797" s="1" t="s">
        <v>1527</v>
      </c>
      <c r="B1797" s="1" t="s">
        <v>2843</v>
      </c>
      <c r="C1797" s="1" t="s">
        <v>3903</v>
      </c>
      <c r="D1797" s="1" t="s">
        <v>3874</v>
      </c>
      <c r="E1797" s="1" t="s">
        <v>5320</v>
      </c>
      <c r="F1797" s="1" t="s">
        <v>5321</v>
      </c>
      <c r="G1797" s="1" t="s">
        <v>1527</v>
      </c>
      <c r="H1797" s="1">
        <v>5.8817546890000001</v>
      </c>
      <c r="I1797" s="1">
        <v>5.6208330609999999</v>
      </c>
      <c r="J1797" s="1">
        <v>7.152203697</v>
      </c>
      <c r="K1797" s="1">
        <v>6.5734492549999999</v>
      </c>
      <c r="L1797" s="1">
        <v>7.0892457220000002</v>
      </c>
      <c r="M1797" s="1">
        <v>7.0263375510000001</v>
      </c>
      <c r="N1797" s="1">
        <v>5.6711351529999998</v>
      </c>
      <c r="O1797" s="1">
        <v>5.824131875</v>
      </c>
      <c r="P1797" s="1">
        <v>6.7225254730000001</v>
      </c>
      <c r="Q1797" s="1">
        <v>6.8115059909999998</v>
      </c>
      <c r="R1797" s="1">
        <v>7.1648465019999996</v>
      </c>
      <c r="S1797" s="1">
        <v>6.9892911179999997</v>
      </c>
      <c r="T1797" s="1">
        <v>7.0892457220000002</v>
      </c>
      <c r="U1797" s="1">
        <v>7.0263375510000001</v>
      </c>
      <c r="V1797" s="1">
        <v>6.9986300650000004</v>
      </c>
      <c r="W1797" s="1">
        <v>6.8281395839999997</v>
      </c>
      <c r="X1797" s="1">
        <v>7.0390188040000004</v>
      </c>
      <c r="Y1797" s="1">
        <v>6.8033735860000002</v>
      </c>
      <c r="Z1797" s="1">
        <v>7.1648465019999996</v>
      </c>
      <c r="AA1797" s="1">
        <v>6.9892911179999997</v>
      </c>
      <c r="AB1797" s="1">
        <v>7.398314289</v>
      </c>
      <c r="AC1797" s="1">
        <v>7.2049668000000002</v>
      </c>
      <c r="AD1797" s="1">
        <v>6.5162149180000002</v>
      </c>
      <c r="AE1797" s="1">
        <v>6.5826869190000004</v>
      </c>
    </row>
    <row r="1798" spans="1:31" x14ac:dyDescent="0.25">
      <c r="A1798" s="1" t="s">
        <v>1528</v>
      </c>
      <c r="B1798" s="1" t="s">
        <v>2608</v>
      </c>
      <c r="C1798" s="1" t="s">
        <v>2758</v>
      </c>
      <c r="D1798" s="1" t="s">
        <v>2759</v>
      </c>
      <c r="E1798" s="1" t="s">
        <v>5322</v>
      </c>
      <c r="F1798" s="1" t="s">
        <v>5323</v>
      </c>
      <c r="G1798" s="1" t="s">
        <v>1528</v>
      </c>
      <c r="H1798" s="1">
        <v>7.0115982959999998</v>
      </c>
      <c r="I1798" s="1">
        <v>7.1573255429999998</v>
      </c>
      <c r="J1798" s="1">
        <v>8.2988470999999997</v>
      </c>
      <c r="K1798" s="1">
        <v>8.2456190189999994</v>
      </c>
      <c r="L1798" s="1">
        <v>8.5850687190000006</v>
      </c>
      <c r="M1798" s="1">
        <v>8.5207211279999999</v>
      </c>
      <c r="N1798" s="1">
        <v>7.5883709350000004</v>
      </c>
      <c r="O1798" s="1">
        <v>7.6380877180000004</v>
      </c>
      <c r="P1798" s="1">
        <v>8.0497433009999995</v>
      </c>
      <c r="Q1798" s="1">
        <v>7.9851044230000001</v>
      </c>
      <c r="R1798" s="1">
        <v>8.4440832579999991</v>
      </c>
      <c r="S1798" s="1">
        <v>8.3770769949999995</v>
      </c>
      <c r="T1798" s="1">
        <v>8.5850687190000006</v>
      </c>
      <c r="U1798" s="1">
        <v>8.5207211279999999</v>
      </c>
      <c r="V1798" s="1">
        <v>8.2453222680000007</v>
      </c>
      <c r="W1798" s="1">
        <v>8.1995398050000006</v>
      </c>
      <c r="X1798" s="1">
        <v>8.3270160959999995</v>
      </c>
      <c r="Y1798" s="1">
        <v>8.0349728900000006</v>
      </c>
      <c r="Z1798" s="1">
        <v>8.4440832579999991</v>
      </c>
      <c r="AA1798" s="1">
        <v>8.3770769949999995</v>
      </c>
      <c r="AB1798" s="1">
        <v>8.2729402870000008</v>
      </c>
      <c r="AC1798" s="1">
        <v>8.2046761670000006</v>
      </c>
      <c r="AD1798" s="1">
        <v>8.0778183939999995</v>
      </c>
      <c r="AE1798" s="1">
        <v>8.3137835439999996</v>
      </c>
    </row>
    <row r="1799" spans="1:31" x14ac:dyDescent="0.25">
      <c r="A1799" s="1" t="s">
        <v>1532</v>
      </c>
      <c r="B1799" s="1" t="s">
        <v>2608</v>
      </c>
      <c r="C1799" s="1" t="s">
        <v>2700</v>
      </c>
      <c r="D1799" s="1" t="s">
        <v>3380</v>
      </c>
      <c r="E1799" s="1" t="s">
        <v>5324</v>
      </c>
      <c r="F1799" s="1" t="s">
        <v>5325</v>
      </c>
      <c r="G1799" s="1" t="s">
        <v>1532</v>
      </c>
      <c r="H1799" s="1">
        <v>4.5667504939999999</v>
      </c>
      <c r="I1799" s="1">
        <v>3.6484415459999999</v>
      </c>
      <c r="J1799" s="1">
        <v>4.4503473070000004</v>
      </c>
      <c r="K1799" s="1">
        <v>4.1384138449999996</v>
      </c>
      <c r="L1799" s="1">
        <v>4.5190290319999997</v>
      </c>
      <c r="M1799" s="1">
        <v>3.5095973119999999</v>
      </c>
      <c r="N1799" s="1">
        <v>4.4945275240000004</v>
      </c>
      <c r="O1799" s="1">
        <v>4.2767880749999998</v>
      </c>
      <c r="P1799" s="1">
        <v>4.2485661720000003</v>
      </c>
      <c r="Q1799" s="1">
        <v>4.4575363990000003</v>
      </c>
      <c r="R1799" s="1">
        <v>4.2802026870000001</v>
      </c>
      <c r="S1799" s="1">
        <v>4.6194390810000003</v>
      </c>
      <c r="T1799" s="1">
        <v>4.5190290319999997</v>
      </c>
      <c r="U1799" s="1">
        <v>3.5095973119999999</v>
      </c>
      <c r="V1799" s="1">
        <v>3.887436229</v>
      </c>
      <c r="W1799" s="1">
        <v>3.50175473</v>
      </c>
      <c r="X1799" s="1">
        <v>3.5883256710000002</v>
      </c>
      <c r="Y1799" s="1">
        <v>3.4382968329999999</v>
      </c>
      <c r="Z1799" s="1">
        <v>4.2802026870000001</v>
      </c>
      <c r="AA1799" s="1">
        <v>4.6194390810000003</v>
      </c>
      <c r="AB1799" s="1">
        <v>4.2729702720000002</v>
      </c>
      <c r="AC1799" s="1">
        <v>4.0753403910000001</v>
      </c>
      <c r="AD1799" s="1">
        <v>3.725077481</v>
      </c>
      <c r="AE1799" s="1">
        <v>3.9499994520000001</v>
      </c>
    </row>
    <row r="1800" spans="1:31" x14ac:dyDescent="0.25">
      <c r="A1800" s="1" t="s">
        <v>1533</v>
      </c>
      <c r="B1800" s="1" t="s">
        <v>2530</v>
      </c>
      <c r="C1800" s="1" t="s">
        <v>2531</v>
      </c>
      <c r="D1800" s="1" t="s">
        <v>2535</v>
      </c>
      <c r="E1800" s="1" t="s">
        <v>2536</v>
      </c>
      <c r="G1800" s="1" t="s">
        <v>1533</v>
      </c>
      <c r="H1800" s="1">
        <v>3.2549621289999999</v>
      </c>
      <c r="I1800" s="1">
        <v>3.1348991329999998</v>
      </c>
      <c r="J1800" s="1">
        <v>2.5640169199999998</v>
      </c>
      <c r="K1800" s="1">
        <v>3.607491666</v>
      </c>
      <c r="L1800" s="1">
        <v>3.1084154310000001</v>
      </c>
      <c r="M1800" s="1">
        <v>3.027864058</v>
      </c>
      <c r="N1800" s="1">
        <v>3.344961128</v>
      </c>
      <c r="O1800" s="1">
        <v>3.193511794</v>
      </c>
      <c r="P1800" s="1">
        <v>3.466113682</v>
      </c>
      <c r="Q1800" s="1">
        <v>3.185675432</v>
      </c>
      <c r="R1800" s="1">
        <v>2.595728008</v>
      </c>
      <c r="S1800" s="1">
        <v>2.9034795349999998</v>
      </c>
      <c r="T1800" s="1">
        <v>3.1084154310000001</v>
      </c>
      <c r="U1800" s="1">
        <v>3.027864058</v>
      </c>
      <c r="V1800" s="1">
        <v>3.2389700330000002</v>
      </c>
      <c r="W1800" s="1">
        <v>3.0218530750000001</v>
      </c>
      <c r="X1800" s="1">
        <v>1.7393328349999999</v>
      </c>
      <c r="Y1800" s="1">
        <v>1.7393328349999999</v>
      </c>
      <c r="Z1800" s="1">
        <v>2.595728008</v>
      </c>
      <c r="AA1800" s="1">
        <v>2.9034795349999998</v>
      </c>
      <c r="AB1800" s="1">
        <v>2.73487305</v>
      </c>
      <c r="AC1800" s="1">
        <v>2.87258916</v>
      </c>
      <c r="AD1800" s="1">
        <v>2.9432342459999998</v>
      </c>
      <c r="AE1800" s="1">
        <v>2.6144016259999998</v>
      </c>
    </row>
    <row r="1801" spans="1:31" x14ac:dyDescent="0.25">
      <c r="A1801" s="1" t="s">
        <v>1534</v>
      </c>
      <c r="B1801" s="1" t="s">
        <v>2530</v>
      </c>
      <c r="C1801" s="1" t="s">
        <v>2531</v>
      </c>
      <c r="D1801" s="1" t="s">
        <v>2535</v>
      </c>
      <c r="E1801" s="1" t="s">
        <v>2536</v>
      </c>
      <c r="G1801" s="1" t="s">
        <v>1534</v>
      </c>
      <c r="H1801" s="1">
        <v>2.640460343</v>
      </c>
      <c r="I1801" s="1">
        <v>2.5655118899999998</v>
      </c>
      <c r="J1801" s="1">
        <v>2.5640169199999998</v>
      </c>
      <c r="K1801" s="1">
        <v>2.620638279</v>
      </c>
      <c r="L1801" s="1">
        <v>2.315629231</v>
      </c>
      <c r="M1801" s="1">
        <v>2.3994532390000001</v>
      </c>
      <c r="N1801" s="1">
        <v>2.9782685729999998</v>
      </c>
      <c r="O1801" s="1">
        <v>2.411448644</v>
      </c>
      <c r="P1801" s="1">
        <v>2.5478783159999998</v>
      </c>
      <c r="Q1801" s="1">
        <v>2.935765398</v>
      </c>
      <c r="R1801" s="1">
        <v>2.9339002829999998</v>
      </c>
      <c r="S1801" s="1">
        <v>2.5733617299999998</v>
      </c>
      <c r="T1801" s="1">
        <v>2.315629231</v>
      </c>
      <c r="U1801" s="1">
        <v>2.3994532390000001</v>
      </c>
      <c r="V1801" s="1">
        <v>1.7393328349999999</v>
      </c>
      <c r="W1801" s="1">
        <v>2.6606351240000001</v>
      </c>
      <c r="X1801" s="1">
        <v>2.3600830049999999</v>
      </c>
      <c r="Y1801" s="1">
        <v>1.7393328349999999</v>
      </c>
      <c r="Z1801" s="1">
        <v>2.9339002829999998</v>
      </c>
      <c r="AA1801" s="1">
        <v>2.5733617299999998</v>
      </c>
      <c r="AB1801" s="1">
        <v>2.73487305</v>
      </c>
      <c r="AC1801" s="1">
        <v>2.5506926650000001</v>
      </c>
      <c r="AD1801" s="1">
        <v>3.3987395579999999</v>
      </c>
      <c r="AE1801" s="1">
        <v>2.3627668220000002</v>
      </c>
    </row>
    <row r="1802" spans="1:31" x14ac:dyDescent="0.25">
      <c r="A1802" s="1" t="s">
        <v>1537</v>
      </c>
      <c r="B1802" s="1" t="s">
        <v>2530</v>
      </c>
      <c r="C1802" s="1" t="s">
        <v>2531</v>
      </c>
      <c r="D1802" s="1" t="s">
        <v>2535</v>
      </c>
      <c r="E1802" s="1" t="s">
        <v>5326</v>
      </c>
      <c r="G1802" s="1" t="s">
        <v>1537</v>
      </c>
      <c r="H1802" s="1">
        <v>9.4531635919999992</v>
      </c>
      <c r="I1802" s="1">
        <v>8.9675580149999998</v>
      </c>
      <c r="J1802" s="1">
        <v>8.5865790149999999</v>
      </c>
      <c r="K1802" s="1">
        <v>8.9172249380000004</v>
      </c>
      <c r="L1802" s="1">
        <v>7.822485457</v>
      </c>
      <c r="M1802" s="1">
        <v>7.719509736</v>
      </c>
      <c r="N1802" s="1">
        <v>8.4329466059999998</v>
      </c>
      <c r="O1802" s="1">
        <v>8.6221375580000004</v>
      </c>
      <c r="P1802" s="1">
        <v>8.3165515879999994</v>
      </c>
      <c r="Q1802" s="1">
        <v>8.1485348640000002</v>
      </c>
      <c r="R1802" s="1">
        <v>7.9311896480000001</v>
      </c>
      <c r="S1802" s="1">
        <v>7.6639572009999997</v>
      </c>
      <c r="T1802" s="1">
        <v>7.822485457</v>
      </c>
      <c r="U1802" s="1">
        <v>7.719509736</v>
      </c>
      <c r="V1802" s="1">
        <v>7.4119494479999997</v>
      </c>
      <c r="W1802" s="1">
        <v>7.9263506169999998</v>
      </c>
      <c r="X1802" s="1">
        <v>7.7314362819999998</v>
      </c>
      <c r="Y1802" s="1">
        <v>7.2839342949999999</v>
      </c>
      <c r="Z1802" s="1">
        <v>7.9311896480000001</v>
      </c>
      <c r="AA1802" s="1">
        <v>7.6639572009999997</v>
      </c>
      <c r="AB1802" s="1">
        <v>7.7703907120000002</v>
      </c>
      <c r="AC1802" s="1">
        <v>7.7098339850000004</v>
      </c>
      <c r="AD1802" s="1">
        <v>7.8656389180000001</v>
      </c>
      <c r="AE1802" s="1">
        <v>7.8144044920000004</v>
      </c>
    </row>
    <row r="1803" spans="1:31" x14ac:dyDescent="0.25">
      <c r="A1803" s="1" t="s">
        <v>1538</v>
      </c>
      <c r="B1803" s="1" t="s">
        <v>2557</v>
      </c>
      <c r="C1803" s="1" t="s">
        <v>2680</v>
      </c>
      <c r="D1803" s="1" t="s">
        <v>2712</v>
      </c>
      <c r="E1803" s="1" t="s">
        <v>2713</v>
      </c>
      <c r="F1803" s="1" t="s">
        <v>2714</v>
      </c>
      <c r="G1803" s="1" t="s">
        <v>1538</v>
      </c>
      <c r="H1803" s="1">
        <v>8.2542995700000006</v>
      </c>
      <c r="I1803" s="1">
        <v>7.9573880829999997</v>
      </c>
      <c r="J1803" s="1">
        <v>6.6543806500000002</v>
      </c>
      <c r="K1803" s="1">
        <v>7.1581252400000004</v>
      </c>
      <c r="L1803" s="1">
        <v>5.8250296969999997</v>
      </c>
      <c r="M1803" s="1">
        <v>5.7000608240000004</v>
      </c>
      <c r="N1803" s="1">
        <v>7.3135207649999998</v>
      </c>
      <c r="O1803" s="1">
        <v>7.8139945649999998</v>
      </c>
      <c r="P1803" s="1">
        <v>6.2369105129999998</v>
      </c>
      <c r="Q1803" s="1">
        <v>6.459205753</v>
      </c>
      <c r="R1803" s="1">
        <v>6.0937807429999999</v>
      </c>
      <c r="S1803" s="1">
        <v>5.9168316079999999</v>
      </c>
      <c r="T1803" s="1">
        <v>5.8250296969999997</v>
      </c>
      <c r="U1803" s="1">
        <v>5.7000608240000004</v>
      </c>
      <c r="V1803" s="1">
        <v>6.5893934979999997</v>
      </c>
      <c r="W1803" s="1">
        <v>6.6370070730000004</v>
      </c>
      <c r="X1803" s="1">
        <v>5.7928210719999997</v>
      </c>
      <c r="Y1803" s="1">
        <v>6.2347231909999996</v>
      </c>
      <c r="Z1803" s="1">
        <v>6.0937807429999999</v>
      </c>
      <c r="AA1803" s="1">
        <v>5.9168316079999999</v>
      </c>
      <c r="AB1803" s="1">
        <v>5.7218462399999996</v>
      </c>
      <c r="AC1803" s="1">
        <v>6.2044385320000002</v>
      </c>
      <c r="AD1803" s="1">
        <v>5.8632235870000002</v>
      </c>
      <c r="AE1803" s="1">
        <v>6.4319108390000004</v>
      </c>
    </row>
    <row r="1804" spans="1:31" x14ac:dyDescent="0.25">
      <c r="A1804" s="1" t="s">
        <v>1539</v>
      </c>
      <c r="B1804" s="1" t="s">
        <v>2608</v>
      </c>
      <c r="C1804" s="1" t="s">
        <v>2609</v>
      </c>
      <c r="D1804" s="1" t="s">
        <v>3890</v>
      </c>
      <c r="E1804" s="1" t="s">
        <v>5327</v>
      </c>
      <c r="F1804" s="1" t="s">
        <v>5328</v>
      </c>
      <c r="G1804" s="1" t="s">
        <v>1539</v>
      </c>
      <c r="H1804" s="1">
        <v>4.7245801409999997</v>
      </c>
      <c r="I1804" s="1">
        <v>5.4447012069999996</v>
      </c>
      <c r="J1804" s="1">
        <v>4.4503473070000004</v>
      </c>
      <c r="K1804" s="1">
        <v>4.3408695499999999</v>
      </c>
      <c r="L1804" s="1">
        <v>4.4478088219999998</v>
      </c>
      <c r="M1804" s="1">
        <v>4.5846937370000003</v>
      </c>
      <c r="N1804" s="1">
        <v>6.1154934519999999</v>
      </c>
      <c r="O1804" s="1">
        <v>6.4178147000000001</v>
      </c>
      <c r="P1804" s="1">
        <v>4.161525224</v>
      </c>
      <c r="Q1804" s="1">
        <v>4.0840108080000004</v>
      </c>
      <c r="R1804" s="1">
        <v>3.7109484589999999</v>
      </c>
      <c r="S1804" s="1">
        <v>3.9182367880000002</v>
      </c>
      <c r="T1804" s="1">
        <v>4.4478088219999998</v>
      </c>
      <c r="U1804" s="1">
        <v>4.5846937370000003</v>
      </c>
      <c r="V1804" s="1">
        <v>4.2408545169999998</v>
      </c>
      <c r="W1804" s="1">
        <v>4.3370700810000002</v>
      </c>
      <c r="X1804" s="1">
        <v>4.4502657640000001</v>
      </c>
      <c r="Y1804" s="1">
        <v>3.6154848500000001</v>
      </c>
      <c r="Z1804" s="1">
        <v>3.7109484589999999</v>
      </c>
      <c r="AA1804" s="1">
        <v>3.9182367880000002</v>
      </c>
      <c r="AB1804" s="1">
        <v>3.8237667059999998</v>
      </c>
      <c r="AC1804" s="1">
        <v>4.2557864319999998</v>
      </c>
      <c r="AD1804" s="1">
        <v>3.5727029510000001</v>
      </c>
      <c r="AE1804" s="1">
        <v>4.3718229419999997</v>
      </c>
    </row>
    <row r="1805" spans="1:31" x14ac:dyDescent="0.25">
      <c r="A1805" s="1" t="s">
        <v>1544</v>
      </c>
      <c r="B1805" s="1" t="s">
        <v>2525</v>
      </c>
      <c r="C1805" s="1" t="s">
        <v>3364</v>
      </c>
      <c r="D1805" s="1" t="s">
        <v>5329</v>
      </c>
      <c r="E1805" s="1" t="s">
        <v>5330</v>
      </c>
      <c r="F1805" s="1" t="s">
        <v>5331</v>
      </c>
      <c r="G1805" s="1" t="s">
        <v>1544</v>
      </c>
      <c r="H1805" s="1">
        <v>3.8023684370000002</v>
      </c>
      <c r="I1805" s="1">
        <v>4.2936285989999998</v>
      </c>
      <c r="J1805" s="1">
        <v>5.1034438250000003</v>
      </c>
      <c r="K1805" s="1">
        <v>4.2434183680000004</v>
      </c>
      <c r="L1805" s="1">
        <v>5.7687912140000002</v>
      </c>
      <c r="M1805" s="1">
        <v>5.5973531489999999</v>
      </c>
      <c r="N1805" s="1">
        <v>4.4510307109999996</v>
      </c>
      <c r="O1805" s="1">
        <v>4.4368189940000002</v>
      </c>
      <c r="P1805" s="1">
        <v>5.1467681949999999</v>
      </c>
      <c r="Q1805" s="1">
        <v>5.2931690810000003</v>
      </c>
      <c r="R1805" s="1">
        <v>5.7795948069999996</v>
      </c>
      <c r="S1805" s="1">
        <v>5.6453330910000004</v>
      </c>
      <c r="T1805" s="1">
        <v>5.7687912140000002</v>
      </c>
      <c r="U1805" s="1">
        <v>5.5973531489999999</v>
      </c>
      <c r="V1805" s="1">
        <v>5.4230002329999998</v>
      </c>
      <c r="W1805" s="1">
        <v>4.9190341039999996</v>
      </c>
      <c r="X1805" s="1">
        <v>5.6731962669999998</v>
      </c>
      <c r="Y1805" s="1">
        <v>4.4420910779999998</v>
      </c>
      <c r="Z1805" s="1">
        <v>5.7795948069999996</v>
      </c>
      <c r="AA1805" s="1">
        <v>5.6453330910000004</v>
      </c>
      <c r="AB1805" s="1">
        <v>5.5787398220000002</v>
      </c>
      <c r="AC1805" s="1">
        <v>4.8053838390000001</v>
      </c>
      <c r="AD1805" s="1">
        <v>4.95179218</v>
      </c>
      <c r="AE1805" s="1">
        <v>5.0132584360000001</v>
      </c>
    </row>
    <row r="1806" spans="1:31" x14ac:dyDescent="0.25">
      <c r="A1806" s="1" t="s">
        <v>1545</v>
      </c>
      <c r="B1806" s="1" t="s">
        <v>2547</v>
      </c>
      <c r="C1806" s="1" t="s">
        <v>2694</v>
      </c>
      <c r="D1806" s="1" t="s">
        <v>2535</v>
      </c>
      <c r="E1806" s="1" t="s">
        <v>5332</v>
      </c>
      <c r="G1806" s="1" t="s">
        <v>1545</v>
      </c>
      <c r="H1806" s="1">
        <v>5.1686839359999999</v>
      </c>
      <c r="I1806" s="1">
        <v>4.3763156859999999</v>
      </c>
      <c r="J1806" s="1">
        <v>5.7428701560000004</v>
      </c>
      <c r="K1806" s="1">
        <v>6.1452362870000004</v>
      </c>
      <c r="L1806" s="1">
        <v>5.6647229430000001</v>
      </c>
      <c r="M1806" s="1">
        <v>5.8324912810000002</v>
      </c>
      <c r="N1806" s="1">
        <v>4.1002678350000004</v>
      </c>
      <c r="O1806" s="1">
        <v>5.0070106360000004</v>
      </c>
      <c r="P1806" s="1">
        <v>5.7504406890000004</v>
      </c>
      <c r="Q1806" s="1">
        <v>5.9352426600000001</v>
      </c>
      <c r="R1806" s="1">
        <v>5.2434057019999996</v>
      </c>
      <c r="S1806" s="1">
        <v>5.1309834260000002</v>
      </c>
      <c r="T1806" s="1">
        <v>5.6647229430000001</v>
      </c>
      <c r="U1806" s="1">
        <v>5.8324912810000002</v>
      </c>
      <c r="V1806" s="1">
        <v>5.3892424569999999</v>
      </c>
      <c r="W1806" s="1">
        <v>5.427589942</v>
      </c>
      <c r="X1806" s="1">
        <v>5.3771830209999996</v>
      </c>
      <c r="Y1806" s="1">
        <v>5.1785898169999998</v>
      </c>
      <c r="Z1806" s="1">
        <v>5.2434057019999996</v>
      </c>
      <c r="AA1806" s="1">
        <v>5.1309834260000002</v>
      </c>
      <c r="AB1806" s="1">
        <v>5.6280506069999996</v>
      </c>
      <c r="AC1806" s="1">
        <v>5.6386390840000002</v>
      </c>
      <c r="AD1806" s="1">
        <v>5.3091856960000001</v>
      </c>
      <c r="AE1806" s="1">
        <v>5.6842896700000001</v>
      </c>
    </row>
    <row r="1807" spans="1:31" x14ac:dyDescent="0.25">
      <c r="A1807" s="1" t="s">
        <v>1546</v>
      </c>
      <c r="B1807" s="1" t="s">
        <v>2557</v>
      </c>
      <c r="C1807" s="1" t="s">
        <v>2718</v>
      </c>
      <c r="D1807" s="1" t="s">
        <v>2719</v>
      </c>
      <c r="E1807" s="1" t="s">
        <v>5333</v>
      </c>
      <c r="F1807" s="1" t="s">
        <v>5334</v>
      </c>
      <c r="G1807" s="1" t="s">
        <v>1546</v>
      </c>
      <c r="H1807" s="1">
        <v>4.0684382540000001</v>
      </c>
      <c r="I1807" s="1">
        <v>4.5981535630000003</v>
      </c>
      <c r="J1807" s="1">
        <v>5.3229940280000001</v>
      </c>
      <c r="K1807" s="1">
        <v>5.4493056099999997</v>
      </c>
      <c r="L1807" s="1">
        <v>5.552483659</v>
      </c>
      <c r="M1807" s="1">
        <v>5.0913316819999999</v>
      </c>
      <c r="N1807" s="1">
        <v>4.3596796910000002</v>
      </c>
      <c r="O1807" s="1">
        <v>4.4862678239999996</v>
      </c>
      <c r="P1807" s="1">
        <v>4.8528499219999999</v>
      </c>
      <c r="Q1807" s="1">
        <v>5.1511590549999999</v>
      </c>
      <c r="R1807" s="1">
        <v>5.7142579380000003</v>
      </c>
      <c r="S1807" s="1">
        <v>5.505875713</v>
      </c>
      <c r="T1807" s="1">
        <v>5.552483659</v>
      </c>
      <c r="U1807" s="1">
        <v>5.0913316819999999</v>
      </c>
      <c r="V1807" s="1">
        <v>5.519727617</v>
      </c>
      <c r="W1807" s="1">
        <v>5.2236621110000003</v>
      </c>
      <c r="X1807" s="1">
        <v>5.1646924079999996</v>
      </c>
      <c r="Y1807" s="1">
        <v>4.7564010139999997</v>
      </c>
      <c r="Z1807" s="1">
        <v>5.7142579380000003</v>
      </c>
      <c r="AA1807" s="1">
        <v>5.505875713</v>
      </c>
      <c r="AB1807" s="1">
        <v>5.675717079</v>
      </c>
      <c r="AC1807" s="1">
        <v>5.3988312660000002</v>
      </c>
      <c r="AD1807" s="1">
        <v>5.6665831520000003</v>
      </c>
      <c r="AE1807" s="1">
        <v>5.0965372069999999</v>
      </c>
    </row>
    <row r="1808" spans="1:31" x14ac:dyDescent="0.25">
      <c r="A1808" s="1" t="s">
        <v>1550</v>
      </c>
      <c r="B1808" s="1" t="s">
        <v>2662</v>
      </c>
      <c r="C1808" s="1" t="s">
        <v>3291</v>
      </c>
      <c r="D1808" s="1" t="s">
        <v>2535</v>
      </c>
      <c r="E1808" s="1" t="s">
        <v>5335</v>
      </c>
      <c r="G1808" s="1" t="s">
        <v>1550</v>
      </c>
      <c r="H1808" s="1">
        <v>9.6054600990000001</v>
      </c>
      <c r="I1808" s="1">
        <v>9.1036172440000005</v>
      </c>
      <c r="J1808" s="1">
        <v>8.7075775029999996</v>
      </c>
      <c r="K1808" s="1">
        <v>8.9846597199999998</v>
      </c>
      <c r="L1808" s="1">
        <v>7.4110643600000001</v>
      </c>
      <c r="M1808" s="1">
        <v>7.5325785349999999</v>
      </c>
      <c r="N1808" s="1">
        <v>8.5733996959999992</v>
      </c>
      <c r="O1808" s="1">
        <v>9.1871629279999993</v>
      </c>
      <c r="P1808" s="1">
        <v>8.0672218470000008</v>
      </c>
      <c r="Q1808" s="1">
        <v>8.1911617589999999</v>
      </c>
      <c r="R1808" s="1">
        <v>7.7803260989999998</v>
      </c>
      <c r="S1808" s="1">
        <v>8.0169995360000001</v>
      </c>
      <c r="T1808" s="1">
        <v>7.4110643600000001</v>
      </c>
      <c r="U1808" s="1">
        <v>7.5325785349999999</v>
      </c>
      <c r="V1808" s="1">
        <v>7.9554916369999997</v>
      </c>
      <c r="W1808" s="1">
        <v>8.3503742620000008</v>
      </c>
      <c r="X1808" s="1">
        <v>7.5305215089999997</v>
      </c>
      <c r="Y1808" s="1">
        <v>8.138271928</v>
      </c>
      <c r="Z1808" s="1">
        <v>7.7803260989999998</v>
      </c>
      <c r="AA1808" s="1">
        <v>8.0169995360000001</v>
      </c>
      <c r="AB1808" s="1">
        <v>8.2806349289999996</v>
      </c>
      <c r="AC1808" s="1">
        <v>8.0361326519999992</v>
      </c>
      <c r="AD1808" s="1">
        <v>8.1546584450000008</v>
      </c>
      <c r="AE1808" s="1">
        <v>8.1465220939999998</v>
      </c>
    </row>
    <row r="1809" spans="1:31" x14ac:dyDescent="0.25">
      <c r="A1809" s="1" t="s">
        <v>1551</v>
      </c>
      <c r="B1809" s="1" t="s">
        <v>2530</v>
      </c>
      <c r="C1809" s="1" t="s">
        <v>2531</v>
      </c>
      <c r="D1809" s="1" t="s">
        <v>2535</v>
      </c>
      <c r="E1809" s="1" t="s">
        <v>2536</v>
      </c>
      <c r="G1809" s="1" t="s">
        <v>1551</v>
      </c>
      <c r="H1809" s="1">
        <v>6.9183184219999996</v>
      </c>
      <c r="I1809" s="1">
        <v>6.949622572</v>
      </c>
      <c r="J1809" s="1">
        <v>5.1953777219999999</v>
      </c>
      <c r="K1809" s="1">
        <v>6.0075713720000001</v>
      </c>
      <c r="L1809" s="1">
        <v>4.6825378889999998</v>
      </c>
      <c r="M1809" s="1">
        <v>4.7490378550000001</v>
      </c>
      <c r="N1809" s="1">
        <v>6.3068689610000002</v>
      </c>
      <c r="O1809" s="1">
        <v>6.6371378139999999</v>
      </c>
      <c r="P1809" s="1">
        <v>5.3522904530000002</v>
      </c>
      <c r="Q1809" s="1">
        <v>4.993318082</v>
      </c>
      <c r="R1809" s="1">
        <v>4.8735636449999999</v>
      </c>
      <c r="S1809" s="1">
        <v>4.980227309</v>
      </c>
      <c r="T1809" s="1">
        <v>4.6825378889999998</v>
      </c>
      <c r="U1809" s="1">
        <v>4.7490378550000001</v>
      </c>
      <c r="V1809" s="1">
        <v>5.6392772100000004</v>
      </c>
      <c r="W1809" s="1">
        <v>5.427589942</v>
      </c>
      <c r="X1809" s="1">
        <v>4.9146300209999998</v>
      </c>
      <c r="Y1809" s="1">
        <v>5.5841077690000001</v>
      </c>
      <c r="Z1809" s="1">
        <v>4.8735636449999999</v>
      </c>
      <c r="AA1809" s="1">
        <v>4.980227309</v>
      </c>
      <c r="AB1809" s="1">
        <v>4.139369361</v>
      </c>
      <c r="AC1809" s="1">
        <v>4.6238605430000002</v>
      </c>
      <c r="AD1809" s="1">
        <v>5.3536174839999999</v>
      </c>
      <c r="AE1809" s="1">
        <v>4.8625108150000003</v>
      </c>
    </row>
    <row r="1810" spans="1:31" x14ac:dyDescent="0.25">
      <c r="A1810" s="1" t="s">
        <v>1552</v>
      </c>
      <c r="B1810" s="1" t="s">
        <v>2530</v>
      </c>
      <c r="C1810" s="1" t="s">
        <v>2531</v>
      </c>
      <c r="D1810" s="1" t="s">
        <v>2535</v>
      </c>
      <c r="E1810" s="1" t="s">
        <v>2536</v>
      </c>
      <c r="G1810" s="1" t="s">
        <v>1552</v>
      </c>
      <c r="H1810" s="1">
        <v>5.8141293449999996</v>
      </c>
      <c r="I1810" s="1">
        <v>6.1655807180000002</v>
      </c>
      <c r="J1810" s="1">
        <v>5.6809121170000001</v>
      </c>
      <c r="K1810" s="1">
        <v>5.7895293819999996</v>
      </c>
      <c r="L1810" s="1">
        <v>5.8791437640000002</v>
      </c>
      <c r="M1810" s="1">
        <v>5.4399015869999996</v>
      </c>
      <c r="N1810" s="1">
        <v>6.233348286</v>
      </c>
      <c r="O1810" s="1">
        <v>6.3670506839999996</v>
      </c>
      <c r="P1810" s="1">
        <v>5.3900565609999997</v>
      </c>
      <c r="Q1810" s="1">
        <v>5.0479127070000001</v>
      </c>
      <c r="R1810" s="1">
        <v>5.1961281320000001</v>
      </c>
      <c r="S1810" s="1">
        <v>5.2232498669999998</v>
      </c>
      <c r="T1810" s="1">
        <v>5.8791437640000002</v>
      </c>
      <c r="U1810" s="1">
        <v>5.4399015869999996</v>
      </c>
      <c r="V1810" s="1">
        <v>5.5807524949999996</v>
      </c>
      <c r="W1810" s="1">
        <v>5.5195577800000004</v>
      </c>
      <c r="X1810" s="1">
        <v>5.1389930130000003</v>
      </c>
      <c r="Y1810" s="1">
        <v>5.3269702959999998</v>
      </c>
      <c r="Z1810" s="1">
        <v>5.1961281320000001</v>
      </c>
      <c r="AA1810" s="1">
        <v>5.2232498669999998</v>
      </c>
      <c r="AB1810" s="1">
        <v>5.0356743460000004</v>
      </c>
      <c r="AC1810" s="1">
        <v>5.2822693689999998</v>
      </c>
      <c r="AD1810" s="1">
        <v>5.2159266190000002</v>
      </c>
      <c r="AE1810" s="1">
        <v>5.2252968339999999</v>
      </c>
    </row>
    <row r="1811" spans="1:31" x14ac:dyDescent="0.25">
      <c r="A1811" s="1" t="s">
        <v>1554</v>
      </c>
      <c r="B1811" s="1" t="s">
        <v>2579</v>
      </c>
      <c r="C1811" s="1" t="s">
        <v>2933</v>
      </c>
      <c r="D1811" s="1" t="s">
        <v>4691</v>
      </c>
      <c r="E1811" s="1" t="s">
        <v>5336</v>
      </c>
      <c r="F1811" s="1" t="s">
        <v>5337</v>
      </c>
      <c r="G1811" s="1" t="s">
        <v>1554</v>
      </c>
      <c r="H1811" s="1">
        <v>11.96049642</v>
      </c>
      <c r="I1811" s="1">
        <v>11.25692622</v>
      </c>
      <c r="J1811" s="1">
        <v>11.92799831</v>
      </c>
      <c r="K1811" s="1">
        <v>11.855405340000001</v>
      </c>
      <c r="L1811" s="1">
        <v>11.00529903</v>
      </c>
      <c r="M1811" s="1">
        <v>11.381350790000001</v>
      </c>
      <c r="N1811" s="1">
        <v>10.26402319</v>
      </c>
      <c r="O1811" s="1">
        <v>10.759266419999999</v>
      </c>
      <c r="P1811" s="1">
        <v>11.705341389999999</v>
      </c>
      <c r="Q1811" s="1">
        <v>11.69960481</v>
      </c>
      <c r="R1811" s="1">
        <v>11.830610930000001</v>
      </c>
      <c r="S1811" s="1">
        <v>11.755104619999999</v>
      </c>
      <c r="T1811" s="1">
        <v>11.00529903</v>
      </c>
      <c r="U1811" s="1">
        <v>11.381350790000001</v>
      </c>
      <c r="V1811" s="1">
        <v>11.67534193</v>
      </c>
      <c r="W1811" s="1">
        <v>11.63354013</v>
      </c>
      <c r="X1811" s="1">
        <v>11.981403609999999</v>
      </c>
      <c r="Y1811" s="1">
        <v>11.78489115</v>
      </c>
      <c r="Z1811" s="1">
        <v>11.830610930000001</v>
      </c>
      <c r="AA1811" s="1">
        <v>11.755104619999999</v>
      </c>
      <c r="AB1811" s="1">
        <v>11.747624419999999</v>
      </c>
      <c r="AC1811" s="1">
        <v>11.770811589999999</v>
      </c>
      <c r="AD1811" s="1">
        <v>11.837410119999999</v>
      </c>
      <c r="AE1811" s="1">
        <v>11.915554500000001</v>
      </c>
    </row>
    <row r="1812" spans="1:31" x14ac:dyDescent="0.25">
      <c r="A1812" s="1" t="s">
        <v>1556</v>
      </c>
      <c r="B1812" s="1" t="s">
        <v>2525</v>
      </c>
      <c r="C1812" s="1" t="s">
        <v>3175</v>
      </c>
      <c r="D1812" s="1" t="s">
        <v>3602</v>
      </c>
      <c r="E1812" s="1" t="s">
        <v>5165</v>
      </c>
      <c r="F1812" s="1" t="s">
        <v>5338</v>
      </c>
      <c r="G1812" s="1" t="s">
        <v>1556</v>
      </c>
      <c r="H1812" s="1">
        <v>5.4626831620000003</v>
      </c>
      <c r="I1812" s="1">
        <v>6.295503557</v>
      </c>
      <c r="J1812" s="1">
        <v>7.0459985720000002</v>
      </c>
      <c r="K1812" s="1">
        <v>6.9184473520000003</v>
      </c>
      <c r="L1812" s="1">
        <v>7.9571094779999996</v>
      </c>
      <c r="M1812" s="1">
        <v>7.8542454519999998</v>
      </c>
      <c r="N1812" s="1">
        <v>5.7436907640000001</v>
      </c>
      <c r="O1812" s="1">
        <v>5.9675486500000003</v>
      </c>
      <c r="P1812" s="1">
        <v>7.0146380060000002</v>
      </c>
      <c r="Q1812" s="1">
        <v>7.1448014899999999</v>
      </c>
      <c r="R1812" s="1">
        <v>7.4512583259999996</v>
      </c>
      <c r="S1812" s="1">
        <v>7.3250129560000001</v>
      </c>
      <c r="T1812" s="1">
        <v>7.9571094779999996</v>
      </c>
      <c r="U1812" s="1">
        <v>7.8542454519999998</v>
      </c>
      <c r="V1812" s="1">
        <v>7.5010614740000001</v>
      </c>
      <c r="W1812" s="1">
        <v>7.2845395589999997</v>
      </c>
      <c r="X1812" s="1">
        <v>7.0458930989999997</v>
      </c>
      <c r="Y1812" s="1">
        <v>7.1185527400000002</v>
      </c>
      <c r="Z1812" s="1">
        <v>7.4512583259999996</v>
      </c>
      <c r="AA1812" s="1">
        <v>7.3250129560000001</v>
      </c>
      <c r="AB1812" s="1">
        <v>6.769786034</v>
      </c>
      <c r="AC1812" s="1">
        <v>7.1398799740000003</v>
      </c>
      <c r="AD1812" s="1">
        <v>6.8136746160000001</v>
      </c>
      <c r="AE1812" s="1">
        <v>6.8674836130000001</v>
      </c>
    </row>
    <row r="1813" spans="1:31" x14ac:dyDescent="0.25">
      <c r="A1813" s="1" t="s">
        <v>1557</v>
      </c>
      <c r="B1813" s="1" t="s">
        <v>2598</v>
      </c>
      <c r="C1813" s="1" t="s">
        <v>2795</v>
      </c>
      <c r="D1813" s="1" t="s">
        <v>2896</v>
      </c>
      <c r="E1813" s="1" t="s">
        <v>3158</v>
      </c>
      <c r="F1813" s="1" t="s">
        <v>3159</v>
      </c>
      <c r="G1813" s="1" t="s">
        <v>1557</v>
      </c>
      <c r="H1813" s="1">
        <v>4.183793842</v>
      </c>
      <c r="I1813" s="1">
        <v>5.1078624770000003</v>
      </c>
      <c r="J1813" s="1">
        <v>5.7122264270000001</v>
      </c>
      <c r="K1813" s="1">
        <v>5.9181521149999998</v>
      </c>
      <c r="L1813" s="1">
        <v>6.2716175139999999</v>
      </c>
      <c r="M1813" s="1">
        <v>5.9030088159999998</v>
      </c>
      <c r="N1813" s="1">
        <v>5.3135718379999997</v>
      </c>
      <c r="O1813" s="1">
        <v>4.4862678239999996</v>
      </c>
      <c r="P1813" s="1">
        <v>5.7504406890000004</v>
      </c>
      <c r="Q1813" s="1">
        <v>5.9062084209999997</v>
      </c>
      <c r="R1813" s="1">
        <v>5.57388789</v>
      </c>
      <c r="S1813" s="1">
        <v>5.7416668729999998</v>
      </c>
      <c r="T1813" s="1">
        <v>6.2716175139999999</v>
      </c>
      <c r="U1813" s="1">
        <v>5.9030088159999998</v>
      </c>
      <c r="V1813" s="1">
        <v>6.2012354710000004</v>
      </c>
      <c r="W1813" s="1">
        <v>5.8015499779999997</v>
      </c>
      <c r="X1813" s="1">
        <v>5.3989469190000001</v>
      </c>
      <c r="Y1813" s="1">
        <v>6.3541670720000001</v>
      </c>
      <c r="Z1813" s="1">
        <v>5.57388789</v>
      </c>
      <c r="AA1813" s="1">
        <v>5.7416668729999998</v>
      </c>
      <c r="AB1813" s="1">
        <v>5.8098709350000002</v>
      </c>
      <c r="AC1813" s="1">
        <v>5.5065733579999998</v>
      </c>
      <c r="AD1813" s="1">
        <v>4.83054469</v>
      </c>
      <c r="AE1813" s="1">
        <v>5.49371411</v>
      </c>
    </row>
    <row r="1814" spans="1:31" x14ac:dyDescent="0.25">
      <c r="A1814" s="1" t="s">
        <v>1560</v>
      </c>
      <c r="B1814" s="1" t="s">
        <v>2667</v>
      </c>
      <c r="C1814" s="1" t="s">
        <v>2668</v>
      </c>
      <c r="D1814" s="1" t="s">
        <v>2669</v>
      </c>
      <c r="E1814" s="1" t="s">
        <v>5339</v>
      </c>
      <c r="F1814" s="1" t="s">
        <v>5340</v>
      </c>
      <c r="G1814" s="1" t="s">
        <v>1560</v>
      </c>
      <c r="H1814" s="1">
        <v>4.5667504939999999</v>
      </c>
      <c r="I1814" s="1">
        <v>5.5873017430000003</v>
      </c>
      <c r="J1814" s="1">
        <v>4.6607313550000002</v>
      </c>
      <c r="K1814" s="1">
        <v>4.2434183680000004</v>
      </c>
      <c r="L1814" s="1">
        <v>4.7721586460000003</v>
      </c>
      <c r="M1814" s="1">
        <v>4.239619416</v>
      </c>
      <c r="N1814" s="1">
        <v>5.0227480880000002</v>
      </c>
      <c r="O1814" s="1">
        <v>4.8663619410000001</v>
      </c>
      <c r="P1814" s="1">
        <v>4.4075207919999997</v>
      </c>
      <c r="Q1814" s="1">
        <v>3.7137735799999998</v>
      </c>
      <c r="R1814" s="1">
        <v>4.8735636449999999</v>
      </c>
      <c r="S1814" s="1">
        <v>4.8114074450000004</v>
      </c>
      <c r="T1814" s="1">
        <v>4.7721586460000003</v>
      </c>
      <c r="U1814" s="1">
        <v>4.239619416</v>
      </c>
      <c r="V1814" s="1">
        <v>3.9849921849999999</v>
      </c>
      <c r="W1814" s="1">
        <v>4.4367165279999998</v>
      </c>
      <c r="X1814" s="1">
        <v>4.4502657640000001</v>
      </c>
      <c r="Y1814" s="1">
        <v>4.5275934409999996</v>
      </c>
      <c r="Z1814" s="1">
        <v>4.8735636449999999</v>
      </c>
      <c r="AA1814" s="1">
        <v>4.8114074450000004</v>
      </c>
      <c r="AB1814" s="1">
        <v>4.6096720080000004</v>
      </c>
      <c r="AC1814" s="1">
        <v>4.3377211620000002</v>
      </c>
      <c r="AD1814" s="1">
        <v>4.6264106470000002</v>
      </c>
      <c r="AE1814" s="1">
        <v>4.0685293649999998</v>
      </c>
    </row>
    <row r="1815" spans="1:31" x14ac:dyDescent="0.25">
      <c r="A1815" s="1" t="s">
        <v>1565</v>
      </c>
      <c r="B1815" s="1" t="s">
        <v>2539</v>
      </c>
      <c r="C1815" s="1" t="s">
        <v>2606</v>
      </c>
      <c r="D1815" s="1" t="s">
        <v>3536</v>
      </c>
      <c r="E1815" s="1" t="s">
        <v>5341</v>
      </c>
      <c r="G1815" s="1" t="s">
        <v>1565</v>
      </c>
      <c r="H1815" s="1">
        <v>6.7114110580000004</v>
      </c>
      <c r="I1815" s="1">
        <v>6.6268866429999997</v>
      </c>
      <c r="J1815" s="1">
        <v>6.311124607</v>
      </c>
      <c r="K1815" s="1">
        <v>6.4932884399999997</v>
      </c>
      <c r="L1815" s="1">
        <v>6.3406371909999999</v>
      </c>
      <c r="M1815" s="1">
        <v>6.1833887049999996</v>
      </c>
      <c r="N1815" s="1">
        <v>7.2713491330000002</v>
      </c>
      <c r="O1815" s="1">
        <v>7.2334791650000003</v>
      </c>
      <c r="P1815" s="1">
        <v>6.4115387159999999</v>
      </c>
      <c r="Q1815" s="1">
        <v>6.098094251</v>
      </c>
      <c r="R1815" s="1">
        <v>5.987323913</v>
      </c>
      <c r="S1815" s="1">
        <v>5.9969908790000002</v>
      </c>
      <c r="T1815" s="1">
        <v>6.3406371909999999</v>
      </c>
      <c r="U1815" s="1">
        <v>6.1833887049999996</v>
      </c>
      <c r="V1815" s="1">
        <v>6.1419042490000004</v>
      </c>
      <c r="W1815" s="1">
        <v>6.2120844699999997</v>
      </c>
      <c r="X1815" s="1">
        <v>5.9915198639999998</v>
      </c>
      <c r="Y1815" s="1">
        <v>6.3541670720000001</v>
      </c>
      <c r="Z1815" s="1">
        <v>5.987323913</v>
      </c>
      <c r="AA1815" s="1">
        <v>5.9969908790000002</v>
      </c>
      <c r="AB1815" s="1">
        <v>5.675717079</v>
      </c>
      <c r="AC1815" s="1">
        <v>5.9991619270000003</v>
      </c>
      <c r="AD1815" s="1">
        <v>6.4362874889999997</v>
      </c>
      <c r="AE1815" s="1">
        <v>6.0995676599999999</v>
      </c>
    </row>
    <row r="1816" spans="1:31" x14ac:dyDescent="0.25">
      <c r="A1816" s="1" t="s">
        <v>1571</v>
      </c>
      <c r="B1816" s="1" t="s">
        <v>2598</v>
      </c>
      <c r="C1816" s="1" t="s">
        <v>2795</v>
      </c>
      <c r="D1816" s="1" t="s">
        <v>5342</v>
      </c>
      <c r="E1816" s="1" t="s">
        <v>5343</v>
      </c>
      <c r="F1816" s="1" t="s">
        <v>5344</v>
      </c>
      <c r="G1816" s="1" t="s">
        <v>1571</v>
      </c>
      <c r="H1816" s="1">
        <v>9.3197911260000001</v>
      </c>
      <c r="I1816" s="1">
        <v>8.7919031820000004</v>
      </c>
      <c r="J1816" s="1">
        <v>9.2035590729999992</v>
      </c>
      <c r="K1816" s="1">
        <v>9.2048731860000004</v>
      </c>
      <c r="L1816" s="1">
        <v>8.720493372</v>
      </c>
      <c r="M1816" s="1">
        <v>8.8865089780000002</v>
      </c>
      <c r="N1816" s="1">
        <v>7.8964507810000004</v>
      </c>
      <c r="O1816" s="1">
        <v>8.3879742060000009</v>
      </c>
      <c r="P1816" s="1">
        <v>9.0286522419999997</v>
      </c>
      <c r="Q1816" s="1">
        <v>9.1000027120000002</v>
      </c>
      <c r="R1816" s="1">
        <v>9.0366071580000007</v>
      </c>
      <c r="S1816" s="1">
        <v>9.0241254140000002</v>
      </c>
      <c r="T1816" s="1">
        <v>8.720493372</v>
      </c>
      <c r="U1816" s="1">
        <v>8.8865089780000002</v>
      </c>
      <c r="V1816" s="1">
        <v>8.8338594740000005</v>
      </c>
      <c r="W1816" s="1">
        <v>8.8981239829999996</v>
      </c>
      <c r="X1816" s="1">
        <v>8.9105247839999997</v>
      </c>
      <c r="Y1816" s="1">
        <v>9.0021345499999992</v>
      </c>
      <c r="Z1816" s="1">
        <v>9.0366071580000007</v>
      </c>
      <c r="AA1816" s="1">
        <v>9.0241254140000002</v>
      </c>
      <c r="AB1816" s="1">
        <v>9.2338241060000001</v>
      </c>
      <c r="AC1816" s="1">
        <v>8.9904251659999996</v>
      </c>
      <c r="AD1816" s="1">
        <v>9.0600460179999995</v>
      </c>
      <c r="AE1816" s="1">
        <v>9.0070764519999997</v>
      </c>
    </row>
    <row r="1817" spans="1:31" x14ac:dyDescent="0.25">
      <c r="A1817" s="1" t="s">
        <v>1572</v>
      </c>
      <c r="B1817" s="1" t="s">
        <v>2598</v>
      </c>
      <c r="C1817" s="1" t="s">
        <v>2599</v>
      </c>
      <c r="D1817" s="1" t="s">
        <v>3080</v>
      </c>
      <c r="E1817" s="1" t="s">
        <v>5345</v>
      </c>
      <c r="F1817" s="1" t="s">
        <v>5346</v>
      </c>
      <c r="G1817" s="1" t="s">
        <v>1572</v>
      </c>
      <c r="H1817" s="1">
        <v>7.2850176099999997</v>
      </c>
      <c r="I1817" s="1">
        <v>7.4169289850000002</v>
      </c>
      <c r="J1817" s="1">
        <v>7.5037816749999999</v>
      </c>
      <c r="K1817" s="1">
        <v>7.3408629970000003</v>
      </c>
      <c r="L1817" s="1">
        <v>8.2356212679999992</v>
      </c>
      <c r="M1817" s="1">
        <v>8.1785967240000002</v>
      </c>
      <c r="N1817" s="1">
        <v>7.69246768</v>
      </c>
      <c r="O1817" s="1">
        <v>7.6001763599999999</v>
      </c>
      <c r="P1817" s="1">
        <v>7.9401753529999999</v>
      </c>
      <c r="Q1817" s="1">
        <v>7.6341791839999997</v>
      </c>
      <c r="R1817" s="1">
        <v>7.973534034</v>
      </c>
      <c r="S1817" s="1">
        <v>8.1217457230000001</v>
      </c>
      <c r="T1817" s="1">
        <v>8.2356212679999992</v>
      </c>
      <c r="U1817" s="1">
        <v>8.1785967240000002</v>
      </c>
      <c r="V1817" s="1">
        <v>8.0551481319999994</v>
      </c>
      <c r="W1817" s="1">
        <v>7.6610908530000001</v>
      </c>
      <c r="X1817" s="1">
        <v>7.8695292820000002</v>
      </c>
      <c r="Y1817" s="1">
        <v>7.8197910259999999</v>
      </c>
      <c r="Z1817" s="1">
        <v>7.973534034</v>
      </c>
      <c r="AA1817" s="1">
        <v>8.1217457230000001</v>
      </c>
      <c r="AB1817" s="1">
        <v>7.9644295420000004</v>
      </c>
      <c r="AC1817" s="1">
        <v>7.9246616259999998</v>
      </c>
      <c r="AD1817" s="1">
        <v>7.523248315</v>
      </c>
      <c r="AE1817" s="1">
        <v>7.8740462500000001</v>
      </c>
    </row>
    <row r="1818" spans="1:31" x14ac:dyDescent="0.25">
      <c r="A1818" s="1" t="s">
        <v>1573</v>
      </c>
      <c r="B1818" s="1" t="s">
        <v>2530</v>
      </c>
      <c r="C1818" s="1" t="s">
        <v>2531</v>
      </c>
      <c r="D1818" s="1" t="s">
        <v>2535</v>
      </c>
      <c r="E1818" s="1" t="s">
        <v>2536</v>
      </c>
      <c r="G1818" s="1" t="s">
        <v>1573</v>
      </c>
      <c r="H1818" s="1">
        <v>5.8483408880000001</v>
      </c>
      <c r="I1818" s="1">
        <v>6.6268866429999997</v>
      </c>
      <c r="J1818" s="1">
        <v>6.5019279570000004</v>
      </c>
      <c r="K1818" s="1">
        <v>6.5137511750000003</v>
      </c>
      <c r="L1818" s="1">
        <v>7.0007292300000001</v>
      </c>
      <c r="M1818" s="1">
        <v>6.9782815510000002</v>
      </c>
      <c r="N1818" s="1">
        <v>6.6738821269999997</v>
      </c>
      <c r="O1818" s="1">
        <v>6.4668479379999999</v>
      </c>
      <c r="P1818" s="1">
        <v>6.9903989949999996</v>
      </c>
      <c r="Q1818" s="1">
        <v>6.9598506220000003</v>
      </c>
      <c r="R1818" s="1">
        <v>6.0415391009999997</v>
      </c>
      <c r="S1818" s="1">
        <v>6.3621547329999997</v>
      </c>
      <c r="T1818" s="1">
        <v>7.0007292300000001</v>
      </c>
      <c r="U1818" s="1">
        <v>6.9782815510000002</v>
      </c>
      <c r="V1818" s="1">
        <v>6.9066996950000004</v>
      </c>
      <c r="W1818" s="1">
        <v>6.7734156700000003</v>
      </c>
      <c r="X1818" s="1">
        <v>6.4823958849999999</v>
      </c>
      <c r="Y1818" s="1">
        <v>6.9469657070000004</v>
      </c>
      <c r="Z1818" s="1">
        <v>6.0415391009999997</v>
      </c>
      <c r="AA1818" s="1">
        <v>6.3621547329999997</v>
      </c>
      <c r="AB1818" s="1">
        <v>6.4797931459999996</v>
      </c>
      <c r="AC1818" s="1">
        <v>6.2463288529999996</v>
      </c>
      <c r="AD1818" s="1">
        <v>6.4362874889999997</v>
      </c>
      <c r="AE1818" s="1">
        <v>6.4941297889999996</v>
      </c>
    </row>
    <row r="1819" spans="1:31" x14ac:dyDescent="0.25">
      <c r="A1819" s="1" t="s">
        <v>1574</v>
      </c>
      <c r="B1819" s="1" t="s">
        <v>2547</v>
      </c>
      <c r="C1819" s="1" t="s">
        <v>2622</v>
      </c>
      <c r="D1819" s="1" t="s">
        <v>2535</v>
      </c>
      <c r="E1819" s="1" t="s">
        <v>5347</v>
      </c>
      <c r="G1819" s="1" t="s">
        <v>1574</v>
      </c>
      <c r="H1819" s="1">
        <v>3.2549621289999999</v>
      </c>
      <c r="I1819" s="1">
        <v>3.6484415459999999</v>
      </c>
      <c r="J1819" s="1">
        <v>4.3724365990000003</v>
      </c>
      <c r="K1819" s="1">
        <v>4.3408695499999999</v>
      </c>
      <c r="L1819" s="1">
        <v>4.7429188570000003</v>
      </c>
      <c r="M1819" s="1">
        <v>4.5846937370000003</v>
      </c>
      <c r="N1819" s="1">
        <v>3.7779028299999999</v>
      </c>
      <c r="O1819" s="1">
        <v>3.6346882059999999</v>
      </c>
      <c r="P1819" s="1">
        <v>3.86011382</v>
      </c>
      <c r="Q1819" s="1">
        <v>4.2835653880000004</v>
      </c>
      <c r="R1819" s="1">
        <v>4.1841942410000001</v>
      </c>
      <c r="S1819" s="1">
        <v>4.3966315629999997</v>
      </c>
      <c r="T1819" s="1">
        <v>4.7429188570000003</v>
      </c>
      <c r="U1819" s="1">
        <v>4.5846937370000003</v>
      </c>
      <c r="V1819" s="1">
        <v>3.7819764450000002</v>
      </c>
      <c r="W1819" s="1">
        <v>3.9848641250000001</v>
      </c>
      <c r="X1819" s="1">
        <v>4.5325909299999996</v>
      </c>
      <c r="Y1819" s="1">
        <v>3.9087436480000002</v>
      </c>
      <c r="Z1819" s="1">
        <v>4.1841942410000001</v>
      </c>
      <c r="AA1819" s="1">
        <v>4.3966315629999997</v>
      </c>
      <c r="AB1819" s="1">
        <v>4.3946012420000002</v>
      </c>
      <c r="AC1819" s="1">
        <v>3.7481372300000002</v>
      </c>
      <c r="AD1819" s="1">
        <v>4.5511338559999999</v>
      </c>
      <c r="AE1819" s="1">
        <v>4.3257514669999999</v>
      </c>
    </row>
    <row r="1820" spans="1:31" x14ac:dyDescent="0.25">
      <c r="A1820" s="1" t="s">
        <v>1577</v>
      </c>
      <c r="B1820" s="1" t="s">
        <v>2608</v>
      </c>
      <c r="C1820" s="1" t="s">
        <v>2758</v>
      </c>
      <c r="D1820" s="1" t="s">
        <v>2759</v>
      </c>
      <c r="E1820" s="1" t="s">
        <v>5348</v>
      </c>
      <c r="F1820" s="1" t="s">
        <v>5349</v>
      </c>
      <c r="G1820" s="1" t="s">
        <v>1577</v>
      </c>
      <c r="H1820" s="1">
        <v>4.3886087140000001</v>
      </c>
      <c r="I1820" s="1">
        <v>5.009480355</v>
      </c>
      <c r="J1820" s="1">
        <v>6.0426942559999999</v>
      </c>
      <c r="K1820" s="1">
        <v>5.7206107949999998</v>
      </c>
      <c r="L1820" s="1">
        <v>7.2412027600000002</v>
      </c>
      <c r="M1820" s="1">
        <v>7.1104816509999997</v>
      </c>
      <c r="N1820" s="1">
        <v>4.4945275240000004</v>
      </c>
      <c r="O1820" s="1">
        <v>4.4368189940000002</v>
      </c>
      <c r="P1820" s="1">
        <v>5.834784151</v>
      </c>
      <c r="Q1820" s="1">
        <v>6.098094251</v>
      </c>
      <c r="R1820" s="1">
        <v>6.6061768719999998</v>
      </c>
      <c r="S1820" s="1">
        <v>6.8089922789999999</v>
      </c>
      <c r="T1820" s="1">
        <v>7.2412027600000002</v>
      </c>
      <c r="U1820" s="1">
        <v>7.1104816509999997</v>
      </c>
      <c r="V1820" s="1">
        <v>6.2394706979999999</v>
      </c>
      <c r="W1820" s="1">
        <v>6.4863052449999996</v>
      </c>
      <c r="X1820" s="1">
        <v>6.871117677</v>
      </c>
      <c r="Y1820" s="1">
        <v>5.9909787290000001</v>
      </c>
      <c r="Z1820" s="1">
        <v>6.6061768719999998</v>
      </c>
      <c r="AA1820" s="1">
        <v>6.8089922789999999</v>
      </c>
      <c r="AB1820" s="1">
        <v>6.3971449009999999</v>
      </c>
      <c r="AC1820" s="1">
        <v>6.7173824599999996</v>
      </c>
      <c r="AD1820" s="1">
        <v>6.008703369</v>
      </c>
      <c r="AE1820" s="1">
        <v>5.9296419269999996</v>
      </c>
    </row>
    <row r="1821" spans="1:31" x14ac:dyDescent="0.25">
      <c r="A1821" s="1" t="s">
        <v>1578</v>
      </c>
      <c r="B1821" s="1" t="s">
        <v>2568</v>
      </c>
      <c r="C1821" s="1" t="s">
        <v>2589</v>
      </c>
      <c r="D1821" s="1" t="s">
        <v>2595</v>
      </c>
      <c r="E1821" s="1" t="s">
        <v>5350</v>
      </c>
      <c r="F1821" s="1" t="s">
        <v>5351</v>
      </c>
      <c r="G1821" s="1" t="s">
        <v>1578</v>
      </c>
      <c r="H1821" s="1">
        <v>4.7972697699999998</v>
      </c>
      <c r="I1821" s="1">
        <v>5.6856247609999997</v>
      </c>
      <c r="J1821" s="1">
        <v>6.7627112289999998</v>
      </c>
      <c r="K1821" s="1">
        <v>6.8557452210000003</v>
      </c>
      <c r="L1821" s="1">
        <v>6.8262513709999997</v>
      </c>
      <c r="M1821" s="1">
        <v>6.7492461319999997</v>
      </c>
      <c r="N1821" s="1">
        <v>5.2399813159999997</v>
      </c>
      <c r="O1821" s="1">
        <v>4.6248126879999996</v>
      </c>
      <c r="P1821" s="1">
        <v>6.8759744009999997</v>
      </c>
      <c r="Q1821" s="1">
        <v>6.3980489909999996</v>
      </c>
      <c r="R1821" s="1">
        <v>6.5134469040000003</v>
      </c>
      <c r="S1821" s="1">
        <v>6.5507675829999998</v>
      </c>
      <c r="T1821" s="1">
        <v>6.8262513709999997</v>
      </c>
      <c r="U1821" s="1">
        <v>6.7492461319999997</v>
      </c>
      <c r="V1821" s="1">
        <v>6.9761915710000002</v>
      </c>
      <c r="W1821" s="1">
        <v>6.9149645719999997</v>
      </c>
      <c r="X1821" s="1">
        <v>5.9032199179999996</v>
      </c>
      <c r="Y1821" s="1">
        <v>6.7346511490000003</v>
      </c>
      <c r="Z1821" s="1">
        <v>6.5134469040000003</v>
      </c>
      <c r="AA1821" s="1">
        <v>6.5507675829999998</v>
      </c>
      <c r="AB1821" s="1">
        <v>6.4797931459999996</v>
      </c>
      <c r="AC1821" s="1">
        <v>6.4748747230000001</v>
      </c>
      <c r="AD1821" s="1">
        <v>6.3945942340000004</v>
      </c>
      <c r="AE1821" s="1">
        <v>6.2870921800000001</v>
      </c>
    </row>
    <row r="1822" spans="1:31" x14ac:dyDescent="0.25">
      <c r="A1822" s="1" t="s">
        <v>1589</v>
      </c>
      <c r="B1822" s="1" t="s">
        <v>2530</v>
      </c>
      <c r="C1822" s="1" t="s">
        <v>2531</v>
      </c>
      <c r="D1822" s="1" t="s">
        <v>2535</v>
      </c>
      <c r="E1822" s="1" t="s">
        <v>5352</v>
      </c>
      <c r="G1822" s="1" t="s">
        <v>1589</v>
      </c>
      <c r="H1822" s="1">
        <v>6.0673720150000001</v>
      </c>
      <c r="I1822" s="1">
        <v>5.6856247609999997</v>
      </c>
      <c r="J1822" s="1">
        <v>6.1606909930000002</v>
      </c>
      <c r="K1822" s="1">
        <v>5.4913640639999999</v>
      </c>
      <c r="L1822" s="1">
        <v>5.1940340669999996</v>
      </c>
      <c r="M1822" s="1">
        <v>5.3915279009999999</v>
      </c>
      <c r="N1822" s="1">
        <v>6.0598398590000002</v>
      </c>
      <c r="O1822" s="1">
        <v>6.0822573350000004</v>
      </c>
      <c r="P1822" s="1">
        <v>5.6296473389999999</v>
      </c>
      <c r="Q1822" s="1">
        <v>5.9062084209999997</v>
      </c>
      <c r="R1822" s="1">
        <v>5.8420803340000003</v>
      </c>
      <c r="S1822" s="1">
        <v>5.710270789</v>
      </c>
      <c r="T1822" s="1">
        <v>5.1940340669999996</v>
      </c>
      <c r="U1822" s="1">
        <v>5.3915279009999999</v>
      </c>
      <c r="V1822" s="1">
        <v>5.0428039150000004</v>
      </c>
      <c r="W1822" s="1">
        <v>5.872872095</v>
      </c>
      <c r="X1822" s="1">
        <v>5.4415021479999997</v>
      </c>
      <c r="Y1822" s="1">
        <v>6.1044436219999998</v>
      </c>
      <c r="Z1822" s="1">
        <v>5.8420803340000003</v>
      </c>
      <c r="AA1822" s="1">
        <v>5.710270789</v>
      </c>
      <c r="AB1822" s="1">
        <v>5.4196851610000003</v>
      </c>
      <c r="AC1822" s="1">
        <v>5.2822693689999998</v>
      </c>
      <c r="AD1822" s="1">
        <v>5.4385263000000004</v>
      </c>
      <c r="AE1822" s="1">
        <v>5.7020211359999999</v>
      </c>
    </row>
    <row r="1823" spans="1:31" x14ac:dyDescent="0.25">
      <c r="A1823" s="1" t="s">
        <v>1590</v>
      </c>
      <c r="B1823" s="1" t="s">
        <v>2608</v>
      </c>
      <c r="C1823" s="1" t="s">
        <v>2700</v>
      </c>
      <c r="D1823" s="1" t="s">
        <v>2975</v>
      </c>
      <c r="E1823" s="1" t="s">
        <v>5353</v>
      </c>
      <c r="F1823" s="1" t="s">
        <v>5354</v>
      </c>
      <c r="G1823" s="1" t="s">
        <v>1590</v>
      </c>
      <c r="H1823" s="1">
        <v>6.8185773340000004</v>
      </c>
      <c r="I1823" s="1">
        <v>6.854556928</v>
      </c>
      <c r="J1823" s="1">
        <v>7.9324336190000002</v>
      </c>
      <c r="K1823" s="1">
        <v>8.0213251999999997</v>
      </c>
      <c r="L1823" s="1">
        <v>7.7264315059999999</v>
      </c>
      <c r="M1823" s="1">
        <v>7.7626871140000002</v>
      </c>
      <c r="N1823" s="1">
        <v>7.5076461229999998</v>
      </c>
      <c r="O1823" s="1">
        <v>7.3940482640000003</v>
      </c>
      <c r="P1823" s="1">
        <v>7.623154285</v>
      </c>
      <c r="Q1823" s="1">
        <v>8.0593045669999999</v>
      </c>
      <c r="R1823" s="1">
        <v>7.9311896480000001</v>
      </c>
      <c r="S1823" s="1">
        <v>7.7739431489999999</v>
      </c>
      <c r="T1823" s="1">
        <v>7.7264315059999999</v>
      </c>
      <c r="U1823" s="1">
        <v>7.7626871140000002</v>
      </c>
      <c r="V1823" s="1">
        <v>7.989481381</v>
      </c>
      <c r="W1823" s="1">
        <v>7.9593889969999996</v>
      </c>
      <c r="X1823" s="1">
        <v>7.756786494</v>
      </c>
      <c r="Y1823" s="1">
        <v>7.9766974729999998</v>
      </c>
      <c r="Z1823" s="1">
        <v>7.9311896480000001</v>
      </c>
      <c r="AA1823" s="1">
        <v>7.7739431489999999</v>
      </c>
      <c r="AB1823" s="1">
        <v>7.9059268769999997</v>
      </c>
      <c r="AC1823" s="1">
        <v>8.0945298119999993</v>
      </c>
      <c r="AD1823" s="1">
        <v>8.010501713</v>
      </c>
      <c r="AE1823" s="1">
        <v>8.0906372569999991</v>
      </c>
    </row>
    <row r="1824" spans="1:31" x14ac:dyDescent="0.25">
      <c r="A1824" s="1" t="s">
        <v>1591</v>
      </c>
      <c r="B1824" s="1" t="s">
        <v>2631</v>
      </c>
      <c r="C1824" s="1" t="s">
        <v>2980</v>
      </c>
      <c r="D1824" s="1" t="s">
        <v>2535</v>
      </c>
      <c r="E1824" s="1" t="s">
        <v>2981</v>
      </c>
      <c r="G1824" s="1" t="s">
        <v>1591</v>
      </c>
      <c r="H1824" s="1">
        <v>7.2974165470000001</v>
      </c>
      <c r="I1824" s="1">
        <v>7.378407867</v>
      </c>
      <c r="J1824" s="1">
        <v>7.0822770159999999</v>
      </c>
      <c r="K1824" s="1">
        <v>7.492758244</v>
      </c>
      <c r="L1824" s="1">
        <v>7.0661679120000001</v>
      </c>
      <c r="M1824" s="1">
        <v>6.9201119440000003</v>
      </c>
      <c r="N1824" s="1">
        <v>6.421619185</v>
      </c>
      <c r="O1824" s="1">
        <v>6.5714196759999997</v>
      </c>
      <c r="P1824" s="1">
        <v>6.8891464339999997</v>
      </c>
      <c r="Q1824" s="1">
        <v>6.8270471480000001</v>
      </c>
      <c r="R1824" s="1">
        <v>6.7267142719999997</v>
      </c>
      <c r="S1824" s="1">
        <v>6.6531047939999999</v>
      </c>
      <c r="T1824" s="1">
        <v>7.0661679120000001</v>
      </c>
      <c r="U1824" s="1">
        <v>6.9201119440000003</v>
      </c>
      <c r="V1824" s="1">
        <v>6.8827702540000004</v>
      </c>
      <c r="W1824" s="1">
        <v>6.863500084</v>
      </c>
      <c r="X1824" s="1">
        <v>6.9538624269999998</v>
      </c>
      <c r="Y1824" s="1">
        <v>7.4104262099999998</v>
      </c>
      <c r="Z1824" s="1">
        <v>6.7267142719999997</v>
      </c>
      <c r="AA1824" s="1">
        <v>6.6531047939999999</v>
      </c>
      <c r="AB1824" s="1">
        <v>6.935033368</v>
      </c>
      <c r="AC1824" s="1">
        <v>6.6252225420000004</v>
      </c>
      <c r="AD1824" s="1">
        <v>6.8603357530000002</v>
      </c>
      <c r="AE1824" s="1">
        <v>7.0985007339999999</v>
      </c>
    </row>
    <row r="1825" spans="1:31" x14ac:dyDescent="0.25">
      <c r="A1825" s="1" t="s">
        <v>1594</v>
      </c>
      <c r="B1825" s="1" t="s">
        <v>2539</v>
      </c>
      <c r="C1825" s="1" t="s">
        <v>2606</v>
      </c>
      <c r="D1825" s="1" t="s">
        <v>2535</v>
      </c>
      <c r="E1825" s="1" t="s">
        <v>5355</v>
      </c>
      <c r="F1825" s="1" t="s">
        <v>5356</v>
      </c>
      <c r="G1825" s="1" t="s">
        <v>1594</v>
      </c>
      <c r="H1825" s="1">
        <v>3.4660955969999998</v>
      </c>
      <c r="I1825" s="1">
        <v>2.8927893610000002</v>
      </c>
      <c r="J1825" s="1">
        <v>3.6453331530000002</v>
      </c>
      <c r="K1825" s="1">
        <v>3.22334677</v>
      </c>
      <c r="L1825" s="1">
        <v>3.971296959</v>
      </c>
      <c r="M1825" s="1">
        <v>4.3982295550000003</v>
      </c>
      <c r="N1825" s="1">
        <v>2.8201075470000001</v>
      </c>
      <c r="O1825" s="1">
        <v>2.883783352</v>
      </c>
      <c r="P1825" s="1">
        <v>4.0684607960000001</v>
      </c>
      <c r="Q1825" s="1">
        <v>3.388910638</v>
      </c>
      <c r="R1825" s="1">
        <v>3.968758995</v>
      </c>
      <c r="S1825" s="1">
        <v>4.2250836859999996</v>
      </c>
      <c r="T1825" s="1">
        <v>3.971296959</v>
      </c>
      <c r="U1825" s="1">
        <v>4.3982295550000003</v>
      </c>
      <c r="V1825" s="1">
        <v>3.2389700330000002</v>
      </c>
      <c r="W1825" s="1">
        <v>3.50175473</v>
      </c>
      <c r="X1825" s="1">
        <v>3.8119046220000001</v>
      </c>
      <c r="Y1825" s="1">
        <v>3.6154848500000001</v>
      </c>
      <c r="Z1825" s="1">
        <v>3.968758995</v>
      </c>
      <c r="AA1825" s="1">
        <v>4.2250836859999996</v>
      </c>
      <c r="AB1825" s="1">
        <v>4.139369361</v>
      </c>
      <c r="AC1825" s="1">
        <v>4.2557864319999998</v>
      </c>
      <c r="AD1825" s="1">
        <v>2.6025990879999998</v>
      </c>
      <c r="AE1825" s="1">
        <v>3.321206681</v>
      </c>
    </row>
    <row r="1826" spans="1:31" x14ac:dyDescent="0.25">
      <c r="A1826" s="1" t="s">
        <v>1599</v>
      </c>
      <c r="B1826" s="1" t="s">
        <v>2598</v>
      </c>
      <c r="C1826" s="1" t="s">
        <v>2603</v>
      </c>
      <c r="D1826" s="1" t="s">
        <v>3011</v>
      </c>
      <c r="E1826" s="1" t="s">
        <v>5357</v>
      </c>
      <c r="F1826" s="1" t="s">
        <v>5358</v>
      </c>
      <c r="G1826" s="1" t="s">
        <v>1599</v>
      </c>
      <c r="H1826" s="1">
        <v>4.7972697699999998</v>
      </c>
      <c r="I1826" s="1">
        <v>4.4542943209999999</v>
      </c>
      <c r="J1826" s="1">
        <v>4.6607313550000002</v>
      </c>
      <c r="K1826" s="1">
        <v>4.941717659</v>
      </c>
      <c r="L1826" s="1">
        <v>5.3938587340000002</v>
      </c>
      <c r="M1826" s="1">
        <v>5.029201552</v>
      </c>
      <c r="N1826" s="1">
        <v>5.1623684499999998</v>
      </c>
      <c r="O1826" s="1">
        <v>4.7507950320000001</v>
      </c>
      <c r="P1826" s="1">
        <v>4.7394495640000001</v>
      </c>
      <c r="Q1826" s="1">
        <v>4.5369064569999997</v>
      </c>
      <c r="R1826" s="1">
        <v>3.8462631940000001</v>
      </c>
      <c r="S1826" s="1">
        <v>4.4749637470000003</v>
      </c>
      <c r="T1826" s="1">
        <v>5.3938587340000002</v>
      </c>
      <c r="U1826" s="1">
        <v>5.029201552</v>
      </c>
      <c r="V1826" s="1">
        <v>4.8059579570000004</v>
      </c>
      <c r="W1826" s="1">
        <v>4.8493412630000003</v>
      </c>
      <c r="X1826" s="1">
        <v>4.97415056</v>
      </c>
      <c r="Y1826" s="1">
        <v>4.6842287809999998</v>
      </c>
      <c r="Z1826" s="1">
        <v>3.8462631940000001</v>
      </c>
      <c r="AA1826" s="1">
        <v>4.4749637470000003</v>
      </c>
      <c r="AB1826" s="1">
        <v>5.1755434500000002</v>
      </c>
      <c r="AC1826" s="1">
        <v>4.8053838390000001</v>
      </c>
      <c r="AD1826" s="1">
        <v>4.4715299570000004</v>
      </c>
      <c r="AE1826" s="1">
        <v>4.7636391339999999</v>
      </c>
    </row>
    <row r="1827" spans="1:31" x14ac:dyDescent="0.25">
      <c r="A1827" s="1" t="s">
        <v>1601</v>
      </c>
      <c r="B1827" s="1" t="s">
        <v>2530</v>
      </c>
      <c r="C1827" s="1" t="s">
        <v>2531</v>
      </c>
      <c r="D1827" s="1" t="s">
        <v>2535</v>
      </c>
      <c r="E1827" s="1" t="s">
        <v>2536</v>
      </c>
      <c r="G1827" s="1" t="s">
        <v>1601</v>
      </c>
      <c r="H1827" s="1">
        <v>4.9322401630000003</v>
      </c>
      <c r="I1827" s="1">
        <v>5.1546023129999998</v>
      </c>
      <c r="J1827" s="1">
        <v>5.6809121170000001</v>
      </c>
      <c r="K1827" s="1">
        <v>5.4913640639999999</v>
      </c>
      <c r="L1827" s="1">
        <v>5.7543796179999998</v>
      </c>
      <c r="M1827" s="1">
        <v>5.6801009100000002</v>
      </c>
      <c r="N1827" s="1">
        <v>5.5548950010000002</v>
      </c>
      <c r="O1827" s="1">
        <v>5.2522077749999996</v>
      </c>
      <c r="P1827" s="1">
        <v>5.3522904530000002</v>
      </c>
      <c r="Q1827" s="1">
        <v>5.5022716190000001</v>
      </c>
      <c r="R1827" s="1">
        <v>5.6102934549999999</v>
      </c>
      <c r="S1827" s="1">
        <v>5.6781703969999997</v>
      </c>
      <c r="T1827" s="1">
        <v>5.7543796179999998</v>
      </c>
      <c r="U1827" s="1">
        <v>5.6801009100000002</v>
      </c>
      <c r="V1827" s="1">
        <v>5.3546652259999998</v>
      </c>
      <c r="W1827" s="1">
        <v>5.427589942</v>
      </c>
      <c r="X1827" s="1">
        <v>5.2630731749999997</v>
      </c>
      <c r="Y1827" s="1">
        <v>5.5841077690000001</v>
      </c>
      <c r="Z1827" s="1">
        <v>5.6102934549999999</v>
      </c>
      <c r="AA1827" s="1">
        <v>5.6781703969999997</v>
      </c>
      <c r="AB1827" s="1">
        <v>5.5276660309999999</v>
      </c>
      <c r="AC1827" s="1">
        <v>5.3221936159999998</v>
      </c>
      <c r="AD1827" s="1">
        <v>5.8006297160000004</v>
      </c>
      <c r="AE1827" s="1">
        <v>5.4097399240000001</v>
      </c>
    </row>
    <row r="1828" spans="1:31" x14ac:dyDescent="0.25">
      <c r="A1828" s="1" t="s">
        <v>1602</v>
      </c>
      <c r="B1828" s="1" t="s">
        <v>2631</v>
      </c>
      <c r="C1828" s="1" t="s">
        <v>2980</v>
      </c>
      <c r="D1828" s="1" t="s">
        <v>5359</v>
      </c>
      <c r="E1828" s="1" t="s">
        <v>5360</v>
      </c>
      <c r="F1828" s="1" t="s">
        <v>5361</v>
      </c>
      <c r="G1828" s="1" t="s">
        <v>1602</v>
      </c>
      <c r="H1828" s="1">
        <v>4.0684382540000001</v>
      </c>
      <c r="I1828" s="1">
        <v>4.2936285989999998</v>
      </c>
      <c r="J1828" s="1">
        <v>5.3229940280000001</v>
      </c>
      <c r="K1828" s="1">
        <v>5.1139224319999999</v>
      </c>
      <c r="L1828" s="1">
        <v>5.8387509910000004</v>
      </c>
      <c r="M1828" s="1">
        <v>5.3667108829999997</v>
      </c>
      <c r="N1828" s="1">
        <v>4.4510307109999996</v>
      </c>
      <c r="O1828" s="1">
        <v>4.9731423550000002</v>
      </c>
      <c r="P1828" s="1">
        <v>5.426847231</v>
      </c>
      <c r="Q1828" s="1">
        <v>5.2931690810000003</v>
      </c>
      <c r="R1828" s="1">
        <v>5.7472990829999997</v>
      </c>
      <c r="S1828" s="1">
        <v>5.7723891209999998</v>
      </c>
      <c r="T1828" s="1">
        <v>5.8387509910000004</v>
      </c>
      <c r="U1828" s="1">
        <v>5.3667108829999997</v>
      </c>
      <c r="V1828" s="1">
        <v>5.8017242820000003</v>
      </c>
      <c r="W1828" s="1">
        <v>5.4743148909999997</v>
      </c>
      <c r="X1828" s="1">
        <v>5.2630731749999997</v>
      </c>
      <c r="Y1828" s="1">
        <v>4.8250325140000001</v>
      </c>
      <c r="Z1828" s="1">
        <v>5.7472990829999997</v>
      </c>
      <c r="AA1828" s="1">
        <v>5.7723891209999998</v>
      </c>
      <c r="AB1828" s="1">
        <v>5.5276660309999999</v>
      </c>
      <c r="AC1828" s="1">
        <v>5.7302515789999999</v>
      </c>
      <c r="AD1828" s="1">
        <v>5.5945353439999996</v>
      </c>
      <c r="AE1828" s="1">
        <v>5.2497036230000003</v>
      </c>
    </row>
    <row r="1829" spans="1:31" x14ac:dyDescent="0.25">
      <c r="A1829" s="1" t="s">
        <v>1603</v>
      </c>
      <c r="B1829" s="1" t="s">
        <v>2942</v>
      </c>
      <c r="C1829" s="1" t="s">
        <v>2943</v>
      </c>
      <c r="D1829" s="1" t="s">
        <v>2535</v>
      </c>
      <c r="E1829" s="1" t="s">
        <v>5362</v>
      </c>
      <c r="G1829" s="1" t="s">
        <v>1603</v>
      </c>
      <c r="H1829" s="1">
        <v>6.9021671930000004</v>
      </c>
      <c r="I1829" s="1">
        <v>6.7972768459999999</v>
      </c>
      <c r="J1829" s="1">
        <v>6.6382173169999996</v>
      </c>
      <c r="K1829" s="1">
        <v>7.0362139130000001</v>
      </c>
      <c r="L1829" s="1">
        <v>6.369232008</v>
      </c>
      <c r="M1829" s="1">
        <v>6.3311731590000004</v>
      </c>
      <c r="N1829" s="1">
        <v>6.988566745</v>
      </c>
      <c r="O1829" s="1">
        <v>6.7700014289999997</v>
      </c>
      <c r="P1829" s="1">
        <v>6.4115387159999999</v>
      </c>
      <c r="Q1829" s="1">
        <v>6.7638501550000001</v>
      </c>
      <c r="R1829" s="1">
        <v>6.2855941240000002</v>
      </c>
      <c r="S1829" s="1">
        <v>6.4967339439999998</v>
      </c>
      <c r="T1829" s="1">
        <v>6.369232008</v>
      </c>
      <c r="U1829" s="1">
        <v>6.3311731590000004</v>
      </c>
      <c r="V1829" s="1">
        <v>6.8336846429999998</v>
      </c>
      <c r="W1829" s="1">
        <v>7.0283471970000004</v>
      </c>
      <c r="X1829" s="1">
        <v>6.5898507339999997</v>
      </c>
      <c r="Y1829" s="1">
        <v>6.8033735860000002</v>
      </c>
      <c r="Z1829" s="1">
        <v>6.2855941240000002</v>
      </c>
      <c r="AA1829" s="1">
        <v>6.4967339439999998</v>
      </c>
      <c r="AB1829" s="1">
        <v>6.6077920450000001</v>
      </c>
      <c r="AC1829" s="1">
        <v>6.5931430439999996</v>
      </c>
      <c r="AD1829" s="1">
        <v>6.9918821849999997</v>
      </c>
      <c r="AE1829" s="1">
        <v>6.8674836130000001</v>
      </c>
    </row>
    <row r="1830" spans="1:31" x14ac:dyDescent="0.25">
      <c r="A1830" s="1" t="s">
        <v>1604</v>
      </c>
      <c r="B1830" s="1" t="s">
        <v>2662</v>
      </c>
      <c r="C1830" s="1" t="s">
        <v>3721</v>
      </c>
      <c r="D1830" s="1" t="s">
        <v>4060</v>
      </c>
      <c r="E1830" s="1" t="s">
        <v>5363</v>
      </c>
      <c r="F1830" s="1" t="s">
        <v>5364</v>
      </c>
      <c r="G1830" s="1" t="s">
        <v>1604</v>
      </c>
      <c r="H1830" s="1">
        <v>5.946332924</v>
      </c>
      <c r="I1830" s="1">
        <v>6.9096458590000003</v>
      </c>
      <c r="J1830" s="1">
        <v>5.1501560140000002</v>
      </c>
      <c r="K1830" s="1">
        <v>5.3612725399999999</v>
      </c>
      <c r="L1830" s="1">
        <v>5.6016693059999998</v>
      </c>
      <c r="M1830" s="1">
        <v>5.3414536530000003</v>
      </c>
      <c r="N1830" s="1">
        <v>6.5782156179999998</v>
      </c>
      <c r="O1830" s="1">
        <v>6.478849479</v>
      </c>
      <c r="P1830" s="1">
        <v>5.4627121560000003</v>
      </c>
      <c r="Q1830" s="1">
        <v>4.4575363990000003</v>
      </c>
      <c r="R1830" s="1">
        <v>4.7472384160000001</v>
      </c>
      <c r="S1830" s="1">
        <v>4.9261733090000002</v>
      </c>
      <c r="T1830" s="1">
        <v>5.6016693059999998</v>
      </c>
      <c r="U1830" s="1">
        <v>5.3414536530000003</v>
      </c>
      <c r="V1830" s="1">
        <v>5.5807524949999996</v>
      </c>
      <c r="W1830" s="1">
        <v>6.2922055309999996</v>
      </c>
      <c r="X1830" s="1">
        <v>4.6102919370000004</v>
      </c>
      <c r="Y1830" s="1">
        <v>5.8352313850000002</v>
      </c>
      <c r="Z1830" s="1">
        <v>4.7472384160000001</v>
      </c>
      <c r="AA1830" s="1">
        <v>4.9261733090000002</v>
      </c>
      <c r="AB1830" s="1">
        <v>4.9601840040000003</v>
      </c>
      <c r="AC1830" s="1">
        <v>4.9145215069999999</v>
      </c>
      <c r="AD1830" s="1">
        <v>5.396704357</v>
      </c>
      <c r="AE1830" s="1">
        <v>4.8303216779999998</v>
      </c>
    </row>
    <row r="1831" spans="1:31" x14ac:dyDescent="0.25">
      <c r="A1831" s="1" t="s">
        <v>1606</v>
      </c>
      <c r="B1831" s="1" t="s">
        <v>2642</v>
      </c>
      <c r="C1831" s="1" t="s">
        <v>2643</v>
      </c>
      <c r="D1831" s="1" t="s">
        <v>2687</v>
      </c>
      <c r="E1831" s="1" t="s">
        <v>3726</v>
      </c>
      <c r="F1831" s="1" t="s">
        <v>3727</v>
      </c>
      <c r="G1831" s="1" t="s">
        <v>1606</v>
      </c>
      <c r="H1831" s="1">
        <v>1.7393328349999999</v>
      </c>
      <c r="I1831" s="1">
        <v>1.7393328349999999</v>
      </c>
      <c r="J1831" s="1">
        <v>1.7393328349999999</v>
      </c>
      <c r="K1831" s="1">
        <v>1.7393328349999999</v>
      </c>
      <c r="L1831" s="1">
        <v>1.7393328349999999</v>
      </c>
      <c r="M1831" s="1">
        <v>1.7393328349999999</v>
      </c>
      <c r="N1831" s="1">
        <v>1.7393328349999999</v>
      </c>
      <c r="O1831" s="1">
        <v>1.7393328349999999</v>
      </c>
      <c r="P1831" s="1">
        <v>1.7393328349999999</v>
      </c>
      <c r="Q1831" s="1">
        <v>2.597100669</v>
      </c>
      <c r="R1831" s="1">
        <v>1.7393328349999999</v>
      </c>
      <c r="S1831" s="1">
        <v>1.7393328349999999</v>
      </c>
      <c r="T1831" s="1">
        <v>1.7393328349999999</v>
      </c>
      <c r="U1831" s="1">
        <v>1.7393328349999999</v>
      </c>
      <c r="V1831" s="1">
        <v>1.7393328349999999</v>
      </c>
      <c r="W1831" s="1">
        <v>1.7393328349999999</v>
      </c>
      <c r="X1831" s="1">
        <v>1.7393328349999999</v>
      </c>
      <c r="Y1831" s="1">
        <v>1.7393328349999999</v>
      </c>
      <c r="Z1831" s="1">
        <v>1.7393328349999999</v>
      </c>
      <c r="AA1831" s="1">
        <v>1.7393328349999999</v>
      </c>
      <c r="AB1831" s="1">
        <v>1.7393328349999999</v>
      </c>
      <c r="AC1831" s="1">
        <v>1.7393328349999999</v>
      </c>
      <c r="AD1831" s="1">
        <v>1.7393328349999999</v>
      </c>
      <c r="AE1831" s="1">
        <v>1.7393328349999999</v>
      </c>
    </row>
    <row r="1832" spans="1:31" x14ac:dyDescent="0.25">
      <c r="A1832" s="1" t="s">
        <v>1609</v>
      </c>
      <c r="B1832" s="1" t="s">
        <v>2547</v>
      </c>
      <c r="C1832" s="1" t="s">
        <v>2694</v>
      </c>
      <c r="D1832" s="1" t="s">
        <v>4681</v>
      </c>
      <c r="E1832" s="1" t="s">
        <v>5365</v>
      </c>
      <c r="F1832" s="1" t="s">
        <v>5366</v>
      </c>
      <c r="G1832" s="1" t="s">
        <v>1609</v>
      </c>
      <c r="H1832" s="1">
        <v>5.5485883999999999</v>
      </c>
      <c r="I1832" s="1">
        <v>4.7893724280000001</v>
      </c>
      <c r="J1832" s="1">
        <v>6.4286153060000002</v>
      </c>
      <c r="K1832" s="1">
        <v>5.8870623049999997</v>
      </c>
      <c r="L1832" s="1">
        <v>6.7044560139999998</v>
      </c>
      <c r="M1832" s="1">
        <v>6.5770251660000003</v>
      </c>
      <c r="N1832" s="1">
        <v>5.1081614489999998</v>
      </c>
      <c r="O1832" s="1">
        <v>4.7903853170000001</v>
      </c>
      <c r="P1832" s="1">
        <v>6.3556532560000001</v>
      </c>
      <c r="Q1832" s="1">
        <v>6.4790268769999999</v>
      </c>
      <c r="R1832" s="1">
        <v>6.3297979870000001</v>
      </c>
      <c r="S1832" s="1">
        <v>6.2576799799999998</v>
      </c>
      <c r="T1832" s="1">
        <v>6.7044560139999998</v>
      </c>
      <c r="U1832" s="1">
        <v>6.5770251660000003</v>
      </c>
      <c r="V1832" s="1">
        <v>6.1419042490000004</v>
      </c>
      <c r="W1832" s="1">
        <v>6.6773173909999999</v>
      </c>
      <c r="X1832" s="1">
        <v>6.3215937049999997</v>
      </c>
      <c r="Y1832" s="1">
        <v>5.7678626939999997</v>
      </c>
      <c r="Z1832" s="1">
        <v>6.3297979870000001</v>
      </c>
      <c r="AA1832" s="1">
        <v>6.2576799799999998</v>
      </c>
      <c r="AB1832" s="1">
        <v>6.53236668</v>
      </c>
      <c r="AC1832" s="1">
        <v>6.6092721640000001</v>
      </c>
      <c r="AD1832" s="1">
        <v>5.8632235870000002</v>
      </c>
      <c r="AE1832" s="1">
        <v>6.1775384349999998</v>
      </c>
    </row>
    <row r="1833" spans="1:31" x14ac:dyDescent="0.25">
      <c r="A1833" s="1" t="s">
        <v>1611</v>
      </c>
      <c r="B1833" s="1" t="s">
        <v>2608</v>
      </c>
      <c r="C1833" s="1" t="s">
        <v>2700</v>
      </c>
      <c r="D1833" s="1" t="s">
        <v>3077</v>
      </c>
      <c r="E1833" s="1" t="s">
        <v>5367</v>
      </c>
      <c r="F1833" s="1" t="s">
        <v>5368</v>
      </c>
      <c r="G1833" s="1" t="s">
        <v>1611</v>
      </c>
      <c r="H1833" s="1">
        <v>4.0684382540000001</v>
      </c>
      <c r="I1833" s="1">
        <v>4.2055918060000002</v>
      </c>
      <c r="J1833" s="1">
        <v>4.2018709520000002</v>
      </c>
      <c r="K1833" s="1">
        <v>3.607491666</v>
      </c>
      <c r="L1833" s="1">
        <v>4.3335465510000004</v>
      </c>
      <c r="M1833" s="1">
        <v>4.1823509169999999</v>
      </c>
      <c r="N1833" s="1">
        <v>4.1562881980000004</v>
      </c>
      <c r="O1833" s="1">
        <v>4.0953574540000002</v>
      </c>
      <c r="P1833" s="1">
        <v>4.4075207919999997</v>
      </c>
      <c r="Q1833" s="1">
        <v>3.9718447549999998</v>
      </c>
      <c r="R1833" s="1">
        <v>4.2802026870000001</v>
      </c>
      <c r="S1833" s="1">
        <v>4.0285685429999996</v>
      </c>
      <c r="T1833" s="1">
        <v>4.3335465510000004</v>
      </c>
      <c r="U1833" s="1">
        <v>4.1823509169999999</v>
      </c>
      <c r="V1833" s="1">
        <v>4.1608706030000002</v>
      </c>
      <c r="W1833" s="1">
        <v>3.9848641250000001</v>
      </c>
      <c r="X1833" s="1">
        <v>3.8119046220000001</v>
      </c>
      <c r="Y1833" s="1">
        <v>4.0337379980000003</v>
      </c>
      <c r="Z1833" s="1">
        <v>4.2802026870000001</v>
      </c>
      <c r="AA1833" s="1">
        <v>4.0285685429999996</v>
      </c>
      <c r="AB1833" s="1">
        <v>4.2729702720000002</v>
      </c>
      <c r="AC1833" s="1">
        <v>3.8665622239999999</v>
      </c>
      <c r="AD1833" s="1">
        <v>4.0967699450000001</v>
      </c>
      <c r="AE1833" s="1">
        <v>3.5954838599999999</v>
      </c>
    </row>
    <row r="1834" spans="1:31" x14ac:dyDescent="0.25">
      <c r="A1834" s="1" t="s">
        <v>1612</v>
      </c>
      <c r="B1834" s="1" t="s">
        <v>2843</v>
      </c>
      <c r="C1834" s="1" t="s">
        <v>2903</v>
      </c>
      <c r="D1834" s="1" t="s">
        <v>5369</v>
      </c>
      <c r="E1834" s="1" t="s">
        <v>5370</v>
      </c>
      <c r="F1834" s="1" t="s">
        <v>5371</v>
      </c>
      <c r="G1834" s="1" t="s">
        <v>1612</v>
      </c>
      <c r="H1834" s="1">
        <v>4.2900513550000001</v>
      </c>
      <c r="I1834" s="1">
        <v>3.7806045529999999</v>
      </c>
      <c r="J1834" s="1">
        <v>5.1953777219999999</v>
      </c>
      <c r="K1834" s="1">
        <v>5.2674352469999999</v>
      </c>
      <c r="L1834" s="1">
        <v>5.5187262759999998</v>
      </c>
      <c r="M1834" s="1">
        <v>5.0913316819999999</v>
      </c>
      <c r="N1834" s="1">
        <v>4.1002678350000004</v>
      </c>
      <c r="O1834" s="1">
        <v>4.8663619410000001</v>
      </c>
      <c r="P1834" s="1">
        <v>5.5318451900000003</v>
      </c>
      <c r="Q1834" s="1">
        <v>5.8765740600000003</v>
      </c>
      <c r="R1834" s="1">
        <v>6.0146875240000002</v>
      </c>
      <c r="S1834" s="1">
        <v>5.2672271329999996</v>
      </c>
      <c r="T1834" s="1">
        <v>5.5187262759999998</v>
      </c>
      <c r="U1834" s="1">
        <v>5.0913316819999999</v>
      </c>
      <c r="V1834" s="1">
        <v>5.1274300740000003</v>
      </c>
      <c r="W1834" s="1">
        <v>4.6166922860000001</v>
      </c>
      <c r="X1834" s="1">
        <v>5.4623126839999996</v>
      </c>
      <c r="Y1834" s="1">
        <v>5.0702808140000002</v>
      </c>
      <c r="Z1834" s="1">
        <v>6.0146875240000002</v>
      </c>
      <c r="AA1834" s="1">
        <v>5.2672271329999996</v>
      </c>
      <c r="AB1834" s="1">
        <v>5.4196851610000003</v>
      </c>
      <c r="AC1834" s="1">
        <v>5.9236494000000004</v>
      </c>
      <c r="AD1834" s="1">
        <v>5.5571020090000003</v>
      </c>
      <c r="AE1834" s="1">
        <v>5.6110802550000001</v>
      </c>
    </row>
    <row r="1835" spans="1:31" x14ac:dyDescent="0.25">
      <c r="A1835" s="1" t="s">
        <v>1618</v>
      </c>
      <c r="B1835" s="1" t="s">
        <v>2547</v>
      </c>
      <c r="C1835" s="1" t="s">
        <v>2789</v>
      </c>
      <c r="D1835" s="1" t="s">
        <v>3231</v>
      </c>
      <c r="E1835" s="1" t="s">
        <v>5372</v>
      </c>
      <c r="F1835" s="1" t="s">
        <v>5373</v>
      </c>
      <c r="G1835" s="1" t="s">
        <v>1618</v>
      </c>
      <c r="H1835" s="1">
        <v>5.1686839359999999</v>
      </c>
      <c r="I1835" s="1">
        <v>4.2936285989999998</v>
      </c>
      <c r="J1835" s="1">
        <v>5.6488969620000002</v>
      </c>
      <c r="K1835" s="1">
        <v>5.3151275040000003</v>
      </c>
      <c r="L1835" s="1">
        <v>5.1055038850000001</v>
      </c>
      <c r="M1835" s="1">
        <v>5.3915279009999999</v>
      </c>
      <c r="N1835" s="1">
        <v>4.4510307109999996</v>
      </c>
      <c r="O1835" s="1">
        <v>4.7100516409999997</v>
      </c>
      <c r="P1835" s="1">
        <v>5.3134950500000002</v>
      </c>
      <c r="Q1835" s="1">
        <v>5.0479127070000001</v>
      </c>
      <c r="R1835" s="1">
        <v>5.4182058560000002</v>
      </c>
      <c r="S1835" s="1">
        <v>5.3098842800000003</v>
      </c>
      <c r="T1835" s="1">
        <v>5.1055038850000001</v>
      </c>
      <c r="U1835" s="1">
        <v>5.3915279009999999</v>
      </c>
      <c r="V1835" s="1">
        <v>5.6676649780000004</v>
      </c>
      <c r="W1835" s="1">
        <v>5.7645115660000004</v>
      </c>
      <c r="X1835" s="1">
        <v>5.3550813679999996</v>
      </c>
      <c r="Y1835" s="1">
        <v>5.1254702539999997</v>
      </c>
      <c r="Z1835" s="1">
        <v>5.4182058560000002</v>
      </c>
      <c r="AA1835" s="1">
        <v>5.3098842800000003</v>
      </c>
      <c r="AB1835" s="1">
        <v>4.705867896</v>
      </c>
      <c r="AC1835" s="1">
        <v>5.4356573160000003</v>
      </c>
      <c r="AD1835" s="1">
        <v>5.6310130599999999</v>
      </c>
      <c r="AE1835" s="1">
        <v>5.6842896700000001</v>
      </c>
    </row>
    <row r="1836" spans="1:31" x14ac:dyDescent="0.25">
      <c r="A1836" s="1" t="s">
        <v>1619</v>
      </c>
      <c r="B1836" s="1" t="s">
        <v>2568</v>
      </c>
      <c r="C1836" s="1" t="s">
        <v>2569</v>
      </c>
      <c r="D1836" s="1" t="s">
        <v>5374</v>
      </c>
      <c r="E1836" s="1" t="s">
        <v>5375</v>
      </c>
      <c r="F1836" s="1" t="s">
        <v>5376</v>
      </c>
      <c r="G1836" s="1" t="s">
        <v>1619</v>
      </c>
      <c r="H1836" s="1">
        <v>5.4177093730000001</v>
      </c>
      <c r="I1836" s="1">
        <v>4.9575946069999999</v>
      </c>
      <c r="J1836" s="1">
        <v>5.6488969620000002</v>
      </c>
      <c r="K1836" s="1">
        <v>5.5719358019999996</v>
      </c>
      <c r="L1836" s="1">
        <v>5.2974536179999996</v>
      </c>
      <c r="M1836" s="1">
        <v>5.2079667260000004</v>
      </c>
      <c r="N1836" s="1">
        <v>6.1017809820000002</v>
      </c>
      <c r="O1836" s="1">
        <v>5.600077969</v>
      </c>
      <c r="P1836" s="1">
        <v>5.2325771159999999</v>
      </c>
      <c r="Q1836" s="1">
        <v>5.2931690810000003</v>
      </c>
      <c r="R1836" s="1">
        <v>5.4981688889999996</v>
      </c>
      <c r="S1836" s="1">
        <v>5.2232498669999998</v>
      </c>
      <c r="T1836" s="1">
        <v>5.2974536179999996</v>
      </c>
      <c r="U1836" s="1">
        <v>5.2079667260000004</v>
      </c>
      <c r="V1836" s="1">
        <v>5.0428039150000004</v>
      </c>
      <c r="W1836" s="1">
        <v>5.2236621110000003</v>
      </c>
      <c r="X1836" s="1">
        <v>5.0029944190000002</v>
      </c>
      <c r="Y1836" s="1">
        <v>5.8019430659999998</v>
      </c>
      <c r="Z1836" s="1">
        <v>5.4981688889999996</v>
      </c>
      <c r="AA1836" s="1">
        <v>5.2232498669999998</v>
      </c>
      <c r="AB1836" s="1">
        <v>4.8804215500000003</v>
      </c>
      <c r="AC1836" s="1">
        <v>5.6067493529999997</v>
      </c>
      <c r="AD1836" s="1">
        <v>5.3091856960000001</v>
      </c>
      <c r="AE1836" s="1">
        <v>5.3658215939999998</v>
      </c>
    </row>
    <row r="1837" spans="1:31" x14ac:dyDescent="0.25">
      <c r="A1837" s="1" t="s">
        <v>1620</v>
      </c>
      <c r="B1837" s="1" t="s">
        <v>2539</v>
      </c>
      <c r="C1837" s="1" t="s">
        <v>2606</v>
      </c>
      <c r="D1837" s="1" t="s">
        <v>2939</v>
      </c>
      <c r="E1837" s="1" t="s">
        <v>5377</v>
      </c>
      <c r="F1837" s="1" t="s">
        <v>5378</v>
      </c>
      <c r="G1837" s="1" t="s">
        <v>1620</v>
      </c>
      <c r="H1837" s="1">
        <v>5.2221022919999998</v>
      </c>
      <c r="I1837" s="1">
        <v>5.5529645800000003</v>
      </c>
      <c r="J1837" s="1">
        <v>5.1501560140000002</v>
      </c>
      <c r="K1837" s="1">
        <v>6.0361807939999998</v>
      </c>
      <c r="L1837" s="1">
        <v>5.5015434460000003</v>
      </c>
      <c r="M1837" s="1">
        <v>5.2628748920000001</v>
      </c>
      <c r="N1837" s="1">
        <v>5.7957915680000003</v>
      </c>
      <c r="O1837" s="1">
        <v>5.4612405070000003</v>
      </c>
      <c r="P1837" s="1">
        <v>5.660815296</v>
      </c>
      <c r="Q1837" s="1">
        <v>5.4222740280000004</v>
      </c>
      <c r="R1837" s="1">
        <v>5.4981688889999996</v>
      </c>
      <c r="S1837" s="1">
        <v>4.7503017500000002</v>
      </c>
      <c r="T1837" s="1">
        <v>5.5015434460000003</v>
      </c>
      <c r="U1837" s="1">
        <v>5.2628748920000001</v>
      </c>
      <c r="V1837" s="1">
        <v>5.7228043460000002</v>
      </c>
      <c r="W1837" s="1">
        <v>5.6874298530000003</v>
      </c>
      <c r="X1837" s="1">
        <v>5.2630731749999997</v>
      </c>
      <c r="Y1837" s="1">
        <v>5.3731782380000004</v>
      </c>
      <c r="Z1837" s="1">
        <v>5.4981688889999996</v>
      </c>
      <c r="AA1837" s="1">
        <v>4.7503017500000002</v>
      </c>
      <c r="AB1837" s="1">
        <v>5.2406211000000003</v>
      </c>
      <c r="AC1837" s="1">
        <v>4.7474570290000004</v>
      </c>
      <c r="AD1837" s="1">
        <v>5.2633210659999996</v>
      </c>
      <c r="AE1837" s="1">
        <v>5.3658215939999998</v>
      </c>
    </row>
    <row r="1838" spans="1:31" x14ac:dyDescent="0.25">
      <c r="A1838" s="1" t="s">
        <v>1621</v>
      </c>
      <c r="B1838" s="1" t="s">
        <v>2530</v>
      </c>
      <c r="C1838" s="1" t="s">
        <v>2531</v>
      </c>
      <c r="D1838" s="1" t="s">
        <v>2535</v>
      </c>
      <c r="E1838" s="1" t="s">
        <v>2536</v>
      </c>
      <c r="G1838" s="1" t="s">
        <v>1621</v>
      </c>
      <c r="H1838" s="1">
        <v>7.2082969639999996</v>
      </c>
      <c r="I1838" s="1">
        <v>6.8262016389999998</v>
      </c>
      <c r="J1838" s="1">
        <v>6.5196869069999996</v>
      </c>
      <c r="K1838" s="1">
        <v>6.1452362870000004</v>
      </c>
      <c r="L1838" s="1">
        <v>6.3212530779999998</v>
      </c>
      <c r="M1838" s="1">
        <v>6.6089531670000001</v>
      </c>
      <c r="N1838" s="1">
        <v>6.1558623460000002</v>
      </c>
      <c r="O1838" s="1">
        <v>6.3409804589999998</v>
      </c>
      <c r="P1838" s="1">
        <v>6.5672408280000001</v>
      </c>
      <c r="Q1838" s="1">
        <v>6.123526483</v>
      </c>
      <c r="R1838" s="1">
        <v>6.4143264479999997</v>
      </c>
      <c r="S1838" s="1">
        <v>6.6856618179999998</v>
      </c>
      <c r="T1838" s="1">
        <v>6.3212530779999998</v>
      </c>
      <c r="U1838" s="1">
        <v>6.6089531670000001</v>
      </c>
      <c r="V1838" s="1">
        <v>6.3484277020000004</v>
      </c>
      <c r="W1838" s="1">
        <v>6.3925275360000002</v>
      </c>
      <c r="X1838" s="1">
        <v>6.6632496019999996</v>
      </c>
      <c r="Y1838" s="1">
        <v>6.5668682929999997</v>
      </c>
      <c r="Z1838" s="1">
        <v>6.4143264479999997</v>
      </c>
      <c r="AA1838" s="1">
        <v>6.6856618179999998</v>
      </c>
      <c r="AB1838" s="1">
        <v>6.53236668</v>
      </c>
      <c r="AC1838" s="1">
        <v>6.7468364870000004</v>
      </c>
      <c r="AD1838" s="1">
        <v>6.6102586299999997</v>
      </c>
      <c r="AE1838" s="1">
        <v>6.6110350100000002</v>
      </c>
    </row>
    <row r="1839" spans="1:31" x14ac:dyDescent="0.25">
      <c r="A1839" s="1" t="s">
        <v>1623</v>
      </c>
      <c r="B1839" s="1" t="s">
        <v>2557</v>
      </c>
      <c r="C1839" s="1" t="s">
        <v>2531</v>
      </c>
      <c r="D1839" s="1" t="s">
        <v>3748</v>
      </c>
      <c r="E1839" s="1" t="s">
        <v>5379</v>
      </c>
      <c r="F1839" s="1" t="s">
        <v>5380</v>
      </c>
      <c r="G1839" s="1" t="s">
        <v>1623</v>
      </c>
      <c r="H1839" s="1">
        <v>5.8483408880000001</v>
      </c>
      <c r="I1839" s="1">
        <v>5.9455889470000001</v>
      </c>
      <c r="J1839" s="1">
        <v>5.8310524639999999</v>
      </c>
      <c r="K1839" s="1">
        <v>5.8227835140000002</v>
      </c>
      <c r="L1839" s="1">
        <v>5.2974536179999996</v>
      </c>
      <c r="M1839" s="1">
        <v>5.4866876930000004</v>
      </c>
      <c r="N1839" s="1">
        <v>6.4326062579999999</v>
      </c>
      <c r="O1839" s="1">
        <v>6.5142648510000001</v>
      </c>
      <c r="P1839" s="1">
        <v>6.2573947350000001</v>
      </c>
      <c r="Q1839" s="1">
        <v>5.9637007390000001</v>
      </c>
      <c r="R1839" s="1">
        <v>6.2855941240000002</v>
      </c>
      <c r="S1839" s="1">
        <v>6.145010976</v>
      </c>
      <c r="T1839" s="1">
        <v>5.2974536179999996</v>
      </c>
      <c r="U1839" s="1">
        <v>5.4866876930000004</v>
      </c>
      <c r="V1839" s="1">
        <v>6.6473747999999997</v>
      </c>
      <c r="W1839" s="1">
        <v>6.0977940090000002</v>
      </c>
      <c r="X1839" s="1">
        <v>5.9771755410000003</v>
      </c>
      <c r="Y1839" s="1">
        <v>6.0769070919999999</v>
      </c>
      <c r="Z1839" s="1">
        <v>6.2855941240000002</v>
      </c>
      <c r="AA1839" s="1">
        <v>6.145010976</v>
      </c>
      <c r="AB1839" s="1">
        <v>5.7218462399999996</v>
      </c>
      <c r="AC1839" s="1">
        <v>5.9236494000000004</v>
      </c>
      <c r="AD1839" s="1">
        <v>5.8322684330000003</v>
      </c>
      <c r="AE1839" s="1">
        <v>6.1390820970000002</v>
      </c>
    </row>
    <row r="1840" spans="1:31" x14ac:dyDescent="0.25">
      <c r="A1840" s="1" t="s">
        <v>1624</v>
      </c>
      <c r="B1840" s="1" t="s">
        <v>2530</v>
      </c>
      <c r="C1840" s="1" t="s">
        <v>2531</v>
      </c>
      <c r="D1840" s="1" t="s">
        <v>2535</v>
      </c>
      <c r="E1840" s="1" t="s">
        <v>2536</v>
      </c>
      <c r="G1840" s="1" t="s">
        <v>1624</v>
      </c>
      <c r="H1840" s="1">
        <v>7.0705901190000002</v>
      </c>
      <c r="I1840" s="1">
        <v>7.500012935</v>
      </c>
      <c r="J1840" s="1">
        <v>6.7325823309999997</v>
      </c>
      <c r="K1840" s="1">
        <v>6.9030258440000001</v>
      </c>
      <c r="L1840" s="1">
        <v>6.8534718039999998</v>
      </c>
      <c r="M1840" s="1">
        <v>6.7396661670000002</v>
      </c>
      <c r="N1840" s="1">
        <v>7.3429054130000004</v>
      </c>
      <c r="O1840" s="1">
        <v>7.5612411909999997</v>
      </c>
      <c r="P1840" s="1">
        <v>7.3555228489999998</v>
      </c>
      <c r="Q1840" s="1">
        <v>7.3841412809999998</v>
      </c>
      <c r="R1840" s="1">
        <v>6.6762859529999998</v>
      </c>
      <c r="S1840" s="1">
        <v>6.8526476350000003</v>
      </c>
      <c r="T1840" s="1">
        <v>6.8534718039999998</v>
      </c>
      <c r="U1840" s="1">
        <v>6.7396661670000002</v>
      </c>
      <c r="V1840" s="1">
        <v>6.8084999039999996</v>
      </c>
      <c r="W1840" s="1">
        <v>6.4165513509999998</v>
      </c>
      <c r="X1840" s="1">
        <v>6.5419998750000001</v>
      </c>
      <c r="Y1840" s="1">
        <v>7.1185527400000002</v>
      </c>
      <c r="Z1840" s="1">
        <v>6.6762859529999998</v>
      </c>
      <c r="AA1840" s="1">
        <v>6.8526476350000003</v>
      </c>
      <c r="AB1840" s="1">
        <v>6.3685053089999997</v>
      </c>
      <c r="AC1840" s="1">
        <v>6.4748747230000001</v>
      </c>
      <c r="AD1840" s="1">
        <v>6.4966454860000002</v>
      </c>
      <c r="AE1840" s="1">
        <v>6.8277897879999996</v>
      </c>
    </row>
    <row r="1841" spans="1:31" x14ac:dyDescent="0.25">
      <c r="A1841" s="1" t="s">
        <v>1625</v>
      </c>
      <c r="B1841" s="1" t="s">
        <v>2530</v>
      </c>
      <c r="C1841" s="1" t="s">
        <v>2531</v>
      </c>
      <c r="D1841" s="1" t="s">
        <v>2535</v>
      </c>
      <c r="E1841" s="1" t="s">
        <v>2562</v>
      </c>
      <c r="G1841" s="1" t="s">
        <v>1625</v>
      </c>
      <c r="H1841" s="1">
        <v>5.8141293449999996</v>
      </c>
      <c r="I1841" s="1">
        <v>5.7169522959999997</v>
      </c>
      <c r="J1841" s="1">
        <v>4.5940881259999999</v>
      </c>
      <c r="K1841" s="1">
        <v>4.2434183680000004</v>
      </c>
      <c r="L1841" s="1">
        <v>4.4838783849999997</v>
      </c>
      <c r="M1841" s="1">
        <v>4.3473799800000004</v>
      </c>
      <c r="N1841" s="1">
        <v>6.1951276320000002</v>
      </c>
      <c r="O1841" s="1">
        <v>5.8428635399999997</v>
      </c>
      <c r="P1841" s="1">
        <v>5.0074447400000004</v>
      </c>
      <c r="Q1841" s="1">
        <v>5.3375178869999997</v>
      </c>
      <c r="R1841" s="1">
        <v>4.2802026870000001</v>
      </c>
      <c r="S1841" s="1">
        <v>4.2250836859999996</v>
      </c>
      <c r="T1841" s="1">
        <v>4.4838783849999997</v>
      </c>
      <c r="U1841" s="1">
        <v>4.3473799800000004</v>
      </c>
      <c r="V1841" s="1">
        <v>4.3879408260000003</v>
      </c>
      <c r="W1841" s="1">
        <v>3.6840067150000002</v>
      </c>
      <c r="X1841" s="1">
        <v>4.1154863700000002</v>
      </c>
      <c r="Y1841" s="1">
        <v>4.3509215530000001</v>
      </c>
      <c r="Z1841" s="1">
        <v>4.2802026870000001</v>
      </c>
      <c r="AA1841" s="1">
        <v>4.2250836859999996</v>
      </c>
      <c r="AB1841" s="1">
        <v>4.2729702720000002</v>
      </c>
      <c r="AC1841" s="1">
        <v>4.0753403910000001</v>
      </c>
      <c r="AD1841" s="1">
        <v>4.3870463700000002</v>
      </c>
      <c r="AE1841" s="1">
        <v>4.893979055</v>
      </c>
    </row>
    <row r="1842" spans="1:31" x14ac:dyDescent="0.25">
      <c r="A1842" s="1" t="s">
        <v>1626</v>
      </c>
      <c r="B1842" s="1" t="s">
        <v>2667</v>
      </c>
      <c r="C1842" s="1" t="s">
        <v>3441</v>
      </c>
      <c r="D1842" s="1" t="s">
        <v>3662</v>
      </c>
      <c r="E1842" s="1" t="s">
        <v>5381</v>
      </c>
      <c r="F1842" s="1" t="s">
        <v>5382</v>
      </c>
      <c r="G1842" s="1" t="s">
        <v>1626</v>
      </c>
      <c r="H1842" s="1">
        <v>4.995162745</v>
      </c>
      <c r="I1842" s="1">
        <v>6.0719413549999999</v>
      </c>
      <c r="J1842" s="1">
        <v>6.7627112289999998</v>
      </c>
      <c r="K1842" s="1">
        <v>6.6677525500000003</v>
      </c>
      <c r="L1842" s="1">
        <v>7.3879899020000002</v>
      </c>
      <c r="M1842" s="1">
        <v>7.5976191770000003</v>
      </c>
      <c r="N1842" s="1">
        <v>6.2705786610000001</v>
      </c>
      <c r="O1842" s="1">
        <v>6.0178362080000003</v>
      </c>
      <c r="P1842" s="1">
        <v>7.0384759670000001</v>
      </c>
      <c r="Q1842" s="1">
        <v>7.2637368679999996</v>
      </c>
      <c r="R1842" s="1">
        <v>7.2930261510000003</v>
      </c>
      <c r="S1842" s="1">
        <v>7.3556661600000002</v>
      </c>
      <c r="T1842" s="1">
        <v>7.3879899020000002</v>
      </c>
      <c r="U1842" s="1">
        <v>7.5976191770000003</v>
      </c>
      <c r="V1842" s="1">
        <v>7.4368040840000003</v>
      </c>
      <c r="W1842" s="1">
        <v>7.4093709079999996</v>
      </c>
      <c r="X1842" s="1">
        <v>6.6452477740000004</v>
      </c>
      <c r="Y1842" s="1">
        <v>7.0353119980000001</v>
      </c>
      <c r="Z1842" s="1">
        <v>7.2930261510000003</v>
      </c>
      <c r="AA1842" s="1">
        <v>7.3556661600000002</v>
      </c>
      <c r="AB1842" s="1">
        <v>6.8547782980000003</v>
      </c>
      <c r="AC1842" s="1">
        <v>7.1287405320000001</v>
      </c>
      <c r="AD1842" s="1">
        <v>6.6102586299999997</v>
      </c>
      <c r="AE1842" s="1">
        <v>6.7104478619999997</v>
      </c>
    </row>
    <row r="1843" spans="1:31" x14ac:dyDescent="0.25">
      <c r="A1843" s="1" t="s">
        <v>1631</v>
      </c>
      <c r="B1843" s="1" t="s">
        <v>2547</v>
      </c>
      <c r="C1843" s="1" t="s">
        <v>3061</v>
      </c>
      <c r="D1843" s="1" t="s">
        <v>3117</v>
      </c>
      <c r="E1843" s="1" t="s">
        <v>3118</v>
      </c>
      <c r="F1843" s="1" t="s">
        <v>3119</v>
      </c>
      <c r="G1843" s="1" t="s">
        <v>1631</v>
      </c>
      <c r="H1843" s="1">
        <v>6.0081283179999998</v>
      </c>
      <c r="I1843" s="1">
        <v>6.395465862</v>
      </c>
      <c r="J1843" s="1">
        <v>6.5019279570000004</v>
      </c>
      <c r="K1843" s="1">
        <v>5.7895293819999996</v>
      </c>
      <c r="L1843" s="1">
        <v>6.8668915000000004</v>
      </c>
      <c r="M1843" s="1">
        <v>6.8416956539999996</v>
      </c>
      <c r="N1843" s="1">
        <v>6.2079811459999998</v>
      </c>
      <c r="O1843" s="1">
        <v>6.1287443579999996</v>
      </c>
      <c r="P1843" s="1">
        <v>6.4476246020000003</v>
      </c>
      <c r="Q1843" s="1">
        <v>6.6284720950000002</v>
      </c>
      <c r="R1843" s="1">
        <v>6.7593779009999997</v>
      </c>
      <c r="S1843" s="1">
        <v>6.8382423799999996</v>
      </c>
      <c r="T1843" s="1">
        <v>6.8668915000000004</v>
      </c>
      <c r="U1843" s="1">
        <v>6.8416956539999996</v>
      </c>
      <c r="V1843" s="1">
        <v>7.1566270159999998</v>
      </c>
      <c r="W1843" s="1">
        <v>6.6164205459999996</v>
      </c>
      <c r="X1843" s="1">
        <v>6.894159889</v>
      </c>
      <c r="Y1843" s="1">
        <v>7.0495236999999999</v>
      </c>
      <c r="Z1843" s="1">
        <v>6.7593779009999997</v>
      </c>
      <c r="AA1843" s="1">
        <v>6.8382423799999996</v>
      </c>
      <c r="AB1843" s="1">
        <v>6.6559655099999997</v>
      </c>
      <c r="AC1843" s="1">
        <v>6.7173824599999996</v>
      </c>
      <c r="AD1843" s="1">
        <v>6.7977787940000001</v>
      </c>
      <c r="AE1843" s="1">
        <v>6.5537692129999998</v>
      </c>
    </row>
    <row r="1844" spans="1:31" x14ac:dyDescent="0.25">
      <c r="A1844" s="1" t="s">
        <v>1632</v>
      </c>
      <c r="B1844" s="1" t="s">
        <v>2608</v>
      </c>
      <c r="C1844" s="1" t="s">
        <v>2609</v>
      </c>
      <c r="D1844" s="1" t="s">
        <v>4459</v>
      </c>
      <c r="E1844" s="1" t="s">
        <v>5383</v>
      </c>
      <c r="F1844" s="1" t="s">
        <v>5384</v>
      </c>
      <c r="G1844" s="1" t="s">
        <v>1632</v>
      </c>
      <c r="H1844" s="1">
        <v>3.8023684370000002</v>
      </c>
      <c r="I1844" s="1">
        <v>3.3322126910000001</v>
      </c>
      <c r="J1844" s="1">
        <v>4.4503473070000004</v>
      </c>
      <c r="K1844" s="1">
        <v>3.607491666</v>
      </c>
      <c r="L1844" s="1">
        <v>4.4478088219999998</v>
      </c>
      <c r="M1844" s="1">
        <v>4.5403831759999997</v>
      </c>
      <c r="N1844" s="1">
        <v>3.9164981490000002</v>
      </c>
      <c r="O1844" s="1">
        <v>4.2189785100000003</v>
      </c>
      <c r="P1844" s="1">
        <v>4.2485661720000003</v>
      </c>
      <c r="Q1844" s="1">
        <v>3.9718447549999998</v>
      </c>
      <c r="R1844" s="1">
        <v>4.1841942410000001</v>
      </c>
      <c r="S1844" s="1">
        <v>4.1304223819999999</v>
      </c>
      <c r="T1844" s="1">
        <v>4.4478088219999998</v>
      </c>
      <c r="U1844" s="1">
        <v>4.5403831759999997</v>
      </c>
      <c r="V1844" s="1">
        <v>4.5826682710000002</v>
      </c>
      <c r="W1844" s="1">
        <v>4.1128053839999996</v>
      </c>
      <c r="X1844" s="1">
        <v>4.2198471</v>
      </c>
      <c r="Y1844" s="1">
        <v>4.2532353330000001</v>
      </c>
      <c r="Z1844" s="1">
        <v>4.1841942410000001</v>
      </c>
      <c r="AA1844" s="1">
        <v>4.1304223819999999</v>
      </c>
      <c r="AB1844" s="1">
        <v>3.404153038</v>
      </c>
      <c r="AC1844" s="1">
        <v>4.1685844940000001</v>
      </c>
      <c r="AD1844" s="1">
        <v>4.2005997429999997</v>
      </c>
      <c r="AE1844" s="1">
        <v>4.5014252270000004</v>
      </c>
    </row>
    <row r="1845" spans="1:31" x14ac:dyDescent="0.25">
      <c r="A1845" s="1" t="s">
        <v>1633</v>
      </c>
      <c r="B1845" s="1" t="s">
        <v>2520</v>
      </c>
      <c r="C1845" s="1" t="s">
        <v>2521</v>
      </c>
      <c r="D1845" s="1" t="s">
        <v>3279</v>
      </c>
      <c r="E1845" s="1" t="s">
        <v>5385</v>
      </c>
      <c r="F1845" s="1" t="s">
        <v>5386</v>
      </c>
      <c r="G1845" s="1" t="s">
        <v>1633</v>
      </c>
      <c r="H1845" s="1">
        <v>7.2213707080000002</v>
      </c>
      <c r="I1845" s="1">
        <v>6.9756704020000004</v>
      </c>
      <c r="J1845" s="1">
        <v>5.9407738800000001</v>
      </c>
      <c r="K1845" s="1">
        <v>5.8870623049999997</v>
      </c>
      <c r="L1845" s="1">
        <v>5.4841512059999999</v>
      </c>
      <c r="M1845" s="1">
        <v>5.3414536530000003</v>
      </c>
      <c r="N1845" s="1">
        <v>6.8064250089999998</v>
      </c>
      <c r="O1845" s="1">
        <v>6.9183032080000002</v>
      </c>
      <c r="P1845" s="1">
        <v>6.1298655379999998</v>
      </c>
      <c r="Q1845" s="1">
        <v>6.1972278550000004</v>
      </c>
      <c r="R1845" s="1">
        <v>5.7472990829999997</v>
      </c>
      <c r="S1845" s="1">
        <v>5.9168316079999999</v>
      </c>
      <c r="T1845" s="1">
        <v>5.4841512059999999</v>
      </c>
      <c r="U1845" s="1">
        <v>5.3414536530000003</v>
      </c>
      <c r="V1845" s="1">
        <v>6.276714932</v>
      </c>
      <c r="W1845" s="1">
        <v>6.1843530070000003</v>
      </c>
      <c r="X1845" s="1">
        <v>6.227863213</v>
      </c>
      <c r="Y1845" s="1">
        <v>6.421343255</v>
      </c>
      <c r="Z1845" s="1">
        <v>5.7472990829999997</v>
      </c>
      <c r="AA1845" s="1">
        <v>5.9168316079999999</v>
      </c>
      <c r="AB1845" s="1">
        <v>6.3685053089999997</v>
      </c>
      <c r="AC1845" s="1">
        <v>5.9744301399999999</v>
      </c>
      <c r="AD1845" s="1">
        <v>6.4966454860000002</v>
      </c>
      <c r="AE1845" s="1">
        <v>6.5634731559999997</v>
      </c>
    </row>
    <row r="1846" spans="1:31" x14ac:dyDescent="0.25">
      <c r="A1846" s="1" t="s">
        <v>1636</v>
      </c>
      <c r="B1846" s="1" t="s">
        <v>2520</v>
      </c>
      <c r="C1846" s="1" t="s">
        <v>2521</v>
      </c>
      <c r="D1846" s="1" t="s">
        <v>2535</v>
      </c>
      <c r="E1846" s="1" t="s">
        <v>3958</v>
      </c>
      <c r="F1846" s="1" t="s">
        <v>3959</v>
      </c>
      <c r="G1846" s="1" t="s">
        <v>1636</v>
      </c>
      <c r="H1846" s="1">
        <v>5.8141293449999996</v>
      </c>
      <c r="I1846" s="1">
        <v>5.4447012069999996</v>
      </c>
      <c r="J1846" s="1">
        <v>5.5131441250000002</v>
      </c>
      <c r="K1846" s="1">
        <v>5.2674352469999999</v>
      </c>
      <c r="L1846" s="1">
        <v>4.9864364329999997</v>
      </c>
      <c r="M1846" s="1">
        <v>4.709731562</v>
      </c>
      <c r="N1846" s="1">
        <v>6.1690703840000003</v>
      </c>
      <c r="O1846" s="1">
        <v>6.1589202040000002</v>
      </c>
      <c r="P1846" s="1">
        <v>4.3303557189999999</v>
      </c>
      <c r="Q1846" s="1">
        <v>4.7509440400000003</v>
      </c>
      <c r="R1846" s="1">
        <v>4.6795267799999998</v>
      </c>
      <c r="S1846" s="1">
        <v>4.0285685429999996</v>
      </c>
      <c r="T1846" s="1">
        <v>4.9864364329999997</v>
      </c>
      <c r="U1846" s="1">
        <v>4.709731562</v>
      </c>
      <c r="V1846" s="1">
        <v>5.2828838410000003</v>
      </c>
      <c r="W1846" s="1">
        <v>4.9190341039999996</v>
      </c>
      <c r="X1846" s="1">
        <v>4.8203448399999997</v>
      </c>
      <c r="Y1846" s="1">
        <v>4.5275934409999996</v>
      </c>
      <c r="Z1846" s="1">
        <v>4.6795267799999998</v>
      </c>
      <c r="AA1846" s="1">
        <v>4.0285685429999996</v>
      </c>
      <c r="AB1846" s="1">
        <v>4.8804215500000003</v>
      </c>
      <c r="AC1846" s="1">
        <v>4.415017905</v>
      </c>
      <c r="AD1846" s="1">
        <v>4.6264106470000002</v>
      </c>
      <c r="AE1846" s="1">
        <v>4.6199010239999998</v>
      </c>
    </row>
    <row r="1847" spans="1:31" x14ac:dyDescent="0.25">
      <c r="A1847" s="1" t="s">
        <v>1637</v>
      </c>
      <c r="B1847" s="1" t="s">
        <v>2608</v>
      </c>
      <c r="C1847" s="1" t="s">
        <v>2609</v>
      </c>
      <c r="D1847" s="1" t="s">
        <v>4063</v>
      </c>
      <c r="E1847" s="1" t="s">
        <v>5387</v>
      </c>
      <c r="F1847" s="1" t="s">
        <v>5388</v>
      </c>
      <c r="G1847" s="1" t="s">
        <v>1637</v>
      </c>
      <c r="H1847" s="1">
        <v>5.2221022919999998</v>
      </c>
      <c r="I1847" s="1">
        <v>5.8070199389999999</v>
      </c>
      <c r="J1847" s="1">
        <v>5.8869626679999998</v>
      </c>
      <c r="K1847" s="1">
        <v>5.8552832600000002</v>
      </c>
      <c r="L1847" s="1">
        <v>5.7971864540000002</v>
      </c>
      <c r="M1847" s="1">
        <v>6.0026802679999998</v>
      </c>
      <c r="N1847" s="1">
        <v>5.7436907640000001</v>
      </c>
      <c r="O1847" s="1">
        <v>5.0400854920000002</v>
      </c>
      <c r="P1847" s="1">
        <v>5.9144375350000002</v>
      </c>
      <c r="Q1847" s="1">
        <v>6.0722034220000003</v>
      </c>
      <c r="R1847" s="1">
        <v>5.0440296189999998</v>
      </c>
      <c r="S1847" s="1">
        <v>5.8024660560000001</v>
      </c>
      <c r="T1847" s="1">
        <v>5.7971864540000002</v>
      </c>
      <c r="U1847" s="1">
        <v>6.0026802679999998</v>
      </c>
      <c r="V1847" s="1">
        <v>5.5807524949999996</v>
      </c>
      <c r="W1847" s="1">
        <v>6.3680955829999997</v>
      </c>
      <c r="X1847" s="1">
        <v>5.3550813679999996</v>
      </c>
      <c r="Y1847" s="1">
        <v>5.9611531490000003</v>
      </c>
      <c r="Z1847" s="1">
        <v>5.0440296189999998</v>
      </c>
      <c r="AA1847" s="1">
        <v>5.8024660560000001</v>
      </c>
      <c r="AB1847" s="1">
        <v>4.705867896</v>
      </c>
      <c r="AC1847" s="1">
        <v>5.3221936159999998</v>
      </c>
      <c r="AD1847" s="1">
        <v>5.2633210659999996</v>
      </c>
      <c r="AE1847" s="1">
        <v>5.3658215939999998</v>
      </c>
    </row>
    <row r="1848" spans="1:31" x14ac:dyDescent="0.25">
      <c r="A1848" s="1" t="s">
        <v>1638</v>
      </c>
      <c r="B1848" s="1" t="s">
        <v>2539</v>
      </c>
      <c r="C1848" s="1" t="s">
        <v>2540</v>
      </c>
      <c r="D1848" s="1" t="s">
        <v>2535</v>
      </c>
      <c r="E1848" s="1" t="s">
        <v>4000</v>
      </c>
      <c r="G1848" s="1" t="s">
        <v>1638</v>
      </c>
      <c r="H1848" s="1">
        <v>7.0560670449999998</v>
      </c>
      <c r="I1848" s="1">
        <v>6.8823647440000002</v>
      </c>
      <c r="J1848" s="1">
        <v>6.7325823309999997</v>
      </c>
      <c r="K1848" s="1">
        <v>6.6493796840000003</v>
      </c>
      <c r="L1848" s="1">
        <v>7.3164640260000002</v>
      </c>
      <c r="M1848" s="1">
        <v>7.154388333</v>
      </c>
      <c r="N1848" s="1">
        <v>7.0751784710000001</v>
      </c>
      <c r="O1848" s="1">
        <v>6.909468521</v>
      </c>
      <c r="P1848" s="1">
        <v>7.0025694749999996</v>
      </c>
      <c r="Q1848" s="1">
        <v>7.1693867569999998</v>
      </c>
      <c r="R1848" s="1">
        <v>6.8830922379999997</v>
      </c>
      <c r="S1848" s="1">
        <v>6.7639721039999996</v>
      </c>
      <c r="T1848" s="1">
        <v>7.3164640260000002</v>
      </c>
      <c r="U1848" s="1">
        <v>7.154388333</v>
      </c>
      <c r="V1848" s="1">
        <v>6.9302380990000003</v>
      </c>
      <c r="W1848" s="1">
        <v>6.6970570279999997</v>
      </c>
      <c r="X1848" s="1">
        <v>7.3534945570000003</v>
      </c>
      <c r="Y1848" s="1">
        <v>6.8365428660000003</v>
      </c>
      <c r="Z1848" s="1">
        <v>6.8830922379999997</v>
      </c>
      <c r="AA1848" s="1">
        <v>6.7639721039999996</v>
      </c>
      <c r="AB1848" s="1">
        <v>7.0655447640000002</v>
      </c>
      <c r="AC1848" s="1">
        <v>6.7321847869999996</v>
      </c>
      <c r="AD1848" s="1">
        <v>7.06008602</v>
      </c>
      <c r="AE1848" s="1">
        <v>7.0019538289999996</v>
      </c>
    </row>
    <row r="1849" spans="1:31" x14ac:dyDescent="0.25">
      <c r="A1849" s="1" t="s">
        <v>1639</v>
      </c>
      <c r="B1849" s="1" t="s">
        <v>2598</v>
      </c>
      <c r="C1849" s="1" t="s">
        <v>2603</v>
      </c>
      <c r="D1849" s="1" t="s">
        <v>2604</v>
      </c>
      <c r="E1849" s="1" t="s">
        <v>5389</v>
      </c>
      <c r="G1849" s="1" t="s">
        <v>1639</v>
      </c>
      <c r="H1849" s="1">
        <v>5.6684727009999998</v>
      </c>
      <c r="I1849" s="1">
        <v>6.1655807180000002</v>
      </c>
      <c r="J1849" s="1">
        <v>5.1953777219999999</v>
      </c>
      <c r="K1849" s="1">
        <v>5.2674352469999999</v>
      </c>
      <c r="L1849" s="1">
        <v>5.8658055969999996</v>
      </c>
      <c r="M1849" s="1">
        <v>5.5541105499999999</v>
      </c>
      <c r="N1849" s="1">
        <v>6.0598398590000002</v>
      </c>
      <c r="O1849" s="1">
        <v>6.1287443579999996</v>
      </c>
      <c r="P1849" s="1">
        <v>5.426847231</v>
      </c>
      <c r="Q1849" s="1">
        <v>5.5022716190000001</v>
      </c>
      <c r="R1849" s="1">
        <v>5.2434057019999996</v>
      </c>
      <c r="S1849" s="1">
        <v>5.032286365</v>
      </c>
      <c r="T1849" s="1">
        <v>5.8658055969999996</v>
      </c>
      <c r="U1849" s="1">
        <v>5.5541105499999999</v>
      </c>
      <c r="V1849" s="1">
        <v>4.998512388</v>
      </c>
      <c r="W1849" s="1">
        <v>5.427589942</v>
      </c>
      <c r="X1849" s="1">
        <v>5.4203833540000002</v>
      </c>
      <c r="Y1849" s="1">
        <v>5.8352313850000002</v>
      </c>
      <c r="Z1849" s="1">
        <v>5.2434057019999996</v>
      </c>
      <c r="AA1849" s="1">
        <v>5.032286365</v>
      </c>
      <c r="AB1849" s="1">
        <v>4.9601840040000003</v>
      </c>
      <c r="AC1849" s="1">
        <v>5.3221936159999998</v>
      </c>
      <c r="AD1849" s="1">
        <v>5.3536174839999999</v>
      </c>
      <c r="AE1849" s="1">
        <v>5.2736981710000004</v>
      </c>
    </row>
    <row r="1850" spans="1:31" x14ac:dyDescent="0.25">
      <c r="A1850" s="1" t="s">
        <v>1641</v>
      </c>
      <c r="B1850" s="1" t="s">
        <v>2520</v>
      </c>
      <c r="C1850" s="1" t="s">
        <v>3160</v>
      </c>
      <c r="D1850" s="1" t="s">
        <v>3161</v>
      </c>
      <c r="E1850" s="1" t="s">
        <v>5390</v>
      </c>
      <c r="F1850" s="1" t="s">
        <v>5391</v>
      </c>
      <c r="G1850" s="1" t="s">
        <v>1641</v>
      </c>
      <c r="H1850" s="1">
        <v>7.4933536610000004</v>
      </c>
      <c r="I1850" s="1">
        <v>6.854556928</v>
      </c>
      <c r="J1850" s="1">
        <v>7.4022345749999996</v>
      </c>
      <c r="K1850" s="1">
        <v>7.0076624089999999</v>
      </c>
      <c r="L1850" s="1">
        <v>6.7914859910000001</v>
      </c>
      <c r="M1850" s="1">
        <v>7.0104963189999996</v>
      </c>
      <c r="N1850" s="1">
        <v>6.5880735220000002</v>
      </c>
      <c r="O1850" s="1">
        <v>7.0844913900000002</v>
      </c>
      <c r="P1850" s="1">
        <v>7.4204449840000004</v>
      </c>
      <c r="Q1850" s="1">
        <v>7.4756828979999996</v>
      </c>
      <c r="R1850" s="1">
        <v>7.5195484720000003</v>
      </c>
      <c r="S1850" s="1">
        <v>7.4150837699999999</v>
      </c>
      <c r="T1850" s="1">
        <v>6.7914859910000001</v>
      </c>
      <c r="U1850" s="1">
        <v>7.0104963189999996</v>
      </c>
      <c r="V1850" s="1">
        <v>7.5775539670000001</v>
      </c>
      <c r="W1850" s="1">
        <v>7.4330904990000004</v>
      </c>
      <c r="X1850" s="1">
        <v>7.6114991319999996</v>
      </c>
      <c r="Y1850" s="1">
        <v>7.1452643309999999</v>
      </c>
      <c r="Z1850" s="1">
        <v>7.5195484720000003</v>
      </c>
      <c r="AA1850" s="1">
        <v>7.4150837699999999</v>
      </c>
      <c r="AB1850" s="1">
        <v>7.5714398440000004</v>
      </c>
      <c r="AC1850" s="1">
        <v>7.4661767489999997</v>
      </c>
      <c r="AD1850" s="1">
        <v>7.6257906120000003</v>
      </c>
      <c r="AE1850" s="1">
        <v>7.4306440289999998</v>
      </c>
    </row>
    <row r="1851" spans="1:31" x14ac:dyDescent="0.25">
      <c r="A1851" s="1" t="s">
        <v>1642</v>
      </c>
      <c r="B1851" s="1" t="s">
        <v>2608</v>
      </c>
      <c r="C1851" s="1" t="s">
        <v>2609</v>
      </c>
      <c r="D1851" s="1" t="s">
        <v>4494</v>
      </c>
      <c r="E1851" s="1" t="s">
        <v>5392</v>
      </c>
      <c r="F1851" s="1" t="s">
        <v>5393</v>
      </c>
      <c r="G1851" s="1" t="s">
        <v>1642</v>
      </c>
      <c r="H1851" s="1">
        <v>5.4626831620000003</v>
      </c>
      <c r="I1851" s="1">
        <v>5.4067069720000003</v>
      </c>
      <c r="J1851" s="1">
        <v>4.8434621079999998</v>
      </c>
      <c r="K1851" s="1">
        <v>5.0588199180000002</v>
      </c>
      <c r="L1851" s="1">
        <v>4.713054648</v>
      </c>
      <c r="M1851" s="1">
        <v>5.1508485750000004</v>
      </c>
      <c r="N1851" s="1">
        <v>5.1355241630000004</v>
      </c>
      <c r="O1851" s="1">
        <v>5.6219600229999998</v>
      </c>
      <c r="P1851" s="1">
        <v>5.3134950500000002</v>
      </c>
      <c r="Q1851" s="1">
        <v>5.0479127070000001</v>
      </c>
      <c r="R1851" s="1">
        <v>4.9894654599999999</v>
      </c>
      <c r="S1851" s="1">
        <v>5.505875713</v>
      </c>
      <c r="T1851" s="1">
        <v>4.713054648</v>
      </c>
      <c r="U1851" s="1">
        <v>5.1508485750000004</v>
      </c>
      <c r="V1851" s="1">
        <v>5.4882083000000002</v>
      </c>
      <c r="W1851" s="1">
        <v>5.329276363</v>
      </c>
      <c r="X1851" s="1">
        <v>5.3989469190000001</v>
      </c>
      <c r="Y1851" s="1">
        <v>5.4613266610000002</v>
      </c>
      <c r="Z1851" s="1">
        <v>4.9894654599999999</v>
      </c>
      <c r="AA1851" s="1">
        <v>5.505875713</v>
      </c>
      <c r="AB1851" s="1">
        <v>5.3028471579999996</v>
      </c>
      <c r="AC1851" s="1">
        <v>5.2822693689999998</v>
      </c>
      <c r="AD1851" s="1">
        <v>4.5511338559999999</v>
      </c>
      <c r="AE1851" s="1">
        <v>5.1494525009999998</v>
      </c>
    </row>
    <row r="1852" spans="1:31" x14ac:dyDescent="0.25">
      <c r="A1852" s="1" t="s">
        <v>1646</v>
      </c>
      <c r="B1852" s="1" t="s">
        <v>2608</v>
      </c>
      <c r="C1852" s="1" t="s">
        <v>2791</v>
      </c>
      <c r="D1852" s="1" t="s">
        <v>5046</v>
      </c>
      <c r="E1852" s="1" t="s">
        <v>5394</v>
      </c>
      <c r="F1852" s="1" t="s">
        <v>5395</v>
      </c>
      <c r="G1852" s="1" t="s">
        <v>1646</v>
      </c>
      <c r="H1852" s="1">
        <v>6.4914637309999996</v>
      </c>
      <c r="I1852" s="1">
        <v>6.6268866429999997</v>
      </c>
      <c r="J1852" s="1">
        <v>6.863459046</v>
      </c>
      <c r="K1852" s="1">
        <v>7.2216472190000003</v>
      </c>
      <c r="L1852" s="1">
        <v>6.9448855470000002</v>
      </c>
      <c r="M1852" s="1">
        <v>6.3438841760000004</v>
      </c>
      <c r="N1852" s="1">
        <v>6.6458437989999997</v>
      </c>
      <c r="O1852" s="1">
        <v>6.7602052800000001</v>
      </c>
      <c r="P1852" s="1">
        <v>6.8357197449999996</v>
      </c>
      <c r="Q1852" s="1">
        <v>6.6106183620000003</v>
      </c>
      <c r="R1852" s="1">
        <v>6.5134469040000003</v>
      </c>
      <c r="S1852" s="1">
        <v>6.7639721039999996</v>
      </c>
      <c r="T1852" s="1">
        <v>6.9448855470000002</v>
      </c>
      <c r="U1852" s="1">
        <v>6.3438841760000004</v>
      </c>
      <c r="V1852" s="1">
        <v>6.7698772270000003</v>
      </c>
      <c r="W1852" s="1">
        <v>6.6773173909999999</v>
      </c>
      <c r="X1852" s="1">
        <v>6.3441015869999999</v>
      </c>
      <c r="Y1852" s="1">
        <v>6.3075735850000001</v>
      </c>
      <c r="Z1852" s="1">
        <v>6.5134469040000003</v>
      </c>
      <c r="AA1852" s="1">
        <v>6.7639721039999996</v>
      </c>
      <c r="AB1852" s="1">
        <v>6.2160685200000003</v>
      </c>
      <c r="AC1852" s="1">
        <v>6.4026546910000004</v>
      </c>
      <c r="AD1852" s="1">
        <v>6.5919351060000002</v>
      </c>
      <c r="AE1852" s="1">
        <v>6.7786663870000003</v>
      </c>
    </row>
    <row r="1853" spans="1:31" x14ac:dyDescent="0.25">
      <c r="A1853" s="1" t="s">
        <v>1647</v>
      </c>
      <c r="B1853" s="1" t="s">
        <v>2530</v>
      </c>
      <c r="C1853" s="1" t="s">
        <v>2531</v>
      </c>
      <c r="D1853" s="1" t="s">
        <v>2535</v>
      </c>
      <c r="E1853" s="1" t="s">
        <v>2536</v>
      </c>
      <c r="G1853" s="1" t="s">
        <v>1647</v>
      </c>
      <c r="H1853" s="1">
        <v>5.2221022919999998</v>
      </c>
      <c r="I1853" s="1">
        <v>5.7476087250000001</v>
      </c>
      <c r="J1853" s="1">
        <v>5.2817155790000001</v>
      </c>
      <c r="K1853" s="1">
        <v>5.4493056099999997</v>
      </c>
      <c r="L1853" s="1">
        <v>5.3560765139999997</v>
      </c>
      <c r="M1853" s="1">
        <v>4.824486168</v>
      </c>
      <c r="N1853" s="1">
        <v>6.1951276320000002</v>
      </c>
      <c r="O1853" s="1">
        <v>5.9330167859999996</v>
      </c>
      <c r="P1853" s="1">
        <v>5.3522904530000002</v>
      </c>
      <c r="Q1853" s="1">
        <v>5.4628336309999996</v>
      </c>
      <c r="R1853" s="1">
        <v>5.458747732</v>
      </c>
      <c r="S1853" s="1">
        <v>5.6117239269999999</v>
      </c>
      <c r="T1853" s="1">
        <v>5.3560765139999997</v>
      </c>
      <c r="U1853" s="1">
        <v>4.824486168</v>
      </c>
      <c r="V1853" s="1">
        <v>5.4559769400000002</v>
      </c>
      <c r="W1853" s="1">
        <v>5.2236621110000003</v>
      </c>
      <c r="X1853" s="1">
        <v>5.6000621730000004</v>
      </c>
      <c r="Y1853" s="1">
        <v>5.3269702959999998</v>
      </c>
      <c r="Z1853" s="1">
        <v>5.458747732</v>
      </c>
      <c r="AA1853" s="1">
        <v>5.6117239269999999</v>
      </c>
      <c r="AB1853" s="1">
        <v>5.2406211000000003</v>
      </c>
      <c r="AC1853" s="1">
        <v>5.0158027430000001</v>
      </c>
      <c r="AD1853" s="1">
        <v>5.0634297190000002</v>
      </c>
      <c r="AE1853" s="1">
        <v>5.6297370090000003</v>
      </c>
    </row>
    <row r="1854" spans="1:31" x14ac:dyDescent="0.25">
      <c r="A1854" s="1" t="s">
        <v>1652</v>
      </c>
      <c r="B1854" s="1" t="s">
        <v>2530</v>
      </c>
      <c r="C1854" s="1" t="s">
        <v>2573</v>
      </c>
      <c r="D1854" s="1" t="s">
        <v>2535</v>
      </c>
      <c r="E1854" s="1" t="s">
        <v>5396</v>
      </c>
      <c r="G1854" s="1" t="s">
        <v>1652</v>
      </c>
      <c r="H1854" s="1">
        <v>4.2900513550000001</v>
      </c>
      <c r="I1854" s="1">
        <v>3.3322126910000001</v>
      </c>
      <c r="J1854" s="1">
        <v>4.1077874330000004</v>
      </c>
      <c r="K1854" s="1">
        <v>3.4309024589999999</v>
      </c>
      <c r="L1854" s="1">
        <v>4.2088403679999997</v>
      </c>
      <c r="M1854" s="1">
        <v>4.059937712</v>
      </c>
      <c r="N1854" s="1">
        <v>3.23577855</v>
      </c>
      <c r="O1854" s="1">
        <v>3.8071106499999998</v>
      </c>
      <c r="P1854" s="1">
        <v>4.0684607960000001</v>
      </c>
      <c r="Q1854" s="1">
        <v>4.2835653880000004</v>
      </c>
      <c r="R1854" s="1">
        <v>4.7472384160000001</v>
      </c>
      <c r="S1854" s="1">
        <v>4.2250836859999996</v>
      </c>
      <c r="T1854" s="1">
        <v>4.2088403679999997</v>
      </c>
      <c r="U1854" s="1">
        <v>4.059937712</v>
      </c>
      <c r="V1854" s="1">
        <v>4.2408545169999998</v>
      </c>
      <c r="W1854" s="1">
        <v>3.0218530750000001</v>
      </c>
      <c r="X1854" s="1">
        <v>4.5325909299999996</v>
      </c>
      <c r="Y1854" s="1">
        <v>4.3509215530000001</v>
      </c>
      <c r="Z1854" s="1">
        <v>4.7472384160000001</v>
      </c>
      <c r="AA1854" s="1">
        <v>4.2250836859999996</v>
      </c>
      <c r="AB1854" s="1">
        <v>3.6315729079999999</v>
      </c>
      <c r="AC1854" s="1">
        <v>4.2557864319999998</v>
      </c>
      <c r="AD1854" s="1">
        <v>3.984188064</v>
      </c>
      <c r="AE1854" s="1">
        <v>4.4595659249999997</v>
      </c>
    </row>
    <row r="1855" spans="1:31" x14ac:dyDescent="0.25">
      <c r="A1855" s="1" t="s">
        <v>1653</v>
      </c>
      <c r="B1855" s="1" t="s">
        <v>2608</v>
      </c>
      <c r="C1855" s="1" t="s">
        <v>2609</v>
      </c>
      <c r="D1855" s="1" t="s">
        <v>3388</v>
      </c>
      <c r="E1855" s="1" t="s">
        <v>5397</v>
      </c>
      <c r="G1855" s="1" t="s">
        <v>1653</v>
      </c>
      <c r="H1855" s="1">
        <v>3.8023684370000002</v>
      </c>
      <c r="I1855" s="1">
        <v>2.8927893610000002</v>
      </c>
      <c r="J1855" s="1">
        <v>3.8969924050000002</v>
      </c>
      <c r="K1855" s="1">
        <v>3.4309024589999999</v>
      </c>
      <c r="L1855" s="1">
        <v>3.2097511390000002</v>
      </c>
      <c r="M1855" s="1">
        <v>3.6044002019999999</v>
      </c>
      <c r="N1855" s="1">
        <v>2.9782685729999998</v>
      </c>
      <c r="O1855" s="1">
        <v>2.883783352</v>
      </c>
      <c r="P1855" s="1">
        <v>3.7419514989999998</v>
      </c>
      <c r="Q1855" s="1">
        <v>3.9718447549999998</v>
      </c>
      <c r="R1855" s="1">
        <v>4.1841942410000001</v>
      </c>
      <c r="S1855" s="1">
        <v>3.9182367880000002</v>
      </c>
      <c r="T1855" s="1">
        <v>3.2097511390000002</v>
      </c>
      <c r="U1855" s="1">
        <v>3.6044002019999999</v>
      </c>
      <c r="V1855" s="1">
        <v>3.7819764450000002</v>
      </c>
      <c r="W1855" s="1">
        <v>4.2295768090000001</v>
      </c>
      <c r="X1855" s="1">
        <v>3.7416722899999999</v>
      </c>
      <c r="Y1855" s="1">
        <v>4.2532353330000001</v>
      </c>
      <c r="Z1855" s="1">
        <v>4.1841942410000001</v>
      </c>
      <c r="AA1855" s="1">
        <v>3.9182367880000002</v>
      </c>
      <c r="AB1855" s="1">
        <v>3.404153038</v>
      </c>
      <c r="AC1855" s="1">
        <v>3.7481372300000002</v>
      </c>
      <c r="AD1855" s="1">
        <v>3.5727029510000001</v>
      </c>
      <c r="AE1855" s="1">
        <v>3.8864783150000002</v>
      </c>
    </row>
    <row r="1856" spans="1:31" x14ac:dyDescent="0.25">
      <c r="A1856" s="1" t="s">
        <v>1654</v>
      </c>
      <c r="B1856" s="1" t="s">
        <v>2547</v>
      </c>
      <c r="C1856" s="1" t="s">
        <v>2694</v>
      </c>
      <c r="D1856" s="1" t="s">
        <v>2535</v>
      </c>
      <c r="E1856" s="1" t="s">
        <v>5398</v>
      </c>
      <c r="G1856" s="1" t="s">
        <v>1654</v>
      </c>
      <c r="H1856" s="1">
        <v>3.6455184960000002</v>
      </c>
      <c r="I1856" s="1">
        <v>3.3322126910000001</v>
      </c>
      <c r="J1856" s="1">
        <v>3.329519721</v>
      </c>
      <c r="K1856" s="1">
        <v>3.4309024589999999</v>
      </c>
      <c r="L1856" s="1">
        <v>3.6142294740000001</v>
      </c>
      <c r="M1856" s="1">
        <v>3.7747836370000001</v>
      </c>
      <c r="N1856" s="1">
        <v>3.622455167</v>
      </c>
      <c r="O1856" s="1">
        <v>3.8071106499999998</v>
      </c>
      <c r="P1856" s="1">
        <v>3.466113682</v>
      </c>
      <c r="Q1856" s="1">
        <v>3.56206471</v>
      </c>
      <c r="R1856" s="1">
        <v>3.5594063970000001</v>
      </c>
      <c r="S1856" s="1">
        <v>3.6647387380000001</v>
      </c>
      <c r="T1856" s="1">
        <v>3.6142294740000001</v>
      </c>
      <c r="U1856" s="1">
        <v>3.7747836370000001</v>
      </c>
      <c r="V1856" s="1">
        <v>3.887436229</v>
      </c>
      <c r="W1856" s="1">
        <v>3.50175473</v>
      </c>
      <c r="X1856" s="1">
        <v>3.6673381269999998</v>
      </c>
      <c r="Y1856" s="1">
        <v>3.6154848500000001</v>
      </c>
      <c r="Z1856" s="1">
        <v>3.5594063970000001</v>
      </c>
      <c r="AA1856" s="1">
        <v>3.6647387380000001</v>
      </c>
      <c r="AB1856" s="1">
        <v>3.404153038</v>
      </c>
      <c r="AC1856" s="1">
        <v>3.6175630609999998</v>
      </c>
      <c r="AD1856" s="1">
        <v>3.725077481</v>
      </c>
      <c r="AE1856" s="1">
        <v>3.9499994520000001</v>
      </c>
    </row>
    <row r="1857" spans="1:31" x14ac:dyDescent="0.25">
      <c r="A1857" s="1" t="s">
        <v>1656</v>
      </c>
      <c r="B1857" s="1" t="s">
        <v>2579</v>
      </c>
      <c r="C1857" s="1" t="s">
        <v>2933</v>
      </c>
      <c r="D1857" s="1" t="s">
        <v>4691</v>
      </c>
      <c r="E1857" s="1" t="s">
        <v>5399</v>
      </c>
      <c r="F1857" s="1" t="s">
        <v>5400</v>
      </c>
      <c r="G1857" s="1" t="s">
        <v>1656</v>
      </c>
      <c r="H1857" s="1">
        <v>9.13878755</v>
      </c>
      <c r="I1857" s="1">
        <v>8.0399020879999998</v>
      </c>
      <c r="J1857" s="1">
        <v>8.2624387959999996</v>
      </c>
      <c r="K1857" s="1">
        <v>8.0977750969999995</v>
      </c>
      <c r="L1857" s="1">
        <v>7.773478892</v>
      </c>
      <c r="M1857" s="1">
        <v>8.1962002129999991</v>
      </c>
      <c r="N1857" s="1">
        <v>6.7722559489999998</v>
      </c>
      <c r="O1857" s="1">
        <v>7.4919469479999998</v>
      </c>
      <c r="P1857" s="1">
        <v>8.3407066499999996</v>
      </c>
      <c r="Q1857" s="1">
        <v>8.4487492999999994</v>
      </c>
      <c r="R1857" s="1">
        <v>8.4390557249999993</v>
      </c>
      <c r="S1857" s="1">
        <v>8.6608991240000002</v>
      </c>
      <c r="T1857" s="1">
        <v>7.773478892</v>
      </c>
      <c r="U1857" s="1">
        <v>8.1962002129999991</v>
      </c>
      <c r="V1857" s="1">
        <v>8.5062425099999999</v>
      </c>
      <c r="W1857" s="1">
        <v>8.4408762329999991</v>
      </c>
      <c r="X1857" s="1">
        <v>8.8312211999999999</v>
      </c>
      <c r="Y1857" s="1">
        <v>8.4798806869999996</v>
      </c>
      <c r="Z1857" s="1">
        <v>8.4390557249999993</v>
      </c>
      <c r="AA1857" s="1">
        <v>8.6608991240000002</v>
      </c>
      <c r="AB1857" s="1">
        <v>8.2496069540000008</v>
      </c>
      <c r="AC1857" s="1">
        <v>8.2618528130000009</v>
      </c>
      <c r="AD1857" s="1">
        <v>8.8527681040000008</v>
      </c>
      <c r="AE1857" s="1">
        <v>8.7385160600000003</v>
      </c>
    </row>
    <row r="1858" spans="1:31" x14ac:dyDescent="0.25">
      <c r="A1858" s="1" t="s">
        <v>1657</v>
      </c>
      <c r="B1858" s="1" t="s">
        <v>2579</v>
      </c>
      <c r="C1858" s="1" t="s">
        <v>2933</v>
      </c>
      <c r="D1858" s="1" t="s">
        <v>4691</v>
      </c>
      <c r="E1858" s="1" t="s">
        <v>5401</v>
      </c>
      <c r="F1858" s="1" t="s">
        <v>5402</v>
      </c>
      <c r="G1858" s="1" t="s">
        <v>1657</v>
      </c>
      <c r="H1858" s="1">
        <v>13.3548192</v>
      </c>
      <c r="I1858" s="1">
        <v>12.5702336</v>
      </c>
      <c r="J1858" s="1">
        <v>13.18560362</v>
      </c>
      <c r="K1858" s="1">
        <v>13.144991470000001</v>
      </c>
      <c r="L1858" s="1">
        <v>12.2519317</v>
      </c>
      <c r="M1858" s="1">
        <v>12.65149521</v>
      </c>
      <c r="N1858" s="1">
        <v>11.67069424</v>
      </c>
      <c r="O1858" s="1">
        <v>12.225423230000001</v>
      </c>
      <c r="P1858" s="1">
        <v>12.9116468</v>
      </c>
      <c r="Q1858" s="1">
        <v>12.94360373</v>
      </c>
      <c r="R1858" s="1">
        <v>13.06739329</v>
      </c>
      <c r="S1858" s="1">
        <v>13.02987433</v>
      </c>
      <c r="T1858" s="1">
        <v>12.2519317</v>
      </c>
      <c r="U1858" s="1">
        <v>12.65149521</v>
      </c>
      <c r="V1858" s="1">
        <v>12.993236469999999</v>
      </c>
      <c r="W1858" s="1">
        <v>12.990445599999999</v>
      </c>
      <c r="X1858" s="1">
        <v>13.423559790000001</v>
      </c>
      <c r="Y1858" s="1">
        <v>13.188762690000001</v>
      </c>
      <c r="Z1858" s="1">
        <v>13.06739329</v>
      </c>
      <c r="AA1858" s="1">
        <v>13.02987433</v>
      </c>
      <c r="AB1858" s="1">
        <v>13.24483382</v>
      </c>
      <c r="AC1858" s="1">
        <v>13.23015827</v>
      </c>
      <c r="AD1858" s="1">
        <v>13.413144490000001</v>
      </c>
      <c r="AE1858" s="1">
        <v>13.5238903</v>
      </c>
    </row>
    <row r="1859" spans="1:31" x14ac:dyDescent="0.25">
      <c r="A1859" s="1" t="s">
        <v>1661</v>
      </c>
      <c r="B1859" s="1" t="s">
        <v>2579</v>
      </c>
      <c r="C1859" s="1" t="s">
        <v>2812</v>
      </c>
      <c r="D1859" s="1" t="s">
        <v>2535</v>
      </c>
      <c r="E1859" s="1" t="s">
        <v>5403</v>
      </c>
      <c r="F1859" s="1" t="s">
        <v>4967</v>
      </c>
      <c r="G1859" s="1" t="s">
        <v>1661</v>
      </c>
      <c r="H1859" s="1">
        <v>2.640460343</v>
      </c>
      <c r="I1859" s="1">
        <v>2.5655118899999998</v>
      </c>
      <c r="J1859" s="1">
        <v>2.5640169199999998</v>
      </c>
      <c r="K1859" s="1">
        <v>2.620638279</v>
      </c>
      <c r="L1859" s="1">
        <v>2.8704126319999999</v>
      </c>
      <c r="M1859" s="1">
        <v>3.169085575</v>
      </c>
      <c r="N1859" s="1">
        <v>2.9782685729999998</v>
      </c>
      <c r="O1859" s="1">
        <v>3.050193165</v>
      </c>
      <c r="P1859" s="1">
        <v>1.7393328349999999</v>
      </c>
      <c r="Q1859" s="1">
        <v>2.935765398</v>
      </c>
      <c r="R1859" s="1">
        <v>1.7393328349999999</v>
      </c>
      <c r="S1859" s="1">
        <v>3.1475403900000001</v>
      </c>
      <c r="T1859" s="1">
        <v>2.8704126319999999</v>
      </c>
      <c r="U1859" s="1">
        <v>3.169085575</v>
      </c>
      <c r="V1859" s="1">
        <v>1.7393328349999999</v>
      </c>
      <c r="W1859" s="1">
        <v>3.0218530750000001</v>
      </c>
      <c r="X1859" s="1">
        <v>1.7393328349999999</v>
      </c>
      <c r="Y1859" s="1">
        <v>2.9733498090000001</v>
      </c>
      <c r="Z1859" s="1">
        <v>1.7393328349999999</v>
      </c>
      <c r="AA1859" s="1">
        <v>3.1475403900000001</v>
      </c>
      <c r="AB1859" s="1">
        <v>1.7393328349999999</v>
      </c>
      <c r="AC1859" s="1">
        <v>2.5506926650000001</v>
      </c>
      <c r="AD1859" s="1">
        <v>1.7393328349999999</v>
      </c>
      <c r="AE1859" s="1">
        <v>2.6144016259999998</v>
      </c>
    </row>
    <row r="1860" spans="1:31" x14ac:dyDescent="0.25">
      <c r="A1860" s="1" t="s">
        <v>1662</v>
      </c>
      <c r="B1860" s="1" t="s">
        <v>2520</v>
      </c>
      <c r="C1860" s="1" t="s">
        <v>2521</v>
      </c>
      <c r="D1860" s="1" t="s">
        <v>2535</v>
      </c>
      <c r="E1860" s="1" t="s">
        <v>5404</v>
      </c>
      <c r="G1860" s="1" t="s">
        <v>1662</v>
      </c>
      <c r="H1860" s="1">
        <v>4.9322401630000003</v>
      </c>
      <c r="I1860" s="1">
        <v>5.1998500889999999</v>
      </c>
      <c r="J1860" s="1">
        <v>4.9532699769999997</v>
      </c>
      <c r="K1860" s="1">
        <v>4.8793048219999999</v>
      </c>
      <c r="L1860" s="1">
        <v>4.5533082269999996</v>
      </c>
      <c r="M1860" s="1">
        <v>4.3982295550000003</v>
      </c>
      <c r="N1860" s="1">
        <v>5.4502346690000003</v>
      </c>
      <c r="O1860" s="1">
        <v>5.4367285829999998</v>
      </c>
      <c r="P1860" s="1">
        <v>4.2485661720000003</v>
      </c>
      <c r="Q1860" s="1">
        <v>4.683187717</v>
      </c>
      <c r="R1860" s="1">
        <v>4.9894654599999999</v>
      </c>
      <c r="S1860" s="1">
        <v>4.6194390810000003</v>
      </c>
      <c r="T1860" s="1">
        <v>4.5533082269999996</v>
      </c>
      <c r="U1860" s="1">
        <v>4.3982295550000003</v>
      </c>
      <c r="V1860" s="1">
        <v>4.5826682710000002</v>
      </c>
      <c r="W1860" s="1">
        <v>4.6166922860000001</v>
      </c>
      <c r="X1860" s="1">
        <v>5.1128189019999999</v>
      </c>
      <c r="Y1860" s="1">
        <v>4.4420910779999998</v>
      </c>
      <c r="Z1860" s="1">
        <v>4.9894654599999999</v>
      </c>
      <c r="AA1860" s="1">
        <v>4.6194390810000003</v>
      </c>
      <c r="AB1860" s="1">
        <v>5.3028471579999996</v>
      </c>
      <c r="AC1860" s="1">
        <v>4.8053838390000001</v>
      </c>
      <c r="AD1860" s="1">
        <v>5.0634297190000002</v>
      </c>
      <c r="AE1860" s="1">
        <v>4.542053224</v>
      </c>
    </row>
    <row r="1861" spans="1:31" x14ac:dyDescent="0.25">
      <c r="A1861" s="1" t="s">
        <v>1665</v>
      </c>
      <c r="B1861" s="1" t="s">
        <v>2662</v>
      </c>
      <c r="C1861" s="1" t="s">
        <v>3721</v>
      </c>
      <c r="D1861" s="1" t="s">
        <v>4060</v>
      </c>
      <c r="E1861" s="1" t="s">
        <v>5363</v>
      </c>
      <c r="F1861" s="1" t="s">
        <v>5364</v>
      </c>
      <c r="G1861" s="1" t="s">
        <v>1665</v>
      </c>
      <c r="H1861" s="1">
        <v>6.0081283179999998</v>
      </c>
      <c r="I1861" s="1">
        <v>6.5246782330000004</v>
      </c>
      <c r="J1861" s="1">
        <v>5.8869626679999998</v>
      </c>
      <c r="K1861" s="1">
        <v>5.9181521149999998</v>
      </c>
      <c r="L1861" s="1">
        <v>6.579573914</v>
      </c>
      <c r="M1861" s="1">
        <v>6.4058065400000004</v>
      </c>
      <c r="N1861" s="1">
        <v>6.3305633200000004</v>
      </c>
      <c r="O1861" s="1">
        <v>6.0012687509999996</v>
      </c>
      <c r="P1861" s="1">
        <v>5.8618301099999996</v>
      </c>
      <c r="Q1861" s="1">
        <v>5.991605206</v>
      </c>
      <c r="R1861" s="1">
        <v>5.1961281320000001</v>
      </c>
      <c r="S1861" s="1">
        <v>5.2232498669999998</v>
      </c>
      <c r="T1861" s="1">
        <v>6.579573914</v>
      </c>
      <c r="U1861" s="1">
        <v>6.4058065400000004</v>
      </c>
      <c r="V1861" s="1">
        <v>5.2455869269999997</v>
      </c>
      <c r="W1861" s="1">
        <v>5.872872095</v>
      </c>
      <c r="X1861" s="1">
        <v>5.7596503070000002</v>
      </c>
      <c r="Y1861" s="1">
        <v>5.8995743010000004</v>
      </c>
      <c r="Z1861" s="1">
        <v>5.1961281320000001</v>
      </c>
      <c r="AA1861" s="1">
        <v>5.2232498669999998</v>
      </c>
      <c r="AB1861" s="1">
        <v>5.3028471579999996</v>
      </c>
      <c r="AC1861" s="1">
        <v>5.7302515789999999</v>
      </c>
      <c r="AD1861" s="1">
        <v>5.7351750150000003</v>
      </c>
      <c r="AE1861" s="1">
        <v>5.5730198079999997</v>
      </c>
    </row>
    <row r="1862" spans="1:31" x14ac:dyDescent="0.25">
      <c r="A1862" s="1" t="s">
        <v>1668</v>
      </c>
      <c r="B1862" s="1" t="s">
        <v>2843</v>
      </c>
      <c r="C1862" s="1" t="s">
        <v>2844</v>
      </c>
      <c r="D1862" s="1" t="s">
        <v>3596</v>
      </c>
      <c r="E1862" s="1" t="s">
        <v>5405</v>
      </c>
      <c r="F1862" s="1" t="s">
        <v>5406</v>
      </c>
      <c r="G1862" s="1" t="s">
        <v>1668</v>
      </c>
      <c r="H1862" s="1">
        <v>7.0992043760000003</v>
      </c>
      <c r="I1862" s="1">
        <v>6.4889292899999997</v>
      </c>
      <c r="J1862" s="1">
        <v>6.4096880770000002</v>
      </c>
      <c r="K1862" s="1">
        <v>6.0361807939999998</v>
      </c>
      <c r="L1862" s="1">
        <v>7.464981259</v>
      </c>
      <c r="M1862" s="1">
        <v>7.4231927009999996</v>
      </c>
      <c r="N1862" s="1">
        <v>6.4543317939999998</v>
      </c>
      <c r="O1862" s="1">
        <v>6.3144287889999999</v>
      </c>
      <c r="P1862" s="1">
        <v>7.2974488869999998</v>
      </c>
      <c r="Q1862" s="1">
        <v>7.4855044560000001</v>
      </c>
      <c r="R1862" s="1">
        <v>6.8830922379999997</v>
      </c>
      <c r="S1862" s="1">
        <v>7.2399334890000002</v>
      </c>
      <c r="T1862" s="1">
        <v>7.464981259</v>
      </c>
      <c r="U1862" s="1">
        <v>7.4231927009999996</v>
      </c>
      <c r="V1862" s="1">
        <v>6.4659141040000003</v>
      </c>
      <c r="W1862" s="1">
        <v>6.7165296740000002</v>
      </c>
      <c r="X1862" s="1">
        <v>7.3534945570000003</v>
      </c>
      <c r="Y1862" s="1">
        <v>6.421343255</v>
      </c>
      <c r="Z1862" s="1">
        <v>6.8830922379999997</v>
      </c>
      <c r="AA1862" s="1">
        <v>7.2399334890000002</v>
      </c>
      <c r="AB1862" s="1">
        <v>6.3971449009999999</v>
      </c>
      <c r="AC1862" s="1">
        <v>7.2773631549999998</v>
      </c>
      <c r="AD1862" s="1">
        <v>6.5919351060000002</v>
      </c>
      <c r="AE1862" s="1">
        <v>6.6110350100000002</v>
      </c>
    </row>
    <row r="1863" spans="1:31" x14ac:dyDescent="0.25">
      <c r="A1863" s="1" t="s">
        <v>1669</v>
      </c>
      <c r="B1863" s="1" t="s">
        <v>2539</v>
      </c>
      <c r="C1863" s="1" t="s">
        <v>2606</v>
      </c>
      <c r="D1863" s="1" t="s">
        <v>2535</v>
      </c>
      <c r="E1863" s="1" t="s">
        <v>3332</v>
      </c>
      <c r="G1863" s="1" t="s">
        <v>1669</v>
      </c>
      <c r="H1863" s="1">
        <v>6.9811711809999997</v>
      </c>
      <c r="I1863" s="1">
        <v>6.6268866429999997</v>
      </c>
      <c r="J1863" s="1">
        <v>6.0910626519999997</v>
      </c>
      <c r="K1863" s="1">
        <v>5.9485821269999999</v>
      </c>
      <c r="L1863" s="1">
        <v>7.0719721079999998</v>
      </c>
      <c r="M1863" s="1">
        <v>7.0263375510000001</v>
      </c>
      <c r="N1863" s="1">
        <v>7.3999365380000004</v>
      </c>
      <c r="O1863" s="1">
        <v>6.9005793139999998</v>
      </c>
      <c r="P1863" s="1">
        <v>6.4115387159999999</v>
      </c>
      <c r="Q1863" s="1">
        <v>6.3770715449999997</v>
      </c>
      <c r="R1863" s="1">
        <v>6.2629717720000002</v>
      </c>
      <c r="S1863" s="1">
        <v>6.3418583389999998</v>
      </c>
      <c r="T1863" s="1">
        <v>7.0719721079999998</v>
      </c>
      <c r="U1863" s="1">
        <v>7.0263375510000001</v>
      </c>
      <c r="V1863" s="1">
        <v>6.276714932</v>
      </c>
      <c r="W1863" s="1">
        <v>6.156075682</v>
      </c>
      <c r="X1863" s="1">
        <v>6.580406998</v>
      </c>
      <c r="Y1863" s="1">
        <v>6.421343255</v>
      </c>
      <c r="Z1863" s="1">
        <v>6.2629717720000002</v>
      </c>
      <c r="AA1863" s="1">
        <v>6.3418583389999998</v>
      </c>
      <c r="AB1863" s="1">
        <v>6.1502584210000002</v>
      </c>
      <c r="AC1863" s="1">
        <v>6.0940352600000001</v>
      </c>
      <c r="AD1863" s="1">
        <v>6.0893990919999998</v>
      </c>
      <c r="AE1863" s="1">
        <v>5.868211906</v>
      </c>
    </row>
    <row r="1864" spans="1:31" x14ac:dyDescent="0.25">
      <c r="A1864" s="1" t="s">
        <v>1670</v>
      </c>
      <c r="B1864" s="1" t="s">
        <v>2530</v>
      </c>
      <c r="C1864" s="1" t="s">
        <v>2573</v>
      </c>
      <c r="D1864" s="1" t="s">
        <v>2535</v>
      </c>
      <c r="E1864" s="1" t="s">
        <v>5407</v>
      </c>
      <c r="G1864" s="1" t="s">
        <v>1670</v>
      </c>
      <c r="H1864" s="1">
        <v>9.1928610650000007</v>
      </c>
      <c r="I1864" s="1">
        <v>9.0887867300000007</v>
      </c>
      <c r="J1864" s="1">
        <v>7.430646125</v>
      </c>
      <c r="K1864" s="1">
        <v>7.4509678069999996</v>
      </c>
      <c r="L1864" s="1">
        <v>7.7876515319999999</v>
      </c>
      <c r="M1864" s="1">
        <v>7.5325785349999999</v>
      </c>
      <c r="N1864" s="1">
        <v>9.1214380649999995</v>
      </c>
      <c r="O1864" s="1">
        <v>9.1520410250000008</v>
      </c>
      <c r="P1864" s="1">
        <v>7.5504369310000001</v>
      </c>
      <c r="Q1864" s="1">
        <v>7.8698686100000002</v>
      </c>
      <c r="R1864" s="1">
        <v>7.1769818540000001</v>
      </c>
      <c r="S1864" s="1">
        <v>7.1378030700000004</v>
      </c>
      <c r="T1864" s="1">
        <v>7.7876515319999999</v>
      </c>
      <c r="U1864" s="1">
        <v>7.5325785349999999</v>
      </c>
      <c r="V1864" s="1">
        <v>7.0954910260000004</v>
      </c>
      <c r="W1864" s="1">
        <v>7.0893438719999997</v>
      </c>
      <c r="X1864" s="1">
        <v>7.3141843419999999</v>
      </c>
      <c r="Y1864" s="1">
        <v>7.4213935639999997</v>
      </c>
      <c r="Z1864" s="1">
        <v>7.1769818540000001</v>
      </c>
      <c r="AA1864" s="1">
        <v>7.1378030700000004</v>
      </c>
      <c r="AB1864" s="1">
        <v>7.4401512089999997</v>
      </c>
      <c r="AC1864" s="1">
        <v>7.2672408080000004</v>
      </c>
      <c r="AD1864" s="1">
        <v>7.5613855440000002</v>
      </c>
      <c r="AE1864" s="1">
        <v>7.360078787</v>
      </c>
    </row>
    <row r="1865" spans="1:31" x14ac:dyDescent="0.25">
      <c r="A1865" s="1" t="s">
        <v>1674</v>
      </c>
      <c r="B1865" s="1" t="s">
        <v>2547</v>
      </c>
      <c r="C1865" s="1" t="s">
        <v>2789</v>
      </c>
      <c r="D1865" s="1" t="s">
        <v>2535</v>
      </c>
      <c r="E1865" s="1" t="s">
        <v>5408</v>
      </c>
      <c r="G1865" s="1" t="s">
        <v>1674</v>
      </c>
      <c r="H1865" s="1">
        <v>8.4722232559999995</v>
      </c>
      <c r="I1865" s="1">
        <v>8.24646452</v>
      </c>
      <c r="J1865" s="1">
        <v>6.4657385989999998</v>
      </c>
      <c r="K1865" s="1">
        <v>6.9337055090000002</v>
      </c>
      <c r="L1865" s="1">
        <v>6.9946302029999998</v>
      </c>
      <c r="M1865" s="1">
        <v>6.6401882609999996</v>
      </c>
      <c r="N1865" s="1">
        <v>8.7850879739999996</v>
      </c>
      <c r="O1865" s="1">
        <v>8.7537399320000002</v>
      </c>
      <c r="P1865" s="1">
        <v>6.5835451750000002</v>
      </c>
      <c r="Q1865" s="1">
        <v>6.7638501550000001</v>
      </c>
      <c r="R1865" s="1">
        <v>6.1687435319999997</v>
      </c>
      <c r="S1865" s="1">
        <v>6.2136668149999998</v>
      </c>
      <c r="T1865" s="1">
        <v>6.9946302029999998</v>
      </c>
      <c r="U1865" s="1">
        <v>6.6401882609999996</v>
      </c>
      <c r="V1865" s="1">
        <v>6.5893934979999997</v>
      </c>
      <c r="W1865" s="1">
        <v>6.5528329879999996</v>
      </c>
      <c r="X1865" s="1">
        <v>6.2399193000000004</v>
      </c>
      <c r="Y1865" s="1">
        <v>6.7864979940000003</v>
      </c>
      <c r="Z1865" s="1">
        <v>6.1687435319999997</v>
      </c>
      <c r="AA1865" s="1">
        <v>6.2136668149999998</v>
      </c>
      <c r="AB1865" s="1">
        <v>6.6320802959999998</v>
      </c>
      <c r="AC1865" s="1">
        <v>6.1612901029999998</v>
      </c>
      <c r="AD1865" s="1">
        <v>6.7155560489999999</v>
      </c>
      <c r="AE1865" s="1">
        <v>6.5341627830000002</v>
      </c>
    </row>
    <row r="1866" spans="1:31" x14ac:dyDescent="0.25">
      <c r="A1866" s="1" t="s">
        <v>1678</v>
      </c>
      <c r="B1866" s="1" t="s">
        <v>2843</v>
      </c>
      <c r="C1866" s="1" t="s">
        <v>3903</v>
      </c>
      <c r="D1866" s="1" t="s">
        <v>2535</v>
      </c>
      <c r="E1866" s="1" t="s">
        <v>5409</v>
      </c>
      <c r="F1866" s="1" t="s">
        <v>5410</v>
      </c>
      <c r="G1866" s="1" t="s">
        <v>1678</v>
      </c>
      <c r="H1866" s="1">
        <v>9.3587498359999994</v>
      </c>
      <c r="I1866" s="1">
        <v>9.4646109480000007</v>
      </c>
      <c r="J1866" s="1">
        <v>9.4431207599999993</v>
      </c>
      <c r="K1866" s="1">
        <v>9.9566272789999992</v>
      </c>
      <c r="L1866" s="1">
        <v>8.1803013680000003</v>
      </c>
      <c r="M1866" s="1">
        <v>7.9651921689999998</v>
      </c>
      <c r="N1866" s="1">
        <v>9.4651843150000001</v>
      </c>
      <c r="O1866" s="1">
        <v>10.00749602</v>
      </c>
      <c r="P1866" s="1">
        <v>8.3878360890000003</v>
      </c>
      <c r="Q1866" s="1">
        <v>8.667232254</v>
      </c>
      <c r="R1866" s="1">
        <v>8.6451959479999996</v>
      </c>
      <c r="S1866" s="1">
        <v>8.6444472969999993</v>
      </c>
      <c r="T1866" s="1">
        <v>8.1803013680000003</v>
      </c>
      <c r="U1866" s="1">
        <v>7.9651921689999998</v>
      </c>
      <c r="V1866" s="1">
        <v>8.6688831089999994</v>
      </c>
      <c r="W1866" s="1">
        <v>8.9647136889999999</v>
      </c>
      <c r="X1866" s="1">
        <v>8.4768931349999992</v>
      </c>
      <c r="Y1866" s="1">
        <v>8.6101673939999994</v>
      </c>
      <c r="Z1866" s="1">
        <v>8.6451959479999996</v>
      </c>
      <c r="AA1866" s="1">
        <v>8.6444472969999993</v>
      </c>
      <c r="AB1866" s="1">
        <v>8.5589390539999997</v>
      </c>
      <c r="AC1866" s="1">
        <v>8.7894596850000006</v>
      </c>
      <c r="AD1866" s="1">
        <v>8.6597826730000005</v>
      </c>
      <c r="AE1866" s="1">
        <v>8.6087902169999992</v>
      </c>
    </row>
    <row r="1867" spans="1:31" x14ac:dyDescent="0.25">
      <c r="A1867" s="1" t="s">
        <v>1681</v>
      </c>
      <c r="B1867" s="1" t="s">
        <v>2579</v>
      </c>
      <c r="C1867" s="1" t="s">
        <v>2933</v>
      </c>
      <c r="D1867" s="1" t="s">
        <v>4889</v>
      </c>
      <c r="E1867" s="1" t="s">
        <v>2985</v>
      </c>
      <c r="F1867" s="1" t="s">
        <v>2986</v>
      </c>
      <c r="G1867" s="1" t="s">
        <v>1681</v>
      </c>
      <c r="H1867" s="1">
        <v>2.9945681560000001</v>
      </c>
      <c r="I1867" s="1">
        <v>3.3322126910000001</v>
      </c>
      <c r="J1867" s="1">
        <v>4.4503473070000004</v>
      </c>
      <c r="K1867" s="1">
        <v>4.2434183680000004</v>
      </c>
      <c r="L1867" s="1">
        <v>4.5867597299999998</v>
      </c>
      <c r="M1867" s="1">
        <v>4.896083601</v>
      </c>
      <c r="N1867" s="1">
        <v>2.9782685729999998</v>
      </c>
      <c r="O1867" s="1">
        <v>3.050193165</v>
      </c>
      <c r="P1867" s="1">
        <v>4.6791060150000003</v>
      </c>
      <c r="Q1867" s="1">
        <v>4.8155696649999999</v>
      </c>
      <c r="R1867" s="1">
        <v>4.6083586160000003</v>
      </c>
      <c r="S1867" s="1">
        <v>4.7503017500000002</v>
      </c>
      <c r="T1867" s="1">
        <v>4.5867597299999998</v>
      </c>
      <c r="U1867" s="1">
        <v>4.896083601</v>
      </c>
      <c r="V1867" s="1">
        <v>4.6419314959999998</v>
      </c>
      <c r="W1867" s="1">
        <v>3.50175473</v>
      </c>
      <c r="X1867" s="1">
        <v>4.9146300209999998</v>
      </c>
      <c r="Y1867" s="1">
        <v>4.5275934409999996</v>
      </c>
      <c r="Z1867" s="1">
        <v>4.6083586160000003</v>
      </c>
      <c r="AA1867" s="1">
        <v>4.7503017500000002</v>
      </c>
      <c r="AB1867" s="1">
        <v>4.6096720080000004</v>
      </c>
      <c r="AC1867" s="1">
        <v>4.3377211620000002</v>
      </c>
      <c r="AD1867" s="1">
        <v>4.8924744240000004</v>
      </c>
      <c r="AE1867" s="1">
        <v>4.4163948289999997</v>
      </c>
    </row>
    <row r="1868" spans="1:31" x14ac:dyDescent="0.25">
      <c r="A1868" s="1" t="s">
        <v>1682</v>
      </c>
      <c r="B1868" s="1" t="s">
        <v>2525</v>
      </c>
      <c r="C1868" s="1" t="s">
        <v>5411</v>
      </c>
      <c r="D1868" s="1" t="s">
        <v>5412</v>
      </c>
      <c r="E1868" s="1" t="s">
        <v>5413</v>
      </c>
      <c r="F1868" s="1" t="s">
        <v>5414</v>
      </c>
      <c r="G1868" s="1" t="s">
        <v>1682</v>
      </c>
      <c r="H1868" s="1">
        <v>6.3073323200000004</v>
      </c>
      <c r="I1868" s="1">
        <v>6.854556928</v>
      </c>
      <c r="J1868" s="1">
        <v>6.5372293419999998</v>
      </c>
      <c r="K1868" s="1">
        <v>6.5137511750000003</v>
      </c>
      <c r="L1868" s="1">
        <v>6.4782437829999999</v>
      </c>
      <c r="M1868" s="1">
        <v>6.7682169480000001</v>
      </c>
      <c r="N1868" s="1">
        <v>5.7957915680000003</v>
      </c>
      <c r="O1868" s="1">
        <v>5.7266127899999999</v>
      </c>
      <c r="P1868" s="1">
        <v>6.7077294260000002</v>
      </c>
      <c r="Q1868" s="1">
        <v>7.0552915670000003</v>
      </c>
      <c r="R1868" s="1">
        <v>6.7593779009999997</v>
      </c>
      <c r="S1868" s="1">
        <v>6.7639721039999996</v>
      </c>
      <c r="T1868" s="1">
        <v>6.4782437829999999</v>
      </c>
      <c r="U1868" s="1">
        <v>6.7682169480000001</v>
      </c>
      <c r="V1868" s="1">
        <v>7.369548387</v>
      </c>
      <c r="W1868" s="1">
        <v>6.863500084</v>
      </c>
      <c r="X1868" s="1">
        <v>6.2034432739999996</v>
      </c>
      <c r="Y1868" s="1">
        <v>6.8528453679999997</v>
      </c>
      <c r="Z1868" s="1">
        <v>6.7593779009999997</v>
      </c>
      <c r="AA1868" s="1">
        <v>6.7639721039999996</v>
      </c>
      <c r="AB1868" s="1">
        <v>6.6077920450000001</v>
      </c>
      <c r="AC1868" s="1">
        <v>6.2044385320000002</v>
      </c>
      <c r="AD1868" s="1">
        <v>6.284744441</v>
      </c>
      <c r="AE1868" s="1">
        <v>6.2870921800000001</v>
      </c>
    </row>
    <row r="1869" spans="1:31" x14ac:dyDescent="0.25">
      <c r="A1869" s="1" t="s">
        <v>1685</v>
      </c>
      <c r="B1869" s="1" t="s">
        <v>2530</v>
      </c>
      <c r="C1869" s="1" t="s">
        <v>2573</v>
      </c>
      <c r="D1869" s="1" t="s">
        <v>2535</v>
      </c>
      <c r="E1869" s="1" t="s">
        <v>3355</v>
      </c>
      <c r="G1869" s="1" t="s">
        <v>1685</v>
      </c>
      <c r="H1869" s="1">
        <v>7.5040903459999999</v>
      </c>
      <c r="I1869" s="1">
        <v>7.0263944179999998</v>
      </c>
      <c r="J1869" s="1">
        <v>8.2087790379999994</v>
      </c>
      <c r="K1869" s="1">
        <v>8.3287122310000008</v>
      </c>
      <c r="L1869" s="1">
        <v>8.6620819250000007</v>
      </c>
      <c r="M1869" s="1">
        <v>8.7381918600000006</v>
      </c>
      <c r="N1869" s="1">
        <v>7.5076461229999998</v>
      </c>
      <c r="O1869" s="1">
        <v>7.275329245</v>
      </c>
      <c r="P1869" s="1">
        <v>8.1839773119999997</v>
      </c>
      <c r="Q1869" s="1">
        <v>8.5316455720000004</v>
      </c>
      <c r="R1869" s="1">
        <v>8.6754362040000004</v>
      </c>
      <c r="S1869" s="1">
        <v>8.3570226390000002</v>
      </c>
      <c r="T1869" s="1">
        <v>8.6620819250000007</v>
      </c>
      <c r="U1869" s="1">
        <v>8.7381918600000006</v>
      </c>
      <c r="V1869" s="1">
        <v>8.5898538299999991</v>
      </c>
      <c r="W1869" s="1">
        <v>8.652620744</v>
      </c>
      <c r="X1869" s="1">
        <v>9.2524244469999992</v>
      </c>
      <c r="Y1869" s="1">
        <v>8.7163625729999996</v>
      </c>
      <c r="Z1869" s="1">
        <v>8.6754362040000004</v>
      </c>
      <c r="AA1869" s="1">
        <v>8.3570226390000002</v>
      </c>
      <c r="AB1869" s="1">
        <v>8.8757897630000002</v>
      </c>
      <c r="AC1869" s="1">
        <v>8.8618484510000002</v>
      </c>
      <c r="AD1869" s="1">
        <v>9.1187547579999997</v>
      </c>
      <c r="AE1869" s="1">
        <v>8.9416925119999995</v>
      </c>
    </row>
    <row r="1870" spans="1:31" x14ac:dyDescent="0.25">
      <c r="A1870" s="1" t="s">
        <v>1686</v>
      </c>
      <c r="B1870" s="1" t="s">
        <v>2530</v>
      </c>
      <c r="C1870" s="1" t="s">
        <v>2531</v>
      </c>
      <c r="D1870" s="1" t="s">
        <v>2535</v>
      </c>
      <c r="E1870" s="1" t="s">
        <v>2536</v>
      </c>
      <c r="G1870" s="1" t="s">
        <v>1686</v>
      </c>
      <c r="H1870" s="1">
        <v>5.2221022919999998</v>
      </c>
      <c r="I1870" s="1">
        <v>5.1998500889999999</v>
      </c>
      <c r="J1870" s="1">
        <v>5.9141206909999999</v>
      </c>
      <c r="K1870" s="1">
        <v>5.6848657879999998</v>
      </c>
      <c r="L1870" s="1">
        <v>6.111512565</v>
      </c>
      <c r="M1870" s="1">
        <v>6.1833887049999996</v>
      </c>
      <c r="N1870" s="1">
        <v>5.3605984370000002</v>
      </c>
      <c r="O1870" s="1">
        <v>5.4117878270000004</v>
      </c>
      <c r="P1870" s="1">
        <v>6.1298655379999998</v>
      </c>
      <c r="Q1870" s="1">
        <v>6.123526483</v>
      </c>
      <c r="R1870" s="1">
        <v>6.3078659510000001</v>
      </c>
      <c r="S1870" s="1">
        <v>6.6028455509999997</v>
      </c>
      <c r="T1870" s="1">
        <v>6.111512565</v>
      </c>
      <c r="U1870" s="1">
        <v>6.1833887049999996</v>
      </c>
      <c r="V1870" s="1">
        <v>6.0587793220000004</v>
      </c>
      <c r="W1870" s="1">
        <v>6.4165513509999998</v>
      </c>
      <c r="X1870" s="1">
        <v>6.3102062310000004</v>
      </c>
      <c r="Y1870" s="1">
        <v>6.4855214879999998</v>
      </c>
      <c r="Z1870" s="1">
        <v>6.3078659510000001</v>
      </c>
      <c r="AA1870" s="1">
        <v>6.6028455509999997</v>
      </c>
      <c r="AB1870" s="1">
        <v>6.3685053089999997</v>
      </c>
      <c r="AC1870" s="1">
        <v>6.384018502</v>
      </c>
      <c r="AD1870" s="1">
        <v>6.3516560770000003</v>
      </c>
      <c r="AE1870" s="1">
        <v>6.4212742540000001</v>
      </c>
    </row>
    <row r="1871" spans="1:31" x14ac:dyDescent="0.25">
      <c r="A1871" s="1" t="s">
        <v>1687</v>
      </c>
      <c r="B1871" s="1" t="s">
        <v>2530</v>
      </c>
      <c r="C1871" s="1" t="s">
        <v>2531</v>
      </c>
      <c r="D1871" s="1" t="s">
        <v>2535</v>
      </c>
      <c r="E1871" s="1" t="s">
        <v>2536</v>
      </c>
      <c r="G1871" s="1" t="s">
        <v>1687</v>
      </c>
      <c r="H1871" s="1">
        <v>5.6296178589999997</v>
      </c>
      <c r="I1871" s="1">
        <v>4.5981535630000003</v>
      </c>
      <c r="J1871" s="1">
        <v>5.6488969620000002</v>
      </c>
      <c r="K1871" s="1">
        <v>5.3612725399999999</v>
      </c>
      <c r="L1871" s="1">
        <v>6.2409920359999997</v>
      </c>
      <c r="M1871" s="1">
        <v>6.0807571469999999</v>
      </c>
      <c r="N1871" s="1">
        <v>5.2649372489999999</v>
      </c>
      <c r="O1871" s="1">
        <v>5.5090357550000002</v>
      </c>
      <c r="P1871" s="1">
        <v>5.3134950500000002</v>
      </c>
      <c r="Q1871" s="1">
        <v>6.1730784669999998</v>
      </c>
      <c r="R1871" s="1">
        <v>5.9309793060000002</v>
      </c>
      <c r="S1871" s="1">
        <v>6.168262747</v>
      </c>
      <c r="T1871" s="1">
        <v>6.2409920359999997</v>
      </c>
      <c r="U1871" s="1">
        <v>6.0807571469999999</v>
      </c>
      <c r="V1871" s="1">
        <v>6.3829858890000004</v>
      </c>
      <c r="W1871" s="1">
        <v>5.9736131119999998</v>
      </c>
      <c r="X1871" s="1">
        <v>6.2518750860000001</v>
      </c>
      <c r="Y1871" s="1">
        <v>6.1044436219999998</v>
      </c>
      <c r="Z1871" s="1">
        <v>5.9309793060000002</v>
      </c>
      <c r="AA1871" s="1">
        <v>6.168262747</v>
      </c>
      <c r="AB1871" s="1">
        <v>5.851934376</v>
      </c>
      <c r="AC1871" s="1">
        <v>6.1612901029999998</v>
      </c>
      <c r="AD1871" s="1">
        <v>5.9231977699999998</v>
      </c>
      <c r="AE1871" s="1">
        <v>6.1775384349999998</v>
      </c>
    </row>
    <row r="1872" spans="1:31" x14ac:dyDescent="0.25">
      <c r="A1872" s="1" t="s">
        <v>1691</v>
      </c>
      <c r="B1872" s="1" t="s">
        <v>2530</v>
      </c>
      <c r="C1872" s="1" t="s">
        <v>2531</v>
      </c>
      <c r="D1872" s="1" t="s">
        <v>5415</v>
      </c>
      <c r="E1872" s="1" t="s">
        <v>5416</v>
      </c>
      <c r="G1872" s="1" t="s">
        <v>1691</v>
      </c>
      <c r="H1872" s="1">
        <v>5.9144073309999996</v>
      </c>
      <c r="I1872" s="1">
        <v>5.8070199389999999</v>
      </c>
      <c r="J1872" s="1">
        <v>5.0051223570000003</v>
      </c>
      <c r="K1872" s="1">
        <v>5.4913640639999999</v>
      </c>
      <c r="L1872" s="1">
        <v>4.713054648</v>
      </c>
      <c r="M1872" s="1">
        <v>4.5846937370000003</v>
      </c>
      <c r="N1872" s="1">
        <v>5.5749368700000002</v>
      </c>
      <c r="O1872" s="1">
        <v>5.8051520590000001</v>
      </c>
      <c r="P1872" s="1">
        <v>4.9577743410000004</v>
      </c>
      <c r="Q1872" s="1">
        <v>4.8773483779999998</v>
      </c>
      <c r="R1872" s="1">
        <v>4.8118229140000004</v>
      </c>
      <c r="S1872" s="1">
        <v>5.2232498669999998</v>
      </c>
      <c r="T1872" s="1">
        <v>4.713054648</v>
      </c>
      <c r="U1872" s="1">
        <v>4.5846937370000003</v>
      </c>
      <c r="V1872" s="1">
        <v>5.1274300740000003</v>
      </c>
      <c r="W1872" s="1">
        <v>4.9854391920000003</v>
      </c>
      <c r="X1872" s="1">
        <v>5.3550813679999996</v>
      </c>
      <c r="Y1872" s="1">
        <v>5.1254702539999997</v>
      </c>
      <c r="Z1872" s="1">
        <v>4.8118229140000004</v>
      </c>
      <c r="AA1872" s="1">
        <v>5.2232498669999998</v>
      </c>
      <c r="AB1872" s="1">
        <v>5.2406211000000003</v>
      </c>
      <c r="AC1872" s="1">
        <v>5.0638423939999999</v>
      </c>
      <c r="AD1872" s="1">
        <v>5.2159266190000002</v>
      </c>
      <c r="AE1872" s="1">
        <v>5.49371411</v>
      </c>
    </row>
    <row r="1873" spans="1:31" x14ac:dyDescent="0.25">
      <c r="A1873" s="1" t="s">
        <v>1694</v>
      </c>
      <c r="B1873" s="1" t="s">
        <v>2530</v>
      </c>
      <c r="C1873" s="1" t="s">
        <v>2531</v>
      </c>
      <c r="D1873" s="1" t="s">
        <v>2535</v>
      </c>
      <c r="E1873" s="1" t="s">
        <v>2621</v>
      </c>
      <c r="G1873" s="1" t="s">
        <v>1694</v>
      </c>
      <c r="H1873" s="1">
        <v>4.7245801409999997</v>
      </c>
      <c r="I1873" s="1">
        <v>5.5177814730000003</v>
      </c>
      <c r="J1873" s="1">
        <v>4.2898244959999996</v>
      </c>
      <c r="K1873" s="1">
        <v>5.0014827119999996</v>
      </c>
      <c r="L1873" s="1">
        <v>4.1188213390000001</v>
      </c>
      <c r="M1873" s="1">
        <v>3.6924658159999999</v>
      </c>
      <c r="N1873" s="1">
        <v>5.5749368700000002</v>
      </c>
      <c r="O1873" s="1">
        <v>5.3605571169999999</v>
      </c>
      <c r="P1873" s="1">
        <v>4.4075207919999997</v>
      </c>
      <c r="Q1873" s="1">
        <v>3.185675432</v>
      </c>
      <c r="R1873" s="1">
        <v>3.386455024</v>
      </c>
      <c r="S1873" s="1">
        <v>4.0285685429999996</v>
      </c>
      <c r="T1873" s="1">
        <v>4.1188213390000001</v>
      </c>
      <c r="U1873" s="1">
        <v>3.6924658159999999</v>
      </c>
      <c r="V1873" s="1">
        <v>4.1608706030000002</v>
      </c>
      <c r="W1873" s="1">
        <v>4.9190341039999996</v>
      </c>
      <c r="X1873" s="1">
        <v>5.8091227329999997</v>
      </c>
      <c r="Y1873" s="1">
        <v>4.9529845589999999</v>
      </c>
      <c r="Z1873" s="1">
        <v>3.386455024</v>
      </c>
      <c r="AA1873" s="1">
        <v>4.0285685429999996</v>
      </c>
      <c r="AB1873" s="1">
        <v>4.7958605490000004</v>
      </c>
      <c r="AC1873" s="1">
        <v>4.2557864319999998</v>
      </c>
      <c r="AD1873" s="1">
        <v>4.5511338559999999</v>
      </c>
      <c r="AE1873" s="1">
        <v>4.6572481659999996</v>
      </c>
    </row>
    <row r="1874" spans="1:31" x14ac:dyDescent="0.25">
      <c r="A1874" s="1" t="s">
        <v>1699</v>
      </c>
      <c r="B1874" s="1" t="s">
        <v>2530</v>
      </c>
      <c r="C1874" s="1" t="s">
        <v>2531</v>
      </c>
      <c r="D1874" s="1" t="s">
        <v>2535</v>
      </c>
      <c r="E1874" s="1" t="s">
        <v>2536</v>
      </c>
      <c r="G1874" s="1" t="s">
        <v>1699</v>
      </c>
      <c r="H1874" s="1">
        <v>6.512907255</v>
      </c>
      <c r="I1874" s="1">
        <v>5.7476087250000001</v>
      </c>
      <c r="J1874" s="1">
        <v>6.1378545859999996</v>
      </c>
      <c r="K1874" s="1">
        <v>6.4514685810000003</v>
      </c>
      <c r="L1874" s="1">
        <v>5.5357047289999999</v>
      </c>
      <c r="M1874" s="1">
        <v>6.0026802679999998</v>
      </c>
      <c r="N1874" s="1">
        <v>6.0166363460000003</v>
      </c>
      <c r="O1874" s="1">
        <v>6.5601688740000004</v>
      </c>
      <c r="P1874" s="1">
        <v>6.1074648529999997</v>
      </c>
      <c r="Q1874" s="1">
        <v>6.045837068</v>
      </c>
      <c r="R1874" s="1">
        <v>6.1441881260000004</v>
      </c>
      <c r="S1874" s="1">
        <v>5.710270789</v>
      </c>
      <c r="T1874" s="1">
        <v>5.5357047289999999</v>
      </c>
      <c r="U1874" s="1">
        <v>6.0026802679999998</v>
      </c>
      <c r="V1874" s="1">
        <v>5.5505659869999997</v>
      </c>
      <c r="W1874" s="1">
        <v>4.8493412630000003</v>
      </c>
      <c r="X1874" s="1">
        <v>6.4095855210000003</v>
      </c>
      <c r="Y1874" s="1">
        <v>5.0128502209999999</v>
      </c>
      <c r="Z1874" s="1">
        <v>6.1441881260000004</v>
      </c>
      <c r="AA1874" s="1">
        <v>5.710270789</v>
      </c>
      <c r="AB1874" s="1">
        <v>6.2160685200000003</v>
      </c>
      <c r="AC1874" s="1">
        <v>6.0234746389999998</v>
      </c>
      <c r="AD1874" s="1">
        <v>5.9522696560000004</v>
      </c>
      <c r="AE1874" s="1">
        <v>6.0451310640000004</v>
      </c>
    </row>
    <row r="1875" spans="1:31" x14ac:dyDescent="0.25">
      <c r="A1875" s="1" t="s">
        <v>1700</v>
      </c>
      <c r="B1875" s="1" t="s">
        <v>2530</v>
      </c>
      <c r="C1875" s="1" t="s">
        <v>2531</v>
      </c>
      <c r="D1875" s="1" t="s">
        <v>2535</v>
      </c>
      <c r="E1875" s="1" t="s">
        <v>5417</v>
      </c>
      <c r="G1875" s="1" t="s">
        <v>1700</v>
      </c>
      <c r="H1875" s="1">
        <v>7.6942233079999998</v>
      </c>
      <c r="I1875" s="1">
        <v>7.6770650890000001</v>
      </c>
      <c r="J1875" s="1">
        <v>8.3039740680000005</v>
      </c>
      <c r="K1875" s="1">
        <v>8.3629086709999996</v>
      </c>
      <c r="L1875" s="1">
        <v>7.730105537</v>
      </c>
      <c r="M1875" s="1">
        <v>7.8183166420000001</v>
      </c>
      <c r="N1875" s="1">
        <v>7.1029295010000002</v>
      </c>
      <c r="O1875" s="1">
        <v>7.2958072559999998</v>
      </c>
      <c r="P1875" s="1">
        <v>8.2051834489999997</v>
      </c>
      <c r="Q1875" s="1">
        <v>8.2031130050000005</v>
      </c>
      <c r="R1875" s="1">
        <v>7.9873769780000003</v>
      </c>
      <c r="S1875" s="1">
        <v>7.7964584720000003</v>
      </c>
      <c r="T1875" s="1">
        <v>7.730105537</v>
      </c>
      <c r="U1875" s="1">
        <v>7.8183166420000001</v>
      </c>
      <c r="V1875" s="1">
        <v>7.2343052459999999</v>
      </c>
      <c r="W1875" s="1">
        <v>7.46795381</v>
      </c>
      <c r="X1875" s="1">
        <v>7.9302051870000003</v>
      </c>
      <c r="Y1875" s="1">
        <v>6.769422294</v>
      </c>
      <c r="Z1875" s="1">
        <v>7.9873769780000003</v>
      </c>
      <c r="AA1875" s="1">
        <v>7.7964584720000003</v>
      </c>
      <c r="AB1875" s="1">
        <v>7.5332931280000004</v>
      </c>
      <c r="AC1875" s="1">
        <v>7.7098339850000004</v>
      </c>
      <c r="AD1875" s="1">
        <v>7.5519453929999996</v>
      </c>
      <c r="AE1875" s="1">
        <v>7.4724121490000002</v>
      </c>
    </row>
    <row r="1876" spans="1:31" x14ac:dyDescent="0.25">
      <c r="A1876" s="1" t="s">
        <v>1701</v>
      </c>
      <c r="B1876" s="1" t="s">
        <v>2520</v>
      </c>
      <c r="C1876" s="1" t="s">
        <v>2521</v>
      </c>
      <c r="D1876" s="1" t="s">
        <v>2535</v>
      </c>
      <c r="E1876" s="1" t="s">
        <v>5418</v>
      </c>
      <c r="F1876" s="1" t="s">
        <v>5419</v>
      </c>
      <c r="G1876" s="1" t="s">
        <v>1701</v>
      </c>
      <c r="H1876" s="1">
        <v>8.1691821289999993</v>
      </c>
      <c r="I1876" s="1">
        <v>7.7315600010000001</v>
      </c>
      <c r="J1876" s="1">
        <v>8.3293390590000005</v>
      </c>
      <c r="K1876" s="1">
        <v>8.1895577940000006</v>
      </c>
      <c r="L1876" s="1">
        <v>7.9508259810000004</v>
      </c>
      <c r="M1876" s="1">
        <v>8.1096726439999998</v>
      </c>
      <c r="N1876" s="1">
        <v>7.4110769220000003</v>
      </c>
      <c r="O1876" s="1">
        <v>7.7756372860000003</v>
      </c>
      <c r="P1876" s="1">
        <v>8.3116716519999994</v>
      </c>
      <c r="Q1876" s="1">
        <v>8.2499516550000003</v>
      </c>
      <c r="R1876" s="1">
        <v>8.5030852889999995</v>
      </c>
      <c r="S1876" s="1">
        <v>8.3670846700000006</v>
      </c>
      <c r="T1876" s="1">
        <v>7.9508259810000004</v>
      </c>
      <c r="U1876" s="1">
        <v>8.1096726439999998</v>
      </c>
      <c r="V1876" s="1">
        <v>8.1928020519999993</v>
      </c>
      <c r="W1876" s="1">
        <v>8.4053539060000002</v>
      </c>
      <c r="X1876" s="1">
        <v>8.3877666879999992</v>
      </c>
      <c r="Y1876" s="1">
        <v>8.4955284120000005</v>
      </c>
      <c r="Z1876" s="1">
        <v>8.5030852889999995</v>
      </c>
      <c r="AA1876" s="1">
        <v>8.3670846700000006</v>
      </c>
      <c r="AB1876" s="1">
        <v>8.4942335920000005</v>
      </c>
      <c r="AC1876" s="1">
        <v>8.4878101319999999</v>
      </c>
      <c r="AD1876" s="1">
        <v>8.5550205619999993</v>
      </c>
      <c r="AE1876" s="1">
        <v>8.4636487769999995</v>
      </c>
    </row>
    <row r="1877" spans="1:31" x14ac:dyDescent="0.25">
      <c r="A1877" s="1" t="s">
        <v>1703</v>
      </c>
      <c r="B1877" s="1" t="s">
        <v>2667</v>
      </c>
      <c r="C1877" s="1" t="s">
        <v>2802</v>
      </c>
      <c r="D1877" s="1" t="s">
        <v>3190</v>
      </c>
      <c r="E1877" s="1" t="s">
        <v>5420</v>
      </c>
      <c r="F1877" s="1" t="s">
        <v>5421</v>
      </c>
      <c r="G1877" s="1" t="s">
        <v>1703</v>
      </c>
      <c r="H1877" s="1">
        <v>6.2573638139999996</v>
      </c>
      <c r="I1877" s="1">
        <v>6.0227272230000004</v>
      </c>
      <c r="J1877" s="1">
        <v>6.4657385989999998</v>
      </c>
      <c r="K1877" s="1">
        <v>6.7038094560000001</v>
      </c>
      <c r="L1877" s="1">
        <v>6.2816826880000001</v>
      </c>
      <c r="M1877" s="1">
        <v>6.2389026359999997</v>
      </c>
      <c r="N1877" s="1">
        <v>5.7436907640000001</v>
      </c>
      <c r="O1877" s="1">
        <v>6.0504081489999999</v>
      </c>
      <c r="P1877" s="1">
        <v>6.5171892439999999</v>
      </c>
      <c r="Q1877" s="1">
        <v>6.4187248529999996</v>
      </c>
      <c r="R1877" s="1">
        <v>6.532477096</v>
      </c>
      <c r="S1877" s="1">
        <v>6.5329808710000004</v>
      </c>
      <c r="T1877" s="1">
        <v>6.2816826880000001</v>
      </c>
      <c r="U1877" s="1">
        <v>6.2389026359999997</v>
      </c>
      <c r="V1877" s="1">
        <v>6.4977915140000002</v>
      </c>
      <c r="W1877" s="1">
        <v>6.7734156700000003</v>
      </c>
      <c r="X1877" s="1">
        <v>6.5709008840000003</v>
      </c>
      <c r="Y1877" s="1">
        <v>6.4644452860000001</v>
      </c>
      <c r="Z1877" s="1">
        <v>6.532477096</v>
      </c>
      <c r="AA1877" s="1">
        <v>6.5329808710000004</v>
      </c>
      <c r="AB1877" s="1">
        <v>6.769786034</v>
      </c>
      <c r="AC1877" s="1">
        <v>6.6409981050000004</v>
      </c>
      <c r="AD1877" s="1">
        <v>6.3516560770000003</v>
      </c>
      <c r="AE1877" s="1">
        <v>6.4941297889999996</v>
      </c>
    </row>
    <row r="1878" spans="1:31" x14ac:dyDescent="0.25">
      <c r="A1878" s="1" t="s">
        <v>1704</v>
      </c>
      <c r="B1878" s="1" t="s">
        <v>2547</v>
      </c>
      <c r="C1878" s="1" t="s">
        <v>2789</v>
      </c>
      <c r="D1878" s="1" t="s">
        <v>3296</v>
      </c>
      <c r="E1878" s="1" t="s">
        <v>5422</v>
      </c>
      <c r="F1878" s="1" t="s">
        <v>5423</v>
      </c>
      <c r="G1878" s="1" t="s">
        <v>1704</v>
      </c>
      <c r="H1878" s="1">
        <v>5.8817546890000001</v>
      </c>
      <c r="I1878" s="1">
        <v>5.9189259930000002</v>
      </c>
      <c r="J1878" s="1">
        <v>5.7428701560000004</v>
      </c>
      <c r="K1878" s="1">
        <v>5.9181521149999998</v>
      </c>
      <c r="L1878" s="1">
        <v>5.8387509910000004</v>
      </c>
      <c r="M1878" s="1">
        <v>5.8324912810000002</v>
      </c>
      <c r="N1878" s="1">
        <v>5.878624276</v>
      </c>
      <c r="O1878" s="1">
        <v>5.9154339690000004</v>
      </c>
      <c r="P1878" s="1">
        <v>5.8072178450000003</v>
      </c>
      <c r="Q1878" s="1">
        <v>5.991605206</v>
      </c>
      <c r="R1878" s="1">
        <v>5.5365302600000001</v>
      </c>
      <c r="S1878" s="1">
        <v>5.9440521669999997</v>
      </c>
      <c r="T1878" s="1">
        <v>5.8387509910000004</v>
      </c>
      <c r="U1878" s="1">
        <v>5.8324912810000002</v>
      </c>
      <c r="V1878" s="1">
        <v>6.1619548430000002</v>
      </c>
      <c r="W1878" s="1">
        <v>6.0677414089999999</v>
      </c>
      <c r="X1878" s="1">
        <v>6.1533217709999999</v>
      </c>
      <c r="Y1878" s="1">
        <v>5.8995743010000004</v>
      </c>
      <c r="Z1878" s="1">
        <v>5.5365302600000001</v>
      </c>
      <c r="AA1878" s="1">
        <v>5.9440521669999997</v>
      </c>
      <c r="AB1878" s="1">
        <v>6.2478766610000003</v>
      </c>
      <c r="AC1878" s="1">
        <v>5.7302515789999999</v>
      </c>
      <c r="AD1878" s="1">
        <v>5.7682763389999998</v>
      </c>
      <c r="AE1878" s="1">
        <v>6.0589349549999998</v>
      </c>
    </row>
    <row r="1879" spans="1:31" x14ac:dyDescent="0.25">
      <c r="A1879" s="1" t="s">
        <v>1707</v>
      </c>
      <c r="B1879" s="1" t="s">
        <v>2530</v>
      </c>
      <c r="C1879" s="1" t="s">
        <v>2573</v>
      </c>
      <c r="D1879" s="1" t="s">
        <v>2535</v>
      </c>
      <c r="E1879" s="1" t="s">
        <v>5424</v>
      </c>
      <c r="F1879" s="1" t="s">
        <v>5425</v>
      </c>
      <c r="G1879" s="1" t="s">
        <v>1707</v>
      </c>
      <c r="H1879" s="1">
        <v>4.9322401630000003</v>
      </c>
      <c r="I1879" s="1">
        <v>4.4542943209999999</v>
      </c>
      <c r="J1879" s="1">
        <v>4.5240842389999996</v>
      </c>
      <c r="K1879" s="1">
        <v>4.5974987220000001</v>
      </c>
      <c r="L1879" s="1">
        <v>4.5190290319999997</v>
      </c>
      <c r="M1879" s="1">
        <v>4.5403831759999997</v>
      </c>
      <c r="N1879" s="1">
        <v>4.5776172920000002</v>
      </c>
      <c r="O1879" s="1">
        <v>4.7100516409999997</v>
      </c>
      <c r="P1879" s="1">
        <v>5.1903212940000003</v>
      </c>
      <c r="Q1879" s="1">
        <v>4.4575363990000003</v>
      </c>
      <c r="R1879" s="1">
        <v>4.2802026870000001</v>
      </c>
      <c r="S1879" s="1">
        <v>4.1304223819999999</v>
      </c>
      <c r="T1879" s="1">
        <v>4.5190290319999997</v>
      </c>
      <c r="U1879" s="1">
        <v>4.5403831759999997</v>
      </c>
      <c r="V1879" s="1">
        <v>3.887436229</v>
      </c>
      <c r="W1879" s="1">
        <v>4.69862249</v>
      </c>
      <c r="X1879" s="1">
        <v>4.6102919370000004</v>
      </c>
      <c r="Y1879" s="1">
        <v>4.3509215530000001</v>
      </c>
      <c r="Z1879" s="1">
        <v>4.2802026870000001</v>
      </c>
      <c r="AA1879" s="1">
        <v>4.1304223819999999</v>
      </c>
      <c r="AB1879" s="1">
        <v>4.5063178209999997</v>
      </c>
      <c r="AC1879" s="1">
        <v>4.415017905</v>
      </c>
      <c r="AD1879" s="1">
        <v>4.6264106470000002</v>
      </c>
      <c r="AE1879" s="1">
        <v>4.9843711490000002</v>
      </c>
    </row>
    <row r="1880" spans="1:31" x14ac:dyDescent="0.25">
      <c r="A1880" s="1" t="s">
        <v>1708</v>
      </c>
      <c r="B1880" s="1" t="s">
        <v>2598</v>
      </c>
      <c r="C1880" s="1" t="s">
        <v>2599</v>
      </c>
      <c r="D1880" s="1" t="s">
        <v>3080</v>
      </c>
      <c r="E1880" s="1" t="s">
        <v>5426</v>
      </c>
      <c r="F1880" s="1" t="s">
        <v>5427</v>
      </c>
      <c r="G1880" s="1" t="s">
        <v>1708</v>
      </c>
      <c r="H1880" s="1">
        <v>7.3696505800000001</v>
      </c>
      <c r="I1880" s="1">
        <v>7.308415042</v>
      </c>
      <c r="J1880" s="1">
        <v>7.905700757</v>
      </c>
      <c r="K1880" s="1">
        <v>7.5630976069999996</v>
      </c>
      <c r="L1880" s="1">
        <v>7.7264315059999999</v>
      </c>
      <c r="M1880" s="1">
        <v>7.9651921689999998</v>
      </c>
      <c r="N1880" s="1">
        <v>7.5735753020000001</v>
      </c>
      <c r="O1880" s="1">
        <v>7.6802284939999996</v>
      </c>
      <c r="P1880" s="1">
        <v>7.9590245529999999</v>
      </c>
      <c r="Q1880" s="1">
        <v>7.5145739430000003</v>
      </c>
      <c r="R1880" s="1">
        <v>8.1984635140000002</v>
      </c>
      <c r="S1880" s="1">
        <v>7.8404611700000002</v>
      </c>
      <c r="T1880" s="1">
        <v>7.7264315059999999</v>
      </c>
      <c r="U1880" s="1">
        <v>7.9651921689999998</v>
      </c>
      <c r="V1880" s="1">
        <v>8.011704173</v>
      </c>
      <c r="W1880" s="1">
        <v>7.9512000870000001</v>
      </c>
      <c r="X1880" s="1">
        <v>7.9190212080000002</v>
      </c>
      <c r="Y1880" s="1">
        <v>7.8686810219999996</v>
      </c>
      <c r="Z1880" s="1">
        <v>8.1984635140000002</v>
      </c>
      <c r="AA1880" s="1">
        <v>7.8404611700000002</v>
      </c>
      <c r="AB1880" s="1">
        <v>7.6917648850000004</v>
      </c>
      <c r="AC1880" s="1">
        <v>7.96278402</v>
      </c>
      <c r="AD1880" s="1">
        <v>7.9756272179999996</v>
      </c>
      <c r="AE1880" s="1">
        <v>7.9238128110000003</v>
      </c>
    </row>
    <row r="1881" spans="1:31" x14ac:dyDescent="0.25">
      <c r="A1881" s="1" t="s">
        <v>1709</v>
      </c>
      <c r="B1881" s="1" t="s">
        <v>2598</v>
      </c>
      <c r="C1881" s="1" t="s">
        <v>2599</v>
      </c>
      <c r="D1881" s="1" t="s">
        <v>3080</v>
      </c>
      <c r="E1881" s="1" t="s">
        <v>5428</v>
      </c>
      <c r="F1881" s="1" t="s">
        <v>5429</v>
      </c>
      <c r="G1881" s="1" t="s">
        <v>1709</v>
      </c>
      <c r="H1881" s="1">
        <v>8.9671101719999999</v>
      </c>
      <c r="I1881" s="1">
        <v>8.9011993629999999</v>
      </c>
      <c r="J1881" s="1">
        <v>8.1811814789999993</v>
      </c>
      <c r="K1881" s="1">
        <v>8.2271730010000006</v>
      </c>
      <c r="L1881" s="1">
        <v>7.5915610869999997</v>
      </c>
      <c r="M1881" s="1">
        <v>7.5270236820000003</v>
      </c>
      <c r="N1881" s="1">
        <v>8.9976229169999993</v>
      </c>
      <c r="O1881" s="1">
        <v>9.2944693990000005</v>
      </c>
      <c r="P1881" s="1">
        <v>7.5587001300000001</v>
      </c>
      <c r="Q1881" s="1">
        <v>7.4153055109999997</v>
      </c>
      <c r="R1881" s="1">
        <v>7.410732061</v>
      </c>
      <c r="S1881" s="1">
        <v>7.4998563479999998</v>
      </c>
      <c r="T1881" s="1">
        <v>7.5915610869999997</v>
      </c>
      <c r="U1881" s="1">
        <v>7.5270236820000003</v>
      </c>
      <c r="V1881" s="1">
        <v>7.6430906140000001</v>
      </c>
      <c r="W1881" s="1">
        <v>7.917971391</v>
      </c>
      <c r="X1881" s="1">
        <v>7.3754854119999997</v>
      </c>
      <c r="Y1881" s="1">
        <v>7.6623122090000004</v>
      </c>
      <c r="Z1881" s="1">
        <v>7.410732061</v>
      </c>
      <c r="AA1881" s="1">
        <v>7.4998563479999998</v>
      </c>
      <c r="AB1881" s="1">
        <v>7.7483602229999997</v>
      </c>
      <c r="AC1881" s="1">
        <v>7.5603659499999996</v>
      </c>
      <c r="AD1881" s="1">
        <v>7.8425975660000002</v>
      </c>
      <c r="AE1881" s="1">
        <v>7.7773983329999998</v>
      </c>
    </row>
    <row r="1882" spans="1:31" x14ac:dyDescent="0.25">
      <c r="A1882" s="1" t="s">
        <v>1710</v>
      </c>
      <c r="B1882" s="1" t="s">
        <v>2520</v>
      </c>
      <c r="C1882" s="1" t="s">
        <v>2521</v>
      </c>
      <c r="D1882" s="1" t="s">
        <v>2535</v>
      </c>
      <c r="E1882" s="1" t="s">
        <v>5430</v>
      </c>
      <c r="G1882" s="1" t="s">
        <v>1710</v>
      </c>
      <c r="H1882" s="1">
        <v>8.3703094419999999</v>
      </c>
      <c r="I1882" s="1">
        <v>8.4033386550000007</v>
      </c>
      <c r="J1882" s="1">
        <v>6.931337622</v>
      </c>
      <c r="K1882" s="1">
        <v>7.2705230040000002</v>
      </c>
      <c r="L1882" s="1">
        <v>7.1780295799999996</v>
      </c>
      <c r="M1882" s="1">
        <v>7.1252663509999996</v>
      </c>
      <c r="N1882" s="1">
        <v>8.6293046370000006</v>
      </c>
      <c r="O1882" s="1">
        <v>8.8211924509999999</v>
      </c>
      <c r="P1882" s="1">
        <v>7.2974488869999998</v>
      </c>
      <c r="Q1882" s="1">
        <v>7.3306552820000004</v>
      </c>
      <c r="R1882" s="1">
        <v>7.0241430190000003</v>
      </c>
      <c r="S1882" s="1">
        <v>7.1840900559999996</v>
      </c>
      <c r="T1882" s="1">
        <v>7.1780295799999996</v>
      </c>
      <c r="U1882" s="1">
        <v>7.1252663509999996</v>
      </c>
      <c r="V1882" s="1">
        <v>7.316963855</v>
      </c>
      <c r="W1882" s="1">
        <v>7.4448055310000001</v>
      </c>
      <c r="X1882" s="1">
        <v>6.894159889</v>
      </c>
      <c r="Y1882" s="1">
        <v>7.2474189219999996</v>
      </c>
      <c r="Z1882" s="1">
        <v>7.0241430190000003</v>
      </c>
      <c r="AA1882" s="1">
        <v>7.1840900559999996</v>
      </c>
      <c r="AB1882" s="1">
        <v>6.875265154</v>
      </c>
      <c r="AC1882" s="1">
        <v>7.0947960390000002</v>
      </c>
      <c r="AD1882" s="1">
        <v>7.0195523419999999</v>
      </c>
      <c r="AE1882" s="1">
        <v>6.9362871930000001</v>
      </c>
    </row>
    <row r="1883" spans="1:31" x14ac:dyDescent="0.25">
      <c r="A1883" s="1" t="s">
        <v>1711</v>
      </c>
      <c r="B1883" s="1" t="s">
        <v>2557</v>
      </c>
      <c r="C1883" s="1" t="s">
        <v>3771</v>
      </c>
      <c r="D1883" s="1" t="s">
        <v>3772</v>
      </c>
      <c r="E1883" s="1" t="s">
        <v>5431</v>
      </c>
      <c r="F1883" s="1" t="s">
        <v>5432</v>
      </c>
      <c r="G1883" s="1" t="s">
        <v>1711</v>
      </c>
      <c r="H1883" s="1">
        <v>6.4914637309999996</v>
      </c>
      <c r="I1883" s="1">
        <v>7.0138798510000004</v>
      </c>
      <c r="J1883" s="1">
        <v>5.8310524639999999</v>
      </c>
      <c r="K1883" s="1">
        <v>5.6105789259999996</v>
      </c>
      <c r="L1883" s="1">
        <v>5.8387509910000004</v>
      </c>
      <c r="M1883" s="1">
        <v>5.0913316819999999</v>
      </c>
      <c r="N1883" s="1">
        <v>6.9660750880000002</v>
      </c>
      <c r="O1883" s="1">
        <v>7.5095852350000003</v>
      </c>
      <c r="P1883" s="1">
        <v>5.3134950500000002</v>
      </c>
      <c r="Q1883" s="1">
        <v>5.6144419360000004</v>
      </c>
      <c r="R1883" s="1">
        <v>5.458747732</v>
      </c>
      <c r="S1883" s="1">
        <v>5.3915434019999999</v>
      </c>
      <c r="T1883" s="1">
        <v>5.8387509910000004</v>
      </c>
      <c r="U1883" s="1">
        <v>5.0913316819999999</v>
      </c>
      <c r="V1883" s="1">
        <v>5.4230002329999998</v>
      </c>
      <c r="W1883" s="1">
        <v>5.6059572260000001</v>
      </c>
      <c r="X1883" s="1">
        <v>5.6000621730000004</v>
      </c>
      <c r="Y1883" s="1">
        <v>5.8352313850000002</v>
      </c>
      <c r="Z1883" s="1">
        <v>5.458747732</v>
      </c>
      <c r="AA1883" s="1">
        <v>5.3915434019999999</v>
      </c>
      <c r="AB1883" s="1">
        <v>5.675717079</v>
      </c>
      <c r="AC1883" s="1">
        <v>5.5065733579999998</v>
      </c>
      <c r="AD1883" s="1">
        <v>5.5186611069999998</v>
      </c>
      <c r="AE1883" s="1">
        <v>5.5139573549999996</v>
      </c>
    </row>
    <row r="1884" spans="1:31" x14ac:dyDescent="0.25">
      <c r="A1884" s="1" t="s">
        <v>1714</v>
      </c>
      <c r="B1884" s="1" t="s">
        <v>2942</v>
      </c>
      <c r="C1884" s="1" t="s">
        <v>2943</v>
      </c>
      <c r="D1884" s="1" t="s">
        <v>2535</v>
      </c>
      <c r="E1884" s="1" t="s">
        <v>5433</v>
      </c>
      <c r="F1884" s="1" t="s">
        <v>3661</v>
      </c>
      <c r="G1884" s="1" t="s">
        <v>1714</v>
      </c>
      <c r="H1884" s="1">
        <v>4.9322401630000003</v>
      </c>
      <c r="I1884" s="1">
        <v>6.1427370300000002</v>
      </c>
      <c r="J1884" s="1">
        <v>5.8310524639999999</v>
      </c>
      <c r="K1884" s="1">
        <v>5.2674352469999999</v>
      </c>
      <c r="L1884" s="1">
        <v>5.58546151</v>
      </c>
      <c r="M1884" s="1">
        <v>5.7583226490000001</v>
      </c>
      <c r="N1884" s="1">
        <v>5.5947014570000002</v>
      </c>
      <c r="O1884" s="1">
        <v>5.0724039640000003</v>
      </c>
      <c r="P1884" s="1">
        <v>5.7791106289999998</v>
      </c>
      <c r="Q1884" s="1">
        <v>5.6846114249999999</v>
      </c>
      <c r="R1884" s="1">
        <v>5.1961281320000001</v>
      </c>
      <c r="S1884" s="1">
        <v>5.6453330910000004</v>
      </c>
      <c r="T1884" s="1">
        <v>5.58546151</v>
      </c>
      <c r="U1884" s="1">
        <v>5.7583226490000001</v>
      </c>
      <c r="V1884" s="1">
        <v>6.5134692110000003</v>
      </c>
      <c r="W1884" s="1">
        <v>5.872872095</v>
      </c>
      <c r="X1884" s="1">
        <v>6.0475048180000002</v>
      </c>
      <c r="Y1884" s="1">
        <v>6.2836980430000002</v>
      </c>
      <c r="Z1884" s="1">
        <v>5.1961281320000001</v>
      </c>
      <c r="AA1884" s="1">
        <v>5.6453330910000004</v>
      </c>
      <c r="AB1884" s="1">
        <v>5.5787398220000002</v>
      </c>
      <c r="AC1884" s="1">
        <v>5.2822693689999998</v>
      </c>
      <c r="AD1884" s="1">
        <v>5.0634297190000002</v>
      </c>
      <c r="AE1884" s="1">
        <v>6.2026157089999998</v>
      </c>
    </row>
    <row r="1885" spans="1:31" x14ac:dyDescent="0.25">
      <c r="A1885" s="1" t="s">
        <v>1715</v>
      </c>
      <c r="B1885" s="1" t="s">
        <v>2547</v>
      </c>
      <c r="C1885" s="1" t="s">
        <v>2675</v>
      </c>
      <c r="D1885" s="1" t="s">
        <v>4555</v>
      </c>
      <c r="E1885" s="1" t="s">
        <v>5434</v>
      </c>
      <c r="F1885" s="1" t="s">
        <v>5435</v>
      </c>
      <c r="G1885" s="1" t="s">
        <v>1715</v>
      </c>
      <c r="H1885" s="1">
        <v>6.1242673779999999</v>
      </c>
      <c r="I1885" s="1">
        <v>6.1427370300000002</v>
      </c>
      <c r="J1885" s="1">
        <v>7.6954749209999997</v>
      </c>
      <c r="K1885" s="1">
        <v>7.7641640660000002</v>
      </c>
      <c r="L1885" s="1">
        <v>6.6511479839999996</v>
      </c>
      <c r="M1885" s="1">
        <v>7.0497775430000003</v>
      </c>
      <c r="N1885" s="1">
        <v>5.8295014189999996</v>
      </c>
      <c r="O1885" s="1">
        <v>4.8288877169999997</v>
      </c>
      <c r="P1885" s="1">
        <v>7.0964005209999996</v>
      </c>
      <c r="Q1885" s="1">
        <v>7.2863899630000004</v>
      </c>
      <c r="R1885" s="1">
        <v>7.1890158729999998</v>
      </c>
      <c r="S1885" s="1">
        <v>7.4721490179999996</v>
      </c>
      <c r="T1885" s="1">
        <v>6.6511479839999996</v>
      </c>
      <c r="U1885" s="1">
        <v>7.0497775430000003</v>
      </c>
      <c r="V1885" s="1">
        <v>7.0316458629999996</v>
      </c>
      <c r="W1885" s="1">
        <v>7.1478630409999999</v>
      </c>
      <c r="X1885" s="1">
        <v>6.2987278330000001</v>
      </c>
      <c r="Y1885" s="1">
        <v>6.4855214879999998</v>
      </c>
      <c r="Z1885" s="1">
        <v>7.1890158729999998</v>
      </c>
      <c r="AA1885" s="1">
        <v>7.4721490179999996</v>
      </c>
      <c r="AB1885" s="1">
        <v>7.1351367960000003</v>
      </c>
      <c r="AC1885" s="1">
        <v>7.1835961460000002</v>
      </c>
      <c r="AD1885" s="1">
        <v>6.4768062029999998</v>
      </c>
      <c r="AE1885" s="1">
        <v>6.7703137360000003</v>
      </c>
    </row>
    <row r="1886" spans="1:31" x14ac:dyDescent="0.25">
      <c r="A1886" s="1" t="s">
        <v>1717</v>
      </c>
      <c r="B1886" s="1" t="s">
        <v>2530</v>
      </c>
      <c r="C1886" s="1" t="s">
        <v>2573</v>
      </c>
      <c r="D1886" s="1" t="s">
        <v>2535</v>
      </c>
      <c r="E1886" s="1" t="s">
        <v>5436</v>
      </c>
      <c r="G1886" s="1" t="s">
        <v>1717</v>
      </c>
      <c r="H1886" s="1">
        <v>3.2549621289999999</v>
      </c>
      <c r="I1886" s="1">
        <v>4.7893724280000001</v>
      </c>
      <c r="J1886" s="1">
        <v>4.3724365990000003</v>
      </c>
      <c r="K1886" s="1">
        <v>4.4318297590000002</v>
      </c>
      <c r="L1886" s="1">
        <v>3.971296959</v>
      </c>
      <c r="M1886" s="1">
        <v>3.7747836370000001</v>
      </c>
      <c r="N1886" s="1">
        <v>4.4945275240000004</v>
      </c>
      <c r="O1886" s="1">
        <v>4.0289865369999998</v>
      </c>
      <c r="P1886" s="1">
        <v>3.3003929539999999</v>
      </c>
      <c r="Q1886" s="1">
        <v>4.5369064569999997</v>
      </c>
      <c r="R1886" s="1">
        <v>4.3698765340000003</v>
      </c>
      <c r="S1886" s="1">
        <v>4.5490843459999999</v>
      </c>
      <c r="T1886" s="1">
        <v>3.971296959</v>
      </c>
      <c r="U1886" s="1">
        <v>3.7747836370000001</v>
      </c>
      <c r="V1886" s="1">
        <v>4.3163797720000003</v>
      </c>
      <c r="W1886" s="1">
        <v>4.69862249</v>
      </c>
      <c r="X1886" s="1">
        <v>4.0600950219999996</v>
      </c>
      <c r="Y1886" s="1">
        <v>4.5275934409999996</v>
      </c>
      <c r="Z1886" s="1">
        <v>4.3698765340000003</v>
      </c>
      <c r="AA1886" s="1">
        <v>4.5490843459999999</v>
      </c>
      <c r="AB1886" s="1">
        <v>3.990981031</v>
      </c>
      <c r="AC1886" s="1">
        <v>4.6238605430000002</v>
      </c>
      <c r="AD1886" s="1">
        <v>4.7657555159999996</v>
      </c>
      <c r="AE1886" s="1">
        <v>3.8196998459999998</v>
      </c>
    </row>
    <row r="1887" spans="1:31" x14ac:dyDescent="0.25">
      <c r="A1887" s="1" t="s">
        <v>1724</v>
      </c>
      <c r="B1887" s="1" t="s">
        <v>2539</v>
      </c>
      <c r="C1887" s="1" t="s">
        <v>2563</v>
      </c>
      <c r="D1887" s="1" t="s">
        <v>2535</v>
      </c>
      <c r="E1887" s="1" t="s">
        <v>5437</v>
      </c>
      <c r="F1887" s="1" t="s">
        <v>5438</v>
      </c>
      <c r="G1887" s="1" t="s">
        <v>1724</v>
      </c>
      <c r="H1887" s="1">
        <v>4.0684382540000001</v>
      </c>
      <c r="I1887" s="1">
        <v>4.2936285989999998</v>
      </c>
      <c r="J1887" s="1">
        <v>4.2898244959999996</v>
      </c>
      <c r="K1887" s="1">
        <v>3.8998480660000001</v>
      </c>
      <c r="L1887" s="1">
        <v>4.9864364329999997</v>
      </c>
      <c r="M1887" s="1">
        <v>5.0913316819999999</v>
      </c>
      <c r="N1887" s="1">
        <v>4.4945275240000004</v>
      </c>
      <c r="O1887" s="1">
        <v>4.2189785100000003</v>
      </c>
      <c r="P1887" s="1">
        <v>4.0684607960000001</v>
      </c>
      <c r="Q1887" s="1">
        <v>3.56206471</v>
      </c>
      <c r="R1887" s="1">
        <v>4.5333476509999997</v>
      </c>
      <c r="S1887" s="1">
        <v>4.6194390810000003</v>
      </c>
      <c r="T1887" s="1">
        <v>4.9864364329999997</v>
      </c>
      <c r="U1887" s="1">
        <v>5.0913316819999999</v>
      </c>
      <c r="V1887" s="1">
        <v>4.4559512029999997</v>
      </c>
      <c r="W1887" s="1">
        <v>4.4367165279999998</v>
      </c>
      <c r="X1887" s="1">
        <v>5.0589726410000004</v>
      </c>
      <c r="Y1887" s="1">
        <v>4.3509215530000001</v>
      </c>
      <c r="Z1887" s="1">
        <v>4.5333476509999997</v>
      </c>
      <c r="AA1887" s="1">
        <v>4.6194390810000003</v>
      </c>
      <c r="AB1887" s="1">
        <v>4.139369361</v>
      </c>
      <c r="AC1887" s="1">
        <v>4.5576875899999996</v>
      </c>
      <c r="AD1887" s="1">
        <v>3.5727029510000001</v>
      </c>
      <c r="AE1887" s="1">
        <v>4.1773695330000002</v>
      </c>
    </row>
    <row r="1888" spans="1:31" x14ac:dyDescent="0.25">
      <c r="A1888" s="1" t="s">
        <v>1727</v>
      </c>
      <c r="B1888" s="1" t="s">
        <v>2530</v>
      </c>
      <c r="C1888" s="1" t="s">
        <v>2531</v>
      </c>
      <c r="D1888" s="1" t="s">
        <v>2535</v>
      </c>
      <c r="E1888" s="1" t="s">
        <v>5439</v>
      </c>
      <c r="G1888" s="1" t="s">
        <v>1727</v>
      </c>
      <c r="H1888" s="1">
        <v>7.4044540579999998</v>
      </c>
      <c r="I1888" s="1">
        <v>7.2455913279999997</v>
      </c>
      <c r="J1888" s="1">
        <v>6.1606909930000002</v>
      </c>
      <c r="K1888" s="1">
        <v>6.7215048319999999</v>
      </c>
      <c r="L1888" s="1">
        <v>5.7830592080000001</v>
      </c>
      <c r="M1888" s="1">
        <v>6.0958755599999996</v>
      </c>
      <c r="N1888" s="1">
        <v>6.4326062579999999</v>
      </c>
      <c r="O1888" s="1">
        <v>7.0284800409999999</v>
      </c>
      <c r="P1888" s="1">
        <v>6.4476246020000003</v>
      </c>
      <c r="Q1888" s="1">
        <v>6.7799113039999996</v>
      </c>
      <c r="R1888" s="1">
        <v>6.4347044650000003</v>
      </c>
      <c r="S1888" s="1">
        <v>6.2791912019999998</v>
      </c>
      <c r="T1888" s="1">
        <v>5.7830592080000001</v>
      </c>
      <c r="U1888" s="1">
        <v>6.0958755599999996</v>
      </c>
      <c r="V1888" s="1">
        <v>6.5289779240000003</v>
      </c>
      <c r="W1888" s="1">
        <v>6.5088246730000003</v>
      </c>
      <c r="X1888" s="1">
        <v>7.0931162030000001</v>
      </c>
      <c r="Y1888" s="1">
        <v>7.4104262099999998</v>
      </c>
      <c r="Z1888" s="1">
        <v>6.4347044650000003</v>
      </c>
      <c r="AA1888" s="1">
        <v>6.2791912019999998</v>
      </c>
      <c r="AB1888" s="1">
        <v>7.1007608549999999</v>
      </c>
      <c r="AC1888" s="1">
        <v>6.8988724469999996</v>
      </c>
      <c r="AD1888" s="1">
        <v>7.7130770999999996</v>
      </c>
      <c r="AE1888" s="1">
        <v>7.6375506360000003</v>
      </c>
    </row>
    <row r="1889" spans="1:31" x14ac:dyDescent="0.25">
      <c r="A1889" s="1" t="s">
        <v>1734</v>
      </c>
      <c r="B1889" s="1" t="s">
        <v>2598</v>
      </c>
      <c r="C1889" s="1" t="s">
        <v>2603</v>
      </c>
      <c r="D1889" s="1" t="s">
        <v>5440</v>
      </c>
      <c r="E1889" s="1" t="s">
        <v>5441</v>
      </c>
      <c r="F1889" s="1" t="s">
        <v>5442</v>
      </c>
      <c r="G1889" s="1" t="s">
        <v>1734</v>
      </c>
      <c r="H1889" s="1">
        <v>3.8023684370000002</v>
      </c>
      <c r="I1889" s="1">
        <v>5.1078624770000003</v>
      </c>
      <c r="J1889" s="1">
        <v>4.0065844400000001</v>
      </c>
      <c r="K1889" s="1">
        <v>4.2434183680000004</v>
      </c>
      <c r="L1889" s="1">
        <v>4.619423984</v>
      </c>
      <c r="M1889" s="1">
        <v>4.1823509169999999</v>
      </c>
      <c r="N1889" s="1">
        <v>4.765904581</v>
      </c>
      <c r="O1889" s="1">
        <v>4.5801520279999997</v>
      </c>
      <c r="P1889" s="1">
        <v>3.7419514989999998</v>
      </c>
      <c r="Q1889" s="1">
        <v>4.611970812</v>
      </c>
      <c r="R1889" s="1">
        <v>4.45403635</v>
      </c>
      <c r="S1889" s="1">
        <v>4.1304223819999999</v>
      </c>
      <c r="T1889" s="1">
        <v>4.619423984</v>
      </c>
      <c r="U1889" s="1">
        <v>4.1823509169999999</v>
      </c>
      <c r="V1889" s="1">
        <v>4.0758289169999999</v>
      </c>
      <c r="W1889" s="1">
        <v>2.6606351240000001</v>
      </c>
      <c r="X1889" s="1">
        <v>4.1154863700000002</v>
      </c>
      <c r="Y1889" s="1">
        <v>3.9087436480000002</v>
      </c>
      <c r="Z1889" s="1">
        <v>4.45403635</v>
      </c>
      <c r="AA1889" s="1">
        <v>4.1304223819999999</v>
      </c>
      <c r="AB1889" s="1">
        <v>4.6096720080000004</v>
      </c>
      <c r="AC1889" s="1">
        <v>4.415017905</v>
      </c>
      <c r="AD1889" s="1">
        <v>4.0967699450000001</v>
      </c>
      <c r="AE1889" s="1">
        <v>4.1773695330000002</v>
      </c>
    </row>
    <row r="1890" spans="1:31" x14ac:dyDescent="0.25">
      <c r="A1890" s="1" t="s">
        <v>1736</v>
      </c>
      <c r="B1890" s="1" t="s">
        <v>2530</v>
      </c>
      <c r="C1890" s="1" t="s">
        <v>2531</v>
      </c>
      <c r="D1890" s="1" t="s">
        <v>2535</v>
      </c>
      <c r="E1890" s="1" t="s">
        <v>2536</v>
      </c>
      <c r="G1890" s="1" t="s">
        <v>1736</v>
      </c>
      <c r="H1890" s="1">
        <v>5.6296178589999997</v>
      </c>
      <c r="I1890" s="1">
        <v>5.2862358589999996</v>
      </c>
      <c r="J1890" s="1">
        <v>4.1077874330000004</v>
      </c>
      <c r="K1890" s="1">
        <v>4.5974987220000001</v>
      </c>
      <c r="L1890" s="1">
        <v>3.3025959560000002</v>
      </c>
      <c r="M1890" s="1">
        <v>3.027864058</v>
      </c>
      <c r="N1890" s="1">
        <v>5.2649372489999999</v>
      </c>
      <c r="O1890" s="1">
        <v>5.3864027800000001</v>
      </c>
      <c r="P1890" s="1">
        <v>3.7419514989999998</v>
      </c>
      <c r="Q1890" s="1">
        <v>3.9718447549999998</v>
      </c>
      <c r="R1890" s="1">
        <v>2.595728008</v>
      </c>
      <c r="S1890" s="1">
        <v>3.3463386960000001</v>
      </c>
      <c r="T1890" s="1">
        <v>3.3025959560000002</v>
      </c>
      <c r="U1890" s="1">
        <v>3.027864058</v>
      </c>
      <c r="V1890" s="1">
        <v>3.6670520409999998</v>
      </c>
      <c r="W1890" s="1">
        <v>3.50175473</v>
      </c>
      <c r="X1890" s="1">
        <v>3.8119046220000001</v>
      </c>
      <c r="Y1890" s="1">
        <v>3.6154848500000001</v>
      </c>
      <c r="Z1890" s="1">
        <v>2.595728008</v>
      </c>
      <c r="AA1890" s="1">
        <v>3.3463386960000001</v>
      </c>
      <c r="AB1890" s="1">
        <v>2.73487305</v>
      </c>
      <c r="AC1890" s="1">
        <v>3.9750819590000002</v>
      </c>
      <c r="AD1890" s="1">
        <v>4.2970121150000002</v>
      </c>
      <c r="AE1890" s="1">
        <v>3.5954838599999999</v>
      </c>
    </row>
    <row r="1891" spans="1:31" x14ac:dyDescent="0.25">
      <c r="A1891" s="1" t="s">
        <v>1737</v>
      </c>
      <c r="B1891" s="1" t="s">
        <v>2667</v>
      </c>
      <c r="C1891" s="1" t="s">
        <v>2875</v>
      </c>
      <c r="D1891" s="1" t="s">
        <v>4157</v>
      </c>
      <c r="E1891" s="1" t="s">
        <v>4876</v>
      </c>
      <c r="F1891" s="1" t="s">
        <v>4877</v>
      </c>
      <c r="G1891" s="1" t="s">
        <v>1737</v>
      </c>
      <c r="H1891" s="1">
        <v>5.8483408880000001</v>
      </c>
      <c r="I1891" s="1">
        <v>5.4067069720000003</v>
      </c>
      <c r="J1891" s="1">
        <v>3.7773371739999999</v>
      </c>
      <c r="K1891" s="1">
        <v>5.0014827119999996</v>
      </c>
      <c r="L1891" s="1">
        <v>5.0110661050000003</v>
      </c>
      <c r="M1891" s="1">
        <v>4.896083601</v>
      </c>
      <c r="N1891" s="1">
        <v>5.6334290280000001</v>
      </c>
      <c r="O1891" s="1">
        <v>5.7266127899999999</v>
      </c>
      <c r="P1891" s="1">
        <v>3.7419514989999998</v>
      </c>
      <c r="Q1891" s="1">
        <v>5.1511590549999999</v>
      </c>
      <c r="R1891" s="1">
        <v>4.45403635</v>
      </c>
      <c r="S1891" s="1">
        <v>4.2250836859999996</v>
      </c>
      <c r="T1891" s="1">
        <v>5.0110661050000003</v>
      </c>
      <c r="U1891" s="1">
        <v>4.896083601</v>
      </c>
      <c r="V1891" s="1">
        <v>4.8059579570000004</v>
      </c>
      <c r="W1891" s="1">
        <v>4.69862249</v>
      </c>
      <c r="X1891" s="1">
        <v>4.97415056</v>
      </c>
      <c r="Y1891" s="1">
        <v>3.9087436480000002</v>
      </c>
      <c r="Z1891" s="1">
        <v>4.45403635</v>
      </c>
      <c r="AA1891" s="1">
        <v>4.2250836859999996</v>
      </c>
      <c r="AB1891" s="1">
        <v>4.705867896</v>
      </c>
      <c r="AC1891" s="1">
        <v>4.5576875899999996</v>
      </c>
      <c r="AD1891" s="1">
        <v>4.6264106470000002</v>
      </c>
      <c r="AE1891" s="1">
        <v>4.4163948289999997</v>
      </c>
    </row>
    <row r="1892" spans="1:31" x14ac:dyDescent="0.25">
      <c r="A1892" s="1" t="s">
        <v>1745</v>
      </c>
      <c r="B1892" s="1" t="s">
        <v>2530</v>
      </c>
      <c r="C1892" s="1" t="s">
        <v>2531</v>
      </c>
      <c r="D1892" s="1" t="s">
        <v>2535</v>
      </c>
      <c r="E1892" s="1" t="s">
        <v>4940</v>
      </c>
      <c r="G1892" s="1" t="s">
        <v>1745</v>
      </c>
      <c r="H1892" s="1">
        <v>5.2735834620000004</v>
      </c>
      <c r="I1892" s="1">
        <v>5.0595268689999999</v>
      </c>
      <c r="J1892" s="1">
        <v>3.8969924050000002</v>
      </c>
      <c r="K1892" s="1">
        <v>4.6734567340000002</v>
      </c>
      <c r="L1892" s="1">
        <v>3.8629070379999999</v>
      </c>
      <c r="M1892" s="1">
        <v>4.3473799800000004</v>
      </c>
      <c r="N1892" s="1">
        <v>5.1355241630000004</v>
      </c>
      <c r="O1892" s="1">
        <v>5.3074139359999997</v>
      </c>
      <c r="P1892" s="1">
        <v>6.2975076100000003</v>
      </c>
      <c r="Q1892" s="1">
        <v>6.289960497</v>
      </c>
      <c r="R1892" s="1">
        <v>4.6795267799999998</v>
      </c>
      <c r="S1892" s="1">
        <v>4.9261733090000002</v>
      </c>
      <c r="T1892" s="1">
        <v>3.8629070379999999</v>
      </c>
      <c r="U1892" s="1">
        <v>4.3473799800000004</v>
      </c>
      <c r="V1892" s="1">
        <v>4.3879408260000003</v>
      </c>
      <c r="W1892" s="1">
        <v>4.2295768090000001</v>
      </c>
      <c r="X1892" s="1">
        <v>4.6838774470000004</v>
      </c>
      <c r="Y1892" s="1">
        <v>4.5275934409999996</v>
      </c>
      <c r="Z1892" s="1">
        <v>4.6795267799999998</v>
      </c>
      <c r="AA1892" s="1">
        <v>4.9261733090000002</v>
      </c>
      <c r="AB1892" s="1">
        <v>4.2729702720000002</v>
      </c>
      <c r="AC1892" s="1">
        <v>4.8053838390000001</v>
      </c>
      <c r="AD1892" s="1">
        <v>4.7657555159999996</v>
      </c>
      <c r="AE1892" s="1">
        <v>5.2252968339999999</v>
      </c>
    </row>
    <row r="1893" spans="1:31" x14ac:dyDescent="0.25">
      <c r="A1893" s="1" t="s">
        <v>1749</v>
      </c>
      <c r="B1893" s="1" t="s">
        <v>2557</v>
      </c>
      <c r="C1893" s="1" t="s">
        <v>2680</v>
      </c>
      <c r="D1893" s="1" t="s">
        <v>2939</v>
      </c>
      <c r="E1893" s="1" t="s">
        <v>5443</v>
      </c>
      <c r="F1893" s="1" t="s">
        <v>5444</v>
      </c>
      <c r="G1893" s="1" t="s">
        <v>1749</v>
      </c>
      <c r="H1893" s="1">
        <v>9.13878755</v>
      </c>
      <c r="I1893" s="1">
        <v>8.4551419649999993</v>
      </c>
      <c r="J1893" s="1">
        <v>8.4728197729999994</v>
      </c>
      <c r="K1893" s="1">
        <v>8.4661400340000004</v>
      </c>
      <c r="L1893" s="1">
        <v>8.5376453029999997</v>
      </c>
      <c r="M1893" s="1">
        <v>8.7163989799999992</v>
      </c>
      <c r="N1893" s="1">
        <v>7.5179873830000004</v>
      </c>
      <c r="O1893" s="1">
        <v>7.5037297499999998</v>
      </c>
      <c r="P1893" s="1">
        <v>8.524857141</v>
      </c>
      <c r="Q1893" s="1">
        <v>8.5029289289999994</v>
      </c>
      <c r="R1893" s="1">
        <v>8.1683998609999993</v>
      </c>
      <c r="S1893" s="1">
        <v>8.1276766259999995</v>
      </c>
      <c r="T1893" s="1">
        <v>8.5376453029999997</v>
      </c>
      <c r="U1893" s="1">
        <v>8.7163989799999992</v>
      </c>
      <c r="V1893" s="1">
        <v>3.6670520409999998</v>
      </c>
      <c r="W1893" s="1">
        <v>3.8431653940000001</v>
      </c>
      <c r="X1893" s="1">
        <v>3.2074401739999998</v>
      </c>
      <c r="Y1893" s="1">
        <v>3.229986142</v>
      </c>
      <c r="Z1893" s="1">
        <v>8.1683998609999993</v>
      </c>
      <c r="AA1893" s="1">
        <v>8.1276766259999995</v>
      </c>
      <c r="AB1893" s="1">
        <v>3.6315729079999999</v>
      </c>
      <c r="AC1893" s="1">
        <v>2.87258916</v>
      </c>
      <c r="AD1893" s="1">
        <v>3.5727029510000001</v>
      </c>
      <c r="AE1893" s="1">
        <v>3.321206681</v>
      </c>
    </row>
    <row r="1894" spans="1:31" x14ac:dyDescent="0.25">
      <c r="A1894" s="1" t="s">
        <v>1752</v>
      </c>
      <c r="B1894" s="1" t="s">
        <v>2530</v>
      </c>
      <c r="C1894" s="1" t="s">
        <v>2531</v>
      </c>
      <c r="D1894" s="1" t="s">
        <v>2535</v>
      </c>
      <c r="E1894" s="1" t="s">
        <v>5445</v>
      </c>
      <c r="G1894" s="1" t="s">
        <v>1752</v>
      </c>
      <c r="H1894" s="1">
        <v>3.4660955969999998</v>
      </c>
      <c r="I1894" s="1">
        <v>3.3322126910000001</v>
      </c>
      <c r="J1894" s="1">
        <v>2.5640169199999998</v>
      </c>
      <c r="K1894" s="1">
        <v>3.4309024589999999</v>
      </c>
      <c r="L1894" s="1">
        <v>3.1084154310000001</v>
      </c>
      <c r="M1894" s="1">
        <v>3.2940962960000002</v>
      </c>
      <c r="N1894" s="1">
        <v>3.23577855</v>
      </c>
      <c r="O1894" s="1">
        <v>3.5386882399999999</v>
      </c>
      <c r="P1894" s="1">
        <v>1.7393328349999999</v>
      </c>
      <c r="Q1894" s="1">
        <v>3.388910638</v>
      </c>
      <c r="R1894" s="1">
        <v>3.1834741979999999</v>
      </c>
      <c r="S1894" s="1">
        <v>2.5733617299999998</v>
      </c>
      <c r="T1894" s="1">
        <v>3.1084154310000001</v>
      </c>
      <c r="U1894" s="1">
        <v>3.2940962960000002</v>
      </c>
      <c r="V1894" s="1">
        <v>2.5140266200000001</v>
      </c>
      <c r="W1894" s="1">
        <v>3.0218530750000001</v>
      </c>
      <c r="X1894" s="1">
        <v>2.7988456519999998</v>
      </c>
      <c r="Y1894" s="1">
        <v>3.229986142</v>
      </c>
      <c r="Z1894" s="1">
        <v>3.1834741979999999</v>
      </c>
      <c r="AA1894" s="1">
        <v>2.5733617299999998</v>
      </c>
      <c r="AB1894" s="1">
        <v>3.1218319999999999</v>
      </c>
      <c r="AC1894" s="1">
        <v>2.5506926650000001</v>
      </c>
      <c r="AD1894" s="1">
        <v>3.1944880649999998</v>
      </c>
      <c r="AE1894" s="1">
        <v>3.67472814</v>
      </c>
    </row>
    <row r="1895" spans="1:31" x14ac:dyDescent="0.25">
      <c r="A1895" s="1" t="s">
        <v>1754</v>
      </c>
      <c r="B1895" s="1" t="s">
        <v>2557</v>
      </c>
      <c r="C1895" s="1" t="s">
        <v>3771</v>
      </c>
      <c r="D1895" s="1" t="s">
        <v>5299</v>
      </c>
      <c r="E1895" s="1" t="s">
        <v>5446</v>
      </c>
      <c r="F1895" s="1" t="s">
        <v>5447</v>
      </c>
      <c r="G1895" s="1" t="s">
        <v>1754</v>
      </c>
      <c r="H1895" s="1">
        <v>7.9274381160000003</v>
      </c>
      <c r="I1895" s="1">
        <v>7.7315600010000001</v>
      </c>
      <c r="J1895" s="1">
        <v>6.7477255810000001</v>
      </c>
      <c r="K1895" s="1">
        <v>7.0362139130000001</v>
      </c>
      <c r="L1895" s="1">
        <v>6.777341389</v>
      </c>
      <c r="M1895" s="1">
        <v>6.7203128730000001</v>
      </c>
      <c r="N1895" s="1">
        <v>7.3487111379999996</v>
      </c>
      <c r="O1895" s="1">
        <v>7.3555515219999998</v>
      </c>
      <c r="P1895" s="1">
        <v>7.0502486639999997</v>
      </c>
      <c r="Q1895" s="1">
        <v>7.0943357039999997</v>
      </c>
      <c r="R1895" s="1">
        <v>7.0898067039999999</v>
      </c>
      <c r="S1895" s="1">
        <v>6.8089922789999999</v>
      </c>
      <c r="T1895" s="1">
        <v>6.777341389</v>
      </c>
      <c r="U1895" s="1">
        <v>6.7203128730000001</v>
      </c>
      <c r="V1895" s="1">
        <v>7.0424851190000002</v>
      </c>
      <c r="W1895" s="1">
        <v>7.1621289209999999</v>
      </c>
      <c r="X1895" s="1">
        <v>6.6721667949999999</v>
      </c>
      <c r="Y1895" s="1">
        <v>7.0209587190000002</v>
      </c>
      <c r="Z1895" s="1">
        <v>7.0898067039999999</v>
      </c>
      <c r="AA1895" s="1">
        <v>6.8089922789999999</v>
      </c>
      <c r="AB1895" s="1">
        <v>6.9153848929999997</v>
      </c>
      <c r="AC1895" s="1">
        <v>6.7024263700000004</v>
      </c>
      <c r="AD1895" s="1">
        <v>7.4232434090000003</v>
      </c>
      <c r="AE1895" s="1">
        <v>7.2442871269999998</v>
      </c>
    </row>
    <row r="1896" spans="1:31" x14ac:dyDescent="0.25">
      <c r="A1896" s="1" t="s">
        <v>1759</v>
      </c>
      <c r="B1896" s="1" t="s">
        <v>2608</v>
      </c>
      <c r="C1896" s="1" t="s">
        <v>2609</v>
      </c>
      <c r="D1896" s="1" t="s">
        <v>2636</v>
      </c>
      <c r="E1896" s="1" t="s">
        <v>5448</v>
      </c>
      <c r="F1896" s="1" t="s">
        <v>5449</v>
      </c>
      <c r="G1896" s="1" t="s">
        <v>1759</v>
      </c>
      <c r="H1896" s="1">
        <v>5.3712699940000004</v>
      </c>
      <c r="I1896" s="1">
        <v>5.0595268689999999</v>
      </c>
      <c r="J1896" s="1">
        <v>4.2898244959999996</v>
      </c>
      <c r="K1896" s="1">
        <v>4.1384138449999996</v>
      </c>
      <c r="L1896" s="1">
        <v>4.1188213390000001</v>
      </c>
      <c r="M1896" s="1">
        <v>3.5095973119999999</v>
      </c>
      <c r="N1896" s="1">
        <v>5.1355241630000004</v>
      </c>
      <c r="O1896" s="1">
        <v>4.8663619410000001</v>
      </c>
      <c r="P1896" s="1">
        <v>4.4075207919999997</v>
      </c>
      <c r="Q1896" s="1">
        <v>4.3733115800000002</v>
      </c>
      <c r="R1896" s="1">
        <v>3.5594063970000001</v>
      </c>
      <c r="S1896" s="1">
        <v>3.6647387380000001</v>
      </c>
      <c r="T1896" s="1">
        <v>4.1188213390000001</v>
      </c>
      <c r="U1896" s="1">
        <v>3.5095973119999999</v>
      </c>
      <c r="V1896" s="1">
        <v>4.0758289169999999</v>
      </c>
      <c r="W1896" s="1">
        <v>3.8431653940000001</v>
      </c>
      <c r="X1896" s="1">
        <v>4.2198471</v>
      </c>
      <c r="Y1896" s="1">
        <v>4.1479647589999997</v>
      </c>
      <c r="Z1896" s="1">
        <v>3.5594063970000001</v>
      </c>
      <c r="AA1896" s="1">
        <v>3.6647387380000001</v>
      </c>
      <c r="AB1896" s="1">
        <v>4.2729702720000002</v>
      </c>
      <c r="AC1896" s="1">
        <v>4.415017905</v>
      </c>
      <c r="AD1896" s="1">
        <v>3.3987395579999999</v>
      </c>
      <c r="AE1896" s="1">
        <v>4.3257514669999999</v>
      </c>
    </row>
    <row r="1897" spans="1:31" x14ac:dyDescent="0.25">
      <c r="A1897" s="1" t="s">
        <v>1760</v>
      </c>
      <c r="B1897" s="1" t="s">
        <v>2520</v>
      </c>
      <c r="C1897" s="1" t="s">
        <v>2646</v>
      </c>
      <c r="D1897" s="1" t="s">
        <v>3202</v>
      </c>
      <c r="E1897" s="1" t="s">
        <v>3226</v>
      </c>
      <c r="F1897" s="1" t="s">
        <v>5450</v>
      </c>
      <c r="G1897" s="1" t="s">
        <v>1760</v>
      </c>
      <c r="H1897" s="1">
        <v>11.855975580000001</v>
      </c>
      <c r="I1897" s="1">
        <v>11.07475455</v>
      </c>
      <c r="J1897" s="1">
        <v>11.57151672</v>
      </c>
      <c r="K1897" s="1">
        <v>11.6675553</v>
      </c>
      <c r="L1897" s="1">
        <v>11.010971720000001</v>
      </c>
      <c r="M1897" s="1">
        <v>11.216915070000001</v>
      </c>
      <c r="N1897" s="1">
        <v>9.9900726290000001</v>
      </c>
      <c r="O1897" s="1">
        <v>10.136038210000001</v>
      </c>
      <c r="P1897" s="1">
        <v>11.22922206</v>
      </c>
      <c r="Q1897" s="1">
        <v>11.2155454</v>
      </c>
      <c r="R1897" s="1">
        <v>11.36983017</v>
      </c>
      <c r="S1897" s="1">
        <v>11.33955847</v>
      </c>
      <c r="T1897" s="1">
        <v>11.010971720000001</v>
      </c>
      <c r="U1897" s="1">
        <v>11.216915070000001</v>
      </c>
      <c r="V1897" s="1">
        <v>11.291395639999999</v>
      </c>
      <c r="W1897" s="1">
        <v>11.35426369</v>
      </c>
      <c r="X1897" s="1">
        <v>11.27386727</v>
      </c>
      <c r="Y1897" s="1">
        <v>11.313433229999999</v>
      </c>
      <c r="Z1897" s="1">
        <v>11.36983017</v>
      </c>
      <c r="AA1897" s="1">
        <v>11.33955847</v>
      </c>
      <c r="AB1897" s="1">
        <v>11.32587094</v>
      </c>
      <c r="AC1897" s="1">
        <v>11.34004528</v>
      </c>
      <c r="AD1897" s="1">
        <v>11.375563959999999</v>
      </c>
      <c r="AE1897" s="1">
        <v>11.35015033</v>
      </c>
    </row>
    <row r="1898" spans="1:31" x14ac:dyDescent="0.25">
      <c r="A1898" s="1" t="s">
        <v>1762</v>
      </c>
      <c r="B1898" s="1" t="s">
        <v>2547</v>
      </c>
      <c r="C1898" s="1" t="s">
        <v>2566</v>
      </c>
      <c r="D1898" s="1" t="s">
        <v>2535</v>
      </c>
      <c r="E1898" s="1" t="s">
        <v>2567</v>
      </c>
      <c r="G1898" s="1" t="s">
        <v>1762</v>
      </c>
      <c r="H1898" s="1">
        <v>3.8023684370000002</v>
      </c>
      <c r="I1898" s="1">
        <v>4.3763156859999999</v>
      </c>
      <c r="J1898" s="1">
        <v>4.1077874330000004</v>
      </c>
      <c r="K1898" s="1">
        <v>3.762021974</v>
      </c>
      <c r="L1898" s="1">
        <v>3.918224124</v>
      </c>
      <c r="M1898" s="1">
        <v>3.7747836370000001</v>
      </c>
      <c r="N1898" s="1">
        <v>4.3116130799999999</v>
      </c>
      <c r="O1898" s="1">
        <v>4.4368189940000002</v>
      </c>
      <c r="P1898" s="1">
        <v>4.0684607960000001</v>
      </c>
      <c r="Q1898" s="1">
        <v>3.388910638</v>
      </c>
      <c r="R1898" s="1">
        <v>3.7109484589999999</v>
      </c>
      <c r="S1898" s="1">
        <v>3.5159502420000002</v>
      </c>
      <c r="T1898" s="1">
        <v>3.918224124</v>
      </c>
      <c r="U1898" s="1">
        <v>3.7747836370000001</v>
      </c>
      <c r="V1898" s="1">
        <v>3.9849921849999999</v>
      </c>
      <c r="W1898" s="1">
        <v>4.2295768090000001</v>
      </c>
      <c r="X1898" s="1">
        <v>3.7416722899999999</v>
      </c>
      <c r="Y1898" s="1">
        <v>3.4382968329999999</v>
      </c>
      <c r="Z1898" s="1">
        <v>3.7109484589999999</v>
      </c>
      <c r="AA1898" s="1">
        <v>3.5159502420000002</v>
      </c>
      <c r="AB1898" s="1">
        <v>3.8237667059999998</v>
      </c>
      <c r="AC1898" s="1">
        <v>3.4716344729999999</v>
      </c>
      <c r="AD1898" s="1">
        <v>3.1944880649999998</v>
      </c>
      <c r="AE1898" s="1">
        <v>4.3718229419999997</v>
      </c>
    </row>
    <row r="1899" spans="1:31" x14ac:dyDescent="0.25">
      <c r="A1899" s="1" t="s">
        <v>1763</v>
      </c>
      <c r="B1899" s="1" t="s">
        <v>2547</v>
      </c>
      <c r="C1899" s="1" t="s">
        <v>2622</v>
      </c>
      <c r="D1899" s="1" t="s">
        <v>2535</v>
      </c>
      <c r="E1899" s="1" t="s">
        <v>4905</v>
      </c>
      <c r="F1899" s="1" t="s">
        <v>5451</v>
      </c>
      <c r="G1899" s="1" t="s">
        <v>1763</v>
      </c>
      <c r="H1899" s="1">
        <v>6.5753846300000003</v>
      </c>
      <c r="I1899" s="1">
        <v>6.3760216270000001</v>
      </c>
      <c r="J1899" s="1">
        <v>6.7775425279999997</v>
      </c>
      <c r="K1899" s="1">
        <v>6.9637453809999998</v>
      </c>
      <c r="L1899" s="1">
        <v>6.7486284259999998</v>
      </c>
      <c r="M1899" s="1">
        <v>6.5443727410000001</v>
      </c>
      <c r="N1899" s="1">
        <v>6.0879362979999998</v>
      </c>
      <c r="O1899" s="1">
        <v>6.6478049300000004</v>
      </c>
      <c r="P1899" s="1">
        <v>6.5171892439999999</v>
      </c>
      <c r="Q1899" s="1">
        <v>6.7799113039999996</v>
      </c>
      <c r="R1899" s="1">
        <v>6.4547978119999998</v>
      </c>
      <c r="S1899" s="1">
        <v>6.7941413900000001</v>
      </c>
      <c r="T1899" s="1">
        <v>6.7486284259999998</v>
      </c>
      <c r="U1899" s="1">
        <v>6.5443727410000001</v>
      </c>
      <c r="V1899" s="1">
        <v>6.8827702540000004</v>
      </c>
      <c r="W1899" s="1">
        <v>6.5528329879999996</v>
      </c>
      <c r="X1899" s="1">
        <v>6.7667750739999999</v>
      </c>
      <c r="Y1899" s="1">
        <v>6.6058798599999999</v>
      </c>
      <c r="Z1899" s="1">
        <v>6.4547978119999998</v>
      </c>
      <c r="AA1899" s="1">
        <v>6.7941413900000001</v>
      </c>
      <c r="AB1899" s="1">
        <v>6.8129090650000004</v>
      </c>
      <c r="AC1899" s="1">
        <v>6.817938872</v>
      </c>
      <c r="AD1899" s="1">
        <v>6.8603357530000002</v>
      </c>
      <c r="AE1899" s="1">
        <v>6.5921984570000003</v>
      </c>
    </row>
    <row r="1900" spans="1:31" x14ac:dyDescent="0.25">
      <c r="A1900" s="1" t="s">
        <v>1766</v>
      </c>
      <c r="B1900" s="1" t="s">
        <v>2547</v>
      </c>
      <c r="C1900" s="1" t="s">
        <v>2566</v>
      </c>
      <c r="D1900" s="1" t="s">
        <v>5291</v>
      </c>
      <c r="E1900" s="1" t="s">
        <v>5452</v>
      </c>
      <c r="F1900" s="1" t="s">
        <v>5453</v>
      </c>
      <c r="G1900" s="1" t="s">
        <v>1766</v>
      </c>
      <c r="H1900" s="1">
        <v>4.4805534380000003</v>
      </c>
      <c r="I1900" s="1">
        <v>4.2936285989999998</v>
      </c>
      <c r="J1900" s="1">
        <v>1.7393328349999999</v>
      </c>
      <c r="K1900" s="1">
        <v>1.7393328349999999</v>
      </c>
      <c r="L1900" s="1">
        <v>1.7393328349999999</v>
      </c>
      <c r="M1900" s="1">
        <v>2.665084539</v>
      </c>
      <c r="N1900" s="1">
        <v>3.344961128</v>
      </c>
      <c r="O1900" s="1">
        <v>4.0953574540000002</v>
      </c>
      <c r="P1900" s="1">
        <v>3.106446558</v>
      </c>
      <c r="Q1900" s="1">
        <v>1.7393328349999999</v>
      </c>
      <c r="R1900" s="1">
        <v>2.9339002829999998</v>
      </c>
      <c r="S1900" s="1">
        <v>1.7393328349999999</v>
      </c>
      <c r="T1900" s="1">
        <v>1.7393328349999999</v>
      </c>
      <c r="U1900" s="1">
        <v>2.665084539</v>
      </c>
      <c r="V1900" s="1">
        <v>2.8225047829999999</v>
      </c>
      <c r="W1900" s="1">
        <v>1.7393328349999999</v>
      </c>
      <c r="X1900" s="1">
        <v>2.6106888979999998</v>
      </c>
      <c r="Y1900" s="1">
        <v>2.624795792</v>
      </c>
      <c r="Z1900" s="1">
        <v>2.9339002829999998</v>
      </c>
      <c r="AA1900" s="1">
        <v>1.7393328349999999</v>
      </c>
      <c r="AB1900" s="1">
        <v>1.7393328349999999</v>
      </c>
      <c r="AC1900" s="1">
        <v>2.87258916</v>
      </c>
      <c r="AD1900" s="1">
        <v>1.7393328349999999</v>
      </c>
      <c r="AE1900" s="1">
        <v>2.803297787</v>
      </c>
    </row>
    <row r="1901" spans="1:31" x14ac:dyDescent="0.25">
      <c r="A1901" s="1" t="s">
        <v>1767</v>
      </c>
      <c r="B1901" s="1" t="s">
        <v>2547</v>
      </c>
      <c r="C1901" s="1" t="s">
        <v>2566</v>
      </c>
      <c r="D1901" s="1" t="s">
        <v>5291</v>
      </c>
      <c r="E1901" s="1" t="s">
        <v>5292</v>
      </c>
      <c r="F1901" s="1" t="s">
        <v>5293</v>
      </c>
      <c r="G1901" s="1" t="s">
        <v>1767</v>
      </c>
      <c r="H1901" s="1">
        <v>5.8817546890000001</v>
      </c>
      <c r="I1901" s="1">
        <v>5.4447012069999996</v>
      </c>
      <c r="J1901" s="1">
        <v>5.5826322800000003</v>
      </c>
      <c r="K1901" s="1">
        <v>5.7554847420000002</v>
      </c>
      <c r="L1901" s="1">
        <v>5.5357047289999999</v>
      </c>
      <c r="M1901" s="1">
        <v>5.7000608240000004</v>
      </c>
      <c r="N1901" s="1">
        <v>5.0802595029999997</v>
      </c>
      <c r="O1901" s="1">
        <v>5.4853382609999999</v>
      </c>
      <c r="P1901" s="1">
        <v>5.7504406890000004</v>
      </c>
      <c r="Q1901" s="1">
        <v>5.9352426600000001</v>
      </c>
      <c r="R1901" s="1">
        <v>5.0965654090000001</v>
      </c>
      <c r="S1901" s="1">
        <v>5.3915434019999999</v>
      </c>
      <c r="T1901" s="1">
        <v>5.5357047289999999</v>
      </c>
      <c r="U1901" s="1">
        <v>5.7000608240000004</v>
      </c>
      <c r="V1901" s="1">
        <v>5.4230002329999998</v>
      </c>
      <c r="W1901" s="1">
        <v>5.427589942</v>
      </c>
      <c r="X1901" s="1">
        <v>5.0589726410000004</v>
      </c>
      <c r="Y1901" s="1">
        <v>4.8904630100000004</v>
      </c>
      <c r="Z1901" s="1">
        <v>5.0965654090000001</v>
      </c>
      <c r="AA1901" s="1">
        <v>5.3915434019999999</v>
      </c>
      <c r="AB1901" s="1">
        <v>5.3028471579999996</v>
      </c>
      <c r="AC1901" s="1">
        <v>4.9660712470000004</v>
      </c>
      <c r="AD1901" s="1">
        <v>5.2159266190000002</v>
      </c>
      <c r="AE1901" s="1">
        <v>5.5339175159999998</v>
      </c>
    </row>
    <row r="1902" spans="1:31" x14ac:dyDescent="0.25">
      <c r="A1902" s="1" t="s">
        <v>1768</v>
      </c>
      <c r="B1902" s="1" t="s">
        <v>2557</v>
      </c>
      <c r="C1902" s="1" t="s">
        <v>2680</v>
      </c>
      <c r="D1902" s="1" t="s">
        <v>5454</v>
      </c>
      <c r="E1902" s="1" t="s">
        <v>5455</v>
      </c>
      <c r="F1902" s="1" t="s">
        <v>5456</v>
      </c>
      <c r="G1902" s="1" t="s">
        <v>1768</v>
      </c>
      <c r="H1902" s="1">
        <v>5.3712699940000004</v>
      </c>
      <c r="I1902" s="1">
        <v>5.1998500889999999</v>
      </c>
      <c r="J1902" s="1">
        <v>4.7851628320000001</v>
      </c>
      <c r="K1902" s="1">
        <v>4.7454889089999996</v>
      </c>
      <c r="L1902" s="1">
        <v>4.4838783849999997</v>
      </c>
      <c r="M1902" s="1">
        <v>4.6276332350000002</v>
      </c>
      <c r="N1902" s="1">
        <v>4.730225151</v>
      </c>
      <c r="O1902" s="1">
        <v>5.1040005129999999</v>
      </c>
      <c r="P1902" s="1">
        <v>5.0554269730000003</v>
      </c>
      <c r="Q1902" s="1">
        <v>5.3805263300000004</v>
      </c>
      <c r="R1902" s="1">
        <v>5.0965654090000001</v>
      </c>
      <c r="S1902" s="1">
        <v>4.6864044680000001</v>
      </c>
      <c r="T1902" s="1">
        <v>4.4838783849999997</v>
      </c>
      <c r="U1902" s="1">
        <v>4.6276332350000002</v>
      </c>
      <c r="V1902" s="1">
        <v>4.3163797720000003</v>
      </c>
      <c r="W1902" s="1">
        <v>3.6840067150000002</v>
      </c>
      <c r="X1902" s="1">
        <v>4.9447045230000004</v>
      </c>
      <c r="Y1902" s="1">
        <v>4.5275934409999996</v>
      </c>
      <c r="Z1902" s="1">
        <v>5.0965654090000001</v>
      </c>
      <c r="AA1902" s="1">
        <v>4.6864044680000001</v>
      </c>
      <c r="AB1902" s="1">
        <v>4.8804215500000003</v>
      </c>
      <c r="AC1902" s="1">
        <v>4.8610120620000004</v>
      </c>
      <c r="AD1902" s="1">
        <v>5.0087140049999999</v>
      </c>
      <c r="AE1902" s="1">
        <v>4.6199010239999998</v>
      </c>
    </row>
    <row r="1903" spans="1:31" x14ac:dyDescent="0.25">
      <c r="A1903" s="1" t="s">
        <v>1770</v>
      </c>
      <c r="B1903" s="1" t="s">
        <v>2547</v>
      </c>
      <c r="C1903" s="1" t="s">
        <v>2622</v>
      </c>
      <c r="D1903" s="1" t="s">
        <v>5457</v>
      </c>
      <c r="E1903" s="1" t="s">
        <v>5458</v>
      </c>
      <c r="G1903" s="1" t="s">
        <v>1770</v>
      </c>
      <c r="H1903" s="1">
        <v>6.379172209</v>
      </c>
      <c r="I1903" s="1">
        <v>6.1880668090000004</v>
      </c>
      <c r="J1903" s="1">
        <v>6.4657385989999998</v>
      </c>
      <c r="K1903" s="1">
        <v>6.5339269729999998</v>
      </c>
      <c r="L1903" s="1">
        <v>6.7702166439999996</v>
      </c>
      <c r="M1903" s="1">
        <v>6.8770753869999997</v>
      </c>
      <c r="N1903" s="1">
        <v>6.4543317939999998</v>
      </c>
      <c r="O1903" s="1">
        <v>6.6793400549999999</v>
      </c>
      <c r="P1903" s="1">
        <v>6.7943075329999996</v>
      </c>
      <c r="Q1903" s="1">
        <v>6.7957952910000001</v>
      </c>
      <c r="R1903" s="1">
        <v>6.588102728</v>
      </c>
      <c r="S1903" s="1">
        <v>6.8669102400000002</v>
      </c>
      <c r="T1903" s="1">
        <v>6.7702166439999996</v>
      </c>
      <c r="U1903" s="1">
        <v>6.8770753869999997</v>
      </c>
      <c r="V1903" s="1">
        <v>6.8947846659999996</v>
      </c>
      <c r="W1903" s="1">
        <v>6.7357424699999999</v>
      </c>
      <c r="X1903" s="1">
        <v>6.871117677</v>
      </c>
      <c r="Y1903" s="1">
        <v>6.8365428660000003</v>
      </c>
      <c r="Z1903" s="1">
        <v>6.588102728</v>
      </c>
      <c r="AA1903" s="1">
        <v>6.8669102400000002</v>
      </c>
      <c r="AB1903" s="1">
        <v>6.9924202729999996</v>
      </c>
      <c r="AC1903" s="1">
        <v>7.1509339689999996</v>
      </c>
      <c r="AD1903" s="1">
        <v>7.3157804999999998</v>
      </c>
      <c r="AE1903" s="1">
        <v>7.0510357859999999</v>
      </c>
    </row>
    <row r="1904" spans="1:31" x14ac:dyDescent="0.25">
      <c r="A1904" s="1" t="s">
        <v>1771</v>
      </c>
      <c r="B1904" s="1" t="s">
        <v>2530</v>
      </c>
      <c r="C1904" s="1" t="s">
        <v>2573</v>
      </c>
      <c r="D1904" s="1" t="s">
        <v>2535</v>
      </c>
      <c r="E1904" s="1" t="s">
        <v>5459</v>
      </c>
      <c r="G1904" s="1" t="s">
        <v>1771</v>
      </c>
      <c r="H1904" s="1">
        <v>4.4805534380000003</v>
      </c>
      <c r="I1904" s="1">
        <v>4.2055918060000002</v>
      </c>
      <c r="J1904" s="1">
        <v>4.4503473070000004</v>
      </c>
      <c r="K1904" s="1">
        <v>4.1384138449999996</v>
      </c>
      <c r="L1904" s="1">
        <v>4.0223143549999998</v>
      </c>
      <c r="M1904" s="1">
        <v>3.027864058</v>
      </c>
      <c r="N1904" s="1">
        <v>4.3596796910000002</v>
      </c>
      <c r="O1904" s="1">
        <v>4.3322392709999997</v>
      </c>
      <c r="P1904" s="1">
        <v>3.9684043939999998</v>
      </c>
      <c r="Q1904" s="1">
        <v>3.9718447549999998</v>
      </c>
      <c r="R1904" s="1">
        <v>4.0808207129999996</v>
      </c>
      <c r="S1904" s="1">
        <v>3.6647387380000001</v>
      </c>
      <c r="T1904" s="1">
        <v>4.0223143549999998</v>
      </c>
      <c r="U1904" s="1">
        <v>3.027864058</v>
      </c>
      <c r="V1904" s="1">
        <v>3.7819764450000002</v>
      </c>
      <c r="W1904" s="1">
        <v>3.6840067150000002</v>
      </c>
      <c r="X1904" s="1">
        <v>4.3167291810000004</v>
      </c>
      <c r="Y1904" s="1">
        <v>4.3509215530000001</v>
      </c>
      <c r="Z1904" s="1">
        <v>4.0808207129999996</v>
      </c>
      <c r="AA1904" s="1">
        <v>3.6647387380000001</v>
      </c>
      <c r="AB1904" s="1">
        <v>3.6315729079999999</v>
      </c>
      <c r="AC1904" s="1">
        <v>4.0753403910000001</v>
      </c>
      <c r="AD1904" s="1">
        <v>4.5511338559999999</v>
      </c>
      <c r="AE1904" s="1">
        <v>4.542053224</v>
      </c>
    </row>
    <row r="1905" spans="1:31" x14ac:dyDescent="0.25">
      <c r="A1905" s="1" t="s">
        <v>1772</v>
      </c>
      <c r="B1905" s="1" t="s">
        <v>2520</v>
      </c>
      <c r="C1905" s="1" t="s">
        <v>2521</v>
      </c>
      <c r="D1905" s="1" t="s">
        <v>2535</v>
      </c>
      <c r="E1905" s="1" t="s">
        <v>5460</v>
      </c>
      <c r="F1905" s="1" t="s">
        <v>5461</v>
      </c>
      <c r="G1905" s="1" t="s">
        <v>1772</v>
      </c>
      <c r="H1905" s="1">
        <v>6.3316799680000004</v>
      </c>
      <c r="I1905" s="1">
        <v>6.7527702749999996</v>
      </c>
      <c r="J1905" s="1">
        <v>7.8152292409999999</v>
      </c>
      <c r="K1905" s="1">
        <v>7.8470440039999998</v>
      </c>
      <c r="L1905" s="1">
        <v>8.2913860899999996</v>
      </c>
      <c r="M1905" s="1">
        <v>8.0411903700000007</v>
      </c>
      <c r="N1905" s="1">
        <v>6.927790613</v>
      </c>
      <c r="O1905" s="1">
        <v>6.7602052800000001</v>
      </c>
      <c r="P1905" s="1">
        <v>7.714735492</v>
      </c>
      <c r="Q1905" s="1">
        <v>7.3736016690000001</v>
      </c>
      <c r="R1905" s="1">
        <v>7.9595569289999997</v>
      </c>
      <c r="S1905" s="1">
        <v>8.1394657650000006</v>
      </c>
      <c r="T1905" s="1">
        <v>8.2913860899999996</v>
      </c>
      <c r="U1905" s="1">
        <v>8.0411903700000007</v>
      </c>
      <c r="V1905" s="1">
        <v>7.8484341190000002</v>
      </c>
      <c r="W1905" s="1">
        <v>8.0618180880000008</v>
      </c>
      <c r="X1905" s="1">
        <v>8.0061548009999992</v>
      </c>
      <c r="Y1905" s="1">
        <v>7.6988237589999997</v>
      </c>
      <c r="Z1905" s="1">
        <v>7.9595569289999997</v>
      </c>
      <c r="AA1905" s="1">
        <v>8.1394657650000006</v>
      </c>
      <c r="AB1905" s="1">
        <v>7.9739533500000004</v>
      </c>
      <c r="AC1905" s="1">
        <v>7.9814738600000004</v>
      </c>
      <c r="AD1905" s="1">
        <v>7.7548157030000002</v>
      </c>
      <c r="AE1905" s="1">
        <v>7.7690441620000001</v>
      </c>
    </row>
    <row r="1906" spans="1:31" x14ac:dyDescent="0.25">
      <c r="A1906" s="1" t="s">
        <v>1773</v>
      </c>
      <c r="B1906" s="1" t="s">
        <v>2608</v>
      </c>
      <c r="C1906" s="1" t="s">
        <v>2609</v>
      </c>
      <c r="D1906" s="1" t="s">
        <v>3890</v>
      </c>
      <c r="E1906" s="1" t="s">
        <v>5462</v>
      </c>
      <c r="F1906" s="1" t="s">
        <v>5463</v>
      </c>
      <c r="G1906" s="1" t="s">
        <v>1773</v>
      </c>
      <c r="H1906" s="1">
        <v>5.5485883999999999</v>
      </c>
      <c r="I1906" s="1">
        <v>5.5873017430000003</v>
      </c>
      <c r="J1906" s="1">
        <v>6.5019279570000004</v>
      </c>
      <c r="K1906" s="1">
        <v>6.270852401</v>
      </c>
      <c r="L1906" s="1">
        <v>6.9885052459999999</v>
      </c>
      <c r="M1906" s="1">
        <v>6.8054248829999997</v>
      </c>
      <c r="N1906" s="1">
        <v>6.0311824969999996</v>
      </c>
      <c r="O1906" s="1">
        <v>5.5778556410000002</v>
      </c>
      <c r="P1906" s="1">
        <v>6.5340672829999997</v>
      </c>
      <c r="Q1906" s="1">
        <v>6.5925403830000002</v>
      </c>
      <c r="R1906" s="1">
        <v>6.2855941240000002</v>
      </c>
      <c r="S1906" s="1">
        <v>6.3212713310000002</v>
      </c>
      <c r="T1906" s="1">
        <v>6.9885052459999999</v>
      </c>
      <c r="U1906" s="1">
        <v>6.8054248829999997</v>
      </c>
      <c r="V1906" s="1">
        <v>6.5595027339999996</v>
      </c>
      <c r="W1906" s="1">
        <v>6.5528329879999996</v>
      </c>
      <c r="X1906" s="1">
        <v>6.3328916910000004</v>
      </c>
      <c r="Y1906" s="1">
        <v>6.2594192150000003</v>
      </c>
      <c r="Z1906" s="1">
        <v>6.2855941240000002</v>
      </c>
      <c r="AA1906" s="1">
        <v>6.3212713310000002</v>
      </c>
      <c r="AB1906" s="1">
        <v>6.4252252849999998</v>
      </c>
      <c r="AC1906" s="1">
        <v>6.5603321899999996</v>
      </c>
      <c r="AD1906" s="1">
        <v>6.1657997020000002</v>
      </c>
      <c r="AE1906" s="1">
        <v>6.6570753529999998</v>
      </c>
    </row>
    <row r="1907" spans="1:31" x14ac:dyDescent="0.25">
      <c r="A1907" s="1" t="s">
        <v>1774</v>
      </c>
      <c r="B1907" s="1" t="s">
        <v>2608</v>
      </c>
      <c r="C1907" s="1" t="s">
        <v>2700</v>
      </c>
      <c r="D1907" s="1" t="s">
        <v>3868</v>
      </c>
      <c r="E1907" s="1" t="s">
        <v>5464</v>
      </c>
      <c r="F1907" s="1" t="s">
        <v>5465</v>
      </c>
      <c r="G1907" s="1" t="s">
        <v>1774</v>
      </c>
      <c r="H1907" s="1">
        <v>6.7114110580000004</v>
      </c>
      <c r="I1907" s="1">
        <v>6.854556928</v>
      </c>
      <c r="J1907" s="1">
        <v>8.6762905910000008</v>
      </c>
      <c r="K1907" s="1">
        <v>8.7507274610000003</v>
      </c>
      <c r="L1907" s="1">
        <v>8.286404718</v>
      </c>
      <c r="M1907" s="1">
        <v>8.4753050900000009</v>
      </c>
      <c r="N1907" s="1">
        <v>7.6078651910000001</v>
      </c>
      <c r="O1907" s="1">
        <v>7.4919469479999998</v>
      </c>
      <c r="P1907" s="1">
        <v>8.4950348299999998</v>
      </c>
      <c r="Q1907" s="1">
        <v>8.4285319059999999</v>
      </c>
      <c r="R1907" s="1">
        <v>8.4787937240000009</v>
      </c>
      <c r="S1907" s="1">
        <v>8.6608991240000002</v>
      </c>
      <c r="T1907" s="1">
        <v>8.286404718</v>
      </c>
      <c r="U1907" s="1">
        <v>8.4753050900000009</v>
      </c>
      <c r="V1907" s="1">
        <v>8.9097725780000001</v>
      </c>
      <c r="W1907" s="1">
        <v>8.8938582729999993</v>
      </c>
      <c r="X1907" s="1">
        <v>8.3466247770000006</v>
      </c>
      <c r="Y1907" s="1">
        <v>8.7340588669999999</v>
      </c>
      <c r="Z1907" s="1">
        <v>8.4787937240000009</v>
      </c>
      <c r="AA1907" s="1">
        <v>8.6608991240000002</v>
      </c>
      <c r="AB1907" s="1">
        <v>8.6567852260000002</v>
      </c>
      <c r="AC1907" s="1">
        <v>8.5179928969999992</v>
      </c>
      <c r="AD1907" s="1">
        <v>8.3194736169999999</v>
      </c>
      <c r="AE1907" s="1">
        <v>8.4055575190000003</v>
      </c>
    </row>
    <row r="1908" spans="1:31" x14ac:dyDescent="0.25">
      <c r="A1908" s="1" t="s">
        <v>1775</v>
      </c>
      <c r="B1908" s="1" t="s">
        <v>2608</v>
      </c>
      <c r="C1908" s="1" t="s">
        <v>2700</v>
      </c>
      <c r="D1908" s="1" t="s">
        <v>3868</v>
      </c>
      <c r="E1908" s="1" t="s">
        <v>5466</v>
      </c>
      <c r="F1908" s="1" t="s">
        <v>5467</v>
      </c>
      <c r="G1908" s="1" t="s">
        <v>1775</v>
      </c>
      <c r="H1908" s="1">
        <v>5.946332924</v>
      </c>
      <c r="I1908" s="1">
        <v>6.6432373650000001</v>
      </c>
      <c r="J1908" s="1">
        <v>8.9459567589999995</v>
      </c>
      <c r="K1908" s="1">
        <v>8.8979197219999993</v>
      </c>
      <c r="L1908" s="1">
        <v>8.9024170159999994</v>
      </c>
      <c r="M1908" s="1">
        <v>9.0425558810000002</v>
      </c>
      <c r="N1908" s="1">
        <v>7.6223148409999997</v>
      </c>
      <c r="O1908" s="1">
        <v>7.5946781520000002</v>
      </c>
      <c r="P1908" s="1">
        <v>8.9679190490000007</v>
      </c>
      <c r="Q1908" s="1">
        <v>8.5690662060000005</v>
      </c>
      <c r="R1908" s="1">
        <v>9.2468341580000004</v>
      </c>
      <c r="S1908" s="1">
        <v>9.0430759619999996</v>
      </c>
      <c r="T1908" s="1">
        <v>8.9024170159999994</v>
      </c>
      <c r="U1908" s="1">
        <v>9.0425558810000002</v>
      </c>
      <c r="V1908" s="1">
        <v>9.1440625390000001</v>
      </c>
      <c r="W1908" s="1">
        <v>9.1188663949999995</v>
      </c>
      <c r="X1908" s="1">
        <v>8.7430818289999994</v>
      </c>
      <c r="Y1908" s="1">
        <v>8.9538684100000001</v>
      </c>
      <c r="Z1908" s="1">
        <v>9.2468341580000004</v>
      </c>
      <c r="AA1908" s="1">
        <v>9.0430759619999996</v>
      </c>
      <c r="AB1908" s="1">
        <v>9.0252456320000007</v>
      </c>
      <c r="AC1908" s="1">
        <v>9.1253765120000008</v>
      </c>
      <c r="AD1908" s="1">
        <v>8.7367723769999994</v>
      </c>
      <c r="AE1908" s="1">
        <v>8.8074312979999991</v>
      </c>
    </row>
    <row r="1909" spans="1:31" x14ac:dyDescent="0.25">
      <c r="A1909" s="1" t="s">
        <v>1776</v>
      </c>
      <c r="B1909" s="1" t="s">
        <v>2608</v>
      </c>
      <c r="C1909" s="1" t="s">
        <v>2791</v>
      </c>
      <c r="D1909" s="1" t="s">
        <v>3865</v>
      </c>
      <c r="E1909" s="1" t="s">
        <v>5468</v>
      </c>
      <c r="F1909" s="1" t="s">
        <v>4278</v>
      </c>
      <c r="G1909" s="1" t="s">
        <v>1776</v>
      </c>
      <c r="H1909" s="1">
        <v>10.519538409999999</v>
      </c>
      <c r="I1909" s="1">
        <v>10.21855908</v>
      </c>
      <c r="J1909" s="1">
        <v>12.13093347</v>
      </c>
      <c r="K1909" s="1">
        <v>12.227375049999999</v>
      </c>
      <c r="L1909" s="1">
        <v>12.05970539</v>
      </c>
      <c r="M1909" s="1">
        <v>12.184570750000001</v>
      </c>
      <c r="N1909" s="1">
        <v>10.34609384</v>
      </c>
      <c r="O1909" s="1">
        <v>10.71815114</v>
      </c>
      <c r="P1909" s="1">
        <v>11.88975493</v>
      </c>
      <c r="Q1909" s="1">
        <v>11.880704870000001</v>
      </c>
      <c r="R1909" s="1">
        <v>12.40489592</v>
      </c>
      <c r="S1909" s="1">
        <v>12.204118640000001</v>
      </c>
      <c r="T1909" s="1">
        <v>12.05970539</v>
      </c>
      <c r="U1909" s="1">
        <v>12.184570750000001</v>
      </c>
      <c r="V1909" s="1">
        <v>11.91375356</v>
      </c>
      <c r="W1909" s="1">
        <v>11.97834402</v>
      </c>
      <c r="X1909" s="1">
        <v>11.993669349999999</v>
      </c>
      <c r="Y1909" s="1">
        <v>11.97081277</v>
      </c>
      <c r="Z1909" s="1">
        <v>12.40489592</v>
      </c>
      <c r="AA1909" s="1">
        <v>12.204118640000001</v>
      </c>
      <c r="AB1909" s="1">
        <v>12.20875189</v>
      </c>
      <c r="AC1909" s="1">
        <v>12.22839209</v>
      </c>
      <c r="AD1909" s="1">
        <v>12.13668959</v>
      </c>
      <c r="AE1909" s="1">
        <v>12.014040789999999</v>
      </c>
    </row>
    <row r="1910" spans="1:31" x14ac:dyDescent="0.25">
      <c r="A1910" s="1" t="s">
        <v>1777</v>
      </c>
      <c r="B1910" s="1" t="s">
        <v>2608</v>
      </c>
      <c r="C1910" s="1" t="s">
        <v>2791</v>
      </c>
      <c r="D1910" s="1" t="s">
        <v>3865</v>
      </c>
      <c r="E1910" s="1" t="s">
        <v>5469</v>
      </c>
      <c r="F1910" s="1" t="s">
        <v>5470</v>
      </c>
      <c r="G1910" s="1" t="s">
        <v>1777</v>
      </c>
      <c r="H1910" s="1">
        <v>10.798801470000001</v>
      </c>
      <c r="I1910" s="1">
        <v>10.44737574</v>
      </c>
      <c r="J1910" s="1">
        <v>12.27820683</v>
      </c>
      <c r="K1910" s="1">
        <v>12.22195166</v>
      </c>
      <c r="L1910" s="1">
        <v>11.87463443</v>
      </c>
      <c r="M1910" s="1">
        <v>12.12286711</v>
      </c>
      <c r="N1910" s="1">
        <v>9.7034856410000003</v>
      </c>
      <c r="O1910" s="1">
        <v>10.195347180000001</v>
      </c>
      <c r="P1910" s="1">
        <v>11.94357812</v>
      </c>
      <c r="Q1910" s="1">
        <v>12.00749502</v>
      </c>
      <c r="R1910" s="1">
        <v>12.4468219</v>
      </c>
      <c r="S1910" s="1">
        <v>12.302418660000001</v>
      </c>
      <c r="T1910" s="1">
        <v>11.87463443</v>
      </c>
      <c r="U1910" s="1">
        <v>12.12286711</v>
      </c>
      <c r="V1910" s="1">
        <v>12.12754692</v>
      </c>
      <c r="W1910" s="1">
        <v>12.057704640000001</v>
      </c>
      <c r="X1910" s="1">
        <v>11.99500115</v>
      </c>
      <c r="Y1910" s="1">
        <v>12.01987564</v>
      </c>
      <c r="Z1910" s="1">
        <v>12.4468219</v>
      </c>
      <c r="AA1910" s="1">
        <v>12.302418660000001</v>
      </c>
      <c r="AB1910" s="1">
        <v>12.23373827</v>
      </c>
      <c r="AC1910" s="1">
        <v>12.20936216</v>
      </c>
      <c r="AD1910" s="1">
        <v>12.082824710000001</v>
      </c>
      <c r="AE1910" s="1">
        <v>11.908204720000001</v>
      </c>
    </row>
    <row r="1911" spans="1:31" x14ac:dyDescent="0.25">
      <c r="A1911" s="1" t="s">
        <v>1778</v>
      </c>
      <c r="B1911" s="1" t="s">
        <v>2608</v>
      </c>
      <c r="C1911" s="1" t="s">
        <v>2700</v>
      </c>
      <c r="D1911" s="1" t="s">
        <v>3868</v>
      </c>
      <c r="E1911" s="1" t="s">
        <v>5471</v>
      </c>
      <c r="F1911" s="1" t="s">
        <v>5472</v>
      </c>
      <c r="G1911" s="1" t="s">
        <v>1778</v>
      </c>
      <c r="H1911" s="1">
        <v>6.5956218609999997</v>
      </c>
      <c r="I1911" s="1">
        <v>6.4146507100000001</v>
      </c>
      <c r="J1911" s="1">
        <v>6.1606909930000002</v>
      </c>
      <c r="K1911" s="1">
        <v>5.3151275040000003</v>
      </c>
      <c r="L1911" s="1">
        <v>7.0367909559999999</v>
      </c>
      <c r="M1911" s="1">
        <v>7.1104816509999997</v>
      </c>
      <c r="N1911" s="1">
        <v>5.2894624830000003</v>
      </c>
      <c r="O1911" s="1">
        <v>5.4612405070000003</v>
      </c>
      <c r="P1911" s="1">
        <v>6.0141943849999997</v>
      </c>
      <c r="Q1911" s="1">
        <v>5.9352426600000001</v>
      </c>
      <c r="R1911" s="1">
        <v>6.624026862</v>
      </c>
      <c r="S1911" s="1">
        <v>6.478262194</v>
      </c>
      <c r="T1911" s="1">
        <v>7.0367909559999999</v>
      </c>
      <c r="U1911" s="1">
        <v>7.1104816509999997</v>
      </c>
      <c r="V1911" s="1">
        <v>6.0153393629999998</v>
      </c>
      <c r="W1911" s="1">
        <v>6.4401804780000003</v>
      </c>
      <c r="X1911" s="1">
        <v>6.5709008840000003</v>
      </c>
      <c r="Y1911" s="1">
        <v>5.6971672010000001</v>
      </c>
      <c r="Z1911" s="1">
        <v>6.624026862</v>
      </c>
      <c r="AA1911" s="1">
        <v>6.478262194</v>
      </c>
      <c r="AB1911" s="1">
        <v>5.8098709350000002</v>
      </c>
      <c r="AC1911" s="1">
        <v>6.2870326270000003</v>
      </c>
      <c r="AD1911" s="1">
        <v>6.1153202110000002</v>
      </c>
      <c r="AE1911" s="1">
        <v>6.1775384349999998</v>
      </c>
    </row>
    <row r="1912" spans="1:31" x14ac:dyDescent="0.25">
      <c r="A1912" s="1" t="s">
        <v>1779</v>
      </c>
      <c r="B1912" s="1" t="s">
        <v>2520</v>
      </c>
      <c r="C1912" s="1" t="s">
        <v>2521</v>
      </c>
      <c r="D1912" s="1" t="s">
        <v>2535</v>
      </c>
      <c r="E1912" s="1" t="s">
        <v>5473</v>
      </c>
      <c r="G1912" s="1" t="s">
        <v>1779</v>
      </c>
      <c r="H1912" s="1">
        <v>8.7498334809999996</v>
      </c>
      <c r="I1912" s="1">
        <v>8.7955612260000002</v>
      </c>
      <c r="J1912" s="1">
        <v>7.771478492</v>
      </c>
      <c r="K1912" s="1">
        <v>7.9630641669999997</v>
      </c>
      <c r="L1912" s="1">
        <v>7.6853869870000002</v>
      </c>
      <c r="M1912" s="1">
        <v>7.7626871140000002</v>
      </c>
      <c r="N1912" s="1">
        <v>8.643539079</v>
      </c>
      <c r="O1912" s="1">
        <v>8.8164776269999994</v>
      </c>
      <c r="P1912" s="1">
        <v>7.5912873400000001</v>
      </c>
      <c r="Q1912" s="1">
        <v>7.5893435760000001</v>
      </c>
      <c r="R1912" s="1">
        <v>7.5003648319999998</v>
      </c>
      <c r="S1912" s="1">
        <v>7.6557704830000004</v>
      </c>
      <c r="T1912" s="1">
        <v>7.6853869870000002</v>
      </c>
      <c r="U1912" s="1">
        <v>7.7626871140000002</v>
      </c>
      <c r="V1912" s="1">
        <v>8.277775192</v>
      </c>
      <c r="W1912" s="1">
        <v>8.2133003480000006</v>
      </c>
      <c r="X1912" s="1">
        <v>7.6390272389999998</v>
      </c>
      <c r="Y1912" s="1">
        <v>8.2955235789999993</v>
      </c>
      <c r="Z1912" s="1">
        <v>7.5003648319999998</v>
      </c>
      <c r="AA1912" s="1">
        <v>7.6557704830000004</v>
      </c>
      <c r="AB1912" s="1">
        <v>7.398314289</v>
      </c>
      <c r="AC1912" s="1">
        <v>7.601226209</v>
      </c>
      <c r="AD1912" s="1">
        <v>7.7548157030000002</v>
      </c>
      <c r="AE1912" s="1">
        <v>7.8933910090000001</v>
      </c>
    </row>
    <row r="1913" spans="1:31" x14ac:dyDescent="0.25">
      <c r="A1913" s="1" t="s">
        <v>1780</v>
      </c>
      <c r="B1913" s="1" t="s">
        <v>2598</v>
      </c>
      <c r="C1913" s="1" t="s">
        <v>2603</v>
      </c>
      <c r="D1913" s="1" t="s">
        <v>2730</v>
      </c>
      <c r="E1913" s="1" t="s">
        <v>5474</v>
      </c>
      <c r="F1913" s="1" t="s">
        <v>5475</v>
      </c>
      <c r="G1913" s="1" t="s">
        <v>1780</v>
      </c>
      <c r="H1913" s="1">
        <v>4.995162745</v>
      </c>
      <c r="I1913" s="1">
        <v>5.8917578519999996</v>
      </c>
      <c r="J1913" s="1">
        <v>5.1501560140000002</v>
      </c>
      <c r="K1913" s="1">
        <v>5.7554847420000002</v>
      </c>
      <c r="L1913" s="1">
        <v>6.3016040330000003</v>
      </c>
      <c r="M1913" s="1">
        <v>6.2252239280000001</v>
      </c>
      <c r="N1913" s="1">
        <v>6.7283719059999996</v>
      </c>
      <c r="O1913" s="1">
        <v>6.8735777320000002</v>
      </c>
      <c r="P1913" s="1">
        <v>6.038086302</v>
      </c>
      <c r="Q1913" s="1">
        <v>5.7838067430000004</v>
      </c>
      <c r="R1913" s="1">
        <v>5.6804358580000001</v>
      </c>
      <c r="S1913" s="1">
        <v>5.3098842800000003</v>
      </c>
      <c r="T1913" s="1">
        <v>6.3016040330000003</v>
      </c>
      <c r="U1913" s="1">
        <v>6.2252239280000001</v>
      </c>
      <c r="V1913" s="1">
        <v>5.8270932010000003</v>
      </c>
      <c r="W1913" s="1">
        <v>5.329276363</v>
      </c>
      <c r="X1913" s="1">
        <v>5.7596503070000002</v>
      </c>
      <c r="Y1913" s="1">
        <v>6.1840201749999997</v>
      </c>
      <c r="Z1913" s="1">
        <v>5.6804358580000001</v>
      </c>
      <c r="AA1913" s="1">
        <v>5.3098842800000003</v>
      </c>
      <c r="AB1913" s="1">
        <v>5.851934376</v>
      </c>
      <c r="AC1913" s="1">
        <v>5.6698330419999996</v>
      </c>
      <c r="AD1913" s="1">
        <v>6.3073961189999999</v>
      </c>
      <c r="AE1913" s="1">
        <v>5.9885482259999998</v>
      </c>
    </row>
    <row r="1914" spans="1:31" x14ac:dyDescent="0.25">
      <c r="A1914" s="1" t="s">
        <v>1782</v>
      </c>
      <c r="B1914" s="1" t="s">
        <v>2579</v>
      </c>
      <c r="C1914" s="1" t="s">
        <v>2585</v>
      </c>
      <c r="D1914" s="1" t="s">
        <v>5259</v>
      </c>
      <c r="E1914" s="1" t="s">
        <v>5476</v>
      </c>
      <c r="F1914" s="1" t="s">
        <v>5477</v>
      </c>
      <c r="G1914" s="1" t="s">
        <v>1782</v>
      </c>
      <c r="H1914" s="1">
        <v>7.0849682740000004</v>
      </c>
      <c r="I1914" s="1">
        <v>7.4819592080000001</v>
      </c>
      <c r="J1914" s="1">
        <v>6.0670821549999996</v>
      </c>
      <c r="K1914" s="1">
        <v>6.091743707</v>
      </c>
      <c r="L1914" s="1">
        <v>6.1001767109999996</v>
      </c>
      <c r="M1914" s="1">
        <v>6.0958755599999996</v>
      </c>
      <c r="N1914" s="1">
        <v>7.3253466029999998</v>
      </c>
      <c r="O1914" s="1">
        <v>7.2334791650000003</v>
      </c>
      <c r="P1914" s="1">
        <v>6.7660226430000003</v>
      </c>
      <c r="Q1914" s="1">
        <v>6.289960497</v>
      </c>
      <c r="R1914" s="1">
        <v>6.0146875240000002</v>
      </c>
      <c r="S1914" s="1">
        <v>6.2358418929999999</v>
      </c>
      <c r="T1914" s="1">
        <v>6.1001767109999996</v>
      </c>
      <c r="U1914" s="1">
        <v>6.0958755599999996</v>
      </c>
      <c r="V1914" s="1">
        <v>6.7828668890000001</v>
      </c>
      <c r="W1914" s="1">
        <v>6.5528329879999996</v>
      </c>
      <c r="X1914" s="1">
        <v>6.227863213</v>
      </c>
      <c r="Y1914" s="1">
        <v>7.0064610119999999</v>
      </c>
      <c r="Z1914" s="1">
        <v>6.0146875240000002</v>
      </c>
      <c r="AA1914" s="1">
        <v>6.2358418929999999</v>
      </c>
      <c r="AB1914" s="1">
        <v>6.1835402750000004</v>
      </c>
      <c r="AC1914" s="1">
        <v>6.2044385320000002</v>
      </c>
      <c r="AD1914" s="1">
        <v>6.2383411879999997</v>
      </c>
      <c r="AE1914" s="1">
        <v>6.4105584240000004</v>
      </c>
    </row>
    <row r="1915" spans="1:31" x14ac:dyDescent="0.25">
      <c r="A1915" s="1" t="s">
        <v>1784</v>
      </c>
      <c r="B1915" s="1" t="s">
        <v>2547</v>
      </c>
      <c r="C1915" s="1" t="s">
        <v>2694</v>
      </c>
      <c r="D1915" s="1" t="s">
        <v>2695</v>
      </c>
      <c r="E1915" s="1" t="s">
        <v>2696</v>
      </c>
      <c r="G1915" s="1" t="s">
        <v>1784</v>
      </c>
      <c r="H1915" s="1">
        <v>4.7972697699999998</v>
      </c>
      <c r="I1915" s="1">
        <v>5.2862358589999996</v>
      </c>
      <c r="J1915" s="1">
        <v>4.3724365990000003</v>
      </c>
      <c r="K1915" s="1">
        <v>4.0244910950000001</v>
      </c>
      <c r="L1915" s="1">
        <v>4.4107687259999997</v>
      </c>
      <c r="M1915" s="1">
        <v>4.4472617469999998</v>
      </c>
      <c r="N1915" s="1">
        <v>5.7258938089999996</v>
      </c>
      <c r="O1915" s="1">
        <v>5.5552821830000001</v>
      </c>
      <c r="P1915" s="1">
        <v>4.6791060150000003</v>
      </c>
      <c r="Q1915" s="1">
        <v>4.4575363990000003</v>
      </c>
      <c r="R1915" s="1">
        <v>4.1841942410000001</v>
      </c>
      <c r="S1915" s="1">
        <v>4.1304223819999999</v>
      </c>
      <c r="T1915" s="1">
        <v>4.4107687259999997</v>
      </c>
      <c r="U1915" s="1">
        <v>4.4472617469999998</v>
      </c>
      <c r="V1915" s="1">
        <v>4.4559512029999997</v>
      </c>
      <c r="W1915" s="1">
        <v>4.2295768090000001</v>
      </c>
      <c r="X1915" s="1">
        <v>4.0022987600000004</v>
      </c>
      <c r="Y1915" s="1">
        <v>3.4382968329999999</v>
      </c>
      <c r="Z1915" s="1">
        <v>4.1841942410000001</v>
      </c>
      <c r="AA1915" s="1">
        <v>4.1304223819999999</v>
      </c>
      <c r="AB1915" s="1">
        <v>4.6096720080000004</v>
      </c>
      <c r="AC1915" s="1">
        <v>4.7474570290000004</v>
      </c>
      <c r="AD1915" s="1">
        <v>4.4715299570000004</v>
      </c>
      <c r="AE1915" s="1">
        <v>4.8625108150000003</v>
      </c>
    </row>
    <row r="1916" spans="1:31" x14ac:dyDescent="0.25">
      <c r="A1916" s="1" t="s">
        <v>1785</v>
      </c>
      <c r="B1916" s="1" t="s">
        <v>2542</v>
      </c>
      <c r="C1916" s="1" t="s">
        <v>2553</v>
      </c>
      <c r="D1916" s="1" t="s">
        <v>3111</v>
      </c>
      <c r="E1916" s="1" t="s">
        <v>5478</v>
      </c>
      <c r="F1916" s="1" t="s">
        <v>5479</v>
      </c>
      <c r="G1916" s="1" t="s">
        <v>1785</v>
      </c>
      <c r="H1916" s="1">
        <v>4.7972697699999998</v>
      </c>
      <c r="I1916" s="1">
        <v>4.7893724280000001</v>
      </c>
      <c r="J1916" s="1">
        <v>4.5240842389999996</v>
      </c>
      <c r="K1916" s="1">
        <v>4.6734567340000002</v>
      </c>
      <c r="L1916" s="1">
        <v>5.5690677470000001</v>
      </c>
      <c r="M1916" s="1">
        <v>5.1214027209999999</v>
      </c>
      <c r="N1916" s="1">
        <v>5.2894624830000003</v>
      </c>
      <c r="O1916" s="1">
        <v>5.6219600229999998</v>
      </c>
      <c r="P1916" s="1">
        <v>5.1467681949999999</v>
      </c>
      <c r="Q1916" s="1">
        <v>4.9365262349999997</v>
      </c>
      <c r="R1916" s="1">
        <v>4.9894654599999999</v>
      </c>
      <c r="S1916" s="1">
        <v>4.4749637470000003</v>
      </c>
      <c r="T1916" s="1">
        <v>5.5690677470000001</v>
      </c>
      <c r="U1916" s="1">
        <v>5.1214027209999999</v>
      </c>
      <c r="V1916" s="1">
        <v>5.0428039150000004</v>
      </c>
      <c r="W1916" s="1">
        <v>5.5634106699999997</v>
      </c>
      <c r="X1916" s="1">
        <v>5.9915198639999998</v>
      </c>
      <c r="Y1916" s="1">
        <v>5.7678626939999997</v>
      </c>
      <c r="Z1916" s="1">
        <v>4.9894654599999999</v>
      </c>
      <c r="AA1916" s="1">
        <v>4.4749637470000003</v>
      </c>
      <c r="AB1916" s="1">
        <v>5.3624643089999999</v>
      </c>
      <c r="AC1916" s="1">
        <v>5.198889973</v>
      </c>
      <c r="AD1916" s="1">
        <v>5.980763981</v>
      </c>
      <c r="AE1916" s="1">
        <v>5.7708285269999999</v>
      </c>
    </row>
    <row r="1917" spans="1:31" x14ac:dyDescent="0.25">
      <c r="A1917" s="1" t="s">
        <v>1786</v>
      </c>
      <c r="B1917" s="1" t="s">
        <v>2942</v>
      </c>
      <c r="C1917" s="1" t="s">
        <v>2943</v>
      </c>
      <c r="D1917" s="1" t="s">
        <v>2535</v>
      </c>
      <c r="E1917" s="1" t="s">
        <v>5480</v>
      </c>
      <c r="F1917" s="1" t="s">
        <v>5481</v>
      </c>
      <c r="G1917" s="1" t="s">
        <v>1786</v>
      </c>
      <c r="H1917" s="1">
        <v>6.6738400520000001</v>
      </c>
      <c r="I1917" s="1">
        <v>6.7376237200000002</v>
      </c>
      <c r="J1917" s="1">
        <v>7.0702854049999999</v>
      </c>
      <c r="K1917" s="1">
        <v>7.3969663560000001</v>
      </c>
      <c r="L1917" s="1">
        <v>7.3115670399999999</v>
      </c>
      <c r="M1917" s="1">
        <v>7.3868513050000004</v>
      </c>
      <c r="N1917" s="1">
        <v>7.3887093909999999</v>
      </c>
      <c r="O1917" s="1">
        <v>7.3159984050000002</v>
      </c>
      <c r="P1917" s="1">
        <v>7.4825689239999997</v>
      </c>
      <c r="Q1917" s="1">
        <v>7.2173337469999996</v>
      </c>
      <c r="R1917" s="1">
        <v>7.4809224849999998</v>
      </c>
      <c r="S1917" s="1">
        <v>7.345520681</v>
      </c>
      <c r="T1917" s="1">
        <v>7.3115670399999999</v>
      </c>
      <c r="U1917" s="1">
        <v>7.3868513050000004</v>
      </c>
      <c r="V1917" s="1">
        <v>7.1058621789999998</v>
      </c>
      <c r="W1917" s="1">
        <v>6.8980132320000003</v>
      </c>
      <c r="X1917" s="1">
        <v>7.2679051220000002</v>
      </c>
      <c r="Y1917" s="1">
        <v>7.1714898009999999</v>
      </c>
      <c r="Z1917" s="1">
        <v>7.4809224849999998</v>
      </c>
      <c r="AA1917" s="1">
        <v>7.345520681</v>
      </c>
      <c r="AB1917" s="1">
        <v>7.6448327970000003</v>
      </c>
      <c r="AC1917" s="1">
        <v>7.3935912940000001</v>
      </c>
      <c r="AD1917" s="1">
        <v>7.2704470209999998</v>
      </c>
      <c r="AE1917" s="1">
        <v>7.1379765209999997</v>
      </c>
    </row>
    <row r="1918" spans="1:31" x14ac:dyDescent="0.25">
      <c r="A1918" s="1" t="s">
        <v>1788</v>
      </c>
      <c r="B1918" s="1" t="s">
        <v>2530</v>
      </c>
      <c r="C1918" s="1" t="s">
        <v>2531</v>
      </c>
      <c r="D1918" s="1" t="s">
        <v>5482</v>
      </c>
      <c r="E1918" s="1" t="s">
        <v>5483</v>
      </c>
      <c r="G1918" s="1" t="s">
        <v>1788</v>
      </c>
      <c r="H1918" s="1">
        <v>5.5062820300000004</v>
      </c>
      <c r="I1918" s="1">
        <v>5.4817092260000004</v>
      </c>
      <c r="J1918" s="1">
        <v>5.0051223570000003</v>
      </c>
      <c r="K1918" s="1">
        <v>5.0014827119999996</v>
      </c>
      <c r="L1918" s="1">
        <v>4.8288685039999999</v>
      </c>
      <c r="M1918" s="1">
        <v>5.3667108829999997</v>
      </c>
      <c r="N1918" s="1">
        <v>4.8346471299999996</v>
      </c>
      <c r="O1918" s="1">
        <v>4.8288877169999997</v>
      </c>
      <c r="P1918" s="1">
        <v>4.5499605860000001</v>
      </c>
      <c r="Q1918" s="1">
        <v>4.8773483779999998</v>
      </c>
      <c r="R1918" s="1">
        <v>4.7472384160000001</v>
      </c>
      <c r="S1918" s="1">
        <v>5.1309834260000002</v>
      </c>
      <c r="T1918" s="1">
        <v>4.8288685039999999</v>
      </c>
      <c r="U1918" s="1">
        <v>5.3667108829999997</v>
      </c>
      <c r="V1918" s="1">
        <v>4.8566239800000002</v>
      </c>
      <c r="W1918" s="1">
        <v>4.69862249</v>
      </c>
      <c r="X1918" s="1">
        <v>5.3550813679999996</v>
      </c>
      <c r="Y1918" s="1">
        <v>5.0128502209999999</v>
      </c>
      <c r="Z1918" s="1">
        <v>4.7472384160000001</v>
      </c>
      <c r="AA1918" s="1">
        <v>5.1309834260000002</v>
      </c>
      <c r="AB1918" s="1">
        <v>5.5276660309999999</v>
      </c>
      <c r="AC1918" s="1">
        <v>5.7302515789999999</v>
      </c>
      <c r="AD1918" s="1">
        <v>5.0634297190000002</v>
      </c>
      <c r="AE1918" s="1">
        <v>5.0965372069999999</v>
      </c>
    </row>
    <row r="1919" spans="1:31" x14ac:dyDescent="0.25">
      <c r="A1919" s="1" t="s">
        <v>1789</v>
      </c>
      <c r="B1919" s="1" t="s">
        <v>2667</v>
      </c>
      <c r="C1919" s="1" t="s">
        <v>4077</v>
      </c>
      <c r="D1919" s="1" t="s">
        <v>5154</v>
      </c>
      <c r="E1919" s="1" t="s">
        <v>5484</v>
      </c>
      <c r="F1919" s="1" t="s">
        <v>5485</v>
      </c>
      <c r="G1919" s="1" t="s">
        <v>1789</v>
      </c>
      <c r="H1919" s="1">
        <v>6.4251460160000002</v>
      </c>
      <c r="I1919" s="1">
        <v>6.5936172129999999</v>
      </c>
      <c r="J1919" s="1">
        <v>7.2929885179999996</v>
      </c>
      <c r="K1919" s="1">
        <v>7.209164833</v>
      </c>
      <c r="L1919" s="1">
        <v>7.6547850799999999</v>
      </c>
      <c r="M1919" s="1">
        <v>7.6134310220000003</v>
      </c>
      <c r="N1919" s="1">
        <v>7.1166071390000001</v>
      </c>
      <c r="O1919" s="1">
        <v>6.8274188249999996</v>
      </c>
      <c r="P1919" s="1">
        <v>7.3555228489999998</v>
      </c>
      <c r="Q1919" s="1">
        <v>7.5145739430000003</v>
      </c>
      <c r="R1919" s="1">
        <v>7.593828061</v>
      </c>
      <c r="S1919" s="1">
        <v>7.2178550819999998</v>
      </c>
      <c r="T1919" s="1">
        <v>7.6547850799999999</v>
      </c>
      <c r="U1919" s="1">
        <v>7.6134310220000003</v>
      </c>
      <c r="V1919" s="1">
        <v>7.4449946410000001</v>
      </c>
      <c r="W1919" s="1">
        <v>7.5677538909999997</v>
      </c>
      <c r="X1919" s="1">
        <v>7.3367784169999997</v>
      </c>
      <c r="Y1919" s="1">
        <v>7.2099543309999996</v>
      </c>
      <c r="Z1919" s="1">
        <v>7.593828061</v>
      </c>
      <c r="AA1919" s="1">
        <v>7.2178550819999998</v>
      </c>
      <c r="AB1919" s="1">
        <v>7.5588360830000001</v>
      </c>
      <c r="AC1919" s="1">
        <v>7.5011434670000003</v>
      </c>
      <c r="AD1919" s="1">
        <v>7.4128505269999998</v>
      </c>
      <c r="AE1919" s="1">
        <v>7.3545048780000002</v>
      </c>
    </row>
    <row r="1920" spans="1:31" x14ac:dyDescent="0.25">
      <c r="A1920" s="1" t="s">
        <v>1790</v>
      </c>
      <c r="B1920" s="1" t="s">
        <v>2530</v>
      </c>
      <c r="C1920" s="1" t="s">
        <v>2531</v>
      </c>
      <c r="D1920" s="1" t="s">
        <v>2535</v>
      </c>
      <c r="E1920" s="1" t="s">
        <v>5486</v>
      </c>
      <c r="G1920" s="1" t="s">
        <v>1790</v>
      </c>
      <c r="H1920" s="1">
        <v>5.2221022919999998</v>
      </c>
      <c r="I1920" s="1">
        <v>5.1546023129999998</v>
      </c>
      <c r="J1920" s="1">
        <v>5.3229940280000001</v>
      </c>
      <c r="K1920" s="1">
        <v>5.3151275040000003</v>
      </c>
      <c r="L1920" s="1">
        <v>5.2569846910000004</v>
      </c>
      <c r="M1920" s="1">
        <v>5.1508485750000004</v>
      </c>
      <c r="N1920" s="1">
        <v>4.9627953409999996</v>
      </c>
      <c r="O1920" s="1">
        <v>5.2522077749999996</v>
      </c>
      <c r="P1920" s="1">
        <v>4.3303557189999999</v>
      </c>
      <c r="Q1920" s="1">
        <v>4.9365262349999997</v>
      </c>
      <c r="R1920" s="1">
        <v>4.8118229140000004</v>
      </c>
      <c r="S1920" s="1">
        <v>4.9261733090000002</v>
      </c>
      <c r="T1920" s="1">
        <v>5.2569846910000004</v>
      </c>
      <c r="U1920" s="1">
        <v>5.1508485750000004</v>
      </c>
      <c r="V1920" s="1">
        <v>4.6419314959999998</v>
      </c>
      <c r="W1920" s="1">
        <v>4.1128053839999996</v>
      </c>
      <c r="X1920" s="1">
        <v>4.7537743670000001</v>
      </c>
      <c r="Y1920" s="1">
        <v>5.5841077690000001</v>
      </c>
      <c r="Z1920" s="1">
        <v>4.8118229140000004</v>
      </c>
      <c r="AA1920" s="1">
        <v>4.9261733090000002</v>
      </c>
      <c r="AB1920" s="1">
        <v>4.705867896</v>
      </c>
      <c r="AC1920" s="1">
        <v>4.4881955270000002</v>
      </c>
      <c r="AD1920" s="1">
        <v>4.2970121150000002</v>
      </c>
      <c r="AE1920" s="1">
        <v>4.9247587419999999</v>
      </c>
    </row>
    <row r="1921" spans="1:31" x14ac:dyDescent="0.25">
      <c r="A1921" s="1" t="s">
        <v>1791</v>
      </c>
      <c r="B1921" s="1" t="s">
        <v>2542</v>
      </c>
      <c r="C1921" s="1" t="s">
        <v>2553</v>
      </c>
      <c r="D1921" s="1" t="s">
        <v>4856</v>
      </c>
      <c r="E1921" s="1" t="s">
        <v>5487</v>
      </c>
      <c r="F1921" s="1" t="s">
        <v>5488</v>
      </c>
      <c r="G1921" s="1" t="s">
        <v>1791</v>
      </c>
      <c r="H1921" s="1">
        <v>5.4177093730000001</v>
      </c>
      <c r="I1921" s="1">
        <v>6.1655807180000002</v>
      </c>
      <c r="J1921" s="1">
        <v>5.3631085470000004</v>
      </c>
      <c r="K1921" s="1">
        <v>5.5719358019999996</v>
      </c>
      <c r="L1921" s="1">
        <v>5.9566674209999997</v>
      </c>
      <c r="M1921" s="1">
        <v>5.6393255609999997</v>
      </c>
      <c r="N1921" s="1">
        <v>5.7078727669999996</v>
      </c>
      <c r="O1921" s="1">
        <v>4.9384407589999997</v>
      </c>
      <c r="P1921" s="1">
        <v>5.7504406890000004</v>
      </c>
      <c r="Q1921" s="1">
        <v>5.5022716190000001</v>
      </c>
      <c r="R1921" s="1">
        <v>5.8723300570000001</v>
      </c>
      <c r="S1921" s="1">
        <v>5.5773053920000004</v>
      </c>
      <c r="T1921" s="1">
        <v>5.9566674209999997</v>
      </c>
      <c r="U1921" s="1">
        <v>5.6393255609999997</v>
      </c>
      <c r="V1921" s="1">
        <v>6.3658106080000003</v>
      </c>
      <c r="W1921" s="1">
        <v>6.156075682</v>
      </c>
      <c r="X1921" s="1">
        <v>5.6000621730000004</v>
      </c>
      <c r="Y1921" s="1">
        <v>6.3769095809999996</v>
      </c>
      <c r="Z1921" s="1">
        <v>5.8723300570000001</v>
      </c>
      <c r="AA1921" s="1">
        <v>5.5773053920000004</v>
      </c>
      <c r="AB1921" s="1">
        <v>5.4746970709999996</v>
      </c>
      <c r="AC1921" s="1">
        <v>5.198889973</v>
      </c>
      <c r="AD1921" s="1">
        <v>5.396704357</v>
      </c>
      <c r="AE1921" s="1">
        <v>5.6663356680000003</v>
      </c>
    </row>
    <row r="1922" spans="1:31" x14ac:dyDescent="0.25">
      <c r="A1922" s="1" t="s">
        <v>1792</v>
      </c>
      <c r="B1922" s="1" t="s">
        <v>2598</v>
      </c>
      <c r="C1922" s="1" t="s">
        <v>2795</v>
      </c>
      <c r="D1922" s="1" t="s">
        <v>5489</v>
      </c>
      <c r="E1922" s="1" t="s">
        <v>5490</v>
      </c>
      <c r="F1922" s="1" t="s">
        <v>5491</v>
      </c>
      <c r="G1922" s="1" t="s">
        <v>1792</v>
      </c>
      <c r="H1922" s="1">
        <v>4.6479005740000003</v>
      </c>
      <c r="I1922" s="1">
        <v>5.3676718369999996</v>
      </c>
      <c r="J1922" s="1">
        <v>6.3513642939999997</v>
      </c>
      <c r="K1922" s="1">
        <v>5.8552832600000002</v>
      </c>
      <c r="L1922" s="1">
        <v>6.0302150909999996</v>
      </c>
      <c r="M1922" s="1">
        <v>6.4298477490000003</v>
      </c>
      <c r="N1922" s="1">
        <v>4.6936110280000003</v>
      </c>
      <c r="O1922" s="1">
        <v>5.2522077749999996</v>
      </c>
      <c r="P1922" s="1">
        <v>6.2161300730000004</v>
      </c>
      <c r="Q1922" s="1">
        <v>6.123526483</v>
      </c>
      <c r="R1922" s="1">
        <v>7.0638992009999999</v>
      </c>
      <c r="S1922" s="1">
        <v>6.7331571820000002</v>
      </c>
      <c r="T1922" s="1">
        <v>6.0302150909999996</v>
      </c>
      <c r="U1922" s="1">
        <v>6.4298477490000003</v>
      </c>
      <c r="V1922" s="1">
        <v>6.5289779240000003</v>
      </c>
      <c r="W1922" s="1">
        <v>6.463427716</v>
      </c>
      <c r="X1922" s="1">
        <v>6.3102062310000004</v>
      </c>
      <c r="Y1922" s="1">
        <v>6.0201969059999998</v>
      </c>
      <c r="Z1922" s="1">
        <v>7.0638992009999999</v>
      </c>
      <c r="AA1922" s="1">
        <v>6.7331571820000002</v>
      </c>
      <c r="AB1922" s="1">
        <v>6.4797931459999996</v>
      </c>
      <c r="AC1922" s="1">
        <v>6.4026546910000004</v>
      </c>
      <c r="AD1922" s="1">
        <v>6.3732854110000003</v>
      </c>
      <c r="AE1922" s="1">
        <v>6.2026157089999998</v>
      </c>
    </row>
    <row r="1923" spans="1:31" x14ac:dyDescent="0.25">
      <c r="A1923" s="1" t="s">
        <v>1793</v>
      </c>
      <c r="B1923" s="1" t="s">
        <v>2667</v>
      </c>
      <c r="C1923" s="1" t="s">
        <v>2802</v>
      </c>
      <c r="D1923" s="1" t="s">
        <v>3545</v>
      </c>
      <c r="E1923" s="1" t="s">
        <v>5492</v>
      </c>
      <c r="F1923" s="1" t="s">
        <v>5493</v>
      </c>
      <c r="G1923" s="1" t="s">
        <v>1793</v>
      </c>
      <c r="H1923" s="1">
        <v>5.0553993879999997</v>
      </c>
      <c r="I1923" s="1">
        <v>5.5177814730000003</v>
      </c>
      <c r="J1923" s="1">
        <v>6.7627112289999998</v>
      </c>
      <c r="K1923" s="1">
        <v>6.3412685260000003</v>
      </c>
      <c r="L1923" s="1">
        <v>6.4782437829999999</v>
      </c>
      <c r="M1923" s="1">
        <v>6.4767572920000003</v>
      </c>
      <c r="N1923" s="1">
        <v>5.4717898820000004</v>
      </c>
      <c r="O1923" s="1">
        <v>4.9028628039999997</v>
      </c>
      <c r="P1923" s="1">
        <v>6.5340672829999997</v>
      </c>
      <c r="Q1923" s="1">
        <v>6.289960497</v>
      </c>
      <c r="R1923" s="1">
        <v>6.6590761939999998</v>
      </c>
      <c r="S1923" s="1">
        <v>6.9225889839999999</v>
      </c>
      <c r="T1923" s="1">
        <v>6.4782437829999999</v>
      </c>
      <c r="U1923" s="1">
        <v>6.4767572920000003</v>
      </c>
      <c r="V1923" s="1">
        <v>6.5595027339999996</v>
      </c>
      <c r="W1923" s="1">
        <v>6.3925275360000002</v>
      </c>
      <c r="X1923" s="1">
        <v>6.430767253</v>
      </c>
      <c r="Y1923" s="1">
        <v>6.6624835610000002</v>
      </c>
      <c r="Z1923" s="1">
        <v>6.6590761939999998</v>
      </c>
      <c r="AA1923" s="1">
        <v>6.9225889839999999</v>
      </c>
      <c r="AB1923" s="1">
        <v>6.1835402750000004</v>
      </c>
      <c r="AC1923" s="1">
        <v>6.2044385320000002</v>
      </c>
      <c r="AD1923" s="1">
        <v>6.5919351060000002</v>
      </c>
      <c r="AE1923" s="1">
        <v>6.2149920930000002</v>
      </c>
    </row>
    <row r="1924" spans="1:31" x14ac:dyDescent="0.25">
      <c r="A1924" s="1" t="s">
        <v>1794</v>
      </c>
      <c r="B1924" s="1" t="s">
        <v>2520</v>
      </c>
      <c r="C1924" s="1" t="s">
        <v>3160</v>
      </c>
      <c r="D1924" s="1" t="s">
        <v>5494</v>
      </c>
      <c r="E1924" s="1" t="s">
        <v>5495</v>
      </c>
      <c r="F1924" s="1" t="s">
        <v>5496</v>
      </c>
      <c r="G1924" s="1" t="s">
        <v>1794</v>
      </c>
      <c r="H1924" s="1">
        <v>6.2825651889999996</v>
      </c>
      <c r="I1924" s="1">
        <v>6.9885198099999997</v>
      </c>
      <c r="J1924" s="1">
        <v>6.7922226300000004</v>
      </c>
      <c r="K1924" s="1">
        <v>6.8716784979999996</v>
      </c>
      <c r="L1924" s="1">
        <v>7.0188729150000002</v>
      </c>
      <c r="M1924" s="1">
        <v>7.1326022050000004</v>
      </c>
      <c r="N1924" s="1">
        <v>6.0598398590000002</v>
      </c>
      <c r="O1924" s="1">
        <v>6.1589202040000002</v>
      </c>
      <c r="P1924" s="1">
        <v>7.085000398</v>
      </c>
      <c r="Q1924" s="1">
        <v>7.3415124269999996</v>
      </c>
      <c r="R1924" s="1">
        <v>7.3369483750000004</v>
      </c>
      <c r="S1924" s="1">
        <v>7.2066877380000003</v>
      </c>
      <c r="T1924" s="1">
        <v>7.0188729150000002</v>
      </c>
      <c r="U1924" s="1">
        <v>7.1326022050000004</v>
      </c>
      <c r="V1924" s="1">
        <v>7.2343052459999999</v>
      </c>
      <c r="W1924" s="1">
        <v>7.0126858380000003</v>
      </c>
      <c r="X1924" s="1">
        <v>6.6632496019999996</v>
      </c>
      <c r="Y1924" s="1">
        <v>7.0495236999999999</v>
      </c>
      <c r="Z1924" s="1">
        <v>7.3369483750000004</v>
      </c>
      <c r="AA1924" s="1">
        <v>7.2066877380000003</v>
      </c>
      <c r="AB1924" s="1">
        <v>6.5063200270000001</v>
      </c>
      <c r="AC1924" s="1">
        <v>6.9630080459999997</v>
      </c>
      <c r="AD1924" s="1">
        <v>6.6462203879999997</v>
      </c>
      <c r="AE1924" s="1">
        <v>6.7278078839999997</v>
      </c>
    </row>
    <row r="1925" spans="1:31" x14ac:dyDescent="0.25">
      <c r="A1925" s="1" t="s">
        <v>1797</v>
      </c>
      <c r="B1925" s="1" t="s">
        <v>2547</v>
      </c>
      <c r="C1925" s="1" t="s">
        <v>2531</v>
      </c>
      <c r="D1925" s="1" t="s">
        <v>2535</v>
      </c>
      <c r="E1925" s="1" t="s">
        <v>2947</v>
      </c>
      <c r="F1925" s="1" t="s">
        <v>2948</v>
      </c>
      <c r="G1925" s="1" t="s">
        <v>1797</v>
      </c>
      <c r="H1925" s="1">
        <v>4.995162745</v>
      </c>
      <c r="I1925" s="1">
        <v>5.5177814730000003</v>
      </c>
      <c r="J1925" s="1">
        <v>5.2817155790000001</v>
      </c>
      <c r="K1925" s="1">
        <v>5.2180867539999998</v>
      </c>
      <c r="L1925" s="1">
        <v>5.8791437640000002</v>
      </c>
      <c r="M1925" s="1">
        <v>5.7583226490000001</v>
      </c>
      <c r="N1925" s="1">
        <v>6.3187649539999997</v>
      </c>
      <c r="O1925" s="1">
        <v>6.1287443579999996</v>
      </c>
      <c r="P1925" s="1">
        <v>5.1903212940000003</v>
      </c>
      <c r="Q1925" s="1">
        <v>5.3375178869999997</v>
      </c>
      <c r="R1925" s="1">
        <v>5.2891602459999998</v>
      </c>
      <c r="S1925" s="1">
        <v>5.3915434019999999</v>
      </c>
      <c r="T1925" s="1">
        <v>5.8791437640000002</v>
      </c>
      <c r="U1925" s="1">
        <v>5.7583226490000001</v>
      </c>
      <c r="V1925" s="1">
        <v>5.6103143839999996</v>
      </c>
      <c r="W1925" s="1">
        <v>5.0488589419999998</v>
      </c>
      <c r="X1925" s="1">
        <v>5.4415021479999997</v>
      </c>
      <c r="Y1925" s="1">
        <v>6.3310590680000001</v>
      </c>
      <c r="Z1925" s="1">
        <v>5.2891602459999998</v>
      </c>
      <c r="AA1925" s="1">
        <v>5.3915434019999999</v>
      </c>
      <c r="AB1925" s="1">
        <v>5.0356743460000004</v>
      </c>
      <c r="AC1925" s="1">
        <v>5.1552886820000001</v>
      </c>
      <c r="AD1925" s="1">
        <v>5.980763981</v>
      </c>
      <c r="AE1925" s="1">
        <v>5.592176748</v>
      </c>
    </row>
    <row r="1926" spans="1:31" x14ac:dyDescent="0.25">
      <c r="A1926" s="1" t="s">
        <v>1798</v>
      </c>
      <c r="B1926" s="1" t="s">
        <v>2530</v>
      </c>
      <c r="C1926" s="1" t="s">
        <v>2531</v>
      </c>
      <c r="D1926" s="1" t="s">
        <v>2535</v>
      </c>
      <c r="E1926" s="1" t="s">
        <v>4350</v>
      </c>
      <c r="G1926" s="1" t="s">
        <v>1798</v>
      </c>
      <c r="H1926" s="1">
        <v>3.8023684370000002</v>
      </c>
      <c r="I1926" s="1">
        <v>4.2055918060000002</v>
      </c>
      <c r="J1926" s="1">
        <v>4.1077874330000004</v>
      </c>
      <c r="K1926" s="1">
        <v>3.8998480660000001</v>
      </c>
      <c r="L1926" s="1">
        <v>4.2088403679999997</v>
      </c>
      <c r="M1926" s="1">
        <v>3.9942443089999999</v>
      </c>
      <c r="N1926" s="1">
        <v>4.6936110280000003</v>
      </c>
      <c r="O1926" s="1">
        <v>4.4862678239999996</v>
      </c>
      <c r="P1926" s="1">
        <v>3.9684043939999998</v>
      </c>
      <c r="Q1926" s="1">
        <v>3.388910638</v>
      </c>
      <c r="R1926" s="1">
        <v>3.5594063970000001</v>
      </c>
      <c r="S1926" s="1">
        <v>3.7977317990000001</v>
      </c>
      <c r="T1926" s="1">
        <v>4.2088403679999997</v>
      </c>
      <c r="U1926" s="1">
        <v>3.9942443089999999</v>
      </c>
      <c r="V1926" s="1">
        <v>4.4559512029999997</v>
      </c>
      <c r="W1926" s="1">
        <v>3.50175473</v>
      </c>
      <c r="X1926" s="1">
        <v>4.1686775799999998</v>
      </c>
      <c r="Y1926" s="1">
        <v>4.0337379980000003</v>
      </c>
      <c r="Z1926" s="1">
        <v>3.5594063970000001</v>
      </c>
      <c r="AA1926" s="1">
        <v>3.7977317990000001</v>
      </c>
      <c r="AB1926" s="1">
        <v>3.990981031</v>
      </c>
      <c r="AC1926" s="1">
        <v>3.7481372300000002</v>
      </c>
      <c r="AD1926" s="1">
        <v>3.725077481</v>
      </c>
      <c r="AE1926" s="1">
        <v>4.0105905760000002</v>
      </c>
    </row>
    <row r="1927" spans="1:31" x14ac:dyDescent="0.25">
      <c r="A1927" s="1" t="s">
        <v>1801</v>
      </c>
      <c r="B1927" s="1" t="s">
        <v>2568</v>
      </c>
      <c r="C1927" s="1" t="s">
        <v>2569</v>
      </c>
      <c r="D1927" s="1" t="s">
        <v>5374</v>
      </c>
      <c r="E1927" s="1" t="s">
        <v>5497</v>
      </c>
      <c r="F1927" s="1" t="s">
        <v>5498</v>
      </c>
      <c r="G1927" s="1" t="s">
        <v>1801</v>
      </c>
      <c r="H1927" s="1">
        <v>5.1131742039999999</v>
      </c>
      <c r="I1927" s="1">
        <v>5.2436995780000002</v>
      </c>
      <c r="J1927" s="1">
        <v>5.8592801899999998</v>
      </c>
      <c r="K1927" s="1">
        <v>5.4059688240000003</v>
      </c>
      <c r="L1927" s="1">
        <v>5.8923589620000003</v>
      </c>
      <c r="M1927" s="1">
        <v>6.1833887049999996</v>
      </c>
      <c r="N1927" s="1">
        <v>4.8006971780000001</v>
      </c>
      <c r="O1927" s="1">
        <v>4.9028628039999997</v>
      </c>
      <c r="P1927" s="1">
        <v>6.0141943849999997</v>
      </c>
      <c r="Q1927" s="1">
        <v>6.123526483</v>
      </c>
      <c r="R1927" s="1">
        <v>6.1441881260000004</v>
      </c>
      <c r="S1927" s="1">
        <v>6.4213797350000004</v>
      </c>
      <c r="T1927" s="1">
        <v>5.8923589620000003</v>
      </c>
      <c r="U1927" s="1">
        <v>6.1833887049999996</v>
      </c>
      <c r="V1927" s="1">
        <v>6.1419042490000004</v>
      </c>
      <c r="W1927" s="1">
        <v>6.2922055309999996</v>
      </c>
      <c r="X1927" s="1">
        <v>6.033711995</v>
      </c>
      <c r="Y1927" s="1">
        <v>5.8352313850000002</v>
      </c>
      <c r="Z1927" s="1">
        <v>6.1441881260000004</v>
      </c>
      <c r="AA1927" s="1">
        <v>6.4213797350000004</v>
      </c>
      <c r="AB1927" s="1">
        <v>6.1161870470000004</v>
      </c>
      <c r="AC1927" s="1">
        <v>6.139219926</v>
      </c>
      <c r="AD1927" s="1">
        <v>5.2159266190000002</v>
      </c>
      <c r="AE1927" s="1">
        <v>5.8364806040000001</v>
      </c>
    </row>
    <row r="1928" spans="1:31" x14ac:dyDescent="0.25">
      <c r="A1928" s="1" t="s">
        <v>1810</v>
      </c>
      <c r="B1928" s="1" t="s">
        <v>2530</v>
      </c>
      <c r="C1928" s="1" t="s">
        <v>2573</v>
      </c>
      <c r="D1928" s="1" t="s">
        <v>2535</v>
      </c>
      <c r="E1928" s="1" t="s">
        <v>5499</v>
      </c>
      <c r="G1928" s="1" t="s">
        <v>1810</v>
      </c>
      <c r="H1928" s="1">
        <v>4.4805534380000003</v>
      </c>
      <c r="I1928" s="1">
        <v>4.5280931029999998</v>
      </c>
      <c r="J1928" s="1">
        <v>3.6453331530000002</v>
      </c>
      <c r="K1928" s="1">
        <v>3.607491666</v>
      </c>
      <c r="L1928" s="1">
        <v>3.7446308510000001</v>
      </c>
      <c r="M1928" s="1">
        <v>3.6044002019999999</v>
      </c>
      <c r="N1928" s="1">
        <v>3.444746345</v>
      </c>
      <c r="O1928" s="1">
        <v>4.0953574540000002</v>
      </c>
      <c r="P1928" s="1">
        <v>4.3303557189999999</v>
      </c>
      <c r="Q1928" s="1">
        <v>3.7137735799999998</v>
      </c>
      <c r="R1928" s="1">
        <v>3.386455024</v>
      </c>
      <c r="S1928" s="1">
        <v>2.5733617299999998</v>
      </c>
      <c r="T1928" s="1">
        <v>3.7446308510000001</v>
      </c>
      <c r="U1928" s="1">
        <v>3.6044002019999999</v>
      </c>
      <c r="V1928" s="1">
        <v>3.7819764450000002</v>
      </c>
      <c r="W1928" s="1">
        <v>3.0218530750000001</v>
      </c>
      <c r="X1928" s="1">
        <v>3.5883256710000002</v>
      </c>
      <c r="Y1928" s="1">
        <v>3.6154848500000001</v>
      </c>
      <c r="Z1928" s="1">
        <v>3.386455024</v>
      </c>
      <c r="AA1928" s="1">
        <v>2.5733617299999998</v>
      </c>
      <c r="AB1928" s="1">
        <v>1.7393328349999999</v>
      </c>
      <c r="AC1928" s="1">
        <v>3.3054795530000001</v>
      </c>
      <c r="AD1928" s="1">
        <v>2.9432342459999998</v>
      </c>
      <c r="AE1928" s="1">
        <v>4.0685293649999998</v>
      </c>
    </row>
    <row r="1929" spans="1:31" x14ac:dyDescent="0.25">
      <c r="A1929" s="1" t="s">
        <v>1813</v>
      </c>
      <c r="B1929" s="1" t="s">
        <v>2598</v>
      </c>
      <c r="C1929" s="1" t="s">
        <v>2603</v>
      </c>
      <c r="D1929" s="1" t="s">
        <v>3452</v>
      </c>
      <c r="E1929" s="1" t="s">
        <v>5500</v>
      </c>
      <c r="F1929" s="1" t="s">
        <v>5501</v>
      </c>
      <c r="G1929" s="1" t="s">
        <v>1813</v>
      </c>
      <c r="H1929" s="1">
        <v>4.2900513550000001</v>
      </c>
      <c r="I1929" s="1">
        <v>3.7806045529999999</v>
      </c>
      <c r="J1929" s="1">
        <v>4.1077874330000004</v>
      </c>
      <c r="K1929" s="1">
        <v>4.2434183680000004</v>
      </c>
      <c r="L1929" s="1">
        <v>4.2932354009999996</v>
      </c>
      <c r="M1929" s="1">
        <v>3.9942443089999999</v>
      </c>
      <c r="N1929" s="1">
        <v>3.9806352139999999</v>
      </c>
      <c r="O1929" s="1">
        <v>4.0289865369999998</v>
      </c>
      <c r="P1929" s="1">
        <v>3.7419514989999998</v>
      </c>
      <c r="Q1929" s="1">
        <v>3.56206471</v>
      </c>
      <c r="R1929" s="1">
        <v>3.5594063970000001</v>
      </c>
      <c r="S1929" s="1">
        <v>4.1304223819999999</v>
      </c>
      <c r="T1929" s="1">
        <v>4.2932354009999996</v>
      </c>
      <c r="U1929" s="1">
        <v>3.9942443089999999</v>
      </c>
      <c r="V1929" s="1">
        <v>4.2408545169999998</v>
      </c>
      <c r="W1929" s="1">
        <v>3.8431653940000001</v>
      </c>
      <c r="X1929" s="1">
        <v>3.8119046220000001</v>
      </c>
      <c r="Y1929" s="1">
        <v>3.6154848500000001</v>
      </c>
      <c r="Z1929" s="1">
        <v>3.5594063970000001</v>
      </c>
      <c r="AA1929" s="1">
        <v>4.1304223819999999</v>
      </c>
      <c r="AB1929" s="1">
        <v>3.8237667059999998</v>
      </c>
      <c r="AC1929" s="1">
        <v>3.8665622239999999</v>
      </c>
      <c r="AD1929" s="1">
        <v>3.984188064</v>
      </c>
      <c r="AE1929" s="1">
        <v>3.8196998459999998</v>
      </c>
    </row>
    <row r="1930" spans="1:31" x14ac:dyDescent="0.25">
      <c r="A1930" s="1" t="s">
        <v>1816</v>
      </c>
      <c r="B1930" s="1" t="s">
        <v>2662</v>
      </c>
      <c r="C1930" s="1" t="s">
        <v>3291</v>
      </c>
      <c r="D1930" s="1" t="s">
        <v>3292</v>
      </c>
      <c r="E1930" s="1" t="s">
        <v>5502</v>
      </c>
      <c r="G1930" s="1" t="s">
        <v>1816</v>
      </c>
      <c r="H1930" s="1">
        <v>6.4914637309999996</v>
      </c>
      <c r="I1930" s="1">
        <v>6.1655807180000002</v>
      </c>
      <c r="J1930" s="1">
        <v>6.9576180770000002</v>
      </c>
      <c r="K1930" s="1">
        <v>6.7038094560000001</v>
      </c>
      <c r="L1930" s="1">
        <v>6.4869659129999997</v>
      </c>
      <c r="M1930" s="1">
        <v>6.8236744490000003</v>
      </c>
      <c r="N1930" s="1">
        <v>5.6524063629999999</v>
      </c>
      <c r="O1930" s="1">
        <v>5.6647442659999996</v>
      </c>
      <c r="P1930" s="1">
        <v>6.4115387159999999</v>
      </c>
      <c r="Q1930" s="1">
        <v>6.6284720950000002</v>
      </c>
      <c r="R1930" s="1">
        <v>6.6762859529999998</v>
      </c>
      <c r="S1930" s="1">
        <v>7.0278786420000001</v>
      </c>
      <c r="T1930" s="1">
        <v>6.4869659129999997</v>
      </c>
      <c r="U1930" s="1">
        <v>6.8236744490000003</v>
      </c>
      <c r="V1930" s="1">
        <v>6.6186760830000004</v>
      </c>
      <c r="W1930" s="1">
        <v>6.7165296740000002</v>
      </c>
      <c r="X1930" s="1">
        <v>6.9243204340000002</v>
      </c>
      <c r="Y1930" s="1">
        <v>6.2836980430000002</v>
      </c>
      <c r="Z1930" s="1">
        <v>6.6762859529999998</v>
      </c>
      <c r="AA1930" s="1">
        <v>7.0278786420000001</v>
      </c>
      <c r="AB1930" s="1">
        <v>6.679460873</v>
      </c>
      <c r="AC1930" s="1">
        <v>6.9248703330000003</v>
      </c>
      <c r="AD1930" s="1">
        <v>6.4362874889999997</v>
      </c>
      <c r="AE1930" s="1">
        <v>6.4105584240000004</v>
      </c>
    </row>
    <row r="1931" spans="1:31" x14ac:dyDescent="0.25">
      <c r="A1931" s="1" t="s">
        <v>1817</v>
      </c>
      <c r="B1931" s="1" t="s">
        <v>2547</v>
      </c>
      <c r="C1931" s="1" t="s">
        <v>3061</v>
      </c>
      <c r="D1931" s="1" t="s">
        <v>3416</v>
      </c>
      <c r="E1931" s="1" t="s">
        <v>5503</v>
      </c>
      <c r="G1931" s="1" t="s">
        <v>1817</v>
      </c>
      <c r="H1931" s="1">
        <v>6.7480265230000001</v>
      </c>
      <c r="I1931" s="1">
        <v>6.5246782330000004</v>
      </c>
      <c r="J1931" s="1">
        <v>7.4117674429999996</v>
      </c>
      <c r="K1931" s="1">
        <v>7.4509678069999996</v>
      </c>
      <c r="L1931" s="1">
        <v>7.4427604220000001</v>
      </c>
      <c r="M1931" s="1">
        <v>7.3177483289999996</v>
      </c>
      <c r="N1931" s="1">
        <v>6.7283719059999996</v>
      </c>
      <c r="O1931" s="1">
        <v>6.6897001009999997</v>
      </c>
      <c r="P1931" s="1">
        <v>7.4562714860000003</v>
      </c>
      <c r="Q1931" s="1">
        <v>7.5430688720000001</v>
      </c>
      <c r="R1931" s="1">
        <v>7.7643340060000003</v>
      </c>
      <c r="S1931" s="1">
        <v>7.5971237819999997</v>
      </c>
      <c r="T1931" s="1">
        <v>7.4427604220000001</v>
      </c>
      <c r="U1931" s="1">
        <v>7.3177483289999996</v>
      </c>
      <c r="V1931" s="1">
        <v>7.4772993139999997</v>
      </c>
      <c r="W1931" s="1">
        <v>7.7392705130000001</v>
      </c>
      <c r="X1931" s="1">
        <v>7.5739578539999997</v>
      </c>
      <c r="Y1931" s="1">
        <v>7.5863926560000001</v>
      </c>
      <c r="Z1931" s="1">
        <v>7.7643340060000003</v>
      </c>
      <c r="AA1931" s="1">
        <v>7.5971237819999997</v>
      </c>
      <c r="AB1931" s="1">
        <v>7.6448327970000003</v>
      </c>
      <c r="AC1931" s="1">
        <v>7.6642856869999996</v>
      </c>
      <c r="AD1931" s="1">
        <v>7.4741128190000001</v>
      </c>
      <c r="AE1931" s="1">
        <v>7.7178764930000003</v>
      </c>
    </row>
    <row r="1932" spans="1:31" x14ac:dyDescent="0.25">
      <c r="A1932" s="1" t="s">
        <v>1818</v>
      </c>
      <c r="B1932" s="1" t="s">
        <v>2568</v>
      </c>
      <c r="C1932" s="1" t="s">
        <v>2569</v>
      </c>
      <c r="D1932" s="1" t="s">
        <v>2570</v>
      </c>
      <c r="E1932" s="1" t="s">
        <v>5504</v>
      </c>
      <c r="F1932" s="1" t="s">
        <v>5505</v>
      </c>
      <c r="G1932" s="1" t="s">
        <v>1818</v>
      </c>
      <c r="H1932" s="1">
        <v>5.4177093730000001</v>
      </c>
      <c r="I1932" s="1">
        <v>5.3676718369999996</v>
      </c>
      <c r="J1932" s="1">
        <v>6.311124607</v>
      </c>
      <c r="K1932" s="1">
        <v>5.6105789259999996</v>
      </c>
      <c r="L1932" s="1">
        <v>5.8250296969999997</v>
      </c>
      <c r="M1932" s="1">
        <v>5.9702199440000001</v>
      </c>
      <c r="N1932" s="1">
        <v>5.1887139119999999</v>
      </c>
      <c r="O1932" s="1">
        <v>5.4117878270000004</v>
      </c>
      <c r="P1932" s="1">
        <v>6.0141943849999997</v>
      </c>
      <c r="Q1932" s="1">
        <v>6.123526483</v>
      </c>
      <c r="R1932" s="1">
        <v>5.8723300570000001</v>
      </c>
      <c r="S1932" s="1">
        <v>6.3821686289999997</v>
      </c>
      <c r="T1932" s="1">
        <v>5.8250296969999997</v>
      </c>
      <c r="U1932" s="1">
        <v>5.9702199440000001</v>
      </c>
      <c r="V1932" s="1">
        <v>6.1619548430000002</v>
      </c>
      <c r="W1932" s="1">
        <v>6.2120844699999997</v>
      </c>
      <c r="X1932" s="1">
        <v>6.1145484569999997</v>
      </c>
      <c r="Y1932" s="1">
        <v>6.1840201749999997</v>
      </c>
      <c r="Z1932" s="1">
        <v>5.8723300570000001</v>
      </c>
      <c r="AA1932" s="1">
        <v>6.3821686289999997</v>
      </c>
      <c r="AB1932" s="1">
        <v>6.5063200270000001</v>
      </c>
      <c r="AC1932" s="1">
        <v>5.7595305120000004</v>
      </c>
      <c r="AD1932" s="1">
        <v>5.9522696560000004</v>
      </c>
      <c r="AE1932" s="1">
        <v>6.3332249579999997</v>
      </c>
    </row>
    <row r="1933" spans="1:31" x14ac:dyDescent="0.25">
      <c r="A1933" s="1" t="s">
        <v>1819</v>
      </c>
      <c r="B1933" s="1" t="s">
        <v>2843</v>
      </c>
      <c r="C1933" s="1" t="s">
        <v>2844</v>
      </c>
      <c r="D1933" s="1" t="s">
        <v>3874</v>
      </c>
      <c r="E1933" s="1" t="s">
        <v>5506</v>
      </c>
      <c r="F1933" s="1" t="s">
        <v>5507</v>
      </c>
      <c r="G1933" s="1" t="s">
        <v>1819</v>
      </c>
      <c r="H1933" s="1">
        <v>6.6927481100000001</v>
      </c>
      <c r="I1933" s="1">
        <v>5.5177814730000003</v>
      </c>
      <c r="J1933" s="1">
        <v>6.4286153060000002</v>
      </c>
      <c r="K1933" s="1">
        <v>6.7215048319999999</v>
      </c>
      <c r="L1933" s="1">
        <v>6.2409920359999997</v>
      </c>
      <c r="M1933" s="1">
        <v>6.6808079219999996</v>
      </c>
      <c r="N1933" s="1">
        <v>5.5548950010000002</v>
      </c>
      <c r="O1933" s="1">
        <v>6.0342145780000003</v>
      </c>
      <c r="P1933" s="1">
        <v>6.6469760500000001</v>
      </c>
      <c r="Q1933" s="1">
        <v>6.3341756560000002</v>
      </c>
      <c r="R1933" s="1">
        <v>6.9832586330000002</v>
      </c>
      <c r="S1933" s="1">
        <v>6.5507675829999998</v>
      </c>
      <c r="T1933" s="1">
        <v>6.2409920359999997</v>
      </c>
      <c r="U1933" s="1">
        <v>6.6808079219999996</v>
      </c>
      <c r="V1933" s="1">
        <v>5.7495972609999999</v>
      </c>
      <c r="W1933" s="1">
        <v>5.9408128590000002</v>
      </c>
      <c r="X1933" s="1">
        <v>6.5025394790000002</v>
      </c>
      <c r="Y1933" s="1">
        <v>5.8677638710000002</v>
      </c>
      <c r="Z1933" s="1">
        <v>6.9832586330000002</v>
      </c>
      <c r="AA1933" s="1">
        <v>6.5507675829999998</v>
      </c>
      <c r="AB1933" s="1">
        <v>6.8129090650000004</v>
      </c>
      <c r="AC1933" s="1">
        <v>6.5096691079999998</v>
      </c>
      <c r="AD1933" s="1">
        <v>6.6813055940000003</v>
      </c>
      <c r="AE1933" s="1">
        <v>6.3997621550000003</v>
      </c>
    </row>
    <row r="1934" spans="1:31" x14ac:dyDescent="0.25">
      <c r="A1934" s="1" t="s">
        <v>1820</v>
      </c>
      <c r="B1934" s="1" t="s">
        <v>2568</v>
      </c>
      <c r="C1934" s="1" t="s">
        <v>2569</v>
      </c>
      <c r="D1934" s="1" t="s">
        <v>2570</v>
      </c>
      <c r="E1934" s="1" t="s">
        <v>4193</v>
      </c>
      <c r="F1934" s="1" t="s">
        <v>4194</v>
      </c>
      <c r="G1934" s="1" t="s">
        <v>1820</v>
      </c>
      <c r="H1934" s="1">
        <v>6.3073323200000004</v>
      </c>
      <c r="I1934" s="1">
        <v>6.4335830219999997</v>
      </c>
      <c r="J1934" s="1">
        <v>6.1378545859999996</v>
      </c>
      <c r="K1934" s="1">
        <v>5.8227835140000002</v>
      </c>
      <c r="L1934" s="1">
        <v>6.1777105819999996</v>
      </c>
      <c r="M1934" s="1">
        <v>6.2389026359999997</v>
      </c>
      <c r="N1934" s="1">
        <v>6.6458437989999997</v>
      </c>
      <c r="O1934" s="1">
        <v>6.6478049300000004</v>
      </c>
      <c r="P1934" s="1">
        <v>5.9898979399999996</v>
      </c>
      <c r="Q1934" s="1">
        <v>5.9062084209999997</v>
      </c>
      <c r="R1934" s="1">
        <v>6.239987642</v>
      </c>
      <c r="S1934" s="1">
        <v>6.2358418929999999</v>
      </c>
      <c r="T1934" s="1">
        <v>6.1777105819999996</v>
      </c>
      <c r="U1934" s="1">
        <v>6.2389026359999997</v>
      </c>
      <c r="V1934" s="1">
        <v>6.6041092590000003</v>
      </c>
      <c r="W1934" s="1">
        <v>6.265991681</v>
      </c>
      <c r="X1934" s="1">
        <v>5.6909099879999996</v>
      </c>
      <c r="Y1934" s="1">
        <v>5.9611531490000003</v>
      </c>
      <c r="Z1934" s="1">
        <v>6.239987642</v>
      </c>
      <c r="AA1934" s="1">
        <v>6.2358418929999999</v>
      </c>
      <c r="AB1934" s="1">
        <v>6.008835446</v>
      </c>
      <c r="AC1934" s="1">
        <v>6.2255363350000001</v>
      </c>
      <c r="AD1934" s="1">
        <v>6.4155919319999999</v>
      </c>
      <c r="AE1934" s="1">
        <v>6.3103436119999996</v>
      </c>
    </row>
    <row r="1935" spans="1:31" x14ac:dyDescent="0.25">
      <c r="A1935" s="1" t="s">
        <v>1821</v>
      </c>
      <c r="B1935" s="1" t="s">
        <v>2608</v>
      </c>
      <c r="C1935" s="1" t="s">
        <v>2609</v>
      </c>
      <c r="D1935" s="1" t="s">
        <v>4063</v>
      </c>
      <c r="E1935" s="1" t="s">
        <v>5508</v>
      </c>
      <c r="F1935" s="1" t="s">
        <v>5509</v>
      </c>
      <c r="G1935" s="1" t="s">
        <v>1821</v>
      </c>
      <c r="H1935" s="1">
        <v>3.2549621289999999</v>
      </c>
      <c r="I1935" s="1">
        <v>3.3322126910000001</v>
      </c>
      <c r="J1935" s="1">
        <v>2.5640169199999998</v>
      </c>
      <c r="K1935" s="1">
        <v>2.620638279</v>
      </c>
      <c r="L1935" s="1">
        <v>2.8704126319999999</v>
      </c>
      <c r="M1935" s="1">
        <v>2.3994532390000001</v>
      </c>
      <c r="N1935" s="1">
        <v>3.23577855</v>
      </c>
      <c r="O1935" s="1">
        <v>3.5386882399999999</v>
      </c>
      <c r="P1935" s="1">
        <v>2.5478783159999998</v>
      </c>
      <c r="Q1935" s="1">
        <v>2.597100669</v>
      </c>
      <c r="R1935" s="1">
        <v>1.7393328349999999</v>
      </c>
      <c r="S1935" s="1">
        <v>2.9034795349999998</v>
      </c>
      <c r="T1935" s="1">
        <v>2.8704126319999999</v>
      </c>
      <c r="U1935" s="1">
        <v>2.3994532390000001</v>
      </c>
      <c r="V1935" s="1">
        <v>2.5140266200000001</v>
      </c>
      <c r="W1935" s="1">
        <v>1.7393328349999999</v>
      </c>
      <c r="X1935" s="1">
        <v>2.6106888979999998</v>
      </c>
      <c r="Y1935" s="1">
        <v>3.229986142</v>
      </c>
      <c r="Z1935" s="1">
        <v>1.7393328349999999</v>
      </c>
      <c r="AA1935" s="1">
        <v>2.9034795349999998</v>
      </c>
      <c r="AB1935" s="1">
        <v>1.7393328349999999</v>
      </c>
      <c r="AC1935" s="1">
        <v>2.5506926650000001</v>
      </c>
      <c r="AD1935" s="1">
        <v>1.7393328349999999</v>
      </c>
      <c r="AE1935" s="1">
        <v>2.803297787</v>
      </c>
    </row>
    <row r="1936" spans="1:31" x14ac:dyDescent="0.25">
      <c r="A1936" s="1" t="s">
        <v>1822</v>
      </c>
      <c r="B1936" s="1" t="s">
        <v>2530</v>
      </c>
      <c r="C1936" s="1" t="s">
        <v>2531</v>
      </c>
      <c r="D1936" s="1" t="s">
        <v>2535</v>
      </c>
      <c r="E1936" s="1" t="s">
        <v>2536</v>
      </c>
      <c r="G1936" s="1" t="s">
        <v>1822</v>
      </c>
      <c r="H1936" s="1">
        <v>4.6479005740000003</v>
      </c>
      <c r="I1936" s="1">
        <v>3.6484415459999999</v>
      </c>
      <c r="J1936" s="1">
        <v>4.8994370109999998</v>
      </c>
      <c r="K1936" s="1">
        <v>4.2434183680000004</v>
      </c>
      <c r="L1936" s="1">
        <v>4.8833754540000003</v>
      </c>
      <c r="M1936" s="1">
        <v>5.029201552</v>
      </c>
      <c r="N1936" s="1">
        <v>4.2617896110000002</v>
      </c>
      <c r="O1936" s="1">
        <v>4.1585876539999997</v>
      </c>
      <c r="P1936" s="1">
        <v>5.1467681949999999</v>
      </c>
      <c r="Q1936" s="1">
        <v>4.611970812</v>
      </c>
      <c r="R1936" s="1">
        <v>4.6795267799999998</v>
      </c>
      <c r="S1936" s="1">
        <v>5.2672271329999996</v>
      </c>
      <c r="T1936" s="1">
        <v>4.8833754540000003</v>
      </c>
      <c r="U1936" s="1">
        <v>5.029201552</v>
      </c>
      <c r="V1936" s="1">
        <v>4.9527859210000003</v>
      </c>
      <c r="W1936" s="1">
        <v>5.4743148909999997</v>
      </c>
      <c r="X1936" s="1">
        <v>5.1128189019999999</v>
      </c>
      <c r="Y1936" s="1">
        <v>4.8904630100000004</v>
      </c>
      <c r="Z1936" s="1">
        <v>4.6795267799999998</v>
      </c>
      <c r="AA1936" s="1">
        <v>5.2672271329999996</v>
      </c>
      <c r="AB1936" s="1">
        <v>4.8804215500000003</v>
      </c>
      <c r="AC1936" s="1">
        <v>4.9145215069999999</v>
      </c>
      <c r="AD1936" s="1">
        <v>5.2633210659999996</v>
      </c>
      <c r="AE1936" s="1">
        <v>5.0965372069999999</v>
      </c>
    </row>
    <row r="1937" spans="1:31" x14ac:dyDescent="0.25">
      <c r="A1937" s="1" t="s">
        <v>1823</v>
      </c>
      <c r="B1937" s="1" t="s">
        <v>2530</v>
      </c>
      <c r="C1937" s="1" t="s">
        <v>2573</v>
      </c>
      <c r="D1937" s="1" t="s">
        <v>2535</v>
      </c>
      <c r="E1937" s="1" t="s">
        <v>5510</v>
      </c>
      <c r="G1937" s="1" t="s">
        <v>1823</v>
      </c>
      <c r="H1937" s="1">
        <v>5.5062820300000004</v>
      </c>
      <c r="I1937" s="1">
        <v>5.2862358589999996</v>
      </c>
      <c r="J1937" s="1">
        <v>5.8310524639999999</v>
      </c>
      <c r="K1937" s="1">
        <v>5.7206107949999998</v>
      </c>
      <c r="L1937" s="1">
        <v>5.8523421369999999</v>
      </c>
      <c r="M1937" s="1">
        <v>5.8143060450000004</v>
      </c>
      <c r="N1937" s="1">
        <v>5.4717898820000004</v>
      </c>
      <c r="O1937" s="1">
        <v>5.4367285829999998</v>
      </c>
      <c r="P1937" s="1">
        <v>5.7791106289999998</v>
      </c>
      <c r="Q1937" s="1">
        <v>5.9637007390000001</v>
      </c>
      <c r="R1937" s="1">
        <v>5.57388789</v>
      </c>
      <c r="S1937" s="1">
        <v>5.7723891209999998</v>
      </c>
      <c r="T1937" s="1">
        <v>5.8523421369999999</v>
      </c>
      <c r="U1937" s="1">
        <v>5.8143060450000004</v>
      </c>
      <c r="V1937" s="1">
        <v>4.6419314959999998</v>
      </c>
      <c r="W1937" s="1">
        <v>5.726489559</v>
      </c>
      <c r="X1937" s="1">
        <v>5.8879598250000003</v>
      </c>
      <c r="Y1937" s="1">
        <v>5.6971672010000001</v>
      </c>
      <c r="Z1937" s="1">
        <v>5.57388789</v>
      </c>
      <c r="AA1937" s="1">
        <v>5.7723891209999998</v>
      </c>
      <c r="AB1937" s="1">
        <v>5.5276660309999999</v>
      </c>
      <c r="AC1937" s="1">
        <v>5.471555994</v>
      </c>
      <c r="AD1937" s="1">
        <v>6.008703369</v>
      </c>
      <c r="AE1937" s="1">
        <v>5.7875258069999997</v>
      </c>
    </row>
    <row r="1938" spans="1:31" x14ac:dyDescent="0.25">
      <c r="A1938" s="1" t="s">
        <v>1827</v>
      </c>
      <c r="B1938" s="1" t="s">
        <v>2662</v>
      </c>
      <c r="C1938" s="1" t="s">
        <v>2531</v>
      </c>
      <c r="D1938" s="1" t="s">
        <v>5511</v>
      </c>
      <c r="E1938" s="1" t="s">
        <v>5512</v>
      </c>
      <c r="G1938" s="1" t="s">
        <v>1827</v>
      </c>
      <c r="H1938" s="1">
        <v>3.2549621289999999</v>
      </c>
      <c r="I1938" s="1">
        <v>1.7393328349999999</v>
      </c>
      <c r="J1938" s="1">
        <v>1.7393328349999999</v>
      </c>
      <c r="K1938" s="1">
        <v>1.7393328349999999</v>
      </c>
      <c r="L1938" s="1">
        <v>1.7393328349999999</v>
      </c>
      <c r="M1938" s="1">
        <v>1.7393328349999999</v>
      </c>
      <c r="N1938" s="1">
        <v>3.444746345</v>
      </c>
      <c r="O1938" s="1">
        <v>3.193511794</v>
      </c>
      <c r="P1938" s="1">
        <v>1.7393328349999999</v>
      </c>
      <c r="Q1938" s="1">
        <v>2.597100669</v>
      </c>
      <c r="R1938" s="1">
        <v>2.595728008</v>
      </c>
      <c r="S1938" s="1">
        <v>2.5733617299999998</v>
      </c>
      <c r="T1938" s="1">
        <v>1.7393328349999999</v>
      </c>
      <c r="U1938" s="1">
        <v>1.7393328349999999</v>
      </c>
      <c r="V1938" s="1">
        <v>1.7393328349999999</v>
      </c>
      <c r="W1938" s="1">
        <v>2.6606351240000001</v>
      </c>
      <c r="X1938" s="1">
        <v>2.7988456519999998</v>
      </c>
      <c r="Y1938" s="1">
        <v>1.7393328349999999</v>
      </c>
      <c r="Z1938" s="1">
        <v>2.595728008</v>
      </c>
      <c r="AA1938" s="1">
        <v>2.5733617299999998</v>
      </c>
      <c r="AB1938" s="1">
        <v>1.7393328349999999</v>
      </c>
      <c r="AC1938" s="1">
        <v>1.7393328349999999</v>
      </c>
      <c r="AD1938" s="1">
        <v>2.6025990879999998</v>
      </c>
      <c r="AE1938" s="1">
        <v>2.6144016259999998</v>
      </c>
    </row>
    <row r="1939" spans="1:31" x14ac:dyDescent="0.25">
      <c r="A1939" s="1" t="s">
        <v>1836</v>
      </c>
      <c r="B1939" s="1" t="s">
        <v>2843</v>
      </c>
      <c r="C1939" s="1" t="s">
        <v>2844</v>
      </c>
      <c r="D1939" s="1" t="s">
        <v>3596</v>
      </c>
      <c r="E1939" s="1" t="s">
        <v>5513</v>
      </c>
      <c r="F1939" s="1" t="s">
        <v>5514</v>
      </c>
      <c r="G1939" s="1" t="s">
        <v>1836</v>
      </c>
      <c r="H1939" s="1">
        <v>5.9144073309999996</v>
      </c>
      <c r="I1939" s="1">
        <v>6.610348052</v>
      </c>
      <c r="J1939" s="1">
        <v>6.9961611450000003</v>
      </c>
      <c r="K1939" s="1">
        <v>6.7733223929999999</v>
      </c>
      <c r="L1939" s="1">
        <v>7.6036286889999998</v>
      </c>
      <c r="M1939" s="1">
        <v>7.6800134499999997</v>
      </c>
      <c r="N1939" s="1">
        <v>5.5749368700000002</v>
      </c>
      <c r="O1939" s="1">
        <v>5.3342335859999999</v>
      </c>
      <c r="P1939" s="1">
        <v>7.0735093620000002</v>
      </c>
      <c r="Q1939" s="1">
        <v>7.1448014899999999</v>
      </c>
      <c r="R1939" s="1">
        <v>7.4809224849999998</v>
      </c>
      <c r="S1939" s="1">
        <v>7.345520681</v>
      </c>
      <c r="T1939" s="1">
        <v>7.6036286889999998</v>
      </c>
      <c r="U1939" s="1">
        <v>7.6800134499999997</v>
      </c>
      <c r="V1939" s="1">
        <v>7.4119494479999997</v>
      </c>
      <c r="W1939" s="1">
        <v>7.4212794869999996</v>
      </c>
      <c r="X1939" s="1">
        <v>6.9756280310000003</v>
      </c>
      <c r="Y1939" s="1">
        <v>7.2099543309999996</v>
      </c>
      <c r="Z1939" s="1">
        <v>7.4809224849999998</v>
      </c>
      <c r="AA1939" s="1">
        <v>7.345520681</v>
      </c>
      <c r="AB1939" s="1">
        <v>6.8339958249999997</v>
      </c>
      <c r="AC1939" s="1">
        <v>7.1509339689999996</v>
      </c>
      <c r="AD1939" s="1">
        <v>6.5162149180000002</v>
      </c>
      <c r="AE1939" s="1">
        <v>6.736410029</v>
      </c>
    </row>
    <row r="1940" spans="1:31" x14ac:dyDescent="0.25">
      <c r="A1940" s="1" t="s">
        <v>1837</v>
      </c>
      <c r="B1940" s="1" t="s">
        <v>2568</v>
      </c>
      <c r="C1940" s="1" t="s">
        <v>2589</v>
      </c>
      <c r="D1940" s="1" t="s">
        <v>2595</v>
      </c>
      <c r="E1940" s="1" t="s">
        <v>5515</v>
      </c>
      <c r="F1940" s="1" t="s">
        <v>5516</v>
      </c>
      <c r="G1940" s="1" t="s">
        <v>1837</v>
      </c>
      <c r="H1940" s="1">
        <v>4.995162745</v>
      </c>
      <c r="I1940" s="1">
        <v>4.7284970130000001</v>
      </c>
      <c r="J1940" s="1">
        <v>5.9669407659999996</v>
      </c>
      <c r="K1940" s="1">
        <v>5.8552832600000002</v>
      </c>
      <c r="L1940" s="1">
        <v>6.469468451</v>
      </c>
      <c r="M1940" s="1">
        <v>6.8594941509999998</v>
      </c>
      <c r="N1940" s="1">
        <v>4.8677953240000003</v>
      </c>
      <c r="O1940" s="1">
        <v>4.5801520279999997</v>
      </c>
      <c r="P1940" s="1">
        <v>5.7504406890000004</v>
      </c>
      <c r="Q1940" s="1">
        <v>5.2473923969999996</v>
      </c>
      <c r="R1940" s="1">
        <v>6.1441881260000004</v>
      </c>
      <c r="S1940" s="1">
        <v>6.0227453090000003</v>
      </c>
      <c r="T1940" s="1">
        <v>6.469468451</v>
      </c>
      <c r="U1940" s="1">
        <v>6.8594941509999998</v>
      </c>
      <c r="V1940" s="1">
        <v>6.3308320719999998</v>
      </c>
      <c r="W1940" s="1">
        <v>6.0056801469999996</v>
      </c>
      <c r="X1940" s="1">
        <v>5.8879598250000003</v>
      </c>
      <c r="Y1940" s="1">
        <v>5.9909787290000001</v>
      </c>
      <c r="Z1940" s="1">
        <v>6.1441881260000004</v>
      </c>
      <c r="AA1940" s="1">
        <v>6.0227453090000003</v>
      </c>
      <c r="AB1940" s="1">
        <v>6.008835446</v>
      </c>
      <c r="AC1940" s="1">
        <v>6.139219926</v>
      </c>
      <c r="AD1940" s="1">
        <v>6.0630013820000004</v>
      </c>
      <c r="AE1940" s="1">
        <v>5.3658215939999998</v>
      </c>
    </row>
    <row r="1941" spans="1:31" x14ac:dyDescent="0.25">
      <c r="A1941" s="1" t="s">
        <v>1838</v>
      </c>
      <c r="B1941" s="1" t="s">
        <v>2539</v>
      </c>
      <c r="C1941" s="1" t="s">
        <v>2606</v>
      </c>
      <c r="D1941" s="1" t="s">
        <v>2535</v>
      </c>
      <c r="E1941" s="1" t="s">
        <v>5517</v>
      </c>
      <c r="G1941" s="1" t="s">
        <v>1838</v>
      </c>
      <c r="H1941" s="1">
        <v>3.8023684370000002</v>
      </c>
      <c r="I1941" s="1">
        <v>3.3322126910000001</v>
      </c>
      <c r="J1941" s="1">
        <v>5.5483108110000003</v>
      </c>
      <c r="K1941" s="1">
        <v>5.2674352469999999</v>
      </c>
      <c r="L1941" s="1">
        <v>5.2363096809999998</v>
      </c>
      <c r="M1941" s="1">
        <v>5.2079667260000004</v>
      </c>
      <c r="N1941" s="1">
        <v>3.8490531570000002</v>
      </c>
      <c r="O1941" s="1">
        <v>3.88533178</v>
      </c>
      <c r="P1941" s="1">
        <v>5.0074447400000004</v>
      </c>
      <c r="Q1941" s="1">
        <v>4.8155696649999999</v>
      </c>
      <c r="R1941" s="1">
        <v>4.9327063119999996</v>
      </c>
      <c r="S1941" s="1">
        <v>5.2232498669999998</v>
      </c>
      <c r="T1941" s="1">
        <v>5.2363096809999998</v>
      </c>
      <c r="U1941" s="1">
        <v>5.2079667260000004</v>
      </c>
      <c r="V1941" s="1">
        <v>4.5826682710000002</v>
      </c>
      <c r="W1941" s="1">
        <v>4.8493412630000003</v>
      </c>
      <c r="X1941" s="1">
        <v>4.7192629950000002</v>
      </c>
      <c r="Y1941" s="1">
        <v>4.2532353330000001</v>
      </c>
      <c r="Z1941" s="1">
        <v>4.9327063119999996</v>
      </c>
      <c r="AA1941" s="1">
        <v>5.2232498669999998</v>
      </c>
      <c r="AB1941" s="1">
        <v>4.5063178209999997</v>
      </c>
      <c r="AC1941" s="1">
        <v>5.1552886820000001</v>
      </c>
      <c r="AD1941" s="1">
        <v>4.5511338559999999</v>
      </c>
      <c r="AE1941" s="1">
        <v>4.4163948289999997</v>
      </c>
    </row>
    <row r="1942" spans="1:31" x14ac:dyDescent="0.25">
      <c r="A1942" s="1" t="s">
        <v>1839</v>
      </c>
      <c r="B1942" s="1" t="s">
        <v>2598</v>
      </c>
      <c r="C1942" s="1" t="s">
        <v>2599</v>
      </c>
      <c r="D1942" s="1" t="s">
        <v>3080</v>
      </c>
      <c r="E1942" s="1" t="s">
        <v>5518</v>
      </c>
      <c r="F1942" s="1" t="s">
        <v>5519</v>
      </c>
      <c r="G1942" s="1" t="s">
        <v>1839</v>
      </c>
      <c r="H1942" s="1">
        <v>6.5548587630000004</v>
      </c>
      <c r="I1942" s="1">
        <v>7.2773454409999996</v>
      </c>
      <c r="J1942" s="1">
        <v>7.6316491480000002</v>
      </c>
      <c r="K1942" s="1">
        <v>7.3969663560000001</v>
      </c>
      <c r="L1942" s="1">
        <v>8.0511575430000004</v>
      </c>
      <c r="M1942" s="1">
        <v>8.0056899149999996</v>
      </c>
      <c r="N1942" s="1">
        <v>7.089120791</v>
      </c>
      <c r="O1942" s="1">
        <v>6.9005793139999998</v>
      </c>
      <c r="P1942" s="1">
        <v>7.7221110570000002</v>
      </c>
      <c r="Q1942" s="1">
        <v>7.4756828979999996</v>
      </c>
      <c r="R1942" s="1">
        <v>7.5478536590000003</v>
      </c>
      <c r="S1942" s="1">
        <v>7.5885475050000002</v>
      </c>
      <c r="T1942" s="1">
        <v>8.0511575430000004</v>
      </c>
      <c r="U1942" s="1">
        <v>8.0056899149999996</v>
      </c>
      <c r="V1942" s="1">
        <v>7.8910169809999999</v>
      </c>
      <c r="W1942" s="1">
        <v>7.795243567</v>
      </c>
      <c r="X1942" s="1">
        <v>7.2261548080000004</v>
      </c>
      <c r="Y1942" s="1">
        <v>7.6715271349999998</v>
      </c>
      <c r="Z1942" s="1">
        <v>7.5478536590000003</v>
      </c>
      <c r="AA1942" s="1">
        <v>7.5885475050000002</v>
      </c>
      <c r="AB1942" s="1">
        <v>7.4263400370000001</v>
      </c>
      <c r="AC1942" s="1">
        <v>7.2570468699999999</v>
      </c>
      <c r="AD1942" s="1">
        <v>6.9348946299999996</v>
      </c>
      <c r="AE1942" s="1">
        <v>7.3711623599999996</v>
      </c>
    </row>
    <row r="1943" spans="1:31" x14ac:dyDescent="0.25">
      <c r="A1943" s="1" t="s">
        <v>1847</v>
      </c>
      <c r="B1943" s="1" t="s">
        <v>2579</v>
      </c>
      <c r="C1943" s="1" t="s">
        <v>2585</v>
      </c>
      <c r="D1943" s="1" t="s">
        <v>2586</v>
      </c>
      <c r="E1943" s="1" t="s">
        <v>4948</v>
      </c>
      <c r="F1943" s="1" t="s">
        <v>4949</v>
      </c>
      <c r="G1943" s="1" t="s">
        <v>1847</v>
      </c>
      <c r="H1943" s="1">
        <v>4.5667504939999999</v>
      </c>
      <c r="I1943" s="1">
        <v>4.5981535630000003</v>
      </c>
      <c r="J1943" s="1">
        <v>7.2929885179999996</v>
      </c>
      <c r="K1943" s="1">
        <v>7.1319111780000002</v>
      </c>
      <c r="L1943" s="1">
        <v>7.3066533610000004</v>
      </c>
      <c r="M1943" s="1">
        <v>7.4875286509999999</v>
      </c>
      <c r="N1943" s="1">
        <v>4.2617896110000002</v>
      </c>
      <c r="O1943" s="1">
        <v>3.7238257350000001</v>
      </c>
      <c r="P1943" s="1">
        <v>7.3170679959999996</v>
      </c>
      <c r="Q1943" s="1">
        <v>7.1571465510000003</v>
      </c>
      <c r="R1943" s="1">
        <v>7.6471295799999996</v>
      </c>
      <c r="S1943" s="1">
        <v>7.8901561559999998</v>
      </c>
      <c r="T1943" s="1">
        <v>7.3066533610000004</v>
      </c>
      <c r="U1943" s="1">
        <v>7.4875286509999999</v>
      </c>
      <c r="V1943" s="1">
        <v>7.4772993139999997</v>
      </c>
      <c r="W1943" s="1">
        <v>7.6610908530000001</v>
      </c>
      <c r="X1943" s="1">
        <v>8.2003366530000008</v>
      </c>
      <c r="Y1943" s="1">
        <v>7.8444431989999996</v>
      </c>
      <c r="Z1943" s="1">
        <v>7.6471295799999996</v>
      </c>
      <c r="AA1943" s="1">
        <v>7.8901561559999998</v>
      </c>
      <c r="AB1943" s="1">
        <v>7.5203499220000003</v>
      </c>
      <c r="AC1943" s="1">
        <v>7.8315830829999999</v>
      </c>
      <c r="AD1943" s="1">
        <v>7.9896783750000004</v>
      </c>
      <c r="AE1943" s="1">
        <v>7.9791797200000003</v>
      </c>
    </row>
    <row r="1944" spans="1:31" x14ac:dyDescent="0.25">
      <c r="A1944" s="1" t="s">
        <v>1849</v>
      </c>
      <c r="B1944" s="1" t="s">
        <v>2530</v>
      </c>
      <c r="C1944" s="1" t="s">
        <v>2573</v>
      </c>
      <c r="D1944" s="1" t="s">
        <v>2535</v>
      </c>
      <c r="E1944" s="1" t="s">
        <v>5520</v>
      </c>
      <c r="G1944" s="1" t="s">
        <v>1849</v>
      </c>
      <c r="H1944" s="1">
        <v>8.6518826799999999</v>
      </c>
      <c r="I1944" s="1">
        <v>9.6088021690000005</v>
      </c>
      <c r="J1944" s="1">
        <v>8.4909158379999994</v>
      </c>
      <c r="K1944" s="1">
        <v>8.2084880170000005</v>
      </c>
      <c r="L1944" s="1">
        <v>7.4292616379999998</v>
      </c>
      <c r="M1944" s="1">
        <v>7.5654655789999996</v>
      </c>
      <c r="N1944" s="1">
        <v>9.3742241499999999</v>
      </c>
      <c r="O1944" s="1">
        <v>9.1761639010000007</v>
      </c>
      <c r="P1944" s="1">
        <v>8.3116716519999994</v>
      </c>
      <c r="Q1944" s="1">
        <v>8.4736289550000006</v>
      </c>
      <c r="R1944" s="1">
        <v>7.6644677049999999</v>
      </c>
      <c r="S1944" s="1">
        <v>7.8619690479999997</v>
      </c>
      <c r="T1944" s="1">
        <v>7.4292616379999998</v>
      </c>
      <c r="U1944" s="1">
        <v>7.5654655789999996</v>
      </c>
      <c r="V1944" s="1">
        <v>9.2007686310000008</v>
      </c>
      <c r="W1944" s="1">
        <v>8.919265351</v>
      </c>
      <c r="X1944" s="1">
        <v>7.4653755259999999</v>
      </c>
      <c r="Y1944" s="1">
        <v>9.0094188380000002</v>
      </c>
      <c r="Z1944" s="1">
        <v>7.6644677049999999</v>
      </c>
      <c r="AA1944" s="1">
        <v>7.8619690479999997</v>
      </c>
      <c r="AB1944" s="1">
        <v>7.8028179489999996</v>
      </c>
      <c r="AC1944" s="1">
        <v>7.6872396780000001</v>
      </c>
      <c r="AD1944" s="1">
        <v>7.5985399359999999</v>
      </c>
      <c r="AE1944" s="1">
        <v>8.0973254509999997</v>
      </c>
    </row>
    <row r="1945" spans="1:31" x14ac:dyDescent="0.25">
      <c r="A1945" s="1" t="s">
        <v>1850</v>
      </c>
      <c r="B1945" s="1" t="s">
        <v>2520</v>
      </c>
      <c r="C1945" s="1" t="s">
        <v>3853</v>
      </c>
      <c r="D1945" s="1" t="s">
        <v>3957</v>
      </c>
      <c r="E1945" s="1" t="s">
        <v>5521</v>
      </c>
      <c r="F1945" s="1" t="s">
        <v>5522</v>
      </c>
      <c r="G1945" s="1" t="s">
        <v>1850</v>
      </c>
      <c r="H1945" s="1">
        <v>5.1686839359999999</v>
      </c>
      <c r="I1945" s="1">
        <v>5.1546023129999998</v>
      </c>
      <c r="J1945" s="1">
        <v>4.5940881259999999</v>
      </c>
      <c r="K1945" s="1">
        <v>4.8793048219999999</v>
      </c>
      <c r="L1945" s="1">
        <v>5.3938587340000002</v>
      </c>
      <c r="M1945" s="1">
        <v>5.2895531800000004</v>
      </c>
      <c r="N1945" s="1">
        <v>5.8127456459999998</v>
      </c>
      <c r="O1945" s="1">
        <v>6.1287443579999996</v>
      </c>
      <c r="P1945" s="1">
        <v>4.7972962780000001</v>
      </c>
      <c r="Q1945" s="1">
        <v>4.5369064569999997</v>
      </c>
      <c r="R1945" s="1">
        <v>4.9894654599999999</v>
      </c>
      <c r="S1945" s="1">
        <v>4.980227309</v>
      </c>
      <c r="T1945" s="1">
        <v>5.3938587340000002</v>
      </c>
      <c r="U1945" s="1">
        <v>5.2895531800000004</v>
      </c>
      <c r="V1945" s="1">
        <v>5.3892424569999999</v>
      </c>
      <c r="W1945" s="1">
        <v>4.6166922860000001</v>
      </c>
      <c r="X1945" s="1">
        <v>5.5030444689999998</v>
      </c>
      <c r="Y1945" s="1">
        <v>4.7564010139999997</v>
      </c>
      <c r="Z1945" s="1">
        <v>4.9894654599999999</v>
      </c>
      <c r="AA1945" s="1">
        <v>4.980227309</v>
      </c>
      <c r="AB1945" s="1">
        <v>4.5063178209999997</v>
      </c>
      <c r="AC1945" s="1">
        <v>5.3988312660000002</v>
      </c>
      <c r="AD1945" s="1">
        <v>5.0087140049999999</v>
      </c>
      <c r="AE1945" s="1">
        <v>4.7290680490000003</v>
      </c>
    </row>
    <row r="1946" spans="1:31" x14ac:dyDescent="0.25">
      <c r="A1946" s="1" t="s">
        <v>1851</v>
      </c>
      <c r="B1946" s="1" t="s">
        <v>2530</v>
      </c>
      <c r="C1946" s="1" t="s">
        <v>2573</v>
      </c>
      <c r="D1946" s="1" t="s">
        <v>2535</v>
      </c>
      <c r="E1946" s="1" t="s">
        <v>5523</v>
      </c>
      <c r="G1946" s="1" t="s">
        <v>1851</v>
      </c>
      <c r="H1946" s="1">
        <v>5.4626831620000003</v>
      </c>
      <c r="I1946" s="1">
        <v>5.9974724879999997</v>
      </c>
      <c r="J1946" s="1">
        <v>4.9532699769999997</v>
      </c>
      <c r="K1946" s="1">
        <v>5.0588199180000002</v>
      </c>
      <c r="L1946" s="1">
        <v>5.2363096809999998</v>
      </c>
      <c r="M1946" s="1">
        <v>5.3414536530000003</v>
      </c>
      <c r="N1946" s="1">
        <v>6.6363750030000004</v>
      </c>
      <c r="O1946" s="1">
        <v>6.7989962650000004</v>
      </c>
      <c r="P1946" s="1">
        <v>4.4805784009999998</v>
      </c>
      <c r="Q1946" s="1">
        <v>5.0479127070000001</v>
      </c>
      <c r="R1946" s="1">
        <v>5.2891602459999998</v>
      </c>
      <c r="S1946" s="1">
        <v>5.3098842800000003</v>
      </c>
      <c r="T1946" s="1">
        <v>5.2363096809999998</v>
      </c>
      <c r="U1946" s="1">
        <v>5.3414536530000003</v>
      </c>
      <c r="V1946" s="1">
        <v>5.1679192199999999</v>
      </c>
      <c r="W1946" s="1">
        <v>5.2774499109999997</v>
      </c>
      <c r="X1946" s="1">
        <v>4.7874549340000003</v>
      </c>
      <c r="Y1946" s="1">
        <v>5.503438128</v>
      </c>
      <c r="Z1946" s="1">
        <v>5.2891602459999998</v>
      </c>
      <c r="AA1946" s="1">
        <v>5.3098842800000003</v>
      </c>
      <c r="AB1946" s="1">
        <v>4.705867896</v>
      </c>
      <c r="AC1946" s="1">
        <v>5.5065733579999998</v>
      </c>
      <c r="AD1946" s="1">
        <v>5.116107059</v>
      </c>
      <c r="AE1946" s="1">
        <v>5.3433438500000001</v>
      </c>
    </row>
    <row r="1947" spans="1:31" x14ac:dyDescent="0.25">
      <c r="A1947" s="1" t="s">
        <v>1855</v>
      </c>
      <c r="B1947" s="1" t="s">
        <v>2608</v>
      </c>
      <c r="C1947" s="1" t="s">
        <v>2758</v>
      </c>
      <c r="D1947" s="1" t="s">
        <v>2759</v>
      </c>
      <c r="E1947" s="1" t="s">
        <v>5524</v>
      </c>
      <c r="F1947" s="1" t="s">
        <v>5525</v>
      </c>
      <c r="G1947" s="1" t="s">
        <v>1855</v>
      </c>
      <c r="H1947" s="1">
        <v>6.5956218609999997</v>
      </c>
      <c r="I1947" s="1">
        <v>7.0138798510000004</v>
      </c>
      <c r="J1947" s="1">
        <v>7.0581931579999999</v>
      </c>
      <c r="K1947" s="1">
        <v>6.8396337100000002</v>
      </c>
      <c r="L1947" s="1">
        <v>7.6392370779999998</v>
      </c>
      <c r="M1947" s="1">
        <v>7.4051365179999999</v>
      </c>
      <c r="N1947" s="1">
        <v>6.5380945400000003</v>
      </c>
      <c r="O1947" s="1">
        <v>6.2736585109999998</v>
      </c>
      <c r="P1947" s="1">
        <v>7.1520863200000004</v>
      </c>
      <c r="Q1947" s="1">
        <v>7.0420381550000002</v>
      </c>
      <c r="R1947" s="1">
        <v>7.0638992009999999</v>
      </c>
      <c r="S1947" s="1">
        <v>7.2724296290000003</v>
      </c>
      <c r="T1947" s="1">
        <v>7.6392370779999998</v>
      </c>
      <c r="U1947" s="1">
        <v>7.4051365179999999</v>
      </c>
      <c r="V1947" s="1">
        <v>7.2899342779999996</v>
      </c>
      <c r="W1947" s="1">
        <v>7.3730432910000001</v>
      </c>
      <c r="X1947" s="1">
        <v>7.0997377769999996</v>
      </c>
      <c r="Y1947" s="1">
        <v>7.4104262099999998</v>
      </c>
      <c r="Z1947" s="1">
        <v>7.0638992009999999</v>
      </c>
      <c r="AA1947" s="1">
        <v>7.2724296290000003</v>
      </c>
      <c r="AB1947" s="1">
        <v>6.935033368</v>
      </c>
      <c r="AC1947" s="1">
        <v>7.2467803200000001</v>
      </c>
      <c r="AD1947" s="1">
        <v>6.6813055940000003</v>
      </c>
      <c r="AE1947" s="1">
        <v>7.0647574909999999</v>
      </c>
    </row>
    <row r="1948" spans="1:31" x14ac:dyDescent="0.25">
      <c r="A1948" s="1" t="s">
        <v>1856</v>
      </c>
      <c r="B1948" s="1" t="s">
        <v>2598</v>
      </c>
      <c r="C1948" s="1" t="s">
        <v>2795</v>
      </c>
      <c r="D1948" s="1" t="s">
        <v>2896</v>
      </c>
      <c r="E1948" s="1" t="s">
        <v>5526</v>
      </c>
      <c r="F1948" s="1" t="s">
        <v>5527</v>
      </c>
      <c r="G1948" s="1" t="s">
        <v>1856</v>
      </c>
      <c r="H1948" s="1">
        <v>5.1686839359999999</v>
      </c>
      <c r="I1948" s="1">
        <v>4.7284970130000001</v>
      </c>
      <c r="J1948" s="1">
        <v>5.8592801899999998</v>
      </c>
      <c r="K1948" s="1">
        <v>5.5322182199999999</v>
      </c>
      <c r="L1948" s="1">
        <v>5.6647229430000001</v>
      </c>
      <c r="M1948" s="1">
        <v>5.7958869929999999</v>
      </c>
      <c r="N1948" s="1">
        <v>4.9318354150000001</v>
      </c>
      <c r="O1948" s="1">
        <v>4.4368189940000002</v>
      </c>
      <c r="P1948" s="1">
        <v>5.565195407</v>
      </c>
      <c r="Q1948" s="1">
        <v>5.5022716190000001</v>
      </c>
      <c r="R1948" s="1">
        <v>6.0937807429999999</v>
      </c>
      <c r="S1948" s="1">
        <v>5.542037144</v>
      </c>
      <c r="T1948" s="1">
        <v>5.6647229430000001</v>
      </c>
      <c r="U1948" s="1">
        <v>5.7958869929999999</v>
      </c>
      <c r="V1948" s="1">
        <v>5.9243031000000004</v>
      </c>
      <c r="W1948" s="1">
        <v>6.0370461979999996</v>
      </c>
      <c r="X1948" s="1">
        <v>5.3326311679999998</v>
      </c>
      <c r="Y1948" s="1">
        <v>5.9909787290000001</v>
      </c>
      <c r="Z1948" s="1">
        <v>6.0937807429999999</v>
      </c>
      <c r="AA1948" s="1">
        <v>5.542037144</v>
      </c>
      <c r="AB1948" s="1">
        <v>5.5787398220000002</v>
      </c>
      <c r="AC1948" s="1">
        <v>5.7595305120000004</v>
      </c>
      <c r="AD1948" s="1">
        <v>5.7682763389999998</v>
      </c>
      <c r="AE1948" s="1">
        <v>5.4523450599999999</v>
      </c>
    </row>
    <row r="1949" spans="1:31" x14ac:dyDescent="0.25">
      <c r="A1949" s="1" t="s">
        <v>1861</v>
      </c>
      <c r="B1949" s="1" t="s">
        <v>2667</v>
      </c>
      <c r="C1949" s="1" t="s">
        <v>4077</v>
      </c>
      <c r="D1949" s="1" t="s">
        <v>4970</v>
      </c>
      <c r="E1949" s="1" t="s">
        <v>5528</v>
      </c>
      <c r="F1949" s="1" t="s">
        <v>5529</v>
      </c>
      <c r="G1949" s="1" t="s">
        <v>1861</v>
      </c>
      <c r="H1949" s="1">
        <v>7.2725110900000001</v>
      </c>
      <c r="I1949" s="1">
        <v>7.2668382759999997</v>
      </c>
      <c r="J1949" s="1">
        <v>7.9908300819999996</v>
      </c>
      <c r="K1949" s="1">
        <v>7.5825799859999998</v>
      </c>
      <c r="L1949" s="1">
        <v>7.6777971819999999</v>
      </c>
      <c r="M1949" s="1">
        <v>7.8979331349999997</v>
      </c>
      <c r="N1949" s="1">
        <v>6.7722559489999998</v>
      </c>
      <c r="O1949" s="1">
        <v>6.3670506839999996</v>
      </c>
      <c r="P1949" s="1">
        <v>7.6923797030000003</v>
      </c>
      <c r="Q1949" s="1">
        <v>7.8395611130000002</v>
      </c>
      <c r="R1949" s="1">
        <v>7.8652464599999998</v>
      </c>
      <c r="S1949" s="1">
        <v>8.1913559280000001</v>
      </c>
      <c r="T1949" s="1">
        <v>7.6777971819999999</v>
      </c>
      <c r="U1949" s="1">
        <v>7.8979331349999997</v>
      </c>
      <c r="V1949" s="1">
        <v>8.1483613399999992</v>
      </c>
      <c r="W1949" s="1">
        <v>7.8043647690000002</v>
      </c>
      <c r="X1949" s="1">
        <v>7.5928506740000001</v>
      </c>
      <c r="Y1949" s="1">
        <v>7.8444431989999996</v>
      </c>
      <c r="Z1949" s="1">
        <v>7.8652464599999998</v>
      </c>
      <c r="AA1949" s="1">
        <v>8.1913559280000001</v>
      </c>
      <c r="AB1949" s="1">
        <v>7.7483602229999997</v>
      </c>
      <c r="AC1949" s="1">
        <v>7.5097542229999998</v>
      </c>
      <c r="AD1949" s="1">
        <v>7.4438070659999998</v>
      </c>
      <c r="AE1949" s="1">
        <v>7.8103392830000002</v>
      </c>
    </row>
    <row r="1950" spans="1:31" x14ac:dyDescent="0.25">
      <c r="A1950" s="1" t="s">
        <v>1862</v>
      </c>
      <c r="B1950" s="1" t="s">
        <v>2547</v>
      </c>
      <c r="C1950" s="1" t="s">
        <v>2622</v>
      </c>
      <c r="D1950" s="1" t="s">
        <v>2535</v>
      </c>
      <c r="E1950" s="1" t="s">
        <v>3217</v>
      </c>
      <c r="G1950" s="1" t="s">
        <v>1862</v>
      </c>
      <c r="H1950" s="1">
        <v>5.4626831620000003</v>
      </c>
      <c r="I1950" s="1">
        <v>4.5280931029999998</v>
      </c>
      <c r="J1950" s="1">
        <v>5.5826322800000003</v>
      </c>
      <c r="K1950" s="1">
        <v>5.1139224319999999</v>
      </c>
      <c r="L1950" s="1">
        <v>5.1724144110000001</v>
      </c>
      <c r="M1950" s="1">
        <v>4.5846937370000003</v>
      </c>
      <c r="N1950" s="1">
        <v>5.1355241630000004</v>
      </c>
      <c r="O1950" s="1">
        <v>4.6248126879999996</v>
      </c>
      <c r="P1950" s="1">
        <v>5.1018341500000002</v>
      </c>
      <c r="Q1950" s="1">
        <v>5.1004769559999996</v>
      </c>
      <c r="R1950" s="1">
        <v>5.57388789</v>
      </c>
      <c r="S1950" s="1">
        <v>5.3512993040000003</v>
      </c>
      <c r="T1950" s="1">
        <v>5.1724144110000001</v>
      </c>
      <c r="U1950" s="1">
        <v>4.5846937370000003</v>
      </c>
      <c r="V1950" s="1">
        <v>5.5505659869999997</v>
      </c>
      <c r="W1950" s="1">
        <v>5.2774499109999997</v>
      </c>
      <c r="X1950" s="1">
        <v>5.0029944190000002</v>
      </c>
      <c r="Y1950" s="1">
        <v>5.6227961889999998</v>
      </c>
      <c r="Z1950" s="1">
        <v>5.57388789</v>
      </c>
      <c r="AA1950" s="1">
        <v>5.3512993040000003</v>
      </c>
      <c r="AB1950" s="1">
        <v>5.1073354020000004</v>
      </c>
      <c r="AC1950" s="1">
        <v>5.5741318</v>
      </c>
      <c r="AD1950" s="1">
        <v>5.0634297190000002</v>
      </c>
      <c r="AE1950" s="1">
        <v>5.2497036230000003</v>
      </c>
    </row>
    <row r="1951" spans="1:31" x14ac:dyDescent="0.25">
      <c r="A1951" s="1" t="s">
        <v>1864</v>
      </c>
      <c r="B1951" s="1" t="s">
        <v>2608</v>
      </c>
      <c r="C1951" s="1" t="s">
        <v>2791</v>
      </c>
      <c r="D1951" s="1" t="s">
        <v>2792</v>
      </c>
      <c r="E1951" s="1" t="s">
        <v>5530</v>
      </c>
      <c r="F1951" s="1" t="s">
        <v>5531</v>
      </c>
      <c r="G1951" s="1" t="s">
        <v>1864</v>
      </c>
      <c r="H1951" s="1">
        <v>4.4805534380000003</v>
      </c>
      <c r="I1951" s="1">
        <v>4.2055918060000002</v>
      </c>
      <c r="J1951" s="1">
        <v>5.0551375939999996</v>
      </c>
      <c r="K1951" s="1">
        <v>4.8793048219999999</v>
      </c>
      <c r="L1951" s="1">
        <v>4.8833754540000003</v>
      </c>
      <c r="M1951" s="1">
        <v>4.9642129490000002</v>
      </c>
      <c r="N1951" s="1">
        <v>4.765904581</v>
      </c>
      <c r="O1951" s="1">
        <v>5.0724039640000003</v>
      </c>
      <c r="P1951" s="1">
        <v>4.9062897479999998</v>
      </c>
      <c r="Q1951" s="1">
        <v>4.3733115800000002</v>
      </c>
      <c r="R1951" s="1">
        <v>5.2891602459999998</v>
      </c>
      <c r="S1951" s="1">
        <v>4.5490843459999999</v>
      </c>
      <c r="T1951" s="1">
        <v>4.8833754540000003</v>
      </c>
      <c r="U1951" s="1">
        <v>4.9642129490000002</v>
      </c>
      <c r="V1951" s="1">
        <v>5.0428039150000004</v>
      </c>
      <c r="W1951" s="1">
        <v>4.8493412630000003</v>
      </c>
      <c r="X1951" s="1">
        <v>5.3326311679999998</v>
      </c>
      <c r="Y1951" s="1">
        <v>5.4613266610000002</v>
      </c>
      <c r="Z1951" s="1">
        <v>5.2891602459999998</v>
      </c>
      <c r="AA1951" s="1">
        <v>4.5490843459999999</v>
      </c>
      <c r="AB1951" s="1">
        <v>4.5063178209999997</v>
      </c>
      <c r="AC1951" s="1">
        <v>5.1552886820000001</v>
      </c>
      <c r="AD1951" s="1">
        <v>4.95179218</v>
      </c>
      <c r="AE1951" s="1">
        <v>4.542053224</v>
      </c>
    </row>
    <row r="1952" spans="1:31" x14ac:dyDescent="0.25">
      <c r="A1952" s="1" t="s">
        <v>1866</v>
      </c>
      <c r="B1952" s="1" t="s">
        <v>2520</v>
      </c>
      <c r="C1952" s="1" t="s">
        <v>2521</v>
      </c>
      <c r="D1952" s="1" t="s">
        <v>2535</v>
      </c>
      <c r="E1952" s="1" t="s">
        <v>5532</v>
      </c>
      <c r="G1952" s="1" t="s">
        <v>1866</v>
      </c>
      <c r="H1952" s="1">
        <v>4.6479005740000003</v>
      </c>
      <c r="I1952" s="1">
        <v>4.7284970130000001</v>
      </c>
      <c r="J1952" s="1">
        <v>4.0065844400000001</v>
      </c>
      <c r="K1952" s="1">
        <v>3.4309024589999999</v>
      </c>
      <c r="L1952" s="1">
        <v>4.2516940449999998</v>
      </c>
      <c r="M1952" s="1">
        <v>4.3473799800000004</v>
      </c>
      <c r="N1952" s="1">
        <v>3.9806352139999999</v>
      </c>
      <c r="O1952" s="1">
        <v>3.9591193910000002</v>
      </c>
      <c r="P1952" s="1">
        <v>4.0684607960000001</v>
      </c>
      <c r="Q1952" s="1">
        <v>4.4575363990000003</v>
      </c>
      <c r="R1952" s="1">
        <v>4.5333476509999997</v>
      </c>
      <c r="S1952" s="1">
        <v>4.8699614389999999</v>
      </c>
      <c r="T1952" s="1">
        <v>4.2516940449999998</v>
      </c>
      <c r="U1952" s="1">
        <v>4.3473799800000004</v>
      </c>
      <c r="V1952" s="1">
        <v>4.4559512029999997</v>
      </c>
      <c r="W1952" s="1">
        <v>4.2295768090000001</v>
      </c>
      <c r="X1952" s="1">
        <v>4.6838774470000004</v>
      </c>
      <c r="Y1952" s="1">
        <v>4.8250325140000001</v>
      </c>
      <c r="Z1952" s="1">
        <v>4.5333476509999997</v>
      </c>
      <c r="AA1952" s="1">
        <v>4.8699614389999999</v>
      </c>
      <c r="AB1952" s="1">
        <v>3.990981031</v>
      </c>
      <c r="AC1952" s="1">
        <v>4.6238605430000002</v>
      </c>
      <c r="AD1952" s="1">
        <v>5.3536174839999999</v>
      </c>
      <c r="AE1952" s="1">
        <v>4.5014252270000004</v>
      </c>
    </row>
    <row r="1953" spans="1:31" x14ac:dyDescent="0.25">
      <c r="A1953" s="1" t="s">
        <v>1868</v>
      </c>
      <c r="B1953" s="1" t="s">
        <v>2598</v>
      </c>
      <c r="C1953" s="1" t="s">
        <v>2599</v>
      </c>
      <c r="D1953" s="1" t="s">
        <v>3080</v>
      </c>
      <c r="E1953" s="1" t="s">
        <v>5533</v>
      </c>
      <c r="F1953" s="1" t="s">
        <v>5534</v>
      </c>
      <c r="G1953" s="1" t="s">
        <v>1868</v>
      </c>
      <c r="H1953" s="1">
        <v>4.6479005740000003</v>
      </c>
      <c r="I1953" s="1">
        <v>4.66484875</v>
      </c>
      <c r="J1953" s="1">
        <v>6.4839470649999997</v>
      </c>
      <c r="K1953" s="1">
        <v>5.5322182199999999</v>
      </c>
      <c r="L1953" s="1">
        <v>7.2463443019999998</v>
      </c>
      <c r="M1953" s="1">
        <v>7.2852082630000004</v>
      </c>
      <c r="N1953" s="1">
        <v>5.5548950010000002</v>
      </c>
      <c r="O1953" s="1">
        <v>5.2522077749999996</v>
      </c>
      <c r="P1953" s="1">
        <v>6.6156100010000003</v>
      </c>
      <c r="Q1953" s="1">
        <v>6.9456850320000001</v>
      </c>
      <c r="R1953" s="1">
        <v>7.3260926519999998</v>
      </c>
      <c r="S1953" s="1">
        <v>7.3042092470000002</v>
      </c>
      <c r="T1953" s="1">
        <v>7.2463443019999998</v>
      </c>
      <c r="U1953" s="1">
        <v>7.2852082630000004</v>
      </c>
      <c r="V1953" s="1">
        <v>7.1862491420000003</v>
      </c>
      <c r="W1953" s="1">
        <v>6.9646536269999997</v>
      </c>
      <c r="X1953" s="1">
        <v>6.6810290930000003</v>
      </c>
      <c r="Y1953" s="1">
        <v>6.5469586450000001</v>
      </c>
      <c r="Z1953" s="1">
        <v>7.3260926519999998</v>
      </c>
      <c r="AA1953" s="1">
        <v>7.3042092470000002</v>
      </c>
      <c r="AB1953" s="1">
        <v>6.7477303849999997</v>
      </c>
      <c r="AC1953" s="1">
        <v>7.1509339689999996</v>
      </c>
      <c r="AD1953" s="1">
        <v>6.4566895009999996</v>
      </c>
      <c r="AE1953" s="1">
        <v>6.5142855109999998</v>
      </c>
    </row>
    <row r="1954" spans="1:31" x14ac:dyDescent="0.25">
      <c r="A1954" s="1" t="s">
        <v>1872</v>
      </c>
      <c r="B1954" s="1" t="s">
        <v>2579</v>
      </c>
      <c r="C1954" s="1" t="s">
        <v>2933</v>
      </c>
      <c r="D1954" s="1" t="s">
        <v>4691</v>
      </c>
      <c r="E1954" s="1" t="s">
        <v>5535</v>
      </c>
      <c r="F1954" s="1" t="s">
        <v>5536</v>
      </c>
      <c r="G1954" s="1" t="s">
        <v>1872</v>
      </c>
      <c r="H1954" s="1">
        <v>14.87517581</v>
      </c>
      <c r="I1954" s="1">
        <v>14.20014424</v>
      </c>
      <c r="J1954" s="1">
        <v>12.37241566</v>
      </c>
      <c r="K1954" s="1">
        <v>12.377087599999999</v>
      </c>
      <c r="L1954" s="1">
        <v>10.9077202</v>
      </c>
      <c r="M1954" s="1">
        <v>11.326864179999999</v>
      </c>
      <c r="N1954" s="1">
        <v>13.030201679999999</v>
      </c>
      <c r="O1954" s="1">
        <v>13.40572828</v>
      </c>
      <c r="P1954" s="1">
        <v>12.34293766</v>
      </c>
      <c r="Q1954" s="1">
        <v>12.38658083</v>
      </c>
      <c r="R1954" s="1">
        <v>11.66717976</v>
      </c>
      <c r="S1954" s="1">
        <v>11.74790389</v>
      </c>
      <c r="T1954" s="1">
        <v>10.9077202</v>
      </c>
      <c r="U1954" s="1">
        <v>11.326864179999999</v>
      </c>
      <c r="V1954" s="1">
        <v>10.50311007</v>
      </c>
      <c r="W1954" s="1">
        <v>10.58391872</v>
      </c>
      <c r="X1954" s="1">
        <v>10.23329625</v>
      </c>
      <c r="Y1954" s="1">
        <v>10.1722187</v>
      </c>
      <c r="Z1954" s="1">
        <v>11.66717976</v>
      </c>
      <c r="AA1954" s="1">
        <v>11.74790389</v>
      </c>
      <c r="AB1954" s="1">
        <v>11.082415470000001</v>
      </c>
      <c r="AC1954" s="1">
        <v>11.12298771</v>
      </c>
      <c r="AD1954" s="1">
        <v>10.67270362</v>
      </c>
      <c r="AE1954" s="1">
        <v>10.63461169</v>
      </c>
    </row>
    <row r="1955" spans="1:31" x14ac:dyDescent="0.25">
      <c r="A1955" s="1" t="s">
        <v>1873</v>
      </c>
      <c r="B1955" s="1" t="s">
        <v>2579</v>
      </c>
      <c r="C1955" s="1" t="s">
        <v>2933</v>
      </c>
      <c r="D1955" s="1" t="s">
        <v>4691</v>
      </c>
      <c r="E1955" s="1" t="s">
        <v>5537</v>
      </c>
      <c r="F1955" s="1" t="s">
        <v>5538</v>
      </c>
      <c r="G1955" s="1" t="s">
        <v>1873</v>
      </c>
      <c r="H1955" s="1">
        <v>5.6684727009999998</v>
      </c>
      <c r="I1955" s="1">
        <v>5.1078624770000003</v>
      </c>
      <c r="J1955" s="1">
        <v>5.4770890750000003</v>
      </c>
      <c r="K1955" s="1">
        <v>5.5322182199999999</v>
      </c>
      <c r="L1955" s="1">
        <v>4.7721586460000003</v>
      </c>
      <c r="M1955" s="1">
        <v>5.1796951440000001</v>
      </c>
      <c r="N1955" s="1">
        <v>5.1887139119999999</v>
      </c>
      <c r="O1955" s="1">
        <v>4.7903853170000001</v>
      </c>
      <c r="P1955" s="1">
        <v>5.1018341500000002</v>
      </c>
      <c r="Q1955" s="1">
        <v>5.1511590549999999</v>
      </c>
      <c r="R1955" s="1">
        <v>5.8111782390000002</v>
      </c>
      <c r="S1955" s="1">
        <v>5.7416668729999998</v>
      </c>
      <c r="T1955" s="1">
        <v>4.7721586460000003</v>
      </c>
      <c r="U1955" s="1">
        <v>5.1796951440000001</v>
      </c>
      <c r="V1955" s="1">
        <v>5.1274300740000003</v>
      </c>
      <c r="W1955" s="1">
        <v>4.9854391920000003</v>
      </c>
      <c r="X1955" s="1">
        <v>5.0589726410000004</v>
      </c>
      <c r="Y1955" s="1">
        <v>4.8250325140000001</v>
      </c>
      <c r="Z1955" s="1">
        <v>5.8111782390000002</v>
      </c>
      <c r="AA1955" s="1">
        <v>5.7416668729999998</v>
      </c>
      <c r="AB1955" s="1">
        <v>4.7958605490000004</v>
      </c>
      <c r="AC1955" s="1">
        <v>5.0158027430000001</v>
      </c>
      <c r="AD1955" s="1">
        <v>4.95179218</v>
      </c>
      <c r="AE1955" s="1">
        <v>4.3718229419999997</v>
      </c>
    </row>
    <row r="1956" spans="1:31" x14ac:dyDescent="0.25">
      <c r="A1956" s="1" t="s">
        <v>1876</v>
      </c>
      <c r="B1956" s="1" t="s">
        <v>2557</v>
      </c>
      <c r="C1956" s="1" t="s">
        <v>2680</v>
      </c>
      <c r="D1956" s="1" t="s">
        <v>2712</v>
      </c>
      <c r="E1956" s="1" t="s">
        <v>5539</v>
      </c>
      <c r="F1956" s="1" t="s">
        <v>5540</v>
      </c>
      <c r="G1956" s="1" t="s">
        <v>1876</v>
      </c>
      <c r="H1956" s="1">
        <v>3.9421380259999999</v>
      </c>
      <c r="I1956" s="1">
        <v>5.2436995780000002</v>
      </c>
      <c r="J1956" s="1">
        <v>4.2898244959999996</v>
      </c>
      <c r="K1956" s="1">
        <v>4.1384138449999996</v>
      </c>
      <c r="L1956" s="1">
        <v>5.0110661050000003</v>
      </c>
      <c r="M1956" s="1">
        <v>4.5403831759999997</v>
      </c>
      <c r="N1956" s="1">
        <v>4.3596796910000002</v>
      </c>
      <c r="O1956" s="1">
        <v>3.8071106499999998</v>
      </c>
      <c r="P1956" s="1">
        <v>3.7419514989999998</v>
      </c>
      <c r="Q1956" s="1">
        <v>4.4575363990000003</v>
      </c>
      <c r="R1956" s="1">
        <v>4.45403635</v>
      </c>
      <c r="S1956" s="1">
        <v>4.4749637470000003</v>
      </c>
      <c r="T1956" s="1">
        <v>5.0110661050000003</v>
      </c>
      <c r="U1956" s="1">
        <v>4.5403831759999997</v>
      </c>
      <c r="V1956" s="1">
        <v>4.5207607210000003</v>
      </c>
      <c r="W1956" s="1">
        <v>4.4367165279999998</v>
      </c>
      <c r="X1956" s="1">
        <v>4.0600950219999996</v>
      </c>
      <c r="Y1956" s="1">
        <v>4.7564010139999997</v>
      </c>
      <c r="Z1956" s="1">
        <v>4.45403635</v>
      </c>
      <c r="AA1956" s="1">
        <v>4.4749637470000003</v>
      </c>
      <c r="AB1956" s="1">
        <v>3.8237667059999998</v>
      </c>
      <c r="AC1956" s="1">
        <v>4.0753403910000001</v>
      </c>
      <c r="AD1956" s="1">
        <v>4.3870463700000002</v>
      </c>
      <c r="AE1956" s="1">
        <v>4.6199010239999998</v>
      </c>
    </row>
    <row r="1957" spans="1:31" x14ac:dyDescent="0.25">
      <c r="A1957" s="1" t="s">
        <v>1877</v>
      </c>
      <c r="B1957" s="1" t="s">
        <v>2520</v>
      </c>
      <c r="C1957" s="1" t="s">
        <v>2521</v>
      </c>
      <c r="D1957" s="1" t="s">
        <v>2535</v>
      </c>
      <c r="E1957" s="1" t="s">
        <v>5541</v>
      </c>
      <c r="G1957" s="1" t="s">
        <v>1877</v>
      </c>
      <c r="H1957" s="1">
        <v>3.4660955969999998</v>
      </c>
      <c r="I1957" s="1">
        <v>4.0101074990000001</v>
      </c>
      <c r="J1957" s="1">
        <v>4.2018709520000002</v>
      </c>
      <c r="K1957" s="1">
        <v>3.4309024589999999</v>
      </c>
      <c r="L1957" s="1">
        <v>4.3727018190000004</v>
      </c>
      <c r="M1957" s="1">
        <v>4.1823509169999999</v>
      </c>
      <c r="N1957" s="1">
        <v>4.2617896110000002</v>
      </c>
      <c r="O1957" s="1">
        <v>3.7238257350000001</v>
      </c>
      <c r="P1957" s="1">
        <v>4.5499605860000001</v>
      </c>
      <c r="Q1957" s="1">
        <v>3.9718447549999998</v>
      </c>
      <c r="R1957" s="1">
        <v>3.968758995</v>
      </c>
      <c r="S1957" s="1">
        <v>4.1304223819999999</v>
      </c>
      <c r="T1957" s="1">
        <v>4.3727018190000004</v>
      </c>
      <c r="U1957" s="1">
        <v>4.1823509169999999</v>
      </c>
      <c r="V1957" s="1">
        <v>4.3163797720000003</v>
      </c>
      <c r="W1957" s="1">
        <v>3.6840067150000002</v>
      </c>
      <c r="X1957" s="1">
        <v>4.6475707550000003</v>
      </c>
      <c r="Y1957" s="1">
        <v>3.7705059300000001</v>
      </c>
      <c r="Z1957" s="1">
        <v>3.968758995</v>
      </c>
      <c r="AA1957" s="1">
        <v>4.1304223819999999</v>
      </c>
      <c r="AB1957" s="1">
        <v>4.5063178209999997</v>
      </c>
      <c r="AC1957" s="1">
        <v>4.0753403910000001</v>
      </c>
      <c r="AD1957" s="1">
        <v>4.5511338559999999</v>
      </c>
      <c r="AE1957" s="1">
        <v>4.3257514669999999</v>
      </c>
    </row>
    <row r="1958" spans="1:31" x14ac:dyDescent="0.25">
      <c r="A1958" s="1" t="s">
        <v>1881</v>
      </c>
      <c r="B1958" s="1" t="s">
        <v>2530</v>
      </c>
      <c r="C1958" s="1" t="s">
        <v>2573</v>
      </c>
      <c r="D1958" s="1" t="s">
        <v>2535</v>
      </c>
      <c r="E1958" s="1" t="s">
        <v>3716</v>
      </c>
      <c r="G1958" s="1" t="s">
        <v>1881</v>
      </c>
      <c r="H1958" s="1">
        <v>10.75004041</v>
      </c>
      <c r="I1958" s="1">
        <v>11.796763139999999</v>
      </c>
      <c r="J1958" s="1">
        <v>11.057311410000001</v>
      </c>
      <c r="K1958" s="1">
        <v>10.949910409999999</v>
      </c>
      <c r="L1958" s="1">
        <v>10.373613730000001</v>
      </c>
      <c r="M1958" s="1">
        <v>10.5373863</v>
      </c>
      <c r="N1958" s="1">
        <v>10.57436133</v>
      </c>
      <c r="O1958" s="1">
        <v>10.233868530000001</v>
      </c>
      <c r="P1958" s="1">
        <v>10.98446818</v>
      </c>
      <c r="Q1958" s="1">
        <v>11.27690028</v>
      </c>
      <c r="R1958" s="1">
        <v>10.576524429999999</v>
      </c>
      <c r="S1958" s="1">
        <v>10.76313274</v>
      </c>
      <c r="T1958" s="1">
        <v>10.373613730000001</v>
      </c>
      <c r="U1958" s="1">
        <v>10.5373863</v>
      </c>
      <c r="V1958" s="1">
        <v>11.6909165</v>
      </c>
      <c r="W1958" s="1">
        <v>11.61097979</v>
      </c>
      <c r="X1958" s="1">
        <v>10.587127560000001</v>
      </c>
      <c r="Y1958" s="1">
        <v>11.76727522</v>
      </c>
      <c r="Z1958" s="1">
        <v>10.576524429999999</v>
      </c>
      <c r="AA1958" s="1">
        <v>10.76313274</v>
      </c>
      <c r="AB1958" s="1">
        <v>10.51224893</v>
      </c>
      <c r="AC1958" s="1">
        <v>10.355138780000001</v>
      </c>
      <c r="AD1958" s="1">
        <v>10.399052279999999</v>
      </c>
      <c r="AE1958" s="1">
        <v>10.77626122</v>
      </c>
    </row>
    <row r="1959" spans="1:31" x14ac:dyDescent="0.25">
      <c r="A1959" s="1" t="s">
        <v>1882</v>
      </c>
      <c r="B1959" s="1" t="s">
        <v>2843</v>
      </c>
      <c r="C1959" s="1" t="s">
        <v>2903</v>
      </c>
      <c r="D1959" s="1" t="s">
        <v>5542</v>
      </c>
      <c r="E1959" s="1" t="s">
        <v>5543</v>
      </c>
      <c r="F1959" s="1" t="s">
        <v>5544</v>
      </c>
      <c r="G1959" s="1" t="s">
        <v>1882</v>
      </c>
      <c r="H1959" s="1">
        <v>7.4044540579999998</v>
      </c>
      <c r="I1959" s="1">
        <v>7.4169289850000002</v>
      </c>
      <c r="J1959" s="1">
        <v>7.8784629749999997</v>
      </c>
      <c r="K1959" s="1">
        <v>7.4824236539999998</v>
      </c>
      <c r="L1959" s="1">
        <v>8.0599417540000005</v>
      </c>
      <c r="M1959" s="1">
        <v>7.9896270210000004</v>
      </c>
      <c r="N1959" s="1">
        <v>7.3830628569999996</v>
      </c>
      <c r="O1959" s="1">
        <v>7.7511353160000001</v>
      </c>
      <c r="P1959" s="1">
        <v>7.9464858329999997</v>
      </c>
      <c r="Q1959" s="1">
        <v>7.9851044230000001</v>
      </c>
      <c r="R1959" s="1">
        <v>7.8801632919999998</v>
      </c>
      <c r="S1959" s="1">
        <v>7.9583039099999997</v>
      </c>
      <c r="T1959" s="1">
        <v>8.0599417540000005</v>
      </c>
      <c r="U1959" s="1">
        <v>7.9896270210000004</v>
      </c>
      <c r="V1959" s="1">
        <v>8.3580196359999999</v>
      </c>
      <c r="W1959" s="1">
        <v>8.1645528850000009</v>
      </c>
      <c r="X1959" s="1">
        <v>8.2487823260000006</v>
      </c>
      <c r="Y1959" s="1">
        <v>8.3424270949999997</v>
      </c>
      <c r="Z1959" s="1">
        <v>7.8801632919999998</v>
      </c>
      <c r="AA1959" s="1">
        <v>7.9583039099999997</v>
      </c>
      <c r="AB1959" s="1">
        <v>8.2729402870000008</v>
      </c>
      <c r="AC1959" s="1">
        <v>8.2257308550000001</v>
      </c>
      <c r="AD1959" s="1">
        <v>8.325025321</v>
      </c>
      <c r="AE1959" s="1">
        <v>8.2700562239999993</v>
      </c>
    </row>
    <row r="1960" spans="1:31" x14ac:dyDescent="0.25">
      <c r="A1960" s="1" t="s">
        <v>1883</v>
      </c>
      <c r="B1960" s="1" t="s">
        <v>2547</v>
      </c>
      <c r="C1960" s="1" t="s">
        <v>2622</v>
      </c>
      <c r="D1960" s="1" t="s">
        <v>2535</v>
      </c>
      <c r="E1960" s="1" t="s">
        <v>5545</v>
      </c>
      <c r="G1960" s="1" t="s">
        <v>1883</v>
      </c>
      <c r="H1960" s="1">
        <v>4.4805534380000003</v>
      </c>
      <c r="I1960" s="1">
        <v>4.7284970130000001</v>
      </c>
      <c r="J1960" s="1">
        <v>5.7428701560000004</v>
      </c>
      <c r="K1960" s="1">
        <v>4.7454889089999996</v>
      </c>
      <c r="L1960" s="1">
        <v>5.58546151</v>
      </c>
      <c r="M1960" s="1">
        <v>5.7772279879999999</v>
      </c>
      <c r="N1960" s="1">
        <v>4.6560102480000003</v>
      </c>
      <c r="O1960" s="1">
        <v>4.4368189940000002</v>
      </c>
      <c r="P1960" s="1">
        <v>5.9898979399999996</v>
      </c>
      <c r="Q1960" s="1">
        <v>5.718446159</v>
      </c>
      <c r="R1960" s="1">
        <v>5.7472990829999997</v>
      </c>
      <c r="S1960" s="1">
        <v>5.6453330910000004</v>
      </c>
      <c r="T1960" s="1">
        <v>5.58546151</v>
      </c>
      <c r="U1960" s="1">
        <v>5.7772279879999999</v>
      </c>
      <c r="V1960" s="1">
        <v>5.3192272129999996</v>
      </c>
      <c r="W1960" s="1">
        <v>5.8376547490000004</v>
      </c>
      <c r="X1960" s="1">
        <v>5.7928210719999997</v>
      </c>
      <c r="Y1960" s="1">
        <v>5.8352313850000002</v>
      </c>
      <c r="Z1960" s="1">
        <v>5.7472990829999997</v>
      </c>
      <c r="AA1960" s="1">
        <v>5.6453330910000004</v>
      </c>
      <c r="AB1960" s="1">
        <v>5.8098709350000002</v>
      </c>
      <c r="AC1960" s="1">
        <v>5.9492644930000003</v>
      </c>
      <c r="AD1960" s="1">
        <v>5.1668950269999998</v>
      </c>
      <c r="AE1960" s="1">
        <v>5.387950011</v>
      </c>
    </row>
    <row r="1961" spans="1:31" x14ac:dyDescent="0.25">
      <c r="A1961" s="1" t="s">
        <v>1884</v>
      </c>
      <c r="B1961" s="1" t="s">
        <v>2530</v>
      </c>
      <c r="C1961" s="1" t="s">
        <v>2531</v>
      </c>
      <c r="D1961" s="1" t="s">
        <v>2535</v>
      </c>
      <c r="E1961" s="1" t="s">
        <v>2621</v>
      </c>
      <c r="G1961" s="1" t="s">
        <v>1884</v>
      </c>
      <c r="H1961" s="1">
        <v>4.8663747150000001</v>
      </c>
      <c r="I1961" s="1">
        <v>4.8477128089999999</v>
      </c>
      <c r="J1961" s="1">
        <v>5.8022574259999997</v>
      </c>
      <c r="K1961" s="1">
        <v>5.4913640639999999</v>
      </c>
      <c r="L1961" s="1">
        <v>5.8791437640000002</v>
      </c>
      <c r="M1961" s="1">
        <v>5.7000608240000004</v>
      </c>
      <c r="N1961" s="1">
        <v>5.0227480880000002</v>
      </c>
      <c r="O1961" s="1">
        <v>5.0724039640000003</v>
      </c>
      <c r="P1961" s="1">
        <v>5.834784151</v>
      </c>
      <c r="Q1961" s="1">
        <v>5.8765740600000003</v>
      </c>
      <c r="R1961" s="1">
        <v>5.1472208640000003</v>
      </c>
      <c r="S1961" s="1">
        <v>5.6117239269999999</v>
      </c>
      <c r="T1961" s="1">
        <v>5.8791437640000002</v>
      </c>
      <c r="U1961" s="1">
        <v>5.7000608240000004</v>
      </c>
      <c r="V1961" s="1">
        <v>5.3892424569999999</v>
      </c>
      <c r="W1961" s="1">
        <v>5.8015499779999997</v>
      </c>
      <c r="X1961" s="1">
        <v>5.6186994139999999</v>
      </c>
      <c r="Y1961" s="1">
        <v>5.503438128</v>
      </c>
      <c r="Z1961" s="1">
        <v>5.1472208640000003</v>
      </c>
      <c r="AA1961" s="1">
        <v>5.6117239269999999</v>
      </c>
      <c r="AB1961" s="1">
        <v>5.4746970709999996</v>
      </c>
      <c r="AC1961" s="1">
        <v>5.8439382809999998</v>
      </c>
      <c r="AD1961" s="1">
        <v>5.7682763389999998</v>
      </c>
      <c r="AE1961" s="1">
        <v>5.387950011</v>
      </c>
    </row>
    <row r="1962" spans="1:31" x14ac:dyDescent="0.25">
      <c r="A1962" s="1" t="s">
        <v>1889</v>
      </c>
      <c r="B1962" s="1" t="s">
        <v>2539</v>
      </c>
      <c r="C1962" s="1" t="s">
        <v>2563</v>
      </c>
      <c r="D1962" s="1" t="s">
        <v>5546</v>
      </c>
      <c r="E1962" s="1" t="s">
        <v>5547</v>
      </c>
      <c r="F1962" s="1" t="s">
        <v>5548</v>
      </c>
      <c r="G1962" s="1" t="s">
        <v>1889</v>
      </c>
      <c r="H1962" s="1">
        <v>6.2055952369999998</v>
      </c>
      <c r="I1962" s="1">
        <v>6.1655807180000002</v>
      </c>
      <c r="J1962" s="1">
        <v>5.8869626679999998</v>
      </c>
      <c r="K1962" s="1">
        <v>6.0075713720000001</v>
      </c>
      <c r="L1962" s="1">
        <v>5.2974536179999996</v>
      </c>
      <c r="M1962" s="1">
        <v>4.5846937370000003</v>
      </c>
      <c r="N1962" s="1">
        <v>6.664596564</v>
      </c>
      <c r="O1962" s="1">
        <v>6.8644635369999998</v>
      </c>
      <c r="P1962" s="1">
        <v>5.2325771159999999</v>
      </c>
      <c r="Q1962" s="1">
        <v>5.4628336309999996</v>
      </c>
      <c r="R1962" s="1">
        <v>4.8118229140000004</v>
      </c>
      <c r="S1962" s="1">
        <v>5.032286365</v>
      </c>
      <c r="T1962" s="1">
        <v>5.2974536179999996</v>
      </c>
      <c r="U1962" s="1">
        <v>4.5846937370000003</v>
      </c>
      <c r="V1962" s="1">
        <v>5.0857495259999999</v>
      </c>
      <c r="W1962" s="1">
        <v>5.3792812999999997</v>
      </c>
      <c r="X1962" s="1">
        <v>5.3098210989999997</v>
      </c>
      <c r="Y1962" s="1">
        <v>4.9529845589999999</v>
      </c>
      <c r="Z1962" s="1">
        <v>4.8118229140000004</v>
      </c>
      <c r="AA1962" s="1">
        <v>5.032286365</v>
      </c>
      <c r="AB1962" s="1">
        <v>5.3028471579999996</v>
      </c>
      <c r="AC1962" s="1">
        <v>5.6067493529999997</v>
      </c>
      <c r="AD1962" s="1">
        <v>5.5945353439999996</v>
      </c>
      <c r="AE1962" s="1">
        <v>6.086150795</v>
      </c>
    </row>
    <row r="1963" spans="1:31" x14ac:dyDescent="0.25">
      <c r="A1963" s="1" t="s">
        <v>1894</v>
      </c>
      <c r="B1963" s="1" t="s">
        <v>2667</v>
      </c>
      <c r="C1963" s="1" t="s">
        <v>5549</v>
      </c>
      <c r="D1963" s="1" t="s">
        <v>5550</v>
      </c>
      <c r="E1963" s="1" t="s">
        <v>5551</v>
      </c>
      <c r="F1963" s="1" t="s">
        <v>5552</v>
      </c>
      <c r="G1963" s="1" t="s">
        <v>1894</v>
      </c>
      <c r="H1963" s="1">
        <v>5.4626831620000003</v>
      </c>
      <c r="I1963" s="1">
        <v>5.9189259930000002</v>
      </c>
      <c r="J1963" s="1">
        <v>4.4503473070000004</v>
      </c>
      <c r="K1963" s="1">
        <v>3.762021974</v>
      </c>
      <c r="L1963" s="1">
        <v>5.05907325</v>
      </c>
      <c r="M1963" s="1">
        <v>5.0913316819999999</v>
      </c>
      <c r="N1963" s="1">
        <v>4.8677953240000003</v>
      </c>
      <c r="O1963" s="1">
        <v>4.2189785100000003</v>
      </c>
      <c r="P1963" s="1">
        <v>4.8528499219999999</v>
      </c>
      <c r="Q1963" s="1">
        <v>5.2000913229999997</v>
      </c>
      <c r="R1963" s="1">
        <v>4.9894654599999999</v>
      </c>
      <c r="S1963" s="1">
        <v>5.2672271329999996</v>
      </c>
      <c r="T1963" s="1">
        <v>5.05907325</v>
      </c>
      <c r="U1963" s="1">
        <v>5.0913316819999999</v>
      </c>
      <c r="V1963" s="1">
        <v>4.9055261469999998</v>
      </c>
      <c r="W1963" s="1">
        <v>5.1095551629999996</v>
      </c>
      <c r="X1963" s="1">
        <v>4.5719855100000002</v>
      </c>
      <c r="Y1963" s="1">
        <v>4.8250325140000001</v>
      </c>
      <c r="Z1963" s="1">
        <v>4.9894654599999999</v>
      </c>
      <c r="AA1963" s="1">
        <v>5.2672271329999996</v>
      </c>
      <c r="AB1963" s="1">
        <v>4.9601840040000003</v>
      </c>
      <c r="AC1963" s="1">
        <v>4.8610120620000004</v>
      </c>
      <c r="AD1963" s="1">
        <v>3.8610926929999998</v>
      </c>
      <c r="AE1963" s="1">
        <v>4.542053224</v>
      </c>
    </row>
    <row r="1964" spans="1:31" x14ac:dyDescent="0.25">
      <c r="A1964" s="1" t="s">
        <v>1901</v>
      </c>
      <c r="B1964" s="1" t="s">
        <v>2598</v>
      </c>
      <c r="C1964" s="1" t="s">
        <v>3183</v>
      </c>
      <c r="D1964" s="1" t="s">
        <v>4179</v>
      </c>
      <c r="E1964" s="1" t="s">
        <v>5553</v>
      </c>
      <c r="F1964" s="1" t="s">
        <v>5554</v>
      </c>
      <c r="G1964" s="1" t="s">
        <v>1901</v>
      </c>
      <c r="H1964" s="1">
        <v>7.8284107189999999</v>
      </c>
      <c r="I1964" s="1">
        <v>7.8629071890000004</v>
      </c>
      <c r="J1964" s="1">
        <v>8.5525219299999993</v>
      </c>
      <c r="K1964" s="1">
        <v>8.3402013620000002</v>
      </c>
      <c r="L1964" s="1">
        <v>8.6754798799999993</v>
      </c>
      <c r="M1964" s="1">
        <v>8.6967472079999997</v>
      </c>
      <c r="N1964" s="1">
        <v>7.7329774579999997</v>
      </c>
      <c r="O1964" s="1">
        <v>7.8421074749999997</v>
      </c>
      <c r="P1964" s="1">
        <v>8.4950348299999998</v>
      </c>
      <c r="Q1964" s="1">
        <v>8.4131806969999996</v>
      </c>
      <c r="R1964" s="1">
        <v>8.7584995200000009</v>
      </c>
      <c r="S1964" s="1">
        <v>8.7672959909999992</v>
      </c>
      <c r="T1964" s="1">
        <v>8.6754798799999993</v>
      </c>
      <c r="U1964" s="1">
        <v>8.6967472079999997</v>
      </c>
      <c r="V1964" s="1">
        <v>8.86775439</v>
      </c>
      <c r="W1964" s="1">
        <v>8.7782764889999996</v>
      </c>
      <c r="X1964" s="1">
        <v>8.5390835739999993</v>
      </c>
      <c r="Y1964" s="1">
        <v>8.7858813330000007</v>
      </c>
      <c r="Z1964" s="1">
        <v>8.7584995200000009</v>
      </c>
      <c r="AA1964" s="1">
        <v>8.7672959909999992</v>
      </c>
      <c r="AB1964" s="1">
        <v>8.6025655840000006</v>
      </c>
      <c r="AC1964" s="1">
        <v>8.5517314370000008</v>
      </c>
      <c r="AD1964" s="1">
        <v>8.4673724210000003</v>
      </c>
      <c r="AE1964" s="1">
        <v>8.3422155650000001</v>
      </c>
    </row>
    <row r="1965" spans="1:31" x14ac:dyDescent="0.25">
      <c r="A1965" s="1" t="s">
        <v>1902</v>
      </c>
      <c r="B1965" s="1" t="s">
        <v>2608</v>
      </c>
      <c r="C1965" s="1" t="s">
        <v>2609</v>
      </c>
      <c r="D1965" s="1" t="s">
        <v>2535</v>
      </c>
      <c r="E1965" s="1" t="s">
        <v>5555</v>
      </c>
      <c r="F1965" s="1" t="s">
        <v>5556</v>
      </c>
      <c r="G1965" s="1" t="s">
        <v>1902</v>
      </c>
      <c r="H1965" s="1">
        <v>7.0413960959999997</v>
      </c>
      <c r="I1965" s="1">
        <v>7.5354559999999999</v>
      </c>
      <c r="J1965" s="1">
        <v>6.6218704260000001</v>
      </c>
      <c r="K1965" s="1">
        <v>7.492758244</v>
      </c>
      <c r="L1965" s="1">
        <v>7.2514675669999997</v>
      </c>
      <c r="M1965" s="1">
        <v>7.0651950020000003</v>
      </c>
      <c r="N1965" s="1">
        <v>7.1831132760000003</v>
      </c>
      <c r="O1965" s="1">
        <v>7.0844913900000002</v>
      </c>
      <c r="P1965" s="1">
        <v>6.8082443379999997</v>
      </c>
      <c r="Q1965" s="1">
        <v>6.7145630089999999</v>
      </c>
      <c r="R1965" s="1">
        <v>6.624026862</v>
      </c>
      <c r="S1965" s="1">
        <v>6.6856618179999998</v>
      </c>
      <c r="T1965" s="1">
        <v>7.2514675669999997</v>
      </c>
      <c r="U1965" s="1">
        <v>7.0651950020000003</v>
      </c>
      <c r="V1965" s="1">
        <v>7.3434958909999999</v>
      </c>
      <c r="W1965" s="1">
        <v>7.1041979590000004</v>
      </c>
      <c r="X1965" s="1">
        <v>6.6361617290000003</v>
      </c>
      <c r="Y1965" s="1">
        <v>7.2099543309999996</v>
      </c>
      <c r="Z1965" s="1">
        <v>6.624026862</v>
      </c>
      <c r="AA1965" s="1">
        <v>6.6856618179999998</v>
      </c>
      <c r="AB1965" s="1">
        <v>6.8954646989999997</v>
      </c>
      <c r="AC1965" s="1">
        <v>6.4748747230000001</v>
      </c>
      <c r="AD1965" s="1">
        <v>6.7323805009999997</v>
      </c>
      <c r="AE1965" s="1">
        <v>6.7786663870000003</v>
      </c>
    </row>
    <row r="1966" spans="1:31" x14ac:dyDescent="0.25">
      <c r="A1966" s="1" t="s">
        <v>1903</v>
      </c>
      <c r="B1966" s="1" t="s">
        <v>2530</v>
      </c>
      <c r="C1966" s="1" t="s">
        <v>2531</v>
      </c>
      <c r="D1966" s="1" t="s">
        <v>5440</v>
      </c>
      <c r="E1966" s="1" t="s">
        <v>2536</v>
      </c>
      <c r="G1966" s="1" t="s">
        <v>1903</v>
      </c>
      <c r="H1966" s="1">
        <v>7.1272614729999999</v>
      </c>
      <c r="I1966" s="1">
        <v>6.7527702749999996</v>
      </c>
      <c r="J1966" s="1">
        <v>4.3724365990000003</v>
      </c>
      <c r="K1966" s="1">
        <v>4.8139921829999999</v>
      </c>
      <c r="L1966" s="1">
        <v>4.9098563420000003</v>
      </c>
      <c r="M1966" s="1">
        <v>5.3414536530000003</v>
      </c>
      <c r="N1966" s="1">
        <v>7.277449721</v>
      </c>
      <c r="O1966" s="1">
        <v>7.8281195260000001</v>
      </c>
      <c r="P1966" s="1">
        <v>5.660815296</v>
      </c>
      <c r="Q1966" s="1">
        <v>5.1004769559999996</v>
      </c>
      <c r="R1966" s="1">
        <v>5.1961281320000001</v>
      </c>
      <c r="S1966" s="1">
        <v>5.3915434019999999</v>
      </c>
      <c r="T1966" s="1">
        <v>4.9098563420000003</v>
      </c>
      <c r="U1966" s="1">
        <v>5.3414536530000003</v>
      </c>
      <c r="V1966" s="1">
        <v>5.3546652259999998</v>
      </c>
      <c r="W1966" s="1">
        <v>5.2236621110000003</v>
      </c>
      <c r="X1966" s="1">
        <v>5.9332613380000003</v>
      </c>
      <c r="Y1966" s="1">
        <v>5.7678626939999997</v>
      </c>
      <c r="Z1966" s="1">
        <v>5.1961281320000001</v>
      </c>
      <c r="AA1966" s="1">
        <v>5.3915434019999999</v>
      </c>
      <c r="AB1966" s="1">
        <v>5.1755434500000002</v>
      </c>
      <c r="AC1966" s="1">
        <v>5.5741318</v>
      </c>
      <c r="AD1966" s="1">
        <v>5.396704357</v>
      </c>
      <c r="AE1966" s="1">
        <v>5.2004631630000002</v>
      </c>
    </row>
    <row r="1967" spans="1:31" x14ac:dyDescent="0.25">
      <c r="A1967" s="1" t="s">
        <v>1904</v>
      </c>
      <c r="B1967" s="1" t="s">
        <v>2530</v>
      </c>
      <c r="C1967" s="1" t="s">
        <v>2531</v>
      </c>
      <c r="D1967" s="1" t="s">
        <v>5440</v>
      </c>
      <c r="E1967" s="1" t="s">
        <v>5557</v>
      </c>
      <c r="G1967" s="1" t="s">
        <v>1904</v>
      </c>
      <c r="H1967" s="1">
        <v>8.2795101350000007</v>
      </c>
      <c r="I1967" s="1">
        <v>8.2676911610000001</v>
      </c>
      <c r="J1967" s="1">
        <v>6.8772930739999998</v>
      </c>
      <c r="K1967" s="1">
        <v>6.091743707</v>
      </c>
      <c r="L1967" s="1">
        <v>7.167226157</v>
      </c>
      <c r="M1967" s="1">
        <v>7.1030320250000001</v>
      </c>
      <c r="N1967" s="1">
        <v>9.0957862340000002</v>
      </c>
      <c r="O1967" s="1">
        <v>9.2053103079999996</v>
      </c>
      <c r="P1967" s="1">
        <v>7.4021922230000001</v>
      </c>
      <c r="Q1967" s="1">
        <v>7.1323497619999996</v>
      </c>
      <c r="R1967" s="1">
        <v>7.2477233400000003</v>
      </c>
      <c r="S1967" s="1">
        <v>7.3556661600000002</v>
      </c>
      <c r="T1967" s="1">
        <v>7.167226157</v>
      </c>
      <c r="U1967" s="1">
        <v>7.1030320250000001</v>
      </c>
      <c r="V1967" s="1">
        <v>7.2343052459999999</v>
      </c>
      <c r="W1967" s="1">
        <v>7.0893438719999997</v>
      </c>
      <c r="X1967" s="1">
        <v>7.670492887</v>
      </c>
      <c r="Y1967" s="1">
        <v>7.4959140870000001</v>
      </c>
      <c r="Z1967" s="1">
        <v>7.2477233400000003</v>
      </c>
      <c r="AA1967" s="1">
        <v>7.3556661600000002</v>
      </c>
      <c r="AB1967" s="1">
        <v>7.1852104319999999</v>
      </c>
      <c r="AC1967" s="1">
        <v>7.365400986</v>
      </c>
      <c r="AD1967" s="1">
        <v>7.4939684189999998</v>
      </c>
      <c r="AE1967" s="1">
        <v>7.213825022</v>
      </c>
    </row>
    <row r="1968" spans="1:31" x14ac:dyDescent="0.25">
      <c r="A1968" s="1" t="s">
        <v>1905</v>
      </c>
      <c r="B1968" s="1" t="s">
        <v>2530</v>
      </c>
      <c r="C1968" s="1" t="s">
        <v>2531</v>
      </c>
      <c r="D1968" s="1" t="s">
        <v>5440</v>
      </c>
      <c r="E1968" s="1" t="s">
        <v>5558</v>
      </c>
      <c r="G1968" s="1" t="s">
        <v>1905</v>
      </c>
      <c r="H1968" s="1">
        <v>12.554206280000001</v>
      </c>
      <c r="I1968" s="1">
        <v>12.27179791</v>
      </c>
      <c r="J1968" s="1">
        <v>9.3470540110000009</v>
      </c>
      <c r="K1968" s="1">
        <v>9.0768165449999998</v>
      </c>
      <c r="L1968" s="1">
        <v>7.9381762550000001</v>
      </c>
      <c r="M1968" s="1">
        <v>7.9815279830000003</v>
      </c>
      <c r="N1968" s="1">
        <v>12.048167769999999</v>
      </c>
      <c r="O1968" s="1">
        <v>12.18393021</v>
      </c>
      <c r="P1968" s="1">
        <v>9.9457728729999992</v>
      </c>
      <c r="Q1968" s="1">
        <v>9.9208059429999995</v>
      </c>
      <c r="R1968" s="1">
        <v>9.2000539789999998</v>
      </c>
      <c r="S1968" s="1">
        <v>9.2637702169999994</v>
      </c>
      <c r="T1968" s="1">
        <v>7.9381762550000001</v>
      </c>
      <c r="U1968" s="1">
        <v>7.9815279830000003</v>
      </c>
      <c r="V1968" s="1">
        <v>8.2024945299999992</v>
      </c>
      <c r="W1968" s="1">
        <v>8.1574524920000009</v>
      </c>
      <c r="X1968" s="1">
        <v>9.2132911289999999</v>
      </c>
      <c r="Y1968" s="1">
        <v>8.8522032970000009</v>
      </c>
      <c r="Z1968" s="1">
        <v>9.2000539789999998</v>
      </c>
      <c r="AA1968" s="1">
        <v>9.2637702169999994</v>
      </c>
      <c r="AB1968" s="1">
        <v>9.2218849820000006</v>
      </c>
      <c r="AC1968" s="1">
        <v>9.1420834929999995</v>
      </c>
      <c r="AD1968" s="1">
        <v>9.3295068079999997</v>
      </c>
      <c r="AE1968" s="1">
        <v>9.2841052309999998</v>
      </c>
    </row>
    <row r="1969" spans="1:31" x14ac:dyDescent="0.25">
      <c r="A1969" s="1" t="s">
        <v>1906</v>
      </c>
      <c r="B1969" s="1" t="s">
        <v>2662</v>
      </c>
      <c r="C1969" s="1" t="s">
        <v>3721</v>
      </c>
      <c r="D1969" s="1" t="s">
        <v>4060</v>
      </c>
      <c r="E1969" s="1" t="s">
        <v>5559</v>
      </c>
      <c r="G1969" s="1" t="s">
        <v>1906</v>
      </c>
      <c r="H1969" s="1">
        <v>5.1686839359999999</v>
      </c>
      <c r="I1969" s="1">
        <v>5.4447012069999996</v>
      </c>
      <c r="J1969" s="1">
        <v>4.5940881259999999</v>
      </c>
      <c r="K1969" s="1">
        <v>4.8139921829999999</v>
      </c>
      <c r="L1969" s="1">
        <v>5.05907325</v>
      </c>
      <c r="M1969" s="1">
        <v>5.2356861500000003</v>
      </c>
      <c r="N1969" s="1">
        <v>5.8460635029999999</v>
      </c>
      <c r="O1969" s="1">
        <v>5.5323462069999998</v>
      </c>
      <c r="P1969" s="1">
        <v>4.9062897479999998</v>
      </c>
      <c r="Q1969" s="1">
        <v>4.9365262349999997</v>
      </c>
      <c r="R1969" s="1">
        <v>5.1472208640000003</v>
      </c>
      <c r="S1969" s="1">
        <v>4.3135540739999998</v>
      </c>
      <c r="T1969" s="1">
        <v>5.05907325</v>
      </c>
      <c r="U1969" s="1">
        <v>5.2356861500000003</v>
      </c>
      <c r="V1969" s="1">
        <v>4.8566239800000002</v>
      </c>
      <c r="W1969" s="1">
        <v>4.6166922860000001</v>
      </c>
      <c r="X1969" s="1">
        <v>4.9146300209999998</v>
      </c>
      <c r="Y1969" s="1">
        <v>5.0128502209999999</v>
      </c>
      <c r="Z1969" s="1">
        <v>5.1472208640000003</v>
      </c>
      <c r="AA1969" s="1">
        <v>4.3135540739999998</v>
      </c>
      <c r="AB1969" s="1">
        <v>4.8804215500000003</v>
      </c>
      <c r="AC1969" s="1">
        <v>4.1685844940000001</v>
      </c>
      <c r="AD1969" s="1">
        <v>4.2005997429999997</v>
      </c>
      <c r="AE1969" s="1">
        <v>4.7290680490000003</v>
      </c>
    </row>
    <row r="1970" spans="1:31" x14ac:dyDescent="0.25">
      <c r="A1970" s="1" t="s">
        <v>1907</v>
      </c>
      <c r="B1970" s="1" t="s">
        <v>2530</v>
      </c>
      <c r="C1970" s="1" t="s">
        <v>2573</v>
      </c>
      <c r="D1970" s="1" t="s">
        <v>2535</v>
      </c>
      <c r="E1970" s="1" t="s">
        <v>5560</v>
      </c>
      <c r="G1970" s="1" t="s">
        <v>1907</v>
      </c>
      <c r="H1970" s="1">
        <v>4.9322401630000003</v>
      </c>
      <c r="I1970" s="1">
        <v>5.4817092260000004</v>
      </c>
      <c r="J1970" s="1">
        <v>4.1077874330000004</v>
      </c>
      <c r="K1970" s="1">
        <v>4.6734567340000002</v>
      </c>
      <c r="L1970" s="1">
        <v>4.5867597299999998</v>
      </c>
      <c r="M1970" s="1">
        <v>4.3473799800000004</v>
      </c>
      <c r="N1970" s="1">
        <v>5.1887139119999999</v>
      </c>
      <c r="O1970" s="1">
        <v>4.9028628039999997</v>
      </c>
      <c r="P1970" s="1">
        <v>4.0684607960000001</v>
      </c>
      <c r="Q1970" s="1">
        <v>4.4575363990000003</v>
      </c>
      <c r="R1970" s="1">
        <v>3.7109484589999999</v>
      </c>
      <c r="S1970" s="1">
        <v>2.9034795349999998</v>
      </c>
      <c r="T1970" s="1">
        <v>4.5867597299999998</v>
      </c>
      <c r="U1970" s="1">
        <v>4.3473799800000004</v>
      </c>
      <c r="V1970" s="1">
        <v>4.3879408260000003</v>
      </c>
      <c r="W1970" s="1">
        <v>4.9190341039999996</v>
      </c>
      <c r="X1970" s="1">
        <v>4.1686775799999998</v>
      </c>
      <c r="Y1970" s="1">
        <v>5.2297915760000002</v>
      </c>
      <c r="Z1970" s="1">
        <v>3.7109484589999999</v>
      </c>
      <c r="AA1970" s="1">
        <v>2.9034795349999998</v>
      </c>
      <c r="AB1970" s="1">
        <v>4.2729702720000002</v>
      </c>
      <c r="AC1970" s="1">
        <v>3.9750819590000002</v>
      </c>
      <c r="AD1970" s="1">
        <v>3.984188064</v>
      </c>
      <c r="AE1970" s="1">
        <v>4.4163948289999997</v>
      </c>
    </row>
    <row r="1971" spans="1:31" x14ac:dyDescent="0.25">
      <c r="A1971" s="1" t="s">
        <v>1910</v>
      </c>
      <c r="B1971" s="1" t="s">
        <v>2547</v>
      </c>
      <c r="C1971" s="1" t="s">
        <v>2789</v>
      </c>
      <c r="D1971" s="1" t="s">
        <v>2535</v>
      </c>
      <c r="E1971" s="1" t="s">
        <v>5561</v>
      </c>
      <c r="G1971" s="1" t="s">
        <v>1910</v>
      </c>
      <c r="H1971" s="1">
        <v>1.7393328349999999</v>
      </c>
      <c r="I1971" s="1">
        <v>1.7393328349999999</v>
      </c>
      <c r="J1971" s="1">
        <v>2.5640169199999998</v>
      </c>
      <c r="K1971" s="1">
        <v>1.7393328349999999</v>
      </c>
      <c r="L1971" s="1">
        <v>1.7393328349999999</v>
      </c>
      <c r="M1971" s="1">
        <v>1.7393328349999999</v>
      </c>
      <c r="N1971" s="1">
        <v>2.372908427</v>
      </c>
      <c r="O1971" s="1">
        <v>1.7393328349999999</v>
      </c>
      <c r="P1971" s="1">
        <v>1.7393328349999999</v>
      </c>
      <c r="Q1971" s="1">
        <v>1.7393328349999999</v>
      </c>
      <c r="R1971" s="1">
        <v>1.7393328349999999</v>
      </c>
      <c r="S1971" s="1">
        <v>1.7393328349999999</v>
      </c>
      <c r="T1971" s="1">
        <v>1.7393328349999999</v>
      </c>
      <c r="U1971" s="1">
        <v>1.7393328349999999</v>
      </c>
      <c r="V1971" s="1">
        <v>1.7393328349999999</v>
      </c>
      <c r="W1971" s="1">
        <v>1.7393328349999999</v>
      </c>
      <c r="X1971" s="1">
        <v>1.7393328349999999</v>
      </c>
      <c r="Y1971" s="1">
        <v>1.7393328349999999</v>
      </c>
      <c r="Z1971" s="1">
        <v>1.7393328349999999</v>
      </c>
      <c r="AA1971" s="1">
        <v>1.7393328349999999</v>
      </c>
      <c r="AB1971" s="1">
        <v>1.7393328349999999</v>
      </c>
      <c r="AC1971" s="1">
        <v>2.87258916</v>
      </c>
      <c r="AD1971" s="1">
        <v>1.7393328349999999</v>
      </c>
      <c r="AE1971" s="1">
        <v>1.7393328349999999</v>
      </c>
    </row>
    <row r="1972" spans="1:31" x14ac:dyDescent="0.25">
      <c r="A1972" s="1" t="s">
        <v>1918</v>
      </c>
      <c r="B1972" s="1" t="s">
        <v>2520</v>
      </c>
      <c r="C1972" s="1" t="s">
        <v>2521</v>
      </c>
      <c r="D1972" s="1" t="s">
        <v>2753</v>
      </c>
      <c r="E1972" s="1" t="s">
        <v>2982</v>
      </c>
      <c r="G1972" s="1" t="s">
        <v>1918</v>
      </c>
      <c r="H1972" s="1">
        <v>5.7790807539999998</v>
      </c>
      <c r="I1972" s="1">
        <v>5.8358262759999997</v>
      </c>
      <c r="J1972" s="1">
        <v>4.7243317210000004</v>
      </c>
      <c r="K1972" s="1">
        <v>4.4318297590000002</v>
      </c>
      <c r="L1972" s="1">
        <v>5.3368026579999999</v>
      </c>
      <c r="M1972" s="1">
        <v>5.6393255609999997</v>
      </c>
      <c r="N1972" s="1">
        <v>5.4930242160000002</v>
      </c>
      <c r="O1972" s="1">
        <v>5.4117878270000004</v>
      </c>
      <c r="P1972" s="1">
        <v>5.4976972829999999</v>
      </c>
      <c r="Q1972" s="1">
        <v>5.1511590549999999</v>
      </c>
      <c r="R1972" s="1">
        <v>4.6795267799999998</v>
      </c>
      <c r="S1972" s="1">
        <v>5.3915434019999999</v>
      </c>
      <c r="T1972" s="1">
        <v>5.3368026579999999</v>
      </c>
      <c r="U1972" s="1">
        <v>5.6393255609999997</v>
      </c>
      <c r="V1972" s="1">
        <v>5.4882083000000002</v>
      </c>
      <c r="W1972" s="1">
        <v>5.3792812999999997</v>
      </c>
      <c r="X1972" s="1">
        <v>5.2866392680000001</v>
      </c>
      <c r="Y1972" s="1">
        <v>5.3269702959999998</v>
      </c>
      <c r="Z1972" s="1">
        <v>4.6795267799999998</v>
      </c>
      <c r="AA1972" s="1">
        <v>5.3915434019999999</v>
      </c>
      <c r="AB1972" s="1">
        <v>3.6315729079999999</v>
      </c>
      <c r="AC1972" s="1">
        <v>5.4356573160000003</v>
      </c>
      <c r="AD1972" s="1">
        <v>4.6264106470000002</v>
      </c>
      <c r="AE1972" s="1">
        <v>5.2004631630000002</v>
      </c>
    </row>
    <row r="1973" spans="1:31" x14ac:dyDescent="0.25">
      <c r="A1973" s="1" t="s">
        <v>1920</v>
      </c>
      <c r="B1973" s="1" t="s">
        <v>2530</v>
      </c>
      <c r="C1973" s="1" t="s">
        <v>2573</v>
      </c>
      <c r="D1973" s="1" t="s">
        <v>2535</v>
      </c>
      <c r="E1973" s="1" t="s">
        <v>3328</v>
      </c>
      <c r="G1973" s="1" t="s">
        <v>1920</v>
      </c>
      <c r="H1973" s="1">
        <v>4.4805534380000003</v>
      </c>
      <c r="I1973" s="1">
        <v>3.7806045529999999</v>
      </c>
      <c r="J1973" s="1">
        <v>4.2898244959999996</v>
      </c>
      <c r="K1973" s="1">
        <v>3.762021974</v>
      </c>
      <c r="L1973" s="1">
        <v>4.4478088219999998</v>
      </c>
      <c r="M1973" s="1">
        <v>4.1823509169999999</v>
      </c>
      <c r="N1973" s="1">
        <v>4.2617896110000002</v>
      </c>
      <c r="O1973" s="1">
        <v>4.6248126879999996</v>
      </c>
      <c r="P1973" s="1">
        <v>4.6160325330000003</v>
      </c>
      <c r="Q1973" s="1">
        <v>4.683187717</v>
      </c>
      <c r="R1973" s="1">
        <v>4.6795267799999998</v>
      </c>
      <c r="S1973" s="1">
        <v>4.6864044680000001</v>
      </c>
      <c r="T1973" s="1">
        <v>4.4478088219999998</v>
      </c>
      <c r="U1973" s="1">
        <v>4.1823509169999999</v>
      </c>
      <c r="V1973" s="1">
        <v>4.7533922439999996</v>
      </c>
      <c r="W1973" s="1">
        <v>4.8493412630000003</v>
      </c>
      <c r="X1973" s="1">
        <v>5.5620422200000004</v>
      </c>
      <c r="Y1973" s="1">
        <v>5.7329513619999997</v>
      </c>
      <c r="Z1973" s="1">
        <v>4.6795267799999998</v>
      </c>
      <c r="AA1973" s="1">
        <v>4.6864044680000001</v>
      </c>
      <c r="AB1973" s="1">
        <v>5.6280506069999996</v>
      </c>
      <c r="AC1973" s="1">
        <v>5.5407520860000004</v>
      </c>
      <c r="AD1973" s="1">
        <v>5.5945353439999996</v>
      </c>
      <c r="AE1973" s="1">
        <v>5.5139573549999996</v>
      </c>
    </row>
    <row r="1974" spans="1:31" x14ac:dyDescent="0.25">
      <c r="A1974" s="1" t="s">
        <v>1928</v>
      </c>
      <c r="B1974" s="1" t="s">
        <v>2542</v>
      </c>
      <c r="C1974" s="1" t="s">
        <v>2543</v>
      </c>
      <c r="D1974" s="1" t="s">
        <v>2776</v>
      </c>
      <c r="E1974" s="1" t="s">
        <v>5562</v>
      </c>
      <c r="F1974" s="1" t="s">
        <v>5563</v>
      </c>
      <c r="G1974" s="1" t="s">
        <v>1928</v>
      </c>
      <c r="H1974" s="1">
        <v>5.946332924</v>
      </c>
      <c r="I1974" s="1">
        <v>6.9096458590000003</v>
      </c>
      <c r="J1974" s="1">
        <v>5.8310524639999999</v>
      </c>
      <c r="K1974" s="1">
        <v>5.5719358019999996</v>
      </c>
      <c r="L1974" s="1">
        <v>6.5465837359999997</v>
      </c>
      <c r="M1974" s="1">
        <v>6.4651725329999996</v>
      </c>
      <c r="N1974" s="1">
        <v>5.8460635029999999</v>
      </c>
      <c r="O1974" s="1">
        <v>5.5323462069999998</v>
      </c>
      <c r="P1974" s="1">
        <v>6.1074648529999997</v>
      </c>
      <c r="Q1974" s="1">
        <v>6.3122380549999999</v>
      </c>
      <c r="R1974" s="1">
        <v>6.3726832150000003</v>
      </c>
      <c r="S1974" s="1">
        <v>6.4967339439999998</v>
      </c>
      <c r="T1974" s="1">
        <v>6.5465837359999997</v>
      </c>
      <c r="U1974" s="1">
        <v>6.4651725329999996</v>
      </c>
      <c r="V1974" s="1">
        <v>7.2437271340000002</v>
      </c>
      <c r="W1974" s="1">
        <v>6.8808600269999998</v>
      </c>
      <c r="X1974" s="1">
        <v>6.6810290930000003</v>
      </c>
      <c r="Y1974" s="1">
        <v>6.6624835610000002</v>
      </c>
      <c r="Z1974" s="1">
        <v>6.3726832150000003</v>
      </c>
      <c r="AA1974" s="1">
        <v>6.4967339439999998</v>
      </c>
      <c r="AB1974" s="1">
        <v>6.4527679449999997</v>
      </c>
      <c r="AC1974" s="1">
        <v>6.1612901029999998</v>
      </c>
      <c r="AD1974" s="1">
        <v>6.1657997020000002</v>
      </c>
      <c r="AE1974" s="1">
        <v>6.2514942319999998</v>
      </c>
    </row>
    <row r="1975" spans="1:31" x14ac:dyDescent="0.25">
      <c r="A1975" s="1" t="s">
        <v>1929</v>
      </c>
      <c r="B1975" s="1" t="s">
        <v>2547</v>
      </c>
      <c r="C1975" s="1" t="s">
        <v>2622</v>
      </c>
      <c r="D1975" s="1" t="s">
        <v>5307</v>
      </c>
      <c r="E1975" s="1" t="s">
        <v>2932</v>
      </c>
      <c r="G1975" s="1" t="s">
        <v>1929</v>
      </c>
      <c r="H1975" s="1">
        <v>6.4696957609999997</v>
      </c>
      <c r="I1975" s="1">
        <v>6.7527702749999996</v>
      </c>
      <c r="J1975" s="1">
        <v>6.2053027219999999</v>
      </c>
      <c r="K1975" s="1">
        <v>6.6677525500000003</v>
      </c>
      <c r="L1975" s="1">
        <v>6.7267116079999996</v>
      </c>
      <c r="M1975" s="1">
        <v>6.7396661670000002</v>
      </c>
      <c r="N1975" s="1">
        <v>6.4435100419999998</v>
      </c>
      <c r="O1975" s="1">
        <v>6.5373998999999996</v>
      </c>
      <c r="P1975" s="1">
        <v>6.59966688</v>
      </c>
      <c r="Q1975" s="1">
        <v>6.123526483</v>
      </c>
      <c r="R1975" s="1">
        <v>6.4547978119999998</v>
      </c>
      <c r="S1975" s="1">
        <v>5.8319244149999996</v>
      </c>
      <c r="T1975" s="1">
        <v>6.7267116079999996</v>
      </c>
      <c r="U1975" s="1">
        <v>6.7396661670000002</v>
      </c>
      <c r="V1975" s="1">
        <v>6.433314288</v>
      </c>
      <c r="W1975" s="1">
        <v>5.9736131119999998</v>
      </c>
      <c r="X1975" s="1">
        <v>6.1910758819999998</v>
      </c>
      <c r="Y1975" s="1">
        <v>6.2347231909999996</v>
      </c>
      <c r="Z1975" s="1">
        <v>6.4547978119999998</v>
      </c>
      <c r="AA1975" s="1">
        <v>5.8319244149999996</v>
      </c>
      <c r="AB1975" s="1">
        <v>6.6559655099999997</v>
      </c>
      <c r="AC1975" s="1">
        <v>6.5096691079999998</v>
      </c>
      <c r="AD1975" s="1">
        <v>6.3732854110000003</v>
      </c>
      <c r="AE1975" s="1">
        <v>6.5826869190000004</v>
      </c>
    </row>
    <row r="1976" spans="1:31" x14ac:dyDescent="0.25">
      <c r="A1976" s="1" t="s">
        <v>1930</v>
      </c>
      <c r="B1976" s="1" t="s">
        <v>2530</v>
      </c>
      <c r="C1976" s="1" t="s">
        <v>2573</v>
      </c>
      <c r="D1976" s="1" t="s">
        <v>2535</v>
      </c>
      <c r="E1976" s="1" t="s">
        <v>5564</v>
      </c>
      <c r="G1976" s="1" t="s">
        <v>1930</v>
      </c>
      <c r="H1976" s="1">
        <v>4.7972697699999998</v>
      </c>
      <c r="I1976" s="1">
        <v>5.0595268689999999</v>
      </c>
      <c r="J1976" s="1">
        <v>5.2817155790000001</v>
      </c>
      <c r="K1976" s="1">
        <v>5.2180867539999998</v>
      </c>
      <c r="L1976" s="1">
        <v>5.2153292420000001</v>
      </c>
      <c r="M1976" s="1">
        <v>5.2356861500000003</v>
      </c>
      <c r="N1976" s="1">
        <v>5.5548950010000002</v>
      </c>
      <c r="O1976" s="1">
        <v>5.4117878270000004</v>
      </c>
      <c r="P1976" s="1">
        <v>5.3522904530000002</v>
      </c>
      <c r="Q1976" s="1">
        <v>5.6846114249999999</v>
      </c>
      <c r="R1976" s="1">
        <v>5.1472208640000003</v>
      </c>
      <c r="S1976" s="1">
        <v>5.5773053920000004</v>
      </c>
      <c r="T1976" s="1">
        <v>5.2153292420000001</v>
      </c>
      <c r="U1976" s="1">
        <v>5.2356861500000003</v>
      </c>
      <c r="V1976" s="1">
        <v>4.9527859210000003</v>
      </c>
      <c r="W1976" s="1">
        <v>5.329276363</v>
      </c>
      <c r="X1976" s="1">
        <v>5.2147349050000003</v>
      </c>
      <c r="Y1976" s="1">
        <v>4.3509215530000001</v>
      </c>
      <c r="Z1976" s="1">
        <v>5.1472208640000003</v>
      </c>
      <c r="AA1976" s="1">
        <v>5.5773053920000004</v>
      </c>
      <c r="AB1976" s="1">
        <v>5.1073354020000004</v>
      </c>
      <c r="AC1976" s="1">
        <v>5.471555994</v>
      </c>
      <c r="AD1976" s="1">
        <v>5.5186611069999998</v>
      </c>
      <c r="AE1976" s="1">
        <v>5.4097399240000001</v>
      </c>
    </row>
    <row r="1977" spans="1:31" x14ac:dyDescent="0.25">
      <c r="A1977" s="1" t="s">
        <v>1932</v>
      </c>
      <c r="B1977" s="1" t="s">
        <v>2557</v>
      </c>
      <c r="C1977" s="1" t="s">
        <v>2967</v>
      </c>
      <c r="D1977" s="1" t="s">
        <v>2989</v>
      </c>
      <c r="E1977" s="1" t="s">
        <v>5565</v>
      </c>
      <c r="F1977" s="1" t="s">
        <v>5566</v>
      </c>
      <c r="G1977" s="1" t="s">
        <v>1932</v>
      </c>
      <c r="H1977" s="1">
        <v>6.9964650620000004</v>
      </c>
      <c r="I1977" s="1">
        <v>6.0227272230000004</v>
      </c>
      <c r="J1977" s="1">
        <v>5.8592801899999998</v>
      </c>
      <c r="K1977" s="1">
        <v>5.7554847420000002</v>
      </c>
      <c r="L1977" s="1">
        <v>6.111512565</v>
      </c>
      <c r="M1977" s="1">
        <v>5.7391643339999998</v>
      </c>
      <c r="N1977" s="1">
        <v>6.6172484750000002</v>
      </c>
      <c r="O1977" s="1">
        <v>6.5714196759999997</v>
      </c>
      <c r="P1977" s="1">
        <v>5.3134950500000002</v>
      </c>
      <c r="Q1977" s="1">
        <v>5.2473923969999996</v>
      </c>
      <c r="R1977" s="1">
        <v>5.4981688889999996</v>
      </c>
      <c r="S1977" s="1">
        <v>5.6781703969999997</v>
      </c>
      <c r="T1977" s="1">
        <v>6.111512565</v>
      </c>
      <c r="U1977" s="1">
        <v>5.7391643339999998</v>
      </c>
      <c r="V1977" s="1">
        <v>6.2012354710000004</v>
      </c>
      <c r="W1977" s="1">
        <v>5.726489559</v>
      </c>
      <c r="X1977" s="1">
        <v>6.9017594349999998</v>
      </c>
      <c r="Y1977" s="1">
        <v>6.2836980430000002</v>
      </c>
      <c r="Z1977" s="1">
        <v>5.4981688889999996</v>
      </c>
      <c r="AA1977" s="1">
        <v>5.6781703969999997</v>
      </c>
      <c r="AB1977" s="1">
        <v>5.8927983030000002</v>
      </c>
      <c r="AC1977" s="1">
        <v>6.3651376319999997</v>
      </c>
      <c r="AD1977" s="1">
        <v>6.5919351060000002</v>
      </c>
      <c r="AE1977" s="1">
        <v>6.6661093170000001</v>
      </c>
    </row>
    <row r="1978" spans="1:31" x14ac:dyDescent="0.25">
      <c r="A1978" s="1" t="s">
        <v>1933</v>
      </c>
      <c r="B1978" s="1" t="s">
        <v>2557</v>
      </c>
      <c r="C1978" s="1" t="s">
        <v>2967</v>
      </c>
      <c r="D1978" s="1" t="s">
        <v>2989</v>
      </c>
      <c r="E1978" s="1" t="s">
        <v>5567</v>
      </c>
      <c r="F1978" s="1" t="s">
        <v>5568</v>
      </c>
      <c r="G1978" s="1" t="s">
        <v>1933</v>
      </c>
      <c r="H1978" s="1">
        <v>7.4716373970000003</v>
      </c>
      <c r="I1978" s="1">
        <v>7.603830694</v>
      </c>
      <c r="J1978" s="1">
        <v>7.4399935570000002</v>
      </c>
      <c r="K1978" s="1">
        <v>7.1450778140000004</v>
      </c>
      <c r="L1978" s="1">
        <v>7.2514675669999997</v>
      </c>
      <c r="M1978" s="1">
        <v>7.3241691099999997</v>
      </c>
      <c r="N1978" s="1">
        <v>8.0994254380000008</v>
      </c>
      <c r="O1978" s="1">
        <v>7.9012014170000002</v>
      </c>
      <c r="P1978" s="1">
        <v>7.3555228489999998</v>
      </c>
      <c r="Q1978" s="1">
        <v>7.3629844279999999</v>
      </c>
      <c r="R1978" s="1">
        <v>7.5195484720000003</v>
      </c>
      <c r="S1978" s="1">
        <v>7.3556661600000002</v>
      </c>
      <c r="T1978" s="1">
        <v>7.2514675669999997</v>
      </c>
      <c r="U1978" s="1">
        <v>7.3241691099999997</v>
      </c>
      <c r="V1978" s="1">
        <v>8.1433378839999992</v>
      </c>
      <c r="W1978" s="1">
        <v>8.0694039760000003</v>
      </c>
      <c r="X1978" s="1">
        <v>8.5194728360000003</v>
      </c>
      <c r="Y1978" s="1">
        <v>8.5313928699999995</v>
      </c>
      <c r="Z1978" s="1">
        <v>7.5195484720000003</v>
      </c>
      <c r="AA1978" s="1">
        <v>7.3556661600000002</v>
      </c>
      <c r="AB1978" s="1">
        <v>8.0389150980000004</v>
      </c>
      <c r="AC1978" s="1">
        <v>8.1451390279999991</v>
      </c>
      <c r="AD1978" s="1">
        <v>8.5407774090000004</v>
      </c>
      <c r="AE1978" s="1">
        <v>8.7147927339999995</v>
      </c>
    </row>
    <row r="1979" spans="1:31" x14ac:dyDescent="0.25">
      <c r="A1979" s="1" t="s">
        <v>1945</v>
      </c>
      <c r="B1979" s="1" t="s">
        <v>2542</v>
      </c>
      <c r="C1979" s="1" t="s">
        <v>2543</v>
      </c>
      <c r="D1979" s="1" t="s">
        <v>3111</v>
      </c>
      <c r="E1979" s="1" t="s">
        <v>5569</v>
      </c>
      <c r="F1979" s="1" t="s">
        <v>5570</v>
      </c>
      <c r="G1979" s="1" t="s">
        <v>1945</v>
      </c>
      <c r="H1979" s="1">
        <v>6.9500875559999997</v>
      </c>
      <c r="I1979" s="1">
        <v>6.6268866429999997</v>
      </c>
      <c r="J1979" s="1">
        <v>5.7428701560000004</v>
      </c>
      <c r="K1979" s="1">
        <v>6.091743707</v>
      </c>
      <c r="L1979" s="1">
        <v>5.6647229430000001</v>
      </c>
      <c r="M1979" s="1">
        <v>5.7583226490000001</v>
      </c>
      <c r="N1979" s="1">
        <v>6.6831081809999997</v>
      </c>
      <c r="O1979" s="1">
        <v>6.7989962650000004</v>
      </c>
      <c r="P1979" s="1">
        <v>6.3745240839999999</v>
      </c>
      <c r="Q1979" s="1">
        <v>6.098094251</v>
      </c>
      <c r="R1979" s="1">
        <v>5.3334881589999998</v>
      </c>
      <c r="S1979" s="1">
        <v>5.8890842929999998</v>
      </c>
      <c r="T1979" s="1">
        <v>5.6647229430000001</v>
      </c>
      <c r="U1979" s="1">
        <v>5.7583226490000001</v>
      </c>
      <c r="V1979" s="1">
        <v>6.0372236819999996</v>
      </c>
      <c r="W1979" s="1">
        <v>5.872872095</v>
      </c>
      <c r="X1979" s="1">
        <v>5.6186994139999999</v>
      </c>
      <c r="Y1979" s="1">
        <v>5.8995743010000004</v>
      </c>
      <c r="Z1979" s="1">
        <v>5.3334881589999998</v>
      </c>
      <c r="AA1979" s="1">
        <v>5.8890842929999998</v>
      </c>
      <c r="AB1979" s="1">
        <v>5.8098709350000002</v>
      </c>
      <c r="AC1979" s="1">
        <v>5.8163513240000002</v>
      </c>
      <c r="AD1979" s="1">
        <v>5.9522696560000004</v>
      </c>
      <c r="AE1979" s="1">
        <v>5.9593974410000001</v>
      </c>
    </row>
    <row r="1980" spans="1:31" x14ac:dyDescent="0.25">
      <c r="A1980" s="1" t="s">
        <v>1946</v>
      </c>
      <c r="B1980" s="1" t="s">
        <v>2530</v>
      </c>
      <c r="C1980" s="1" t="s">
        <v>2531</v>
      </c>
      <c r="D1980" s="1" t="s">
        <v>2535</v>
      </c>
      <c r="E1980" s="1" t="s">
        <v>2536</v>
      </c>
      <c r="G1980" s="1" t="s">
        <v>1946</v>
      </c>
      <c r="H1980" s="1">
        <v>3.8023684370000002</v>
      </c>
      <c r="I1980" s="1">
        <v>5.1078624770000003</v>
      </c>
      <c r="J1980" s="1">
        <v>6.0910626519999997</v>
      </c>
      <c r="K1980" s="1">
        <v>5.6105789259999996</v>
      </c>
      <c r="L1980" s="1">
        <v>6.5298006300000004</v>
      </c>
      <c r="M1980" s="1">
        <v>6.6606413570000003</v>
      </c>
      <c r="N1980" s="1">
        <v>5.5548950010000002</v>
      </c>
      <c r="O1980" s="1">
        <v>5.3864027800000001</v>
      </c>
      <c r="P1980" s="1">
        <v>6.5835451750000002</v>
      </c>
      <c r="Q1980" s="1">
        <v>6.7311802209999998</v>
      </c>
      <c r="R1980" s="1">
        <v>6.588102728</v>
      </c>
      <c r="S1980" s="1">
        <v>6.8669102400000002</v>
      </c>
      <c r="T1980" s="1">
        <v>6.5298006300000004</v>
      </c>
      <c r="U1980" s="1">
        <v>6.6606413570000003</v>
      </c>
      <c r="V1980" s="1">
        <v>6.1419042490000004</v>
      </c>
      <c r="W1980" s="1">
        <v>6.1843530070000003</v>
      </c>
      <c r="X1980" s="1">
        <v>6.6085543170000003</v>
      </c>
      <c r="Y1980" s="1">
        <v>6.2095953220000002</v>
      </c>
      <c r="Z1980" s="1">
        <v>6.588102728</v>
      </c>
      <c r="AA1980" s="1">
        <v>6.8669102400000002</v>
      </c>
      <c r="AB1980" s="1">
        <v>6.7025789319999998</v>
      </c>
      <c r="AC1980" s="1">
        <v>6.6092721640000001</v>
      </c>
      <c r="AD1980" s="1">
        <v>6.6985326699999996</v>
      </c>
      <c r="AE1980" s="1">
        <v>6.719154037</v>
      </c>
    </row>
    <row r="1981" spans="1:31" x14ac:dyDescent="0.25">
      <c r="A1981" s="1" t="s">
        <v>1947</v>
      </c>
      <c r="B1981" s="1" t="s">
        <v>2530</v>
      </c>
      <c r="C1981" s="1" t="s">
        <v>2531</v>
      </c>
      <c r="D1981" s="1" t="s">
        <v>2535</v>
      </c>
      <c r="E1981" s="1" t="s">
        <v>2536</v>
      </c>
      <c r="G1981" s="1" t="s">
        <v>1947</v>
      </c>
      <c r="H1981" s="1">
        <v>6.3556221559999999</v>
      </c>
      <c r="I1981" s="1">
        <v>6.0719413549999999</v>
      </c>
      <c r="J1981" s="1">
        <v>3.8969924050000002</v>
      </c>
      <c r="K1981" s="1">
        <v>3.8998480660000001</v>
      </c>
      <c r="L1981" s="1">
        <v>3.2097511390000002</v>
      </c>
      <c r="M1981" s="1">
        <v>3.169085575</v>
      </c>
      <c r="N1981" s="1">
        <v>5.7078727669999996</v>
      </c>
      <c r="O1981" s="1">
        <v>6.2873774889999998</v>
      </c>
      <c r="P1981" s="1">
        <v>3.6116823170000001</v>
      </c>
      <c r="Q1981" s="1">
        <v>3.8492287269999999</v>
      </c>
      <c r="R1981" s="1">
        <v>2.9339002829999998</v>
      </c>
      <c r="S1981" s="1">
        <v>3.1475403900000001</v>
      </c>
      <c r="T1981" s="1">
        <v>3.2097511390000002</v>
      </c>
      <c r="U1981" s="1">
        <v>3.169085575</v>
      </c>
      <c r="V1981" s="1">
        <v>3.6670520409999998</v>
      </c>
      <c r="W1981" s="1">
        <v>3.9848641250000001</v>
      </c>
      <c r="X1981" s="1">
        <v>3.8119046220000001</v>
      </c>
      <c r="Y1981" s="1">
        <v>3.9087436480000002</v>
      </c>
      <c r="Z1981" s="1">
        <v>2.9339002829999998</v>
      </c>
      <c r="AA1981" s="1">
        <v>3.1475403900000001</v>
      </c>
      <c r="AB1981" s="1">
        <v>3.404153038</v>
      </c>
      <c r="AC1981" s="1">
        <v>3.8665622239999999</v>
      </c>
      <c r="AD1981" s="1">
        <v>3.8610926929999998</v>
      </c>
      <c r="AE1981" s="1">
        <v>3.8864783150000002</v>
      </c>
    </row>
    <row r="1982" spans="1:31" x14ac:dyDescent="0.25">
      <c r="A1982" s="1" t="s">
        <v>1950</v>
      </c>
      <c r="B1982" s="1" t="s">
        <v>2648</v>
      </c>
      <c r="C1982" s="1" t="s">
        <v>2649</v>
      </c>
      <c r="D1982" s="1" t="s">
        <v>5571</v>
      </c>
      <c r="E1982" s="1" t="s">
        <v>5572</v>
      </c>
      <c r="F1982" s="1" t="s">
        <v>4620</v>
      </c>
      <c r="G1982" s="1" t="s">
        <v>1950</v>
      </c>
      <c r="H1982" s="1">
        <v>4.183793842</v>
      </c>
      <c r="I1982" s="1">
        <v>3.9003964459999998</v>
      </c>
      <c r="J1982" s="1">
        <v>5.7122264270000001</v>
      </c>
      <c r="K1982" s="1">
        <v>5.8227835140000002</v>
      </c>
      <c r="L1982" s="1">
        <v>5.9054534529999998</v>
      </c>
      <c r="M1982" s="1">
        <v>5.9537101330000004</v>
      </c>
      <c r="N1982" s="1">
        <v>3.344961128</v>
      </c>
      <c r="O1982" s="1">
        <v>3.6346882059999999</v>
      </c>
      <c r="P1982" s="1">
        <v>5.9144375350000002</v>
      </c>
      <c r="Q1982" s="1">
        <v>6.0722034220000003</v>
      </c>
      <c r="R1982" s="1">
        <v>6.4143264479999997</v>
      </c>
      <c r="S1982" s="1">
        <v>5.8607892960000001</v>
      </c>
      <c r="T1982" s="1">
        <v>5.9054534529999998</v>
      </c>
      <c r="U1982" s="1">
        <v>5.9537101330000004</v>
      </c>
      <c r="V1982" s="1">
        <v>5.4230002329999998</v>
      </c>
      <c r="W1982" s="1">
        <v>5.7645115660000004</v>
      </c>
      <c r="X1982" s="1">
        <v>6.0475048180000002</v>
      </c>
      <c r="Y1982" s="1">
        <v>5.1254702539999997</v>
      </c>
      <c r="Z1982" s="1">
        <v>6.4143264479999997</v>
      </c>
      <c r="AA1982" s="1">
        <v>5.8607892960000001</v>
      </c>
      <c r="AB1982" s="1">
        <v>6.1161870470000004</v>
      </c>
      <c r="AC1982" s="1">
        <v>6.0708982899999997</v>
      </c>
      <c r="AD1982" s="1">
        <v>5.9522696560000004</v>
      </c>
      <c r="AE1982" s="1">
        <v>5.8364806040000001</v>
      </c>
    </row>
    <row r="1983" spans="1:31" x14ac:dyDescent="0.25">
      <c r="A1983" s="1" t="s">
        <v>1954</v>
      </c>
      <c r="B1983" s="1" t="s">
        <v>2942</v>
      </c>
      <c r="C1983" s="1" t="s">
        <v>2943</v>
      </c>
      <c r="D1983" s="1" t="s">
        <v>4921</v>
      </c>
      <c r="E1983" s="1" t="s">
        <v>5573</v>
      </c>
      <c r="F1983" s="1" t="s">
        <v>5574</v>
      </c>
      <c r="G1983" s="1" t="s">
        <v>1954</v>
      </c>
      <c r="H1983" s="1">
        <v>5.5485883999999999</v>
      </c>
      <c r="I1983" s="1">
        <v>6.0227272230000004</v>
      </c>
      <c r="J1983" s="1">
        <v>6.8211413800000003</v>
      </c>
      <c r="K1983" s="1">
        <v>6.55382379</v>
      </c>
      <c r="L1983" s="1">
        <v>7.2152162750000004</v>
      </c>
      <c r="M1983" s="1">
        <v>7.224718245</v>
      </c>
      <c r="N1983" s="1">
        <v>6.282777512</v>
      </c>
      <c r="O1983" s="1">
        <v>6.0664210660000002</v>
      </c>
      <c r="P1983" s="1">
        <v>6.9532582459999999</v>
      </c>
      <c r="Q1983" s="1">
        <v>6.9169289909999998</v>
      </c>
      <c r="R1983" s="1">
        <v>6.4143264479999997</v>
      </c>
      <c r="S1983" s="1">
        <v>6.478262194</v>
      </c>
      <c r="T1983" s="1">
        <v>7.2152162750000004</v>
      </c>
      <c r="U1983" s="1">
        <v>7.224718245</v>
      </c>
      <c r="V1983" s="1">
        <v>7.0097196070000001</v>
      </c>
      <c r="W1983" s="1">
        <v>7.0126858380000003</v>
      </c>
      <c r="X1983" s="1">
        <v>6.775075384</v>
      </c>
      <c r="Y1983" s="1">
        <v>6.6990194939999999</v>
      </c>
      <c r="Z1983" s="1">
        <v>6.4143264479999997</v>
      </c>
      <c r="AA1983" s="1">
        <v>6.478262194</v>
      </c>
      <c r="AB1983" s="1">
        <v>6.6559655099999997</v>
      </c>
      <c r="AC1983" s="1">
        <v>6.384018502</v>
      </c>
      <c r="AD1983" s="1">
        <v>6.2383411879999997</v>
      </c>
      <c r="AE1983" s="1">
        <v>6.4839450430000003</v>
      </c>
    </row>
    <row r="1984" spans="1:31" x14ac:dyDescent="0.25">
      <c r="A1984" s="1" t="s">
        <v>1955</v>
      </c>
      <c r="B1984" s="1" t="s">
        <v>2530</v>
      </c>
      <c r="C1984" s="1" t="s">
        <v>2531</v>
      </c>
      <c r="D1984" s="1" t="s">
        <v>2535</v>
      </c>
      <c r="E1984" s="1" t="s">
        <v>2536</v>
      </c>
      <c r="G1984" s="1" t="s">
        <v>1955</v>
      </c>
      <c r="H1984" s="1">
        <v>7.9274381160000003</v>
      </c>
      <c r="I1984" s="1">
        <v>7.3287621789999999</v>
      </c>
      <c r="J1984" s="1">
        <v>8.2833559369999996</v>
      </c>
      <c r="K1984" s="1">
        <v>7.9630641669999997</v>
      </c>
      <c r="L1984" s="1">
        <v>7.1175827470000002</v>
      </c>
      <c r="M1984" s="1">
        <v>7.4586404469999996</v>
      </c>
      <c r="N1984" s="1">
        <v>7.0033684479999998</v>
      </c>
      <c r="O1984" s="1">
        <v>7.1001027089999997</v>
      </c>
      <c r="P1984" s="1">
        <v>8.2364192700000007</v>
      </c>
      <c r="Q1984" s="1">
        <v>8.3174755769999997</v>
      </c>
      <c r="R1984" s="1">
        <v>8.4689613850000001</v>
      </c>
      <c r="S1984" s="1">
        <v>8.3108541319999993</v>
      </c>
      <c r="T1984" s="1">
        <v>7.1175827470000002</v>
      </c>
      <c r="U1984" s="1">
        <v>7.4586404469999996</v>
      </c>
      <c r="V1984" s="1">
        <v>7.6782525760000002</v>
      </c>
      <c r="W1984" s="1">
        <v>7.6810367299999998</v>
      </c>
      <c r="X1984" s="1">
        <v>7.7314362819999998</v>
      </c>
      <c r="Y1984" s="1">
        <v>7.7519140689999997</v>
      </c>
      <c r="Z1984" s="1">
        <v>8.4689613850000001</v>
      </c>
      <c r="AA1984" s="1">
        <v>8.3108541319999993</v>
      </c>
      <c r="AB1984" s="1">
        <v>7.8240379579999999</v>
      </c>
      <c r="AC1984" s="1">
        <v>8.059776008</v>
      </c>
      <c r="AD1984" s="1">
        <v>8.1484091729999992</v>
      </c>
      <c r="AE1984" s="1">
        <v>7.8972290149999997</v>
      </c>
    </row>
    <row r="1985" spans="1:31" x14ac:dyDescent="0.25">
      <c r="A1985" s="1" t="s">
        <v>1957</v>
      </c>
      <c r="B1985" s="1" t="s">
        <v>2525</v>
      </c>
      <c r="C1985" s="1" t="s">
        <v>2971</v>
      </c>
      <c r="D1985" s="1" t="s">
        <v>2535</v>
      </c>
      <c r="E1985" s="1" t="s">
        <v>5575</v>
      </c>
      <c r="F1985" s="1" t="s">
        <v>5576</v>
      </c>
      <c r="G1985" s="1" t="s">
        <v>1957</v>
      </c>
      <c r="H1985" s="1">
        <v>6.0380558219999996</v>
      </c>
      <c r="I1985" s="1">
        <v>6.5422250579999996</v>
      </c>
      <c r="J1985" s="1">
        <v>4.3724365990000003</v>
      </c>
      <c r="K1985" s="1">
        <v>4.1384138449999996</v>
      </c>
      <c r="L1985" s="1">
        <v>3.918224124</v>
      </c>
      <c r="M1985" s="1">
        <v>3.9251125939999998</v>
      </c>
      <c r="N1985" s="1">
        <v>5.6711351529999998</v>
      </c>
      <c r="O1985" s="1">
        <v>5.5552821830000001</v>
      </c>
      <c r="P1985" s="1">
        <v>4.8528499219999999</v>
      </c>
      <c r="Q1985" s="1">
        <v>4.7509440400000003</v>
      </c>
      <c r="R1985" s="1">
        <v>4.3698765340000003</v>
      </c>
      <c r="S1985" s="1">
        <v>3.7977317990000001</v>
      </c>
      <c r="T1985" s="1">
        <v>3.918224124</v>
      </c>
      <c r="U1985" s="1">
        <v>3.9251125939999998</v>
      </c>
      <c r="V1985" s="1">
        <v>4.2408545169999998</v>
      </c>
      <c r="W1985" s="1">
        <v>4.7760085830000003</v>
      </c>
      <c r="X1985" s="1">
        <v>4.5719855100000002</v>
      </c>
      <c r="Y1985" s="1">
        <v>4.5275934409999996</v>
      </c>
      <c r="Z1985" s="1">
        <v>4.3698765340000003</v>
      </c>
      <c r="AA1985" s="1">
        <v>3.7977317990000001</v>
      </c>
      <c r="AB1985" s="1">
        <v>4.2729702720000002</v>
      </c>
      <c r="AC1985" s="1">
        <v>3.8665622239999999</v>
      </c>
      <c r="AD1985" s="1">
        <v>4.6264106470000002</v>
      </c>
      <c r="AE1985" s="1">
        <v>4.7973769099999997</v>
      </c>
    </row>
    <row r="1986" spans="1:31" x14ac:dyDescent="0.25">
      <c r="A1986" s="1" t="s">
        <v>1959</v>
      </c>
      <c r="B1986" s="1" t="s">
        <v>2525</v>
      </c>
      <c r="C1986" s="1" t="s">
        <v>2526</v>
      </c>
      <c r="D1986" s="1" t="s">
        <v>2527</v>
      </c>
      <c r="E1986" s="1" t="s">
        <v>5577</v>
      </c>
      <c r="F1986" s="1" t="s">
        <v>2529</v>
      </c>
      <c r="G1986" s="1" t="s">
        <v>1959</v>
      </c>
      <c r="H1986" s="1">
        <v>3.2549621289999999</v>
      </c>
      <c r="I1986" s="1">
        <v>2.5655118899999998</v>
      </c>
      <c r="J1986" s="1">
        <v>2.5640169199999998</v>
      </c>
      <c r="K1986" s="1">
        <v>1.7393328349999999</v>
      </c>
      <c r="L1986" s="1">
        <v>2.315629231</v>
      </c>
      <c r="M1986" s="1">
        <v>2.665084539</v>
      </c>
      <c r="N1986" s="1">
        <v>2.372908427</v>
      </c>
      <c r="O1986" s="1">
        <v>3.193511794</v>
      </c>
      <c r="P1986" s="1">
        <v>2.8687501260000001</v>
      </c>
      <c r="Q1986" s="1">
        <v>3.185675432</v>
      </c>
      <c r="R1986" s="1">
        <v>2.595728008</v>
      </c>
      <c r="S1986" s="1">
        <v>2.9034795349999998</v>
      </c>
      <c r="T1986" s="1">
        <v>2.315629231</v>
      </c>
      <c r="U1986" s="1">
        <v>2.665084539</v>
      </c>
      <c r="V1986" s="1">
        <v>2.8225047829999999</v>
      </c>
      <c r="W1986" s="1">
        <v>2.6606351240000001</v>
      </c>
      <c r="X1986" s="1">
        <v>2.9542167930000001</v>
      </c>
      <c r="Y1986" s="1">
        <v>1.7393328349999999</v>
      </c>
      <c r="Z1986" s="1">
        <v>2.595728008</v>
      </c>
      <c r="AA1986" s="1">
        <v>2.9034795349999998</v>
      </c>
      <c r="AB1986" s="1">
        <v>3.1218319999999999</v>
      </c>
      <c r="AC1986" s="1">
        <v>2.5506926650000001</v>
      </c>
      <c r="AD1986" s="1">
        <v>1.7393328349999999</v>
      </c>
      <c r="AE1986" s="1">
        <v>2.6144016259999998</v>
      </c>
    </row>
    <row r="1987" spans="1:31" x14ac:dyDescent="0.25">
      <c r="A1987" s="1" t="s">
        <v>1960</v>
      </c>
      <c r="B1987" s="1" t="s">
        <v>2535</v>
      </c>
      <c r="C1987" s="1" t="s">
        <v>2535</v>
      </c>
      <c r="D1987" s="1" t="s">
        <v>2535</v>
      </c>
      <c r="E1987" s="1" t="s">
        <v>2535</v>
      </c>
      <c r="F1987" s="1" t="s">
        <v>2535</v>
      </c>
      <c r="G1987" s="1" t="s">
        <v>1960</v>
      </c>
      <c r="H1987" s="1">
        <v>2.640460343</v>
      </c>
      <c r="I1987" s="1">
        <v>3.5006354609999999</v>
      </c>
      <c r="J1987" s="1">
        <v>2.5640169199999998</v>
      </c>
      <c r="K1987" s="1">
        <v>2.9677134359999999</v>
      </c>
      <c r="L1987" s="1">
        <v>2.9964092330000001</v>
      </c>
      <c r="M1987" s="1">
        <v>2.3994532390000001</v>
      </c>
      <c r="N1987" s="1">
        <v>3.1147763629999998</v>
      </c>
      <c r="O1987" s="1">
        <v>3.8071106499999998</v>
      </c>
      <c r="P1987" s="1">
        <v>3.3003929539999999</v>
      </c>
      <c r="Q1987" s="1">
        <v>3.388910638</v>
      </c>
      <c r="R1987" s="1">
        <v>2.9339002829999998</v>
      </c>
      <c r="S1987" s="1">
        <v>3.3463386960000001</v>
      </c>
      <c r="T1987" s="1">
        <v>2.9964092330000001</v>
      </c>
      <c r="U1987" s="1">
        <v>2.3994532390000001</v>
      </c>
      <c r="V1987" s="1">
        <v>1.7393328349999999</v>
      </c>
      <c r="W1987" s="1">
        <v>3.50175473</v>
      </c>
      <c r="X1987" s="1">
        <v>3.3149070109999998</v>
      </c>
      <c r="Y1987" s="1">
        <v>2.9733498090000001</v>
      </c>
      <c r="Z1987" s="1">
        <v>2.9339002829999998</v>
      </c>
      <c r="AA1987" s="1">
        <v>3.3463386960000001</v>
      </c>
      <c r="AB1987" s="1">
        <v>3.1218319999999999</v>
      </c>
      <c r="AC1987" s="1">
        <v>3.4716344729999999</v>
      </c>
      <c r="AD1987" s="1">
        <v>1.7393328349999999</v>
      </c>
      <c r="AE1987" s="1">
        <v>2.9592545700000001</v>
      </c>
    </row>
    <row r="1988" spans="1:31" x14ac:dyDescent="0.25">
      <c r="A1988" s="1" t="s">
        <v>1961</v>
      </c>
      <c r="B1988" s="1" t="s">
        <v>2530</v>
      </c>
      <c r="C1988" s="1" t="s">
        <v>2531</v>
      </c>
      <c r="D1988" s="1" t="s">
        <v>2535</v>
      </c>
      <c r="E1988" s="1" t="s">
        <v>5578</v>
      </c>
      <c r="G1988" s="1" t="s">
        <v>1961</v>
      </c>
      <c r="H1988" s="1">
        <v>3.4660955969999998</v>
      </c>
      <c r="I1988" s="1">
        <v>2.8927893610000002</v>
      </c>
      <c r="J1988" s="1">
        <v>3.1324899180000001</v>
      </c>
      <c r="K1988" s="1">
        <v>2.9677134359999999</v>
      </c>
      <c r="L1988" s="1">
        <v>2.7248816410000001</v>
      </c>
      <c r="M1988" s="1">
        <v>2.8639998100000001</v>
      </c>
      <c r="N1988" s="1">
        <v>3.1147763629999998</v>
      </c>
      <c r="O1988" s="1">
        <v>3.3203005989999999</v>
      </c>
      <c r="P1988" s="1">
        <v>2.5478783159999998</v>
      </c>
      <c r="Q1988" s="1">
        <v>2.597100669</v>
      </c>
      <c r="R1988" s="1">
        <v>2.595728008</v>
      </c>
      <c r="S1988" s="1">
        <v>2.5733617299999998</v>
      </c>
      <c r="T1988" s="1">
        <v>2.7248816410000001</v>
      </c>
      <c r="U1988" s="1">
        <v>2.8639998100000001</v>
      </c>
      <c r="V1988" s="1">
        <v>1.7393328349999999</v>
      </c>
      <c r="W1988" s="1">
        <v>3.0218530750000001</v>
      </c>
      <c r="X1988" s="1">
        <v>2.9542167930000001</v>
      </c>
      <c r="Y1988" s="1">
        <v>2.9733498090000001</v>
      </c>
      <c r="Z1988" s="1">
        <v>2.595728008</v>
      </c>
      <c r="AA1988" s="1">
        <v>2.5733617299999998</v>
      </c>
      <c r="AB1988" s="1">
        <v>1.7393328349999999</v>
      </c>
      <c r="AC1988" s="1">
        <v>2.87258916</v>
      </c>
      <c r="AD1988" s="1">
        <v>3.1944880649999998</v>
      </c>
      <c r="AE1988" s="1">
        <v>1.7393328349999999</v>
      </c>
    </row>
    <row r="1989" spans="1:31" x14ac:dyDescent="0.25">
      <c r="A1989" s="1" t="s">
        <v>1974</v>
      </c>
      <c r="B1989" s="1" t="s">
        <v>2557</v>
      </c>
      <c r="C1989" s="1" t="s">
        <v>2616</v>
      </c>
      <c r="D1989" s="1" t="s">
        <v>4285</v>
      </c>
      <c r="E1989" s="1" t="s">
        <v>5579</v>
      </c>
      <c r="F1989" s="1" t="s">
        <v>5580</v>
      </c>
      <c r="G1989" s="1" t="s">
        <v>1974</v>
      </c>
      <c r="H1989" s="1">
        <v>6.8356879179999996</v>
      </c>
      <c r="I1989" s="1">
        <v>7.0511021019999998</v>
      </c>
      <c r="J1989" s="1">
        <v>6.2697260589999999</v>
      </c>
      <c r="K1989" s="1">
        <v>6.6307692840000003</v>
      </c>
      <c r="L1989" s="1">
        <v>6.3309778019999996</v>
      </c>
      <c r="M1989" s="1">
        <v>6.4882495090000001</v>
      </c>
      <c r="N1989" s="1">
        <v>6.5176065699999999</v>
      </c>
      <c r="O1989" s="1">
        <v>6.7503420309999997</v>
      </c>
      <c r="P1989" s="1">
        <v>6.2975076100000003</v>
      </c>
      <c r="Q1989" s="1">
        <v>6.1485161530000001</v>
      </c>
      <c r="R1989" s="1">
        <v>6.3936555549999996</v>
      </c>
      <c r="S1989" s="1">
        <v>5.8024660560000001</v>
      </c>
      <c r="T1989" s="1">
        <v>6.3309778019999996</v>
      </c>
      <c r="U1989" s="1">
        <v>6.4882495090000001</v>
      </c>
      <c r="V1989" s="1">
        <v>6.7828668890000001</v>
      </c>
      <c r="W1989" s="1">
        <v>6.2922055309999996</v>
      </c>
      <c r="X1989" s="1">
        <v>6.6361617290000003</v>
      </c>
      <c r="Y1989" s="1">
        <v>6.5062933870000004</v>
      </c>
      <c r="Z1989" s="1">
        <v>6.3936555549999996</v>
      </c>
      <c r="AA1989" s="1">
        <v>5.8024660560000001</v>
      </c>
      <c r="AB1989" s="1">
        <v>6.3971449009999999</v>
      </c>
      <c r="AC1989" s="1">
        <v>6.5603321899999996</v>
      </c>
      <c r="AD1989" s="1">
        <v>6.4768062029999998</v>
      </c>
      <c r="AE1989" s="1">
        <v>6.4529509149999997</v>
      </c>
    </row>
    <row r="1990" spans="1:31" x14ac:dyDescent="0.25">
      <c r="A1990" s="1" t="s">
        <v>1975</v>
      </c>
      <c r="B1990" s="1" t="s">
        <v>2579</v>
      </c>
      <c r="C1990" s="1" t="s">
        <v>3259</v>
      </c>
      <c r="D1990" s="1" t="s">
        <v>5581</v>
      </c>
      <c r="E1990" s="1" t="s">
        <v>5582</v>
      </c>
      <c r="F1990" s="1" t="s">
        <v>5583</v>
      </c>
      <c r="G1990" s="1" t="s">
        <v>1975</v>
      </c>
      <c r="H1990" s="1">
        <v>6.9657132009999998</v>
      </c>
      <c r="I1990" s="1">
        <v>7.2240264759999997</v>
      </c>
      <c r="J1990" s="1">
        <v>7.0336998949999998</v>
      </c>
      <c r="K1990" s="1">
        <v>6.8716784979999996</v>
      </c>
      <c r="L1990" s="1">
        <v>6.5042531260000001</v>
      </c>
      <c r="M1990" s="1">
        <v>6.1256430599999998</v>
      </c>
      <c r="N1990" s="1">
        <v>6.763585483</v>
      </c>
      <c r="O1990" s="1">
        <v>6.9183032080000002</v>
      </c>
      <c r="P1990" s="1">
        <v>6.5171892439999999</v>
      </c>
      <c r="Q1990" s="1">
        <v>6.4187248529999996</v>
      </c>
      <c r="R1990" s="1">
        <v>6.4143264479999997</v>
      </c>
      <c r="S1990" s="1">
        <v>6.3003852350000003</v>
      </c>
      <c r="T1990" s="1">
        <v>6.5042531260000001</v>
      </c>
      <c r="U1990" s="1">
        <v>6.1256430599999998</v>
      </c>
      <c r="V1990" s="1">
        <v>6.7031108210000001</v>
      </c>
      <c r="W1990" s="1">
        <v>6.5309970670000004</v>
      </c>
      <c r="X1990" s="1">
        <v>6.3880871680000002</v>
      </c>
      <c r="Y1990" s="1">
        <v>6.5865062539999997</v>
      </c>
      <c r="Z1990" s="1">
        <v>6.4143264479999997</v>
      </c>
      <c r="AA1990" s="1">
        <v>6.3003852350000003</v>
      </c>
      <c r="AB1990" s="1">
        <v>5.8098709350000002</v>
      </c>
      <c r="AC1990" s="1">
        <v>6.4571567910000001</v>
      </c>
      <c r="AD1990" s="1">
        <v>6.554572984</v>
      </c>
      <c r="AE1990" s="1">
        <v>6.6296282299999998</v>
      </c>
    </row>
    <row r="1991" spans="1:31" x14ac:dyDescent="0.25">
      <c r="A1991" s="1" t="s">
        <v>1976</v>
      </c>
      <c r="B1991" s="1" t="s">
        <v>2662</v>
      </c>
      <c r="C1991" s="1" t="s">
        <v>2663</v>
      </c>
      <c r="D1991" s="1" t="s">
        <v>2851</v>
      </c>
      <c r="E1991" s="1" t="s">
        <v>5584</v>
      </c>
      <c r="F1991" s="1" t="s">
        <v>5585</v>
      </c>
      <c r="G1991" s="1" t="s">
        <v>1976</v>
      </c>
      <c r="H1991" s="1">
        <v>7.0115982959999998</v>
      </c>
      <c r="I1991" s="1">
        <v>7.2348492340000004</v>
      </c>
      <c r="J1991" s="1">
        <v>6.5886089180000003</v>
      </c>
      <c r="K1991" s="1">
        <v>6.9637453809999998</v>
      </c>
      <c r="L1991" s="1">
        <v>6.7486284259999998</v>
      </c>
      <c r="M1991" s="1">
        <v>6.6089531670000001</v>
      </c>
      <c r="N1991" s="1">
        <v>6.7194322870000001</v>
      </c>
      <c r="O1991" s="1">
        <v>7.0284800409999999</v>
      </c>
      <c r="P1991" s="1">
        <v>6.5672408280000001</v>
      </c>
      <c r="Q1991" s="1">
        <v>7.0286617009999999</v>
      </c>
      <c r="R1991" s="1">
        <v>6.588102728</v>
      </c>
      <c r="S1991" s="1">
        <v>6.6028455509999997</v>
      </c>
      <c r="T1991" s="1">
        <v>6.7486284259999998</v>
      </c>
      <c r="U1991" s="1">
        <v>6.6089531670000001</v>
      </c>
      <c r="V1991" s="1">
        <v>6.730190017</v>
      </c>
      <c r="W1991" s="1">
        <v>6.6970570279999997</v>
      </c>
      <c r="X1991" s="1">
        <v>6.7245402959999998</v>
      </c>
      <c r="Y1991" s="1">
        <v>6.6990194939999999</v>
      </c>
      <c r="Z1991" s="1">
        <v>6.588102728</v>
      </c>
      <c r="AA1991" s="1">
        <v>6.6028455509999997</v>
      </c>
      <c r="AB1991" s="1">
        <v>6.679460873</v>
      </c>
      <c r="AC1991" s="1">
        <v>6.4923770970000003</v>
      </c>
      <c r="AD1991" s="1">
        <v>6.4566895009999996</v>
      </c>
      <c r="AE1991" s="1">
        <v>6.719154037</v>
      </c>
    </row>
    <row r="1992" spans="1:31" x14ac:dyDescent="0.25">
      <c r="A1992" s="1" t="s">
        <v>1977</v>
      </c>
      <c r="B1992" s="1" t="s">
        <v>2530</v>
      </c>
      <c r="C1992" s="1" t="s">
        <v>2531</v>
      </c>
      <c r="D1992" s="1" t="s">
        <v>2535</v>
      </c>
      <c r="E1992" s="1" t="s">
        <v>2536</v>
      </c>
      <c r="G1992" s="1" t="s">
        <v>1977</v>
      </c>
      <c r="H1992" s="1">
        <v>5.0553993879999997</v>
      </c>
      <c r="I1992" s="1">
        <v>5.5177814730000003</v>
      </c>
      <c r="J1992" s="1">
        <v>5.8310524639999999</v>
      </c>
      <c r="K1992" s="1">
        <v>6.1712535270000002</v>
      </c>
      <c r="L1992" s="1">
        <v>6.1668872849999996</v>
      </c>
      <c r="M1992" s="1">
        <v>6.3689739899999998</v>
      </c>
      <c r="N1992" s="1">
        <v>4.3116130799999999</v>
      </c>
      <c r="O1992" s="1">
        <v>5.1651541859999996</v>
      </c>
      <c r="P1992" s="1">
        <v>5.9651829550000004</v>
      </c>
      <c r="Q1992" s="1">
        <v>6.3980489909999996</v>
      </c>
      <c r="R1992" s="1">
        <v>6.6932924079999996</v>
      </c>
      <c r="S1992" s="1">
        <v>6.478262194</v>
      </c>
      <c r="T1992" s="1">
        <v>6.1668872849999996</v>
      </c>
      <c r="U1992" s="1">
        <v>6.3689739899999998</v>
      </c>
      <c r="V1992" s="1">
        <v>6.2949812820000002</v>
      </c>
      <c r="W1992" s="1">
        <v>6.265991681</v>
      </c>
      <c r="X1992" s="1">
        <v>6.6985916860000003</v>
      </c>
      <c r="Y1992" s="1">
        <v>6.4430557039999998</v>
      </c>
      <c r="Z1992" s="1">
        <v>6.6932924079999996</v>
      </c>
      <c r="AA1992" s="1">
        <v>6.478262194</v>
      </c>
      <c r="AB1992" s="1">
        <v>6.4797931459999996</v>
      </c>
      <c r="AC1992" s="1">
        <v>6.5768311190000004</v>
      </c>
      <c r="AD1992" s="1">
        <v>6.8293968999999999</v>
      </c>
      <c r="AE1992" s="1">
        <v>6.2634584459999996</v>
      </c>
    </row>
    <row r="1993" spans="1:31" x14ac:dyDescent="0.25">
      <c r="A1993" s="1" t="s">
        <v>1978</v>
      </c>
      <c r="B1993" s="1" t="s">
        <v>2530</v>
      </c>
      <c r="C1993" s="1" t="s">
        <v>2531</v>
      </c>
      <c r="D1993" s="1" t="s">
        <v>2535</v>
      </c>
      <c r="E1993" s="1" t="s">
        <v>5586</v>
      </c>
      <c r="G1993" s="1" t="s">
        <v>1978</v>
      </c>
      <c r="H1993" s="1">
        <v>5.7790807539999998</v>
      </c>
      <c r="I1993" s="1">
        <v>5.6856247609999997</v>
      </c>
      <c r="J1993" s="1">
        <v>6.0910626519999997</v>
      </c>
      <c r="K1993" s="1">
        <v>6.4300937310000004</v>
      </c>
      <c r="L1993" s="1">
        <v>6.9946302029999998</v>
      </c>
      <c r="M1993" s="1">
        <v>6.8236744490000003</v>
      </c>
      <c r="N1993" s="1">
        <v>5.4061212789999997</v>
      </c>
      <c r="O1993" s="1">
        <v>5.4853382609999999</v>
      </c>
      <c r="P1993" s="1">
        <v>6.038086302</v>
      </c>
      <c r="Q1993" s="1">
        <v>6.6106183620000003</v>
      </c>
      <c r="R1993" s="1">
        <v>6.2629717720000002</v>
      </c>
      <c r="S1993" s="1">
        <v>6.6856618179999998</v>
      </c>
      <c r="T1993" s="1">
        <v>6.9946302029999998</v>
      </c>
      <c r="U1993" s="1">
        <v>6.8236744490000003</v>
      </c>
      <c r="V1993" s="1">
        <v>7.1665688640000003</v>
      </c>
      <c r="W1993" s="1">
        <v>7.1478630409999999</v>
      </c>
      <c r="X1993" s="1">
        <v>6.4095855210000003</v>
      </c>
      <c r="Y1993" s="1">
        <v>7.0353119980000001</v>
      </c>
      <c r="Z1993" s="1">
        <v>6.2629717720000002</v>
      </c>
      <c r="AA1993" s="1">
        <v>6.6856618179999998</v>
      </c>
      <c r="AB1993" s="1">
        <v>6.875265154</v>
      </c>
      <c r="AC1993" s="1">
        <v>6.5768311190000004</v>
      </c>
      <c r="AD1993" s="1">
        <v>6.7490106299999999</v>
      </c>
      <c r="AE1993" s="1">
        <v>6.6570753529999998</v>
      </c>
    </row>
    <row r="1994" spans="1:31" x14ac:dyDescent="0.25">
      <c r="A1994" s="1" t="s">
        <v>1979</v>
      </c>
      <c r="B1994" s="1" t="s">
        <v>2530</v>
      </c>
      <c r="C1994" s="1" t="s">
        <v>2531</v>
      </c>
      <c r="D1994" s="1" t="s">
        <v>2535</v>
      </c>
      <c r="E1994" s="1" t="s">
        <v>5587</v>
      </c>
      <c r="G1994" s="1" t="s">
        <v>1979</v>
      </c>
      <c r="H1994" s="1">
        <v>4.5667504939999999</v>
      </c>
      <c r="I1994" s="1">
        <v>4.8477128089999999</v>
      </c>
      <c r="J1994" s="1">
        <v>5.7122264270000001</v>
      </c>
      <c r="K1994" s="1">
        <v>5.4913640639999999</v>
      </c>
      <c r="L1994" s="1">
        <v>5.9816045750000004</v>
      </c>
      <c r="M1994" s="1">
        <v>6.0654778350000003</v>
      </c>
      <c r="N1994" s="1">
        <v>4.765904581</v>
      </c>
      <c r="O1994" s="1">
        <v>4.9028628039999997</v>
      </c>
      <c r="P1994" s="1">
        <v>5.4627121560000003</v>
      </c>
      <c r="Q1994" s="1">
        <v>6.1485161530000001</v>
      </c>
      <c r="R1994" s="1">
        <v>6.1192055940000003</v>
      </c>
      <c r="S1994" s="1">
        <v>5.8319244149999996</v>
      </c>
      <c r="T1994" s="1">
        <v>5.9816045750000004</v>
      </c>
      <c r="U1994" s="1">
        <v>6.0654778350000003</v>
      </c>
      <c r="V1994" s="1">
        <v>5.6676649780000004</v>
      </c>
      <c r="W1994" s="1">
        <v>5.7645115660000004</v>
      </c>
      <c r="X1994" s="1">
        <v>6.3328916910000004</v>
      </c>
      <c r="Y1994" s="1">
        <v>5.6971672010000001</v>
      </c>
      <c r="Z1994" s="1">
        <v>6.1192055940000003</v>
      </c>
      <c r="AA1994" s="1">
        <v>5.8319244149999996</v>
      </c>
      <c r="AB1994" s="1">
        <v>6.1835402750000004</v>
      </c>
      <c r="AC1994" s="1">
        <v>6.4210524800000002</v>
      </c>
      <c r="AD1994" s="1">
        <v>6.2617300800000004</v>
      </c>
      <c r="AE1994" s="1">
        <v>6.031193128</v>
      </c>
    </row>
    <row r="1995" spans="1:31" x14ac:dyDescent="0.25">
      <c r="A1995" s="1" t="s">
        <v>1980</v>
      </c>
      <c r="B1995" s="1" t="s">
        <v>2530</v>
      </c>
      <c r="C1995" s="1" t="s">
        <v>2573</v>
      </c>
      <c r="D1995" s="1" t="s">
        <v>2535</v>
      </c>
      <c r="E1995" s="1" t="s">
        <v>4884</v>
      </c>
      <c r="G1995" s="1" t="s">
        <v>1980</v>
      </c>
      <c r="H1995" s="1">
        <v>4.7245801409999997</v>
      </c>
      <c r="I1995" s="1">
        <v>5.7169522959999997</v>
      </c>
      <c r="J1995" s="1">
        <v>5.3229940280000001</v>
      </c>
      <c r="K1995" s="1">
        <v>5.1139224319999999</v>
      </c>
      <c r="L1995" s="1">
        <v>5.8111757209999997</v>
      </c>
      <c r="M1995" s="1">
        <v>5.4634864729999997</v>
      </c>
      <c r="N1995" s="1">
        <v>5.0227480880000002</v>
      </c>
      <c r="O1995" s="1">
        <v>4.9028628039999997</v>
      </c>
      <c r="P1995" s="1">
        <v>5.0554269730000003</v>
      </c>
      <c r="Q1995" s="1">
        <v>5.2931690810000003</v>
      </c>
      <c r="R1995" s="1">
        <v>5.4981688889999996</v>
      </c>
      <c r="S1995" s="1">
        <v>5.542037144</v>
      </c>
      <c r="T1995" s="1">
        <v>5.8111757209999997</v>
      </c>
      <c r="U1995" s="1">
        <v>5.4634864729999997</v>
      </c>
      <c r="V1995" s="1">
        <v>6.0800160549999998</v>
      </c>
      <c r="W1995" s="1">
        <v>5.8015499779999997</v>
      </c>
      <c r="X1995" s="1">
        <v>5.3326311679999998</v>
      </c>
      <c r="Y1995" s="1">
        <v>5.8995743010000004</v>
      </c>
      <c r="Z1995" s="1">
        <v>5.4981688889999996</v>
      </c>
      <c r="AA1995" s="1">
        <v>5.542037144</v>
      </c>
      <c r="AB1995" s="1">
        <v>4.8804215500000003</v>
      </c>
      <c r="AC1995" s="1">
        <v>5.1552886820000001</v>
      </c>
      <c r="AD1995" s="1">
        <v>5.5945353439999996</v>
      </c>
      <c r="AE1995" s="1">
        <v>5.1494525009999998</v>
      </c>
    </row>
    <row r="1996" spans="1:31" x14ac:dyDescent="0.25">
      <c r="A1996" s="1" t="s">
        <v>1981</v>
      </c>
      <c r="B1996" s="1" t="s">
        <v>2598</v>
      </c>
      <c r="C1996" s="1" t="s">
        <v>2531</v>
      </c>
      <c r="D1996" s="1" t="s">
        <v>2535</v>
      </c>
      <c r="E1996" s="1" t="s">
        <v>5588</v>
      </c>
      <c r="F1996" s="1" t="s">
        <v>5589</v>
      </c>
      <c r="G1996" s="1" t="s">
        <v>1981</v>
      </c>
      <c r="H1996" s="1">
        <v>3.6455184960000002</v>
      </c>
      <c r="I1996" s="1">
        <v>4.5981535630000003</v>
      </c>
      <c r="J1996" s="1">
        <v>4.2018709520000002</v>
      </c>
      <c r="K1996" s="1">
        <v>4.1384138449999996</v>
      </c>
      <c r="L1996" s="1">
        <v>4.7721586460000003</v>
      </c>
      <c r="M1996" s="1">
        <v>4.9970812499999999</v>
      </c>
      <c r="N1996" s="1">
        <v>3.7025667929999999</v>
      </c>
      <c r="O1996" s="1">
        <v>3.88533178</v>
      </c>
      <c r="P1996" s="1">
        <v>4.4805784009999998</v>
      </c>
      <c r="Q1996" s="1">
        <v>3.9718447549999998</v>
      </c>
      <c r="R1996" s="1">
        <v>4.45403635</v>
      </c>
      <c r="S1996" s="1">
        <v>3.9182367880000002</v>
      </c>
      <c r="T1996" s="1">
        <v>4.7721586460000003</v>
      </c>
      <c r="U1996" s="1">
        <v>4.9970812499999999</v>
      </c>
      <c r="V1996" s="1">
        <v>4.4559512029999997</v>
      </c>
      <c r="W1996" s="1">
        <v>4.7760085830000003</v>
      </c>
      <c r="X1996" s="1">
        <v>4.0600950219999996</v>
      </c>
      <c r="Y1996" s="1">
        <v>4.2532353330000001</v>
      </c>
      <c r="Z1996" s="1">
        <v>4.45403635</v>
      </c>
      <c r="AA1996" s="1">
        <v>3.9182367880000002</v>
      </c>
      <c r="AB1996" s="1">
        <v>3.8237667059999998</v>
      </c>
      <c r="AC1996" s="1">
        <v>3.9750819590000002</v>
      </c>
      <c r="AD1996" s="1">
        <v>4.6264106470000002</v>
      </c>
      <c r="AE1996" s="1">
        <v>3.9499994520000001</v>
      </c>
    </row>
    <row r="1997" spans="1:31" x14ac:dyDescent="0.25">
      <c r="A1997" s="1" t="s">
        <v>1982</v>
      </c>
      <c r="B1997" s="1" t="s">
        <v>2539</v>
      </c>
      <c r="C1997" s="1" t="s">
        <v>2563</v>
      </c>
      <c r="D1997" s="1" t="s">
        <v>5590</v>
      </c>
      <c r="E1997" s="1" t="s">
        <v>5591</v>
      </c>
      <c r="F1997" s="1" t="s">
        <v>5592</v>
      </c>
      <c r="G1997" s="1" t="s">
        <v>1982</v>
      </c>
      <c r="H1997" s="1">
        <v>5.2221022919999998</v>
      </c>
      <c r="I1997" s="1">
        <v>5.0595268689999999</v>
      </c>
      <c r="J1997" s="1">
        <v>4.1077874330000004</v>
      </c>
      <c r="K1997" s="1">
        <v>4.7454889089999996</v>
      </c>
      <c r="L1997" s="1">
        <v>4.1645832880000002</v>
      </c>
      <c r="M1997" s="1">
        <v>4.1225413939999997</v>
      </c>
      <c r="N1997" s="1">
        <v>4.9318354150000001</v>
      </c>
      <c r="O1997" s="1">
        <v>4.7100516409999997</v>
      </c>
      <c r="P1997" s="1">
        <v>3.86011382</v>
      </c>
      <c r="Q1997" s="1">
        <v>4.18747588</v>
      </c>
      <c r="R1997" s="1">
        <v>3.5594063970000001</v>
      </c>
      <c r="S1997" s="1">
        <v>3.5159502420000002</v>
      </c>
      <c r="T1997" s="1">
        <v>4.1645832880000002</v>
      </c>
      <c r="U1997" s="1">
        <v>4.1225413939999997</v>
      </c>
      <c r="V1997" s="1">
        <v>3.9849921849999999</v>
      </c>
      <c r="W1997" s="1">
        <v>3.8431653940000001</v>
      </c>
      <c r="X1997" s="1">
        <v>3.9418607479999999</v>
      </c>
      <c r="Y1997" s="1">
        <v>3.6154848500000001</v>
      </c>
      <c r="Z1997" s="1">
        <v>3.5594063970000001</v>
      </c>
      <c r="AA1997" s="1">
        <v>3.5159502420000002</v>
      </c>
      <c r="AB1997" s="1">
        <v>3.1218319999999999</v>
      </c>
      <c r="AC1997" s="1">
        <v>4.2557864319999998</v>
      </c>
      <c r="AD1997" s="1">
        <v>4.0967699450000001</v>
      </c>
      <c r="AE1997" s="1">
        <v>3.5108161330000001</v>
      </c>
    </row>
    <row r="1998" spans="1:31" x14ac:dyDescent="0.25">
      <c r="A1998" s="1" t="s">
        <v>1984</v>
      </c>
      <c r="B1998" s="1" t="s">
        <v>2579</v>
      </c>
      <c r="C1998" s="1" t="s">
        <v>3259</v>
      </c>
      <c r="D1998" s="1" t="s">
        <v>5593</v>
      </c>
      <c r="E1998" s="1" t="s">
        <v>5594</v>
      </c>
      <c r="F1998" s="1" t="s">
        <v>5595</v>
      </c>
      <c r="G1998" s="1" t="s">
        <v>1984</v>
      </c>
      <c r="H1998" s="1">
        <v>13.79816067</v>
      </c>
      <c r="I1998" s="1">
        <v>13.094044780000001</v>
      </c>
      <c r="J1998" s="1">
        <v>12.836336149999999</v>
      </c>
      <c r="K1998" s="1">
        <v>12.43247496</v>
      </c>
      <c r="L1998" s="1">
        <v>11.98961122</v>
      </c>
      <c r="M1998" s="1">
        <v>12.385311570000001</v>
      </c>
      <c r="N1998" s="1">
        <v>12.006099730000001</v>
      </c>
      <c r="O1998" s="1">
        <v>12.28273293</v>
      </c>
      <c r="P1998" s="1">
        <v>12.687748750000001</v>
      </c>
      <c r="Q1998" s="1">
        <v>12.61450677</v>
      </c>
      <c r="R1998" s="1">
        <v>12.41772991</v>
      </c>
      <c r="S1998" s="1">
        <v>12.612844369999999</v>
      </c>
      <c r="T1998" s="1">
        <v>11.98961122</v>
      </c>
      <c r="U1998" s="1">
        <v>12.385311570000001</v>
      </c>
      <c r="V1998" s="1">
        <v>12.61567204</v>
      </c>
      <c r="W1998" s="1">
        <v>12.311835009999999</v>
      </c>
      <c r="X1998" s="1">
        <v>12.540177570000001</v>
      </c>
      <c r="Y1998" s="1">
        <v>12.214033450000001</v>
      </c>
      <c r="Z1998" s="1">
        <v>12.41772991</v>
      </c>
      <c r="AA1998" s="1">
        <v>12.612844369999999</v>
      </c>
      <c r="AB1998" s="1">
        <v>12.455561919999999</v>
      </c>
      <c r="AC1998" s="1">
        <v>12.42777847</v>
      </c>
      <c r="AD1998" s="1">
        <v>12.168686470000001</v>
      </c>
      <c r="AE1998" s="1">
        <v>12.232719619999999</v>
      </c>
    </row>
    <row r="1999" spans="1:31" x14ac:dyDescent="0.25">
      <c r="A1999" s="1" t="s">
        <v>1985</v>
      </c>
      <c r="B1999" s="1" t="s">
        <v>2579</v>
      </c>
      <c r="C1999" s="1" t="s">
        <v>3259</v>
      </c>
      <c r="D1999" s="1" t="s">
        <v>5593</v>
      </c>
      <c r="E1999" s="1" t="s">
        <v>5596</v>
      </c>
      <c r="F1999" s="1" t="s">
        <v>5597</v>
      </c>
      <c r="G1999" s="1" t="s">
        <v>1985</v>
      </c>
      <c r="H1999" s="1">
        <v>13.78776673</v>
      </c>
      <c r="I1999" s="1">
        <v>13.1970303</v>
      </c>
      <c r="J1999" s="1">
        <v>13.20423053</v>
      </c>
      <c r="K1999" s="1">
        <v>12.99748894</v>
      </c>
      <c r="L1999" s="1">
        <v>12.19459653</v>
      </c>
      <c r="M1999" s="1">
        <v>12.44689286</v>
      </c>
      <c r="N1999" s="1">
        <v>12.174642029999999</v>
      </c>
      <c r="O1999" s="1">
        <v>12.45926446</v>
      </c>
      <c r="P1999" s="1">
        <v>12.790619830000001</v>
      </c>
      <c r="Q1999" s="1">
        <v>12.70867325</v>
      </c>
      <c r="R1999" s="1">
        <v>12.728337359999999</v>
      </c>
      <c r="S1999" s="1">
        <v>12.752752449999999</v>
      </c>
      <c r="T1999" s="1">
        <v>12.19459653</v>
      </c>
      <c r="U1999" s="1">
        <v>12.44689286</v>
      </c>
      <c r="V1999" s="1">
        <v>12.71908958</v>
      </c>
      <c r="W1999" s="1">
        <v>12.59735849</v>
      </c>
      <c r="X1999" s="1">
        <v>12.59609644</v>
      </c>
      <c r="Y1999" s="1">
        <v>12.484526260000001</v>
      </c>
      <c r="Z1999" s="1">
        <v>12.728337359999999</v>
      </c>
      <c r="AA1999" s="1">
        <v>12.752752449999999</v>
      </c>
      <c r="AB1999" s="1">
        <v>12.728402040000001</v>
      </c>
      <c r="AC1999" s="1">
        <v>12.656961559999999</v>
      </c>
      <c r="AD1999" s="1">
        <v>12.51188136</v>
      </c>
      <c r="AE1999" s="1">
        <v>12.474865039999999</v>
      </c>
    </row>
    <row r="2000" spans="1:31" x14ac:dyDescent="0.25">
      <c r="A2000" s="1" t="s">
        <v>1986</v>
      </c>
      <c r="B2000" s="1" t="s">
        <v>2579</v>
      </c>
      <c r="C2000" s="1" t="s">
        <v>3259</v>
      </c>
      <c r="D2000" s="1" t="s">
        <v>5593</v>
      </c>
      <c r="E2000" s="1" t="s">
        <v>5598</v>
      </c>
      <c r="F2000" s="1" t="s">
        <v>5599</v>
      </c>
      <c r="G2000" s="1" t="s">
        <v>1986</v>
      </c>
      <c r="H2000" s="1">
        <v>12.44704179</v>
      </c>
      <c r="I2000" s="1">
        <v>11.652946030000001</v>
      </c>
      <c r="J2000" s="1">
        <v>11.539275780000001</v>
      </c>
      <c r="K2000" s="1">
        <v>11.30900031</v>
      </c>
      <c r="L2000" s="1">
        <v>10.35351305</v>
      </c>
      <c r="M2000" s="1">
        <v>10.72368492</v>
      </c>
      <c r="N2000" s="1">
        <v>10.54306768</v>
      </c>
      <c r="O2000" s="1">
        <v>11.06127734</v>
      </c>
      <c r="P2000" s="1">
        <v>11.278817310000001</v>
      </c>
      <c r="Q2000" s="1">
        <v>11.07549459</v>
      </c>
      <c r="R2000" s="1">
        <v>11.3296505</v>
      </c>
      <c r="S2000" s="1">
        <v>11.179643159999999</v>
      </c>
      <c r="T2000" s="1">
        <v>10.35351305</v>
      </c>
      <c r="U2000" s="1">
        <v>10.72368492</v>
      </c>
      <c r="V2000" s="1">
        <v>10.88348491</v>
      </c>
      <c r="W2000" s="1">
        <v>10.77113699</v>
      </c>
      <c r="X2000" s="1">
        <v>10.90733359</v>
      </c>
      <c r="Y2000" s="1">
        <v>10.629967949999999</v>
      </c>
      <c r="Z2000" s="1">
        <v>11.3296505</v>
      </c>
      <c r="AA2000" s="1">
        <v>11.179643159999999</v>
      </c>
      <c r="AB2000" s="1">
        <v>11.10750586</v>
      </c>
      <c r="AC2000" s="1">
        <v>11.1299838</v>
      </c>
      <c r="AD2000" s="1">
        <v>11.084632210000001</v>
      </c>
      <c r="AE2000" s="1">
        <v>10.98988108</v>
      </c>
    </row>
    <row r="2001" spans="1:31" x14ac:dyDescent="0.25">
      <c r="A2001" s="1" t="s">
        <v>1988</v>
      </c>
      <c r="B2001" s="1" t="s">
        <v>2579</v>
      </c>
      <c r="C2001" s="1" t="s">
        <v>3259</v>
      </c>
      <c r="D2001" s="1" t="s">
        <v>5593</v>
      </c>
      <c r="E2001" s="1" t="s">
        <v>5600</v>
      </c>
      <c r="F2001" s="1" t="s">
        <v>5601</v>
      </c>
      <c r="G2001" s="1" t="s">
        <v>1988</v>
      </c>
      <c r="H2001" s="1">
        <v>12.016855899999999</v>
      </c>
      <c r="I2001" s="1">
        <v>11.74331405</v>
      </c>
      <c r="J2001" s="1">
        <v>10.925484689999999</v>
      </c>
      <c r="K2001" s="1">
        <v>10.88472252</v>
      </c>
      <c r="L2001" s="1">
        <v>9.4442586780000006</v>
      </c>
      <c r="M2001" s="1">
        <v>9.8138730869999993</v>
      </c>
      <c r="N2001" s="1">
        <v>10.78644076</v>
      </c>
      <c r="O2001" s="1">
        <v>11.022399699999999</v>
      </c>
      <c r="P2001" s="1">
        <v>10.553551580000001</v>
      </c>
      <c r="Q2001" s="1">
        <v>10.553525649999999</v>
      </c>
      <c r="R2001" s="1">
        <v>10.79883495</v>
      </c>
      <c r="S2001" s="1">
        <v>10.64613158</v>
      </c>
      <c r="T2001" s="1">
        <v>9.4442586780000006</v>
      </c>
      <c r="U2001" s="1">
        <v>9.8138730869999993</v>
      </c>
      <c r="V2001" s="1">
        <v>10.48932083</v>
      </c>
      <c r="W2001" s="1">
        <v>10.43334621</v>
      </c>
      <c r="X2001" s="1">
        <v>10.15364632</v>
      </c>
      <c r="Y2001" s="1">
        <v>10.09557946</v>
      </c>
      <c r="Z2001" s="1">
        <v>10.79883495</v>
      </c>
      <c r="AA2001" s="1">
        <v>10.64613158</v>
      </c>
      <c r="AB2001" s="1">
        <v>10.569898540000001</v>
      </c>
      <c r="AC2001" s="1">
        <v>10.55029762</v>
      </c>
      <c r="AD2001" s="1">
        <v>10.404306050000001</v>
      </c>
      <c r="AE2001" s="1">
        <v>10.49282185</v>
      </c>
    </row>
    <row r="2002" spans="1:31" x14ac:dyDescent="0.25">
      <c r="A2002" s="1" t="s">
        <v>1989</v>
      </c>
      <c r="B2002" s="1" t="s">
        <v>2579</v>
      </c>
      <c r="C2002" s="1" t="s">
        <v>3259</v>
      </c>
      <c r="D2002" s="1" t="s">
        <v>5593</v>
      </c>
      <c r="E2002" s="1" t="s">
        <v>5602</v>
      </c>
      <c r="F2002" s="1" t="s">
        <v>5603</v>
      </c>
      <c r="G2002" s="1" t="s">
        <v>1989</v>
      </c>
      <c r="H2002" s="1">
        <v>10.76573479</v>
      </c>
      <c r="I2002" s="1">
        <v>10.035790179999999</v>
      </c>
      <c r="J2002" s="1">
        <v>9.3016448730000008</v>
      </c>
      <c r="K2002" s="1">
        <v>9.3195846089999996</v>
      </c>
      <c r="L2002" s="1">
        <v>7.9726994800000002</v>
      </c>
      <c r="M2002" s="1">
        <v>8.5095004710000008</v>
      </c>
      <c r="N2002" s="1">
        <v>9.1214380649999995</v>
      </c>
      <c r="O2002" s="1">
        <v>9.3800359330000003</v>
      </c>
      <c r="P2002" s="1">
        <v>9.0375456459999999</v>
      </c>
      <c r="Q2002" s="1">
        <v>8.864479244</v>
      </c>
      <c r="R2002" s="1">
        <v>9.076002613</v>
      </c>
      <c r="S2002" s="1">
        <v>9.1045046989999996</v>
      </c>
      <c r="T2002" s="1">
        <v>7.9726994800000002</v>
      </c>
      <c r="U2002" s="1">
        <v>8.5095004710000008</v>
      </c>
      <c r="V2002" s="1">
        <v>9.0207542390000004</v>
      </c>
      <c r="W2002" s="1">
        <v>8.9442326810000008</v>
      </c>
      <c r="X2002" s="1">
        <v>8.7744434600000005</v>
      </c>
      <c r="Y2002" s="1">
        <v>8.64799805</v>
      </c>
      <c r="Z2002" s="1">
        <v>9.076002613</v>
      </c>
      <c r="AA2002" s="1">
        <v>9.1045046989999996</v>
      </c>
      <c r="AB2002" s="1">
        <v>8.9975016389999993</v>
      </c>
      <c r="AC2002" s="1">
        <v>8.9114173149999996</v>
      </c>
      <c r="AD2002" s="1">
        <v>8.9529738109999997</v>
      </c>
      <c r="AE2002" s="1">
        <v>8.8925568730000002</v>
      </c>
    </row>
    <row r="2003" spans="1:31" x14ac:dyDescent="0.25">
      <c r="A2003" s="1" t="s">
        <v>1990</v>
      </c>
      <c r="B2003" s="1" t="s">
        <v>2579</v>
      </c>
      <c r="C2003" s="1" t="s">
        <v>3259</v>
      </c>
      <c r="D2003" s="1" t="s">
        <v>5593</v>
      </c>
      <c r="E2003" s="1" t="s">
        <v>5604</v>
      </c>
      <c r="F2003" s="1" t="s">
        <v>5605</v>
      </c>
      <c r="G2003" s="1" t="s">
        <v>1990</v>
      </c>
      <c r="H2003" s="1">
        <v>10.78346462</v>
      </c>
      <c r="I2003" s="1">
        <v>10.0919028</v>
      </c>
      <c r="J2003" s="1">
        <v>9.4220566839999993</v>
      </c>
      <c r="K2003" s="1">
        <v>9.2873061359999998</v>
      </c>
      <c r="L2003" s="1">
        <v>8.4490361810000003</v>
      </c>
      <c r="M2003" s="1">
        <v>8.7236999159999993</v>
      </c>
      <c r="N2003" s="1">
        <v>9.2417124630000007</v>
      </c>
      <c r="O2003" s="1">
        <v>9.7450856550000005</v>
      </c>
      <c r="P2003" s="1">
        <v>9.4241037330000008</v>
      </c>
      <c r="Q2003" s="1">
        <v>9.1928201779999998</v>
      </c>
      <c r="R2003" s="1">
        <v>9.1881180039999997</v>
      </c>
      <c r="S2003" s="1">
        <v>9.3776330090000002</v>
      </c>
      <c r="T2003" s="1">
        <v>8.4490361810000003</v>
      </c>
      <c r="U2003" s="1">
        <v>8.7236999159999993</v>
      </c>
      <c r="V2003" s="1">
        <v>9.1812965720000008</v>
      </c>
      <c r="W2003" s="1">
        <v>8.9768641569999996</v>
      </c>
      <c r="X2003" s="1">
        <v>9.1039768540000008</v>
      </c>
      <c r="Y2003" s="1">
        <v>8.9688922659999992</v>
      </c>
      <c r="Z2003" s="1">
        <v>9.1881180039999997</v>
      </c>
      <c r="AA2003" s="1">
        <v>9.3776330090000002</v>
      </c>
      <c r="AB2003" s="1">
        <v>9.2098462239999996</v>
      </c>
      <c r="AC2003" s="1">
        <v>9.0388098570000004</v>
      </c>
      <c r="AD2003" s="1">
        <v>9.0126723529999992</v>
      </c>
      <c r="AE2003" s="1">
        <v>9.1713714129999993</v>
      </c>
    </row>
    <row r="2004" spans="1:31" x14ac:dyDescent="0.25">
      <c r="A2004" s="1" t="s">
        <v>1991</v>
      </c>
      <c r="B2004" s="1" t="s">
        <v>2579</v>
      </c>
      <c r="C2004" s="1" t="s">
        <v>3259</v>
      </c>
      <c r="D2004" s="1" t="s">
        <v>5593</v>
      </c>
      <c r="E2004" s="1" t="s">
        <v>5604</v>
      </c>
      <c r="F2004" s="1" t="s">
        <v>5605</v>
      </c>
      <c r="G2004" s="1" t="s">
        <v>1991</v>
      </c>
      <c r="H2004" s="1">
        <v>11.132892549999999</v>
      </c>
      <c r="I2004" s="1">
        <v>10.396497200000001</v>
      </c>
      <c r="J2004" s="1">
        <v>10.01021207</v>
      </c>
      <c r="K2004" s="1">
        <v>9.9825165709999997</v>
      </c>
      <c r="L2004" s="1">
        <v>9.2078790169999998</v>
      </c>
      <c r="M2004" s="1">
        <v>9.5479511000000006</v>
      </c>
      <c r="N2004" s="1">
        <v>9.7414780580000002</v>
      </c>
      <c r="O2004" s="1">
        <v>10.20529981</v>
      </c>
      <c r="P2004" s="1">
        <v>9.7648186700000004</v>
      </c>
      <c r="Q2004" s="1">
        <v>9.7129554220000003</v>
      </c>
      <c r="R2004" s="1">
        <v>9.8129879029999998</v>
      </c>
      <c r="S2004" s="1">
        <v>9.8381080579999995</v>
      </c>
      <c r="T2004" s="1">
        <v>9.2078790169999998</v>
      </c>
      <c r="U2004" s="1">
        <v>9.5479511000000006</v>
      </c>
      <c r="V2004" s="1">
        <v>9.2646115259999995</v>
      </c>
      <c r="W2004" s="1">
        <v>9.4475656800000003</v>
      </c>
      <c r="X2004" s="1">
        <v>9.6753890689999995</v>
      </c>
      <c r="Y2004" s="1">
        <v>9.1675434740000004</v>
      </c>
      <c r="Z2004" s="1">
        <v>9.8129879029999998</v>
      </c>
      <c r="AA2004" s="1">
        <v>9.8381080579999995</v>
      </c>
      <c r="AB2004" s="1">
        <v>9.8134678359999992</v>
      </c>
      <c r="AC2004" s="1">
        <v>9.8102977469999999</v>
      </c>
      <c r="AD2004" s="1">
        <v>9.752532703</v>
      </c>
      <c r="AE2004" s="1">
        <v>9.3611440909999999</v>
      </c>
    </row>
    <row r="2005" spans="1:31" x14ac:dyDescent="0.25">
      <c r="A2005" s="1" t="s">
        <v>1992</v>
      </c>
      <c r="B2005" s="1" t="s">
        <v>2579</v>
      </c>
      <c r="C2005" s="1" t="s">
        <v>3259</v>
      </c>
      <c r="D2005" s="1" t="s">
        <v>5593</v>
      </c>
      <c r="E2005" s="1" t="s">
        <v>5604</v>
      </c>
      <c r="F2005" s="1" t="s">
        <v>5605</v>
      </c>
      <c r="G2005" s="1" t="s">
        <v>1992</v>
      </c>
      <c r="H2005" s="1">
        <v>11.448417239999999</v>
      </c>
      <c r="I2005" s="1">
        <v>10.818466470000001</v>
      </c>
      <c r="J2005" s="1">
        <v>10.574143100000001</v>
      </c>
      <c r="K2005" s="1">
        <v>10.4390223</v>
      </c>
      <c r="L2005" s="1">
        <v>10.116594429999999</v>
      </c>
      <c r="M2005" s="1">
        <v>10.21534845</v>
      </c>
      <c r="N2005" s="1">
        <v>10.11194978</v>
      </c>
      <c r="O2005" s="1">
        <v>10.73885525</v>
      </c>
      <c r="P2005" s="1">
        <v>10.32445957</v>
      </c>
      <c r="Q2005" s="1">
        <v>10.332004299999999</v>
      </c>
      <c r="R2005" s="1">
        <v>10.46471457</v>
      </c>
      <c r="S2005" s="1">
        <v>10.356580660000001</v>
      </c>
      <c r="T2005" s="1">
        <v>10.116594429999999</v>
      </c>
      <c r="U2005" s="1">
        <v>10.21534845</v>
      </c>
      <c r="V2005" s="1">
        <v>9.8138700249999999</v>
      </c>
      <c r="W2005" s="1">
        <v>9.7271323810000005</v>
      </c>
      <c r="X2005" s="1">
        <v>10.26896404</v>
      </c>
      <c r="Y2005" s="1">
        <v>9.7556271890000001</v>
      </c>
      <c r="Z2005" s="1">
        <v>10.46471457</v>
      </c>
      <c r="AA2005" s="1">
        <v>10.356580660000001</v>
      </c>
      <c r="AB2005" s="1">
        <v>10.38597933</v>
      </c>
      <c r="AC2005" s="1">
        <v>10.42164796</v>
      </c>
      <c r="AD2005" s="1">
        <v>10.28690557</v>
      </c>
      <c r="AE2005" s="1">
        <v>10.0563907</v>
      </c>
    </row>
    <row r="2006" spans="1:31" x14ac:dyDescent="0.25">
      <c r="A2006" s="1" t="s">
        <v>1993</v>
      </c>
      <c r="B2006" s="1" t="s">
        <v>2520</v>
      </c>
      <c r="C2006" s="1" t="s">
        <v>2521</v>
      </c>
      <c r="D2006" s="1" t="s">
        <v>2535</v>
      </c>
      <c r="E2006" s="1" t="s">
        <v>5606</v>
      </c>
      <c r="G2006" s="1" t="s">
        <v>1993</v>
      </c>
      <c r="H2006" s="1">
        <v>6.5956218609999997</v>
      </c>
      <c r="I2006" s="1">
        <v>6.2102063709999999</v>
      </c>
      <c r="J2006" s="1">
        <v>6.8211413800000003</v>
      </c>
      <c r="K2006" s="1">
        <v>6.4932884399999997</v>
      </c>
      <c r="L2006" s="1">
        <v>6.0656220599999999</v>
      </c>
      <c r="M2006" s="1">
        <v>6.2389026359999997</v>
      </c>
      <c r="N2006" s="1">
        <v>5.4717898820000004</v>
      </c>
      <c r="O2006" s="1">
        <v>5.9330167859999996</v>
      </c>
      <c r="P2006" s="1">
        <v>6.336531473</v>
      </c>
      <c r="Q2006" s="1">
        <v>6.0189773029999998</v>
      </c>
      <c r="R2006" s="1">
        <v>6.8225630720000003</v>
      </c>
      <c r="S2006" s="1">
        <v>6.7639721039999996</v>
      </c>
      <c r="T2006" s="1">
        <v>6.0656220599999999</v>
      </c>
      <c r="U2006" s="1">
        <v>6.2389026359999997</v>
      </c>
      <c r="V2006" s="1">
        <v>6.433314288</v>
      </c>
      <c r="W2006" s="1">
        <v>6.5528329879999996</v>
      </c>
      <c r="X2006" s="1">
        <v>6.2987278330000001</v>
      </c>
      <c r="Y2006" s="1">
        <v>6.5865062539999997</v>
      </c>
      <c r="Z2006" s="1">
        <v>6.8225630720000003</v>
      </c>
      <c r="AA2006" s="1">
        <v>6.7639721039999996</v>
      </c>
      <c r="AB2006" s="1">
        <v>6.6320802959999998</v>
      </c>
      <c r="AC2006" s="1">
        <v>6.7024263700000004</v>
      </c>
      <c r="AD2006" s="1">
        <v>6.4966454860000002</v>
      </c>
      <c r="AE2006" s="1">
        <v>6.701688721</v>
      </c>
    </row>
    <row r="2007" spans="1:31" x14ac:dyDescent="0.25">
      <c r="A2007" s="1" t="s">
        <v>2000</v>
      </c>
      <c r="B2007" s="1" t="s">
        <v>2520</v>
      </c>
      <c r="C2007" s="1" t="s">
        <v>2743</v>
      </c>
      <c r="D2007" s="1" t="s">
        <v>2744</v>
      </c>
      <c r="E2007" s="1" t="s">
        <v>5607</v>
      </c>
      <c r="F2007" s="1" t="s">
        <v>5608</v>
      </c>
      <c r="G2007" s="1" t="s">
        <v>2000</v>
      </c>
      <c r="H2007" s="1">
        <v>6.2573638139999996</v>
      </c>
      <c r="I2007" s="1">
        <v>6.3563108719999999</v>
      </c>
      <c r="J2007" s="1">
        <v>6.7172781209999997</v>
      </c>
      <c r="K2007" s="1">
        <v>6.4932884399999997</v>
      </c>
      <c r="L2007" s="1">
        <v>7.0128503719999999</v>
      </c>
      <c r="M2007" s="1">
        <v>7.0420065049999998</v>
      </c>
      <c r="N2007" s="1">
        <v>7.4166149949999998</v>
      </c>
      <c r="O2007" s="1">
        <v>7.2048883889999997</v>
      </c>
      <c r="P2007" s="1">
        <v>6.8082443379999997</v>
      </c>
      <c r="Q2007" s="1">
        <v>6.5178682329999997</v>
      </c>
      <c r="R2007" s="1">
        <v>6.8070247769999996</v>
      </c>
      <c r="S2007" s="1">
        <v>6.8526476350000003</v>
      </c>
      <c r="T2007" s="1">
        <v>7.0128503719999999</v>
      </c>
      <c r="U2007" s="1">
        <v>7.0420065049999998</v>
      </c>
      <c r="V2007" s="1">
        <v>6.7031108210000001</v>
      </c>
      <c r="W2007" s="1">
        <v>6.6970570279999997</v>
      </c>
      <c r="X2007" s="1">
        <v>6.7500295250000004</v>
      </c>
      <c r="Y2007" s="1">
        <v>6.6990194939999999</v>
      </c>
      <c r="Z2007" s="1">
        <v>6.8070247769999996</v>
      </c>
      <c r="AA2007" s="1">
        <v>6.8526476350000003</v>
      </c>
      <c r="AB2007" s="1">
        <v>6.7253316390000002</v>
      </c>
      <c r="AC2007" s="1">
        <v>6.7613405999999996</v>
      </c>
      <c r="AD2007" s="1">
        <v>6.844949401</v>
      </c>
      <c r="AE2007" s="1">
        <v>6.7619123529999996</v>
      </c>
    </row>
    <row r="2008" spans="1:31" x14ac:dyDescent="0.25">
      <c r="A2008" s="1" t="s">
        <v>2004</v>
      </c>
      <c r="B2008" s="1" t="s">
        <v>2525</v>
      </c>
      <c r="C2008" s="1" t="s">
        <v>3110</v>
      </c>
      <c r="D2008" s="1" t="s">
        <v>4676</v>
      </c>
      <c r="E2008" s="1" t="s">
        <v>5609</v>
      </c>
      <c r="F2008" s="1" t="s">
        <v>5331</v>
      </c>
      <c r="G2008" s="1" t="s">
        <v>2004</v>
      </c>
      <c r="H2008" s="1">
        <v>6.0673720150000001</v>
      </c>
      <c r="I2008" s="1">
        <v>6.0227272230000004</v>
      </c>
      <c r="J2008" s="1">
        <v>7.6316491480000002</v>
      </c>
      <c r="K2008" s="1">
        <v>7.2340224260000001</v>
      </c>
      <c r="L2008" s="1">
        <v>7.2967754630000004</v>
      </c>
      <c r="M2008" s="1">
        <v>7.6699679940000003</v>
      </c>
      <c r="N2008" s="1">
        <v>5.4930242160000002</v>
      </c>
      <c r="O2008" s="1">
        <v>5.6435121610000003</v>
      </c>
      <c r="P2008" s="1">
        <v>7.4825689239999997</v>
      </c>
      <c r="Q2008" s="1">
        <v>7.4153055109999997</v>
      </c>
      <c r="R2008" s="1">
        <v>7.410732061</v>
      </c>
      <c r="S2008" s="1">
        <v>7.6475370180000004</v>
      </c>
      <c r="T2008" s="1">
        <v>7.2967754630000004</v>
      </c>
      <c r="U2008" s="1">
        <v>7.6699679940000003</v>
      </c>
      <c r="V2008" s="1">
        <v>7.4449946410000001</v>
      </c>
      <c r="W2008" s="1">
        <v>7.5461654500000002</v>
      </c>
      <c r="X2008" s="1">
        <v>7.3367784169999997</v>
      </c>
      <c r="Y2008" s="1">
        <v>7.4430810909999998</v>
      </c>
      <c r="Z2008" s="1">
        <v>7.410732061</v>
      </c>
      <c r="AA2008" s="1">
        <v>7.6475370180000004</v>
      </c>
      <c r="AB2008" s="1">
        <v>7.310811599</v>
      </c>
      <c r="AC2008" s="1">
        <v>7.5768492670000001</v>
      </c>
      <c r="AD2008" s="1">
        <v>7.1124159809999998</v>
      </c>
      <c r="AE2008" s="1">
        <v>7.4359317039999997</v>
      </c>
    </row>
    <row r="2009" spans="1:31" x14ac:dyDescent="0.25">
      <c r="A2009" s="1" t="s">
        <v>2005</v>
      </c>
      <c r="B2009" s="1" t="s">
        <v>2598</v>
      </c>
      <c r="C2009" s="1" t="s">
        <v>2603</v>
      </c>
      <c r="D2009" s="1" t="s">
        <v>3187</v>
      </c>
      <c r="E2009" s="1" t="s">
        <v>5610</v>
      </c>
      <c r="F2009" s="1" t="s">
        <v>5611</v>
      </c>
      <c r="G2009" s="1" t="s">
        <v>2005</v>
      </c>
      <c r="H2009" s="1">
        <v>5.5062820300000004</v>
      </c>
      <c r="I2009" s="1">
        <v>5.1998500889999999</v>
      </c>
      <c r="J2009" s="1">
        <v>5.7122264270000001</v>
      </c>
      <c r="K2009" s="1">
        <v>5.6848657879999998</v>
      </c>
      <c r="L2009" s="1">
        <v>5.6647229430000001</v>
      </c>
      <c r="M2009" s="1">
        <v>5.3915279009999999</v>
      </c>
      <c r="N2009" s="1">
        <v>4.5776172920000002</v>
      </c>
      <c r="O2009" s="1">
        <v>4.2189785100000003</v>
      </c>
      <c r="P2009" s="1">
        <v>5.1467681949999999</v>
      </c>
      <c r="Q2009" s="1">
        <v>5.2473923969999996</v>
      </c>
      <c r="R2009" s="1">
        <v>5.0965654090000001</v>
      </c>
      <c r="S2009" s="1">
        <v>5.6781703969999997</v>
      </c>
      <c r="T2009" s="1">
        <v>5.6647229430000001</v>
      </c>
      <c r="U2009" s="1">
        <v>5.3915279009999999</v>
      </c>
      <c r="V2009" s="1">
        <v>5.7758979430000004</v>
      </c>
      <c r="W2009" s="1">
        <v>5.6874298530000003</v>
      </c>
      <c r="X2009" s="1">
        <v>5.5030444689999998</v>
      </c>
      <c r="Y2009" s="1">
        <v>5.5443425189999997</v>
      </c>
      <c r="Z2009" s="1">
        <v>5.0965654090000001</v>
      </c>
      <c r="AA2009" s="1">
        <v>5.6781703969999997</v>
      </c>
      <c r="AB2009" s="1">
        <v>5.1073354020000004</v>
      </c>
      <c r="AC2009" s="1">
        <v>5.1103036370000003</v>
      </c>
      <c r="AD2009" s="1">
        <v>5.2633210659999996</v>
      </c>
      <c r="AE2009" s="1">
        <v>5.0693189500000004</v>
      </c>
    </row>
    <row r="2010" spans="1:31" x14ac:dyDescent="0.25">
      <c r="A2010" s="1" t="s">
        <v>2009</v>
      </c>
      <c r="B2010" s="1" t="s">
        <v>2530</v>
      </c>
      <c r="C2010" s="1" t="s">
        <v>2573</v>
      </c>
      <c r="D2010" s="1" t="s">
        <v>2535</v>
      </c>
      <c r="E2010" s="1" t="s">
        <v>5612</v>
      </c>
      <c r="G2010" s="1" t="s">
        <v>2009</v>
      </c>
      <c r="H2010" s="1">
        <v>6.3556221559999999</v>
      </c>
      <c r="I2010" s="1">
        <v>6.1195241339999997</v>
      </c>
      <c r="J2010" s="1">
        <v>4.7851628320000001</v>
      </c>
      <c r="K2010" s="1">
        <v>4.5171444090000001</v>
      </c>
      <c r="L2010" s="1">
        <v>4.2088403679999997</v>
      </c>
      <c r="M2010" s="1">
        <v>4.059937712</v>
      </c>
      <c r="N2010" s="1">
        <v>7.2088795220000002</v>
      </c>
      <c r="O2010" s="1">
        <v>7.1534477360000004</v>
      </c>
      <c r="P2010" s="1">
        <v>5.7211848500000002</v>
      </c>
      <c r="Q2010" s="1">
        <v>5.9062084209999997</v>
      </c>
      <c r="R2010" s="1">
        <v>5.3764768539999999</v>
      </c>
      <c r="S2010" s="1">
        <v>4.5490843459999999</v>
      </c>
      <c r="T2010" s="1">
        <v>4.2088403679999997</v>
      </c>
      <c r="U2010" s="1">
        <v>4.059937712</v>
      </c>
      <c r="V2010" s="1">
        <v>5.1679192199999999</v>
      </c>
      <c r="W2010" s="1">
        <v>4.9854391920000003</v>
      </c>
      <c r="X2010" s="1">
        <v>4.8838989719999999</v>
      </c>
      <c r="Y2010" s="1">
        <v>5.0702808140000002</v>
      </c>
      <c r="Z2010" s="1">
        <v>5.3764768539999999</v>
      </c>
      <c r="AA2010" s="1">
        <v>4.5490843459999999</v>
      </c>
      <c r="AB2010" s="1">
        <v>5.2406211000000003</v>
      </c>
      <c r="AC2010" s="1">
        <v>5.3988312660000002</v>
      </c>
      <c r="AD2010" s="1">
        <v>5.7012900599999998</v>
      </c>
      <c r="AE2010" s="1">
        <v>5.5339175159999998</v>
      </c>
    </row>
    <row r="2011" spans="1:31" x14ac:dyDescent="0.25">
      <c r="A2011" s="1" t="s">
        <v>2010</v>
      </c>
      <c r="B2011" s="1" t="s">
        <v>2530</v>
      </c>
      <c r="C2011" s="1" t="s">
        <v>2573</v>
      </c>
      <c r="D2011" s="1" t="s">
        <v>2535</v>
      </c>
      <c r="E2011" s="1" t="s">
        <v>5613</v>
      </c>
      <c r="G2011" s="1" t="s">
        <v>2010</v>
      </c>
      <c r="H2011" s="1">
        <v>3.9421380259999999</v>
      </c>
      <c r="I2011" s="1">
        <v>3.5006354609999999</v>
      </c>
      <c r="J2011" s="1">
        <v>1.7393328349999999</v>
      </c>
      <c r="K2011" s="1">
        <v>3.22334677</v>
      </c>
      <c r="L2011" s="1">
        <v>3.3884746630000002</v>
      </c>
      <c r="M2011" s="1">
        <v>3.5095973119999999</v>
      </c>
      <c r="N2011" s="1">
        <v>5.0227480880000002</v>
      </c>
      <c r="O2011" s="1">
        <v>5.0724039640000003</v>
      </c>
      <c r="P2011" s="1">
        <v>3.3003929539999999</v>
      </c>
      <c r="Q2011" s="1">
        <v>3.56206471</v>
      </c>
      <c r="R2011" s="1">
        <v>3.386455024</v>
      </c>
      <c r="S2011" s="1">
        <v>3.6647387380000001</v>
      </c>
      <c r="T2011" s="1">
        <v>3.3884746630000002</v>
      </c>
      <c r="U2011" s="1">
        <v>3.5095973119999999</v>
      </c>
      <c r="V2011" s="1">
        <v>2.8225047829999999</v>
      </c>
      <c r="W2011" s="1">
        <v>3.50175473</v>
      </c>
      <c r="X2011" s="1">
        <v>3.5883256710000002</v>
      </c>
      <c r="Y2011" s="1">
        <v>3.7705059300000001</v>
      </c>
      <c r="Z2011" s="1">
        <v>3.386455024</v>
      </c>
      <c r="AA2011" s="1">
        <v>3.6647387380000001</v>
      </c>
      <c r="AB2011" s="1">
        <v>3.404153038</v>
      </c>
      <c r="AC2011" s="1">
        <v>3.8665622239999999</v>
      </c>
      <c r="AD2011" s="1">
        <v>3.5727029510000001</v>
      </c>
      <c r="AE2011" s="1">
        <v>3.419797387</v>
      </c>
    </row>
    <row r="2012" spans="1:31" x14ac:dyDescent="0.25">
      <c r="A2012" s="1" t="s">
        <v>2014</v>
      </c>
      <c r="B2012" s="1" t="s">
        <v>2530</v>
      </c>
      <c r="C2012" s="1" t="s">
        <v>2531</v>
      </c>
      <c r="D2012" s="1" t="s">
        <v>2535</v>
      </c>
      <c r="E2012" s="1" t="s">
        <v>3999</v>
      </c>
      <c r="G2012" s="1" t="s">
        <v>2014</v>
      </c>
      <c r="H2012" s="1">
        <v>5.9144073309999996</v>
      </c>
      <c r="I2012" s="1">
        <v>7.1343877689999999</v>
      </c>
      <c r="J2012" s="1">
        <v>6.331385225</v>
      </c>
      <c r="K2012" s="1">
        <v>6.1452362870000004</v>
      </c>
      <c r="L2012" s="1">
        <v>5.6016693059999998</v>
      </c>
      <c r="M2012" s="1">
        <v>5.659858549</v>
      </c>
      <c r="N2012" s="1">
        <v>5.9261193419999998</v>
      </c>
      <c r="O2012" s="1">
        <v>5.8796079560000001</v>
      </c>
      <c r="P2012" s="1">
        <v>5.7504406890000004</v>
      </c>
      <c r="Q2012" s="1">
        <v>5.7838067430000004</v>
      </c>
      <c r="R2012" s="1">
        <v>5.57388789</v>
      </c>
      <c r="S2012" s="1">
        <v>5.4687741709999997</v>
      </c>
      <c r="T2012" s="1">
        <v>5.6016693059999998</v>
      </c>
      <c r="U2012" s="1">
        <v>5.659858549</v>
      </c>
      <c r="V2012" s="1">
        <v>6.1419042490000004</v>
      </c>
      <c r="W2012" s="1">
        <v>6.0370461979999996</v>
      </c>
      <c r="X2012" s="1">
        <v>5.2866392680000001</v>
      </c>
      <c r="Y2012" s="1">
        <v>5.2297915760000002</v>
      </c>
      <c r="Z2012" s="1">
        <v>5.57388789</v>
      </c>
      <c r="AA2012" s="1">
        <v>5.4687741709999997</v>
      </c>
      <c r="AB2012" s="1">
        <v>4.6096720080000004</v>
      </c>
      <c r="AC2012" s="1">
        <v>5.3610280289999999</v>
      </c>
      <c r="AD2012" s="1">
        <v>4.8924744240000004</v>
      </c>
      <c r="AE2012" s="1">
        <v>5.3433438500000001</v>
      </c>
    </row>
    <row r="2013" spans="1:31" x14ac:dyDescent="0.25">
      <c r="A2013" s="1" t="s">
        <v>2016</v>
      </c>
      <c r="B2013" s="1" t="s">
        <v>2530</v>
      </c>
      <c r="C2013" s="1" t="s">
        <v>2531</v>
      </c>
      <c r="D2013" s="1" t="s">
        <v>2535</v>
      </c>
      <c r="E2013" s="1" t="s">
        <v>2536</v>
      </c>
      <c r="G2013" s="1" t="s">
        <v>2016</v>
      </c>
      <c r="H2013" s="1">
        <v>4.2900513550000001</v>
      </c>
      <c r="I2013" s="1">
        <v>4.5280931029999998</v>
      </c>
      <c r="J2013" s="1">
        <v>5.6809121170000001</v>
      </c>
      <c r="K2013" s="1">
        <v>5.4059688240000003</v>
      </c>
      <c r="L2013" s="1">
        <v>5.7398214760000004</v>
      </c>
      <c r="M2013" s="1">
        <v>5.7772279879999999</v>
      </c>
      <c r="N2013" s="1">
        <v>4.5776172920000002</v>
      </c>
      <c r="O2013" s="1">
        <v>4.3322392709999997</v>
      </c>
      <c r="P2013" s="1">
        <v>5.660815296</v>
      </c>
      <c r="Q2013" s="1">
        <v>5.4628336309999996</v>
      </c>
      <c r="R2013" s="1">
        <v>5.2891602459999998</v>
      </c>
      <c r="S2013" s="1">
        <v>5.0824952919999999</v>
      </c>
      <c r="T2013" s="1">
        <v>5.7398214760000004</v>
      </c>
      <c r="U2013" s="1">
        <v>5.7772279879999999</v>
      </c>
      <c r="V2013" s="1">
        <v>5.0857495259999999</v>
      </c>
      <c r="W2013" s="1">
        <v>5.1095551629999996</v>
      </c>
      <c r="X2013" s="1">
        <v>5.7928210719999997</v>
      </c>
      <c r="Y2013" s="1">
        <v>5.5443425189999997</v>
      </c>
      <c r="Z2013" s="1">
        <v>5.2891602459999998</v>
      </c>
      <c r="AA2013" s="1">
        <v>5.0824952919999999</v>
      </c>
      <c r="AB2013" s="1">
        <v>5.3028471579999996</v>
      </c>
      <c r="AC2013" s="1">
        <v>5.6698330419999996</v>
      </c>
      <c r="AD2013" s="1">
        <v>5.0087140049999999</v>
      </c>
      <c r="AE2013" s="1">
        <v>5.0132584360000001</v>
      </c>
    </row>
    <row r="2014" spans="1:31" x14ac:dyDescent="0.25">
      <c r="A2014" s="1" t="s">
        <v>2017</v>
      </c>
      <c r="B2014" s="1" t="s">
        <v>2530</v>
      </c>
      <c r="C2014" s="1" t="s">
        <v>2531</v>
      </c>
      <c r="D2014" s="1" t="s">
        <v>2535</v>
      </c>
      <c r="E2014" s="1" t="s">
        <v>2536</v>
      </c>
      <c r="G2014" s="1" t="s">
        <v>2017</v>
      </c>
      <c r="H2014" s="1">
        <v>4.183793842</v>
      </c>
      <c r="I2014" s="1">
        <v>3.9003964459999998</v>
      </c>
      <c r="J2014" s="1">
        <v>5.0051223570000003</v>
      </c>
      <c r="K2014" s="1">
        <v>6.0361807939999998</v>
      </c>
      <c r="L2014" s="1">
        <v>3.5435353630000002</v>
      </c>
      <c r="M2014" s="1">
        <v>4.2945656129999996</v>
      </c>
      <c r="N2014" s="1">
        <v>3.344961128</v>
      </c>
      <c r="O2014" s="1">
        <v>4.2189785100000003</v>
      </c>
      <c r="P2014" s="1">
        <v>3.6116823170000001</v>
      </c>
      <c r="Q2014" s="1">
        <v>3.7137735799999998</v>
      </c>
      <c r="R2014" s="1">
        <v>3.7109484589999999</v>
      </c>
      <c r="S2014" s="1">
        <v>4.0285685429999996</v>
      </c>
      <c r="T2014" s="1">
        <v>3.5435353630000002</v>
      </c>
      <c r="U2014" s="1">
        <v>4.2945656129999996</v>
      </c>
      <c r="V2014" s="1">
        <v>3.0516113059999999</v>
      </c>
      <c r="W2014" s="1">
        <v>4.2295768090000001</v>
      </c>
      <c r="X2014" s="1">
        <v>3.2074401739999998</v>
      </c>
      <c r="Y2014" s="1">
        <v>3.4382968329999999</v>
      </c>
      <c r="Z2014" s="1">
        <v>3.7109484589999999</v>
      </c>
      <c r="AA2014" s="1">
        <v>4.0285685429999996</v>
      </c>
      <c r="AB2014" s="1">
        <v>3.1218319999999999</v>
      </c>
      <c r="AC2014" s="1">
        <v>2.87258916</v>
      </c>
      <c r="AD2014" s="1">
        <v>4.0967699450000001</v>
      </c>
      <c r="AE2014" s="1">
        <v>3.7492737119999999</v>
      </c>
    </row>
    <row r="2015" spans="1:31" x14ac:dyDescent="0.25">
      <c r="A2015" s="1" t="s">
        <v>2018</v>
      </c>
      <c r="B2015" s="1" t="s">
        <v>2530</v>
      </c>
      <c r="C2015" s="1" t="s">
        <v>2531</v>
      </c>
      <c r="D2015" s="1" t="s">
        <v>2535</v>
      </c>
      <c r="E2015" s="1" t="s">
        <v>5614</v>
      </c>
      <c r="G2015" s="1" t="s">
        <v>2018</v>
      </c>
      <c r="H2015" s="1">
        <v>3.2549621289999999</v>
      </c>
      <c r="I2015" s="1">
        <v>3.1348991329999998</v>
      </c>
      <c r="J2015" s="1">
        <v>3.6453331530000002</v>
      </c>
      <c r="K2015" s="1">
        <v>3.762021974</v>
      </c>
      <c r="L2015" s="1">
        <v>3.7446308510000001</v>
      </c>
      <c r="M2015" s="1">
        <v>3.169085575</v>
      </c>
      <c r="N2015" s="1">
        <v>3.1147763629999998</v>
      </c>
      <c r="O2015" s="1">
        <v>3.7238257350000001</v>
      </c>
      <c r="P2015" s="1">
        <v>3.466113682</v>
      </c>
      <c r="Q2015" s="1">
        <v>3.388910638</v>
      </c>
      <c r="R2015" s="1">
        <v>3.8462631940000001</v>
      </c>
      <c r="S2015" s="1">
        <v>3.3463386960000001</v>
      </c>
      <c r="T2015" s="1">
        <v>3.7446308510000001</v>
      </c>
      <c r="U2015" s="1">
        <v>3.169085575</v>
      </c>
      <c r="V2015" s="1">
        <v>2.5140266200000001</v>
      </c>
      <c r="W2015" s="1">
        <v>1.7393328349999999</v>
      </c>
      <c r="X2015" s="1">
        <v>3.3149070109999998</v>
      </c>
      <c r="Y2015" s="1">
        <v>2.624795792</v>
      </c>
      <c r="Z2015" s="1">
        <v>3.8462631940000001</v>
      </c>
      <c r="AA2015" s="1">
        <v>3.3463386960000001</v>
      </c>
      <c r="AB2015" s="1">
        <v>3.1218319999999999</v>
      </c>
      <c r="AC2015" s="1">
        <v>2.87258916</v>
      </c>
      <c r="AD2015" s="1">
        <v>2.9432342459999998</v>
      </c>
      <c r="AE2015" s="1">
        <v>2.6144016259999998</v>
      </c>
    </row>
    <row r="2016" spans="1:31" x14ac:dyDescent="0.25">
      <c r="A2016" s="1" t="s">
        <v>2019</v>
      </c>
      <c r="B2016" s="1" t="s">
        <v>2530</v>
      </c>
      <c r="C2016" s="1" t="s">
        <v>2573</v>
      </c>
      <c r="D2016" s="1" t="s">
        <v>2535</v>
      </c>
      <c r="E2016" s="1" t="s">
        <v>5615</v>
      </c>
      <c r="G2016" s="1" t="s">
        <v>2019</v>
      </c>
      <c r="H2016" s="1">
        <v>4.2900513550000001</v>
      </c>
      <c r="I2016" s="1">
        <v>4.0101074990000001</v>
      </c>
      <c r="J2016" s="1">
        <v>3.7773371739999999</v>
      </c>
      <c r="K2016" s="1">
        <v>3.22334677</v>
      </c>
      <c r="L2016" s="1">
        <v>3.2097511390000002</v>
      </c>
      <c r="M2016" s="1">
        <v>3.5095973119999999</v>
      </c>
      <c r="N2016" s="1">
        <v>3.7025667929999999</v>
      </c>
      <c r="O2016" s="1">
        <v>3.88533178</v>
      </c>
      <c r="P2016" s="1">
        <v>3.3003929539999999</v>
      </c>
      <c r="Q2016" s="1">
        <v>3.185675432</v>
      </c>
      <c r="R2016" s="1">
        <v>3.7109484589999999</v>
      </c>
      <c r="S2016" s="1">
        <v>3.6647387380000001</v>
      </c>
      <c r="T2016" s="1">
        <v>3.2097511390000002</v>
      </c>
      <c r="U2016" s="1">
        <v>3.5095973119999999</v>
      </c>
      <c r="V2016" s="1">
        <v>3.2389700330000002</v>
      </c>
      <c r="W2016" s="1">
        <v>3.6840067150000002</v>
      </c>
      <c r="X2016" s="1">
        <v>3.2074401739999998</v>
      </c>
      <c r="Y2016" s="1">
        <v>3.9087436480000002</v>
      </c>
      <c r="Z2016" s="1">
        <v>3.7109484589999999</v>
      </c>
      <c r="AA2016" s="1">
        <v>3.6647387380000001</v>
      </c>
      <c r="AB2016" s="1">
        <v>2.73487305</v>
      </c>
      <c r="AC2016" s="1">
        <v>2.5506926650000001</v>
      </c>
      <c r="AD2016" s="1">
        <v>2.6025990879999998</v>
      </c>
      <c r="AE2016" s="1">
        <v>2.9592545700000001</v>
      </c>
    </row>
    <row r="2017" spans="1:31" x14ac:dyDescent="0.25">
      <c r="A2017" s="1" t="s">
        <v>2020</v>
      </c>
      <c r="B2017" s="1" t="s">
        <v>2530</v>
      </c>
      <c r="C2017" s="1" t="s">
        <v>2531</v>
      </c>
      <c r="D2017" s="1" t="s">
        <v>2535</v>
      </c>
      <c r="E2017" s="1" t="s">
        <v>2536</v>
      </c>
      <c r="G2017" s="1" t="s">
        <v>2020</v>
      </c>
      <c r="H2017" s="1">
        <v>5.4177093730000001</v>
      </c>
      <c r="I2017" s="1">
        <v>4.8477128089999999</v>
      </c>
      <c r="J2017" s="1">
        <v>4.4503473070000004</v>
      </c>
      <c r="K2017" s="1">
        <v>4.8139921829999999</v>
      </c>
      <c r="L2017" s="1">
        <v>4.1188213390000001</v>
      </c>
      <c r="M2017" s="1">
        <v>3.9942443089999999</v>
      </c>
      <c r="N2017" s="1">
        <v>4.1002678350000004</v>
      </c>
      <c r="O2017" s="1">
        <v>4.4368189940000002</v>
      </c>
      <c r="P2017" s="1">
        <v>4.161525224</v>
      </c>
      <c r="Q2017" s="1">
        <v>4.18747588</v>
      </c>
      <c r="R2017" s="1">
        <v>3.5594063970000001</v>
      </c>
      <c r="S2017" s="1">
        <v>3.7977317990000001</v>
      </c>
      <c r="T2017" s="1">
        <v>4.1188213390000001</v>
      </c>
      <c r="U2017" s="1">
        <v>3.9942443089999999</v>
      </c>
      <c r="V2017" s="1">
        <v>3.3993802240000002</v>
      </c>
      <c r="W2017" s="1">
        <v>4.1128053839999996</v>
      </c>
      <c r="X2017" s="1">
        <v>3.8119046220000001</v>
      </c>
      <c r="Y2017" s="1">
        <v>3.7705059300000001</v>
      </c>
      <c r="Z2017" s="1">
        <v>3.5594063970000001</v>
      </c>
      <c r="AA2017" s="1">
        <v>3.7977317990000001</v>
      </c>
      <c r="AB2017" s="1">
        <v>1.7393328349999999</v>
      </c>
      <c r="AC2017" s="1">
        <v>4.0753403910000001</v>
      </c>
      <c r="AD2017" s="1">
        <v>3.5727029510000001</v>
      </c>
      <c r="AE2017" s="1">
        <v>3.5108161330000001</v>
      </c>
    </row>
    <row r="2018" spans="1:31" x14ac:dyDescent="0.25">
      <c r="A2018" s="1" t="s">
        <v>2021</v>
      </c>
      <c r="B2018" s="1" t="s">
        <v>2530</v>
      </c>
      <c r="C2018" s="1" t="s">
        <v>2531</v>
      </c>
      <c r="D2018" s="1" t="s">
        <v>2535</v>
      </c>
      <c r="E2018" s="1" t="s">
        <v>5258</v>
      </c>
      <c r="G2018" s="1" t="s">
        <v>2021</v>
      </c>
      <c r="H2018" s="1">
        <v>3.4660955969999998</v>
      </c>
      <c r="I2018" s="1">
        <v>4.1114152529999997</v>
      </c>
      <c r="J2018" s="1">
        <v>2.5640169199999998</v>
      </c>
      <c r="K2018" s="1">
        <v>3.762021974</v>
      </c>
      <c r="L2018" s="1">
        <v>2.9964092330000001</v>
      </c>
      <c r="M2018" s="1">
        <v>3.6044002019999999</v>
      </c>
      <c r="N2018" s="1">
        <v>3.444746345</v>
      </c>
      <c r="O2018" s="1">
        <v>3.5386882399999999</v>
      </c>
      <c r="P2018" s="1">
        <v>2.8687501260000001</v>
      </c>
      <c r="Q2018" s="1">
        <v>3.185675432</v>
      </c>
      <c r="R2018" s="1">
        <v>3.968758995</v>
      </c>
      <c r="S2018" s="1">
        <v>1.7393328349999999</v>
      </c>
      <c r="T2018" s="1">
        <v>2.9964092330000001</v>
      </c>
      <c r="U2018" s="1">
        <v>3.6044002019999999</v>
      </c>
      <c r="V2018" s="1">
        <v>2.5140266200000001</v>
      </c>
      <c r="W2018" s="1">
        <v>1.7393328349999999</v>
      </c>
      <c r="X2018" s="1">
        <v>2.7988456519999998</v>
      </c>
      <c r="Y2018" s="1">
        <v>1.7393328349999999</v>
      </c>
      <c r="Z2018" s="1">
        <v>3.968758995</v>
      </c>
      <c r="AA2018" s="1">
        <v>1.7393328349999999</v>
      </c>
      <c r="AB2018" s="1">
        <v>3.1218319999999999</v>
      </c>
      <c r="AC2018" s="1">
        <v>3.4716344729999999</v>
      </c>
      <c r="AD2018" s="1">
        <v>3.1944880649999998</v>
      </c>
      <c r="AE2018" s="1">
        <v>3.213378847</v>
      </c>
    </row>
    <row r="2019" spans="1:31" x14ac:dyDescent="0.25">
      <c r="A2019" s="1" t="s">
        <v>2023</v>
      </c>
      <c r="B2019" s="1" t="s">
        <v>2520</v>
      </c>
      <c r="C2019" s="1" t="s">
        <v>2521</v>
      </c>
      <c r="D2019" s="1" t="s">
        <v>2535</v>
      </c>
      <c r="E2019" s="1" t="s">
        <v>5616</v>
      </c>
      <c r="F2019" s="1" t="s">
        <v>5617</v>
      </c>
      <c r="G2019" s="1" t="s">
        <v>2023</v>
      </c>
      <c r="H2019" s="1">
        <v>7.0560670449999998</v>
      </c>
      <c r="I2019" s="1">
        <v>6.8960698870000003</v>
      </c>
      <c r="J2019" s="1">
        <v>6.8909954960000004</v>
      </c>
      <c r="K2019" s="1">
        <v>7.0502802620000002</v>
      </c>
      <c r="L2019" s="1">
        <v>6.9885052459999999</v>
      </c>
      <c r="M2019" s="1">
        <v>6.9701140339999998</v>
      </c>
      <c r="N2019" s="1">
        <v>6.3881452249999997</v>
      </c>
      <c r="O2019" s="1">
        <v>6.2873774889999998</v>
      </c>
      <c r="P2019" s="1">
        <v>6.9406621209999999</v>
      </c>
      <c r="Q2019" s="1">
        <v>7.1935596359999998</v>
      </c>
      <c r="R2019" s="1">
        <v>7.347722954</v>
      </c>
      <c r="S2019" s="1">
        <v>7.314648633</v>
      </c>
      <c r="T2019" s="1">
        <v>6.9885052459999999</v>
      </c>
      <c r="U2019" s="1">
        <v>6.9701140339999998</v>
      </c>
      <c r="V2019" s="1">
        <v>7.0207244439999998</v>
      </c>
      <c r="W2019" s="1">
        <v>6.9317187499999999</v>
      </c>
      <c r="X2019" s="1">
        <v>7.1516427269999996</v>
      </c>
      <c r="Y2019" s="1">
        <v>7.0064610119999999</v>
      </c>
      <c r="Z2019" s="1">
        <v>7.347722954</v>
      </c>
      <c r="AA2019" s="1">
        <v>7.314648633</v>
      </c>
      <c r="AB2019" s="1">
        <v>7.1520220669999999</v>
      </c>
      <c r="AC2019" s="1">
        <v>7.2049668000000002</v>
      </c>
      <c r="AD2019" s="1">
        <v>7.0864885400000004</v>
      </c>
      <c r="AE2019" s="1">
        <v>7.0850981089999996</v>
      </c>
    </row>
    <row r="2020" spans="1:31" x14ac:dyDescent="0.25">
      <c r="A2020" s="1" t="s">
        <v>2024</v>
      </c>
      <c r="B2020" s="1" t="s">
        <v>2608</v>
      </c>
      <c r="C2020" s="1" t="s">
        <v>2758</v>
      </c>
      <c r="D2020" s="1" t="s">
        <v>2759</v>
      </c>
      <c r="E2020" s="1" t="s">
        <v>5618</v>
      </c>
      <c r="F2020" s="1" t="s">
        <v>5619</v>
      </c>
      <c r="G2020" s="1" t="s">
        <v>2024</v>
      </c>
      <c r="H2020" s="1">
        <v>5.5485883999999999</v>
      </c>
      <c r="I2020" s="1">
        <v>6.3760216270000001</v>
      </c>
      <c r="J2020" s="1">
        <v>6.6382173169999996</v>
      </c>
      <c r="K2020" s="1">
        <v>6.7562562289999999</v>
      </c>
      <c r="L2020" s="1">
        <v>6.6433688130000004</v>
      </c>
      <c r="M2020" s="1">
        <v>6.2524523690000002</v>
      </c>
      <c r="N2020" s="1">
        <v>6.5176065699999999</v>
      </c>
      <c r="O2020" s="1">
        <v>6.3409804589999998</v>
      </c>
      <c r="P2020" s="1">
        <v>6.429694821</v>
      </c>
      <c r="Q2020" s="1">
        <v>6.8115059909999998</v>
      </c>
      <c r="R2020" s="1">
        <v>6.7754359979999998</v>
      </c>
      <c r="S2020" s="1">
        <v>6.6531047939999999</v>
      </c>
      <c r="T2020" s="1">
        <v>6.6433688130000004</v>
      </c>
      <c r="U2020" s="1">
        <v>6.2524523690000002</v>
      </c>
      <c r="V2020" s="1">
        <v>6.4977915140000002</v>
      </c>
      <c r="W2020" s="1">
        <v>6.4401804780000003</v>
      </c>
      <c r="X2020" s="1">
        <v>6.5898507339999997</v>
      </c>
      <c r="Y2020" s="1">
        <v>6.2347231909999996</v>
      </c>
      <c r="Z2020" s="1">
        <v>6.7754359979999998</v>
      </c>
      <c r="AA2020" s="1">
        <v>6.6531047939999999</v>
      </c>
      <c r="AB2020" s="1">
        <v>6.2789960090000001</v>
      </c>
      <c r="AC2020" s="1">
        <v>6.5096691079999998</v>
      </c>
      <c r="AD2020" s="1">
        <v>6.5162149180000002</v>
      </c>
      <c r="AE2020" s="1">
        <v>6.3997621550000003</v>
      </c>
    </row>
    <row r="2021" spans="1:31" x14ac:dyDescent="0.25">
      <c r="A2021" s="1" t="s">
        <v>2025</v>
      </c>
      <c r="B2021" s="1" t="s">
        <v>2530</v>
      </c>
      <c r="C2021" s="1" t="s">
        <v>2531</v>
      </c>
      <c r="D2021" s="1" t="s">
        <v>2535</v>
      </c>
      <c r="E2021" s="1" t="s">
        <v>2536</v>
      </c>
      <c r="G2021" s="1" t="s">
        <v>2025</v>
      </c>
      <c r="H2021" s="1">
        <v>6.4475933449999996</v>
      </c>
      <c r="I2021" s="1">
        <v>6.949622572</v>
      </c>
      <c r="J2021" s="1">
        <v>5.1501560140000002</v>
      </c>
      <c r="K2021" s="1">
        <v>5.6482047069999997</v>
      </c>
      <c r="L2021" s="1">
        <v>6.1339192999999996</v>
      </c>
      <c r="M2021" s="1">
        <v>5.4866876930000004</v>
      </c>
      <c r="N2021" s="1">
        <v>7.2713491330000002</v>
      </c>
      <c r="O2021" s="1">
        <v>6.7700014289999997</v>
      </c>
      <c r="P2021" s="1">
        <v>5.7791106289999998</v>
      </c>
      <c r="Q2021" s="1">
        <v>5.5406489910000003</v>
      </c>
      <c r="R2021" s="1">
        <v>5.0440296189999998</v>
      </c>
      <c r="S2021" s="1">
        <v>5.505875713</v>
      </c>
      <c r="T2021" s="1">
        <v>6.1339192999999996</v>
      </c>
      <c r="U2021" s="1">
        <v>5.4866876930000004</v>
      </c>
      <c r="V2021" s="1">
        <v>5.8270932010000003</v>
      </c>
      <c r="W2021" s="1">
        <v>5.9408128590000002</v>
      </c>
      <c r="X2021" s="1">
        <v>5.9626863439999997</v>
      </c>
      <c r="Y2021" s="1">
        <v>5.3731782380000004</v>
      </c>
      <c r="Z2021" s="1">
        <v>5.0440296189999998</v>
      </c>
      <c r="AA2021" s="1">
        <v>5.505875713</v>
      </c>
      <c r="AB2021" s="1">
        <v>4.7958605490000004</v>
      </c>
      <c r="AC2021" s="1">
        <v>5.471555994</v>
      </c>
      <c r="AD2021" s="1">
        <v>5.3536174839999999</v>
      </c>
      <c r="AE2021" s="1">
        <v>5.6297370090000003</v>
      </c>
    </row>
    <row r="2022" spans="1:31" x14ac:dyDescent="0.25">
      <c r="A2022" s="1" t="s">
        <v>2027</v>
      </c>
      <c r="B2022" s="1" t="s">
        <v>2631</v>
      </c>
      <c r="C2022" s="1" t="s">
        <v>2980</v>
      </c>
      <c r="D2022" s="1" t="s">
        <v>2535</v>
      </c>
      <c r="E2022" s="1" t="s">
        <v>4958</v>
      </c>
      <c r="G2022" s="1" t="s">
        <v>2027</v>
      </c>
      <c r="H2022" s="1">
        <v>9.2952828699999994</v>
      </c>
      <c r="I2022" s="1">
        <v>9.1978512850000005</v>
      </c>
      <c r="J2022" s="1">
        <v>7.4212376869999996</v>
      </c>
      <c r="K2022" s="1">
        <v>8.1574446040000002</v>
      </c>
      <c r="L2022" s="1">
        <v>6.951198378</v>
      </c>
      <c r="M2022" s="1">
        <v>6.8145785730000004</v>
      </c>
      <c r="N2022" s="1">
        <v>8.7438421519999991</v>
      </c>
      <c r="O2022" s="1">
        <v>9.1557785930000009</v>
      </c>
      <c r="P2022" s="1">
        <v>6.429694821</v>
      </c>
      <c r="Q2022" s="1">
        <v>6.6461070910000002</v>
      </c>
      <c r="R2022" s="1">
        <v>6.6590761939999998</v>
      </c>
      <c r="S2022" s="1">
        <v>6.8950186230000003</v>
      </c>
      <c r="T2022" s="1">
        <v>6.951198378</v>
      </c>
      <c r="U2022" s="1">
        <v>6.8145785730000004</v>
      </c>
      <c r="V2022" s="1">
        <v>7.1862491420000003</v>
      </c>
      <c r="W2022" s="1">
        <v>7.4093709079999996</v>
      </c>
      <c r="X2022" s="1">
        <v>6.8477008430000001</v>
      </c>
      <c r="Y2022" s="1">
        <v>7.5165168270000002</v>
      </c>
      <c r="Z2022" s="1">
        <v>6.6590761939999998</v>
      </c>
      <c r="AA2022" s="1">
        <v>6.8950186230000003</v>
      </c>
      <c r="AB2022" s="1">
        <v>7.233602522</v>
      </c>
      <c r="AC2022" s="1">
        <v>6.526755767</v>
      </c>
      <c r="AD2022" s="1">
        <v>7.7382649529999998</v>
      </c>
      <c r="AE2022" s="1">
        <v>7.4672568349999997</v>
      </c>
    </row>
    <row r="2023" spans="1:31" x14ac:dyDescent="0.25">
      <c r="A2023" s="1" t="s">
        <v>2028</v>
      </c>
      <c r="B2023" s="1" t="s">
        <v>2547</v>
      </c>
      <c r="C2023" s="1" t="s">
        <v>2675</v>
      </c>
      <c r="D2023" s="1" t="s">
        <v>5620</v>
      </c>
      <c r="E2023" s="1" t="s">
        <v>5621</v>
      </c>
      <c r="F2023" s="1" t="s">
        <v>5622</v>
      </c>
      <c r="G2023" s="1" t="s">
        <v>2028</v>
      </c>
      <c r="H2023" s="1">
        <v>2.9945681560000001</v>
      </c>
      <c r="I2023" s="1">
        <v>3.3322126910000001</v>
      </c>
      <c r="J2023" s="1">
        <v>2.8907526730000002</v>
      </c>
      <c r="K2023" s="1">
        <v>1.7393328349999999</v>
      </c>
      <c r="L2023" s="1">
        <v>2.9964092330000001</v>
      </c>
      <c r="M2023" s="1">
        <v>2.665084539</v>
      </c>
      <c r="N2023" s="1">
        <v>2.372908427</v>
      </c>
      <c r="O2023" s="1">
        <v>3.3203005989999999</v>
      </c>
      <c r="P2023" s="1">
        <v>2.8687501260000001</v>
      </c>
      <c r="Q2023" s="1">
        <v>2.597100669</v>
      </c>
      <c r="R2023" s="1">
        <v>1.7393328349999999</v>
      </c>
      <c r="S2023" s="1">
        <v>1.7393328349999999</v>
      </c>
      <c r="T2023" s="1">
        <v>2.9964092330000001</v>
      </c>
      <c r="U2023" s="1">
        <v>2.665084539</v>
      </c>
      <c r="V2023" s="1">
        <v>2.5140266200000001</v>
      </c>
      <c r="W2023" s="1">
        <v>1.7393328349999999</v>
      </c>
      <c r="X2023" s="1">
        <v>2.7988456519999998</v>
      </c>
      <c r="Y2023" s="1">
        <v>2.624795792</v>
      </c>
      <c r="Z2023" s="1">
        <v>1.7393328349999999</v>
      </c>
      <c r="AA2023" s="1">
        <v>1.7393328349999999</v>
      </c>
      <c r="AB2023" s="1">
        <v>2.73487305</v>
      </c>
      <c r="AC2023" s="1">
        <v>1.7393328349999999</v>
      </c>
      <c r="AD2023" s="1">
        <v>2.9432342459999998</v>
      </c>
      <c r="AE2023" s="1">
        <v>2.9592545700000001</v>
      </c>
    </row>
    <row r="2024" spans="1:31" x14ac:dyDescent="0.25">
      <c r="A2024" s="1" t="s">
        <v>2029</v>
      </c>
      <c r="B2024" s="1" t="s">
        <v>2547</v>
      </c>
      <c r="C2024" s="1" t="s">
        <v>2675</v>
      </c>
      <c r="D2024" s="1" t="s">
        <v>5620</v>
      </c>
      <c r="E2024" s="1" t="s">
        <v>5623</v>
      </c>
      <c r="F2024" s="1" t="s">
        <v>5624</v>
      </c>
      <c r="G2024" s="1" t="s">
        <v>2029</v>
      </c>
      <c r="H2024" s="1">
        <v>2.640460343</v>
      </c>
      <c r="I2024" s="1">
        <v>2.5655118899999998</v>
      </c>
      <c r="J2024" s="1">
        <v>2.8907526730000002</v>
      </c>
      <c r="K2024" s="1">
        <v>2.9677134359999999</v>
      </c>
      <c r="L2024" s="1">
        <v>2.7248816410000001</v>
      </c>
      <c r="M2024" s="1">
        <v>3.2940962960000002</v>
      </c>
      <c r="N2024" s="1">
        <v>2.372908427</v>
      </c>
      <c r="O2024" s="1">
        <v>1.7393328349999999</v>
      </c>
      <c r="P2024" s="1">
        <v>3.6116823170000001</v>
      </c>
      <c r="Q2024" s="1">
        <v>3.388910638</v>
      </c>
      <c r="R2024" s="1">
        <v>3.1834741979999999</v>
      </c>
      <c r="S2024" s="1">
        <v>1.7393328349999999</v>
      </c>
      <c r="T2024" s="1">
        <v>2.7248816410000001</v>
      </c>
      <c r="U2024" s="1">
        <v>3.2940962960000002</v>
      </c>
      <c r="V2024" s="1">
        <v>2.5140266200000001</v>
      </c>
      <c r="W2024" s="1">
        <v>3.0218530750000001</v>
      </c>
      <c r="X2024" s="1">
        <v>3.6673381269999998</v>
      </c>
      <c r="Y2024" s="1">
        <v>2.624795792</v>
      </c>
      <c r="Z2024" s="1">
        <v>3.1834741979999999</v>
      </c>
      <c r="AA2024" s="1">
        <v>1.7393328349999999</v>
      </c>
      <c r="AB2024" s="1">
        <v>3.1218319999999999</v>
      </c>
      <c r="AC2024" s="1">
        <v>3.3054795530000001</v>
      </c>
      <c r="AD2024" s="1">
        <v>4.0967699450000001</v>
      </c>
      <c r="AE2024" s="1">
        <v>3.8196998459999998</v>
      </c>
    </row>
    <row r="2025" spans="1:31" x14ac:dyDescent="0.25">
      <c r="A2025" s="1" t="s">
        <v>2030</v>
      </c>
      <c r="B2025" s="1" t="s">
        <v>2547</v>
      </c>
      <c r="C2025" s="1" t="s">
        <v>2675</v>
      </c>
      <c r="D2025" s="1" t="s">
        <v>5620</v>
      </c>
      <c r="E2025" s="1" t="s">
        <v>5625</v>
      </c>
      <c r="F2025" s="1" t="s">
        <v>5626</v>
      </c>
      <c r="G2025" s="1" t="s">
        <v>2030</v>
      </c>
      <c r="H2025" s="1">
        <v>4.3886087140000001</v>
      </c>
      <c r="I2025" s="1">
        <v>4.3763156859999999</v>
      </c>
      <c r="J2025" s="1">
        <v>4.6607313550000002</v>
      </c>
      <c r="K2025" s="1">
        <v>4.3408695499999999</v>
      </c>
      <c r="L2025" s="1">
        <v>4.8288685039999999</v>
      </c>
      <c r="M2025" s="1">
        <v>4.4472617469999998</v>
      </c>
      <c r="N2025" s="1">
        <v>4.3596796910000002</v>
      </c>
      <c r="O2025" s="1">
        <v>3.88533178</v>
      </c>
      <c r="P2025" s="1">
        <v>4.5499605860000001</v>
      </c>
      <c r="Q2025" s="1">
        <v>5.1004769559999996</v>
      </c>
      <c r="R2025" s="1">
        <v>5.0965654090000001</v>
      </c>
      <c r="S2025" s="1">
        <v>4.3966315629999997</v>
      </c>
      <c r="T2025" s="1">
        <v>4.8288685039999999</v>
      </c>
      <c r="U2025" s="1">
        <v>4.4472617469999998</v>
      </c>
      <c r="V2025" s="1">
        <v>4.3879408260000003</v>
      </c>
      <c r="W2025" s="1">
        <v>4.3370700810000002</v>
      </c>
      <c r="X2025" s="1">
        <v>4.3627028770000003</v>
      </c>
      <c r="Y2025" s="1">
        <v>4.9529845589999999</v>
      </c>
      <c r="Z2025" s="1">
        <v>5.0965654090000001</v>
      </c>
      <c r="AA2025" s="1">
        <v>4.3966315629999997</v>
      </c>
      <c r="AB2025" s="1">
        <v>5.0356743460000004</v>
      </c>
      <c r="AC2025" s="1">
        <v>4.8610120620000004</v>
      </c>
      <c r="AD2025" s="1">
        <v>5.2159266190000002</v>
      </c>
      <c r="AE2025" s="1">
        <v>4.9843711490000002</v>
      </c>
    </row>
    <row r="2026" spans="1:31" x14ac:dyDescent="0.25">
      <c r="A2026" s="1" t="s">
        <v>2031</v>
      </c>
      <c r="B2026" s="1" t="s">
        <v>2547</v>
      </c>
      <c r="C2026" s="1" t="s">
        <v>2675</v>
      </c>
      <c r="D2026" s="1" t="s">
        <v>5620</v>
      </c>
      <c r="E2026" s="1" t="s">
        <v>5627</v>
      </c>
      <c r="F2026" s="1" t="s">
        <v>5628</v>
      </c>
      <c r="G2026" s="1" t="s">
        <v>2031</v>
      </c>
      <c r="H2026" s="1">
        <v>2.9945681560000001</v>
      </c>
      <c r="I2026" s="1">
        <v>3.9003964459999998</v>
      </c>
      <c r="J2026" s="1">
        <v>3.7773371739999999</v>
      </c>
      <c r="K2026" s="1">
        <v>3.607491666</v>
      </c>
      <c r="L2026" s="1">
        <v>3.6142294740000001</v>
      </c>
      <c r="M2026" s="1">
        <v>3.4067547010000001</v>
      </c>
      <c r="N2026" s="1">
        <v>3.9806352139999999</v>
      </c>
      <c r="O2026" s="1">
        <v>3.193511794</v>
      </c>
      <c r="P2026" s="1">
        <v>3.466113682</v>
      </c>
      <c r="Q2026" s="1">
        <v>2.597100669</v>
      </c>
      <c r="R2026" s="1">
        <v>2.595728008</v>
      </c>
      <c r="S2026" s="1">
        <v>3.5159502420000002</v>
      </c>
      <c r="T2026" s="1">
        <v>3.6142294740000001</v>
      </c>
      <c r="U2026" s="1">
        <v>3.4067547010000001</v>
      </c>
      <c r="V2026" s="1">
        <v>2.8225047829999999</v>
      </c>
      <c r="W2026" s="1">
        <v>4.3370700810000002</v>
      </c>
      <c r="X2026" s="1">
        <v>3.4131791489999999</v>
      </c>
      <c r="Y2026" s="1">
        <v>2.9733498090000001</v>
      </c>
      <c r="Z2026" s="1">
        <v>2.595728008</v>
      </c>
      <c r="AA2026" s="1">
        <v>3.5159502420000002</v>
      </c>
      <c r="AB2026" s="1">
        <v>2.73487305</v>
      </c>
      <c r="AC2026" s="1">
        <v>2.87258916</v>
      </c>
      <c r="AD2026" s="1">
        <v>3.984188064</v>
      </c>
      <c r="AE2026" s="1">
        <v>3.419797387</v>
      </c>
    </row>
    <row r="2027" spans="1:31" x14ac:dyDescent="0.25">
      <c r="A2027" s="1" t="s">
        <v>2034</v>
      </c>
      <c r="B2027" s="1" t="s">
        <v>2547</v>
      </c>
      <c r="C2027" s="1" t="s">
        <v>2789</v>
      </c>
      <c r="D2027" s="1" t="s">
        <v>3296</v>
      </c>
      <c r="E2027" s="1" t="s">
        <v>5629</v>
      </c>
      <c r="F2027" s="1" t="s">
        <v>5630</v>
      </c>
      <c r="G2027" s="1" t="s">
        <v>2034</v>
      </c>
      <c r="H2027" s="1">
        <v>5.3712699940000004</v>
      </c>
      <c r="I2027" s="1">
        <v>5.1546023129999998</v>
      </c>
      <c r="J2027" s="1">
        <v>3.7773371739999999</v>
      </c>
      <c r="K2027" s="1">
        <v>4.0244910950000001</v>
      </c>
      <c r="L2027" s="1">
        <v>4.0223143549999998</v>
      </c>
      <c r="M2027" s="1">
        <v>3.9251125939999998</v>
      </c>
      <c r="N2027" s="1">
        <v>4.730225151</v>
      </c>
      <c r="O2027" s="1">
        <v>4.7507950320000001</v>
      </c>
      <c r="P2027" s="1">
        <v>4.0684607960000001</v>
      </c>
      <c r="Q2027" s="1">
        <v>3.56206471</v>
      </c>
      <c r="R2027" s="1">
        <v>4.8118229140000004</v>
      </c>
      <c r="S2027" s="1">
        <v>3.7977317990000001</v>
      </c>
      <c r="T2027" s="1">
        <v>4.0223143549999998</v>
      </c>
      <c r="U2027" s="1">
        <v>3.9251125939999998</v>
      </c>
      <c r="V2027" s="1">
        <v>4.3879408260000003</v>
      </c>
      <c r="W2027" s="1">
        <v>4.4367165279999998</v>
      </c>
      <c r="X2027" s="1">
        <v>4.0600950219999996</v>
      </c>
      <c r="Y2027" s="1">
        <v>4.3509215530000001</v>
      </c>
      <c r="Z2027" s="1">
        <v>4.8118229140000004</v>
      </c>
      <c r="AA2027" s="1">
        <v>3.7977317990000001</v>
      </c>
      <c r="AB2027" s="1">
        <v>4.3946012420000002</v>
      </c>
      <c r="AC2027" s="1">
        <v>3.8665622239999999</v>
      </c>
      <c r="AD2027" s="1">
        <v>5.0634297190000002</v>
      </c>
      <c r="AE2027" s="1">
        <v>4.6199010239999998</v>
      </c>
    </row>
    <row r="2028" spans="1:31" x14ac:dyDescent="0.25">
      <c r="A2028" s="1" t="s">
        <v>2036</v>
      </c>
      <c r="B2028" s="1" t="s">
        <v>2530</v>
      </c>
      <c r="C2028" s="1" t="s">
        <v>2531</v>
      </c>
      <c r="D2028" s="1" t="s">
        <v>2535</v>
      </c>
      <c r="E2028" s="1" t="s">
        <v>5631</v>
      </c>
      <c r="G2028" s="1" t="s">
        <v>2036</v>
      </c>
      <c r="H2028" s="1">
        <v>6.2055952369999998</v>
      </c>
      <c r="I2028" s="1">
        <v>7.308415042</v>
      </c>
      <c r="J2028" s="1">
        <v>7.1176644690000002</v>
      </c>
      <c r="K2028" s="1">
        <v>7.4824236539999998</v>
      </c>
      <c r="L2028" s="1">
        <v>6.7413598239999999</v>
      </c>
      <c r="M2028" s="1">
        <v>6.5221854410000004</v>
      </c>
      <c r="N2028" s="1">
        <v>7.5076461229999998</v>
      </c>
      <c r="O2028" s="1">
        <v>7.1001027089999997</v>
      </c>
      <c r="P2028" s="1">
        <v>6.7943075329999996</v>
      </c>
      <c r="Q2028" s="1">
        <v>6.8576352290000004</v>
      </c>
      <c r="R2028" s="1">
        <v>6.1687435319999997</v>
      </c>
      <c r="S2028" s="1">
        <v>6.3418583389999998</v>
      </c>
      <c r="T2028" s="1">
        <v>6.7413598239999999</v>
      </c>
      <c r="U2028" s="1">
        <v>6.5221854410000004</v>
      </c>
      <c r="V2028" s="1">
        <v>6.7828668890000001</v>
      </c>
      <c r="W2028" s="1">
        <v>6.9646536269999997</v>
      </c>
      <c r="X2028" s="1">
        <v>5.9183192990000002</v>
      </c>
      <c r="Y2028" s="1">
        <v>6.5062933870000004</v>
      </c>
      <c r="Z2028" s="1">
        <v>6.1687435319999997</v>
      </c>
      <c r="AA2028" s="1">
        <v>6.3418583389999998</v>
      </c>
      <c r="AB2028" s="1">
        <v>6.1161870470000004</v>
      </c>
      <c r="AC2028" s="1">
        <v>6.4571567910000001</v>
      </c>
      <c r="AD2028" s="1">
        <v>6.5919351060000002</v>
      </c>
      <c r="AE2028" s="1">
        <v>6.6388355429999999</v>
      </c>
    </row>
    <row r="2029" spans="1:31" x14ac:dyDescent="0.25">
      <c r="A2029" s="1" t="s">
        <v>2037</v>
      </c>
      <c r="B2029" s="1" t="s">
        <v>2530</v>
      </c>
      <c r="C2029" s="1" t="s">
        <v>2531</v>
      </c>
      <c r="D2029" s="1" t="s">
        <v>2535</v>
      </c>
      <c r="E2029" s="1" t="s">
        <v>2536</v>
      </c>
      <c r="G2029" s="1" t="s">
        <v>2037</v>
      </c>
      <c r="H2029" s="1">
        <v>6.5753846300000003</v>
      </c>
      <c r="I2029" s="1">
        <v>6.2746491359999998</v>
      </c>
      <c r="J2029" s="1">
        <v>4.6607313550000002</v>
      </c>
      <c r="K2029" s="1">
        <v>5.5719358019999996</v>
      </c>
      <c r="L2029" s="1">
        <v>4.2932354009999996</v>
      </c>
      <c r="M2029" s="1">
        <v>3.9251125939999998</v>
      </c>
      <c r="N2029" s="1">
        <v>5.8624363539999997</v>
      </c>
      <c r="O2029" s="1">
        <v>6.1589202040000002</v>
      </c>
      <c r="P2029" s="1">
        <v>4.4075207919999997</v>
      </c>
      <c r="Q2029" s="1">
        <v>4.2835653880000004</v>
      </c>
      <c r="R2029" s="1">
        <v>4.2802026870000001</v>
      </c>
      <c r="S2029" s="1">
        <v>3.6647387380000001</v>
      </c>
      <c r="T2029" s="1">
        <v>4.2932354009999996</v>
      </c>
      <c r="U2029" s="1">
        <v>3.9251125939999998</v>
      </c>
      <c r="V2029" s="1">
        <v>4.3163797720000003</v>
      </c>
      <c r="W2029" s="1">
        <v>4.6166922860000001</v>
      </c>
      <c r="X2029" s="1">
        <v>4.5325909299999996</v>
      </c>
      <c r="Y2029" s="1">
        <v>4.1479647589999997</v>
      </c>
      <c r="Z2029" s="1">
        <v>4.2802026870000001</v>
      </c>
      <c r="AA2029" s="1">
        <v>3.6647387380000001</v>
      </c>
      <c r="AB2029" s="1">
        <v>4.705867896</v>
      </c>
      <c r="AC2029" s="1">
        <v>4.7474570290000004</v>
      </c>
      <c r="AD2029" s="1">
        <v>4.6978214539999996</v>
      </c>
      <c r="AE2029" s="1">
        <v>4.7973769099999997</v>
      </c>
    </row>
    <row r="2030" spans="1:31" x14ac:dyDescent="0.25">
      <c r="A2030" s="1" t="s">
        <v>2041</v>
      </c>
      <c r="B2030" s="1" t="s">
        <v>2530</v>
      </c>
      <c r="C2030" s="1" t="s">
        <v>2531</v>
      </c>
      <c r="D2030" s="1" t="s">
        <v>2535</v>
      </c>
      <c r="E2030" s="1" t="s">
        <v>5632</v>
      </c>
      <c r="G2030" s="1" t="s">
        <v>2041</v>
      </c>
      <c r="H2030" s="1">
        <v>3.8023684370000002</v>
      </c>
      <c r="I2030" s="1">
        <v>3.7806045529999999</v>
      </c>
      <c r="J2030" s="1">
        <v>3.6453331530000002</v>
      </c>
      <c r="K2030" s="1">
        <v>3.22334677</v>
      </c>
      <c r="L2030" s="1">
        <v>3.6811173419999998</v>
      </c>
      <c r="M2030" s="1">
        <v>3.6924658159999999</v>
      </c>
      <c r="N2030" s="1">
        <v>3.8490531570000002</v>
      </c>
      <c r="O2030" s="1">
        <v>4.6680836990000003</v>
      </c>
      <c r="P2030" s="1">
        <v>4.2485661720000003</v>
      </c>
      <c r="Q2030" s="1">
        <v>3.8492287269999999</v>
      </c>
      <c r="R2030" s="1">
        <v>3.386455024</v>
      </c>
      <c r="S2030" s="1">
        <v>3.5159502420000002</v>
      </c>
      <c r="T2030" s="1">
        <v>3.6811173419999998</v>
      </c>
      <c r="U2030" s="1">
        <v>3.6924658159999999</v>
      </c>
      <c r="V2030" s="1">
        <v>4.0758289169999999</v>
      </c>
      <c r="W2030" s="1">
        <v>3.2870366010000001</v>
      </c>
      <c r="X2030" s="1">
        <v>4.1686775799999998</v>
      </c>
      <c r="Y2030" s="1">
        <v>2.624795792</v>
      </c>
      <c r="Z2030" s="1">
        <v>3.386455024</v>
      </c>
      <c r="AA2030" s="1">
        <v>3.5159502420000002</v>
      </c>
      <c r="AB2030" s="1">
        <v>3.1218319999999999</v>
      </c>
      <c r="AC2030" s="1">
        <v>3.9750819590000002</v>
      </c>
      <c r="AD2030" s="1">
        <v>4.3870463700000002</v>
      </c>
      <c r="AE2030" s="1">
        <v>4.4163948289999997</v>
      </c>
    </row>
    <row r="2031" spans="1:31" x14ac:dyDescent="0.25">
      <c r="A2031" s="1" t="s">
        <v>2043</v>
      </c>
      <c r="B2031" s="1" t="s">
        <v>2530</v>
      </c>
      <c r="C2031" s="1" t="s">
        <v>2531</v>
      </c>
      <c r="D2031" s="1" t="s">
        <v>2535</v>
      </c>
      <c r="E2031" s="1" t="s">
        <v>5633</v>
      </c>
      <c r="F2031" s="1" t="s">
        <v>5634</v>
      </c>
      <c r="G2031" s="1" t="s">
        <v>2043</v>
      </c>
      <c r="H2031" s="1">
        <v>7.6942233079999998</v>
      </c>
      <c r="I2031" s="1">
        <v>7.8559156569999997</v>
      </c>
      <c r="J2031" s="1">
        <v>7.6876495020000002</v>
      </c>
      <c r="K2031" s="1">
        <v>7.685267369</v>
      </c>
      <c r="L2031" s="1">
        <v>7.5671185830000001</v>
      </c>
      <c r="M2031" s="1">
        <v>7.699896818</v>
      </c>
      <c r="N2031" s="1">
        <v>7.4385569570000003</v>
      </c>
      <c r="O2031" s="1">
        <v>7.480067054</v>
      </c>
      <c r="P2031" s="1">
        <v>7.599320348</v>
      </c>
      <c r="Q2031" s="1">
        <v>7.7446185060000001</v>
      </c>
      <c r="R2031" s="1">
        <v>7.4711020960000001</v>
      </c>
      <c r="S2031" s="1">
        <v>7.7587352269999998</v>
      </c>
      <c r="T2031" s="1">
        <v>7.5671185830000001</v>
      </c>
      <c r="U2031" s="1">
        <v>7.699896818</v>
      </c>
      <c r="V2031" s="1">
        <v>8.1928020519999993</v>
      </c>
      <c r="W2031" s="1">
        <v>7.9593889969999996</v>
      </c>
      <c r="X2031" s="1">
        <v>7.670492887</v>
      </c>
      <c r="Y2031" s="1">
        <v>8.2593170810000007</v>
      </c>
      <c r="Z2031" s="1">
        <v>7.4711020960000001</v>
      </c>
      <c r="AA2031" s="1">
        <v>7.7587352269999998</v>
      </c>
      <c r="AB2031" s="1">
        <v>7.6684897779999996</v>
      </c>
      <c r="AC2031" s="1">
        <v>7.6331006529999996</v>
      </c>
      <c r="AD2031" s="1">
        <v>7.6257906120000003</v>
      </c>
      <c r="AE2031" s="1">
        <v>7.7690441620000001</v>
      </c>
    </row>
    <row r="2032" spans="1:31" x14ac:dyDescent="0.25">
      <c r="A2032" s="1" t="s">
        <v>2044</v>
      </c>
      <c r="B2032" s="1" t="s">
        <v>2530</v>
      </c>
      <c r="C2032" s="1" t="s">
        <v>2531</v>
      </c>
      <c r="D2032" s="1" t="s">
        <v>2535</v>
      </c>
      <c r="E2032" s="1" t="s">
        <v>5635</v>
      </c>
      <c r="G2032" s="1" t="s">
        <v>2044</v>
      </c>
      <c r="H2032" s="1">
        <v>6.4251460160000002</v>
      </c>
      <c r="I2032" s="1">
        <v>6.0719413549999999</v>
      </c>
      <c r="J2032" s="1">
        <v>6.5372293419999998</v>
      </c>
      <c r="K2032" s="1">
        <v>6.9488037440000001</v>
      </c>
      <c r="L2032" s="1">
        <v>6.595789678</v>
      </c>
      <c r="M2032" s="1">
        <v>6.6194403580000003</v>
      </c>
      <c r="N2032" s="1">
        <v>6.7194322870000001</v>
      </c>
      <c r="O2032" s="1">
        <v>6.5936608059999999</v>
      </c>
      <c r="P2032" s="1">
        <v>6.6313784599999996</v>
      </c>
      <c r="Q2032" s="1">
        <v>6.459205753</v>
      </c>
      <c r="R2032" s="1">
        <v>6.624026862</v>
      </c>
      <c r="S2032" s="1">
        <v>6.717498838</v>
      </c>
      <c r="T2032" s="1">
        <v>6.595789678</v>
      </c>
      <c r="U2032" s="1">
        <v>6.6194403580000003</v>
      </c>
      <c r="V2032" s="1">
        <v>6.9418646219999998</v>
      </c>
      <c r="W2032" s="1">
        <v>6.7734156700000003</v>
      </c>
      <c r="X2032" s="1">
        <v>6.6361617290000003</v>
      </c>
      <c r="Y2032" s="1">
        <v>6.9918159360000001</v>
      </c>
      <c r="Z2032" s="1">
        <v>6.624026862</v>
      </c>
      <c r="AA2032" s="1">
        <v>6.717498838</v>
      </c>
      <c r="AB2032" s="1">
        <v>6.7915089589999997</v>
      </c>
      <c r="AC2032" s="1">
        <v>6.526755767</v>
      </c>
      <c r="AD2032" s="1">
        <v>6.6985326699999996</v>
      </c>
      <c r="AE2032" s="1">
        <v>6.7703137360000003</v>
      </c>
    </row>
    <row r="2033" spans="1:31" x14ac:dyDescent="0.25">
      <c r="A2033" s="1" t="s">
        <v>2045</v>
      </c>
      <c r="B2033" s="1" t="s">
        <v>2942</v>
      </c>
      <c r="C2033" s="1" t="s">
        <v>2943</v>
      </c>
      <c r="D2033" s="1" t="s">
        <v>4996</v>
      </c>
      <c r="E2033" s="1" t="s">
        <v>5636</v>
      </c>
      <c r="F2033" s="1" t="s">
        <v>5637</v>
      </c>
      <c r="G2033" s="1" t="s">
        <v>2045</v>
      </c>
      <c r="H2033" s="1">
        <v>6.1242673779999999</v>
      </c>
      <c r="I2033" s="1">
        <v>6.6753919760000002</v>
      </c>
      <c r="J2033" s="1">
        <v>6.4839470649999997</v>
      </c>
      <c r="K2033" s="1">
        <v>6.4300937310000004</v>
      </c>
      <c r="L2033" s="1">
        <v>6.5877046339999996</v>
      </c>
      <c r="M2033" s="1">
        <v>6.6401882609999996</v>
      </c>
      <c r="N2033" s="1">
        <v>7.2713491330000002</v>
      </c>
      <c r="O2033" s="1">
        <v>6.953109897</v>
      </c>
      <c r="P2033" s="1">
        <v>6.0141943849999997</v>
      </c>
      <c r="Q2033" s="1">
        <v>6.2209780280000002</v>
      </c>
      <c r="R2033" s="1">
        <v>6.0937807429999999</v>
      </c>
      <c r="S2033" s="1">
        <v>6.3621547329999997</v>
      </c>
      <c r="T2033" s="1">
        <v>6.5877046339999996</v>
      </c>
      <c r="U2033" s="1">
        <v>6.6401882609999996</v>
      </c>
      <c r="V2033" s="1">
        <v>6.5443212659999999</v>
      </c>
      <c r="W2033" s="1">
        <v>6.3179498900000004</v>
      </c>
      <c r="X2033" s="1">
        <v>6.0475048180000002</v>
      </c>
      <c r="Y2033" s="1">
        <v>6.4855214879999998</v>
      </c>
      <c r="Z2033" s="1">
        <v>6.0937807429999999</v>
      </c>
      <c r="AA2033" s="1">
        <v>6.3621547329999997</v>
      </c>
      <c r="AB2033" s="1">
        <v>6.339283708</v>
      </c>
      <c r="AC2033" s="1">
        <v>6.3266154559999999</v>
      </c>
      <c r="AD2033" s="1">
        <v>6.4966454860000002</v>
      </c>
      <c r="AE2033" s="1">
        <v>6.875292773</v>
      </c>
    </row>
    <row r="2034" spans="1:31" x14ac:dyDescent="0.25">
      <c r="A2034" s="1" t="s">
        <v>2046</v>
      </c>
      <c r="B2034" s="1" t="s">
        <v>2942</v>
      </c>
      <c r="C2034" s="1" t="s">
        <v>2943</v>
      </c>
      <c r="D2034" s="1" t="s">
        <v>4996</v>
      </c>
      <c r="E2034" s="1" t="s">
        <v>5638</v>
      </c>
      <c r="F2034" s="1" t="s">
        <v>4998</v>
      </c>
      <c r="G2034" s="1" t="s">
        <v>2046</v>
      </c>
      <c r="H2034" s="1">
        <v>6.0961014899999997</v>
      </c>
      <c r="I2034" s="1">
        <v>6.3160597540000003</v>
      </c>
      <c r="J2034" s="1">
        <v>6.331385225</v>
      </c>
      <c r="K2034" s="1">
        <v>6.2465923569999999</v>
      </c>
      <c r="L2034" s="1">
        <v>6.957483667</v>
      </c>
      <c r="M2034" s="1">
        <v>7.0184387069999996</v>
      </c>
      <c r="N2034" s="1">
        <v>6.5582948950000004</v>
      </c>
      <c r="O2034" s="1">
        <v>6.6371378139999999</v>
      </c>
      <c r="P2034" s="1">
        <v>6.5507496449999998</v>
      </c>
      <c r="Q2034" s="1">
        <v>6.2673322389999999</v>
      </c>
      <c r="R2034" s="1">
        <v>6.4941616399999997</v>
      </c>
      <c r="S2034" s="1">
        <v>6.636545935</v>
      </c>
      <c r="T2034" s="1">
        <v>6.957483667</v>
      </c>
      <c r="U2034" s="1">
        <v>7.0184387069999996</v>
      </c>
      <c r="V2034" s="1">
        <v>7.1365351649999997</v>
      </c>
      <c r="W2034" s="1">
        <v>6.239290832</v>
      </c>
      <c r="X2034" s="1">
        <v>6.2034432739999996</v>
      </c>
      <c r="Y2034" s="1">
        <v>6.8689654070000001</v>
      </c>
      <c r="Z2034" s="1">
        <v>6.4941616399999997</v>
      </c>
      <c r="AA2034" s="1">
        <v>6.636545935</v>
      </c>
      <c r="AB2034" s="1">
        <v>5.5276660309999999</v>
      </c>
      <c r="AC2034" s="1">
        <v>6.346005549</v>
      </c>
      <c r="AD2034" s="1">
        <v>5.8322684330000003</v>
      </c>
      <c r="AE2034" s="1">
        <v>6.0726073669999998</v>
      </c>
    </row>
    <row r="2035" spans="1:31" x14ac:dyDescent="0.25">
      <c r="A2035" s="1" t="s">
        <v>2047</v>
      </c>
      <c r="B2035" s="1" t="s">
        <v>2942</v>
      </c>
      <c r="C2035" s="1" t="s">
        <v>2943</v>
      </c>
      <c r="D2035" s="1" t="s">
        <v>4996</v>
      </c>
      <c r="E2035" s="1" t="s">
        <v>5639</v>
      </c>
      <c r="F2035" s="1" t="s">
        <v>5640</v>
      </c>
      <c r="G2035" s="1" t="s">
        <v>2047</v>
      </c>
      <c r="H2035" s="1">
        <v>3.9421380259999999</v>
      </c>
      <c r="I2035" s="1">
        <v>3.9003964459999998</v>
      </c>
      <c r="J2035" s="1">
        <v>4.5240842389999996</v>
      </c>
      <c r="K2035" s="1">
        <v>4.941717659</v>
      </c>
      <c r="L2035" s="1">
        <v>5.2363096809999998</v>
      </c>
      <c r="M2035" s="1">
        <v>4.8607408789999997</v>
      </c>
      <c r="N2035" s="1">
        <v>4.5776172920000002</v>
      </c>
      <c r="O2035" s="1">
        <v>4.4862678239999996</v>
      </c>
      <c r="P2035" s="1">
        <v>4.4805784009999998</v>
      </c>
      <c r="Q2035" s="1">
        <v>4.683187717</v>
      </c>
      <c r="R2035" s="1">
        <v>5.0440296189999998</v>
      </c>
      <c r="S2035" s="1">
        <v>4.3966315629999997</v>
      </c>
      <c r="T2035" s="1">
        <v>5.2363096809999998</v>
      </c>
      <c r="U2035" s="1">
        <v>4.8607408789999997</v>
      </c>
      <c r="V2035" s="1">
        <v>4.3163797720000003</v>
      </c>
      <c r="W2035" s="1">
        <v>4.4367165279999998</v>
      </c>
      <c r="X2035" s="1">
        <v>4.3167291810000004</v>
      </c>
      <c r="Y2035" s="1">
        <v>4.8904630100000004</v>
      </c>
      <c r="Z2035" s="1">
        <v>5.0440296189999998</v>
      </c>
      <c r="AA2035" s="1">
        <v>4.3966315629999997</v>
      </c>
      <c r="AB2035" s="1">
        <v>4.3946012420000002</v>
      </c>
      <c r="AC2035" s="1">
        <v>4.3377211620000002</v>
      </c>
      <c r="AD2035" s="1">
        <v>4.2005997429999997</v>
      </c>
      <c r="AE2035" s="1">
        <v>4.5815229759999996</v>
      </c>
    </row>
    <row r="2036" spans="1:31" x14ac:dyDescent="0.25">
      <c r="A2036" s="1" t="s">
        <v>2048</v>
      </c>
      <c r="B2036" s="1" t="s">
        <v>2542</v>
      </c>
      <c r="C2036" s="1" t="s">
        <v>2543</v>
      </c>
      <c r="D2036" s="1" t="s">
        <v>2776</v>
      </c>
      <c r="E2036" s="1" t="s">
        <v>5641</v>
      </c>
      <c r="F2036" s="1" t="s">
        <v>5642</v>
      </c>
      <c r="G2036" s="1" t="s">
        <v>2048</v>
      </c>
      <c r="H2036" s="1">
        <v>5.946332924</v>
      </c>
      <c r="I2036" s="1">
        <v>6.1880668090000004</v>
      </c>
      <c r="J2036" s="1">
        <v>6.4286153060000002</v>
      </c>
      <c r="K2036" s="1">
        <v>6.8716784979999996</v>
      </c>
      <c r="L2036" s="1">
        <v>6.5877046339999996</v>
      </c>
      <c r="M2036" s="1">
        <v>6.5662231340000003</v>
      </c>
      <c r="N2036" s="1">
        <v>6.6363750030000004</v>
      </c>
      <c r="O2036" s="1">
        <v>6.4907517290000003</v>
      </c>
      <c r="P2036" s="1">
        <v>6.4115387159999999</v>
      </c>
      <c r="Q2036" s="1">
        <v>5.8765740600000003</v>
      </c>
      <c r="R2036" s="1">
        <v>6.4547978119999998</v>
      </c>
      <c r="S2036" s="1">
        <v>6.2136668149999998</v>
      </c>
      <c r="T2036" s="1">
        <v>6.5877046339999996</v>
      </c>
      <c r="U2036" s="1">
        <v>6.5662231340000003</v>
      </c>
      <c r="V2036" s="1">
        <v>6.8706547860000002</v>
      </c>
      <c r="W2036" s="1">
        <v>6.863500084</v>
      </c>
      <c r="X2036" s="1">
        <v>6.1013878439999996</v>
      </c>
      <c r="Y2036" s="1">
        <v>6.5865062539999997</v>
      </c>
      <c r="Z2036" s="1">
        <v>6.4547978119999998</v>
      </c>
      <c r="AA2036" s="1">
        <v>6.2136668149999998</v>
      </c>
      <c r="AB2036" s="1">
        <v>5.8927983030000002</v>
      </c>
      <c r="AC2036" s="1">
        <v>6.3069602739999997</v>
      </c>
      <c r="AD2036" s="1">
        <v>6.190389411</v>
      </c>
      <c r="AE2036" s="1">
        <v>6.3332249579999997</v>
      </c>
    </row>
    <row r="2037" spans="1:31" x14ac:dyDescent="0.25">
      <c r="A2037" s="1" t="s">
        <v>2049</v>
      </c>
      <c r="B2037" s="1" t="s">
        <v>2530</v>
      </c>
      <c r="C2037" s="1" t="s">
        <v>2531</v>
      </c>
      <c r="D2037" s="1" t="s">
        <v>2535</v>
      </c>
      <c r="E2037" s="1" t="s">
        <v>5643</v>
      </c>
      <c r="G2037" s="1" t="s">
        <v>2049</v>
      </c>
      <c r="H2037" s="1">
        <v>4.9322401630000003</v>
      </c>
      <c r="I2037" s="1">
        <v>5.0595268689999999</v>
      </c>
      <c r="J2037" s="1">
        <v>5.1501560140000002</v>
      </c>
      <c r="K2037" s="1">
        <v>5.166960875</v>
      </c>
      <c r="L2037" s="1">
        <v>5.6176953479999998</v>
      </c>
      <c r="M2037" s="1">
        <v>5.7391643339999998</v>
      </c>
      <c r="N2037" s="1">
        <v>5.8295014189999996</v>
      </c>
      <c r="O2037" s="1">
        <v>5.5090357550000002</v>
      </c>
      <c r="P2037" s="1">
        <v>5.565195407</v>
      </c>
      <c r="Q2037" s="1">
        <v>5.5780218530000001</v>
      </c>
      <c r="R2037" s="1">
        <v>5.4981688889999996</v>
      </c>
      <c r="S2037" s="1">
        <v>4.8699614389999999</v>
      </c>
      <c r="T2037" s="1">
        <v>5.6176953479999998</v>
      </c>
      <c r="U2037" s="1">
        <v>5.7391643339999998</v>
      </c>
      <c r="V2037" s="1">
        <v>5.1679192199999999</v>
      </c>
      <c r="W2037" s="1">
        <v>5.2236621110000003</v>
      </c>
      <c r="X2037" s="1">
        <v>5.4623126839999996</v>
      </c>
      <c r="Y2037" s="1">
        <v>5.1785898169999998</v>
      </c>
      <c r="Z2037" s="1">
        <v>5.4981688889999996</v>
      </c>
      <c r="AA2037" s="1">
        <v>4.8699614389999999</v>
      </c>
      <c r="AB2037" s="1">
        <v>5.1073354020000004</v>
      </c>
      <c r="AC2037" s="1">
        <v>5.471555994</v>
      </c>
      <c r="AD2037" s="1">
        <v>5.4791562909999998</v>
      </c>
      <c r="AE2037" s="1">
        <v>5.1232419389999997</v>
      </c>
    </row>
    <row r="2038" spans="1:31" x14ac:dyDescent="0.25">
      <c r="A2038" s="1" t="s">
        <v>2051</v>
      </c>
      <c r="B2038" s="1" t="s">
        <v>2530</v>
      </c>
      <c r="C2038" s="1" t="s">
        <v>2531</v>
      </c>
      <c r="D2038" s="1" t="s">
        <v>2535</v>
      </c>
      <c r="E2038" s="1" t="s">
        <v>2536</v>
      </c>
      <c r="G2038" s="1" t="s">
        <v>2051</v>
      </c>
      <c r="H2038" s="1">
        <v>6.9342905650000004</v>
      </c>
      <c r="I2038" s="1">
        <v>7.8836806819999996</v>
      </c>
      <c r="J2038" s="1">
        <v>6.4096880770000002</v>
      </c>
      <c r="K2038" s="1">
        <v>6.7038094560000001</v>
      </c>
      <c r="L2038" s="1">
        <v>7.0007292300000001</v>
      </c>
      <c r="M2038" s="1">
        <v>6.4767572920000003</v>
      </c>
      <c r="N2038" s="1">
        <v>6.7548624930000001</v>
      </c>
      <c r="O2038" s="1">
        <v>6.3009667690000004</v>
      </c>
      <c r="P2038" s="1">
        <v>6.9406621209999999</v>
      </c>
      <c r="Q2038" s="1">
        <v>7.0420381550000002</v>
      </c>
      <c r="R2038" s="1">
        <v>5.5365302600000001</v>
      </c>
      <c r="S2038" s="1">
        <v>5.9168316079999999</v>
      </c>
      <c r="T2038" s="1">
        <v>7.0007292300000001</v>
      </c>
      <c r="U2038" s="1">
        <v>6.4767572920000003</v>
      </c>
      <c r="V2038" s="1">
        <v>6.7828668890000001</v>
      </c>
      <c r="W2038" s="1">
        <v>6.4165513509999998</v>
      </c>
      <c r="X2038" s="1">
        <v>5.9332613380000003</v>
      </c>
      <c r="Y2038" s="1">
        <v>7.0353119980000001</v>
      </c>
      <c r="Z2038" s="1">
        <v>5.5365302600000001</v>
      </c>
      <c r="AA2038" s="1">
        <v>5.9168316079999999</v>
      </c>
      <c r="AB2038" s="1">
        <v>5.675717079</v>
      </c>
      <c r="AC2038" s="1">
        <v>5.1103036370000003</v>
      </c>
      <c r="AD2038" s="1">
        <v>5.7682763389999998</v>
      </c>
      <c r="AE2038" s="1">
        <v>6.1128603159999999</v>
      </c>
    </row>
    <row r="2039" spans="1:31" x14ac:dyDescent="0.25">
      <c r="A2039" s="1" t="s">
        <v>2054</v>
      </c>
      <c r="B2039" s="1" t="s">
        <v>2530</v>
      </c>
      <c r="C2039" s="1" t="s">
        <v>2531</v>
      </c>
      <c r="D2039" s="1" t="s">
        <v>2535</v>
      </c>
      <c r="E2039" s="1" t="s">
        <v>2536</v>
      </c>
      <c r="G2039" s="1" t="s">
        <v>2054</v>
      </c>
      <c r="H2039" s="1">
        <v>4.3886087140000001</v>
      </c>
      <c r="I2039" s="1">
        <v>4.66484875</v>
      </c>
      <c r="J2039" s="1">
        <v>4.7851628320000001</v>
      </c>
      <c r="K2039" s="1">
        <v>4.8793048219999999</v>
      </c>
      <c r="L2039" s="1">
        <v>3.918224124</v>
      </c>
      <c r="M2039" s="1">
        <v>3.9251125939999998</v>
      </c>
      <c r="N2039" s="1">
        <v>4.8677953240000003</v>
      </c>
      <c r="O2039" s="1">
        <v>4.4368189940000002</v>
      </c>
      <c r="P2039" s="1">
        <v>3.6116823170000001</v>
      </c>
      <c r="Q2039" s="1">
        <v>4.2835653880000004</v>
      </c>
      <c r="R2039" s="1">
        <v>4.1841942410000001</v>
      </c>
      <c r="S2039" s="1">
        <v>3.9182367880000002</v>
      </c>
      <c r="T2039" s="1">
        <v>3.918224124</v>
      </c>
      <c r="U2039" s="1">
        <v>3.9251125939999998</v>
      </c>
      <c r="V2039" s="1">
        <v>3.6670520409999998</v>
      </c>
      <c r="W2039" s="1">
        <v>4.3370700810000002</v>
      </c>
      <c r="X2039" s="1">
        <v>3.7416722899999999</v>
      </c>
      <c r="Y2039" s="1">
        <v>2.9733498090000001</v>
      </c>
      <c r="Z2039" s="1">
        <v>4.1841942410000001</v>
      </c>
      <c r="AA2039" s="1">
        <v>3.9182367880000002</v>
      </c>
      <c r="AB2039" s="1">
        <v>3.8237667059999998</v>
      </c>
      <c r="AC2039" s="1">
        <v>4.0753403910000001</v>
      </c>
      <c r="AD2039" s="1">
        <v>4.5511338559999999</v>
      </c>
      <c r="AE2039" s="1">
        <v>4.1773695330000002</v>
      </c>
    </row>
    <row r="2040" spans="1:31" x14ac:dyDescent="0.25">
      <c r="A2040" s="1" t="s">
        <v>2055</v>
      </c>
      <c r="B2040" s="1" t="s">
        <v>2530</v>
      </c>
      <c r="C2040" s="1" t="s">
        <v>2573</v>
      </c>
      <c r="D2040" s="1" t="s">
        <v>2535</v>
      </c>
      <c r="E2040" s="1" t="s">
        <v>5644</v>
      </c>
      <c r="G2040" s="1" t="s">
        <v>2055</v>
      </c>
      <c r="H2040" s="1">
        <v>6.6352621809999999</v>
      </c>
      <c r="I2040" s="1">
        <v>6.1195241339999997</v>
      </c>
      <c r="J2040" s="1">
        <v>6.3905084429999999</v>
      </c>
      <c r="K2040" s="1">
        <v>5.7895293819999996</v>
      </c>
      <c r="L2040" s="1">
        <v>7.3164640260000002</v>
      </c>
      <c r="M2040" s="1">
        <v>7.1687315680000001</v>
      </c>
      <c r="N2040" s="1">
        <v>6.9043218279999996</v>
      </c>
      <c r="O2040" s="1">
        <v>6.5936608059999999</v>
      </c>
      <c r="P2040" s="1">
        <v>6.7371710150000004</v>
      </c>
      <c r="Q2040" s="1">
        <v>6.4790268769999999</v>
      </c>
      <c r="R2040" s="1">
        <v>6.8070247769999996</v>
      </c>
      <c r="S2040" s="1">
        <v>6.8236915869999999</v>
      </c>
      <c r="T2040" s="1">
        <v>7.3164640260000002</v>
      </c>
      <c r="U2040" s="1">
        <v>7.1687315680000001</v>
      </c>
      <c r="V2040" s="1">
        <v>6.1817294079999998</v>
      </c>
      <c r="W2040" s="1">
        <v>6.3925275360000002</v>
      </c>
      <c r="X2040" s="1">
        <v>6.775075384</v>
      </c>
      <c r="Y2040" s="1">
        <v>5.503438128</v>
      </c>
      <c r="Z2040" s="1">
        <v>6.8070247769999996</v>
      </c>
      <c r="AA2040" s="1">
        <v>6.8236915869999999</v>
      </c>
      <c r="AB2040" s="1">
        <v>6.5830868880000004</v>
      </c>
      <c r="AC2040" s="1">
        <v>6.4923770970000003</v>
      </c>
      <c r="AD2040" s="1">
        <v>6.2383411879999997</v>
      </c>
      <c r="AE2040" s="1">
        <v>6.017118505</v>
      </c>
    </row>
    <row r="2041" spans="1:31" x14ac:dyDescent="0.25">
      <c r="A2041" s="1" t="s">
        <v>2061</v>
      </c>
      <c r="B2041" s="1" t="s">
        <v>2642</v>
      </c>
      <c r="C2041" s="1" t="s">
        <v>2643</v>
      </c>
      <c r="D2041" s="1" t="s">
        <v>2687</v>
      </c>
      <c r="E2041" s="1" t="s">
        <v>2688</v>
      </c>
      <c r="F2041" s="1" t="s">
        <v>2689</v>
      </c>
      <c r="G2041" s="1" t="s">
        <v>2061</v>
      </c>
      <c r="H2041" s="1">
        <v>1.7393328349999999</v>
      </c>
      <c r="I2041" s="1">
        <v>1.7393328349999999</v>
      </c>
      <c r="J2041" s="1">
        <v>1.7393328349999999</v>
      </c>
      <c r="K2041" s="1">
        <v>1.7393328349999999</v>
      </c>
      <c r="L2041" s="1">
        <v>2.315629231</v>
      </c>
      <c r="M2041" s="1">
        <v>1.7393328349999999</v>
      </c>
      <c r="N2041" s="1">
        <v>2.372908427</v>
      </c>
      <c r="O2041" s="1">
        <v>1.7393328349999999</v>
      </c>
      <c r="P2041" s="1">
        <v>1.7393328349999999</v>
      </c>
      <c r="Q2041" s="1">
        <v>1.7393328349999999</v>
      </c>
      <c r="R2041" s="1">
        <v>1.7393328349999999</v>
      </c>
      <c r="S2041" s="1">
        <v>1.7393328349999999</v>
      </c>
      <c r="T2041" s="1">
        <v>2.315629231</v>
      </c>
      <c r="U2041" s="1">
        <v>1.7393328349999999</v>
      </c>
      <c r="V2041" s="1">
        <v>1.7393328349999999</v>
      </c>
      <c r="W2041" s="1">
        <v>1.7393328349999999</v>
      </c>
      <c r="X2041" s="1">
        <v>1.7393328349999999</v>
      </c>
      <c r="Y2041" s="1">
        <v>1.7393328349999999</v>
      </c>
      <c r="Z2041" s="1">
        <v>1.7393328349999999</v>
      </c>
      <c r="AA2041" s="1">
        <v>1.7393328349999999</v>
      </c>
      <c r="AB2041" s="1">
        <v>1.7393328349999999</v>
      </c>
      <c r="AC2041" s="1">
        <v>1.7393328349999999</v>
      </c>
      <c r="AD2041" s="1">
        <v>1.7393328349999999</v>
      </c>
      <c r="AE2041" s="1">
        <v>1.7393328349999999</v>
      </c>
    </row>
    <row r="2042" spans="1:31" x14ac:dyDescent="0.25">
      <c r="A2042" s="1" t="s">
        <v>2062</v>
      </c>
      <c r="B2042" s="1" t="s">
        <v>2598</v>
      </c>
      <c r="C2042" s="1" t="s">
        <v>2603</v>
      </c>
      <c r="D2042" s="1" t="s">
        <v>2730</v>
      </c>
      <c r="E2042" s="1" t="s">
        <v>5645</v>
      </c>
      <c r="F2042" s="1" t="s">
        <v>5646</v>
      </c>
      <c r="G2042" s="1" t="s">
        <v>2062</v>
      </c>
      <c r="H2042" s="1">
        <v>3.8023684370000002</v>
      </c>
      <c r="I2042" s="1">
        <v>3.5006354609999999</v>
      </c>
      <c r="J2042" s="1">
        <v>5.3631085470000004</v>
      </c>
      <c r="K2042" s="1">
        <v>5.166960875</v>
      </c>
      <c r="L2042" s="1">
        <v>4.7721586460000003</v>
      </c>
      <c r="M2042" s="1">
        <v>4.8607408789999997</v>
      </c>
      <c r="N2042" s="1">
        <v>4.3116130799999999</v>
      </c>
      <c r="O2042" s="1">
        <v>4.5340058970000001</v>
      </c>
      <c r="P2042" s="1">
        <v>4.9062897479999998</v>
      </c>
      <c r="Q2042" s="1">
        <v>4.4575363990000003</v>
      </c>
      <c r="R2042" s="1">
        <v>5.1961281320000001</v>
      </c>
      <c r="S2042" s="1">
        <v>4.5490843459999999</v>
      </c>
      <c r="T2042" s="1">
        <v>4.7721586460000003</v>
      </c>
      <c r="U2042" s="1">
        <v>4.8607408789999997</v>
      </c>
      <c r="V2042" s="1">
        <v>4.9527859210000003</v>
      </c>
      <c r="W2042" s="1">
        <v>5.329276363</v>
      </c>
      <c r="X2042" s="1">
        <v>5.1899342839999996</v>
      </c>
      <c r="Y2042" s="1">
        <v>5.0702808140000002</v>
      </c>
      <c r="Z2042" s="1">
        <v>5.1961281320000001</v>
      </c>
      <c r="AA2042" s="1">
        <v>4.5490843459999999</v>
      </c>
      <c r="AB2042" s="1">
        <v>5.0356743460000004</v>
      </c>
      <c r="AC2042" s="1">
        <v>5.1552886820000001</v>
      </c>
      <c r="AD2042" s="1">
        <v>5.0087140049999999</v>
      </c>
      <c r="AE2042" s="1">
        <v>5.387950011</v>
      </c>
    </row>
    <row r="2043" spans="1:31" x14ac:dyDescent="0.25">
      <c r="A2043" s="1" t="s">
        <v>2063</v>
      </c>
      <c r="B2043" s="1" t="s">
        <v>2579</v>
      </c>
      <c r="C2043" s="1" t="s">
        <v>3259</v>
      </c>
      <c r="D2043" s="1" t="s">
        <v>3358</v>
      </c>
      <c r="E2043" s="1" t="s">
        <v>5647</v>
      </c>
      <c r="F2043" s="1" t="s">
        <v>5648</v>
      </c>
      <c r="G2043" s="1" t="s">
        <v>2063</v>
      </c>
      <c r="H2043" s="1">
        <v>7.8787742549999997</v>
      </c>
      <c r="I2043" s="1">
        <v>7.9508409230000003</v>
      </c>
      <c r="J2043" s="1">
        <v>8.8650207319999996</v>
      </c>
      <c r="K2043" s="1">
        <v>8.8097663849999996</v>
      </c>
      <c r="L2043" s="1">
        <v>8.6830803519999993</v>
      </c>
      <c r="M2043" s="1">
        <v>8.7947461869999994</v>
      </c>
      <c r="N2043" s="1">
        <v>8.2558669029999994</v>
      </c>
      <c r="O2043" s="1">
        <v>8.1082863120000006</v>
      </c>
      <c r="P2043" s="1">
        <v>9.1180090889999992</v>
      </c>
      <c r="Q2043" s="1">
        <v>8.7222471450000008</v>
      </c>
      <c r="R2043" s="1">
        <v>8.810034022</v>
      </c>
      <c r="S2043" s="1">
        <v>8.8909967030000008</v>
      </c>
      <c r="T2043" s="1">
        <v>8.6830803519999993</v>
      </c>
      <c r="U2043" s="1">
        <v>8.7947461869999994</v>
      </c>
      <c r="V2043" s="1">
        <v>8.7733697660000001</v>
      </c>
      <c r="W2043" s="1">
        <v>8.3750687310000007</v>
      </c>
      <c r="X2043" s="1">
        <v>8.6804450049999993</v>
      </c>
      <c r="Y2043" s="1">
        <v>8.365319028</v>
      </c>
      <c r="Z2043" s="1">
        <v>8.810034022</v>
      </c>
      <c r="AA2043" s="1">
        <v>8.8909967030000008</v>
      </c>
      <c r="AB2043" s="1">
        <v>8.5964134249999997</v>
      </c>
      <c r="AC2043" s="1">
        <v>8.6793079199999994</v>
      </c>
      <c r="AD2043" s="1">
        <v>8.3194736169999999</v>
      </c>
      <c r="AE2043" s="1">
        <v>8.2759636959999998</v>
      </c>
    </row>
    <row r="2044" spans="1:31" x14ac:dyDescent="0.25">
      <c r="A2044" s="1" t="s">
        <v>2064</v>
      </c>
      <c r="B2044" s="1" t="s">
        <v>2542</v>
      </c>
      <c r="C2044" s="1" t="s">
        <v>2553</v>
      </c>
      <c r="D2044" s="1" t="s">
        <v>2994</v>
      </c>
      <c r="E2044" s="1" t="s">
        <v>5649</v>
      </c>
      <c r="F2044" s="1" t="s">
        <v>5650</v>
      </c>
      <c r="G2044" s="1" t="s">
        <v>2064</v>
      </c>
      <c r="H2044" s="1">
        <v>5.2735834620000004</v>
      </c>
      <c r="I2044" s="1">
        <v>5.6856247609999997</v>
      </c>
      <c r="J2044" s="1">
        <v>6.5545604910000002</v>
      </c>
      <c r="K2044" s="1">
        <v>6.3181776090000001</v>
      </c>
      <c r="L2044" s="1">
        <v>6.2096996640000004</v>
      </c>
      <c r="M2044" s="1">
        <v>6.0958755599999996</v>
      </c>
      <c r="N2044" s="1">
        <v>6.3881452249999997</v>
      </c>
      <c r="O2044" s="1">
        <v>6.2873774889999998</v>
      </c>
      <c r="P2044" s="1">
        <v>6.3931504810000002</v>
      </c>
      <c r="Q2044" s="1">
        <v>5.9637007390000001</v>
      </c>
      <c r="R2044" s="1">
        <v>6.4143264479999997</v>
      </c>
      <c r="S2044" s="1">
        <v>6.4967339439999998</v>
      </c>
      <c r="T2044" s="1">
        <v>6.2096996640000004</v>
      </c>
      <c r="U2044" s="1">
        <v>6.0958755599999996</v>
      </c>
      <c r="V2044" s="1">
        <v>6.6041092590000003</v>
      </c>
      <c r="W2044" s="1">
        <v>6.0677414089999999</v>
      </c>
      <c r="X2044" s="1">
        <v>6.0881054910000003</v>
      </c>
      <c r="Y2044" s="1">
        <v>6.4430557039999998</v>
      </c>
      <c r="Z2044" s="1">
        <v>6.4143264479999997</v>
      </c>
      <c r="AA2044" s="1">
        <v>6.4967339439999998</v>
      </c>
      <c r="AB2044" s="1">
        <v>6.5063200270000001</v>
      </c>
      <c r="AC2044" s="1">
        <v>6.0708982899999997</v>
      </c>
      <c r="AD2044" s="1">
        <v>6.3732854110000003</v>
      </c>
      <c r="AE2044" s="1">
        <v>5.8992559069999997</v>
      </c>
    </row>
    <row r="2045" spans="1:31" x14ac:dyDescent="0.25">
      <c r="A2045" s="1" t="s">
        <v>2066</v>
      </c>
      <c r="B2045" s="1" t="s">
        <v>2539</v>
      </c>
      <c r="C2045" s="1" t="s">
        <v>2563</v>
      </c>
      <c r="D2045" s="1" t="s">
        <v>3800</v>
      </c>
      <c r="E2045" s="1" t="s">
        <v>5651</v>
      </c>
      <c r="F2045" s="1" t="s">
        <v>5652</v>
      </c>
      <c r="G2045" s="1" t="s">
        <v>2066</v>
      </c>
      <c r="H2045" s="1">
        <v>7.1410877929999996</v>
      </c>
      <c r="I2045" s="1">
        <v>6.8118118589999996</v>
      </c>
      <c r="J2045" s="1">
        <v>6.5716853950000003</v>
      </c>
      <c r="K2045" s="1">
        <v>6.7733223929999999</v>
      </c>
      <c r="L2045" s="1">
        <v>6.6742364040000002</v>
      </c>
      <c r="M2045" s="1">
        <v>6.5983890030000003</v>
      </c>
      <c r="N2045" s="1">
        <v>6.5482301630000004</v>
      </c>
      <c r="O2045" s="1">
        <v>6.740410754</v>
      </c>
      <c r="P2045" s="1">
        <v>6.8220475609999998</v>
      </c>
      <c r="Q2045" s="1">
        <v>6.7957952910000001</v>
      </c>
      <c r="R2045" s="1">
        <v>7.2127865880000002</v>
      </c>
      <c r="S2045" s="1">
        <v>6.9088697640000003</v>
      </c>
      <c r="T2045" s="1">
        <v>6.6742364040000002</v>
      </c>
      <c r="U2045" s="1">
        <v>6.5983890030000003</v>
      </c>
      <c r="V2045" s="1">
        <v>6.9648398949999999</v>
      </c>
      <c r="W2045" s="1">
        <v>7.1621289209999999</v>
      </c>
      <c r="X2045" s="1">
        <v>7.1063290629999996</v>
      </c>
      <c r="Y2045" s="1">
        <v>7.0775333739999997</v>
      </c>
      <c r="Z2045" s="1">
        <v>7.2127865880000002</v>
      </c>
      <c r="AA2045" s="1">
        <v>6.9088697640000003</v>
      </c>
      <c r="AB2045" s="1">
        <v>7.2804224470000003</v>
      </c>
      <c r="AC2045" s="1">
        <v>6.9248703330000003</v>
      </c>
      <c r="AD2045" s="1">
        <v>6.9055325459999999</v>
      </c>
      <c r="AE2045" s="1">
        <v>7.0231940130000003</v>
      </c>
    </row>
    <row r="2046" spans="1:31" x14ac:dyDescent="0.25">
      <c r="A2046" s="1" t="s">
        <v>2067</v>
      </c>
      <c r="B2046" s="1" t="s">
        <v>2520</v>
      </c>
      <c r="C2046" s="1" t="s">
        <v>2521</v>
      </c>
      <c r="D2046" s="1" t="s">
        <v>2535</v>
      </c>
      <c r="E2046" s="1" t="s">
        <v>5653</v>
      </c>
      <c r="G2046" s="1" t="s">
        <v>2067</v>
      </c>
      <c r="H2046" s="1">
        <v>5.5062820300000004</v>
      </c>
      <c r="I2046" s="1">
        <v>5.4067069720000003</v>
      </c>
      <c r="J2046" s="1">
        <v>4.9532699769999997</v>
      </c>
      <c r="K2046" s="1">
        <v>5.0014827119999996</v>
      </c>
      <c r="L2046" s="1">
        <v>4.5533082269999996</v>
      </c>
      <c r="M2046" s="1">
        <v>4.6276332350000002</v>
      </c>
      <c r="N2046" s="1">
        <v>4.8677953240000003</v>
      </c>
      <c r="O2046" s="1">
        <v>5.0724039640000003</v>
      </c>
      <c r="P2046" s="1">
        <v>4.8528499219999999</v>
      </c>
      <c r="Q2046" s="1">
        <v>5.1004769559999996</v>
      </c>
      <c r="R2046" s="1">
        <v>5.1961281320000001</v>
      </c>
      <c r="S2046" s="1">
        <v>5.0824952919999999</v>
      </c>
      <c r="T2046" s="1">
        <v>4.5533082269999996</v>
      </c>
      <c r="U2046" s="1">
        <v>4.6276332350000002</v>
      </c>
      <c r="V2046" s="1">
        <v>5.4559769400000002</v>
      </c>
      <c r="W2046" s="1">
        <v>5.16775612</v>
      </c>
      <c r="X2046" s="1">
        <v>5.1899342839999996</v>
      </c>
      <c r="Y2046" s="1">
        <v>5.4613266610000002</v>
      </c>
      <c r="Z2046" s="1">
        <v>5.1961281320000001</v>
      </c>
      <c r="AA2046" s="1">
        <v>5.0824952919999999</v>
      </c>
      <c r="AB2046" s="1">
        <v>5.4746970709999996</v>
      </c>
      <c r="AC2046" s="1">
        <v>5.3221936159999998</v>
      </c>
      <c r="AD2046" s="1">
        <v>5.0087140049999999</v>
      </c>
      <c r="AE2046" s="1">
        <v>5.0132584360000001</v>
      </c>
    </row>
    <row r="2047" spans="1:31" x14ac:dyDescent="0.25">
      <c r="A2047" s="1" t="s">
        <v>2070</v>
      </c>
      <c r="B2047" s="1" t="s">
        <v>2530</v>
      </c>
      <c r="C2047" s="1" t="s">
        <v>2531</v>
      </c>
      <c r="D2047" s="1" t="s">
        <v>2535</v>
      </c>
      <c r="E2047" s="1" t="s">
        <v>5654</v>
      </c>
      <c r="G2047" s="1" t="s">
        <v>2070</v>
      </c>
      <c r="H2047" s="1">
        <v>7.3218989680000002</v>
      </c>
      <c r="I2047" s="1">
        <v>7.3977970910000002</v>
      </c>
      <c r="J2047" s="1">
        <v>7.1970048560000004</v>
      </c>
      <c r="K2047" s="1">
        <v>7.4296093499999998</v>
      </c>
      <c r="L2047" s="1">
        <v>7.2308643229999996</v>
      </c>
      <c r="M2047" s="1">
        <v>7.5762633130000001</v>
      </c>
      <c r="N2047" s="1">
        <v>7.0468824679999997</v>
      </c>
      <c r="O2047" s="1">
        <v>7.2684380739999996</v>
      </c>
      <c r="P2047" s="1">
        <v>7.2573908999999999</v>
      </c>
      <c r="Q2047" s="1">
        <v>7.3197157400000004</v>
      </c>
      <c r="R2047" s="1">
        <v>7.6558247030000004</v>
      </c>
      <c r="S2047" s="1">
        <v>7.5270412149999997</v>
      </c>
      <c r="T2047" s="1">
        <v>7.2308643229999996</v>
      </c>
      <c r="U2047" s="1">
        <v>7.5762633130000001</v>
      </c>
      <c r="V2047" s="1">
        <v>7.369548387</v>
      </c>
      <c r="W2047" s="1">
        <v>7.2582215190000001</v>
      </c>
      <c r="X2047" s="1">
        <v>7.7012865279999998</v>
      </c>
      <c r="Y2047" s="1">
        <v>7.9313916190000002</v>
      </c>
      <c r="Z2047" s="1">
        <v>7.6558247030000004</v>
      </c>
      <c r="AA2047" s="1">
        <v>7.5270412149999997</v>
      </c>
      <c r="AB2047" s="1">
        <v>7.632857145</v>
      </c>
      <c r="AC2047" s="1">
        <v>7.6642856869999996</v>
      </c>
      <c r="AD2047" s="1">
        <v>7.9398884570000003</v>
      </c>
      <c r="AE2047" s="1">
        <v>7.7479445040000003</v>
      </c>
    </row>
    <row r="2048" spans="1:31" x14ac:dyDescent="0.25">
      <c r="A2048" s="1" t="s">
        <v>2071</v>
      </c>
      <c r="B2048" s="1" t="s">
        <v>2530</v>
      </c>
      <c r="C2048" s="1" t="s">
        <v>2573</v>
      </c>
      <c r="D2048" s="1" t="s">
        <v>2535</v>
      </c>
      <c r="E2048" s="1" t="s">
        <v>3096</v>
      </c>
      <c r="G2048" s="1" t="s">
        <v>2071</v>
      </c>
      <c r="H2048" s="1">
        <v>4.7972697699999998</v>
      </c>
      <c r="I2048" s="1">
        <v>5.9189259930000002</v>
      </c>
      <c r="J2048" s="1">
        <v>4.7851628320000001</v>
      </c>
      <c r="K2048" s="1">
        <v>4.4318297590000002</v>
      </c>
      <c r="L2048" s="1">
        <v>4.4107687259999997</v>
      </c>
      <c r="M2048" s="1">
        <v>4.709731562</v>
      </c>
      <c r="N2048" s="1">
        <v>5.6334290280000001</v>
      </c>
      <c r="O2048" s="1">
        <v>5.6219600229999998</v>
      </c>
      <c r="P2048" s="1">
        <v>4.8528499219999999</v>
      </c>
      <c r="Q2048" s="1">
        <v>4.4575363990000003</v>
      </c>
      <c r="R2048" s="1">
        <v>5.0965654090000001</v>
      </c>
      <c r="S2048" s="1">
        <v>5.032286365</v>
      </c>
      <c r="T2048" s="1">
        <v>4.4107687259999997</v>
      </c>
      <c r="U2048" s="1">
        <v>4.709731562</v>
      </c>
      <c r="V2048" s="1">
        <v>5.5807524949999996</v>
      </c>
      <c r="W2048" s="1">
        <v>6.1843530070000003</v>
      </c>
      <c r="X2048" s="1">
        <v>4.97415056</v>
      </c>
      <c r="Y2048" s="1">
        <v>6.2095953220000002</v>
      </c>
      <c r="Z2048" s="1">
        <v>5.0965654090000001</v>
      </c>
      <c r="AA2048" s="1">
        <v>5.032286365</v>
      </c>
      <c r="AB2048" s="1">
        <v>5.2406211000000003</v>
      </c>
      <c r="AC2048" s="1">
        <v>5.5741318</v>
      </c>
      <c r="AD2048" s="1">
        <v>5.116107059</v>
      </c>
      <c r="AE2048" s="1">
        <v>5.5339175159999998</v>
      </c>
    </row>
    <row r="2049" spans="1:31" x14ac:dyDescent="0.25">
      <c r="A2049" s="1" t="s">
        <v>2076</v>
      </c>
      <c r="B2049" s="1" t="s">
        <v>2547</v>
      </c>
      <c r="C2049" s="1" t="s">
        <v>2622</v>
      </c>
      <c r="D2049" s="1" t="s">
        <v>2535</v>
      </c>
      <c r="E2049" s="1" t="s">
        <v>5655</v>
      </c>
      <c r="F2049" s="1" t="s">
        <v>5656</v>
      </c>
      <c r="G2049" s="1" t="s">
        <v>2076</v>
      </c>
      <c r="H2049" s="1">
        <v>4.0684382540000001</v>
      </c>
      <c r="I2049" s="1">
        <v>3.9003964459999998</v>
      </c>
      <c r="J2049" s="1">
        <v>3.7773371739999999</v>
      </c>
      <c r="K2049" s="1">
        <v>3.4309024589999999</v>
      </c>
      <c r="L2049" s="1">
        <v>3.6811173419999998</v>
      </c>
      <c r="M2049" s="1">
        <v>3.4067547010000001</v>
      </c>
      <c r="N2049" s="1">
        <v>4.1562881980000004</v>
      </c>
      <c r="O2049" s="1">
        <v>4.385526188</v>
      </c>
      <c r="P2049" s="1">
        <v>3.466113682</v>
      </c>
      <c r="Q2049" s="1">
        <v>3.388910638</v>
      </c>
      <c r="R2049" s="1">
        <v>3.968758995</v>
      </c>
      <c r="S2049" s="1">
        <v>4.0285685429999996</v>
      </c>
      <c r="T2049" s="1">
        <v>3.6811173419999998</v>
      </c>
      <c r="U2049" s="1">
        <v>3.4067547010000001</v>
      </c>
      <c r="V2049" s="1">
        <v>4.1608706030000002</v>
      </c>
      <c r="W2049" s="1">
        <v>4.3370700810000002</v>
      </c>
      <c r="X2049" s="1">
        <v>3.8119046220000001</v>
      </c>
      <c r="Y2049" s="1">
        <v>3.6154848500000001</v>
      </c>
      <c r="Z2049" s="1">
        <v>3.968758995</v>
      </c>
      <c r="AA2049" s="1">
        <v>4.0285685429999996</v>
      </c>
      <c r="AB2049" s="1">
        <v>2.73487305</v>
      </c>
      <c r="AC2049" s="1">
        <v>2.87258916</v>
      </c>
      <c r="AD2049" s="1">
        <v>3.5727029510000001</v>
      </c>
      <c r="AE2049" s="1">
        <v>3.67472814</v>
      </c>
    </row>
    <row r="2050" spans="1:31" x14ac:dyDescent="0.25">
      <c r="A2050" s="1" t="s">
        <v>2077</v>
      </c>
      <c r="B2050" s="1" t="s">
        <v>2547</v>
      </c>
      <c r="C2050" s="1" t="s">
        <v>2694</v>
      </c>
      <c r="D2050" s="1" t="s">
        <v>3199</v>
      </c>
      <c r="E2050" s="1" t="s">
        <v>4775</v>
      </c>
      <c r="G2050" s="1" t="s">
        <v>2077</v>
      </c>
      <c r="H2050" s="1">
        <v>3.8023684370000002</v>
      </c>
      <c r="I2050" s="1">
        <v>3.9003964459999998</v>
      </c>
      <c r="J2050" s="1">
        <v>4.2898244959999996</v>
      </c>
      <c r="K2050" s="1">
        <v>3.607491666</v>
      </c>
      <c r="L2050" s="1">
        <v>5.1504600580000002</v>
      </c>
      <c r="M2050" s="1">
        <v>5.0913316819999999</v>
      </c>
      <c r="N2050" s="1">
        <v>4.210067993</v>
      </c>
      <c r="O2050" s="1">
        <v>4.2767880749999998</v>
      </c>
      <c r="P2050" s="1">
        <v>4.2485661720000003</v>
      </c>
      <c r="Q2050" s="1">
        <v>3.9718447549999998</v>
      </c>
      <c r="R2050" s="1">
        <v>4.8735636449999999</v>
      </c>
      <c r="S2050" s="1">
        <v>4.3135540739999998</v>
      </c>
      <c r="T2050" s="1">
        <v>5.1504600580000002</v>
      </c>
      <c r="U2050" s="1">
        <v>5.0913316819999999</v>
      </c>
      <c r="V2050" s="1">
        <v>4.3879408260000003</v>
      </c>
      <c r="W2050" s="1">
        <v>4.69862249</v>
      </c>
      <c r="X2050" s="1">
        <v>4.6475707550000003</v>
      </c>
      <c r="Y2050" s="1">
        <v>4.0337379980000003</v>
      </c>
      <c r="Z2050" s="1">
        <v>4.8735636449999999</v>
      </c>
      <c r="AA2050" s="1">
        <v>4.3135540739999998</v>
      </c>
      <c r="AB2050" s="1">
        <v>3.404153038</v>
      </c>
      <c r="AC2050" s="1">
        <v>4.415017905</v>
      </c>
      <c r="AD2050" s="1">
        <v>4.83054469</v>
      </c>
      <c r="AE2050" s="1">
        <v>4.1773695330000002</v>
      </c>
    </row>
    <row r="2051" spans="1:31" x14ac:dyDescent="0.25">
      <c r="A2051" s="1" t="s">
        <v>2084</v>
      </c>
      <c r="B2051" s="1" t="s">
        <v>2598</v>
      </c>
      <c r="C2051" s="1" t="s">
        <v>2795</v>
      </c>
      <c r="D2051" s="1" t="s">
        <v>3249</v>
      </c>
      <c r="E2051" s="1" t="s">
        <v>5657</v>
      </c>
      <c r="F2051" s="1" t="s">
        <v>5658</v>
      </c>
      <c r="G2051" s="1" t="s">
        <v>2084</v>
      </c>
      <c r="H2051" s="1">
        <v>4.4805534380000003</v>
      </c>
      <c r="I2051" s="1">
        <v>4.5280931029999998</v>
      </c>
      <c r="J2051" s="1">
        <v>3.8969924050000002</v>
      </c>
      <c r="K2051" s="1">
        <v>4.941717659</v>
      </c>
      <c r="L2051" s="1">
        <v>4.713054648</v>
      </c>
      <c r="M2051" s="1">
        <v>4.239619416</v>
      </c>
      <c r="N2051" s="1">
        <v>5.7786343999999996</v>
      </c>
      <c r="O2051" s="1">
        <v>5.824131875</v>
      </c>
      <c r="P2051" s="1">
        <v>4.6791060150000003</v>
      </c>
      <c r="Q2051" s="1">
        <v>3.8492287269999999</v>
      </c>
      <c r="R2051" s="1">
        <v>4.7472384160000001</v>
      </c>
      <c r="S2051" s="1">
        <v>4.5490843459999999</v>
      </c>
      <c r="T2051" s="1">
        <v>4.713054648</v>
      </c>
      <c r="U2051" s="1">
        <v>4.239619416</v>
      </c>
      <c r="V2051" s="1">
        <v>3.7819764450000002</v>
      </c>
      <c r="W2051" s="1">
        <v>5.2774499109999997</v>
      </c>
      <c r="X2051" s="1">
        <v>4.0600950219999996</v>
      </c>
      <c r="Y2051" s="1">
        <v>4.4420910779999998</v>
      </c>
      <c r="Z2051" s="1">
        <v>4.7472384160000001</v>
      </c>
      <c r="AA2051" s="1">
        <v>4.5490843459999999</v>
      </c>
      <c r="AB2051" s="1">
        <v>3.404153038</v>
      </c>
      <c r="AC2051" s="1">
        <v>3.4716344729999999</v>
      </c>
      <c r="AD2051" s="1">
        <v>3.725077481</v>
      </c>
      <c r="AE2051" s="1">
        <v>4.5815229759999996</v>
      </c>
    </row>
    <row r="2052" spans="1:31" x14ac:dyDescent="0.25">
      <c r="A2052" s="1" t="s">
        <v>2088</v>
      </c>
      <c r="B2052" s="1" t="s">
        <v>2530</v>
      </c>
      <c r="C2052" s="1" t="s">
        <v>2531</v>
      </c>
      <c r="D2052" s="1" t="s">
        <v>2535</v>
      </c>
      <c r="E2052" s="1" t="s">
        <v>5659</v>
      </c>
      <c r="G2052" s="1" t="s">
        <v>2088</v>
      </c>
      <c r="H2052" s="1">
        <v>2.9945681560000001</v>
      </c>
      <c r="I2052" s="1">
        <v>4.0101074990000001</v>
      </c>
      <c r="J2052" s="1">
        <v>3.4977151119999998</v>
      </c>
      <c r="K2052" s="1">
        <v>3.22334677</v>
      </c>
      <c r="L2052" s="1">
        <v>3.3884746630000002</v>
      </c>
      <c r="M2052" s="1">
        <v>4.1225413939999997</v>
      </c>
      <c r="N2052" s="1">
        <v>2.8201075470000001</v>
      </c>
      <c r="O2052" s="1">
        <v>2.6816282820000001</v>
      </c>
      <c r="P2052" s="1">
        <v>3.466113682</v>
      </c>
      <c r="Q2052" s="1">
        <v>4.18747588</v>
      </c>
      <c r="R2052" s="1">
        <v>4.0808207129999996</v>
      </c>
      <c r="S2052" s="1">
        <v>3.6647387380000001</v>
      </c>
      <c r="T2052" s="1">
        <v>3.3884746630000002</v>
      </c>
      <c r="U2052" s="1">
        <v>4.1225413939999997</v>
      </c>
      <c r="V2052" s="1">
        <v>4.0758289169999999</v>
      </c>
      <c r="W2052" s="1">
        <v>3.2870366010000001</v>
      </c>
      <c r="X2052" s="1">
        <v>3.5883256710000002</v>
      </c>
      <c r="Y2052" s="1">
        <v>2.9733498090000001</v>
      </c>
      <c r="Z2052" s="1">
        <v>4.0808207129999996</v>
      </c>
      <c r="AA2052" s="1">
        <v>3.6647387380000001</v>
      </c>
      <c r="AB2052" s="1">
        <v>2.73487305</v>
      </c>
      <c r="AC2052" s="1">
        <v>3.6175630609999998</v>
      </c>
      <c r="AD2052" s="1">
        <v>3.8610926929999998</v>
      </c>
      <c r="AE2052" s="1">
        <v>3.321206681</v>
      </c>
    </row>
    <row r="2053" spans="1:31" x14ac:dyDescent="0.25">
      <c r="A2053" s="1" t="s">
        <v>2091</v>
      </c>
      <c r="B2053" s="1" t="s">
        <v>2547</v>
      </c>
      <c r="C2053" s="1" t="s">
        <v>2566</v>
      </c>
      <c r="D2053" s="1" t="s">
        <v>4724</v>
      </c>
      <c r="E2053" s="1" t="s">
        <v>5660</v>
      </c>
      <c r="F2053" s="1" t="s">
        <v>5661</v>
      </c>
      <c r="G2053" s="1" t="s">
        <v>2091</v>
      </c>
      <c r="H2053" s="1">
        <v>3.4660955969999998</v>
      </c>
      <c r="I2053" s="1">
        <v>2.5655118899999998</v>
      </c>
      <c r="J2053" s="1">
        <v>5.0051223570000003</v>
      </c>
      <c r="K2053" s="1">
        <v>5.0588199180000002</v>
      </c>
      <c r="L2053" s="1">
        <v>5.7830592080000001</v>
      </c>
      <c r="M2053" s="1">
        <v>5.3915279009999999</v>
      </c>
      <c r="N2053" s="1">
        <v>3.444746345</v>
      </c>
      <c r="O2053" s="1">
        <v>4.2189785100000003</v>
      </c>
      <c r="P2053" s="1">
        <v>4.7972962780000001</v>
      </c>
      <c r="Q2053" s="1">
        <v>4.0840108080000004</v>
      </c>
      <c r="R2053" s="1">
        <v>4.6083586160000003</v>
      </c>
      <c r="S2053" s="1">
        <v>5.0824952919999999</v>
      </c>
      <c r="T2053" s="1">
        <v>5.7830592080000001</v>
      </c>
      <c r="U2053" s="1">
        <v>5.3915279009999999</v>
      </c>
      <c r="V2053" s="1">
        <v>4.8566239800000002</v>
      </c>
      <c r="W2053" s="1">
        <v>4.69862249</v>
      </c>
      <c r="X2053" s="1">
        <v>4.8838989719999999</v>
      </c>
      <c r="Y2053" s="1">
        <v>5.0702808140000002</v>
      </c>
      <c r="Z2053" s="1">
        <v>4.6083586160000003</v>
      </c>
      <c r="AA2053" s="1">
        <v>5.0824952919999999</v>
      </c>
      <c r="AB2053" s="1">
        <v>5.3028471579999996</v>
      </c>
      <c r="AC2053" s="1">
        <v>4.9145215069999999</v>
      </c>
      <c r="AD2053" s="1">
        <v>5.0634297190000002</v>
      </c>
      <c r="AE2053" s="1">
        <v>4.2286559190000004</v>
      </c>
    </row>
    <row r="2054" spans="1:31" x14ac:dyDescent="0.25">
      <c r="A2054" s="1" t="s">
        <v>2092</v>
      </c>
      <c r="B2054" s="1" t="s">
        <v>2547</v>
      </c>
      <c r="C2054" s="1" t="s">
        <v>2566</v>
      </c>
      <c r="D2054" s="1" t="s">
        <v>4724</v>
      </c>
      <c r="E2054" s="1" t="s">
        <v>5662</v>
      </c>
      <c r="F2054" s="1" t="s">
        <v>5663</v>
      </c>
      <c r="G2054" s="1" t="s">
        <v>2092</v>
      </c>
      <c r="H2054" s="1">
        <v>1.7393328349999999</v>
      </c>
      <c r="I2054" s="1">
        <v>1.7393328349999999</v>
      </c>
      <c r="J2054" s="1">
        <v>4.1077874330000004</v>
      </c>
      <c r="K2054" s="1">
        <v>3.607491666</v>
      </c>
      <c r="L2054" s="1">
        <v>4.6825378889999998</v>
      </c>
      <c r="M2054" s="1">
        <v>4.239619416</v>
      </c>
      <c r="N2054" s="1">
        <v>3.444746345</v>
      </c>
      <c r="O2054" s="1">
        <v>3.193511794</v>
      </c>
      <c r="P2054" s="1">
        <v>3.7419514989999998</v>
      </c>
      <c r="Q2054" s="1">
        <v>3.8492287269999999</v>
      </c>
      <c r="R2054" s="1">
        <v>4.1841942410000001</v>
      </c>
      <c r="S2054" s="1">
        <v>3.6647387380000001</v>
      </c>
      <c r="T2054" s="1">
        <v>4.6825378889999998</v>
      </c>
      <c r="U2054" s="1">
        <v>4.239619416</v>
      </c>
      <c r="V2054" s="1">
        <v>3.5405335899999999</v>
      </c>
      <c r="W2054" s="1">
        <v>4.2295768090000001</v>
      </c>
      <c r="X2054" s="1">
        <v>3.6673381269999998</v>
      </c>
      <c r="Y2054" s="1">
        <v>4.6842287809999998</v>
      </c>
      <c r="Z2054" s="1">
        <v>4.1841942410000001</v>
      </c>
      <c r="AA2054" s="1">
        <v>3.6647387380000001</v>
      </c>
      <c r="AB2054" s="1">
        <v>4.2729702720000002</v>
      </c>
      <c r="AC2054" s="1">
        <v>4.2557864319999998</v>
      </c>
      <c r="AD2054" s="1">
        <v>3.984188064</v>
      </c>
      <c r="AE2054" s="1">
        <v>4.124053773</v>
      </c>
    </row>
    <row r="2055" spans="1:31" x14ac:dyDescent="0.25">
      <c r="A2055" s="1" t="s">
        <v>2094</v>
      </c>
      <c r="B2055" s="1" t="s">
        <v>2530</v>
      </c>
      <c r="C2055" s="1" t="s">
        <v>2531</v>
      </c>
      <c r="D2055" s="1" t="s">
        <v>2535</v>
      </c>
      <c r="E2055" s="1" t="s">
        <v>5664</v>
      </c>
      <c r="G2055" s="1" t="s">
        <v>2094</v>
      </c>
      <c r="H2055" s="1">
        <v>9.2093516490000003</v>
      </c>
      <c r="I2055" s="1">
        <v>8.6210104990000005</v>
      </c>
      <c r="J2055" s="1">
        <v>7.7565948789999997</v>
      </c>
      <c r="K2055" s="1">
        <v>7.6671326940000002</v>
      </c>
      <c r="L2055" s="1">
        <v>7.3692606630000004</v>
      </c>
      <c r="M2055" s="1">
        <v>7.6081796500000003</v>
      </c>
      <c r="N2055" s="1">
        <v>7.6318681149999996</v>
      </c>
      <c r="O2055" s="1">
        <v>8.3590846039999995</v>
      </c>
      <c r="P2055" s="1">
        <v>7.5169022410000004</v>
      </c>
      <c r="Q2055" s="1">
        <v>7.5617573509999998</v>
      </c>
      <c r="R2055" s="1">
        <v>7.4512583259999996</v>
      </c>
      <c r="S2055" s="1">
        <v>7.4721490179999996</v>
      </c>
      <c r="T2055" s="1">
        <v>7.3692606630000004</v>
      </c>
      <c r="U2055" s="1">
        <v>7.6081796500000003</v>
      </c>
      <c r="V2055" s="1">
        <v>6.9302380990000003</v>
      </c>
      <c r="W2055" s="1">
        <v>7.176254965</v>
      </c>
      <c r="X2055" s="1">
        <v>7.5008194660000003</v>
      </c>
      <c r="Y2055" s="1">
        <v>7.271865</v>
      </c>
      <c r="Z2055" s="1">
        <v>7.4512583259999996</v>
      </c>
      <c r="AA2055" s="1">
        <v>7.4721490179999996</v>
      </c>
      <c r="AB2055" s="1">
        <v>7.1351367960000003</v>
      </c>
      <c r="AC2055" s="1">
        <v>7.336648372</v>
      </c>
      <c r="AD2055" s="1">
        <v>7.5135542710000003</v>
      </c>
      <c r="AE2055" s="1">
        <v>7.1444519489999996</v>
      </c>
    </row>
    <row r="2056" spans="1:31" x14ac:dyDescent="0.25">
      <c r="A2056" s="1" t="s">
        <v>2095</v>
      </c>
      <c r="B2056" s="1" t="s">
        <v>2530</v>
      </c>
      <c r="C2056" s="1" t="s">
        <v>2573</v>
      </c>
      <c r="D2056" s="1" t="s">
        <v>2535</v>
      </c>
      <c r="E2056" s="1" t="s">
        <v>3328</v>
      </c>
      <c r="G2056" s="1" t="s">
        <v>2095</v>
      </c>
      <c r="H2056" s="1">
        <v>8.4334411150000008</v>
      </c>
      <c r="I2056" s="1">
        <v>8.1411386219999997</v>
      </c>
      <c r="J2056" s="1">
        <v>8.1699928820000007</v>
      </c>
      <c r="K2056" s="1">
        <v>8.0069791010000007</v>
      </c>
      <c r="L2056" s="1">
        <v>8.0917003960000002</v>
      </c>
      <c r="M2056" s="1">
        <v>8.0411903700000007</v>
      </c>
      <c r="N2056" s="1">
        <v>7.8964507810000004</v>
      </c>
      <c r="O2056" s="1">
        <v>8.2373669710000001</v>
      </c>
      <c r="P2056" s="1">
        <v>7.8488004619999998</v>
      </c>
      <c r="Q2056" s="1">
        <v>7.8318836589999998</v>
      </c>
      <c r="R2056" s="1">
        <v>7.9383339499999996</v>
      </c>
      <c r="S2056" s="1">
        <v>8.2359636910000003</v>
      </c>
      <c r="T2056" s="1">
        <v>8.0917003960000002</v>
      </c>
      <c r="U2056" s="1">
        <v>8.0411903700000007</v>
      </c>
      <c r="V2056" s="1">
        <v>7.8172290640000002</v>
      </c>
      <c r="W2056" s="1">
        <v>7.8753290329999999</v>
      </c>
      <c r="X2056" s="1">
        <v>8.0916467730000008</v>
      </c>
      <c r="Y2056" s="1">
        <v>8.0206233020000006</v>
      </c>
      <c r="Z2056" s="1">
        <v>7.9383339499999996</v>
      </c>
      <c r="AA2056" s="1">
        <v>8.2359636910000003</v>
      </c>
      <c r="AB2056" s="1">
        <v>7.9059268769999997</v>
      </c>
      <c r="AC2056" s="1">
        <v>7.9246616259999998</v>
      </c>
      <c r="AD2056" s="1">
        <v>8.0909127380000001</v>
      </c>
      <c r="AE2056" s="1">
        <v>8.0939852309999996</v>
      </c>
    </row>
    <row r="2057" spans="1:31" x14ac:dyDescent="0.25">
      <c r="A2057" s="1" t="s">
        <v>2097</v>
      </c>
      <c r="B2057" s="1" t="s">
        <v>2557</v>
      </c>
      <c r="C2057" s="1" t="s">
        <v>2967</v>
      </c>
      <c r="D2057" s="1" t="s">
        <v>2989</v>
      </c>
      <c r="E2057" s="1" t="s">
        <v>5665</v>
      </c>
      <c r="F2057" s="1" t="s">
        <v>5666</v>
      </c>
      <c r="G2057" s="1" t="s">
        <v>2097</v>
      </c>
      <c r="H2057" s="1">
        <v>8.4164955920000004</v>
      </c>
      <c r="I2057" s="1">
        <v>8.6536257719999998</v>
      </c>
      <c r="J2057" s="1">
        <v>8.6998191620000007</v>
      </c>
      <c r="K2057" s="1">
        <v>8.58679126</v>
      </c>
      <c r="L2057" s="1">
        <v>8.1087329869999998</v>
      </c>
      <c r="M2057" s="1">
        <v>8.2511296470000008</v>
      </c>
      <c r="N2057" s="1">
        <v>8.0855891910000004</v>
      </c>
      <c r="O2057" s="1">
        <v>8.1274488799999993</v>
      </c>
      <c r="P2057" s="1">
        <v>8.2619421319999997</v>
      </c>
      <c r="Q2057" s="1">
        <v>8.2090516969999996</v>
      </c>
      <c r="R2057" s="1">
        <v>8.3930015279999992</v>
      </c>
      <c r="S2057" s="1">
        <v>8.4308306949999992</v>
      </c>
      <c r="T2057" s="1">
        <v>8.1087329869999998</v>
      </c>
      <c r="U2057" s="1">
        <v>8.2511296470000008</v>
      </c>
      <c r="V2057" s="1">
        <v>8.8462772399999992</v>
      </c>
      <c r="W2057" s="1">
        <v>8.7502352999999999</v>
      </c>
      <c r="X2057" s="1">
        <v>8.2034126500000006</v>
      </c>
      <c r="Y2057" s="1">
        <v>8.8643062189999995</v>
      </c>
      <c r="Z2057" s="1">
        <v>8.3930015279999992</v>
      </c>
      <c r="AA2057" s="1">
        <v>8.4308306949999992</v>
      </c>
      <c r="AB2057" s="1">
        <v>8.3110094659999998</v>
      </c>
      <c r="AC2057" s="1">
        <v>8.1059307710000006</v>
      </c>
      <c r="AD2057" s="1">
        <v>8.2394189119999997</v>
      </c>
      <c r="AE2057" s="1">
        <v>8.4375333109999993</v>
      </c>
    </row>
    <row r="2058" spans="1:31" x14ac:dyDescent="0.25">
      <c r="A2058" s="1" t="s">
        <v>2101</v>
      </c>
      <c r="B2058" s="1" t="s">
        <v>2608</v>
      </c>
      <c r="C2058" s="1" t="s">
        <v>2609</v>
      </c>
      <c r="D2058" s="1" t="s">
        <v>3890</v>
      </c>
      <c r="E2058" s="1" t="s">
        <v>5667</v>
      </c>
      <c r="F2058" s="1" t="s">
        <v>5668</v>
      </c>
      <c r="G2058" s="1" t="s">
        <v>2101</v>
      </c>
      <c r="H2058" s="1">
        <v>3.8023684370000002</v>
      </c>
      <c r="I2058" s="1">
        <v>4.3763156859999999</v>
      </c>
      <c r="J2058" s="1">
        <v>4.1077874330000004</v>
      </c>
      <c r="K2058" s="1">
        <v>3.607491666</v>
      </c>
      <c r="L2058" s="1">
        <v>4.0714409539999998</v>
      </c>
      <c r="M2058" s="1">
        <v>3.2940962960000002</v>
      </c>
      <c r="N2058" s="1">
        <v>4.5366957899999996</v>
      </c>
      <c r="O2058" s="1">
        <v>4.0953574540000002</v>
      </c>
      <c r="P2058" s="1">
        <v>3.86011382</v>
      </c>
      <c r="Q2058" s="1">
        <v>4.0840108080000004</v>
      </c>
      <c r="R2058" s="1">
        <v>3.8462631940000001</v>
      </c>
      <c r="S2058" s="1">
        <v>4.1304223819999999</v>
      </c>
      <c r="T2058" s="1">
        <v>4.0714409539999998</v>
      </c>
      <c r="U2058" s="1">
        <v>3.2940962960000002</v>
      </c>
      <c r="V2058" s="1">
        <v>3.9849921849999999</v>
      </c>
      <c r="W2058" s="1">
        <v>3.9848641250000001</v>
      </c>
      <c r="X2058" s="1">
        <v>3.7416722899999999</v>
      </c>
      <c r="Y2058" s="1">
        <v>3.4382968329999999</v>
      </c>
      <c r="Z2058" s="1">
        <v>3.8462631940000001</v>
      </c>
      <c r="AA2058" s="1">
        <v>4.1304223819999999</v>
      </c>
      <c r="AB2058" s="1">
        <v>4.5063178209999997</v>
      </c>
      <c r="AC2058" s="1">
        <v>3.8665622239999999</v>
      </c>
      <c r="AD2058" s="1">
        <v>3.984188064</v>
      </c>
      <c r="AE2058" s="1">
        <v>3.8864783150000002</v>
      </c>
    </row>
    <row r="2059" spans="1:31" x14ac:dyDescent="0.25">
      <c r="A2059" s="1" t="s">
        <v>2102</v>
      </c>
      <c r="B2059" s="1" t="s">
        <v>2530</v>
      </c>
      <c r="C2059" s="1" t="s">
        <v>2531</v>
      </c>
      <c r="D2059" s="1" t="s">
        <v>2535</v>
      </c>
      <c r="E2059" s="1" t="s">
        <v>2536</v>
      </c>
      <c r="G2059" s="1" t="s">
        <v>2102</v>
      </c>
      <c r="H2059" s="1">
        <v>3.9421380259999999</v>
      </c>
      <c r="I2059" s="1">
        <v>3.5006354609999999</v>
      </c>
      <c r="J2059" s="1">
        <v>4.2018709520000002</v>
      </c>
      <c r="K2059" s="1">
        <v>3.4309024589999999</v>
      </c>
      <c r="L2059" s="1">
        <v>4.619423984</v>
      </c>
      <c r="M2059" s="1">
        <v>4.709731562</v>
      </c>
      <c r="N2059" s="1">
        <v>4.0417975630000003</v>
      </c>
      <c r="O2059" s="1">
        <v>3.9591193910000002</v>
      </c>
      <c r="P2059" s="1">
        <v>4.7394495640000001</v>
      </c>
      <c r="Q2059" s="1">
        <v>3.9718447549999998</v>
      </c>
      <c r="R2059" s="1">
        <v>5.2434057019999996</v>
      </c>
      <c r="S2059" s="1">
        <v>5.032286365</v>
      </c>
      <c r="T2059" s="1">
        <v>4.619423984</v>
      </c>
      <c r="U2059" s="1">
        <v>4.709731562</v>
      </c>
      <c r="V2059" s="1">
        <v>4.9055261469999998</v>
      </c>
      <c r="W2059" s="1">
        <v>4.5296290450000001</v>
      </c>
      <c r="X2059" s="1">
        <v>5.0861518739999996</v>
      </c>
      <c r="Y2059" s="1">
        <v>4.5275934409999996</v>
      </c>
      <c r="Z2059" s="1">
        <v>5.2434057019999996</v>
      </c>
      <c r="AA2059" s="1">
        <v>5.032286365</v>
      </c>
      <c r="AB2059" s="1">
        <v>4.9601840040000003</v>
      </c>
      <c r="AC2059" s="1">
        <v>5.198889973</v>
      </c>
      <c r="AD2059" s="1">
        <v>4.8924744240000004</v>
      </c>
      <c r="AE2059" s="1">
        <v>4.4163948289999997</v>
      </c>
    </row>
    <row r="2060" spans="1:31" x14ac:dyDescent="0.25">
      <c r="A2060" s="1" t="s">
        <v>2103</v>
      </c>
      <c r="B2060" s="1" t="s">
        <v>2942</v>
      </c>
      <c r="C2060" s="1" t="s">
        <v>2943</v>
      </c>
      <c r="D2060" s="1" t="s">
        <v>5669</v>
      </c>
      <c r="E2060" s="1" t="s">
        <v>5670</v>
      </c>
      <c r="F2060" s="1" t="s">
        <v>5671</v>
      </c>
      <c r="G2060" s="1" t="s">
        <v>2103</v>
      </c>
      <c r="H2060" s="1">
        <v>5.1131742039999999</v>
      </c>
      <c r="I2060" s="1">
        <v>5.1078624770000003</v>
      </c>
      <c r="J2060" s="1">
        <v>5.9926388770000001</v>
      </c>
      <c r="K2060" s="1">
        <v>5.9181521149999998</v>
      </c>
      <c r="L2060" s="1">
        <v>6.7193312350000003</v>
      </c>
      <c r="M2060" s="1">
        <v>6.2791745209999998</v>
      </c>
      <c r="N2060" s="1">
        <v>6.421619185</v>
      </c>
      <c r="O2060" s="1">
        <v>6.0979208290000004</v>
      </c>
      <c r="P2060" s="1">
        <v>6.4115387159999999</v>
      </c>
      <c r="Q2060" s="1">
        <v>6.3341756560000002</v>
      </c>
      <c r="R2060" s="1">
        <v>6.532477096</v>
      </c>
      <c r="S2060" s="1">
        <v>6.1213765840000001</v>
      </c>
      <c r="T2060" s="1">
        <v>6.7193312350000003</v>
      </c>
      <c r="U2060" s="1">
        <v>6.2791745209999998</v>
      </c>
      <c r="V2060" s="1">
        <v>6.8706547860000002</v>
      </c>
      <c r="W2060" s="1">
        <v>6.6970570279999997</v>
      </c>
      <c r="X2060" s="1">
        <v>6.4412422830000002</v>
      </c>
      <c r="Y2060" s="1">
        <v>6.8849070279999998</v>
      </c>
      <c r="Z2060" s="1">
        <v>6.532477096</v>
      </c>
      <c r="AA2060" s="1">
        <v>6.1213765840000001</v>
      </c>
      <c r="AB2060" s="1">
        <v>6.7253316390000002</v>
      </c>
      <c r="AC2060" s="1">
        <v>6.2255363350000001</v>
      </c>
      <c r="AD2060" s="1">
        <v>6.53552176</v>
      </c>
      <c r="AE2060" s="1">
        <v>6.6110350100000002</v>
      </c>
    </row>
    <row r="2061" spans="1:31" x14ac:dyDescent="0.25">
      <c r="A2061" s="1" t="s">
        <v>2104</v>
      </c>
      <c r="B2061" s="1" t="s">
        <v>2579</v>
      </c>
      <c r="C2061" s="1" t="s">
        <v>2933</v>
      </c>
      <c r="D2061" s="1" t="s">
        <v>2934</v>
      </c>
      <c r="E2061" s="1" t="s">
        <v>5672</v>
      </c>
      <c r="F2061" s="1" t="s">
        <v>5673</v>
      </c>
      <c r="G2061" s="1" t="s">
        <v>2104</v>
      </c>
      <c r="H2061" s="1">
        <v>5.9144073309999996</v>
      </c>
      <c r="I2061" s="1">
        <v>5.8640648840000003</v>
      </c>
      <c r="J2061" s="1">
        <v>7.6954749209999997</v>
      </c>
      <c r="K2061" s="1">
        <v>7.7120487869999996</v>
      </c>
      <c r="L2061" s="1">
        <v>7.3115670399999999</v>
      </c>
      <c r="M2061" s="1">
        <v>7.411180409</v>
      </c>
      <c r="N2061" s="1">
        <v>6.5176065699999999</v>
      </c>
      <c r="O2061" s="1">
        <v>6.3540746549999998</v>
      </c>
      <c r="P2061" s="1">
        <v>7.4473979830000001</v>
      </c>
      <c r="Q2061" s="1">
        <v>7.5524433919999998</v>
      </c>
      <c r="R2061" s="1">
        <v>7.8652464599999998</v>
      </c>
      <c r="S2061" s="1">
        <v>7.6962470280000002</v>
      </c>
      <c r="T2061" s="1">
        <v>7.3115670399999999</v>
      </c>
      <c r="U2061" s="1">
        <v>7.411180409</v>
      </c>
      <c r="V2061" s="1">
        <v>7.0207244439999998</v>
      </c>
      <c r="W2061" s="1">
        <v>6.9646536269999997</v>
      </c>
      <c r="X2061" s="1">
        <v>7.5928506740000001</v>
      </c>
      <c r="Y2061" s="1">
        <v>6.9770204600000003</v>
      </c>
      <c r="Z2061" s="1">
        <v>7.8652464599999998</v>
      </c>
      <c r="AA2061" s="1">
        <v>7.6962470280000002</v>
      </c>
      <c r="AB2061" s="1">
        <v>7.310811599</v>
      </c>
      <c r="AC2061" s="1">
        <v>7.9501881939999999</v>
      </c>
      <c r="AD2061" s="1">
        <v>7.8579993000000004</v>
      </c>
      <c r="AE2061" s="1">
        <v>7.6283429229999999</v>
      </c>
    </row>
    <row r="2062" spans="1:31" x14ac:dyDescent="0.25">
      <c r="A2062" s="1" t="s">
        <v>2108</v>
      </c>
      <c r="B2062" s="1" t="s">
        <v>2530</v>
      </c>
      <c r="C2062" s="1" t="s">
        <v>2531</v>
      </c>
      <c r="D2062" s="1" t="s">
        <v>2535</v>
      </c>
      <c r="E2062" s="1" t="s">
        <v>2536</v>
      </c>
      <c r="G2062" s="1" t="s">
        <v>2108</v>
      </c>
      <c r="H2062" s="1">
        <v>5.3712699940000004</v>
      </c>
      <c r="I2062" s="1">
        <v>5.3676718369999996</v>
      </c>
      <c r="J2062" s="1">
        <v>4.3724365990000003</v>
      </c>
      <c r="K2062" s="1">
        <v>4.2434183680000004</v>
      </c>
      <c r="L2062" s="1">
        <v>4.0223143549999998</v>
      </c>
      <c r="M2062" s="1">
        <v>4.3982295550000003</v>
      </c>
      <c r="N2062" s="1">
        <v>5.1081614489999998</v>
      </c>
      <c r="O2062" s="1">
        <v>5.1349072580000001</v>
      </c>
      <c r="P2062" s="1">
        <v>3.6116823170000001</v>
      </c>
      <c r="Q2062" s="1">
        <v>3.9718447549999998</v>
      </c>
      <c r="R2062" s="1">
        <v>4.2802026870000001</v>
      </c>
      <c r="S2062" s="1">
        <v>4.0285685429999996</v>
      </c>
      <c r="T2062" s="1">
        <v>4.0223143549999998</v>
      </c>
      <c r="U2062" s="1">
        <v>4.3982295550000003</v>
      </c>
      <c r="V2062" s="1">
        <v>4.8059579570000004</v>
      </c>
      <c r="W2062" s="1">
        <v>4.7760085830000003</v>
      </c>
      <c r="X2062" s="1">
        <v>4.2198471</v>
      </c>
      <c r="Y2062" s="1">
        <v>4.2532353330000001</v>
      </c>
      <c r="Z2062" s="1">
        <v>4.2802026870000001</v>
      </c>
      <c r="AA2062" s="1">
        <v>4.0285685429999996</v>
      </c>
      <c r="AB2062" s="1">
        <v>4.3946012420000002</v>
      </c>
      <c r="AC2062" s="1">
        <v>4.1685844940000001</v>
      </c>
      <c r="AD2062" s="1">
        <v>3.5727029510000001</v>
      </c>
      <c r="AE2062" s="1">
        <v>4.124053773</v>
      </c>
    </row>
    <row r="2063" spans="1:31" x14ac:dyDescent="0.25">
      <c r="A2063" s="1" t="s">
        <v>2111</v>
      </c>
      <c r="B2063" s="1" t="s">
        <v>2530</v>
      </c>
      <c r="C2063" s="1" t="s">
        <v>2573</v>
      </c>
      <c r="D2063" s="1" t="s">
        <v>2535</v>
      </c>
      <c r="E2063" s="1" t="s">
        <v>3770</v>
      </c>
      <c r="G2063" s="1" t="s">
        <v>2111</v>
      </c>
      <c r="H2063" s="1">
        <v>5.6296178589999997</v>
      </c>
      <c r="I2063" s="1">
        <v>6.295503557</v>
      </c>
      <c r="J2063" s="1">
        <v>5.4021237849999997</v>
      </c>
      <c r="K2063" s="1">
        <v>5.5719358019999996</v>
      </c>
      <c r="L2063" s="1">
        <v>5.4123805689999998</v>
      </c>
      <c r="M2063" s="1">
        <v>4.6276332350000002</v>
      </c>
      <c r="N2063" s="1">
        <v>6.1290762189999999</v>
      </c>
      <c r="O2063" s="1">
        <v>5.824131875</v>
      </c>
      <c r="P2063" s="1">
        <v>5.0074447400000004</v>
      </c>
      <c r="Q2063" s="1">
        <v>5.1511590549999999</v>
      </c>
      <c r="R2063" s="1">
        <v>4.6083586160000003</v>
      </c>
      <c r="S2063" s="1">
        <v>5.0824952919999999</v>
      </c>
      <c r="T2063" s="1">
        <v>5.4123805689999998</v>
      </c>
      <c r="U2063" s="1">
        <v>4.6276332350000002</v>
      </c>
      <c r="V2063" s="1">
        <v>5.1679192199999999</v>
      </c>
      <c r="W2063" s="1">
        <v>4.6166922860000001</v>
      </c>
      <c r="X2063" s="1">
        <v>4.5325909299999996</v>
      </c>
      <c r="Y2063" s="1">
        <v>5.2297915760000002</v>
      </c>
      <c r="Z2063" s="1">
        <v>4.6083586160000003</v>
      </c>
      <c r="AA2063" s="1">
        <v>5.0824952919999999</v>
      </c>
      <c r="AB2063" s="1">
        <v>5.0356743460000004</v>
      </c>
      <c r="AC2063" s="1">
        <v>4.7474570290000004</v>
      </c>
      <c r="AD2063" s="1">
        <v>4.7657555159999996</v>
      </c>
      <c r="AE2063" s="1">
        <v>5.2004631630000002</v>
      </c>
    </row>
    <row r="2064" spans="1:31" x14ac:dyDescent="0.25">
      <c r="A2064" s="1" t="s">
        <v>2112</v>
      </c>
      <c r="B2064" s="1" t="s">
        <v>2520</v>
      </c>
      <c r="C2064" s="1" t="s">
        <v>2646</v>
      </c>
      <c r="D2064" s="1" t="s">
        <v>2810</v>
      </c>
      <c r="E2064" s="1" t="s">
        <v>5674</v>
      </c>
      <c r="G2064" s="1" t="s">
        <v>2112</v>
      </c>
      <c r="H2064" s="1">
        <v>4.6479005740000003</v>
      </c>
      <c r="I2064" s="1">
        <v>4.9575946069999999</v>
      </c>
      <c r="J2064" s="1">
        <v>4.4503473070000004</v>
      </c>
      <c r="K2064" s="1">
        <v>4.3408695499999999</v>
      </c>
      <c r="L2064" s="1">
        <v>4.5867597299999998</v>
      </c>
      <c r="M2064" s="1">
        <v>4.1225413939999997</v>
      </c>
      <c r="N2064" s="1">
        <v>5.2894624830000003</v>
      </c>
      <c r="O2064" s="1">
        <v>5.0724039640000003</v>
      </c>
      <c r="P2064" s="1">
        <v>4.3303557189999999</v>
      </c>
      <c r="Q2064" s="1">
        <v>4.4575363990000003</v>
      </c>
      <c r="R2064" s="1">
        <v>3.968758995</v>
      </c>
      <c r="S2064" s="1">
        <v>4.8114074450000004</v>
      </c>
      <c r="T2064" s="1">
        <v>4.5867597299999998</v>
      </c>
      <c r="U2064" s="1">
        <v>4.1225413939999997</v>
      </c>
      <c r="V2064" s="1">
        <v>4.4559512029999997</v>
      </c>
      <c r="W2064" s="1">
        <v>4.4367165279999998</v>
      </c>
      <c r="X2064" s="1">
        <v>4.7537743670000001</v>
      </c>
      <c r="Y2064" s="1">
        <v>5.1254702539999997</v>
      </c>
      <c r="Z2064" s="1">
        <v>3.968758995</v>
      </c>
      <c r="AA2064" s="1">
        <v>4.8114074450000004</v>
      </c>
      <c r="AB2064" s="1">
        <v>4.705867896</v>
      </c>
      <c r="AC2064" s="1">
        <v>4.8053838390000001</v>
      </c>
      <c r="AD2064" s="1">
        <v>4.95179218</v>
      </c>
      <c r="AE2064" s="1">
        <v>4.6936201110000004</v>
      </c>
    </row>
    <row r="2065" spans="1:31" x14ac:dyDescent="0.25">
      <c r="A2065" s="1" t="s">
        <v>2115</v>
      </c>
      <c r="B2065" s="1" t="s">
        <v>2530</v>
      </c>
      <c r="C2065" s="1" t="s">
        <v>2531</v>
      </c>
      <c r="D2065" s="1" t="s">
        <v>2535</v>
      </c>
      <c r="E2065" s="1" t="s">
        <v>5675</v>
      </c>
      <c r="G2065" s="1" t="s">
        <v>2115</v>
      </c>
      <c r="H2065" s="1">
        <v>7.357860155</v>
      </c>
      <c r="I2065" s="1">
        <v>7.4819592080000001</v>
      </c>
      <c r="J2065" s="1">
        <v>5.1501560140000002</v>
      </c>
      <c r="K2065" s="1">
        <v>6.118739057</v>
      </c>
      <c r="L2065" s="1">
        <v>4.9358482109999997</v>
      </c>
      <c r="M2065" s="1">
        <v>5.029201552</v>
      </c>
      <c r="N2065" s="1">
        <v>7.6787075070000004</v>
      </c>
      <c r="O2065" s="1">
        <v>7.7511353160000001</v>
      </c>
      <c r="P2065" s="1">
        <v>6.1950446890000004</v>
      </c>
      <c r="Q2065" s="1">
        <v>6.1485161530000001</v>
      </c>
      <c r="R2065" s="1">
        <v>4.9894654599999999</v>
      </c>
      <c r="S2065" s="1">
        <v>5.542037144</v>
      </c>
      <c r="T2065" s="1">
        <v>4.9358482109999997</v>
      </c>
      <c r="U2065" s="1">
        <v>5.029201552</v>
      </c>
      <c r="V2065" s="1">
        <v>5.9705432629999997</v>
      </c>
      <c r="W2065" s="1">
        <v>5.726489559</v>
      </c>
      <c r="X2065" s="1">
        <v>5.1389930130000003</v>
      </c>
      <c r="Y2065" s="1">
        <v>5.5841077690000001</v>
      </c>
      <c r="Z2065" s="1">
        <v>4.9894654599999999</v>
      </c>
      <c r="AA2065" s="1">
        <v>5.542037144</v>
      </c>
      <c r="AB2065" s="1">
        <v>5.8927983030000002</v>
      </c>
      <c r="AC2065" s="1">
        <v>5.6386390840000002</v>
      </c>
      <c r="AD2065" s="1">
        <v>5.6310130599999999</v>
      </c>
      <c r="AE2065" s="1">
        <v>5.8040306609999996</v>
      </c>
    </row>
    <row r="2066" spans="1:31" x14ac:dyDescent="0.25">
      <c r="A2066" s="1" t="s">
        <v>2118</v>
      </c>
      <c r="B2066" s="1" t="s">
        <v>2530</v>
      </c>
      <c r="C2066" s="1" t="s">
        <v>2531</v>
      </c>
      <c r="D2066" s="1" t="s">
        <v>2535</v>
      </c>
      <c r="E2066" s="1" t="s">
        <v>2536</v>
      </c>
      <c r="G2066" s="1" t="s">
        <v>2118</v>
      </c>
      <c r="H2066" s="1">
        <v>4.3886087140000001</v>
      </c>
      <c r="I2066" s="1">
        <v>5.1546023129999998</v>
      </c>
      <c r="J2066" s="1">
        <v>4.6607313550000002</v>
      </c>
      <c r="K2066" s="1">
        <v>3.8998480660000001</v>
      </c>
      <c r="L2066" s="1">
        <v>5.3938587340000002</v>
      </c>
      <c r="M2066" s="1">
        <v>5.4399015869999996</v>
      </c>
      <c r="N2066" s="1">
        <v>5.2649372489999999</v>
      </c>
      <c r="O2066" s="1">
        <v>4.9731423550000002</v>
      </c>
      <c r="P2066" s="1">
        <v>5.1018341500000002</v>
      </c>
      <c r="Q2066" s="1">
        <v>4.9365262349999997</v>
      </c>
      <c r="R2066" s="1">
        <v>5.0965654090000001</v>
      </c>
      <c r="S2066" s="1">
        <v>5.2232498669999998</v>
      </c>
      <c r="T2066" s="1">
        <v>5.3938587340000002</v>
      </c>
      <c r="U2066" s="1">
        <v>5.4399015869999996</v>
      </c>
      <c r="V2066" s="1">
        <v>4.8566239800000002</v>
      </c>
      <c r="W2066" s="1">
        <v>5.16775612</v>
      </c>
      <c r="X2066" s="1">
        <v>4.8838989719999999</v>
      </c>
      <c r="Y2066" s="1">
        <v>4.4420910779999998</v>
      </c>
      <c r="Z2066" s="1">
        <v>5.0965654090000001</v>
      </c>
      <c r="AA2066" s="1">
        <v>5.2232498669999998</v>
      </c>
      <c r="AB2066" s="1">
        <v>5.1073354020000004</v>
      </c>
      <c r="AC2066" s="1">
        <v>5.0158027430000001</v>
      </c>
      <c r="AD2066" s="1">
        <v>4.4715299570000004</v>
      </c>
      <c r="AE2066" s="1">
        <v>4.6572481659999996</v>
      </c>
    </row>
    <row r="2067" spans="1:31" x14ac:dyDescent="0.25">
      <c r="A2067" s="1" t="s">
        <v>2119</v>
      </c>
      <c r="B2067" s="1" t="s">
        <v>2598</v>
      </c>
      <c r="C2067" s="1" t="s">
        <v>2603</v>
      </c>
      <c r="D2067" s="1" t="s">
        <v>5676</v>
      </c>
      <c r="E2067" s="1" t="s">
        <v>5677</v>
      </c>
      <c r="F2067" s="1" t="s">
        <v>5678</v>
      </c>
      <c r="G2067" s="1" t="s">
        <v>2119</v>
      </c>
      <c r="H2067" s="1">
        <v>6.2055952369999998</v>
      </c>
      <c r="I2067" s="1">
        <v>5.8640648840000003</v>
      </c>
      <c r="J2067" s="1">
        <v>7.5986445360000001</v>
      </c>
      <c r="K2067" s="1">
        <v>7.37478634</v>
      </c>
      <c r="L2067" s="1">
        <v>8.1087329869999998</v>
      </c>
      <c r="M2067" s="1">
        <v>7.9150442500000002</v>
      </c>
      <c r="N2067" s="1">
        <v>7.082166494</v>
      </c>
      <c r="O2067" s="1">
        <v>6.6689049149999997</v>
      </c>
      <c r="P2067" s="1">
        <v>7.599320348</v>
      </c>
      <c r="Q2067" s="1">
        <v>7.8164050280000001</v>
      </c>
      <c r="R2067" s="1">
        <v>8.0546661240000006</v>
      </c>
      <c r="S2067" s="1">
        <v>7.8619690479999997</v>
      </c>
      <c r="T2067" s="1">
        <v>8.1087329869999998</v>
      </c>
      <c r="U2067" s="1">
        <v>7.9150442500000002</v>
      </c>
      <c r="V2067" s="1">
        <v>7.8172290640000002</v>
      </c>
      <c r="W2067" s="1">
        <v>7.8579126600000002</v>
      </c>
      <c r="X2067" s="1">
        <v>7.9339139879999996</v>
      </c>
      <c r="Y2067" s="1">
        <v>7.8686810219999996</v>
      </c>
      <c r="Z2067" s="1">
        <v>8.0546661240000006</v>
      </c>
      <c r="AA2067" s="1">
        <v>7.8619690479999997</v>
      </c>
      <c r="AB2067" s="1">
        <v>8.0923586390000004</v>
      </c>
      <c r="AC2067" s="1">
        <v>7.8587955760000003</v>
      </c>
      <c r="AD2067" s="1">
        <v>7.7953800959999997</v>
      </c>
      <c r="AE2067" s="1">
        <v>7.9609592459999998</v>
      </c>
    </row>
    <row r="2068" spans="1:31" x14ac:dyDescent="0.25">
      <c r="A2068" s="1" t="s">
        <v>2135</v>
      </c>
      <c r="B2068" s="1" t="s">
        <v>2530</v>
      </c>
      <c r="C2068" s="1" t="s">
        <v>2531</v>
      </c>
      <c r="D2068" s="1" t="s">
        <v>2535</v>
      </c>
      <c r="E2068" s="1" t="s">
        <v>2536</v>
      </c>
      <c r="G2068" s="1" t="s">
        <v>2135</v>
      </c>
      <c r="H2068" s="1">
        <v>1.7393328349999999</v>
      </c>
      <c r="I2068" s="1">
        <v>1.7393328349999999</v>
      </c>
      <c r="J2068" s="1">
        <v>1.7393328349999999</v>
      </c>
      <c r="K2068" s="1">
        <v>1.7393328349999999</v>
      </c>
      <c r="L2068" s="1">
        <v>1.7393328349999999</v>
      </c>
      <c r="M2068" s="1">
        <v>1.7393328349999999</v>
      </c>
      <c r="N2068" s="1">
        <v>1.7393328349999999</v>
      </c>
      <c r="O2068" s="1">
        <v>1.7393328349999999</v>
      </c>
      <c r="P2068" s="1">
        <v>1.7393328349999999</v>
      </c>
      <c r="Q2068" s="1">
        <v>1.7393328349999999</v>
      </c>
      <c r="R2068" s="1">
        <v>1.7393328349999999</v>
      </c>
      <c r="S2068" s="1">
        <v>1.7393328349999999</v>
      </c>
      <c r="T2068" s="1">
        <v>1.7393328349999999</v>
      </c>
      <c r="U2068" s="1">
        <v>1.7393328349999999</v>
      </c>
      <c r="V2068" s="1">
        <v>1.7393328349999999</v>
      </c>
      <c r="W2068" s="1">
        <v>1.7393328349999999</v>
      </c>
      <c r="X2068" s="1">
        <v>1.7393328349999999</v>
      </c>
      <c r="Y2068" s="1">
        <v>2.624795792</v>
      </c>
      <c r="Z2068" s="1">
        <v>1.7393328349999999</v>
      </c>
      <c r="AA2068" s="1">
        <v>1.7393328349999999</v>
      </c>
      <c r="AB2068" s="1">
        <v>1.7393328349999999</v>
      </c>
      <c r="AC2068" s="1">
        <v>1.7393328349999999</v>
      </c>
      <c r="AD2068" s="1">
        <v>2.6025990879999998</v>
      </c>
      <c r="AE2068" s="1">
        <v>2.3627668220000002</v>
      </c>
    </row>
    <row r="2069" spans="1:31" x14ac:dyDescent="0.25">
      <c r="A2069" s="1" t="s">
        <v>2137</v>
      </c>
      <c r="B2069" s="1" t="s">
        <v>2667</v>
      </c>
      <c r="C2069" s="1" t="s">
        <v>2867</v>
      </c>
      <c r="D2069" s="1" t="s">
        <v>5679</v>
      </c>
      <c r="E2069" s="1" t="s">
        <v>5680</v>
      </c>
      <c r="F2069" s="1" t="s">
        <v>5681</v>
      </c>
      <c r="G2069" s="1" t="s">
        <v>2137</v>
      </c>
      <c r="H2069" s="1">
        <v>6.4696957609999997</v>
      </c>
      <c r="I2069" s="1">
        <v>6.659404447</v>
      </c>
      <c r="J2069" s="1">
        <v>5.5826322800000003</v>
      </c>
      <c r="K2069" s="1">
        <v>5.7554847420000002</v>
      </c>
      <c r="L2069" s="1">
        <v>4.9358482109999997</v>
      </c>
      <c r="M2069" s="1">
        <v>4.930560163</v>
      </c>
      <c r="N2069" s="1">
        <v>5.9870940719999997</v>
      </c>
      <c r="O2069" s="1">
        <v>6.2316979249999997</v>
      </c>
      <c r="P2069" s="1">
        <v>5.4976972829999999</v>
      </c>
      <c r="Q2069" s="1">
        <v>5.7514994149999996</v>
      </c>
      <c r="R2069" s="1">
        <v>4.6795267799999998</v>
      </c>
      <c r="S2069" s="1">
        <v>4.8699614389999999</v>
      </c>
      <c r="T2069" s="1">
        <v>4.9358482109999997</v>
      </c>
      <c r="U2069" s="1">
        <v>4.930560163</v>
      </c>
      <c r="V2069" s="1">
        <v>5.4882083000000002</v>
      </c>
      <c r="W2069" s="1">
        <v>5.872872095</v>
      </c>
      <c r="X2069" s="1">
        <v>5.1899342839999996</v>
      </c>
      <c r="Y2069" s="1">
        <v>5.417933841</v>
      </c>
      <c r="Z2069" s="1">
        <v>4.6795267799999998</v>
      </c>
      <c r="AA2069" s="1">
        <v>4.8699614389999999</v>
      </c>
      <c r="AB2069" s="1">
        <v>5.2406211000000003</v>
      </c>
      <c r="AC2069" s="1">
        <v>5.198889973</v>
      </c>
      <c r="AD2069" s="1">
        <v>4.95179218</v>
      </c>
      <c r="AE2069" s="1">
        <v>5.0415666330000004</v>
      </c>
    </row>
    <row r="2070" spans="1:31" x14ac:dyDescent="0.25">
      <c r="A2070" s="1" t="s">
        <v>2138</v>
      </c>
      <c r="B2070" s="1" t="s">
        <v>2667</v>
      </c>
      <c r="C2070" s="1" t="s">
        <v>2781</v>
      </c>
      <c r="D2070" s="1" t="s">
        <v>5682</v>
      </c>
      <c r="E2070" s="1" t="s">
        <v>5683</v>
      </c>
      <c r="F2070" s="1" t="s">
        <v>5684</v>
      </c>
      <c r="G2070" s="1" t="s">
        <v>2138</v>
      </c>
      <c r="H2070" s="1">
        <v>6.7114110580000004</v>
      </c>
      <c r="I2070" s="1">
        <v>6.6753919760000002</v>
      </c>
      <c r="J2070" s="1">
        <v>6.1831700180000002</v>
      </c>
      <c r="K2070" s="1">
        <v>6.3863668120000003</v>
      </c>
      <c r="L2070" s="1">
        <v>6.7486284259999998</v>
      </c>
      <c r="M2070" s="1">
        <v>6.4178773749999998</v>
      </c>
      <c r="N2070" s="1">
        <v>6.8480269140000001</v>
      </c>
      <c r="O2070" s="1">
        <v>6.9954679869999996</v>
      </c>
      <c r="P2070" s="1">
        <v>6.1298655379999998</v>
      </c>
      <c r="Q2070" s="1">
        <v>6.3341756560000002</v>
      </c>
      <c r="R2070" s="1">
        <v>6.6590761939999998</v>
      </c>
      <c r="S2070" s="1">
        <v>5.8890842929999998</v>
      </c>
      <c r="T2070" s="1">
        <v>6.7486284259999998</v>
      </c>
      <c r="U2070" s="1">
        <v>6.4178773749999998</v>
      </c>
      <c r="V2070" s="1">
        <v>6.7828668890000001</v>
      </c>
      <c r="W2070" s="1">
        <v>6.463427716</v>
      </c>
      <c r="X2070" s="1">
        <v>6.1275895519999999</v>
      </c>
      <c r="Y2070" s="1">
        <v>6.4855214879999998</v>
      </c>
      <c r="Z2070" s="1">
        <v>6.6590761939999998</v>
      </c>
      <c r="AA2070" s="1">
        <v>5.8890842929999998</v>
      </c>
      <c r="AB2070" s="1">
        <v>6.3094558689999998</v>
      </c>
      <c r="AC2070" s="1">
        <v>6.2870326270000003</v>
      </c>
      <c r="AD2070" s="1">
        <v>6.6283518130000001</v>
      </c>
      <c r="AE2070" s="1">
        <v>6.0726073669999998</v>
      </c>
    </row>
    <row r="2071" spans="1:31" x14ac:dyDescent="0.25">
      <c r="A2071" s="1" t="s">
        <v>2140</v>
      </c>
      <c r="B2071" s="1" t="s">
        <v>3099</v>
      </c>
      <c r="C2071" s="1" t="s">
        <v>3100</v>
      </c>
      <c r="D2071" s="1" t="s">
        <v>3101</v>
      </c>
      <c r="E2071" s="1" t="s">
        <v>5685</v>
      </c>
      <c r="F2071" s="1" t="s">
        <v>5686</v>
      </c>
      <c r="G2071" s="1" t="s">
        <v>2140</v>
      </c>
      <c r="H2071" s="1">
        <v>6.0961014899999997</v>
      </c>
      <c r="I2071" s="1">
        <v>5.6856247609999997</v>
      </c>
      <c r="J2071" s="1">
        <v>5.2392025899999997</v>
      </c>
      <c r="K2071" s="1">
        <v>5.0014827119999996</v>
      </c>
      <c r="L2071" s="1">
        <v>4.8563863139999999</v>
      </c>
      <c r="M2071" s="1">
        <v>4.9642129490000002</v>
      </c>
      <c r="N2071" s="1">
        <v>6.6922754859999998</v>
      </c>
      <c r="O2071" s="1">
        <v>6.961681735</v>
      </c>
      <c r="P2071" s="1">
        <v>6.849263358</v>
      </c>
      <c r="Q2071" s="1">
        <v>7.0684241830000003</v>
      </c>
      <c r="R2071" s="1">
        <v>6.2166299269999996</v>
      </c>
      <c r="S2071" s="1">
        <v>6.5149715439999998</v>
      </c>
      <c r="T2071" s="1">
        <v>4.8563863139999999</v>
      </c>
      <c r="U2071" s="1">
        <v>4.9642129490000002</v>
      </c>
      <c r="V2071" s="1">
        <v>5.3546652259999998</v>
      </c>
      <c r="W2071" s="1">
        <v>5.6472737119999996</v>
      </c>
      <c r="X2071" s="1">
        <v>5.4415021479999997</v>
      </c>
      <c r="Y2071" s="1">
        <v>6.2095953220000002</v>
      </c>
      <c r="Z2071" s="1">
        <v>6.2166299269999996</v>
      </c>
      <c r="AA2071" s="1">
        <v>6.5149715439999998</v>
      </c>
      <c r="AB2071" s="1">
        <v>5.8098709350000002</v>
      </c>
      <c r="AC2071" s="1">
        <v>6.0940352600000001</v>
      </c>
      <c r="AD2071" s="1">
        <v>6.3073961189999999</v>
      </c>
      <c r="AE2071" s="1">
        <v>6.2634584459999996</v>
      </c>
    </row>
    <row r="2072" spans="1:31" x14ac:dyDescent="0.25">
      <c r="A2072" s="1" t="s">
        <v>2141</v>
      </c>
      <c r="B2072" s="1" t="s">
        <v>2539</v>
      </c>
      <c r="C2072" s="1" t="s">
        <v>2606</v>
      </c>
      <c r="D2072" s="1" t="s">
        <v>2535</v>
      </c>
      <c r="E2072" s="1" t="s">
        <v>5687</v>
      </c>
      <c r="F2072" s="1" t="s">
        <v>5688</v>
      </c>
      <c r="G2072" s="1" t="s">
        <v>2141</v>
      </c>
      <c r="H2072" s="1">
        <v>4.7972697699999998</v>
      </c>
      <c r="I2072" s="1">
        <v>5.1546023129999998</v>
      </c>
      <c r="J2072" s="1">
        <v>4.5940881259999999</v>
      </c>
      <c r="K2072" s="1">
        <v>4.7454889089999996</v>
      </c>
      <c r="L2072" s="1">
        <v>4.6825378889999998</v>
      </c>
      <c r="M2072" s="1">
        <v>4.7872698079999996</v>
      </c>
      <c r="N2072" s="1">
        <v>6.1425317259999996</v>
      </c>
      <c r="O2072" s="1">
        <v>6.0822573350000004</v>
      </c>
      <c r="P2072" s="1">
        <v>6.429694821</v>
      </c>
      <c r="Q2072" s="1">
        <v>6.3122380549999999</v>
      </c>
      <c r="R2072" s="1">
        <v>5.9309793060000002</v>
      </c>
      <c r="S2072" s="1">
        <v>6.0227453090000003</v>
      </c>
      <c r="T2072" s="1">
        <v>4.6825378889999998</v>
      </c>
      <c r="U2072" s="1">
        <v>4.7872698079999996</v>
      </c>
      <c r="V2072" s="1">
        <v>5.5807524949999996</v>
      </c>
      <c r="W2072" s="1">
        <v>5.2236621110000003</v>
      </c>
      <c r="X2072" s="1">
        <v>5.3771830209999996</v>
      </c>
      <c r="Y2072" s="1">
        <v>5.3731782380000004</v>
      </c>
      <c r="Z2072" s="1">
        <v>5.9309793060000002</v>
      </c>
      <c r="AA2072" s="1">
        <v>6.0227453090000003</v>
      </c>
      <c r="AB2072" s="1">
        <v>5.1073354020000004</v>
      </c>
      <c r="AC2072" s="1">
        <v>5.471555994</v>
      </c>
      <c r="AD2072" s="1">
        <v>5.9522696560000004</v>
      </c>
      <c r="AE2072" s="1">
        <v>5.8364806040000001</v>
      </c>
    </row>
    <row r="2073" spans="1:31" x14ac:dyDescent="0.25">
      <c r="A2073" s="1" t="s">
        <v>2150</v>
      </c>
      <c r="B2073" s="1" t="s">
        <v>2525</v>
      </c>
      <c r="C2073" s="1" t="s">
        <v>5411</v>
      </c>
      <c r="D2073" s="1" t="s">
        <v>5412</v>
      </c>
      <c r="E2073" s="1" t="s">
        <v>5689</v>
      </c>
      <c r="G2073" s="1" t="s">
        <v>2150</v>
      </c>
      <c r="H2073" s="1">
        <v>2.640460343</v>
      </c>
      <c r="I2073" s="1">
        <v>3.6484415459999999</v>
      </c>
      <c r="J2073" s="1">
        <v>3.8969924050000002</v>
      </c>
      <c r="K2073" s="1">
        <v>4.1384138449999996</v>
      </c>
      <c r="L2073" s="1">
        <v>5.1055038850000001</v>
      </c>
      <c r="M2073" s="1">
        <v>4.896083601</v>
      </c>
      <c r="N2073" s="1">
        <v>4.4945275240000004</v>
      </c>
      <c r="O2073" s="1">
        <v>3.9591193910000002</v>
      </c>
      <c r="P2073" s="1">
        <v>3.6116823170000001</v>
      </c>
      <c r="Q2073" s="1">
        <v>3.56206471</v>
      </c>
      <c r="R2073" s="1">
        <v>4.3698765340000003</v>
      </c>
      <c r="S2073" s="1">
        <v>4.0285685429999996</v>
      </c>
      <c r="T2073" s="1">
        <v>5.1055038850000001</v>
      </c>
      <c r="U2073" s="1">
        <v>4.896083601</v>
      </c>
      <c r="V2073" s="1">
        <v>4.0758289169999999</v>
      </c>
      <c r="W2073" s="1">
        <v>3.8431653940000001</v>
      </c>
      <c r="X2073" s="1">
        <v>5.0029944190000002</v>
      </c>
      <c r="Y2073" s="1">
        <v>4.1479647589999997</v>
      </c>
      <c r="Z2073" s="1">
        <v>4.3698765340000003</v>
      </c>
      <c r="AA2073" s="1">
        <v>4.0285685429999996</v>
      </c>
      <c r="AB2073" s="1">
        <v>4.139369361</v>
      </c>
      <c r="AC2073" s="1">
        <v>4.6870272159999997</v>
      </c>
      <c r="AD2073" s="1">
        <v>3.984188064</v>
      </c>
      <c r="AE2073" s="1">
        <v>3.9499994520000001</v>
      </c>
    </row>
    <row r="2074" spans="1:31" x14ac:dyDescent="0.25">
      <c r="A2074" s="1" t="s">
        <v>2155</v>
      </c>
      <c r="B2074" s="1" t="s">
        <v>2579</v>
      </c>
      <c r="C2074" s="1" t="s">
        <v>2585</v>
      </c>
      <c r="D2074" s="1" t="s">
        <v>2586</v>
      </c>
      <c r="E2074" s="1" t="s">
        <v>5690</v>
      </c>
      <c r="F2074" s="1" t="s">
        <v>5691</v>
      </c>
      <c r="G2074" s="1" t="s">
        <v>2155</v>
      </c>
      <c r="H2074" s="1">
        <v>8.7179165629999993</v>
      </c>
      <c r="I2074" s="1">
        <v>8.6168812460000002</v>
      </c>
      <c r="J2074" s="1">
        <v>8.2412138440000007</v>
      </c>
      <c r="K2074" s="1">
        <v>8.5023843840000008</v>
      </c>
      <c r="L2074" s="1">
        <v>7.7410717949999999</v>
      </c>
      <c r="M2074" s="1">
        <v>7.8586742599999999</v>
      </c>
      <c r="N2074" s="1">
        <v>7.943236862</v>
      </c>
      <c r="O2074" s="1">
        <v>8.0411607119999999</v>
      </c>
      <c r="P2074" s="1">
        <v>8.1570235199999992</v>
      </c>
      <c r="Q2074" s="1">
        <v>8.0982239919999994</v>
      </c>
      <c r="R2074" s="1">
        <v>8.473885932</v>
      </c>
      <c r="S2074" s="1">
        <v>8.2304625859999998</v>
      </c>
      <c r="T2074" s="1">
        <v>7.7410717949999999</v>
      </c>
      <c r="U2074" s="1">
        <v>7.8586742599999999</v>
      </c>
      <c r="V2074" s="1">
        <v>7.9554916369999997</v>
      </c>
      <c r="W2074" s="1">
        <v>8.0844570919999992</v>
      </c>
      <c r="X2074" s="1">
        <v>8.0749489949999997</v>
      </c>
      <c r="Y2074" s="1">
        <v>8.2032439739999994</v>
      </c>
      <c r="Z2074" s="1">
        <v>8.473885932</v>
      </c>
      <c r="AA2074" s="1">
        <v>8.2304625859999998</v>
      </c>
      <c r="AB2074" s="1">
        <v>8.3480996540000003</v>
      </c>
      <c r="AC2074" s="1">
        <v>8.1725063900000006</v>
      </c>
      <c r="AD2074" s="1">
        <v>8.064604074</v>
      </c>
      <c r="AE2074" s="1">
        <v>8.2670933899999994</v>
      </c>
    </row>
    <row r="2075" spans="1:31" x14ac:dyDescent="0.25">
      <c r="A2075" s="1" t="s">
        <v>2156</v>
      </c>
      <c r="B2075" s="1" t="s">
        <v>2579</v>
      </c>
      <c r="C2075" s="1" t="s">
        <v>2585</v>
      </c>
      <c r="D2075" s="1" t="s">
        <v>2586</v>
      </c>
      <c r="E2075" s="1" t="s">
        <v>5692</v>
      </c>
      <c r="F2075" s="1" t="s">
        <v>5693</v>
      </c>
      <c r="G2075" s="1" t="s">
        <v>2156</v>
      </c>
      <c r="H2075" s="1">
        <v>7.7494055179999997</v>
      </c>
      <c r="I2075" s="1">
        <v>7.4544475050000001</v>
      </c>
      <c r="J2075" s="1">
        <v>6.9045687960000004</v>
      </c>
      <c r="K2075" s="1">
        <v>7.2340224260000001</v>
      </c>
      <c r="L2075" s="1">
        <v>7.0544889050000004</v>
      </c>
      <c r="M2075" s="1">
        <v>6.8770753869999997</v>
      </c>
      <c r="N2075" s="1">
        <v>7.2088795220000002</v>
      </c>
      <c r="O2075" s="1">
        <v>7.1078454000000004</v>
      </c>
      <c r="P2075" s="1">
        <v>6.8626807989999996</v>
      </c>
      <c r="Q2075" s="1">
        <v>7.0814381859999997</v>
      </c>
      <c r="R2075" s="1">
        <v>6.8830922379999997</v>
      </c>
      <c r="S2075" s="1">
        <v>7.0278786420000001</v>
      </c>
      <c r="T2075" s="1">
        <v>7.0544889050000004</v>
      </c>
      <c r="U2075" s="1">
        <v>6.8770753869999997</v>
      </c>
      <c r="V2075" s="1">
        <v>6.8947846659999996</v>
      </c>
      <c r="W2075" s="1">
        <v>6.7357424699999999</v>
      </c>
      <c r="X2075" s="1">
        <v>6.9684093059999999</v>
      </c>
      <c r="Y2075" s="1">
        <v>6.8849070279999998</v>
      </c>
      <c r="Z2075" s="1">
        <v>6.8830922379999997</v>
      </c>
      <c r="AA2075" s="1">
        <v>7.0278786420000001</v>
      </c>
      <c r="AB2075" s="1">
        <v>6.9924202729999996</v>
      </c>
      <c r="AC2075" s="1">
        <v>6.5436419069999996</v>
      </c>
      <c r="AD2075" s="1">
        <v>6.9918821849999997</v>
      </c>
      <c r="AE2075" s="1">
        <v>7.1314718639999999</v>
      </c>
    </row>
    <row r="2076" spans="1:31" x14ac:dyDescent="0.25">
      <c r="A2076" s="1" t="s">
        <v>2157</v>
      </c>
      <c r="B2076" s="1" t="s">
        <v>2579</v>
      </c>
      <c r="C2076" s="1" t="s">
        <v>2580</v>
      </c>
      <c r="D2076" s="1" t="s">
        <v>5694</v>
      </c>
      <c r="E2076" s="1" t="s">
        <v>5695</v>
      </c>
      <c r="F2076" s="1" t="s">
        <v>5696</v>
      </c>
      <c r="G2076" s="1" t="s">
        <v>2157</v>
      </c>
      <c r="H2076" s="1">
        <v>7.2850176099999997</v>
      </c>
      <c r="I2076" s="1">
        <v>6.7677591609999999</v>
      </c>
      <c r="J2076" s="1">
        <v>6.5196869069999996</v>
      </c>
      <c r="K2076" s="1">
        <v>6.8233399239999999</v>
      </c>
      <c r="L2076" s="1">
        <v>6.1991155779999998</v>
      </c>
      <c r="M2076" s="1">
        <v>6.4534937259999996</v>
      </c>
      <c r="N2076" s="1">
        <v>7.1700553200000003</v>
      </c>
      <c r="O2076" s="1">
        <v>7.1903774570000003</v>
      </c>
      <c r="P2076" s="1">
        <v>6.7802345329999998</v>
      </c>
      <c r="Q2076" s="1">
        <v>6.3770715449999997</v>
      </c>
      <c r="R2076" s="1">
        <v>6.1928862330000003</v>
      </c>
      <c r="S2076" s="1">
        <v>6.3621547329999997</v>
      </c>
      <c r="T2076" s="1">
        <v>6.1991155779999998</v>
      </c>
      <c r="U2076" s="1">
        <v>6.4534937259999996</v>
      </c>
      <c r="V2076" s="1">
        <v>6.2394706979999999</v>
      </c>
      <c r="W2076" s="1">
        <v>6.3925275360000002</v>
      </c>
      <c r="X2076" s="1">
        <v>6.5516981799999998</v>
      </c>
      <c r="Y2076" s="1">
        <v>6.6438618839999997</v>
      </c>
      <c r="Z2076" s="1">
        <v>6.1928862330000003</v>
      </c>
      <c r="AA2076" s="1">
        <v>6.3621547329999997</v>
      </c>
      <c r="AB2076" s="1">
        <v>6.557950226</v>
      </c>
      <c r="AC2076" s="1">
        <v>6.2044385320000002</v>
      </c>
      <c r="AD2076" s="1">
        <v>6.6283518130000001</v>
      </c>
      <c r="AE2076" s="1">
        <v>6.7278078839999997</v>
      </c>
    </row>
    <row r="2077" spans="1:31" x14ac:dyDescent="0.25">
      <c r="A2077" s="1" t="s">
        <v>2158</v>
      </c>
      <c r="B2077" s="1" t="s">
        <v>2667</v>
      </c>
      <c r="C2077" s="1" t="s">
        <v>2802</v>
      </c>
      <c r="D2077" s="1" t="s">
        <v>5697</v>
      </c>
      <c r="E2077" s="1" t="s">
        <v>5698</v>
      </c>
      <c r="F2077" s="1" t="s">
        <v>5699</v>
      </c>
      <c r="G2077" s="1" t="s">
        <v>2158</v>
      </c>
      <c r="H2077" s="1">
        <v>6.9811711809999997</v>
      </c>
      <c r="I2077" s="1">
        <v>7.0511021019999998</v>
      </c>
      <c r="J2077" s="1">
        <v>8.652371875</v>
      </c>
      <c r="K2077" s="1">
        <v>8.652775686</v>
      </c>
      <c r="L2077" s="1">
        <v>8.5625823749999999</v>
      </c>
      <c r="M2077" s="1">
        <v>8.6048425979999994</v>
      </c>
      <c r="N2077" s="1">
        <v>7.9922655230000004</v>
      </c>
      <c r="O2077" s="1">
        <v>7.7949434569999996</v>
      </c>
      <c r="P2077" s="1">
        <v>8.3738582410000006</v>
      </c>
      <c r="Q2077" s="1">
        <v>8.3500879720000007</v>
      </c>
      <c r="R2077" s="1">
        <v>8.6582337599999999</v>
      </c>
      <c r="S2077" s="1">
        <v>8.8158539610000002</v>
      </c>
      <c r="T2077" s="1">
        <v>8.5625823749999999</v>
      </c>
      <c r="U2077" s="1">
        <v>8.6048425979999994</v>
      </c>
      <c r="V2077" s="1">
        <v>8.8276102739999995</v>
      </c>
      <c r="W2077" s="1">
        <v>8.5907153100000002</v>
      </c>
      <c r="X2077" s="1">
        <v>8.8762441689999996</v>
      </c>
      <c r="Y2077" s="1">
        <v>8.4746268279999999</v>
      </c>
      <c r="Z2077" s="1">
        <v>8.6582337599999999</v>
      </c>
      <c r="AA2077" s="1">
        <v>8.8158539610000002</v>
      </c>
      <c r="AB2077" s="1">
        <v>8.7758939690000002</v>
      </c>
      <c r="AC2077" s="1">
        <v>8.4658576710000002</v>
      </c>
      <c r="AD2077" s="1">
        <v>8.5455407700000006</v>
      </c>
      <c r="AE2077" s="1">
        <v>8.5294156720000007</v>
      </c>
    </row>
    <row r="2078" spans="1:31" x14ac:dyDescent="0.25">
      <c r="A2078" s="1" t="s">
        <v>2159</v>
      </c>
      <c r="B2078" s="1" t="s">
        <v>2843</v>
      </c>
      <c r="C2078" s="1" t="s">
        <v>2844</v>
      </c>
      <c r="D2078" s="1" t="s">
        <v>5700</v>
      </c>
      <c r="E2078" s="1" t="s">
        <v>5701</v>
      </c>
      <c r="F2078" s="1" t="s">
        <v>5702</v>
      </c>
      <c r="G2078" s="1" t="s">
        <v>2159</v>
      </c>
      <c r="H2078" s="1">
        <v>6.5340358859999998</v>
      </c>
      <c r="I2078" s="1">
        <v>6.5936172129999999</v>
      </c>
      <c r="J2078" s="1">
        <v>7.0459985720000002</v>
      </c>
      <c r="K2078" s="1">
        <v>7.2216472190000003</v>
      </c>
      <c r="L2078" s="1">
        <v>6.9321762820000004</v>
      </c>
      <c r="M2078" s="1">
        <v>6.8327132380000002</v>
      </c>
      <c r="N2078" s="1">
        <v>7.082166494</v>
      </c>
      <c r="O2078" s="1">
        <v>7.3813299060000004</v>
      </c>
      <c r="P2078" s="1">
        <v>6.75166909</v>
      </c>
      <c r="Q2078" s="1">
        <v>6.8115059909999998</v>
      </c>
      <c r="R2078" s="1">
        <v>6.868196749</v>
      </c>
      <c r="S2078" s="1">
        <v>7.015130621</v>
      </c>
      <c r="T2078" s="1">
        <v>6.9321762820000004</v>
      </c>
      <c r="U2078" s="1">
        <v>6.8327132380000002</v>
      </c>
      <c r="V2078" s="1">
        <v>6.7828668890000001</v>
      </c>
      <c r="W2078" s="1">
        <v>7.0743350659999997</v>
      </c>
      <c r="X2078" s="1">
        <v>7.3917611580000004</v>
      </c>
      <c r="Y2078" s="1">
        <v>7.0064610119999999</v>
      </c>
      <c r="Z2078" s="1">
        <v>6.868196749</v>
      </c>
      <c r="AA2078" s="1">
        <v>7.015130621</v>
      </c>
      <c r="AB2078" s="1">
        <v>6.935033368</v>
      </c>
      <c r="AC2078" s="1">
        <v>6.7899177740000001</v>
      </c>
      <c r="AD2078" s="1">
        <v>7.0057836900000003</v>
      </c>
      <c r="AE2078" s="1">
        <v>7.1763997049999997</v>
      </c>
    </row>
    <row r="2079" spans="1:31" x14ac:dyDescent="0.25">
      <c r="A2079" s="1" t="s">
        <v>2160</v>
      </c>
      <c r="B2079" s="1" t="s">
        <v>2557</v>
      </c>
      <c r="C2079" s="1" t="s">
        <v>2772</v>
      </c>
      <c r="D2079" s="1" t="s">
        <v>5703</v>
      </c>
      <c r="E2079" s="1" t="s">
        <v>5704</v>
      </c>
      <c r="F2079" s="1" t="s">
        <v>5705</v>
      </c>
      <c r="G2079" s="1" t="s">
        <v>2160</v>
      </c>
      <c r="H2079" s="1">
        <v>6.1518914650000003</v>
      </c>
      <c r="I2079" s="1">
        <v>6.1195241339999997</v>
      </c>
      <c r="J2079" s="1">
        <v>5.8592801899999998</v>
      </c>
      <c r="K2079" s="1">
        <v>5.8870623049999997</v>
      </c>
      <c r="L2079" s="1">
        <v>6.579573914</v>
      </c>
      <c r="M2079" s="1">
        <v>6.4534937259999996</v>
      </c>
      <c r="N2079" s="1">
        <v>6.9121873169999999</v>
      </c>
      <c r="O2079" s="1">
        <v>7.0607526280000004</v>
      </c>
      <c r="P2079" s="1">
        <v>6.1298655379999998</v>
      </c>
      <c r="Q2079" s="1">
        <v>5.8463140779999998</v>
      </c>
      <c r="R2079" s="1">
        <v>5.9019545559999997</v>
      </c>
      <c r="S2079" s="1">
        <v>6.4967339439999998</v>
      </c>
      <c r="T2079" s="1">
        <v>6.579573914</v>
      </c>
      <c r="U2079" s="1">
        <v>6.4534937259999996</v>
      </c>
      <c r="V2079" s="1">
        <v>6.71671408</v>
      </c>
      <c r="W2079" s="1">
        <v>6.2120844699999997</v>
      </c>
      <c r="X2079" s="1">
        <v>6.4095855210000003</v>
      </c>
      <c r="Y2079" s="1">
        <v>6.399298012</v>
      </c>
      <c r="Z2079" s="1">
        <v>5.9019545559999997</v>
      </c>
      <c r="AA2079" s="1">
        <v>6.4967339439999998</v>
      </c>
      <c r="AB2079" s="1">
        <v>6.8339958249999997</v>
      </c>
      <c r="AC2079" s="1">
        <v>6.2044385320000002</v>
      </c>
      <c r="AD2079" s="1">
        <v>6.6283518130000001</v>
      </c>
      <c r="AE2079" s="1">
        <v>6.2987649059999997</v>
      </c>
    </row>
    <row r="2080" spans="1:31" x14ac:dyDescent="0.25">
      <c r="A2080" s="1" t="s">
        <v>2161</v>
      </c>
      <c r="B2080" s="1" t="s">
        <v>2530</v>
      </c>
      <c r="C2080" s="1" t="s">
        <v>2531</v>
      </c>
      <c r="D2080" s="1" t="s">
        <v>2535</v>
      </c>
      <c r="E2080" s="1" t="s">
        <v>2536</v>
      </c>
      <c r="G2080" s="1" t="s">
        <v>2161</v>
      </c>
      <c r="H2080" s="1">
        <v>3.2549621289999999</v>
      </c>
      <c r="I2080" s="1">
        <v>4.2055918060000002</v>
      </c>
      <c r="J2080" s="1">
        <v>4.0065844400000001</v>
      </c>
      <c r="K2080" s="1">
        <v>3.8998480660000001</v>
      </c>
      <c r="L2080" s="1">
        <v>4.2932354009999996</v>
      </c>
      <c r="M2080" s="1">
        <v>4.239619416</v>
      </c>
      <c r="N2080" s="1">
        <v>4.6560102480000003</v>
      </c>
      <c r="O2080" s="1">
        <v>4.5340058970000001</v>
      </c>
      <c r="P2080" s="1">
        <v>4.5499605860000001</v>
      </c>
      <c r="Q2080" s="1">
        <v>3.8492287269999999</v>
      </c>
      <c r="R2080" s="1">
        <v>3.7109484589999999</v>
      </c>
      <c r="S2080" s="1">
        <v>3.5159502420000002</v>
      </c>
      <c r="T2080" s="1">
        <v>4.2932354009999996</v>
      </c>
      <c r="U2080" s="1">
        <v>4.239619416</v>
      </c>
      <c r="V2080" s="1">
        <v>3.3993802240000002</v>
      </c>
      <c r="W2080" s="1">
        <v>3.50175473</v>
      </c>
      <c r="X2080" s="1">
        <v>3.8119046220000001</v>
      </c>
      <c r="Y2080" s="1">
        <v>3.4382968329999999</v>
      </c>
      <c r="Z2080" s="1">
        <v>3.7109484589999999</v>
      </c>
      <c r="AA2080" s="1">
        <v>3.5159502420000002</v>
      </c>
      <c r="AB2080" s="1">
        <v>4.139369361</v>
      </c>
      <c r="AC2080" s="1">
        <v>3.6175630609999998</v>
      </c>
      <c r="AD2080" s="1">
        <v>4.3870463700000002</v>
      </c>
      <c r="AE2080" s="1">
        <v>4.0105905760000002</v>
      </c>
    </row>
    <row r="2081" spans="1:31" x14ac:dyDescent="0.25">
      <c r="A2081" s="1" t="s">
        <v>2163</v>
      </c>
      <c r="B2081" s="1" t="s">
        <v>2648</v>
      </c>
      <c r="C2081" s="1" t="s">
        <v>5706</v>
      </c>
      <c r="D2081" s="1" t="s">
        <v>2535</v>
      </c>
      <c r="E2081" s="1" t="s">
        <v>5707</v>
      </c>
      <c r="G2081" s="1" t="s">
        <v>2163</v>
      </c>
      <c r="H2081" s="1">
        <v>4.3886087140000001</v>
      </c>
      <c r="I2081" s="1">
        <v>4.7893724280000001</v>
      </c>
      <c r="J2081" s="1">
        <v>3.6453331530000002</v>
      </c>
      <c r="K2081" s="1">
        <v>4.0244910950000001</v>
      </c>
      <c r="L2081" s="1">
        <v>3.971296959</v>
      </c>
      <c r="M2081" s="1">
        <v>3.6044002019999999</v>
      </c>
      <c r="N2081" s="1">
        <v>4.8346471299999996</v>
      </c>
      <c r="O2081" s="1">
        <v>4.8288877169999997</v>
      </c>
      <c r="P2081" s="1">
        <v>3.7419514989999998</v>
      </c>
      <c r="Q2081" s="1">
        <v>4.3733115800000002</v>
      </c>
      <c r="R2081" s="1">
        <v>4.2802026870000001</v>
      </c>
      <c r="S2081" s="1">
        <v>4.2250836859999996</v>
      </c>
      <c r="T2081" s="1">
        <v>3.971296959</v>
      </c>
      <c r="U2081" s="1">
        <v>3.6044002019999999</v>
      </c>
      <c r="V2081" s="1">
        <v>4.1608706030000002</v>
      </c>
      <c r="W2081" s="1">
        <v>3.2870366010000001</v>
      </c>
      <c r="X2081" s="1">
        <v>3.8785046219999999</v>
      </c>
      <c r="Y2081" s="1">
        <v>3.6154848500000001</v>
      </c>
      <c r="Z2081" s="1">
        <v>4.2802026870000001</v>
      </c>
      <c r="AA2081" s="1">
        <v>4.2250836859999996</v>
      </c>
      <c r="AB2081" s="1">
        <v>3.990981031</v>
      </c>
      <c r="AC2081" s="1">
        <v>3.8665622239999999</v>
      </c>
      <c r="AD2081" s="1">
        <v>3.984188064</v>
      </c>
      <c r="AE2081" s="1">
        <v>3.8864783150000002</v>
      </c>
    </row>
    <row r="2082" spans="1:31" x14ac:dyDescent="0.25">
      <c r="A2082" s="1" t="s">
        <v>2164</v>
      </c>
      <c r="B2082" s="1" t="s">
        <v>2568</v>
      </c>
      <c r="C2082" s="1" t="s">
        <v>2569</v>
      </c>
      <c r="D2082" s="1" t="s">
        <v>5708</v>
      </c>
      <c r="E2082" s="1" t="s">
        <v>5709</v>
      </c>
      <c r="G2082" s="1" t="s">
        <v>2164</v>
      </c>
      <c r="H2082" s="1">
        <v>5.6296178589999997</v>
      </c>
      <c r="I2082" s="1">
        <v>5.3275363779999996</v>
      </c>
      <c r="J2082" s="1">
        <v>5.8310524639999999</v>
      </c>
      <c r="K2082" s="1">
        <v>6.2947097530000002</v>
      </c>
      <c r="L2082" s="1">
        <v>5.3560765139999997</v>
      </c>
      <c r="M2082" s="1">
        <v>5.4866876930000004</v>
      </c>
      <c r="N2082" s="1">
        <v>5.2145790439999997</v>
      </c>
      <c r="O2082" s="1">
        <v>5.6435121610000003</v>
      </c>
      <c r="P2082" s="1">
        <v>6.0141943849999997</v>
      </c>
      <c r="Q2082" s="1">
        <v>5.7838067430000004</v>
      </c>
      <c r="R2082" s="1">
        <v>5.3334881589999998</v>
      </c>
      <c r="S2082" s="1">
        <v>5.9168316079999999</v>
      </c>
      <c r="T2082" s="1">
        <v>5.3560765139999997</v>
      </c>
      <c r="U2082" s="1">
        <v>5.4866876930000004</v>
      </c>
      <c r="V2082" s="1">
        <v>5.9243031000000004</v>
      </c>
      <c r="W2082" s="1">
        <v>5.9072448660000001</v>
      </c>
      <c r="X2082" s="1">
        <v>5.9915198639999998</v>
      </c>
      <c r="Y2082" s="1">
        <v>5.9611531490000003</v>
      </c>
      <c r="Z2082" s="1">
        <v>5.3334881589999998</v>
      </c>
      <c r="AA2082" s="1">
        <v>5.9168316079999999</v>
      </c>
      <c r="AB2082" s="1">
        <v>6.0812876019999997</v>
      </c>
      <c r="AC2082" s="1">
        <v>6.1830263060000004</v>
      </c>
      <c r="AD2082" s="1">
        <v>5.8006297160000004</v>
      </c>
      <c r="AE2082" s="1">
        <v>5.6297370090000003</v>
      </c>
    </row>
    <row r="2083" spans="1:31" x14ac:dyDescent="0.25">
      <c r="A2083" s="1" t="s">
        <v>2165</v>
      </c>
      <c r="B2083" s="1" t="s">
        <v>2568</v>
      </c>
      <c r="C2083" s="1" t="s">
        <v>2569</v>
      </c>
      <c r="D2083" s="1" t="s">
        <v>5708</v>
      </c>
      <c r="E2083" s="1" t="s">
        <v>5710</v>
      </c>
      <c r="F2083" s="1" t="s">
        <v>5711</v>
      </c>
      <c r="G2083" s="1" t="s">
        <v>2165</v>
      </c>
      <c r="H2083" s="1">
        <v>4.8663747150000001</v>
      </c>
      <c r="I2083" s="1">
        <v>4.5280931029999998</v>
      </c>
      <c r="J2083" s="1">
        <v>5.2392025899999997</v>
      </c>
      <c r="K2083" s="1">
        <v>4.6734567340000002</v>
      </c>
      <c r="L2083" s="1">
        <v>4.7721586460000003</v>
      </c>
      <c r="M2083" s="1">
        <v>4.896083601</v>
      </c>
      <c r="N2083" s="1">
        <v>4.5366957899999996</v>
      </c>
      <c r="O2083" s="1">
        <v>5.1040005129999999</v>
      </c>
      <c r="P2083" s="1">
        <v>5.0554269730000003</v>
      </c>
      <c r="Q2083" s="1">
        <v>5.2473923969999996</v>
      </c>
      <c r="R2083" s="1">
        <v>5.0965654090000001</v>
      </c>
      <c r="S2083" s="1">
        <v>5.032286365</v>
      </c>
      <c r="T2083" s="1">
        <v>4.7721586460000003</v>
      </c>
      <c r="U2083" s="1">
        <v>4.896083601</v>
      </c>
      <c r="V2083" s="1">
        <v>4.9055261469999998</v>
      </c>
      <c r="W2083" s="1">
        <v>4.7760085830000003</v>
      </c>
      <c r="X2083" s="1">
        <v>4.97415056</v>
      </c>
      <c r="Y2083" s="1">
        <v>4.7564010139999997</v>
      </c>
      <c r="Z2083" s="1">
        <v>5.0965654090000001</v>
      </c>
      <c r="AA2083" s="1">
        <v>5.032286365</v>
      </c>
      <c r="AB2083" s="1">
        <v>5.3624643089999999</v>
      </c>
      <c r="AC2083" s="1">
        <v>5.0638423939999999</v>
      </c>
      <c r="AD2083" s="1">
        <v>5.3091856960000001</v>
      </c>
      <c r="AE2083" s="1">
        <v>4.9548800440000003</v>
      </c>
    </row>
    <row r="2084" spans="1:31" x14ac:dyDescent="0.25">
      <c r="A2084" s="1" t="s">
        <v>2166</v>
      </c>
      <c r="B2084" s="1" t="s">
        <v>2530</v>
      </c>
      <c r="C2084" s="1" t="s">
        <v>2531</v>
      </c>
      <c r="D2084" s="1" t="s">
        <v>2535</v>
      </c>
      <c r="E2084" s="1" t="s">
        <v>2536</v>
      </c>
      <c r="G2084" s="1" t="s">
        <v>2166</v>
      </c>
      <c r="H2084" s="1">
        <v>5.5062820300000004</v>
      </c>
      <c r="I2084" s="1">
        <v>4.7893724280000001</v>
      </c>
      <c r="J2084" s="1">
        <v>5.9407738800000001</v>
      </c>
      <c r="K2084" s="1">
        <v>5.7895293819999996</v>
      </c>
      <c r="L2084" s="1">
        <v>5.6335437009999998</v>
      </c>
      <c r="M2084" s="1">
        <v>5.9537101330000004</v>
      </c>
      <c r="N2084" s="1">
        <v>5.428348615</v>
      </c>
      <c r="O2084" s="1">
        <v>5.3864027800000001</v>
      </c>
      <c r="P2084" s="1">
        <v>5.1018341500000002</v>
      </c>
      <c r="Q2084" s="1">
        <v>5.3375178869999997</v>
      </c>
      <c r="R2084" s="1">
        <v>5.4981688889999996</v>
      </c>
      <c r="S2084" s="1">
        <v>5.3915434019999999</v>
      </c>
      <c r="T2084" s="1">
        <v>5.6335437009999998</v>
      </c>
      <c r="U2084" s="1">
        <v>5.9537101330000004</v>
      </c>
      <c r="V2084" s="1">
        <v>4.8059579570000004</v>
      </c>
      <c r="W2084" s="1">
        <v>5.6059572260000001</v>
      </c>
      <c r="X2084" s="1">
        <v>5.9032199179999996</v>
      </c>
      <c r="Y2084" s="1">
        <v>5.1785898169999998</v>
      </c>
      <c r="Z2084" s="1">
        <v>5.4981688889999996</v>
      </c>
      <c r="AA2084" s="1">
        <v>5.3915434019999999</v>
      </c>
      <c r="AB2084" s="1">
        <v>5.675717079</v>
      </c>
      <c r="AC2084" s="1">
        <v>5.9236494000000004</v>
      </c>
      <c r="AD2084" s="1">
        <v>5.980763981</v>
      </c>
      <c r="AE2084" s="1">
        <v>5.5536024810000004</v>
      </c>
    </row>
    <row r="2085" spans="1:31" x14ac:dyDescent="0.25">
      <c r="A2085" s="1" t="s">
        <v>2170</v>
      </c>
      <c r="B2085" s="1" t="s">
        <v>2530</v>
      </c>
      <c r="C2085" s="1" t="s">
        <v>2531</v>
      </c>
      <c r="D2085" s="1" t="s">
        <v>2535</v>
      </c>
      <c r="E2085" s="1" t="s">
        <v>5712</v>
      </c>
      <c r="F2085" s="1" t="s">
        <v>5713</v>
      </c>
      <c r="G2085" s="1" t="s">
        <v>2170</v>
      </c>
      <c r="H2085" s="1">
        <v>7.8869997930000002</v>
      </c>
      <c r="I2085" s="1">
        <v>7.6691092149999998</v>
      </c>
      <c r="J2085" s="1">
        <v>7.1292697699999996</v>
      </c>
      <c r="K2085" s="1">
        <v>7.3969663560000001</v>
      </c>
      <c r="L2085" s="1">
        <v>7.5464284519999998</v>
      </c>
      <c r="M2085" s="1">
        <v>7.4875286509999999</v>
      </c>
      <c r="N2085" s="1">
        <v>8.3800849970000009</v>
      </c>
      <c r="O2085" s="1">
        <v>8.3196424049999997</v>
      </c>
      <c r="P2085" s="1">
        <v>7.6620223899999997</v>
      </c>
      <c r="Q2085" s="1">
        <v>7.5802066870000004</v>
      </c>
      <c r="R2085" s="1">
        <v>7.7723522210000002</v>
      </c>
      <c r="S2085" s="1">
        <v>7.1840900559999996</v>
      </c>
      <c r="T2085" s="1">
        <v>7.5464284519999998</v>
      </c>
      <c r="U2085" s="1">
        <v>7.4875286509999999</v>
      </c>
      <c r="V2085" s="1">
        <v>7.8910169809999999</v>
      </c>
      <c r="W2085" s="1">
        <v>7.5677538909999997</v>
      </c>
      <c r="X2085" s="1">
        <v>8.9928231860000007</v>
      </c>
      <c r="Y2085" s="1">
        <v>8.3709856909999996</v>
      </c>
      <c r="Z2085" s="1">
        <v>7.7723522210000002</v>
      </c>
      <c r="AA2085" s="1">
        <v>7.1840900559999996</v>
      </c>
      <c r="AB2085" s="1">
        <v>8.4675162050000008</v>
      </c>
      <c r="AC2085" s="1">
        <v>8.6009042499999993</v>
      </c>
      <c r="AD2085" s="1">
        <v>8.6641694020000006</v>
      </c>
      <c r="AE2085" s="1">
        <v>8.6950882860000007</v>
      </c>
    </row>
    <row r="2086" spans="1:31" x14ac:dyDescent="0.25">
      <c r="A2086" s="1" t="s">
        <v>2171</v>
      </c>
      <c r="B2086" s="1" t="s">
        <v>2530</v>
      </c>
      <c r="C2086" s="1" t="s">
        <v>2573</v>
      </c>
      <c r="D2086" s="1" t="s">
        <v>2535</v>
      </c>
      <c r="E2086" s="1" t="s">
        <v>5714</v>
      </c>
      <c r="G2086" s="1" t="s">
        <v>2171</v>
      </c>
      <c r="H2086" s="1">
        <v>7.3097097360000003</v>
      </c>
      <c r="I2086" s="1">
        <v>7.8629071890000004</v>
      </c>
      <c r="J2086" s="1">
        <v>6.9834276859999997</v>
      </c>
      <c r="K2086" s="1">
        <v>6.8396337100000002</v>
      </c>
      <c r="L2086" s="1">
        <v>7.4605644079999998</v>
      </c>
      <c r="M2086" s="1">
        <v>7.1615777950000004</v>
      </c>
      <c r="N2086" s="1">
        <v>8.371558447</v>
      </c>
      <c r="O2086" s="1">
        <v>8.2088647679999998</v>
      </c>
      <c r="P2086" s="1">
        <v>7.1629698429999999</v>
      </c>
      <c r="Q2086" s="1">
        <v>7.0814381859999997</v>
      </c>
      <c r="R2086" s="1">
        <v>6.8379355119999996</v>
      </c>
      <c r="S2086" s="1">
        <v>6.717498838</v>
      </c>
      <c r="T2086" s="1">
        <v>7.4605644079999998</v>
      </c>
      <c r="U2086" s="1">
        <v>7.1615777950000004</v>
      </c>
      <c r="V2086" s="1">
        <v>8.1332381760000008</v>
      </c>
      <c r="W2086" s="1">
        <v>7.9095431940000003</v>
      </c>
      <c r="X2086" s="1">
        <v>8.0096735720000005</v>
      </c>
      <c r="Y2086" s="1">
        <v>8.2032439739999994</v>
      </c>
      <c r="Z2086" s="1">
        <v>6.8379355119999996</v>
      </c>
      <c r="AA2086" s="1">
        <v>6.717498838</v>
      </c>
      <c r="AB2086" s="1">
        <v>7.6801742930000003</v>
      </c>
      <c r="AC2086" s="1">
        <v>7.7098339850000004</v>
      </c>
      <c r="AD2086" s="1">
        <v>7.9180122109999997</v>
      </c>
      <c r="AE2086" s="1">
        <v>8.0532872930000003</v>
      </c>
    </row>
    <row r="2087" spans="1:31" x14ac:dyDescent="0.25">
      <c r="A2087" s="1" t="s">
        <v>2174</v>
      </c>
      <c r="B2087" s="1" t="s">
        <v>2530</v>
      </c>
      <c r="C2087" s="1" t="s">
        <v>2531</v>
      </c>
      <c r="D2087" s="1" t="s">
        <v>2535</v>
      </c>
      <c r="E2087" s="1" t="s">
        <v>2536</v>
      </c>
      <c r="G2087" s="1" t="s">
        <v>2174</v>
      </c>
      <c r="H2087" s="1">
        <v>5.5485883999999999</v>
      </c>
      <c r="I2087" s="1">
        <v>5.6535958219999998</v>
      </c>
      <c r="J2087" s="1">
        <v>4.3724365990000003</v>
      </c>
      <c r="K2087" s="1">
        <v>4.8139921829999999</v>
      </c>
      <c r="L2087" s="1">
        <v>4.2088403679999997</v>
      </c>
      <c r="M2087" s="1">
        <v>4.3982295550000003</v>
      </c>
      <c r="N2087" s="1">
        <v>6.2582753870000003</v>
      </c>
      <c r="O2087" s="1">
        <v>6.4425402370000002</v>
      </c>
      <c r="P2087" s="1">
        <v>6.4653336469999996</v>
      </c>
      <c r="Q2087" s="1">
        <v>6.123526483</v>
      </c>
      <c r="R2087" s="1">
        <v>5.7472990829999997</v>
      </c>
      <c r="S2087" s="1">
        <v>5.7416668729999998</v>
      </c>
      <c r="T2087" s="1">
        <v>4.2088403679999997</v>
      </c>
      <c r="U2087" s="1">
        <v>4.3982295550000003</v>
      </c>
      <c r="V2087" s="1">
        <v>4.8566239800000002</v>
      </c>
      <c r="W2087" s="1">
        <v>4.9854391920000003</v>
      </c>
      <c r="X2087" s="1">
        <v>5.3326311679999998</v>
      </c>
      <c r="Y2087" s="1">
        <v>4.6842287809999998</v>
      </c>
      <c r="Z2087" s="1">
        <v>5.7472990829999997</v>
      </c>
      <c r="AA2087" s="1">
        <v>5.7416668729999998</v>
      </c>
      <c r="AB2087" s="1">
        <v>5.6280506069999996</v>
      </c>
      <c r="AC2087" s="1">
        <v>5.471555994</v>
      </c>
      <c r="AD2087" s="1">
        <v>6.1657997020000002</v>
      </c>
      <c r="AE2087" s="1">
        <v>5.7539342490000003</v>
      </c>
    </row>
    <row r="2088" spans="1:31" x14ac:dyDescent="0.25">
      <c r="A2088" s="1" t="s">
        <v>2175</v>
      </c>
      <c r="B2088" s="1" t="s">
        <v>2530</v>
      </c>
      <c r="C2088" s="1" t="s">
        <v>2531</v>
      </c>
      <c r="D2088" s="1" t="s">
        <v>2535</v>
      </c>
      <c r="E2088" s="1" t="s">
        <v>2536</v>
      </c>
      <c r="G2088" s="1" t="s">
        <v>2175</v>
      </c>
      <c r="H2088" s="1">
        <v>4.0684382540000001</v>
      </c>
      <c r="I2088" s="1">
        <v>5.009480355</v>
      </c>
      <c r="J2088" s="1">
        <v>4.2898244959999996</v>
      </c>
      <c r="K2088" s="1">
        <v>4.1384138449999996</v>
      </c>
      <c r="L2088" s="1">
        <v>3.4685048369999998</v>
      </c>
      <c r="M2088" s="1">
        <v>3.6924658159999999</v>
      </c>
      <c r="N2088" s="1">
        <v>6.0879362979999998</v>
      </c>
      <c r="O2088" s="1">
        <v>5.6856657850000003</v>
      </c>
      <c r="P2088" s="1">
        <v>4.4805784009999998</v>
      </c>
      <c r="Q2088" s="1">
        <v>4.611970812</v>
      </c>
      <c r="R2088" s="1">
        <v>4.5333476509999997</v>
      </c>
      <c r="S2088" s="1">
        <v>4.3135540739999998</v>
      </c>
      <c r="T2088" s="1">
        <v>3.4685048369999998</v>
      </c>
      <c r="U2088" s="1">
        <v>3.6924658159999999</v>
      </c>
      <c r="V2088" s="1">
        <v>4.3163797720000003</v>
      </c>
      <c r="W2088" s="1">
        <v>3.9848641250000001</v>
      </c>
      <c r="X2088" s="1">
        <v>3.6673381269999998</v>
      </c>
      <c r="Y2088" s="1">
        <v>4.0337379980000003</v>
      </c>
      <c r="Z2088" s="1">
        <v>4.5333476509999997</v>
      </c>
      <c r="AA2088" s="1">
        <v>4.3135540739999998</v>
      </c>
      <c r="AB2088" s="1">
        <v>3.990981031</v>
      </c>
      <c r="AC2088" s="1">
        <v>3.4716344729999999</v>
      </c>
      <c r="AD2088" s="1">
        <v>4.0967699450000001</v>
      </c>
      <c r="AE2088" s="1">
        <v>4.2780702540000002</v>
      </c>
    </row>
    <row r="2089" spans="1:31" x14ac:dyDescent="0.25">
      <c r="A2089" s="1" t="s">
        <v>2177</v>
      </c>
      <c r="B2089" s="1" t="s">
        <v>2547</v>
      </c>
      <c r="C2089" s="1" t="s">
        <v>2675</v>
      </c>
      <c r="D2089" s="1" t="s">
        <v>3800</v>
      </c>
      <c r="E2089" s="1" t="s">
        <v>5715</v>
      </c>
      <c r="F2089" s="1" t="s">
        <v>5716</v>
      </c>
      <c r="G2089" s="1" t="s">
        <v>2177</v>
      </c>
      <c r="H2089" s="1">
        <v>6.5548587630000004</v>
      </c>
      <c r="I2089" s="1">
        <v>6.0475452040000004</v>
      </c>
      <c r="J2089" s="1">
        <v>6.1378545859999996</v>
      </c>
      <c r="K2089" s="1">
        <v>5.6848657879999998</v>
      </c>
      <c r="L2089" s="1">
        <v>5.1724144110000001</v>
      </c>
      <c r="M2089" s="1">
        <v>5.7197461279999997</v>
      </c>
      <c r="N2089" s="1">
        <v>5.3605984370000002</v>
      </c>
      <c r="O2089" s="1">
        <v>6.0822573350000004</v>
      </c>
      <c r="P2089" s="1">
        <v>5.565195407</v>
      </c>
      <c r="Q2089" s="1">
        <v>5.2473923969999996</v>
      </c>
      <c r="R2089" s="1">
        <v>5.9594282490000001</v>
      </c>
      <c r="S2089" s="1">
        <v>5.6117239269999999</v>
      </c>
      <c r="T2089" s="1">
        <v>5.1724144110000001</v>
      </c>
      <c r="U2089" s="1">
        <v>5.7197461279999997</v>
      </c>
      <c r="V2089" s="1">
        <v>7.5244383319999999</v>
      </c>
      <c r="W2089" s="1">
        <v>7.5019939039999999</v>
      </c>
      <c r="X2089" s="1">
        <v>8.2869804229999993</v>
      </c>
      <c r="Y2089" s="1">
        <v>7.9237003100000001</v>
      </c>
      <c r="Z2089" s="1">
        <v>5.9594282490000001</v>
      </c>
      <c r="AA2089" s="1">
        <v>5.6117239269999999</v>
      </c>
      <c r="AB2089" s="1">
        <v>7.9644295420000004</v>
      </c>
      <c r="AC2089" s="1">
        <v>7.7968290509999996</v>
      </c>
      <c r="AD2089" s="1">
        <v>8.2216705860000001</v>
      </c>
      <c r="AE2089" s="1">
        <v>8.3450281840000002</v>
      </c>
    </row>
    <row r="2090" spans="1:31" x14ac:dyDescent="0.25">
      <c r="A2090" s="1" t="s">
        <v>2182</v>
      </c>
      <c r="B2090" s="1" t="s">
        <v>2530</v>
      </c>
      <c r="C2090" s="1" t="s">
        <v>2531</v>
      </c>
      <c r="D2090" s="1" t="s">
        <v>2535</v>
      </c>
      <c r="E2090" s="1" t="s">
        <v>2536</v>
      </c>
      <c r="G2090" s="1" t="s">
        <v>2182</v>
      </c>
      <c r="H2090" s="1">
        <v>7.6848174159999996</v>
      </c>
      <c r="I2090" s="1">
        <v>7.3587542900000003</v>
      </c>
      <c r="J2090" s="1">
        <v>7.1970048560000004</v>
      </c>
      <c r="K2090" s="1">
        <v>7.6018026189999999</v>
      </c>
      <c r="L2090" s="1">
        <v>6.6665813350000001</v>
      </c>
      <c r="M2090" s="1">
        <v>6.3564838049999999</v>
      </c>
      <c r="N2090" s="1">
        <v>7.4601699559999997</v>
      </c>
      <c r="O2090" s="1">
        <v>7.6540351839999996</v>
      </c>
      <c r="P2090" s="1">
        <v>6.7371710150000004</v>
      </c>
      <c r="Q2090" s="1">
        <v>6.987770662</v>
      </c>
      <c r="R2090" s="1">
        <v>7.1648465019999996</v>
      </c>
      <c r="S2090" s="1">
        <v>6.8382423799999996</v>
      </c>
      <c r="T2090" s="1">
        <v>6.6665813350000001</v>
      </c>
      <c r="U2090" s="1">
        <v>6.3564838049999999</v>
      </c>
      <c r="V2090" s="1">
        <v>7.1365351649999997</v>
      </c>
      <c r="W2090" s="1">
        <v>7.0438401490000002</v>
      </c>
      <c r="X2090" s="1">
        <v>6.430767253</v>
      </c>
      <c r="Y2090" s="1">
        <v>7.0353119980000001</v>
      </c>
      <c r="Z2090" s="1">
        <v>7.1648465019999996</v>
      </c>
      <c r="AA2090" s="1">
        <v>6.8382423799999996</v>
      </c>
      <c r="AB2090" s="1">
        <v>6.9153848929999997</v>
      </c>
      <c r="AC2090" s="1">
        <v>6.6092721640000001</v>
      </c>
      <c r="AD2090" s="1">
        <v>7.1124159809999998</v>
      </c>
      <c r="AE2090" s="1">
        <v>6.9137158620000001</v>
      </c>
    </row>
    <row r="2091" spans="1:31" x14ac:dyDescent="0.25">
      <c r="A2091" s="1" t="s">
        <v>2183</v>
      </c>
      <c r="B2091" s="1" t="s">
        <v>2557</v>
      </c>
      <c r="C2091" s="1" t="s">
        <v>3771</v>
      </c>
      <c r="D2091" s="1" t="s">
        <v>3772</v>
      </c>
      <c r="E2091" s="1" t="s">
        <v>5717</v>
      </c>
      <c r="F2091" s="1" t="s">
        <v>5718</v>
      </c>
      <c r="G2091" s="1" t="s">
        <v>2183</v>
      </c>
      <c r="H2091" s="1">
        <v>7.4044540579999998</v>
      </c>
      <c r="I2091" s="1">
        <v>7.9960588780000004</v>
      </c>
      <c r="J2091" s="1">
        <v>6.9834276859999997</v>
      </c>
      <c r="K2091" s="1">
        <v>6.9337055090000002</v>
      </c>
      <c r="L2091" s="1">
        <v>6.3972692809999998</v>
      </c>
      <c r="M2091" s="1">
        <v>6.3689739899999998</v>
      </c>
      <c r="N2091" s="1">
        <v>8.1028638589999993</v>
      </c>
      <c r="O2091" s="1">
        <v>8.1980295390000002</v>
      </c>
      <c r="P2091" s="1">
        <v>6.7660226430000003</v>
      </c>
      <c r="Q2091" s="1">
        <v>6.7476078419999999</v>
      </c>
      <c r="R2091" s="1">
        <v>6.7431387049999998</v>
      </c>
      <c r="S2091" s="1">
        <v>6.717498838</v>
      </c>
      <c r="T2091" s="1">
        <v>6.3972692809999998</v>
      </c>
      <c r="U2091" s="1">
        <v>6.3689739899999998</v>
      </c>
      <c r="V2091" s="1">
        <v>7.2343052459999999</v>
      </c>
      <c r="W2091" s="1">
        <v>7.2448800699999998</v>
      </c>
      <c r="X2091" s="1">
        <v>6.7833281259999998</v>
      </c>
      <c r="Y2091" s="1">
        <v>7.2839342949999999</v>
      </c>
      <c r="Z2091" s="1">
        <v>6.7431387049999998</v>
      </c>
      <c r="AA2091" s="1">
        <v>6.717498838</v>
      </c>
      <c r="AB2091" s="1">
        <v>7.1852104319999999</v>
      </c>
      <c r="AC2091" s="1">
        <v>6.9630080459999997</v>
      </c>
      <c r="AD2091" s="1">
        <v>6.9636701729999997</v>
      </c>
      <c r="AE2091" s="1">
        <v>6.9876177249999998</v>
      </c>
    </row>
    <row r="2092" spans="1:31" x14ac:dyDescent="0.25">
      <c r="A2092" s="1" t="s">
        <v>2185</v>
      </c>
      <c r="B2092" s="1" t="s">
        <v>2520</v>
      </c>
      <c r="C2092" s="1" t="s">
        <v>2521</v>
      </c>
      <c r="D2092" s="1" t="s">
        <v>2535</v>
      </c>
      <c r="E2092" s="1" t="s">
        <v>5719</v>
      </c>
      <c r="F2092" s="1" t="s">
        <v>5720</v>
      </c>
      <c r="G2092" s="1" t="s">
        <v>2185</v>
      </c>
      <c r="H2092" s="1">
        <v>6.0961014899999997</v>
      </c>
      <c r="I2092" s="1">
        <v>6.6753919760000002</v>
      </c>
      <c r="J2092" s="1">
        <v>8.1473518889999994</v>
      </c>
      <c r="K2092" s="1">
        <v>7.1838709730000003</v>
      </c>
      <c r="L2092" s="1">
        <v>8.8493635059999995</v>
      </c>
      <c r="M2092" s="1">
        <v>8.9768613679999998</v>
      </c>
      <c r="N2092" s="1">
        <v>6.4105475380000003</v>
      </c>
      <c r="O2092" s="1">
        <v>5.6856657850000003</v>
      </c>
      <c r="P2092" s="1">
        <v>8.6993893690000004</v>
      </c>
      <c r="Q2092" s="1">
        <v>8.5363765859999994</v>
      </c>
      <c r="R2092" s="1">
        <v>8.9684586599999996</v>
      </c>
      <c r="S2092" s="1">
        <v>9.0710430320000004</v>
      </c>
      <c r="T2092" s="1">
        <v>8.8493635059999995</v>
      </c>
      <c r="U2092" s="1">
        <v>8.9768613679999998</v>
      </c>
      <c r="V2092" s="1">
        <v>9.0505726390000003</v>
      </c>
      <c r="W2092" s="1">
        <v>8.9687752270000001</v>
      </c>
      <c r="X2092" s="1">
        <v>8.8896724890000005</v>
      </c>
      <c r="Y2092" s="1">
        <v>8.6149508400000006</v>
      </c>
      <c r="Z2092" s="1">
        <v>8.9684586599999996</v>
      </c>
      <c r="AA2092" s="1">
        <v>9.0710430320000004</v>
      </c>
      <c r="AB2092" s="1">
        <v>8.7484138920000003</v>
      </c>
      <c r="AC2092" s="1">
        <v>8.7354349560000006</v>
      </c>
      <c r="AD2092" s="1">
        <v>8.4723840270000004</v>
      </c>
      <c r="AE2092" s="1">
        <v>8.3223721509999997</v>
      </c>
    </row>
    <row r="2093" spans="1:31" x14ac:dyDescent="0.25">
      <c r="A2093" s="1" t="s">
        <v>2186</v>
      </c>
      <c r="B2093" s="1" t="s">
        <v>2557</v>
      </c>
      <c r="C2093" s="1" t="s">
        <v>2680</v>
      </c>
      <c r="D2093" s="1" t="s">
        <v>2917</v>
      </c>
      <c r="E2093" s="1" t="s">
        <v>5721</v>
      </c>
      <c r="F2093" s="1" t="s">
        <v>5722</v>
      </c>
      <c r="G2093" s="1" t="s">
        <v>2186</v>
      </c>
      <c r="H2093" s="1">
        <v>5.3712699940000004</v>
      </c>
      <c r="I2093" s="1">
        <v>5.9455889470000001</v>
      </c>
      <c r="J2093" s="1">
        <v>6.9445377779999999</v>
      </c>
      <c r="K2093" s="1">
        <v>6.8716784979999996</v>
      </c>
      <c r="L2093" s="1">
        <v>7.2667289950000002</v>
      </c>
      <c r="M2093" s="1">
        <v>7.3305614170000002</v>
      </c>
      <c r="N2093" s="1">
        <v>4.9001796750000004</v>
      </c>
      <c r="O2093" s="1">
        <v>4.7100516409999997</v>
      </c>
      <c r="P2093" s="1">
        <v>7.0384759670000001</v>
      </c>
      <c r="Q2093" s="1">
        <v>7.0552915670000003</v>
      </c>
      <c r="R2093" s="1">
        <v>7.1648465019999996</v>
      </c>
      <c r="S2093" s="1">
        <v>7.6056493469999999</v>
      </c>
      <c r="T2093" s="1">
        <v>7.2667289950000002</v>
      </c>
      <c r="U2093" s="1">
        <v>7.3305614170000002</v>
      </c>
      <c r="V2093" s="1">
        <v>7.4531389260000003</v>
      </c>
      <c r="W2093" s="1">
        <v>7.1334545250000003</v>
      </c>
      <c r="X2093" s="1">
        <v>7.1194218710000001</v>
      </c>
      <c r="Y2093" s="1">
        <v>7.1319704259999996</v>
      </c>
      <c r="Z2093" s="1">
        <v>7.1648465019999996</v>
      </c>
      <c r="AA2093" s="1">
        <v>7.6056493469999999</v>
      </c>
      <c r="AB2093" s="1">
        <v>7.1687117850000002</v>
      </c>
      <c r="AC2093" s="1">
        <v>6.8039964739999998</v>
      </c>
      <c r="AD2093" s="1">
        <v>6.89062397</v>
      </c>
      <c r="AE2093" s="1">
        <v>7.1183737989999996</v>
      </c>
    </row>
    <row r="2094" spans="1:31" x14ac:dyDescent="0.25">
      <c r="A2094" s="1" t="s">
        <v>2187</v>
      </c>
      <c r="B2094" s="1" t="s">
        <v>2557</v>
      </c>
      <c r="C2094" s="1" t="s">
        <v>2680</v>
      </c>
      <c r="D2094" s="1" t="s">
        <v>3883</v>
      </c>
      <c r="E2094" s="1" t="s">
        <v>5723</v>
      </c>
      <c r="F2094" s="1" t="s">
        <v>5724</v>
      </c>
      <c r="G2094" s="1" t="s">
        <v>2187</v>
      </c>
      <c r="H2094" s="1">
        <v>5.8817546890000001</v>
      </c>
      <c r="I2094" s="1">
        <v>6.1195241339999997</v>
      </c>
      <c r="J2094" s="1">
        <v>5.9926388770000001</v>
      </c>
      <c r="K2094" s="1">
        <v>6.0075713720000001</v>
      </c>
      <c r="L2094" s="1">
        <v>6.0061156689999997</v>
      </c>
      <c r="M2094" s="1">
        <v>5.8504486010000001</v>
      </c>
      <c r="N2094" s="1">
        <v>5.5749368700000002</v>
      </c>
      <c r="O2094" s="1">
        <v>5.4853382609999999</v>
      </c>
      <c r="P2094" s="1">
        <v>6.0847091730000002</v>
      </c>
      <c r="Q2094" s="1">
        <v>5.8765740600000003</v>
      </c>
      <c r="R2094" s="1">
        <v>5.6804358580000001</v>
      </c>
      <c r="S2094" s="1">
        <v>5.6453330910000004</v>
      </c>
      <c r="T2094" s="1">
        <v>6.0061156689999997</v>
      </c>
      <c r="U2094" s="1">
        <v>5.8504486010000001</v>
      </c>
      <c r="V2094" s="1">
        <v>5.4230002329999998</v>
      </c>
      <c r="W2094" s="1">
        <v>5.1095551629999996</v>
      </c>
      <c r="X2094" s="1">
        <v>5.9771755410000003</v>
      </c>
      <c r="Y2094" s="1">
        <v>5.6227961889999998</v>
      </c>
      <c r="Z2094" s="1">
        <v>5.6804358580000001</v>
      </c>
      <c r="AA2094" s="1">
        <v>5.6453330910000004</v>
      </c>
      <c r="AB2094" s="1">
        <v>5.7218462399999996</v>
      </c>
      <c r="AC2094" s="1">
        <v>5.9744301399999999</v>
      </c>
      <c r="AD2094" s="1">
        <v>5.8322684330000003</v>
      </c>
      <c r="AE2094" s="1">
        <v>5.868211906</v>
      </c>
    </row>
    <row r="2095" spans="1:31" x14ac:dyDescent="0.25">
      <c r="A2095" s="1" t="s">
        <v>2191</v>
      </c>
      <c r="B2095" s="1" t="s">
        <v>2530</v>
      </c>
      <c r="C2095" s="1" t="s">
        <v>2531</v>
      </c>
      <c r="D2095" s="1" t="s">
        <v>2535</v>
      </c>
      <c r="E2095" s="1" t="s">
        <v>2536</v>
      </c>
      <c r="G2095" s="1" t="s">
        <v>2191</v>
      </c>
      <c r="H2095" s="1">
        <v>4.8663747150000001</v>
      </c>
      <c r="I2095" s="1">
        <v>5.2436995780000002</v>
      </c>
      <c r="J2095" s="1">
        <v>4.8994370109999998</v>
      </c>
      <c r="K2095" s="1">
        <v>5.0014827119999996</v>
      </c>
      <c r="L2095" s="1">
        <v>4.1188213390000001</v>
      </c>
      <c r="M2095" s="1">
        <v>4.239619416</v>
      </c>
      <c r="N2095" s="1">
        <v>5.5139471840000001</v>
      </c>
      <c r="O2095" s="1">
        <v>5.3864027800000001</v>
      </c>
      <c r="P2095" s="1">
        <v>4.3303557189999999</v>
      </c>
      <c r="Q2095" s="1">
        <v>4.3733115800000002</v>
      </c>
      <c r="R2095" s="1">
        <v>4.3698765340000003</v>
      </c>
      <c r="S2095" s="1">
        <v>3.7977317990000001</v>
      </c>
      <c r="T2095" s="1">
        <v>4.1188213390000001</v>
      </c>
      <c r="U2095" s="1">
        <v>4.239619416</v>
      </c>
      <c r="V2095" s="1">
        <v>3.9849921849999999</v>
      </c>
      <c r="W2095" s="1">
        <v>4.3370700810000002</v>
      </c>
      <c r="X2095" s="1">
        <v>3.6673381269999998</v>
      </c>
      <c r="Y2095" s="1">
        <v>4.0337379980000003</v>
      </c>
      <c r="Z2095" s="1">
        <v>4.3698765340000003</v>
      </c>
      <c r="AA2095" s="1">
        <v>3.7977317990000001</v>
      </c>
      <c r="AB2095" s="1">
        <v>3.990981031</v>
      </c>
      <c r="AC2095" s="1">
        <v>4.1685844940000001</v>
      </c>
      <c r="AD2095" s="1">
        <v>4.6264106470000002</v>
      </c>
      <c r="AE2095" s="1">
        <v>4.0105905760000002</v>
      </c>
    </row>
    <row r="2096" spans="1:31" x14ac:dyDescent="0.25">
      <c r="A2096" s="1" t="s">
        <v>2192</v>
      </c>
      <c r="B2096" s="1" t="s">
        <v>2631</v>
      </c>
      <c r="C2096" s="1" t="s">
        <v>2531</v>
      </c>
      <c r="D2096" s="1" t="s">
        <v>2810</v>
      </c>
      <c r="E2096" s="1" t="s">
        <v>5725</v>
      </c>
      <c r="F2096" s="1" t="s">
        <v>5726</v>
      </c>
      <c r="G2096" s="1" t="s">
        <v>2192</v>
      </c>
      <c r="H2096" s="1">
        <v>4.7245801409999997</v>
      </c>
      <c r="I2096" s="1">
        <v>4.5981535630000003</v>
      </c>
      <c r="J2096" s="1">
        <v>5.0551375939999996</v>
      </c>
      <c r="K2096" s="1">
        <v>5.1139224319999999</v>
      </c>
      <c r="L2096" s="1">
        <v>6.0061156689999997</v>
      </c>
      <c r="M2096" s="1">
        <v>5.9201092089999996</v>
      </c>
      <c r="N2096" s="1">
        <v>5.7436907640000001</v>
      </c>
      <c r="O2096" s="1">
        <v>5.8051520590000001</v>
      </c>
      <c r="P2096" s="1">
        <v>5.426847231</v>
      </c>
      <c r="Q2096" s="1">
        <v>5.2000913229999997</v>
      </c>
      <c r="R2096" s="1">
        <v>5.458747732</v>
      </c>
      <c r="S2096" s="1">
        <v>5.505875713</v>
      </c>
      <c r="T2096" s="1">
        <v>6.0061156689999997</v>
      </c>
      <c r="U2096" s="1">
        <v>5.9201092089999996</v>
      </c>
      <c r="V2096" s="1">
        <v>5.5505659869999997</v>
      </c>
      <c r="W2096" s="1">
        <v>5.329276363</v>
      </c>
      <c r="X2096" s="1">
        <v>5.2630731749999997</v>
      </c>
      <c r="Y2096" s="1">
        <v>5.3269702959999998</v>
      </c>
      <c r="Z2096" s="1">
        <v>5.458747732</v>
      </c>
      <c r="AA2096" s="1">
        <v>5.505875713</v>
      </c>
      <c r="AB2096" s="1">
        <v>5.4196851610000003</v>
      </c>
      <c r="AC2096" s="1">
        <v>5.3221936159999998</v>
      </c>
      <c r="AD2096" s="1">
        <v>5.4791562909999998</v>
      </c>
      <c r="AE2096" s="1">
        <v>4.7973769099999997</v>
      </c>
    </row>
    <row r="2097" spans="1:31" x14ac:dyDescent="0.25">
      <c r="A2097" s="1" t="s">
        <v>2193</v>
      </c>
      <c r="B2097" s="1" t="s">
        <v>2530</v>
      </c>
      <c r="C2097" s="1" t="s">
        <v>2531</v>
      </c>
      <c r="D2097" s="1" t="s">
        <v>2535</v>
      </c>
      <c r="E2097" s="1" t="s">
        <v>5727</v>
      </c>
      <c r="G2097" s="1" t="s">
        <v>2193</v>
      </c>
      <c r="H2097" s="1">
        <v>4.0684382540000001</v>
      </c>
      <c r="I2097" s="1">
        <v>3.6484415459999999</v>
      </c>
      <c r="J2097" s="1">
        <v>4.5240842389999996</v>
      </c>
      <c r="K2097" s="1">
        <v>3.607491666</v>
      </c>
      <c r="L2097" s="1">
        <v>4.3335465510000004</v>
      </c>
      <c r="M2097" s="1">
        <v>3.9942443089999999</v>
      </c>
      <c r="N2097" s="1">
        <v>4.765904581</v>
      </c>
      <c r="O2097" s="1">
        <v>4.4368189940000002</v>
      </c>
      <c r="P2097" s="1">
        <v>3.86011382</v>
      </c>
      <c r="Q2097" s="1">
        <v>4.0840108080000004</v>
      </c>
      <c r="R2097" s="1">
        <v>3.8462631940000001</v>
      </c>
      <c r="S2097" s="1">
        <v>4.1304223819999999</v>
      </c>
      <c r="T2097" s="1">
        <v>4.3335465510000004</v>
      </c>
      <c r="U2097" s="1">
        <v>3.9942443089999999</v>
      </c>
      <c r="V2097" s="1">
        <v>4.3163797720000003</v>
      </c>
      <c r="W2097" s="1">
        <v>4.5296290450000001</v>
      </c>
      <c r="X2097" s="1">
        <v>3.8785046219999999</v>
      </c>
      <c r="Y2097" s="1">
        <v>4.5275934409999996</v>
      </c>
      <c r="Z2097" s="1">
        <v>3.8462631940000001</v>
      </c>
      <c r="AA2097" s="1">
        <v>4.1304223819999999</v>
      </c>
      <c r="AB2097" s="1">
        <v>3.8237667059999998</v>
      </c>
      <c r="AC2097" s="1">
        <v>2.87258916</v>
      </c>
      <c r="AD2097" s="1">
        <v>3.725077481</v>
      </c>
      <c r="AE2097" s="1">
        <v>3.321206681</v>
      </c>
    </row>
    <row r="2098" spans="1:31" x14ac:dyDescent="0.25">
      <c r="A2098" s="1" t="s">
        <v>2195</v>
      </c>
      <c r="B2098" s="1" t="s">
        <v>2547</v>
      </c>
      <c r="C2098" s="1" t="s">
        <v>2675</v>
      </c>
      <c r="D2098" s="1" t="s">
        <v>3333</v>
      </c>
      <c r="E2098" s="1" t="s">
        <v>5728</v>
      </c>
      <c r="F2098" s="1" t="s">
        <v>5729</v>
      </c>
      <c r="G2098" s="1" t="s">
        <v>2195</v>
      </c>
      <c r="H2098" s="1">
        <v>9.2672040459999998</v>
      </c>
      <c r="I2098" s="1">
        <v>9.6698639760000002</v>
      </c>
      <c r="J2098" s="1">
        <v>9.7496645219999998</v>
      </c>
      <c r="K2098" s="1">
        <v>9.6865511029999993</v>
      </c>
      <c r="L2098" s="1">
        <v>9.628730719</v>
      </c>
      <c r="M2098" s="1">
        <v>9.8286194410000007</v>
      </c>
      <c r="N2098" s="1">
        <v>8.5684344289999999</v>
      </c>
      <c r="O2098" s="1">
        <v>8.2687727930000001</v>
      </c>
      <c r="P2098" s="1">
        <v>9.6915863309999999</v>
      </c>
      <c r="Q2098" s="1">
        <v>10.00683405</v>
      </c>
      <c r="R2098" s="1">
        <v>9.7103248180000001</v>
      </c>
      <c r="S2098" s="1">
        <v>9.9594435130000001</v>
      </c>
      <c r="T2098" s="1">
        <v>9.628730719</v>
      </c>
      <c r="U2098" s="1">
        <v>9.8286194410000007</v>
      </c>
      <c r="V2098" s="1">
        <v>10.728613899999999</v>
      </c>
      <c r="W2098" s="1">
        <v>10.82701677</v>
      </c>
      <c r="X2098" s="1">
        <v>9.4837865170000004</v>
      </c>
      <c r="Y2098" s="1">
        <v>10.67417822</v>
      </c>
      <c r="Z2098" s="1">
        <v>9.7103248180000001</v>
      </c>
      <c r="AA2098" s="1">
        <v>9.9594435130000001</v>
      </c>
      <c r="AB2098" s="1">
        <v>9.7920950659999999</v>
      </c>
      <c r="AC2098" s="1">
        <v>9.6404021479999997</v>
      </c>
      <c r="AD2098" s="1">
        <v>9.5937391299999994</v>
      </c>
      <c r="AE2098" s="1">
        <v>9.5435955020000005</v>
      </c>
    </row>
    <row r="2099" spans="1:31" x14ac:dyDescent="0.25">
      <c r="A2099" s="1" t="s">
        <v>2196</v>
      </c>
      <c r="B2099" s="1" t="s">
        <v>2547</v>
      </c>
      <c r="C2099" s="1" t="s">
        <v>2675</v>
      </c>
      <c r="D2099" s="1" t="s">
        <v>3333</v>
      </c>
      <c r="E2099" s="1" t="s">
        <v>5730</v>
      </c>
      <c r="F2099" s="1" t="s">
        <v>5731</v>
      </c>
      <c r="G2099" s="1" t="s">
        <v>2196</v>
      </c>
      <c r="H2099" s="1">
        <v>8.189275168</v>
      </c>
      <c r="I2099" s="1">
        <v>7.7617995710000001</v>
      </c>
      <c r="J2099" s="1">
        <v>7.7186995510000003</v>
      </c>
      <c r="K2099" s="1">
        <v>7.8061993789999997</v>
      </c>
      <c r="L2099" s="1">
        <v>7.3598039919999998</v>
      </c>
      <c r="M2099" s="1">
        <v>7.5270236820000003</v>
      </c>
      <c r="N2099" s="1">
        <v>7.4439906589999998</v>
      </c>
      <c r="O2099" s="1">
        <v>7.6273572339999998</v>
      </c>
      <c r="P2099" s="1">
        <v>7.6923797030000003</v>
      </c>
      <c r="Q2099" s="1">
        <v>7.8698686100000002</v>
      </c>
      <c r="R2099" s="1">
        <v>7.6900901509999997</v>
      </c>
      <c r="S2099" s="1">
        <v>7.727829592</v>
      </c>
      <c r="T2099" s="1">
        <v>7.3598039919999998</v>
      </c>
      <c r="U2099" s="1">
        <v>7.5270236820000003</v>
      </c>
      <c r="V2099" s="1">
        <v>7.4202820300000001</v>
      </c>
      <c r="W2099" s="1">
        <v>7.6408651909999996</v>
      </c>
      <c r="X2099" s="1">
        <v>7.8772548560000004</v>
      </c>
      <c r="Y2099" s="1">
        <v>7.7777437819999999</v>
      </c>
      <c r="Z2099" s="1">
        <v>7.6900901509999997</v>
      </c>
      <c r="AA2099" s="1">
        <v>7.727829592</v>
      </c>
      <c r="AB2099" s="1">
        <v>7.7372174640000004</v>
      </c>
      <c r="AC2099" s="1">
        <v>7.6872396780000001</v>
      </c>
      <c r="AD2099" s="1">
        <v>7.9685499660000003</v>
      </c>
      <c r="AE2099" s="1">
        <v>7.9827963540000004</v>
      </c>
    </row>
    <row r="2100" spans="1:31" x14ac:dyDescent="0.25">
      <c r="A2100" s="1" t="s">
        <v>2197</v>
      </c>
      <c r="B2100" s="1" t="s">
        <v>2547</v>
      </c>
      <c r="C2100" s="1" t="s">
        <v>2675</v>
      </c>
      <c r="D2100" s="1" t="s">
        <v>3333</v>
      </c>
      <c r="E2100" s="1" t="s">
        <v>5732</v>
      </c>
      <c r="F2100" s="1" t="s">
        <v>5733</v>
      </c>
      <c r="G2100" s="1" t="s">
        <v>2197</v>
      </c>
      <c r="H2100" s="1">
        <v>7.9194406559999999</v>
      </c>
      <c r="I2100" s="1">
        <v>7.7840702359999998</v>
      </c>
      <c r="J2100" s="1">
        <v>8.0034921079999997</v>
      </c>
      <c r="K2100" s="1">
        <v>8.1179404720000008</v>
      </c>
      <c r="L2100" s="1">
        <v>7.5712212179999998</v>
      </c>
      <c r="M2100" s="1">
        <v>7.7292170560000004</v>
      </c>
      <c r="N2100" s="1">
        <v>7.5179873830000004</v>
      </c>
      <c r="O2100" s="1">
        <v>8.0888657110000004</v>
      </c>
      <c r="P2100" s="1">
        <v>7.7655893589999998</v>
      </c>
      <c r="Q2100" s="1">
        <v>8.0193056909999996</v>
      </c>
      <c r="R2100" s="1">
        <v>7.9383339499999996</v>
      </c>
      <c r="S2100" s="1">
        <v>7.8186276499999998</v>
      </c>
      <c r="T2100" s="1">
        <v>7.5712212179999998</v>
      </c>
      <c r="U2100" s="1">
        <v>7.7292170560000004</v>
      </c>
      <c r="V2100" s="1">
        <v>7.4202820300000001</v>
      </c>
      <c r="W2100" s="1">
        <v>7.46795381</v>
      </c>
      <c r="X2100" s="1">
        <v>7.7185920719999999</v>
      </c>
      <c r="Y2100" s="1">
        <v>7.6343087260000004</v>
      </c>
      <c r="Z2100" s="1">
        <v>7.9383339499999996</v>
      </c>
      <c r="AA2100" s="1">
        <v>7.8186276499999998</v>
      </c>
      <c r="AB2100" s="1">
        <v>7.8345320049999998</v>
      </c>
      <c r="AC2100" s="1">
        <v>7.8177818160000001</v>
      </c>
      <c r="AD2100" s="1">
        <v>8.0974155969999995</v>
      </c>
      <c r="AE2100" s="1">
        <v>7.9387863950000002</v>
      </c>
    </row>
    <row r="2101" spans="1:31" x14ac:dyDescent="0.25">
      <c r="A2101" s="1" t="s">
        <v>2198</v>
      </c>
      <c r="B2101" s="1" t="s">
        <v>2547</v>
      </c>
      <c r="C2101" s="1" t="s">
        <v>2675</v>
      </c>
      <c r="D2101" s="1" t="s">
        <v>3333</v>
      </c>
      <c r="E2101" s="1" t="s">
        <v>5734</v>
      </c>
      <c r="F2101" s="1" t="s">
        <v>5735</v>
      </c>
      <c r="G2101" s="1" t="s">
        <v>2198</v>
      </c>
      <c r="H2101" s="1">
        <v>8.0349813769999994</v>
      </c>
      <c r="I2101" s="1">
        <v>7.7617995710000001</v>
      </c>
      <c r="J2101" s="1">
        <v>8.1699928820000007</v>
      </c>
      <c r="K2101" s="1">
        <v>8.2456190189999994</v>
      </c>
      <c r="L2101" s="1">
        <v>7.773478892</v>
      </c>
      <c r="M2101" s="1">
        <v>7.8762547229999997</v>
      </c>
      <c r="N2101" s="1">
        <v>7.4110769220000003</v>
      </c>
      <c r="O2101" s="1">
        <v>7.8651233710000001</v>
      </c>
      <c r="P2101" s="1">
        <v>7.9899025479999999</v>
      </c>
      <c r="Q2101" s="1">
        <v>8.0723947509999991</v>
      </c>
      <c r="R2101" s="1">
        <v>7.9311896480000001</v>
      </c>
      <c r="S2101" s="1">
        <v>7.931429992</v>
      </c>
      <c r="T2101" s="1">
        <v>7.773478892</v>
      </c>
      <c r="U2101" s="1">
        <v>7.8762547229999997</v>
      </c>
      <c r="V2101" s="1">
        <v>7.6851832330000001</v>
      </c>
      <c r="W2101" s="1">
        <v>7.4564261309999997</v>
      </c>
      <c r="X2101" s="1">
        <v>7.9376132760000004</v>
      </c>
      <c r="Y2101" s="1">
        <v>7.6715271349999998</v>
      </c>
      <c r="Z2101" s="1">
        <v>7.9311896480000001</v>
      </c>
      <c r="AA2101" s="1">
        <v>7.931429992</v>
      </c>
      <c r="AB2101" s="1">
        <v>8.0658844030000001</v>
      </c>
      <c r="AC2101" s="1">
        <v>7.7320797140000002</v>
      </c>
      <c r="AD2101" s="1">
        <v>8.0843804259999992</v>
      </c>
      <c r="AE2101" s="1">
        <v>7.9086821269999996</v>
      </c>
    </row>
    <row r="2102" spans="1:31" x14ac:dyDescent="0.25">
      <c r="A2102" s="1" t="s">
        <v>2200</v>
      </c>
      <c r="B2102" s="1" t="s">
        <v>2838</v>
      </c>
      <c r="C2102" s="1" t="s">
        <v>2531</v>
      </c>
      <c r="D2102" s="1" t="s">
        <v>5736</v>
      </c>
      <c r="E2102" s="1" t="s">
        <v>5737</v>
      </c>
      <c r="F2102" s="1" t="s">
        <v>5738</v>
      </c>
      <c r="G2102" s="1" t="s">
        <v>2200</v>
      </c>
      <c r="H2102" s="1">
        <v>5.1131742039999999</v>
      </c>
      <c r="I2102" s="1">
        <v>5.7169522959999997</v>
      </c>
      <c r="J2102" s="1">
        <v>6.0178848</v>
      </c>
      <c r="K2102" s="1">
        <v>5.8870623049999997</v>
      </c>
      <c r="L2102" s="1">
        <v>6.9257793530000002</v>
      </c>
      <c r="M2102" s="1">
        <v>6.670759952</v>
      </c>
      <c r="N2102" s="1">
        <v>5.7078727669999996</v>
      </c>
      <c r="O2102" s="1">
        <v>5.0724039640000003</v>
      </c>
      <c r="P2102" s="1">
        <v>6.0615870090000001</v>
      </c>
      <c r="Q2102" s="1">
        <v>6.5178682329999997</v>
      </c>
      <c r="R2102" s="1">
        <v>6.0146875240000002</v>
      </c>
      <c r="S2102" s="1">
        <v>6.0729078190000001</v>
      </c>
      <c r="T2102" s="1">
        <v>6.9257793530000002</v>
      </c>
      <c r="U2102" s="1">
        <v>6.670759952</v>
      </c>
      <c r="V2102" s="1">
        <v>6.276714932</v>
      </c>
      <c r="W2102" s="1">
        <v>5.8015499779999997</v>
      </c>
      <c r="X2102" s="1">
        <v>6.3441015869999999</v>
      </c>
      <c r="Y2102" s="1">
        <v>6.0488320509999998</v>
      </c>
      <c r="Z2102" s="1">
        <v>6.0146875240000002</v>
      </c>
      <c r="AA2102" s="1">
        <v>6.0729078190000001</v>
      </c>
      <c r="AB2102" s="1">
        <v>5.8927983030000002</v>
      </c>
      <c r="AC2102" s="1">
        <v>6.3069602739999997</v>
      </c>
      <c r="AD2102" s="1">
        <v>6.008703369</v>
      </c>
      <c r="AE2102" s="1">
        <v>6.0726073669999998</v>
      </c>
    </row>
    <row r="2103" spans="1:31" x14ac:dyDescent="0.25">
      <c r="A2103" s="1" t="s">
        <v>2201</v>
      </c>
      <c r="B2103" s="1" t="s">
        <v>2838</v>
      </c>
      <c r="C2103" s="1" t="s">
        <v>2531</v>
      </c>
      <c r="D2103" s="1" t="s">
        <v>5736</v>
      </c>
      <c r="E2103" s="1" t="s">
        <v>5739</v>
      </c>
      <c r="F2103" s="1" t="s">
        <v>5740</v>
      </c>
      <c r="G2103" s="1" t="s">
        <v>2201</v>
      </c>
      <c r="H2103" s="1">
        <v>8.8288027380000003</v>
      </c>
      <c r="I2103" s="1">
        <v>9.0525587939999994</v>
      </c>
      <c r="J2103" s="1">
        <v>10.21049414</v>
      </c>
      <c r="K2103" s="1">
        <v>10.05576744</v>
      </c>
      <c r="L2103" s="1">
        <v>10.064447380000001</v>
      </c>
      <c r="M2103" s="1">
        <v>10.067306739999999</v>
      </c>
      <c r="N2103" s="1">
        <v>8.5280847340000001</v>
      </c>
      <c r="O2103" s="1">
        <v>8.346056677</v>
      </c>
      <c r="P2103" s="1">
        <v>10.00742384</v>
      </c>
      <c r="Q2103" s="1">
        <v>9.9827735660000005</v>
      </c>
      <c r="R2103" s="1">
        <v>9.9797806169999994</v>
      </c>
      <c r="S2103" s="1">
        <v>9.9594435130000001</v>
      </c>
      <c r="T2103" s="1">
        <v>10.064447380000001</v>
      </c>
      <c r="U2103" s="1">
        <v>10.067306739999999</v>
      </c>
      <c r="V2103" s="1">
        <v>9.7258880530000003</v>
      </c>
      <c r="W2103" s="1">
        <v>9.8664388380000005</v>
      </c>
      <c r="X2103" s="1">
        <v>9.6003734509999994</v>
      </c>
      <c r="Y2103" s="1">
        <v>9.7071749870000001</v>
      </c>
      <c r="Z2103" s="1">
        <v>9.9797806169999994</v>
      </c>
      <c r="AA2103" s="1">
        <v>9.9594435130000001</v>
      </c>
      <c r="AB2103" s="1">
        <v>9.7867020300000007</v>
      </c>
      <c r="AC2103" s="1">
        <v>9.7732418249999995</v>
      </c>
      <c r="AD2103" s="1">
        <v>9.7504714190000001</v>
      </c>
      <c r="AE2103" s="1">
        <v>9.6967610620000002</v>
      </c>
    </row>
    <row r="2104" spans="1:31" x14ac:dyDescent="0.25">
      <c r="A2104" s="1" t="s">
        <v>2202</v>
      </c>
      <c r="B2104" s="1" t="s">
        <v>2838</v>
      </c>
      <c r="C2104" s="1" t="s">
        <v>2839</v>
      </c>
      <c r="D2104" s="1" t="s">
        <v>5741</v>
      </c>
      <c r="E2104" s="1" t="s">
        <v>5742</v>
      </c>
      <c r="G2104" s="1" t="s">
        <v>2202</v>
      </c>
      <c r="H2104" s="1">
        <v>8.4390456700000005</v>
      </c>
      <c r="I2104" s="1">
        <v>8.7244207280000001</v>
      </c>
      <c r="J2104" s="1">
        <v>8.3932734270000005</v>
      </c>
      <c r="K2104" s="1">
        <v>8.2456190189999994</v>
      </c>
      <c r="L2104" s="1">
        <v>8.475538727</v>
      </c>
      <c r="M2104" s="1">
        <v>8.206660093</v>
      </c>
      <c r="N2104" s="1">
        <v>8.8396840339999994</v>
      </c>
      <c r="O2104" s="1">
        <v>8.7438411279999997</v>
      </c>
      <c r="P2104" s="1">
        <v>8.2517871189999994</v>
      </c>
      <c r="Q2104" s="1">
        <v>8.1608430710000004</v>
      </c>
      <c r="R2104" s="1">
        <v>8.0146705170000008</v>
      </c>
      <c r="S2104" s="1">
        <v>8.2193970309999997</v>
      </c>
      <c r="T2104" s="1">
        <v>8.475538727</v>
      </c>
      <c r="U2104" s="1">
        <v>8.206660093</v>
      </c>
      <c r="V2104" s="1">
        <v>8.3405693599999999</v>
      </c>
      <c r="W2104" s="1">
        <v>7.9263506169999998</v>
      </c>
      <c r="X2104" s="1">
        <v>7.7012865279999998</v>
      </c>
      <c r="Y2104" s="1">
        <v>8.0420944970000008</v>
      </c>
      <c r="Z2104" s="1">
        <v>8.0146705170000008</v>
      </c>
      <c r="AA2104" s="1">
        <v>8.2193970309999997</v>
      </c>
      <c r="AB2104" s="1">
        <v>7.8757608169999997</v>
      </c>
      <c r="AC2104" s="1">
        <v>7.8452535159999996</v>
      </c>
      <c r="AD2104" s="1">
        <v>7.9826699090000002</v>
      </c>
      <c r="AE2104" s="1">
        <v>8.0635699479999996</v>
      </c>
    </row>
    <row r="2105" spans="1:31" x14ac:dyDescent="0.25">
      <c r="A2105" s="1" t="s">
        <v>2206</v>
      </c>
      <c r="B2105" s="1" t="s">
        <v>2598</v>
      </c>
      <c r="C2105" s="1" t="s">
        <v>2603</v>
      </c>
      <c r="D2105" s="1" t="s">
        <v>3187</v>
      </c>
      <c r="E2105" s="1" t="s">
        <v>5743</v>
      </c>
      <c r="F2105" s="1" t="s">
        <v>5744</v>
      </c>
      <c r="G2105" s="1" t="s">
        <v>2206</v>
      </c>
      <c r="H2105" s="1">
        <v>3.9421380259999999</v>
      </c>
      <c r="I2105" s="1">
        <v>4.2936285989999998</v>
      </c>
      <c r="J2105" s="1">
        <v>4.2898244959999996</v>
      </c>
      <c r="K2105" s="1">
        <v>4.1384138449999996</v>
      </c>
      <c r="L2105" s="1">
        <v>5.5690677470000001</v>
      </c>
      <c r="M2105" s="1">
        <v>5.3667108829999997</v>
      </c>
      <c r="N2105" s="1">
        <v>4.5366957899999996</v>
      </c>
      <c r="O2105" s="1">
        <v>5.0724039640000003</v>
      </c>
      <c r="P2105" s="1">
        <v>4.7394495640000001</v>
      </c>
      <c r="Q2105" s="1">
        <v>4.18747588</v>
      </c>
      <c r="R2105" s="1">
        <v>4.7472384160000001</v>
      </c>
      <c r="S2105" s="1">
        <v>4.8699614389999999</v>
      </c>
      <c r="T2105" s="1">
        <v>5.5690677470000001</v>
      </c>
      <c r="U2105" s="1">
        <v>5.3667108829999997</v>
      </c>
      <c r="V2105" s="1">
        <v>4.8059579570000004</v>
      </c>
      <c r="W2105" s="1">
        <v>4.8493412630000003</v>
      </c>
      <c r="X2105" s="1">
        <v>4.9447045230000004</v>
      </c>
      <c r="Y2105" s="1">
        <v>4.2532353330000001</v>
      </c>
      <c r="Z2105" s="1">
        <v>4.7472384160000001</v>
      </c>
      <c r="AA2105" s="1">
        <v>4.8699614389999999</v>
      </c>
      <c r="AB2105" s="1">
        <v>3.990981031</v>
      </c>
      <c r="AC2105" s="1">
        <v>4.8610120620000004</v>
      </c>
      <c r="AD2105" s="1">
        <v>4.0967699450000001</v>
      </c>
      <c r="AE2105" s="1">
        <v>4.4163948289999997</v>
      </c>
    </row>
    <row r="2106" spans="1:31" x14ac:dyDescent="0.25">
      <c r="A2106" s="1" t="s">
        <v>2207</v>
      </c>
      <c r="B2106" s="1" t="s">
        <v>2530</v>
      </c>
      <c r="C2106" s="1" t="s">
        <v>2531</v>
      </c>
      <c r="D2106" s="1" t="s">
        <v>2535</v>
      </c>
      <c r="E2106" s="1" t="s">
        <v>5745</v>
      </c>
      <c r="G2106" s="1" t="s">
        <v>2207</v>
      </c>
      <c r="H2106" s="1">
        <v>5.2735834620000004</v>
      </c>
      <c r="I2106" s="1">
        <v>5.8070199389999999</v>
      </c>
      <c r="J2106" s="1">
        <v>5.3631085470000004</v>
      </c>
      <c r="K2106" s="1">
        <v>4.941717659</v>
      </c>
      <c r="L2106" s="1">
        <v>5.8387509910000004</v>
      </c>
      <c r="M2106" s="1">
        <v>5.5095176620000004</v>
      </c>
      <c r="N2106" s="1">
        <v>5.5749368700000002</v>
      </c>
      <c r="O2106" s="1">
        <v>5.3605571169999999</v>
      </c>
      <c r="P2106" s="1">
        <v>5.7791106289999998</v>
      </c>
      <c r="Q2106" s="1">
        <v>5.1004769559999996</v>
      </c>
      <c r="R2106" s="1">
        <v>5.4182058560000002</v>
      </c>
      <c r="S2106" s="1">
        <v>5.3512993040000003</v>
      </c>
      <c r="T2106" s="1">
        <v>5.8387509910000004</v>
      </c>
      <c r="U2106" s="1">
        <v>5.5095176620000004</v>
      </c>
      <c r="V2106" s="1">
        <v>5.9243031000000004</v>
      </c>
      <c r="W2106" s="1">
        <v>5.7645115660000004</v>
      </c>
      <c r="X2106" s="1">
        <v>5.7596503070000002</v>
      </c>
      <c r="Y2106" s="1">
        <v>5.5443425189999997</v>
      </c>
      <c r="Z2106" s="1">
        <v>5.4182058560000002</v>
      </c>
      <c r="AA2106" s="1">
        <v>5.3512993040000003</v>
      </c>
      <c r="AB2106" s="1">
        <v>4.6096720080000004</v>
      </c>
      <c r="AC2106" s="1">
        <v>5.3988312660000002</v>
      </c>
      <c r="AD2106" s="1">
        <v>5.7012900599999998</v>
      </c>
      <c r="AE2106" s="1">
        <v>5.473179547</v>
      </c>
    </row>
    <row r="2107" spans="1:31" x14ac:dyDescent="0.25">
      <c r="A2107" s="1" t="s">
        <v>2210</v>
      </c>
      <c r="B2107" s="1" t="s">
        <v>2642</v>
      </c>
      <c r="C2107" s="1" t="s">
        <v>2643</v>
      </c>
      <c r="D2107" s="1" t="s">
        <v>2687</v>
      </c>
      <c r="E2107" s="1" t="s">
        <v>3094</v>
      </c>
      <c r="F2107" s="1" t="s">
        <v>3095</v>
      </c>
      <c r="G2107" s="1" t="s">
        <v>2210</v>
      </c>
      <c r="H2107" s="1">
        <v>6.5548587630000004</v>
      </c>
      <c r="I2107" s="1">
        <v>6.4707161060000002</v>
      </c>
      <c r="J2107" s="1">
        <v>4.9532699769999997</v>
      </c>
      <c r="K2107" s="1">
        <v>5.6105789259999996</v>
      </c>
      <c r="L2107" s="1">
        <v>4.2932354009999996</v>
      </c>
      <c r="M2107" s="1">
        <v>4.3473799800000004</v>
      </c>
      <c r="N2107" s="1">
        <v>6.0166363460000003</v>
      </c>
      <c r="O2107" s="1">
        <v>6.3670506839999996</v>
      </c>
      <c r="P2107" s="1">
        <v>4.161525224</v>
      </c>
      <c r="Q2107" s="1">
        <v>4.7509440400000003</v>
      </c>
      <c r="R2107" s="1">
        <v>4.2802026870000001</v>
      </c>
      <c r="S2107" s="1">
        <v>3.9182367880000002</v>
      </c>
      <c r="T2107" s="1">
        <v>4.2932354009999996</v>
      </c>
      <c r="U2107" s="1">
        <v>4.3473799800000004</v>
      </c>
      <c r="V2107" s="1">
        <v>3.9849921849999999</v>
      </c>
      <c r="W2107" s="1">
        <v>4.8493412630000003</v>
      </c>
      <c r="X2107" s="1">
        <v>4.0600950219999996</v>
      </c>
      <c r="Y2107" s="1">
        <v>4.6842287809999998</v>
      </c>
      <c r="Z2107" s="1">
        <v>4.2802026870000001</v>
      </c>
      <c r="AA2107" s="1">
        <v>3.9182367880000002</v>
      </c>
      <c r="AB2107" s="1">
        <v>4.6096720080000004</v>
      </c>
      <c r="AC2107" s="1">
        <v>4.9660712470000004</v>
      </c>
      <c r="AD2107" s="1">
        <v>5.0087140049999999</v>
      </c>
      <c r="AE2107" s="1">
        <v>4.7290680490000003</v>
      </c>
    </row>
    <row r="2108" spans="1:31" x14ac:dyDescent="0.25">
      <c r="A2108" s="1" t="s">
        <v>2213</v>
      </c>
      <c r="B2108" s="1" t="s">
        <v>2642</v>
      </c>
      <c r="C2108" s="1" t="s">
        <v>2643</v>
      </c>
      <c r="D2108" s="1" t="s">
        <v>2687</v>
      </c>
      <c r="E2108" s="1" t="s">
        <v>3094</v>
      </c>
      <c r="F2108" s="1" t="s">
        <v>3095</v>
      </c>
      <c r="G2108" s="1" t="s">
        <v>2213</v>
      </c>
      <c r="H2108" s="1">
        <v>2.9945681560000001</v>
      </c>
      <c r="I2108" s="1">
        <v>3.7806045529999999</v>
      </c>
      <c r="J2108" s="1">
        <v>1.7393328349999999</v>
      </c>
      <c r="K2108" s="1">
        <v>3.4309024589999999</v>
      </c>
      <c r="L2108" s="1">
        <v>2.7248816410000001</v>
      </c>
      <c r="M2108" s="1">
        <v>3.2940962960000002</v>
      </c>
      <c r="N2108" s="1">
        <v>2.9782685729999998</v>
      </c>
      <c r="O2108" s="1">
        <v>3.193511794</v>
      </c>
      <c r="P2108" s="1">
        <v>2.8687501260000001</v>
      </c>
      <c r="Q2108" s="1">
        <v>2.935765398</v>
      </c>
      <c r="R2108" s="1">
        <v>2.9339002829999998</v>
      </c>
      <c r="S2108" s="1">
        <v>2.9034795349999998</v>
      </c>
      <c r="T2108" s="1">
        <v>2.7248816410000001</v>
      </c>
      <c r="U2108" s="1">
        <v>3.2940962960000002</v>
      </c>
      <c r="V2108" s="1">
        <v>1.7393328349999999</v>
      </c>
      <c r="W2108" s="1">
        <v>3.0218530750000001</v>
      </c>
      <c r="X2108" s="1">
        <v>2.6106888979999998</v>
      </c>
      <c r="Y2108" s="1">
        <v>3.4382968329999999</v>
      </c>
      <c r="Z2108" s="1">
        <v>2.9339002829999998</v>
      </c>
      <c r="AA2108" s="1">
        <v>2.9034795349999998</v>
      </c>
      <c r="AB2108" s="1">
        <v>2.73487305</v>
      </c>
      <c r="AC2108" s="1">
        <v>1.7393328349999999</v>
      </c>
      <c r="AD2108" s="1">
        <v>1.7393328349999999</v>
      </c>
      <c r="AE2108" s="1">
        <v>2.9592545700000001</v>
      </c>
    </row>
    <row r="2109" spans="1:31" x14ac:dyDescent="0.25">
      <c r="A2109" s="1" t="s">
        <v>2215</v>
      </c>
      <c r="B2109" s="1" t="s">
        <v>2520</v>
      </c>
      <c r="C2109" s="1" t="s">
        <v>2521</v>
      </c>
      <c r="D2109" s="1" t="s">
        <v>2535</v>
      </c>
      <c r="E2109" s="1" t="s">
        <v>5746</v>
      </c>
      <c r="F2109" s="1" t="s">
        <v>5747</v>
      </c>
      <c r="G2109" s="1" t="s">
        <v>2215</v>
      </c>
      <c r="H2109" s="1">
        <v>7.1410877929999996</v>
      </c>
      <c r="I2109" s="1">
        <v>7.4358102949999996</v>
      </c>
      <c r="J2109" s="1">
        <v>7.3732517919999996</v>
      </c>
      <c r="K2109" s="1">
        <v>7.3969663560000001</v>
      </c>
      <c r="L2109" s="1">
        <v>7.1343212879999998</v>
      </c>
      <c r="M2109" s="1">
        <v>7.1758500060000001</v>
      </c>
      <c r="N2109" s="1">
        <v>7.5485734259999999</v>
      </c>
      <c r="O2109" s="1">
        <v>7.804500472</v>
      </c>
      <c r="P2109" s="1">
        <v>6.8357197449999996</v>
      </c>
      <c r="Q2109" s="1">
        <v>6.7957952910000001</v>
      </c>
      <c r="R2109" s="1">
        <v>7.1769818540000001</v>
      </c>
      <c r="S2109" s="1">
        <v>7.0777719039999996</v>
      </c>
      <c r="T2109" s="1">
        <v>7.1343212879999998</v>
      </c>
      <c r="U2109" s="1">
        <v>7.1758500060000001</v>
      </c>
      <c r="V2109" s="1">
        <v>6.9302380990000003</v>
      </c>
      <c r="W2109" s="1">
        <v>6.9482803070000001</v>
      </c>
      <c r="X2109" s="1">
        <v>6.6085543170000003</v>
      </c>
      <c r="Y2109" s="1">
        <v>6.7169455439999997</v>
      </c>
      <c r="Z2109" s="1">
        <v>7.1769818540000001</v>
      </c>
      <c r="AA2109" s="1">
        <v>7.0777719039999996</v>
      </c>
      <c r="AB2109" s="1">
        <v>7.0294463739999999</v>
      </c>
      <c r="AC2109" s="1">
        <v>7.0833011609999996</v>
      </c>
      <c r="AD2109" s="1">
        <v>7.2704470209999998</v>
      </c>
      <c r="AE2109" s="1">
        <v>6.8674836130000001</v>
      </c>
    </row>
    <row r="2110" spans="1:31" x14ac:dyDescent="0.25">
      <c r="A2110" s="1" t="s">
        <v>2217</v>
      </c>
      <c r="B2110" s="1" t="s">
        <v>2530</v>
      </c>
      <c r="C2110" s="1" t="s">
        <v>2531</v>
      </c>
      <c r="D2110" s="1" t="s">
        <v>2535</v>
      </c>
      <c r="E2110" s="1" t="s">
        <v>2536</v>
      </c>
      <c r="G2110" s="1" t="s">
        <v>2217</v>
      </c>
      <c r="H2110" s="1">
        <v>6.2825651889999996</v>
      </c>
      <c r="I2110" s="1">
        <v>7.2021340509999998</v>
      </c>
      <c r="J2110" s="1">
        <v>6.0670821549999996</v>
      </c>
      <c r="K2110" s="1">
        <v>6.091743707</v>
      </c>
      <c r="L2110" s="1">
        <v>6.2096996640000004</v>
      </c>
      <c r="M2110" s="1">
        <v>5.4866876930000004</v>
      </c>
      <c r="N2110" s="1">
        <v>6.8562050120000002</v>
      </c>
      <c r="O2110" s="1">
        <v>6.6478049300000004</v>
      </c>
      <c r="P2110" s="1">
        <v>5.7504406890000004</v>
      </c>
      <c r="Q2110" s="1">
        <v>6.4985786230000002</v>
      </c>
      <c r="R2110" s="1">
        <v>5.7142579380000003</v>
      </c>
      <c r="S2110" s="1">
        <v>5.7723891209999998</v>
      </c>
      <c r="T2110" s="1">
        <v>6.2096996640000004</v>
      </c>
      <c r="U2110" s="1">
        <v>5.4866876930000004</v>
      </c>
      <c r="V2110" s="1">
        <v>6.8706547860000002</v>
      </c>
      <c r="W2110" s="1">
        <v>6.156075682</v>
      </c>
      <c r="X2110" s="1">
        <v>4.97415056</v>
      </c>
      <c r="Y2110" s="1">
        <v>6.4644452860000001</v>
      </c>
      <c r="Z2110" s="1">
        <v>5.7142579380000003</v>
      </c>
      <c r="AA2110" s="1">
        <v>5.7723891209999998</v>
      </c>
      <c r="AB2110" s="1">
        <v>5.4746970709999996</v>
      </c>
      <c r="AC2110" s="1">
        <v>5.0638423939999999</v>
      </c>
      <c r="AD2110" s="1">
        <v>5.6665831520000003</v>
      </c>
      <c r="AE2110" s="1">
        <v>5.592176748</v>
      </c>
    </row>
    <row r="2111" spans="1:31" x14ac:dyDescent="0.25">
      <c r="A2111" s="1" t="s">
        <v>2218</v>
      </c>
      <c r="B2111" s="1" t="s">
        <v>2598</v>
      </c>
      <c r="C2111" s="1" t="s">
        <v>2599</v>
      </c>
      <c r="D2111" s="1" t="s">
        <v>3080</v>
      </c>
      <c r="E2111" s="1" t="s">
        <v>5748</v>
      </c>
      <c r="F2111" s="1" t="s">
        <v>5749</v>
      </c>
      <c r="G2111" s="1" t="s">
        <v>2218</v>
      </c>
      <c r="H2111" s="1">
        <v>5.0553993879999997</v>
      </c>
      <c r="I2111" s="1">
        <v>4.66484875</v>
      </c>
      <c r="J2111" s="1">
        <v>4.8434621079999998</v>
      </c>
      <c r="K2111" s="1">
        <v>4.8139921829999999</v>
      </c>
      <c r="L2111" s="1">
        <v>4.5867597299999998</v>
      </c>
      <c r="M2111" s="1">
        <v>4.2945656129999996</v>
      </c>
      <c r="N2111" s="1">
        <v>5.5947014570000002</v>
      </c>
      <c r="O2111" s="1">
        <v>5.861353501</v>
      </c>
      <c r="P2111" s="1">
        <v>4.7972962780000001</v>
      </c>
      <c r="Q2111" s="1">
        <v>4.5369064569999997</v>
      </c>
      <c r="R2111" s="1">
        <v>4.6083586160000003</v>
      </c>
      <c r="S2111" s="1">
        <v>4.3135540739999998</v>
      </c>
      <c r="T2111" s="1">
        <v>4.5867597299999998</v>
      </c>
      <c r="U2111" s="1">
        <v>4.2945656129999996</v>
      </c>
      <c r="V2111" s="1">
        <v>4.6987742170000004</v>
      </c>
      <c r="W2111" s="1">
        <v>4.2295768090000001</v>
      </c>
      <c r="X2111" s="1">
        <v>3.8785046219999999</v>
      </c>
      <c r="Y2111" s="1">
        <v>4.6081171230000004</v>
      </c>
      <c r="Z2111" s="1">
        <v>4.6083586160000003</v>
      </c>
      <c r="AA2111" s="1">
        <v>4.3135540739999998</v>
      </c>
      <c r="AB2111" s="1">
        <v>3.990981031</v>
      </c>
      <c r="AC2111" s="1">
        <v>4.415017905</v>
      </c>
      <c r="AD2111" s="1">
        <v>4.7657555159999996</v>
      </c>
      <c r="AE2111" s="1">
        <v>3.8864783150000002</v>
      </c>
    </row>
    <row r="2112" spans="1:31" x14ac:dyDescent="0.25">
      <c r="A2112" s="1" t="s">
        <v>2219</v>
      </c>
      <c r="B2112" s="1" t="s">
        <v>2530</v>
      </c>
      <c r="C2112" s="1" t="s">
        <v>2531</v>
      </c>
      <c r="D2112" s="1" t="s">
        <v>2535</v>
      </c>
      <c r="E2112" s="1" t="s">
        <v>2536</v>
      </c>
      <c r="G2112" s="1" t="s">
        <v>2219</v>
      </c>
      <c r="H2112" s="1">
        <v>4.3886087140000001</v>
      </c>
      <c r="I2112" s="1">
        <v>4.66484875</v>
      </c>
      <c r="J2112" s="1">
        <v>2.8907526730000002</v>
      </c>
      <c r="K2112" s="1">
        <v>2.620638279</v>
      </c>
      <c r="L2112" s="1">
        <v>2.9964092330000001</v>
      </c>
      <c r="M2112" s="1">
        <v>3.169085575</v>
      </c>
      <c r="N2112" s="1">
        <v>4.4510307109999996</v>
      </c>
      <c r="O2112" s="1">
        <v>4.8288877169999997</v>
      </c>
      <c r="P2112" s="1">
        <v>3.3003929539999999</v>
      </c>
      <c r="Q2112" s="1">
        <v>3.56206471</v>
      </c>
      <c r="R2112" s="1">
        <v>3.7109484589999999</v>
      </c>
      <c r="S2112" s="1">
        <v>3.6647387380000001</v>
      </c>
      <c r="T2112" s="1">
        <v>2.9964092330000001</v>
      </c>
      <c r="U2112" s="1">
        <v>3.169085575</v>
      </c>
      <c r="V2112" s="1">
        <v>3.0516113059999999</v>
      </c>
      <c r="W2112" s="1">
        <v>3.50175473</v>
      </c>
      <c r="X2112" s="1">
        <v>3.4131791489999999</v>
      </c>
      <c r="Y2112" s="1">
        <v>3.9087436480000002</v>
      </c>
      <c r="Z2112" s="1">
        <v>3.7109484589999999</v>
      </c>
      <c r="AA2112" s="1">
        <v>3.6647387380000001</v>
      </c>
      <c r="AB2112" s="1">
        <v>3.404153038</v>
      </c>
      <c r="AC2112" s="1">
        <v>2.87258916</v>
      </c>
      <c r="AD2112" s="1">
        <v>3.725077481</v>
      </c>
      <c r="AE2112" s="1">
        <v>3.67472814</v>
      </c>
    </row>
    <row r="2113" spans="1:31" x14ac:dyDescent="0.25">
      <c r="A2113" s="1" t="s">
        <v>2220</v>
      </c>
      <c r="B2113" s="1" t="s">
        <v>2520</v>
      </c>
      <c r="C2113" s="1" t="s">
        <v>2521</v>
      </c>
      <c r="D2113" s="1" t="s">
        <v>2535</v>
      </c>
      <c r="E2113" s="1" t="s">
        <v>5750</v>
      </c>
      <c r="G2113" s="1" t="s">
        <v>2220</v>
      </c>
      <c r="H2113" s="1">
        <v>4.2900513550000001</v>
      </c>
      <c r="I2113" s="1">
        <v>4.5981535630000003</v>
      </c>
      <c r="J2113" s="1">
        <v>3.6453331530000002</v>
      </c>
      <c r="K2113" s="1">
        <v>2.9677134359999999</v>
      </c>
      <c r="L2113" s="1">
        <v>3.918224124</v>
      </c>
      <c r="M2113" s="1">
        <v>3.2940962960000002</v>
      </c>
      <c r="N2113" s="1">
        <v>4.9001796750000004</v>
      </c>
      <c r="O2113" s="1">
        <v>4.4862678239999996</v>
      </c>
      <c r="P2113" s="1">
        <v>4.0684607960000001</v>
      </c>
      <c r="Q2113" s="1">
        <v>3.388910638</v>
      </c>
      <c r="R2113" s="1">
        <v>2.595728008</v>
      </c>
      <c r="S2113" s="1">
        <v>2.5733617299999998</v>
      </c>
      <c r="T2113" s="1">
        <v>3.918224124</v>
      </c>
      <c r="U2113" s="1">
        <v>3.2940962960000002</v>
      </c>
      <c r="V2113" s="1">
        <v>2.8225047829999999</v>
      </c>
      <c r="W2113" s="1">
        <v>3.8431653940000001</v>
      </c>
      <c r="X2113" s="1">
        <v>3.5039136989999999</v>
      </c>
      <c r="Y2113" s="1">
        <v>2.9733498090000001</v>
      </c>
      <c r="Z2113" s="1">
        <v>2.595728008</v>
      </c>
      <c r="AA2113" s="1">
        <v>2.5733617299999998</v>
      </c>
      <c r="AB2113" s="1">
        <v>3.8237667059999998</v>
      </c>
      <c r="AC2113" s="1">
        <v>3.1109927919999998</v>
      </c>
      <c r="AD2113" s="1">
        <v>2.6025990879999998</v>
      </c>
      <c r="AE2113" s="1">
        <v>3.5954838599999999</v>
      </c>
    </row>
    <row r="2114" spans="1:31" x14ac:dyDescent="0.25">
      <c r="A2114" s="1" t="s">
        <v>2227</v>
      </c>
      <c r="B2114" s="1" t="s">
        <v>2557</v>
      </c>
      <c r="C2114" s="1" t="s">
        <v>2658</v>
      </c>
      <c r="D2114" s="1" t="s">
        <v>2659</v>
      </c>
      <c r="E2114" s="1" t="s">
        <v>5751</v>
      </c>
      <c r="F2114" s="1" t="s">
        <v>5752</v>
      </c>
      <c r="G2114" s="1" t="s">
        <v>2227</v>
      </c>
      <c r="H2114" s="1">
        <v>3.8023684370000002</v>
      </c>
      <c r="I2114" s="1">
        <v>3.9003964459999998</v>
      </c>
      <c r="J2114" s="1">
        <v>5.3229940280000001</v>
      </c>
      <c r="K2114" s="1">
        <v>4.7454889089999996</v>
      </c>
      <c r="L2114" s="1">
        <v>5.3172641829999998</v>
      </c>
      <c r="M2114" s="1">
        <v>5.8324912810000002</v>
      </c>
      <c r="N2114" s="1">
        <v>4.0417975630000003</v>
      </c>
      <c r="O2114" s="1">
        <v>3.8071106499999998</v>
      </c>
      <c r="P2114" s="1">
        <v>5.3134950500000002</v>
      </c>
      <c r="Q2114" s="1">
        <v>5.7514994149999996</v>
      </c>
      <c r="R2114" s="1">
        <v>5.6804358580000001</v>
      </c>
      <c r="S2114" s="1">
        <v>5.8890842929999998</v>
      </c>
      <c r="T2114" s="1">
        <v>5.3172641829999998</v>
      </c>
      <c r="U2114" s="1">
        <v>5.8324912810000002</v>
      </c>
      <c r="V2114" s="1">
        <v>4.8566239800000002</v>
      </c>
      <c r="W2114" s="1">
        <v>4.9190341039999996</v>
      </c>
      <c r="X2114" s="1">
        <v>5.7427722369999996</v>
      </c>
      <c r="Y2114" s="1">
        <v>5.0702808140000002</v>
      </c>
      <c r="Z2114" s="1">
        <v>5.6804358580000001</v>
      </c>
      <c r="AA2114" s="1">
        <v>5.8890842929999998</v>
      </c>
      <c r="AB2114" s="1">
        <v>5.5787398220000002</v>
      </c>
      <c r="AC2114" s="1">
        <v>5.6067493529999997</v>
      </c>
      <c r="AD2114" s="1">
        <v>5.1668950269999998</v>
      </c>
      <c r="AE2114" s="1">
        <v>5.0965372069999999</v>
      </c>
    </row>
    <row r="2115" spans="1:31" x14ac:dyDescent="0.25">
      <c r="A2115" s="1" t="s">
        <v>2233</v>
      </c>
      <c r="B2115" s="1" t="s">
        <v>2631</v>
      </c>
      <c r="C2115" s="1" t="s">
        <v>2980</v>
      </c>
      <c r="D2115" s="1" t="s">
        <v>2535</v>
      </c>
      <c r="E2115" s="1" t="s">
        <v>4036</v>
      </c>
      <c r="G2115" s="1" t="s">
        <v>2233</v>
      </c>
      <c r="H2115" s="1">
        <v>6.0673720150000001</v>
      </c>
      <c r="I2115" s="1">
        <v>6.1655807180000002</v>
      </c>
      <c r="J2115" s="1">
        <v>6.6382173169999996</v>
      </c>
      <c r="K2115" s="1">
        <v>6.8874374449999998</v>
      </c>
      <c r="L2115" s="1">
        <v>6.155981819</v>
      </c>
      <c r="M2115" s="1">
        <v>6.0500341449999997</v>
      </c>
      <c r="N2115" s="1">
        <v>6.9043218279999996</v>
      </c>
      <c r="O2115" s="1">
        <v>6.6046537970000001</v>
      </c>
      <c r="P2115" s="1">
        <v>6.0847091730000002</v>
      </c>
      <c r="Q2115" s="1">
        <v>6.3122380549999999</v>
      </c>
      <c r="R2115" s="1">
        <v>6.532477096</v>
      </c>
      <c r="S2115" s="1">
        <v>6.0973467069999998</v>
      </c>
      <c r="T2115" s="1">
        <v>6.155981819</v>
      </c>
      <c r="U2115" s="1">
        <v>6.0500341449999997</v>
      </c>
      <c r="V2115" s="1">
        <v>6.0372236819999996</v>
      </c>
      <c r="W2115" s="1">
        <v>6.0977940090000002</v>
      </c>
      <c r="X2115" s="1">
        <v>6.0611663609999997</v>
      </c>
      <c r="Y2115" s="1">
        <v>5.9611531490000003</v>
      </c>
      <c r="Z2115" s="1">
        <v>6.532477096</v>
      </c>
      <c r="AA2115" s="1">
        <v>6.0973467069999998</v>
      </c>
      <c r="AB2115" s="1">
        <v>5.8098709350000002</v>
      </c>
      <c r="AC2115" s="1">
        <v>6.2044385320000002</v>
      </c>
      <c r="AD2115" s="1">
        <v>5.893524276</v>
      </c>
      <c r="AE2115" s="1">
        <v>5.7708285269999999</v>
      </c>
    </row>
    <row r="2116" spans="1:31" x14ac:dyDescent="0.25">
      <c r="A2116" s="1" t="s">
        <v>2236</v>
      </c>
      <c r="B2116" s="1" t="s">
        <v>2525</v>
      </c>
      <c r="C2116" s="1" t="s">
        <v>5753</v>
      </c>
      <c r="D2116" s="1" t="s">
        <v>5754</v>
      </c>
      <c r="E2116" s="1" t="s">
        <v>5755</v>
      </c>
      <c r="F2116" s="1" t="s">
        <v>5756</v>
      </c>
      <c r="G2116" s="1" t="s">
        <v>2236</v>
      </c>
      <c r="H2116" s="1">
        <v>3.6455184960000002</v>
      </c>
      <c r="I2116" s="1">
        <v>3.3322126910000001</v>
      </c>
      <c r="J2116" s="1">
        <v>3.329519721</v>
      </c>
      <c r="K2116" s="1">
        <v>2.620638279</v>
      </c>
      <c r="L2116" s="1">
        <v>3.6142294740000001</v>
      </c>
      <c r="M2116" s="1">
        <v>3.5095973119999999</v>
      </c>
      <c r="N2116" s="1">
        <v>3.1147763629999998</v>
      </c>
      <c r="O2116" s="1">
        <v>3.434496577</v>
      </c>
      <c r="P2116" s="1">
        <v>2.8687501260000001</v>
      </c>
      <c r="Q2116" s="1">
        <v>3.185675432</v>
      </c>
      <c r="R2116" s="1">
        <v>3.386455024</v>
      </c>
      <c r="S2116" s="1">
        <v>3.1475403900000001</v>
      </c>
      <c r="T2116" s="1">
        <v>3.6142294740000001</v>
      </c>
      <c r="U2116" s="1">
        <v>3.5095973119999999</v>
      </c>
      <c r="V2116" s="1">
        <v>3.2389700330000002</v>
      </c>
      <c r="W2116" s="1">
        <v>3.0218530750000001</v>
      </c>
      <c r="X2116" s="1">
        <v>3.5039136989999999</v>
      </c>
      <c r="Y2116" s="1">
        <v>1.7393328349999999</v>
      </c>
      <c r="Z2116" s="1">
        <v>3.386455024</v>
      </c>
      <c r="AA2116" s="1">
        <v>3.1475403900000001</v>
      </c>
      <c r="AB2116" s="1">
        <v>2.73487305</v>
      </c>
      <c r="AC2116" s="1">
        <v>3.3054795530000001</v>
      </c>
      <c r="AD2116" s="1">
        <v>3.1944880649999998</v>
      </c>
      <c r="AE2116" s="1">
        <v>3.213378847</v>
      </c>
    </row>
    <row r="2117" spans="1:31" x14ac:dyDescent="0.25">
      <c r="A2117" s="1" t="s">
        <v>2239</v>
      </c>
      <c r="B2117" s="1" t="s">
        <v>2547</v>
      </c>
      <c r="C2117" s="1" t="s">
        <v>2675</v>
      </c>
      <c r="D2117" s="1" t="s">
        <v>2535</v>
      </c>
      <c r="E2117" s="1" t="s">
        <v>5757</v>
      </c>
      <c r="F2117" s="1" t="s">
        <v>5758</v>
      </c>
      <c r="G2117" s="1" t="s">
        <v>2239</v>
      </c>
      <c r="H2117" s="1">
        <v>5.3232649629999997</v>
      </c>
      <c r="I2117" s="1">
        <v>5.6535958219999998</v>
      </c>
      <c r="J2117" s="1">
        <v>4.7851628320000001</v>
      </c>
      <c r="K2117" s="1">
        <v>5.3151275040000003</v>
      </c>
      <c r="L2117" s="1">
        <v>5.680061308</v>
      </c>
      <c r="M2117" s="1">
        <v>5.3915279009999999</v>
      </c>
      <c r="N2117" s="1">
        <v>5.1081614489999998</v>
      </c>
      <c r="O2117" s="1">
        <v>5.0070106360000004</v>
      </c>
      <c r="P2117" s="1">
        <v>5.5318451900000003</v>
      </c>
      <c r="Q2117" s="1">
        <v>5.1511590549999999</v>
      </c>
      <c r="R2117" s="1">
        <v>4.8735636449999999</v>
      </c>
      <c r="S2117" s="1">
        <v>5.2672271329999996</v>
      </c>
      <c r="T2117" s="1">
        <v>5.680061308</v>
      </c>
      <c r="U2117" s="1">
        <v>5.3915279009999999</v>
      </c>
      <c r="V2117" s="1">
        <v>5.6676649780000004</v>
      </c>
      <c r="W2117" s="1">
        <v>5.427589942</v>
      </c>
      <c r="X2117" s="1">
        <v>4.8203448399999997</v>
      </c>
      <c r="Y2117" s="1">
        <v>5.2297915760000002</v>
      </c>
      <c r="Z2117" s="1">
        <v>4.8735636449999999</v>
      </c>
      <c r="AA2117" s="1">
        <v>5.2672271329999996</v>
      </c>
      <c r="AB2117" s="1">
        <v>4.3946012420000002</v>
      </c>
      <c r="AC2117" s="1">
        <v>4.4881955270000002</v>
      </c>
      <c r="AD2117" s="1">
        <v>4.95179218</v>
      </c>
      <c r="AE2117" s="1">
        <v>4.8303216779999998</v>
      </c>
    </row>
    <row r="2118" spans="1:31" x14ac:dyDescent="0.25">
      <c r="A2118" s="1" t="s">
        <v>2240</v>
      </c>
      <c r="B2118" s="1" t="s">
        <v>2547</v>
      </c>
      <c r="C2118" s="1" t="s">
        <v>2566</v>
      </c>
      <c r="D2118" s="1" t="s">
        <v>2535</v>
      </c>
      <c r="E2118" s="1" t="s">
        <v>4900</v>
      </c>
      <c r="G2118" s="1" t="s">
        <v>2240</v>
      </c>
      <c r="H2118" s="1">
        <v>6.2573638139999996</v>
      </c>
      <c r="I2118" s="1">
        <v>5.8358262759999997</v>
      </c>
      <c r="J2118" s="1">
        <v>6.6382173169999996</v>
      </c>
      <c r="K2118" s="1">
        <v>6.2465923569999999</v>
      </c>
      <c r="L2118" s="1">
        <v>6.595789678</v>
      </c>
      <c r="M2118" s="1">
        <v>6.3564838049999999</v>
      </c>
      <c r="N2118" s="1">
        <v>6.1558623460000002</v>
      </c>
      <c r="O2118" s="1">
        <v>6.5025563220000002</v>
      </c>
      <c r="P2118" s="1">
        <v>6.5340672829999997</v>
      </c>
      <c r="Q2118" s="1">
        <v>6.6461070910000002</v>
      </c>
      <c r="R2118" s="1">
        <v>6.474614356</v>
      </c>
      <c r="S2118" s="1">
        <v>6.7791357530000003</v>
      </c>
      <c r="T2118" s="1">
        <v>6.595789678</v>
      </c>
      <c r="U2118" s="1">
        <v>6.3564838049999999</v>
      </c>
      <c r="V2118" s="1">
        <v>6.276714932</v>
      </c>
      <c r="W2118" s="1">
        <v>6.6164205459999996</v>
      </c>
      <c r="X2118" s="1">
        <v>6.7584266409999998</v>
      </c>
      <c r="Y2118" s="1">
        <v>6.3541670720000001</v>
      </c>
      <c r="Z2118" s="1">
        <v>6.474614356</v>
      </c>
      <c r="AA2118" s="1">
        <v>6.7791357530000003</v>
      </c>
      <c r="AB2118" s="1">
        <v>6.9153848929999997</v>
      </c>
      <c r="AC2118" s="1">
        <v>6.7468364870000004</v>
      </c>
      <c r="AD2118" s="1">
        <v>6.9202883980000003</v>
      </c>
      <c r="AE2118" s="1">
        <v>6.736410029</v>
      </c>
    </row>
    <row r="2119" spans="1:31" x14ac:dyDescent="0.25">
      <c r="A2119" s="1" t="s">
        <v>2241</v>
      </c>
      <c r="B2119" s="1" t="s">
        <v>2598</v>
      </c>
      <c r="C2119" s="1" t="s">
        <v>2603</v>
      </c>
      <c r="D2119" s="1" t="s">
        <v>2535</v>
      </c>
      <c r="E2119" s="1" t="s">
        <v>5759</v>
      </c>
      <c r="G2119" s="1" t="s">
        <v>2241</v>
      </c>
      <c r="H2119" s="1">
        <v>1.7393328349999999</v>
      </c>
      <c r="I2119" s="1">
        <v>2.5655118899999998</v>
      </c>
      <c r="J2119" s="1">
        <v>2.5640169199999998</v>
      </c>
      <c r="K2119" s="1">
        <v>1.7393328349999999</v>
      </c>
      <c r="L2119" s="1">
        <v>1.7393328349999999</v>
      </c>
      <c r="M2119" s="1">
        <v>1.7393328349999999</v>
      </c>
      <c r="N2119" s="1">
        <v>2.372908427</v>
      </c>
      <c r="O2119" s="1">
        <v>1.7393328349999999</v>
      </c>
      <c r="P2119" s="1">
        <v>2.5478783159999998</v>
      </c>
      <c r="Q2119" s="1">
        <v>1.7393328349999999</v>
      </c>
      <c r="R2119" s="1">
        <v>2.595728008</v>
      </c>
      <c r="S2119" s="1">
        <v>2.5733617299999998</v>
      </c>
      <c r="T2119" s="1">
        <v>1.7393328349999999</v>
      </c>
      <c r="U2119" s="1">
        <v>1.7393328349999999</v>
      </c>
      <c r="V2119" s="1">
        <v>1.7393328349999999</v>
      </c>
      <c r="W2119" s="1">
        <v>1.7393328349999999</v>
      </c>
      <c r="X2119" s="1">
        <v>1.7393328349999999</v>
      </c>
      <c r="Y2119" s="1">
        <v>1.7393328349999999</v>
      </c>
      <c r="Z2119" s="1">
        <v>2.595728008</v>
      </c>
      <c r="AA2119" s="1">
        <v>2.5733617299999998</v>
      </c>
      <c r="AB2119" s="1">
        <v>1.7393328349999999</v>
      </c>
      <c r="AC2119" s="1">
        <v>1.7393328349999999</v>
      </c>
      <c r="AD2119" s="1">
        <v>1.7393328349999999</v>
      </c>
      <c r="AE2119" s="1">
        <v>2.3627668220000002</v>
      </c>
    </row>
    <row r="2120" spans="1:31" x14ac:dyDescent="0.25">
      <c r="A2120" s="1" t="s">
        <v>2246</v>
      </c>
      <c r="B2120" s="1" t="s">
        <v>2557</v>
      </c>
      <c r="C2120" s="1" t="s">
        <v>2680</v>
      </c>
      <c r="D2120" s="1" t="s">
        <v>5760</v>
      </c>
      <c r="E2120" s="1" t="s">
        <v>5761</v>
      </c>
      <c r="F2120" s="1" t="s">
        <v>5762</v>
      </c>
      <c r="G2120" s="1" t="s">
        <v>2246</v>
      </c>
      <c r="H2120" s="1">
        <v>6.9964650620000004</v>
      </c>
      <c r="I2120" s="1">
        <v>7.0632988579999996</v>
      </c>
      <c r="J2120" s="1">
        <v>7.4492807719999998</v>
      </c>
      <c r="K2120" s="1">
        <v>7.8226763110000004</v>
      </c>
      <c r="L2120" s="1">
        <v>7.9349964100000001</v>
      </c>
      <c r="M2120" s="1">
        <v>7.699896818</v>
      </c>
      <c r="N2120" s="1">
        <v>7.8022993559999998</v>
      </c>
      <c r="O2120" s="1">
        <v>7.5668681449999999</v>
      </c>
      <c r="P2120" s="1">
        <v>7.4294854240000001</v>
      </c>
      <c r="Q2120" s="1">
        <v>7.5145739430000003</v>
      </c>
      <c r="R2120" s="1">
        <v>7.347722954</v>
      </c>
      <c r="S2120" s="1">
        <v>7.4721490179999996</v>
      </c>
      <c r="T2120" s="1">
        <v>7.9349964100000001</v>
      </c>
      <c r="U2120" s="1">
        <v>7.699896818</v>
      </c>
      <c r="V2120" s="1">
        <v>7.4692907550000003</v>
      </c>
      <c r="W2120" s="1">
        <v>7.2314139690000001</v>
      </c>
      <c r="X2120" s="1">
        <v>7.8617620979999998</v>
      </c>
      <c r="Y2120" s="1">
        <v>7.5468792069999999</v>
      </c>
      <c r="Z2120" s="1">
        <v>7.347722954</v>
      </c>
      <c r="AA2120" s="1">
        <v>7.4721490179999996</v>
      </c>
      <c r="AB2120" s="1">
        <v>7.5461211700000002</v>
      </c>
      <c r="AC2120" s="1">
        <v>7.5097542229999998</v>
      </c>
      <c r="AD2120" s="1">
        <v>7.7711786429999998</v>
      </c>
      <c r="AE2120" s="1">
        <v>7.6097491980000003</v>
      </c>
    </row>
    <row r="2121" spans="1:31" x14ac:dyDescent="0.25">
      <c r="A2121" s="1" t="s">
        <v>2247</v>
      </c>
      <c r="B2121" s="1" t="s">
        <v>2530</v>
      </c>
      <c r="C2121" s="1" t="s">
        <v>2531</v>
      </c>
      <c r="D2121" s="1" t="s">
        <v>2535</v>
      </c>
      <c r="E2121" s="1" t="s">
        <v>2536</v>
      </c>
      <c r="G2121" s="1" t="s">
        <v>2247</v>
      </c>
      <c r="H2121" s="1">
        <v>6.3073323200000004</v>
      </c>
      <c r="I2121" s="1">
        <v>5.9717652650000002</v>
      </c>
      <c r="J2121" s="1">
        <v>5.5483108110000003</v>
      </c>
      <c r="K2121" s="1">
        <v>5.8552832600000002</v>
      </c>
      <c r="L2121" s="1">
        <v>5.4665443290000004</v>
      </c>
      <c r="M2121" s="1">
        <v>5.5095176620000004</v>
      </c>
      <c r="N2121" s="1">
        <v>6.5582948950000004</v>
      </c>
      <c r="O2121" s="1">
        <v>6.3277659169999998</v>
      </c>
      <c r="P2121" s="1">
        <v>5.3900565609999997</v>
      </c>
      <c r="Q2121" s="1">
        <v>5.3805263300000004</v>
      </c>
      <c r="R2121" s="1">
        <v>5.3764768539999999</v>
      </c>
      <c r="S2121" s="1">
        <v>5.505875713</v>
      </c>
      <c r="T2121" s="1">
        <v>5.4665443290000004</v>
      </c>
      <c r="U2121" s="1">
        <v>5.5095176620000004</v>
      </c>
      <c r="V2121" s="1">
        <v>5.2072842770000003</v>
      </c>
      <c r="W2121" s="1">
        <v>3.9848641250000001</v>
      </c>
      <c r="X2121" s="1">
        <v>5.8411798890000002</v>
      </c>
      <c r="Y2121" s="1">
        <v>4.8904630100000004</v>
      </c>
      <c r="Z2121" s="1">
        <v>5.3764768539999999</v>
      </c>
      <c r="AA2121" s="1">
        <v>5.505875713</v>
      </c>
      <c r="AB2121" s="1">
        <v>5.4746970709999996</v>
      </c>
      <c r="AC2121" s="1">
        <v>5.1552886820000001</v>
      </c>
      <c r="AD2121" s="1">
        <v>5.396704357</v>
      </c>
      <c r="AE2121" s="1">
        <v>5.3433438500000001</v>
      </c>
    </row>
    <row r="2122" spans="1:31" x14ac:dyDescent="0.25">
      <c r="A2122" s="1" t="s">
        <v>2250</v>
      </c>
      <c r="B2122" s="1" t="s">
        <v>2530</v>
      </c>
      <c r="C2122" s="1" t="s">
        <v>2573</v>
      </c>
      <c r="D2122" s="1" t="s">
        <v>2535</v>
      </c>
      <c r="E2122" s="1" t="s">
        <v>5763</v>
      </c>
      <c r="G2122" s="1" t="s">
        <v>2250</v>
      </c>
      <c r="H2122" s="1">
        <v>4.4805534380000003</v>
      </c>
      <c r="I2122" s="1">
        <v>3.6484415459999999</v>
      </c>
      <c r="J2122" s="1">
        <v>4.5940881259999999</v>
      </c>
      <c r="K2122" s="1">
        <v>4.8139921829999999</v>
      </c>
      <c r="L2122" s="1">
        <v>4.7429188570000003</v>
      </c>
      <c r="M2122" s="1">
        <v>5.2356861500000003</v>
      </c>
      <c r="N2122" s="1">
        <v>3.7025667929999999</v>
      </c>
      <c r="O2122" s="1">
        <v>3.7238257350000001</v>
      </c>
      <c r="P2122" s="1">
        <v>4.5499605860000001</v>
      </c>
      <c r="Q2122" s="1">
        <v>4.2835653880000004</v>
      </c>
      <c r="R2122" s="1">
        <v>5.2891602459999998</v>
      </c>
      <c r="S2122" s="1">
        <v>4.8114074450000004</v>
      </c>
      <c r="T2122" s="1">
        <v>4.7429188570000003</v>
      </c>
      <c r="U2122" s="1">
        <v>5.2356861500000003</v>
      </c>
      <c r="V2122" s="1">
        <v>5.0857495259999999</v>
      </c>
      <c r="W2122" s="1">
        <v>5.4743148909999997</v>
      </c>
      <c r="X2122" s="1">
        <v>5.4828239310000004</v>
      </c>
      <c r="Y2122" s="1">
        <v>5.6604650660000004</v>
      </c>
      <c r="Z2122" s="1">
        <v>5.2891602459999998</v>
      </c>
      <c r="AA2122" s="1">
        <v>4.8114074450000004</v>
      </c>
      <c r="AB2122" s="1">
        <v>5.4196851610000003</v>
      </c>
      <c r="AC2122" s="1">
        <v>5.2411914069999996</v>
      </c>
      <c r="AD2122" s="1">
        <v>5.5186611069999998</v>
      </c>
      <c r="AE2122" s="1">
        <v>4.9247587419999999</v>
      </c>
    </row>
    <row r="2123" spans="1:31" x14ac:dyDescent="0.25">
      <c r="A2123" s="1" t="s">
        <v>2251</v>
      </c>
      <c r="B2123" s="1" t="s">
        <v>2530</v>
      </c>
      <c r="C2123" s="1" t="s">
        <v>2531</v>
      </c>
      <c r="D2123" s="1" t="s">
        <v>2535</v>
      </c>
      <c r="E2123" s="1" t="s">
        <v>5764</v>
      </c>
      <c r="G2123" s="1" t="s">
        <v>2251</v>
      </c>
      <c r="H2123" s="1">
        <v>3.8023684370000002</v>
      </c>
      <c r="I2123" s="1">
        <v>4.4542943209999999</v>
      </c>
      <c r="J2123" s="1">
        <v>4.3724365990000003</v>
      </c>
      <c r="K2123" s="1">
        <v>4.5974987220000001</v>
      </c>
      <c r="L2123" s="1">
        <v>4.6825378889999998</v>
      </c>
      <c r="M2123" s="1">
        <v>4.7490378550000001</v>
      </c>
      <c r="N2123" s="1">
        <v>3.9164981490000002</v>
      </c>
      <c r="O2123" s="1">
        <v>4.0289865369999998</v>
      </c>
      <c r="P2123" s="1">
        <v>5.0074447400000004</v>
      </c>
      <c r="Q2123" s="1">
        <v>4.18747588</v>
      </c>
      <c r="R2123" s="1">
        <v>4.6083586160000003</v>
      </c>
      <c r="S2123" s="1">
        <v>4.1304223819999999</v>
      </c>
      <c r="T2123" s="1">
        <v>4.6825378889999998</v>
      </c>
      <c r="U2123" s="1">
        <v>4.7490378550000001</v>
      </c>
      <c r="V2123" s="1">
        <v>3.9849921849999999</v>
      </c>
      <c r="W2123" s="1">
        <v>4.5296290450000001</v>
      </c>
      <c r="X2123" s="1">
        <v>4.4502657640000001</v>
      </c>
      <c r="Y2123" s="1">
        <v>4.6081171230000004</v>
      </c>
      <c r="Z2123" s="1">
        <v>4.6083586160000003</v>
      </c>
      <c r="AA2123" s="1">
        <v>4.1304223819999999</v>
      </c>
      <c r="AB2123" s="1">
        <v>4.6096720080000004</v>
      </c>
      <c r="AC2123" s="1">
        <v>4.7474570290000004</v>
      </c>
      <c r="AD2123" s="1">
        <v>5.0634297190000002</v>
      </c>
      <c r="AE2123" s="1">
        <v>5.2497036230000003</v>
      </c>
    </row>
    <row r="2124" spans="1:31" x14ac:dyDescent="0.25">
      <c r="A2124" s="1" t="s">
        <v>2255</v>
      </c>
      <c r="B2124" s="1" t="s">
        <v>2557</v>
      </c>
      <c r="C2124" s="1" t="s">
        <v>2658</v>
      </c>
      <c r="D2124" s="1" t="s">
        <v>3418</v>
      </c>
      <c r="E2124" s="1" t="s">
        <v>5765</v>
      </c>
      <c r="F2124" s="1" t="s">
        <v>5766</v>
      </c>
      <c r="G2124" s="1" t="s">
        <v>2255</v>
      </c>
      <c r="H2124" s="1">
        <v>3.9421380259999999</v>
      </c>
      <c r="I2124" s="1">
        <v>4.5280931029999998</v>
      </c>
      <c r="J2124" s="1">
        <v>4.8434621079999998</v>
      </c>
      <c r="K2124" s="1">
        <v>4.0244910950000001</v>
      </c>
      <c r="L2124" s="1">
        <v>5.4665443290000004</v>
      </c>
      <c r="M2124" s="1">
        <v>5.2356861500000003</v>
      </c>
      <c r="N2124" s="1">
        <v>5.1887139119999999</v>
      </c>
      <c r="O2124" s="1">
        <v>4.1585876539999997</v>
      </c>
      <c r="P2124" s="1">
        <v>5.2736118430000003</v>
      </c>
      <c r="Q2124" s="1">
        <v>4.9365262349999997</v>
      </c>
      <c r="R2124" s="1">
        <v>4.9327063119999996</v>
      </c>
      <c r="S2124" s="1">
        <v>5.1778667870000001</v>
      </c>
      <c r="T2124" s="1">
        <v>5.4665443290000004</v>
      </c>
      <c r="U2124" s="1">
        <v>5.2356861500000003</v>
      </c>
      <c r="V2124" s="1">
        <v>5.7495972609999999</v>
      </c>
      <c r="W2124" s="1">
        <v>5.6874298530000003</v>
      </c>
      <c r="X2124" s="1">
        <v>6.2518750860000001</v>
      </c>
      <c r="Y2124" s="1">
        <v>6.0488320509999998</v>
      </c>
      <c r="Z2124" s="1">
        <v>4.9327063119999996</v>
      </c>
      <c r="AA2124" s="1">
        <v>5.1778667870000001</v>
      </c>
      <c r="AB2124" s="1">
        <v>5.675717079</v>
      </c>
      <c r="AC2124" s="1">
        <v>5.8975684140000002</v>
      </c>
      <c r="AD2124" s="1">
        <v>6.3296964060000001</v>
      </c>
      <c r="AE2124" s="1">
        <v>5.8992559069999997</v>
      </c>
    </row>
    <row r="2125" spans="1:31" x14ac:dyDescent="0.25">
      <c r="A2125" s="1" t="s">
        <v>2264</v>
      </c>
      <c r="B2125" s="1" t="s">
        <v>2598</v>
      </c>
      <c r="C2125" s="1" t="s">
        <v>2603</v>
      </c>
      <c r="D2125" s="1" t="s">
        <v>4031</v>
      </c>
      <c r="E2125" s="1" t="s">
        <v>5767</v>
      </c>
      <c r="F2125" s="1" t="s">
        <v>5768</v>
      </c>
      <c r="G2125" s="1" t="s">
        <v>2264</v>
      </c>
      <c r="H2125" s="1">
        <v>5.5062820300000004</v>
      </c>
      <c r="I2125" s="1">
        <v>5.7476087250000001</v>
      </c>
      <c r="J2125" s="1">
        <v>4.2898244959999996</v>
      </c>
      <c r="K2125" s="1">
        <v>4.8139921829999999</v>
      </c>
      <c r="L2125" s="1">
        <v>4.5867597299999998</v>
      </c>
      <c r="M2125" s="1">
        <v>5.0606078119999998</v>
      </c>
      <c r="N2125" s="1">
        <v>4.5776172920000002</v>
      </c>
      <c r="O2125" s="1">
        <v>4.7100516409999997</v>
      </c>
      <c r="P2125" s="1">
        <v>4.4075207919999997</v>
      </c>
      <c r="Q2125" s="1">
        <v>4.5369064569999997</v>
      </c>
      <c r="R2125" s="1">
        <v>4.5333476509999997</v>
      </c>
      <c r="S2125" s="1">
        <v>4.6194390810000003</v>
      </c>
      <c r="T2125" s="1">
        <v>4.5867597299999998</v>
      </c>
      <c r="U2125" s="1">
        <v>5.0606078119999998</v>
      </c>
      <c r="V2125" s="1">
        <v>3.7819764450000002</v>
      </c>
      <c r="W2125" s="1">
        <v>3.9848641250000001</v>
      </c>
      <c r="X2125" s="1">
        <v>4.3167291810000004</v>
      </c>
      <c r="Y2125" s="1">
        <v>4.3509215530000001</v>
      </c>
      <c r="Z2125" s="1">
        <v>4.5333476509999997</v>
      </c>
      <c r="AA2125" s="1">
        <v>4.6194390810000003</v>
      </c>
      <c r="AB2125" s="1">
        <v>3.8237667059999998</v>
      </c>
      <c r="AC2125" s="1">
        <v>4.2557864319999998</v>
      </c>
      <c r="AD2125" s="1">
        <v>3.984188064</v>
      </c>
      <c r="AE2125" s="1">
        <v>4.8625108150000003</v>
      </c>
    </row>
    <row r="2126" spans="1:31" x14ac:dyDescent="0.25">
      <c r="A2126" s="1" t="s">
        <v>2265</v>
      </c>
      <c r="B2126" s="1" t="s">
        <v>2547</v>
      </c>
      <c r="C2126" s="1" t="s">
        <v>2622</v>
      </c>
      <c r="D2126" s="1" t="s">
        <v>2535</v>
      </c>
      <c r="E2126" s="1" t="s">
        <v>5267</v>
      </c>
      <c r="G2126" s="1" t="s">
        <v>2265</v>
      </c>
      <c r="H2126" s="1">
        <v>6.5956218609999997</v>
      </c>
      <c r="I2126" s="1">
        <v>6.3563108719999999</v>
      </c>
      <c r="J2126" s="1">
        <v>6.2270996539999999</v>
      </c>
      <c r="K2126" s="1">
        <v>6.6307692840000003</v>
      </c>
      <c r="L2126" s="1">
        <v>6.469468451</v>
      </c>
      <c r="M2126" s="1">
        <v>6.5109621640000004</v>
      </c>
      <c r="N2126" s="1">
        <v>6.9660750880000002</v>
      </c>
      <c r="O2126" s="1">
        <v>6.4052906920000003</v>
      </c>
      <c r="P2126" s="1">
        <v>6.4653336469999996</v>
      </c>
      <c r="Q2126" s="1">
        <v>6.4985786230000002</v>
      </c>
      <c r="R2126" s="1">
        <v>6.3078659510000001</v>
      </c>
      <c r="S2126" s="1">
        <v>6.3003852350000003</v>
      </c>
      <c r="T2126" s="1">
        <v>6.469468451</v>
      </c>
      <c r="U2126" s="1">
        <v>6.5109621640000004</v>
      </c>
      <c r="V2126" s="1">
        <v>7.0207244439999998</v>
      </c>
      <c r="W2126" s="1">
        <v>6.8980132320000003</v>
      </c>
      <c r="X2126" s="1">
        <v>6.3662625530000003</v>
      </c>
      <c r="Y2126" s="1">
        <v>6.8365428660000003</v>
      </c>
      <c r="Z2126" s="1">
        <v>6.3078659510000001</v>
      </c>
      <c r="AA2126" s="1">
        <v>6.3003852350000003</v>
      </c>
      <c r="AB2126" s="1">
        <v>6.3685053089999997</v>
      </c>
      <c r="AC2126" s="1">
        <v>6.139219926</v>
      </c>
      <c r="AD2126" s="1">
        <v>6.554572984</v>
      </c>
      <c r="AE2126" s="1">
        <v>6.1901317870000003</v>
      </c>
    </row>
    <row r="2127" spans="1:31" x14ac:dyDescent="0.25">
      <c r="A2127" s="1" t="s">
        <v>2266</v>
      </c>
      <c r="B2127" s="1" t="s">
        <v>2539</v>
      </c>
      <c r="C2127" s="1" t="s">
        <v>2606</v>
      </c>
      <c r="D2127" s="1" t="s">
        <v>2535</v>
      </c>
      <c r="E2127" s="1" t="s">
        <v>5769</v>
      </c>
      <c r="F2127" s="1" t="s">
        <v>5770</v>
      </c>
      <c r="G2127" s="1" t="s">
        <v>2266</v>
      </c>
      <c r="H2127" s="1">
        <v>3.2549621289999999</v>
      </c>
      <c r="I2127" s="1">
        <v>4.1114152529999997</v>
      </c>
      <c r="J2127" s="1">
        <v>4.3724365990000003</v>
      </c>
      <c r="K2127" s="1">
        <v>3.4309024589999999</v>
      </c>
      <c r="L2127" s="1">
        <v>6.0539165129999999</v>
      </c>
      <c r="M2127" s="1">
        <v>5.4866876930000004</v>
      </c>
      <c r="N2127" s="1">
        <v>5.3135718379999997</v>
      </c>
      <c r="O2127" s="1">
        <v>4.9384407589999997</v>
      </c>
      <c r="P2127" s="1">
        <v>4.7394495640000001</v>
      </c>
      <c r="Q2127" s="1">
        <v>4.3733115800000002</v>
      </c>
      <c r="R2127" s="1">
        <v>5.0965654090000001</v>
      </c>
      <c r="S2127" s="1">
        <v>4.4749637470000003</v>
      </c>
      <c r="T2127" s="1">
        <v>6.0539165129999999</v>
      </c>
      <c r="U2127" s="1">
        <v>5.4866876930000004</v>
      </c>
      <c r="V2127" s="1">
        <v>4.1608706030000002</v>
      </c>
      <c r="W2127" s="1">
        <v>3.50175473</v>
      </c>
      <c r="X2127" s="1">
        <v>5.1899342839999996</v>
      </c>
      <c r="Y2127" s="1">
        <v>4.2532353330000001</v>
      </c>
      <c r="Z2127" s="1">
        <v>5.0965654090000001</v>
      </c>
      <c r="AA2127" s="1">
        <v>4.4749637470000003</v>
      </c>
      <c r="AB2127" s="1">
        <v>4.705867896</v>
      </c>
      <c r="AC2127" s="1">
        <v>5.0158027430000001</v>
      </c>
      <c r="AD2127" s="1">
        <v>4.83054469</v>
      </c>
      <c r="AE2127" s="1">
        <v>4.3257514669999999</v>
      </c>
    </row>
    <row r="2128" spans="1:31" x14ac:dyDescent="0.25">
      <c r="A2128" s="1" t="s">
        <v>2267</v>
      </c>
      <c r="B2128" s="1" t="s">
        <v>2530</v>
      </c>
      <c r="C2128" s="1" t="s">
        <v>2531</v>
      </c>
      <c r="D2128" s="1" t="s">
        <v>2535</v>
      </c>
      <c r="E2128" s="1" t="s">
        <v>2536</v>
      </c>
      <c r="G2128" s="1" t="s">
        <v>2267</v>
      </c>
      <c r="H2128" s="1">
        <v>2.9945681560000001</v>
      </c>
      <c r="I2128" s="1">
        <v>4.0101074990000001</v>
      </c>
      <c r="J2128" s="1">
        <v>2.5640169199999998</v>
      </c>
      <c r="K2128" s="1">
        <v>2.620638279</v>
      </c>
      <c r="L2128" s="1">
        <v>2.8704126319999999</v>
      </c>
      <c r="M2128" s="1">
        <v>1.7393328349999999</v>
      </c>
      <c r="N2128" s="1">
        <v>3.7779028299999999</v>
      </c>
      <c r="O2128" s="1">
        <v>2.6816282820000001</v>
      </c>
      <c r="P2128" s="1">
        <v>2.8687501260000001</v>
      </c>
      <c r="Q2128" s="1">
        <v>2.935765398</v>
      </c>
      <c r="R2128" s="1">
        <v>3.386455024</v>
      </c>
      <c r="S2128" s="1">
        <v>3.3463386960000001</v>
      </c>
      <c r="T2128" s="1">
        <v>2.8704126319999999</v>
      </c>
      <c r="U2128" s="1">
        <v>1.7393328349999999</v>
      </c>
      <c r="V2128" s="1">
        <v>2.8225047829999999</v>
      </c>
      <c r="W2128" s="1">
        <v>2.6606351240000001</v>
      </c>
      <c r="X2128" s="1">
        <v>3.2074401739999998</v>
      </c>
      <c r="Y2128" s="1">
        <v>1.7393328349999999</v>
      </c>
      <c r="Z2128" s="1">
        <v>3.386455024</v>
      </c>
      <c r="AA2128" s="1">
        <v>3.3463386960000001</v>
      </c>
      <c r="AB2128" s="1">
        <v>2.73487305</v>
      </c>
      <c r="AC2128" s="1">
        <v>2.5506926650000001</v>
      </c>
      <c r="AD2128" s="1">
        <v>2.6025990879999998</v>
      </c>
      <c r="AE2128" s="1">
        <v>3.419797387</v>
      </c>
    </row>
    <row r="2129" spans="1:31" x14ac:dyDescent="0.25">
      <c r="A2129" s="1" t="s">
        <v>2268</v>
      </c>
      <c r="B2129" s="1" t="s">
        <v>2598</v>
      </c>
      <c r="C2129" s="1" t="s">
        <v>2603</v>
      </c>
      <c r="D2129" s="1" t="s">
        <v>4366</v>
      </c>
      <c r="E2129" s="1" t="s">
        <v>5771</v>
      </c>
      <c r="F2129" s="1" t="s">
        <v>5772</v>
      </c>
      <c r="G2129" s="1" t="s">
        <v>2268</v>
      </c>
      <c r="H2129" s="1">
        <v>6.5753846300000003</v>
      </c>
      <c r="I2129" s="1">
        <v>6.4522693780000004</v>
      </c>
      <c r="J2129" s="1">
        <v>6.0670821549999996</v>
      </c>
      <c r="K2129" s="1">
        <v>5.7895293819999996</v>
      </c>
      <c r="L2129" s="1">
        <v>6.7119128349999997</v>
      </c>
      <c r="M2129" s="1">
        <v>6.4417193250000002</v>
      </c>
      <c r="N2129" s="1">
        <v>6.2458658810000003</v>
      </c>
      <c r="O2129" s="1">
        <v>6.2873774889999998</v>
      </c>
      <c r="P2129" s="1">
        <v>6.2573947350000001</v>
      </c>
      <c r="Q2129" s="1">
        <v>6.2673322389999999</v>
      </c>
      <c r="R2129" s="1">
        <v>6.532477096</v>
      </c>
      <c r="S2129" s="1">
        <v>6.3418583389999998</v>
      </c>
      <c r="T2129" s="1">
        <v>6.7119128349999997</v>
      </c>
      <c r="U2129" s="1">
        <v>6.4417193250000002</v>
      </c>
      <c r="V2129" s="1">
        <v>6.9418646219999998</v>
      </c>
      <c r="W2129" s="1">
        <v>6.7734156700000003</v>
      </c>
      <c r="X2129" s="1">
        <v>6.3772162630000002</v>
      </c>
      <c r="Y2129" s="1">
        <v>6.399298012</v>
      </c>
      <c r="Z2129" s="1">
        <v>6.532477096</v>
      </c>
      <c r="AA2129" s="1">
        <v>6.3418583389999998</v>
      </c>
      <c r="AB2129" s="1">
        <v>6.0812876019999997</v>
      </c>
      <c r="AC2129" s="1">
        <v>6.4392179089999999</v>
      </c>
      <c r="AD2129" s="1">
        <v>5.980763981</v>
      </c>
      <c r="AE2129" s="1">
        <v>6.0995676599999999</v>
      </c>
    </row>
    <row r="2130" spans="1:31" x14ac:dyDescent="0.25">
      <c r="A2130" s="1" t="s">
        <v>2269</v>
      </c>
      <c r="B2130" s="1" t="s">
        <v>2547</v>
      </c>
      <c r="C2130" s="1" t="s">
        <v>2694</v>
      </c>
      <c r="D2130" s="1" t="s">
        <v>2535</v>
      </c>
      <c r="E2130" s="1" t="s">
        <v>5773</v>
      </c>
      <c r="G2130" s="1" t="s">
        <v>2269</v>
      </c>
      <c r="H2130" s="1">
        <v>4.6479005740000003</v>
      </c>
      <c r="I2130" s="1">
        <v>4.9575946069999999</v>
      </c>
      <c r="J2130" s="1">
        <v>4.9532699769999997</v>
      </c>
      <c r="K2130" s="1">
        <v>4.941717659</v>
      </c>
      <c r="L2130" s="1">
        <v>4.5867597299999998</v>
      </c>
      <c r="M2130" s="1">
        <v>4.3982295550000003</v>
      </c>
      <c r="N2130" s="1">
        <v>4.765904581</v>
      </c>
      <c r="O2130" s="1">
        <v>4.9384407589999997</v>
      </c>
      <c r="P2130" s="1">
        <v>5.0554269730000003</v>
      </c>
      <c r="Q2130" s="1">
        <v>4.8773483779999998</v>
      </c>
      <c r="R2130" s="1">
        <v>4.3698765340000003</v>
      </c>
      <c r="S2130" s="1">
        <v>5.032286365</v>
      </c>
      <c r="T2130" s="1">
        <v>4.5867597299999998</v>
      </c>
      <c r="U2130" s="1">
        <v>4.3982295550000003</v>
      </c>
      <c r="V2130" s="1">
        <v>5.6103143839999996</v>
      </c>
      <c r="W2130" s="1">
        <v>4.7760085830000003</v>
      </c>
      <c r="X2130" s="1">
        <v>5.2630731749999997</v>
      </c>
      <c r="Y2130" s="1">
        <v>5.3269702959999998</v>
      </c>
      <c r="Z2130" s="1">
        <v>4.3698765340000003</v>
      </c>
      <c r="AA2130" s="1">
        <v>5.032286365</v>
      </c>
      <c r="AB2130" s="1">
        <v>4.9601840040000003</v>
      </c>
      <c r="AC2130" s="1">
        <v>4.6870272159999997</v>
      </c>
      <c r="AD2130" s="1">
        <v>5.2633210659999996</v>
      </c>
      <c r="AE2130" s="1">
        <v>5.8992559069999997</v>
      </c>
    </row>
    <row r="2131" spans="1:31" x14ac:dyDescent="0.25">
      <c r="A2131" s="1" t="s">
        <v>2270</v>
      </c>
      <c r="B2131" s="1" t="s">
        <v>2539</v>
      </c>
      <c r="C2131" s="1" t="s">
        <v>2606</v>
      </c>
      <c r="D2131" s="1" t="s">
        <v>2535</v>
      </c>
      <c r="E2131" s="1" t="s">
        <v>3355</v>
      </c>
      <c r="G2131" s="1" t="s">
        <v>2270</v>
      </c>
      <c r="H2131" s="1">
        <v>5.5062820300000004</v>
      </c>
      <c r="I2131" s="1">
        <v>6.0959298439999996</v>
      </c>
      <c r="J2131" s="1">
        <v>5.9669407659999996</v>
      </c>
      <c r="K2131" s="1">
        <v>5.6482047069999997</v>
      </c>
      <c r="L2131" s="1">
        <v>6.5631733570000002</v>
      </c>
      <c r="M2131" s="1">
        <v>6.3564838049999999</v>
      </c>
      <c r="N2131" s="1">
        <v>5.910461819</v>
      </c>
      <c r="O2131" s="1">
        <v>5.9675486500000003</v>
      </c>
      <c r="P2131" s="1">
        <v>6.0847091730000002</v>
      </c>
      <c r="Q2131" s="1">
        <v>5.8463140779999998</v>
      </c>
      <c r="R2131" s="1">
        <v>5.987323913</v>
      </c>
      <c r="S2131" s="1">
        <v>6.0729078190000001</v>
      </c>
      <c r="T2131" s="1">
        <v>6.5631733570000002</v>
      </c>
      <c r="U2131" s="1">
        <v>6.3564838049999999</v>
      </c>
      <c r="V2131" s="1">
        <v>6.1009432270000001</v>
      </c>
      <c r="W2131" s="1">
        <v>6.3925275360000002</v>
      </c>
      <c r="X2131" s="1">
        <v>6.6178157469999999</v>
      </c>
      <c r="Y2131" s="1">
        <v>5.9611531490000003</v>
      </c>
      <c r="Z2131" s="1">
        <v>5.987323913</v>
      </c>
      <c r="AA2131" s="1">
        <v>6.0729078190000001</v>
      </c>
      <c r="AB2131" s="1">
        <v>6.0812876019999997</v>
      </c>
      <c r="AC2131" s="1">
        <v>6.2044385320000002</v>
      </c>
      <c r="AD2131" s="1">
        <v>6.6283518130000001</v>
      </c>
      <c r="AE2131" s="1">
        <v>6.3668783680000001</v>
      </c>
    </row>
    <row r="2132" spans="1:31" x14ac:dyDescent="0.25">
      <c r="A2132" s="1" t="s">
        <v>2271</v>
      </c>
      <c r="B2132" s="1" t="s">
        <v>2539</v>
      </c>
      <c r="C2132" s="1" t="s">
        <v>2606</v>
      </c>
      <c r="D2132" s="1" t="s">
        <v>2535</v>
      </c>
      <c r="E2132" s="1" t="s">
        <v>5774</v>
      </c>
      <c r="G2132" s="1" t="s">
        <v>2271</v>
      </c>
      <c r="H2132" s="1">
        <v>5.1686839359999999</v>
      </c>
      <c r="I2132" s="1">
        <v>5.009480355</v>
      </c>
      <c r="J2132" s="1">
        <v>4.5240842389999996</v>
      </c>
      <c r="K2132" s="1">
        <v>5.4059688240000003</v>
      </c>
      <c r="L2132" s="1">
        <v>4.8833754540000003</v>
      </c>
      <c r="M2132" s="1">
        <v>4.930560163</v>
      </c>
      <c r="N2132" s="1">
        <v>5.6711351529999998</v>
      </c>
      <c r="O2132" s="1">
        <v>5.8051520590000001</v>
      </c>
      <c r="P2132" s="1">
        <v>5.0554269730000003</v>
      </c>
      <c r="Q2132" s="1">
        <v>4.5369064569999997</v>
      </c>
      <c r="R2132" s="1">
        <v>4.9894654599999999</v>
      </c>
      <c r="S2132" s="1">
        <v>4.3966315629999997</v>
      </c>
      <c r="T2132" s="1">
        <v>4.8833754540000003</v>
      </c>
      <c r="U2132" s="1">
        <v>4.930560163</v>
      </c>
      <c r="V2132" s="1">
        <v>4.4559512029999997</v>
      </c>
      <c r="W2132" s="1">
        <v>4.6166922860000001</v>
      </c>
      <c r="X2132" s="1">
        <v>4.6838774470000004</v>
      </c>
      <c r="Y2132" s="1">
        <v>5.1254702539999997</v>
      </c>
      <c r="Z2132" s="1">
        <v>4.9894654599999999</v>
      </c>
      <c r="AA2132" s="1">
        <v>4.3966315629999997</v>
      </c>
      <c r="AB2132" s="1">
        <v>5.1073354020000004</v>
      </c>
      <c r="AC2132" s="1">
        <v>5.1552886820000001</v>
      </c>
      <c r="AD2132" s="1">
        <v>5.1668950269999998</v>
      </c>
      <c r="AE2132" s="1">
        <v>5.0415666330000004</v>
      </c>
    </row>
    <row r="2133" spans="1:31" x14ac:dyDescent="0.25">
      <c r="A2133" s="1" t="s">
        <v>2273</v>
      </c>
      <c r="B2133" s="1" t="s">
        <v>2557</v>
      </c>
      <c r="C2133" s="1" t="s">
        <v>2680</v>
      </c>
      <c r="D2133" s="1" t="s">
        <v>3471</v>
      </c>
      <c r="E2133" s="1" t="s">
        <v>4959</v>
      </c>
      <c r="G2133" s="1" t="s">
        <v>2273</v>
      </c>
      <c r="H2133" s="1">
        <v>4.995162745</v>
      </c>
      <c r="I2133" s="1">
        <v>4.7893724280000001</v>
      </c>
      <c r="J2133" s="1">
        <v>5.1953777219999999</v>
      </c>
      <c r="K2133" s="1">
        <v>4.5171444090000001</v>
      </c>
      <c r="L2133" s="1">
        <v>5.5015434460000003</v>
      </c>
      <c r="M2133" s="1">
        <v>5.4866876930000004</v>
      </c>
      <c r="N2133" s="1">
        <v>5.3135718379999997</v>
      </c>
      <c r="O2133" s="1">
        <v>5.9330167859999996</v>
      </c>
      <c r="P2133" s="1">
        <v>5.0554269730000003</v>
      </c>
      <c r="Q2133" s="1">
        <v>5.6499570400000003</v>
      </c>
      <c r="R2133" s="1">
        <v>5.6457947050000001</v>
      </c>
      <c r="S2133" s="1">
        <v>4.9261733090000002</v>
      </c>
      <c r="T2133" s="1">
        <v>5.5015434460000003</v>
      </c>
      <c r="U2133" s="1">
        <v>5.4866876930000004</v>
      </c>
      <c r="V2133" s="1">
        <v>4.1608706030000002</v>
      </c>
      <c r="W2133" s="1">
        <v>5.0488589419999998</v>
      </c>
      <c r="X2133" s="1">
        <v>5.4828239310000004</v>
      </c>
      <c r="Y2133" s="1">
        <v>5.1254702539999997</v>
      </c>
      <c r="Z2133" s="1">
        <v>5.6457947050000001</v>
      </c>
      <c r="AA2133" s="1">
        <v>4.9261733090000002</v>
      </c>
      <c r="AB2133" s="1">
        <v>4.7958605490000004</v>
      </c>
      <c r="AC2133" s="1">
        <v>5.1552886820000001</v>
      </c>
      <c r="AD2133" s="1">
        <v>4.5511338559999999</v>
      </c>
      <c r="AE2133" s="1">
        <v>4.6936201110000004</v>
      </c>
    </row>
    <row r="2134" spans="1:31" x14ac:dyDescent="0.25">
      <c r="A2134" s="1" t="s">
        <v>2283</v>
      </c>
      <c r="B2134" s="1" t="s">
        <v>2547</v>
      </c>
      <c r="C2134" s="1" t="s">
        <v>2694</v>
      </c>
      <c r="D2134" s="1" t="s">
        <v>3800</v>
      </c>
      <c r="E2134" s="1" t="s">
        <v>5775</v>
      </c>
      <c r="F2134" s="1" t="s">
        <v>5776</v>
      </c>
      <c r="G2134" s="1" t="s">
        <v>2283</v>
      </c>
      <c r="H2134" s="1">
        <v>4.5667504939999999</v>
      </c>
      <c r="I2134" s="1">
        <v>4.0101074990000001</v>
      </c>
      <c r="J2134" s="1">
        <v>5.3229940280000001</v>
      </c>
      <c r="K2134" s="1">
        <v>5.4493056099999997</v>
      </c>
      <c r="L2134" s="1">
        <v>5.2153292420000001</v>
      </c>
      <c r="M2134" s="1">
        <v>4.9970812499999999</v>
      </c>
      <c r="N2134" s="1">
        <v>4.2617896110000002</v>
      </c>
      <c r="O2134" s="1">
        <v>4.2767880749999998</v>
      </c>
      <c r="P2134" s="1">
        <v>4.9577743410000004</v>
      </c>
      <c r="Q2134" s="1">
        <v>5.3375178869999997</v>
      </c>
      <c r="R2134" s="1">
        <v>5.8723300570000001</v>
      </c>
      <c r="S2134" s="1">
        <v>5.4306817489999997</v>
      </c>
      <c r="T2134" s="1">
        <v>5.2153292420000001</v>
      </c>
      <c r="U2134" s="1">
        <v>4.9970812499999999</v>
      </c>
      <c r="V2134" s="1">
        <v>5.2455869269999997</v>
      </c>
      <c r="W2134" s="1">
        <v>4.69862249</v>
      </c>
      <c r="X2134" s="1">
        <v>5.0029944190000002</v>
      </c>
      <c r="Y2134" s="1">
        <v>5.0128502209999999</v>
      </c>
      <c r="Z2134" s="1">
        <v>5.8723300570000001</v>
      </c>
      <c r="AA2134" s="1">
        <v>5.4306817489999997</v>
      </c>
      <c r="AB2134" s="1">
        <v>4.8804215500000003</v>
      </c>
      <c r="AC2134" s="1">
        <v>5.2411914069999996</v>
      </c>
      <c r="AD2134" s="1">
        <v>5.0634297190000002</v>
      </c>
      <c r="AE2134" s="1">
        <v>5.1494525009999998</v>
      </c>
    </row>
    <row r="2135" spans="1:31" x14ac:dyDescent="0.25">
      <c r="A2135" s="1" t="s">
        <v>2285</v>
      </c>
      <c r="B2135" s="1" t="s">
        <v>2547</v>
      </c>
      <c r="C2135" s="1" t="s">
        <v>2675</v>
      </c>
      <c r="D2135" s="1" t="s">
        <v>5777</v>
      </c>
      <c r="E2135" s="1" t="s">
        <v>3989</v>
      </c>
      <c r="F2135" s="1" t="s">
        <v>3990</v>
      </c>
      <c r="G2135" s="1" t="s">
        <v>2285</v>
      </c>
      <c r="H2135" s="1">
        <v>4.7245801409999997</v>
      </c>
      <c r="I2135" s="1">
        <v>4.9575946069999999</v>
      </c>
      <c r="J2135" s="1">
        <v>6.1378545859999996</v>
      </c>
      <c r="K2135" s="1">
        <v>6.1968079280000001</v>
      </c>
      <c r="L2135" s="1">
        <v>6.4606392619999999</v>
      </c>
      <c r="M2135" s="1">
        <v>6.5443727410000001</v>
      </c>
      <c r="N2135" s="1">
        <v>5.53456788</v>
      </c>
      <c r="O2135" s="1">
        <v>5.3342335859999999</v>
      </c>
      <c r="P2135" s="1">
        <v>5.660815296</v>
      </c>
      <c r="Q2135" s="1">
        <v>6.123526483</v>
      </c>
      <c r="R2135" s="1">
        <v>6.2629717720000002</v>
      </c>
      <c r="S2135" s="1">
        <v>6.4019078089999999</v>
      </c>
      <c r="T2135" s="1">
        <v>6.4606392619999999</v>
      </c>
      <c r="U2135" s="1">
        <v>6.5443727410000001</v>
      </c>
      <c r="V2135" s="1">
        <v>5.9931161309999998</v>
      </c>
      <c r="W2135" s="1">
        <v>5.9072448660000001</v>
      </c>
      <c r="X2135" s="1">
        <v>5.9332613380000003</v>
      </c>
      <c r="Y2135" s="1">
        <v>5.6227961889999998</v>
      </c>
      <c r="Z2135" s="1">
        <v>6.2629717720000002</v>
      </c>
      <c r="AA2135" s="1">
        <v>6.4019078089999999</v>
      </c>
      <c r="AB2135" s="1">
        <v>5.9325296429999996</v>
      </c>
      <c r="AC2135" s="1">
        <v>6.047382313</v>
      </c>
      <c r="AD2135" s="1">
        <v>5.1668950269999998</v>
      </c>
      <c r="AE2135" s="1">
        <v>5.7020211359999999</v>
      </c>
    </row>
    <row r="2136" spans="1:31" x14ac:dyDescent="0.25">
      <c r="A2136" s="1" t="s">
        <v>2290</v>
      </c>
      <c r="B2136" s="1" t="s">
        <v>2557</v>
      </c>
      <c r="C2136" s="1" t="s">
        <v>3284</v>
      </c>
      <c r="D2136" s="1" t="s">
        <v>5778</v>
      </c>
      <c r="E2136" s="1" t="s">
        <v>5779</v>
      </c>
      <c r="F2136" s="1" t="s">
        <v>5780</v>
      </c>
      <c r="G2136" s="1" t="s">
        <v>2290</v>
      </c>
      <c r="H2136" s="1">
        <v>5.4626831620000003</v>
      </c>
      <c r="I2136" s="1">
        <v>5.6208330609999999</v>
      </c>
      <c r="J2136" s="1">
        <v>5.7428701560000004</v>
      </c>
      <c r="K2136" s="1">
        <v>5.0014827119999996</v>
      </c>
      <c r="L2136" s="1">
        <v>5.6176953479999998</v>
      </c>
      <c r="M2136" s="1">
        <v>6.0186391370000001</v>
      </c>
      <c r="N2136" s="1">
        <v>5.2649372489999999</v>
      </c>
      <c r="O2136" s="1">
        <v>5.3864027800000001</v>
      </c>
      <c r="P2136" s="1">
        <v>5.7791106289999998</v>
      </c>
      <c r="Q2136" s="1">
        <v>5.7838067430000004</v>
      </c>
      <c r="R2136" s="1">
        <v>6.0937807429999999</v>
      </c>
      <c r="S2136" s="1">
        <v>5.8890842929999998</v>
      </c>
      <c r="T2136" s="1">
        <v>5.6176953479999998</v>
      </c>
      <c r="U2136" s="1">
        <v>6.0186391370000001</v>
      </c>
      <c r="V2136" s="1">
        <v>6.0153393629999998</v>
      </c>
      <c r="W2136" s="1">
        <v>6.3925275360000002</v>
      </c>
      <c r="X2136" s="1">
        <v>6.1533217709999999</v>
      </c>
      <c r="Y2136" s="1">
        <v>6.1579814659999998</v>
      </c>
      <c r="Z2136" s="1">
        <v>6.0937807429999999</v>
      </c>
      <c r="AA2136" s="1">
        <v>5.8890842929999998</v>
      </c>
      <c r="AB2136" s="1">
        <v>6.2789960090000001</v>
      </c>
      <c r="AC2136" s="1">
        <v>6.1612901029999998</v>
      </c>
      <c r="AD2136" s="1">
        <v>6.2617300800000004</v>
      </c>
      <c r="AE2136" s="1">
        <v>6.1520156129999997</v>
      </c>
    </row>
    <row r="2137" spans="1:31" x14ac:dyDescent="0.25">
      <c r="A2137" s="1" t="s">
        <v>2292</v>
      </c>
      <c r="B2137" s="1" t="s">
        <v>2530</v>
      </c>
      <c r="C2137" s="1" t="s">
        <v>2531</v>
      </c>
      <c r="D2137" s="1" t="s">
        <v>2535</v>
      </c>
      <c r="E2137" s="1" t="s">
        <v>2536</v>
      </c>
      <c r="G2137" s="1" t="s">
        <v>2292</v>
      </c>
      <c r="H2137" s="1">
        <v>5.8141293449999996</v>
      </c>
      <c r="I2137" s="1">
        <v>6.3363261639999999</v>
      </c>
      <c r="J2137" s="1">
        <v>6.0670821549999996</v>
      </c>
      <c r="K2137" s="1">
        <v>5.8227835140000002</v>
      </c>
      <c r="L2137" s="1">
        <v>6.3212530779999998</v>
      </c>
      <c r="M2137" s="1">
        <v>6.4178773749999998</v>
      </c>
      <c r="N2137" s="1">
        <v>6.1690703840000003</v>
      </c>
      <c r="O2137" s="1">
        <v>5.9154339690000004</v>
      </c>
      <c r="P2137" s="1">
        <v>5.6296473389999999</v>
      </c>
      <c r="Q2137" s="1">
        <v>5.7514994149999996</v>
      </c>
      <c r="R2137" s="1">
        <v>5.4981688889999996</v>
      </c>
      <c r="S2137" s="1">
        <v>5.8890842929999998</v>
      </c>
      <c r="T2137" s="1">
        <v>6.3212530779999998</v>
      </c>
      <c r="U2137" s="1">
        <v>6.4178773749999998</v>
      </c>
      <c r="V2137" s="1">
        <v>6.71671408</v>
      </c>
      <c r="W2137" s="1">
        <v>6.239290832</v>
      </c>
      <c r="X2137" s="1">
        <v>5.4415021479999997</v>
      </c>
      <c r="Y2137" s="1">
        <v>6.2095953220000002</v>
      </c>
      <c r="Z2137" s="1">
        <v>5.4981688889999996</v>
      </c>
      <c r="AA2137" s="1">
        <v>5.8890842929999998</v>
      </c>
      <c r="AB2137" s="1">
        <v>5.675717079</v>
      </c>
      <c r="AC2137" s="1">
        <v>5.7003611899999997</v>
      </c>
      <c r="AD2137" s="1">
        <v>5.2633210659999996</v>
      </c>
      <c r="AE2137" s="1">
        <v>6.2026157089999998</v>
      </c>
    </row>
    <row r="2138" spans="1:31" x14ac:dyDescent="0.25">
      <c r="A2138" s="1" t="s">
        <v>2293</v>
      </c>
      <c r="B2138" s="1" t="s">
        <v>2530</v>
      </c>
      <c r="C2138" s="1" t="s">
        <v>2573</v>
      </c>
      <c r="D2138" s="1" t="s">
        <v>5781</v>
      </c>
      <c r="E2138" s="1" t="s">
        <v>5782</v>
      </c>
      <c r="G2138" s="1" t="s">
        <v>2293</v>
      </c>
      <c r="H2138" s="1">
        <v>7.8198430999999999</v>
      </c>
      <c r="I2138" s="1">
        <v>7.8488900639999999</v>
      </c>
      <c r="J2138" s="1">
        <v>7.8152292409999999</v>
      </c>
      <c r="K2138" s="1">
        <v>7.9924888620000001</v>
      </c>
      <c r="L2138" s="1">
        <v>8.1087329869999998</v>
      </c>
      <c r="M2138" s="1">
        <v>8.1463586689999996</v>
      </c>
      <c r="N2138" s="1">
        <v>7.3773941169999997</v>
      </c>
      <c r="O2138" s="1">
        <v>7.4315436359999998</v>
      </c>
      <c r="P2138" s="1">
        <v>7.9899025479999999</v>
      </c>
      <c r="Q2138" s="1">
        <v>7.8921884220000003</v>
      </c>
      <c r="R2138" s="1">
        <v>7.973534034</v>
      </c>
      <c r="S2138" s="1">
        <v>8.0169995360000001</v>
      </c>
      <c r="T2138" s="1">
        <v>8.1087329869999998</v>
      </c>
      <c r="U2138" s="1">
        <v>8.1463586689999996</v>
      </c>
      <c r="V2138" s="1">
        <v>8.235914288</v>
      </c>
      <c r="W2138" s="1">
        <v>8.1645528850000009</v>
      </c>
      <c r="X2138" s="1">
        <v>7.9776912219999998</v>
      </c>
      <c r="Y2138" s="1">
        <v>8.1114408220000005</v>
      </c>
      <c r="Z2138" s="1">
        <v>7.973534034</v>
      </c>
      <c r="AA2138" s="1">
        <v>8.0169995360000001</v>
      </c>
      <c r="AB2138" s="1">
        <v>8.1183556590000006</v>
      </c>
      <c r="AC2138" s="1">
        <v>7.8921046050000001</v>
      </c>
      <c r="AD2138" s="1">
        <v>8.0445527709999993</v>
      </c>
      <c r="AE2138" s="1">
        <v>7.8895427610000004</v>
      </c>
    </row>
    <row r="2139" spans="1:31" x14ac:dyDescent="0.25">
      <c r="A2139" s="1" t="s">
        <v>2294</v>
      </c>
      <c r="B2139" s="1" t="s">
        <v>2525</v>
      </c>
      <c r="C2139" s="1" t="s">
        <v>3110</v>
      </c>
      <c r="D2139" s="1" t="s">
        <v>5783</v>
      </c>
      <c r="E2139" s="1" t="s">
        <v>5784</v>
      </c>
      <c r="F2139" s="1" t="s">
        <v>5785</v>
      </c>
      <c r="G2139" s="1" t="s">
        <v>2294</v>
      </c>
      <c r="H2139" s="1">
        <v>5.6296178589999997</v>
      </c>
      <c r="I2139" s="1">
        <v>5.2862358589999996</v>
      </c>
      <c r="J2139" s="1">
        <v>5.8310524639999999</v>
      </c>
      <c r="K2139" s="1">
        <v>5.8552832600000002</v>
      </c>
      <c r="L2139" s="1">
        <v>5.6335437009999998</v>
      </c>
      <c r="M2139" s="1">
        <v>5.2628748920000001</v>
      </c>
      <c r="N2139" s="1">
        <v>5.3605984370000002</v>
      </c>
      <c r="O2139" s="1">
        <v>5.5323462069999998</v>
      </c>
      <c r="P2139" s="1">
        <v>5.1018341500000002</v>
      </c>
      <c r="Q2139" s="1">
        <v>5.3805263300000004</v>
      </c>
      <c r="R2139" s="1">
        <v>5.5365302600000001</v>
      </c>
      <c r="S2139" s="1">
        <v>5.6781703969999997</v>
      </c>
      <c r="T2139" s="1">
        <v>5.6335437009999998</v>
      </c>
      <c r="U2139" s="1">
        <v>5.2628748920000001</v>
      </c>
      <c r="V2139" s="1">
        <v>5.695500268</v>
      </c>
      <c r="W2139" s="1">
        <v>5.2236621110000003</v>
      </c>
      <c r="X2139" s="1">
        <v>5.8252409690000002</v>
      </c>
      <c r="Y2139" s="1">
        <v>5.1254702539999997</v>
      </c>
      <c r="Z2139" s="1">
        <v>5.5365302600000001</v>
      </c>
      <c r="AA2139" s="1">
        <v>5.6781703969999997</v>
      </c>
      <c r="AB2139" s="1">
        <v>5.5276660309999999</v>
      </c>
      <c r="AC2139" s="1">
        <v>5.1103036370000003</v>
      </c>
      <c r="AD2139" s="1">
        <v>5.396704357</v>
      </c>
      <c r="AE2139" s="1">
        <v>5.7875258069999997</v>
      </c>
    </row>
    <row r="2140" spans="1:31" x14ac:dyDescent="0.25">
      <c r="A2140" s="1" t="s">
        <v>2295</v>
      </c>
      <c r="B2140" s="1" t="s">
        <v>2662</v>
      </c>
      <c r="C2140" s="1" t="s">
        <v>3291</v>
      </c>
      <c r="D2140" s="1" t="s">
        <v>3292</v>
      </c>
      <c r="E2140" s="1" t="s">
        <v>5786</v>
      </c>
      <c r="G2140" s="1" t="s">
        <v>2295</v>
      </c>
      <c r="H2140" s="1">
        <v>11.4372603</v>
      </c>
      <c r="I2140" s="1">
        <v>11.160227109999999</v>
      </c>
      <c r="J2140" s="1">
        <v>11.152745660000001</v>
      </c>
      <c r="K2140" s="1">
        <v>11.44356515</v>
      </c>
      <c r="L2140" s="1">
        <v>10.323434969999999</v>
      </c>
      <c r="M2140" s="1">
        <v>10.69053738</v>
      </c>
      <c r="N2140" s="1">
        <v>10.09132937</v>
      </c>
      <c r="O2140" s="1">
        <v>10.40536163</v>
      </c>
      <c r="P2140" s="1">
        <v>10.899216559999999</v>
      </c>
      <c r="Q2140" s="1">
        <v>10.85654937</v>
      </c>
      <c r="R2140" s="1">
        <v>10.93718533</v>
      </c>
      <c r="S2140" s="1">
        <v>10.963754639999999</v>
      </c>
      <c r="T2140" s="1">
        <v>10.323434969999999</v>
      </c>
      <c r="U2140" s="1">
        <v>10.69053738</v>
      </c>
      <c r="V2140" s="1">
        <v>10.92651465</v>
      </c>
      <c r="W2140" s="1">
        <v>11.04176125</v>
      </c>
      <c r="X2140" s="1">
        <v>10.86425942</v>
      </c>
      <c r="Y2140" s="1">
        <v>10.92587535</v>
      </c>
      <c r="Z2140" s="1">
        <v>10.93718533</v>
      </c>
      <c r="AA2140" s="1">
        <v>10.963754639999999</v>
      </c>
      <c r="AB2140" s="1">
        <v>11.16475344</v>
      </c>
      <c r="AC2140" s="1">
        <v>10.942429450000001</v>
      </c>
      <c r="AD2140" s="1">
        <v>10.982078789999999</v>
      </c>
      <c r="AE2140" s="1">
        <v>10.58075</v>
      </c>
    </row>
    <row r="2141" spans="1:31" x14ac:dyDescent="0.25">
      <c r="A2141" s="1" t="s">
        <v>2296</v>
      </c>
      <c r="B2141" s="1" t="s">
        <v>2530</v>
      </c>
      <c r="C2141" s="1" t="s">
        <v>2531</v>
      </c>
      <c r="D2141" s="1" t="s">
        <v>2535</v>
      </c>
      <c r="E2141" s="1" t="s">
        <v>2536</v>
      </c>
      <c r="G2141" s="1" t="s">
        <v>2296</v>
      </c>
      <c r="H2141" s="1">
        <v>5.0553993879999997</v>
      </c>
      <c r="I2141" s="1">
        <v>5.5873017430000003</v>
      </c>
      <c r="J2141" s="1">
        <v>4.8434621079999998</v>
      </c>
      <c r="K2141" s="1">
        <v>5.4913640639999999</v>
      </c>
      <c r="L2141" s="1">
        <v>5.1724144110000001</v>
      </c>
      <c r="M2141" s="1">
        <v>5.2895531800000004</v>
      </c>
      <c r="N2141" s="1">
        <v>5.5139471840000001</v>
      </c>
      <c r="O2141" s="1">
        <v>5.1947693419999998</v>
      </c>
      <c r="P2141" s="1">
        <v>5.565195407</v>
      </c>
      <c r="Q2141" s="1">
        <v>5.0479127070000001</v>
      </c>
      <c r="R2141" s="1">
        <v>4.8735636449999999</v>
      </c>
      <c r="S2141" s="1">
        <v>5.5773053920000004</v>
      </c>
      <c r="T2141" s="1">
        <v>5.1724144110000001</v>
      </c>
      <c r="U2141" s="1">
        <v>5.2895531800000004</v>
      </c>
      <c r="V2141" s="1">
        <v>4.998512388</v>
      </c>
      <c r="W2141" s="1">
        <v>4.7760085830000003</v>
      </c>
      <c r="X2141" s="1">
        <v>5.4415021479999997</v>
      </c>
      <c r="Y2141" s="1">
        <v>5.417933841</v>
      </c>
      <c r="Z2141" s="1">
        <v>4.8735636449999999</v>
      </c>
      <c r="AA2141" s="1">
        <v>5.5773053920000004</v>
      </c>
      <c r="AB2141" s="1">
        <v>4.139369361</v>
      </c>
      <c r="AC2141" s="1">
        <v>5.3221936159999998</v>
      </c>
      <c r="AD2141" s="1">
        <v>5.0087140049999999</v>
      </c>
      <c r="AE2141" s="1">
        <v>4.8625108150000003</v>
      </c>
    </row>
    <row r="2142" spans="1:31" x14ac:dyDescent="0.25">
      <c r="A2142" s="1" t="s">
        <v>2297</v>
      </c>
      <c r="B2142" s="1" t="s">
        <v>2547</v>
      </c>
      <c r="C2142" s="1" t="s">
        <v>2622</v>
      </c>
      <c r="D2142" s="1" t="s">
        <v>2535</v>
      </c>
      <c r="E2142" s="1" t="s">
        <v>5787</v>
      </c>
      <c r="G2142" s="1" t="s">
        <v>2297</v>
      </c>
      <c r="H2142" s="1">
        <v>4.2900513550000001</v>
      </c>
      <c r="I2142" s="1">
        <v>4.66484875</v>
      </c>
      <c r="J2142" s="1">
        <v>5.1034438250000003</v>
      </c>
      <c r="K2142" s="1">
        <v>5.0014827119999996</v>
      </c>
      <c r="L2142" s="1">
        <v>5.3368026579999999</v>
      </c>
      <c r="M2142" s="1">
        <v>5.2895531800000004</v>
      </c>
      <c r="N2142" s="1">
        <v>4.6173662499999999</v>
      </c>
      <c r="O2142" s="1">
        <v>4.6680836990000003</v>
      </c>
      <c r="P2142" s="1">
        <v>5.0074447400000004</v>
      </c>
      <c r="Q2142" s="1">
        <v>5.0479127070000001</v>
      </c>
      <c r="R2142" s="1">
        <v>4.8735636449999999</v>
      </c>
      <c r="S2142" s="1">
        <v>5.0824952919999999</v>
      </c>
      <c r="T2142" s="1">
        <v>5.3368026579999999</v>
      </c>
      <c r="U2142" s="1">
        <v>5.2895531800000004</v>
      </c>
      <c r="V2142" s="1">
        <v>4.8566239800000002</v>
      </c>
      <c r="W2142" s="1">
        <v>3.9848641250000001</v>
      </c>
      <c r="X2142" s="1">
        <v>5.2630731749999997</v>
      </c>
      <c r="Y2142" s="1">
        <v>4.2532353330000001</v>
      </c>
      <c r="Z2142" s="1">
        <v>4.8735636449999999</v>
      </c>
      <c r="AA2142" s="1">
        <v>5.0824952919999999</v>
      </c>
      <c r="AB2142" s="1">
        <v>5.4746970709999996</v>
      </c>
      <c r="AC2142" s="1">
        <v>4.6870272159999997</v>
      </c>
      <c r="AD2142" s="1">
        <v>4.83054469</v>
      </c>
      <c r="AE2142" s="1">
        <v>5.2252968339999999</v>
      </c>
    </row>
    <row r="2143" spans="1:31" x14ac:dyDescent="0.25">
      <c r="A2143" s="1" t="s">
        <v>2304</v>
      </c>
      <c r="B2143" s="1" t="s">
        <v>2662</v>
      </c>
      <c r="C2143" s="1" t="s">
        <v>3291</v>
      </c>
      <c r="D2143" s="1" t="s">
        <v>2535</v>
      </c>
      <c r="E2143" s="1" t="s">
        <v>4295</v>
      </c>
      <c r="G2143" s="1" t="s">
        <v>2304</v>
      </c>
      <c r="H2143" s="1">
        <v>8.5046548489999996</v>
      </c>
      <c r="I2143" s="1">
        <v>7.9442639059999998</v>
      </c>
      <c r="J2143" s="1">
        <v>7.5562971210000001</v>
      </c>
      <c r="K2143" s="1">
        <v>8.2084880170000005</v>
      </c>
      <c r="L2143" s="1">
        <v>6.7267116079999996</v>
      </c>
      <c r="M2143" s="1">
        <v>6.9536387599999996</v>
      </c>
      <c r="N2143" s="1">
        <v>6.6738821269999997</v>
      </c>
      <c r="O2143" s="1">
        <v>7.4438284619999999</v>
      </c>
      <c r="P2143" s="1">
        <v>7.0735093620000002</v>
      </c>
      <c r="Q2143" s="1">
        <v>7.2522753939999998</v>
      </c>
      <c r="R2143" s="1">
        <v>7.3795717439999997</v>
      </c>
      <c r="S2143" s="1">
        <v>7.434357597</v>
      </c>
      <c r="T2143" s="1">
        <v>6.7267116079999996</v>
      </c>
      <c r="U2143" s="1">
        <v>6.9536387599999996</v>
      </c>
      <c r="V2143" s="1">
        <v>7.4285667269999998</v>
      </c>
      <c r="W2143" s="1">
        <v>7.46795381</v>
      </c>
      <c r="X2143" s="1">
        <v>6.9899578670000002</v>
      </c>
      <c r="Y2143" s="1">
        <v>7.4644471870000002</v>
      </c>
      <c r="Z2143" s="1">
        <v>7.3795717439999997</v>
      </c>
      <c r="AA2143" s="1">
        <v>7.434357597</v>
      </c>
      <c r="AB2143" s="1">
        <v>7.8858864449999997</v>
      </c>
      <c r="AC2143" s="1">
        <v>7.2874149099999999</v>
      </c>
      <c r="AD2143" s="1">
        <v>7.7792910080000004</v>
      </c>
      <c r="AE2143" s="1">
        <v>7.4306440289999998</v>
      </c>
    </row>
    <row r="2144" spans="1:31" x14ac:dyDescent="0.25">
      <c r="A2144" s="1" t="s">
        <v>2305</v>
      </c>
      <c r="B2144" s="1" t="s">
        <v>2530</v>
      </c>
      <c r="C2144" s="1" t="s">
        <v>2573</v>
      </c>
      <c r="D2144" s="1" t="s">
        <v>2949</v>
      </c>
      <c r="E2144" s="1" t="s">
        <v>5788</v>
      </c>
      <c r="G2144" s="1" t="s">
        <v>2305</v>
      </c>
      <c r="H2144" s="1">
        <v>9.340899533</v>
      </c>
      <c r="I2144" s="1">
        <v>9.2116070350000001</v>
      </c>
      <c r="J2144" s="1">
        <v>7.7032581010000003</v>
      </c>
      <c r="K2144" s="1">
        <v>8.1246000919999997</v>
      </c>
      <c r="L2144" s="1">
        <v>7.2514675669999997</v>
      </c>
      <c r="M2144" s="1">
        <v>7.0263375510000001</v>
      </c>
      <c r="N2144" s="1">
        <v>9.3713762200000001</v>
      </c>
      <c r="O2144" s="1">
        <v>9.5185548089999994</v>
      </c>
      <c r="P2144" s="1">
        <v>7.1189337139999997</v>
      </c>
      <c r="Q2144" s="1">
        <v>7.2290753380000004</v>
      </c>
      <c r="R2144" s="1">
        <v>6.9832586330000002</v>
      </c>
      <c r="S2144" s="1">
        <v>7.2178550819999998</v>
      </c>
      <c r="T2144" s="1">
        <v>7.2514675669999997</v>
      </c>
      <c r="U2144" s="1">
        <v>7.0263375510000001</v>
      </c>
      <c r="V2144" s="1">
        <v>7.2343052459999999</v>
      </c>
      <c r="W2144" s="1">
        <v>7.0591682799999997</v>
      </c>
      <c r="X2144" s="1">
        <v>6.8158741230000004</v>
      </c>
      <c r="Y2144" s="1">
        <v>7.4430810909999998</v>
      </c>
      <c r="Z2144" s="1">
        <v>6.9832586330000002</v>
      </c>
      <c r="AA2144" s="1">
        <v>7.2178550819999998</v>
      </c>
      <c r="AB2144" s="1">
        <v>7.412395268</v>
      </c>
      <c r="AC2144" s="1">
        <v>7.1727907960000001</v>
      </c>
      <c r="AD2144" s="1">
        <v>7.1124159809999998</v>
      </c>
      <c r="AE2144" s="1">
        <v>7.5079922229999996</v>
      </c>
    </row>
    <row r="2145" spans="1:31" x14ac:dyDescent="0.25">
      <c r="A2145" s="1" t="s">
        <v>2306</v>
      </c>
      <c r="B2145" s="1" t="s">
        <v>2530</v>
      </c>
      <c r="C2145" s="1" t="s">
        <v>2531</v>
      </c>
      <c r="D2145" s="1" t="s">
        <v>2535</v>
      </c>
      <c r="E2145" s="1" t="s">
        <v>2536</v>
      </c>
      <c r="G2145" s="1" t="s">
        <v>2306</v>
      </c>
      <c r="H2145" s="1">
        <v>5.7790807539999998</v>
      </c>
      <c r="I2145" s="1">
        <v>5.7776224090000001</v>
      </c>
      <c r="J2145" s="1">
        <v>5.2817155790000001</v>
      </c>
      <c r="K2145" s="1">
        <v>5.166960875</v>
      </c>
      <c r="L2145" s="1">
        <v>5.58546151</v>
      </c>
      <c r="M2145" s="1">
        <v>5.5095176620000004</v>
      </c>
      <c r="N2145" s="1">
        <v>5.4717898820000004</v>
      </c>
      <c r="O2145" s="1">
        <v>5.4367285829999998</v>
      </c>
      <c r="P2145" s="1">
        <v>5.834784151</v>
      </c>
      <c r="Q2145" s="1">
        <v>5.0479127070000001</v>
      </c>
      <c r="R2145" s="1">
        <v>5.7142579380000003</v>
      </c>
      <c r="S2145" s="1">
        <v>5.8607892960000001</v>
      </c>
      <c r="T2145" s="1">
        <v>5.58546151</v>
      </c>
      <c r="U2145" s="1">
        <v>5.5095176620000004</v>
      </c>
      <c r="V2145" s="1">
        <v>5.9243031000000004</v>
      </c>
      <c r="W2145" s="1">
        <v>5.5634106699999997</v>
      </c>
      <c r="X2145" s="1">
        <v>5.6370967820000004</v>
      </c>
      <c r="Y2145" s="1">
        <v>4.9529845589999999</v>
      </c>
      <c r="Z2145" s="1">
        <v>5.7142579380000003</v>
      </c>
      <c r="AA2145" s="1">
        <v>5.8607892960000001</v>
      </c>
      <c r="AB2145" s="1">
        <v>5.851934376</v>
      </c>
      <c r="AC2145" s="1">
        <v>5.7595305120000004</v>
      </c>
      <c r="AD2145" s="1">
        <v>5.7682763389999998</v>
      </c>
      <c r="AE2145" s="1">
        <v>5.7539342490000003</v>
      </c>
    </row>
    <row r="2146" spans="1:31" x14ac:dyDescent="0.25">
      <c r="A2146" s="1" t="s">
        <v>2311</v>
      </c>
      <c r="B2146" s="1" t="s">
        <v>2520</v>
      </c>
      <c r="C2146" s="1" t="s">
        <v>2646</v>
      </c>
      <c r="D2146" s="1" t="s">
        <v>4503</v>
      </c>
      <c r="E2146" s="1" t="s">
        <v>5789</v>
      </c>
      <c r="F2146" s="1" t="s">
        <v>5790</v>
      </c>
      <c r="G2146" s="1" t="s">
        <v>2311</v>
      </c>
      <c r="H2146" s="1">
        <v>7.1272614729999999</v>
      </c>
      <c r="I2146" s="1">
        <v>6.8960698870000003</v>
      </c>
      <c r="J2146" s="1">
        <v>7.430646125</v>
      </c>
      <c r="K2146" s="1">
        <v>7.7208665190000003</v>
      </c>
      <c r="L2146" s="1">
        <v>7.3786557000000004</v>
      </c>
      <c r="M2146" s="1">
        <v>7.2653256690000001</v>
      </c>
      <c r="N2146" s="1">
        <v>6.9811084729999999</v>
      </c>
      <c r="O2146" s="1">
        <v>7.1903774570000003</v>
      </c>
      <c r="P2146" s="1">
        <v>6.9279548860000002</v>
      </c>
      <c r="Q2146" s="1">
        <v>7.0552915670000003</v>
      </c>
      <c r="R2146" s="1">
        <v>7.2361715980000003</v>
      </c>
      <c r="S2146" s="1">
        <v>7.195433188</v>
      </c>
      <c r="T2146" s="1">
        <v>7.3786557000000004</v>
      </c>
      <c r="U2146" s="1">
        <v>7.2653256690000001</v>
      </c>
      <c r="V2146" s="1">
        <v>7.4285667269999998</v>
      </c>
      <c r="W2146" s="1">
        <v>7.5131643099999996</v>
      </c>
      <c r="X2146" s="1">
        <v>7.7099652609999998</v>
      </c>
      <c r="Y2146" s="1">
        <v>7.707808998</v>
      </c>
      <c r="Z2146" s="1">
        <v>7.2361715980000003</v>
      </c>
      <c r="AA2146" s="1">
        <v>7.195433188</v>
      </c>
      <c r="AB2146" s="1">
        <v>7.6207811940000001</v>
      </c>
      <c r="AC2146" s="1">
        <v>7.3935912940000001</v>
      </c>
      <c r="AD2146" s="1">
        <v>7.7792910080000004</v>
      </c>
      <c r="AE2146" s="1">
        <v>7.651252886</v>
      </c>
    </row>
    <row r="2147" spans="1:31" x14ac:dyDescent="0.25">
      <c r="A2147" s="1" t="s">
        <v>2313</v>
      </c>
      <c r="B2147" s="1" t="s">
        <v>2557</v>
      </c>
      <c r="C2147" s="1" t="s">
        <v>3284</v>
      </c>
      <c r="D2147" s="1" t="s">
        <v>2535</v>
      </c>
      <c r="E2147" s="1" t="s">
        <v>5791</v>
      </c>
      <c r="G2147" s="1" t="s">
        <v>2313</v>
      </c>
      <c r="H2147" s="1">
        <v>4.183793842</v>
      </c>
      <c r="I2147" s="1">
        <v>4.1114152529999997</v>
      </c>
      <c r="J2147" s="1">
        <v>4.6607313550000002</v>
      </c>
      <c r="K2147" s="1">
        <v>4.941717659</v>
      </c>
      <c r="L2147" s="1">
        <v>4.2516940449999998</v>
      </c>
      <c r="M2147" s="1">
        <v>5.029201552</v>
      </c>
      <c r="N2147" s="1">
        <v>3.8490531570000002</v>
      </c>
      <c r="O2147" s="1">
        <v>3.9591193910000002</v>
      </c>
      <c r="P2147" s="1">
        <v>4.9062897479999998</v>
      </c>
      <c r="Q2147" s="1">
        <v>4.8773483779999998</v>
      </c>
      <c r="R2147" s="1">
        <v>4.9327063119999996</v>
      </c>
      <c r="S2147" s="1">
        <v>4.1304223819999999</v>
      </c>
      <c r="T2147" s="1">
        <v>4.2516940449999998</v>
      </c>
      <c r="U2147" s="1">
        <v>5.029201552</v>
      </c>
      <c r="V2147" s="1">
        <v>4.6987742170000004</v>
      </c>
      <c r="W2147" s="1">
        <v>4.5296290450000001</v>
      </c>
      <c r="X2147" s="1">
        <v>5.3326311679999998</v>
      </c>
      <c r="Y2147" s="1">
        <v>4.7564010139999997</v>
      </c>
      <c r="Z2147" s="1">
        <v>4.9327063119999996</v>
      </c>
      <c r="AA2147" s="1">
        <v>4.1304223819999999</v>
      </c>
      <c r="AB2147" s="1">
        <v>4.705867896</v>
      </c>
      <c r="AC2147" s="1">
        <v>4.6870272159999997</v>
      </c>
      <c r="AD2147" s="1">
        <v>5.1668950269999998</v>
      </c>
      <c r="AE2147" s="1">
        <v>5.2736981710000004</v>
      </c>
    </row>
    <row r="2148" spans="1:31" x14ac:dyDescent="0.25">
      <c r="A2148" s="1" t="s">
        <v>2314</v>
      </c>
      <c r="B2148" s="1" t="s">
        <v>2708</v>
      </c>
      <c r="C2148" s="1" t="s">
        <v>2531</v>
      </c>
      <c r="D2148" s="1" t="s">
        <v>2535</v>
      </c>
      <c r="E2148" s="1" t="s">
        <v>3675</v>
      </c>
      <c r="G2148" s="1" t="s">
        <v>2314</v>
      </c>
      <c r="H2148" s="1">
        <v>5.7790807539999998</v>
      </c>
      <c r="I2148" s="1">
        <v>6.1195241339999997</v>
      </c>
      <c r="J2148" s="1">
        <v>5.5483108110000003</v>
      </c>
      <c r="K2148" s="1">
        <v>5.6482047069999997</v>
      </c>
      <c r="L2148" s="1">
        <v>6.2409920359999997</v>
      </c>
      <c r="M2148" s="1">
        <v>5.868183685</v>
      </c>
      <c r="N2148" s="1">
        <v>5.5749368700000002</v>
      </c>
      <c r="O2148" s="1">
        <v>5.7062857469999999</v>
      </c>
      <c r="P2148" s="1">
        <v>5.6913184689999996</v>
      </c>
      <c r="Q2148" s="1">
        <v>5.8765740600000003</v>
      </c>
      <c r="R2148" s="1">
        <v>5.2434057019999996</v>
      </c>
      <c r="S2148" s="1">
        <v>5.542037144</v>
      </c>
      <c r="T2148" s="1">
        <v>6.2409920359999997</v>
      </c>
      <c r="U2148" s="1">
        <v>5.868183685</v>
      </c>
      <c r="V2148" s="1">
        <v>5.8017242820000003</v>
      </c>
      <c r="W2148" s="1">
        <v>5.7645115660000004</v>
      </c>
      <c r="X2148" s="1">
        <v>6.1910758819999998</v>
      </c>
      <c r="Y2148" s="1">
        <v>5.5841077690000001</v>
      </c>
      <c r="Z2148" s="1">
        <v>5.2434057019999996</v>
      </c>
      <c r="AA2148" s="1">
        <v>5.542037144</v>
      </c>
      <c r="AB2148" s="1">
        <v>5.4196851610000003</v>
      </c>
      <c r="AC2148" s="1">
        <v>5.9991619270000003</v>
      </c>
      <c r="AD2148" s="1">
        <v>5.8322684330000003</v>
      </c>
      <c r="AE2148" s="1">
        <v>5.8992559069999997</v>
      </c>
    </row>
    <row r="2149" spans="1:31" x14ac:dyDescent="0.25">
      <c r="A2149" s="1" t="s">
        <v>2316</v>
      </c>
      <c r="B2149" s="1" t="s">
        <v>2530</v>
      </c>
      <c r="C2149" s="1" t="s">
        <v>2531</v>
      </c>
      <c r="D2149" s="1" t="s">
        <v>2535</v>
      </c>
      <c r="E2149" s="1" t="s">
        <v>2536</v>
      </c>
      <c r="G2149" s="1" t="s">
        <v>2316</v>
      </c>
      <c r="H2149" s="1">
        <v>6.5340358859999998</v>
      </c>
      <c r="I2149" s="1">
        <v>7.0138798510000004</v>
      </c>
      <c r="J2149" s="1">
        <v>5.6809121170000001</v>
      </c>
      <c r="K2149" s="1">
        <v>6.3181776090000001</v>
      </c>
      <c r="L2149" s="1">
        <v>5.0352735380000002</v>
      </c>
      <c r="M2149" s="1">
        <v>4.6276332350000002</v>
      </c>
      <c r="N2149" s="1">
        <v>5.9569306830000004</v>
      </c>
      <c r="O2149" s="1">
        <v>6.45474543</v>
      </c>
      <c r="P2149" s="1">
        <v>5.4627121560000003</v>
      </c>
      <c r="Q2149" s="1">
        <v>4.993318082</v>
      </c>
      <c r="R2149" s="1">
        <v>5.3764768539999999</v>
      </c>
      <c r="S2149" s="1">
        <v>5.2232498669999998</v>
      </c>
      <c r="T2149" s="1">
        <v>5.0352735380000002</v>
      </c>
      <c r="U2149" s="1">
        <v>4.6276332350000002</v>
      </c>
      <c r="V2149" s="1">
        <v>5.519727617</v>
      </c>
      <c r="W2149" s="1">
        <v>5.5634106699999997</v>
      </c>
      <c r="X2149" s="1">
        <v>5.1646924079999996</v>
      </c>
      <c r="Y2149" s="1">
        <v>6.1044436219999998</v>
      </c>
      <c r="Z2149" s="1">
        <v>5.3764768539999999</v>
      </c>
      <c r="AA2149" s="1">
        <v>5.2232498669999998</v>
      </c>
      <c r="AB2149" s="1">
        <v>5.3624643089999999</v>
      </c>
      <c r="AC2149" s="1">
        <v>5.1103036370000003</v>
      </c>
      <c r="AD2149" s="1">
        <v>5.3536174839999999</v>
      </c>
      <c r="AE2149" s="1">
        <v>5.4097399240000001</v>
      </c>
    </row>
    <row r="2150" spans="1:31" x14ac:dyDescent="0.25">
      <c r="A2150" s="1" t="s">
        <v>2319</v>
      </c>
      <c r="B2150" s="1" t="s">
        <v>2539</v>
      </c>
      <c r="C2150" s="1" t="s">
        <v>2531</v>
      </c>
      <c r="D2150" s="1" t="s">
        <v>2535</v>
      </c>
      <c r="E2150" s="1" t="s">
        <v>5792</v>
      </c>
      <c r="F2150" s="1" t="s">
        <v>5793</v>
      </c>
      <c r="G2150" s="1" t="s">
        <v>2319</v>
      </c>
      <c r="H2150" s="1">
        <v>4.7972697699999998</v>
      </c>
      <c r="I2150" s="1">
        <v>5.7476087250000001</v>
      </c>
      <c r="J2150" s="1">
        <v>7.3236133590000003</v>
      </c>
      <c r="K2150" s="1">
        <v>7.1186231319999997</v>
      </c>
      <c r="L2150" s="1">
        <v>7.8155856620000002</v>
      </c>
      <c r="M2150" s="1">
        <v>7.9815279830000003</v>
      </c>
      <c r="N2150" s="1">
        <v>5.1355241630000004</v>
      </c>
      <c r="O2150" s="1">
        <v>5.4853382609999999</v>
      </c>
      <c r="P2150" s="1">
        <v>7.4738563019999997</v>
      </c>
      <c r="Q2150" s="1">
        <v>7.4855044560000001</v>
      </c>
      <c r="R2150" s="1">
        <v>7.8272650339999998</v>
      </c>
      <c r="S2150" s="1">
        <v>7.931429992</v>
      </c>
      <c r="T2150" s="1">
        <v>7.8155856620000002</v>
      </c>
      <c r="U2150" s="1">
        <v>7.9815279830000003</v>
      </c>
      <c r="V2150" s="1">
        <v>7.8789782109999997</v>
      </c>
      <c r="W2150" s="1">
        <v>7.917971391</v>
      </c>
      <c r="X2150" s="1">
        <v>8.1309499289999998</v>
      </c>
      <c r="Y2150" s="1">
        <v>8.0278159420000001</v>
      </c>
      <c r="Z2150" s="1">
        <v>7.8272650339999998</v>
      </c>
      <c r="AA2150" s="1">
        <v>7.931429992</v>
      </c>
      <c r="AB2150" s="1">
        <v>7.8757608169999997</v>
      </c>
      <c r="AC2150" s="1">
        <v>8.059776008</v>
      </c>
      <c r="AD2150" s="1">
        <v>7.8425975660000002</v>
      </c>
      <c r="AE2150" s="1">
        <v>7.6915952790000004</v>
      </c>
    </row>
    <row r="2151" spans="1:31" x14ac:dyDescent="0.25">
      <c r="A2151" s="1" t="s">
        <v>2322</v>
      </c>
      <c r="B2151" s="1" t="s">
        <v>2539</v>
      </c>
      <c r="C2151" s="1" t="s">
        <v>2606</v>
      </c>
      <c r="D2151" s="1" t="s">
        <v>3240</v>
      </c>
      <c r="E2151" s="1" t="s">
        <v>5794</v>
      </c>
      <c r="F2151" s="1" t="s">
        <v>5795</v>
      </c>
      <c r="G2151" s="1" t="s">
        <v>2322</v>
      </c>
      <c r="H2151" s="1">
        <v>6.5548587630000004</v>
      </c>
      <c r="I2151" s="1">
        <v>6.3160597540000003</v>
      </c>
      <c r="J2151" s="1">
        <v>5.7428701560000004</v>
      </c>
      <c r="K2151" s="1">
        <v>5.8227835140000002</v>
      </c>
      <c r="L2151" s="1">
        <v>4.619423984</v>
      </c>
      <c r="M2151" s="1">
        <v>5.029201552</v>
      </c>
      <c r="N2151" s="1">
        <v>5.894631425</v>
      </c>
      <c r="O2151" s="1">
        <v>5.8051520590000001</v>
      </c>
      <c r="P2151" s="1">
        <v>5.3900565609999997</v>
      </c>
      <c r="Q2151" s="1">
        <v>5.6846114249999999</v>
      </c>
      <c r="R2151" s="1">
        <v>4.9894654599999999</v>
      </c>
      <c r="S2151" s="1">
        <v>5.2232498669999998</v>
      </c>
      <c r="T2151" s="1">
        <v>4.619423984</v>
      </c>
      <c r="U2151" s="1">
        <v>5.029201552</v>
      </c>
      <c r="V2151" s="1">
        <v>4.8566239800000002</v>
      </c>
      <c r="W2151" s="1">
        <v>5.329276363</v>
      </c>
      <c r="X2151" s="1">
        <v>5.7596503070000002</v>
      </c>
      <c r="Y2151" s="1">
        <v>5.3731782380000004</v>
      </c>
      <c r="Z2151" s="1">
        <v>4.9894654599999999</v>
      </c>
      <c r="AA2151" s="1">
        <v>5.2232498669999998</v>
      </c>
      <c r="AB2151" s="1">
        <v>5.7218462399999996</v>
      </c>
      <c r="AC2151" s="1">
        <v>5.198889973</v>
      </c>
      <c r="AD2151" s="1">
        <v>5.8006297160000004</v>
      </c>
      <c r="AE2151" s="1">
        <v>5.387950011</v>
      </c>
    </row>
    <row r="2152" spans="1:31" x14ac:dyDescent="0.25">
      <c r="A2152" s="1" t="s">
        <v>2323</v>
      </c>
      <c r="B2152" s="1" t="s">
        <v>2530</v>
      </c>
      <c r="C2152" s="1" t="s">
        <v>2531</v>
      </c>
      <c r="D2152" s="1" t="s">
        <v>2535</v>
      </c>
      <c r="E2152" s="1" t="s">
        <v>5796</v>
      </c>
      <c r="G2152" s="1" t="s">
        <v>2323</v>
      </c>
      <c r="H2152" s="1">
        <v>5.7431528099999998</v>
      </c>
      <c r="I2152" s="1">
        <v>5.2862358589999996</v>
      </c>
      <c r="J2152" s="1">
        <v>4.4503473070000004</v>
      </c>
      <c r="K2152" s="1">
        <v>4.3408695499999999</v>
      </c>
      <c r="L2152" s="1">
        <v>4.5867597299999998</v>
      </c>
      <c r="M2152" s="1">
        <v>4.3473799800000004</v>
      </c>
      <c r="N2152" s="1">
        <v>5.2894624830000003</v>
      </c>
      <c r="O2152" s="1">
        <v>5.6856657850000003</v>
      </c>
      <c r="P2152" s="1">
        <v>4.7972962780000001</v>
      </c>
      <c r="Q2152" s="1">
        <v>4.9365262349999997</v>
      </c>
      <c r="R2152" s="1">
        <v>4.6795267799999998</v>
      </c>
      <c r="S2152" s="1">
        <v>4.1304223819999999</v>
      </c>
      <c r="T2152" s="1">
        <v>4.5867597299999998</v>
      </c>
      <c r="U2152" s="1">
        <v>4.3473799800000004</v>
      </c>
      <c r="V2152" s="1">
        <v>4.5826682710000002</v>
      </c>
      <c r="W2152" s="1">
        <v>4.5296290450000001</v>
      </c>
      <c r="X2152" s="1">
        <v>5.1128189019999999</v>
      </c>
      <c r="Y2152" s="1">
        <v>4.7564010139999997</v>
      </c>
      <c r="Z2152" s="1">
        <v>4.6795267799999998</v>
      </c>
      <c r="AA2152" s="1">
        <v>4.1304223819999999</v>
      </c>
      <c r="AB2152" s="1">
        <v>4.705867896</v>
      </c>
      <c r="AC2152" s="1">
        <v>4.6870272159999997</v>
      </c>
      <c r="AD2152" s="1">
        <v>5.0087140049999999</v>
      </c>
      <c r="AE2152" s="1">
        <v>4.5014252270000004</v>
      </c>
    </row>
    <row r="2153" spans="1:31" x14ac:dyDescent="0.25">
      <c r="A2153" s="1" t="s">
        <v>2325</v>
      </c>
      <c r="B2153" s="1" t="s">
        <v>2557</v>
      </c>
      <c r="C2153" s="1" t="s">
        <v>2658</v>
      </c>
      <c r="D2153" s="1" t="s">
        <v>3418</v>
      </c>
      <c r="E2153" s="1" t="s">
        <v>5797</v>
      </c>
      <c r="F2153" s="1" t="s">
        <v>5798</v>
      </c>
      <c r="G2153" s="1" t="s">
        <v>2325</v>
      </c>
      <c r="H2153" s="1">
        <v>6.2825651889999996</v>
      </c>
      <c r="I2153" s="1">
        <v>6.3563108719999999</v>
      </c>
      <c r="J2153" s="1">
        <v>7.1176644690000002</v>
      </c>
      <c r="K2153" s="1">
        <v>7.2943531070000001</v>
      </c>
      <c r="L2153" s="1">
        <v>6.4064948719999997</v>
      </c>
      <c r="M2153" s="1">
        <v>6.3936335379999996</v>
      </c>
      <c r="N2153" s="1">
        <v>6.6738821269999997</v>
      </c>
      <c r="O2153" s="1">
        <v>6.8085329139999997</v>
      </c>
      <c r="P2153" s="1">
        <v>6.849263358</v>
      </c>
      <c r="Q2153" s="1">
        <v>6.7311802209999998</v>
      </c>
      <c r="R2153" s="1">
        <v>6.7431387049999998</v>
      </c>
      <c r="S2153" s="1">
        <v>6.7639721039999996</v>
      </c>
      <c r="T2153" s="1">
        <v>6.4064948719999997</v>
      </c>
      <c r="U2153" s="1">
        <v>6.3936335379999996</v>
      </c>
      <c r="V2153" s="1">
        <v>7.4119494479999997</v>
      </c>
      <c r="W2153" s="1">
        <v>7.2845395589999997</v>
      </c>
      <c r="X2153" s="1">
        <v>7.1128903369999996</v>
      </c>
      <c r="Y2153" s="1">
        <v>7.6897821789999998</v>
      </c>
      <c r="Z2153" s="1">
        <v>6.7431387049999998</v>
      </c>
      <c r="AA2153" s="1">
        <v>6.7639721039999996</v>
      </c>
      <c r="AB2153" s="1">
        <v>6.9544174490000001</v>
      </c>
      <c r="AC2153" s="1">
        <v>7.0244096589999998</v>
      </c>
      <c r="AD2153" s="1">
        <v>7.4640815209999998</v>
      </c>
      <c r="AE2153" s="1">
        <v>7.6144201560000004</v>
      </c>
    </row>
    <row r="2154" spans="1:31" x14ac:dyDescent="0.25">
      <c r="A2154" s="1" t="s">
        <v>2326</v>
      </c>
      <c r="B2154" s="1" t="s">
        <v>2530</v>
      </c>
      <c r="C2154" s="1" t="s">
        <v>2573</v>
      </c>
      <c r="D2154" s="1" t="s">
        <v>2535</v>
      </c>
      <c r="E2154" s="1" t="s">
        <v>5799</v>
      </c>
      <c r="G2154" s="1" t="s">
        <v>2326</v>
      </c>
      <c r="H2154" s="1">
        <v>4.9322401630000003</v>
      </c>
      <c r="I2154" s="1">
        <v>4.7284970130000001</v>
      </c>
      <c r="J2154" s="1">
        <v>4.8994370109999998</v>
      </c>
      <c r="K2154" s="1">
        <v>5.6848657879999998</v>
      </c>
      <c r="L2154" s="1">
        <v>5.2974536179999996</v>
      </c>
      <c r="M2154" s="1">
        <v>4.9970812499999999</v>
      </c>
      <c r="N2154" s="1">
        <v>5.2399813159999997</v>
      </c>
      <c r="O2154" s="1">
        <v>5.3605571169999999</v>
      </c>
      <c r="P2154" s="1">
        <v>5.1467681949999999</v>
      </c>
      <c r="Q2154" s="1">
        <v>4.5369064569999997</v>
      </c>
      <c r="R2154" s="1">
        <v>5.7795948069999996</v>
      </c>
      <c r="S2154" s="1">
        <v>5.0824952919999999</v>
      </c>
      <c r="T2154" s="1">
        <v>5.2974536179999996</v>
      </c>
      <c r="U2154" s="1">
        <v>4.9970812499999999</v>
      </c>
      <c r="V2154" s="1">
        <v>5.0857495259999999</v>
      </c>
      <c r="W2154" s="1">
        <v>5.5195577800000004</v>
      </c>
      <c r="X2154" s="1">
        <v>5.2391096700000004</v>
      </c>
      <c r="Y2154" s="1">
        <v>5.3731782380000004</v>
      </c>
      <c r="Z2154" s="1">
        <v>5.7795948069999996</v>
      </c>
      <c r="AA2154" s="1">
        <v>5.0824952919999999</v>
      </c>
      <c r="AB2154" s="1">
        <v>5.1755434500000002</v>
      </c>
      <c r="AC2154" s="1">
        <v>5.5065733579999998</v>
      </c>
      <c r="AD2154" s="1">
        <v>4.8924744240000004</v>
      </c>
      <c r="AE2154" s="1">
        <v>5.868211906</v>
      </c>
    </row>
    <row r="2155" spans="1:31" x14ac:dyDescent="0.25">
      <c r="A2155" s="1" t="s">
        <v>2334</v>
      </c>
      <c r="B2155" s="1" t="s">
        <v>2530</v>
      </c>
      <c r="C2155" s="1" t="s">
        <v>2573</v>
      </c>
      <c r="D2155" s="1" t="s">
        <v>2535</v>
      </c>
      <c r="E2155" s="1" t="s">
        <v>3272</v>
      </c>
      <c r="G2155" s="1" t="s">
        <v>2334</v>
      </c>
      <c r="H2155" s="1">
        <v>10.960475300000001</v>
      </c>
      <c r="I2155" s="1">
        <v>10.421569079999999</v>
      </c>
      <c r="J2155" s="1">
        <v>8.4864130610000004</v>
      </c>
      <c r="K2155" s="1">
        <v>9.672987054</v>
      </c>
      <c r="L2155" s="1">
        <v>5.2569846910000004</v>
      </c>
      <c r="M2155" s="1">
        <v>4.9970812499999999</v>
      </c>
      <c r="N2155" s="1">
        <v>9.4162818979999994</v>
      </c>
      <c r="O2155" s="1">
        <v>10.196254809999999</v>
      </c>
      <c r="P2155" s="1">
        <v>7.2057001740000004</v>
      </c>
      <c r="Q2155" s="1">
        <v>7.3086925369999998</v>
      </c>
      <c r="R2155" s="1">
        <v>6.9970160760000004</v>
      </c>
      <c r="S2155" s="1">
        <v>6.7941413900000001</v>
      </c>
      <c r="T2155" s="1">
        <v>5.2569846910000004</v>
      </c>
      <c r="U2155" s="1">
        <v>4.9970812499999999</v>
      </c>
      <c r="V2155" s="1">
        <v>6.8084999039999996</v>
      </c>
      <c r="W2155" s="1">
        <v>7.46795381</v>
      </c>
      <c r="X2155" s="1">
        <v>5.6370967820000004</v>
      </c>
      <c r="Y2155" s="1">
        <v>7.2474189219999996</v>
      </c>
      <c r="Z2155" s="1">
        <v>6.9970160760000004</v>
      </c>
      <c r="AA2155" s="1">
        <v>6.7941413900000001</v>
      </c>
      <c r="AB2155" s="1">
        <v>7.2176516849999999</v>
      </c>
      <c r="AC2155" s="1">
        <v>6.8723966970000001</v>
      </c>
      <c r="AD2155" s="1">
        <v>7.7045824190000003</v>
      </c>
      <c r="AE2155" s="1">
        <v>7.2741187119999999</v>
      </c>
    </row>
    <row r="2156" spans="1:31" x14ac:dyDescent="0.25">
      <c r="A2156" s="1" t="s">
        <v>2335</v>
      </c>
      <c r="B2156" s="1" t="s">
        <v>2530</v>
      </c>
      <c r="C2156" s="1" t="s">
        <v>2531</v>
      </c>
      <c r="D2156" s="1" t="s">
        <v>2535</v>
      </c>
      <c r="E2156" s="1" t="s">
        <v>2536</v>
      </c>
      <c r="G2156" s="1" t="s">
        <v>2335</v>
      </c>
      <c r="H2156" s="1">
        <v>9.3528242420000005</v>
      </c>
      <c r="I2156" s="1">
        <v>8.8633576040000008</v>
      </c>
      <c r="J2156" s="1">
        <v>5.4770890750000003</v>
      </c>
      <c r="K2156" s="1">
        <v>6.9637453809999998</v>
      </c>
      <c r="L2156" s="1">
        <v>3.971296959</v>
      </c>
      <c r="M2156" s="1">
        <v>3.9251125939999998</v>
      </c>
      <c r="N2156" s="1">
        <v>8.0106876079999996</v>
      </c>
      <c r="O2156" s="1">
        <v>8.9079649560000007</v>
      </c>
      <c r="P2156" s="1">
        <v>5.4627121560000003</v>
      </c>
      <c r="Q2156" s="1">
        <v>5.6144419360000004</v>
      </c>
      <c r="R2156" s="1">
        <v>5.1961281320000001</v>
      </c>
      <c r="S2156" s="1">
        <v>5.2672271329999996</v>
      </c>
      <c r="T2156" s="1">
        <v>3.971296959</v>
      </c>
      <c r="U2156" s="1">
        <v>3.9251125939999998</v>
      </c>
      <c r="V2156" s="1">
        <v>5.1679192199999999</v>
      </c>
      <c r="W2156" s="1">
        <v>5.427589942</v>
      </c>
      <c r="X2156" s="1">
        <v>4.2198471</v>
      </c>
      <c r="Y2156" s="1">
        <v>5.417933841</v>
      </c>
      <c r="Z2156" s="1">
        <v>5.1961281320000001</v>
      </c>
      <c r="AA2156" s="1">
        <v>5.2672271329999996</v>
      </c>
      <c r="AB2156" s="1">
        <v>4.8804215500000003</v>
      </c>
      <c r="AC2156" s="1">
        <v>5.4356573160000003</v>
      </c>
      <c r="AD2156" s="1">
        <v>5.7012900599999998</v>
      </c>
      <c r="AE2156" s="1">
        <v>5.2004631630000002</v>
      </c>
    </row>
    <row r="2157" spans="1:31" x14ac:dyDescent="0.25">
      <c r="A2157" s="1" t="s">
        <v>2336</v>
      </c>
      <c r="B2157" s="1" t="s">
        <v>2530</v>
      </c>
      <c r="C2157" s="1" t="s">
        <v>2531</v>
      </c>
      <c r="D2157" s="1" t="s">
        <v>2535</v>
      </c>
      <c r="E2157" s="1" t="s">
        <v>2536</v>
      </c>
      <c r="G2157" s="1" t="s">
        <v>2336</v>
      </c>
      <c r="H2157" s="1">
        <v>8.7271079700000005</v>
      </c>
      <c r="I2157" s="1">
        <v>8.2085492040000005</v>
      </c>
      <c r="J2157" s="1">
        <v>4.9532699769999997</v>
      </c>
      <c r="K2157" s="1">
        <v>5.2180867539999998</v>
      </c>
      <c r="L2157" s="1">
        <v>4.5190290319999997</v>
      </c>
      <c r="M2157" s="1">
        <v>4.709731562</v>
      </c>
      <c r="N2157" s="1">
        <v>7.5981510090000004</v>
      </c>
      <c r="O2157" s="1">
        <v>8.5754596169999999</v>
      </c>
      <c r="P2157" s="1">
        <v>5.2325771159999999</v>
      </c>
      <c r="Q2157" s="1">
        <v>5.0479127070000001</v>
      </c>
      <c r="R2157" s="1">
        <v>4.6083586160000003</v>
      </c>
      <c r="S2157" s="1">
        <v>5.3098842800000003</v>
      </c>
      <c r="T2157" s="1">
        <v>4.5190290319999997</v>
      </c>
      <c r="U2157" s="1">
        <v>4.709731562</v>
      </c>
      <c r="V2157" s="1">
        <v>4.8566239800000002</v>
      </c>
      <c r="W2157" s="1">
        <v>4.6166922860000001</v>
      </c>
      <c r="X2157" s="1">
        <v>5.0029944190000002</v>
      </c>
      <c r="Y2157" s="1">
        <v>4.6081171230000004</v>
      </c>
      <c r="Z2157" s="1">
        <v>4.6083586160000003</v>
      </c>
      <c r="AA2157" s="1">
        <v>5.3098842800000003</v>
      </c>
      <c r="AB2157" s="1">
        <v>5.1755434500000002</v>
      </c>
      <c r="AC2157" s="1">
        <v>4.8610120620000004</v>
      </c>
      <c r="AD2157" s="1">
        <v>5.116107059</v>
      </c>
      <c r="AE2157" s="1">
        <v>4.9548800440000003</v>
      </c>
    </row>
    <row r="2158" spans="1:31" x14ac:dyDescent="0.25">
      <c r="A2158" s="1" t="s">
        <v>2337</v>
      </c>
      <c r="B2158" s="1" t="s">
        <v>2530</v>
      </c>
      <c r="C2158" s="1" t="s">
        <v>2531</v>
      </c>
      <c r="D2158" s="1" t="s">
        <v>2535</v>
      </c>
      <c r="E2158" s="1" t="s">
        <v>5800</v>
      </c>
      <c r="G2158" s="1" t="s">
        <v>2337</v>
      </c>
      <c r="H2158" s="1">
        <v>8.2795101350000007</v>
      </c>
      <c r="I2158" s="1">
        <v>7.5354559999999999</v>
      </c>
      <c r="J2158" s="1">
        <v>5.2817155790000001</v>
      </c>
      <c r="K2158" s="1">
        <v>5.7206107949999998</v>
      </c>
      <c r="L2158" s="1">
        <v>4.4838783849999997</v>
      </c>
      <c r="M2158" s="1">
        <v>5.1508485750000004</v>
      </c>
      <c r="N2158" s="1">
        <v>7.4439906589999998</v>
      </c>
      <c r="O2158" s="1">
        <v>8.6803853869999994</v>
      </c>
      <c r="P2158" s="1">
        <v>5.6296473389999999</v>
      </c>
      <c r="Q2158" s="1">
        <v>5.2931690810000003</v>
      </c>
      <c r="R2158" s="1">
        <v>5.6457947050000001</v>
      </c>
      <c r="S2158" s="1">
        <v>5.5773053920000004</v>
      </c>
      <c r="T2158" s="1">
        <v>4.4838783849999997</v>
      </c>
      <c r="U2158" s="1">
        <v>5.1508485750000004</v>
      </c>
      <c r="V2158" s="1">
        <v>5.2828838410000003</v>
      </c>
      <c r="W2158" s="1">
        <v>5.6059572260000001</v>
      </c>
      <c r="X2158" s="1">
        <v>5.4623126839999996</v>
      </c>
      <c r="Y2158" s="1">
        <v>5.417933841</v>
      </c>
      <c r="Z2158" s="1">
        <v>5.6457947050000001</v>
      </c>
      <c r="AA2158" s="1">
        <v>5.5773053920000004</v>
      </c>
      <c r="AB2158" s="1">
        <v>5.1073354020000004</v>
      </c>
      <c r="AC2158" s="1">
        <v>5.198889973</v>
      </c>
      <c r="AD2158" s="1">
        <v>5.7012900599999998</v>
      </c>
      <c r="AE2158" s="1">
        <v>5.4097399240000001</v>
      </c>
    </row>
    <row r="2159" spans="1:31" x14ac:dyDescent="0.25">
      <c r="A2159" s="1" t="s">
        <v>2338</v>
      </c>
      <c r="B2159" s="1" t="s">
        <v>2579</v>
      </c>
      <c r="C2159" s="1" t="s">
        <v>2983</v>
      </c>
      <c r="D2159" s="1" t="s">
        <v>2535</v>
      </c>
      <c r="E2159" s="1" t="s">
        <v>5801</v>
      </c>
      <c r="F2159" s="1" t="s">
        <v>5802</v>
      </c>
      <c r="G2159" s="1" t="s">
        <v>2338</v>
      </c>
      <c r="H2159" s="1">
        <v>7.6658195390000001</v>
      </c>
      <c r="I2159" s="1">
        <v>6.5936172129999999</v>
      </c>
      <c r="J2159" s="1">
        <v>5.1501560140000002</v>
      </c>
      <c r="K2159" s="1">
        <v>4.5171444090000001</v>
      </c>
      <c r="L2159" s="1">
        <v>5.4123805689999998</v>
      </c>
      <c r="M2159" s="1">
        <v>5.5541105499999999</v>
      </c>
      <c r="N2159" s="1">
        <v>6.7548624930000001</v>
      </c>
      <c r="O2159" s="1">
        <v>8.0612299019999991</v>
      </c>
      <c r="P2159" s="1">
        <v>5.8618301099999996</v>
      </c>
      <c r="Q2159" s="1">
        <v>6.045837068</v>
      </c>
      <c r="R2159" s="1">
        <v>6.0678975499999996</v>
      </c>
      <c r="S2159" s="1">
        <v>5.4306817489999997</v>
      </c>
      <c r="T2159" s="1">
        <v>5.4123805689999998</v>
      </c>
      <c r="U2159" s="1">
        <v>5.5541105499999999</v>
      </c>
      <c r="V2159" s="1">
        <v>4.9055261469999998</v>
      </c>
      <c r="W2159" s="1">
        <v>5.0488589419999998</v>
      </c>
      <c r="X2159" s="1">
        <v>5.1646924079999996</v>
      </c>
      <c r="Y2159" s="1">
        <v>5.2297915760000002</v>
      </c>
      <c r="Z2159" s="1">
        <v>6.0678975499999996</v>
      </c>
      <c r="AA2159" s="1">
        <v>5.4306817489999997</v>
      </c>
      <c r="AB2159" s="1">
        <v>5.5276660309999999</v>
      </c>
      <c r="AC2159" s="1">
        <v>5.1552886820000001</v>
      </c>
      <c r="AD2159" s="1">
        <v>5.7351750150000003</v>
      </c>
      <c r="AE2159" s="1">
        <v>5.2972943729999997</v>
      </c>
    </row>
    <row r="2160" spans="1:31" x14ac:dyDescent="0.25">
      <c r="A2160" s="1" t="s">
        <v>2339</v>
      </c>
      <c r="B2160" s="1" t="s">
        <v>2530</v>
      </c>
      <c r="C2160" s="1" t="s">
        <v>2531</v>
      </c>
      <c r="D2160" s="1" t="s">
        <v>2535</v>
      </c>
      <c r="E2160" s="1" t="s">
        <v>2536</v>
      </c>
      <c r="G2160" s="1" t="s">
        <v>2339</v>
      </c>
      <c r="H2160" s="1">
        <v>8.1211802790000007</v>
      </c>
      <c r="I2160" s="1">
        <v>7.6530645530000001</v>
      </c>
      <c r="J2160" s="1">
        <v>6.7477255810000001</v>
      </c>
      <c r="K2160" s="1">
        <v>6.6119151140000003</v>
      </c>
      <c r="L2160" s="1">
        <v>6.4606392619999999</v>
      </c>
      <c r="M2160" s="1">
        <v>6.5109621640000004</v>
      </c>
      <c r="N2160" s="1">
        <v>7.3194458109999996</v>
      </c>
      <c r="O2160" s="1">
        <v>8.468322809</v>
      </c>
      <c r="P2160" s="1">
        <v>6.3171519470000002</v>
      </c>
      <c r="Q2160" s="1">
        <v>6.5556885899999999</v>
      </c>
      <c r="R2160" s="1">
        <v>6.9832586330000002</v>
      </c>
      <c r="S2160" s="1">
        <v>6.8236915869999999</v>
      </c>
      <c r="T2160" s="1">
        <v>6.4606392619999999</v>
      </c>
      <c r="U2160" s="1">
        <v>6.5109621640000004</v>
      </c>
      <c r="V2160" s="1">
        <v>6.433314288</v>
      </c>
      <c r="W2160" s="1">
        <v>6.6773173909999999</v>
      </c>
      <c r="X2160" s="1">
        <v>6.5709008840000003</v>
      </c>
      <c r="Y2160" s="1">
        <v>6.6249961490000002</v>
      </c>
      <c r="Z2160" s="1">
        <v>6.9832586330000002</v>
      </c>
      <c r="AA2160" s="1">
        <v>6.8236915869999999</v>
      </c>
      <c r="AB2160" s="1">
        <v>6.3094558689999998</v>
      </c>
      <c r="AC2160" s="1">
        <v>6.6873132819999999</v>
      </c>
      <c r="AD2160" s="1">
        <v>6.7490106299999999</v>
      </c>
      <c r="AE2160" s="1">
        <v>6.719154037</v>
      </c>
    </row>
    <row r="2161" spans="1:31" x14ac:dyDescent="0.25">
      <c r="A2161" s="1" t="s">
        <v>2340</v>
      </c>
      <c r="B2161" s="1" t="s">
        <v>2539</v>
      </c>
      <c r="C2161" s="1" t="s">
        <v>2606</v>
      </c>
      <c r="D2161" s="1" t="s">
        <v>3536</v>
      </c>
      <c r="E2161" s="1" t="s">
        <v>3537</v>
      </c>
      <c r="G2161" s="1" t="s">
        <v>2340</v>
      </c>
      <c r="H2161" s="1">
        <v>5.5485883999999999</v>
      </c>
      <c r="I2161" s="1">
        <v>5.0595268689999999</v>
      </c>
      <c r="J2161" s="1">
        <v>4.2018709520000002</v>
      </c>
      <c r="K2161" s="1">
        <v>4.2434183680000004</v>
      </c>
      <c r="L2161" s="1">
        <v>5.1055038850000001</v>
      </c>
      <c r="M2161" s="1">
        <v>4.5403831759999997</v>
      </c>
      <c r="N2161" s="1">
        <v>5.5947014570000002</v>
      </c>
      <c r="O2161" s="1">
        <v>5.3074139359999997</v>
      </c>
      <c r="P2161" s="1">
        <v>5.0074447400000004</v>
      </c>
      <c r="Q2161" s="1">
        <v>5.0479127070000001</v>
      </c>
      <c r="R2161" s="1">
        <v>4.6795267799999998</v>
      </c>
      <c r="S2161" s="1">
        <v>4.6194390810000003</v>
      </c>
      <c r="T2161" s="1">
        <v>5.1055038850000001</v>
      </c>
      <c r="U2161" s="1">
        <v>4.5403831759999997</v>
      </c>
      <c r="V2161" s="1">
        <v>4.6987742170000004</v>
      </c>
      <c r="W2161" s="1">
        <v>4.6166922860000001</v>
      </c>
      <c r="X2161" s="1">
        <v>4.8524813179999997</v>
      </c>
      <c r="Y2161" s="1">
        <v>4.2532353330000001</v>
      </c>
      <c r="Z2161" s="1">
        <v>4.6795267799999998</v>
      </c>
      <c r="AA2161" s="1">
        <v>4.6194390810000003</v>
      </c>
      <c r="AB2161" s="1">
        <v>5.0356743460000004</v>
      </c>
      <c r="AC2161" s="1">
        <v>4.8053838390000001</v>
      </c>
      <c r="AD2161" s="1">
        <v>5.2159266190000002</v>
      </c>
      <c r="AE2161" s="1">
        <v>4.5815229759999996</v>
      </c>
    </row>
    <row r="2162" spans="1:31" x14ac:dyDescent="0.25">
      <c r="A2162" s="1" t="s">
        <v>2341</v>
      </c>
      <c r="B2162" s="1" t="s">
        <v>2530</v>
      </c>
      <c r="C2162" s="1" t="s">
        <v>2531</v>
      </c>
      <c r="D2162" s="1" t="s">
        <v>2535</v>
      </c>
      <c r="E2162" s="1" t="s">
        <v>5803</v>
      </c>
      <c r="G2162" s="1" t="s">
        <v>2341</v>
      </c>
      <c r="H2162" s="1">
        <v>5.2221022919999998</v>
      </c>
      <c r="I2162" s="1">
        <v>5.5873017430000003</v>
      </c>
      <c r="J2162" s="1">
        <v>5.1501560140000002</v>
      </c>
      <c r="K2162" s="1">
        <v>5.0014827119999996</v>
      </c>
      <c r="L2162" s="1">
        <v>4.8833754540000003</v>
      </c>
      <c r="M2162" s="1">
        <v>4.4472617469999998</v>
      </c>
      <c r="N2162" s="1">
        <v>6.0739568119999996</v>
      </c>
      <c r="O2162" s="1">
        <v>5.861353501</v>
      </c>
      <c r="P2162" s="1">
        <v>5.4976972829999999</v>
      </c>
      <c r="Q2162" s="1">
        <v>5.1511590549999999</v>
      </c>
      <c r="R2162" s="1">
        <v>4.6795267799999998</v>
      </c>
      <c r="S2162" s="1">
        <v>5.1309834260000002</v>
      </c>
      <c r="T2162" s="1">
        <v>4.8833754540000003</v>
      </c>
      <c r="U2162" s="1">
        <v>4.4472617469999998</v>
      </c>
      <c r="V2162" s="1">
        <v>5.7495972609999999</v>
      </c>
      <c r="W2162" s="1">
        <v>4.8493412630000003</v>
      </c>
      <c r="X2162" s="1">
        <v>4.9447045230000004</v>
      </c>
      <c r="Y2162" s="1">
        <v>5.3731782380000004</v>
      </c>
      <c r="Z2162" s="1">
        <v>4.6795267799999998</v>
      </c>
      <c r="AA2162" s="1">
        <v>5.1309834260000002</v>
      </c>
      <c r="AB2162" s="1">
        <v>4.8804215500000003</v>
      </c>
      <c r="AC2162" s="1">
        <v>5.3221936159999998</v>
      </c>
      <c r="AD2162" s="1">
        <v>5.6665831520000003</v>
      </c>
      <c r="AE2162" s="1">
        <v>5.2252968339999999</v>
      </c>
    </row>
    <row r="2163" spans="1:31" x14ac:dyDescent="0.25">
      <c r="A2163" s="1" t="s">
        <v>2345</v>
      </c>
      <c r="B2163" s="1" t="s">
        <v>2542</v>
      </c>
      <c r="C2163" s="1" t="s">
        <v>2531</v>
      </c>
      <c r="D2163" s="1" t="s">
        <v>2613</v>
      </c>
      <c r="E2163" s="1" t="s">
        <v>5804</v>
      </c>
      <c r="F2163" s="1" t="s">
        <v>5805</v>
      </c>
      <c r="G2163" s="1" t="s">
        <v>2345</v>
      </c>
      <c r="H2163" s="1">
        <v>4.0684382540000001</v>
      </c>
      <c r="I2163" s="1">
        <v>4.2936285989999998</v>
      </c>
      <c r="J2163" s="1">
        <v>6.4472967060000004</v>
      </c>
      <c r="K2163" s="1">
        <v>5.3612725399999999</v>
      </c>
      <c r="L2163" s="1">
        <v>7.3739658349999999</v>
      </c>
      <c r="M2163" s="1">
        <v>7.2653256690000001</v>
      </c>
      <c r="N2163" s="1">
        <v>5.0802595029999997</v>
      </c>
      <c r="O2163" s="1">
        <v>4.4368189940000002</v>
      </c>
      <c r="P2163" s="1">
        <v>6.6156100010000003</v>
      </c>
      <c r="Q2163" s="1">
        <v>6.1730784669999998</v>
      </c>
      <c r="R2163" s="1">
        <v>7.347722954</v>
      </c>
      <c r="S2163" s="1">
        <v>7.2616787839999999</v>
      </c>
      <c r="T2163" s="1">
        <v>7.3739658349999999</v>
      </c>
      <c r="U2163" s="1">
        <v>7.2653256690000001</v>
      </c>
      <c r="V2163" s="1">
        <v>7.074522065</v>
      </c>
      <c r="W2163" s="1">
        <v>6.9968523659999997</v>
      </c>
      <c r="X2163" s="1">
        <v>7.086464061</v>
      </c>
      <c r="Y2163" s="1">
        <v>6.6624835610000002</v>
      </c>
      <c r="Z2163" s="1">
        <v>7.347722954</v>
      </c>
      <c r="AA2163" s="1">
        <v>7.2616787839999999</v>
      </c>
      <c r="AB2163" s="1">
        <v>7.1520220669999999</v>
      </c>
      <c r="AC2163" s="1">
        <v>7.0482558720000004</v>
      </c>
      <c r="AD2163" s="1">
        <v>6.9636701729999997</v>
      </c>
      <c r="AE2163" s="1">
        <v>6.9288026440000001</v>
      </c>
    </row>
    <row r="2164" spans="1:31" x14ac:dyDescent="0.25">
      <c r="A2164" s="1" t="s">
        <v>2349</v>
      </c>
      <c r="B2164" s="1" t="s">
        <v>2579</v>
      </c>
      <c r="C2164" s="1" t="s">
        <v>2812</v>
      </c>
      <c r="D2164" s="1" t="s">
        <v>3425</v>
      </c>
      <c r="E2164" s="1" t="s">
        <v>5806</v>
      </c>
      <c r="F2164" s="1" t="s">
        <v>5807</v>
      </c>
      <c r="G2164" s="1" t="s">
        <v>2349</v>
      </c>
      <c r="H2164" s="1">
        <v>3.6455184960000002</v>
      </c>
      <c r="I2164" s="1">
        <v>4.2936285989999998</v>
      </c>
      <c r="J2164" s="1">
        <v>4.5940881259999999</v>
      </c>
      <c r="K2164" s="1">
        <v>4.7454889089999996</v>
      </c>
      <c r="L2164" s="1">
        <v>4.9358482109999997</v>
      </c>
      <c r="M2164" s="1">
        <v>5.1508485750000004</v>
      </c>
      <c r="N2164" s="1">
        <v>4.730225151</v>
      </c>
      <c r="O2164" s="1">
        <v>4.7903853170000001</v>
      </c>
      <c r="P2164" s="1">
        <v>4.7394495640000001</v>
      </c>
      <c r="Q2164" s="1">
        <v>4.3733115800000002</v>
      </c>
      <c r="R2164" s="1">
        <v>4.1841942410000001</v>
      </c>
      <c r="S2164" s="1">
        <v>4.8114074450000004</v>
      </c>
      <c r="T2164" s="1">
        <v>4.9358482109999997</v>
      </c>
      <c r="U2164" s="1">
        <v>5.1508485750000004</v>
      </c>
      <c r="V2164" s="1">
        <v>4.4559512029999997</v>
      </c>
      <c r="W2164" s="1">
        <v>4.2295768090000001</v>
      </c>
      <c r="X2164" s="1">
        <v>4.3167291810000004</v>
      </c>
      <c r="Y2164" s="1">
        <v>4.2532353330000001</v>
      </c>
      <c r="Z2164" s="1">
        <v>4.1841942410000001</v>
      </c>
      <c r="AA2164" s="1">
        <v>4.8114074450000004</v>
      </c>
      <c r="AB2164" s="1">
        <v>4.2729702720000002</v>
      </c>
      <c r="AC2164" s="1">
        <v>4.8610120620000004</v>
      </c>
      <c r="AD2164" s="1">
        <v>3.984188064</v>
      </c>
      <c r="AE2164" s="1">
        <v>4.2780702540000002</v>
      </c>
    </row>
    <row r="2165" spans="1:31" x14ac:dyDescent="0.25">
      <c r="A2165" s="1" t="s">
        <v>2351</v>
      </c>
      <c r="B2165" s="1" t="s">
        <v>2530</v>
      </c>
      <c r="C2165" s="1" t="s">
        <v>2531</v>
      </c>
      <c r="D2165" s="1" t="s">
        <v>2535</v>
      </c>
      <c r="E2165" s="1" t="s">
        <v>2536</v>
      </c>
      <c r="G2165" s="1" t="s">
        <v>2351</v>
      </c>
      <c r="H2165" s="1">
        <v>5.1686839359999999</v>
      </c>
      <c r="I2165" s="1">
        <v>5.4067069720000003</v>
      </c>
      <c r="J2165" s="1">
        <v>5.8869626679999998</v>
      </c>
      <c r="K2165" s="1">
        <v>5.6482047069999997</v>
      </c>
      <c r="L2165" s="1">
        <v>5.9816045750000004</v>
      </c>
      <c r="M2165" s="1">
        <v>5.7197461279999997</v>
      </c>
      <c r="N2165" s="1">
        <v>6.1290762189999999</v>
      </c>
      <c r="O2165" s="1">
        <v>6.0979208290000004</v>
      </c>
      <c r="P2165" s="1">
        <v>5.1467681949999999</v>
      </c>
      <c r="Q2165" s="1">
        <v>5.8154013029999998</v>
      </c>
      <c r="R2165" s="1">
        <v>5.6102934549999999</v>
      </c>
      <c r="S2165" s="1">
        <v>5.4306817489999997</v>
      </c>
      <c r="T2165" s="1">
        <v>5.9816045750000004</v>
      </c>
      <c r="U2165" s="1">
        <v>5.7197461279999997</v>
      </c>
      <c r="V2165" s="1">
        <v>5.2455869269999997</v>
      </c>
      <c r="W2165" s="1">
        <v>4.6166922860000001</v>
      </c>
      <c r="X2165" s="1">
        <v>5.1646924079999996</v>
      </c>
      <c r="Y2165" s="1">
        <v>5.2297915760000002</v>
      </c>
      <c r="Z2165" s="1">
        <v>5.6102934549999999</v>
      </c>
      <c r="AA2165" s="1">
        <v>5.4306817489999997</v>
      </c>
      <c r="AB2165" s="1">
        <v>5.4746970709999996</v>
      </c>
      <c r="AC2165" s="1">
        <v>5.5065733579999998</v>
      </c>
      <c r="AD2165" s="1">
        <v>5.4791562909999998</v>
      </c>
      <c r="AE2165" s="1">
        <v>5.175187158</v>
      </c>
    </row>
    <row r="2166" spans="1:31" x14ac:dyDescent="0.25">
      <c r="A2166" s="1" t="s">
        <v>2352</v>
      </c>
      <c r="B2166" s="1" t="s">
        <v>2530</v>
      </c>
      <c r="C2166" s="1" t="s">
        <v>2573</v>
      </c>
      <c r="D2166" s="1" t="s">
        <v>2535</v>
      </c>
      <c r="E2166" s="1" t="s">
        <v>5808</v>
      </c>
      <c r="G2166" s="1" t="s">
        <v>2352</v>
      </c>
      <c r="H2166" s="1">
        <v>5.2221022919999998</v>
      </c>
      <c r="I2166" s="1">
        <v>5.4067069720000003</v>
      </c>
      <c r="J2166" s="1">
        <v>4.5240842389999996</v>
      </c>
      <c r="K2166" s="1">
        <v>4.8793048219999999</v>
      </c>
      <c r="L2166" s="1">
        <v>5.2363096809999998</v>
      </c>
      <c r="M2166" s="1">
        <v>5.0913316819999999</v>
      </c>
      <c r="N2166" s="1">
        <v>6.1017809820000002</v>
      </c>
      <c r="O2166" s="1">
        <v>5.8051520590000001</v>
      </c>
      <c r="P2166" s="1">
        <v>4.6791060150000003</v>
      </c>
      <c r="Q2166" s="1">
        <v>5.1004769559999996</v>
      </c>
      <c r="R2166" s="1">
        <v>4.9894654599999999</v>
      </c>
      <c r="S2166" s="1">
        <v>4.8114074450000004</v>
      </c>
      <c r="T2166" s="1">
        <v>5.2363096809999998</v>
      </c>
      <c r="U2166" s="1">
        <v>5.0913316819999999</v>
      </c>
      <c r="V2166" s="1">
        <v>5.1679192199999999</v>
      </c>
      <c r="W2166" s="1">
        <v>5.16775612</v>
      </c>
      <c r="X2166" s="1">
        <v>5.2866392680000001</v>
      </c>
      <c r="Y2166" s="1">
        <v>4.8250325140000001</v>
      </c>
      <c r="Z2166" s="1">
        <v>4.9894654599999999</v>
      </c>
      <c r="AA2166" s="1">
        <v>4.8114074450000004</v>
      </c>
      <c r="AB2166" s="1">
        <v>5.3624643089999999</v>
      </c>
      <c r="AC2166" s="1">
        <v>4.9660712470000004</v>
      </c>
      <c r="AD2166" s="1">
        <v>5.116107059</v>
      </c>
      <c r="AE2166" s="1">
        <v>5.1494525009999998</v>
      </c>
    </row>
    <row r="2167" spans="1:31" x14ac:dyDescent="0.25">
      <c r="A2167" s="1" t="s">
        <v>2353</v>
      </c>
      <c r="B2167" s="1" t="s">
        <v>2568</v>
      </c>
      <c r="C2167" s="1" t="s">
        <v>2569</v>
      </c>
      <c r="D2167" s="1" t="s">
        <v>2949</v>
      </c>
      <c r="E2167" s="1" t="s">
        <v>3392</v>
      </c>
      <c r="G2167" s="1" t="s">
        <v>2353</v>
      </c>
      <c r="H2167" s="1">
        <v>2.9945681560000001</v>
      </c>
      <c r="I2167" s="1">
        <v>2.5655118899999998</v>
      </c>
      <c r="J2167" s="1">
        <v>3.1324899180000001</v>
      </c>
      <c r="K2167" s="1">
        <v>2.9677134359999999</v>
      </c>
      <c r="L2167" s="1">
        <v>2.5490970000000002</v>
      </c>
      <c r="M2167" s="1">
        <v>2.3994532390000001</v>
      </c>
      <c r="N2167" s="1">
        <v>2.8201075470000001</v>
      </c>
      <c r="O2167" s="1">
        <v>2.6816282820000001</v>
      </c>
      <c r="P2167" s="1">
        <v>1.7393328349999999</v>
      </c>
      <c r="Q2167" s="1">
        <v>2.935765398</v>
      </c>
      <c r="R2167" s="1">
        <v>2.9339002829999998</v>
      </c>
      <c r="S2167" s="1">
        <v>3.1475403900000001</v>
      </c>
      <c r="T2167" s="1">
        <v>2.5490970000000002</v>
      </c>
      <c r="U2167" s="1">
        <v>2.3994532390000001</v>
      </c>
      <c r="V2167" s="1">
        <v>2.5140266200000001</v>
      </c>
      <c r="W2167" s="1">
        <v>2.6606351240000001</v>
      </c>
      <c r="X2167" s="1">
        <v>2.7988456519999998</v>
      </c>
      <c r="Y2167" s="1">
        <v>2.624795792</v>
      </c>
      <c r="Z2167" s="1">
        <v>2.9339002829999998</v>
      </c>
      <c r="AA2167" s="1">
        <v>3.1475403900000001</v>
      </c>
      <c r="AB2167" s="1">
        <v>2.73487305</v>
      </c>
      <c r="AC2167" s="1">
        <v>2.5506926650000001</v>
      </c>
      <c r="AD2167" s="1">
        <v>2.6025990879999998</v>
      </c>
      <c r="AE2167" s="1">
        <v>3.419797387</v>
      </c>
    </row>
    <row r="2168" spans="1:31" x14ac:dyDescent="0.25">
      <c r="A2168" s="1" t="s">
        <v>2354</v>
      </c>
      <c r="B2168" s="1" t="s">
        <v>2530</v>
      </c>
      <c r="C2168" s="1" t="s">
        <v>2573</v>
      </c>
      <c r="D2168" s="1" t="s">
        <v>2535</v>
      </c>
      <c r="E2168" s="1" t="s">
        <v>3391</v>
      </c>
      <c r="G2168" s="1" t="s">
        <v>2354</v>
      </c>
      <c r="H2168" s="1">
        <v>5.1686839359999999</v>
      </c>
      <c r="I2168" s="1">
        <v>5.6208330609999999</v>
      </c>
      <c r="J2168" s="1">
        <v>4.2898244959999996</v>
      </c>
      <c r="K2168" s="1">
        <v>4.8793048219999999</v>
      </c>
      <c r="L2168" s="1">
        <v>5.1940340669999996</v>
      </c>
      <c r="M2168" s="1">
        <v>4.824486168</v>
      </c>
      <c r="N2168" s="1">
        <v>5.9569306830000004</v>
      </c>
      <c r="O2168" s="1">
        <v>5.3605571169999999</v>
      </c>
      <c r="P2168" s="1">
        <v>5.2325771159999999</v>
      </c>
      <c r="Q2168" s="1">
        <v>5.1511590549999999</v>
      </c>
      <c r="R2168" s="1">
        <v>4.3698765340000003</v>
      </c>
      <c r="S2168" s="1">
        <v>4.5490843459999999</v>
      </c>
      <c r="T2168" s="1">
        <v>5.1940340669999996</v>
      </c>
      <c r="U2168" s="1">
        <v>4.824486168</v>
      </c>
      <c r="V2168" s="1">
        <v>4.3879408260000003</v>
      </c>
      <c r="W2168" s="1">
        <v>4.7760085830000003</v>
      </c>
      <c r="X2168" s="1">
        <v>5.1128189019999999</v>
      </c>
      <c r="Y2168" s="1">
        <v>4.1479647589999997</v>
      </c>
      <c r="Z2168" s="1">
        <v>4.3698765340000003</v>
      </c>
      <c r="AA2168" s="1">
        <v>4.5490843459999999</v>
      </c>
      <c r="AB2168" s="1">
        <v>4.2729702720000002</v>
      </c>
      <c r="AC2168" s="1">
        <v>4.6870272159999997</v>
      </c>
      <c r="AD2168" s="1">
        <v>4.6978214539999996</v>
      </c>
      <c r="AE2168" s="1">
        <v>4.4595659249999997</v>
      </c>
    </row>
    <row r="2169" spans="1:31" x14ac:dyDescent="0.25">
      <c r="A2169" s="1" t="s">
        <v>2355</v>
      </c>
      <c r="B2169" s="1" t="s">
        <v>2530</v>
      </c>
      <c r="C2169" s="1" t="s">
        <v>2573</v>
      </c>
      <c r="D2169" s="1" t="s">
        <v>2535</v>
      </c>
      <c r="E2169" s="1" t="s">
        <v>3391</v>
      </c>
      <c r="G2169" s="1" t="s">
        <v>2355</v>
      </c>
      <c r="H2169" s="1">
        <v>7.9194406559999999</v>
      </c>
      <c r="I2169" s="1">
        <v>8.0399020879999998</v>
      </c>
      <c r="J2169" s="1">
        <v>7.0581931579999999</v>
      </c>
      <c r="K2169" s="1">
        <v>7.2216472190000003</v>
      </c>
      <c r="L2169" s="1">
        <v>6.9064163350000003</v>
      </c>
      <c r="M2169" s="1">
        <v>6.7776094479999998</v>
      </c>
      <c r="N2169" s="1">
        <v>7.4867383759999999</v>
      </c>
      <c r="O2169" s="1">
        <v>7.6540351839999996</v>
      </c>
      <c r="P2169" s="1">
        <v>7.1520863200000004</v>
      </c>
      <c r="Q2169" s="1">
        <v>7.0684241830000003</v>
      </c>
      <c r="R2169" s="1">
        <v>6.8225630720000003</v>
      </c>
      <c r="S2169" s="1">
        <v>6.66947534</v>
      </c>
      <c r="T2169" s="1">
        <v>6.9064163350000003</v>
      </c>
      <c r="U2169" s="1">
        <v>6.7776094479999998</v>
      </c>
      <c r="V2169" s="1">
        <v>6.7031108210000001</v>
      </c>
      <c r="W2169" s="1">
        <v>6.5088246730000003</v>
      </c>
      <c r="X2169" s="1">
        <v>6.7667750739999999</v>
      </c>
      <c r="Y2169" s="1">
        <v>6.8200537160000003</v>
      </c>
      <c r="Z2169" s="1">
        <v>6.8225630720000003</v>
      </c>
      <c r="AA2169" s="1">
        <v>6.66947534</v>
      </c>
      <c r="AB2169" s="1">
        <v>6.8129090650000004</v>
      </c>
      <c r="AC2169" s="1">
        <v>6.8589740600000004</v>
      </c>
      <c r="AD2169" s="1">
        <v>7.0057836900000003</v>
      </c>
      <c r="AE2169" s="1">
        <v>6.9362871930000001</v>
      </c>
    </row>
    <row r="2170" spans="1:31" x14ac:dyDescent="0.25">
      <c r="A2170" s="1" t="s">
        <v>2359</v>
      </c>
      <c r="B2170" s="1" t="s">
        <v>2642</v>
      </c>
      <c r="C2170" s="1" t="s">
        <v>2643</v>
      </c>
      <c r="D2170" s="1" t="s">
        <v>2687</v>
      </c>
      <c r="E2170" s="1" t="s">
        <v>2688</v>
      </c>
      <c r="F2170" s="1" t="s">
        <v>2689</v>
      </c>
      <c r="G2170" s="1" t="s">
        <v>2359</v>
      </c>
      <c r="H2170" s="1">
        <v>3.4660955969999998</v>
      </c>
      <c r="I2170" s="1">
        <v>3.5006354609999999</v>
      </c>
      <c r="J2170" s="1">
        <v>3.329519721</v>
      </c>
      <c r="K2170" s="1">
        <v>3.4309024589999999</v>
      </c>
      <c r="L2170" s="1">
        <v>3.6811173419999998</v>
      </c>
      <c r="M2170" s="1">
        <v>3.169085575</v>
      </c>
      <c r="N2170" s="1">
        <v>2.8201075470000001</v>
      </c>
      <c r="O2170" s="1">
        <v>3.050193165</v>
      </c>
      <c r="P2170" s="1">
        <v>3.86011382</v>
      </c>
      <c r="Q2170" s="1">
        <v>3.7137735799999998</v>
      </c>
      <c r="R2170" s="1">
        <v>2.9339002829999998</v>
      </c>
      <c r="S2170" s="1">
        <v>3.5159502420000002</v>
      </c>
      <c r="T2170" s="1">
        <v>3.6811173419999998</v>
      </c>
      <c r="U2170" s="1">
        <v>3.169085575</v>
      </c>
      <c r="V2170" s="1">
        <v>2.8225047829999999</v>
      </c>
      <c r="W2170" s="1">
        <v>3.2870366010000001</v>
      </c>
      <c r="X2170" s="1">
        <v>3.4131791489999999</v>
      </c>
      <c r="Y2170" s="1">
        <v>3.229986142</v>
      </c>
      <c r="Z2170" s="1">
        <v>2.9339002829999998</v>
      </c>
      <c r="AA2170" s="1">
        <v>3.5159502420000002</v>
      </c>
      <c r="AB2170" s="1">
        <v>3.1218319999999999</v>
      </c>
      <c r="AC2170" s="1">
        <v>2.87258916</v>
      </c>
      <c r="AD2170" s="1">
        <v>3.3987395579999999</v>
      </c>
      <c r="AE2170" s="1">
        <v>3.0939349979999999</v>
      </c>
    </row>
    <row r="2171" spans="1:31" x14ac:dyDescent="0.25">
      <c r="A2171" s="1" t="s">
        <v>2360</v>
      </c>
      <c r="B2171" s="1" t="s">
        <v>2530</v>
      </c>
      <c r="C2171" s="1" t="s">
        <v>2531</v>
      </c>
      <c r="D2171" s="1" t="s">
        <v>2535</v>
      </c>
      <c r="E2171" s="1" t="s">
        <v>5809</v>
      </c>
      <c r="G2171" s="1" t="s">
        <v>2360</v>
      </c>
      <c r="H2171" s="1">
        <v>4.7245801409999997</v>
      </c>
      <c r="I2171" s="1">
        <v>4.8477128089999999</v>
      </c>
      <c r="J2171" s="1">
        <v>4.1077874330000004</v>
      </c>
      <c r="K2171" s="1">
        <v>4.1384138449999996</v>
      </c>
      <c r="L2171" s="1">
        <v>4.6825378889999998</v>
      </c>
      <c r="M2171" s="1">
        <v>4.930560163</v>
      </c>
      <c r="N2171" s="1">
        <v>5.6334290280000001</v>
      </c>
      <c r="O2171" s="1">
        <v>5.2800788330000001</v>
      </c>
      <c r="P2171" s="1">
        <v>5.3522904530000002</v>
      </c>
      <c r="Q2171" s="1">
        <v>5.5780218530000001</v>
      </c>
      <c r="R2171" s="1">
        <v>4.8735636449999999</v>
      </c>
      <c r="S2171" s="1">
        <v>5.3098842800000003</v>
      </c>
      <c r="T2171" s="1">
        <v>4.6825378889999998</v>
      </c>
      <c r="U2171" s="1">
        <v>4.930560163</v>
      </c>
      <c r="V2171" s="1">
        <v>4.7533922439999996</v>
      </c>
      <c r="W2171" s="1">
        <v>3.8431653940000001</v>
      </c>
      <c r="X2171" s="1">
        <v>4.8203448399999997</v>
      </c>
      <c r="Y2171" s="1">
        <v>5.2792112080000004</v>
      </c>
      <c r="Z2171" s="1">
        <v>4.8735636449999999</v>
      </c>
      <c r="AA2171" s="1">
        <v>5.3098842800000003</v>
      </c>
      <c r="AB2171" s="1">
        <v>4.7958605490000004</v>
      </c>
      <c r="AC2171" s="1">
        <v>4.5576875899999996</v>
      </c>
      <c r="AD2171" s="1">
        <v>5.116107059</v>
      </c>
      <c r="AE2171" s="1">
        <v>4.8303216779999998</v>
      </c>
    </row>
    <row r="2172" spans="1:31" x14ac:dyDescent="0.25">
      <c r="A2172" s="1" t="s">
        <v>2361</v>
      </c>
      <c r="B2172" s="1" t="s">
        <v>2547</v>
      </c>
      <c r="C2172" s="1" t="s">
        <v>3061</v>
      </c>
      <c r="D2172" s="1" t="s">
        <v>2535</v>
      </c>
      <c r="E2172" s="1" t="s">
        <v>3062</v>
      </c>
      <c r="G2172" s="1" t="s">
        <v>2361</v>
      </c>
      <c r="H2172" s="1">
        <v>8.1691821289999993</v>
      </c>
      <c r="I2172" s="1">
        <v>7.5785686370000001</v>
      </c>
      <c r="J2172" s="1">
        <v>8.9294654770000008</v>
      </c>
      <c r="K2172" s="1">
        <v>8.874407175</v>
      </c>
      <c r="L2172" s="1">
        <v>8.8909771370000001</v>
      </c>
      <c r="M2172" s="1">
        <v>8.9849855200000004</v>
      </c>
      <c r="N2172" s="1">
        <v>7.1765990879999997</v>
      </c>
      <c r="O2172" s="1">
        <v>7.5095852350000003</v>
      </c>
      <c r="P2172" s="1">
        <v>9.0463845589999998</v>
      </c>
      <c r="Q2172" s="1">
        <v>9.2283371620000008</v>
      </c>
      <c r="R2172" s="1">
        <v>9.0792375159999992</v>
      </c>
      <c r="S2172" s="1">
        <v>9.2172530829999992</v>
      </c>
      <c r="T2172" s="1">
        <v>8.8909771370000001</v>
      </c>
      <c r="U2172" s="1">
        <v>8.9849855200000004</v>
      </c>
      <c r="V2172" s="1">
        <v>9.0152658649999999</v>
      </c>
      <c r="W2172" s="1">
        <v>9.144227527</v>
      </c>
      <c r="X2172" s="1">
        <v>9.1105452180000004</v>
      </c>
      <c r="Y2172" s="1">
        <v>8.9194814850000004</v>
      </c>
      <c r="Z2172" s="1">
        <v>9.0792375159999992</v>
      </c>
      <c r="AA2172" s="1">
        <v>9.2172530829999992</v>
      </c>
      <c r="AB2172" s="1">
        <v>9.2495907719999995</v>
      </c>
      <c r="AC2172" s="1">
        <v>9.0624069380000005</v>
      </c>
      <c r="AD2172" s="1">
        <v>8.8411919950000009</v>
      </c>
      <c r="AE2172" s="1">
        <v>8.9491054699999992</v>
      </c>
    </row>
    <row r="2173" spans="1:31" x14ac:dyDescent="0.25">
      <c r="A2173" s="1" t="s">
        <v>2362</v>
      </c>
      <c r="B2173" s="1" t="s">
        <v>2520</v>
      </c>
      <c r="C2173" s="1" t="s">
        <v>2521</v>
      </c>
      <c r="D2173" s="1" t="s">
        <v>2535</v>
      </c>
      <c r="E2173" s="1" t="s">
        <v>5810</v>
      </c>
      <c r="G2173" s="1" t="s">
        <v>2362</v>
      </c>
      <c r="H2173" s="1">
        <v>8.0570188799999993</v>
      </c>
      <c r="I2173" s="1">
        <v>8.0521877550000003</v>
      </c>
      <c r="J2173" s="1">
        <v>7.2079908670000004</v>
      </c>
      <c r="K2173" s="1">
        <v>7.3061220259999997</v>
      </c>
      <c r="L2173" s="1">
        <v>7.1343212879999998</v>
      </c>
      <c r="M2173" s="1">
        <v>7.1687315680000001</v>
      </c>
      <c r="N2173" s="1">
        <v>7.4494039580000004</v>
      </c>
      <c r="O2173" s="1">
        <v>7.9876349920000003</v>
      </c>
      <c r="P2173" s="1">
        <v>7.1411199769999998</v>
      </c>
      <c r="Q2173" s="1">
        <v>7.2975843859999996</v>
      </c>
      <c r="R2173" s="1">
        <v>6.9553432400000004</v>
      </c>
      <c r="S2173" s="1">
        <v>7.1840900559999996</v>
      </c>
      <c r="T2173" s="1">
        <v>7.1343212879999998</v>
      </c>
      <c r="U2173" s="1">
        <v>7.1687315680000001</v>
      </c>
      <c r="V2173" s="1">
        <v>7.1263832059999999</v>
      </c>
      <c r="W2173" s="1">
        <v>7.0126858380000003</v>
      </c>
      <c r="X2173" s="1">
        <v>7.1706350160000003</v>
      </c>
      <c r="Y2173" s="1">
        <v>7.5961041060000003</v>
      </c>
      <c r="Z2173" s="1">
        <v>6.9553432400000004</v>
      </c>
      <c r="AA2173" s="1">
        <v>7.1840900559999996</v>
      </c>
      <c r="AB2173" s="1">
        <v>7.5588360830000001</v>
      </c>
      <c r="AC2173" s="1">
        <v>7.2049668000000002</v>
      </c>
      <c r="AD2173" s="1">
        <v>7.7792910080000004</v>
      </c>
      <c r="AE2173" s="1">
        <v>7.8265318109999997</v>
      </c>
    </row>
    <row r="2174" spans="1:31" x14ac:dyDescent="0.25">
      <c r="A2174" s="1" t="s">
        <v>2363</v>
      </c>
      <c r="B2174" s="1" t="s">
        <v>2598</v>
      </c>
      <c r="C2174" s="1" t="s">
        <v>2599</v>
      </c>
      <c r="D2174" s="1" t="s">
        <v>3080</v>
      </c>
      <c r="E2174" s="1" t="s">
        <v>5811</v>
      </c>
      <c r="F2174" s="1" t="s">
        <v>5812</v>
      </c>
      <c r="G2174" s="1" t="s">
        <v>2363</v>
      </c>
      <c r="H2174" s="1">
        <v>5.2221022919999998</v>
      </c>
      <c r="I2174" s="1">
        <v>5.4817092260000004</v>
      </c>
      <c r="J2174" s="1">
        <v>4.8994370109999998</v>
      </c>
      <c r="K2174" s="1">
        <v>4.8139921829999999</v>
      </c>
      <c r="L2174" s="1">
        <v>4.9358482109999997</v>
      </c>
      <c r="M2174" s="1">
        <v>5.2079667260000004</v>
      </c>
      <c r="N2174" s="1">
        <v>5.3135718379999997</v>
      </c>
      <c r="O2174" s="1">
        <v>5.7664208490000002</v>
      </c>
      <c r="P2174" s="1">
        <v>4.6791060150000003</v>
      </c>
      <c r="Q2174" s="1">
        <v>4.611970812</v>
      </c>
      <c r="R2174" s="1">
        <v>4.45403635</v>
      </c>
      <c r="S2174" s="1">
        <v>4.5490843459999999</v>
      </c>
      <c r="T2174" s="1">
        <v>4.9358482109999997</v>
      </c>
      <c r="U2174" s="1">
        <v>5.2079667260000004</v>
      </c>
      <c r="V2174" s="1">
        <v>4.3163797720000003</v>
      </c>
      <c r="W2174" s="1">
        <v>4.8493412630000003</v>
      </c>
      <c r="X2174" s="1">
        <v>4.8203448399999997</v>
      </c>
      <c r="Y2174" s="1">
        <v>5.3731782380000004</v>
      </c>
      <c r="Z2174" s="1">
        <v>4.45403635</v>
      </c>
      <c r="AA2174" s="1">
        <v>4.5490843459999999</v>
      </c>
      <c r="AB2174" s="1">
        <v>5.0356743460000004</v>
      </c>
      <c r="AC2174" s="1">
        <v>4.6870272159999997</v>
      </c>
      <c r="AD2174" s="1">
        <v>4.7657555159999996</v>
      </c>
      <c r="AE2174" s="1">
        <v>5.0965372069999999</v>
      </c>
    </row>
    <row r="2175" spans="1:31" x14ac:dyDescent="0.25">
      <c r="A2175" s="1" t="s">
        <v>2365</v>
      </c>
      <c r="B2175" s="1" t="s">
        <v>2530</v>
      </c>
      <c r="C2175" s="1" t="s">
        <v>2531</v>
      </c>
      <c r="D2175" s="1" t="s">
        <v>2535</v>
      </c>
      <c r="E2175" s="1" t="s">
        <v>2536</v>
      </c>
      <c r="G2175" s="1" t="s">
        <v>2365</v>
      </c>
      <c r="H2175" s="1">
        <v>8.0126019050000004</v>
      </c>
      <c r="I2175" s="1">
        <v>8.2886099430000009</v>
      </c>
      <c r="J2175" s="1">
        <v>6.4839470649999997</v>
      </c>
      <c r="K2175" s="1">
        <v>6.7901886659999997</v>
      </c>
      <c r="L2175" s="1">
        <v>6.3879841260000001</v>
      </c>
      <c r="M2175" s="1">
        <v>6.1256430599999998</v>
      </c>
      <c r="N2175" s="1">
        <v>7.7680549289999998</v>
      </c>
      <c r="O2175" s="1">
        <v>8.016703132</v>
      </c>
      <c r="P2175" s="1">
        <v>6.4476246020000003</v>
      </c>
      <c r="Q2175" s="1">
        <v>6.123526483</v>
      </c>
      <c r="R2175" s="1">
        <v>6.239987642</v>
      </c>
      <c r="S2175" s="1">
        <v>5.9969908790000002</v>
      </c>
      <c r="T2175" s="1">
        <v>6.3879841260000001</v>
      </c>
      <c r="U2175" s="1">
        <v>6.1256430599999998</v>
      </c>
      <c r="V2175" s="1">
        <v>6.5289779240000003</v>
      </c>
      <c r="W2175" s="1">
        <v>6.0056801469999996</v>
      </c>
      <c r="X2175" s="1">
        <v>6.2034432739999996</v>
      </c>
      <c r="Y2175" s="1">
        <v>6.2594192150000003</v>
      </c>
      <c r="Z2175" s="1">
        <v>6.239987642</v>
      </c>
      <c r="AA2175" s="1">
        <v>5.9969908790000002</v>
      </c>
      <c r="AB2175" s="1">
        <v>6.339283708</v>
      </c>
      <c r="AC2175" s="1">
        <v>6.384018502</v>
      </c>
      <c r="AD2175" s="1">
        <v>6.7155560489999999</v>
      </c>
      <c r="AE2175" s="1">
        <v>6.6750869430000002</v>
      </c>
    </row>
    <row r="2176" spans="1:31" x14ac:dyDescent="0.25">
      <c r="A2176" s="1" t="s">
        <v>2367</v>
      </c>
      <c r="B2176" s="1" t="s">
        <v>2608</v>
      </c>
      <c r="C2176" s="1" t="s">
        <v>2758</v>
      </c>
      <c r="D2176" s="1" t="s">
        <v>2759</v>
      </c>
      <c r="E2176" s="1" t="s">
        <v>5813</v>
      </c>
      <c r="F2176" s="1" t="s">
        <v>5814</v>
      </c>
      <c r="G2176" s="1" t="s">
        <v>2367</v>
      </c>
      <c r="H2176" s="1">
        <v>6.7114110580000004</v>
      </c>
      <c r="I2176" s="1">
        <v>7.0753932370000001</v>
      </c>
      <c r="J2176" s="1">
        <v>8.2988470999999997</v>
      </c>
      <c r="K2176" s="1">
        <v>7.9330265940000002</v>
      </c>
      <c r="L2176" s="1">
        <v>8.8843990989999995</v>
      </c>
      <c r="M2176" s="1">
        <v>8.9101665140000001</v>
      </c>
      <c r="N2176" s="1">
        <v>7.5785240690000002</v>
      </c>
      <c r="O2176" s="1">
        <v>7.6802284939999996</v>
      </c>
      <c r="P2176" s="1">
        <v>8.3597436120000008</v>
      </c>
      <c r="Q2176" s="1">
        <v>8.3607969440000005</v>
      </c>
      <c r="R2176" s="1">
        <v>8.5781784200000004</v>
      </c>
      <c r="S2176" s="1">
        <v>8.6236150879999993</v>
      </c>
      <c r="T2176" s="1">
        <v>8.8843990989999995</v>
      </c>
      <c r="U2176" s="1">
        <v>8.9101665140000001</v>
      </c>
      <c r="V2176" s="1">
        <v>8.5712723329999996</v>
      </c>
      <c r="W2176" s="1">
        <v>8.4812426779999992</v>
      </c>
      <c r="X2176" s="1">
        <v>8.7196420640000003</v>
      </c>
      <c r="Y2176" s="1">
        <v>8.5313928699999995</v>
      </c>
      <c r="Z2176" s="1">
        <v>8.5781784200000004</v>
      </c>
      <c r="AA2176" s="1">
        <v>8.6236150879999993</v>
      </c>
      <c r="AB2176" s="1">
        <v>8.5964134249999997</v>
      </c>
      <c r="AC2176" s="1">
        <v>8.5265018010000002</v>
      </c>
      <c r="AD2176" s="1">
        <v>8.5737952659999994</v>
      </c>
      <c r="AE2176" s="1">
        <v>8.4055575190000003</v>
      </c>
    </row>
    <row r="2177" spans="1:31" x14ac:dyDescent="0.25">
      <c r="A2177" s="1" t="s">
        <v>2374</v>
      </c>
      <c r="B2177" s="1" t="s">
        <v>2547</v>
      </c>
      <c r="C2177" s="1" t="s">
        <v>3886</v>
      </c>
      <c r="D2177" s="1" t="s">
        <v>5815</v>
      </c>
      <c r="E2177" s="1" t="s">
        <v>5816</v>
      </c>
      <c r="F2177" s="1" t="s">
        <v>5817</v>
      </c>
      <c r="G2177" s="1" t="s">
        <v>2374</v>
      </c>
      <c r="H2177" s="1">
        <v>7.1547827179999999</v>
      </c>
      <c r="I2177" s="1">
        <v>6.7527702749999996</v>
      </c>
      <c r="J2177" s="1">
        <v>6.2053027219999999</v>
      </c>
      <c r="K2177" s="1">
        <v>6.4514685810000003</v>
      </c>
      <c r="L2177" s="1">
        <v>5.6335437009999998</v>
      </c>
      <c r="M2177" s="1">
        <v>5.7391643339999998</v>
      </c>
      <c r="N2177" s="1">
        <v>6.7013847870000003</v>
      </c>
      <c r="O2177" s="1">
        <v>7.1155467110000004</v>
      </c>
      <c r="P2177" s="1">
        <v>5.660815296</v>
      </c>
      <c r="Q2177" s="1">
        <v>5.4628336309999996</v>
      </c>
      <c r="R2177" s="1">
        <v>5.6457947050000001</v>
      </c>
      <c r="S2177" s="1">
        <v>5.8890842929999998</v>
      </c>
      <c r="T2177" s="1">
        <v>5.6335437009999998</v>
      </c>
      <c r="U2177" s="1">
        <v>5.7391643339999998</v>
      </c>
      <c r="V2177" s="1">
        <v>6.0800160549999998</v>
      </c>
      <c r="W2177" s="1">
        <v>6.4401804780000003</v>
      </c>
      <c r="X2177" s="1">
        <v>5.4828239310000004</v>
      </c>
      <c r="Y2177" s="1">
        <v>6.0769070919999999</v>
      </c>
      <c r="Z2177" s="1">
        <v>5.6457947050000001</v>
      </c>
      <c r="AA2177" s="1">
        <v>5.8890842929999998</v>
      </c>
      <c r="AB2177" s="1">
        <v>6.008835446</v>
      </c>
      <c r="AC2177" s="1">
        <v>6.0234746389999998</v>
      </c>
      <c r="AD2177" s="1">
        <v>6.3296964060000001</v>
      </c>
      <c r="AE2177" s="1">
        <v>6.5537692129999998</v>
      </c>
    </row>
    <row r="2178" spans="1:31" x14ac:dyDescent="0.25">
      <c r="A2178" s="1" t="s">
        <v>2375</v>
      </c>
      <c r="B2178" s="1" t="s">
        <v>2598</v>
      </c>
      <c r="C2178" s="1" t="s">
        <v>2599</v>
      </c>
      <c r="D2178" s="1" t="s">
        <v>2535</v>
      </c>
      <c r="E2178" s="1" t="s">
        <v>5818</v>
      </c>
      <c r="F2178" s="1" t="s">
        <v>5819</v>
      </c>
      <c r="G2178" s="1" t="s">
        <v>2375</v>
      </c>
      <c r="H2178" s="1">
        <v>4.7245801409999997</v>
      </c>
      <c r="I2178" s="1">
        <v>4.0101074990000001</v>
      </c>
      <c r="J2178" s="1">
        <v>5.0551375939999996</v>
      </c>
      <c r="K2178" s="1">
        <v>4.6734567340000002</v>
      </c>
      <c r="L2178" s="1">
        <v>4.9358482109999997</v>
      </c>
      <c r="M2178" s="1">
        <v>4.7872698079999996</v>
      </c>
      <c r="N2178" s="1">
        <v>4.9627953409999996</v>
      </c>
      <c r="O2178" s="1">
        <v>5.0724039640000003</v>
      </c>
      <c r="P2178" s="1">
        <v>4.8528499219999999</v>
      </c>
      <c r="Q2178" s="1">
        <v>4.683187717</v>
      </c>
      <c r="R2178" s="1">
        <v>4.8735636449999999</v>
      </c>
      <c r="S2178" s="1">
        <v>5.1309834260000002</v>
      </c>
      <c r="T2178" s="1">
        <v>4.9358482109999997</v>
      </c>
      <c r="U2178" s="1">
        <v>4.7872698079999996</v>
      </c>
      <c r="V2178" s="1">
        <v>4.5207607210000003</v>
      </c>
      <c r="W2178" s="1">
        <v>4.5296290450000001</v>
      </c>
      <c r="X2178" s="1">
        <v>5.1389930130000003</v>
      </c>
      <c r="Y2178" s="1">
        <v>4.7564010139999997</v>
      </c>
      <c r="Z2178" s="1">
        <v>4.8735636449999999</v>
      </c>
      <c r="AA2178" s="1">
        <v>5.1309834260000002</v>
      </c>
      <c r="AB2178" s="1">
        <v>3.404153038</v>
      </c>
      <c r="AC2178" s="1">
        <v>4.8610120620000004</v>
      </c>
      <c r="AD2178" s="1">
        <v>4.4715299570000004</v>
      </c>
      <c r="AE2178" s="1">
        <v>4.7973769099999997</v>
      </c>
    </row>
    <row r="2179" spans="1:31" x14ac:dyDescent="0.25">
      <c r="A2179" s="1" t="s">
        <v>2377</v>
      </c>
      <c r="B2179" s="1" t="s">
        <v>2525</v>
      </c>
      <c r="C2179" s="1" t="s">
        <v>2531</v>
      </c>
      <c r="D2179" s="1" t="s">
        <v>5820</v>
      </c>
      <c r="E2179" s="1" t="s">
        <v>5821</v>
      </c>
      <c r="F2179" s="1" t="s">
        <v>5822</v>
      </c>
      <c r="G2179" s="1" t="s">
        <v>2377</v>
      </c>
      <c r="H2179" s="1">
        <v>2.640460343</v>
      </c>
      <c r="I2179" s="1">
        <v>2.8927893610000002</v>
      </c>
      <c r="J2179" s="1">
        <v>3.1324899180000001</v>
      </c>
      <c r="K2179" s="1">
        <v>3.762021974</v>
      </c>
      <c r="L2179" s="1">
        <v>3.6811173419999998</v>
      </c>
      <c r="M2179" s="1">
        <v>3.7747836370000001</v>
      </c>
      <c r="N2179" s="1">
        <v>4.0417975630000003</v>
      </c>
      <c r="O2179" s="1">
        <v>3.434496577</v>
      </c>
      <c r="P2179" s="1">
        <v>4.2485661720000003</v>
      </c>
      <c r="Q2179" s="1">
        <v>3.56206471</v>
      </c>
      <c r="R2179" s="1">
        <v>4.3698765340000003</v>
      </c>
      <c r="S2179" s="1">
        <v>3.6647387380000001</v>
      </c>
      <c r="T2179" s="1">
        <v>3.6811173419999998</v>
      </c>
      <c r="U2179" s="1">
        <v>3.7747836370000001</v>
      </c>
      <c r="V2179" s="1">
        <v>3.2389700330000002</v>
      </c>
      <c r="W2179" s="1">
        <v>3.2870366010000001</v>
      </c>
      <c r="X2179" s="1">
        <v>4.407182283</v>
      </c>
      <c r="Y2179" s="1">
        <v>3.6154848500000001</v>
      </c>
      <c r="Z2179" s="1">
        <v>4.3698765340000003</v>
      </c>
      <c r="AA2179" s="1">
        <v>3.6647387380000001</v>
      </c>
      <c r="AB2179" s="1">
        <v>3.990981031</v>
      </c>
      <c r="AC2179" s="1">
        <v>4.0753403910000001</v>
      </c>
      <c r="AD2179" s="1">
        <v>4.4715299570000004</v>
      </c>
      <c r="AE2179" s="1">
        <v>3.8864783150000002</v>
      </c>
    </row>
    <row r="2180" spans="1:31" x14ac:dyDescent="0.25">
      <c r="A2180" s="1" t="s">
        <v>2378</v>
      </c>
      <c r="B2180" s="1" t="s">
        <v>2648</v>
      </c>
      <c r="C2180" s="1" t="s">
        <v>2649</v>
      </c>
      <c r="D2180" s="1" t="s">
        <v>5823</v>
      </c>
      <c r="E2180" s="1" t="s">
        <v>5824</v>
      </c>
      <c r="F2180" s="1" t="s">
        <v>5825</v>
      </c>
      <c r="G2180" s="1" t="s">
        <v>2378</v>
      </c>
      <c r="H2180" s="1">
        <v>6.5548587630000004</v>
      </c>
      <c r="I2180" s="1">
        <v>6.4335830219999997</v>
      </c>
      <c r="J2180" s="1">
        <v>6.4839470649999997</v>
      </c>
      <c r="K2180" s="1">
        <v>6.363994462</v>
      </c>
      <c r="L2180" s="1">
        <v>6.8054930130000004</v>
      </c>
      <c r="M2180" s="1">
        <v>6.8054248829999997</v>
      </c>
      <c r="N2180" s="1">
        <v>7.061099928</v>
      </c>
      <c r="O2180" s="1">
        <v>6.7797313849999998</v>
      </c>
      <c r="P2180" s="1">
        <v>6.8891464339999997</v>
      </c>
      <c r="Q2180" s="1">
        <v>6.7311802209999998</v>
      </c>
      <c r="R2180" s="1">
        <v>6.8531456039999998</v>
      </c>
      <c r="S2180" s="1">
        <v>6.4967339439999998</v>
      </c>
      <c r="T2180" s="1">
        <v>6.8054930130000004</v>
      </c>
      <c r="U2180" s="1">
        <v>6.8054248829999997</v>
      </c>
      <c r="V2180" s="1">
        <v>6.481941097</v>
      </c>
      <c r="W2180" s="1">
        <v>6.463427716</v>
      </c>
      <c r="X2180" s="1">
        <v>7.364531919</v>
      </c>
      <c r="Y2180" s="1">
        <v>6.5865062539999997</v>
      </c>
      <c r="Z2180" s="1">
        <v>6.8531456039999998</v>
      </c>
      <c r="AA2180" s="1">
        <v>6.4967339439999998</v>
      </c>
      <c r="AB2180" s="1">
        <v>7.0294463739999999</v>
      </c>
      <c r="AC2180" s="1">
        <v>7.1619038179999999</v>
      </c>
      <c r="AD2180" s="1">
        <v>7.293291977</v>
      </c>
      <c r="AE2180" s="1">
        <v>7.0783497569999998</v>
      </c>
    </row>
    <row r="2181" spans="1:31" x14ac:dyDescent="0.25">
      <c r="A2181" s="1" t="s">
        <v>2379</v>
      </c>
      <c r="B2181" s="1" t="s">
        <v>2648</v>
      </c>
      <c r="C2181" s="1" t="s">
        <v>2649</v>
      </c>
      <c r="D2181" s="1" t="s">
        <v>5823</v>
      </c>
      <c r="E2181" s="1" t="s">
        <v>5826</v>
      </c>
      <c r="F2181" s="1" t="s">
        <v>5827</v>
      </c>
      <c r="G2181" s="1" t="s">
        <v>2379</v>
      </c>
      <c r="H2181" s="1">
        <v>7.3813453510000002</v>
      </c>
      <c r="I2181" s="1">
        <v>7.3388290459999999</v>
      </c>
      <c r="J2181" s="1">
        <v>7.547676311</v>
      </c>
      <c r="K2181" s="1">
        <v>7.7726697270000003</v>
      </c>
      <c r="L2181" s="1">
        <v>7.5793916299999999</v>
      </c>
      <c r="M2181" s="1">
        <v>7.6186633380000002</v>
      </c>
      <c r="N2181" s="1">
        <v>8.2277975629999993</v>
      </c>
      <c r="O2181" s="1">
        <v>7.9233002920000004</v>
      </c>
      <c r="P2181" s="1">
        <v>7.5669162419999996</v>
      </c>
      <c r="Q2181" s="1">
        <v>7.7928710350000001</v>
      </c>
      <c r="R2181" s="1">
        <v>7.4412330640000004</v>
      </c>
      <c r="S2181" s="1">
        <v>7.6141247969999997</v>
      </c>
      <c r="T2181" s="1">
        <v>7.5793916299999999</v>
      </c>
      <c r="U2181" s="1">
        <v>7.6186633380000002</v>
      </c>
      <c r="V2181" s="1">
        <v>7.0532434420000003</v>
      </c>
      <c r="W2181" s="1">
        <v>7.0438401490000002</v>
      </c>
      <c r="X2181" s="1">
        <v>7.9668708620000004</v>
      </c>
      <c r="Y2181" s="1">
        <v>7.4104262099999998</v>
      </c>
      <c r="Z2181" s="1">
        <v>7.4412330640000004</v>
      </c>
      <c r="AA2181" s="1">
        <v>7.6141247969999997</v>
      </c>
      <c r="AB2181" s="1">
        <v>8.0021531350000004</v>
      </c>
      <c r="AC2181" s="1">
        <v>7.8246989600000001</v>
      </c>
      <c r="AD2181" s="1">
        <v>8.1358288059999992</v>
      </c>
      <c r="AE2181" s="1">
        <v>8.0839179039999998</v>
      </c>
    </row>
    <row r="2182" spans="1:31" x14ac:dyDescent="0.25">
      <c r="A2182" s="1" t="s">
        <v>2380</v>
      </c>
      <c r="B2182" s="1" t="s">
        <v>2648</v>
      </c>
      <c r="C2182" s="1" t="s">
        <v>2649</v>
      </c>
      <c r="D2182" s="1" t="s">
        <v>5823</v>
      </c>
      <c r="E2182" s="1" t="s">
        <v>5828</v>
      </c>
      <c r="F2182" s="1" t="s">
        <v>5829</v>
      </c>
      <c r="G2182" s="1" t="s">
        <v>2380</v>
      </c>
      <c r="H2182" s="1">
        <v>8.0642905149999997</v>
      </c>
      <c r="I2182" s="1">
        <v>8.2140270829999995</v>
      </c>
      <c r="J2182" s="1">
        <v>7.6639151590000001</v>
      </c>
      <c r="K2182" s="1">
        <v>7.5728717029999997</v>
      </c>
      <c r="L2182" s="1">
        <v>7.6392370779999998</v>
      </c>
      <c r="M2182" s="1">
        <v>7.411180409</v>
      </c>
      <c r="N2182" s="1">
        <v>8.3044577820000001</v>
      </c>
      <c r="O2182" s="1">
        <v>8.4410133890000001</v>
      </c>
      <c r="P2182" s="1">
        <v>7.8755036560000002</v>
      </c>
      <c r="Q2182" s="1">
        <v>7.3841412809999998</v>
      </c>
      <c r="R2182" s="1">
        <v>7.8652464599999998</v>
      </c>
      <c r="S2182" s="1">
        <v>7.2178550819999998</v>
      </c>
      <c r="T2182" s="1">
        <v>7.6392370779999998</v>
      </c>
      <c r="U2182" s="1">
        <v>7.411180409</v>
      </c>
      <c r="V2182" s="1">
        <v>7.5775539670000001</v>
      </c>
      <c r="W2182" s="1">
        <v>7.7487515379999996</v>
      </c>
      <c r="X2182" s="1">
        <v>7.8421591169999996</v>
      </c>
      <c r="Y2182" s="1">
        <v>7.8444431989999996</v>
      </c>
      <c r="Z2182" s="1">
        <v>7.8652464599999998</v>
      </c>
      <c r="AA2182" s="1">
        <v>7.2178550819999998</v>
      </c>
      <c r="AB2182" s="1">
        <v>7.9548424219999996</v>
      </c>
      <c r="AC2182" s="1">
        <v>7.885504063</v>
      </c>
      <c r="AD2182" s="1">
        <v>7.8503189950000003</v>
      </c>
      <c r="AE2182" s="1">
        <v>7.7980744380000004</v>
      </c>
    </row>
    <row r="2183" spans="1:31" x14ac:dyDescent="0.25">
      <c r="A2183" s="1" t="s">
        <v>2381</v>
      </c>
      <c r="B2183" s="1" t="s">
        <v>2547</v>
      </c>
      <c r="C2183" s="1" t="s">
        <v>3061</v>
      </c>
      <c r="D2183" s="1" t="s">
        <v>5823</v>
      </c>
      <c r="E2183" s="1" t="s">
        <v>5830</v>
      </c>
      <c r="F2183" s="1" t="s">
        <v>5831</v>
      </c>
      <c r="G2183" s="1" t="s">
        <v>2381</v>
      </c>
      <c r="H2183" s="1">
        <v>10.18963731</v>
      </c>
      <c r="I2183" s="1">
        <v>9.8264610789999995</v>
      </c>
      <c r="J2183" s="1">
        <v>9.4291122709999993</v>
      </c>
      <c r="K2183" s="1">
        <v>9.3958802299999995</v>
      </c>
      <c r="L2183" s="1">
        <v>9.1279944109999995</v>
      </c>
      <c r="M2183" s="1">
        <v>9.2165118929999998</v>
      </c>
      <c r="N2183" s="1">
        <v>10.009435829999999</v>
      </c>
      <c r="O2183" s="1">
        <v>10.042236300000001</v>
      </c>
      <c r="P2183" s="1">
        <v>9.5660857119999996</v>
      </c>
      <c r="Q2183" s="1">
        <v>9.5305629930000002</v>
      </c>
      <c r="R2183" s="1">
        <v>9.4553993829999996</v>
      </c>
      <c r="S2183" s="1">
        <v>9.3088341369999998</v>
      </c>
      <c r="T2183" s="1">
        <v>9.1279944109999995</v>
      </c>
      <c r="U2183" s="1">
        <v>9.2165118929999998</v>
      </c>
      <c r="V2183" s="1">
        <v>9.3758593060000006</v>
      </c>
      <c r="W2183" s="1">
        <v>9.3325049030000002</v>
      </c>
      <c r="X2183" s="1">
        <v>9.5732873479999991</v>
      </c>
      <c r="Y2183" s="1">
        <v>9.5081560490000001</v>
      </c>
      <c r="Z2183" s="1">
        <v>9.4553993829999996</v>
      </c>
      <c r="AA2183" s="1">
        <v>9.3088341369999998</v>
      </c>
      <c r="AB2183" s="1">
        <v>9.539797708</v>
      </c>
      <c r="AC2183" s="1">
        <v>9.5986472910000007</v>
      </c>
      <c r="AD2183" s="1">
        <v>9.8558532030000006</v>
      </c>
      <c r="AE2183" s="1">
        <v>9.7272607749999995</v>
      </c>
    </row>
    <row r="2184" spans="1:31" x14ac:dyDescent="0.25">
      <c r="A2184" s="1" t="s">
        <v>2385</v>
      </c>
      <c r="B2184" s="1" t="s">
        <v>2520</v>
      </c>
      <c r="C2184" s="1" t="s">
        <v>2646</v>
      </c>
      <c r="D2184" s="1" t="s">
        <v>2535</v>
      </c>
      <c r="E2184" s="1" t="s">
        <v>5832</v>
      </c>
      <c r="G2184" s="1" t="s">
        <v>2385</v>
      </c>
      <c r="H2184" s="1">
        <v>6.0673720150000001</v>
      </c>
      <c r="I2184" s="1">
        <v>5.8917578519999996</v>
      </c>
      <c r="J2184" s="1">
        <v>6.1146491980000004</v>
      </c>
      <c r="K2184" s="1">
        <v>5.6105789259999996</v>
      </c>
      <c r="L2184" s="1">
        <v>5.58546151</v>
      </c>
      <c r="M2184" s="1">
        <v>5.7000608240000004</v>
      </c>
      <c r="N2184" s="1">
        <v>6.7722559489999998</v>
      </c>
      <c r="O2184" s="1">
        <v>6.5142648510000001</v>
      </c>
      <c r="P2184" s="1">
        <v>5.8618301099999996</v>
      </c>
      <c r="Q2184" s="1">
        <v>5.5780218530000001</v>
      </c>
      <c r="R2184" s="1">
        <v>5.8420803340000003</v>
      </c>
      <c r="S2184" s="1">
        <v>5.4306817489999997</v>
      </c>
      <c r="T2184" s="1">
        <v>5.58546151</v>
      </c>
      <c r="U2184" s="1">
        <v>5.7000608240000004</v>
      </c>
      <c r="V2184" s="1">
        <v>5.8017242820000003</v>
      </c>
      <c r="W2184" s="1">
        <v>5.6059572260000001</v>
      </c>
      <c r="X2184" s="1">
        <v>5.6000621730000004</v>
      </c>
      <c r="Y2184" s="1">
        <v>5.8995743010000004</v>
      </c>
      <c r="Z2184" s="1">
        <v>5.8420803340000003</v>
      </c>
      <c r="AA2184" s="1">
        <v>5.4306817489999997</v>
      </c>
      <c r="AB2184" s="1">
        <v>5.9711898400000001</v>
      </c>
      <c r="AC2184" s="1">
        <v>6.047382313</v>
      </c>
      <c r="AD2184" s="1">
        <v>5.8632235870000002</v>
      </c>
      <c r="AE2184" s="1">
        <v>5.6297370090000003</v>
      </c>
    </row>
    <row r="2185" spans="1:31" x14ac:dyDescent="0.25">
      <c r="A2185" s="1" t="s">
        <v>2391</v>
      </c>
      <c r="B2185" s="1" t="s">
        <v>2539</v>
      </c>
      <c r="C2185" s="1" t="s">
        <v>2606</v>
      </c>
      <c r="D2185" s="1" t="s">
        <v>2535</v>
      </c>
      <c r="E2185" s="1" t="s">
        <v>5833</v>
      </c>
      <c r="G2185" s="1" t="s">
        <v>2391</v>
      </c>
      <c r="H2185" s="1">
        <v>5.1686839359999999</v>
      </c>
      <c r="I2185" s="1">
        <v>5.4817092260000004</v>
      </c>
      <c r="J2185" s="1">
        <v>4.7851628320000001</v>
      </c>
      <c r="K2185" s="1">
        <v>4.4318297590000002</v>
      </c>
      <c r="L2185" s="1">
        <v>5.5015434460000003</v>
      </c>
      <c r="M2185" s="1">
        <v>4.824486168</v>
      </c>
      <c r="N2185" s="1">
        <v>5.1355241630000004</v>
      </c>
      <c r="O2185" s="1">
        <v>5.0070106360000004</v>
      </c>
      <c r="P2185" s="1">
        <v>4.8528499219999999</v>
      </c>
      <c r="Q2185" s="1">
        <v>4.3733115800000002</v>
      </c>
      <c r="R2185" s="1">
        <v>4.9327063119999996</v>
      </c>
      <c r="S2185" s="1">
        <v>5.3098842800000003</v>
      </c>
      <c r="T2185" s="1">
        <v>5.5015434460000003</v>
      </c>
      <c r="U2185" s="1">
        <v>4.824486168</v>
      </c>
      <c r="V2185" s="1">
        <v>5.6103143839999996</v>
      </c>
      <c r="W2185" s="1">
        <v>4.9190341039999996</v>
      </c>
      <c r="X2185" s="1">
        <v>4.6838774470000004</v>
      </c>
      <c r="Y2185" s="1">
        <v>4.5275934409999996</v>
      </c>
      <c r="Z2185" s="1">
        <v>4.9327063119999996</v>
      </c>
      <c r="AA2185" s="1">
        <v>5.3098842800000003</v>
      </c>
      <c r="AB2185" s="1">
        <v>4.5063178209999997</v>
      </c>
      <c r="AC2185" s="1">
        <v>5.1103036370000003</v>
      </c>
      <c r="AD2185" s="1">
        <v>4.2970121150000002</v>
      </c>
      <c r="AE2185" s="1">
        <v>5.0415666330000004</v>
      </c>
    </row>
    <row r="2186" spans="1:31" x14ac:dyDescent="0.25">
      <c r="A2186" s="1" t="s">
        <v>2392</v>
      </c>
      <c r="B2186" s="1" t="s">
        <v>2525</v>
      </c>
      <c r="C2186" s="1" t="s">
        <v>3175</v>
      </c>
      <c r="D2186" s="1" t="s">
        <v>4734</v>
      </c>
      <c r="E2186" s="1" t="s">
        <v>5834</v>
      </c>
      <c r="F2186" s="1" t="s">
        <v>5835</v>
      </c>
      <c r="G2186" s="1" t="s">
        <v>2392</v>
      </c>
      <c r="H2186" s="1">
        <v>5.7062998909999996</v>
      </c>
      <c r="I2186" s="1">
        <v>6.2102063709999999</v>
      </c>
      <c r="J2186" s="1">
        <v>5.3229940280000001</v>
      </c>
      <c r="K2186" s="1">
        <v>5.4913640639999999</v>
      </c>
      <c r="L2186" s="1">
        <v>5.4487173919999998</v>
      </c>
      <c r="M2186" s="1">
        <v>5.1214027209999999</v>
      </c>
      <c r="N2186" s="1">
        <v>6.1290762189999999</v>
      </c>
      <c r="O2186" s="1">
        <v>6.2598073259999998</v>
      </c>
      <c r="P2186" s="1">
        <v>5.3522904530000002</v>
      </c>
      <c r="Q2186" s="1">
        <v>4.7509440400000003</v>
      </c>
      <c r="R2186" s="1">
        <v>4.9894654599999999</v>
      </c>
      <c r="S2186" s="1">
        <v>4.7503017500000002</v>
      </c>
      <c r="T2186" s="1">
        <v>5.4487173919999998</v>
      </c>
      <c r="U2186" s="1">
        <v>5.1214027209999999</v>
      </c>
      <c r="V2186" s="1">
        <v>5.8017242820000003</v>
      </c>
      <c r="W2186" s="1">
        <v>5.5634106699999997</v>
      </c>
      <c r="X2186" s="1">
        <v>4.9447045230000004</v>
      </c>
      <c r="Y2186" s="1">
        <v>5.3269702959999998</v>
      </c>
      <c r="Z2186" s="1">
        <v>4.9894654599999999</v>
      </c>
      <c r="AA2186" s="1">
        <v>4.7503017500000002</v>
      </c>
      <c r="AB2186" s="1">
        <v>4.139369361</v>
      </c>
      <c r="AC2186" s="1">
        <v>4.8053838390000001</v>
      </c>
      <c r="AD2186" s="1">
        <v>4.4715299570000004</v>
      </c>
      <c r="AE2186" s="1">
        <v>5.1232419389999997</v>
      </c>
    </row>
    <row r="2187" spans="1:31" x14ac:dyDescent="0.25">
      <c r="A2187" s="1" t="s">
        <v>2396</v>
      </c>
      <c r="B2187" s="1" t="s">
        <v>2568</v>
      </c>
      <c r="C2187" s="1" t="s">
        <v>2531</v>
      </c>
      <c r="D2187" s="1" t="s">
        <v>2535</v>
      </c>
      <c r="E2187" s="1" t="s">
        <v>5836</v>
      </c>
      <c r="G2187" s="1" t="s">
        <v>2396</v>
      </c>
      <c r="H2187" s="1">
        <v>4.3886087140000001</v>
      </c>
      <c r="I2187" s="1">
        <v>4.2936285989999998</v>
      </c>
      <c r="J2187" s="1">
        <v>4.4503473070000004</v>
      </c>
      <c r="K2187" s="1">
        <v>4.2434183680000004</v>
      </c>
      <c r="L2187" s="1">
        <v>4.7429188570000003</v>
      </c>
      <c r="M2187" s="1">
        <v>4.930560163</v>
      </c>
      <c r="N2187" s="1">
        <v>4.1562881980000004</v>
      </c>
      <c r="O2187" s="1">
        <v>3.8071106499999998</v>
      </c>
      <c r="P2187" s="1">
        <v>5.0554269730000003</v>
      </c>
      <c r="Q2187" s="1">
        <v>3.8492287269999999</v>
      </c>
      <c r="R2187" s="1">
        <v>4.8735636449999999</v>
      </c>
      <c r="S2187" s="1">
        <v>5.2232498669999998</v>
      </c>
      <c r="T2187" s="1">
        <v>4.7429188570000003</v>
      </c>
      <c r="U2187" s="1">
        <v>4.930560163</v>
      </c>
      <c r="V2187" s="1">
        <v>4.3163797720000003</v>
      </c>
      <c r="W2187" s="1">
        <v>4.4367165279999998</v>
      </c>
      <c r="X2187" s="1">
        <v>5.1389930130000003</v>
      </c>
      <c r="Y2187" s="1">
        <v>4.6081171230000004</v>
      </c>
      <c r="Z2187" s="1">
        <v>4.8735636449999999</v>
      </c>
      <c r="AA2187" s="1">
        <v>5.2232498669999998</v>
      </c>
      <c r="AB2187" s="1">
        <v>4.8804215500000003</v>
      </c>
      <c r="AC2187" s="1">
        <v>4.6870272159999997</v>
      </c>
      <c r="AD2187" s="1">
        <v>4.7657555159999996</v>
      </c>
      <c r="AE2187" s="1">
        <v>4.9843711490000002</v>
      </c>
    </row>
    <row r="2188" spans="1:31" x14ac:dyDescent="0.25">
      <c r="A2188" s="1" t="s">
        <v>2398</v>
      </c>
      <c r="B2188" s="1" t="s">
        <v>2520</v>
      </c>
      <c r="C2188" s="1" t="s">
        <v>3160</v>
      </c>
      <c r="D2188" s="1" t="s">
        <v>3279</v>
      </c>
      <c r="E2188" s="1" t="s">
        <v>5837</v>
      </c>
      <c r="F2188" s="1" t="s">
        <v>5838</v>
      </c>
      <c r="G2188" s="1" t="s">
        <v>2398</v>
      </c>
      <c r="H2188" s="1">
        <v>5.6684727009999998</v>
      </c>
      <c r="I2188" s="1">
        <v>5.8358262759999997</v>
      </c>
      <c r="J2188" s="1">
        <v>4.8994370109999998</v>
      </c>
      <c r="K2188" s="1">
        <v>4.3408695499999999</v>
      </c>
      <c r="L2188" s="1">
        <v>5.3172641829999998</v>
      </c>
      <c r="M2188" s="1">
        <v>4.896083601</v>
      </c>
      <c r="N2188" s="1">
        <v>4.6560102480000003</v>
      </c>
      <c r="O2188" s="1">
        <v>4.5340058970000001</v>
      </c>
      <c r="P2188" s="1">
        <v>5.0554269730000003</v>
      </c>
      <c r="Q2188" s="1">
        <v>4.7509440400000003</v>
      </c>
      <c r="R2188" s="1">
        <v>5.1472208640000003</v>
      </c>
      <c r="S2188" s="1">
        <v>4.7503017500000002</v>
      </c>
      <c r="T2188" s="1">
        <v>5.3172641829999998</v>
      </c>
      <c r="U2188" s="1">
        <v>4.896083601</v>
      </c>
      <c r="V2188" s="1">
        <v>5.519727617</v>
      </c>
      <c r="W2188" s="1">
        <v>4.5296290450000001</v>
      </c>
      <c r="X2188" s="1">
        <v>4.6475707550000003</v>
      </c>
      <c r="Y2188" s="1">
        <v>5.503438128</v>
      </c>
      <c r="Z2188" s="1">
        <v>5.1472208640000003</v>
      </c>
      <c r="AA2188" s="1">
        <v>4.7503017500000002</v>
      </c>
      <c r="AB2188" s="1">
        <v>4.3946012420000002</v>
      </c>
      <c r="AC2188" s="1">
        <v>4.6870272159999997</v>
      </c>
      <c r="AD2188" s="1">
        <v>4.7657555159999996</v>
      </c>
      <c r="AE2188" s="1">
        <v>4.6199010239999998</v>
      </c>
    </row>
    <row r="2189" spans="1:31" x14ac:dyDescent="0.25">
      <c r="A2189" s="1" t="s">
        <v>2406</v>
      </c>
      <c r="B2189" s="1" t="s">
        <v>2557</v>
      </c>
      <c r="C2189" s="1" t="s">
        <v>2616</v>
      </c>
      <c r="D2189" s="1" t="s">
        <v>2617</v>
      </c>
      <c r="E2189" s="1" t="s">
        <v>5839</v>
      </c>
      <c r="F2189" s="1" t="s">
        <v>5840</v>
      </c>
      <c r="G2189" s="1" t="s">
        <v>2406</v>
      </c>
      <c r="H2189" s="1">
        <v>6.0081283179999998</v>
      </c>
      <c r="I2189" s="1">
        <v>6.5766895930000002</v>
      </c>
      <c r="J2189" s="1">
        <v>5.6488969620000002</v>
      </c>
      <c r="K2189" s="1">
        <v>5.9485821269999999</v>
      </c>
      <c r="L2189" s="1">
        <v>6.1227596330000003</v>
      </c>
      <c r="M2189" s="1">
        <v>5.9702199440000001</v>
      </c>
      <c r="N2189" s="1">
        <v>6.5072521400000003</v>
      </c>
      <c r="O2189" s="1">
        <v>6.2030276869999996</v>
      </c>
      <c r="P2189" s="1">
        <v>5.9651829550000004</v>
      </c>
      <c r="Q2189" s="1">
        <v>5.2000913229999997</v>
      </c>
      <c r="R2189" s="1">
        <v>5.5365302600000001</v>
      </c>
      <c r="S2189" s="1">
        <v>5.3098842800000003</v>
      </c>
      <c r="T2189" s="1">
        <v>6.1227596330000003</v>
      </c>
      <c r="U2189" s="1">
        <v>5.9702199440000001</v>
      </c>
      <c r="V2189" s="1">
        <v>5.9243031000000004</v>
      </c>
      <c r="W2189" s="1">
        <v>5.872872095</v>
      </c>
      <c r="X2189" s="1">
        <v>5.5620422200000004</v>
      </c>
      <c r="Y2189" s="1">
        <v>5.4613266610000002</v>
      </c>
      <c r="Z2189" s="1">
        <v>5.5365302600000001</v>
      </c>
      <c r="AA2189" s="1">
        <v>5.3098842800000003</v>
      </c>
      <c r="AB2189" s="1">
        <v>4.6096720080000004</v>
      </c>
      <c r="AC2189" s="1">
        <v>5.7882226870000002</v>
      </c>
      <c r="AD2189" s="1">
        <v>5.2633210659999996</v>
      </c>
      <c r="AE2189" s="1">
        <v>5.2497036230000003</v>
      </c>
    </row>
    <row r="2190" spans="1:31" x14ac:dyDescent="0.25">
      <c r="A2190" s="1" t="s">
        <v>2408</v>
      </c>
      <c r="B2190" s="1" t="s">
        <v>2530</v>
      </c>
      <c r="C2190" s="1" t="s">
        <v>2531</v>
      </c>
      <c r="D2190" s="1" t="s">
        <v>2535</v>
      </c>
      <c r="E2190" s="1" t="s">
        <v>5841</v>
      </c>
      <c r="G2190" s="1" t="s">
        <v>2408</v>
      </c>
      <c r="H2190" s="1">
        <v>7.8951786789999998</v>
      </c>
      <c r="I2190" s="1">
        <v>7.9639056530000003</v>
      </c>
      <c r="J2190" s="1">
        <v>7.4676776189999998</v>
      </c>
      <c r="K2190" s="1">
        <v>7.4509678069999996</v>
      </c>
      <c r="L2190" s="1">
        <v>7.5834595389999997</v>
      </c>
      <c r="M2190" s="1">
        <v>7.4702652839999999</v>
      </c>
      <c r="N2190" s="1">
        <v>8.1567921610000003</v>
      </c>
      <c r="O2190" s="1">
        <v>8.1044230559999999</v>
      </c>
      <c r="P2190" s="1">
        <v>7.9899025479999999</v>
      </c>
      <c r="Q2190" s="1">
        <v>8.0527146510000005</v>
      </c>
      <c r="R2190" s="1">
        <v>8.0078954039999992</v>
      </c>
      <c r="S2190" s="1">
        <v>8.156970737</v>
      </c>
      <c r="T2190" s="1">
        <v>7.5834595389999997</v>
      </c>
      <c r="U2190" s="1">
        <v>7.4702652839999999</v>
      </c>
      <c r="V2190" s="1">
        <v>7.9725866410000004</v>
      </c>
      <c r="W2190" s="1">
        <v>8.0541920890000007</v>
      </c>
      <c r="X2190" s="1">
        <v>7.5787043189999999</v>
      </c>
      <c r="Y2190" s="1">
        <v>7.9914885670000002</v>
      </c>
      <c r="Z2190" s="1">
        <v>8.0078954039999992</v>
      </c>
      <c r="AA2190" s="1">
        <v>8.156970737</v>
      </c>
      <c r="AB2190" s="1">
        <v>8.2652043739999996</v>
      </c>
      <c r="AC2190" s="1">
        <v>8.018142246</v>
      </c>
      <c r="AD2190" s="1">
        <v>8.3415533639999992</v>
      </c>
      <c r="AE2190" s="1">
        <v>8.4109362860000001</v>
      </c>
    </row>
    <row r="2191" spans="1:31" x14ac:dyDescent="0.25">
      <c r="A2191" s="1" t="s">
        <v>2414</v>
      </c>
      <c r="B2191" s="1" t="s">
        <v>2642</v>
      </c>
      <c r="C2191" s="1" t="s">
        <v>2643</v>
      </c>
      <c r="D2191" s="1" t="s">
        <v>2687</v>
      </c>
      <c r="E2191" s="1" t="s">
        <v>3094</v>
      </c>
      <c r="F2191" s="1" t="s">
        <v>3095</v>
      </c>
      <c r="G2191" s="1" t="s">
        <v>2414</v>
      </c>
      <c r="H2191" s="1">
        <v>1.7393328349999999</v>
      </c>
      <c r="I2191" s="1">
        <v>1.7393328349999999</v>
      </c>
      <c r="J2191" s="1">
        <v>2.8907526730000002</v>
      </c>
      <c r="K2191" s="1">
        <v>1.7393328349999999</v>
      </c>
      <c r="L2191" s="1">
        <v>1.7393328349999999</v>
      </c>
      <c r="M2191" s="1">
        <v>1.7393328349999999</v>
      </c>
      <c r="N2191" s="1">
        <v>1.7393328349999999</v>
      </c>
      <c r="O2191" s="1">
        <v>2.411448644</v>
      </c>
      <c r="P2191" s="1">
        <v>1.7393328349999999</v>
      </c>
      <c r="Q2191" s="1">
        <v>2.597100669</v>
      </c>
      <c r="R2191" s="1">
        <v>2.595728008</v>
      </c>
      <c r="S2191" s="1">
        <v>1.7393328349999999</v>
      </c>
      <c r="T2191" s="1">
        <v>1.7393328349999999</v>
      </c>
      <c r="U2191" s="1">
        <v>1.7393328349999999</v>
      </c>
      <c r="V2191" s="1">
        <v>2.5140266200000001</v>
      </c>
      <c r="W2191" s="1">
        <v>2.6606351240000001</v>
      </c>
      <c r="X2191" s="1">
        <v>1.7393328349999999</v>
      </c>
      <c r="Y2191" s="1">
        <v>1.7393328349999999</v>
      </c>
      <c r="Z2191" s="1">
        <v>2.595728008</v>
      </c>
      <c r="AA2191" s="1">
        <v>1.7393328349999999</v>
      </c>
      <c r="AB2191" s="1">
        <v>1.7393328349999999</v>
      </c>
      <c r="AC2191" s="1">
        <v>1.7393328349999999</v>
      </c>
      <c r="AD2191" s="1">
        <v>1.7393328349999999</v>
      </c>
      <c r="AE2191" s="1">
        <v>1.7393328349999999</v>
      </c>
    </row>
    <row r="2192" spans="1:31" x14ac:dyDescent="0.25">
      <c r="A2192" s="1" t="s">
        <v>2415</v>
      </c>
      <c r="B2192" s="1" t="s">
        <v>2557</v>
      </c>
      <c r="C2192" s="1" t="s">
        <v>2680</v>
      </c>
      <c r="D2192" s="1" t="s">
        <v>3471</v>
      </c>
      <c r="E2192" s="1" t="s">
        <v>5842</v>
      </c>
      <c r="F2192" s="1" t="s">
        <v>5843</v>
      </c>
      <c r="G2192" s="1" t="s">
        <v>2415</v>
      </c>
      <c r="H2192" s="1">
        <v>5.977563322</v>
      </c>
      <c r="I2192" s="1">
        <v>5.6535958219999998</v>
      </c>
      <c r="J2192" s="1">
        <v>4.0065844400000001</v>
      </c>
      <c r="K2192" s="1">
        <v>4.4318297590000002</v>
      </c>
      <c r="L2192" s="1">
        <v>3.6811173419999998</v>
      </c>
      <c r="M2192" s="1">
        <v>3.5095973119999999</v>
      </c>
      <c r="N2192" s="1">
        <v>4.8006971780000001</v>
      </c>
      <c r="O2192" s="1">
        <v>5.6647442659999996</v>
      </c>
      <c r="P2192" s="1">
        <v>4.4805784009999998</v>
      </c>
      <c r="Q2192" s="1">
        <v>4.0840108080000004</v>
      </c>
      <c r="R2192" s="1">
        <v>3.386455024</v>
      </c>
      <c r="S2192" s="1">
        <v>3.6647387380000001</v>
      </c>
      <c r="T2192" s="1">
        <v>3.6811173419999998</v>
      </c>
      <c r="U2192" s="1">
        <v>3.5095973119999999</v>
      </c>
      <c r="V2192" s="1">
        <v>3.6670520409999998</v>
      </c>
      <c r="W2192" s="1">
        <v>4.3370700810000002</v>
      </c>
      <c r="X2192" s="1">
        <v>3.8785046219999999</v>
      </c>
      <c r="Y2192" s="1">
        <v>3.4382968329999999</v>
      </c>
      <c r="Z2192" s="1">
        <v>3.386455024</v>
      </c>
      <c r="AA2192" s="1">
        <v>3.6647387380000001</v>
      </c>
      <c r="AB2192" s="1">
        <v>3.990981031</v>
      </c>
      <c r="AC2192" s="1">
        <v>3.7481372300000002</v>
      </c>
      <c r="AD2192" s="1">
        <v>4.8924744240000004</v>
      </c>
      <c r="AE2192" s="1">
        <v>4.124053773</v>
      </c>
    </row>
    <row r="2193" spans="1:31" x14ac:dyDescent="0.25">
      <c r="A2193" s="1" t="s">
        <v>2416</v>
      </c>
      <c r="B2193" s="1" t="s">
        <v>2530</v>
      </c>
      <c r="C2193" s="1" t="s">
        <v>2531</v>
      </c>
      <c r="D2193" s="1" t="s">
        <v>2535</v>
      </c>
      <c r="E2193" s="1" t="s">
        <v>2536</v>
      </c>
      <c r="G2193" s="1" t="s">
        <v>2416</v>
      </c>
      <c r="H2193" s="1">
        <v>3.4660955969999998</v>
      </c>
      <c r="I2193" s="1">
        <v>3.7806045529999999</v>
      </c>
      <c r="J2193" s="1">
        <v>1.7393328349999999</v>
      </c>
      <c r="K2193" s="1">
        <v>3.22334677</v>
      </c>
      <c r="L2193" s="1">
        <v>2.5490970000000002</v>
      </c>
      <c r="M2193" s="1">
        <v>1.7393328349999999</v>
      </c>
      <c r="N2193" s="1">
        <v>4.6560102480000003</v>
      </c>
      <c r="O2193" s="1">
        <v>3.88533178</v>
      </c>
      <c r="P2193" s="1">
        <v>3.466113682</v>
      </c>
      <c r="Q2193" s="1">
        <v>3.185675432</v>
      </c>
      <c r="R2193" s="1">
        <v>3.5594063970000001</v>
      </c>
      <c r="S2193" s="1">
        <v>2.9034795349999998</v>
      </c>
      <c r="T2193" s="1">
        <v>2.5490970000000002</v>
      </c>
      <c r="U2193" s="1">
        <v>1.7393328349999999</v>
      </c>
      <c r="V2193" s="1">
        <v>3.0516113059999999</v>
      </c>
      <c r="W2193" s="1">
        <v>2.6606351240000001</v>
      </c>
      <c r="X2193" s="1">
        <v>3.4131791489999999</v>
      </c>
      <c r="Y2193" s="1">
        <v>3.229986142</v>
      </c>
      <c r="Z2193" s="1">
        <v>3.5594063970000001</v>
      </c>
      <c r="AA2193" s="1">
        <v>2.9034795349999998</v>
      </c>
      <c r="AB2193" s="1">
        <v>3.404153038</v>
      </c>
      <c r="AC2193" s="1">
        <v>3.1109927919999998</v>
      </c>
      <c r="AD2193" s="1">
        <v>2.6025990879999998</v>
      </c>
      <c r="AE2193" s="1">
        <v>3.0939349979999999</v>
      </c>
    </row>
    <row r="2194" spans="1:31" x14ac:dyDescent="0.25">
      <c r="A2194" s="1" t="s">
        <v>2418</v>
      </c>
      <c r="B2194" s="1" t="s">
        <v>2843</v>
      </c>
      <c r="C2194" s="1" t="s">
        <v>3903</v>
      </c>
      <c r="D2194" s="1" t="s">
        <v>3904</v>
      </c>
      <c r="E2194" s="1" t="s">
        <v>5409</v>
      </c>
      <c r="F2194" s="1" t="s">
        <v>5410</v>
      </c>
      <c r="G2194" s="1" t="s">
        <v>2418</v>
      </c>
      <c r="H2194" s="1">
        <v>6.8185773340000004</v>
      </c>
      <c r="I2194" s="1">
        <v>6.3363261639999999</v>
      </c>
      <c r="J2194" s="1">
        <v>7.4212376869999996</v>
      </c>
      <c r="K2194" s="1">
        <v>7.2824873019999998</v>
      </c>
      <c r="L2194" s="1">
        <v>7.0007292300000001</v>
      </c>
      <c r="M2194" s="1">
        <v>7.0955436860000001</v>
      </c>
      <c r="N2194" s="1">
        <v>5.9870940719999997</v>
      </c>
      <c r="O2194" s="1">
        <v>6.2316979249999997</v>
      </c>
      <c r="P2194" s="1">
        <v>7.1189337139999997</v>
      </c>
      <c r="Q2194" s="1">
        <v>7.0684241830000003</v>
      </c>
      <c r="R2194" s="1">
        <v>7.3584175939999996</v>
      </c>
      <c r="S2194" s="1">
        <v>7.2936937019999997</v>
      </c>
      <c r="T2194" s="1">
        <v>7.0007292300000001</v>
      </c>
      <c r="U2194" s="1">
        <v>7.0955436860000001</v>
      </c>
      <c r="V2194" s="1">
        <v>6.9761915710000002</v>
      </c>
      <c r="W2194" s="1">
        <v>7.1041979590000004</v>
      </c>
      <c r="X2194" s="1">
        <v>7.262014325</v>
      </c>
      <c r="Y2194" s="1">
        <v>6.7169455439999997</v>
      </c>
      <c r="Z2194" s="1">
        <v>7.3584175939999996</v>
      </c>
      <c r="AA2194" s="1">
        <v>7.2936937019999997</v>
      </c>
      <c r="AB2194" s="1">
        <v>7.2493787579999998</v>
      </c>
      <c r="AC2194" s="1">
        <v>7.1061999450000002</v>
      </c>
      <c r="AD2194" s="1">
        <v>7.0467010940000003</v>
      </c>
      <c r="AE2194" s="1">
        <v>6.8197180370000003</v>
      </c>
    </row>
    <row r="2195" spans="1:31" x14ac:dyDescent="0.25">
      <c r="A2195" s="1" t="s">
        <v>2419</v>
      </c>
      <c r="B2195" s="1" t="s">
        <v>2530</v>
      </c>
      <c r="C2195" s="1" t="s">
        <v>2573</v>
      </c>
      <c r="D2195" s="1" t="s">
        <v>2535</v>
      </c>
      <c r="E2195" s="1" t="s">
        <v>5844</v>
      </c>
      <c r="G2195" s="1" t="s">
        <v>2419</v>
      </c>
      <c r="H2195" s="1">
        <v>6.2055952369999998</v>
      </c>
      <c r="I2195" s="1">
        <v>6.7223161380000001</v>
      </c>
      <c r="J2195" s="1">
        <v>6.4286153060000002</v>
      </c>
      <c r="K2195" s="1">
        <v>6.0075713720000001</v>
      </c>
      <c r="L2195" s="1">
        <v>6.5631733570000002</v>
      </c>
      <c r="M2195" s="1">
        <v>6.3438841760000004</v>
      </c>
      <c r="N2195" s="1">
        <v>6.5482301630000004</v>
      </c>
      <c r="O2195" s="1">
        <v>6.2458213499999999</v>
      </c>
      <c r="P2195" s="1">
        <v>5.9898979399999996</v>
      </c>
      <c r="Q2195" s="1">
        <v>5.7514994149999996</v>
      </c>
      <c r="R2195" s="1">
        <v>6.0678975499999996</v>
      </c>
      <c r="S2195" s="1">
        <v>5.8890842929999998</v>
      </c>
      <c r="T2195" s="1">
        <v>6.5631733570000002</v>
      </c>
      <c r="U2195" s="1">
        <v>6.3438841760000004</v>
      </c>
      <c r="V2195" s="1">
        <v>5.9931161309999998</v>
      </c>
      <c r="W2195" s="1">
        <v>5.9736131119999998</v>
      </c>
      <c r="X2195" s="1">
        <v>5.9332613380000003</v>
      </c>
      <c r="Y2195" s="1">
        <v>5.9306942229999997</v>
      </c>
      <c r="Z2195" s="1">
        <v>6.0678975499999996</v>
      </c>
      <c r="AA2195" s="1">
        <v>5.8890842929999998</v>
      </c>
      <c r="AB2195" s="1">
        <v>6.008835446</v>
      </c>
      <c r="AC2195" s="1">
        <v>5.5741318</v>
      </c>
      <c r="AD2195" s="1">
        <v>5.1668950269999998</v>
      </c>
      <c r="AE2195" s="1">
        <v>6.0451310640000004</v>
      </c>
    </row>
    <row r="2196" spans="1:31" x14ac:dyDescent="0.25">
      <c r="A2196" s="1" t="s">
        <v>2422</v>
      </c>
      <c r="B2196" s="1" t="s">
        <v>2530</v>
      </c>
      <c r="C2196" s="1" t="s">
        <v>2531</v>
      </c>
      <c r="D2196" s="1" t="s">
        <v>2535</v>
      </c>
      <c r="E2196" s="1" t="s">
        <v>5845</v>
      </c>
      <c r="G2196" s="1" t="s">
        <v>2422</v>
      </c>
      <c r="H2196" s="1">
        <v>4.2900513550000001</v>
      </c>
      <c r="I2196" s="1">
        <v>4.3763156859999999</v>
      </c>
      <c r="J2196" s="1">
        <v>4.2018709520000002</v>
      </c>
      <c r="K2196" s="1">
        <v>4.1384138449999996</v>
      </c>
      <c r="L2196" s="1">
        <v>4.6513384469999997</v>
      </c>
      <c r="M2196" s="1">
        <v>4.9970812499999999</v>
      </c>
      <c r="N2196" s="1">
        <v>4.3596796910000002</v>
      </c>
      <c r="O2196" s="1">
        <v>4.2189785100000003</v>
      </c>
      <c r="P2196" s="1">
        <v>4.6791060150000003</v>
      </c>
      <c r="Q2196" s="1">
        <v>5.2000913229999997</v>
      </c>
      <c r="R2196" s="1">
        <v>5.2891602459999998</v>
      </c>
      <c r="S2196" s="1">
        <v>5.032286365</v>
      </c>
      <c r="T2196" s="1">
        <v>4.6513384469999997</v>
      </c>
      <c r="U2196" s="1">
        <v>4.9970812499999999</v>
      </c>
      <c r="V2196" s="1">
        <v>4.8059579570000004</v>
      </c>
      <c r="W2196" s="1">
        <v>4.2295768090000001</v>
      </c>
      <c r="X2196" s="1">
        <v>5.1899342839999996</v>
      </c>
      <c r="Y2196" s="1">
        <v>4.5275934409999996</v>
      </c>
      <c r="Z2196" s="1">
        <v>5.2891602459999998</v>
      </c>
      <c r="AA2196" s="1">
        <v>5.032286365</v>
      </c>
      <c r="AB2196" s="1">
        <v>4.5063178209999997</v>
      </c>
      <c r="AC2196" s="1">
        <v>5.0158027430000001</v>
      </c>
      <c r="AD2196" s="1">
        <v>4.7657555159999996</v>
      </c>
      <c r="AE2196" s="1">
        <v>4.8625108150000003</v>
      </c>
    </row>
    <row r="2197" spans="1:31" x14ac:dyDescent="0.25">
      <c r="A2197" s="1" t="s">
        <v>2424</v>
      </c>
      <c r="B2197" s="1" t="s">
        <v>2530</v>
      </c>
      <c r="C2197" s="1" t="s">
        <v>2573</v>
      </c>
      <c r="D2197" s="1" t="s">
        <v>2535</v>
      </c>
      <c r="E2197" s="1" t="s">
        <v>5846</v>
      </c>
      <c r="G2197" s="1" t="s">
        <v>2424</v>
      </c>
      <c r="H2197" s="1">
        <v>3.6455184960000002</v>
      </c>
      <c r="I2197" s="1">
        <v>3.9003964459999998</v>
      </c>
      <c r="J2197" s="1">
        <v>4.4503473070000004</v>
      </c>
      <c r="K2197" s="1">
        <v>4.4318297590000002</v>
      </c>
      <c r="L2197" s="1">
        <v>4.3727018190000004</v>
      </c>
      <c r="M2197" s="1">
        <v>4.3982295550000003</v>
      </c>
      <c r="N2197" s="1">
        <v>4.5366957899999996</v>
      </c>
      <c r="O2197" s="1">
        <v>3.6346882059999999</v>
      </c>
      <c r="P2197" s="1">
        <v>3.7419514989999998</v>
      </c>
      <c r="Q2197" s="1">
        <v>4.18747588</v>
      </c>
      <c r="R2197" s="1">
        <v>3.968758995</v>
      </c>
      <c r="S2197" s="1">
        <v>3.7977317990000001</v>
      </c>
      <c r="T2197" s="1">
        <v>4.3727018190000004</v>
      </c>
      <c r="U2197" s="1">
        <v>4.3982295550000003</v>
      </c>
      <c r="V2197" s="1">
        <v>4.0758289169999999</v>
      </c>
      <c r="W2197" s="1">
        <v>4.1128053839999996</v>
      </c>
      <c r="X2197" s="1">
        <v>4.0600950219999996</v>
      </c>
      <c r="Y2197" s="1">
        <v>3.4382968329999999</v>
      </c>
      <c r="Z2197" s="1">
        <v>3.968758995</v>
      </c>
      <c r="AA2197" s="1">
        <v>3.7977317990000001</v>
      </c>
      <c r="AB2197" s="1">
        <v>3.404153038</v>
      </c>
      <c r="AC2197" s="1">
        <v>4.2557864319999998</v>
      </c>
      <c r="AD2197" s="1">
        <v>3.5727029510000001</v>
      </c>
      <c r="AE2197" s="1">
        <v>4.0105905760000002</v>
      </c>
    </row>
    <row r="2198" spans="1:31" x14ac:dyDescent="0.25">
      <c r="A2198" s="1" t="s">
        <v>2425</v>
      </c>
      <c r="B2198" s="1" t="s">
        <v>2530</v>
      </c>
      <c r="C2198" s="1" t="s">
        <v>2531</v>
      </c>
      <c r="D2198" s="1" t="s">
        <v>2535</v>
      </c>
      <c r="E2198" s="1" t="s">
        <v>2536</v>
      </c>
      <c r="G2198" s="1" t="s">
        <v>2425</v>
      </c>
      <c r="H2198" s="1">
        <v>4.7972697699999998</v>
      </c>
      <c r="I2198" s="1">
        <v>4.5981535630000003</v>
      </c>
      <c r="J2198" s="1">
        <v>4.1077874330000004</v>
      </c>
      <c r="K2198" s="1">
        <v>4.3408695499999999</v>
      </c>
      <c r="L2198" s="1">
        <v>4.3727018190000004</v>
      </c>
      <c r="M2198" s="1">
        <v>3.5095973119999999</v>
      </c>
      <c r="N2198" s="1">
        <v>4.3116130799999999</v>
      </c>
      <c r="O2198" s="1">
        <v>3.8071106499999998</v>
      </c>
      <c r="P2198" s="1">
        <v>4.6791060150000003</v>
      </c>
      <c r="Q2198" s="1">
        <v>3.8492287269999999</v>
      </c>
      <c r="R2198" s="1">
        <v>4.6795267799999998</v>
      </c>
      <c r="S2198" s="1">
        <v>3.5159502420000002</v>
      </c>
      <c r="T2198" s="1">
        <v>4.3727018190000004</v>
      </c>
      <c r="U2198" s="1">
        <v>3.5095973119999999</v>
      </c>
      <c r="V2198" s="1">
        <v>4.3163797720000003</v>
      </c>
      <c r="W2198" s="1">
        <v>3.2870366010000001</v>
      </c>
      <c r="X2198" s="1">
        <v>4.2691515329999996</v>
      </c>
      <c r="Y2198" s="1">
        <v>3.4382968329999999</v>
      </c>
      <c r="Z2198" s="1">
        <v>4.6795267799999998</v>
      </c>
      <c r="AA2198" s="1">
        <v>3.5159502420000002</v>
      </c>
      <c r="AB2198" s="1">
        <v>4.139369361</v>
      </c>
      <c r="AC2198" s="1">
        <v>4.0753403910000001</v>
      </c>
      <c r="AD2198" s="1">
        <v>4.2970121150000002</v>
      </c>
      <c r="AE2198" s="1">
        <v>4.4595659249999997</v>
      </c>
    </row>
    <row r="2199" spans="1:31" x14ac:dyDescent="0.25">
      <c r="A2199" s="1" t="s">
        <v>2426</v>
      </c>
      <c r="B2199" s="1" t="s">
        <v>2530</v>
      </c>
      <c r="C2199" s="1" t="s">
        <v>2531</v>
      </c>
      <c r="D2199" s="1" t="s">
        <v>2535</v>
      </c>
      <c r="E2199" s="1" t="s">
        <v>2536</v>
      </c>
      <c r="G2199" s="1" t="s">
        <v>2426</v>
      </c>
      <c r="H2199" s="1">
        <v>4.3886087140000001</v>
      </c>
      <c r="I2199" s="1">
        <v>4.5280931029999998</v>
      </c>
      <c r="J2199" s="1">
        <v>4.3724365990000003</v>
      </c>
      <c r="K2199" s="1">
        <v>3.4309024589999999</v>
      </c>
      <c r="L2199" s="1">
        <v>4.8288685039999999</v>
      </c>
      <c r="M2199" s="1">
        <v>5.1214027209999999</v>
      </c>
      <c r="N2199" s="1">
        <v>4.5776172920000002</v>
      </c>
      <c r="O2199" s="1">
        <v>4.4368189940000002</v>
      </c>
      <c r="P2199" s="1">
        <v>4.5499605860000001</v>
      </c>
      <c r="Q2199" s="1">
        <v>5.2000913229999997</v>
      </c>
      <c r="R2199" s="1">
        <v>5.1472208640000003</v>
      </c>
      <c r="S2199" s="1">
        <v>4.2250836859999996</v>
      </c>
      <c r="T2199" s="1">
        <v>4.8288685039999999</v>
      </c>
      <c r="U2199" s="1">
        <v>5.1214027209999999</v>
      </c>
      <c r="V2199" s="1">
        <v>4.5207607210000003</v>
      </c>
      <c r="W2199" s="1">
        <v>4.4367165279999998</v>
      </c>
      <c r="X2199" s="1">
        <v>4.9447045230000004</v>
      </c>
      <c r="Y2199" s="1">
        <v>4.0337379980000003</v>
      </c>
      <c r="Z2199" s="1">
        <v>5.1472208640000003</v>
      </c>
      <c r="AA2199" s="1">
        <v>4.2250836859999996</v>
      </c>
      <c r="AB2199" s="1">
        <v>4.705867896</v>
      </c>
      <c r="AC2199" s="1">
        <v>4.9145215069999999</v>
      </c>
      <c r="AD2199" s="1">
        <v>5.0087140049999999</v>
      </c>
      <c r="AE2199" s="1">
        <v>4.6936201110000004</v>
      </c>
    </row>
    <row r="2200" spans="1:31" x14ac:dyDescent="0.25">
      <c r="A2200" s="1" t="s">
        <v>2427</v>
      </c>
      <c r="B2200" s="1" t="s">
        <v>2530</v>
      </c>
      <c r="C2200" s="1" t="s">
        <v>2573</v>
      </c>
      <c r="D2200" s="1" t="s">
        <v>2535</v>
      </c>
      <c r="E2200" s="1" t="s">
        <v>5847</v>
      </c>
      <c r="G2200" s="1" t="s">
        <v>2427</v>
      </c>
      <c r="H2200" s="1">
        <v>5.1131742039999999</v>
      </c>
      <c r="I2200" s="1">
        <v>5.2862358589999996</v>
      </c>
      <c r="J2200" s="1">
        <v>4.8434621079999998</v>
      </c>
      <c r="K2200" s="1">
        <v>5.3612725399999999</v>
      </c>
      <c r="L2200" s="1">
        <v>5.58546151</v>
      </c>
      <c r="M2200" s="1">
        <v>5.2628748920000001</v>
      </c>
      <c r="N2200" s="1">
        <v>5.1887139119999999</v>
      </c>
      <c r="O2200" s="1">
        <v>5.3864027800000001</v>
      </c>
      <c r="P2200" s="1">
        <v>5.3522904530000002</v>
      </c>
      <c r="Q2200" s="1">
        <v>5.4628336309999996</v>
      </c>
      <c r="R2200" s="1">
        <v>4.9894654599999999</v>
      </c>
      <c r="S2200" s="1">
        <v>5.1309834260000002</v>
      </c>
      <c r="T2200" s="1">
        <v>5.58546151</v>
      </c>
      <c r="U2200" s="1">
        <v>5.2628748920000001</v>
      </c>
      <c r="V2200" s="1">
        <v>5.2828838410000003</v>
      </c>
      <c r="W2200" s="1">
        <v>5.427589942</v>
      </c>
      <c r="X2200" s="1">
        <v>5.1899342839999996</v>
      </c>
      <c r="Y2200" s="1">
        <v>5.6604650660000004</v>
      </c>
      <c r="Z2200" s="1">
        <v>4.9894654599999999</v>
      </c>
      <c r="AA2200" s="1">
        <v>5.1309834260000002</v>
      </c>
      <c r="AB2200" s="1">
        <v>5.4746970709999996</v>
      </c>
      <c r="AC2200" s="1">
        <v>5.1552886820000001</v>
      </c>
      <c r="AD2200" s="1">
        <v>5.0634297190000002</v>
      </c>
      <c r="AE2200" s="1">
        <v>5.5339175159999998</v>
      </c>
    </row>
    <row r="2201" spans="1:31" x14ac:dyDescent="0.25">
      <c r="A2201" s="1" t="s">
        <v>2431</v>
      </c>
      <c r="B2201" s="1" t="s">
        <v>2525</v>
      </c>
      <c r="C2201" s="1" t="s">
        <v>3759</v>
      </c>
      <c r="D2201" s="1" t="s">
        <v>4826</v>
      </c>
      <c r="E2201" s="1" t="s">
        <v>5848</v>
      </c>
      <c r="F2201" s="1" t="s">
        <v>5849</v>
      </c>
      <c r="G2201" s="1" t="s">
        <v>2431</v>
      </c>
      <c r="H2201" s="1">
        <v>6.0673720150000001</v>
      </c>
      <c r="I2201" s="1">
        <v>5.9717652650000002</v>
      </c>
      <c r="J2201" s="1">
        <v>6.8067545919999999</v>
      </c>
      <c r="K2201" s="1">
        <v>6.7389853689999999</v>
      </c>
      <c r="L2201" s="1">
        <v>7.6547850799999999</v>
      </c>
      <c r="M2201" s="1">
        <v>7.5491158240000003</v>
      </c>
      <c r="N2201" s="1">
        <v>6.8884608170000003</v>
      </c>
      <c r="O2201" s="1">
        <v>6.909468521</v>
      </c>
      <c r="P2201" s="1">
        <v>6.9151345580000001</v>
      </c>
      <c r="Q2201" s="1">
        <v>6.987770662</v>
      </c>
      <c r="R2201" s="1">
        <v>7.4906764319999999</v>
      </c>
      <c r="S2201" s="1">
        <v>7.2831008779999999</v>
      </c>
      <c r="T2201" s="1">
        <v>7.6547850799999999</v>
      </c>
      <c r="U2201" s="1">
        <v>7.5491158240000003</v>
      </c>
      <c r="V2201" s="1">
        <v>7.1161592210000002</v>
      </c>
      <c r="W2201" s="1">
        <v>7.0743350659999997</v>
      </c>
      <c r="X2201" s="1">
        <v>7.4395140680000003</v>
      </c>
      <c r="Y2201" s="1">
        <v>6.769422294</v>
      </c>
      <c r="Z2201" s="1">
        <v>7.4906764319999999</v>
      </c>
      <c r="AA2201" s="1">
        <v>7.2831008779999999</v>
      </c>
      <c r="AB2201" s="1">
        <v>7.4673828389999999</v>
      </c>
      <c r="AC2201" s="1">
        <v>7.483766116</v>
      </c>
      <c r="AD2201" s="1">
        <v>7.0864885400000004</v>
      </c>
      <c r="AE2201" s="1">
        <v>7.0510357859999999</v>
      </c>
    </row>
    <row r="2202" spans="1:31" x14ac:dyDescent="0.25">
      <c r="A2202" s="1" t="s">
        <v>2432</v>
      </c>
      <c r="B2202" s="1" t="s">
        <v>2608</v>
      </c>
      <c r="C2202" s="1" t="s">
        <v>3393</v>
      </c>
      <c r="D2202" s="1" t="s">
        <v>3394</v>
      </c>
      <c r="E2202" s="1" t="s">
        <v>5850</v>
      </c>
      <c r="F2202" s="1" t="s">
        <v>5851</v>
      </c>
      <c r="G2202" s="1" t="s">
        <v>2432</v>
      </c>
      <c r="H2202" s="1">
        <v>7.8284107189999999</v>
      </c>
      <c r="I2202" s="1">
        <v>7.6611092010000004</v>
      </c>
      <c r="J2202" s="1">
        <v>8.5568232999999996</v>
      </c>
      <c r="K2202" s="1">
        <v>8.6981253009999993</v>
      </c>
      <c r="L2202" s="1">
        <v>8.5122695279999991</v>
      </c>
      <c r="M2202" s="1">
        <v>8.5373901360000009</v>
      </c>
      <c r="N2202" s="1">
        <v>8.1334462429999999</v>
      </c>
      <c r="O2202" s="1">
        <v>8.2267445390000002</v>
      </c>
      <c r="P2202" s="1">
        <v>8.3831918400000003</v>
      </c>
      <c r="Q2202" s="1">
        <v>8.3064388339999997</v>
      </c>
      <c r="R2202" s="1">
        <v>8.6882047329999992</v>
      </c>
      <c r="S2202" s="1">
        <v>8.4826529609999994</v>
      </c>
      <c r="T2202" s="1">
        <v>8.5122695279999991</v>
      </c>
      <c r="U2202" s="1">
        <v>8.5373901360000009</v>
      </c>
      <c r="V2202" s="1">
        <v>8.3666662380000005</v>
      </c>
      <c r="W2202" s="1">
        <v>8.3378666540000008</v>
      </c>
      <c r="X2202" s="1">
        <v>8.2782548380000005</v>
      </c>
      <c r="Y2202" s="1">
        <v>8.4373040360000005</v>
      </c>
      <c r="Z2202" s="1">
        <v>8.6882047329999992</v>
      </c>
      <c r="AA2202" s="1">
        <v>8.4826529609999994</v>
      </c>
      <c r="AB2202" s="1">
        <v>8.4471483109999994</v>
      </c>
      <c r="AC2202" s="1">
        <v>8.5265018010000002</v>
      </c>
      <c r="AD2202" s="1">
        <v>8.325025321</v>
      </c>
      <c r="AE2202" s="1">
        <v>8.4532592599999994</v>
      </c>
    </row>
    <row r="2203" spans="1:31" x14ac:dyDescent="0.25">
      <c r="A2203" s="1" t="s">
        <v>2437</v>
      </c>
      <c r="B2203" s="1" t="s">
        <v>2642</v>
      </c>
      <c r="C2203" s="1" t="s">
        <v>2643</v>
      </c>
      <c r="D2203" s="1" t="s">
        <v>2687</v>
      </c>
      <c r="E2203" s="1" t="s">
        <v>2688</v>
      </c>
      <c r="F2203" s="1" t="s">
        <v>2689</v>
      </c>
      <c r="G2203" s="1" t="s">
        <v>2437</v>
      </c>
      <c r="H2203" s="1">
        <v>3.8023684370000002</v>
      </c>
      <c r="I2203" s="1">
        <v>3.6484415459999999</v>
      </c>
      <c r="J2203" s="1">
        <v>1.7393328349999999</v>
      </c>
      <c r="K2203" s="1">
        <v>3.607491666</v>
      </c>
      <c r="L2203" s="1">
        <v>2.8704126319999999</v>
      </c>
      <c r="M2203" s="1">
        <v>3.027864058</v>
      </c>
      <c r="N2203" s="1">
        <v>2.628425199</v>
      </c>
      <c r="O2203" s="1">
        <v>2.411448644</v>
      </c>
      <c r="P2203" s="1">
        <v>2.5478783159999998</v>
      </c>
      <c r="Q2203" s="1">
        <v>1.7393328349999999</v>
      </c>
      <c r="R2203" s="1">
        <v>1.7393328349999999</v>
      </c>
      <c r="S2203" s="1">
        <v>3.6647387380000001</v>
      </c>
      <c r="T2203" s="1">
        <v>2.8704126319999999</v>
      </c>
      <c r="U2203" s="1">
        <v>3.027864058</v>
      </c>
      <c r="V2203" s="1">
        <v>2.8225047829999999</v>
      </c>
      <c r="W2203" s="1">
        <v>1.7393328349999999</v>
      </c>
      <c r="X2203" s="1">
        <v>3.0884111989999998</v>
      </c>
      <c r="Y2203" s="1">
        <v>1.7393328349999999</v>
      </c>
      <c r="Z2203" s="1">
        <v>1.7393328349999999</v>
      </c>
      <c r="AA2203" s="1">
        <v>3.6647387380000001</v>
      </c>
      <c r="AB2203" s="1">
        <v>1.7393328349999999</v>
      </c>
      <c r="AC2203" s="1">
        <v>1.7393328349999999</v>
      </c>
      <c r="AD2203" s="1">
        <v>1.7393328349999999</v>
      </c>
      <c r="AE2203" s="1">
        <v>2.6144016259999998</v>
      </c>
    </row>
    <row r="2204" spans="1:31" x14ac:dyDescent="0.25">
      <c r="A2204" s="1" t="s">
        <v>2439</v>
      </c>
      <c r="B2204" s="1" t="s">
        <v>2530</v>
      </c>
      <c r="C2204" s="1" t="s">
        <v>2531</v>
      </c>
      <c r="D2204" s="1" t="s">
        <v>2535</v>
      </c>
      <c r="E2204" s="1" t="s">
        <v>5852</v>
      </c>
      <c r="G2204" s="1" t="s">
        <v>2439</v>
      </c>
      <c r="H2204" s="1">
        <v>5.0553993879999997</v>
      </c>
      <c r="I2204" s="1">
        <v>5.2436995780000002</v>
      </c>
      <c r="J2204" s="1">
        <v>5.0551375939999996</v>
      </c>
      <c r="K2204" s="1">
        <v>4.8139921829999999</v>
      </c>
      <c r="L2204" s="1">
        <v>4.6825378889999998</v>
      </c>
      <c r="M2204" s="1">
        <v>5.029201552</v>
      </c>
      <c r="N2204" s="1">
        <v>6.1558623460000002</v>
      </c>
      <c r="O2204" s="1">
        <v>6.173773679</v>
      </c>
      <c r="P2204" s="1">
        <v>6.0141943849999997</v>
      </c>
      <c r="Q2204" s="1">
        <v>6.289960497</v>
      </c>
      <c r="R2204" s="1">
        <v>5.1961281320000001</v>
      </c>
      <c r="S2204" s="1">
        <v>6.0729078190000001</v>
      </c>
      <c r="T2204" s="1">
        <v>4.6825378889999998</v>
      </c>
      <c r="U2204" s="1">
        <v>5.029201552</v>
      </c>
      <c r="V2204" s="1">
        <v>5.0428039150000004</v>
      </c>
      <c r="W2204" s="1">
        <v>5.1095551629999996</v>
      </c>
      <c r="X2204" s="1">
        <v>5.3326311679999998</v>
      </c>
      <c r="Y2204" s="1">
        <v>4.8250325140000001</v>
      </c>
      <c r="Z2204" s="1">
        <v>5.1961281320000001</v>
      </c>
      <c r="AA2204" s="1">
        <v>6.0729078190000001</v>
      </c>
      <c r="AB2204" s="1">
        <v>5.4196851610000003</v>
      </c>
      <c r="AC2204" s="1">
        <v>5.5407520860000004</v>
      </c>
      <c r="AD2204" s="1">
        <v>5.4791562909999998</v>
      </c>
      <c r="AE2204" s="1">
        <v>5.5536024810000004</v>
      </c>
    </row>
    <row r="2205" spans="1:31" x14ac:dyDescent="0.25">
      <c r="A2205" s="1" t="s">
        <v>2440</v>
      </c>
      <c r="B2205" s="1" t="s">
        <v>2530</v>
      </c>
      <c r="C2205" s="1" t="s">
        <v>2531</v>
      </c>
      <c r="D2205" s="1" t="s">
        <v>2535</v>
      </c>
      <c r="E2205" s="1" t="s">
        <v>2536</v>
      </c>
      <c r="G2205" s="1" t="s">
        <v>2440</v>
      </c>
      <c r="H2205" s="1">
        <v>4.995162745</v>
      </c>
      <c r="I2205" s="1">
        <v>4.903725959</v>
      </c>
      <c r="J2205" s="1">
        <v>4.8994370109999998</v>
      </c>
      <c r="K2205" s="1">
        <v>4.0244910950000001</v>
      </c>
      <c r="L2205" s="1">
        <v>5.1940340669999996</v>
      </c>
      <c r="M2205" s="1">
        <v>4.9970812499999999</v>
      </c>
      <c r="N2205" s="1">
        <v>5.9261193419999998</v>
      </c>
      <c r="O2205" s="1">
        <v>6.173773679</v>
      </c>
      <c r="P2205" s="1">
        <v>5.426847231</v>
      </c>
      <c r="Q2205" s="1">
        <v>5.7514994149999996</v>
      </c>
      <c r="R2205" s="1">
        <v>5.6102934549999999</v>
      </c>
      <c r="S2205" s="1">
        <v>5.3512993040000003</v>
      </c>
      <c r="T2205" s="1">
        <v>5.1940340669999996</v>
      </c>
      <c r="U2205" s="1">
        <v>4.9970812499999999</v>
      </c>
      <c r="V2205" s="1">
        <v>5.0428039150000004</v>
      </c>
      <c r="W2205" s="1">
        <v>4.9190341039999996</v>
      </c>
      <c r="X2205" s="1">
        <v>4.8524813179999997</v>
      </c>
      <c r="Y2205" s="1">
        <v>4.9529845589999999</v>
      </c>
      <c r="Z2205" s="1">
        <v>5.6102934549999999</v>
      </c>
      <c r="AA2205" s="1">
        <v>5.3512993040000003</v>
      </c>
      <c r="AB2205" s="1">
        <v>5.1755434500000002</v>
      </c>
      <c r="AC2205" s="1">
        <v>4.9145215069999999</v>
      </c>
      <c r="AD2205" s="1">
        <v>4.95179218</v>
      </c>
      <c r="AE2205" s="1">
        <v>5.3433438500000001</v>
      </c>
    </row>
    <row r="2206" spans="1:31" x14ac:dyDescent="0.25">
      <c r="A2206" s="1" t="s">
        <v>2441</v>
      </c>
      <c r="B2206" s="1" t="s">
        <v>2557</v>
      </c>
      <c r="C2206" s="1" t="s">
        <v>3284</v>
      </c>
      <c r="D2206" s="1" t="s">
        <v>3627</v>
      </c>
      <c r="E2206" s="1" t="s">
        <v>5853</v>
      </c>
      <c r="F2206" s="1" t="s">
        <v>5854</v>
      </c>
      <c r="G2206" s="1" t="s">
        <v>2441</v>
      </c>
      <c r="H2206" s="1">
        <v>8.9825431039999994</v>
      </c>
      <c r="I2206" s="1">
        <v>8.7282537310000006</v>
      </c>
      <c r="J2206" s="1">
        <v>8.8890997770000002</v>
      </c>
      <c r="K2206" s="1">
        <v>9.066478644</v>
      </c>
      <c r="L2206" s="1">
        <v>8.3968368929999997</v>
      </c>
      <c r="M2206" s="1">
        <v>8.3233964969999992</v>
      </c>
      <c r="N2206" s="1">
        <v>8.2465710189999992</v>
      </c>
      <c r="O2206" s="1">
        <v>8.4592769969999999</v>
      </c>
      <c r="P2206" s="1">
        <v>8.8381979150000003</v>
      </c>
      <c r="Q2206" s="1">
        <v>8.7346503640000002</v>
      </c>
      <c r="R2206" s="1">
        <v>8.5269745389999994</v>
      </c>
      <c r="S2206" s="1">
        <v>8.6568037249999996</v>
      </c>
      <c r="T2206" s="1">
        <v>8.3968368929999997</v>
      </c>
      <c r="U2206" s="1">
        <v>8.3233964969999992</v>
      </c>
      <c r="V2206" s="1">
        <v>8.5140470009999998</v>
      </c>
      <c r="W2206" s="1">
        <v>8.3565876279999998</v>
      </c>
      <c r="X2206" s="1">
        <v>8.5244005719999993</v>
      </c>
      <c r="Y2206" s="1">
        <v>8.4426953539999996</v>
      </c>
      <c r="Z2206" s="1">
        <v>8.5269745389999994</v>
      </c>
      <c r="AA2206" s="1">
        <v>8.6568037249999996</v>
      </c>
      <c r="AB2206" s="1">
        <v>8.5715389940000009</v>
      </c>
      <c r="AC2206" s="1">
        <v>8.5806188950000006</v>
      </c>
      <c r="AD2206" s="1">
        <v>8.7367723769999994</v>
      </c>
      <c r="AE2206" s="1">
        <v>8.6862436069999998</v>
      </c>
    </row>
    <row r="2207" spans="1:31" x14ac:dyDescent="0.25">
      <c r="A2207" s="1" t="s">
        <v>2442</v>
      </c>
      <c r="B2207" s="1" t="s">
        <v>2579</v>
      </c>
      <c r="C2207" s="1" t="s">
        <v>2933</v>
      </c>
      <c r="D2207" s="1" t="s">
        <v>5855</v>
      </c>
      <c r="E2207" s="1" t="s">
        <v>5856</v>
      </c>
      <c r="F2207" s="1" t="s">
        <v>5857</v>
      </c>
      <c r="G2207" s="1" t="s">
        <v>2442</v>
      </c>
      <c r="H2207" s="1">
        <v>10.90486383</v>
      </c>
      <c r="I2207" s="1">
        <v>10.49539682</v>
      </c>
      <c r="J2207" s="1">
        <v>10.64352457</v>
      </c>
      <c r="K2207" s="1">
        <v>10.75662065</v>
      </c>
      <c r="L2207" s="1">
        <v>9.7257508139999995</v>
      </c>
      <c r="M2207" s="1">
        <v>10.097593529999999</v>
      </c>
      <c r="N2207" s="1">
        <v>10.485628009999999</v>
      </c>
      <c r="O2207" s="1">
        <v>10.60651464</v>
      </c>
      <c r="P2207" s="1">
        <v>10.51480342</v>
      </c>
      <c r="Q2207" s="1">
        <v>10.597195409999999</v>
      </c>
      <c r="R2207" s="1">
        <v>10.47948004</v>
      </c>
      <c r="S2207" s="1">
        <v>10.278774869999999</v>
      </c>
      <c r="T2207" s="1">
        <v>9.7257508139999995</v>
      </c>
      <c r="U2207" s="1">
        <v>10.097593529999999</v>
      </c>
      <c r="V2207" s="1">
        <v>9.7242070700000003</v>
      </c>
      <c r="W2207" s="1">
        <v>9.7858608520000008</v>
      </c>
      <c r="X2207" s="1">
        <v>9.9815934710000001</v>
      </c>
      <c r="Y2207" s="1">
        <v>9.6218278210000001</v>
      </c>
      <c r="Z2207" s="1">
        <v>10.47948004</v>
      </c>
      <c r="AA2207" s="1">
        <v>10.278774869999999</v>
      </c>
      <c r="AB2207" s="1">
        <v>10.065844970000001</v>
      </c>
      <c r="AC2207" s="1">
        <v>9.9917637579999994</v>
      </c>
      <c r="AD2207" s="1">
        <v>9.8824508180000006</v>
      </c>
      <c r="AE2207" s="1">
        <v>9.8521173760000007</v>
      </c>
    </row>
    <row r="2208" spans="1:31" x14ac:dyDescent="0.25">
      <c r="A2208" s="1" t="s">
        <v>2449</v>
      </c>
      <c r="B2208" s="1" t="s">
        <v>2579</v>
      </c>
      <c r="C2208" s="1" t="s">
        <v>2933</v>
      </c>
      <c r="D2208" s="1" t="s">
        <v>3912</v>
      </c>
      <c r="E2208" s="1" t="s">
        <v>5858</v>
      </c>
      <c r="F2208" s="1" t="s">
        <v>5859</v>
      </c>
      <c r="G2208" s="1" t="s">
        <v>2449</v>
      </c>
      <c r="H2208" s="1">
        <v>10.658129260000001</v>
      </c>
      <c r="I2208" s="1">
        <v>10.024924309999999</v>
      </c>
      <c r="J2208" s="1">
        <v>9.7627556460000005</v>
      </c>
      <c r="K2208" s="1">
        <v>9.8094214930000003</v>
      </c>
      <c r="L2208" s="1">
        <v>8.8289543699999999</v>
      </c>
      <c r="M2208" s="1">
        <v>9.2147858399999993</v>
      </c>
      <c r="N2208" s="1">
        <v>9.0590896609999998</v>
      </c>
      <c r="O2208" s="1">
        <v>9.3558697380000009</v>
      </c>
      <c r="P2208" s="1">
        <v>9.7268355540000009</v>
      </c>
      <c r="Q2208" s="1">
        <v>9.7703044030000008</v>
      </c>
      <c r="R2208" s="1">
        <v>9.4252103550000008</v>
      </c>
      <c r="S2208" s="1">
        <v>9.4169063600000005</v>
      </c>
      <c r="T2208" s="1">
        <v>8.8289543699999999</v>
      </c>
      <c r="U2208" s="1">
        <v>9.2147858399999993</v>
      </c>
      <c r="V2208" s="1">
        <v>9.5567489769999998</v>
      </c>
      <c r="W2208" s="1">
        <v>9.5240787440000005</v>
      </c>
      <c r="X2208" s="1">
        <v>9.9174876429999994</v>
      </c>
      <c r="Y2208" s="1">
        <v>9.5081560490000001</v>
      </c>
      <c r="Z2208" s="1">
        <v>9.4252103550000008</v>
      </c>
      <c r="AA2208" s="1">
        <v>9.4169063600000005</v>
      </c>
      <c r="AB2208" s="1">
        <v>9.7947840429999999</v>
      </c>
      <c r="AC2208" s="1">
        <v>9.6923701419999997</v>
      </c>
      <c r="AD2208" s="1">
        <v>9.6676938030000006</v>
      </c>
      <c r="AE2208" s="1">
        <v>9.7044466539999998</v>
      </c>
    </row>
    <row r="2209" spans="1:31" x14ac:dyDescent="0.25">
      <c r="A2209" s="1" t="s">
        <v>2451</v>
      </c>
      <c r="B2209" s="1" t="s">
        <v>2608</v>
      </c>
      <c r="C2209" s="1" t="s">
        <v>2700</v>
      </c>
      <c r="D2209" s="1" t="s">
        <v>2701</v>
      </c>
      <c r="E2209" s="1" t="s">
        <v>5860</v>
      </c>
      <c r="F2209" s="1" t="s">
        <v>5861</v>
      </c>
      <c r="G2209" s="1" t="s">
        <v>2451</v>
      </c>
      <c r="H2209" s="1">
        <v>6.8693110669999999</v>
      </c>
      <c r="I2209" s="1">
        <v>6.3760216270000001</v>
      </c>
      <c r="J2209" s="1">
        <v>7.606966785</v>
      </c>
      <c r="K2209" s="1">
        <v>7.8630633459999997</v>
      </c>
      <c r="L2209" s="1">
        <v>7.631399751</v>
      </c>
      <c r="M2209" s="1">
        <v>7.7484378229999997</v>
      </c>
      <c r="N2209" s="1">
        <v>6.5978643630000002</v>
      </c>
      <c r="O2209" s="1">
        <v>6.7893960399999997</v>
      </c>
      <c r="P2209" s="1">
        <v>7.7797956089999998</v>
      </c>
      <c r="Q2209" s="1">
        <v>7.5145739430000003</v>
      </c>
      <c r="R2209" s="1">
        <v>7.6985307780000003</v>
      </c>
      <c r="S2209" s="1">
        <v>7.7042077559999997</v>
      </c>
      <c r="T2209" s="1">
        <v>7.631399751</v>
      </c>
      <c r="U2209" s="1">
        <v>7.7484378229999997</v>
      </c>
      <c r="V2209" s="1">
        <v>7.4931841910000001</v>
      </c>
      <c r="W2209" s="1">
        <v>7.6710982799999998</v>
      </c>
      <c r="X2209" s="1">
        <v>7.7939953109999998</v>
      </c>
      <c r="Y2209" s="1">
        <v>7.3312255589999999</v>
      </c>
      <c r="Z2209" s="1">
        <v>7.6985307780000003</v>
      </c>
      <c r="AA2209" s="1">
        <v>7.7042077559999997</v>
      </c>
      <c r="AB2209" s="1">
        <v>7.8345320049999998</v>
      </c>
      <c r="AC2209" s="1">
        <v>7.6409603700000002</v>
      </c>
      <c r="AD2209" s="1">
        <v>7.4438070659999998</v>
      </c>
      <c r="AE2209" s="1">
        <v>7.3985040959999999</v>
      </c>
    </row>
    <row r="2210" spans="1:31" x14ac:dyDescent="0.25">
      <c r="A2210" s="1" t="s">
        <v>2452</v>
      </c>
      <c r="B2210" s="1" t="s">
        <v>2598</v>
      </c>
      <c r="C2210" s="1" t="s">
        <v>2603</v>
      </c>
      <c r="D2210" s="1" t="s">
        <v>5218</v>
      </c>
      <c r="E2210" s="1" t="s">
        <v>5862</v>
      </c>
      <c r="F2210" s="1" t="s">
        <v>5863</v>
      </c>
      <c r="G2210" s="1" t="s">
        <v>2452</v>
      </c>
      <c r="H2210" s="1">
        <v>6.8693110669999999</v>
      </c>
      <c r="I2210" s="1">
        <v>7.2455913279999997</v>
      </c>
      <c r="J2210" s="1">
        <v>6.4472967060000004</v>
      </c>
      <c r="K2210" s="1">
        <v>6.8396337100000002</v>
      </c>
      <c r="L2210" s="1">
        <v>6.6818509820000003</v>
      </c>
      <c r="M2210" s="1">
        <v>6.6401882609999996</v>
      </c>
      <c r="N2210" s="1">
        <v>6.8064250089999998</v>
      </c>
      <c r="O2210" s="1">
        <v>6.8735777320000002</v>
      </c>
      <c r="P2210" s="1">
        <v>6.5672408280000001</v>
      </c>
      <c r="Q2210" s="1">
        <v>6.4985786230000002</v>
      </c>
      <c r="R2210" s="1">
        <v>6.474614356</v>
      </c>
      <c r="S2210" s="1">
        <v>6.4595501860000004</v>
      </c>
      <c r="T2210" s="1">
        <v>6.6818509820000003</v>
      </c>
      <c r="U2210" s="1">
        <v>6.6401882609999996</v>
      </c>
      <c r="V2210" s="1">
        <v>7.1365351649999997</v>
      </c>
      <c r="W2210" s="1">
        <v>6.863500084</v>
      </c>
      <c r="X2210" s="1">
        <v>6.5025394790000002</v>
      </c>
      <c r="Y2210" s="1">
        <v>7.1452643309999999</v>
      </c>
      <c r="Z2210" s="1">
        <v>6.474614356</v>
      </c>
      <c r="AA2210" s="1">
        <v>6.4595501860000004</v>
      </c>
      <c r="AB2210" s="1">
        <v>6.4797931459999996</v>
      </c>
      <c r="AC2210" s="1">
        <v>6.4748747230000001</v>
      </c>
      <c r="AD2210" s="1">
        <v>6.008703369</v>
      </c>
      <c r="AE2210" s="1">
        <v>6.2634584459999996</v>
      </c>
    </row>
    <row r="2211" spans="1:31" x14ac:dyDescent="0.25">
      <c r="A2211" s="1" t="s">
        <v>2453</v>
      </c>
      <c r="B2211" s="1" t="s">
        <v>2530</v>
      </c>
      <c r="C2211" s="1" t="s">
        <v>2531</v>
      </c>
      <c r="D2211" s="1" t="s">
        <v>2535</v>
      </c>
      <c r="E2211" s="1" t="s">
        <v>2536</v>
      </c>
      <c r="G2211" s="1" t="s">
        <v>2453</v>
      </c>
      <c r="H2211" s="1">
        <v>9.6227991500000005</v>
      </c>
      <c r="I2211" s="1">
        <v>9.3915660889999995</v>
      </c>
      <c r="J2211" s="1">
        <v>9.6200173319999998</v>
      </c>
      <c r="K2211" s="1">
        <v>9.8032090089999997</v>
      </c>
      <c r="L2211" s="1">
        <v>8.9007882909999996</v>
      </c>
      <c r="M2211" s="1">
        <v>9.2353634020000008</v>
      </c>
      <c r="N2211" s="1">
        <v>8.0890607170000006</v>
      </c>
      <c r="O2211" s="1">
        <v>8.3784084869999997</v>
      </c>
      <c r="P2211" s="1">
        <v>9.1566180789999994</v>
      </c>
      <c r="Q2211" s="1">
        <v>9.3569188479999994</v>
      </c>
      <c r="R2211" s="1">
        <v>9.3917765289999995</v>
      </c>
      <c r="S2211" s="1">
        <v>9.3875520350000006</v>
      </c>
      <c r="T2211" s="1">
        <v>8.9007882909999996</v>
      </c>
      <c r="U2211" s="1">
        <v>9.2353634020000008</v>
      </c>
      <c r="V2211" s="1">
        <v>9.1339689879999995</v>
      </c>
      <c r="W2211" s="1">
        <v>8.9889131370000008</v>
      </c>
      <c r="X2211" s="1">
        <v>9.6177682099999995</v>
      </c>
      <c r="Y2211" s="1">
        <v>9.2467250159999992</v>
      </c>
      <c r="Z2211" s="1">
        <v>9.3917765289999995</v>
      </c>
      <c r="AA2211" s="1">
        <v>9.3875520350000006</v>
      </c>
      <c r="AB2211" s="1">
        <v>9.3806593419999995</v>
      </c>
      <c r="AC2211" s="1">
        <v>9.5946068770000004</v>
      </c>
      <c r="AD2211" s="1">
        <v>9.4986965380000008</v>
      </c>
      <c r="AE2211" s="1">
        <v>9.0593867239999994</v>
      </c>
    </row>
    <row r="2212" spans="1:31" x14ac:dyDescent="0.25">
      <c r="A2212" s="1" t="s">
        <v>2457</v>
      </c>
      <c r="B2212" s="1" t="s">
        <v>2942</v>
      </c>
      <c r="C2212" s="1" t="s">
        <v>3659</v>
      </c>
      <c r="D2212" s="1" t="s">
        <v>2535</v>
      </c>
      <c r="E2212" s="1" t="s">
        <v>5864</v>
      </c>
      <c r="G2212" s="1" t="s">
        <v>2457</v>
      </c>
      <c r="H2212" s="1">
        <v>6.8185773340000004</v>
      </c>
      <c r="I2212" s="1">
        <v>6.3160597540000003</v>
      </c>
      <c r="J2212" s="1">
        <v>7.1059649460000003</v>
      </c>
      <c r="K2212" s="1">
        <v>6.8557452210000003</v>
      </c>
      <c r="L2212" s="1">
        <v>6.4156616629999998</v>
      </c>
      <c r="M2212" s="1">
        <v>6.7492461319999997</v>
      </c>
      <c r="N2212" s="1">
        <v>6.6075890509999997</v>
      </c>
      <c r="O2212" s="1">
        <v>6.8085329139999997</v>
      </c>
      <c r="P2212" s="1">
        <v>6.5672408280000001</v>
      </c>
      <c r="Q2212" s="1">
        <v>6.7476078419999999</v>
      </c>
      <c r="R2212" s="1">
        <v>6.9268762089999996</v>
      </c>
      <c r="S2212" s="1">
        <v>6.8089922789999999</v>
      </c>
      <c r="T2212" s="1">
        <v>6.4156616629999998</v>
      </c>
      <c r="U2212" s="1">
        <v>6.7492461319999997</v>
      </c>
      <c r="V2212" s="1">
        <v>7.1959894090000001</v>
      </c>
      <c r="W2212" s="1">
        <v>7.0743350659999997</v>
      </c>
      <c r="X2212" s="1">
        <v>7.0663213679999997</v>
      </c>
      <c r="Y2212" s="1">
        <v>7.1584367220000003</v>
      </c>
      <c r="Z2212" s="1">
        <v>6.9268762089999996</v>
      </c>
      <c r="AA2212" s="1">
        <v>6.8089922789999999</v>
      </c>
      <c r="AB2212" s="1">
        <v>6.7025789319999998</v>
      </c>
      <c r="AC2212" s="1">
        <v>6.8454251570000002</v>
      </c>
      <c r="AD2212" s="1">
        <v>6.9636701729999997</v>
      </c>
      <c r="AE2212" s="1">
        <v>7.0019538289999996</v>
      </c>
    </row>
    <row r="2213" spans="1:31" x14ac:dyDescent="0.25">
      <c r="A2213" s="1" t="s">
        <v>2458</v>
      </c>
      <c r="B2213" s="1" t="s">
        <v>2520</v>
      </c>
      <c r="C2213" s="1" t="s">
        <v>3853</v>
      </c>
      <c r="D2213" s="1" t="s">
        <v>3854</v>
      </c>
      <c r="E2213" s="1" t="s">
        <v>5865</v>
      </c>
      <c r="F2213" s="1" t="s">
        <v>5866</v>
      </c>
      <c r="G2213" s="1" t="s">
        <v>2458</v>
      </c>
      <c r="H2213" s="1">
        <v>4.2900513550000001</v>
      </c>
      <c r="I2213" s="1">
        <v>4.0101074990000001</v>
      </c>
      <c r="J2213" s="1">
        <v>4.8434621079999998</v>
      </c>
      <c r="K2213" s="1">
        <v>5.3151275040000003</v>
      </c>
      <c r="L2213" s="1">
        <v>4.9098563420000003</v>
      </c>
      <c r="M2213" s="1">
        <v>4.8607408789999997</v>
      </c>
      <c r="N2213" s="1">
        <v>5.4061212789999997</v>
      </c>
      <c r="O2213" s="1">
        <v>4.385526188</v>
      </c>
      <c r="P2213" s="1">
        <v>4.7972962780000001</v>
      </c>
      <c r="Q2213" s="1">
        <v>3.9718447549999998</v>
      </c>
      <c r="R2213" s="1">
        <v>4.8118229140000004</v>
      </c>
      <c r="S2213" s="1">
        <v>4.5490843459999999</v>
      </c>
      <c r="T2213" s="1">
        <v>4.9098563420000003</v>
      </c>
      <c r="U2213" s="1">
        <v>4.8607408789999997</v>
      </c>
      <c r="V2213" s="1">
        <v>4.6419314959999998</v>
      </c>
      <c r="W2213" s="1">
        <v>4.9854391920000003</v>
      </c>
      <c r="X2213" s="1">
        <v>4.9447045230000004</v>
      </c>
      <c r="Y2213" s="1">
        <v>4.7564010139999997</v>
      </c>
      <c r="Z2213" s="1">
        <v>4.8118229140000004</v>
      </c>
      <c r="AA2213" s="1">
        <v>4.5490843459999999</v>
      </c>
      <c r="AB2213" s="1">
        <v>4.6096720080000004</v>
      </c>
      <c r="AC2213" s="1">
        <v>4.6238605430000002</v>
      </c>
      <c r="AD2213" s="1">
        <v>5.2633210659999996</v>
      </c>
      <c r="AE2213" s="1">
        <v>4.7290680490000003</v>
      </c>
    </row>
    <row r="2214" spans="1:31" x14ac:dyDescent="0.25">
      <c r="A2214" s="1" t="s">
        <v>2461</v>
      </c>
      <c r="B2214" s="1" t="s">
        <v>2631</v>
      </c>
      <c r="C2214" s="1" t="s">
        <v>2980</v>
      </c>
      <c r="D2214" s="1" t="s">
        <v>4280</v>
      </c>
      <c r="E2214" s="1" t="s">
        <v>5867</v>
      </c>
      <c r="F2214" s="1" t="s">
        <v>5868</v>
      </c>
      <c r="G2214" s="1" t="s">
        <v>2461</v>
      </c>
      <c r="H2214" s="1">
        <v>5.2221022919999998</v>
      </c>
      <c r="I2214" s="1">
        <v>4.9575946069999999</v>
      </c>
      <c r="J2214" s="1">
        <v>5.5131441250000002</v>
      </c>
      <c r="K2214" s="1">
        <v>5.6105789259999996</v>
      </c>
      <c r="L2214" s="1">
        <v>5.5015434460000003</v>
      </c>
      <c r="M2214" s="1">
        <v>5.4399015869999996</v>
      </c>
      <c r="N2214" s="1">
        <v>5.1887139119999999</v>
      </c>
      <c r="O2214" s="1">
        <v>4.5340058970000001</v>
      </c>
      <c r="P2214" s="1">
        <v>5.1018341500000002</v>
      </c>
      <c r="Q2214" s="1">
        <v>4.683187717</v>
      </c>
      <c r="R2214" s="1">
        <v>4.8735636449999999</v>
      </c>
      <c r="S2214" s="1">
        <v>4.7503017500000002</v>
      </c>
      <c r="T2214" s="1">
        <v>5.5015434460000003</v>
      </c>
      <c r="U2214" s="1">
        <v>5.4399015869999996</v>
      </c>
      <c r="V2214" s="1">
        <v>5.0428039150000004</v>
      </c>
      <c r="W2214" s="1">
        <v>5.0488589419999998</v>
      </c>
      <c r="X2214" s="1">
        <v>5.1128189019999999</v>
      </c>
      <c r="Y2214" s="1">
        <v>5.4613266610000002</v>
      </c>
      <c r="Z2214" s="1">
        <v>4.8735636449999999</v>
      </c>
      <c r="AA2214" s="1">
        <v>4.7503017500000002</v>
      </c>
      <c r="AB2214" s="1">
        <v>5.2406211000000003</v>
      </c>
      <c r="AC2214" s="1">
        <v>4.7474570290000004</v>
      </c>
      <c r="AD2214" s="1">
        <v>4.83054469</v>
      </c>
      <c r="AE2214" s="1">
        <v>5.0415666330000004</v>
      </c>
    </row>
    <row r="2215" spans="1:31" x14ac:dyDescent="0.25">
      <c r="A2215" s="1" t="s">
        <v>2464</v>
      </c>
      <c r="B2215" s="1" t="s">
        <v>2530</v>
      </c>
      <c r="C2215" s="1" t="s">
        <v>2531</v>
      </c>
      <c r="D2215" s="1" t="s">
        <v>2535</v>
      </c>
      <c r="E2215" s="1" t="s">
        <v>5869</v>
      </c>
      <c r="G2215" s="1" t="s">
        <v>2464</v>
      </c>
      <c r="H2215" s="1">
        <v>6.379172209</v>
      </c>
      <c r="I2215" s="1">
        <v>5.8917578519999996</v>
      </c>
      <c r="J2215" s="1">
        <v>5.5483108110000003</v>
      </c>
      <c r="K2215" s="1">
        <v>5.8870623049999997</v>
      </c>
      <c r="L2215" s="1">
        <v>4.6825378889999998</v>
      </c>
      <c r="M2215" s="1">
        <v>4.9642129490000002</v>
      </c>
      <c r="N2215" s="1">
        <v>5.53456788</v>
      </c>
      <c r="O2215" s="1">
        <v>6.0822573350000004</v>
      </c>
      <c r="P2215" s="1">
        <v>5.1018341500000002</v>
      </c>
      <c r="Q2215" s="1">
        <v>5.2000913229999997</v>
      </c>
      <c r="R2215" s="1">
        <v>5.0965654090000001</v>
      </c>
      <c r="S2215" s="1">
        <v>5.0824952919999999</v>
      </c>
      <c r="T2215" s="1">
        <v>4.6825378889999998</v>
      </c>
      <c r="U2215" s="1">
        <v>4.9642129490000002</v>
      </c>
      <c r="V2215" s="1">
        <v>5.3192272129999996</v>
      </c>
      <c r="W2215" s="1">
        <v>5.329276363</v>
      </c>
      <c r="X2215" s="1">
        <v>5.5030444689999998</v>
      </c>
      <c r="Y2215" s="1">
        <v>5.0702808140000002</v>
      </c>
      <c r="Z2215" s="1">
        <v>5.0965654090000001</v>
      </c>
      <c r="AA2215" s="1">
        <v>5.0824952919999999</v>
      </c>
      <c r="AB2215" s="1">
        <v>5.1073354020000004</v>
      </c>
      <c r="AC2215" s="1">
        <v>5.3610280289999999</v>
      </c>
      <c r="AD2215" s="1">
        <v>5.6665831520000003</v>
      </c>
      <c r="AE2215" s="1">
        <v>5.3658215939999998</v>
      </c>
    </row>
    <row r="2216" spans="1:31" x14ac:dyDescent="0.25">
      <c r="A2216" s="1" t="s">
        <v>2471</v>
      </c>
      <c r="B2216" s="1" t="s">
        <v>2539</v>
      </c>
      <c r="C2216" s="1" t="s">
        <v>2606</v>
      </c>
      <c r="D2216" s="1" t="s">
        <v>3536</v>
      </c>
      <c r="E2216" s="1" t="s">
        <v>3537</v>
      </c>
      <c r="G2216" s="1" t="s">
        <v>2471</v>
      </c>
      <c r="H2216" s="1">
        <v>7.2598951009999997</v>
      </c>
      <c r="I2216" s="1">
        <v>7.1573255429999998</v>
      </c>
      <c r="J2216" s="1">
        <v>6.9961611450000003</v>
      </c>
      <c r="K2216" s="1">
        <v>7.3522597120000004</v>
      </c>
      <c r="L2216" s="1">
        <v>6.7193312350000003</v>
      </c>
      <c r="M2216" s="1">
        <v>6.5662231340000003</v>
      </c>
      <c r="N2216" s="1">
        <v>7.089120791</v>
      </c>
      <c r="O2216" s="1">
        <v>7.1830668309999997</v>
      </c>
      <c r="P2216" s="1">
        <v>6.7225254730000001</v>
      </c>
      <c r="Q2216" s="1">
        <v>6.459205753</v>
      </c>
      <c r="R2216" s="1">
        <v>6.9124289210000001</v>
      </c>
      <c r="S2216" s="1">
        <v>6.5856947659999996</v>
      </c>
      <c r="T2216" s="1">
        <v>6.7193312350000003</v>
      </c>
      <c r="U2216" s="1">
        <v>6.5662231340000003</v>
      </c>
      <c r="V2216" s="1">
        <v>6.71671408</v>
      </c>
      <c r="W2216" s="1">
        <v>6.6370070730000004</v>
      </c>
      <c r="X2216" s="1">
        <v>6.3552247629999998</v>
      </c>
      <c r="Y2216" s="1">
        <v>6.7521416749999998</v>
      </c>
      <c r="Z2216" s="1">
        <v>6.9124289210000001</v>
      </c>
      <c r="AA2216" s="1">
        <v>6.5856947659999996</v>
      </c>
      <c r="AB2216" s="1">
        <v>6.53236668</v>
      </c>
      <c r="AC2216" s="1">
        <v>6.6092721640000001</v>
      </c>
      <c r="AD2216" s="1">
        <v>6.9202883980000003</v>
      </c>
      <c r="AE2216" s="1">
        <v>6.7703137360000003</v>
      </c>
    </row>
    <row r="2217" spans="1:31" x14ac:dyDescent="0.25">
      <c r="A2217" s="1" t="s">
        <v>2472</v>
      </c>
      <c r="B2217" s="1" t="s">
        <v>2530</v>
      </c>
      <c r="C2217" s="1" t="s">
        <v>2573</v>
      </c>
      <c r="D2217" s="1" t="s">
        <v>2535</v>
      </c>
      <c r="E2217" s="1" t="s">
        <v>5870</v>
      </c>
      <c r="G2217" s="1" t="s">
        <v>2472</v>
      </c>
      <c r="H2217" s="1">
        <v>6.765990908</v>
      </c>
      <c r="I2217" s="1">
        <v>6.395465862</v>
      </c>
      <c r="J2217" s="1">
        <v>6.1146491980000004</v>
      </c>
      <c r="K2217" s="1">
        <v>5.8227835140000002</v>
      </c>
      <c r="L2217" s="1">
        <v>6.1668872849999996</v>
      </c>
      <c r="M2217" s="1">
        <v>6.2389026359999997</v>
      </c>
      <c r="N2217" s="1">
        <v>6.7104368150000004</v>
      </c>
      <c r="O2217" s="1">
        <v>6.7602052800000001</v>
      </c>
      <c r="P2217" s="1">
        <v>6.4828273410000001</v>
      </c>
      <c r="Q2217" s="1">
        <v>6.289960497</v>
      </c>
      <c r="R2217" s="1">
        <v>6.4941616399999997</v>
      </c>
      <c r="S2217" s="1">
        <v>6.3003852350000003</v>
      </c>
      <c r="T2217" s="1">
        <v>6.1668872849999996</v>
      </c>
      <c r="U2217" s="1">
        <v>6.2389026359999997</v>
      </c>
      <c r="V2217" s="1">
        <v>6.6615124100000003</v>
      </c>
      <c r="W2217" s="1">
        <v>6.595535302</v>
      </c>
      <c r="X2217" s="1">
        <v>6.3215937049999997</v>
      </c>
      <c r="Y2217" s="1">
        <v>6.399298012</v>
      </c>
      <c r="Z2217" s="1">
        <v>6.4941616399999997</v>
      </c>
      <c r="AA2217" s="1">
        <v>6.3003852350000003</v>
      </c>
      <c r="AB2217" s="1">
        <v>6.875265154</v>
      </c>
      <c r="AC2217" s="1">
        <v>6.1612901029999998</v>
      </c>
      <c r="AD2217" s="1">
        <v>6.3296964060000001</v>
      </c>
      <c r="AE2217" s="1">
        <v>6.2272627849999997</v>
      </c>
    </row>
    <row r="2218" spans="1:31" x14ac:dyDescent="0.25">
      <c r="A2218" s="1" t="s">
        <v>2473</v>
      </c>
      <c r="B2218" s="1" t="s">
        <v>2530</v>
      </c>
      <c r="C2218" s="1" t="s">
        <v>2531</v>
      </c>
      <c r="D2218" s="1" t="s">
        <v>5871</v>
      </c>
      <c r="E2218" s="1" t="s">
        <v>5872</v>
      </c>
      <c r="G2218" s="1" t="s">
        <v>2473</v>
      </c>
      <c r="H2218" s="1">
        <v>4.8663747150000001</v>
      </c>
      <c r="I2218" s="1">
        <v>4.9575946069999999</v>
      </c>
      <c r="J2218" s="1">
        <v>5.0551375939999996</v>
      </c>
      <c r="K2218" s="1">
        <v>4.8793048219999999</v>
      </c>
      <c r="L2218" s="1">
        <v>4.6513384469999997</v>
      </c>
      <c r="M2218" s="1">
        <v>5.0913316819999999</v>
      </c>
      <c r="N2218" s="1">
        <v>5.2649372489999999</v>
      </c>
      <c r="O2218" s="1">
        <v>5.1349072580000001</v>
      </c>
      <c r="P2218" s="1">
        <v>4.4805784009999998</v>
      </c>
      <c r="Q2218" s="1">
        <v>4.5369064569999997</v>
      </c>
      <c r="R2218" s="1">
        <v>4.7472384160000001</v>
      </c>
      <c r="S2218" s="1">
        <v>4.8699614389999999</v>
      </c>
      <c r="T2218" s="1">
        <v>4.6513384469999997</v>
      </c>
      <c r="U2218" s="1">
        <v>5.0913316819999999</v>
      </c>
      <c r="V2218" s="1">
        <v>4.3879408260000003</v>
      </c>
      <c r="W2218" s="1">
        <v>5.2236621110000003</v>
      </c>
      <c r="X2218" s="1">
        <v>4.3627028770000003</v>
      </c>
      <c r="Y2218" s="1">
        <v>4.8250325140000001</v>
      </c>
      <c r="Z2218" s="1">
        <v>4.7472384160000001</v>
      </c>
      <c r="AA2218" s="1">
        <v>4.8699614389999999</v>
      </c>
      <c r="AB2218" s="1">
        <v>3.8237667059999998</v>
      </c>
      <c r="AC2218" s="1">
        <v>4.6238605430000002</v>
      </c>
      <c r="AD2218" s="1">
        <v>4.5511338559999999</v>
      </c>
      <c r="AE2218" s="1">
        <v>5.0965372069999999</v>
      </c>
    </row>
    <row r="2219" spans="1:31" x14ac:dyDescent="0.25">
      <c r="A2219" s="1" t="s">
        <v>2475</v>
      </c>
      <c r="B2219" s="1" t="s">
        <v>2520</v>
      </c>
      <c r="C2219" s="1" t="s">
        <v>2521</v>
      </c>
      <c r="D2219" s="1" t="s">
        <v>2522</v>
      </c>
      <c r="E2219" s="1" t="s">
        <v>5873</v>
      </c>
      <c r="F2219" s="1" t="s">
        <v>5874</v>
      </c>
      <c r="G2219" s="1" t="s">
        <v>2475</v>
      </c>
      <c r="H2219" s="1">
        <v>6.3073323200000004</v>
      </c>
      <c r="I2219" s="1">
        <v>5.7476087250000001</v>
      </c>
      <c r="J2219" s="1">
        <v>6.0178848</v>
      </c>
      <c r="K2219" s="1">
        <v>5.6105789259999996</v>
      </c>
      <c r="L2219" s="1">
        <v>5.6952369550000004</v>
      </c>
      <c r="M2219" s="1">
        <v>6.1256430599999998</v>
      </c>
      <c r="N2219" s="1">
        <v>5.6896218779999996</v>
      </c>
      <c r="O2219" s="1">
        <v>5.7859173799999999</v>
      </c>
      <c r="P2219" s="1">
        <v>6.336531473</v>
      </c>
      <c r="Q2219" s="1">
        <v>6.123526483</v>
      </c>
      <c r="R2219" s="1">
        <v>6.3078659510000001</v>
      </c>
      <c r="S2219" s="1">
        <v>6.2358418929999999</v>
      </c>
      <c r="T2219" s="1">
        <v>5.6952369550000004</v>
      </c>
      <c r="U2219" s="1">
        <v>6.1256430599999998</v>
      </c>
      <c r="V2219" s="1">
        <v>6.3308320719999998</v>
      </c>
      <c r="W2219" s="1">
        <v>6.156075682</v>
      </c>
      <c r="X2219" s="1">
        <v>6.4095855210000003</v>
      </c>
      <c r="Y2219" s="1">
        <v>6.2594192150000003</v>
      </c>
      <c r="Z2219" s="1">
        <v>6.3078659510000001</v>
      </c>
      <c r="AA2219" s="1">
        <v>6.2358418929999999</v>
      </c>
      <c r="AB2219" s="1">
        <v>6.3685053089999997</v>
      </c>
      <c r="AC2219" s="1">
        <v>6.4923770970000003</v>
      </c>
      <c r="AD2219" s="1">
        <v>6.3945942340000004</v>
      </c>
      <c r="AE2219" s="1">
        <v>6.2149920930000002</v>
      </c>
    </row>
    <row r="2220" spans="1:31" x14ac:dyDescent="0.25">
      <c r="A2220" s="1" t="s">
        <v>2476</v>
      </c>
      <c r="B2220" s="1" t="s">
        <v>2530</v>
      </c>
      <c r="C2220" s="1" t="s">
        <v>2573</v>
      </c>
      <c r="D2220" s="1" t="s">
        <v>2535</v>
      </c>
      <c r="E2220" s="1" t="s">
        <v>5875</v>
      </c>
      <c r="G2220" s="1" t="s">
        <v>2476</v>
      </c>
      <c r="H2220" s="1">
        <v>5.2735834620000004</v>
      </c>
      <c r="I2220" s="1">
        <v>5.4447012069999996</v>
      </c>
      <c r="J2220" s="1">
        <v>4.8434621079999998</v>
      </c>
      <c r="K2220" s="1">
        <v>4.5171444090000001</v>
      </c>
      <c r="L2220" s="1">
        <v>5.1055038850000001</v>
      </c>
      <c r="M2220" s="1">
        <v>5.2895531800000004</v>
      </c>
      <c r="N2220" s="1">
        <v>5.4061212789999997</v>
      </c>
      <c r="O2220" s="1">
        <v>5.4367285829999998</v>
      </c>
      <c r="P2220" s="1">
        <v>5.2325771159999999</v>
      </c>
      <c r="Q2220" s="1">
        <v>5.3805263300000004</v>
      </c>
      <c r="R2220" s="1">
        <v>4.2802026870000001</v>
      </c>
      <c r="S2220" s="1">
        <v>5.2232498669999998</v>
      </c>
      <c r="T2220" s="1">
        <v>5.1055038850000001</v>
      </c>
      <c r="U2220" s="1">
        <v>5.2895531800000004</v>
      </c>
      <c r="V2220" s="1">
        <v>5.2828838410000003</v>
      </c>
      <c r="W2220" s="1">
        <v>5.0488589419999998</v>
      </c>
      <c r="X2220" s="1">
        <v>5.2147349050000003</v>
      </c>
      <c r="Y2220" s="1">
        <v>5.0702808140000002</v>
      </c>
      <c r="Z2220" s="1">
        <v>4.2802026870000001</v>
      </c>
      <c r="AA2220" s="1">
        <v>5.2232498669999998</v>
      </c>
      <c r="AB2220" s="1">
        <v>5.0356743460000004</v>
      </c>
      <c r="AC2220" s="1">
        <v>5.3610280289999999</v>
      </c>
      <c r="AD2220" s="1">
        <v>4.95179218</v>
      </c>
      <c r="AE2220" s="1">
        <v>5.387950011</v>
      </c>
    </row>
    <row r="2221" spans="1:31" x14ac:dyDescent="0.25">
      <c r="A2221" s="1" t="s">
        <v>2482</v>
      </c>
      <c r="B2221" s="1" t="s">
        <v>2530</v>
      </c>
      <c r="C2221" s="1" t="s">
        <v>2531</v>
      </c>
      <c r="D2221" s="1" t="s">
        <v>2535</v>
      </c>
      <c r="E2221" s="1" t="s">
        <v>5876</v>
      </c>
      <c r="F2221" s="1" t="s">
        <v>5877</v>
      </c>
      <c r="G2221" s="1" t="s">
        <v>2482</v>
      </c>
      <c r="H2221" s="1">
        <v>6.0961014899999997</v>
      </c>
      <c r="I2221" s="1">
        <v>5.8640648840000003</v>
      </c>
      <c r="J2221" s="1">
        <v>6.4839470649999997</v>
      </c>
      <c r="K2221" s="1">
        <v>6.4300937310000004</v>
      </c>
      <c r="L2221" s="1">
        <v>6.3972692809999998</v>
      </c>
      <c r="M2221" s="1">
        <v>6.3054089360000001</v>
      </c>
      <c r="N2221" s="1">
        <v>6.3187649539999997</v>
      </c>
      <c r="O2221" s="1">
        <v>6.4302305970000004</v>
      </c>
      <c r="P2221" s="1">
        <v>6.1519221809999998</v>
      </c>
      <c r="Q2221" s="1">
        <v>6.3770715449999997</v>
      </c>
      <c r="R2221" s="1">
        <v>6.6932924079999996</v>
      </c>
      <c r="S2221" s="1">
        <v>6.748647074</v>
      </c>
      <c r="T2221" s="1">
        <v>6.3972692809999998</v>
      </c>
      <c r="U2221" s="1">
        <v>6.3054089360000001</v>
      </c>
      <c r="V2221" s="1">
        <v>6.6330969629999998</v>
      </c>
      <c r="W2221" s="1">
        <v>6.7547022720000003</v>
      </c>
      <c r="X2221" s="1">
        <v>6.931762923</v>
      </c>
      <c r="Y2221" s="1">
        <v>6.7521416749999998</v>
      </c>
      <c r="Z2221" s="1">
        <v>6.6932924079999996</v>
      </c>
      <c r="AA2221" s="1">
        <v>6.748647074</v>
      </c>
      <c r="AB2221" s="1">
        <v>6.8339958249999997</v>
      </c>
      <c r="AC2221" s="1">
        <v>6.9376954160000004</v>
      </c>
      <c r="AD2221" s="1">
        <v>6.190389411</v>
      </c>
      <c r="AE2221" s="1">
        <v>6.8907852160000003</v>
      </c>
    </row>
    <row r="2222" spans="1:31" x14ac:dyDescent="0.25">
      <c r="A2222" s="1" t="s">
        <v>2490</v>
      </c>
      <c r="B2222" s="1" t="s">
        <v>2530</v>
      </c>
      <c r="C2222" s="1" t="s">
        <v>2531</v>
      </c>
      <c r="D2222" s="1" t="s">
        <v>2535</v>
      </c>
      <c r="E2222" s="1" t="s">
        <v>2536</v>
      </c>
      <c r="G2222" s="1" t="s">
        <v>2490</v>
      </c>
      <c r="H2222" s="1">
        <v>6.7837339390000002</v>
      </c>
      <c r="I2222" s="1">
        <v>5.9189259930000002</v>
      </c>
      <c r="J2222" s="1">
        <v>6.7018094870000002</v>
      </c>
      <c r="K2222" s="1">
        <v>7.0076624089999999</v>
      </c>
      <c r="L2222" s="1">
        <v>6.0182159679999998</v>
      </c>
      <c r="M2222" s="1">
        <v>5.9201092089999996</v>
      </c>
      <c r="N2222" s="1">
        <v>6.0879362979999998</v>
      </c>
      <c r="O2222" s="1">
        <v>5.6856657850000003</v>
      </c>
      <c r="P2222" s="1">
        <v>6.1298655379999998</v>
      </c>
      <c r="Q2222" s="1">
        <v>6.3557835540000003</v>
      </c>
      <c r="R2222" s="1">
        <v>6.2166299269999996</v>
      </c>
      <c r="S2222" s="1">
        <v>6.0227453090000003</v>
      </c>
      <c r="T2222" s="1">
        <v>6.0182159679999998</v>
      </c>
      <c r="U2222" s="1">
        <v>5.9201092089999996</v>
      </c>
      <c r="V2222" s="1">
        <v>5.4882083000000002</v>
      </c>
      <c r="W2222" s="1">
        <v>5.6472737119999996</v>
      </c>
      <c r="X2222" s="1">
        <v>6.4516415819999997</v>
      </c>
      <c r="Y2222" s="1">
        <v>5.7329513619999997</v>
      </c>
      <c r="Z2222" s="1">
        <v>6.2166299269999996</v>
      </c>
      <c r="AA2222" s="1">
        <v>6.0227453090000003</v>
      </c>
      <c r="AB2222" s="1">
        <v>6.1835402750000004</v>
      </c>
      <c r="AC2222" s="1">
        <v>5.7302515789999999</v>
      </c>
      <c r="AD2222" s="1">
        <v>6.0361091350000002</v>
      </c>
      <c r="AE2222" s="1">
        <v>6.2634584459999996</v>
      </c>
    </row>
    <row r="2223" spans="1:31" x14ac:dyDescent="0.25">
      <c r="A2223" s="1" t="s">
        <v>2497</v>
      </c>
      <c r="B2223" s="1" t="s">
        <v>2598</v>
      </c>
      <c r="C2223" s="1" t="s">
        <v>2603</v>
      </c>
      <c r="D2223" s="1" t="s">
        <v>2730</v>
      </c>
      <c r="E2223" s="1" t="s">
        <v>5878</v>
      </c>
      <c r="F2223" s="1" t="s">
        <v>5879</v>
      </c>
      <c r="G2223" s="1" t="s">
        <v>2497</v>
      </c>
      <c r="H2223" s="1">
        <v>6.0961014899999997</v>
      </c>
      <c r="I2223" s="1">
        <v>6.3363261639999999</v>
      </c>
      <c r="J2223" s="1">
        <v>6.6543806500000002</v>
      </c>
      <c r="K2223" s="1">
        <v>6.5137511750000003</v>
      </c>
      <c r="L2223" s="1">
        <v>7.5422545559999996</v>
      </c>
      <c r="M2223" s="1">
        <v>7.3048203200000001</v>
      </c>
      <c r="N2223" s="1">
        <v>6.8480269140000001</v>
      </c>
      <c r="O2223" s="1">
        <v>6.4425402370000002</v>
      </c>
      <c r="P2223" s="1">
        <v>6.9903989949999996</v>
      </c>
      <c r="Q2223" s="1">
        <v>7.0684241830000003</v>
      </c>
      <c r="R2223" s="1">
        <v>6.5512588940000001</v>
      </c>
      <c r="S2223" s="1">
        <v>6.7941413900000001</v>
      </c>
      <c r="T2223" s="1">
        <v>7.5422545559999996</v>
      </c>
      <c r="U2223" s="1">
        <v>7.3048203200000001</v>
      </c>
      <c r="V2223" s="1">
        <v>7.0207244439999998</v>
      </c>
      <c r="W2223" s="1">
        <v>6.8459283500000003</v>
      </c>
      <c r="X2223" s="1">
        <v>7.1388407049999998</v>
      </c>
      <c r="Y2223" s="1">
        <v>7.063596596</v>
      </c>
      <c r="Z2223" s="1">
        <v>6.5512588940000001</v>
      </c>
      <c r="AA2223" s="1">
        <v>6.7941413900000001</v>
      </c>
      <c r="AB2223" s="1">
        <v>6.9153848929999997</v>
      </c>
      <c r="AC2223" s="1">
        <v>6.8317475849999996</v>
      </c>
      <c r="AD2223" s="1">
        <v>6.9493542489999998</v>
      </c>
      <c r="AE2223" s="1">
        <v>6.6928759639999997</v>
      </c>
    </row>
    <row r="2224" spans="1:31" x14ac:dyDescent="0.25">
      <c r="A2224" s="1" t="s">
        <v>2498</v>
      </c>
      <c r="B2224" s="1" t="s">
        <v>2530</v>
      </c>
      <c r="C2224" s="1" t="s">
        <v>2531</v>
      </c>
      <c r="D2224" s="1" t="s">
        <v>2535</v>
      </c>
      <c r="E2224" s="1" t="s">
        <v>2536</v>
      </c>
      <c r="G2224" s="1" t="s">
        <v>2498</v>
      </c>
      <c r="H2224" s="1">
        <v>4.3886087140000001</v>
      </c>
      <c r="I2224" s="1">
        <v>4.5280931029999998</v>
      </c>
      <c r="J2224" s="1">
        <v>4.5240842389999996</v>
      </c>
      <c r="K2224" s="1">
        <v>4.5974987220000001</v>
      </c>
      <c r="L2224" s="1">
        <v>3.6142294740000001</v>
      </c>
      <c r="M2224" s="1">
        <v>3.027864058</v>
      </c>
      <c r="N2224" s="1">
        <v>4.765904581</v>
      </c>
      <c r="O2224" s="1">
        <v>5.3605571169999999</v>
      </c>
      <c r="P2224" s="1">
        <v>4.5499605860000001</v>
      </c>
      <c r="Q2224" s="1">
        <v>5.2000913229999997</v>
      </c>
      <c r="R2224" s="1">
        <v>4.2802026870000001</v>
      </c>
      <c r="S2224" s="1">
        <v>4.2250836859999996</v>
      </c>
      <c r="T2224" s="1">
        <v>3.6142294740000001</v>
      </c>
      <c r="U2224" s="1">
        <v>3.027864058</v>
      </c>
      <c r="V2224" s="1">
        <v>4.3163797720000003</v>
      </c>
      <c r="W2224" s="1">
        <v>4.1128053839999996</v>
      </c>
      <c r="X2224" s="1">
        <v>3.8119046220000001</v>
      </c>
      <c r="Y2224" s="1">
        <v>4.2532353330000001</v>
      </c>
      <c r="Z2224" s="1">
        <v>4.2802026870000001</v>
      </c>
      <c r="AA2224" s="1">
        <v>4.2250836859999996</v>
      </c>
      <c r="AB2224" s="1">
        <v>4.2729702720000002</v>
      </c>
      <c r="AC2224" s="1">
        <v>3.7481372300000002</v>
      </c>
      <c r="AD2224" s="1">
        <v>3.8610926929999998</v>
      </c>
      <c r="AE2224" s="1">
        <v>4.7636391339999999</v>
      </c>
    </row>
    <row r="2225" spans="1:31" x14ac:dyDescent="0.25">
      <c r="A2225" s="1" t="s">
        <v>2500</v>
      </c>
      <c r="B2225" s="1" t="s">
        <v>2520</v>
      </c>
      <c r="C2225" s="1" t="s">
        <v>2521</v>
      </c>
      <c r="D2225" s="1" t="s">
        <v>2535</v>
      </c>
      <c r="E2225" s="1" t="s">
        <v>5880</v>
      </c>
      <c r="G2225" s="1" t="s">
        <v>2500</v>
      </c>
      <c r="H2225" s="1">
        <v>7.8787742549999997</v>
      </c>
      <c r="I2225" s="1">
        <v>7.4358102949999996</v>
      </c>
      <c r="J2225" s="1">
        <v>7.8921461710000003</v>
      </c>
      <c r="K2225" s="1">
        <v>8.2517156380000003</v>
      </c>
      <c r="L2225" s="1">
        <v>7.1508676360000001</v>
      </c>
      <c r="M2225" s="1">
        <v>7.0575068930000002</v>
      </c>
      <c r="N2225" s="1">
        <v>7.3194458109999996</v>
      </c>
      <c r="O2225" s="1">
        <v>7.6001763599999999</v>
      </c>
      <c r="P2225" s="1">
        <v>7.4473979830000001</v>
      </c>
      <c r="Q2225" s="1">
        <v>7.6074454640000004</v>
      </c>
      <c r="R2225" s="1">
        <v>7.5290454130000004</v>
      </c>
      <c r="S2225" s="1">
        <v>7.375745384</v>
      </c>
      <c r="T2225" s="1">
        <v>7.1508676360000001</v>
      </c>
      <c r="U2225" s="1">
        <v>7.0575068930000002</v>
      </c>
      <c r="V2225" s="1">
        <v>7.7981766810000002</v>
      </c>
      <c r="W2225" s="1">
        <v>7.9263506169999998</v>
      </c>
      <c r="X2225" s="1">
        <v>7.4447236070000002</v>
      </c>
      <c r="Y2225" s="1">
        <v>7.6897821789999998</v>
      </c>
      <c r="Z2225" s="1">
        <v>7.5290454130000004</v>
      </c>
      <c r="AA2225" s="1">
        <v>7.375745384</v>
      </c>
      <c r="AB2225" s="1">
        <v>7.7703907120000002</v>
      </c>
      <c r="AC2225" s="1">
        <v>7.336648372</v>
      </c>
      <c r="AD2225" s="1">
        <v>7.7465640730000001</v>
      </c>
      <c r="AE2225" s="1">
        <v>7.8933910090000001</v>
      </c>
    </row>
    <row r="2226" spans="1:31" x14ac:dyDescent="0.25">
      <c r="A2226" s="1" t="s">
        <v>2501</v>
      </c>
      <c r="B2226" s="1" t="s">
        <v>2608</v>
      </c>
      <c r="C2226" s="1" t="s">
        <v>2700</v>
      </c>
      <c r="D2226" s="1" t="s">
        <v>2701</v>
      </c>
      <c r="E2226" s="1" t="s">
        <v>5881</v>
      </c>
      <c r="F2226" s="1" t="s">
        <v>5882</v>
      </c>
      <c r="G2226" s="1" t="s">
        <v>2501</v>
      </c>
      <c r="H2226" s="1">
        <v>5.6296178589999997</v>
      </c>
      <c r="I2226" s="1">
        <v>5.8358262759999997</v>
      </c>
      <c r="J2226" s="1">
        <v>6.9576180770000002</v>
      </c>
      <c r="K2226" s="1">
        <v>7.3293754570000003</v>
      </c>
      <c r="L2226" s="1">
        <v>6.957483667</v>
      </c>
      <c r="M2226" s="1">
        <v>6.7105377930000003</v>
      </c>
      <c r="N2226" s="1">
        <v>6.2705786610000001</v>
      </c>
      <c r="O2226" s="1">
        <v>6.3009667690000004</v>
      </c>
      <c r="P2226" s="1">
        <v>7.1300695420000002</v>
      </c>
      <c r="Q2226" s="1">
        <v>6.5742324390000002</v>
      </c>
      <c r="R2226" s="1">
        <v>7.0898067039999999</v>
      </c>
      <c r="S2226" s="1">
        <v>6.8950186230000003</v>
      </c>
      <c r="T2226" s="1">
        <v>6.957483667</v>
      </c>
      <c r="U2226" s="1">
        <v>6.7105377930000003</v>
      </c>
      <c r="V2226" s="1">
        <v>6.6893778040000003</v>
      </c>
      <c r="W2226" s="1">
        <v>6.4401804780000003</v>
      </c>
      <c r="X2226" s="1">
        <v>6.3772162630000002</v>
      </c>
      <c r="Y2226" s="1">
        <v>6.5267696659999999</v>
      </c>
      <c r="Z2226" s="1">
        <v>7.0898067039999999</v>
      </c>
      <c r="AA2226" s="1">
        <v>6.8950186230000003</v>
      </c>
      <c r="AB2226" s="1">
        <v>6.557950226</v>
      </c>
      <c r="AC2226" s="1">
        <v>6.4026546910000004</v>
      </c>
      <c r="AD2226" s="1">
        <v>6.6102586299999997</v>
      </c>
      <c r="AE2226" s="1">
        <v>6.6296282299999998</v>
      </c>
    </row>
    <row r="2227" spans="1:31" x14ac:dyDescent="0.25">
      <c r="A2227" s="1" t="s">
        <v>2504</v>
      </c>
      <c r="B2227" s="1" t="s">
        <v>2557</v>
      </c>
      <c r="C2227" s="1" t="s">
        <v>3771</v>
      </c>
      <c r="D2227" s="1" t="s">
        <v>4658</v>
      </c>
      <c r="E2227" s="1" t="s">
        <v>5883</v>
      </c>
      <c r="G2227" s="1" t="s">
        <v>2504</v>
      </c>
      <c r="H2227" s="1">
        <v>3.9421380259999999</v>
      </c>
      <c r="I2227" s="1">
        <v>4.5981535630000003</v>
      </c>
      <c r="J2227" s="1">
        <v>3.329519721</v>
      </c>
      <c r="K2227" s="1">
        <v>2.9677134359999999</v>
      </c>
      <c r="L2227" s="1">
        <v>3.3884746630000002</v>
      </c>
      <c r="M2227" s="1">
        <v>3.169085575</v>
      </c>
      <c r="N2227" s="1">
        <v>3.8490531570000002</v>
      </c>
      <c r="O2227" s="1">
        <v>4.0289865369999998</v>
      </c>
      <c r="P2227" s="1">
        <v>3.466113682</v>
      </c>
      <c r="Q2227" s="1">
        <v>2.597100669</v>
      </c>
      <c r="R2227" s="1">
        <v>3.386455024</v>
      </c>
      <c r="S2227" s="1">
        <v>3.1475403900000001</v>
      </c>
      <c r="T2227" s="1">
        <v>3.3884746630000002</v>
      </c>
      <c r="U2227" s="1">
        <v>3.169085575</v>
      </c>
      <c r="V2227" s="1">
        <v>2.5140266200000001</v>
      </c>
      <c r="W2227" s="1">
        <v>3.0218530750000001</v>
      </c>
      <c r="X2227" s="1">
        <v>1.7393328349999999</v>
      </c>
      <c r="Y2227" s="1">
        <v>2.624795792</v>
      </c>
      <c r="Z2227" s="1">
        <v>3.386455024</v>
      </c>
      <c r="AA2227" s="1">
        <v>3.1475403900000001</v>
      </c>
      <c r="AB2227" s="1">
        <v>3.1218319999999999</v>
      </c>
      <c r="AC2227" s="1">
        <v>2.87258916</v>
      </c>
      <c r="AD2227" s="1">
        <v>3.3987395579999999</v>
      </c>
      <c r="AE2227" s="1">
        <v>3.213378847</v>
      </c>
    </row>
    <row r="2228" spans="1:31" x14ac:dyDescent="0.25">
      <c r="A2228" s="1" t="s">
        <v>2508</v>
      </c>
      <c r="B2228" s="1" t="s">
        <v>2530</v>
      </c>
      <c r="C2228" s="1" t="s">
        <v>2531</v>
      </c>
      <c r="D2228" s="1" t="s">
        <v>2535</v>
      </c>
      <c r="E2228" s="1" t="s">
        <v>2536</v>
      </c>
      <c r="G2228" s="1" t="s">
        <v>2508</v>
      </c>
      <c r="H2228" s="1">
        <v>3.8023684370000002</v>
      </c>
      <c r="I2228" s="1">
        <v>2.8927893610000002</v>
      </c>
      <c r="J2228" s="1">
        <v>2.8907526730000002</v>
      </c>
      <c r="K2228" s="1">
        <v>3.22334677</v>
      </c>
      <c r="L2228" s="1">
        <v>2.5490970000000002</v>
      </c>
      <c r="M2228" s="1">
        <v>3.2940962960000002</v>
      </c>
      <c r="N2228" s="1">
        <v>3.344961128</v>
      </c>
      <c r="O2228" s="1">
        <v>3.434496577</v>
      </c>
      <c r="P2228" s="1">
        <v>1.7393328349999999</v>
      </c>
      <c r="Q2228" s="1">
        <v>1.7393328349999999</v>
      </c>
      <c r="R2228" s="1">
        <v>1.7393328349999999</v>
      </c>
      <c r="S2228" s="1">
        <v>1.7393328349999999</v>
      </c>
      <c r="T2228" s="1">
        <v>2.5490970000000002</v>
      </c>
      <c r="U2228" s="1">
        <v>3.2940962960000002</v>
      </c>
      <c r="V2228" s="1">
        <v>1.7393328349999999</v>
      </c>
      <c r="W2228" s="1">
        <v>3.0218530750000001</v>
      </c>
      <c r="X2228" s="1">
        <v>2.3600830049999999</v>
      </c>
      <c r="Y2228" s="1">
        <v>2.9733498090000001</v>
      </c>
      <c r="Z2228" s="1">
        <v>1.7393328349999999</v>
      </c>
      <c r="AA2228" s="1">
        <v>1.7393328349999999</v>
      </c>
      <c r="AB2228" s="1">
        <v>1.7393328349999999</v>
      </c>
      <c r="AC2228" s="1">
        <v>1.7393328349999999</v>
      </c>
      <c r="AD2228" s="1">
        <v>1.7393328349999999</v>
      </c>
      <c r="AE2228" s="1">
        <v>2.3627668220000002</v>
      </c>
    </row>
    <row r="2229" spans="1:31" x14ac:dyDescent="0.25">
      <c r="A2229" s="1" t="s">
        <v>2510</v>
      </c>
      <c r="B2229" s="1" t="s">
        <v>2631</v>
      </c>
      <c r="C2229" s="1" t="s">
        <v>2980</v>
      </c>
      <c r="D2229" s="1" t="s">
        <v>2535</v>
      </c>
      <c r="E2229" s="1" t="s">
        <v>5884</v>
      </c>
      <c r="G2229" s="1" t="s">
        <v>2510</v>
      </c>
      <c r="H2229" s="1">
        <v>5.9144073309999996</v>
      </c>
      <c r="I2229" s="1">
        <v>5.8640648840000003</v>
      </c>
      <c r="J2229" s="1">
        <v>5.4770890750000003</v>
      </c>
      <c r="K2229" s="1">
        <v>5.7895293819999996</v>
      </c>
      <c r="L2229" s="1">
        <v>4.6825378889999998</v>
      </c>
      <c r="M2229" s="1">
        <v>4.7490378550000001</v>
      </c>
      <c r="N2229" s="1">
        <v>5.4930242160000002</v>
      </c>
      <c r="O2229" s="1">
        <v>5.8051520590000001</v>
      </c>
      <c r="P2229" s="1">
        <v>5.7504406890000004</v>
      </c>
      <c r="Q2229" s="1">
        <v>5.5022716190000001</v>
      </c>
      <c r="R2229" s="1">
        <v>5.1472208640000003</v>
      </c>
      <c r="S2229" s="1">
        <v>5.2672271329999996</v>
      </c>
      <c r="T2229" s="1">
        <v>4.6825378889999998</v>
      </c>
      <c r="U2229" s="1">
        <v>4.7490378550000001</v>
      </c>
      <c r="V2229" s="1">
        <v>5.0428039150000004</v>
      </c>
      <c r="W2229" s="1">
        <v>5.2236621110000003</v>
      </c>
      <c r="X2229" s="1">
        <v>5.2866392680000001</v>
      </c>
      <c r="Y2229" s="1">
        <v>5.6227961889999998</v>
      </c>
      <c r="Z2229" s="1">
        <v>5.1472208640000003</v>
      </c>
      <c r="AA2229" s="1">
        <v>5.2672271329999996</v>
      </c>
      <c r="AB2229" s="1">
        <v>5.9325296429999996</v>
      </c>
      <c r="AC2229" s="1">
        <v>5.7302515789999999</v>
      </c>
      <c r="AD2229" s="1">
        <v>5.6665831520000003</v>
      </c>
      <c r="AE2229" s="1">
        <v>5.6481534240000002</v>
      </c>
    </row>
    <row r="2230" spans="1:31" x14ac:dyDescent="0.25">
      <c r="A2230" s="1" t="s">
        <v>2511</v>
      </c>
      <c r="B2230" s="1" t="s">
        <v>2598</v>
      </c>
      <c r="C2230" s="1" t="s">
        <v>2603</v>
      </c>
      <c r="D2230" s="1" t="s">
        <v>4366</v>
      </c>
      <c r="E2230" s="1" t="s">
        <v>5885</v>
      </c>
      <c r="F2230" s="1" t="s">
        <v>5886</v>
      </c>
      <c r="G2230" s="1" t="s">
        <v>2511</v>
      </c>
      <c r="H2230" s="1">
        <v>6.3556221559999999</v>
      </c>
      <c r="I2230" s="1">
        <v>7.0138798510000004</v>
      </c>
      <c r="J2230" s="1">
        <v>6.5372293419999998</v>
      </c>
      <c r="K2230" s="1">
        <v>6.5734492549999999</v>
      </c>
      <c r="L2230" s="1">
        <v>7.2256671619999997</v>
      </c>
      <c r="M2230" s="1">
        <v>7.1899822589999998</v>
      </c>
      <c r="N2230" s="1">
        <v>7.1029295010000002</v>
      </c>
      <c r="O2230" s="1">
        <v>6.8916349099999996</v>
      </c>
      <c r="P2230" s="1">
        <v>6.9781248280000003</v>
      </c>
      <c r="Q2230" s="1">
        <v>6.7638501550000001</v>
      </c>
      <c r="R2230" s="1">
        <v>7.1526080929999996</v>
      </c>
      <c r="S2230" s="1">
        <v>6.7016683280000002</v>
      </c>
      <c r="T2230" s="1">
        <v>7.2256671619999997</v>
      </c>
      <c r="U2230" s="1">
        <v>7.1899822589999998</v>
      </c>
      <c r="V2230" s="1">
        <v>6.9533980599999996</v>
      </c>
      <c r="W2230" s="1">
        <v>7.1334545250000003</v>
      </c>
      <c r="X2230" s="1">
        <v>7.3423720299999999</v>
      </c>
      <c r="Y2230" s="1">
        <v>7.3312255589999999</v>
      </c>
      <c r="Z2230" s="1">
        <v>7.1526080929999996</v>
      </c>
      <c r="AA2230" s="1">
        <v>6.7016683280000002</v>
      </c>
      <c r="AB2230" s="1">
        <v>7.0476086139999996</v>
      </c>
      <c r="AC2230" s="1">
        <v>7.2260251899999997</v>
      </c>
      <c r="AD2230" s="1">
        <v>6.9778452360000003</v>
      </c>
      <c r="AE2230" s="1">
        <v>7.1183737989999996</v>
      </c>
    </row>
    <row r="2231" spans="1:31" x14ac:dyDescent="0.25">
      <c r="A2231" s="1" t="s">
        <v>2512</v>
      </c>
      <c r="B2231" s="1" t="s">
        <v>2608</v>
      </c>
      <c r="C2231" s="1" t="s">
        <v>2758</v>
      </c>
      <c r="D2231" s="1" t="s">
        <v>2759</v>
      </c>
      <c r="E2231" s="1" t="s">
        <v>5887</v>
      </c>
      <c r="F2231" s="1" t="s">
        <v>5888</v>
      </c>
      <c r="G2231" s="1" t="s">
        <v>2512</v>
      </c>
      <c r="H2231" s="1">
        <v>6.512907255</v>
      </c>
      <c r="I2231" s="1">
        <v>6.395465862</v>
      </c>
      <c r="J2231" s="1">
        <v>6.6543806500000002</v>
      </c>
      <c r="K2231" s="1">
        <v>7.0916736929999997</v>
      </c>
      <c r="L2231" s="1">
        <v>6.9128996369999998</v>
      </c>
      <c r="M2231" s="1">
        <v>6.8236744490000003</v>
      </c>
      <c r="N2231" s="1">
        <v>6.7979584500000003</v>
      </c>
      <c r="O2231" s="1">
        <v>6.8552913020000004</v>
      </c>
      <c r="P2231" s="1">
        <v>6.9406621209999999</v>
      </c>
      <c r="Q2231" s="1">
        <v>6.7145630089999999</v>
      </c>
      <c r="R2231" s="1">
        <v>6.4143264479999997</v>
      </c>
      <c r="S2231" s="1">
        <v>6.9629796969999997</v>
      </c>
      <c r="T2231" s="1">
        <v>6.9128996369999998</v>
      </c>
      <c r="U2231" s="1">
        <v>6.8236744490000003</v>
      </c>
      <c r="V2231" s="1">
        <v>6.9648398949999999</v>
      </c>
      <c r="W2231" s="1">
        <v>6.3925275360000002</v>
      </c>
      <c r="X2231" s="1">
        <v>6.982810765</v>
      </c>
      <c r="Y2231" s="1">
        <v>7.0209587190000002</v>
      </c>
      <c r="Z2231" s="1">
        <v>6.4143264479999997</v>
      </c>
      <c r="AA2231" s="1">
        <v>6.9629796969999997</v>
      </c>
      <c r="AB2231" s="1">
        <v>6.4252252849999998</v>
      </c>
      <c r="AC2231" s="1">
        <v>6.5931430439999996</v>
      </c>
      <c r="AD2231" s="1">
        <v>6.89062397</v>
      </c>
      <c r="AE2231" s="1">
        <v>6.9876177249999998</v>
      </c>
    </row>
    <row r="2232" spans="1:31" x14ac:dyDescent="0.25">
      <c r="A2232" s="1" t="s">
        <v>2516</v>
      </c>
      <c r="B2232" s="1" t="s">
        <v>2530</v>
      </c>
      <c r="C2232" s="1" t="s">
        <v>2531</v>
      </c>
      <c r="D2232" s="1" t="s">
        <v>2535</v>
      </c>
      <c r="E2232" s="1" t="s">
        <v>5889</v>
      </c>
      <c r="G2232" s="1" t="s">
        <v>2516</v>
      </c>
      <c r="H2232" s="1">
        <v>5.5485883999999999</v>
      </c>
      <c r="I2232" s="1">
        <v>6.0475452040000004</v>
      </c>
      <c r="J2232" s="1">
        <v>6.6703645099999997</v>
      </c>
      <c r="K2232" s="1">
        <v>6.118739057</v>
      </c>
      <c r="L2232" s="1">
        <v>6.4782437829999999</v>
      </c>
      <c r="M2232" s="1">
        <v>6.5443727410000001</v>
      </c>
      <c r="N2232" s="1">
        <v>6.5782156179999998</v>
      </c>
      <c r="O2232" s="1">
        <v>5.984507765</v>
      </c>
      <c r="P2232" s="1">
        <v>6.5001108719999996</v>
      </c>
      <c r="Q2232" s="1">
        <v>6.6977517669999997</v>
      </c>
      <c r="R2232" s="1">
        <v>6.5134469040000003</v>
      </c>
      <c r="S2232" s="1">
        <v>6.168262747</v>
      </c>
      <c r="T2232" s="1">
        <v>6.4782437829999999</v>
      </c>
      <c r="U2232" s="1">
        <v>6.5443727410000001</v>
      </c>
      <c r="V2232" s="1">
        <v>6.2949812820000002</v>
      </c>
      <c r="W2232" s="1">
        <v>5.9408128590000002</v>
      </c>
      <c r="X2232" s="1">
        <v>6.0746991130000003</v>
      </c>
      <c r="Y2232" s="1">
        <v>6.4644452860000001</v>
      </c>
      <c r="Z2232" s="1">
        <v>6.5134469040000003</v>
      </c>
      <c r="AA2232" s="1">
        <v>6.168262747</v>
      </c>
      <c r="AB2232" s="1">
        <v>6.557950226</v>
      </c>
      <c r="AC2232" s="1">
        <v>6.5768311190000004</v>
      </c>
      <c r="AD2232" s="1">
        <v>6.2617300800000004</v>
      </c>
      <c r="AE2232" s="1">
        <v>6.3668783680000001</v>
      </c>
    </row>
    <row r="2233" spans="1:31" x14ac:dyDescent="0.25">
      <c r="A2233" s="1" t="s">
        <v>44</v>
      </c>
      <c r="B2233" s="1" t="s">
        <v>2535</v>
      </c>
      <c r="C2233" s="1" t="s">
        <v>2535</v>
      </c>
      <c r="D2233" s="1" t="s">
        <v>2535</v>
      </c>
      <c r="E2233" s="1" t="s">
        <v>2535</v>
      </c>
      <c r="F2233" s="1" t="s">
        <v>2535</v>
      </c>
      <c r="G2233" s="1" t="s">
        <v>44</v>
      </c>
      <c r="H2233" s="1">
        <v>3.2549621289999999</v>
      </c>
      <c r="I2233" s="1">
        <v>4.0101074990000001</v>
      </c>
      <c r="J2233" s="1">
        <v>3.1324899180000001</v>
      </c>
      <c r="K2233" s="1">
        <v>3.4309024589999999</v>
      </c>
      <c r="L2233" s="1">
        <v>1.7393328349999999</v>
      </c>
      <c r="M2233" s="1">
        <v>2.665084539</v>
      </c>
      <c r="N2233" s="1">
        <v>3.8490531570000002</v>
      </c>
      <c r="O2233" s="1">
        <v>3.434496577</v>
      </c>
      <c r="P2233" s="1">
        <v>3.6116823170000001</v>
      </c>
      <c r="Q2233" s="1">
        <v>3.388910638</v>
      </c>
      <c r="R2233" s="1">
        <v>1.7393328349999999</v>
      </c>
      <c r="S2233" s="1">
        <v>2.5733617299999998</v>
      </c>
      <c r="T2233" s="1">
        <v>1.7393328349999999</v>
      </c>
      <c r="U2233" s="1">
        <v>2.665084539</v>
      </c>
      <c r="V2233" s="1">
        <v>3.2389700330000002</v>
      </c>
      <c r="W2233" s="1">
        <v>1.7393328349999999</v>
      </c>
      <c r="X2233" s="1">
        <v>2.7988456519999998</v>
      </c>
      <c r="Y2233" s="1">
        <v>2.624795792</v>
      </c>
      <c r="Z2233" s="1">
        <v>1.7393328349999999</v>
      </c>
      <c r="AA2233" s="1">
        <v>2.5733617299999998</v>
      </c>
      <c r="AB2233" s="1">
        <v>3.1218319999999999</v>
      </c>
      <c r="AC2233" s="1">
        <v>2.87258916</v>
      </c>
      <c r="AD2233" s="1">
        <v>2.6025990879999998</v>
      </c>
      <c r="AE2233" s="1">
        <v>3.213378847</v>
      </c>
    </row>
    <row r="2234" spans="1:31" x14ac:dyDescent="0.25">
      <c r="A2234" s="1" t="s">
        <v>58</v>
      </c>
      <c r="B2234" s="1" t="s">
        <v>2579</v>
      </c>
      <c r="C2234" s="1" t="s">
        <v>2585</v>
      </c>
      <c r="D2234" s="1" t="s">
        <v>2586</v>
      </c>
      <c r="E2234" s="1" t="s">
        <v>5890</v>
      </c>
      <c r="F2234" s="1" t="s">
        <v>5891</v>
      </c>
      <c r="G2234" s="1" t="s">
        <v>58</v>
      </c>
      <c r="H2234" s="1">
        <v>5.4177093730000001</v>
      </c>
      <c r="I2234" s="1">
        <v>5.2436995780000002</v>
      </c>
      <c r="J2234" s="1">
        <v>6.0426942559999999</v>
      </c>
      <c r="K2234" s="1">
        <v>6.3412685260000003</v>
      </c>
      <c r="L2234" s="1">
        <v>5.4123805689999998</v>
      </c>
      <c r="M2234" s="1">
        <v>5.9370080740000004</v>
      </c>
      <c r="N2234" s="1">
        <v>5.3372793730000003</v>
      </c>
      <c r="O2234" s="1">
        <v>4.9731423550000002</v>
      </c>
      <c r="P2234" s="1">
        <v>6.2161300730000004</v>
      </c>
      <c r="Q2234" s="1">
        <v>6.3770715449999997</v>
      </c>
      <c r="R2234" s="1">
        <v>5.9019545559999997</v>
      </c>
      <c r="S2234" s="1">
        <v>5.9168316079999999</v>
      </c>
      <c r="T2234" s="1">
        <v>5.4123805689999998</v>
      </c>
      <c r="U2234" s="1">
        <v>5.9370080740000004</v>
      </c>
      <c r="V2234" s="1">
        <v>5.6103143839999996</v>
      </c>
      <c r="W2234" s="1">
        <v>6.156075682</v>
      </c>
      <c r="X2234" s="1">
        <v>6.2399193000000004</v>
      </c>
      <c r="Y2234" s="1">
        <v>6.421343255</v>
      </c>
      <c r="Z2234" s="1">
        <v>5.9019545559999997</v>
      </c>
      <c r="AA2234" s="1">
        <v>5.9168316079999999</v>
      </c>
      <c r="AB2234" s="1">
        <v>6.2789960090000001</v>
      </c>
      <c r="AC2234" s="1">
        <v>6.1168053020000004</v>
      </c>
      <c r="AD2234" s="1">
        <v>6.554572984</v>
      </c>
      <c r="AE2234" s="1">
        <v>6.5826869190000004</v>
      </c>
    </row>
    <row r="2235" spans="1:31" x14ac:dyDescent="0.25">
      <c r="A2235" s="1" t="s">
        <v>64</v>
      </c>
      <c r="B2235" s="1" t="s">
        <v>2530</v>
      </c>
      <c r="C2235" s="1" t="s">
        <v>2531</v>
      </c>
      <c r="D2235" s="1" t="s">
        <v>2535</v>
      </c>
      <c r="E2235" s="1" t="s">
        <v>5892</v>
      </c>
      <c r="G2235" s="1" t="s">
        <v>64</v>
      </c>
      <c r="H2235" s="1">
        <v>5.5062820300000004</v>
      </c>
      <c r="I2235" s="1">
        <v>4.5280931029999998</v>
      </c>
      <c r="J2235" s="1">
        <v>3.8969924050000002</v>
      </c>
      <c r="K2235" s="1">
        <v>5.0014827119999996</v>
      </c>
      <c r="L2235" s="1">
        <v>4.4478088219999998</v>
      </c>
      <c r="M2235" s="1">
        <v>4.5403831759999997</v>
      </c>
      <c r="N2235" s="1">
        <v>4.2617896110000002</v>
      </c>
      <c r="O2235" s="1">
        <v>4.2767880749999998</v>
      </c>
      <c r="P2235" s="1">
        <v>4.7394495640000001</v>
      </c>
      <c r="Q2235" s="1">
        <v>4.683187717</v>
      </c>
      <c r="R2235" s="1">
        <v>5.0440296189999998</v>
      </c>
      <c r="S2235" s="1">
        <v>4.3135540739999998</v>
      </c>
      <c r="T2235" s="1">
        <v>4.4478088219999998</v>
      </c>
      <c r="U2235" s="1">
        <v>4.5403831759999997</v>
      </c>
      <c r="V2235" s="1">
        <v>4.3879408260000003</v>
      </c>
      <c r="W2235" s="1">
        <v>4.5296290450000001</v>
      </c>
      <c r="X2235" s="1">
        <v>5.1646924079999996</v>
      </c>
      <c r="Y2235" s="1">
        <v>4.7564010139999997</v>
      </c>
      <c r="Z2235" s="1">
        <v>5.0440296189999998</v>
      </c>
      <c r="AA2235" s="1">
        <v>4.3135540739999998</v>
      </c>
      <c r="AB2235" s="1">
        <v>5.4196851610000003</v>
      </c>
      <c r="AC2235" s="1">
        <v>4.7474570290000004</v>
      </c>
      <c r="AD2235" s="1">
        <v>5.4385263000000004</v>
      </c>
      <c r="AE2235" s="1">
        <v>4.8303216779999998</v>
      </c>
    </row>
    <row r="2236" spans="1:31" x14ac:dyDescent="0.25">
      <c r="A2236" s="1" t="s">
        <v>74</v>
      </c>
      <c r="B2236" s="1" t="s">
        <v>2530</v>
      </c>
      <c r="C2236" s="1" t="s">
        <v>2531</v>
      </c>
      <c r="D2236" s="1" t="s">
        <v>2535</v>
      </c>
      <c r="E2236" s="1" t="s">
        <v>2621</v>
      </c>
      <c r="G2236" s="1" t="s">
        <v>74</v>
      </c>
      <c r="H2236" s="1">
        <v>2.9945681560000001</v>
      </c>
      <c r="I2236" s="1">
        <v>2.5655118899999998</v>
      </c>
      <c r="J2236" s="1">
        <v>1.7393328349999999</v>
      </c>
      <c r="K2236" s="1">
        <v>1.7393328349999999</v>
      </c>
      <c r="L2236" s="1">
        <v>1.7393328349999999</v>
      </c>
      <c r="M2236" s="1">
        <v>1.7393328349999999</v>
      </c>
      <c r="N2236" s="1">
        <v>2.372908427</v>
      </c>
      <c r="O2236" s="1">
        <v>1.7393328349999999</v>
      </c>
      <c r="P2236" s="1">
        <v>1.7393328349999999</v>
      </c>
      <c r="Q2236" s="1">
        <v>1.7393328349999999</v>
      </c>
      <c r="R2236" s="1">
        <v>1.7393328349999999</v>
      </c>
      <c r="S2236" s="1">
        <v>1.7393328349999999</v>
      </c>
      <c r="T2236" s="1">
        <v>1.7393328349999999</v>
      </c>
      <c r="U2236" s="1">
        <v>1.7393328349999999</v>
      </c>
      <c r="V2236" s="1">
        <v>1.7393328349999999</v>
      </c>
      <c r="W2236" s="1">
        <v>1.7393328349999999</v>
      </c>
      <c r="X2236" s="1">
        <v>1.7393328349999999</v>
      </c>
      <c r="Y2236" s="1">
        <v>1.7393328349999999</v>
      </c>
      <c r="Z2236" s="1">
        <v>1.7393328349999999</v>
      </c>
      <c r="AA2236" s="1">
        <v>1.7393328349999999</v>
      </c>
      <c r="AB2236" s="1">
        <v>1.7393328349999999</v>
      </c>
      <c r="AC2236" s="1">
        <v>2.5506926650000001</v>
      </c>
      <c r="AD2236" s="1">
        <v>1.7393328349999999</v>
      </c>
      <c r="AE2236" s="1">
        <v>1.7393328349999999</v>
      </c>
    </row>
    <row r="2237" spans="1:31" x14ac:dyDescent="0.25">
      <c r="A2237" s="1" t="s">
        <v>78</v>
      </c>
      <c r="B2237" s="1" t="s">
        <v>2608</v>
      </c>
      <c r="C2237" s="1" t="s">
        <v>2700</v>
      </c>
      <c r="D2237" s="1" t="s">
        <v>3868</v>
      </c>
      <c r="E2237" s="1" t="s">
        <v>5893</v>
      </c>
      <c r="F2237" s="1" t="s">
        <v>5894</v>
      </c>
      <c r="G2237" s="1" t="s">
        <v>78</v>
      </c>
      <c r="H2237" s="1">
        <v>7.1547827179999999</v>
      </c>
      <c r="I2237" s="1">
        <v>7.3977970910000002</v>
      </c>
      <c r="J2237" s="1">
        <v>6.3513642939999997</v>
      </c>
      <c r="K2237" s="1">
        <v>6.5734492549999999</v>
      </c>
      <c r="L2237" s="1">
        <v>5.2153292420000001</v>
      </c>
      <c r="M2237" s="1">
        <v>4.9642129490000002</v>
      </c>
      <c r="N2237" s="1">
        <v>7.69246768</v>
      </c>
      <c r="O2237" s="1">
        <v>7.4253617419999998</v>
      </c>
      <c r="P2237" s="1">
        <v>5.7504406890000004</v>
      </c>
      <c r="Q2237" s="1">
        <v>5.7514994149999996</v>
      </c>
      <c r="R2237" s="1">
        <v>5.7795948069999996</v>
      </c>
      <c r="S2237" s="1">
        <v>5.3098842800000003</v>
      </c>
      <c r="T2237" s="1">
        <v>5.2153292420000001</v>
      </c>
      <c r="U2237" s="1">
        <v>4.9642129490000002</v>
      </c>
      <c r="V2237" s="1">
        <v>5.8520207290000004</v>
      </c>
      <c r="W2237" s="1">
        <v>5.6874298530000003</v>
      </c>
      <c r="X2237" s="1">
        <v>5.5811786620000001</v>
      </c>
      <c r="Y2237" s="1">
        <v>4.8250325140000001</v>
      </c>
      <c r="Z2237" s="1">
        <v>5.7795948069999996</v>
      </c>
      <c r="AA2237" s="1">
        <v>5.3098842800000003</v>
      </c>
      <c r="AB2237" s="1">
        <v>5.4196851610000003</v>
      </c>
      <c r="AC2237" s="1">
        <v>5.2822693689999998</v>
      </c>
      <c r="AD2237" s="1">
        <v>5.5571020090000003</v>
      </c>
      <c r="AE2237" s="1">
        <v>5.473179547</v>
      </c>
    </row>
    <row r="2238" spans="1:31" x14ac:dyDescent="0.25">
      <c r="A2238" s="1" t="s">
        <v>80</v>
      </c>
      <c r="B2238" s="1" t="s">
        <v>2608</v>
      </c>
      <c r="C2238" s="1" t="s">
        <v>2700</v>
      </c>
      <c r="D2238" s="1" t="s">
        <v>3868</v>
      </c>
      <c r="E2238" s="1" t="s">
        <v>5895</v>
      </c>
      <c r="F2238" s="1" t="s">
        <v>5896</v>
      </c>
      <c r="G2238" s="1" t="s">
        <v>80</v>
      </c>
      <c r="H2238" s="1">
        <v>5.5485883999999999</v>
      </c>
      <c r="I2238" s="1">
        <v>5.1078624770000003</v>
      </c>
      <c r="J2238" s="1">
        <v>6.5196869069999996</v>
      </c>
      <c r="K2238" s="1">
        <v>7.0220088839999999</v>
      </c>
      <c r="L2238" s="1">
        <v>5.6335437009999998</v>
      </c>
      <c r="M2238" s="1">
        <v>5.8143060450000004</v>
      </c>
      <c r="N2238" s="1">
        <v>6.1951276320000002</v>
      </c>
      <c r="O2238" s="1">
        <v>6.2316979249999997</v>
      </c>
      <c r="P2238" s="1">
        <v>6.1519221809999998</v>
      </c>
      <c r="Q2238" s="1">
        <v>5.6846114249999999</v>
      </c>
      <c r="R2238" s="1">
        <v>6.7267142719999997</v>
      </c>
      <c r="S2238" s="1">
        <v>6.1213765840000001</v>
      </c>
      <c r="T2238" s="1">
        <v>5.6335437009999998</v>
      </c>
      <c r="U2238" s="1">
        <v>5.8143060450000004</v>
      </c>
      <c r="V2238" s="1">
        <v>6.1419042490000004</v>
      </c>
      <c r="W2238" s="1">
        <v>5.9736131119999998</v>
      </c>
      <c r="X2238" s="1">
        <v>6.0197853329999997</v>
      </c>
      <c r="Y2238" s="1">
        <v>5.9306942229999997</v>
      </c>
      <c r="Z2238" s="1">
        <v>6.7267142719999997</v>
      </c>
      <c r="AA2238" s="1">
        <v>6.1213765840000001</v>
      </c>
      <c r="AB2238" s="1">
        <v>6.2478766610000003</v>
      </c>
      <c r="AC2238" s="1">
        <v>6.0708982899999997</v>
      </c>
      <c r="AD2238" s="1">
        <v>6.0361091350000002</v>
      </c>
      <c r="AE2238" s="1">
        <v>5.820347505</v>
      </c>
    </row>
    <row r="2239" spans="1:31" x14ac:dyDescent="0.25">
      <c r="A2239" s="1" t="s">
        <v>103</v>
      </c>
      <c r="B2239" s="1" t="s">
        <v>2520</v>
      </c>
      <c r="C2239" s="1" t="s">
        <v>2531</v>
      </c>
      <c r="D2239" s="1" t="s">
        <v>5897</v>
      </c>
      <c r="E2239" s="1" t="s">
        <v>5898</v>
      </c>
      <c r="G2239" s="1" t="s">
        <v>103</v>
      </c>
      <c r="H2239" s="1">
        <v>5.2735834620000004</v>
      </c>
      <c r="I2239" s="1">
        <v>4.7893724280000001</v>
      </c>
      <c r="J2239" s="1">
        <v>5.5826322800000003</v>
      </c>
      <c r="K2239" s="1">
        <v>4.941717659</v>
      </c>
      <c r="L2239" s="1">
        <v>5.3560765139999997</v>
      </c>
      <c r="M2239" s="1">
        <v>5.7197461279999997</v>
      </c>
      <c r="N2239" s="1">
        <v>4.4510307109999996</v>
      </c>
      <c r="O2239" s="1">
        <v>4.4862678239999996</v>
      </c>
      <c r="P2239" s="1">
        <v>5.7504406890000004</v>
      </c>
      <c r="Q2239" s="1">
        <v>5.9062084209999997</v>
      </c>
      <c r="R2239" s="1">
        <v>5.987323913</v>
      </c>
      <c r="S2239" s="1">
        <v>5.6117239269999999</v>
      </c>
      <c r="T2239" s="1">
        <v>5.3560765139999997</v>
      </c>
      <c r="U2239" s="1">
        <v>5.7197461279999997</v>
      </c>
      <c r="V2239" s="1">
        <v>5.4882083000000002</v>
      </c>
      <c r="W2239" s="1">
        <v>4.9854391920000003</v>
      </c>
      <c r="X2239" s="1">
        <v>5.4203833540000002</v>
      </c>
      <c r="Y2239" s="1">
        <v>5.417933841</v>
      </c>
      <c r="Z2239" s="1">
        <v>5.987323913</v>
      </c>
      <c r="AA2239" s="1">
        <v>5.6117239269999999</v>
      </c>
      <c r="AB2239" s="1">
        <v>5.5787398220000002</v>
      </c>
      <c r="AC2239" s="1">
        <v>5.2822693689999998</v>
      </c>
      <c r="AD2239" s="1">
        <v>4.83054469</v>
      </c>
      <c r="AE2239" s="1">
        <v>5.2972943729999997</v>
      </c>
    </row>
    <row r="2240" spans="1:31" x14ac:dyDescent="0.25">
      <c r="A2240" s="1" t="s">
        <v>108</v>
      </c>
      <c r="B2240" s="1" t="s">
        <v>2530</v>
      </c>
      <c r="C2240" s="1" t="s">
        <v>2531</v>
      </c>
      <c r="D2240" s="1" t="s">
        <v>2535</v>
      </c>
      <c r="E2240" s="1" t="s">
        <v>5899</v>
      </c>
      <c r="G2240" s="1" t="s">
        <v>108</v>
      </c>
      <c r="H2240" s="1">
        <v>2.640460343</v>
      </c>
      <c r="I2240" s="1">
        <v>2.5655118899999998</v>
      </c>
      <c r="J2240" s="1">
        <v>1.7393328349999999</v>
      </c>
      <c r="K2240" s="1">
        <v>2.620638279</v>
      </c>
      <c r="L2240" s="1">
        <v>2.315629231</v>
      </c>
      <c r="M2240" s="1">
        <v>1.7393328349999999</v>
      </c>
      <c r="N2240" s="1">
        <v>3.622455167</v>
      </c>
      <c r="O2240" s="1">
        <v>3.7238257350000001</v>
      </c>
      <c r="P2240" s="1">
        <v>1.7393328349999999</v>
      </c>
      <c r="Q2240" s="1">
        <v>1.7393328349999999</v>
      </c>
      <c r="R2240" s="1">
        <v>2.595728008</v>
      </c>
      <c r="S2240" s="1">
        <v>1.7393328349999999</v>
      </c>
      <c r="T2240" s="1">
        <v>2.315629231</v>
      </c>
      <c r="U2240" s="1">
        <v>1.7393328349999999</v>
      </c>
      <c r="V2240" s="1">
        <v>2.8225047829999999</v>
      </c>
      <c r="W2240" s="1">
        <v>1.7393328349999999</v>
      </c>
      <c r="X2240" s="1">
        <v>1.7393328349999999</v>
      </c>
      <c r="Y2240" s="1">
        <v>2.624795792</v>
      </c>
      <c r="Z2240" s="1">
        <v>2.595728008</v>
      </c>
      <c r="AA2240" s="1">
        <v>1.7393328349999999</v>
      </c>
      <c r="AB2240" s="1">
        <v>1.7393328349999999</v>
      </c>
      <c r="AC2240" s="1">
        <v>1.7393328349999999</v>
      </c>
      <c r="AD2240" s="1">
        <v>2.6025990879999998</v>
      </c>
      <c r="AE2240" s="1">
        <v>2.9592545700000001</v>
      </c>
    </row>
    <row r="2241" spans="1:31" x14ac:dyDescent="0.25">
      <c r="A2241" s="1" t="s">
        <v>158</v>
      </c>
      <c r="B2241" s="1" t="s">
        <v>2530</v>
      </c>
      <c r="C2241" s="1" t="s">
        <v>2531</v>
      </c>
      <c r="D2241" s="1" t="s">
        <v>2535</v>
      </c>
      <c r="E2241" s="1" t="s">
        <v>5900</v>
      </c>
      <c r="G2241" s="1" t="s">
        <v>158</v>
      </c>
      <c r="H2241" s="1">
        <v>3.4660955969999998</v>
      </c>
      <c r="I2241" s="1">
        <v>3.9003964459999998</v>
      </c>
      <c r="J2241" s="1">
        <v>4.3724365990000003</v>
      </c>
      <c r="K2241" s="1">
        <v>4.6734567340000002</v>
      </c>
      <c r="L2241" s="1">
        <v>5.3560765139999997</v>
      </c>
      <c r="M2241" s="1">
        <v>5.4866876930000004</v>
      </c>
      <c r="N2241" s="1">
        <v>4.210067993</v>
      </c>
      <c r="O2241" s="1">
        <v>4.1585876539999997</v>
      </c>
      <c r="P2241" s="1">
        <v>5.1467681949999999</v>
      </c>
      <c r="Q2241" s="1">
        <v>5.1511590549999999</v>
      </c>
      <c r="R2241" s="1">
        <v>5.3334881589999998</v>
      </c>
      <c r="S2241" s="1">
        <v>5.505875713</v>
      </c>
      <c r="T2241" s="1">
        <v>5.3560765139999997</v>
      </c>
      <c r="U2241" s="1">
        <v>5.4866876930000004</v>
      </c>
      <c r="V2241" s="1">
        <v>4.8566239800000002</v>
      </c>
      <c r="W2241" s="1">
        <v>4.9190341039999996</v>
      </c>
      <c r="X2241" s="1">
        <v>5.1646924079999996</v>
      </c>
      <c r="Y2241" s="1">
        <v>4.7564010139999997</v>
      </c>
      <c r="Z2241" s="1">
        <v>5.3334881589999998</v>
      </c>
      <c r="AA2241" s="1">
        <v>5.505875713</v>
      </c>
      <c r="AB2241" s="1">
        <v>5.1073354020000004</v>
      </c>
      <c r="AC2241" s="1">
        <v>4.6870272159999997</v>
      </c>
      <c r="AD2241" s="1">
        <v>5.2633210659999996</v>
      </c>
      <c r="AE2241" s="1">
        <v>4.8303216779999998</v>
      </c>
    </row>
    <row r="2242" spans="1:31" x14ac:dyDescent="0.25">
      <c r="A2242" s="1" t="s">
        <v>204</v>
      </c>
      <c r="B2242" s="1" t="s">
        <v>2530</v>
      </c>
      <c r="C2242" s="1" t="s">
        <v>2573</v>
      </c>
      <c r="D2242" s="1" t="s">
        <v>2535</v>
      </c>
      <c r="E2242" s="1" t="s">
        <v>5901</v>
      </c>
      <c r="G2242" s="1" t="s">
        <v>204</v>
      </c>
      <c r="H2242" s="1">
        <v>4.6479005740000003</v>
      </c>
      <c r="I2242" s="1">
        <v>4.1114152529999997</v>
      </c>
      <c r="J2242" s="1">
        <v>3.329519721</v>
      </c>
      <c r="K2242" s="1">
        <v>2.620638279</v>
      </c>
      <c r="L2242" s="1">
        <v>2.8704126319999999</v>
      </c>
      <c r="M2242" s="1">
        <v>2.665084539</v>
      </c>
      <c r="N2242" s="1">
        <v>3.344961128</v>
      </c>
      <c r="O2242" s="1">
        <v>3.434496577</v>
      </c>
      <c r="P2242" s="1">
        <v>3.106446558</v>
      </c>
      <c r="Q2242" s="1">
        <v>2.935765398</v>
      </c>
      <c r="R2242" s="1">
        <v>3.1834741979999999</v>
      </c>
      <c r="S2242" s="1">
        <v>2.9034795349999998</v>
      </c>
      <c r="T2242" s="1">
        <v>2.8704126319999999</v>
      </c>
      <c r="U2242" s="1">
        <v>2.665084539</v>
      </c>
      <c r="V2242" s="1">
        <v>3.0516113059999999</v>
      </c>
      <c r="W2242" s="1">
        <v>3.2870366010000001</v>
      </c>
      <c r="X2242" s="1">
        <v>4.4502657640000001</v>
      </c>
      <c r="Y2242" s="1">
        <v>4.4420910779999998</v>
      </c>
      <c r="Z2242" s="1">
        <v>3.1834741979999999</v>
      </c>
      <c r="AA2242" s="1">
        <v>2.9034795349999998</v>
      </c>
      <c r="AB2242" s="1">
        <v>4.2729702720000002</v>
      </c>
      <c r="AC2242" s="1">
        <v>3.6175630609999998</v>
      </c>
      <c r="AD2242" s="1">
        <v>4.8924744240000004</v>
      </c>
      <c r="AE2242" s="1">
        <v>4.7636391339999999</v>
      </c>
    </row>
    <row r="2243" spans="1:31" x14ac:dyDescent="0.25">
      <c r="A2243" s="1" t="s">
        <v>207</v>
      </c>
      <c r="B2243" s="1" t="s">
        <v>2608</v>
      </c>
      <c r="C2243" s="1" t="s">
        <v>2700</v>
      </c>
      <c r="D2243" s="1" t="s">
        <v>2701</v>
      </c>
      <c r="E2243" s="1" t="s">
        <v>5902</v>
      </c>
      <c r="F2243" s="1" t="s">
        <v>5903</v>
      </c>
      <c r="G2243" s="1" t="s">
        <v>207</v>
      </c>
      <c r="H2243" s="1">
        <v>7.357860155</v>
      </c>
      <c r="I2243" s="1">
        <v>7.1459022929999998</v>
      </c>
      <c r="J2243" s="1">
        <v>8.7419827370000007</v>
      </c>
      <c r="K2243" s="1">
        <v>8.9513363360000007</v>
      </c>
      <c r="L2243" s="1">
        <v>8.8255245969999994</v>
      </c>
      <c r="M2243" s="1">
        <v>8.8153952150000006</v>
      </c>
      <c r="N2243" s="1">
        <v>6.9355293360000001</v>
      </c>
      <c r="O2243" s="1">
        <v>7.0923181910000004</v>
      </c>
      <c r="P2243" s="1">
        <v>8.6729969380000007</v>
      </c>
      <c r="Q2243" s="1">
        <v>8.2671312960000005</v>
      </c>
      <c r="R2243" s="1">
        <v>8.852246718</v>
      </c>
      <c r="S2243" s="1">
        <v>8.4826529609999994</v>
      </c>
      <c r="T2243" s="1">
        <v>8.8255245969999994</v>
      </c>
      <c r="U2243" s="1">
        <v>8.8153952150000006</v>
      </c>
      <c r="V2243" s="1">
        <v>8.0335897280000008</v>
      </c>
      <c r="W2243" s="1">
        <v>8.1856467130000006</v>
      </c>
      <c r="X2243" s="1">
        <v>8.6760232950000002</v>
      </c>
      <c r="Y2243" s="1">
        <v>8.1114408220000005</v>
      </c>
      <c r="Z2243" s="1">
        <v>8.852246718</v>
      </c>
      <c r="AA2243" s="1">
        <v>8.4826529609999994</v>
      </c>
      <c r="AB2243" s="1">
        <v>8.7090405079999993</v>
      </c>
      <c r="AC2243" s="1">
        <v>8.9307775760000006</v>
      </c>
      <c r="AD2243" s="1">
        <v>8.3470208909999997</v>
      </c>
      <c r="AE2243" s="1">
        <v>8.501956281</v>
      </c>
    </row>
    <row r="2244" spans="1:31" x14ac:dyDescent="0.25">
      <c r="A2244" s="1" t="s">
        <v>218</v>
      </c>
      <c r="B2244" s="1" t="s">
        <v>2579</v>
      </c>
      <c r="C2244" s="1" t="s">
        <v>2933</v>
      </c>
      <c r="D2244" s="1" t="s">
        <v>2934</v>
      </c>
      <c r="E2244" s="1" t="s">
        <v>5904</v>
      </c>
      <c r="F2244" s="1" t="s">
        <v>5905</v>
      </c>
      <c r="G2244" s="1" t="s">
        <v>218</v>
      </c>
      <c r="H2244" s="1">
        <v>7.1272614729999999</v>
      </c>
      <c r="I2244" s="1">
        <v>7.3587542900000003</v>
      </c>
      <c r="J2244" s="1">
        <v>7.5215002159999997</v>
      </c>
      <c r="K2244" s="1">
        <v>7.685267369</v>
      </c>
      <c r="L2244" s="1">
        <v>7.5547401680000004</v>
      </c>
      <c r="M2244" s="1">
        <v>7.6186633380000002</v>
      </c>
      <c r="N2244" s="1">
        <v>7.0397207819999998</v>
      </c>
      <c r="O2244" s="1">
        <v>7.0037921839999999</v>
      </c>
      <c r="P2244" s="1">
        <v>7.6620223899999997</v>
      </c>
      <c r="Q2244" s="1">
        <v>7.6429813979999999</v>
      </c>
      <c r="R2244" s="1">
        <v>7.2245265209999996</v>
      </c>
      <c r="S2244" s="1">
        <v>7.2616787839999999</v>
      </c>
      <c r="T2244" s="1">
        <v>7.5547401680000004</v>
      </c>
      <c r="U2244" s="1">
        <v>7.6186633380000002</v>
      </c>
      <c r="V2244" s="1">
        <v>6.8706547860000002</v>
      </c>
      <c r="W2244" s="1">
        <v>6.8101283480000001</v>
      </c>
      <c r="X2244" s="1">
        <v>8.1910691060000005</v>
      </c>
      <c r="Y2244" s="1">
        <v>7.1844257139999996</v>
      </c>
      <c r="Z2244" s="1">
        <v>7.2245265209999996</v>
      </c>
      <c r="AA2244" s="1">
        <v>7.2616787839999999</v>
      </c>
      <c r="AB2244" s="1">
        <v>7.6801742930000003</v>
      </c>
      <c r="AC2244" s="1">
        <v>7.4120831520000001</v>
      </c>
      <c r="AD2244" s="1">
        <v>7.6167641579999996</v>
      </c>
      <c r="AE2244" s="1">
        <v>7.4826678009999998</v>
      </c>
    </row>
    <row r="2245" spans="1:31" x14ac:dyDescent="0.25">
      <c r="A2245" s="1" t="s">
        <v>264</v>
      </c>
      <c r="B2245" s="1" t="s">
        <v>2535</v>
      </c>
      <c r="C2245" s="1" t="s">
        <v>2535</v>
      </c>
      <c r="D2245" s="1" t="s">
        <v>2535</v>
      </c>
      <c r="E2245" s="1" t="s">
        <v>2535</v>
      </c>
      <c r="F2245" s="1" t="s">
        <v>2535</v>
      </c>
      <c r="G2245" s="1" t="s">
        <v>264</v>
      </c>
      <c r="H2245" s="1">
        <v>2.640460343</v>
      </c>
      <c r="I2245" s="1">
        <v>1.7393328349999999</v>
      </c>
      <c r="J2245" s="1">
        <v>1.7393328349999999</v>
      </c>
      <c r="K2245" s="1">
        <v>1.7393328349999999</v>
      </c>
      <c r="L2245" s="1">
        <v>1.7393328349999999</v>
      </c>
      <c r="M2245" s="1">
        <v>2.665084539</v>
      </c>
      <c r="N2245" s="1">
        <v>2.628425199</v>
      </c>
      <c r="O2245" s="1">
        <v>2.883783352</v>
      </c>
      <c r="P2245" s="1">
        <v>2.5478783159999998</v>
      </c>
      <c r="Q2245" s="1">
        <v>2.597100669</v>
      </c>
      <c r="R2245" s="1">
        <v>2.9339002829999998</v>
      </c>
      <c r="S2245" s="1">
        <v>2.5733617299999998</v>
      </c>
      <c r="T2245" s="1">
        <v>1.7393328349999999</v>
      </c>
      <c r="U2245" s="1">
        <v>2.665084539</v>
      </c>
      <c r="V2245" s="1">
        <v>3.2389700330000002</v>
      </c>
      <c r="W2245" s="1">
        <v>1.7393328349999999</v>
      </c>
      <c r="X2245" s="1">
        <v>2.7988456519999998</v>
      </c>
      <c r="Y2245" s="1">
        <v>3.4382968329999999</v>
      </c>
      <c r="Z2245" s="1">
        <v>2.9339002829999998</v>
      </c>
      <c r="AA2245" s="1">
        <v>2.5733617299999998</v>
      </c>
      <c r="AB2245" s="1">
        <v>2.73487305</v>
      </c>
      <c r="AC2245" s="1">
        <v>2.87258916</v>
      </c>
      <c r="AD2245" s="1">
        <v>2.9432342459999998</v>
      </c>
      <c r="AE2245" s="1">
        <v>3.213378847</v>
      </c>
    </row>
    <row r="2246" spans="1:31" x14ac:dyDescent="0.25">
      <c r="A2246" s="1" t="s">
        <v>277</v>
      </c>
      <c r="B2246" s="1" t="s">
        <v>2530</v>
      </c>
      <c r="C2246" s="1" t="s">
        <v>2531</v>
      </c>
      <c r="D2246" s="1" t="s">
        <v>2535</v>
      </c>
      <c r="E2246" s="1" t="s">
        <v>2536</v>
      </c>
      <c r="G2246" s="1" t="s">
        <v>277</v>
      </c>
      <c r="H2246" s="1">
        <v>1.7393328349999999</v>
      </c>
      <c r="I2246" s="1">
        <v>1.7393328349999999</v>
      </c>
      <c r="J2246" s="1">
        <v>1.7393328349999999</v>
      </c>
      <c r="K2246" s="1">
        <v>1.7393328349999999</v>
      </c>
      <c r="L2246" s="1">
        <v>1.7393328349999999</v>
      </c>
      <c r="M2246" s="1">
        <v>1.7393328349999999</v>
      </c>
      <c r="N2246" s="1">
        <v>2.628425199</v>
      </c>
      <c r="O2246" s="1">
        <v>1.7393328349999999</v>
      </c>
      <c r="P2246" s="1">
        <v>1.7393328349999999</v>
      </c>
      <c r="Q2246" s="1">
        <v>2.597100669</v>
      </c>
      <c r="R2246" s="1">
        <v>1.7393328349999999</v>
      </c>
      <c r="S2246" s="1">
        <v>1.7393328349999999</v>
      </c>
      <c r="T2246" s="1">
        <v>1.7393328349999999</v>
      </c>
      <c r="U2246" s="1">
        <v>1.7393328349999999</v>
      </c>
      <c r="V2246" s="1">
        <v>1.7393328349999999</v>
      </c>
      <c r="W2246" s="1">
        <v>1.7393328349999999</v>
      </c>
      <c r="X2246" s="1">
        <v>1.7393328349999999</v>
      </c>
      <c r="Y2246" s="1">
        <v>1.7393328349999999</v>
      </c>
      <c r="Z2246" s="1">
        <v>1.7393328349999999</v>
      </c>
      <c r="AA2246" s="1">
        <v>1.7393328349999999</v>
      </c>
      <c r="AB2246" s="1">
        <v>1.7393328349999999</v>
      </c>
      <c r="AC2246" s="1">
        <v>1.7393328349999999</v>
      </c>
      <c r="AD2246" s="1">
        <v>1.7393328349999999</v>
      </c>
      <c r="AE2246" s="1">
        <v>2.3627668220000002</v>
      </c>
    </row>
    <row r="2247" spans="1:31" x14ac:dyDescent="0.25">
      <c r="A2247" s="1" t="s">
        <v>292</v>
      </c>
      <c r="B2247" s="1" t="s">
        <v>2530</v>
      </c>
      <c r="C2247" s="1" t="s">
        <v>2531</v>
      </c>
      <c r="D2247" s="1" t="s">
        <v>2535</v>
      </c>
      <c r="E2247" s="1" t="s">
        <v>2536</v>
      </c>
      <c r="G2247" s="1" t="s">
        <v>292</v>
      </c>
      <c r="H2247" s="1">
        <v>4.4805534380000003</v>
      </c>
      <c r="I2247" s="1">
        <v>4.5981535630000003</v>
      </c>
      <c r="J2247" s="1">
        <v>3.7773371739999999</v>
      </c>
      <c r="K2247" s="1">
        <v>3.8998480660000001</v>
      </c>
      <c r="L2247" s="1">
        <v>2.9964092330000001</v>
      </c>
      <c r="M2247" s="1">
        <v>3.027864058</v>
      </c>
      <c r="N2247" s="1">
        <v>5.0802595029999997</v>
      </c>
      <c r="O2247" s="1">
        <v>4.7100516409999997</v>
      </c>
      <c r="P2247" s="1">
        <v>3.3003929539999999</v>
      </c>
      <c r="Q2247" s="1">
        <v>3.185675432</v>
      </c>
      <c r="R2247" s="1">
        <v>3.1834741979999999</v>
      </c>
      <c r="S2247" s="1">
        <v>3.1475403900000001</v>
      </c>
      <c r="T2247" s="1">
        <v>2.9964092330000001</v>
      </c>
      <c r="U2247" s="1">
        <v>3.027864058</v>
      </c>
      <c r="V2247" s="1">
        <v>3.887436229</v>
      </c>
      <c r="W2247" s="1">
        <v>4.1128053839999996</v>
      </c>
      <c r="X2247" s="1">
        <v>3.4131791489999999</v>
      </c>
      <c r="Y2247" s="1">
        <v>2.9733498090000001</v>
      </c>
      <c r="Z2247" s="1">
        <v>3.1834741979999999</v>
      </c>
      <c r="AA2247" s="1">
        <v>3.1475403900000001</v>
      </c>
      <c r="AB2247" s="1">
        <v>2.73487305</v>
      </c>
      <c r="AC2247" s="1">
        <v>3.1109927919999998</v>
      </c>
      <c r="AD2247" s="1">
        <v>2.9432342459999998</v>
      </c>
      <c r="AE2247" s="1">
        <v>3.5954838599999999</v>
      </c>
    </row>
    <row r="2248" spans="1:31" x14ac:dyDescent="0.25">
      <c r="A2248" s="1" t="s">
        <v>409</v>
      </c>
      <c r="B2248" s="1" t="s">
        <v>2530</v>
      </c>
      <c r="C2248" s="1" t="s">
        <v>2531</v>
      </c>
      <c r="D2248" s="1" t="s">
        <v>2535</v>
      </c>
      <c r="E2248" s="1" t="s">
        <v>2621</v>
      </c>
      <c r="G2248" s="1" t="s">
        <v>409</v>
      </c>
      <c r="H2248" s="1">
        <v>4.7972697699999998</v>
      </c>
      <c r="I2248" s="1">
        <v>4.7893724280000001</v>
      </c>
      <c r="J2248" s="1">
        <v>5.8592801899999998</v>
      </c>
      <c r="K2248" s="1">
        <v>5.5719358019999996</v>
      </c>
      <c r="L2248" s="1">
        <v>5.552483659</v>
      </c>
      <c r="M2248" s="1">
        <v>5.2356861500000003</v>
      </c>
      <c r="N2248" s="1">
        <v>5.2894624830000003</v>
      </c>
      <c r="O2248" s="1">
        <v>4.8288877169999997</v>
      </c>
      <c r="P2248" s="1">
        <v>5.0554269730000003</v>
      </c>
      <c r="Q2248" s="1">
        <v>5.5780218530000001</v>
      </c>
      <c r="R2248" s="1">
        <v>5.4981688889999996</v>
      </c>
      <c r="S2248" s="1">
        <v>5.542037144</v>
      </c>
      <c r="T2248" s="1">
        <v>5.552483659</v>
      </c>
      <c r="U2248" s="1">
        <v>5.2356861500000003</v>
      </c>
      <c r="V2248" s="1">
        <v>5.2072842770000003</v>
      </c>
      <c r="W2248" s="1">
        <v>5.427589942</v>
      </c>
      <c r="X2248" s="1">
        <v>5.7427722369999996</v>
      </c>
      <c r="Y2248" s="1">
        <v>4.7564010139999997</v>
      </c>
      <c r="Z2248" s="1">
        <v>5.4981688889999996</v>
      </c>
      <c r="AA2248" s="1">
        <v>5.542037144</v>
      </c>
      <c r="AB2248" s="1">
        <v>5.5276660309999999</v>
      </c>
      <c r="AC2248" s="1">
        <v>5.3988312660000002</v>
      </c>
      <c r="AD2248" s="1">
        <v>5.3091856960000001</v>
      </c>
      <c r="AE2248" s="1">
        <v>5.0965372069999999</v>
      </c>
    </row>
    <row r="2249" spans="1:31" x14ac:dyDescent="0.25">
      <c r="A2249" s="1" t="s">
        <v>410</v>
      </c>
      <c r="B2249" s="1" t="s">
        <v>2530</v>
      </c>
      <c r="C2249" s="1" t="s">
        <v>2531</v>
      </c>
      <c r="D2249" s="1" t="s">
        <v>2535</v>
      </c>
      <c r="E2249" s="1" t="s">
        <v>5107</v>
      </c>
      <c r="G2249" s="1" t="s">
        <v>410</v>
      </c>
      <c r="H2249" s="1">
        <v>1.7393328349999999</v>
      </c>
      <c r="I2249" s="1">
        <v>2.5655118899999998</v>
      </c>
      <c r="J2249" s="1">
        <v>1.7393328349999999</v>
      </c>
      <c r="K2249" s="1">
        <v>2.620638279</v>
      </c>
      <c r="L2249" s="1">
        <v>1.7393328349999999</v>
      </c>
      <c r="M2249" s="1">
        <v>1.7393328349999999</v>
      </c>
      <c r="N2249" s="1">
        <v>1.7393328349999999</v>
      </c>
      <c r="O2249" s="1">
        <v>1.7393328349999999</v>
      </c>
      <c r="P2249" s="1">
        <v>1.7393328349999999</v>
      </c>
      <c r="Q2249" s="1">
        <v>1.7393328349999999</v>
      </c>
      <c r="R2249" s="1">
        <v>1.7393328349999999</v>
      </c>
      <c r="S2249" s="1">
        <v>2.9034795349999998</v>
      </c>
      <c r="T2249" s="1">
        <v>1.7393328349999999</v>
      </c>
      <c r="U2249" s="1">
        <v>1.7393328349999999</v>
      </c>
      <c r="V2249" s="1">
        <v>2.5140266200000001</v>
      </c>
      <c r="W2249" s="1">
        <v>1.7393328349999999</v>
      </c>
      <c r="X2249" s="1">
        <v>2.3600830049999999</v>
      </c>
      <c r="Y2249" s="1">
        <v>1.7393328349999999</v>
      </c>
      <c r="Z2249" s="1">
        <v>1.7393328349999999</v>
      </c>
      <c r="AA2249" s="1">
        <v>2.9034795349999998</v>
      </c>
      <c r="AB2249" s="1">
        <v>1.7393328349999999</v>
      </c>
      <c r="AC2249" s="1">
        <v>1.7393328349999999</v>
      </c>
      <c r="AD2249" s="1">
        <v>1.7393328349999999</v>
      </c>
      <c r="AE2249" s="1">
        <v>1.7393328349999999</v>
      </c>
    </row>
    <row r="2250" spans="1:31" x14ac:dyDescent="0.25">
      <c r="A2250" s="1" t="s">
        <v>486</v>
      </c>
      <c r="B2250" s="1" t="s">
        <v>2631</v>
      </c>
      <c r="C2250" s="1" t="s">
        <v>2980</v>
      </c>
      <c r="D2250" s="1" t="s">
        <v>2535</v>
      </c>
      <c r="E2250" s="1" t="s">
        <v>2981</v>
      </c>
      <c r="G2250" s="1" t="s">
        <v>486</v>
      </c>
      <c r="H2250" s="1">
        <v>2.640460343</v>
      </c>
      <c r="I2250" s="1">
        <v>2.8927893610000002</v>
      </c>
      <c r="J2250" s="1">
        <v>2.5640169199999998</v>
      </c>
      <c r="K2250" s="1">
        <v>1.7393328349999999</v>
      </c>
      <c r="L2250" s="1">
        <v>1.7393328349999999</v>
      </c>
      <c r="M2250" s="1">
        <v>1.7393328349999999</v>
      </c>
      <c r="N2250" s="1">
        <v>2.372908427</v>
      </c>
      <c r="O2250" s="1">
        <v>3.193511794</v>
      </c>
      <c r="P2250" s="1">
        <v>1.7393328349999999</v>
      </c>
      <c r="Q2250" s="1">
        <v>1.7393328349999999</v>
      </c>
      <c r="R2250" s="1">
        <v>1.7393328349999999</v>
      </c>
      <c r="S2250" s="1">
        <v>1.7393328349999999</v>
      </c>
      <c r="T2250" s="1">
        <v>1.7393328349999999</v>
      </c>
      <c r="U2250" s="1">
        <v>1.7393328349999999</v>
      </c>
      <c r="V2250" s="1">
        <v>1.7393328349999999</v>
      </c>
      <c r="W2250" s="1">
        <v>1.7393328349999999</v>
      </c>
      <c r="X2250" s="1">
        <v>2.6106888979999998</v>
      </c>
      <c r="Y2250" s="1">
        <v>1.7393328349999999</v>
      </c>
      <c r="Z2250" s="1">
        <v>1.7393328349999999</v>
      </c>
      <c r="AA2250" s="1">
        <v>1.7393328349999999</v>
      </c>
      <c r="AB2250" s="1">
        <v>2.73487305</v>
      </c>
      <c r="AC2250" s="1">
        <v>1.7393328349999999</v>
      </c>
      <c r="AD2250" s="1">
        <v>2.6025990879999998</v>
      </c>
      <c r="AE2250" s="1">
        <v>2.6144016259999998</v>
      </c>
    </row>
    <row r="2251" spans="1:31" x14ac:dyDescent="0.25">
      <c r="A2251" s="1" t="s">
        <v>511</v>
      </c>
      <c r="B2251" s="1" t="s">
        <v>2530</v>
      </c>
      <c r="C2251" s="1" t="s">
        <v>2531</v>
      </c>
      <c r="D2251" s="1" t="s">
        <v>2535</v>
      </c>
      <c r="E2251" s="1" t="s">
        <v>2536</v>
      </c>
      <c r="G2251" s="1" t="s">
        <v>511</v>
      </c>
      <c r="H2251" s="1">
        <v>5.3232649629999997</v>
      </c>
      <c r="I2251" s="1">
        <v>5.4067069720000003</v>
      </c>
      <c r="J2251" s="1">
        <v>4.8994370109999998</v>
      </c>
      <c r="K2251" s="1">
        <v>4.4318297590000002</v>
      </c>
      <c r="L2251" s="1">
        <v>5.128160297</v>
      </c>
      <c r="M2251" s="1">
        <v>4.7872698079999996</v>
      </c>
      <c r="N2251" s="1">
        <v>5.428348615</v>
      </c>
      <c r="O2251" s="1">
        <v>5.0070106360000004</v>
      </c>
      <c r="P2251" s="1">
        <v>5.4976972829999999</v>
      </c>
      <c r="Q2251" s="1">
        <v>5.0479127070000001</v>
      </c>
      <c r="R2251" s="1">
        <v>4.8735636449999999</v>
      </c>
      <c r="S2251" s="1">
        <v>4.9261733090000002</v>
      </c>
      <c r="T2251" s="1">
        <v>5.128160297</v>
      </c>
      <c r="U2251" s="1">
        <v>4.7872698079999996</v>
      </c>
      <c r="V2251" s="1">
        <v>4.5826682710000002</v>
      </c>
      <c r="W2251" s="1">
        <v>4.69862249</v>
      </c>
      <c r="X2251" s="1">
        <v>5.0312607360000001</v>
      </c>
      <c r="Y2251" s="1">
        <v>5.0702808140000002</v>
      </c>
      <c r="Z2251" s="1">
        <v>4.8735636449999999</v>
      </c>
      <c r="AA2251" s="1">
        <v>4.9261733090000002</v>
      </c>
      <c r="AB2251" s="1">
        <v>4.7958605490000004</v>
      </c>
      <c r="AC2251" s="1">
        <v>5.1552886820000001</v>
      </c>
      <c r="AD2251" s="1">
        <v>4.6978214539999996</v>
      </c>
      <c r="AE2251" s="1">
        <v>5.175187158</v>
      </c>
    </row>
    <row r="2252" spans="1:31" x14ac:dyDescent="0.25">
      <c r="A2252" s="1" t="s">
        <v>574</v>
      </c>
      <c r="B2252" s="1" t="s">
        <v>2535</v>
      </c>
      <c r="C2252" s="1" t="s">
        <v>2535</v>
      </c>
      <c r="D2252" s="1" t="s">
        <v>2535</v>
      </c>
      <c r="E2252" s="1" t="s">
        <v>2535</v>
      </c>
      <c r="F2252" s="1" t="s">
        <v>2535</v>
      </c>
      <c r="G2252" s="1" t="s">
        <v>574</v>
      </c>
      <c r="H2252" s="1">
        <v>2.640460343</v>
      </c>
      <c r="I2252" s="1">
        <v>3.1348991329999998</v>
      </c>
      <c r="J2252" s="1">
        <v>2.5640169199999998</v>
      </c>
      <c r="K2252" s="1">
        <v>2.620638279</v>
      </c>
      <c r="L2252" s="1">
        <v>1.7393328349999999</v>
      </c>
      <c r="M2252" s="1">
        <v>1.7393328349999999</v>
      </c>
      <c r="N2252" s="1">
        <v>3.1147763629999998</v>
      </c>
      <c r="O2252" s="1">
        <v>2.411448644</v>
      </c>
      <c r="P2252" s="1">
        <v>1.7393328349999999</v>
      </c>
      <c r="Q2252" s="1">
        <v>2.935765398</v>
      </c>
      <c r="R2252" s="1">
        <v>1.7393328349999999</v>
      </c>
      <c r="S2252" s="1">
        <v>2.5733617299999998</v>
      </c>
      <c r="T2252" s="1">
        <v>1.7393328349999999</v>
      </c>
      <c r="U2252" s="1">
        <v>1.7393328349999999</v>
      </c>
      <c r="V2252" s="1">
        <v>2.5140266200000001</v>
      </c>
      <c r="W2252" s="1">
        <v>1.7393328349999999</v>
      </c>
      <c r="X2252" s="1">
        <v>2.3600830049999999</v>
      </c>
      <c r="Y2252" s="1">
        <v>1.7393328349999999</v>
      </c>
      <c r="Z2252" s="1">
        <v>1.7393328349999999</v>
      </c>
      <c r="AA2252" s="1">
        <v>2.5733617299999998</v>
      </c>
      <c r="AB2252" s="1">
        <v>1.7393328349999999</v>
      </c>
      <c r="AC2252" s="1">
        <v>1.7393328349999999</v>
      </c>
      <c r="AD2252" s="1">
        <v>1.7393328349999999</v>
      </c>
      <c r="AE2252" s="1">
        <v>2.9592545700000001</v>
      </c>
    </row>
    <row r="2253" spans="1:31" x14ac:dyDescent="0.25">
      <c r="A2253" s="1" t="s">
        <v>575</v>
      </c>
      <c r="B2253" s="1" t="s">
        <v>2535</v>
      </c>
      <c r="C2253" s="1" t="s">
        <v>2535</v>
      </c>
      <c r="D2253" s="1" t="s">
        <v>2535</v>
      </c>
      <c r="E2253" s="1" t="s">
        <v>2535</v>
      </c>
      <c r="F2253" s="1" t="s">
        <v>2535</v>
      </c>
      <c r="G2253" s="1" t="s">
        <v>575</v>
      </c>
      <c r="H2253" s="1">
        <v>1.7393328349999999</v>
      </c>
      <c r="I2253" s="1">
        <v>1.7393328349999999</v>
      </c>
      <c r="J2253" s="1">
        <v>1.7393328349999999</v>
      </c>
      <c r="K2253" s="1">
        <v>1.7393328349999999</v>
      </c>
      <c r="L2253" s="1">
        <v>2.315629231</v>
      </c>
      <c r="M2253" s="1">
        <v>1.7393328349999999</v>
      </c>
      <c r="N2253" s="1">
        <v>2.8201075470000001</v>
      </c>
      <c r="O2253" s="1">
        <v>1.7393328349999999</v>
      </c>
      <c r="P2253" s="1">
        <v>1.7393328349999999</v>
      </c>
      <c r="Q2253" s="1">
        <v>2.597100669</v>
      </c>
      <c r="R2253" s="1">
        <v>1.7393328349999999</v>
      </c>
      <c r="S2253" s="1">
        <v>1.7393328349999999</v>
      </c>
      <c r="T2253" s="1">
        <v>2.315629231</v>
      </c>
      <c r="U2253" s="1">
        <v>1.7393328349999999</v>
      </c>
      <c r="V2253" s="1">
        <v>2.8225047829999999</v>
      </c>
      <c r="W2253" s="1">
        <v>1.7393328349999999</v>
      </c>
      <c r="X2253" s="1">
        <v>2.3600830049999999</v>
      </c>
      <c r="Y2253" s="1">
        <v>1.7393328349999999</v>
      </c>
      <c r="Z2253" s="1">
        <v>1.7393328349999999</v>
      </c>
      <c r="AA2253" s="1">
        <v>1.7393328349999999</v>
      </c>
      <c r="AB2253" s="1">
        <v>1.7393328349999999</v>
      </c>
      <c r="AC2253" s="1">
        <v>2.5506926650000001</v>
      </c>
      <c r="AD2253" s="1">
        <v>1.7393328349999999</v>
      </c>
      <c r="AE2253" s="1">
        <v>2.3627668220000002</v>
      </c>
    </row>
    <row r="2254" spans="1:31" x14ac:dyDescent="0.25">
      <c r="A2254" s="1" t="s">
        <v>576</v>
      </c>
      <c r="B2254" s="1" t="s">
        <v>2557</v>
      </c>
      <c r="C2254" s="1" t="s">
        <v>2772</v>
      </c>
      <c r="D2254" s="1" t="s">
        <v>5906</v>
      </c>
      <c r="E2254" s="1" t="s">
        <v>5907</v>
      </c>
      <c r="F2254" s="1" t="s">
        <v>5908</v>
      </c>
      <c r="G2254" s="1" t="s">
        <v>576</v>
      </c>
      <c r="H2254" s="1">
        <v>1.7393328349999999</v>
      </c>
      <c r="I2254" s="1">
        <v>1.7393328349999999</v>
      </c>
      <c r="J2254" s="1">
        <v>2.5640169199999998</v>
      </c>
      <c r="K2254" s="1">
        <v>3.8998480660000001</v>
      </c>
      <c r="L2254" s="1">
        <v>2.315629231</v>
      </c>
      <c r="M2254" s="1">
        <v>2.665084539</v>
      </c>
      <c r="N2254" s="1">
        <v>1.7393328349999999</v>
      </c>
      <c r="O2254" s="1">
        <v>2.6816282820000001</v>
      </c>
      <c r="P2254" s="1">
        <v>1.7393328349999999</v>
      </c>
      <c r="Q2254" s="1">
        <v>1.7393328349999999</v>
      </c>
      <c r="R2254" s="1">
        <v>1.7393328349999999</v>
      </c>
      <c r="S2254" s="1">
        <v>1.7393328349999999</v>
      </c>
      <c r="T2254" s="1">
        <v>2.315629231</v>
      </c>
      <c r="U2254" s="1">
        <v>2.665084539</v>
      </c>
      <c r="V2254" s="1">
        <v>1.7393328349999999</v>
      </c>
      <c r="W2254" s="1">
        <v>1.7393328349999999</v>
      </c>
      <c r="X2254" s="1">
        <v>2.3600830049999999</v>
      </c>
      <c r="Y2254" s="1">
        <v>3.6154848500000001</v>
      </c>
      <c r="Z2254" s="1">
        <v>1.7393328349999999</v>
      </c>
      <c r="AA2254" s="1">
        <v>1.7393328349999999</v>
      </c>
      <c r="AB2254" s="1">
        <v>3.1218319999999999</v>
      </c>
      <c r="AC2254" s="1">
        <v>1.7393328349999999</v>
      </c>
      <c r="AD2254" s="1">
        <v>2.9432342459999998</v>
      </c>
      <c r="AE2254" s="1">
        <v>2.6144016259999998</v>
      </c>
    </row>
    <row r="2255" spans="1:31" x14ac:dyDescent="0.25">
      <c r="A2255" s="1" t="s">
        <v>631</v>
      </c>
      <c r="B2255" s="1" t="s">
        <v>2608</v>
      </c>
      <c r="C2255" s="1" t="s">
        <v>2700</v>
      </c>
      <c r="D2255" s="1" t="s">
        <v>2701</v>
      </c>
      <c r="E2255" s="1" t="s">
        <v>5909</v>
      </c>
      <c r="F2255" s="1" t="s">
        <v>5910</v>
      </c>
      <c r="G2255" s="1" t="s">
        <v>631</v>
      </c>
      <c r="H2255" s="1">
        <v>4.995162745</v>
      </c>
      <c r="I2255" s="1">
        <v>4.4542943209999999</v>
      </c>
      <c r="J2255" s="1">
        <v>5.5131441250000002</v>
      </c>
      <c r="K2255" s="1">
        <v>5.7206107949999998</v>
      </c>
      <c r="L2255" s="1">
        <v>5.4306647579999998</v>
      </c>
      <c r="M2255" s="1">
        <v>5.4634864729999997</v>
      </c>
      <c r="N2255" s="1">
        <v>4.3596796910000002</v>
      </c>
      <c r="O2255" s="1">
        <v>4.8663619410000001</v>
      </c>
      <c r="P2255" s="1">
        <v>5.4627121560000003</v>
      </c>
      <c r="Q2255" s="1">
        <v>5.5406489910000003</v>
      </c>
      <c r="R2255" s="1">
        <v>5.6102934549999999</v>
      </c>
      <c r="S2255" s="1">
        <v>5.8890842929999998</v>
      </c>
      <c r="T2255" s="1">
        <v>5.4306647579999998</v>
      </c>
      <c r="U2255" s="1">
        <v>5.4634864729999997</v>
      </c>
      <c r="V2255" s="1">
        <v>5.519727617</v>
      </c>
      <c r="W2255" s="1">
        <v>5.3792812999999997</v>
      </c>
      <c r="X2255" s="1">
        <v>5.5426459120000002</v>
      </c>
      <c r="Y2255" s="1">
        <v>5.9611531490000003</v>
      </c>
      <c r="Z2255" s="1">
        <v>5.6102934549999999</v>
      </c>
      <c r="AA2255" s="1">
        <v>5.8890842929999998</v>
      </c>
      <c r="AB2255" s="1">
        <v>5.5276660309999999</v>
      </c>
      <c r="AC2255" s="1">
        <v>5.4356573160000003</v>
      </c>
      <c r="AD2255" s="1">
        <v>5.4385263000000004</v>
      </c>
      <c r="AE2255" s="1">
        <v>5.3433438500000001</v>
      </c>
    </row>
    <row r="2256" spans="1:31" x14ac:dyDescent="0.25">
      <c r="A2256" s="1" t="s">
        <v>732</v>
      </c>
      <c r="B2256" s="1" t="s">
        <v>2535</v>
      </c>
      <c r="C2256" s="1" t="s">
        <v>2535</v>
      </c>
      <c r="D2256" s="1" t="s">
        <v>2535</v>
      </c>
      <c r="E2256" s="1" t="s">
        <v>2535</v>
      </c>
      <c r="F2256" s="1" t="s">
        <v>2535</v>
      </c>
      <c r="G2256" s="1" t="s">
        <v>732</v>
      </c>
      <c r="H2256" s="1">
        <v>1.7393328349999999</v>
      </c>
      <c r="I2256" s="1">
        <v>3.3322126910000001</v>
      </c>
      <c r="J2256" s="1">
        <v>3.1324899180000001</v>
      </c>
      <c r="K2256" s="1">
        <v>3.607491666</v>
      </c>
      <c r="L2256" s="1">
        <v>1.7393328349999999</v>
      </c>
      <c r="M2256" s="1">
        <v>2.3994532390000001</v>
      </c>
      <c r="N2256" s="1">
        <v>4.1002678350000004</v>
      </c>
      <c r="O2256" s="1">
        <v>3.050193165</v>
      </c>
      <c r="P2256" s="1">
        <v>2.5478783159999998</v>
      </c>
      <c r="Q2256" s="1">
        <v>3.388910638</v>
      </c>
      <c r="R2256" s="1">
        <v>3.386455024</v>
      </c>
      <c r="S2256" s="1">
        <v>1.7393328349999999</v>
      </c>
      <c r="T2256" s="1">
        <v>1.7393328349999999</v>
      </c>
      <c r="U2256" s="1">
        <v>2.3994532390000001</v>
      </c>
      <c r="V2256" s="1">
        <v>2.5140266200000001</v>
      </c>
      <c r="W2256" s="1">
        <v>2.6606351240000001</v>
      </c>
      <c r="X2256" s="1">
        <v>3.0884111989999998</v>
      </c>
      <c r="Y2256" s="1">
        <v>1.7393328349999999</v>
      </c>
      <c r="Z2256" s="1">
        <v>3.386455024</v>
      </c>
      <c r="AA2256" s="1">
        <v>1.7393328349999999</v>
      </c>
      <c r="AB2256" s="1">
        <v>1.7393328349999999</v>
      </c>
      <c r="AC2256" s="1">
        <v>2.87258916</v>
      </c>
      <c r="AD2256" s="1">
        <v>2.6025990879999998</v>
      </c>
      <c r="AE2256" s="1">
        <v>2.6144016259999998</v>
      </c>
    </row>
    <row r="2257" spans="1:31" x14ac:dyDescent="0.25">
      <c r="A2257" s="1" t="s">
        <v>810</v>
      </c>
      <c r="B2257" s="1" t="s">
        <v>2530</v>
      </c>
      <c r="C2257" s="1" t="s">
        <v>2531</v>
      </c>
      <c r="D2257" s="1" t="s">
        <v>2535</v>
      </c>
      <c r="E2257" s="1" t="s">
        <v>2536</v>
      </c>
      <c r="G2257" s="1" t="s">
        <v>810</v>
      </c>
      <c r="H2257" s="1">
        <v>5.9144073309999996</v>
      </c>
      <c r="I2257" s="1">
        <v>5.9717652650000002</v>
      </c>
      <c r="J2257" s="1">
        <v>4.2898244959999996</v>
      </c>
      <c r="K2257" s="1">
        <v>4.4318297590000002</v>
      </c>
      <c r="L2257" s="1">
        <v>5.0110661050000003</v>
      </c>
      <c r="M2257" s="1">
        <v>4.6692867769999999</v>
      </c>
      <c r="N2257" s="1">
        <v>5.4930242160000002</v>
      </c>
      <c r="O2257" s="1">
        <v>5.5778556410000002</v>
      </c>
      <c r="P2257" s="1">
        <v>4.4805784009999998</v>
      </c>
      <c r="Q2257" s="1">
        <v>4.5369064569999997</v>
      </c>
      <c r="R2257" s="1">
        <v>4.0808207129999996</v>
      </c>
      <c r="S2257" s="1">
        <v>4.3135540739999998</v>
      </c>
      <c r="T2257" s="1">
        <v>5.0110661050000003</v>
      </c>
      <c r="U2257" s="1">
        <v>4.6692867769999999</v>
      </c>
      <c r="V2257" s="1">
        <v>3.2389700330000002</v>
      </c>
      <c r="W2257" s="1">
        <v>3.2870366010000001</v>
      </c>
      <c r="X2257" s="1">
        <v>4.7537743670000001</v>
      </c>
      <c r="Y2257" s="1">
        <v>3.4382968329999999</v>
      </c>
      <c r="Z2257" s="1">
        <v>4.0808207129999996</v>
      </c>
      <c r="AA2257" s="1">
        <v>4.3135540739999998</v>
      </c>
      <c r="AB2257" s="1">
        <v>4.3946012420000002</v>
      </c>
      <c r="AC2257" s="1">
        <v>4.5576875899999996</v>
      </c>
      <c r="AD2257" s="1">
        <v>4.2970121150000002</v>
      </c>
      <c r="AE2257" s="1">
        <v>4.0685293649999998</v>
      </c>
    </row>
    <row r="2258" spans="1:31" x14ac:dyDescent="0.25">
      <c r="A2258" s="1" t="s">
        <v>836</v>
      </c>
      <c r="B2258" s="1" t="s">
        <v>2557</v>
      </c>
      <c r="C2258" s="1" t="s">
        <v>3284</v>
      </c>
      <c r="D2258" s="1" t="s">
        <v>5911</v>
      </c>
      <c r="E2258" s="1" t="s">
        <v>5912</v>
      </c>
      <c r="F2258" s="1" t="s">
        <v>5913</v>
      </c>
      <c r="G2258" s="1" t="s">
        <v>836</v>
      </c>
      <c r="H2258" s="1">
        <v>7.8369277369999999</v>
      </c>
      <c r="I2258" s="1">
        <v>7.9442639059999998</v>
      </c>
      <c r="J2258" s="1">
        <v>6.8211413800000003</v>
      </c>
      <c r="K2258" s="1">
        <v>6.6677525500000003</v>
      </c>
      <c r="L2258" s="1">
        <v>5.8791437640000002</v>
      </c>
      <c r="M2258" s="1">
        <v>6.0958755599999996</v>
      </c>
      <c r="N2258" s="1">
        <v>7.1831132760000003</v>
      </c>
      <c r="O2258" s="1">
        <v>7.0923181910000004</v>
      </c>
      <c r="P2258" s="1">
        <v>6.849263358</v>
      </c>
      <c r="Q2258" s="1">
        <v>6.4187248529999996</v>
      </c>
      <c r="R2258" s="1">
        <v>5.8420803340000003</v>
      </c>
      <c r="S2258" s="1">
        <v>5.9969908790000002</v>
      </c>
      <c r="T2258" s="1">
        <v>5.8791437640000002</v>
      </c>
      <c r="U2258" s="1">
        <v>6.0958755599999996</v>
      </c>
      <c r="V2258" s="1">
        <v>6.0800160549999998</v>
      </c>
      <c r="W2258" s="1">
        <v>6.2120844699999997</v>
      </c>
      <c r="X2258" s="1">
        <v>5.9183192990000002</v>
      </c>
      <c r="Y2258" s="1">
        <v>6.1314620050000004</v>
      </c>
      <c r="Z2258" s="1">
        <v>5.8420803340000003</v>
      </c>
      <c r="AA2258" s="1">
        <v>5.9969908790000002</v>
      </c>
      <c r="AB2258" s="1">
        <v>5.4746970709999996</v>
      </c>
      <c r="AC2258" s="1">
        <v>6.0708982899999997</v>
      </c>
      <c r="AD2258" s="1">
        <v>6.1657997020000002</v>
      </c>
      <c r="AE2258" s="1">
        <v>5.8364806040000001</v>
      </c>
    </row>
    <row r="2259" spans="1:31" x14ac:dyDescent="0.25">
      <c r="A2259" s="1" t="s">
        <v>841</v>
      </c>
      <c r="B2259" s="1" t="s">
        <v>2530</v>
      </c>
      <c r="C2259" s="1" t="s">
        <v>2531</v>
      </c>
      <c r="D2259" s="1" t="s">
        <v>2535</v>
      </c>
      <c r="E2259" s="1" t="s">
        <v>2536</v>
      </c>
      <c r="G2259" s="1" t="s">
        <v>841</v>
      </c>
      <c r="H2259" s="1">
        <v>3.8023684370000002</v>
      </c>
      <c r="I2259" s="1">
        <v>3.7806045529999999</v>
      </c>
      <c r="J2259" s="1">
        <v>2.8907526730000002</v>
      </c>
      <c r="K2259" s="1">
        <v>1.7393328349999999</v>
      </c>
      <c r="L2259" s="1">
        <v>1.7393328349999999</v>
      </c>
      <c r="M2259" s="1">
        <v>2.665084539</v>
      </c>
      <c r="N2259" s="1">
        <v>3.5368298970000001</v>
      </c>
      <c r="O2259" s="1">
        <v>2.411448644</v>
      </c>
      <c r="P2259" s="1">
        <v>2.8687501260000001</v>
      </c>
      <c r="Q2259" s="1">
        <v>2.935765398</v>
      </c>
      <c r="R2259" s="1">
        <v>1.7393328349999999</v>
      </c>
      <c r="S2259" s="1">
        <v>3.3463386960000001</v>
      </c>
      <c r="T2259" s="1">
        <v>1.7393328349999999</v>
      </c>
      <c r="U2259" s="1">
        <v>2.665084539</v>
      </c>
      <c r="V2259" s="1">
        <v>2.8225047829999999</v>
      </c>
      <c r="W2259" s="1">
        <v>1.7393328349999999</v>
      </c>
      <c r="X2259" s="1">
        <v>2.6106888979999998</v>
      </c>
      <c r="Y2259" s="1">
        <v>1.7393328349999999</v>
      </c>
      <c r="Z2259" s="1">
        <v>1.7393328349999999</v>
      </c>
      <c r="AA2259" s="1">
        <v>3.3463386960000001</v>
      </c>
      <c r="AB2259" s="1">
        <v>1.7393328349999999</v>
      </c>
      <c r="AC2259" s="1">
        <v>1.7393328349999999</v>
      </c>
      <c r="AD2259" s="1">
        <v>2.6025990879999998</v>
      </c>
      <c r="AE2259" s="1">
        <v>2.803297787</v>
      </c>
    </row>
    <row r="2260" spans="1:31" x14ac:dyDescent="0.25">
      <c r="A2260" s="1" t="s">
        <v>849</v>
      </c>
      <c r="B2260" s="1" t="s">
        <v>2530</v>
      </c>
      <c r="C2260" s="1" t="s">
        <v>2531</v>
      </c>
      <c r="D2260" s="1" t="s">
        <v>2535</v>
      </c>
      <c r="E2260" s="1" t="s">
        <v>2536</v>
      </c>
      <c r="G2260" s="1" t="s">
        <v>849</v>
      </c>
      <c r="H2260" s="1">
        <v>2.9945681560000001</v>
      </c>
      <c r="I2260" s="1">
        <v>3.1348991329999998</v>
      </c>
      <c r="J2260" s="1">
        <v>2.5640169199999998</v>
      </c>
      <c r="K2260" s="1">
        <v>3.762021974</v>
      </c>
      <c r="L2260" s="1">
        <v>3.3025959560000002</v>
      </c>
      <c r="M2260" s="1">
        <v>2.665084539</v>
      </c>
      <c r="N2260" s="1">
        <v>2.628425199</v>
      </c>
      <c r="O2260" s="1">
        <v>3.050193165</v>
      </c>
      <c r="P2260" s="1">
        <v>3.466113682</v>
      </c>
      <c r="Q2260" s="1">
        <v>3.185675432</v>
      </c>
      <c r="R2260" s="1">
        <v>1.7393328349999999</v>
      </c>
      <c r="S2260" s="1">
        <v>2.5733617299999998</v>
      </c>
      <c r="T2260" s="1">
        <v>3.3025959560000002</v>
      </c>
      <c r="U2260" s="1">
        <v>2.665084539</v>
      </c>
      <c r="V2260" s="1">
        <v>2.8225047829999999</v>
      </c>
      <c r="W2260" s="1">
        <v>2.6606351240000001</v>
      </c>
      <c r="X2260" s="1">
        <v>2.7988456519999998</v>
      </c>
      <c r="Y2260" s="1">
        <v>1.7393328349999999</v>
      </c>
      <c r="Z2260" s="1">
        <v>1.7393328349999999</v>
      </c>
      <c r="AA2260" s="1">
        <v>2.5733617299999998</v>
      </c>
      <c r="AB2260" s="1">
        <v>3.6315729079999999</v>
      </c>
      <c r="AC2260" s="1">
        <v>2.87258916</v>
      </c>
      <c r="AD2260" s="1">
        <v>3.3987395579999999</v>
      </c>
      <c r="AE2260" s="1">
        <v>2.9592545700000001</v>
      </c>
    </row>
    <row r="2261" spans="1:31" x14ac:dyDescent="0.25">
      <c r="A2261" s="1" t="s">
        <v>851</v>
      </c>
      <c r="B2261" s="1" t="s">
        <v>2530</v>
      </c>
      <c r="C2261" s="1" t="s">
        <v>2531</v>
      </c>
      <c r="D2261" s="1" t="s">
        <v>2535</v>
      </c>
      <c r="E2261" s="1" t="s">
        <v>2536</v>
      </c>
      <c r="G2261" s="1" t="s">
        <v>851</v>
      </c>
      <c r="H2261" s="1">
        <v>3.9421380259999999</v>
      </c>
      <c r="I2261" s="1">
        <v>3.9003964459999998</v>
      </c>
      <c r="J2261" s="1">
        <v>4.8434621079999998</v>
      </c>
      <c r="K2261" s="1">
        <v>4.7454889089999996</v>
      </c>
      <c r="L2261" s="1">
        <v>4.5867597299999998</v>
      </c>
      <c r="M2261" s="1">
        <v>4.709731562</v>
      </c>
      <c r="N2261" s="1">
        <v>4.0417975630000003</v>
      </c>
      <c r="O2261" s="1">
        <v>4.5801520279999997</v>
      </c>
      <c r="P2261" s="1">
        <v>5.1018341500000002</v>
      </c>
      <c r="Q2261" s="1">
        <v>4.8155696649999999</v>
      </c>
      <c r="R2261" s="1">
        <v>4.5333476509999997</v>
      </c>
      <c r="S2261" s="1">
        <v>4.8114074450000004</v>
      </c>
      <c r="T2261" s="1">
        <v>4.5867597299999998</v>
      </c>
      <c r="U2261" s="1">
        <v>4.709731562</v>
      </c>
      <c r="V2261" s="1">
        <v>4.9055261469999998</v>
      </c>
      <c r="W2261" s="1">
        <v>4.9854391920000003</v>
      </c>
      <c r="X2261" s="1">
        <v>4.8838989719999999</v>
      </c>
      <c r="Y2261" s="1">
        <v>4.1479647589999997</v>
      </c>
      <c r="Z2261" s="1">
        <v>4.5333476509999997</v>
      </c>
      <c r="AA2261" s="1">
        <v>4.8114074450000004</v>
      </c>
      <c r="AB2261" s="1">
        <v>5.1073354020000004</v>
      </c>
      <c r="AC2261" s="1">
        <v>4.415017905</v>
      </c>
      <c r="AD2261" s="1">
        <v>4.95179218</v>
      </c>
      <c r="AE2261" s="1">
        <v>4.5014252270000004</v>
      </c>
    </row>
    <row r="2262" spans="1:31" x14ac:dyDescent="0.25">
      <c r="A2262" s="1" t="s">
        <v>861</v>
      </c>
      <c r="B2262" s="1" t="s">
        <v>2579</v>
      </c>
      <c r="C2262" s="1" t="s">
        <v>2933</v>
      </c>
      <c r="D2262" s="1" t="s">
        <v>2934</v>
      </c>
      <c r="E2262" s="1" t="s">
        <v>5914</v>
      </c>
      <c r="F2262" s="1" t="s">
        <v>5915</v>
      </c>
      <c r="G2262" s="1" t="s">
        <v>861</v>
      </c>
      <c r="H2262" s="1">
        <v>7.7673400880000001</v>
      </c>
      <c r="I2262" s="1">
        <v>7.4264005519999996</v>
      </c>
      <c r="J2262" s="1">
        <v>7.3926382469999998</v>
      </c>
      <c r="K2262" s="1">
        <v>7.1581252400000004</v>
      </c>
      <c r="L2262" s="1">
        <v>6.433821816</v>
      </c>
      <c r="M2262" s="1">
        <v>6.2252239280000001</v>
      </c>
      <c r="N2262" s="1">
        <v>7.1634817039999996</v>
      </c>
      <c r="O2262" s="1">
        <v>6.9954679869999996</v>
      </c>
      <c r="P2262" s="1">
        <v>7.1189337139999997</v>
      </c>
      <c r="Q2262" s="1">
        <v>7.3522884079999997</v>
      </c>
      <c r="R2262" s="1">
        <v>6.8531456039999998</v>
      </c>
      <c r="S2262" s="1">
        <v>6.8669102400000002</v>
      </c>
      <c r="T2262" s="1">
        <v>6.433821816</v>
      </c>
      <c r="U2262" s="1">
        <v>6.2252239280000001</v>
      </c>
      <c r="V2262" s="1">
        <v>6.276714932</v>
      </c>
      <c r="W2262" s="1">
        <v>6.3680955829999997</v>
      </c>
      <c r="X2262" s="1">
        <v>7.004146575</v>
      </c>
      <c r="Y2262" s="1">
        <v>6.3541670720000001</v>
      </c>
      <c r="Z2262" s="1">
        <v>6.8531456039999998</v>
      </c>
      <c r="AA2262" s="1">
        <v>6.8669102400000002</v>
      </c>
      <c r="AB2262" s="1">
        <v>7.4263400370000001</v>
      </c>
      <c r="AC2262" s="1">
        <v>7.3073105409999997</v>
      </c>
      <c r="AD2262" s="1">
        <v>7.0467010940000003</v>
      </c>
      <c r="AE2262" s="1">
        <v>7.3206010800000003</v>
      </c>
    </row>
    <row r="2263" spans="1:31" x14ac:dyDescent="0.25">
      <c r="A2263" s="1" t="s">
        <v>873</v>
      </c>
      <c r="B2263" s="1" t="s">
        <v>2530</v>
      </c>
      <c r="C2263" s="1" t="s">
        <v>2531</v>
      </c>
      <c r="D2263" s="1" t="s">
        <v>2535</v>
      </c>
      <c r="E2263" s="1" t="s">
        <v>2536</v>
      </c>
      <c r="G2263" s="1" t="s">
        <v>873</v>
      </c>
      <c r="H2263" s="1">
        <v>5.8817546890000001</v>
      </c>
      <c r="I2263" s="1">
        <v>6.1655807180000002</v>
      </c>
      <c r="J2263" s="1">
        <v>5.1953777219999999</v>
      </c>
      <c r="K2263" s="1">
        <v>5.2674352469999999</v>
      </c>
      <c r="L2263" s="1">
        <v>4.5190290319999997</v>
      </c>
      <c r="M2263" s="1">
        <v>4.824486168</v>
      </c>
      <c r="N2263" s="1">
        <v>5.8295014189999996</v>
      </c>
      <c r="O2263" s="1">
        <v>5.9154339690000004</v>
      </c>
      <c r="P2263" s="1">
        <v>5.6296473389999999</v>
      </c>
      <c r="Q2263" s="1">
        <v>5.6144419360000004</v>
      </c>
      <c r="R2263" s="1">
        <v>4.6795267799999998</v>
      </c>
      <c r="S2263" s="1">
        <v>5.032286365</v>
      </c>
      <c r="T2263" s="1">
        <v>4.5190290319999997</v>
      </c>
      <c r="U2263" s="1">
        <v>4.824486168</v>
      </c>
      <c r="V2263" s="1">
        <v>4.9055261469999998</v>
      </c>
      <c r="W2263" s="1">
        <v>5.1095551629999996</v>
      </c>
      <c r="X2263" s="1">
        <v>4.7192629950000002</v>
      </c>
      <c r="Y2263" s="1">
        <v>4.8904630100000004</v>
      </c>
      <c r="Z2263" s="1">
        <v>4.6795267799999998</v>
      </c>
      <c r="AA2263" s="1">
        <v>5.032286365</v>
      </c>
      <c r="AB2263" s="1">
        <v>4.5063178209999997</v>
      </c>
      <c r="AC2263" s="1">
        <v>4.2557864319999998</v>
      </c>
      <c r="AD2263" s="1">
        <v>4.83054469</v>
      </c>
      <c r="AE2263" s="1">
        <v>5.175187158</v>
      </c>
    </row>
    <row r="2264" spans="1:31" x14ac:dyDescent="0.25">
      <c r="A2264" s="1" t="s">
        <v>890</v>
      </c>
      <c r="B2264" s="1" t="s">
        <v>2530</v>
      </c>
      <c r="C2264" s="1" t="s">
        <v>2531</v>
      </c>
      <c r="D2264" s="1" t="s">
        <v>2535</v>
      </c>
      <c r="E2264" s="1" t="s">
        <v>2621</v>
      </c>
      <c r="G2264" s="1" t="s">
        <v>890</v>
      </c>
      <c r="H2264" s="1">
        <v>5.0553993879999997</v>
      </c>
      <c r="I2264" s="1">
        <v>4.4542943209999999</v>
      </c>
      <c r="J2264" s="1">
        <v>5.8592801899999998</v>
      </c>
      <c r="K2264" s="1">
        <v>5.3151275040000003</v>
      </c>
      <c r="L2264" s="1">
        <v>5.6335437009999998</v>
      </c>
      <c r="M2264" s="1">
        <v>5.659858549</v>
      </c>
      <c r="N2264" s="1">
        <v>5.6141964020000001</v>
      </c>
      <c r="O2264" s="1">
        <v>5.7062857469999999</v>
      </c>
      <c r="P2264" s="1">
        <v>5.3134950500000002</v>
      </c>
      <c r="Q2264" s="1">
        <v>5.0479127070000001</v>
      </c>
      <c r="R2264" s="1">
        <v>5.0965654090000001</v>
      </c>
      <c r="S2264" s="1">
        <v>5.032286365</v>
      </c>
      <c r="T2264" s="1">
        <v>5.6335437009999998</v>
      </c>
      <c r="U2264" s="1">
        <v>5.659858549</v>
      </c>
      <c r="V2264" s="1">
        <v>5.0428039150000004</v>
      </c>
      <c r="W2264" s="1">
        <v>5.8015499779999997</v>
      </c>
      <c r="X2264" s="1">
        <v>5.2866392680000001</v>
      </c>
      <c r="Y2264" s="1">
        <v>5.503438128</v>
      </c>
      <c r="Z2264" s="1">
        <v>5.0965654090000001</v>
      </c>
      <c r="AA2264" s="1">
        <v>5.032286365</v>
      </c>
      <c r="AB2264" s="1">
        <v>5.675717079</v>
      </c>
      <c r="AC2264" s="1">
        <v>5.6067493529999997</v>
      </c>
      <c r="AD2264" s="1">
        <v>5.4385263000000004</v>
      </c>
      <c r="AE2264" s="1">
        <v>5.387950011</v>
      </c>
    </row>
    <row r="2265" spans="1:31" x14ac:dyDescent="0.25">
      <c r="A2265" s="1" t="s">
        <v>891</v>
      </c>
      <c r="B2265" s="1" t="s">
        <v>2530</v>
      </c>
      <c r="C2265" s="1" t="s">
        <v>2531</v>
      </c>
      <c r="D2265" s="1" t="s">
        <v>2535</v>
      </c>
      <c r="E2265" s="1" t="s">
        <v>5916</v>
      </c>
      <c r="G2265" s="1" t="s">
        <v>891</v>
      </c>
      <c r="H2265" s="1">
        <v>4.183793842</v>
      </c>
      <c r="I2265" s="1">
        <v>3.3322126910000001</v>
      </c>
      <c r="J2265" s="1">
        <v>5.5826322800000003</v>
      </c>
      <c r="K2265" s="1">
        <v>5.6482047069999997</v>
      </c>
      <c r="L2265" s="1">
        <v>4.9098563420000003</v>
      </c>
      <c r="M2265" s="1">
        <v>4.6276332350000002</v>
      </c>
      <c r="N2265" s="1">
        <v>4.8346471299999996</v>
      </c>
      <c r="O2265" s="1">
        <v>5.0070106360000004</v>
      </c>
      <c r="P2265" s="1">
        <v>5.5318451900000003</v>
      </c>
      <c r="Q2265" s="1">
        <v>5.0479127070000001</v>
      </c>
      <c r="R2265" s="1">
        <v>5.4182058560000002</v>
      </c>
      <c r="S2265" s="1">
        <v>5.4306817489999997</v>
      </c>
      <c r="T2265" s="1">
        <v>4.9098563420000003</v>
      </c>
      <c r="U2265" s="1">
        <v>4.6276332350000002</v>
      </c>
      <c r="V2265" s="1">
        <v>5.519727617</v>
      </c>
      <c r="W2265" s="1">
        <v>6.0370461979999996</v>
      </c>
      <c r="X2265" s="1">
        <v>5.2391096700000004</v>
      </c>
      <c r="Y2265" s="1">
        <v>5.5443425189999997</v>
      </c>
      <c r="Z2265" s="1">
        <v>5.4182058560000002</v>
      </c>
      <c r="AA2265" s="1">
        <v>5.4306817489999997</v>
      </c>
      <c r="AB2265" s="1">
        <v>5.3028471579999996</v>
      </c>
      <c r="AC2265" s="1">
        <v>5.7595305120000004</v>
      </c>
      <c r="AD2265" s="1">
        <v>5.5186611069999998</v>
      </c>
      <c r="AE2265" s="1">
        <v>5.2004631630000002</v>
      </c>
    </row>
    <row r="2266" spans="1:31" x14ac:dyDescent="0.25">
      <c r="A2266" s="1" t="s">
        <v>900</v>
      </c>
      <c r="B2266" s="1" t="s">
        <v>2530</v>
      </c>
      <c r="C2266" s="1" t="s">
        <v>2531</v>
      </c>
      <c r="D2266" s="1" t="s">
        <v>2535</v>
      </c>
      <c r="E2266" s="1" t="s">
        <v>5917</v>
      </c>
      <c r="G2266" s="1" t="s">
        <v>900</v>
      </c>
      <c r="H2266" s="1">
        <v>4.3886087140000001</v>
      </c>
      <c r="I2266" s="1">
        <v>3.5006354609999999</v>
      </c>
      <c r="J2266" s="1">
        <v>4.4503473070000004</v>
      </c>
      <c r="K2266" s="1">
        <v>4.3408695499999999</v>
      </c>
      <c r="L2266" s="1">
        <v>3.6811173419999998</v>
      </c>
      <c r="M2266" s="1">
        <v>3.6924658159999999</v>
      </c>
      <c r="N2266" s="1">
        <v>5.2399813159999997</v>
      </c>
      <c r="O2266" s="1">
        <v>5.3342335859999999</v>
      </c>
      <c r="P2266" s="1">
        <v>3.7419514989999998</v>
      </c>
      <c r="Q2266" s="1">
        <v>3.9718447549999998</v>
      </c>
      <c r="R2266" s="1">
        <v>3.7109484589999999</v>
      </c>
      <c r="S2266" s="1">
        <v>3.7977317990000001</v>
      </c>
      <c r="T2266" s="1">
        <v>3.6811173419999998</v>
      </c>
      <c r="U2266" s="1">
        <v>3.6924658159999999</v>
      </c>
      <c r="V2266" s="1">
        <v>4.6987742170000004</v>
      </c>
      <c r="W2266" s="1">
        <v>3.9848641250000001</v>
      </c>
      <c r="X2266" s="1">
        <v>4.1154863700000002</v>
      </c>
      <c r="Y2266" s="1">
        <v>4.6081171230000004</v>
      </c>
      <c r="Z2266" s="1">
        <v>3.7109484589999999</v>
      </c>
      <c r="AA2266" s="1">
        <v>3.7977317990000001</v>
      </c>
      <c r="AB2266" s="1">
        <v>4.2729702720000002</v>
      </c>
      <c r="AC2266" s="1">
        <v>4.0753403910000001</v>
      </c>
      <c r="AD2266" s="1">
        <v>4.8924744240000004</v>
      </c>
      <c r="AE2266" s="1">
        <v>4.5815229759999996</v>
      </c>
    </row>
    <row r="2267" spans="1:31" x14ac:dyDescent="0.25">
      <c r="A2267" s="1" t="s">
        <v>943</v>
      </c>
      <c r="B2267" s="1" t="s">
        <v>2530</v>
      </c>
      <c r="C2267" s="1" t="s">
        <v>2531</v>
      </c>
      <c r="D2267" s="1" t="s">
        <v>2535</v>
      </c>
      <c r="E2267" s="1" t="s">
        <v>2536</v>
      </c>
      <c r="G2267" s="1" t="s">
        <v>943</v>
      </c>
      <c r="H2267" s="1">
        <v>5.1131742039999999</v>
      </c>
      <c r="I2267" s="1">
        <v>4.4542943209999999</v>
      </c>
      <c r="J2267" s="1">
        <v>4.4503473070000004</v>
      </c>
      <c r="K2267" s="1">
        <v>4.8139921829999999</v>
      </c>
      <c r="L2267" s="1">
        <v>5.3938587340000002</v>
      </c>
      <c r="M2267" s="1">
        <v>5.2895531800000004</v>
      </c>
      <c r="N2267" s="1">
        <v>4.9930900400000002</v>
      </c>
      <c r="O2267" s="1">
        <v>4.9028628039999997</v>
      </c>
      <c r="P2267" s="1">
        <v>5.1467681949999999</v>
      </c>
      <c r="Q2267" s="1">
        <v>4.18747588</v>
      </c>
      <c r="R2267" s="1">
        <v>4.9894654599999999</v>
      </c>
      <c r="S2267" s="1">
        <v>5.3098842800000003</v>
      </c>
      <c r="T2267" s="1">
        <v>5.3938587340000002</v>
      </c>
      <c r="U2267" s="1">
        <v>5.2895531800000004</v>
      </c>
      <c r="V2267" s="1">
        <v>5.0857495259999999</v>
      </c>
      <c r="W2267" s="1">
        <v>5.2236621110000003</v>
      </c>
      <c r="X2267" s="1">
        <v>5.6731962669999998</v>
      </c>
      <c r="Y2267" s="1">
        <v>4.7564010139999997</v>
      </c>
      <c r="Z2267" s="1">
        <v>4.9894654599999999</v>
      </c>
      <c r="AA2267" s="1">
        <v>5.3098842800000003</v>
      </c>
      <c r="AB2267" s="1">
        <v>4.9601840040000003</v>
      </c>
      <c r="AC2267" s="1">
        <v>5.5741318</v>
      </c>
      <c r="AD2267" s="1">
        <v>4.95179218</v>
      </c>
      <c r="AE2267" s="1">
        <v>4.9548800440000003</v>
      </c>
    </row>
    <row r="2268" spans="1:31" x14ac:dyDescent="0.25">
      <c r="A2268" s="1" t="s">
        <v>945</v>
      </c>
      <c r="B2268" s="1" t="s">
        <v>2530</v>
      </c>
      <c r="C2268" s="1" t="s">
        <v>2531</v>
      </c>
      <c r="D2268" s="1" t="s">
        <v>2535</v>
      </c>
      <c r="E2268" s="1" t="s">
        <v>2536</v>
      </c>
      <c r="G2268" s="1" t="s">
        <v>945</v>
      </c>
      <c r="H2268" s="1">
        <v>8.6615031899999995</v>
      </c>
      <c r="I2268" s="1">
        <v>7.8132393240000004</v>
      </c>
      <c r="J2268" s="1">
        <v>6.1831700180000002</v>
      </c>
      <c r="K2268" s="1">
        <v>6.9030258440000001</v>
      </c>
      <c r="L2268" s="1">
        <v>5.2153292420000001</v>
      </c>
      <c r="M2268" s="1">
        <v>4.8607408789999997</v>
      </c>
      <c r="N2268" s="1">
        <v>6.3881452249999997</v>
      </c>
      <c r="O2268" s="1">
        <v>7.1976511859999999</v>
      </c>
      <c r="P2268" s="1">
        <v>5.5318451900000003</v>
      </c>
      <c r="Q2268" s="1">
        <v>4.9365262349999997</v>
      </c>
      <c r="R2268" s="1">
        <v>5.458747732</v>
      </c>
      <c r="S2268" s="1">
        <v>5.542037144</v>
      </c>
      <c r="T2268" s="1">
        <v>5.2153292420000001</v>
      </c>
      <c r="U2268" s="1">
        <v>4.8607408789999997</v>
      </c>
      <c r="V2268" s="1">
        <v>5.5807524949999996</v>
      </c>
      <c r="W2268" s="1">
        <v>5.726489559</v>
      </c>
      <c r="X2268" s="1">
        <v>5.0312607360000001</v>
      </c>
      <c r="Y2268" s="1">
        <v>5.7329513619999997</v>
      </c>
      <c r="Z2268" s="1">
        <v>5.458747732</v>
      </c>
      <c r="AA2268" s="1">
        <v>5.542037144</v>
      </c>
      <c r="AB2268" s="1">
        <v>5.4196851610000003</v>
      </c>
      <c r="AC2268" s="1">
        <v>5.3221936159999998</v>
      </c>
      <c r="AD2268" s="1">
        <v>5.5945353439999996</v>
      </c>
      <c r="AE2268" s="1">
        <v>5.4523450599999999</v>
      </c>
    </row>
    <row r="2269" spans="1:31" x14ac:dyDescent="0.25">
      <c r="A2269" s="1" t="s">
        <v>978</v>
      </c>
      <c r="B2269" s="1" t="s">
        <v>2579</v>
      </c>
      <c r="C2269" s="1" t="s">
        <v>3259</v>
      </c>
      <c r="D2269" s="1" t="s">
        <v>3358</v>
      </c>
      <c r="E2269" s="1" t="s">
        <v>5918</v>
      </c>
      <c r="F2269" s="1" t="s">
        <v>5919</v>
      </c>
      <c r="G2269" s="1" t="s">
        <v>978</v>
      </c>
      <c r="H2269" s="1">
        <v>10.40537763</v>
      </c>
      <c r="I2269" s="1">
        <v>9.7417793649999993</v>
      </c>
      <c r="J2269" s="1">
        <v>10.3741965</v>
      </c>
      <c r="K2269" s="1">
        <v>10.26310514</v>
      </c>
      <c r="L2269" s="1">
        <v>10.36418946</v>
      </c>
      <c r="M2269" s="1">
        <v>10.321007639999999</v>
      </c>
      <c r="N2269" s="1">
        <v>8.6968391460000003</v>
      </c>
      <c r="O2269" s="1">
        <v>9.086974412</v>
      </c>
      <c r="P2269" s="1">
        <v>10.10794654</v>
      </c>
      <c r="Q2269" s="1">
        <v>10.0685558</v>
      </c>
      <c r="R2269" s="1">
        <v>10.34350575</v>
      </c>
      <c r="S2269" s="1">
        <v>10.02763026</v>
      </c>
      <c r="T2269" s="1">
        <v>10.36418946</v>
      </c>
      <c r="U2269" s="1">
        <v>10.321007639999999</v>
      </c>
      <c r="V2269" s="1">
        <v>9.4263570100000003</v>
      </c>
      <c r="W2269" s="1">
        <v>9.5755877559999991</v>
      </c>
      <c r="X2269" s="1">
        <v>10.00821872</v>
      </c>
      <c r="Y2269" s="1">
        <v>9.4717041290000008</v>
      </c>
      <c r="Z2269" s="1">
        <v>10.34350575</v>
      </c>
      <c r="AA2269" s="1">
        <v>10.02763026</v>
      </c>
      <c r="AB2269" s="1">
        <v>10.02520455</v>
      </c>
      <c r="AC2269" s="1">
        <v>10.104030330000001</v>
      </c>
      <c r="AD2269" s="1">
        <v>9.9287601290000005</v>
      </c>
      <c r="AE2269" s="1">
        <v>9.6233688189999995</v>
      </c>
    </row>
    <row r="2270" spans="1:31" x14ac:dyDescent="0.25">
      <c r="A2270" s="1" t="s">
        <v>995</v>
      </c>
      <c r="B2270" s="1" t="s">
        <v>2530</v>
      </c>
      <c r="C2270" s="1" t="s">
        <v>2531</v>
      </c>
      <c r="D2270" s="1" t="s">
        <v>2535</v>
      </c>
      <c r="E2270" s="1" t="s">
        <v>2536</v>
      </c>
      <c r="G2270" s="1" t="s">
        <v>995</v>
      </c>
      <c r="H2270" s="1">
        <v>4.2900513550000001</v>
      </c>
      <c r="I2270" s="1">
        <v>4.5280931029999998</v>
      </c>
      <c r="J2270" s="1">
        <v>4.2018709520000002</v>
      </c>
      <c r="K2270" s="1">
        <v>4.1384138449999996</v>
      </c>
      <c r="L2270" s="1">
        <v>4.0714409539999998</v>
      </c>
      <c r="M2270" s="1">
        <v>4.5846937370000003</v>
      </c>
      <c r="N2270" s="1">
        <v>4.0417975630000003</v>
      </c>
      <c r="O2270" s="1">
        <v>4.5340058970000001</v>
      </c>
      <c r="P2270" s="1">
        <v>3.86011382</v>
      </c>
      <c r="Q2270" s="1">
        <v>4.4575363990000003</v>
      </c>
      <c r="R2270" s="1">
        <v>4.0808207129999996</v>
      </c>
      <c r="S2270" s="1">
        <v>4.5490843459999999</v>
      </c>
      <c r="T2270" s="1">
        <v>4.0714409539999998</v>
      </c>
      <c r="U2270" s="1">
        <v>4.5846937370000003</v>
      </c>
      <c r="V2270" s="1">
        <v>3.6670520409999998</v>
      </c>
      <c r="W2270" s="1">
        <v>4.4367165279999998</v>
      </c>
      <c r="X2270" s="1">
        <v>4.407182283</v>
      </c>
      <c r="Y2270" s="1">
        <v>4.5275934409999996</v>
      </c>
      <c r="Z2270" s="1">
        <v>4.0808207129999996</v>
      </c>
      <c r="AA2270" s="1">
        <v>4.5490843459999999</v>
      </c>
      <c r="AB2270" s="1">
        <v>4.3946012420000002</v>
      </c>
      <c r="AC2270" s="1">
        <v>4.6870272159999997</v>
      </c>
      <c r="AD2270" s="1">
        <v>4.6978214539999996</v>
      </c>
      <c r="AE2270" s="1">
        <v>4.542053224</v>
      </c>
    </row>
    <row r="2271" spans="1:31" x14ac:dyDescent="0.25">
      <c r="A2271" s="1" t="s">
        <v>1011</v>
      </c>
      <c r="B2271" s="1" t="s">
        <v>2520</v>
      </c>
      <c r="C2271" s="1" t="s">
        <v>2646</v>
      </c>
      <c r="D2271" s="1" t="s">
        <v>2535</v>
      </c>
      <c r="E2271" s="1" t="s">
        <v>5920</v>
      </c>
      <c r="G2271" s="1" t="s">
        <v>1011</v>
      </c>
      <c r="H2271" s="1">
        <v>5.1131742039999999</v>
      </c>
      <c r="I2271" s="1">
        <v>4.903725959</v>
      </c>
      <c r="J2271" s="1">
        <v>4.4503473070000004</v>
      </c>
      <c r="K2271" s="1">
        <v>4.4318297590000002</v>
      </c>
      <c r="L2271" s="1">
        <v>3.5435353630000002</v>
      </c>
      <c r="M2271" s="1">
        <v>4.239619416</v>
      </c>
      <c r="N2271" s="1">
        <v>4.2617896110000002</v>
      </c>
      <c r="O2271" s="1">
        <v>4.0289865369999998</v>
      </c>
      <c r="P2271" s="1">
        <v>4.3303557189999999</v>
      </c>
      <c r="Q2271" s="1">
        <v>4.18747588</v>
      </c>
      <c r="R2271" s="1">
        <v>4.1841942410000001</v>
      </c>
      <c r="S2271" s="1">
        <v>4.3135540739999998</v>
      </c>
      <c r="T2271" s="1">
        <v>3.5435353630000002</v>
      </c>
      <c r="U2271" s="1">
        <v>4.239619416</v>
      </c>
      <c r="V2271" s="1">
        <v>4.0758289169999999</v>
      </c>
      <c r="W2271" s="1">
        <v>4.7760085830000003</v>
      </c>
      <c r="X2271" s="1">
        <v>3.6673381269999998</v>
      </c>
      <c r="Y2271" s="1">
        <v>4.1479647589999997</v>
      </c>
      <c r="Z2271" s="1">
        <v>4.1841942410000001</v>
      </c>
      <c r="AA2271" s="1">
        <v>4.3135540739999998</v>
      </c>
      <c r="AB2271" s="1">
        <v>4.2729702720000002</v>
      </c>
      <c r="AC2271" s="1">
        <v>4.415017905</v>
      </c>
      <c r="AD2271" s="1">
        <v>3.984188064</v>
      </c>
      <c r="AE2271" s="1">
        <v>4.124053773</v>
      </c>
    </row>
    <row r="2272" spans="1:31" x14ac:dyDescent="0.25">
      <c r="A2272" s="1" t="s">
        <v>1031</v>
      </c>
      <c r="B2272" s="1" t="s">
        <v>2579</v>
      </c>
      <c r="C2272" s="1" t="s">
        <v>2983</v>
      </c>
      <c r="D2272" s="1" t="s">
        <v>2984</v>
      </c>
      <c r="E2272" s="1" t="s">
        <v>2985</v>
      </c>
      <c r="F2272" s="1" t="s">
        <v>2986</v>
      </c>
      <c r="G2272" s="1" t="s">
        <v>1031</v>
      </c>
      <c r="H2272" s="1">
        <v>10.00550308</v>
      </c>
      <c r="I2272" s="1">
        <v>9.959583447</v>
      </c>
      <c r="J2272" s="1">
        <v>10.79775579</v>
      </c>
      <c r="K2272" s="1">
        <v>10.67505248</v>
      </c>
      <c r="L2272" s="1">
        <v>10.20832927</v>
      </c>
      <c r="M2272" s="1">
        <v>10.420951629999999</v>
      </c>
      <c r="N2272" s="1">
        <v>8.977162452</v>
      </c>
      <c r="O2272" s="1">
        <v>9.0751811060000005</v>
      </c>
      <c r="P2272" s="1">
        <v>10.565898300000001</v>
      </c>
      <c r="Q2272" s="1">
        <v>10.754680159999999</v>
      </c>
      <c r="R2272" s="1">
        <v>10.71293496</v>
      </c>
      <c r="S2272" s="1">
        <v>10.674765369999999</v>
      </c>
      <c r="T2272" s="1">
        <v>10.20832927</v>
      </c>
      <c r="U2272" s="1">
        <v>10.420951629999999</v>
      </c>
      <c r="V2272" s="1">
        <v>10.445104710000001</v>
      </c>
      <c r="W2272" s="1">
        <v>10.45377452</v>
      </c>
      <c r="X2272" s="1">
        <v>10.83133679</v>
      </c>
      <c r="Y2272" s="1">
        <v>10.60253571</v>
      </c>
      <c r="Z2272" s="1">
        <v>10.71293496</v>
      </c>
      <c r="AA2272" s="1">
        <v>10.674765369999999</v>
      </c>
      <c r="AB2272" s="1">
        <v>10.681624019999999</v>
      </c>
      <c r="AC2272" s="1">
        <v>10.59648765</v>
      </c>
      <c r="AD2272" s="1">
        <v>10.725077300000001</v>
      </c>
      <c r="AE2272" s="1">
        <v>10.612607690000001</v>
      </c>
    </row>
    <row r="2273" spans="1:31" x14ac:dyDescent="0.25">
      <c r="A2273" s="1" t="s">
        <v>1035</v>
      </c>
      <c r="B2273" s="1" t="s">
        <v>2579</v>
      </c>
      <c r="C2273" s="1" t="s">
        <v>2933</v>
      </c>
      <c r="D2273" s="1" t="s">
        <v>3912</v>
      </c>
      <c r="E2273" s="1" t="s">
        <v>5921</v>
      </c>
      <c r="F2273" s="1" t="s">
        <v>5922</v>
      </c>
      <c r="G2273" s="1" t="s">
        <v>1035</v>
      </c>
      <c r="H2273" s="1">
        <v>10.415362200000001</v>
      </c>
      <c r="I2273" s="1">
        <v>10.26810804</v>
      </c>
      <c r="J2273" s="1">
        <v>9.7534169810000009</v>
      </c>
      <c r="K2273" s="1">
        <v>9.8641618350000009</v>
      </c>
      <c r="L2273" s="1">
        <v>8.6830803519999993</v>
      </c>
      <c r="M2273" s="1">
        <v>9.0561146210000008</v>
      </c>
      <c r="N2273" s="1">
        <v>9.5732287790000008</v>
      </c>
      <c r="O2273" s="1">
        <v>9.7351275360000002</v>
      </c>
      <c r="P2273" s="1">
        <v>9.708390735</v>
      </c>
      <c r="Q2273" s="1">
        <v>9.7703044030000008</v>
      </c>
      <c r="R2273" s="1">
        <v>9.3917765289999995</v>
      </c>
      <c r="S2273" s="1">
        <v>9.3372605039999996</v>
      </c>
      <c r="T2273" s="1">
        <v>8.6830803519999993</v>
      </c>
      <c r="U2273" s="1">
        <v>9.0561146210000008</v>
      </c>
      <c r="V2273" s="1">
        <v>8.8616506200000007</v>
      </c>
      <c r="W2273" s="1">
        <v>8.8679956759999996</v>
      </c>
      <c r="X2273" s="1">
        <v>8.8391529080000009</v>
      </c>
      <c r="Y2273" s="1">
        <v>8.7515406979999995</v>
      </c>
      <c r="Z2273" s="1">
        <v>9.3917765289999995</v>
      </c>
      <c r="AA2273" s="1">
        <v>9.3372605039999996</v>
      </c>
      <c r="AB2273" s="1">
        <v>9.0389200679999995</v>
      </c>
      <c r="AC2273" s="1">
        <v>9.1084737740000001</v>
      </c>
      <c r="AD2273" s="1">
        <v>8.9276554430000008</v>
      </c>
      <c r="AE2273" s="1">
        <v>8.6751109460000002</v>
      </c>
    </row>
    <row r="2274" spans="1:31" x14ac:dyDescent="0.25">
      <c r="A2274" s="1" t="s">
        <v>1039</v>
      </c>
      <c r="B2274" s="1" t="s">
        <v>2662</v>
      </c>
      <c r="C2274" s="1" t="s">
        <v>3291</v>
      </c>
      <c r="D2274" s="1" t="s">
        <v>5923</v>
      </c>
      <c r="E2274" s="1" t="s">
        <v>5924</v>
      </c>
      <c r="F2274" s="1" t="s">
        <v>5925</v>
      </c>
      <c r="G2274" s="1" t="s">
        <v>1039</v>
      </c>
      <c r="H2274" s="1">
        <v>9.1895402070000003</v>
      </c>
      <c r="I2274" s="1">
        <v>8.4551419649999993</v>
      </c>
      <c r="J2274" s="1">
        <v>8.8615478220000004</v>
      </c>
      <c r="K2274" s="1">
        <v>8.973637235</v>
      </c>
      <c r="L2274" s="1">
        <v>8.23044318</v>
      </c>
      <c r="M2274" s="1">
        <v>8.4373217569999994</v>
      </c>
      <c r="N2274" s="1">
        <v>7.1097845480000004</v>
      </c>
      <c r="O2274" s="1">
        <v>7.8467401350000001</v>
      </c>
      <c r="P2274" s="1">
        <v>8.7435395650000007</v>
      </c>
      <c r="Q2274" s="1">
        <v>8.4932282499999996</v>
      </c>
      <c r="R2274" s="1">
        <v>8.8255273919999997</v>
      </c>
      <c r="S2274" s="1">
        <v>8.4163681350000008</v>
      </c>
      <c r="T2274" s="1">
        <v>8.23044318</v>
      </c>
      <c r="U2274" s="1">
        <v>8.4373217569999994</v>
      </c>
      <c r="V2274" s="1">
        <v>8.8524462659999994</v>
      </c>
      <c r="W2274" s="1">
        <v>8.745508311</v>
      </c>
      <c r="X2274" s="1">
        <v>9.3134796590000004</v>
      </c>
      <c r="Y2274" s="1">
        <v>8.9651509449999995</v>
      </c>
      <c r="Z2274" s="1">
        <v>8.8255273919999997</v>
      </c>
      <c r="AA2274" s="1">
        <v>8.4163681350000008</v>
      </c>
      <c r="AB2274" s="1">
        <v>9.2098462239999996</v>
      </c>
      <c r="AC2274" s="1">
        <v>9.1169498989999997</v>
      </c>
      <c r="AD2274" s="1">
        <v>9.2441815179999995</v>
      </c>
      <c r="AE2274" s="1">
        <v>8.8848467610000004</v>
      </c>
    </row>
    <row r="2275" spans="1:31" x14ac:dyDescent="0.25">
      <c r="A2275" s="1" t="s">
        <v>1074</v>
      </c>
      <c r="B2275" s="1" t="s">
        <v>2530</v>
      </c>
      <c r="C2275" s="1" t="s">
        <v>2531</v>
      </c>
      <c r="D2275" s="1" t="s">
        <v>2535</v>
      </c>
      <c r="E2275" s="1" t="s">
        <v>2536</v>
      </c>
      <c r="G2275" s="1" t="s">
        <v>1074</v>
      </c>
      <c r="H2275" s="1">
        <v>5.2221022919999998</v>
      </c>
      <c r="I2275" s="1">
        <v>5.3275363779999996</v>
      </c>
      <c r="J2275" s="1">
        <v>5.1034438250000003</v>
      </c>
      <c r="K2275" s="1">
        <v>5.0588199180000002</v>
      </c>
      <c r="L2275" s="1">
        <v>4.0223143549999998</v>
      </c>
      <c r="M2275" s="1">
        <v>4.494607383</v>
      </c>
      <c r="N2275" s="1">
        <v>4.6936110280000003</v>
      </c>
      <c r="O2275" s="1">
        <v>5.2800788330000001</v>
      </c>
      <c r="P2275" s="1">
        <v>4.4805784009999998</v>
      </c>
      <c r="Q2275" s="1">
        <v>4.8773483779999998</v>
      </c>
      <c r="R2275" s="1">
        <v>4.45403635</v>
      </c>
      <c r="S2275" s="1">
        <v>4.1304223819999999</v>
      </c>
      <c r="T2275" s="1">
        <v>4.0223143549999998</v>
      </c>
      <c r="U2275" s="1">
        <v>4.494607383</v>
      </c>
      <c r="V2275" s="1">
        <v>4.4559512029999997</v>
      </c>
      <c r="W2275" s="1">
        <v>4.5296290450000001</v>
      </c>
      <c r="X2275" s="1">
        <v>4.1686775799999998</v>
      </c>
      <c r="Y2275" s="1">
        <v>4.5275934409999996</v>
      </c>
      <c r="Z2275" s="1">
        <v>4.45403635</v>
      </c>
      <c r="AA2275" s="1">
        <v>4.1304223819999999</v>
      </c>
      <c r="AB2275" s="1">
        <v>4.5063178209999997</v>
      </c>
      <c r="AC2275" s="1">
        <v>3.9750819590000002</v>
      </c>
      <c r="AD2275" s="1">
        <v>4.7657555159999996</v>
      </c>
      <c r="AE2275" s="1">
        <v>4.3257514669999999</v>
      </c>
    </row>
    <row r="2276" spans="1:31" x14ac:dyDescent="0.25">
      <c r="A2276" s="1" t="s">
        <v>1105</v>
      </c>
      <c r="B2276" s="1" t="s">
        <v>2535</v>
      </c>
      <c r="C2276" s="1" t="s">
        <v>2535</v>
      </c>
      <c r="D2276" s="1" t="s">
        <v>2535</v>
      </c>
      <c r="E2276" s="1" t="s">
        <v>2535</v>
      </c>
      <c r="F2276" s="1" t="s">
        <v>2535</v>
      </c>
      <c r="G2276" s="1" t="s">
        <v>1105</v>
      </c>
      <c r="H2276" s="1">
        <v>2.640460343</v>
      </c>
      <c r="I2276" s="1">
        <v>3.6484415459999999</v>
      </c>
      <c r="J2276" s="1">
        <v>2.5640169199999998</v>
      </c>
      <c r="K2276" s="1">
        <v>3.4309024589999999</v>
      </c>
      <c r="L2276" s="1">
        <v>3.2097511390000002</v>
      </c>
      <c r="M2276" s="1">
        <v>1.7393328349999999</v>
      </c>
      <c r="N2276" s="1">
        <v>3.1147763629999998</v>
      </c>
      <c r="O2276" s="1">
        <v>3.6346882059999999</v>
      </c>
      <c r="P2276" s="1">
        <v>3.106446558</v>
      </c>
      <c r="Q2276" s="1">
        <v>3.56206471</v>
      </c>
      <c r="R2276" s="1">
        <v>3.7109484589999999</v>
      </c>
      <c r="S2276" s="1">
        <v>3.9182367880000002</v>
      </c>
      <c r="T2276" s="1">
        <v>3.2097511390000002</v>
      </c>
      <c r="U2276" s="1">
        <v>1.7393328349999999</v>
      </c>
      <c r="V2276" s="1">
        <v>3.2389700330000002</v>
      </c>
      <c r="W2276" s="1">
        <v>3.50175473</v>
      </c>
      <c r="X2276" s="1">
        <v>4.2198471</v>
      </c>
      <c r="Y2276" s="1">
        <v>3.7705059300000001</v>
      </c>
      <c r="Z2276" s="1">
        <v>3.7109484589999999</v>
      </c>
      <c r="AA2276" s="1">
        <v>3.9182367880000002</v>
      </c>
      <c r="AB2276" s="1">
        <v>3.6315729079999999</v>
      </c>
      <c r="AC2276" s="1">
        <v>3.7481372300000002</v>
      </c>
      <c r="AD2276" s="1">
        <v>3.1944880649999998</v>
      </c>
      <c r="AE2276" s="1">
        <v>4.0685293649999998</v>
      </c>
    </row>
    <row r="2277" spans="1:31" x14ac:dyDescent="0.25">
      <c r="A2277" s="1" t="s">
        <v>1126</v>
      </c>
      <c r="B2277" s="1" t="s">
        <v>2520</v>
      </c>
      <c r="C2277" s="1" t="s">
        <v>2743</v>
      </c>
      <c r="D2277" s="1" t="s">
        <v>2744</v>
      </c>
      <c r="E2277" s="1" t="s">
        <v>5926</v>
      </c>
      <c r="F2277" s="1" t="s">
        <v>5927</v>
      </c>
      <c r="G2277" s="1" t="s">
        <v>1126</v>
      </c>
      <c r="H2277" s="1">
        <v>7.4716373970000003</v>
      </c>
      <c r="I2277" s="1">
        <v>7.0511021019999998</v>
      </c>
      <c r="J2277" s="1">
        <v>6.4096880770000002</v>
      </c>
      <c r="K2277" s="1">
        <v>6.7038094560000001</v>
      </c>
      <c r="L2277" s="1">
        <v>5.1724144110000001</v>
      </c>
      <c r="M2277" s="1">
        <v>5.1508485750000004</v>
      </c>
      <c r="N2277" s="1">
        <v>6.3881452249999997</v>
      </c>
      <c r="O2277" s="1">
        <v>6.953109897</v>
      </c>
      <c r="P2277" s="1">
        <v>6.4115387159999999</v>
      </c>
      <c r="Q2277" s="1">
        <v>6.098094251</v>
      </c>
      <c r="R2277" s="1">
        <v>5.458747732</v>
      </c>
      <c r="S2277" s="1">
        <v>5.710270789</v>
      </c>
      <c r="T2277" s="1">
        <v>5.1724144110000001</v>
      </c>
      <c r="U2277" s="1">
        <v>5.1508485750000004</v>
      </c>
      <c r="V2277" s="1">
        <v>5.8270932010000003</v>
      </c>
      <c r="W2277" s="1">
        <v>6.0056801469999996</v>
      </c>
      <c r="X2277" s="1">
        <v>5.8091227329999997</v>
      </c>
      <c r="Y2277" s="1">
        <v>6.1314620050000004</v>
      </c>
      <c r="Z2277" s="1">
        <v>5.458747732</v>
      </c>
      <c r="AA2277" s="1">
        <v>5.710270789</v>
      </c>
      <c r="AB2277" s="1">
        <v>6.1502584210000002</v>
      </c>
      <c r="AC2277" s="1">
        <v>6.1168053020000004</v>
      </c>
      <c r="AD2277" s="1">
        <v>6.3516560770000003</v>
      </c>
      <c r="AE2277" s="1">
        <v>6.3668783680000001</v>
      </c>
    </row>
    <row r="2278" spans="1:31" x14ac:dyDescent="0.25">
      <c r="A2278" s="1" t="s">
        <v>1163</v>
      </c>
      <c r="B2278" s="1" t="s">
        <v>2530</v>
      </c>
      <c r="C2278" s="1" t="s">
        <v>2531</v>
      </c>
      <c r="D2278" s="1" t="s">
        <v>2535</v>
      </c>
      <c r="E2278" s="1" t="s">
        <v>2536</v>
      </c>
      <c r="G2278" s="1" t="s">
        <v>1163</v>
      </c>
      <c r="H2278" s="1">
        <v>2.640460343</v>
      </c>
      <c r="I2278" s="1">
        <v>2.5655118899999998</v>
      </c>
      <c r="J2278" s="1">
        <v>2.5640169199999998</v>
      </c>
      <c r="K2278" s="1">
        <v>1.7393328349999999</v>
      </c>
      <c r="L2278" s="1">
        <v>2.5490970000000002</v>
      </c>
      <c r="M2278" s="1">
        <v>3.027864058</v>
      </c>
      <c r="N2278" s="1">
        <v>1.7393328349999999</v>
      </c>
      <c r="O2278" s="1">
        <v>2.6816282820000001</v>
      </c>
      <c r="P2278" s="1">
        <v>2.5478783159999998</v>
      </c>
      <c r="Q2278" s="1">
        <v>2.597100669</v>
      </c>
      <c r="R2278" s="1">
        <v>2.595728008</v>
      </c>
      <c r="S2278" s="1">
        <v>2.9034795349999998</v>
      </c>
      <c r="T2278" s="1">
        <v>2.5490970000000002</v>
      </c>
      <c r="U2278" s="1">
        <v>3.027864058</v>
      </c>
      <c r="V2278" s="1">
        <v>3.2389700330000002</v>
      </c>
      <c r="W2278" s="1">
        <v>1.7393328349999999</v>
      </c>
      <c r="X2278" s="1">
        <v>3.0884111989999998</v>
      </c>
      <c r="Y2278" s="1">
        <v>3.229986142</v>
      </c>
      <c r="Z2278" s="1">
        <v>2.595728008</v>
      </c>
      <c r="AA2278" s="1">
        <v>2.9034795349999998</v>
      </c>
      <c r="AB2278" s="1">
        <v>1.7393328349999999</v>
      </c>
      <c r="AC2278" s="1">
        <v>3.3054795530000001</v>
      </c>
      <c r="AD2278" s="1">
        <v>2.9432342459999998</v>
      </c>
      <c r="AE2278" s="1">
        <v>2.6144016259999998</v>
      </c>
    </row>
    <row r="2279" spans="1:31" x14ac:dyDescent="0.25">
      <c r="A2279" s="1" t="s">
        <v>1185</v>
      </c>
      <c r="B2279" s="1" t="s">
        <v>2530</v>
      </c>
      <c r="C2279" s="1" t="s">
        <v>2531</v>
      </c>
      <c r="D2279" s="1" t="s">
        <v>2535</v>
      </c>
      <c r="E2279" s="1" t="s">
        <v>2536</v>
      </c>
      <c r="G2279" s="1" t="s">
        <v>1185</v>
      </c>
      <c r="H2279" s="1">
        <v>4.8663747150000001</v>
      </c>
      <c r="I2279" s="1">
        <v>4.1114152529999997</v>
      </c>
      <c r="J2279" s="1">
        <v>3.4977151119999998</v>
      </c>
      <c r="K2279" s="1">
        <v>3.607491666</v>
      </c>
      <c r="L2279" s="1">
        <v>3.3884746630000002</v>
      </c>
      <c r="M2279" s="1">
        <v>2.8639998100000001</v>
      </c>
      <c r="N2279" s="1">
        <v>4.1562881980000004</v>
      </c>
      <c r="O2279" s="1">
        <v>4.2767880749999998</v>
      </c>
      <c r="P2279" s="1">
        <v>3.86011382</v>
      </c>
      <c r="Q2279" s="1">
        <v>3.7137735799999998</v>
      </c>
      <c r="R2279" s="1">
        <v>3.5594063970000001</v>
      </c>
      <c r="S2279" s="1">
        <v>3.1475403900000001</v>
      </c>
      <c r="T2279" s="1">
        <v>3.3884746630000002</v>
      </c>
      <c r="U2279" s="1">
        <v>2.8639998100000001</v>
      </c>
      <c r="V2279" s="1">
        <v>3.9849921849999999</v>
      </c>
      <c r="W2279" s="1">
        <v>3.6840067150000002</v>
      </c>
      <c r="X2279" s="1">
        <v>3.7416722899999999</v>
      </c>
      <c r="Y2279" s="1">
        <v>3.4382968329999999</v>
      </c>
      <c r="Z2279" s="1">
        <v>3.5594063970000001</v>
      </c>
      <c r="AA2279" s="1">
        <v>3.1475403900000001</v>
      </c>
      <c r="AB2279" s="1">
        <v>3.6315729079999999</v>
      </c>
      <c r="AC2279" s="1">
        <v>3.4716344729999999</v>
      </c>
      <c r="AD2279" s="1">
        <v>3.725077481</v>
      </c>
      <c r="AE2279" s="1">
        <v>3.7492737119999999</v>
      </c>
    </row>
    <row r="2280" spans="1:31" x14ac:dyDescent="0.25">
      <c r="A2280" s="1" t="s">
        <v>1197</v>
      </c>
      <c r="B2280" s="1" t="s">
        <v>2530</v>
      </c>
      <c r="C2280" s="1" t="s">
        <v>2531</v>
      </c>
      <c r="D2280" s="1" t="s">
        <v>2535</v>
      </c>
      <c r="E2280" s="1" t="s">
        <v>2536</v>
      </c>
      <c r="G2280" s="1" t="s">
        <v>1197</v>
      </c>
      <c r="H2280" s="1">
        <v>6.512907255</v>
      </c>
      <c r="I2280" s="1">
        <v>5.9974724879999997</v>
      </c>
      <c r="J2280" s="1">
        <v>4.5240842389999996</v>
      </c>
      <c r="K2280" s="1">
        <v>4.8139921829999999</v>
      </c>
      <c r="L2280" s="1">
        <v>4.0223143549999998</v>
      </c>
      <c r="M2280" s="1">
        <v>4.1823509169999999</v>
      </c>
      <c r="N2280" s="1">
        <v>5.2399813159999997</v>
      </c>
      <c r="O2280" s="1">
        <v>5.3342335859999999</v>
      </c>
      <c r="P2280" s="1">
        <v>4.4075207919999997</v>
      </c>
      <c r="Q2280" s="1">
        <v>4.5369064569999997</v>
      </c>
      <c r="R2280" s="1">
        <v>3.7109484589999999</v>
      </c>
      <c r="S2280" s="1">
        <v>3.7977317990000001</v>
      </c>
      <c r="T2280" s="1">
        <v>4.0223143549999998</v>
      </c>
      <c r="U2280" s="1">
        <v>4.1823509169999999</v>
      </c>
      <c r="V2280" s="1">
        <v>3.5405335899999999</v>
      </c>
      <c r="W2280" s="1">
        <v>4.2295768090000001</v>
      </c>
      <c r="X2280" s="1">
        <v>4.4920419310000002</v>
      </c>
      <c r="Y2280" s="1">
        <v>4.5275934409999996</v>
      </c>
      <c r="Z2280" s="1">
        <v>3.7109484589999999</v>
      </c>
      <c r="AA2280" s="1">
        <v>3.7977317990000001</v>
      </c>
      <c r="AB2280" s="1">
        <v>4.3946012420000002</v>
      </c>
      <c r="AC2280" s="1">
        <v>4.5576875899999996</v>
      </c>
      <c r="AD2280" s="1">
        <v>4.4715299570000004</v>
      </c>
      <c r="AE2280" s="1">
        <v>4.6936201110000004</v>
      </c>
    </row>
    <row r="2281" spans="1:31" x14ac:dyDescent="0.25">
      <c r="A2281" s="1" t="s">
        <v>1213</v>
      </c>
      <c r="B2281" s="1" t="s">
        <v>2608</v>
      </c>
      <c r="C2281" s="1" t="s">
        <v>2700</v>
      </c>
      <c r="D2281" s="1" t="s">
        <v>3868</v>
      </c>
      <c r="E2281" s="1" t="s">
        <v>5928</v>
      </c>
      <c r="F2281" s="1" t="s">
        <v>5929</v>
      </c>
      <c r="G2281" s="1" t="s">
        <v>1213</v>
      </c>
      <c r="H2281" s="1">
        <v>4.7972697699999998</v>
      </c>
      <c r="I2281" s="1">
        <v>4.7893724280000001</v>
      </c>
      <c r="J2281" s="1">
        <v>5.1501560140000002</v>
      </c>
      <c r="K2281" s="1">
        <v>5.4913640639999999</v>
      </c>
      <c r="L2281" s="1">
        <v>4.9864364329999997</v>
      </c>
      <c r="M2281" s="1">
        <v>4.896083601</v>
      </c>
      <c r="N2281" s="1">
        <v>5.4930242160000002</v>
      </c>
      <c r="O2281" s="1">
        <v>5.1651541859999996</v>
      </c>
      <c r="P2281" s="1">
        <v>4.6160325330000003</v>
      </c>
      <c r="Q2281" s="1">
        <v>4.8155696649999999</v>
      </c>
      <c r="R2281" s="1">
        <v>4.7472384160000001</v>
      </c>
      <c r="S2281" s="1">
        <v>5.1309834260000002</v>
      </c>
      <c r="T2281" s="1">
        <v>4.9864364329999997</v>
      </c>
      <c r="U2281" s="1">
        <v>4.896083601</v>
      </c>
      <c r="V2281" s="1">
        <v>4.4559512029999997</v>
      </c>
      <c r="W2281" s="1">
        <v>5.427589942</v>
      </c>
      <c r="X2281" s="1">
        <v>5.3098210989999997</v>
      </c>
      <c r="Y2281" s="1">
        <v>5.3269702959999998</v>
      </c>
      <c r="Z2281" s="1">
        <v>4.7472384160000001</v>
      </c>
      <c r="AA2281" s="1">
        <v>5.1309834260000002</v>
      </c>
      <c r="AB2281" s="1">
        <v>4.9601840040000003</v>
      </c>
      <c r="AC2281" s="1">
        <v>5.0158027430000001</v>
      </c>
      <c r="AD2281" s="1">
        <v>4.95179218</v>
      </c>
      <c r="AE2281" s="1">
        <v>4.9843711490000002</v>
      </c>
    </row>
    <row r="2282" spans="1:31" x14ac:dyDescent="0.25">
      <c r="A2282" s="1" t="s">
        <v>1229</v>
      </c>
      <c r="B2282" s="1" t="s">
        <v>2547</v>
      </c>
      <c r="C2282" s="1" t="s">
        <v>2566</v>
      </c>
      <c r="D2282" s="1" t="s">
        <v>5291</v>
      </c>
      <c r="E2282" s="1" t="s">
        <v>5452</v>
      </c>
      <c r="F2282" s="1" t="s">
        <v>5453</v>
      </c>
      <c r="G2282" s="1" t="s">
        <v>1229</v>
      </c>
      <c r="H2282" s="1">
        <v>2.640460343</v>
      </c>
      <c r="I2282" s="1">
        <v>3.6484415459999999</v>
      </c>
      <c r="J2282" s="1">
        <v>3.4977151119999998</v>
      </c>
      <c r="K2282" s="1">
        <v>3.22334677</v>
      </c>
      <c r="L2282" s="1">
        <v>3.3025959560000002</v>
      </c>
      <c r="M2282" s="1">
        <v>3.169085575</v>
      </c>
      <c r="N2282" s="1">
        <v>3.8490531570000002</v>
      </c>
      <c r="O2282" s="1">
        <v>3.9591193910000002</v>
      </c>
      <c r="P2282" s="1">
        <v>3.466113682</v>
      </c>
      <c r="Q2282" s="1">
        <v>3.56206471</v>
      </c>
      <c r="R2282" s="1">
        <v>3.5594063970000001</v>
      </c>
      <c r="S2282" s="1">
        <v>4.1304223819999999</v>
      </c>
      <c r="T2282" s="1">
        <v>3.3025959560000002</v>
      </c>
      <c r="U2282" s="1">
        <v>3.169085575</v>
      </c>
      <c r="V2282" s="1">
        <v>3.887436229</v>
      </c>
      <c r="W2282" s="1">
        <v>3.50175473</v>
      </c>
      <c r="X2282" s="1">
        <v>3.0884111989999998</v>
      </c>
      <c r="Y2282" s="1">
        <v>3.6154848500000001</v>
      </c>
      <c r="Z2282" s="1">
        <v>3.5594063970000001</v>
      </c>
      <c r="AA2282" s="1">
        <v>4.1304223819999999</v>
      </c>
      <c r="AB2282" s="1">
        <v>3.6315729079999999</v>
      </c>
      <c r="AC2282" s="1">
        <v>3.4716344729999999</v>
      </c>
      <c r="AD2282" s="1">
        <v>3.5727029510000001</v>
      </c>
      <c r="AE2282" s="1">
        <v>3.0939349979999999</v>
      </c>
    </row>
    <row r="2283" spans="1:31" x14ac:dyDescent="0.25">
      <c r="A2283" s="1" t="s">
        <v>1248</v>
      </c>
      <c r="B2283" s="1" t="s">
        <v>2535</v>
      </c>
      <c r="C2283" s="1" t="s">
        <v>2535</v>
      </c>
      <c r="D2283" s="1" t="s">
        <v>2535</v>
      </c>
      <c r="E2283" s="1" t="s">
        <v>2535</v>
      </c>
      <c r="F2283" s="1" t="s">
        <v>2535</v>
      </c>
      <c r="G2283" s="1" t="s">
        <v>1248</v>
      </c>
      <c r="H2283" s="1">
        <v>2.9945681560000001</v>
      </c>
      <c r="I2283" s="1">
        <v>3.1348991329999998</v>
      </c>
      <c r="J2283" s="1">
        <v>2.5640169199999998</v>
      </c>
      <c r="K2283" s="1">
        <v>2.9677134359999999</v>
      </c>
      <c r="L2283" s="1">
        <v>2.9964092330000001</v>
      </c>
      <c r="M2283" s="1">
        <v>2.3994532390000001</v>
      </c>
      <c r="N2283" s="1">
        <v>3.23577855</v>
      </c>
      <c r="O2283" s="1">
        <v>2.883783352</v>
      </c>
      <c r="P2283" s="1">
        <v>1.7393328349999999</v>
      </c>
      <c r="Q2283" s="1">
        <v>3.388910638</v>
      </c>
      <c r="R2283" s="1">
        <v>2.595728008</v>
      </c>
      <c r="S2283" s="1">
        <v>2.9034795349999998</v>
      </c>
      <c r="T2283" s="1">
        <v>2.9964092330000001</v>
      </c>
      <c r="U2283" s="1">
        <v>2.3994532390000001</v>
      </c>
      <c r="V2283" s="1">
        <v>3.3993802240000002</v>
      </c>
      <c r="W2283" s="1">
        <v>3.0218530750000001</v>
      </c>
      <c r="X2283" s="1">
        <v>3.0884111989999998</v>
      </c>
      <c r="Y2283" s="1">
        <v>1.7393328349999999</v>
      </c>
      <c r="Z2283" s="1">
        <v>2.595728008</v>
      </c>
      <c r="AA2283" s="1">
        <v>2.9034795349999998</v>
      </c>
      <c r="AB2283" s="1">
        <v>1.7393328349999999</v>
      </c>
      <c r="AC2283" s="1">
        <v>1.7393328349999999</v>
      </c>
      <c r="AD2283" s="1">
        <v>1.7393328349999999</v>
      </c>
      <c r="AE2283" s="1">
        <v>2.6144016259999998</v>
      </c>
    </row>
    <row r="2284" spans="1:31" x14ac:dyDescent="0.25">
      <c r="A2284" s="1" t="s">
        <v>1254</v>
      </c>
      <c r="B2284" s="1" t="s">
        <v>2662</v>
      </c>
      <c r="C2284" s="1" t="s">
        <v>5930</v>
      </c>
      <c r="D2284" s="1" t="s">
        <v>5931</v>
      </c>
      <c r="E2284" s="1" t="s">
        <v>5932</v>
      </c>
      <c r="F2284" s="1" t="s">
        <v>5933</v>
      </c>
      <c r="G2284" s="1" t="s">
        <v>1254</v>
      </c>
      <c r="H2284" s="1">
        <v>1.7393328349999999</v>
      </c>
      <c r="I2284" s="1">
        <v>2.8927893610000002</v>
      </c>
      <c r="J2284" s="1">
        <v>2.5640169199999998</v>
      </c>
      <c r="K2284" s="1">
        <v>1.7393328349999999</v>
      </c>
      <c r="L2284" s="1">
        <v>1.7393328349999999</v>
      </c>
      <c r="M2284" s="1">
        <v>1.7393328349999999</v>
      </c>
      <c r="N2284" s="1">
        <v>2.628425199</v>
      </c>
      <c r="O2284" s="1">
        <v>2.6816282820000001</v>
      </c>
      <c r="P2284" s="1">
        <v>1.7393328349999999</v>
      </c>
      <c r="Q2284" s="1">
        <v>1.7393328349999999</v>
      </c>
      <c r="R2284" s="1">
        <v>1.7393328349999999</v>
      </c>
      <c r="S2284" s="1">
        <v>2.9034795349999998</v>
      </c>
      <c r="T2284" s="1">
        <v>1.7393328349999999</v>
      </c>
      <c r="U2284" s="1">
        <v>1.7393328349999999</v>
      </c>
      <c r="V2284" s="1">
        <v>1.7393328349999999</v>
      </c>
      <c r="W2284" s="1">
        <v>1.7393328349999999</v>
      </c>
      <c r="X2284" s="1">
        <v>1.7393328349999999</v>
      </c>
      <c r="Y2284" s="1">
        <v>2.624795792</v>
      </c>
      <c r="Z2284" s="1">
        <v>1.7393328349999999</v>
      </c>
      <c r="AA2284" s="1">
        <v>2.9034795349999998</v>
      </c>
      <c r="AB2284" s="1">
        <v>1.7393328349999999</v>
      </c>
      <c r="AC2284" s="1">
        <v>1.7393328349999999</v>
      </c>
      <c r="AD2284" s="1">
        <v>1.7393328349999999</v>
      </c>
      <c r="AE2284" s="1">
        <v>1.7393328349999999</v>
      </c>
    </row>
    <row r="2285" spans="1:31" x14ac:dyDescent="0.25">
      <c r="A2285" s="1" t="s">
        <v>1269</v>
      </c>
      <c r="B2285" s="1" t="s">
        <v>2535</v>
      </c>
      <c r="C2285" s="1" t="s">
        <v>2535</v>
      </c>
      <c r="D2285" s="1" t="s">
        <v>2535</v>
      </c>
      <c r="E2285" s="1" t="s">
        <v>2535</v>
      </c>
      <c r="F2285" s="1" t="s">
        <v>2535</v>
      </c>
      <c r="G2285" s="1" t="s">
        <v>1269</v>
      </c>
      <c r="H2285" s="1">
        <v>1.7393328349999999</v>
      </c>
      <c r="I2285" s="1">
        <v>1.7393328349999999</v>
      </c>
      <c r="J2285" s="1">
        <v>1.7393328349999999</v>
      </c>
      <c r="K2285" s="1">
        <v>1.7393328349999999</v>
      </c>
      <c r="L2285" s="1">
        <v>1.7393328349999999</v>
      </c>
      <c r="M2285" s="1">
        <v>1.7393328349999999</v>
      </c>
      <c r="N2285" s="1">
        <v>2.8201075470000001</v>
      </c>
      <c r="O2285" s="1">
        <v>1.7393328349999999</v>
      </c>
      <c r="P2285" s="1">
        <v>1.7393328349999999</v>
      </c>
      <c r="Q2285" s="1">
        <v>1.7393328349999999</v>
      </c>
      <c r="R2285" s="1">
        <v>1.7393328349999999</v>
      </c>
      <c r="S2285" s="1">
        <v>1.7393328349999999</v>
      </c>
      <c r="T2285" s="1">
        <v>1.7393328349999999</v>
      </c>
      <c r="U2285" s="1">
        <v>1.7393328349999999</v>
      </c>
      <c r="V2285" s="1">
        <v>1.7393328349999999</v>
      </c>
      <c r="W2285" s="1">
        <v>1.7393328349999999</v>
      </c>
      <c r="X2285" s="1">
        <v>1.7393328349999999</v>
      </c>
      <c r="Y2285" s="1">
        <v>1.7393328349999999</v>
      </c>
      <c r="Z2285" s="1">
        <v>1.7393328349999999</v>
      </c>
      <c r="AA2285" s="1">
        <v>1.7393328349999999</v>
      </c>
      <c r="AB2285" s="1">
        <v>1.7393328349999999</v>
      </c>
      <c r="AC2285" s="1">
        <v>1.7393328349999999</v>
      </c>
      <c r="AD2285" s="1">
        <v>1.7393328349999999</v>
      </c>
      <c r="AE2285" s="1">
        <v>1.7393328349999999</v>
      </c>
    </row>
    <row r="2286" spans="1:31" x14ac:dyDescent="0.25">
      <c r="A2286" s="1" t="s">
        <v>1272</v>
      </c>
      <c r="B2286" s="1" t="s">
        <v>2520</v>
      </c>
      <c r="C2286" s="1" t="s">
        <v>2646</v>
      </c>
      <c r="D2286" s="1" t="s">
        <v>5934</v>
      </c>
      <c r="E2286" s="1" t="s">
        <v>5935</v>
      </c>
      <c r="F2286" s="1" t="s">
        <v>5936</v>
      </c>
      <c r="G2286" s="1" t="s">
        <v>1272</v>
      </c>
      <c r="H2286" s="1">
        <v>4.3886087140000001</v>
      </c>
      <c r="I2286" s="1">
        <v>4.9575946069999999</v>
      </c>
      <c r="J2286" s="1">
        <v>3.7773371739999999</v>
      </c>
      <c r="K2286" s="1">
        <v>3.762021974</v>
      </c>
      <c r="L2286" s="1">
        <v>3.5435353630000002</v>
      </c>
      <c r="M2286" s="1">
        <v>3.7747836370000001</v>
      </c>
      <c r="N2286" s="1">
        <v>4.6560102480000003</v>
      </c>
      <c r="O2286" s="1">
        <v>4.7100516409999997</v>
      </c>
      <c r="P2286" s="1">
        <v>4.2485661720000003</v>
      </c>
      <c r="Q2286" s="1">
        <v>3.388910638</v>
      </c>
      <c r="R2286" s="1">
        <v>3.386455024</v>
      </c>
      <c r="S2286" s="1">
        <v>3.6647387380000001</v>
      </c>
      <c r="T2286" s="1">
        <v>3.5435353630000002</v>
      </c>
      <c r="U2286" s="1">
        <v>3.7747836370000001</v>
      </c>
      <c r="V2286" s="1">
        <v>4.6987742170000004</v>
      </c>
      <c r="W2286" s="1">
        <v>4.2295768090000001</v>
      </c>
      <c r="X2286" s="1">
        <v>4.6838774470000004</v>
      </c>
      <c r="Y2286" s="1">
        <v>4.0337379980000003</v>
      </c>
      <c r="Z2286" s="1">
        <v>3.386455024</v>
      </c>
      <c r="AA2286" s="1">
        <v>3.6647387380000001</v>
      </c>
      <c r="AB2286" s="1">
        <v>3.6315729079999999</v>
      </c>
      <c r="AC2286" s="1">
        <v>3.6175630609999998</v>
      </c>
      <c r="AD2286" s="1">
        <v>4.4715299570000004</v>
      </c>
      <c r="AE2286" s="1">
        <v>4.4163948289999997</v>
      </c>
    </row>
    <row r="2287" spans="1:31" x14ac:dyDescent="0.25">
      <c r="A2287" s="1" t="s">
        <v>1286</v>
      </c>
      <c r="B2287" s="1" t="s">
        <v>2530</v>
      </c>
      <c r="C2287" s="1" t="s">
        <v>2531</v>
      </c>
      <c r="D2287" s="1" t="s">
        <v>2535</v>
      </c>
      <c r="E2287" s="1" t="s">
        <v>2536</v>
      </c>
      <c r="G2287" s="1" t="s">
        <v>1286</v>
      </c>
      <c r="H2287" s="1">
        <v>2.9945681560000001</v>
      </c>
      <c r="I2287" s="1">
        <v>2.5655118899999998</v>
      </c>
      <c r="J2287" s="1">
        <v>2.8907526730000002</v>
      </c>
      <c r="K2287" s="1">
        <v>1.7393328349999999</v>
      </c>
      <c r="L2287" s="1">
        <v>2.7248816410000001</v>
      </c>
      <c r="M2287" s="1">
        <v>2.8639998100000001</v>
      </c>
      <c r="N2287" s="1">
        <v>3.622455167</v>
      </c>
      <c r="O2287" s="1">
        <v>2.411448644</v>
      </c>
      <c r="P2287" s="1">
        <v>2.8687501260000001</v>
      </c>
      <c r="Q2287" s="1">
        <v>2.935765398</v>
      </c>
      <c r="R2287" s="1">
        <v>2.9339002829999998</v>
      </c>
      <c r="S2287" s="1">
        <v>2.9034795349999998</v>
      </c>
      <c r="T2287" s="1">
        <v>2.7248816410000001</v>
      </c>
      <c r="U2287" s="1">
        <v>2.8639998100000001</v>
      </c>
      <c r="V2287" s="1">
        <v>3.3993802240000002</v>
      </c>
      <c r="W2287" s="1">
        <v>3.0218530750000001</v>
      </c>
      <c r="X2287" s="1">
        <v>3.5039136989999999</v>
      </c>
      <c r="Y2287" s="1">
        <v>1.7393328349999999</v>
      </c>
      <c r="Z2287" s="1">
        <v>2.9339002829999998</v>
      </c>
      <c r="AA2287" s="1">
        <v>2.9034795349999998</v>
      </c>
      <c r="AB2287" s="1">
        <v>2.73487305</v>
      </c>
      <c r="AC2287" s="1">
        <v>1.7393328349999999</v>
      </c>
      <c r="AD2287" s="1">
        <v>2.6025990879999998</v>
      </c>
      <c r="AE2287" s="1">
        <v>2.6144016259999998</v>
      </c>
    </row>
    <row r="2288" spans="1:31" x14ac:dyDescent="0.25">
      <c r="A2288" s="1" t="s">
        <v>1310</v>
      </c>
      <c r="B2288" s="1" t="s">
        <v>2530</v>
      </c>
      <c r="C2288" s="1" t="s">
        <v>2531</v>
      </c>
      <c r="D2288" s="1" t="s">
        <v>2535</v>
      </c>
      <c r="E2288" s="1" t="s">
        <v>2536</v>
      </c>
      <c r="G2288" s="1" t="s">
        <v>1310</v>
      </c>
      <c r="H2288" s="1">
        <v>7.9898696789999999</v>
      </c>
      <c r="I2288" s="1">
        <v>7.4728468509999999</v>
      </c>
      <c r="J2288" s="1">
        <v>8.2033016090000004</v>
      </c>
      <c r="K2288" s="1">
        <v>8.1378277860000008</v>
      </c>
      <c r="L2288" s="1">
        <v>7.8155856620000002</v>
      </c>
      <c r="M2288" s="1">
        <v>7.9528177189999996</v>
      </c>
      <c r="N2288" s="1">
        <v>6.5880735220000002</v>
      </c>
      <c r="O2288" s="1">
        <v>6.6999861269999998</v>
      </c>
      <c r="P2288" s="1">
        <v>8.0201332680000004</v>
      </c>
      <c r="Q2288" s="1">
        <v>7.7608827460000001</v>
      </c>
      <c r="R2288" s="1">
        <v>8.1189552749999994</v>
      </c>
      <c r="S2288" s="1">
        <v>8.0610553809999992</v>
      </c>
      <c r="T2288" s="1">
        <v>7.8155856620000002</v>
      </c>
      <c r="U2288" s="1">
        <v>7.9528177189999996</v>
      </c>
      <c r="V2288" s="1">
        <v>8.0226884639999998</v>
      </c>
      <c r="W2288" s="1">
        <v>7.98368038</v>
      </c>
      <c r="X2288" s="1">
        <v>7.7899080940000003</v>
      </c>
      <c r="Y2288" s="1">
        <v>7.47501265</v>
      </c>
      <c r="Z2288" s="1">
        <v>8.1189552749999994</v>
      </c>
      <c r="AA2288" s="1">
        <v>8.0610553809999992</v>
      </c>
      <c r="AB2288" s="1">
        <v>7.8449502390000001</v>
      </c>
      <c r="AC2288" s="1">
        <v>8.1616216799999997</v>
      </c>
      <c r="AD2288" s="1">
        <v>7.523248315</v>
      </c>
      <c r="AE2288" s="1">
        <v>7.6871681260000004</v>
      </c>
    </row>
    <row r="2289" spans="1:31" x14ac:dyDescent="0.25">
      <c r="A2289" s="1" t="s">
        <v>1317</v>
      </c>
      <c r="B2289" s="1" t="s">
        <v>2557</v>
      </c>
      <c r="C2289" s="1" t="s">
        <v>2967</v>
      </c>
      <c r="D2289" s="1" t="s">
        <v>2535</v>
      </c>
      <c r="E2289" s="1" t="s">
        <v>5937</v>
      </c>
      <c r="F2289" s="1" t="s">
        <v>5938</v>
      </c>
      <c r="G2289" s="1" t="s">
        <v>1317</v>
      </c>
      <c r="H2289" s="1">
        <v>7.2974165470000001</v>
      </c>
      <c r="I2289" s="1">
        <v>7.1110789749999999</v>
      </c>
      <c r="J2289" s="1">
        <v>7.9324336190000002</v>
      </c>
      <c r="K2289" s="1">
        <v>8.2209715289999998</v>
      </c>
      <c r="L2289" s="1">
        <v>6.8668915000000004</v>
      </c>
      <c r="M2289" s="1">
        <v>7.0497775430000003</v>
      </c>
      <c r="N2289" s="1">
        <v>7.1233975809999999</v>
      </c>
      <c r="O2289" s="1">
        <v>6.9444867510000003</v>
      </c>
      <c r="P2289" s="1">
        <v>7.8352611239999996</v>
      </c>
      <c r="Q2289" s="1">
        <v>7.7446185060000001</v>
      </c>
      <c r="R2289" s="1">
        <v>7.5847497099999996</v>
      </c>
      <c r="S2289" s="1">
        <v>7.1840900559999996</v>
      </c>
      <c r="T2289" s="1">
        <v>6.8668915000000004</v>
      </c>
      <c r="U2289" s="1">
        <v>7.0497775430000003</v>
      </c>
      <c r="V2289" s="1">
        <v>7.4931841910000001</v>
      </c>
      <c r="W2289" s="1">
        <v>7.8666471390000003</v>
      </c>
      <c r="X2289" s="1">
        <v>7.8342426989999998</v>
      </c>
      <c r="Y2289" s="1">
        <v>7.6715271349999998</v>
      </c>
      <c r="Z2289" s="1">
        <v>7.5847497099999996</v>
      </c>
      <c r="AA2289" s="1">
        <v>7.1840900559999996</v>
      </c>
      <c r="AB2289" s="1">
        <v>7.6801742930000003</v>
      </c>
      <c r="AC2289" s="1">
        <v>7.7968290509999996</v>
      </c>
      <c r="AD2289" s="1">
        <v>7.8957990010000003</v>
      </c>
      <c r="AE2289" s="1">
        <v>7.8972290149999997</v>
      </c>
    </row>
    <row r="2290" spans="1:31" x14ac:dyDescent="0.25">
      <c r="A2290" s="1" t="s">
        <v>1386</v>
      </c>
      <c r="B2290" s="1" t="s">
        <v>2557</v>
      </c>
      <c r="C2290" s="1" t="s">
        <v>3284</v>
      </c>
      <c r="D2290" s="1" t="s">
        <v>3627</v>
      </c>
      <c r="E2290" s="1" t="s">
        <v>5939</v>
      </c>
      <c r="F2290" s="1" t="s">
        <v>5940</v>
      </c>
      <c r="G2290" s="1" t="s">
        <v>1386</v>
      </c>
      <c r="H2290" s="1">
        <v>3.8023684370000002</v>
      </c>
      <c r="I2290" s="1">
        <v>3.9003964459999998</v>
      </c>
      <c r="J2290" s="1">
        <v>4.3724365990000003</v>
      </c>
      <c r="K2290" s="1">
        <v>4.8793048219999999</v>
      </c>
      <c r="L2290" s="1">
        <v>4.8008003170000002</v>
      </c>
      <c r="M2290" s="1">
        <v>4.824486168</v>
      </c>
      <c r="N2290" s="1">
        <v>4.5366957899999996</v>
      </c>
      <c r="O2290" s="1">
        <v>4.4368189940000002</v>
      </c>
      <c r="P2290" s="1">
        <v>4.161525224</v>
      </c>
      <c r="Q2290" s="1">
        <v>4.0840108080000004</v>
      </c>
      <c r="R2290" s="1">
        <v>4.0808207129999996</v>
      </c>
      <c r="S2290" s="1">
        <v>4.3966315629999997</v>
      </c>
      <c r="T2290" s="1">
        <v>4.8008003170000002</v>
      </c>
      <c r="U2290" s="1">
        <v>4.824486168</v>
      </c>
      <c r="V2290" s="1">
        <v>3.6670520409999998</v>
      </c>
      <c r="W2290" s="1">
        <v>4.1128053839999996</v>
      </c>
      <c r="X2290" s="1">
        <v>4.5325909299999996</v>
      </c>
      <c r="Y2290" s="1">
        <v>4.0337379980000003</v>
      </c>
      <c r="Z2290" s="1">
        <v>4.0808207129999996</v>
      </c>
      <c r="AA2290" s="1">
        <v>4.3966315629999997</v>
      </c>
      <c r="AB2290" s="1">
        <v>3.990981031</v>
      </c>
      <c r="AC2290" s="1">
        <v>4.4881955270000002</v>
      </c>
      <c r="AD2290" s="1">
        <v>3.8610926929999998</v>
      </c>
      <c r="AE2290" s="1">
        <v>4.542053224</v>
      </c>
    </row>
    <row r="2291" spans="1:31" x14ac:dyDescent="0.25">
      <c r="A2291" s="1" t="s">
        <v>1409</v>
      </c>
      <c r="B2291" s="1" t="s">
        <v>2520</v>
      </c>
      <c r="C2291" s="1" t="s">
        <v>2743</v>
      </c>
      <c r="D2291" s="1" t="s">
        <v>4985</v>
      </c>
      <c r="E2291" s="1" t="s">
        <v>5941</v>
      </c>
      <c r="F2291" s="1" t="s">
        <v>5942</v>
      </c>
      <c r="G2291" s="1" t="s">
        <v>1409</v>
      </c>
      <c r="H2291" s="1">
        <v>8.798604031</v>
      </c>
      <c r="I2291" s="1">
        <v>8.6455408279999997</v>
      </c>
      <c r="J2291" s="1">
        <v>8.2988470999999997</v>
      </c>
      <c r="K2291" s="1">
        <v>8.486962471</v>
      </c>
      <c r="L2291" s="1">
        <v>7.3017228740000002</v>
      </c>
      <c r="M2291" s="1">
        <v>7.699896818</v>
      </c>
      <c r="N2291" s="1">
        <v>7.8764995420000004</v>
      </c>
      <c r="O2291" s="1">
        <v>8.468322809</v>
      </c>
      <c r="P2291" s="1">
        <v>7.9527688200000002</v>
      </c>
      <c r="Q2291" s="1">
        <v>8.0394437910000001</v>
      </c>
      <c r="R2291" s="1">
        <v>8.2794534619999993</v>
      </c>
      <c r="S2291" s="1">
        <v>8.2026378730000005</v>
      </c>
      <c r="T2291" s="1">
        <v>7.3017228740000002</v>
      </c>
      <c r="U2291" s="1">
        <v>7.699896818</v>
      </c>
      <c r="V2291" s="1">
        <v>8.0390096159999995</v>
      </c>
      <c r="W2291" s="1">
        <v>7.8579126600000002</v>
      </c>
      <c r="X2291" s="1">
        <v>7.8733972420000002</v>
      </c>
      <c r="Y2291" s="1">
        <v>7.6530380129999998</v>
      </c>
      <c r="Z2291" s="1">
        <v>8.2794534619999993</v>
      </c>
      <c r="AA2291" s="1">
        <v>8.2026378730000005</v>
      </c>
      <c r="AB2291" s="1">
        <v>8.1438923689999996</v>
      </c>
      <c r="AC2291" s="1">
        <v>7.9182087560000003</v>
      </c>
      <c r="AD2291" s="1">
        <v>7.6076808400000004</v>
      </c>
      <c r="AE2291" s="1">
        <v>7.8265318109999997</v>
      </c>
    </row>
    <row r="2292" spans="1:31" x14ac:dyDescent="0.25">
      <c r="A2292" s="1" t="s">
        <v>1410</v>
      </c>
      <c r="B2292" s="1" t="s">
        <v>2579</v>
      </c>
      <c r="C2292" s="1" t="s">
        <v>2933</v>
      </c>
      <c r="D2292" s="1" t="s">
        <v>2934</v>
      </c>
      <c r="E2292" s="1" t="s">
        <v>5943</v>
      </c>
      <c r="F2292" s="1" t="s">
        <v>5944</v>
      </c>
      <c r="G2292" s="1" t="s">
        <v>1410</v>
      </c>
      <c r="H2292" s="1">
        <v>8.6710599619999993</v>
      </c>
      <c r="I2292" s="1">
        <v>7.8488900639999999</v>
      </c>
      <c r="J2292" s="1">
        <v>8.0712132830000005</v>
      </c>
      <c r="K2292" s="1">
        <v>8.0635266469999998</v>
      </c>
      <c r="L2292" s="1">
        <v>7.5380685420000004</v>
      </c>
      <c r="M2292" s="1">
        <v>7.7048251130000001</v>
      </c>
      <c r="N2292" s="1">
        <v>7.1435790069999996</v>
      </c>
      <c r="O2292" s="1">
        <v>7.7008458610000003</v>
      </c>
      <c r="P2292" s="1">
        <v>7.8488004619999998</v>
      </c>
      <c r="Q2292" s="1">
        <v>7.8698686100000002</v>
      </c>
      <c r="R2292" s="1">
        <v>7.7481625689999998</v>
      </c>
      <c r="S2292" s="1">
        <v>7.9649448649999997</v>
      </c>
      <c r="T2292" s="1">
        <v>7.5380685420000004</v>
      </c>
      <c r="U2292" s="1">
        <v>7.7048251130000001</v>
      </c>
      <c r="V2292" s="1">
        <v>7.6287821759999996</v>
      </c>
      <c r="W2292" s="1">
        <v>7.3852544990000002</v>
      </c>
      <c r="X2292" s="1">
        <v>7.7609685380000002</v>
      </c>
      <c r="Y2292" s="1">
        <v>7.2839342949999999</v>
      </c>
      <c r="Z2292" s="1">
        <v>7.7481625689999998</v>
      </c>
      <c r="AA2292" s="1">
        <v>7.9649448649999997</v>
      </c>
      <c r="AB2292" s="1">
        <v>7.6917648850000004</v>
      </c>
      <c r="AC2292" s="1">
        <v>7.8452535159999996</v>
      </c>
      <c r="AD2292" s="1">
        <v>7.3379235500000002</v>
      </c>
      <c r="AE2292" s="1">
        <v>7.72653152</v>
      </c>
    </row>
    <row r="2293" spans="1:31" x14ac:dyDescent="0.25">
      <c r="A2293" s="1" t="s">
        <v>1479</v>
      </c>
      <c r="B2293" s="1" t="s">
        <v>2530</v>
      </c>
      <c r="C2293" s="1" t="s">
        <v>2531</v>
      </c>
      <c r="D2293" s="1" t="s">
        <v>2535</v>
      </c>
      <c r="E2293" s="1" t="s">
        <v>2536</v>
      </c>
      <c r="G2293" s="1" t="s">
        <v>1479</v>
      </c>
      <c r="H2293" s="1">
        <v>1.7393328349999999</v>
      </c>
      <c r="I2293" s="1">
        <v>1.7393328349999999</v>
      </c>
      <c r="J2293" s="1">
        <v>1.7393328349999999</v>
      </c>
      <c r="K2293" s="1">
        <v>2.620638279</v>
      </c>
      <c r="L2293" s="1">
        <v>1.7393328349999999</v>
      </c>
      <c r="M2293" s="1">
        <v>1.7393328349999999</v>
      </c>
      <c r="N2293" s="1">
        <v>1.7393328349999999</v>
      </c>
      <c r="O2293" s="1">
        <v>2.411448644</v>
      </c>
      <c r="P2293" s="1">
        <v>1.7393328349999999</v>
      </c>
      <c r="Q2293" s="1">
        <v>1.7393328349999999</v>
      </c>
      <c r="R2293" s="1">
        <v>1.7393328349999999</v>
      </c>
      <c r="S2293" s="1">
        <v>1.7393328349999999</v>
      </c>
      <c r="T2293" s="1">
        <v>1.7393328349999999</v>
      </c>
      <c r="U2293" s="1">
        <v>1.7393328349999999</v>
      </c>
      <c r="V2293" s="1">
        <v>2.5140266200000001</v>
      </c>
      <c r="W2293" s="1">
        <v>1.7393328349999999</v>
      </c>
      <c r="X2293" s="1">
        <v>1.7393328349999999</v>
      </c>
      <c r="Y2293" s="1">
        <v>1.7393328349999999</v>
      </c>
      <c r="Z2293" s="1">
        <v>1.7393328349999999</v>
      </c>
      <c r="AA2293" s="1">
        <v>1.7393328349999999</v>
      </c>
      <c r="AB2293" s="1">
        <v>1.7393328349999999</v>
      </c>
      <c r="AC2293" s="1">
        <v>1.7393328349999999</v>
      </c>
      <c r="AD2293" s="1">
        <v>1.7393328349999999</v>
      </c>
      <c r="AE2293" s="1">
        <v>2.3627668220000002</v>
      </c>
    </row>
    <row r="2294" spans="1:31" x14ac:dyDescent="0.25">
      <c r="A2294" s="1" t="s">
        <v>1480</v>
      </c>
      <c r="B2294" s="1" t="s">
        <v>2530</v>
      </c>
      <c r="C2294" s="1" t="s">
        <v>2531</v>
      </c>
      <c r="D2294" s="1" t="s">
        <v>2535</v>
      </c>
      <c r="E2294" s="1" t="s">
        <v>2536</v>
      </c>
      <c r="G2294" s="1" t="s">
        <v>1480</v>
      </c>
      <c r="H2294" s="1">
        <v>1.7393328349999999</v>
      </c>
      <c r="I2294" s="1">
        <v>2.8927893610000002</v>
      </c>
      <c r="J2294" s="1">
        <v>1.7393328349999999</v>
      </c>
      <c r="K2294" s="1">
        <v>1.7393328349999999</v>
      </c>
      <c r="L2294" s="1">
        <v>1.7393328349999999</v>
      </c>
      <c r="M2294" s="1">
        <v>1.7393328349999999</v>
      </c>
      <c r="N2294" s="1">
        <v>2.372908427</v>
      </c>
      <c r="O2294" s="1">
        <v>1.7393328349999999</v>
      </c>
      <c r="P2294" s="1">
        <v>2.5478783159999998</v>
      </c>
      <c r="Q2294" s="1">
        <v>2.935765398</v>
      </c>
      <c r="R2294" s="1">
        <v>1.7393328349999999</v>
      </c>
      <c r="S2294" s="1">
        <v>1.7393328349999999</v>
      </c>
      <c r="T2294" s="1">
        <v>1.7393328349999999</v>
      </c>
      <c r="U2294" s="1">
        <v>1.7393328349999999</v>
      </c>
      <c r="V2294" s="1">
        <v>2.5140266200000001</v>
      </c>
      <c r="W2294" s="1">
        <v>2.6606351240000001</v>
      </c>
      <c r="X2294" s="1">
        <v>1.7393328349999999</v>
      </c>
      <c r="Y2294" s="1">
        <v>1.7393328349999999</v>
      </c>
      <c r="Z2294" s="1">
        <v>1.7393328349999999</v>
      </c>
      <c r="AA2294" s="1">
        <v>1.7393328349999999</v>
      </c>
      <c r="AB2294" s="1">
        <v>1.7393328349999999</v>
      </c>
      <c r="AC2294" s="1">
        <v>1.7393328349999999</v>
      </c>
      <c r="AD2294" s="1">
        <v>1.7393328349999999</v>
      </c>
      <c r="AE2294" s="1">
        <v>2.3627668220000002</v>
      </c>
    </row>
    <row r="2295" spans="1:31" x14ac:dyDescent="0.25">
      <c r="A2295" s="1" t="s">
        <v>1504</v>
      </c>
      <c r="B2295" s="1" t="s">
        <v>2662</v>
      </c>
      <c r="C2295" s="1" t="s">
        <v>3721</v>
      </c>
      <c r="D2295" s="1" t="s">
        <v>3722</v>
      </c>
      <c r="E2295" s="1" t="s">
        <v>5945</v>
      </c>
      <c r="G2295" s="1" t="s">
        <v>1504</v>
      </c>
      <c r="H2295" s="1">
        <v>1.7393328349999999</v>
      </c>
      <c r="I2295" s="1">
        <v>1.7393328349999999</v>
      </c>
      <c r="J2295" s="1">
        <v>1.7393328349999999</v>
      </c>
      <c r="K2295" s="1">
        <v>1.7393328349999999</v>
      </c>
      <c r="L2295" s="1">
        <v>1.7393328349999999</v>
      </c>
      <c r="M2295" s="1">
        <v>1.7393328349999999</v>
      </c>
      <c r="N2295" s="1">
        <v>2.372908427</v>
      </c>
      <c r="O2295" s="1">
        <v>1.7393328349999999</v>
      </c>
      <c r="P2295" s="1">
        <v>1.7393328349999999</v>
      </c>
      <c r="Q2295" s="1">
        <v>1.7393328349999999</v>
      </c>
      <c r="R2295" s="1">
        <v>1.7393328349999999</v>
      </c>
      <c r="S2295" s="1">
        <v>1.7393328349999999</v>
      </c>
      <c r="T2295" s="1">
        <v>1.7393328349999999</v>
      </c>
      <c r="U2295" s="1">
        <v>1.7393328349999999</v>
      </c>
      <c r="V2295" s="1">
        <v>1.7393328349999999</v>
      </c>
      <c r="W2295" s="1">
        <v>2.6606351240000001</v>
      </c>
      <c r="X2295" s="1">
        <v>1.7393328349999999</v>
      </c>
      <c r="Y2295" s="1">
        <v>1.7393328349999999</v>
      </c>
      <c r="Z2295" s="1">
        <v>1.7393328349999999</v>
      </c>
      <c r="AA2295" s="1">
        <v>1.7393328349999999</v>
      </c>
      <c r="AB2295" s="1">
        <v>1.7393328349999999</v>
      </c>
      <c r="AC2295" s="1">
        <v>1.7393328349999999</v>
      </c>
      <c r="AD2295" s="1">
        <v>1.7393328349999999</v>
      </c>
      <c r="AE2295" s="1">
        <v>1.7393328349999999</v>
      </c>
    </row>
    <row r="2296" spans="1:31" x14ac:dyDescent="0.25">
      <c r="A2296" s="1" t="s">
        <v>1541</v>
      </c>
      <c r="B2296" s="1" t="s">
        <v>2530</v>
      </c>
      <c r="C2296" s="1" t="s">
        <v>2531</v>
      </c>
      <c r="D2296" s="1" t="s">
        <v>2535</v>
      </c>
      <c r="E2296" s="1" t="s">
        <v>5946</v>
      </c>
      <c r="G2296" s="1" t="s">
        <v>1541</v>
      </c>
      <c r="H2296" s="1">
        <v>6.0673720150000001</v>
      </c>
      <c r="I2296" s="1">
        <v>5.7169522959999997</v>
      </c>
      <c r="J2296" s="1">
        <v>4.5940881259999999</v>
      </c>
      <c r="K2296" s="1">
        <v>5.7895293819999996</v>
      </c>
      <c r="L2296" s="1">
        <v>4.4838783849999997</v>
      </c>
      <c r="M2296" s="1">
        <v>4.6692867769999999</v>
      </c>
      <c r="N2296" s="1">
        <v>5.4061212789999997</v>
      </c>
      <c r="O2296" s="1">
        <v>5.9330167859999996</v>
      </c>
      <c r="P2296" s="1">
        <v>4.6791060150000003</v>
      </c>
      <c r="Q2296" s="1">
        <v>4.18747588</v>
      </c>
      <c r="R2296" s="1">
        <v>4.9894654599999999</v>
      </c>
      <c r="S2296" s="1">
        <v>4.2250836859999996</v>
      </c>
      <c r="T2296" s="1">
        <v>4.4838783849999997</v>
      </c>
      <c r="U2296" s="1">
        <v>4.6692867769999999</v>
      </c>
      <c r="V2296" s="1">
        <v>4.7533922439999996</v>
      </c>
      <c r="W2296" s="1">
        <v>5.2236621110000003</v>
      </c>
      <c r="X2296" s="1">
        <v>4.3627028770000003</v>
      </c>
      <c r="Y2296" s="1">
        <v>4.8250325140000001</v>
      </c>
      <c r="Z2296" s="1">
        <v>4.9894654599999999</v>
      </c>
      <c r="AA2296" s="1">
        <v>4.2250836859999996</v>
      </c>
      <c r="AB2296" s="1">
        <v>4.2729702720000002</v>
      </c>
      <c r="AC2296" s="1">
        <v>3.4716344729999999</v>
      </c>
      <c r="AD2296" s="1">
        <v>4.4715299570000004</v>
      </c>
      <c r="AE2296" s="1">
        <v>4.8625108150000003</v>
      </c>
    </row>
    <row r="2297" spans="1:31" x14ac:dyDescent="0.25">
      <c r="A2297" s="1" t="s">
        <v>1542</v>
      </c>
      <c r="B2297" s="1" t="s">
        <v>2539</v>
      </c>
      <c r="C2297" s="1" t="s">
        <v>2606</v>
      </c>
      <c r="D2297" s="1" t="s">
        <v>2639</v>
      </c>
      <c r="E2297" s="1" t="s">
        <v>5947</v>
      </c>
      <c r="F2297" s="1" t="s">
        <v>5948</v>
      </c>
      <c r="G2297" s="1" t="s">
        <v>1542</v>
      </c>
      <c r="H2297" s="1">
        <v>7.9589917029999997</v>
      </c>
      <c r="I2297" s="1">
        <v>7.5266765839999996</v>
      </c>
      <c r="J2297" s="1">
        <v>6.3905084429999999</v>
      </c>
      <c r="K2297" s="1">
        <v>6.7901886659999997</v>
      </c>
      <c r="L2297" s="1">
        <v>5.6492182990000002</v>
      </c>
      <c r="M2297" s="1">
        <v>5.7000608240000004</v>
      </c>
      <c r="N2297" s="1">
        <v>6.3305633200000004</v>
      </c>
      <c r="O2297" s="1">
        <v>6.5142648510000001</v>
      </c>
      <c r="P2297" s="1">
        <v>5.6913184689999996</v>
      </c>
      <c r="Q2297" s="1">
        <v>5.8154013029999998</v>
      </c>
      <c r="R2297" s="1">
        <v>5.7142579380000003</v>
      </c>
      <c r="S2297" s="1">
        <v>5.9440521669999997</v>
      </c>
      <c r="T2297" s="1">
        <v>5.6492182990000002</v>
      </c>
      <c r="U2297" s="1">
        <v>5.7000608240000004</v>
      </c>
      <c r="V2297" s="1">
        <v>5.9931161309999998</v>
      </c>
      <c r="W2297" s="1">
        <v>5.6472737119999996</v>
      </c>
      <c r="X2297" s="1">
        <v>5.8091227329999997</v>
      </c>
      <c r="Y2297" s="1">
        <v>6.5062933870000004</v>
      </c>
      <c r="Z2297" s="1">
        <v>5.7142579380000003</v>
      </c>
      <c r="AA2297" s="1">
        <v>5.9440521669999997</v>
      </c>
      <c r="AB2297" s="1">
        <v>5.851934376</v>
      </c>
      <c r="AC2297" s="1">
        <v>6.047382313</v>
      </c>
      <c r="AD2297" s="1">
        <v>5.9522696560000004</v>
      </c>
      <c r="AE2297" s="1">
        <v>5.868211906</v>
      </c>
    </row>
    <row r="2298" spans="1:31" x14ac:dyDescent="0.25">
      <c r="A2298" s="1" t="s">
        <v>1548</v>
      </c>
      <c r="B2298" s="1" t="s">
        <v>2608</v>
      </c>
      <c r="C2298" s="1" t="s">
        <v>3393</v>
      </c>
      <c r="D2298" s="1" t="s">
        <v>3394</v>
      </c>
      <c r="E2298" s="1" t="s">
        <v>5949</v>
      </c>
      <c r="F2298" s="1" t="s">
        <v>5950</v>
      </c>
      <c r="G2298" s="1" t="s">
        <v>1548</v>
      </c>
      <c r="H2298" s="1">
        <v>6.3556221559999999</v>
      </c>
      <c r="I2298" s="1">
        <v>6.1427370300000002</v>
      </c>
      <c r="J2298" s="1">
        <v>6.6053357520000002</v>
      </c>
      <c r="K2298" s="1">
        <v>5.9485821269999999</v>
      </c>
      <c r="L2298" s="1">
        <v>6.7340543439999996</v>
      </c>
      <c r="M2298" s="1">
        <v>6.6504511339999999</v>
      </c>
      <c r="N2298" s="1">
        <v>6.0455826970000004</v>
      </c>
      <c r="O2298" s="1">
        <v>5.9675486500000003</v>
      </c>
      <c r="P2298" s="1">
        <v>6.6469760500000001</v>
      </c>
      <c r="Q2298" s="1">
        <v>6.6635286550000004</v>
      </c>
      <c r="R2298" s="1">
        <v>7.270552726</v>
      </c>
      <c r="S2298" s="1">
        <v>6.2358418929999999</v>
      </c>
      <c r="T2298" s="1">
        <v>6.7340543439999996</v>
      </c>
      <c r="U2298" s="1">
        <v>6.6504511339999999</v>
      </c>
      <c r="V2298" s="1">
        <v>5.9243031000000004</v>
      </c>
      <c r="W2298" s="1">
        <v>6.0977940090000002</v>
      </c>
      <c r="X2298" s="1">
        <v>6.2754923570000001</v>
      </c>
      <c r="Y2298" s="1">
        <v>5.9909787290000001</v>
      </c>
      <c r="Z2298" s="1">
        <v>7.270552726</v>
      </c>
      <c r="AA2298" s="1">
        <v>6.2358418929999999</v>
      </c>
      <c r="AB2298" s="1">
        <v>6.7915089589999997</v>
      </c>
      <c r="AC2298" s="1">
        <v>6.6873132819999999</v>
      </c>
      <c r="AD2298" s="1">
        <v>6.2383411879999997</v>
      </c>
      <c r="AE2298" s="1">
        <v>6.1648337089999998</v>
      </c>
    </row>
    <row r="2299" spans="1:31" x14ac:dyDescent="0.25">
      <c r="A2299" s="1" t="s">
        <v>1583</v>
      </c>
      <c r="B2299" s="1" t="s">
        <v>2530</v>
      </c>
      <c r="C2299" s="1" t="s">
        <v>2573</v>
      </c>
      <c r="D2299" s="1" t="s">
        <v>2535</v>
      </c>
      <c r="E2299" s="1" t="s">
        <v>3951</v>
      </c>
      <c r="G2299" s="1" t="s">
        <v>1583</v>
      </c>
      <c r="H2299" s="1">
        <v>4.4805534380000003</v>
      </c>
      <c r="I2299" s="1">
        <v>4.5981535630000003</v>
      </c>
      <c r="J2299" s="1">
        <v>4.3724365990000003</v>
      </c>
      <c r="K2299" s="1">
        <v>4.941717659</v>
      </c>
      <c r="L2299" s="1">
        <v>5.0110661050000003</v>
      </c>
      <c r="M2299" s="1">
        <v>5.029201552</v>
      </c>
      <c r="N2299" s="1">
        <v>4.6560102480000003</v>
      </c>
      <c r="O2299" s="1">
        <v>4.7903853170000001</v>
      </c>
      <c r="P2299" s="1">
        <v>4.6791060150000003</v>
      </c>
      <c r="Q2299" s="1">
        <v>4.5369064569999997</v>
      </c>
      <c r="R2299" s="1">
        <v>5.0440296189999998</v>
      </c>
      <c r="S2299" s="1">
        <v>5.0824952919999999</v>
      </c>
      <c r="T2299" s="1">
        <v>5.0110661050000003</v>
      </c>
      <c r="U2299" s="1">
        <v>5.029201552</v>
      </c>
      <c r="V2299" s="1">
        <v>4.6419314959999998</v>
      </c>
      <c r="W2299" s="1">
        <v>5.2774499109999997</v>
      </c>
      <c r="X2299" s="1">
        <v>4.6102919370000004</v>
      </c>
      <c r="Y2299" s="1">
        <v>5.3731782380000004</v>
      </c>
      <c r="Z2299" s="1">
        <v>5.0440296189999998</v>
      </c>
      <c r="AA2299" s="1">
        <v>5.0824952919999999</v>
      </c>
      <c r="AB2299" s="1">
        <v>4.705867896</v>
      </c>
      <c r="AC2299" s="1">
        <v>4.4881955270000002</v>
      </c>
      <c r="AD2299" s="1">
        <v>4.6978214539999996</v>
      </c>
      <c r="AE2299" s="1">
        <v>5.0415666330000004</v>
      </c>
    </row>
    <row r="2300" spans="1:31" x14ac:dyDescent="0.25">
      <c r="A2300" s="1" t="s">
        <v>1593</v>
      </c>
      <c r="B2300" s="1" t="s">
        <v>2579</v>
      </c>
      <c r="C2300" s="1" t="s">
        <v>2933</v>
      </c>
      <c r="D2300" s="1" t="s">
        <v>3912</v>
      </c>
      <c r="E2300" s="1" t="s">
        <v>5951</v>
      </c>
      <c r="F2300" s="1" t="s">
        <v>5952</v>
      </c>
      <c r="G2300" s="1" t="s">
        <v>1593</v>
      </c>
      <c r="H2300" s="1">
        <v>10.10227298</v>
      </c>
      <c r="I2300" s="1">
        <v>9.8617834930000008</v>
      </c>
      <c r="J2300" s="1">
        <v>10.142010389999999</v>
      </c>
      <c r="K2300" s="1">
        <v>10.132102160000001</v>
      </c>
      <c r="L2300" s="1">
        <v>9.5705057300000007</v>
      </c>
      <c r="M2300" s="1">
        <v>9.6814174640000008</v>
      </c>
      <c r="N2300" s="1">
        <v>9.6159635580000007</v>
      </c>
      <c r="O2300" s="1">
        <v>9.6816889320000001</v>
      </c>
      <c r="P2300" s="1">
        <v>9.9645463620000001</v>
      </c>
      <c r="Q2300" s="1">
        <v>9.9965715110000009</v>
      </c>
      <c r="R2300" s="1">
        <v>9.8361180309999998</v>
      </c>
      <c r="S2300" s="1">
        <v>9.8033337720000002</v>
      </c>
      <c r="T2300" s="1">
        <v>9.5705057300000007</v>
      </c>
      <c r="U2300" s="1">
        <v>9.6814174640000008</v>
      </c>
      <c r="V2300" s="1">
        <v>8.9068115310000007</v>
      </c>
      <c r="W2300" s="1">
        <v>9.1334130190000007</v>
      </c>
      <c r="X2300" s="1">
        <v>9.3163235800000006</v>
      </c>
      <c r="Y2300" s="1">
        <v>8.7384492270000003</v>
      </c>
      <c r="Z2300" s="1">
        <v>9.8361180309999998</v>
      </c>
      <c r="AA2300" s="1">
        <v>9.8033337720000002</v>
      </c>
      <c r="AB2300" s="1">
        <v>9.539797708</v>
      </c>
      <c r="AC2300" s="1">
        <v>9.6790756719999997</v>
      </c>
      <c r="AD2300" s="1">
        <v>9.1995485680000009</v>
      </c>
      <c r="AE2300" s="1">
        <v>9.1965037939999998</v>
      </c>
    </row>
    <row r="2301" spans="1:31" x14ac:dyDescent="0.25">
      <c r="A2301" s="1" t="s">
        <v>1607</v>
      </c>
      <c r="B2301" s="1" t="s">
        <v>2579</v>
      </c>
      <c r="C2301" s="1" t="s">
        <v>2812</v>
      </c>
      <c r="D2301" s="1" t="s">
        <v>2535</v>
      </c>
      <c r="E2301" s="1" t="s">
        <v>5953</v>
      </c>
      <c r="F2301" s="1" t="s">
        <v>4967</v>
      </c>
      <c r="G2301" s="1" t="s">
        <v>1607</v>
      </c>
      <c r="H2301" s="1">
        <v>3.6455184960000002</v>
      </c>
      <c r="I2301" s="1">
        <v>3.1348991329999998</v>
      </c>
      <c r="J2301" s="1">
        <v>3.329519721</v>
      </c>
      <c r="K2301" s="1">
        <v>2.9677134359999999</v>
      </c>
      <c r="L2301" s="1">
        <v>2.8704126319999999</v>
      </c>
      <c r="M2301" s="1">
        <v>2.3994532390000001</v>
      </c>
      <c r="N2301" s="1">
        <v>3.344961128</v>
      </c>
      <c r="O2301" s="1">
        <v>2.6816282820000001</v>
      </c>
      <c r="P2301" s="1">
        <v>2.5478783159999998</v>
      </c>
      <c r="Q2301" s="1">
        <v>3.185675432</v>
      </c>
      <c r="R2301" s="1">
        <v>2.595728008</v>
      </c>
      <c r="S2301" s="1">
        <v>2.5733617299999998</v>
      </c>
      <c r="T2301" s="1">
        <v>2.8704126319999999</v>
      </c>
      <c r="U2301" s="1">
        <v>2.3994532390000001</v>
      </c>
      <c r="V2301" s="1">
        <v>2.8225047829999999</v>
      </c>
      <c r="W2301" s="1">
        <v>1.7393328349999999</v>
      </c>
      <c r="X2301" s="1">
        <v>2.3600830049999999</v>
      </c>
      <c r="Y2301" s="1">
        <v>1.7393328349999999</v>
      </c>
      <c r="Z2301" s="1">
        <v>2.595728008</v>
      </c>
      <c r="AA2301" s="1">
        <v>2.5733617299999998</v>
      </c>
      <c r="AB2301" s="1">
        <v>2.73487305</v>
      </c>
      <c r="AC2301" s="1">
        <v>2.87258916</v>
      </c>
      <c r="AD2301" s="1">
        <v>1.7393328349999999</v>
      </c>
      <c r="AE2301" s="1">
        <v>3.0939349979999999</v>
      </c>
    </row>
    <row r="2302" spans="1:31" x14ac:dyDescent="0.25">
      <c r="A2302" s="1" t="s">
        <v>1635</v>
      </c>
      <c r="B2302" s="1" t="s">
        <v>2539</v>
      </c>
      <c r="C2302" s="1" t="s">
        <v>2606</v>
      </c>
      <c r="D2302" s="1" t="s">
        <v>2535</v>
      </c>
      <c r="E2302" s="1" t="s">
        <v>5954</v>
      </c>
      <c r="F2302" s="1" t="s">
        <v>5955</v>
      </c>
      <c r="G2302" s="1" t="s">
        <v>1635</v>
      </c>
      <c r="H2302" s="1">
        <v>4.183793842</v>
      </c>
      <c r="I2302" s="1">
        <v>3.5006354609999999</v>
      </c>
      <c r="J2302" s="1">
        <v>1.7393328349999999</v>
      </c>
      <c r="K2302" s="1">
        <v>2.620638279</v>
      </c>
      <c r="L2302" s="1">
        <v>2.5490970000000002</v>
      </c>
      <c r="M2302" s="1">
        <v>1.7393328349999999</v>
      </c>
      <c r="N2302" s="1">
        <v>3.622455167</v>
      </c>
      <c r="O2302" s="1">
        <v>4.0953574540000002</v>
      </c>
      <c r="P2302" s="1">
        <v>1.7393328349999999</v>
      </c>
      <c r="Q2302" s="1">
        <v>1.7393328349999999</v>
      </c>
      <c r="R2302" s="1">
        <v>2.595728008</v>
      </c>
      <c r="S2302" s="1">
        <v>2.5733617299999998</v>
      </c>
      <c r="T2302" s="1">
        <v>2.5490970000000002</v>
      </c>
      <c r="U2302" s="1">
        <v>1.7393328349999999</v>
      </c>
      <c r="V2302" s="1">
        <v>1.7393328349999999</v>
      </c>
      <c r="W2302" s="1">
        <v>1.7393328349999999</v>
      </c>
      <c r="X2302" s="1">
        <v>2.6106888979999998</v>
      </c>
      <c r="Y2302" s="1">
        <v>1.7393328349999999</v>
      </c>
      <c r="Z2302" s="1">
        <v>2.595728008</v>
      </c>
      <c r="AA2302" s="1">
        <v>2.5733617299999998</v>
      </c>
      <c r="AB2302" s="1">
        <v>3.404153038</v>
      </c>
      <c r="AC2302" s="1">
        <v>1.7393328349999999</v>
      </c>
      <c r="AD2302" s="1">
        <v>2.9432342459999998</v>
      </c>
      <c r="AE2302" s="1">
        <v>3.0939349979999999</v>
      </c>
    </row>
    <row r="2303" spans="1:31" x14ac:dyDescent="0.25">
      <c r="A2303" s="1" t="s">
        <v>1730</v>
      </c>
      <c r="B2303" s="1" t="s">
        <v>2530</v>
      </c>
      <c r="C2303" s="1" t="s">
        <v>2531</v>
      </c>
      <c r="D2303" s="1" t="s">
        <v>2535</v>
      </c>
      <c r="E2303" s="1" t="s">
        <v>5956</v>
      </c>
      <c r="G2303" s="1" t="s">
        <v>1730</v>
      </c>
      <c r="H2303" s="1">
        <v>5.0553993879999997</v>
      </c>
      <c r="I2303" s="1">
        <v>4.0101074990000001</v>
      </c>
      <c r="J2303" s="1">
        <v>4.2898244959999996</v>
      </c>
      <c r="K2303" s="1">
        <v>4.6734567340000002</v>
      </c>
      <c r="L2303" s="1">
        <v>5.2569846910000004</v>
      </c>
      <c r="M2303" s="1">
        <v>4.7490378550000001</v>
      </c>
      <c r="N2303" s="1">
        <v>4.4510307109999996</v>
      </c>
      <c r="O2303" s="1">
        <v>4.3322392709999997</v>
      </c>
      <c r="P2303" s="1">
        <v>3.9684043939999998</v>
      </c>
      <c r="Q2303" s="1">
        <v>4.611970812</v>
      </c>
      <c r="R2303" s="1">
        <v>4.45403635</v>
      </c>
      <c r="S2303" s="1">
        <v>4.4749637470000003</v>
      </c>
      <c r="T2303" s="1">
        <v>5.2569846910000004</v>
      </c>
      <c r="U2303" s="1">
        <v>4.7490378550000001</v>
      </c>
      <c r="V2303" s="1">
        <v>3.7819764450000002</v>
      </c>
      <c r="W2303" s="1">
        <v>3.9848641250000001</v>
      </c>
      <c r="X2303" s="1">
        <v>4.7192629950000002</v>
      </c>
      <c r="Y2303" s="1">
        <v>4.1479647589999997</v>
      </c>
      <c r="Z2303" s="1">
        <v>4.45403635</v>
      </c>
      <c r="AA2303" s="1">
        <v>4.4749637470000003</v>
      </c>
      <c r="AB2303" s="1">
        <v>4.139369361</v>
      </c>
      <c r="AC2303" s="1">
        <v>4.3377211620000002</v>
      </c>
      <c r="AD2303" s="1">
        <v>3.984188064</v>
      </c>
      <c r="AE2303" s="1">
        <v>4.3718229419999997</v>
      </c>
    </row>
    <row r="2304" spans="1:31" x14ac:dyDescent="0.25">
      <c r="A2304" s="1" t="s">
        <v>1755</v>
      </c>
      <c r="B2304" s="1" t="s">
        <v>2535</v>
      </c>
      <c r="C2304" s="1" t="s">
        <v>2535</v>
      </c>
      <c r="D2304" s="1" t="s">
        <v>2535</v>
      </c>
      <c r="E2304" s="1" t="s">
        <v>2535</v>
      </c>
      <c r="F2304" s="1" t="s">
        <v>2535</v>
      </c>
      <c r="G2304" s="1" t="s">
        <v>1755</v>
      </c>
      <c r="H2304" s="1">
        <v>1.7393328349999999</v>
      </c>
      <c r="I2304" s="1">
        <v>2.5655118899999998</v>
      </c>
      <c r="J2304" s="1">
        <v>1.7393328349999999</v>
      </c>
      <c r="K2304" s="1">
        <v>1.7393328349999999</v>
      </c>
      <c r="L2304" s="1">
        <v>1.7393328349999999</v>
      </c>
      <c r="M2304" s="1">
        <v>1.7393328349999999</v>
      </c>
      <c r="N2304" s="1">
        <v>2.372908427</v>
      </c>
      <c r="O2304" s="1">
        <v>2.411448644</v>
      </c>
      <c r="P2304" s="1">
        <v>1.7393328349999999</v>
      </c>
      <c r="Q2304" s="1">
        <v>1.7393328349999999</v>
      </c>
      <c r="R2304" s="1">
        <v>1.7393328349999999</v>
      </c>
      <c r="S2304" s="1">
        <v>2.5733617299999998</v>
      </c>
      <c r="T2304" s="1">
        <v>1.7393328349999999</v>
      </c>
      <c r="U2304" s="1">
        <v>1.7393328349999999</v>
      </c>
      <c r="V2304" s="1">
        <v>1.7393328349999999</v>
      </c>
      <c r="W2304" s="1">
        <v>1.7393328349999999</v>
      </c>
      <c r="X2304" s="1">
        <v>1.7393328349999999</v>
      </c>
      <c r="Y2304" s="1">
        <v>1.7393328349999999</v>
      </c>
      <c r="Z2304" s="1">
        <v>1.7393328349999999</v>
      </c>
      <c r="AA2304" s="1">
        <v>2.5733617299999998</v>
      </c>
      <c r="AB2304" s="1">
        <v>1.7393328349999999</v>
      </c>
      <c r="AC2304" s="1">
        <v>1.7393328349999999</v>
      </c>
      <c r="AD2304" s="1">
        <v>1.7393328349999999</v>
      </c>
      <c r="AE2304" s="1">
        <v>1.7393328349999999</v>
      </c>
    </row>
    <row r="2305" spans="1:31" x14ac:dyDescent="0.25">
      <c r="A2305" s="1" t="s">
        <v>1806</v>
      </c>
      <c r="B2305" s="1" t="s">
        <v>2530</v>
      </c>
      <c r="C2305" s="1" t="s">
        <v>2531</v>
      </c>
      <c r="D2305" s="1" t="s">
        <v>2535</v>
      </c>
      <c r="E2305" s="1" t="s">
        <v>2536</v>
      </c>
      <c r="G2305" s="1" t="s">
        <v>1806</v>
      </c>
      <c r="H2305" s="1">
        <v>4.3886087140000001</v>
      </c>
      <c r="I2305" s="1">
        <v>4.5981535630000003</v>
      </c>
      <c r="J2305" s="1">
        <v>1.7393328349999999</v>
      </c>
      <c r="K2305" s="1">
        <v>3.607491666</v>
      </c>
      <c r="L2305" s="1">
        <v>3.4685048369999998</v>
      </c>
      <c r="M2305" s="1">
        <v>3.027864058</v>
      </c>
      <c r="N2305" s="1">
        <v>4.1002678350000004</v>
      </c>
      <c r="O2305" s="1">
        <v>4.7903853170000001</v>
      </c>
      <c r="P2305" s="1">
        <v>3.9684043939999998</v>
      </c>
      <c r="Q2305" s="1">
        <v>2.597100669</v>
      </c>
      <c r="R2305" s="1">
        <v>3.7109484589999999</v>
      </c>
      <c r="S2305" s="1">
        <v>3.1475403900000001</v>
      </c>
      <c r="T2305" s="1">
        <v>3.4685048369999998</v>
      </c>
      <c r="U2305" s="1">
        <v>3.027864058</v>
      </c>
      <c r="V2305" s="1">
        <v>3.0516113059999999</v>
      </c>
      <c r="W2305" s="1">
        <v>4.2295768090000001</v>
      </c>
      <c r="X2305" s="1">
        <v>3.7416722899999999</v>
      </c>
      <c r="Y2305" s="1">
        <v>3.229986142</v>
      </c>
      <c r="Z2305" s="1">
        <v>3.7109484589999999</v>
      </c>
      <c r="AA2305" s="1">
        <v>3.1475403900000001</v>
      </c>
      <c r="AB2305" s="1">
        <v>3.404153038</v>
      </c>
      <c r="AC2305" s="1">
        <v>3.1109927919999998</v>
      </c>
      <c r="AD2305" s="1">
        <v>3.5727029510000001</v>
      </c>
      <c r="AE2305" s="1">
        <v>3.5954838599999999</v>
      </c>
    </row>
    <row r="2306" spans="1:31" x14ac:dyDescent="0.25">
      <c r="A2306" s="1" t="s">
        <v>1842</v>
      </c>
      <c r="B2306" s="1" t="s">
        <v>2547</v>
      </c>
      <c r="C2306" s="1" t="s">
        <v>2566</v>
      </c>
      <c r="D2306" s="1" t="s">
        <v>3964</v>
      </c>
      <c r="E2306" s="1" t="s">
        <v>5957</v>
      </c>
      <c r="F2306" s="1" t="s">
        <v>5958</v>
      </c>
      <c r="G2306" s="1" t="s">
        <v>1842</v>
      </c>
      <c r="H2306" s="1">
        <v>3.8023684370000002</v>
      </c>
      <c r="I2306" s="1">
        <v>4.4542943209999999</v>
      </c>
      <c r="J2306" s="1">
        <v>5.0051223570000003</v>
      </c>
      <c r="K2306" s="1">
        <v>4.2434183680000004</v>
      </c>
      <c r="L2306" s="1">
        <v>4.9864364329999997</v>
      </c>
      <c r="M2306" s="1">
        <v>4.5846937370000003</v>
      </c>
      <c r="N2306" s="1">
        <v>4.5776172920000002</v>
      </c>
      <c r="O2306" s="1">
        <v>4.7100516409999997</v>
      </c>
      <c r="P2306" s="1">
        <v>4.5499605860000001</v>
      </c>
      <c r="Q2306" s="1">
        <v>4.7509440400000003</v>
      </c>
      <c r="R2306" s="1">
        <v>4.7472384160000001</v>
      </c>
      <c r="S2306" s="1">
        <v>5.2232498669999998</v>
      </c>
      <c r="T2306" s="1">
        <v>4.9864364329999997</v>
      </c>
      <c r="U2306" s="1">
        <v>4.5846937370000003</v>
      </c>
      <c r="V2306" s="1">
        <v>4.8059579570000004</v>
      </c>
      <c r="W2306" s="1">
        <v>4.8493412630000003</v>
      </c>
      <c r="X2306" s="1">
        <v>4.7874549340000003</v>
      </c>
      <c r="Y2306" s="1">
        <v>4.6081171230000004</v>
      </c>
      <c r="Z2306" s="1">
        <v>4.7472384160000001</v>
      </c>
      <c r="AA2306" s="1">
        <v>5.2232498669999998</v>
      </c>
      <c r="AB2306" s="1">
        <v>5.4196851610000003</v>
      </c>
      <c r="AC2306" s="1">
        <v>4.9660712470000004</v>
      </c>
      <c r="AD2306" s="1">
        <v>4.6264106470000002</v>
      </c>
      <c r="AE2306" s="1">
        <v>5.1494525009999998</v>
      </c>
    </row>
    <row r="2307" spans="1:31" x14ac:dyDescent="0.25">
      <c r="A2307" s="1" t="s">
        <v>1843</v>
      </c>
      <c r="B2307" s="1" t="s">
        <v>2547</v>
      </c>
      <c r="C2307" s="1" t="s">
        <v>2566</v>
      </c>
      <c r="D2307" s="1" t="s">
        <v>3964</v>
      </c>
      <c r="E2307" s="1" t="s">
        <v>5959</v>
      </c>
      <c r="F2307" s="1" t="s">
        <v>5960</v>
      </c>
      <c r="G2307" s="1" t="s">
        <v>1843</v>
      </c>
      <c r="H2307" s="1">
        <v>4.2900513550000001</v>
      </c>
      <c r="I2307" s="1">
        <v>4.1114152529999997</v>
      </c>
      <c r="J2307" s="1">
        <v>5.2817155790000001</v>
      </c>
      <c r="K2307" s="1">
        <v>5.166960875</v>
      </c>
      <c r="L2307" s="1">
        <v>5.1724144110000001</v>
      </c>
      <c r="M2307" s="1">
        <v>5.4399015869999996</v>
      </c>
      <c r="N2307" s="1">
        <v>4.6560102480000003</v>
      </c>
      <c r="O2307" s="1">
        <v>4.7100516409999997</v>
      </c>
      <c r="P2307" s="1">
        <v>5.2325771159999999</v>
      </c>
      <c r="Q2307" s="1">
        <v>5.6144419360000004</v>
      </c>
      <c r="R2307" s="1">
        <v>4.8735636449999999</v>
      </c>
      <c r="S2307" s="1">
        <v>5.032286365</v>
      </c>
      <c r="T2307" s="1">
        <v>5.1724144110000001</v>
      </c>
      <c r="U2307" s="1">
        <v>5.4399015869999996</v>
      </c>
      <c r="V2307" s="1">
        <v>5.6392772100000004</v>
      </c>
      <c r="W2307" s="1">
        <v>6.0677414089999999</v>
      </c>
      <c r="X2307" s="1">
        <v>5.522982507</v>
      </c>
      <c r="Y2307" s="1">
        <v>5.2792112080000004</v>
      </c>
      <c r="Z2307" s="1">
        <v>4.8735636449999999</v>
      </c>
      <c r="AA2307" s="1">
        <v>5.032286365</v>
      </c>
      <c r="AB2307" s="1">
        <v>4.705867896</v>
      </c>
      <c r="AC2307" s="1">
        <v>5.0638423939999999</v>
      </c>
      <c r="AD2307" s="1">
        <v>5.4385263000000004</v>
      </c>
      <c r="AE2307" s="1">
        <v>5.1494525009999998</v>
      </c>
    </row>
    <row r="2308" spans="1:31" x14ac:dyDescent="0.25">
      <c r="A2308" s="1" t="s">
        <v>1853</v>
      </c>
      <c r="B2308" s="1" t="s">
        <v>2667</v>
      </c>
      <c r="C2308" s="1" t="s">
        <v>5961</v>
      </c>
      <c r="D2308" s="1" t="s">
        <v>5962</v>
      </c>
      <c r="E2308" s="1" t="s">
        <v>5963</v>
      </c>
      <c r="G2308" s="1" t="s">
        <v>1853</v>
      </c>
      <c r="H2308" s="1">
        <v>6.2825651889999996</v>
      </c>
      <c r="I2308" s="1">
        <v>5.6208330609999999</v>
      </c>
      <c r="J2308" s="1">
        <v>6.1831700180000002</v>
      </c>
      <c r="K2308" s="1">
        <v>6.3181776090000001</v>
      </c>
      <c r="L2308" s="1">
        <v>6.1339192999999996</v>
      </c>
      <c r="M2308" s="1">
        <v>6.1256430599999998</v>
      </c>
      <c r="N2308" s="1">
        <v>6.0166363460000003</v>
      </c>
      <c r="O2308" s="1">
        <v>6.2316979249999997</v>
      </c>
      <c r="P2308" s="1">
        <v>6.336531473</v>
      </c>
      <c r="Q2308" s="1">
        <v>6.0189773029999998</v>
      </c>
      <c r="R2308" s="1">
        <v>6.0937807429999999</v>
      </c>
      <c r="S2308" s="1">
        <v>5.9707657090000001</v>
      </c>
      <c r="T2308" s="1">
        <v>6.1339192999999996</v>
      </c>
      <c r="U2308" s="1">
        <v>6.1256430599999998</v>
      </c>
      <c r="V2308" s="1">
        <v>6.1215697740000001</v>
      </c>
      <c r="W2308" s="1">
        <v>5.9736131119999998</v>
      </c>
      <c r="X2308" s="1">
        <v>6.0881054910000003</v>
      </c>
      <c r="Y2308" s="1">
        <v>6.4644452860000001</v>
      </c>
      <c r="Z2308" s="1">
        <v>6.0937807429999999</v>
      </c>
      <c r="AA2308" s="1">
        <v>5.9707657090000001</v>
      </c>
      <c r="AB2308" s="1">
        <v>5.8927983030000002</v>
      </c>
      <c r="AC2308" s="1">
        <v>5.7882226870000002</v>
      </c>
      <c r="AD2308" s="1">
        <v>6.1407817189999996</v>
      </c>
      <c r="AE2308" s="1">
        <v>6.2987649059999997</v>
      </c>
    </row>
    <row r="2309" spans="1:31" x14ac:dyDescent="0.25">
      <c r="A2309" s="1" t="s">
        <v>1865</v>
      </c>
      <c r="B2309" s="1" t="s">
        <v>2530</v>
      </c>
      <c r="C2309" s="1" t="s">
        <v>2531</v>
      </c>
      <c r="D2309" s="1" t="s">
        <v>2535</v>
      </c>
      <c r="E2309" s="1" t="s">
        <v>5964</v>
      </c>
      <c r="G2309" s="1" t="s">
        <v>1865</v>
      </c>
      <c r="H2309" s="1">
        <v>3.2549621289999999</v>
      </c>
      <c r="I2309" s="1">
        <v>3.3322126910000001</v>
      </c>
      <c r="J2309" s="1">
        <v>1.7393328349999999</v>
      </c>
      <c r="K2309" s="1">
        <v>3.607491666</v>
      </c>
      <c r="L2309" s="1">
        <v>2.8704126319999999</v>
      </c>
      <c r="M2309" s="1">
        <v>3.4067547010000001</v>
      </c>
      <c r="N2309" s="1">
        <v>3.7025667929999999</v>
      </c>
      <c r="O2309" s="1">
        <v>3.050193165</v>
      </c>
      <c r="P2309" s="1">
        <v>4.0684607960000001</v>
      </c>
      <c r="Q2309" s="1">
        <v>3.185675432</v>
      </c>
      <c r="R2309" s="1">
        <v>4.3698765340000003</v>
      </c>
      <c r="S2309" s="1">
        <v>3.7977317990000001</v>
      </c>
      <c r="T2309" s="1">
        <v>2.8704126319999999</v>
      </c>
      <c r="U2309" s="1">
        <v>3.4067547010000001</v>
      </c>
      <c r="V2309" s="1">
        <v>3.6670520409999998</v>
      </c>
      <c r="W2309" s="1">
        <v>2.6606351240000001</v>
      </c>
      <c r="X2309" s="1">
        <v>3.5039136989999999</v>
      </c>
      <c r="Y2309" s="1">
        <v>2.9733498090000001</v>
      </c>
      <c r="Z2309" s="1">
        <v>4.3698765340000003</v>
      </c>
      <c r="AA2309" s="1">
        <v>3.7977317990000001</v>
      </c>
      <c r="AB2309" s="1">
        <v>3.404153038</v>
      </c>
      <c r="AC2309" s="1">
        <v>3.3054795530000001</v>
      </c>
      <c r="AD2309" s="1">
        <v>3.1944880649999998</v>
      </c>
      <c r="AE2309" s="1">
        <v>3.213378847</v>
      </c>
    </row>
    <row r="2310" spans="1:31" x14ac:dyDescent="0.25">
      <c r="A2310" s="1" t="s">
        <v>1886</v>
      </c>
      <c r="B2310" s="1" t="s">
        <v>2535</v>
      </c>
      <c r="C2310" s="1" t="s">
        <v>2535</v>
      </c>
      <c r="D2310" s="1" t="s">
        <v>2535</v>
      </c>
      <c r="E2310" s="1" t="s">
        <v>2535</v>
      </c>
      <c r="F2310" s="1" t="s">
        <v>2535</v>
      </c>
      <c r="G2310" s="1" t="s">
        <v>1886</v>
      </c>
      <c r="H2310" s="1">
        <v>1.7393328349999999</v>
      </c>
      <c r="I2310" s="1">
        <v>1.7393328349999999</v>
      </c>
      <c r="J2310" s="1">
        <v>1.7393328349999999</v>
      </c>
      <c r="K2310" s="1">
        <v>1.7393328349999999</v>
      </c>
      <c r="L2310" s="1">
        <v>1.7393328349999999</v>
      </c>
      <c r="M2310" s="1">
        <v>1.7393328349999999</v>
      </c>
      <c r="N2310" s="1">
        <v>2.372908427</v>
      </c>
      <c r="O2310" s="1">
        <v>1.7393328349999999</v>
      </c>
      <c r="P2310" s="1">
        <v>1.7393328349999999</v>
      </c>
      <c r="Q2310" s="1">
        <v>1.7393328349999999</v>
      </c>
      <c r="R2310" s="1">
        <v>1.7393328349999999</v>
      </c>
      <c r="S2310" s="1">
        <v>1.7393328349999999</v>
      </c>
      <c r="T2310" s="1">
        <v>1.7393328349999999</v>
      </c>
      <c r="U2310" s="1">
        <v>1.7393328349999999</v>
      </c>
      <c r="V2310" s="1">
        <v>1.7393328349999999</v>
      </c>
      <c r="W2310" s="1">
        <v>1.7393328349999999</v>
      </c>
      <c r="X2310" s="1">
        <v>1.7393328349999999</v>
      </c>
      <c r="Y2310" s="1">
        <v>1.7393328349999999</v>
      </c>
      <c r="Z2310" s="1">
        <v>1.7393328349999999</v>
      </c>
      <c r="AA2310" s="1">
        <v>1.7393328349999999</v>
      </c>
      <c r="AB2310" s="1">
        <v>1.7393328349999999</v>
      </c>
      <c r="AC2310" s="1">
        <v>1.7393328349999999</v>
      </c>
      <c r="AD2310" s="1">
        <v>1.7393328349999999</v>
      </c>
      <c r="AE2310" s="1">
        <v>1.7393328349999999</v>
      </c>
    </row>
    <row r="2311" spans="1:31" x14ac:dyDescent="0.25">
      <c r="A2311" s="1" t="s">
        <v>1892</v>
      </c>
      <c r="B2311" s="1" t="s">
        <v>2530</v>
      </c>
      <c r="C2311" s="1" t="s">
        <v>2531</v>
      </c>
      <c r="D2311" s="1" t="s">
        <v>2535</v>
      </c>
      <c r="E2311" s="1" t="s">
        <v>2621</v>
      </c>
      <c r="G2311" s="1" t="s">
        <v>1892</v>
      </c>
      <c r="H2311" s="1">
        <v>3.9421380259999999</v>
      </c>
      <c r="I2311" s="1">
        <v>3.7806045529999999</v>
      </c>
      <c r="J2311" s="1">
        <v>2.8907526730000002</v>
      </c>
      <c r="K2311" s="1">
        <v>3.4309024589999999</v>
      </c>
      <c r="L2311" s="1">
        <v>4.0714409539999998</v>
      </c>
      <c r="M2311" s="1">
        <v>3.9251125939999998</v>
      </c>
      <c r="N2311" s="1">
        <v>3.8490531570000002</v>
      </c>
      <c r="O2311" s="1">
        <v>3.9591193910000002</v>
      </c>
      <c r="P2311" s="1">
        <v>3.7419514989999998</v>
      </c>
      <c r="Q2311" s="1">
        <v>3.9718447549999998</v>
      </c>
      <c r="R2311" s="1">
        <v>3.386455024</v>
      </c>
      <c r="S2311" s="1">
        <v>3.5159502420000002</v>
      </c>
      <c r="T2311" s="1">
        <v>4.0714409539999998</v>
      </c>
      <c r="U2311" s="1">
        <v>3.9251125939999998</v>
      </c>
      <c r="V2311" s="1">
        <v>4.1608706030000002</v>
      </c>
      <c r="W2311" s="1">
        <v>3.2870366010000001</v>
      </c>
      <c r="X2311" s="1">
        <v>3.5039136989999999</v>
      </c>
      <c r="Y2311" s="1">
        <v>3.229986142</v>
      </c>
      <c r="Z2311" s="1">
        <v>3.386455024</v>
      </c>
      <c r="AA2311" s="1">
        <v>3.5159502420000002</v>
      </c>
      <c r="AB2311" s="1">
        <v>4.2729702720000002</v>
      </c>
      <c r="AC2311" s="1">
        <v>4.1685844940000001</v>
      </c>
      <c r="AD2311" s="1">
        <v>4.2970121150000002</v>
      </c>
      <c r="AE2311" s="1">
        <v>4.2780702540000002</v>
      </c>
    </row>
    <row r="2312" spans="1:31" x14ac:dyDescent="0.25">
      <c r="A2312" s="1" t="s">
        <v>1893</v>
      </c>
      <c r="B2312" s="1" t="s">
        <v>2539</v>
      </c>
      <c r="C2312" s="1" t="s">
        <v>2563</v>
      </c>
      <c r="D2312" s="1" t="s">
        <v>5965</v>
      </c>
      <c r="E2312" s="1" t="s">
        <v>5966</v>
      </c>
      <c r="F2312" s="1" t="s">
        <v>5967</v>
      </c>
      <c r="G2312" s="1" t="s">
        <v>1893</v>
      </c>
      <c r="H2312" s="1">
        <v>4.7245801409999997</v>
      </c>
      <c r="I2312" s="1">
        <v>4.7893724280000001</v>
      </c>
      <c r="J2312" s="1">
        <v>3.329519721</v>
      </c>
      <c r="K2312" s="1">
        <v>2.9677134359999999</v>
      </c>
      <c r="L2312" s="1">
        <v>3.8051274570000002</v>
      </c>
      <c r="M2312" s="1">
        <v>3.2940962960000002</v>
      </c>
      <c r="N2312" s="1">
        <v>4.5366957899999996</v>
      </c>
      <c r="O2312" s="1">
        <v>4.0953574540000002</v>
      </c>
      <c r="P2312" s="1">
        <v>3.86011382</v>
      </c>
      <c r="Q2312" s="1">
        <v>3.56206471</v>
      </c>
      <c r="R2312" s="1">
        <v>3.968758995</v>
      </c>
      <c r="S2312" s="1">
        <v>3.7977317990000001</v>
      </c>
      <c r="T2312" s="1">
        <v>3.8051274570000002</v>
      </c>
      <c r="U2312" s="1">
        <v>3.2940962960000002</v>
      </c>
      <c r="V2312" s="1">
        <v>4.0758289169999999</v>
      </c>
      <c r="W2312" s="1">
        <v>3.2870366010000001</v>
      </c>
      <c r="X2312" s="1">
        <v>4.4502657640000001</v>
      </c>
      <c r="Y2312" s="1">
        <v>3.4382968329999999</v>
      </c>
      <c r="Z2312" s="1">
        <v>3.968758995</v>
      </c>
      <c r="AA2312" s="1">
        <v>3.7977317990000001</v>
      </c>
      <c r="AB2312" s="1">
        <v>4.139369361</v>
      </c>
      <c r="AC2312" s="1">
        <v>4.3377211620000002</v>
      </c>
      <c r="AD2312" s="1">
        <v>4.5511338559999999</v>
      </c>
      <c r="AE2312" s="1">
        <v>4.4163948289999997</v>
      </c>
    </row>
    <row r="2313" spans="1:31" x14ac:dyDescent="0.25">
      <c r="A2313" s="1" t="s">
        <v>1900</v>
      </c>
      <c r="B2313" s="1" t="s">
        <v>2843</v>
      </c>
      <c r="C2313" s="1" t="s">
        <v>2844</v>
      </c>
      <c r="D2313" s="1" t="s">
        <v>4007</v>
      </c>
      <c r="E2313" s="1" t="s">
        <v>5968</v>
      </c>
      <c r="F2313" s="1" t="s">
        <v>5969</v>
      </c>
      <c r="G2313" s="1" t="s">
        <v>1900</v>
      </c>
      <c r="H2313" s="1">
        <v>6.1789942880000002</v>
      </c>
      <c r="I2313" s="1">
        <v>6.2534876759999998</v>
      </c>
      <c r="J2313" s="1">
        <v>7.7415560409999999</v>
      </c>
      <c r="K2313" s="1">
        <v>7.6762285410000004</v>
      </c>
      <c r="L2313" s="1">
        <v>7.0661679120000001</v>
      </c>
      <c r="M2313" s="1">
        <v>7.1758500060000001</v>
      </c>
      <c r="N2313" s="1">
        <v>5.8127456459999998</v>
      </c>
      <c r="O2313" s="1">
        <v>5.9503866380000003</v>
      </c>
      <c r="P2313" s="1">
        <v>6.75166909</v>
      </c>
      <c r="Q2313" s="1">
        <v>6.7957952910000001</v>
      </c>
      <c r="R2313" s="1">
        <v>7.1890158729999998</v>
      </c>
      <c r="S2313" s="1">
        <v>6.949641561</v>
      </c>
      <c r="T2313" s="1">
        <v>7.0661679120000001</v>
      </c>
      <c r="U2313" s="1">
        <v>7.1758500060000001</v>
      </c>
      <c r="V2313" s="1">
        <v>6.6330969629999998</v>
      </c>
      <c r="W2313" s="1">
        <v>6.7734156700000003</v>
      </c>
      <c r="X2313" s="1">
        <v>7.1769105629999999</v>
      </c>
      <c r="Y2313" s="1">
        <v>6.6624835610000002</v>
      </c>
      <c r="Z2313" s="1">
        <v>7.1890158729999998</v>
      </c>
      <c r="AA2313" s="1">
        <v>6.949641561</v>
      </c>
      <c r="AB2313" s="1">
        <v>6.6320802959999998</v>
      </c>
      <c r="AC2313" s="1">
        <v>6.817938872</v>
      </c>
      <c r="AD2313" s="1">
        <v>6.875559473</v>
      </c>
      <c r="AE2313" s="1">
        <v>6.5042429439999996</v>
      </c>
    </row>
    <row r="2314" spans="1:31" x14ac:dyDescent="0.25">
      <c r="A2314" s="1" t="s">
        <v>1915</v>
      </c>
      <c r="B2314" s="1" t="s">
        <v>2530</v>
      </c>
      <c r="C2314" s="1" t="s">
        <v>2531</v>
      </c>
      <c r="D2314" s="1" t="s">
        <v>2535</v>
      </c>
      <c r="E2314" s="1" t="s">
        <v>2536</v>
      </c>
      <c r="G2314" s="1" t="s">
        <v>1915</v>
      </c>
      <c r="H2314" s="1">
        <v>5.6296178589999997</v>
      </c>
      <c r="I2314" s="1">
        <v>5.9189259930000002</v>
      </c>
      <c r="J2314" s="1">
        <v>5.4021237849999997</v>
      </c>
      <c r="K2314" s="1">
        <v>5.6482047069999997</v>
      </c>
      <c r="L2314" s="1">
        <v>5.58546151</v>
      </c>
      <c r="M2314" s="1">
        <v>5.6184934039999996</v>
      </c>
      <c r="N2314" s="1">
        <v>4.9001796750000004</v>
      </c>
      <c r="O2314" s="1">
        <v>4.8663619410000001</v>
      </c>
      <c r="P2314" s="1">
        <v>5.3900565609999997</v>
      </c>
      <c r="Q2314" s="1">
        <v>5.6846114249999999</v>
      </c>
      <c r="R2314" s="1">
        <v>5.6102934549999999</v>
      </c>
      <c r="S2314" s="1">
        <v>5.3098842800000003</v>
      </c>
      <c r="T2314" s="1">
        <v>5.58546151</v>
      </c>
      <c r="U2314" s="1">
        <v>5.6184934039999996</v>
      </c>
      <c r="V2314" s="1">
        <v>4.8059579570000004</v>
      </c>
      <c r="W2314" s="1">
        <v>4.7760085830000003</v>
      </c>
      <c r="X2314" s="1">
        <v>5.4203833540000002</v>
      </c>
      <c r="Y2314" s="1">
        <v>5.2297915760000002</v>
      </c>
      <c r="Z2314" s="1">
        <v>5.6102934549999999</v>
      </c>
      <c r="AA2314" s="1">
        <v>5.3098842800000003</v>
      </c>
      <c r="AB2314" s="1">
        <v>5.6280506069999996</v>
      </c>
      <c r="AC2314" s="1">
        <v>4.4881955270000002</v>
      </c>
      <c r="AD2314" s="1">
        <v>5.9522696560000004</v>
      </c>
      <c r="AE2314" s="1">
        <v>5.1494525009999998</v>
      </c>
    </row>
    <row r="2315" spans="1:31" x14ac:dyDescent="0.25">
      <c r="A2315" s="1" t="s">
        <v>1917</v>
      </c>
      <c r="B2315" s="1" t="s">
        <v>2539</v>
      </c>
      <c r="C2315" s="1" t="s">
        <v>2531</v>
      </c>
      <c r="D2315" s="1" t="s">
        <v>2535</v>
      </c>
      <c r="E2315" s="1" t="s">
        <v>5970</v>
      </c>
      <c r="G2315" s="1" t="s">
        <v>1917</v>
      </c>
      <c r="H2315" s="1">
        <v>1.7393328349999999</v>
      </c>
      <c r="I2315" s="1">
        <v>1.7393328349999999</v>
      </c>
      <c r="J2315" s="1">
        <v>1.7393328349999999</v>
      </c>
      <c r="K2315" s="1">
        <v>1.7393328349999999</v>
      </c>
      <c r="L2315" s="1">
        <v>1.7393328349999999</v>
      </c>
      <c r="M2315" s="1">
        <v>2.665084539</v>
      </c>
      <c r="N2315" s="1">
        <v>1.7393328349999999</v>
      </c>
      <c r="O2315" s="1">
        <v>1.7393328349999999</v>
      </c>
      <c r="P2315" s="1">
        <v>1.7393328349999999</v>
      </c>
      <c r="Q2315" s="1">
        <v>1.7393328349999999</v>
      </c>
      <c r="R2315" s="1">
        <v>1.7393328349999999</v>
      </c>
      <c r="S2315" s="1">
        <v>1.7393328349999999</v>
      </c>
      <c r="T2315" s="1">
        <v>1.7393328349999999</v>
      </c>
      <c r="U2315" s="1">
        <v>2.665084539</v>
      </c>
      <c r="V2315" s="1">
        <v>1.7393328349999999</v>
      </c>
      <c r="W2315" s="1">
        <v>1.7393328349999999</v>
      </c>
      <c r="X2315" s="1">
        <v>2.3600830049999999</v>
      </c>
      <c r="Y2315" s="1">
        <v>1.7393328349999999</v>
      </c>
      <c r="Z2315" s="1">
        <v>1.7393328349999999</v>
      </c>
      <c r="AA2315" s="1">
        <v>1.7393328349999999</v>
      </c>
      <c r="AB2315" s="1">
        <v>1.7393328349999999</v>
      </c>
      <c r="AC2315" s="1">
        <v>1.7393328349999999</v>
      </c>
      <c r="AD2315" s="1">
        <v>1.7393328349999999</v>
      </c>
      <c r="AE2315" s="1">
        <v>2.6144016259999998</v>
      </c>
    </row>
    <row r="2316" spans="1:31" x14ac:dyDescent="0.25">
      <c r="A2316" s="1" t="s">
        <v>1936</v>
      </c>
      <c r="B2316" s="1" t="s">
        <v>2530</v>
      </c>
      <c r="C2316" s="1" t="s">
        <v>2531</v>
      </c>
      <c r="D2316" s="1" t="s">
        <v>2535</v>
      </c>
      <c r="E2316" s="1" t="s">
        <v>5971</v>
      </c>
      <c r="G2316" s="1" t="s">
        <v>1936</v>
      </c>
      <c r="H2316" s="1">
        <v>4.7245801409999997</v>
      </c>
      <c r="I2316" s="1">
        <v>4.4542943209999999</v>
      </c>
      <c r="J2316" s="1">
        <v>5.8592801899999998</v>
      </c>
      <c r="K2316" s="1">
        <v>6.118739057</v>
      </c>
      <c r="L2316" s="1">
        <v>4.7721586460000003</v>
      </c>
      <c r="M2316" s="1">
        <v>5.1508485750000004</v>
      </c>
      <c r="N2316" s="1">
        <v>4.3596796910000002</v>
      </c>
      <c r="O2316" s="1">
        <v>4.9384407589999997</v>
      </c>
      <c r="P2316" s="1">
        <v>5.5318451900000003</v>
      </c>
      <c r="Q2316" s="1">
        <v>5.9062084209999997</v>
      </c>
      <c r="R2316" s="1">
        <v>5.8420803340000003</v>
      </c>
      <c r="S2316" s="1">
        <v>5.7416668729999998</v>
      </c>
      <c r="T2316" s="1">
        <v>4.7721586460000003</v>
      </c>
      <c r="U2316" s="1">
        <v>5.1508485750000004</v>
      </c>
      <c r="V2316" s="1">
        <v>5.3892424569999999</v>
      </c>
      <c r="W2316" s="1">
        <v>5.4743148909999997</v>
      </c>
      <c r="X2316" s="1">
        <v>5.8725355390000002</v>
      </c>
      <c r="Y2316" s="1">
        <v>6.0769070919999999</v>
      </c>
      <c r="Z2316" s="1">
        <v>5.8420803340000003</v>
      </c>
      <c r="AA2316" s="1">
        <v>5.7416668729999998</v>
      </c>
      <c r="AB2316" s="1">
        <v>6.2160685200000003</v>
      </c>
      <c r="AC2316" s="1">
        <v>5.9744301399999999</v>
      </c>
      <c r="AD2316" s="1">
        <v>6.1657997020000002</v>
      </c>
      <c r="AE2316" s="1">
        <v>5.6297370090000003</v>
      </c>
    </row>
    <row r="2317" spans="1:31" x14ac:dyDescent="0.25">
      <c r="A2317" s="1" t="s">
        <v>1963</v>
      </c>
      <c r="B2317" s="1" t="s">
        <v>2530</v>
      </c>
      <c r="C2317" s="1" t="s">
        <v>2531</v>
      </c>
      <c r="D2317" s="1" t="s">
        <v>2535</v>
      </c>
      <c r="E2317" s="1" t="s">
        <v>5972</v>
      </c>
      <c r="G2317" s="1" t="s">
        <v>1963</v>
      </c>
      <c r="H2317" s="1">
        <v>4.9322401630000003</v>
      </c>
      <c r="I2317" s="1">
        <v>5.3676718369999996</v>
      </c>
      <c r="J2317" s="1">
        <v>5.4770890750000003</v>
      </c>
      <c r="K2317" s="1">
        <v>4.8139921829999999</v>
      </c>
      <c r="L2317" s="1">
        <v>5.2974536179999996</v>
      </c>
      <c r="M2317" s="1">
        <v>5.1508485750000004</v>
      </c>
      <c r="N2317" s="1">
        <v>4.8346471299999996</v>
      </c>
      <c r="O2317" s="1">
        <v>5.0070106360000004</v>
      </c>
      <c r="P2317" s="1">
        <v>4.9577743410000004</v>
      </c>
      <c r="Q2317" s="1">
        <v>4.993318082</v>
      </c>
      <c r="R2317" s="1">
        <v>5.2434057019999996</v>
      </c>
      <c r="S2317" s="1">
        <v>5.1309834260000002</v>
      </c>
      <c r="T2317" s="1">
        <v>5.2974536179999996</v>
      </c>
      <c r="U2317" s="1">
        <v>5.1508485750000004</v>
      </c>
      <c r="V2317" s="1">
        <v>5.2072842770000003</v>
      </c>
      <c r="W2317" s="1">
        <v>5.0488589419999998</v>
      </c>
      <c r="X2317" s="1">
        <v>4.4502657640000001</v>
      </c>
      <c r="Y2317" s="1">
        <v>4.8250325140000001</v>
      </c>
      <c r="Z2317" s="1">
        <v>5.2434057019999996</v>
      </c>
      <c r="AA2317" s="1">
        <v>5.1309834260000002</v>
      </c>
      <c r="AB2317" s="1">
        <v>4.6096720080000004</v>
      </c>
      <c r="AC2317" s="1">
        <v>4.7474570290000004</v>
      </c>
      <c r="AD2317" s="1">
        <v>4.5511338559999999</v>
      </c>
      <c r="AE2317" s="1">
        <v>4.542053224</v>
      </c>
    </row>
    <row r="2318" spans="1:31" x14ac:dyDescent="0.25">
      <c r="A2318" s="1" t="s">
        <v>1999</v>
      </c>
      <c r="B2318" s="1" t="s">
        <v>2530</v>
      </c>
      <c r="C2318" s="1" t="s">
        <v>2531</v>
      </c>
      <c r="D2318" s="1" t="s">
        <v>2535</v>
      </c>
      <c r="E2318" s="1" t="s">
        <v>2536</v>
      </c>
      <c r="G2318" s="1" t="s">
        <v>1999</v>
      </c>
      <c r="H2318" s="1">
        <v>6.8356879179999996</v>
      </c>
      <c r="I2318" s="1">
        <v>6.6432373650000001</v>
      </c>
      <c r="J2318" s="1">
        <v>5.5483108110000003</v>
      </c>
      <c r="K2318" s="1">
        <v>5.9181521149999998</v>
      </c>
      <c r="L2318" s="1">
        <v>4.0714409539999998</v>
      </c>
      <c r="M2318" s="1">
        <v>4.1225413939999997</v>
      </c>
      <c r="N2318" s="1">
        <v>6.1558623460000002</v>
      </c>
      <c r="O2318" s="1">
        <v>6.5373998999999996</v>
      </c>
      <c r="P2318" s="1">
        <v>5.3522904530000002</v>
      </c>
      <c r="Q2318" s="1">
        <v>5.0479127070000001</v>
      </c>
      <c r="R2318" s="1">
        <v>4.5333476509999997</v>
      </c>
      <c r="S2318" s="1">
        <v>5.2672271329999996</v>
      </c>
      <c r="T2318" s="1">
        <v>4.0714409539999998</v>
      </c>
      <c r="U2318" s="1">
        <v>4.1225413939999997</v>
      </c>
      <c r="V2318" s="1">
        <v>5.0857495259999999</v>
      </c>
      <c r="W2318" s="1">
        <v>4.9854391920000003</v>
      </c>
      <c r="X2318" s="1">
        <v>4.8524813179999997</v>
      </c>
      <c r="Y2318" s="1">
        <v>5.1254702539999997</v>
      </c>
      <c r="Z2318" s="1">
        <v>4.5333476509999997</v>
      </c>
      <c r="AA2318" s="1">
        <v>5.2672271329999996</v>
      </c>
      <c r="AB2318" s="1">
        <v>5.2406211000000003</v>
      </c>
      <c r="AC2318" s="1">
        <v>4.9145215069999999</v>
      </c>
      <c r="AD2318" s="1">
        <v>4.8924744240000004</v>
      </c>
      <c r="AE2318" s="1">
        <v>5.868211906</v>
      </c>
    </row>
    <row r="2319" spans="1:31" x14ac:dyDescent="0.25">
      <c r="A2319" s="1" t="s">
        <v>2026</v>
      </c>
      <c r="B2319" s="1" t="s">
        <v>2535</v>
      </c>
      <c r="C2319" s="1" t="s">
        <v>2535</v>
      </c>
      <c r="D2319" s="1" t="s">
        <v>2535</v>
      </c>
      <c r="E2319" s="1" t="s">
        <v>2535</v>
      </c>
      <c r="F2319" s="1" t="s">
        <v>2535</v>
      </c>
      <c r="G2319" s="1" t="s">
        <v>2026</v>
      </c>
      <c r="H2319" s="1">
        <v>1.7393328349999999</v>
      </c>
      <c r="I2319" s="1">
        <v>1.7393328349999999</v>
      </c>
      <c r="J2319" s="1">
        <v>1.7393328349999999</v>
      </c>
      <c r="K2319" s="1">
        <v>1.7393328349999999</v>
      </c>
      <c r="L2319" s="1">
        <v>1.7393328349999999</v>
      </c>
      <c r="M2319" s="1">
        <v>1.7393328349999999</v>
      </c>
      <c r="N2319" s="1">
        <v>3.23577855</v>
      </c>
      <c r="O2319" s="1">
        <v>2.411448644</v>
      </c>
      <c r="P2319" s="1">
        <v>1.7393328349999999</v>
      </c>
      <c r="Q2319" s="1">
        <v>1.7393328349999999</v>
      </c>
      <c r="R2319" s="1">
        <v>1.7393328349999999</v>
      </c>
      <c r="S2319" s="1">
        <v>1.7393328349999999</v>
      </c>
      <c r="T2319" s="1">
        <v>1.7393328349999999</v>
      </c>
      <c r="U2319" s="1">
        <v>1.7393328349999999</v>
      </c>
      <c r="V2319" s="1">
        <v>1.7393328349999999</v>
      </c>
      <c r="W2319" s="1">
        <v>1.7393328349999999</v>
      </c>
      <c r="X2319" s="1">
        <v>1.7393328349999999</v>
      </c>
      <c r="Y2319" s="1">
        <v>1.7393328349999999</v>
      </c>
      <c r="Z2319" s="1">
        <v>1.7393328349999999</v>
      </c>
      <c r="AA2319" s="1">
        <v>1.7393328349999999</v>
      </c>
      <c r="AB2319" s="1">
        <v>2.73487305</v>
      </c>
      <c r="AC2319" s="1">
        <v>1.7393328349999999</v>
      </c>
      <c r="AD2319" s="1">
        <v>1.7393328349999999</v>
      </c>
      <c r="AE2319" s="1">
        <v>1.7393328349999999</v>
      </c>
    </row>
    <row r="2320" spans="1:31" x14ac:dyDescent="0.25">
      <c r="A2320" s="1" t="s">
        <v>2058</v>
      </c>
      <c r="B2320" s="1" t="s">
        <v>2535</v>
      </c>
      <c r="C2320" s="1" t="s">
        <v>2535</v>
      </c>
      <c r="D2320" s="1" t="s">
        <v>2535</v>
      </c>
      <c r="E2320" s="1" t="s">
        <v>2535</v>
      </c>
      <c r="F2320" s="1" t="s">
        <v>2535</v>
      </c>
      <c r="G2320" s="1" t="s">
        <v>2058</v>
      </c>
      <c r="H2320" s="1">
        <v>2.9945681560000001</v>
      </c>
      <c r="I2320" s="1">
        <v>2.5655118899999998</v>
      </c>
      <c r="J2320" s="1">
        <v>1.7393328349999999</v>
      </c>
      <c r="K2320" s="1">
        <v>1.7393328349999999</v>
      </c>
      <c r="L2320" s="1">
        <v>2.5490970000000002</v>
      </c>
      <c r="M2320" s="1">
        <v>2.3994532390000001</v>
      </c>
      <c r="N2320" s="1">
        <v>2.628425199</v>
      </c>
      <c r="O2320" s="1">
        <v>1.7393328349999999</v>
      </c>
      <c r="P2320" s="1">
        <v>1.7393328349999999</v>
      </c>
      <c r="Q2320" s="1">
        <v>2.597100669</v>
      </c>
      <c r="R2320" s="1">
        <v>2.595728008</v>
      </c>
      <c r="S2320" s="1">
        <v>1.7393328349999999</v>
      </c>
      <c r="T2320" s="1">
        <v>2.5490970000000002</v>
      </c>
      <c r="U2320" s="1">
        <v>2.3994532390000001</v>
      </c>
      <c r="V2320" s="1">
        <v>2.5140266200000001</v>
      </c>
      <c r="W2320" s="1">
        <v>1.7393328349999999</v>
      </c>
      <c r="X2320" s="1">
        <v>1.7393328349999999</v>
      </c>
      <c r="Y2320" s="1">
        <v>1.7393328349999999</v>
      </c>
      <c r="Z2320" s="1">
        <v>2.595728008</v>
      </c>
      <c r="AA2320" s="1">
        <v>1.7393328349999999</v>
      </c>
      <c r="AB2320" s="1">
        <v>2.73487305</v>
      </c>
      <c r="AC2320" s="1">
        <v>1.7393328349999999</v>
      </c>
      <c r="AD2320" s="1">
        <v>1.7393328349999999</v>
      </c>
      <c r="AE2320" s="1">
        <v>2.3627668220000002</v>
      </c>
    </row>
    <row r="2321" spans="1:31" x14ac:dyDescent="0.25">
      <c r="A2321" s="1" t="s">
        <v>2081</v>
      </c>
      <c r="B2321" s="1" t="s">
        <v>2579</v>
      </c>
      <c r="C2321" s="1" t="s">
        <v>2933</v>
      </c>
      <c r="D2321" s="1" t="s">
        <v>2934</v>
      </c>
      <c r="E2321" s="1" t="s">
        <v>5973</v>
      </c>
      <c r="F2321" s="1" t="s">
        <v>5974</v>
      </c>
      <c r="G2321" s="1" t="s">
        <v>2081</v>
      </c>
      <c r="H2321" s="1">
        <v>7.6072762420000002</v>
      </c>
      <c r="I2321" s="1">
        <v>7.8488900639999999</v>
      </c>
      <c r="J2321" s="1">
        <v>7.8853208019999999</v>
      </c>
      <c r="K2321" s="1">
        <v>7.8867635690000002</v>
      </c>
      <c r="L2321" s="1">
        <v>7.0128503719999999</v>
      </c>
      <c r="M2321" s="1">
        <v>7.0263375510000001</v>
      </c>
      <c r="N2321" s="1">
        <v>7.0751784710000001</v>
      </c>
      <c r="O2321" s="1">
        <v>6.7989962650000004</v>
      </c>
      <c r="P2321" s="1">
        <v>7.7367499679999998</v>
      </c>
      <c r="Q2321" s="1">
        <v>7.7031367619999997</v>
      </c>
      <c r="R2321" s="1">
        <v>7.2009502379999999</v>
      </c>
      <c r="S2321" s="1">
        <v>7.3250129560000001</v>
      </c>
      <c r="T2321" s="1">
        <v>7.0128503719999999</v>
      </c>
      <c r="U2321" s="1">
        <v>7.0263375510000001</v>
      </c>
      <c r="V2321" s="1">
        <v>6.7435409980000003</v>
      </c>
      <c r="W2321" s="1">
        <v>6.7918889980000001</v>
      </c>
      <c r="X2321" s="1">
        <v>7.4078551949999998</v>
      </c>
      <c r="Y2321" s="1">
        <v>6.6624835610000002</v>
      </c>
      <c r="Z2321" s="1">
        <v>7.2009502379999999</v>
      </c>
      <c r="AA2321" s="1">
        <v>7.3250129560000001</v>
      </c>
      <c r="AB2321" s="1">
        <v>7.1007608549999999</v>
      </c>
      <c r="AC2321" s="1">
        <v>7.2260251899999997</v>
      </c>
      <c r="AD2321" s="1">
        <v>7.4438070659999998</v>
      </c>
      <c r="AE2321" s="1">
        <v>7.3033453740000001</v>
      </c>
    </row>
    <row r="2322" spans="1:31" x14ac:dyDescent="0.25">
      <c r="A2322" s="1" t="s">
        <v>2113</v>
      </c>
      <c r="B2322" s="1" t="s">
        <v>2530</v>
      </c>
      <c r="C2322" s="1" t="s">
        <v>2531</v>
      </c>
      <c r="D2322" s="1" t="s">
        <v>2535</v>
      </c>
      <c r="E2322" s="1" t="s">
        <v>2536</v>
      </c>
      <c r="G2322" s="1" t="s">
        <v>2113</v>
      </c>
      <c r="H2322" s="1">
        <v>5.7431528099999998</v>
      </c>
      <c r="I2322" s="1">
        <v>5.9455889470000001</v>
      </c>
      <c r="J2322" s="1">
        <v>4.5940881259999999</v>
      </c>
      <c r="K2322" s="1">
        <v>4.5171444090000001</v>
      </c>
      <c r="L2322" s="1">
        <v>3.971296959</v>
      </c>
      <c r="M2322" s="1">
        <v>4.4472617469999998</v>
      </c>
      <c r="N2322" s="1">
        <v>5.1623684499999998</v>
      </c>
      <c r="O2322" s="1">
        <v>5.5552821830000001</v>
      </c>
      <c r="P2322" s="1">
        <v>4.5499605860000001</v>
      </c>
      <c r="Q2322" s="1">
        <v>4.9365262349999997</v>
      </c>
      <c r="R2322" s="1">
        <v>5.0965654090000001</v>
      </c>
      <c r="S2322" s="1">
        <v>4.2250836859999996</v>
      </c>
      <c r="T2322" s="1">
        <v>3.971296959</v>
      </c>
      <c r="U2322" s="1">
        <v>4.4472617469999998</v>
      </c>
      <c r="V2322" s="1">
        <v>4.3163797720000003</v>
      </c>
      <c r="W2322" s="1">
        <v>4.69862249</v>
      </c>
      <c r="X2322" s="1">
        <v>4.7192629950000002</v>
      </c>
      <c r="Y2322" s="1">
        <v>5.2297915760000002</v>
      </c>
      <c r="Z2322" s="1">
        <v>5.0965654090000001</v>
      </c>
      <c r="AA2322" s="1">
        <v>4.2250836859999996</v>
      </c>
      <c r="AB2322" s="1">
        <v>5.2406211000000003</v>
      </c>
      <c r="AC2322" s="1">
        <v>4.7474570290000004</v>
      </c>
      <c r="AD2322" s="1">
        <v>5.5186611069999998</v>
      </c>
      <c r="AE2322" s="1">
        <v>5.2736981710000004</v>
      </c>
    </row>
    <row r="2323" spans="1:31" x14ac:dyDescent="0.25">
      <c r="A2323" s="1" t="s">
        <v>2124</v>
      </c>
      <c r="B2323" s="1" t="s">
        <v>2530</v>
      </c>
      <c r="C2323" s="1" t="s">
        <v>2573</v>
      </c>
      <c r="D2323" s="1" t="s">
        <v>2535</v>
      </c>
      <c r="E2323" s="1" t="s">
        <v>5714</v>
      </c>
      <c r="G2323" s="1" t="s">
        <v>2124</v>
      </c>
      <c r="H2323" s="1">
        <v>4.5667504939999999</v>
      </c>
      <c r="I2323" s="1">
        <v>4.2936285989999998</v>
      </c>
      <c r="J2323" s="1">
        <v>4.3724365990000003</v>
      </c>
      <c r="K2323" s="1">
        <v>3.8998480660000001</v>
      </c>
      <c r="L2323" s="1">
        <v>3.7446308510000001</v>
      </c>
      <c r="M2323" s="1">
        <v>3.8521266660000002</v>
      </c>
      <c r="N2323" s="1">
        <v>4.1562881980000004</v>
      </c>
      <c r="O2323" s="1">
        <v>4.2189785100000003</v>
      </c>
      <c r="P2323" s="1">
        <v>4.5499605860000001</v>
      </c>
      <c r="Q2323" s="1">
        <v>4.3733115800000002</v>
      </c>
      <c r="R2323" s="1">
        <v>4.5333476509999997</v>
      </c>
      <c r="S2323" s="1">
        <v>4.5490843459999999</v>
      </c>
      <c r="T2323" s="1">
        <v>3.7446308510000001</v>
      </c>
      <c r="U2323" s="1">
        <v>3.8521266660000002</v>
      </c>
      <c r="V2323" s="1">
        <v>3.7819764450000002</v>
      </c>
      <c r="W2323" s="1">
        <v>3.6840067150000002</v>
      </c>
      <c r="X2323" s="1">
        <v>4.1686775799999998</v>
      </c>
      <c r="Y2323" s="1">
        <v>4.4420910779999998</v>
      </c>
      <c r="Z2323" s="1">
        <v>4.5333476509999997</v>
      </c>
      <c r="AA2323" s="1">
        <v>4.5490843459999999</v>
      </c>
      <c r="AB2323" s="1">
        <v>3.990981031</v>
      </c>
      <c r="AC2323" s="1">
        <v>4.8053838390000001</v>
      </c>
      <c r="AD2323" s="1">
        <v>4.2005997429999997</v>
      </c>
      <c r="AE2323" s="1">
        <v>4.0105905760000002</v>
      </c>
    </row>
    <row r="2324" spans="1:31" x14ac:dyDescent="0.25">
      <c r="A2324" s="1" t="s">
        <v>2127</v>
      </c>
      <c r="B2324" s="1" t="s">
        <v>2530</v>
      </c>
      <c r="C2324" s="1" t="s">
        <v>2531</v>
      </c>
      <c r="D2324" s="1" t="s">
        <v>2535</v>
      </c>
      <c r="E2324" s="1" t="s">
        <v>5975</v>
      </c>
      <c r="G2324" s="1" t="s">
        <v>2127</v>
      </c>
      <c r="H2324" s="1">
        <v>2.9945681560000001</v>
      </c>
      <c r="I2324" s="1">
        <v>3.1348991329999998</v>
      </c>
      <c r="J2324" s="1">
        <v>4.2898244959999996</v>
      </c>
      <c r="K2324" s="1">
        <v>4.0244910950000001</v>
      </c>
      <c r="L2324" s="1">
        <v>4.4478088219999998</v>
      </c>
      <c r="M2324" s="1">
        <v>4.709731562</v>
      </c>
      <c r="N2324" s="1">
        <v>3.344961128</v>
      </c>
      <c r="O2324" s="1">
        <v>3.5386882399999999</v>
      </c>
      <c r="P2324" s="1">
        <v>4.2485661720000003</v>
      </c>
      <c r="Q2324" s="1">
        <v>4.0840108080000004</v>
      </c>
      <c r="R2324" s="1">
        <v>4.2802026870000001</v>
      </c>
      <c r="S2324" s="1">
        <v>4.3966315629999997</v>
      </c>
      <c r="T2324" s="1">
        <v>4.4478088219999998</v>
      </c>
      <c r="U2324" s="1">
        <v>4.709731562</v>
      </c>
      <c r="V2324" s="1">
        <v>4.0758289169999999</v>
      </c>
      <c r="W2324" s="1">
        <v>4.3370700810000002</v>
      </c>
      <c r="X2324" s="1">
        <v>4.5719855100000002</v>
      </c>
      <c r="Y2324" s="1">
        <v>4.0337379980000003</v>
      </c>
      <c r="Z2324" s="1">
        <v>4.2802026870000001</v>
      </c>
      <c r="AA2324" s="1">
        <v>4.3966315629999997</v>
      </c>
      <c r="AB2324" s="1">
        <v>4.2729702720000002</v>
      </c>
      <c r="AC2324" s="1">
        <v>4.8053838390000001</v>
      </c>
      <c r="AD2324" s="1">
        <v>5.0087140049999999</v>
      </c>
      <c r="AE2324" s="1">
        <v>4.1773695330000002</v>
      </c>
    </row>
    <row r="2325" spans="1:31" x14ac:dyDescent="0.25">
      <c r="A2325" s="1" t="s">
        <v>2162</v>
      </c>
      <c r="B2325" s="1" t="s">
        <v>2535</v>
      </c>
      <c r="C2325" s="1" t="s">
        <v>2535</v>
      </c>
      <c r="D2325" s="1" t="s">
        <v>2535</v>
      </c>
      <c r="E2325" s="1" t="s">
        <v>2535</v>
      </c>
      <c r="F2325" s="1" t="s">
        <v>2535</v>
      </c>
      <c r="G2325" s="1" t="s">
        <v>2162</v>
      </c>
      <c r="H2325" s="1">
        <v>3.2549621289999999</v>
      </c>
      <c r="I2325" s="1">
        <v>4.7893724280000001</v>
      </c>
      <c r="J2325" s="1">
        <v>1.7393328349999999</v>
      </c>
      <c r="K2325" s="1">
        <v>3.762021974</v>
      </c>
      <c r="L2325" s="1">
        <v>2.315629231</v>
      </c>
      <c r="M2325" s="1">
        <v>2.665084539</v>
      </c>
      <c r="N2325" s="1">
        <v>4.8677953240000003</v>
      </c>
      <c r="O2325" s="1">
        <v>4.0289865369999998</v>
      </c>
      <c r="P2325" s="1">
        <v>3.466113682</v>
      </c>
      <c r="Q2325" s="1">
        <v>3.388910638</v>
      </c>
      <c r="R2325" s="1">
        <v>1.7393328349999999</v>
      </c>
      <c r="S2325" s="1">
        <v>3.1475403900000001</v>
      </c>
      <c r="T2325" s="1">
        <v>2.315629231</v>
      </c>
      <c r="U2325" s="1">
        <v>2.665084539</v>
      </c>
      <c r="V2325" s="1">
        <v>2.8225047829999999</v>
      </c>
      <c r="W2325" s="1">
        <v>3.2870366010000001</v>
      </c>
      <c r="X2325" s="1">
        <v>2.3600830049999999</v>
      </c>
      <c r="Y2325" s="1">
        <v>2.624795792</v>
      </c>
      <c r="Z2325" s="1">
        <v>1.7393328349999999</v>
      </c>
      <c r="AA2325" s="1">
        <v>3.1475403900000001</v>
      </c>
      <c r="AB2325" s="1">
        <v>1.7393328349999999</v>
      </c>
      <c r="AC2325" s="1">
        <v>2.5506926650000001</v>
      </c>
      <c r="AD2325" s="1">
        <v>2.9432342459999998</v>
      </c>
      <c r="AE2325" s="1">
        <v>3.213378847</v>
      </c>
    </row>
    <row r="2326" spans="1:31" x14ac:dyDescent="0.25">
      <c r="A2326" s="1" t="s">
        <v>2190</v>
      </c>
      <c r="B2326" s="1" t="s">
        <v>2608</v>
      </c>
      <c r="C2326" s="1" t="s">
        <v>2700</v>
      </c>
      <c r="D2326" s="1" t="s">
        <v>2701</v>
      </c>
      <c r="E2326" s="1" t="s">
        <v>5976</v>
      </c>
      <c r="F2326" s="1" t="s">
        <v>5977</v>
      </c>
      <c r="G2326" s="1" t="s">
        <v>2190</v>
      </c>
      <c r="H2326" s="1">
        <v>6.8525976059999998</v>
      </c>
      <c r="I2326" s="1">
        <v>6.5766895930000002</v>
      </c>
      <c r="J2326" s="1">
        <v>8.0034921079999997</v>
      </c>
      <c r="K2326" s="1">
        <v>8.0141699890000009</v>
      </c>
      <c r="L2326" s="1">
        <v>7.896281127</v>
      </c>
      <c r="M2326" s="1">
        <v>8.0796367839999998</v>
      </c>
      <c r="N2326" s="1">
        <v>6.6458437989999997</v>
      </c>
      <c r="O2326" s="1">
        <v>6.9444867510000003</v>
      </c>
      <c r="P2326" s="1">
        <v>7.9652532679999997</v>
      </c>
      <c r="Q2326" s="1">
        <v>8.0327622860000005</v>
      </c>
      <c r="R2326" s="1">
        <v>8.2850680959999998</v>
      </c>
      <c r="S2326" s="1">
        <v>7.9246325290000001</v>
      </c>
      <c r="T2326" s="1">
        <v>7.896281127</v>
      </c>
      <c r="U2326" s="1">
        <v>8.0796367839999998</v>
      </c>
      <c r="V2326" s="1">
        <v>7.6851832330000001</v>
      </c>
      <c r="W2326" s="1">
        <v>7.8134286409999998</v>
      </c>
      <c r="X2326" s="1">
        <v>7.7939953109999998</v>
      </c>
      <c r="Y2326" s="1">
        <v>7.3770144499999999</v>
      </c>
      <c r="Z2326" s="1">
        <v>8.2850680959999998</v>
      </c>
      <c r="AA2326" s="1">
        <v>7.9246325290000001</v>
      </c>
      <c r="AB2326" s="1">
        <v>7.8858864449999997</v>
      </c>
      <c r="AC2326" s="1">
        <v>8.0656267770000003</v>
      </c>
      <c r="AD2326" s="1">
        <v>7.5328776130000001</v>
      </c>
      <c r="AE2326" s="1">
        <v>7.4464492240000002</v>
      </c>
    </row>
    <row r="2327" spans="1:31" x14ac:dyDescent="0.25">
      <c r="A2327" s="1" t="s">
        <v>2204</v>
      </c>
      <c r="B2327" s="1" t="s">
        <v>2535</v>
      </c>
      <c r="C2327" s="1" t="s">
        <v>2535</v>
      </c>
      <c r="D2327" s="1" t="s">
        <v>2535</v>
      </c>
      <c r="E2327" s="1" t="s">
        <v>2535</v>
      </c>
      <c r="F2327" s="1" t="s">
        <v>2535</v>
      </c>
      <c r="G2327" s="1" t="s">
        <v>2204</v>
      </c>
      <c r="H2327" s="1">
        <v>4.183793842</v>
      </c>
      <c r="I2327" s="1">
        <v>4.2936285989999998</v>
      </c>
      <c r="J2327" s="1">
        <v>3.1324899180000001</v>
      </c>
      <c r="K2327" s="1">
        <v>2.620638279</v>
      </c>
      <c r="L2327" s="1">
        <v>2.315629231</v>
      </c>
      <c r="M2327" s="1">
        <v>3.027864058</v>
      </c>
      <c r="N2327" s="1">
        <v>3.9806352139999999</v>
      </c>
      <c r="O2327" s="1">
        <v>4.1585876539999997</v>
      </c>
      <c r="P2327" s="1">
        <v>2.5478783159999998</v>
      </c>
      <c r="Q2327" s="1">
        <v>1.7393328349999999</v>
      </c>
      <c r="R2327" s="1">
        <v>3.1834741979999999</v>
      </c>
      <c r="S2327" s="1">
        <v>1.7393328349999999</v>
      </c>
      <c r="T2327" s="1">
        <v>2.315629231</v>
      </c>
      <c r="U2327" s="1">
        <v>3.027864058</v>
      </c>
      <c r="V2327" s="1">
        <v>2.5140266200000001</v>
      </c>
      <c r="W2327" s="1">
        <v>2.6606351240000001</v>
      </c>
      <c r="X2327" s="1">
        <v>2.3600830049999999</v>
      </c>
      <c r="Y2327" s="1">
        <v>3.4382968329999999</v>
      </c>
      <c r="Z2327" s="1">
        <v>3.1834741979999999</v>
      </c>
      <c r="AA2327" s="1">
        <v>1.7393328349999999</v>
      </c>
      <c r="AB2327" s="1">
        <v>1.7393328349999999</v>
      </c>
      <c r="AC2327" s="1">
        <v>3.4716344729999999</v>
      </c>
      <c r="AD2327" s="1">
        <v>3.1944880649999998</v>
      </c>
      <c r="AE2327" s="1">
        <v>3.5108161330000001</v>
      </c>
    </row>
    <row r="2328" spans="1:31" x14ac:dyDescent="0.25">
      <c r="A2328" s="1" t="s">
        <v>2205</v>
      </c>
      <c r="B2328" s="1" t="s">
        <v>2662</v>
      </c>
      <c r="C2328" s="1" t="s">
        <v>2531</v>
      </c>
      <c r="D2328" s="1" t="s">
        <v>5511</v>
      </c>
      <c r="E2328" s="1" t="s">
        <v>5512</v>
      </c>
      <c r="G2328" s="1" t="s">
        <v>2205</v>
      </c>
      <c r="H2328" s="1">
        <v>2.640460343</v>
      </c>
      <c r="I2328" s="1">
        <v>2.8927893610000002</v>
      </c>
      <c r="J2328" s="1">
        <v>1.7393328349999999</v>
      </c>
      <c r="K2328" s="1">
        <v>1.7393328349999999</v>
      </c>
      <c r="L2328" s="1">
        <v>1.7393328349999999</v>
      </c>
      <c r="M2328" s="1">
        <v>2.3994532390000001</v>
      </c>
      <c r="N2328" s="1">
        <v>2.628425199</v>
      </c>
      <c r="O2328" s="1">
        <v>3.050193165</v>
      </c>
      <c r="P2328" s="1">
        <v>2.5478783159999998</v>
      </c>
      <c r="Q2328" s="1">
        <v>1.7393328349999999</v>
      </c>
      <c r="R2328" s="1">
        <v>1.7393328349999999</v>
      </c>
      <c r="S2328" s="1">
        <v>1.7393328349999999</v>
      </c>
      <c r="T2328" s="1">
        <v>1.7393328349999999</v>
      </c>
      <c r="U2328" s="1">
        <v>2.3994532390000001</v>
      </c>
      <c r="V2328" s="1">
        <v>1.7393328349999999</v>
      </c>
      <c r="W2328" s="1">
        <v>2.6606351240000001</v>
      </c>
      <c r="X2328" s="1">
        <v>2.3600830049999999</v>
      </c>
      <c r="Y2328" s="1">
        <v>1.7393328349999999</v>
      </c>
      <c r="Z2328" s="1">
        <v>1.7393328349999999</v>
      </c>
      <c r="AA2328" s="1">
        <v>1.7393328349999999</v>
      </c>
      <c r="AB2328" s="1">
        <v>1.7393328349999999</v>
      </c>
      <c r="AC2328" s="1">
        <v>1.7393328349999999</v>
      </c>
      <c r="AD2328" s="1">
        <v>1.7393328349999999</v>
      </c>
      <c r="AE2328" s="1">
        <v>2.803297787</v>
      </c>
    </row>
    <row r="2329" spans="1:31" x14ac:dyDescent="0.25">
      <c r="A2329" s="1" t="s">
        <v>2228</v>
      </c>
      <c r="B2329" s="1" t="s">
        <v>2530</v>
      </c>
      <c r="C2329" s="1" t="s">
        <v>2531</v>
      </c>
      <c r="D2329" s="1" t="s">
        <v>2535</v>
      </c>
      <c r="E2329" s="1" t="s">
        <v>2536</v>
      </c>
      <c r="G2329" s="1" t="s">
        <v>2228</v>
      </c>
      <c r="H2329" s="1">
        <v>4.183793842</v>
      </c>
      <c r="I2329" s="1">
        <v>3.7806045529999999</v>
      </c>
      <c r="J2329" s="1">
        <v>4.2018709520000002</v>
      </c>
      <c r="K2329" s="1">
        <v>3.4309024589999999</v>
      </c>
      <c r="L2329" s="1">
        <v>4.1188213390000001</v>
      </c>
      <c r="M2329" s="1">
        <v>3.5095973119999999</v>
      </c>
      <c r="N2329" s="1">
        <v>4.3116130799999999</v>
      </c>
      <c r="O2329" s="1">
        <v>4.4368189940000002</v>
      </c>
      <c r="P2329" s="1">
        <v>4.3303557189999999</v>
      </c>
      <c r="Q2329" s="1">
        <v>3.7137735799999998</v>
      </c>
      <c r="R2329" s="1">
        <v>3.968758995</v>
      </c>
      <c r="S2329" s="1">
        <v>4.3135540739999998</v>
      </c>
      <c r="T2329" s="1">
        <v>4.1188213390000001</v>
      </c>
      <c r="U2329" s="1">
        <v>3.5095973119999999</v>
      </c>
      <c r="V2329" s="1">
        <v>4.0758289169999999</v>
      </c>
      <c r="W2329" s="1">
        <v>3.2870366010000001</v>
      </c>
      <c r="X2329" s="1">
        <v>4.1686775799999998</v>
      </c>
      <c r="Y2329" s="1">
        <v>3.229986142</v>
      </c>
      <c r="Z2329" s="1">
        <v>3.968758995</v>
      </c>
      <c r="AA2329" s="1">
        <v>4.3135540739999998</v>
      </c>
      <c r="AB2329" s="1">
        <v>3.6315729079999999</v>
      </c>
      <c r="AC2329" s="1">
        <v>3.7481372300000002</v>
      </c>
      <c r="AD2329" s="1">
        <v>2.9432342459999998</v>
      </c>
      <c r="AE2329" s="1">
        <v>3.5108161330000001</v>
      </c>
    </row>
    <row r="2330" spans="1:31" x14ac:dyDescent="0.25">
      <c r="A2330" s="1" t="s">
        <v>2238</v>
      </c>
      <c r="B2330" s="1" t="s">
        <v>2520</v>
      </c>
      <c r="C2330" s="1" t="s">
        <v>3160</v>
      </c>
      <c r="D2330" s="1" t="s">
        <v>5897</v>
      </c>
      <c r="E2330" s="1" t="s">
        <v>5978</v>
      </c>
      <c r="F2330" s="1" t="s">
        <v>5979</v>
      </c>
      <c r="G2330" s="1" t="s">
        <v>2238</v>
      </c>
      <c r="H2330" s="1">
        <v>3.6455184960000002</v>
      </c>
      <c r="I2330" s="1">
        <v>4.7284970130000001</v>
      </c>
      <c r="J2330" s="1">
        <v>4.8434621079999998</v>
      </c>
      <c r="K2330" s="1">
        <v>4.5974987220000001</v>
      </c>
      <c r="L2330" s="1">
        <v>4.7721586460000003</v>
      </c>
      <c r="M2330" s="1">
        <v>4.5403831759999997</v>
      </c>
      <c r="N2330" s="1">
        <v>4.3596796910000002</v>
      </c>
      <c r="O2330" s="1">
        <v>4.1585876539999997</v>
      </c>
      <c r="P2330" s="1">
        <v>4.8528499219999999</v>
      </c>
      <c r="Q2330" s="1">
        <v>4.993318082</v>
      </c>
      <c r="R2330" s="1">
        <v>4.9327063119999996</v>
      </c>
      <c r="S2330" s="1">
        <v>4.3966315629999997</v>
      </c>
      <c r="T2330" s="1">
        <v>4.7721586460000003</v>
      </c>
      <c r="U2330" s="1">
        <v>4.5403831759999997</v>
      </c>
      <c r="V2330" s="1">
        <v>4.8566239800000002</v>
      </c>
      <c r="W2330" s="1">
        <v>4.8493412630000003</v>
      </c>
      <c r="X2330" s="1">
        <v>6.1405132890000003</v>
      </c>
      <c r="Y2330" s="1">
        <v>5.2792112080000004</v>
      </c>
      <c r="Z2330" s="1">
        <v>4.9327063119999996</v>
      </c>
      <c r="AA2330" s="1">
        <v>4.3966315629999997</v>
      </c>
      <c r="AB2330" s="1">
        <v>5.5276660309999999</v>
      </c>
      <c r="AC2330" s="1">
        <v>5.198889973</v>
      </c>
      <c r="AD2330" s="1">
        <v>5.396704357</v>
      </c>
      <c r="AE2330" s="1">
        <v>6.2026157089999998</v>
      </c>
    </row>
    <row r="2331" spans="1:31" x14ac:dyDescent="0.25">
      <c r="A2331" s="1" t="s">
        <v>2243</v>
      </c>
      <c r="B2331" s="1" t="s">
        <v>2530</v>
      </c>
      <c r="C2331" s="1" t="s">
        <v>2531</v>
      </c>
      <c r="D2331" s="1" t="s">
        <v>2535</v>
      </c>
      <c r="E2331" s="1" t="s">
        <v>4148</v>
      </c>
      <c r="G2331" s="1" t="s">
        <v>2243</v>
      </c>
      <c r="H2331" s="1">
        <v>5.6684727009999998</v>
      </c>
      <c r="I2331" s="1">
        <v>6.0959298439999996</v>
      </c>
      <c r="J2331" s="1">
        <v>5.0051223570000003</v>
      </c>
      <c r="K2331" s="1">
        <v>4.3408695499999999</v>
      </c>
      <c r="L2331" s="1">
        <v>4.5190290319999997</v>
      </c>
      <c r="M2331" s="1">
        <v>4.3982295550000003</v>
      </c>
      <c r="N2331" s="1">
        <v>5.4717898820000004</v>
      </c>
      <c r="O2331" s="1">
        <v>5.8796079560000001</v>
      </c>
      <c r="P2331" s="1">
        <v>4.6791060150000003</v>
      </c>
      <c r="Q2331" s="1">
        <v>4.611970812</v>
      </c>
      <c r="R2331" s="1">
        <v>4.8735636449999999</v>
      </c>
      <c r="S2331" s="1">
        <v>5.0824952919999999</v>
      </c>
      <c r="T2331" s="1">
        <v>4.5190290319999997</v>
      </c>
      <c r="U2331" s="1">
        <v>4.3982295550000003</v>
      </c>
      <c r="V2331" s="1">
        <v>4.8059579570000004</v>
      </c>
      <c r="W2331" s="1">
        <v>4.9854391920000003</v>
      </c>
      <c r="X2331" s="1">
        <v>5.1646924079999996</v>
      </c>
      <c r="Y2331" s="1">
        <v>5.1254702539999997</v>
      </c>
      <c r="Z2331" s="1">
        <v>4.8735636449999999</v>
      </c>
      <c r="AA2331" s="1">
        <v>5.0824952919999999</v>
      </c>
      <c r="AB2331" s="1">
        <v>5.1755434500000002</v>
      </c>
      <c r="AC2331" s="1">
        <v>5.0158027430000001</v>
      </c>
      <c r="AD2331" s="1">
        <v>5.0634297190000002</v>
      </c>
      <c r="AE2331" s="1">
        <v>5.5536024810000004</v>
      </c>
    </row>
    <row r="2332" spans="1:31" x14ac:dyDescent="0.25">
      <c r="A2332" s="1" t="s">
        <v>2244</v>
      </c>
      <c r="B2332" s="1" t="s">
        <v>2530</v>
      </c>
      <c r="C2332" s="1" t="s">
        <v>2531</v>
      </c>
      <c r="D2332" s="1" t="s">
        <v>2535</v>
      </c>
      <c r="E2332" s="1" t="s">
        <v>5980</v>
      </c>
      <c r="G2332" s="1" t="s">
        <v>2244</v>
      </c>
      <c r="H2332" s="1">
        <v>2.640460343</v>
      </c>
      <c r="I2332" s="1">
        <v>2.5655118899999998</v>
      </c>
      <c r="J2332" s="1">
        <v>3.329519721</v>
      </c>
      <c r="K2332" s="1">
        <v>2.9677134359999999</v>
      </c>
      <c r="L2332" s="1">
        <v>2.8704126319999999</v>
      </c>
      <c r="M2332" s="1">
        <v>3.169085575</v>
      </c>
      <c r="N2332" s="1">
        <v>3.7025667929999999</v>
      </c>
      <c r="O2332" s="1">
        <v>3.3203005989999999</v>
      </c>
      <c r="P2332" s="1">
        <v>3.106446558</v>
      </c>
      <c r="Q2332" s="1">
        <v>2.935765398</v>
      </c>
      <c r="R2332" s="1">
        <v>2.595728008</v>
      </c>
      <c r="S2332" s="1">
        <v>3.3463386960000001</v>
      </c>
      <c r="T2332" s="1">
        <v>2.8704126319999999</v>
      </c>
      <c r="U2332" s="1">
        <v>3.169085575</v>
      </c>
      <c r="V2332" s="1">
        <v>2.5140266200000001</v>
      </c>
      <c r="W2332" s="1">
        <v>3.0218530750000001</v>
      </c>
      <c r="X2332" s="1">
        <v>3.2074401739999998</v>
      </c>
      <c r="Y2332" s="1">
        <v>2.624795792</v>
      </c>
      <c r="Z2332" s="1">
        <v>2.595728008</v>
      </c>
      <c r="AA2332" s="1">
        <v>3.3463386960000001</v>
      </c>
      <c r="AB2332" s="1">
        <v>1.7393328349999999</v>
      </c>
      <c r="AC2332" s="1">
        <v>1.7393328349999999</v>
      </c>
      <c r="AD2332" s="1">
        <v>2.6025990879999998</v>
      </c>
      <c r="AE2332" s="1">
        <v>3.0939349979999999</v>
      </c>
    </row>
    <row r="2333" spans="1:31" x14ac:dyDescent="0.25">
      <c r="A2333" s="1" t="s">
        <v>2256</v>
      </c>
      <c r="B2333" s="1" t="s">
        <v>2530</v>
      </c>
      <c r="C2333" s="1" t="s">
        <v>2531</v>
      </c>
      <c r="D2333" s="1" t="s">
        <v>2535</v>
      </c>
      <c r="E2333" s="1" t="s">
        <v>2536</v>
      </c>
      <c r="G2333" s="1" t="s">
        <v>2256</v>
      </c>
      <c r="H2333" s="1">
        <v>1.7393328349999999</v>
      </c>
      <c r="I2333" s="1">
        <v>1.7393328349999999</v>
      </c>
      <c r="J2333" s="1">
        <v>1.7393328349999999</v>
      </c>
      <c r="K2333" s="1">
        <v>2.620638279</v>
      </c>
      <c r="L2333" s="1">
        <v>1.7393328349999999</v>
      </c>
      <c r="M2333" s="1">
        <v>1.7393328349999999</v>
      </c>
      <c r="N2333" s="1">
        <v>1.7393328349999999</v>
      </c>
      <c r="O2333" s="1">
        <v>1.7393328349999999</v>
      </c>
      <c r="P2333" s="1">
        <v>1.7393328349999999</v>
      </c>
      <c r="Q2333" s="1">
        <v>1.7393328349999999</v>
      </c>
      <c r="R2333" s="1">
        <v>1.7393328349999999</v>
      </c>
      <c r="S2333" s="1">
        <v>1.7393328349999999</v>
      </c>
      <c r="T2333" s="1">
        <v>1.7393328349999999</v>
      </c>
      <c r="U2333" s="1">
        <v>1.7393328349999999</v>
      </c>
      <c r="V2333" s="1">
        <v>1.7393328349999999</v>
      </c>
      <c r="W2333" s="1">
        <v>1.7393328349999999</v>
      </c>
      <c r="X2333" s="1">
        <v>1.7393328349999999</v>
      </c>
      <c r="Y2333" s="1">
        <v>1.7393328349999999</v>
      </c>
      <c r="Z2333" s="1">
        <v>1.7393328349999999</v>
      </c>
      <c r="AA2333" s="1">
        <v>1.7393328349999999</v>
      </c>
      <c r="AB2333" s="1">
        <v>1.7393328349999999</v>
      </c>
      <c r="AC2333" s="1">
        <v>1.7393328349999999</v>
      </c>
      <c r="AD2333" s="1">
        <v>1.7393328349999999</v>
      </c>
      <c r="AE2333" s="1">
        <v>1.7393328349999999</v>
      </c>
    </row>
    <row r="2334" spans="1:31" x14ac:dyDescent="0.25">
      <c r="A2334" s="1" t="s">
        <v>2262</v>
      </c>
      <c r="B2334" s="1" t="s">
        <v>2942</v>
      </c>
      <c r="C2334" s="1" t="s">
        <v>4203</v>
      </c>
      <c r="D2334" s="1" t="s">
        <v>2535</v>
      </c>
      <c r="E2334" s="1" t="s">
        <v>5981</v>
      </c>
      <c r="G2334" s="1" t="s">
        <v>2262</v>
      </c>
      <c r="H2334" s="1">
        <v>3.4660955969999998</v>
      </c>
      <c r="I2334" s="1">
        <v>3.9003964459999998</v>
      </c>
      <c r="J2334" s="1">
        <v>3.8969924050000002</v>
      </c>
      <c r="K2334" s="1">
        <v>3.4309024589999999</v>
      </c>
      <c r="L2334" s="1">
        <v>3.6811173419999998</v>
      </c>
      <c r="M2334" s="1">
        <v>3.6044002019999999</v>
      </c>
      <c r="N2334" s="1">
        <v>4.0417975630000003</v>
      </c>
      <c r="O2334" s="1">
        <v>3.434496577</v>
      </c>
      <c r="P2334" s="1">
        <v>3.466113682</v>
      </c>
      <c r="Q2334" s="1">
        <v>4.0840108080000004</v>
      </c>
      <c r="R2334" s="1">
        <v>3.8462631940000001</v>
      </c>
      <c r="S2334" s="1">
        <v>3.3463386960000001</v>
      </c>
      <c r="T2334" s="1">
        <v>3.6811173419999998</v>
      </c>
      <c r="U2334" s="1">
        <v>3.6044002019999999</v>
      </c>
      <c r="V2334" s="1">
        <v>3.3993802240000002</v>
      </c>
      <c r="W2334" s="1">
        <v>3.50175473</v>
      </c>
      <c r="X2334" s="1">
        <v>2.9542167930000001</v>
      </c>
      <c r="Y2334" s="1">
        <v>2.624795792</v>
      </c>
      <c r="Z2334" s="1">
        <v>3.8462631940000001</v>
      </c>
      <c r="AA2334" s="1">
        <v>3.3463386960000001</v>
      </c>
      <c r="AB2334" s="1">
        <v>4.2729702720000002</v>
      </c>
      <c r="AC2334" s="1">
        <v>3.3054795530000001</v>
      </c>
      <c r="AD2334" s="1">
        <v>2.9432342459999998</v>
      </c>
      <c r="AE2334" s="1">
        <v>2.803297787</v>
      </c>
    </row>
    <row r="2335" spans="1:31" x14ac:dyDescent="0.25">
      <c r="A2335" s="1" t="s">
        <v>2274</v>
      </c>
      <c r="B2335" s="1" t="s">
        <v>2539</v>
      </c>
      <c r="C2335" s="1" t="s">
        <v>2563</v>
      </c>
      <c r="D2335" s="1" t="s">
        <v>5777</v>
      </c>
      <c r="E2335" s="1" t="s">
        <v>5982</v>
      </c>
      <c r="F2335" s="1" t="s">
        <v>5983</v>
      </c>
      <c r="G2335" s="1" t="s">
        <v>2274</v>
      </c>
      <c r="H2335" s="1">
        <v>4.7972697699999998</v>
      </c>
      <c r="I2335" s="1">
        <v>4.2936285989999998</v>
      </c>
      <c r="J2335" s="1">
        <v>3.4977151119999998</v>
      </c>
      <c r="K2335" s="1">
        <v>3.8998480660000001</v>
      </c>
      <c r="L2335" s="1">
        <v>2.7248816410000001</v>
      </c>
      <c r="M2335" s="1">
        <v>3.027864058</v>
      </c>
      <c r="N2335" s="1">
        <v>3.8490531570000002</v>
      </c>
      <c r="O2335" s="1">
        <v>5.0070106360000004</v>
      </c>
      <c r="P2335" s="1">
        <v>4.0684607960000001</v>
      </c>
      <c r="Q2335" s="1">
        <v>3.388910638</v>
      </c>
      <c r="R2335" s="1">
        <v>3.5594063970000001</v>
      </c>
      <c r="S2335" s="1">
        <v>3.7977317990000001</v>
      </c>
      <c r="T2335" s="1">
        <v>2.7248816410000001</v>
      </c>
      <c r="U2335" s="1">
        <v>3.027864058</v>
      </c>
      <c r="V2335" s="1">
        <v>3.3993802240000002</v>
      </c>
      <c r="W2335" s="1">
        <v>3.6840067150000002</v>
      </c>
      <c r="X2335" s="1">
        <v>3.0884111989999998</v>
      </c>
      <c r="Y2335" s="1">
        <v>3.229986142</v>
      </c>
      <c r="Z2335" s="1">
        <v>3.5594063970000001</v>
      </c>
      <c r="AA2335" s="1">
        <v>3.7977317990000001</v>
      </c>
      <c r="AB2335" s="1">
        <v>3.6315729079999999</v>
      </c>
      <c r="AC2335" s="1">
        <v>3.4716344729999999</v>
      </c>
      <c r="AD2335" s="1">
        <v>3.984188064</v>
      </c>
      <c r="AE2335" s="1">
        <v>4.0685293649999998</v>
      </c>
    </row>
    <row r="2336" spans="1:31" x14ac:dyDescent="0.25">
      <c r="A2336" s="1" t="s">
        <v>2284</v>
      </c>
      <c r="B2336" s="1" t="s">
        <v>2530</v>
      </c>
      <c r="C2336" s="1" t="s">
        <v>2531</v>
      </c>
      <c r="D2336" s="1" t="s">
        <v>2535</v>
      </c>
      <c r="E2336" s="1" t="s">
        <v>2536</v>
      </c>
      <c r="G2336" s="1" t="s">
        <v>2284</v>
      </c>
      <c r="H2336" s="1">
        <v>4.183793842</v>
      </c>
      <c r="I2336" s="1">
        <v>4.5280931029999998</v>
      </c>
      <c r="J2336" s="1">
        <v>2.5640169199999998</v>
      </c>
      <c r="K2336" s="1">
        <v>3.22334677</v>
      </c>
      <c r="L2336" s="1">
        <v>2.315629231</v>
      </c>
      <c r="M2336" s="1">
        <v>2.3994532390000001</v>
      </c>
      <c r="N2336" s="1">
        <v>4.4061149080000002</v>
      </c>
      <c r="O2336" s="1">
        <v>3.9591193910000002</v>
      </c>
      <c r="P2336" s="1">
        <v>3.3003929539999999</v>
      </c>
      <c r="Q2336" s="1">
        <v>2.597100669</v>
      </c>
      <c r="R2336" s="1">
        <v>1.7393328349999999</v>
      </c>
      <c r="S2336" s="1">
        <v>3.7977317990000001</v>
      </c>
      <c r="T2336" s="1">
        <v>2.315629231</v>
      </c>
      <c r="U2336" s="1">
        <v>2.3994532390000001</v>
      </c>
      <c r="V2336" s="1">
        <v>3.5405335899999999</v>
      </c>
      <c r="W2336" s="1">
        <v>4.1128053839999996</v>
      </c>
      <c r="X2336" s="1">
        <v>3.8119046220000001</v>
      </c>
      <c r="Y2336" s="1">
        <v>3.9087436480000002</v>
      </c>
      <c r="Z2336" s="1">
        <v>1.7393328349999999</v>
      </c>
      <c r="AA2336" s="1">
        <v>3.7977317990000001</v>
      </c>
      <c r="AB2336" s="1">
        <v>3.6315729079999999</v>
      </c>
      <c r="AC2336" s="1">
        <v>3.3054795530000001</v>
      </c>
      <c r="AD2336" s="1">
        <v>3.1944880649999998</v>
      </c>
      <c r="AE2336" s="1">
        <v>3.5108161330000001</v>
      </c>
    </row>
    <row r="2337" spans="1:31" x14ac:dyDescent="0.25">
      <c r="A2337" s="1" t="s">
        <v>2289</v>
      </c>
      <c r="B2337" s="1" t="s">
        <v>3099</v>
      </c>
      <c r="C2337" s="1" t="s">
        <v>3100</v>
      </c>
      <c r="D2337" s="1" t="s">
        <v>2535</v>
      </c>
      <c r="E2337" s="1" t="s">
        <v>5984</v>
      </c>
      <c r="F2337" s="1" t="s">
        <v>5985</v>
      </c>
      <c r="G2337" s="1" t="s">
        <v>2289</v>
      </c>
      <c r="H2337" s="1">
        <v>10.398203240000001</v>
      </c>
      <c r="I2337" s="1">
        <v>10.665956209999999</v>
      </c>
      <c r="J2337" s="1">
        <v>10.13195612</v>
      </c>
      <c r="K2337" s="1">
        <v>10.249461549999999</v>
      </c>
      <c r="L2337" s="1">
        <v>8.8357895489999994</v>
      </c>
      <c r="M2337" s="1">
        <v>9.0866356800000005</v>
      </c>
      <c r="N2337" s="1">
        <v>10.165538720000001</v>
      </c>
      <c r="O2337" s="1">
        <v>10.485509560000001</v>
      </c>
      <c r="P2337" s="1">
        <v>9.6802736550000006</v>
      </c>
      <c r="Q2337" s="1">
        <v>9.6897866080000004</v>
      </c>
      <c r="R2337" s="1">
        <v>9.7330941099999997</v>
      </c>
      <c r="S2337" s="1">
        <v>9.6836511630000004</v>
      </c>
      <c r="T2337" s="1">
        <v>8.8357895489999994</v>
      </c>
      <c r="U2337" s="1">
        <v>9.0866356800000005</v>
      </c>
      <c r="V2337" s="1">
        <v>9.7899639179999998</v>
      </c>
      <c r="W2337" s="1">
        <v>9.8356354760000002</v>
      </c>
      <c r="X2337" s="1">
        <v>9.4646876100000004</v>
      </c>
      <c r="Y2337" s="1">
        <v>9.7227688249999993</v>
      </c>
      <c r="Z2337" s="1">
        <v>9.7330941099999997</v>
      </c>
      <c r="AA2337" s="1">
        <v>9.6836511630000004</v>
      </c>
      <c r="AB2337" s="1">
        <v>9.6889061870000006</v>
      </c>
      <c r="AC2337" s="1">
        <v>9.5493990350000004</v>
      </c>
      <c r="AD2337" s="1">
        <v>9.834605539</v>
      </c>
      <c r="AE2337" s="1">
        <v>9.6588373070000006</v>
      </c>
    </row>
    <row r="2338" spans="1:31" x14ac:dyDescent="0.25">
      <c r="A2338" s="1" t="s">
        <v>2356</v>
      </c>
      <c r="B2338" s="1" t="s">
        <v>2530</v>
      </c>
      <c r="C2338" s="1" t="s">
        <v>2531</v>
      </c>
      <c r="D2338" s="1" t="s">
        <v>2535</v>
      </c>
      <c r="E2338" s="1" t="s">
        <v>2536</v>
      </c>
      <c r="G2338" s="1" t="s">
        <v>2356</v>
      </c>
      <c r="H2338" s="1">
        <v>2.9945681560000001</v>
      </c>
      <c r="I2338" s="1">
        <v>2.8927893610000002</v>
      </c>
      <c r="J2338" s="1">
        <v>1.7393328349999999</v>
      </c>
      <c r="K2338" s="1">
        <v>1.7393328349999999</v>
      </c>
      <c r="L2338" s="1">
        <v>2.9964092330000001</v>
      </c>
      <c r="M2338" s="1">
        <v>2.3994532390000001</v>
      </c>
      <c r="N2338" s="1">
        <v>2.8201075470000001</v>
      </c>
      <c r="O2338" s="1">
        <v>2.6816282820000001</v>
      </c>
      <c r="P2338" s="1">
        <v>1.7393328349999999</v>
      </c>
      <c r="Q2338" s="1">
        <v>1.7393328349999999</v>
      </c>
      <c r="R2338" s="1">
        <v>2.595728008</v>
      </c>
      <c r="S2338" s="1">
        <v>2.5733617299999998</v>
      </c>
      <c r="T2338" s="1">
        <v>2.9964092330000001</v>
      </c>
      <c r="U2338" s="1">
        <v>2.3994532390000001</v>
      </c>
      <c r="V2338" s="1">
        <v>2.8225047829999999</v>
      </c>
      <c r="W2338" s="1">
        <v>1.7393328349999999</v>
      </c>
      <c r="X2338" s="1">
        <v>3.3149070109999998</v>
      </c>
      <c r="Y2338" s="1">
        <v>2.624795792</v>
      </c>
      <c r="Z2338" s="1">
        <v>2.595728008</v>
      </c>
      <c r="AA2338" s="1">
        <v>2.5733617299999998</v>
      </c>
      <c r="AB2338" s="1">
        <v>1.7393328349999999</v>
      </c>
      <c r="AC2338" s="1">
        <v>2.5506926650000001</v>
      </c>
      <c r="AD2338" s="1">
        <v>2.6025990879999998</v>
      </c>
      <c r="AE2338" s="1">
        <v>2.3627668220000002</v>
      </c>
    </row>
    <row r="2339" spans="1:31" x14ac:dyDescent="0.25">
      <c r="A2339" s="1" t="s">
        <v>2368</v>
      </c>
      <c r="B2339" s="1" t="s">
        <v>2530</v>
      </c>
      <c r="C2339" s="1" t="s">
        <v>2531</v>
      </c>
      <c r="D2339" s="1" t="s">
        <v>2535</v>
      </c>
      <c r="E2339" s="1" t="s">
        <v>5986</v>
      </c>
      <c r="G2339" s="1" t="s">
        <v>2368</v>
      </c>
      <c r="H2339" s="1">
        <v>4.0684382540000001</v>
      </c>
      <c r="I2339" s="1">
        <v>3.7806045529999999</v>
      </c>
      <c r="J2339" s="1">
        <v>3.8969924050000002</v>
      </c>
      <c r="K2339" s="1">
        <v>3.607491666</v>
      </c>
      <c r="L2339" s="1">
        <v>3.5435353630000002</v>
      </c>
      <c r="M2339" s="1">
        <v>3.6924658159999999</v>
      </c>
      <c r="N2339" s="1">
        <v>3.9164981490000002</v>
      </c>
      <c r="O2339" s="1">
        <v>2.6816282820000001</v>
      </c>
      <c r="P2339" s="1">
        <v>3.7419514989999998</v>
      </c>
      <c r="Q2339" s="1">
        <v>3.185675432</v>
      </c>
      <c r="R2339" s="1">
        <v>3.386455024</v>
      </c>
      <c r="S2339" s="1">
        <v>3.5159502420000002</v>
      </c>
      <c r="T2339" s="1">
        <v>3.5435353630000002</v>
      </c>
      <c r="U2339" s="1">
        <v>3.6924658159999999</v>
      </c>
      <c r="V2339" s="1">
        <v>4.1608706030000002</v>
      </c>
      <c r="W2339" s="1">
        <v>3.2870366010000001</v>
      </c>
      <c r="X2339" s="1">
        <v>3.9418607479999999</v>
      </c>
      <c r="Y2339" s="1">
        <v>4.1479647589999997</v>
      </c>
      <c r="Z2339" s="1">
        <v>3.386455024</v>
      </c>
      <c r="AA2339" s="1">
        <v>3.5159502420000002</v>
      </c>
      <c r="AB2339" s="1">
        <v>3.404153038</v>
      </c>
      <c r="AC2339" s="1">
        <v>4.2557864319999998</v>
      </c>
      <c r="AD2339" s="1">
        <v>3.5727029510000001</v>
      </c>
      <c r="AE2339" s="1">
        <v>3.321206681</v>
      </c>
    </row>
    <row r="2340" spans="1:31" x14ac:dyDescent="0.25">
      <c r="A2340" s="1" t="s">
        <v>2417</v>
      </c>
      <c r="B2340" s="1" t="s">
        <v>2530</v>
      </c>
      <c r="C2340" s="1" t="s">
        <v>2531</v>
      </c>
      <c r="D2340" s="1" t="s">
        <v>2535</v>
      </c>
      <c r="E2340" s="1" t="s">
        <v>2536</v>
      </c>
      <c r="G2340" s="1" t="s">
        <v>2417</v>
      </c>
      <c r="H2340" s="1">
        <v>8.2857445219999999</v>
      </c>
      <c r="I2340" s="1">
        <v>8.7992100170000001</v>
      </c>
      <c r="J2340" s="1">
        <v>5.8869626679999998</v>
      </c>
      <c r="K2340" s="1">
        <v>6.3181776090000001</v>
      </c>
      <c r="L2340" s="1">
        <v>4.4838783849999997</v>
      </c>
      <c r="M2340" s="1">
        <v>4.1823509169999999</v>
      </c>
      <c r="N2340" s="1">
        <v>7.8885033770000001</v>
      </c>
      <c r="O2340" s="1">
        <v>8.0849500110000001</v>
      </c>
      <c r="P2340" s="1">
        <v>5.3900565609999997</v>
      </c>
      <c r="Q2340" s="1">
        <v>4.993318082</v>
      </c>
      <c r="R2340" s="1">
        <v>5.0965654090000001</v>
      </c>
      <c r="S2340" s="1">
        <v>4.9261733090000002</v>
      </c>
      <c r="T2340" s="1">
        <v>4.4838783849999997</v>
      </c>
      <c r="U2340" s="1">
        <v>4.1823509169999999</v>
      </c>
      <c r="V2340" s="1">
        <v>4.9527859210000003</v>
      </c>
      <c r="W2340" s="1">
        <v>5.1095551629999996</v>
      </c>
      <c r="X2340" s="1">
        <v>4.9447045230000004</v>
      </c>
      <c r="Y2340" s="1">
        <v>4.6842287809999998</v>
      </c>
      <c r="Z2340" s="1">
        <v>5.0965654090000001</v>
      </c>
      <c r="AA2340" s="1">
        <v>4.9261733090000002</v>
      </c>
      <c r="AB2340" s="1">
        <v>4.9601840040000003</v>
      </c>
      <c r="AC2340" s="1">
        <v>4.7474570290000004</v>
      </c>
      <c r="AD2340" s="1">
        <v>5.1668950269999998</v>
      </c>
      <c r="AE2340" s="1">
        <v>5.6663356680000003</v>
      </c>
    </row>
    <row r="2341" spans="1:31" x14ac:dyDescent="0.25">
      <c r="A2341" s="1" t="s">
        <v>2466</v>
      </c>
      <c r="B2341" s="1" t="s">
        <v>2631</v>
      </c>
      <c r="C2341" s="1" t="s">
        <v>2980</v>
      </c>
      <c r="D2341" s="1" t="s">
        <v>2535</v>
      </c>
      <c r="E2341" s="1" t="s">
        <v>5987</v>
      </c>
      <c r="F2341" s="1" t="s">
        <v>5988</v>
      </c>
      <c r="G2341" s="1" t="s">
        <v>2466</v>
      </c>
      <c r="H2341" s="1">
        <v>4.0684382540000001</v>
      </c>
      <c r="I2341" s="1">
        <v>3.7806045529999999</v>
      </c>
      <c r="J2341" s="1">
        <v>4.1077874330000004</v>
      </c>
      <c r="K2341" s="1">
        <v>4.5171444090000001</v>
      </c>
      <c r="L2341" s="1">
        <v>2.5490970000000002</v>
      </c>
      <c r="M2341" s="1">
        <v>2.8639998100000001</v>
      </c>
      <c r="N2341" s="1">
        <v>4.3116130799999999</v>
      </c>
      <c r="O2341" s="1">
        <v>5.1947693419999998</v>
      </c>
      <c r="P2341" s="1">
        <v>4.5499605860000001</v>
      </c>
      <c r="Q2341" s="1">
        <v>2.935765398</v>
      </c>
      <c r="R2341" s="1">
        <v>3.7109484589999999</v>
      </c>
      <c r="S2341" s="1">
        <v>3.1475403900000001</v>
      </c>
      <c r="T2341" s="1">
        <v>2.5490970000000002</v>
      </c>
      <c r="U2341" s="1">
        <v>2.8639998100000001</v>
      </c>
      <c r="V2341" s="1">
        <v>3.6670520409999998</v>
      </c>
      <c r="W2341" s="1">
        <v>3.50175473</v>
      </c>
      <c r="X2341" s="1">
        <v>2.3600830049999999</v>
      </c>
      <c r="Y2341" s="1">
        <v>3.6154848500000001</v>
      </c>
      <c r="Z2341" s="1">
        <v>3.7109484589999999</v>
      </c>
      <c r="AA2341" s="1">
        <v>3.1475403900000001</v>
      </c>
      <c r="AB2341" s="1">
        <v>3.6315729079999999</v>
      </c>
      <c r="AC2341" s="1">
        <v>2.87258916</v>
      </c>
      <c r="AD2341" s="1">
        <v>3.5727029510000001</v>
      </c>
      <c r="AE2341" s="1">
        <v>3.213378847</v>
      </c>
    </row>
    <row r="2342" spans="1:31" x14ac:dyDescent="0.25">
      <c r="A2342" s="1" t="s">
        <v>2495</v>
      </c>
      <c r="B2342" s="1" t="s">
        <v>2530</v>
      </c>
      <c r="C2342" s="1" t="s">
        <v>2531</v>
      </c>
      <c r="D2342" s="1" t="s">
        <v>2535</v>
      </c>
      <c r="E2342" s="1" t="s">
        <v>5989</v>
      </c>
      <c r="F2342" s="1" t="s">
        <v>5990</v>
      </c>
      <c r="G2342" s="1" t="s">
        <v>2495</v>
      </c>
      <c r="H2342" s="1">
        <v>7.7128530040000003</v>
      </c>
      <c r="I2342" s="1">
        <v>7.1686589569999999</v>
      </c>
      <c r="J2342" s="1">
        <v>6.6382173169999996</v>
      </c>
      <c r="K2342" s="1">
        <v>6.8716784979999996</v>
      </c>
      <c r="L2342" s="1">
        <v>5.2153292420000001</v>
      </c>
      <c r="M2342" s="1">
        <v>5.1796951440000001</v>
      </c>
      <c r="N2342" s="1">
        <v>6.7808745220000004</v>
      </c>
      <c r="O2342" s="1">
        <v>7.2263844669999999</v>
      </c>
      <c r="P2342" s="1">
        <v>6.2161300730000004</v>
      </c>
      <c r="Q2342" s="1">
        <v>6.6284720950000002</v>
      </c>
      <c r="R2342" s="1">
        <v>6.3514004780000004</v>
      </c>
      <c r="S2342" s="1">
        <v>6.1911441390000004</v>
      </c>
      <c r="T2342" s="1">
        <v>5.2153292420000001</v>
      </c>
      <c r="U2342" s="1">
        <v>5.1796951440000001</v>
      </c>
      <c r="V2342" s="1">
        <v>6.1619548430000002</v>
      </c>
      <c r="W2342" s="1">
        <v>6.5528329879999996</v>
      </c>
      <c r="X2342" s="1">
        <v>6.3328916910000004</v>
      </c>
      <c r="Y2342" s="1">
        <v>6.5267696659999999</v>
      </c>
      <c r="Z2342" s="1">
        <v>6.3514004780000004</v>
      </c>
      <c r="AA2342" s="1">
        <v>6.1911441390000004</v>
      </c>
      <c r="AB2342" s="1">
        <v>6.339283708</v>
      </c>
      <c r="AC2342" s="1">
        <v>6.5436419069999996</v>
      </c>
      <c r="AD2342" s="1">
        <v>6.53552176</v>
      </c>
      <c r="AE2342" s="1">
        <v>6.4105584240000004</v>
      </c>
    </row>
    <row r="2343" spans="1:31" x14ac:dyDescent="0.25">
      <c r="A2343" s="1" t="s">
        <v>2507</v>
      </c>
      <c r="B2343" s="1" t="s">
        <v>2530</v>
      </c>
      <c r="C2343" s="1" t="s">
        <v>2531</v>
      </c>
      <c r="D2343" s="1" t="s">
        <v>2535</v>
      </c>
      <c r="E2343" s="1" t="s">
        <v>5991</v>
      </c>
      <c r="G2343" s="1" t="s">
        <v>2507</v>
      </c>
      <c r="H2343" s="1">
        <v>7.1272614729999999</v>
      </c>
      <c r="I2343" s="1">
        <v>6.923095075</v>
      </c>
      <c r="J2343" s="1">
        <v>6.3710695580000003</v>
      </c>
      <c r="K2343" s="1">
        <v>6.7389853689999999</v>
      </c>
      <c r="L2343" s="1">
        <v>4.6513384469999997</v>
      </c>
      <c r="M2343" s="1">
        <v>5.1214027209999999</v>
      </c>
      <c r="N2343" s="1">
        <v>6.1558623460000002</v>
      </c>
      <c r="O2343" s="1">
        <v>6.4178147000000001</v>
      </c>
      <c r="P2343" s="1">
        <v>6.1074648529999997</v>
      </c>
      <c r="Q2343" s="1">
        <v>5.4222740280000004</v>
      </c>
      <c r="R2343" s="1">
        <v>5.5365302600000001</v>
      </c>
      <c r="S2343" s="1">
        <v>5.8319244149999996</v>
      </c>
      <c r="T2343" s="1">
        <v>4.6513384469999997</v>
      </c>
      <c r="U2343" s="1">
        <v>5.1214027209999999</v>
      </c>
      <c r="V2343" s="1">
        <v>5.9705432629999997</v>
      </c>
      <c r="W2343" s="1">
        <v>6.1843530070000003</v>
      </c>
      <c r="X2343" s="1">
        <v>5.3989469190000001</v>
      </c>
      <c r="Y2343" s="1">
        <v>6.421343255</v>
      </c>
      <c r="Z2343" s="1">
        <v>5.5365302600000001</v>
      </c>
      <c r="AA2343" s="1">
        <v>5.8319244149999996</v>
      </c>
      <c r="AB2343" s="1">
        <v>6.2478766610000003</v>
      </c>
      <c r="AC2343" s="1">
        <v>5.6386390840000002</v>
      </c>
      <c r="AD2343" s="1">
        <v>5.7012900599999998</v>
      </c>
      <c r="AE2343" s="1">
        <v>6.3332249579999997</v>
      </c>
    </row>
    <row r="2344" spans="1:31" x14ac:dyDescent="0.25">
      <c r="A2344" s="1" t="s">
        <v>852</v>
      </c>
      <c r="B2344" s="1" t="s">
        <v>2579</v>
      </c>
      <c r="C2344" s="1" t="s">
        <v>2933</v>
      </c>
      <c r="D2344" s="1" t="s">
        <v>4889</v>
      </c>
      <c r="E2344" s="1" t="s">
        <v>5992</v>
      </c>
      <c r="F2344" s="1" t="s">
        <v>5993</v>
      </c>
      <c r="G2344" s="1" t="s">
        <v>852</v>
      </c>
      <c r="H2344" s="1">
        <v>3.9421380259999999</v>
      </c>
      <c r="I2344" s="1">
        <v>4.1114152529999997</v>
      </c>
      <c r="J2344" s="1">
        <v>4.8994370109999998</v>
      </c>
      <c r="K2344" s="1">
        <v>4.7454889089999996</v>
      </c>
      <c r="L2344" s="1">
        <v>4.5867597299999998</v>
      </c>
      <c r="M2344" s="1">
        <v>3.8521266660000002</v>
      </c>
      <c r="N2344" s="1">
        <v>3.8490531570000002</v>
      </c>
      <c r="O2344" s="1">
        <v>4.3322392709999997</v>
      </c>
      <c r="P2344" s="1">
        <v>4.5499605860000001</v>
      </c>
      <c r="Q2344" s="1">
        <v>4.7509440400000003</v>
      </c>
      <c r="R2344" s="1">
        <v>4.45403635</v>
      </c>
      <c r="S2344" s="1">
        <v>4.5490843459999999</v>
      </c>
      <c r="T2344" s="1">
        <v>4.5867597299999998</v>
      </c>
      <c r="U2344" s="1">
        <v>3.8521266660000002</v>
      </c>
      <c r="V2344" s="1">
        <v>4.6987742170000004</v>
      </c>
      <c r="W2344" s="1">
        <v>4.7760085830000003</v>
      </c>
      <c r="X2344" s="1">
        <v>5.1128189019999999</v>
      </c>
      <c r="Y2344" s="1">
        <v>4.5275934409999996</v>
      </c>
      <c r="Z2344" s="1">
        <v>4.45403635</v>
      </c>
      <c r="AA2344" s="1">
        <v>4.5490843459999999</v>
      </c>
      <c r="AB2344" s="1">
        <v>4.3946012420000002</v>
      </c>
      <c r="AC2344" s="1">
        <v>4.415017905</v>
      </c>
      <c r="AD2344" s="1">
        <v>4.8924744240000004</v>
      </c>
      <c r="AE2344" s="1">
        <v>4.4595659249999997</v>
      </c>
    </row>
    <row r="2345" spans="1:31" x14ac:dyDescent="0.25">
      <c r="A2345" s="1" t="s">
        <v>45</v>
      </c>
      <c r="B2345" s="1" t="s">
        <v>2530</v>
      </c>
      <c r="C2345" s="1" t="s">
        <v>2531</v>
      </c>
      <c r="D2345" s="1" t="s">
        <v>2535</v>
      </c>
      <c r="E2345" s="1" t="s">
        <v>2536</v>
      </c>
      <c r="G2345" s="1" t="s">
        <v>45</v>
      </c>
      <c r="H2345" s="1">
        <v>2.640460343</v>
      </c>
      <c r="I2345" s="1">
        <v>2.8927893610000002</v>
      </c>
      <c r="J2345" s="1">
        <v>3.4977151119999998</v>
      </c>
      <c r="K2345" s="1">
        <v>3.607491666</v>
      </c>
      <c r="L2345" s="1">
        <v>3.3884746630000002</v>
      </c>
      <c r="M2345" s="1">
        <v>3.027864058</v>
      </c>
      <c r="N2345" s="1">
        <v>3.1147763629999998</v>
      </c>
      <c r="O2345" s="1">
        <v>3.8071106499999998</v>
      </c>
      <c r="P2345" s="1">
        <v>3.7419514989999998</v>
      </c>
      <c r="Q2345" s="1">
        <v>3.388910638</v>
      </c>
      <c r="R2345" s="1">
        <v>2.595728008</v>
      </c>
      <c r="S2345" s="1">
        <v>3.7977317990000001</v>
      </c>
      <c r="T2345" s="1">
        <v>3.3884746630000002</v>
      </c>
      <c r="U2345" s="1">
        <v>3.027864058</v>
      </c>
      <c r="V2345" s="1">
        <v>3.6670520409999998</v>
      </c>
      <c r="W2345" s="1">
        <v>3.0218530750000001</v>
      </c>
      <c r="X2345" s="1">
        <v>3.6673381269999998</v>
      </c>
      <c r="Y2345" s="1">
        <v>2.9733498090000001</v>
      </c>
      <c r="Z2345" s="1">
        <v>2.595728008</v>
      </c>
      <c r="AA2345" s="1">
        <v>3.7977317990000001</v>
      </c>
      <c r="AB2345" s="1">
        <v>3.8237667059999998</v>
      </c>
      <c r="AC2345" s="1">
        <v>1.7393328349999999</v>
      </c>
      <c r="AD2345" s="1">
        <v>2.9432342459999998</v>
      </c>
      <c r="AE2345" s="1">
        <v>3.67472814</v>
      </c>
    </row>
    <row r="2346" spans="1:31" x14ac:dyDescent="0.25">
      <c r="A2346" s="1" t="s">
        <v>73</v>
      </c>
      <c r="B2346" s="1" t="s">
        <v>2579</v>
      </c>
      <c r="C2346" s="1" t="s">
        <v>3259</v>
      </c>
      <c r="D2346" s="1" t="s">
        <v>3260</v>
      </c>
      <c r="E2346" s="1" t="s">
        <v>5994</v>
      </c>
      <c r="F2346" s="1" t="s">
        <v>5995</v>
      </c>
      <c r="G2346" s="1" t="s">
        <v>73</v>
      </c>
      <c r="H2346" s="1">
        <v>4.4805534380000003</v>
      </c>
      <c r="I2346" s="1">
        <v>4.5280931029999998</v>
      </c>
      <c r="J2346" s="1">
        <v>4.3724365990000003</v>
      </c>
      <c r="K2346" s="1">
        <v>4.5974987220000001</v>
      </c>
      <c r="L2346" s="1">
        <v>3.918224124</v>
      </c>
      <c r="M2346" s="1">
        <v>4.239619416</v>
      </c>
      <c r="N2346" s="1">
        <v>4.3596796910000002</v>
      </c>
      <c r="O2346" s="1">
        <v>4.0289865369999998</v>
      </c>
      <c r="P2346" s="1">
        <v>4.4075207919999997</v>
      </c>
      <c r="Q2346" s="1">
        <v>4.4575363990000003</v>
      </c>
      <c r="R2346" s="1">
        <v>4.6795267799999998</v>
      </c>
      <c r="S2346" s="1">
        <v>4.3966315629999997</v>
      </c>
      <c r="T2346" s="1">
        <v>3.918224124</v>
      </c>
      <c r="U2346" s="1">
        <v>4.239619416</v>
      </c>
      <c r="V2346" s="1">
        <v>4.5826682710000002</v>
      </c>
      <c r="W2346" s="1">
        <v>4.5296290450000001</v>
      </c>
      <c r="X2346" s="1">
        <v>4.2198471</v>
      </c>
      <c r="Y2346" s="1">
        <v>3.9087436480000002</v>
      </c>
      <c r="Z2346" s="1">
        <v>4.6795267799999998</v>
      </c>
      <c r="AA2346" s="1">
        <v>4.3966315629999997</v>
      </c>
      <c r="AB2346" s="1">
        <v>3.404153038</v>
      </c>
      <c r="AC2346" s="1">
        <v>4.3377211620000002</v>
      </c>
      <c r="AD2346" s="1">
        <v>4.3870463700000002</v>
      </c>
      <c r="AE2346" s="1">
        <v>4.1773695330000002</v>
      </c>
    </row>
    <row r="2347" spans="1:31" x14ac:dyDescent="0.25">
      <c r="A2347" s="1" t="s">
        <v>125</v>
      </c>
      <c r="B2347" s="1" t="s">
        <v>2608</v>
      </c>
      <c r="C2347" s="1" t="s">
        <v>2700</v>
      </c>
      <c r="D2347" s="1" t="s">
        <v>3868</v>
      </c>
      <c r="E2347" s="1" t="s">
        <v>5996</v>
      </c>
      <c r="F2347" s="1" t="s">
        <v>5997</v>
      </c>
      <c r="G2347" s="1" t="s">
        <v>125</v>
      </c>
      <c r="H2347" s="1">
        <v>7.5872213979999996</v>
      </c>
      <c r="I2347" s="1">
        <v>7.4169289850000002</v>
      </c>
      <c r="J2347" s="1">
        <v>9.1674497190000004</v>
      </c>
      <c r="K2347" s="1">
        <v>9.3108527720000005</v>
      </c>
      <c r="L2347" s="1">
        <v>9.1432275329999992</v>
      </c>
      <c r="M2347" s="1">
        <v>9.270682613</v>
      </c>
      <c r="N2347" s="1">
        <v>7.5179873830000004</v>
      </c>
      <c r="O2347" s="1">
        <v>7.8696827960000002</v>
      </c>
      <c r="P2347" s="1">
        <v>8.9142060470000004</v>
      </c>
      <c r="Q2347" s="1">
        <v>8.927062029</v>
      </c>
      <c r="R2347" s="1">
        <v>9.3681675979999994</v>
      </c>
      <c r="S2347" s="1">
        <v>9.2032811589999994</v>
      </c>
      <c r="T2347" s="1">
        <v>9.1432275329999992</v>
      </c>
      <c r="U2347" s="1">
        <v>9.270682613</v>
      </c>
      <c r="V2347" s="1">
        <v>8.6154722459999995</v>
      </c>
      <c r="W2347" s="1">
        <v>8.7689898599999996</v>
      </c>
      <c r="X2347" s="1">
        <v>8.7515118229999995</v>
      </c>
      <c r="Y2347" s="1">
        <v>8.5908733860000002</v>
      </c>
      <c r="Z2347" s="1">
        <v>9.3681675979999994</v>
      </c>
      <c r="AA2347" s="1">
        <v>9.2032811589999994</v>
      </c>
      <c r="AB2347" s="1">
        <v>8.9881337880000007</v>
      </c>
      <c r="AC2347" s="1">
        <v>8.8685568739999994</v>
      </c>
      <c r="AD2347" s="1">
        <v>8.8680598140000004</v>
      </c>
      <c r="AE2347" s="1">
        <v>8.7765137049999993</v>
      </c>
    </row>
    <row r="2348" spans="1:31" x14ac:dyDescent="0.25">
      <c r="A2348" s="1" t="s">
        <v>129</v>
      </c>
      <c r="B2348" s="1" t="s">
        <v>2608</v>
      </c>
      <c r="C2348" s="1" t="s">
        <v>2700</v>
      </c>
      <c r="D2348" s="1" t="s">
        <v>2701</v>
      </c>
      <c r="E2348" s="1" t="s">
        <v>5998</v>
      </c>
      <c r="F2348" s="1" t="s">
        <v>5999</v>
      </c>
      <c r="G2348" s="1" t="s">
        <v>129</v>
      </c>
      <c r="H2348" s="1">
        <v>7.2974165470000001</v>
      </c>
      <c r="I2348" s="1">
        <v>6.7376237200000002</v>
      </c>
      <c r="J2348" s="1">
        <v>7.843675964</v>
      </c>
      <c r="K2348" s="1">
        <v>8.2394965199999994</v>
      </c>
      <c r="L2348" s="1">
        <v>7.819039686</v>
      </c>
      <c r="M2348" s="1">
        <v>8.1059521910000001</v>
      </c>
      <c r="N2348" s="1">
        <v>6.2207206929999996</v>
      </c>
      <c r="O2348" s="1">
        <v>6.6999861269999998</v>
      </c>
      <c r="P2348" s="1">
        <v>7.7938632700000001</v>
      </c>
      <c r="Q2348" s="1">
        <v>8.0193056909999996</v>
      </c>
      <c r="R2348" s="1">
        <v>8.0612255390000005</v>
      </c>
      <c r="S2348" s="1">
        <v>8.0977751680000001</v>
      </c>
      <c r="T2348" s="1">
        <v>7.819039686</v>
      </c>
      <c r="U2348" s="1">
        <v>8.1059521910000001</v>
      </c>
      <c r="V2348" s="1">
        <v>7.0954910260000004</v>
      </c>
      <c r="W2348" s="1">
        <v>7.4907362729999996</v>
      </c>
      <c r="X2348" s="1">
        <v>8.1147035750000001</v>
      </c>
      <c r="Y2348" s="1">
        <v>7.3312255589999999</v>
      </c>
      <c r="Z2348" s="1">
        <v>8.0612255390000005</v>
      </c>
      <c r="AA2348" s="1">
        <v>8.0977751680000001</v>
      </c>
      <c r="AB2348" s="1">
        <v>7.7594175390000002</v>
      </c>
      <c r="AC2348" s="1">
        <v>7.8246989600000001</v>
      </c>
      <c r="AD2348" s="1">
        <v>7.8656389180000001</v>
      </c>
      <c r="AE2348" s="1">
        <v>7.6466999219999998</v>
      </c>
    </row>
    <row r="2349" spans="1:31" x14ac:dyDescent="0.25">
      <c r="A2349" s="1" t="s">
        <v>130</v>
      </c>
      <c r="B2349" s="1" t="s">
        <v>2608</v>
      </c>
      <c r="C2349" s="1" t="s">
        <v>2700</v>
      </c>
      <c r="D2349" s="1" t="s">
        <v>3868</v>
      </c>
      <c r="E2349" s="1" t="s">
        <v>6000</v>
      </c>
      <c r="F2349" s="1" t="s">
        <v>6001</v>
      </c>
      <c r="G2349" s="1" t="s">
        <v>130</v>
      </c>
      <c r="H2349" s="1">
        <v>7.3813453510000002</v>
      </c>
      <c r="I2349" s="1">
        <v>6.4707161060000002</v>
      </c>
      <c r="J2349" s="1">
        <v>7.871572381</v>
      </c>
      <c r="K2349" s="1">
        <v>7.9704768140000004</v>
      </c>
      <c r="L2349" s="1">
        <v>8.4265725719999995</v>
      </c>
      <c r="M2349" s="1">
        <v>8.2712005860000009</v>
      </c>
      <c r="N2349" s="1">
        <v>6.3653884090000004</v>
      </c>
      <c r="O2349" s="1">
        <v>6.478849479</v>
      </c>
      <c r="P2349" s="1">
        <v>7.6466006479999997</v>
      </c>
      <c r="Q2349" s="1">
        <v>7.6074454640000004</v>
      </c>
      <c r="R2349" s="1">
        <v>8.4340106069999994</v>
      </c>
      <c r="S2349" s="1">
        <v>8.2026378730000005</v>
      </c>
      <c r="T2349" s="1">
        <v>8.4265725719999995</v>
      </c>
      <c r="U2349" s="1">
        <v>8.2712005860000009</v>
      </c>
      <c r="V2349" s="1">
        <v>7.9029560840000004</v>
      </c>
      <c r="W2349" s="1">
        <v>8.0232783449999996</v>
      </c>
      <c r="X2349" s="1">
        <v>7.8849392629999997</v>
      </c>
      <c r="Y2349" s="1">
        <v>7.7777437819999999</v>
      </c>
      <c r="Z2349" s="1">
        <v>8.4340106069999994</v>
      </c>
      <c r="AA2349" s="1">
        <v>8.2026378730000005</v>
      </c>
      <c r="AB2349" s="1">
        <v>7.8655635909999999</v>
      </c>
      <c r="AC2349" s="1">
        <v>7.9752707860000003</v>
      </c>
      <c r="AD2349" s="1">
        <v>7.8807978030000001</v>
      </c>
      <c r="AE2349" s="1">
        <v>7.7178764930000003</v>
      </c>
    </row>
    <row r="2350" spans="1:31" x14ac:dyDescent="0.25">
      <c r="A2350" s="1" t="s">
        <v>141</v>
      </c>
      <c r="B2350" s="1" t="s">
        <v>2608</v>
      </c>
      <c r="C2350" s="1" t="s">
        <v>2791</v>
      </c>
      <c r="D2350" s="1" t="s">
        <v>5046</v>
      </c>
      <c r="E2350" s="1" t="s">
        <v>6002</v>
      </c>
      <c r="F2350" s="1" t="s">
        <v>6003</v>
      </c>
      <c r="G2350" s="1" t="s">
        <v>141</v>
      </c>
      <c r="H2350" s="1">
        <v>7.5358288350000002</v>
      </c>
      <c r="I2350" s="1">
        <v>7.3388290459999999</v>
      </c>
      <c r="J2350" s="1">
        <v>7.8646487040000004</v>
      </c>
      <c r="K2350" s="1">
        <v>8.0495962559999992</v>
      </c>
      <c r="L2350" s="1">
        <v>7.6036286889999998</v>
      </c>
      <c r="M2350" s="1">
        <v>7.8363929380000004</v>
      </c>
      <c r="N2350" s="1">
        <v>7.0960416869999996</v>
      </c>
      <c r="O2350" s="1">
        <v>7.2263844669999999</v>
      </c>
      <c r="P2350" s="1">
        <v>7.669671846</v>
      </c>
      <c r="Q2350" s="1">
        <v>7.8471979110000003</v>
      </c>
      <c r="R2350" s="1">
        <v>7.9022531660000004</v>
      </c>
      <c r="S2350" s="1">
        <v>7.719998564</v>
      </c>
      <c r="T2350" s="1">
        <v>7.6036286889999998</v>
      </c>
      <c r="U2350" s="1">
        <v>7.8363929380000004</v>
      </c>
      <c r="V2350" s="1">
        <v>7.6712884450000001</v>
      </c>
      <c r="W2350" s="1">
        <v>7.5131643099999996</v>
      </c>
      <c r="X2350" s="1">
        <v>7.7185920719999999</v>
      </c>
      <c r="Y2350" s="1">
        <v>7.6057505829999998</v>
      </c>
      <c r="Z2350" s="1">
        <v>7.9022531660000004</v>
      </c>
      <c r="AA2350" s="1">
        <v>7.719998564</v>
      </c>
      <c r="AB2350" s="1">
        <v>7.6684897779999996</v>
      </c>
      <c r="AC2350" s="1">
        <v>7.7023418179999998</v>
      </c>
      <c r="AD2350" s="1">
        <v>7.5519453929999996</v>
      </c>
      <c r="AE2350" s="1">
        <v>7.6050630579999998</v>
      </c>
    </row>
    <row r="2351" spans="1:31" x14ac:dyDescent="0.25">
      <c r="A2351" s="1" t="s">
        <v>142</v>
      </c>
      <c r="B2351" s="1" t="s">
        <v>2608</v>
      </c>
      <c r="C2351" s="1" t="s">
        <v>2700</v>
      </c>
      <c r="D2351" s="1" t="s">
        <v>2701</v>
      </c>
      <c r="E2351" s="1" t="s">
        <v>6004</v>
      </c>
      <c r="F2351" s="1" t="s">
        <v>6005</v>
      </c>
      <c r="G2351" s="1" t="s">
        <v>142</v>
      </c>
      <c r="H2351" s="1">
        <v>5.3232649629999997</v>
      </c>
      <c r="I2351" s="1">
        <v>5.5873017430000003</v>
      </c>
      <c r="J2351" s="1">
        <v>6.311124607</v>
      </c>
      <c r="K2351" s="1">
        <v>6.3412685260000003</v>
      </c>
      <c r="L2351" s="1">
        <v>6.2512732120000001</v>
      </c>
      <c r="M2351" s="1">
        <v>6.0500341449999997</v>
      </c>
      <c r="N2351" s="1">
        <v>5.6896218779999996</v>
      </c>
      <c r="O2351" s="1">
        <v>5.861353501</v>
      </c>
      <c r="P2351" s="1">
        <v>6.2573947350000001</v>
      </c>
      <c r="Q2351" s="1">
        <v>6.123526483</v>
      </c>
      <c r="R2351" s="1">
        <v>6.2166299269999996</v>
      </c>
      <c r="S2351" s="1">
        <v>5.9969908790000002</v>
      </c>
      <c r="T2351" s="1">
        <v>6.2512732120000001</v>
      </c>
      <c r="U2351" s="1">
        <v>6.0500341449999997</v>
      </c>
      <c r="V2351" s="1">
        <v>6.0587793220000004</v>
      </c>
      <c r="W2351" s="1">
        <v>6.1272304780000004</v>
      </c>
      <c r="X2351" s="1">
        <v>6.033711995</v>
      </c>
      <c r="Y2351" s="1">
        <v>5.9909787290000001</v>
      </c>
      <c r="Z2351" s="1">
        <v>6.2166299269999996</v>
      </c>
      <c r="AA2351" s="1">
        <v>5.9969908790000002</v>
      </c>
      <c r="AB2351" s="1">
        <v>5.7665348979999997</v>
      </c>
      <c r="AC2351" s="1">
        <v>6.0708982899999997</v>
      </c>
      <c r="AD2351" s="1">
        <v>5.8006297160000004</v>
      </c>
      <c r="AE2351" s="1">
        <v>6.031193128</v>
      </c>
    </row>
    <row r="2352" spans="1:31" x14ac:dyDescent="0.25">
      <c r="A2352" s="1" t="s">
        <v>150</v>
      </c>
      <c r="B2352" s="1" t="s">
        <v>2608</v>
      </c>
      <c r="C2352" s="1" t="s">
        <v>2700</v>
      </c>
      <c r="D2352" s="1" t="s">
        <v>2701</v>
      </c>
      <c r="E2352" s="1" t="s">
        <v>6006</v>
      </c>
      <c r="F2352" s="1" t="s">
        <v>6007</v>
      </c>
      <c r="G2352" s="1" t="s">
        <v>150</v>
      </c>
      <c r="H2352" s="1">
        <v>8.410802554</v>
      </c>
      <c r="I2352" s="1">
        <v>7.9573880829999997</v>
      </c>
      <c r="J2352" s="1">
        <v>8.3787688669999998</v>
      </c>
      <c r="K2352" s="1">
        <v>8.3113050990000001</v>
      </c>
      <c r="L2352" s="1">
        <v>8.4777254479999993</v>
      </c>
      <c r="M2352" s="1">
        <v>8.3768600079999995</v>
      </c>
      <c r="N2352" s="1">
        <v>7.3659893219999999</v>
      </c>
      <c r="O2352" s="1">
        <v>7.7511353160000001</v>
      </c>
      <c r="P2352" s="1">
        <v>8.5290675819999997</v>
      </c>
      <c r="Q2352" s="1">
        <v>8.3872266100000008</v>
      </c>
      <c r="R2352" s="1">
        <v>8.6276268399999996</v>
      </c>
      <c r="S2352" s="1">
        <v>8.5810257790000009</v>
      </c>
      <c r="T2352" s="1">
        <v>8.4777254479999993</v>
      </c>
      <c r="U2352" s="1">
        <v>8.3768600079999995</v>
      </c>
      <c r="V2352" s="1">
        <v>8.5023243720000004</v>
      </c>
      <c r="W2352" s="1">
        <v>8.3188994990000005</v>
      </c>
      <c r="X2352" s="1">
        <v>8.4251350859999992</v>
      </c>
      <c r="Y2352" s="1">
        <v>8.3766301779999992</v>
      </c>
      <c r="Z2352" s="1">
        <v>8.6276268399999996</v>
      </c>
      <c r="AA2352" s="1">
        <v>8.5810257790000009</v>
      </c>
      <c r="AB2352" s="1">
        <v>8.5269491100000003</v>
      </c>
      <c r="AC2352" s="1">
        <v>8.4480519370000007</v>
      </c>
      <c r="AD2352" s="1">
        <v>8.5644384589999998</v>
      </c>
      <c r="AE2352" s="1">
        <v>8.1139114889999995</v>
      </c>
    </row>
    <row r="2353" spans="1:31" x14ac:dyDescent="0.25">
      <c r="A2353" s="1" t="s">
        <v>164</v>
      </c>
      <c r="B2353" s="1" t="s">
        <v>2530</v>
      </c>
      <c r="C2353" s="1" t="s">
        <v>2531</v>
      </c>
      <c r="D2353" s="1" t="s">
        <v>2535</v>
      </c>
      <c r="E2353" s="1" t="s">
        <v>2536</v>
      </c>
      <c r="G2353" s="1" t="s">
        <v>164</v>
      </c>
      <c r="H2353" s="1">
        <v>3.6455184960000002</v>
      </c>
      <c r="I2353" s="1">
        <v>3.6484415459999999</v>
      </c>
      <c r="J2353" s="1">
        <v>2.5640169199999998</v>
      </c>
      <c r="K2353" s="1">
        <v>3.4309024589999999</v>
      </c>
      <c r="L2353" s="1">
        <v>2.9964092330000001</v>
      </c>
      <c r="M2353" s="1">
        <v>2.665084539</v>
      </c>
      <c r="N2353" s="1">
        <v>3.8490531570000002</v>
      </c>
      <c r="O2353" s="1">
        <v>3.88533178</v>
      </c>
      <c r="P2353" s="1">
        <v>3.106446558</v>
      </c>
      <c r="Q2353" s="1">
        <v>3.185675432</v>
      </c>
      <c r="R2353" s="1">
        <v>3.1834741979999999</v>
      </c>
      <c r="S2353" s="1">
        <v>3.5159502420000002</v>
      </c>
      <c r="T2353" s="1">
        <v>2.9964092330000001</v>
      </c>
      <c r="U2353" s="1">
        <v>2.665084539</v>
      </c>
      <c r="V2353" s="1">
        <v>2.5140266200000001</v>
      </c>
      <c r="W2353" s="1">
        <v>1.7393328349999999</v>
      </c>
      <c r="X2353" s="1">
        <v>2.6106888979999998</v>
      </c>
      <c r="Y2353" s="1">
        <v>3.6154848500000001</v>
      </c>
      <c r="Z2353" s="1">
        <v>3.1834741979999999</v>
      </c>
      <c r="AA2353" s="1">
        <v>3.5159502420000002</v>
      </c>
      <c r="AB2353" s="1">
        <v>4.139369361</v>
      </c>
      <c r="AC2353" s="1">
        <v>3.6175630609999998</v>
      </c>
      <c r="AD2353" s="1">
        <v>2.6025990879999998</v>
      </c>
      <c r="AE2353" s="1">
        <v>3.5954838599999999</v>
      </c>
    </row>
    <row r="2354" spans="1:31" x14ac:dyDescent="0.25">
      <c r="A2354" s="1" t="s">
        <v>165</v>
      </c>
      <c r="B2354" s="1" t="s">
        <v>2530</v>
      </c>
      <c r="C2354" s="1" t="s">
        <v>2531</v>
      </c>
      <c r="D2354" s="1" t="s">
        <v>2535</v>
      </c>
      <c r="E2354" s="1" t="s">
        <v>5417</v>
      </c>
      <c r="G2354" s="1" t="s">
        <v>165</v>
      </c>
      <c r="H2354" s="1">
        <v>4.183793842</v>
      </c>
      <c r="I2354" s="1">
        <v>3.1348991329999998</v>
      </c>
      <c r="J2354" s="1">
        <v>2.5640169199999998</v>
      </c>
      <c r="K2354" s="1">
        <v>3.22334677</v>
      </c>
      <c r="L2354" s="1">
        <v>2.5490970000000002</v>
      </c>
      <c r="M2354" s="1">
        <v>2.3994532390000001</v>
      </c>
      <c r="N2354" s="1">
        <v>3.1147763629999998</v>
      </c>
      <c r="O2354" s="1">
        <v>3.434496577</v>
      </c>
      <c r="P2354" s="1">
        <v>2.5478783159999998</v>
      </c>
      <c r="Q2354" s="1">
        <v>3.7137735799999998</v>
      </c>
      <c r="R2354" s="1">
        <v>1.7393328349999999</v>
      </c>
      <c r="S2354" s="1">
        <v>1.7393328349999999</v>
      </c>
      <c r="T2354" s="1">
        <v>2.5490970000000002</v>
      </c>
      <c r="U2354" s="1">
        <v>2.3994532390000001</v>
      </c>
      <c r="V2354" s="1">
        <v>3.0516113059999999</v>
      </c>
      <c r="W2354" s="1">
        <v>1.7393328349999999</v>
      </c>
      <c r="X2354" s="1">
        <v>3.5039136989999999</v>
      </c>
      <c r="Y2354" s="1">
        <v>2.624795792</v>
      </c>
      <c r="Z2354" s="1">
        <v>1.7393328349999999</v>
      </c>
      <c r="AA2354" s="1">
        <v>1.7393328349999999</v>
      </c>
      <c r="AB2354" s="1">
        <v>3.1218319999999999</v>
      </c>
      <c r="AC2354" s="1">
        <v>2.87258916</v>
      </c>
      <c r="AD2354" s="1">
        <v>2.9432342459999998</v>
      </c>
      <c r="AE2354" s="1">
        <v>3.0939349979999999</v>
      </c>
    </row>
    <row r="2355" spans="1:31" x14ac:dyDescent="0.25">
      <c r="A2355" s="1" t="s">
        <v>190</v>
      </c>
      <c r="B2355" s="1" t="s">
        <v>2530</v>
      </c>
      <c r="C2355" s="1" t="s">
        <v>2531</v>
      </c>
      <c r="D2355" s="1" t="s">
        <v>2535</v>
      </c>
      <c r="E2355" s="1" t="s">
        <v>6008</v>
      </c>
      <c r="G2355" s="1" t="s">
        <v>190</v>
      </c>
      <c r="H2355" s="1">
        <v>5.3712699940000004</v>
      </c>
      <c r="I2355" s="1">
        <v>5.5177814730000003</v>
      </c>
      <c r="J2355" s="1">
        <v>5.5826322800000003</v>
      </c>
      <c r="K2355" s="1">
        <v>5.2674352469999999</v>
      </c>
      <c r="L2355" s="1">
        <v>5.7398214760000004</v>
      </c>
      <c r="M2355" s="1">
        <v>5.0606078119999998</v>
      </c>
      <c r="N2355" s="1">
        <v>5.4930242160000002</v>
      </c>
      <c r="O2355" s="1">
        <v>5.3074139359999997</v>
      </c>
      <c r="P2355" s="1">
        <v>4.8528499219999999</v>
      </c>
      <c r="Q2355" s="1">
        <v>4.9365262349999997</v>
      </c>
      <c r="R2355" s="1">
        <v>5.7795948069999996</v>
      </c>
      <c r="S2355" s="1">
        <v>5.1778667870000001</v>
      </c>
      <c r="T2355" s="1">
        <v>5.7398214760000004</v>
      </c>
      <c r="U2355" s="1">
        <v>5.0606078119999998</v>
      </c>
      <c r="V2355" s="1">
        <v>5.7758979430000004</v>
      </c>
      <c r="W2355" s="1">
        <v>5.2236621110000003</v>
      </c>
      <c r="X2355" s="1">
        <v>4.8203448399999997</v>
      </c>
      <c r="Y2355" s="1">
        <v>5.2792112080000004</v>
      </c>
      <c r="Z2355" s="1">
        <v>5.7795948069999996</v>
      </c>
      <c r="AA2355" s="1">
        <v>5.1778667870000001</v>
      </c>
      <c r="AB2355" s="1">
        <v>5.1755434500000002</v>
      </c>
      <c r="AC2355" s="1">
        <v>4.7474570290000004</v>
      </c>
      <c r="AD2355" s="1">
        <v>5.0087140049999999</v>
      </c>
      <c r="AE2355" s="1">
        <v>4.7290680490000003</v>
      </c>
    </row>
    <row r="2356" spans="1:31" x14ac:dyDescent="0.25">
      <c r="A2356" s="1" t="s">
        <v>239</v>
      </c>
      <c r="B2356" s="1" t="s">
        <v>2579</v>
      </c>
      <c r="C2356" s="1" t="s">
        <v>2933</v>
      </c>
      <c r="D2356" s="1" t="s">
        <v>6009</v>
      </c>
      <c r="E2356" s="1" t="s">
        <v>6010</v>
      </c>
      <c r="F2356" s="1" t="s">
        <v>6011</v>
      </c>
      <c r="G2356" s="1" t="s">
        <v>239</v>
      </c>
      <c r="H2356" s="1">
        <v>9.3528242420000005</v>
      </c>
      <c r="I2356" s="1">
        <v>9.7512283980000003</v>
      </c>
      <c r="J2356" s="1">
        <v>7.8921461710000003</v>
      </c>
      <c r="K2356" s="1">
        <v>8.5176431570000002</v>
      </c>
      <c r="L2356" s="1">
        <v>8.1171744409999995</v>
      </c>
      <c r="M2356" s="1">
        <v>8.3393278100000003</v>
      </c>
      <c r="N2356" s="1">
        <v>9.1681342800000003</v>
      </c>
      <c r="O2356" s="1">
        <v>8.4131769280000004</v>
      </c>
      <c r="P2356" s="1">
        <v>8.1015560309999994</v>
      </c>
      <c r="Q2356" s="1">
        <v>8.0193056909999996</v>
      </c>
      <c r="R2356" s="1">
        <v>7.4311375970000002</v>
      </c>
      <c r="S2356" s="1">
        <v>7.7042077559999997</v>
      </c>
      <c r="T2356" s="1">
        <v>8.1171744409999995</v>
      </c>
      <c r="U2356" s="1">
        <v>8.3393278100000003</v>
      </c>
      <c r="V2356" s="1">
        <v>6.6473747999999997</v>
      </c>
      <c r="W2356" s="1">
        <v>7.0126858380000003</v>
      </c>
      <c r="X2356" s="1">
        <v>8.3354524790000006</v>
      </c>
      <c r="Y2356" s="1">
        <v>7.3770144499999999</v>
      </c>
      <c r="Z2356" s="1">
        <v>7.4311375970000002</v>
      </c>
      <c r="AA2356" s="1">
        <v>7.7042077559999997</v>
      </c>
      <c r="AB2356" s="1">
        <v>7.2015223370000001</v>
      </c>
      <c r="AC2356" s="1">
        <v>7.2155344560000003</v>
      </c>
      <c r="AD2356" s="1">
        <v>7.5707642870000003</v>
      </c>
      <c r="AE2356" s="1">
        <v>7.6050630579999998</v>
      </c>
    </row>
    <row r="2357" spans="1:31" x14ac:dyDescent="0.25">
      <c r="A2357" s="1" t="s">
        <v>260</v>
      </c>
      <c r="B2357" s="1" t="s">
        <v>2530</v>
      </c>
      <c r="C2357" s="1" t="s">
        <v>2531</v>
      </c>
      <c r="D2357" s="1" t="s">
        <v>2535</v>
      </c>
      <c r="E2357" s="1" t="s">
        <v>2536</v>
      </c>
      <c r="G2357" s="1" t="s">
        <v>260</v>
      </c>
      <c r="H2357" s="1">
        <v>6.3316799680000004</v>
      </c>
      <c r="I2357" s="1">
        <v>6.4522693780000004</v>
      </c>
      <c r="J2357" s="1">
        <v>5.1953777219999999</v>
      </c>
      <c r="K2357" s="1">
        <v>6.0642310579999998</v>
      </c>
      <c r="L2357" s="1">
        <v>4.2516940449999998</v>
      </c>
      <c r="M2357" s="1">
        <v>4.896083601</v>
      </c>
      <c r="N2357" s="1">
        <v>5.428348615</v>
      </c>
      <c r="O2357" s="1">
        <v>5.5778556410000002</v>
      </c>
      <c r="P2357" s="1">
        <v>4.9062897479999998</v>
      </c>
      <c r="Q2357" s="1">
        <v>5.2473923969999996</v>
      </c>
      <c r="R2357" s="1">
        <v>5.2434057019999996</v>
      </c>
      <c r="S2357" s="1">
        <v>4.9261733090000002</v>
      </c>
      <c r="T2357" s="1">
        <v>4.2516940449999998</v>
      </c>
      <c r="U2357" s="1">
        <v>4.896083601</v>
      </c>
      <c r="V2357" s="1">
        <v>5.1274300740000003</v>
      </c>
      <c r="W2357" s="1">
        <v>5.5195577800000004</v>
      </c>
      <c r="X2357" s="1">
        <v>4.5325909299999996</v>
      </c>
      <c r="Y2357" s="1">
        <v>5.503438128</v>
      </c>
      <c r="Z2357" s="1">
        <v>5.2434057019999996</v>
      </c>
      <c r="AA2357" s="1">
        <v>4.9261733090000002</v>
      </c>
      <c r="AB2357" s="1">
        <v>5.1755434500000002</v>
      </c>
      <c r="AC2357" s="1">
        <v>4.8053838390000001</v>
      </c>
      <c r="AD2357" s="1">
        <v>5.5186611069999998</v>
      </c>
      <c r="AE2357" s="1">
        <v>5.0415666330000004</v>
      </c>
    </row>
    <row r="2358" spans="1:31" x14ac:dyDescent="0.25">
      <c r="A2358" s="1" t="s">
        <v>275</v>
      </c>
      <c r="B2358" s="1" t="s">
        <v>2530</v>
      </c>
      <c r="C2358" s="1" t="s">
        <v>2531</v>
      </c>
      <c r="D2358" s="1" t="s">
        <v>2535</v>
      </c>
      <c r="E2358" s="1" t="s">
        <v>2536</v>
      </c>
      <c r="G2358" s="1" t="s">
        <v>275</v>
      </c>
      <c r="H2358" s="1">
        <v>1.7393328349999999</v>
      </c>
      <c r="I2358" s="1">
        <v>2.5655118899999998</v>
      </c>
      <c r="J2358" s="1">
        <v>2.5640169199999998</v>
      </c>
      <c r="K2358" s="1">
        <v>3.22334677</v>
      </c>
      <c r="L2358" s="1">
        <v>4.0714409539999998</v>
      </c>
      <c r="M2358" s="1">
        <v>3.5095973119999999</v>
      </c>
      <c r="N2358" s="1">
        <v>1.7393328349999999</v>
      </c>
      <c r="O2358" s="1">
        <v>1.7393328349999999</v>
      </c>
      <c r="P2358" s="1">
        <v>3.106446558</v>
      </c>
      <c r="Q2358" s="1">
        <v>3.7137735799999998</v>
      </c>
      <c r="R2358" s="1">
        <v>3.5594063970000001</v>
      </c>
      <c r="S2358" s="1">
        <v>3.3463386960000001</v>
      </c>
      <c r="T2358" s="1">
        <v>4.0714409539999998</v>
      </c>
      <c r="U2358" s="1">
        <v>3.5095973119999999</v>
      </c>
      <c r="V2358" s="1">
        <v>3.887436229</v>
      </c>
      <c r="W2358" s="1">
        <v>4.1128053839999996</v>
      </c>
      <c r="X2358" s="1">
        <v>4.5325909299999996</v>
      </c>
      <c r="Y2358" s="1">
        <v>4.0337379980000003</v>
      </c>
      <c r="Z2358" s="1">
        <v>3.5594063970000001</v>
      </c>
      <c r="AA2358" s="1">
        <v>3.3463386960000001</v>
      </c>
      <c r="AB2358" s="1">
        <v>4.2729702720000002</v>
      </c>
      <c r="AC2358" s="1">
        <v>3.4716344729999999</v>
      </c>
      <c r="AD2358" s="1">
        <v>4.0967699450000001</v>
      </c>
      <c r="AE2358" s="1">
        <v>3.7492737119999999</v>
      </c>
    </row>
    <row r="2359" spans="1:31" x14ac:dyDescent="0.25">
      <c r="A2359" s="1" t="s">
        <v>296</v>
      </c>
      <c r="B2359" s="1" t="s">
        <v>2557</v>
      </c>
      <c r="C2359" s="1" t="s">
        <v>2680</v>
      </c>
      <c r="D2359" s="1" t="s">
        <v>2893</v>
      </c>
      <c r="E2359" s="1" t="s">
        <v>2894</v>
      </c>
      <c r="F2359" s="1" t="s">
        <v>2895</v>
      </c>
      <c r="G2359" s="1" t="s">
        <v>296</v>
      </c>
      <c r="H2359" s="1">
        <v>1.7393328349999999</v>
      </c>
      <c r="I2359" s="1">
        <v>2.5655118899999998</v>
      </c>
      <c r="J2359" s="1">
        <v>1.7393328349999999</v>
      </c>
      <c r="K2359" s="1">
        <v>1.7393328349999999</v>
      </c>
      <c r="L2359" s="1">
        <v>2.5490970000000002</v>
      </c>
      <c r="M2359" s="1">
        <v>2.665084539</v>
      </c>
      <c r="N2359" s="1">
        <v>2.628425199</v>
      </c>
      <c r="O2359" s="1">
        <v>2.6816282820000001</v>
      </c>
      <c r="P2359" s="1">
        <v>1.7393328349999999</v>
      </c>
      <c r="Q2359" s="1">
        <v>2.597100669</v>
      </c>
      <c r="R2359" s="1">
        <v>2.595728008</v>
      </c>
      <c r="S2359" s="1">
        <v>1.7393328349999999</v>
      </c>
      <c r="T2359" s="1">
        <v>2.5490970000000002</v>
      </c>
      <c r="U2359" s="1">
        <v>2.665084539</v>
      </c>
      <c r="V2359" s="1">
        <v>1.7393328349999999</v>
      </c>
      <c r="W2359" s="1">
        <v>1.7393328349999999</v>
      </c>
      <c r="X2359" s="1">
        <v>2.3600830049999999</v>
      </c>
      <c r="Y2359" s="1">
        <v>1.7393328349999999</v>
      </c>
      <c r="Z2359" s="1">
        <v>2.595728008</v>
      </c>
      <c r="AA2359" s="1">
        <v>1.7393328349999999</v>
      </c>
      <c r="AB2359" s="1">
        <v>1.7393328349999999</v>
      </c>
      <c r="AC2359" s="1">
        <v>1.7393328349999999</v>
      </c>
      <c r="AD2359" s="1">
        <v>1.7393328349999999</v>
      </c>
      <c r="AE2359" s="1">
        <v>2.3627668220000002</v>
      </c>
    </row>
    <row r="2360" spans="1:31" x14ac:dyDescent="0.25">
      <c r="A2360" s="1" t="s">
        <v>311</v>
      </c>
      <c r="B2360" s="1" t="s">
        <v>2530</v>
      </c>
      <c r="C2360" s="1" t="s">
        <v>2531</v>
      </c>
      <c r="D2360" s="1" t="s">
        <v>2535</v>
      </c>
      <c r="E2360" s="1" t="s">
        <v>2536</v>
      </c>
      <c r="G2360" s="1" t="s">
        <v>311</v>
      </c>
      <c r="H2360" s="1">
        <v>2.9945681560000001</v>
      </c>
      <c r="I2360" s="1">
        <v>2.8927893610000002</v>
      </c>
      <c r="J2360" s="1">
        <v>3.4977151119999998</v>
      </c>
      <c r="K2360" s="1">
        <v>3.4309024589999999</v>
      </c>
      <c r="L2360" s="1">
        <v>3.5435353630000002</v>
      </c>
      <c r="M2360" s="1">
        <v>3.027864058</v>
      </c>
      <c r="N2360" s="1">
        <v>3.23577855</v>
      </c>
      <c r="O2360" s="1">
        <v>3.193511794</v>
      </c>
      <c r="P2360" s="1">
        <v>3.7419514989999998</v>
      </c>
      <c r="Q2360" s="1">
        <v>2.597100669</v>
      </c>
      <c r="R2360" s="1">
        <v>3.1834741979999999</v>
      </c>
      <c r="S2360" s="1">
        <v>2.9034795349999998</v>
      </c>
      <c r="T2360" s="1">
        <v>3.5435353630000002</v>
      </c>
      <c r="U2360" s="1">
        <v>3.027864058</v>
      </c>
      <c r="V2360" s="1">
        <v>3.6670520409999998</v>
      </c>
      <c r="W2360" s="1">
        <v>3.50175473</v>
      </c>
      <c r="X2360" s="1">
        <v>3.3149070109999998</v>
      </c>
      <c r="Y2360" s="1">
        <v>4.1479647589999997</v>
      </c>
      <c r="Z2360" s="1">
        <v>3.1834741979999999</v>
      </c>
      <c r="AA2360" s="1">
        <v>2.9034795349999998</v>
      </c>
      <c r="AB2360" s="1">
        <v>3.6315729079999999</v>
      </c>
      <c r="AC2360" s="1">
        <v>3.3054795530000001</v>
      </c>
      <c r="AD2360" s="1">
        <v>3.725077481</v>
      </c>
      <c r="AE2360" s="1">
        <v>3.321206681</v>
      </c>
    </row>
    <row r="2361" spans="1:31" x14ac:dyDescent="0.25">
      <c r="A2361" s="1" t="s">
        <v>332</v>
      </c>
      <c r="B2361" s="1" t="s">
        <v>2520</v>
      </c>
      <c r="C2361" s="1" t="s">
        <v>2743</v>
      </c>
      <c r="D2361" s="1" t="s">
        <v>2744</v>
      </c>
      <c r="E2361" s="1" t="s">
        <v>6012</v>
      </c>
      <c r="F2361" s="1" t="s">
        <v>6013</v>
      </c>
      <c r="G2361" s="1" t="s">
        <v>332</v>
      </c>
      <c r="H2361" s="1">
        <v>5.0553993879999997</v>
      </c>
      <c r="I2361" s="1">
        <v>4.903725959</v>
      </c>
      <c r="J2361" s="1">
        <v>5.2392025899999997</v>
      </c>
      <c r="K2361" s="1">
        <v>6.2219157379999999</v>
      </c>
      <c r="L2361" s="1">
        <v>5.8658055969999996</v>
      </c>
      <c r="M2361" s="1">
        <v>5.6393255609999997</v>
      </c>
      <c r="N2361" s="1">
        <v>6.2207206929999996</v>
      </c>
      <c r="O2361" s="1">
        <v>5.861353501</v>
      </c>
      <c r="P2361" s="1">
        <v>6.038086302</v>
      </c>
      <c r="Q2361" s="1">
        <v>5.8765740600000003</v>
      </c>
      <c r="R2361" s="1">
        <v>5.7472990829999997</v>
      </c>
      <c r="S2361" s="1">
        <v>5.7723891209999998</v>
      </c>
      <c r="T2361" s="1">
        <v>5.8658055969999996</v>
      </c>
      <c r="U2361" s="1">
        <v>5.6393255609999997</v>
      </c>
      <c r="V2361" s="1">
        <v>5.5505659869999997</v>
      </c>
      <c r="W2361" s="1">
        <v>5.5634106699999997</v>
      </c>
      <c r="X2361" s="1">
        <v>6.3662625530000003</v>
      </c>
      <c r="Y2361" s="1">
        <v>5.0128502209999999</v>
      </c>
      <c r="Z2361" s="1">
        <v>5.7472990829999997</v>
      </c>
      <c r="AA2361" s="1">
        <v>5.7723891209999998</v>
      </c>
      <c r="AB2361" s="1">
        <v>6.008835446</v>
      </c>
      <c r="AC2361" s="1">
        <v>5.5741318</v>
      </c>
      <c r="AD2361" s="1">
        <v>5.9231977699999998</v>
      </c>
      <c r="AE2361" s="1">
        <v>5.9885482259999998</v>
      </c>
    </row>
    <row r="2362" spans="1:31" x14ac:dyDescent="0.25">
      <c r="A2362" s="1" t="s">
        <v>346</v>
      </c>
      <c r="B2362" s="1" t="s">
        <v>2530</v>
      </c>
      <c r="C2362" s="1" t="s">
        <v>2531</v>
      </c>
      <c r="D2362" s="1" t="s">
        <v>2535</v>
      </c>
      <c r="E2362" s="1" t="s">
        <v>2536</v>
      </c>
      <c r="G2362" s="1" t="s">
        <v>346</v>
      </c>
      <c r="H2362" s="1">
        <v>3.6455184960000002</v>
      </c>
      <c r="I2362" s="1">
        <v>3.1348991329999998</v>
      </c>
      <c r="J2362" s="1">
        <v>3.8969924050000002</v>
      </c>
      <c r="K2362" s="1">
        <v>4.2434183680000004</v>
      </c>
      <c r="L2362" s="1">
        <v>4.4107687259999997</v>
      </c>
      <c r="M2362" s="1">
        <v>4.059937712</v>
      </c>
      <c r="N2362" s="1">
        <v>3.7779028299999999</v>
      </c>
      <c r="O2362" s="1">
        <v>3.050193165</v>
      </c>
      <c r="P2362" s="1">
        <v>3.466113682</v>
      </c>
      <c r="Q2362" s="1">
        <v>4.18747588</v>
      </c>
      <c r="R2362" s="1">
        <v>4.45403635</v>
      </c>
      <c r="S2362" s="1">
        <v>4.1304223819999999</v>
      </c>
      <c r="T2362" s="1">
        <v>4.4107687259999997</v>
      </c>
      <c r="U2362" s="1">
        <v>4.059937712</v>
      </c>
      <c r="V2362" s="1">
        <v>4.2408545169999998</v>
      </c>
      <c r="W2362" s="1">
        <v>3.2870366010000001</v>
      </c>
      <c r="X2362" s="1">
        <v>4.3167291810000004</v>
      </c>
      <c r="Y2362" s="1">
        <v>3.4382968329999999</v>
      </c>
      <c r="Z2362" s="1">
        <v>4.45403635</v>
      </c>
      <c r="AA2362" s="1">
        <v>4.1304223819999999</v>
      </c>
      <c r="AB2362" s="1">
        <v>4.2729702720000002</v>
      </c>
      <c r="AC2362" s="1">
        <v>3.9750819590000002</v>
      </c>
      <c r="AD2362" s="1">
        <v>3.8610926929999998</v>
      </c>
      <c r="AE2362" s="1">
        <v>4.5815229759999996</v>
      </c>
    </row>
    <row r="2363" spans="1:31" x14ac:dyDescent="0.25">
      <c r="A2363" s="1" t="s">
        <v>377</v>
      </c>
      <c r="B2363" s="1" t="s">
        <v>2530</v>
      </c>
      <c r="C2363" s="1" t="s">
        <v>2531</v>
      </c>
      <c r="D2363" s="1" t="s">
        <v>2535</v>
      </c>
      <c r="E2363" s="1" t="s">
        <v>2621</v>
      </c>
      <c r="G2363" s="1" t="s">
        <v>377</v>
      </c>
      <c r="H2363" s="1">
        <v>8.1488052110000009</v>
      </c>
      <c r="I2363" s="1">
        <v>7.6611092010000004</v>
      </c>
      <c r="J2363" s="1">
        <v>5.4400990890000003</v>
      </c>
      <c r="K2363" s="1">
        <v>6.2465923569999999</v>
      </c>
      <c r="L2363" s="1">
        <v>3.971296959</v>
      </c>
      <c r="M2363" s="1">
        <v>3.5095973119999999</v>
      </c>
      <c r="N2363" s="1">
        <v>6.7372563640000003</v>
      </c>
      <c r="O2363" s="1">
        <v>7.1976511859999999</v>
      </c>
      <c r="P2363" s="1">
        <v>5.1018341500000002</v>
      </c>
      <c r="Q2363" s="1">
        <v>5.2473923969999996</v>
      </c>
      <c r="R2363" s="1">
        <v>4.8735636449999999</v>
      </c>
      <c r="S2363" s="1">
        <v>4.3135540739999998</v>
      </c>
      <c r="T2363" s="1">
        <v>3.971296959</v>
      </c>
      <c r="U2363" s="1">
        <v>3.5095973119999999</v>
      </c>
      <c r="V2363" s="1">
        <v>5.0857495259999999</v>
      </c>
      <c r="W2363" s="1">
        <v>5.2236621110000003</v>
      </c>
      <c r="X2363" s="1">
        <v>5.0312607360000001</v>
      </c>
      <c r="Y2363" s="1">
        <v>5.9306942229999997</v>
      </c>
      <c r="Z2363" s="1">
        <v>4.8735636449999999</v>
      </c>
      <c r="AA2363" s="1">
        <v>4.3135540739999998</v>
      </c>
      <c r="AB2363" s="1">
        <v>5.3028471579999996</v>
      </c>
      <c r="AC2363" s="1">
        <v>5.1103036370000003</v>
      </c>
      <c r="AD2363" s="1">
        <v>5.5945353439999996</v>
      </c>
      <c r="AE2363" s="1">
        <v>5.9740468760000001</v>
      </c>
    </row>
    <row r="2364" spans="1:31" x14ac:dyDescent="0.25">
      <c r="A2364" s="1" t="s">
        <v>415</v>
      </c>
      <c r="B2364" s="1" t="s">
        <v>2530</v>
      </c>
      <c r="C2364" s="1" t="s">
        <v>2531</v>
      </c>
      <c r="D2364" s="1" t="s">
        <v>2535</v>
      </c>
      <c r="E2364" s="1" t="s">
        <v>6014</v>
      </c>
      <c r="G2364" s="1" t="s">
        <v>415</v>
      </c>
      <c r="H2364" s="1">
        <v>6.5548587630000004</v>
      </c>
      <c r="I2364" s="1">
        <v>6.1195241339999997</v>
      </c>
      <c r="J2364" s="1">
        <v>6.6382173169999996</v>
      </c>
      <c r="K2364" s="1">
        <v>6.5339269729999998</v>
      </c>
      <c r="L2364" s="1">
        <v>5.9440343650000003</v>
      </c>
      <c r="M2364" s="1">
        <v>6.0186391370000001</v>
      </c>
      <c r="N2364" s="1">
        <v>6.0166363460000003</v>
      </c>
      <c r="O2364" s="1">
        <v>6.45474543</v>
      </c>
      <c r="P2364" s="1">
        <v>6.5835451750000002</v>
      </c>
      <c r="Q2364" s="1">
        <v>6.459205753</v>
      </c>
      <c r="R2364" s="1">
        <v>6.8379355119999996</v>
      </c>
      <c r="S2364" s="1">
        <v>6.4595501860000004</v>
      </c>
      <c r="T2364" s="1">
        <v>5.9440343650000003</v>
      </c>
      <c r="U2364" s="1">
        <v>6.0186391370000001</v>
      </c>
      <c r="V2364" s="1">
        <v>6.2012354710000004</v>
      </c>
      <c r="W2364" s="1">
        <v>6.0677414089999999</v>
      </c>
      <c r="X2364" s="1">
        <v>6.3880871680000002</v>
      </c>
      <c r="Y2364" s="1">
        <v>6.2347231909999996</v>
      </c>
      <c r="Z2364" s="1">
        <v>6.8379355119999996</v>
      </c>
      <c r="AA2364" s="1">
        <v>6.4595501860000004</v>
      </c>
      <c r="AB2364" s="1">
        <v>6.557950226</v>
      </c>
      <c r="AC2364" s="1">
        <v>6.7024263700000004</v>
      </c>
      <c r="AD2364" s="1">
        <v>6.7323805009999997</v>
      </c>
      <c r="AE2364" s="1">
        <v>6.6203616419999998</v>
      </c>
    </row>
    <row r="2365" spans="1:31" x14ac:dyDescent="0.25">
      <c r="A2365" s="1" t="s">
        <v>417</v>
      </c>
      <c r="B2365" s="1" t="s">
        <v>2942</v>
      </c>
      <c r="C2365" s="1" t="s">
        <v>4203</v>
      </c>
      <c r="D2365" s="1" t="s">
        <v>2535</v>
      </c>
      <c r="E2365" s="1" t="s">
        <v>6015</v>
      </c>
      <c r="G2365" s="1" t="s">
        <v>417</v>
      </c>
      <c r="H2365" s="1">
        <v>5.946332924</v>
      </c>
      <c r="I2365" s="1">
        <v>5.2862358589999996</v>
      </c>
      <c r="J2365" s="1">
        <v>5.5483108110000003</v>
      </c>
      <c r="K2365" s="1">
        <v>5.166960875</v>
      </c>
      <c r="L2365" s="1">
        <v>5.7251137559999998</v>
      </c>
      <c r="M2365" s="1">
        <v>5.7583226490000001</v>
      </c>
      <c r="N2365" s="1">
        <v>5.3835417159999999</v>
      </c>
      <c r="O2365" s="1">
        <v>5.8976328669999996</v>
      </c>
      <c r="P2365" s="1">
        <v>5.3522904530000002</v>
      </c>
      <c r="Q2365" s="1">
        <v>5.4222740280000004</v>
      </c>
      <c r="R2365" s="1">
        <v>5.7795948069999996</v>
      </c>
      <c r="S2365" s="1">
        <v>5.4687741709999997</v>
      </c>
      <c r="T2365" s="1">
        <v>5.7251137559999998</v>
      </c>
      <c r="U2365" s="1">
        <v>5.7583226490000001</v>
      </c>
      <c r="V2365" s="1">
        <v>5.7228043460000002</v>
      </c>
      <c r="W2365" s="1">
        <v>5.6472737119999996</v>
      </c>
      <c r="X2365" s="1">
        <v>5.6731962669999998</v>
      </c>
      <c r="Y2365" s="1">
        <v>4.8904630100000004</v>
      </c>
      <c r="Z2365" s="1">
        <v>5.7795948069999996</v>
      </c>
      <c r="AA2365" s="1">
        <v>5.4687741709999997</v>
      </c>
      <c r="AB2365" s="1">
        <v>6.1161870470000004</v>
      </c>
      <c r="AC2365" s="1">
        <v>5.5065733579999998</v>
      </c>
      <c r="AD2365" s="1">
        <v>5.6310130599999999</v>
      </c>
      <c r="AE2365" s="1">
        <v>5.9885482259999998</v>
      </c>
    </row>
    <row r="2366" spans="1:31" x14ac:dyDescent="0.25">
      <c r="A2366" s="1" t="s">
        <v>451</v>
      </c>
      <c r="B2366" s="1" t="s">
        <v>2530</v>
      </c>
      <c r="C2366" s="1" t="s">
        <v>2573</v>
      </c>
      <c r="D2366" s="1" t="s">
        <v>2535</v>
      </c>
      <c r="E2366" s="1" t="s">
        <v>6016</v>
      </c>
      <c r="G2366" s="1" t="s">
        <v>451</v>
      </c>
      <c r="H2366" s="1">
        <v>4.0684382540000001</v>
      </c>
      <c r="I2366" s="1">
        <v>4.2936285989999998</v>
      </c>
      <c r="J2366" s="1">
        <v>3.1324899180000001</v>
      </c>
      <c r="K2366" s="1">
        <v>2.620638279</v>
      </c>
      <c r="L2366" s="1">
        <v>3.5435353630000002</v>
      </c>
      <c r="M2366" s="1">
        <v>2.3994532390000001</v>
      </c>
      <c r="N2366" s="1">
        <v>4.1002678350000004</v>
      </c>
      <c r="O2366" s="1">
        <v>4.4368189940000002</v>
      </c>
      <c r="P2366" s="1">
        <v>3.466113682</v>
      </c>
      <c r="Q2366" s="1">
        <v>3.9718447549999998</v>
      </c>
      <c r="R2366" s="1">
        <v>3.5594063970000001</v>
      </c>
      <c r="S2366" s="1">
        <v>4.1304223819999999</v>
      </c>
      <c r="T2366" s="1">
        <v>3.5435353630000002</v>
      </c>
      <c r="U2366" s="1">
        <v>2.3994532390000001</v>
      </c>
      <c r="V2366" s="1">
        <v>3.0516113059999999</v>
      </c>
      <c r="W2366" s="1">
        <v>3.6840067150000002</v>
      </c>
      <c r="X2366" s="1">
        <v>3.6673381269999998</v>
      </c>
      <c r="Y2366" s="1">
        <v>3.7705059300000001</v>
      </c>
      <c r="Z2366" s="1">
        <v>3.5594063970000001</v>
      </c>
      <c r="AA2366" s="1">
        <v>4.1304223819999999</v>
      </c>
      <c r="AB2366" s="1">
        <v>3.6315729079999999</v>
      </c>
      <c r="AC2366" s="1">
        <v>4.0753403910000001</v>
      </c>
      <c r="AD2366" s="1">
        <v>3.984188064</v>
      </c>
      <c r="AE2366" s="1">
        <v>3.5108161330000001</v>
      </c>
    </row>
    <row r="2367" spans="1:31" x14ac:dyDescent="0.25">
      <c r="A2367" s="1" t="s">
        <v>467</v>
      </c>
      <c r="B2367" s="1" t="s">
        <v>2539</v>
      </c>
      <c r="C2367" s="1" t="s">
        <v>2606</v>
      </c>
      <c r="D2367" s="1" t="s">
        <v>2535</v>
      </c>
      <c r="E2367" s="1" t="s">
        <v>6017</v>
      </c>
      <c r="G2367" s="1" t="s">
        <v>467</v>
      </c>
      <c r="H2367" s="1">
        <v>3.6455184960000002</v>
      </c>
      <c r="I2367" s="1">
        <v>4.0101074990000001</v>
      </c>
      <c r="J2367" s="1">
        <v>4.1077874330000004</v>
      </c>
      <c r="K2367" s="1">
        <v>4.3408695499999999</v>
      </c>
      <c r="L2367" s="1">
        <v>4.0223143549999998</v>
      </c>
      <c r="M2367" s="1">
        <v>3.9942443089999999</v>
      </c>
      <c r="N2367" s="1">
        <v>4.3596796910000002</v>
      </c>
      <c r="O2367" s="1">
        <v>3.6346882059999999</v>
      </c>
      <c r="P2367" s="1">
        <v>3.106446558</v>
      </c>
      <c r="Q2367" s="1">
        <v>3.388910638</v>
      </c>
      <c r="R2367" s="1">
        <v>3.7109484589999999</v>
      </c>
      <c r="S2367" s="1">
        <v>3.6647387380000001</v>
      </c>
      <c r="T2367" s="1">
        <v>4.0223143549999998</v>
      </c>
      <c r="U2367" s="1">
        <v>3.9942443089999999</v>
      </c>
      <c r="V2367" s="1">
        <v>2.8225047829999999</v>
      </c>
      <c r="W2367" s="1">
        <v>4.1128053839999996</v>
      </c>
      <c r="X2367" s="1">
        <v>4.2691515329999996</v>
      </c>
      <c r="Y2367" s="1">
        <v>3.9087436480000002</v>
      </c>
      <c r="Z2367" s="1">
        <v>3.7109484589999999</v>
      </c>
      <c r="AA2367" s="1">
        <v>3.6647387380000001</v>
      </c>
      <c r="AB2367" s="1">
        <v>3.404153038</v>
      </c>
      <c r="AC2367" s="1">
        <v>3.4716344729999999</v>
      </c>
      <c r="AD2367" s="1">
        <v>3.3987395579999999</v>
      </c>
      <c r="AE2367" s="1">
        <v>3.321206681</v>
      </c>
    </row>
    <row r="2368" spans="1:31" x14ac:dyDescent="0.25">
      <c r="A2368" s="1" t="s">
        <v>484</v>
      </c>
      <c r="B2368" s="1" t="s">
        <v>2520</v>
      </c>
      <c r="C2368" s="1" t="s">
        <v>3160</v>
      </c>
      <c r="D2368" s="1" t="s">
        <v>5897</v>
      </c>
      <c r="E2368" s="1" t="s">
        <v>6018</v>
      </c>
      <c r="F2368" s="1" t="s">
        <v>6019</v>
      </c>
      <c r="G2368" s="1" t="s">
        <v>484</v>
      </c>
      <c r="H2368" s="1">
        <v>6.1789942880000002</v>
      </c>
      <c r="I2368" s="1">
        <v>5.6856247609999997</v>
      </c>
      <c r="J2368" s="1">
        <v>6.0670821549999996</v>
      </c>
      <c r="K2368" s="1">
        <v>6.4932884399999997</v>
      </c>
      <c r="L2368" s="1">
        <v>6.5549024520000003</v>
      </c>
      <c r="M2368" s="1">
        <v>6.5770251660000003</v>
      </c>
      <c r="N2368" s="1">
        <v>5.7258938089999996</v>
      </c>
      <c r="O2368" s="1">
        <v>5.4853382609999999</v>
      </c>
      <c r="P2368" s="1">
        <v>6.1298655379999998</v>
      </c>
      <c r="Q2368" s="1">
        <v>6.3770715449999997</v>
      </c>
      <c r="R2368" s="1">
        <v>6.9268762089999996</v>
      </c>
      <c r="S2368" s="1">
        <v>6.4595501860000004</v>
      </c>
      <c r="T2368" s="1">
        <v>6.5549024520000003</v>
      </c>
      <c r="U2368" s="1">
        <v>6.5770251660000003</v>
      </c>
      <c r="V2368" s="1">
        <v>7.6287821759999996</v>
      </c>
      <c r="W2368" s="1">
        <v>7.9512000870000001</v>
      </c>
      <c r="X2368" s="1">
        <v>9.0740434049999994</v>
      </c>
      <c r="Y2368" s="1">
        <v>8.994813293</v>
      </c>
      <c r="Z2368" s="1">
        <v>6.9268762089999996</v>
      </c>
      <c r="AA2368" s="1">
        <v>6.4595501860000004</v>
      </c>
      <c r="AB2368" s="1">
        <v>8.1354302720000007</v>
      </c>
      <c r="AC2368" s="1">
        <v>8.3603367419999994</v>
      </c>
      <c r="AD2368" s="1">
        <v>9.1690071540000009</v>
      </c>
      <c r="AE2368" s="1">
        <v>8.8925568730000002</v>
      </c>
    </row>
    <row r="2369" spans="1:31" x14ac:dyDescent="0.25">
      <c r="A2369" s="1" t="s">
        <v>508</v>
      </c>
      <c r="B2369" s="1" t="s">
        <v>2662</v>
      </c>
      <c r="C2369" s="1" t="s">
        <v>3291</v>
      </c>
      <c r="D2369" s="1" t="s">
        <v>3292</v>
      </c>
      <c r="E2369" s="1" t="s">
        <v>6020</v>
      </c>
      <c r="G2369" s="1" t="s">
        <v>508</v>
      </c>
      <c r="H2369" s="1">
        <v>3.6455184960000002</v>
      </c>
      <c r="I2369" s="1">
        <v>3.6484415459999999</v>
      </c>
      <c r="J2369" s="1">
        <v>4.2018709520000002</v>
      </c>
      <c r="K2369" s="1">
        <v>3.4309024589999999</v>
      </c>
      <c r="L2369" s="1">
        <v>4.5533082269999996</v>
      </c>
      <c r="M2369" s="1">
        <v>4.1225413939999997</v>
      </c>
      <c r="N2369" s="1">
        <v>4.765904581</v>
      </c>
      <c r="O2369" s="1">
        <v>4.5340058970000001</v>
      </c>
      <c r="P2369" s="1">
        <v>4.7972962780000001</v>
      </c>
      <c r="Q2369" s="1">
        <v>3.56206471</v>
      </c>
      <c r="R2369" s="1">
        <v>3.7109484589999999</v>
      </c>
      <c r="S2369" s="1">
        <v>4.2250836859999996</v>
      </c>
      <c r="T2369" s="1">
        <v>4.5533082269999996</v>
      </c>
      <c r="U2369" s="1">
        <v>4.1225413939999997</v>
      </c>
      <c r="V2369" s="1">
        <v>4.4559512029999997</v>
      </c>
      <c r="W2369" s="1">
        <v>3.8431653940000001</v>
      </c>
      <c r="X2369" s="1">
        <v>4.5719855100000002</v>
      </c>
      <c r="Y2369" s="1">
        <v>4.2532353330000001</v>
      </c>
      <c r="Z2369" s="1">
        <v>3.7109484589999999</v>
      </c>
      <c r="AA2369" s="1">
        <v>4.2250836859999996</v>
      </c>
      <c r="AB2369" s="1">
        <v>4.3946012420000002</v>
      </c>
      <c r="AC2369" s="1">
        <v>4.3377211620000002</v>
      </c>
      <c r="AD2369" s="1">
        <v>4.7657555159999996</v>
      </c>
      <c r="AE2369" s="1">
        <v>4.5815229759999996</v>
      </c>
    </row>
    <row r="2370" spans="1:31" x14ac:dyDescent="0.25">
      <c r="A2370" s="1" t="s">
        <v>555</v>
      </c>
      <c r="B2370" s="1" t="s">
        <v>2539</v>
      </c>
      <c r="C2370" s="1" t="s">
        <v>2606</v>
      </c>
      <c r="D2370" s="1" t="s">
        <v>4585</v>
      </c>
      <c r="E2370" s="1" t="s">
        <v>6021</v>
      </c>
      <c r="F2370" s="1" t="s">
        <v>6022</v>
      </c>
      <c r="G2370" s="1" t="s">
        <v>555</v>
      </c>
      <c r="H2370" s="1">
        <v>4.3886087140000001</v>
      </c>
      <c r="I2370" s="1">
        <v>4.5981535630000003</v>
      </c>
      <c r="J2370" s="1">
        <v>6.931337622</v>
      </c>
      <c r="K2370" s="1">
        <v>6.7389853689999999</v>
      </c>
      <c r="L2370" s="1">
        <v>6.5465837359999997</v>
      </c>
      <c r="M2370" s="1">
        <v>6.9369728860000004</v>
      </c>
      <c r="N2370" s="1">
        <v>4.0417975630000003</v>
      </c>
      <c r="O2370" s="1">
        <v>4.2767880749999998</v>
      </c>
      <c r="P2370" s="1">
        <v>6.7943075329999996</v>
      </c>
      <c r="Q2370" s="1">
        <v>6.7476078419999999</v>
      </c>
      <c r="R2370" s="1">
        <v>7.1890158729999998</v>
      </c>
      <c r="S2370" s="1">
        <v>6.6531047939999999</v>
      </c>
      <c r="T2370" s="1">
        <v>6.5465837359999997</v>
      </c>
      <c r="U2370" s="1">
        <v>6.9369728860000004</v>
      </c>
      <c r="V2370" s="1">
        <v>6.481941097</v>
      </c>
      <c r="W2370" s="1">
        <v>6.5309970670000004</v>
      </c>
      <c r="X2370" s="1">
        <v>6.5992329070000002</v>
      </c>
      <c r="Y2370" s="1">
        <v>5.8019430659999998</v>
      </c>
      <c r="Z2370" s="1">
        <v>7.1890158729999998</v>
      </c>
      <c r="AA2370" s="1">
        <v>6.6531047939999999</v>
      </c>
      <c r="AB2370" s="1">
        <v>6.769786034</v>
      </c>
      <c r="AC2370" s="1">
        <v>6.6252225420000004</v>
      </c>
      <c r="AD2370" s="1">
        <v>6.6462203879999997</v>
      </c>
      <c r="AE2370" s="1">
        <v>6.5242584700000004</v>
      </c>
    </row>
    <row r="2371" spans="1:31" x14ac:dyDescent="0.25">
      <c r="A2371" s="1" t="s">
        <v>566</v>
      </c>
      <c r="B2371" s="1" t="s">
        <v>2547</v>
      </c>
      <c r="C2371" s="1" t="s">
        <v>2566</v>
      </c>
      <c r="D2371" s="1" t="s">
        <v>2535</v>
      </c>
      <c r="E2371" s="1" t="s">
        <v>5362</v>
      </c>
      <c r="G2371" s="1" t="s">
        <v>566</v>
      </c>
      <c r="H2371" s="1">
        <v>4.6479005740000003</v>
      </c>
      <c r="I2371" s="1">
        <v>5.1546023129999998</v>
      </c>
      <c r="J2371" s="1">
        <v>4.5940881259999999</v>
      </c>
      <c r="K2371" s="1">
        <v>4.5171444090000001</v>
      </c>
      <c r="L2371" s="1">
        <v>3.918224124</v>
      </c>
      <c r="M2371" s="1">
        <v>4.1225413939999997</v>
      </c>
      <c r="N2371" s="1">
        <v>5.2145790439999997</v>
      </c>
      <c r="O2371" s="1">
        <v>4.385526188</v>
      </c>
      <c r="P2371" s="1">
        <v>4.6160325330000003</v>
      </c>
      <c r="Q2371" s="1">
        <v>4.4575363990000003</v>
      </c>
      <c r="R2371" s="1">
        <v>2.595728008</v>
      </c>
      <c r="S2371" s="1">
        <v>3.6647387380000001</v>
      </c>
      <c r="T2371" s="1">
        <v>3.918224124</v>
      </c>
      <c r="U2371" s="1">
        <v>4.1225413939999997</v>
      </c>
      <c r="V2371" s="1">
        <v>3.3993802240000002</v>
      </c>
      <c r="W2371" s="1">
        <v>3.9848641250000001</v>
      </c>
      <c r="X2371" s="1">
        <v>3.9418607479999999</v>
      </c>
      <c r="Y2371" s="1">
        <v>3.7705059300000001</v>
      </c>
      <c r="Z2371" s="1">
        <v>2.595728008</v>
      </c>
      <c r="AA2371" s="1">
        <v>3.6647387380000001</v>
      </c>
      <c r="AB2371" s="1">
        <v>1.7393328349999999</v>
      </c>
      <c r="AC2371" s="1">
        <v>3.8665622239999999</v>
      </c>
      <c r="AD2371" s="1">
        <v>4.2005997429999997</v>
      </c>
      <c r="AE2371" s="1">
        <v>3.7492737119999999</v>
      </c>
    </row>
    <row r="2372" spans="1:31" x14ac:dyDescent="0.25">
      <c r="A2372" s="1" t="s">
        <v>579</v>
      </c>
      <c r="B2372" s="1" t="s">
        <v>2530</v>
      </c>
      <c r="C2372" s="1" t="s">
        <v>2531</v>
      </c>
      <c r="D2372" s="1" t="s">
        <v>2535</v>
      </c>
      <c r="E2372" s="1" t="s">
        <v>2536</v>
      </c>
      <c r="G2372" s="1" t="s">
        <v>579</v>
      </c>
      <c r="H2372" s="1">
        <v>6.8858328110000002</v>
      </c>
      <c r="I2372" s="1">
        <v>6.923095075</v>
      </c>
      <c r="J2372" s="1">
        <v>6.8067545919999999</v>
      </c>
      <c r="K2372" s="1">
        <v>6.4300937310000004</v>
      </c>
      <c r="L2372" s="1">
        <v>5.4841512059999999</v>
      </c>
      <c r="M2372" s="1">
        <v>5.7197461279999997</v>
      </c>
      <c r="N2372" s="1">
        <v>6.4105475380000003</v>
      </c>
      <c r="O2372" s="1">
        <v>6.2598073259999998</v>
      </c>
      <c r="P2372" s="1">
        <v>6.1736452379999998</v>
      </c>
      <c r="Q2372" s="1">
        <v>6.5369026620000001</v>
      </c>
      <c r="R2372" s="1">
        <v>5.8420803340000003</v>
      </c>
      <c r="S2372" s="1">
        <v>6.4405915680000003</v>
      </c>
      <c r="T2372" s="1">
        <v>5.4841512059999999</v>
      </c>
      <c r="U2372" s="1">
        <v>5.7197461279999997</v>
      </c>
      <c r="V2372" s="1">
        <v>6.7031108210000001</v>
      </c>
      <c r="W2372" s="1">
        <v>6.2922055309999996</v>
      </c>
      <c r="X2372" s="1">
        <v>5.9626863439999997</v>
      </c>
      <c r="Y2372" s="1">
        <v>6.399298012</v>
      </c>
      <c r="Z2372" s="1">
        <v>5.8420803340000003</v>
      </c>
      <c r="AA2372" s="1">
        <v>6.4405915680000003</v>
      </c>
      <c r="AB2372" s="1">
        <v>6.008835446</v>
      </c>
      <c r="AC2372" s="1">
        <v>6.0234746389999998</v>
      </c>
      <c r="AD2372" s="1">
        <v>5.9522696560000004</v>
      </c>
      <c r="AE2372" s="1">
        <v>6.3332249579999997</v>
      </c>
    </row>
    <row r="2373" spans="1:31" x14ac:dyDescent="0.25">
      <c r="A2373" s="1" t="s">
        <v>587</v>
      </c>
      <c r="B2373" s="1" t="s">
        <v>2535</v>
      </c>
      <c r="C2373" s="1" t="s">
        <v>2535</v>
      </c>
      <c r="D2373" s="1" t="s">
        <v>2535</v>
      </c>
      <c r="E2373" s="1" t="s">
        <v>2535</v>
      </c>
      <c r="F2373" s="1" t="s">
        <v>2535</v>
      </c>
      <c r="G2373" s="1" t="s">
        <v>587</v>
      </c>
      <c r="H2373" s="1">
        <v>2.640460343</v>
      </c>
      <c r="I2373" s="1">
        <v>2.5655118899999998</v>
      </c>
      <c r="J2373" s="1">
        <v>1.7393328349999999</v>
      </c>
      <c r="K2373" s="1">
        <v>2.9677134359999999</v>
      </c>
      <c r="L2373" s="1">
        <v>2.5490970000000002</v>
      </c>
      <c r="M2373" s="1">
        <v>2.3994532390000001</v>
      </c>
      <c r="N2373" s="1">
        <v>3.1147763629999998</v>
      </c>
      <c r="O2373" s="1">
        <v>2.6816282820000001</v>
      </c>
      <c r="P2373" s="1">
        <v>1.7393328349999999</v>
      </c>
      <c r="Q2373" s="1">
        <v>2.597100669</v>
      </c>
      <c r="R2373" s="1">
        <v>1.7393328349999999</v>
      </c>
      <c r="S2373" s="1">
        <v>2.5733617299999998</v>
      </c>
      <c r="T2373" s="1">
        <v>2.5490970000000002</v>
      </c>
      <c r="U2373" s="1">
        <v>2.3994532390000001</v>
      </c>
      <c r="V2373" s="1">
        <v>1.7393328349999999</v>
      </c>
      <c r="W2373" s="1">
        <v>2.6606351240000001</v>
      </c>
      <c r="X2373" s="1">
        <v>2.9542167930000001</v>
      </c>
      <c r="Y2373" s="1">
        <v>2.9733498090000001</v>
      </c>
      <c r="Z2373" s="1">
        <v>1.7393328349999999</v>
      </c>
      <c r="AA2373" s="1">
        <v>2.5733617299999998</v>
      </c>
      <c r="AB2373" s="1">
        <v>3.1218319999999999</v>
      </c>
      <c r="AC2373" s="1">
        <v>2.5506926650000001</v>
      </c>
      <c r="AD2373" s="1">
        <v>2.6025990879999998</v>
      </c>
      <c r="AE2373" s="1">
        <v>2.3627668220000002</v>
      </c>
    </row>
    <row r="2374" spans="1:31" x14ac:dyDescent="0.25">
      <c r="A2374" s="1" t="s">
        <v>594</v>
      </c>
      <c r="B2374" s="1" t="s">
        <v>2520</v>
      </c>
      <c r="C2374" s="1" t="s">
        <v>2743</v>
      </c>
      <c r="D2374" s="1" t="s">
        <v>2744</v>
      </c>
      <c r="E2374" s="1" t="s">
        <v>6023</v>
      </c>
      <c r="F2374" s="1" t="s">
        <v>6024</v>
      </c>
      <c r="G2374" s="1" t="s">
        <v>594</v>
      </c>
      <c r="H2374" s="1">
        <v>5.8817546890000001</v>
      </c>
      <c r="I2374" s="1">
        <v>6.0475452040000004</v>
      </c>
      <c r="J2374" s="1">
        <v>3.4977151119999998</v>
      </c>
      <c r="K2374" s="1">
        <v>3.8998480660000001</v>
      </c>
      <c r="L2374" s="1">
        <v>2.9964092330000001</v>
      </c>
      <c r="M2374" s="1">
        <v>3.027864058</v>
      </c>
      <c r="N2374" s="1">
        <v>5.1081614489999998</v>
      </c>
      <c r="O2374" s="1">
        <v>5.0724039640000003</v>
      </c>
      <c r="P2374" s="1">
        <v>3.7419514989999998</v>
      </c>
      <c r="Q2374" s="1">
        <v>3.8492287269999999</v>
      </c>
      <c r="R2374" s="1">
        <v>4.0808207129999996</v>
      </c>
      <c r="S2374" s="1">
        <v>3.3463386960000001</v>
      </c>
      <c r="T2374" s="1">
        <v>2.9964092330000001</v>
      </c>
      <c r="U2374" s="1">
        <v>3.027864058</v>
      </c>
      <c r="V2374" s="1">
        <v>2.5140266200000001</v>
      </c>
      <c r="W2374" s="1">
        <v>3.6840067150000002</v>
      </c>
      <c r="X2374" s="1">
        <v>3.8119046220000001</v>
      </c>
      <c r="Y2374" s="1">
        <v>3.229986142</v>
      </c>
      <c r="Z2374" s="1">
        <v>4.0808207129999996</v>
      </c>
      <c r="AA2374" s="1">
        <v>3.3463386960000001</v>
      </c>
      <c r="AB2374" s="1">
        <v>3.6315729079999999</v>
      </c>
      <c r="AC2374" s="1">
        <v>3.3054795530000001</v>
      </c>
      <c r="AD2374" s="1">
        <v>3.1944880649999998</v>
      </c>
      <c r="AE2374" s="1">
        <v>3.9499994520000001</v>
      </c>
    </row>
    <row r="2375" spans="1:31" x14ac:dyDescent="0.25">
      <c r="A2375" s="1" t="s">
        <v>637</v>
      </c>
      <c r="B2375" s="1" t="s">
        <v>2547</v>
      </c>
      <c r="C2375" s="1" t="s">
        <v>2622</v>
      </c>
      <c r="D2375" s="1" t="s">
        <v>2535</v>
      </c>
      <c r="E2375" s="1" t="s">
        <v>5545</v>
      </c>
      <c r="G2375" s="1" t="s">
        <v>637</v>
      </c>
      <c r="H2375" s="1">
        <v>1.7393328349999999</v>
      </c>
      <c r="I2375" s="1">
        <v>1.7393328349999999</v>
      </c>
      <c r="J2375" s="1">
        <v>1.7393328349999999</v>
      </c>
      <c r="K2375" s="1">
        <v>1.7393328349999999</v>
      </c>
      <c r="L2375" s="1">
        <v>1.7393328349999999</v>
      </c>
      <c r="M2375" s="1">
        <v>1.7393328349999999</v>
      </c>
      <c r="N2375" s="1">
        <v>2.628425199</v>
      </c>
      <c r="O2375" s="1">
        <v>2.6816282820000001</v>
      </c>
      <c r="P2375" s="1">
        <v>1.7393328349999999</v>
      </c>
      <c r="Q2375" s="1">
        <v>1.7393328349999999</v>
      </c>
      <c r="R2375" s="1">
        <v>1.7393328349999999</v>
      </c>
      <c r="S2375" s="1">
        <v>1.7393328349999999</v>
      </c>
      <c r="T2375" s="1">
        <v>1.7393328349999999</v>
      </c>
      <c r="U2375" s="1">
        <v>1.7393328349999999</v>
      </c>
      <c r="V2375" s="1">
        <v>1.7393328349999999</v>
      </c>
      <c r="W2375" s="1">
        <v>1.7393328349999999</v>
      </c>
      <c r="X2375" s="1">
        <v>1.7393328349999999</v>
      </c>
      <c r="Y2375" s="1">
        <v>1.7393328349999999</v>
      </c>
      <c r="Z2375" s="1">
        <v>1.7393328349999999</v>
      </c>
      <c r="AA2375" s="1">
        <v>1.7393328349999999</v>
      </c>
      <c r="AB2375" s="1">
        <v>1.7393328349999999</v>
      </c>
      <c r="AC2375" s="1">
        <v>1.7393328349999999</v>
      </c>
      <c r="AD2375" s="1">
        <v>1.7393328349999999</v>
      </c>
      <c r="AE2375" s="1">
        <v>1.7393328349999999</v>
      </c>
    </row>
    <row r="2376" spans="1:31" x14ac:dyDescent="0.25">
      <c r="A2376" s="1" t="s">
        <v>657</v>
      </c>
      <c r="B2376" s="1" t="s">
        <v>2530</v>
      </c>
      <c r="C2376" s="1" t="s">
        <v>2531</v>
      </c>
      <c r="D2376" s="1" t="s">
        <v>2535</v>
      </c>
      <c r="E2376" s="1" t="s">
        <v>2536</v>
      </c>
      <c r="G2376" s="1" t="s">
        <v>657</v>
      </c>
      <c r="H2376" s="1">
        <v>2.9945681560000001</v>
      </c>
      <c r="I2376" s="1">
        <v>2.8927893610000002</v>
      </c>
      <c r="J2376" s="1">
        <v>1.7393328349999999</v>
      </c>
      <c r="K2376" s="1">
        <v>1.7393328349999999</v>
      </c>
      <c r="L2376" s="1">
        <v>1.7393328349999999</v>
      </c>
      <c r="M2376" s="1">
        <v>2.3994532390000001</v>
      </c>
      <c r="N2376" s="1">
        <v>2.628425199</v>
      </c>
      <c r="O2376" s="1">
        <v>2.411448644</v>
      </c>
      <c r="P2376" s="1">
        <v>1.7393328349999999</v>
      </c>
      <c r="Q2376" s="1">
        <v>1.7393328349999999</v>
      </c>
      <c r="R2376" s="1">
        <v>1.7393328349999999</v>
      </c>
      <c r="S2376" s="1">
        <v>1.7393328349999999</v>
      </c>
      <c r="T2376" s="1">
        <v>1.7393328349999999</v>
      </c>
      <c r="U2376" s="1">
        <v>2.3994532390000001</v>
      </c>
      <c r="V2376" s="1">
        <v>1.7393328349999999</v>
      </c>
      <c r="W2376" s="1">
        <v>1.7393328349999999</v>
      </c>
      <c r="X2376" s="1">
        <v>1.7393328349999999</v>
      </c>
      <c r="Y2376" s="1">
        <v>1.7393328349999999</v>
      </c>
      <c r="Z2376" s="1">
        <v>1.7393328349999999</v>
      </c>
      <c r="AA2376" s="1">
        <v>1.7393328349999999</v>
      </c>
      <c r="AB2376" s="1">
        <v>1.7393328349999999</v>
      </c>
      <c r="AC2376" s="1">
        <v>1.7393328349999999</v>
      </c>
      <c r="AD2376" s="1">
        <v>1.7393328349999999</v>
      </c>
      <c r="AE2376" s="1">
        <v>2.3627668220000002</v>
      </c>
    </row>
    <row r="2377" spans="1:31" x14ac:dyDescent="0.25">
      <c r="A2377" s="1" t="s">
        <v>716</v>
      </c>
      <c r="B2377" s="1" t="s">
        <v>2568</v>
      </c>
      <c r="C2377" s="1" t="s">
        <v>2589</v>
      </c>
      <c r="D2377" s="1" t="s">
        <v>2535</v>
      </c>
      <c r="E2377" s="1" t="s">
        <v>6025</v>
      </c>
      <c r="G2377" s="1" t="s">
        <v>716</v>
      </c>
      <c r="H2377" s="1">
        <v>1.7393328349999999</v>
      </c>
      <c r="I2377" s="1">
        <v>2.5655118899999998</v>
      </c>
      <c r="J2377" s="1">
        <v>1.7393328349999999</v>
      </c>
      <c r="K2377" s="1">
        <v>1.7393328349999999</v>
      </c>
      <c r="L2377" s="1">
        <v>1.7393328349999999</v>
      </c>
      <c r="M2377" s="1">
        <v>1.7393328349999999</v>
      </c>
      <c r="N2377" s="1">
        <v>1.7393328349999999</v>
      </c>
      <c r="O2377" s="1">
        <v>2.6816282820000001</v>
      </c>
      <c r="P2377" s="1">
        <v>1.7393328349999999</v>
      </c>
      <c r="Q2377" s="1">
        <v>2.597100669</v>
      </c>
      <c r="R2377" s="1">
        <v>2.595728008</v>
      </c>
      <c r="S2377" s="1">
        <v>1.7393328349999999</v>
      </c>
      <c r="T2377" s="1">
        <v>1.7393328349999999</v>
      </c>
      <c r="U2377" s="1">
        <v>1.7393328349999999</v>
      </c>
      <c r="V2377" s="1">
        <v>1.7393328349999999</v>
      </c>
      <c r="W2377" s="1">
        <v>2.6606351240000001</v>
      </c>
      <c r="X2377" s="1">
        <v>1.7393328349999999</v>
      </c>
      <c r="Y2377" s="1">
        <v>1.7393328349999999</v>
      </c>
      <c r="Z2377" s="1">
        <v>2.595728008</v>
      </c>
      <c r="AA2377" s="1">
        <v>1.7393328349999999</v>
      </c>
      <c r="AB2377" s="1">
        <v>1.7393328349999999</v>
      </c>
      <c r="AC2377" s="1">
        <v>1.7393328349999999</v>
      </c>
      <c r="AD2377" s="1">
        <v>2.6025990879999998</v>
      </c>
      <c r="AE2377" s="1">
        <v>2.3627668220000002</v>
      </c>
    </row>
    <row r="2378" spans="1:31" x14ac:dyDescent="0.25">
      <c r="A2378" s="1" t="s">
        <v>718</v>
      </c>
      <c r="B2378" s="1" t="s">
        <v>2535</v>
      </c>
      <c r="C2378" s="1" t="s">
        <v>2535</v>
      </c>
      <c r="D2378" s="1" t="s">
        <v>2535</v>
      </c>
      <c r="E2378" s="1" t="s">
        <v>2535</v>
      </c>
      <c r="F2378" s="1" t="s">
        <v>2535</v>
      </c>
      <c r="G2378" s="1" t="s">
        <v>718</v>
      </c>
      <c r="H2378" s="1">
        <v>3.6455184960000002</v>
      </c>
      <c r="I2378" s="1">
        <v>3.3322126910000001</v>
      </c>
      <c r="J2378" s="1">
        <v>3.1324899180000001</v>
      </c>
      <c r="K2378" s="1">
        <v>3.22334677</v>
      </c>
      <c r="L2378" s="1">
        <v>3.5435353630000002</v>
      </c>
      <c r="M2378" s="1">
        <v>3.7747836370000001</v>
      </c>
      <c r="N2378" s="1">
        <v>2.372908427</v>
      </c>
      <c r="O2378" s="1">
        <v>2.6816282820000001</v>
      </c>
      <c r="P2378" s="1">
        <v>3.7419514989999998</v>
      </c>
      <c r="Q2378" s="1">
        <v>2.935765398</v>
      </c>
      <c r="R2378" s="1">
        <v>3.386455024</v>
      </c>
      <c r="S2378" s="1">
        <v>3.1475403900000001</v>
      </c>
      <c r="T2378" s="1">
        <v>3.5435353630000002</v>
      </c>
      <c r="U2378" s="1">
        <v>3.7747836370000001</v>
      </c>
      <c r="V2378" s="1">
        <v>3.887436229</v>
      </c>
      <c r="W2378" s="1">
        <v>3.0218530750000001</v>
      </c>
      <c r="X2378" s="1">
        <v>3.3149070109999998</v>
      </c>
      <c r="Y2378" s="1">
        <v>3.6154848500000001</v>
      </c>
      <c r="Z2378" s="1">
        <v>3.386455024</v>
      </c>
      <c r="AA2378" s="1">
        <v>3.1475403900000001</v>
      </c>
      <c r="AB2378" s="1">
        <v>3.1218319999999999</v>
      </c>
      <c r="AC2378" s="1">
        <v>3.8665622239999999</v>
      </c>
      <c r="AD2378" s="1">
        <v>3.725077481</v>
      </c>
      <c r="AE2378" s="1">
        <v>3.5954838599999999</v>
      </c>
    </row>
    <row r="2379" spans="1:31" x14ac:dyDescent="0.25">
      <c r="A2379" s="1" t="s">
        <v>722</v>
      </c>
      <c r="B2379" s="1" t="s">
        <v>2530</v>
      </c>
      <c r="C2379" s="1" t="s">
        <v>2531</v>
      </c>
      <c r="D2379" s="1" t="s">
        <v>2535</v>
      </c>
      <c r="E2379" s="1" t="s">
        <v>2536</v>
      </c>
      <c r="G2379" s="1" t="s">
        <v>722</v>
      </c>
      <c r="H2379" s="1">
        <v>3.4660955969999998</v>
      </c>
      <c r="I2379" s="1">
        <v>3.9003964459999998</v>
      </c>
      <c r="J2379" s="1">
        <v>3.1324899180000001</v>
      </c>
      <c r="K2379" s="1">
        <v>3.607491666</v>
      </c>
      <c r="L2379" s="1">
        <v>3.8629070379999999</v>
      </c>
      <c r="M2379" s="1">
        <v>3.4067547010000001</v>
      </c>
      <c r="N2379" s="1">
        <v>2.9782685729999998</v>
      </c>
      <c r="O2379" s="1">
        <v>2.883783352</v>
      </c>
      <c r="P2379" s="1">
        <v>3.106446558</v>
      </c>
      <c r="Q2379" s="1">
        <v>3.8492287269999999</v>
      </c>
      <c r="R2379" s="1">
        <v>2.9339002829999998</v>
      </c>
      <c r="S2379" s="1">
        <v>3.5159502420000002</v>
      </c>
      <c r="T2379" s="1">
        <v>3.8629070379999999</v>
      </c>
      <c r="U2379" s="1">
        <v>3.4067547010000001</v>
      </c>
      <c r="V2379" s="1">
        <v>3.2389700330000002</v>
      </c>
      <c r="W2379" s="1">
        <v>2.6606351240000001</v>
      </c>
      <c r="X2379" s="1">
        <v>3.0884111989999998</v>
      </c>
      <c r="Y2379" s="1">
        <v>3.7705059300000001</v>
      </c>
      <c r="Z2379" s="1">
        <v>2.9339002829999998</v>
      </c>
      <c r="AA2379" s="1">
        <v>3.5159502420000002</v>
      </c>
      <c r="AB2379" s="1">
        <v>2.73487305</v>
      </c>
      <c r="AC2379" s="1">
        <v>3.1109927919999998</v>
      </c>
      <c r="AD2379" s="1">
        <v>3.725077481</v>
      </c>
      <c r="AE2379" s="1">
        <v>3.5108161330000001</v>
      </c>
    </row>
    <row r="2380" spans="1:31" x14ac:dyDescent="0.25">
      <c r="A2380" s="1" t="s">
        <v>725</v>
      </c>
      <c r="B2380" s="1" t="s">
        <v>2557</v>
      </c>
      <c r="C2380" s="1" t="s">
        <v>2772</v>
      </c>
      <c r="D2380" s="1" t="s">
        <v>3276</v>
      </c>
      <c r="E2380" s="1" t="s">
        <v>6026</v>
      </c>
      <c r="F2380" s="1" t="s">
        <v>6027</v>
      </c>
      <c r="G2380" s="1" t="s">
        <v>725</v>
      </c>
      <c r="H2380" s="1">
        <v>6.8185773340000004</v>
      </c>
      <c r="I2380" s="1">
        <v>5.8640648840000003</v>
      </c>
      <c r="J2380" s="1">
        <v>4.0065844400000001</v>
      </c>
      <c r="K2380" s="1">
        <v>3.762021974</v>
      </c>
      <c r="L2380" s="1">
        <v>3.3025959560000002</v>
      </c>
      <c r="M2380" s="1">
        <v>3.5095973119999999</v>
      </c>
      <c r="N2380" s="1">
        <v>5.8460635029999999</v>
      </c>
      <c r="O2380" s="1">
        <v>6.6897001009999997</v>
      </c>
      <c r="P2380" s="1">
        <v>4.161525224</v>
      </c>
      <c r="Q2380" s="1">
        <v>3.9718447549999998</v>
      </c>
      <c r="R2380" s="1">
        <v>3.7109484589999999</v>
      </c>
      <c r="S2380" s="1">
        <v>3.5159502420000002</v>
      </c>
      <c r="T2380" s="1">
        <v>3.3025959560000002</v>
      </c>
      <c r="U2380" s="1">
        <v>3.5095973119999999</v>
      </c>
      <c r="V2380" s="1">
        <v>2.8225047829999999</v>
      </c>
      <c r="W2380" s="1">
        <v>3.50175473</v>
      </c>
      <c r="X2380" s="1">
        <v>3.6673381269999998</v>
      </c>
      <c r="Y2380" s="1">
        <v>3.7705059300000001</v>
      </c>
      <c r="Z2380" s="1">
        <v>3.7109484589999999</v>
      </c>
      <c r="AA2380" s="1">
        <v>3.5159502420000002</v>
      </c>
      <c r="AB2380" s="1">
        <v>3.6315729079999999</v>
      </c>
      <c r="AC2380" s="1">
        <v>4.0753403910000001</v>
      </c>
      <c r="AD2380" s="1">
        <v>3.725077481</v>
      </c>
      <c r="AE2380" s="1">
        <v>3.5954838599999999</v>
      </c>
    </row>
    <row r="2381" spans="1:31" x14ac:dyDescent="0.25">
      <c r="A2381" s="1" t="s">
        <v>736</v>
      </c>
      <c r="B2381" s="1" t="s">
        <v>2579</v>
      </c>
      <c r="C2381" s="1" t="s">
        <v>2585</v>
      </c>
      <c r="D2381" s="1" t="s">
        <v>2586</v>
      </c>
      <c r="E2381" s="1" t="s">
        <v>6028</v>
      </c>
      <c r="F2381" s="1" t="s">
        <v>6029</v>
      </c>
      <c r="G2381" s="1" t="s">
        <v>736</v>
      </c>
      <c r="H2381" s="1">
        <v>4.6479005740000003</v>
      </c>
      <c r="I2381" s="1">
        <v>4.2936285989999998</v>
      </c>
      <c r="J2381" s="1">
        <v>5.8869626679999998</v>
      </c>
      <c r="K2381" s="1">
        <v>5.5322182199999999</v>
      </c>
      <c r="L2381" s="1">
        <v>5.9054534529999998</v>
      </c>
      <c r="M2381" s="1">
        <v>5.9865419050000002</v>
      </c>
      <c r="N2381" s="1">
        <v>4.1562881980000004</v>
      </c>
      <c r="O2381" s="1">
        <v>4.7903853170000001</v>
      </c>
      <c r="P2381" s="1">
        <v>5.7211848500000002</v>
      </c>
      <c r="Q2381" s="1">
        <v>6.3770715449999997</v>
      </c>
      <c r="R2381" s="1">
        <v>6.3078659510000001</v>
      </c>
      <c r="S2381" s="1">
        <v>5.710270789</v>
      </c>
      <c r="T2381" s="1">
        <v>5.9054534529999998</v>
      </c>
      <c r="U2381" s="1">
        <v>5.9865419050000002</v>
      </c>
      <c r="V2381" s="1">
        <v>5.6676649780000004</v>
      </c>
      <c r="W2381" s="1">
        <v>6.0977940090000002</v>
      </c>
      <c r="X2381" s="1">
        <v>6.8865200350000002</v>
      </c>
      <c r="Y2381" s="1">
        <v>6.3541670720000001</v>
      </c>
      <c r="Z2381" s="1">
        <v>6.3078659510000001</v>
      </c>
      <c r="AA2381" s="1">
        <v>5.710270789</v>
      </c>
      <c r="AB2381" s="1">
        <v>6.7915089589999997</v>
      </c>
      <c r="AC2381" s="1">
        <v>6.0234746389999998</v>
      </c>
      <c r="AD2381" s="1">
        <v>7.0331906609999999</v>
      </c>
      <c r="AE2381" s="1">
        <v>6.9731375299999998</v>
      </c>
    </row>
    <row r="2382" spans="1:31" x14ac:dyDescent="0.25">
      <c r="A2382" s="1" t="s">
        <v>754</v>
      </c>
      <c r="B2382" s="1" t="s">
        <v>2530</v>
      </c>
      <c r="C2382" s="1" t="s">
        <v>2531</v>
      </c>
      <c r="D2382" s="1" t="s">
        <v>2535</v>
      </c>
      <c r="E2382" s="1" t="s">
        <v>6030</v>
      </c>
      <c r="G2382" s="1" t="s">
        <v>754</v>
      </c>
      <c r="H2382" s="1">
        <v>2.640460343</v>
      </c>
      <c r="I2382" s="1">
        <v>3.1348991329999998</v>
      </c>
      <c r="J2382" s="1">
        <v>1.7393328349999999</v>
      </c>
      <c r="K2382" s="1">
        <v>1.7393328349999999</v>
      </c>
      <c r="L2382" s="1">
        <v>2.9964092330000001</v>
      </c>
      <c r="M2382" s="1">
        <v>3.027864058</v>
      </c>
      <c r="N2382" s="1">
        <v>2.8201075470000001</v>
      </c>
      <c r="O2382" s="1">
        <v>2.883783352</v>
      </c>
      <c r="P2382" s="1">
        <v>2.8687501260000001</v>
      </c>
      <c r="Q2382" s="1">
        <v>1.7393328349999999</v>
      </c>
      <c r="R2382" s="1">
        <v>2.595728008</v>
      </c>
      <c r="S2382" s="1">
        <v>2.9034795349999998</v>
      </c>
      <c r="T2382" s="1">
        <v>2.9964092330000001</v>
      </c>
      <c r="U2382" s="1">
        <v>3.027864058</v>
      </c>
      <c r="V2382" s="1">
        <v>1.7393328349999999</v>
      </c>
      <c r="W2382" s="1">
        <v>2.6606351240000001</v>
      </c>
      <c r="X2382" s="1">
        <v>2.9542167930000001</v>
      </c>
      <c r="Y2382" s="1">
        <v>1.7393328349999999</v>
      </c>
      <c r="Z2382" s="1">
        <v>2.595728008</v>
      </c>
      <c r="AA2382" s="1">
        <v>2.9034795349999998</v>
      </c>
      <c r="AB2382" s="1">
        <v>2.73487305</v>
      </c>
      <c r="AC2382" s="1">
        <v>2.5506926650000001</v>
      </c>
      <c r="AD2382" s="1">
        <v>2.6025990879999998</v>
      </c>
      <c r="AE2382" s="1">
        <v>2.803297787</v>
      </c>
    </row>
    <row r="2383" spans="1:31" x14ac:dyDescent="0.25">
      <c r="A2383" s="1" t="s">
        <v>755</v>
      </c>
      <c r="B2383" s="1" t="s">
        <v>2535</v>
      </c>
      <c r="C2383" s="1" t="s">
        <v>2535</v>
      </c>
      <c r="D2383" s="1" t="s">
        <v>2535</v>
      </c>
      <c r="E2383" s="1" t="s">
        <v>2535</v>
      </c>
      <c r="F2383" s="1" t="s">
        <v>2535</v>
      </c>
      <c r="G2383" s="1" t="s">
        <v>755</v>
      </c>
      <c r="H2383" s="1">
        <v>2.640460343</v>
      </c>
      <c r="I2383" s="1">
        <v>2.8927893610000002</v>
      </c>
      <c r="J2383" s="1">
        <v>1.7393328349999999</v>
      </c>
      <c r="K2383" s="1">
        <v>1.7393328349999999</v>
      </c>
      <c r="L2383" s="1">
        <v>1.7393328349999999</v>
      </c>
      <c r="M2383" s="1">
        <v>1.7393328349999999</v>
      </c>
      <c r="N2383" s="1">
        <v>2.372908427</v>
      </c>
      <c r="O2383" s="1">
        <v>2.6816282820000001</v>
      </c>
      <c r="P2383" s="1">
        <v>1.7393328349999999</v>
      </c>
      <c r="Q2383" s="1">
        <v>1.7393328349999999</v>
      </c>
      <c r="R2383" s="1">
        <v>2.595728008</v>
      </c>
      <c r="S2383" s="1">
        <v>1.7393328349999999</v>
      </c>
      <c r="T2383" s="1">
        <v>1.7393328349999999</v>
      </c>
      <c r="U2383" s="1">
        <v>1.7393328349999999</v>
      </c>
      <c r="V2383" s="1">
        <v>1.7393328349999999</v>
      </c>
      <c r="W2383" s="1">
        <v>1.7393328349999999</v>
      </c>
      <c r="X2383" s="1">
        <v>1.7393328349999999</v>
      </c>
      <c r="Y2383" s="1">
        <v>1.7393328349999999</v>
      </c>
      <c r="Z2383" s="1">
        <v>2.595728008</v>
      </c>
      <c r="AA2383" s="1">
        <v>1.7393328349999999</v>
      </c>
      <c r="AB2383" s="1">
        <v>2.73487305</v>
      </c>
      <c r="AC2383" s="1">
        <v>1.7393328349999999</v>
      </c>
      <c r="AD2383" s="1">
        <v>1.7393328349999999</v>
      </c>
      <c r="AE2383" s="1">
        <v>2.3627668220000002</v>
      </c>
    </row>
    <row r="2384" spans="1:31" x14ac:dyDescent="0.25">
      <c r="A2384" s="1" t="s">
        <v>827</v>
      </c>
      <c r="B2384" s="1" t="s">
        <v>2535</v>
      </c>
      <c r="C2384" s="1" t="s">
        <v>2535</v>
      </c>
      <c r="D2384" s="1" t="s">
        <v>2535</v>
      </c>
      <c r="E2384" s="1" t="s">
        <v>2535</v>
      </c>
      <c r="F2384" s="1" t="s">
        <v>2535</v>
      </c>
      <c r="G2384" s="1" t="s">
        <v>827</v>
      </c>
      <c r="H2384" s="1">
        <v>2.9945681560000001</v>
      </c>
      <c r="I2384" s="1">
        <v>3.3322126910000001</v>
      </c>
      <c r="J2384" s="1">
        <v>3.4977151119999998</v>
      </c>
      <c r="K2384" s="1">
        <v>1.7393328349999999</v>
      </c>
      <c r="L2384" s="1">
        <v>2.7248816410000001</v>
      </c>
      <c r="M2384" s="1">
        <v>1.7393328349999999</v>
      </c>
      <c r="N2384" s="1">
        <v>3.7025667929999999</v>
      </c>
      <c r="O2384" s="1">
        <v>3.050193165</v>
      </c>
      <c r="P2384" s="1">
        <v>2.5478783159999998</v>
      </c>
      <c r="Q2384" s="1">
        <v>2.597100669</v>
      </c>
      <c r="R2384" s="1">
        <v>2.9339002829999998</v>
      </c>
      <c r="S2384" s="1">
        <v>2.9034795349999998</v>
      </c>
      <c r="T2384" s="1">
        <v>2.7248816410000001</v>
      </c>
      <c r="U2384" s="1">
        <v>1.7393328349999999</v>
      </c>
      <c r="V2384" s="1">
        <v>2.5140266200000001</v>
      </c>
      <c r="W2384" s="1">
        <v>3.0218530750000001</v>
      </c>
      <c r="X2384" s="1">
        <v>2.7988456519999998</v>
      </c>
      <c r="Y2384" s="1">
        <v>2.9733498090000001</v>
      </c>
      <c r="Z2384" s="1">
        <v>2.9339002829999998</v>
      </c>
      <c r="AA2384" s="1">
        <v>2.9034795349999998</v>
      </c>
      <c r="AB2384" s="1">
        <v>1.7393328349999999</v>
      </c>
      <c r="AC2384" s="1">
        <v>2.87258916</v>
      </c>
      <c r="AD2384" s="1">
        <v>2.6025990879999998</v>
      </c>
      <c r="AE2384" s="1">
        <v>2.9592545700000001</v>
      </c>
    </row>
    <row r="2385" spans="1:31" x14ac:dyDescent="0.25">
      <c r="A2385" s="1" t="s">
        <v>829</v>
      </c>
      <c r="B2385" s="1" t="s">
        <v>2530</v>
      </c>
      <c r="C2385" s="1" t="s">
        <v>2531</v>
      </c>
      <c r="D2385" s="1" t="s">
        <v>2535</v>
      </c>
      <c r="E2385" s="1" t="s">
        <v>6031</v>
      </c>
      <c r="G2385" s="1" t="s">
        <v>829</v>
      </c>
      <c r="H2385" s="1">
        <v>5.3712699940000004</v>
      </c>
      <c r="I2385" s="1">
        <v>4.903725959</v>
      </c>
      <c r="J2385" s="1">
        <v>6.2053027219999999</v>
      </c>
      <c r="K2385" s="1">
        <v>5.1139224319999999</v>
      </c>
      <c r="L2385" s="1">
        <v>6.155981819</v>
      </c>
      <c r="M2385" s="1">
        <v>6.0500341449999997</v>
      </c>
      <c r="N2385" s="1">
        <v>4.765904581</v>
      </c>
      <c r="O2385" s="1">
        <v>4.5801520279999997</v>
      </c>
      <c r="P2385" s="1">
        <v>5.8618301099999996</v>
      </c>
      <c r="Q2385" s="1">
        <v>5.8463140779999998</v>
      </c>
      <c r="R2385" s="1">
        <v>5.9309793060000002</v>
      </c>
      <c r="S2385" s="1">
        <v>5.9969908790000002</v>
      </c>
      <c r="T2385" s="1">
        <v>6.155981819</v>
      </c>
      <c r="U2385" s="1">
        <v>6.0500341449999997</v>
      </c>
      <c r="V2385" s="1">
        <v>5.5505659869999997</v>
      </c>
      <c r="W2385" s="1">
        <v>5.8015499779999997</v>
      </c>
      <c r="X2385" s="1">
        <v>6.033711995</v>
      </c>
      <c r="Y2385" s="1">
        <v>5.4613266610000002</v>
      </c>
      <c r="Z2385" s="1">
        <v>5.9309793060000002</v>
      </c>
      <c r="AA2385" s="1">
        <v>5.9969908790000002</v>
      </c>
      <c r="AB2385" s="1">
        <v>6.3094558689999998</v>
      </c>
      <c r="AC2385" s="1">
        <v>5.9744301399999999</v>
      </c>
      <c r="AD2385" s="1">
        <v>5.7012900599999998</v>
      </c>
      <c r="AE2385" s="1">
        <v>5.9740468760000001</v>
      </c>
    </row>
    <row r="2386" spans="1:31" x14ac:dyDescent="0.25">
      <c r="A2386" s="1" t="s">
        <v>838</v>
      </c>
      <c r="B2386" s="1" t="s">
        <v>2579</v>
      </c>
      <c r="C2386" s="1" t="s">
        <v>2933</v>
      </c>
      <c r="D2386" s="1" t="s">
        <v>6009</v>
      </c>
      <c r="E2386" s="1" t="s">
        <v>6032</v>
      </c>
      <c r="F2386" s="1" t="s">
        <v>6033</v>
      </c>
      <c r="G2386" s="1" t="s">
        <v>838</v>
      </c>
      <c r="H2386" s="1">
        <v>8.1419484240000006</v>
      </c>
      <c r="I2386" s="1">
        <v>8.0704222269999999</v>
      </c>
      <c r="J2386" s="1">
        <v>7.9521630080000003</v>
      </c>
      <c r="K2386" s="1">
        <v>8.0069791010000007</v>
      </c>
      <c r="L2386" s="1">
        <v>8.1283534040000003</v>
      </c>
      <c r="M2386" s="1">
        <v>8.0758379349999991</v>
      </c>
      <c r="N2386" s="1">
        <v>7.7809920740000003</v>
      </c>
      <c r="O2386" s="1">
        <v>7.3226664210000001</v>
      </c>
      <c r="P2386" s="1">
        <v>7.8215934620000001</v>
      </c>
      <c r="Q2386" s="1">
        <v>7.9068786649999998</v>
      </c>
      <c r="R2386" s="1">
        <v>7.4809224849999998</v>
      </c>
      <c r="S2386" s="1">
        <v>7.6639572009999997</v>
      </c>
      <c r="T2386" s="1">
        <v>8.1283534040000003</v>
      </c>
      <c r="U2386" s="1">
        <v>8.0758379349999991</v>
      </c>
      <c r="V2386" s="1">
        <v>7.3522324780000003</v>
      </c>
      <c r="W2386" s="1">
        <v>7.0438401490000002</v>
      </c>
      <c r="X2386" s="1">
        <v>8.5415162749999993</v>
      </c>
      <c r="Y2386" s="1">
        <v>8.0206233020000006</v>
      </c>
      <c r="Z2386" s="1">
        <v>7.4809224849999998</v>
      </c>
      <c r="AA2386" s="1">
        <v>7.6639572009999997</v>
      </c>
      <c r="AB2386" s="1">
        <v>7.7372174640000004</v>
      </c>
      <c r="AC2386" s="1">
        <v>7.4393836520000001</v>
      </c>
      <c r="AD2386" s="1">
        <v>7.9253412259999996</v>
      </c>
      <c r="AE2386" s="1">
        <v>7.8385579930000002</v>
      </c>
    </row>
    <row r="2387" spans="1:31" x14ac:dyDescent="0.25">
      <c r="A2387" s="1" t="s">
        <v>889</v>
      </c>
      <c r="B2387" s="1" t="s">
        <v>2530</v>
      </c>
      <c r="C2387" s="1" t="s">
        <v>2531</v>
      </c>
      <c r="D2387" s="1" t="s">
        <v>2535</v>
      </c>
      <c r="E2387" s="1" t="s">
        <v>2536</v>
      </c>
      <c r="G2387" s="1" t="s">
        <v>889</v>
      </c>
      <c r="H2387" s="1">
        <v>7.4495890060000001</v>
      </c>
      <c r="I2387" s="1">
        <v>7.4358102949999996</v>
      </c>
      <c r="J2387" s="1">
        <v>7.3336787350000003</v>
      </c>
      <c r="K2387" s="1">
        <v>7.7978897710000004</v>
      </c>
      <c r="L2387" s="1">
        <v>6.5298006300000004</v>
      </c>
      <c r="M2387" s="1">
        <v>6.6194403580000003</v>
      </c>
      <c r="N2387" s="1">
        <v>6.6458437989999997</v>
      </c>
      <c r="O2387" s="1">
        <v>6.8274188249999996</v>
      </c>
      <c r="P2387" s="1">
        <v>7.3364236539999998</v>
      </c>
      <c r="Q2387" s="1">
        <v>7.2173337469999996</v>
      </c>
      <c r="R2387" s="1">
        <v>7.0898067039999999</v>
      </c>
      <c r="S2387" s="1">
        <v>7.2936937019999997</v>
      </c>
      <c r="T2387" s="1">
        <v>6.5298006300000004</v>
      </c>
      <c r="U2387" s="1">
        <v>6.6194403580000003</v>
      </c>
      <c r="V2387" s="1">
        <v>7.1161592210000002</v>
      </c>
      <c r="W2387" s="1">
        <v>6.9808429480000003</v>
      </c>
      <c r="X2387" s="1">
        <v>7.1388407049999998</v>
      </c>
      <c r="Y2387" s="1">
        <v>7.7432003160000002</v>
      </c>
      <c r="Z2387" s="1">
        <v>7.0898067039999999</v>
      </c>
      <c r="AA2387" s="1">
        <v>7.2936937019999997</v>
      </c>
      <c r="AB2387" s="1">
        <v>7.6448327970000003</v>
      </c>
      <c r="AC2387" s="1">
        <v>7.317156314</v>
      </c>
      <c r="AD2387" s="1">
        <v>8.0035939529999993</v>
      </c>
      <c r="AE2387" s="1">
        <v>7.9010568340000003</v>
      </c>
    </row>
    <row r="2388" spans="1:31" x14ac:dyDescent="0.25">
      <c r="A2388" s="1" t="s">
        <v>902</v>
      </c>
      <c r="B2388" s="1" t="s">
        <v>2579</v>
      </c>
      <c r="C2388" s="1" t="s">
        <v>2933</v>
      </c>
      <c r="D2388" s="1" t="s">
        <v>4889</v>
      </c>
      <c r="E2388" s="1" t="s">
        <v>6034</v>
      </c>
      <c r="F2388" s="1" t="s">
        <v>6035</v>
      </c>
      <c r="G2388" s="1" t="s">
        <v>902</v>
      </c>
      <c r="H2388" s="1">
        <v>5.5896774330000003</v>
      </c>
      <c r="I2388" s="1">
        <v>5.8358262759999997</v>
      </c>
      <c r="J2388" s="1">
        <v>6.0670821549999996</v>
      </c>
      <c r="K2388" s="1">
        <v>6.3181776090000001</v>
      </c>
      <c r="L2388" s="1">
        <v>5.2569846910000004</v>
      </c>
      <c r="M2388" s="1">
        <v>5.2079667260000004</v>
      </c>
      <c r="N2388" s="1">
        <v>5.8127456459999998</v>
      </c>
      <c r="O2388" s="1">
        <v>5.4853382609999999</v>
      </c>
      <c r="P2388" s="1">
        <v>6.1298655379999998</v>
      </c>
      <c r="Q2388" s="1">
        <v>6.0722034220000003</v>
      </c>
      <c r="R2388" s="1">
        <v>5.0440296189999998</v>
      </c>
      <c r="S2388" s="1">
        <v>5.1309834260000002</v>
      </c>
      <c r="T2388" s="1">
        <v>5.2569846910000004</v>
      </c>
      <c r="U2388" s="1">
        <v>5.2079667260000004</v>
      </c>
      <c r="V2388" s="1">
        <v>5.7758979430000004</v>
      </c>
      <c r="W2388" s="1">
        <v>5.4743148909999997</v>
      </c>
      <c r="X2388" s="1">
        <v>5.3989469190000001</v>
      </c>
      <c r="Y2388" s="1">
        <v>5.8352313850000002</v>
      </c>
      <c r="Z2388" s="1">
        <v>5.0440296189999998</v>
      </c>
      <c r="AA2388" s="1">
        <v>5.1309834260000002</v>
      </c>
      <c r="AB2388" s="1">
        <v>5.5276660309999999</v>
      </c>
      <c r="AC2388" s="1">
        <v>5.7302515789999999</v>
      </c>
      <c r="AD2388" s="1">
        <v>5.8322684330000003</v>
      </c>
      <c r="AE2388" s="1">
        <v>5.9593974410000001</v>
      </c>
    </row>
    <row r="2389" spans="1:31" x14ac:dyDescent="0.25">
      <c r="A2389" s="1" t="s">
        <v>931</v>
      </c>
      <c r="B2389" s="1" t="s">
        <v>2662</v>
      </c>
      <c r="C2389" s="1" t="s">
        <v>3291</v>
      </c>
      <c r="D2389" s="1" t="s">
        <v>3292</v>
      </c>
      <c r="E2389" s="1" t="s">
        <v>6036</v>
      </c>
      <c r="F2389" s="1" t="s">
        <v>6037</v>
      </c>
      <c r="G2389" s="1" t="s">
        <v>931</v>
      </c>
      <c r="H2389" s="1">
        <v>3.6455184960000002</v>
      </c>
      <c r="I2389" s="1">
        <v>3.7806045529999999</v>
      </c>
      <c r="J2389" s="1">
        <v>3.8969924050000002</v>
      </c>
      <c r="K2389" s="1">
        <v>4.3408695499999999</v>
      </c>
      <c r="L2389" s="1">
        <v>5.0352735380000002</v>
      </c>
      <c r="M2389" s="1">
        <v>4.896083601</v>
      </c>
      <c r="N2389" s="1">
        <v>3.7779028299999999</v>
      </c>
      <c r="O2389" s="1">
        <v>4.1585876539999997</v>
      </c>
      <c r="P2389" s="1">
        <v>5.0074447400000004</v>
      </c>
      <c r="Q2389" s="1">
        <v>4.611970812</v>
      </c>
      <c r="R2389" s="1">
        <v>5.2891602459999998</v>
      </c>
      <c r="S2389" s="1">
        <v>5.3098842800000003</v>
      </c>
      <c r="T2389" s="1">
        <v>5.0352735380000002</v>
      </c>
      <c r="U2389" s="1">
        <v>4.896083601</v>
      </c>
      <c r="V2389" s="1">
        <v>4.5207607210000003</v>
      </c>
      <c r="W2389" s="1">
        <v>4.7760085830000003</v>
      </c>
      <c r="X2389" s="1">
        <v>5.3098210989999997</v>
      </c>
      <c r="Y2389" s="1">
        <v>5.0128502209999999</v>
      </c>
      <c r="Z2389" s="1">
        <v>5.2891602459999998</v>
      </c>
      <c r="AA2389" s="1">
        <v>5.3098842800000003</v>
      </c>
      <c r="AB2389" s="1">
        <v>4.3946012420000002</v>
      </c>
      <c r="AC2389" s="1">
        <v>5.0638423939999999</v>
      </c>
      <c r="AD2389" s="1">
        <v>5.5571020090000003</v>
      </c>
      <c r="AE2389" s="1">
        <v>5.3205054189999998</v>
      </c>
    </row>
    <row r="2390" spans="1:31" x14ac:dyDescent="0.25">
      <c r="A2390" s="1" t="s">
        <v>957</v>
      </c>
      <c r="B2390" s="1" t="s">
        <v>2535</v>
      </c>
      <c r="C2390" s="1" t="s">
        <v>2535</v>
      </c>
      <c r="D2390" s="1" t="s">
        <v>2535</v>
      </c>
      <c r="E2390" s="1" t="s">
        <v>2535</v>
      </c>
      <c r="F2390" s="1" t="s">
        <v>2535</v>
      </c>
      <c r="G2390" s="1" t="s">
        <v>957</v>
      </c>
      <c r="H2390" s="1">
        <v>1.7393328349999999</v>
      </c>
      <c r="I2390" s="1">
        <v>2.5655118899999998</v>
      </c>
      <c r="J2390" s="1">
        <v>1.7393328349999999</v>
      </c>
      <c r="K2390" s="1">
        <v>1.7393328349999999</v>
      </c>
      <c r="L2390" s="1">
        <v>2.315629231</v>
      </c>
      <c r="M2390" s="1">
        <v>2.3994532390000001</v>
      </c>
      <c r="N2390" s="1">
        <v>2.628425199</v>
      </c>
      <c r="O2390" s="1">
        <v>2.6816282820000001</v>
      </c>
      <c r="P2390" s="1">
        <v>2.5478783159999998</v>
      </c>
      <c r="Q2390" s="1">
        <v>1.7393328349999999</v>
      </c>
      <c r="R2390" s="1">
        <v>1.7393328349999999</v>
      </c>
      <c r="S2390" s="1">
        <v>1.7393328349999999</v>
      </c>
      <c r="T2390" s="1">
        <v>2.315629231</v>
      </c>
      <c r="U2390" s="1">
        <v>2.3994532390000001</v>
      </c>
      <c r="V2390" s="1">
        <v>1.7393328349999999</v>
      </c>
      <c r="W2390" s="1">
        <v>1.7393328349999999</v>
      </c>
      <c r="X2390" s="1">
        <v>2.3600830049999999</v>
      </c>
      <c r="Y2390" s="1">
        <v>1.7393328349999999</v>
      </c>
      <c r="Z2390" s="1">
        <v>1.7393328349999999</v>
      </c>
      <c r="AA2390" s="1">
        <v>1.7393328349999999</v>
      </c>
      <c r="AB2390" s="1">
        <v>1.7393328349999999</v>
      </c>
      <c r="AC2390" s="1">
        <v>1.7393328349999999</v>
      </c>
      <c r="AD2390" s="1">
        <v>1.7393328349999999</v>
      </c>
      <c r="AE2390" s="1">
        <v>1.7393328349999999</v>
      </c>
    </row>
    <row r="2391" spans="1:31" x14ac:dyDescent="0.25">
      <c r="A2391" s="1" t="s">
        <v>958</v>
      </c>
      <c r="B2391" s="1" t="s">
        <v>2535</v>
      </c>
      <c r="C2391" s="1" t="s">
        <v>2535</v>
      </c>
      <c r="D2391" s="1" t="s">
        <v>2535</v>
      </c>
      <c r="E2391" s="1" t="s">
        <v>2535</v>
      </c>
      <c r="F2391" s="1" t="s">
        <v>2535</v>
      </c>
      <c r="G2391" s="1" t="s">
        <v>958</v>
      </c>
      <c r="H2391" s="1">
        <v>1.7393328349999999</v>
      </c>
      <c r="I2391" s="1">
        <v>1.7393328349999999</v>
      </c>
      <c r="J2391" s="1">
        <v>1.7393328349999999</v>
      </c>
      <c r="K2391" s="1">
        <v>1.7393328349999999</v>
      </c>
      <c r="L2391" s="1">
        <v>1.7393328349999999</v>
      </c>
      <c r="M2391" s="1">
        <v>1.7393328349999999</v>
      </c>
      <c r="N2391" s="1">
        <v>1.7393328349999999</v>
      </c>
      <c r="O2391" s="1">
        <v>2.883783352</v>
      </c>
      <c r="P2391" s="1">
        <v>2.5478783159999998</v>
      </c>
      <c r="Q2391" s="1">
        <v>1.7393328349999999</v>
      </c>
      <c r="R2391" s="1">
        <v>1.7393328349999999</v>
      </c>
      <c r="S2391" s="1">
        <v>2.5733617299999998</v>
      </c>
      <c r="T2391" s="1">
        <v>1.7393328349999999</v>
      </c>
      <c r="U2391" s="1">
        <v>1.7393328349999999</v>
      </c>
      <c r="V2391" s="1">
        <v>2.5140266200000001</v>
      </c>
      <c r="W2391" s="1">
        <v>1.7393328349999999</v>
      </c>
      <c r="X2391" s="1">
        <v>1.7393328349999999</v>
      </c>
      <c r="Y2391" s="1">
        <v>2.9733498090000001</v>
      </c>
      <c r="Z2391" s="1">
        <v>1.7393328349999999</v>
      </c>
      <c r="AA2391" s="1">
        <v>2.5733617299999998</v>
      </c>
      <c r="AB2391" s="1">
        <v>1.7393328349999999</v>
      </c>
      <c r="AC2391" s="1">
        <v>1.7393328349999999</v>
      </c>
      <c r="AD2391" s="1">
        <v>2.9432342459999998</v>
      </c>
      <c r="AE2391" s="1">
        <v>2.3627668220000002</v>
      </c>
    </row>
    <row r="2392" spans="1:31" x14ac:dyDescent="0.25">
      <c r="A2392" s="1" t="s">
        <v>991</v>
      </c>
      <c r="B2392" s="1" t="s">
        <v>2530</v>
      </c>
      <c r="C2392" s="1" t="s">
        <v>2531</v>
      </c>
      <c r="D2392" s="1" t="s">
        <v>2535</v>
      </c>
      <c r="E2392" s="1" t="s">
        <v>2536</v>
      </c>
      <c r="G2392" s="1" t="s">
        <v>991</v>
      </c>
      <c r="H2392" s="1">
        <v>6.9183184219999996</v>
      </c>
      <c r="I2392" s="1">
        <v>7.0263944179999998</v>
      </c>
      <c r="J2392" s="1">
        <v>6.5545604910000002</v>
      </c>
      <c r="K2392" s="1">
        <v>7.1450778140000004</v>
      </c>
      <c r="L2392" s="1">
        <v>5.8387509910000004</v>
      </c>
      <c r="M2392" s="1">
        <v>5.9537101330000004</v>
      </c>
      <c r="N2392" s="1">
        <v>5.8460635029999999</v>
      </c>
      <c r="O2392" s="1">
        <v>6.4178147000000001</v>
      </c>
      <c r="P2392" s="1">
        <v>6.2161300730000004</v>
      </c>
      <c r="Q2392" s="1">
        <v>6.123526483</v>
      </c>
      <c r="R2392" s="1">
        <v>6.3078659510000001</v>
      </c>
      <c r="S2392" s="1">
        <v>6.1213765840000001</v>
      </c>
      <c r="T2392" s="1">
        <v>5.8387509910000004</v>
      </c>
      <c r="U2392" s="1">
        <v>5.9537101330000004</v>
      </c>
      <c r="V2392" s="1">
        <v>5.9006116210000004</v>
      </c>
      <c r="W2392" s="1">
        <v>6.239290832</v>
      </c>
      <c r="X2392" s="1">
        <v>6.0475048180000002</v>
      </c>
      <c r="Y2392" s="1">
        <v>6.4430557039999998</v>
      </c>
      <c r="Z2392" s="1">
        <v>6.3078659510000001</v>
      </c>
      <c r="AA2392" s="1">
        <v>6.1213765840000001</v>
      </c>
      <c r="AB2392" s="1">
        <v>6.7025789319999998</v>
      </c>
      <c r="AC2392" s="1">
        <v>6.139219926</v>
      </c>
      <c r="AD2392" s="1">
        <v>6.6638698749999996</v>
      </c>
      <c r="AE2392" s="1">
        <v>6.8517371130000004</v>
      </c>
    </row>
    <row r="2393" spans="1:31" x14ac:dyDescent="0.25">
      <c r="A2393" s="1" t="s">
        <v>1006</v>
      </c>
      <c r="B2393" s="1" t="s">
        <v>2557</v>
      </c>
      <c r="C2393" s="1" t="s">
        <v>3284</v>
      </c>
      <c r="D2393" s="1" t="s">
        <v>3627</v>
      </c>
      <c r="E2393" s="1" t="s">
        <v>6038</v>
      </c>
      <c r="G2393" s="1" t="s">
        <v>1006</v>
      </c>
      <c r="H2393" s="1">
        <v>5.2221022919999998</v>
      </c>
      <c r="I2393" s="1">
        <v>4.7284970130000001</v>
      </c>
      <c r="J2393" s="1">
        <v>7.6316491480000002</v>
      </c>
      <c r="K2393" s="1">
        <v>7.5233248289999999</v>
      </c>
      <c r="L2393" s="1">
        <v>6.8801873179999999</v>
      </c>
      <c r="M2393" s="1">
        <v>7.0104963189999996</v>
      </c>
      <c r="N2393" s="1">
        <v>5.0802595029999997</v>
      </c>
      <c r="O2393" s="1">
        <v>5.0724039640000003</v>
      </c>
      <c r="P2393" s="1">
        <v>7.0146380060000002</v>
      </c>
      <c r="Q2393" s="1">
        <v>7.015159895</v>
      </c>
      <c r="R2393" s="1">
        <v>7.1648465019999996</v>
      </c>
      <c r="S2393" s="1">
        <v>7.0777719039999996</v>
      </c>
      <c r="T2393" s="1">
        <v>6.8801873179999999</v>
      </c>
      <c r="U2393" s="1">
        <v>7.0104963189999996</v>
      </c>
      <c r="V2393" s="1">
        <v>6.7567693220000002</v>
      </c>
      <c r="W2393" s="1">
        <v>6.5309970670000004</v>
      </c>
      <c r="X2393" s="1">
        <v>6.7833281259999998</v>
      </c>
      <c r="Y2393" s="1">
        <v>6.4644452860000001</v>
      </c>
      <c r="Z2393" s="1">
        <v>7.1648465019999996</v>
      </c>
      <c r="AA2393" s="1">
        <v>7.0777719039999996</v>
      </c>
      <c r="AB2393" s="1">
        <v>6.53236668</v>
      </c>
      <c r="AC2393" s="1">
        <v>6.9119300409999997</v>
      </c>
      <c r="AD2393" s="1">
        <v>6.3945942340000004</v>
      </c>
      <c r="AE2393" s="1">
        <v>6.8674836130000001</v>
      </c>
    </row>
    <row r="2394" spans="1:31" x14ac:dyDescent="0.25">
      <c r="A2394" s="1" t="s">
        <v>1024</v>
      </c>
      <c r="B2394" s="1" t="s">
        <v>2547</v>
      </c>
      <c r="C2394" s="1" t="s">
        <v>2675</v>
      </c>
      <c r="D2394" s="1" t="s">
        <v>2574</v>
      </c>
      <c r="E2394" s="1" t="s">
        <v>5734</v>
      </c>
      <c r="F2394" s="1" t="s">
        <v>5735</v>
      </c>
      <c r="G2394" s="1" t="s">
        <v>1024</v>
      </c>
      <c r="H2394" s="1">
        <v>4.0684382540000001</v>
      </c>
      <c r="I2394" s="1">
        <v>3.6484415459999999</v>
      </c>
      <c r="J2394" s="1">
        <v>2.5640169199999998</v>
      </c>
      <c r="K2394" s="1">
        <v>2.620638279</v>
      </c>
      <c r="L2394" s="1">
        <v>1.7393328349999999</v>
      </c>
      <c r="M2394" s="1">
        <v>2.665084539</v>
      </c>
      <c r="N2394" s="1">
        <v>3.444746345</v>
      </c>
      <c r="O2394" s="1">
        <v>3.434496577</v>
      </c>
      <c r="P2394" s="1">
        <v>1.7393328349999999</v>
      </c>
      <c r="Q2394" s="1">
        <v>1.7393328349999999</v>
      </c>
      <c r="R2394" s="1">
        <v>1.7393328349999999</v>
      </c>
      <c r="S2394" s="1">
        <v>1.7393328349999999</v>
      </c>
      <c r="T2394" s="1">
        <v>1.7393328349999999</v>
      </c>
      <c r="U2394" s="1">
        <v>2.665084539</v>
      </c>
      <c r="V2394" s="1">
        <v>2.8225047829999999</v>
      </c>
      <c r="W2394" s="1">
        <v>1.7393328349999999</v>
      </c>
      <c r="X2394" s="1">
        <v>2.3600830049999999</v>
      </c>
      <c r="Y2394" s="1">
        <v>2.624795792</v>
      </c>
      <c r="Z2394" s="1">
        <v>1.7393328349999999</v>
      </c>
      <c r="AA2394" s="1">
        <v>1.7393328349999999</v>
      </c>
      <c r="AB2394" s="1">
        <v>1.7393328349999999</v>
      </c>
      <c r="AC2394" s="1">
        <v>1.7393328349999999</v>
      </c>
      <c r="AD2394" s="1">
        <v>1.7393328349999999</v>
      </c>
      <c r="AE2394" s="1">
        <v>2.3627668220000002</v>
      </c>
    </row>
    <row r="2395" spans="1:31" x14ac:dyDescent="0.25">
      <c r="A2395" s="1" t="s">
        <v>1034</v>
      </c>
      <c r="B2395" s="1" t="s">
        <v>2530</v>
      </c>
      <c r="C2395" s="1" t="s">
        <v>2531</v>
      </c>
      <c r="D2395" s="1" t="s">
        <v>2535</v>
      </c>
      <c r="E2395" s="1" t="s">
        <v>2536</v>
      </c>
      <c r="G2395" s="1" t="s">
        <v>1034</v>
      </c>
      <c r="H2395" s="1">
        <v>4.6479005740000003</v>
      </c>
      <c r="I2395" s="1">
        <v>5.0595268689999999</v>
      </c>
      <c r="J2395" s="1">
        <v>4.5940881259999999</v>
      </c>
      <c r="K2395" s="1">
        <v>3.4309024589999999</v>
      </c>
      <c r="L2395" s="1">
        <v>4.1188213390000001</v>
      </c>
      <c r="M2395" s="1">
        <v>3.5095973119999999</v>
      </c>
      <c r="N2395" s="1">
        <v>5.3605984370000002</v>
      </c>
      <c r="O2395" s="1">
        <v>5.1651541859999996</v>
      </c>
      <c r="P2395" s="1">
        <v>3.9684043939999998</v>
      </c>
      <c r="Q2395" s="1">
        <v>3.9718447549999998</v>
      </c>
      <c r="R2395" s="1">
        <v>4.2802026870000001</v>
      </c>
      <c r="S2395" s="1">
        <v>4.3966315629999997</v>
      </c>
      <c r="T2395" s="1">
        <v>4.1188213390000001</v>
      </c>
      <c r="U2395" s="1">
        <v>3.5095973119999999</v>
      </c>
      <c r="V2395" s="1">
        <v>4.0758289169999999</v>
      </c>
      <c r="W2395" s="1">
        <v>3.8431653940000001</v>
      </c>
      <c r="X2395" s="1">
        <v>3.4131791489999999</v>
      </c>
      <c r="Y2395" s="1">
        <v>3.7705059300000001</v>
      </c>
      <c r="Z2395" s="1">
        <v>4.2802026870000001</v>
      </c>
      <c r="AA2395" s="1">
        <v>4.3966315629999997</v>
      </c>
      <c r="AB2395" s="1">
        <v>3.990981031</v>
      </c>
      <c r="AC2395" s="1">
        <v>3.4716344729999999</v>
      </c>
      <c r="AD2395" s="1">
        <v>4.2005997429999997</v>
      </c>
      <c r="AE2395" s="1">
        <v>4.0105905760000002</v>
      </c>
    </row>
    <row r="2396" spans="1:31" x14ac:dyDescent="0.25">
      <c r="A2396" s="1" t="s">
        <v>1049</v>
      </c>
      <c r="B2396" s="1" t="s">
        <v>2547</v>
      </c>
      <c r="C2396" s="1" t="s">
        <v>2675</v>
      </c>
      <c r="D2396" s="1" t="s">
        <v>2535</v>
      </c>
      <c r="E2396" s="1" t="s">
        <v>3488</v>
      </c>
      <c r="G2396" s="1" t="s">
        <v>1049</v>
      </c>
      <c r="H2396" s="1">
        <v>4.6479005740000003</v>
      </c>
      <c r="I2396" s="1">
        <v>4.2936285989999998</v>
      </c>
      <c r="J2396" s="1">
        <v>1.7393328349999999</v>
      </c>
      <c r="K2396" s="1">
        <v>2.620638279</v>
      </c>
      <c r="L2396" s="1">
        <v>2.5490970000000002</v>
      </c>
      <c r="M2396" s="1">
        <v>1.7393328349999999</v>
      </c>
      <c r="N2396" s="1">
        <v>4.0417975630000003</v>
      </c>
      <c r="O2396" s="1">
        <v>4.6680836990000003</v>
      </c>
      <c r="P2396" s="1">
        <v>2.5478783159999998</v>
      </c>
      <c r="Q2396" s="1">
        <v>2.935765398</v>
      </c>
      <c r="R2396" s="1">
        <v>1.7393328349999999</v>
      </c>
      <c r="S2396" s="1">
        <v>2.9034795349999998</v>
      </c>
      <c r="T2396" s="1">
        <v>2.5490970000000002</v>
      </c>
      <c r="U2396" s="1">
        <v>1.7393328349999999</v>
      </c>
      <c r="V2396" s="1">
        <v>3.2389700330000002</v>
      </c>
      <c r="W2396" s="1">
        <v>3.0218530750000001</v>
      </c>
      <c r="X2396" s="1">
        <v>1.7393328349999999</v>
      </c>
      <c r="Y2396" s="1">
        <v>2.624795792</v>
      </c>
      <c r="Z2396" s="1">
        <v>1.7393328349999999</v>
      </c>
      <c r="AA2396" s="1">
        <v>2.9034795349999998</v>
      </c>
      <c r="AB2396" s="1">
        <v>3.1218319999999999</v>
      </c>
      <c r="AC2396" s="1">
        <v>1.7393328349999999</v>
      </c>
      <c r="AD2396" s="1">
        <v>2.9432342459999998</v>
      </c>
      <c r="AE2396" s="1">
        <v>3.213378847</v>
      </c>
    </row>
    <row r="2397" spans="1:31" x14ac:dyDescent="0.25">
      <c r="A2397" s="1" t="s">
        <v>1079</v>
      </c>
      <c r="B2397" s="1" t="s">
        <v>2530</v>
      </c>
      <c r="C2397" s="1" t="s">
        <v>2531</v>
      </c>
      <c r="D2397" s="1" t="s">
        <v>2535</v>
      </c>
      <c r="E2397" s="1" t="s">
        <v>2536</v>
      </c>
      <c r="G2397" s="1" t="s">
        <v>1079</v>
      </c>
      <c r="H2397" s="1">
        <v>4.2900513550000001</v>
      </c>
      <c r="I2397" s="1">
        <v>3.3322126910000001</v>
      </c>
      <c r="J2397" s="1">
        <v>3.329519721</v>
      </c>
      <c r="K2397" s="1">
        <v>3.8998480660000001</v>
      </c>
      <c r="L2397" s="1">
        <v>3.971296959</v>
      </c>
      <c r="M2397" s="1">
        <v>3.9251125939999998</v>
      </c>
      <c r="N2397" s="1">
        <v>4.1002678350000004</v>
      </c>
      <c r="O2397" s="1">
        <v>4.2767880749999998</v>
      </c>
      <c r="P2397" s="1">
        <v>3.86011382</v>
      </c>
      <c r="Q2397" s="1">
        <v>3.388910638</v>
      </c>
      <c r="R2397" s="1">
        <v>2.595728008</v>
      </c>
      <c r="S2397" s="1">
        <v>3.3463386960000001</v>
      </c>
      <c r="T2397" s="1">
        <v>3.971296959</v>
      </c>
      <c r="U2397" s="1">
        <v>3.9251125939999998</v>
      </c>
      <c r="V2397" s="1">
        <v>2.8225047829999999</v>
      </c>
      <c r="W2397" s="1">
        <v>3.0218530750000001</v>
      </c>
      <c r="X2397" s="1">
        <v>4.3167291810000004</v>
      </c>
      <c r="Y2397" s="1">
        <v>3.4382968329999999</v>
      </c>
      <c r="Z2397" s="1">
        <v>2.595728008</v>
      </c>
      <c r="AA2397" s="1">
        <v>3.3463386960000001</v>
      </c>
      <c r="AB2397" s="1">
        <v>3.8237667059999998</v>
      </c>
      <c r="AC2397" s="1">
        <v>1.7393328349999999</v>
      </c>
      <c r="AD2397" s="1">
        <v>2.9432342459999998</v>
      </c>
      <c r="AE2397" s="1">
        <v>3.5954838599999999</v>
      </c>
    </row>
    <row r="2398" spans="1:31" x14ac:dyDescent="0.25">
      <c r="A2398" s="1" t="s">
        <v>1092</v>
      </c>
      <c r="B2398" s="1" t="s">
        <v>2547</v>
      </c>
      <c r="C2398" s="1" t="s">
        <v>2789</v>
      </c>
      <c r="D2398" s="1" t="s">
        <v>2535</v>
      </c>
      <c r="E2398" s="1" t="s">
        <v>6039</v>
      </c>
      <c r="G2398" s="1" t="s">
        <v>1092</v>
      </c>
      <c r="H2398" s="1">
        <v>1.7393328349999999</v>
      </c>
      <c r="I2398" s="1">
        <v>3.1348991329999998</v>
      </c>
      <c r="J2398" s="1">
        <v>1.7393328349999999</v>
      </c>
      <c r="K2398" s="1">
        <v>1.7393328349999999</v>
      </c>
      <c r="L2398" s="1">
        <v>1.7393328349999999</v>
      </c>
      <c r="M2398" s="1">
        <v>2.3994532390000001</v>
      </c>
      <c r="N2398" s="1">
        <v>2.8201075470000001</v>
      </c>
      <c r="O2398" s="1">
        <v>1.7393328349999999</v>
      </c>
      <c r="P2398" s="1">
        <v>1.7393328349999999</v>
      </c>
      <c r="Q2398" s="1">
        <v>2.935765398</v>
      </c>
      <c r="R2398" s="1">
        <v>1.7393328349999999</v>
      </c>
      <c r="S2398" s="1">
        <v>1.7393328349999999</v>
      </c>
      <c r="T2398" s="1">
        <v>1.7393328349999999</v>
      </c>
      <c r="U2398" s="1">
        <v>2.3994532390000001</v>
      </c>
      <c r="V2398" s="1">
        <v>2.8225047829999999</v>
      </c>
      <c r="W2398" s="1">
        <v>3.0218530750000001</v>
      </c>
      <c r="X2398" s="1">
        <v>2.3600830049999999</v>
      </c>
      <c r="Y2398" s="1">
        <v>1.7393328349999999</v>
      </c>
      <c r="Z2398" s="1">
        <v>1.7393328349999999</v>
      </c>
      <c r="AA2398" s="1">
        <v>1.7393328349999999</v>
      </c>
      <c r="AB2398" s="1">
        <v>2.73487305</v>
      </c>
      <c r="AC2398" s="1">
        <v>2.5506926650000001</v>
      </c>
      <c r="AD2398" s="1">
        <v>2.6025990879999998</v>
      </c>
      <c r="AE2398" s="1">
        <v>2.803297787</v>
      </c>
    </row>
    <row r="2399" spans="1:31" x14ac:dyDescent="0.25">
      <c r="A2399" s="1" t="s">
        <v>1093</v>
      </c>
      <c r="B2399" s="1" t="s">
        <v>2535</v>
      </c>
      <c r="C2399" s="1" t="s">
        <v>2535</v>
      </c>
      <c r="D2399" s="1" t="s">
        <v>2535</v>
      </c>
      <c r="E2399" s="1" t="s">
        <v>2535</v>
      </c>
      <c r="F2399" s="1" t="s">
        <v>2535</v>
      </c>
      <c r="G2399" s="1" t="s">
        <v>1093</v>
      </c>
      <c r="H2399" s="1">
        <v>2.9945681560000001</v>
      </c>
      <c r="I2399" s="1">
        <v>3.7806045529999999</v>
      </c>
      <c r="J2399" s="1">
        <v>2.5640169199999998</v>
      </c>
      <c r="K2399" s="1">
        <v>2.620638279</v>
      </c>
      <c r="L2399" s="1">
        <v>2.7248816410000001</v>
      </c>
      <c r="M2399" s="1">
        <v>2.665084539</v>
      </c>
      <c r="N2399" s="1">
        <v>3.7025667929999999</v>
      </c>
      <c r="O2399" s="1">
        <v>2.883783352</v>
      </c>
      <c r="P2399" s="1">
        <v>3.106446558</v>
      </c>
      <c r="Q2399" s="1">
        <v>2.597100669</v>
      </c>
      <c r="R2399" s="1">
        <v>2.595728008</v>
      </c>
      <c r="S2399" s="1">
        <v>1.7393328349999999</v>
      </c>
      <c r="T2399" s="1">
        <v>2.7248816410000001</v>
      </c>
      <c r="U2399" s="1">
        <v>2.665084539</v>
      </c>
      <c r="V2399" s="1">
        <v>3.0516113059999999</v>
      </c>
      <c r="W2399" s="1">
        <v>2.6606351240000001</v>
      </c>
      <c r="X2399" s="1">
        <v>1.7393328349999999</v>
      </c>
      <c r="Y2399" s="1">
        <v>1.7393328349999999</v>
      </c>
      <c r="Z2399" s="1">
        <v>2.595728008</v>
      </c>
      <c r="AA2399" s="1">
        <v>1.7393328349999999</v>
      </c>
      <c r="AB2399" s="1">
        <v>2.73487305</v>
      </c>
      <c r="AC2399" s="1">
        <v>3.1109927919999998</v>
      </c>
      <c r="AD2399" s="1">
        <v>2.6025990879999998</v>
      </c>
      <c r="AE2399" s="1">
        <v>2.6144016259999998</v>
      </c>
    </row>
    <row r="2400" spans="1:31" x14ac:dyDescent="0.25">
      <c r="A2400" s="1" t="s">
        <v>1098</v>
      </c>
      <c r="B2400" s="1" t="s">
        <v>2579</v>
      </c>
      <c r="C2400" s="1" t="s">
        <v>2933</v>
      </c>
      <c r="D2400" s="1" t="s">
        <v>2934</v>
      </c>
      <c r="E2400" s="1" t="s">
        <v>6040</v>
      </c>
      <c r="F2400" s="1" t="s">
        <v>6041</v>
      </c>
      <c r="G2400" s="1" t="s">
        <v>1098</v>
      </c>
      <c r="H2400" s="1">
        <v>6.6546803429999999</v>
      </c>
      <c r="I2400" s="1">
        <v>6.1655807180000002</v>
      </c>
      <c r="J2400" s="1">
        <v>6.2905743620000001</v>
      </c>
      <c r="K2400" s="1">
        <v>6.4725304650000002</v>
      </c>
      <c r="L2400" s="1">
        <v>6.2512732120000001</v>
      </c>
      <c r="M2400" s="1">
        <v>6.4298477490000003</v>
      </c>
      <c r="N2400" s="1">
        <v>6.2458658810000003</v>
      </c>
      <c r="O2400" s="1">
        <v>5.9330167859999996</v>
      </c>
      <c r="P2400" s="1">
        <v>6.0615870090000001</v>
      </c>
      <c r="Q2400" s="1">
        <v>6.045837068</v>
      </c>
      <c r="R2400" s="1">
        <v>6.2166299269999996</v>
      </c>
      <c r="S2400" s="1">
        <v>6.5329808710000004</v>
      </c>
      <c r="T2400" s="1">
        <v>6.2512732120000001</v>
      </c>
      <c r="U2400" s="1">
        <v>6.4298477490000003</v>
      </c>
      <c r="V2400" s="1">
        <v>5.695500268</v>
      </c>
      <c r="W2400" s="1">
        <v>5.9408128590000002</v>
      </c>
      <c r="X2400" s="1">
        <v>6.6085543170000003</v>
      </c>
      <c r="Y2400" s="1">
        <v>6.0201969059999998</v>
      </c>
      <c r="Z2400" s="1">
        <v>6.2166299269999996</v>
      </c>
      <c r="AA2400" s="1">
        <v>6.5329808710000004</v>
      </c>
      <c r="AB2400" s="1">
        <v>6.0812876019999997</v>
      </c>
      <c r="AC2400" s="1">
        <v>6.2463288529999996</v>
      </c>
      <c r="AD2400" s="1">
        <v>6.0361091350000002</v>
      </c>
      <c r="AE2400" s="1">
        <v>6.0451310640000004</v>
      </c>
    </row>
    <row r="2401" spans="1:31" x14ac:dyDescent="0.25">
      <c r="A2401" s="1" t="s">
        <v>1111</v>
      </c>
      <c r="B2401" s="1" t="s">
        <v>2539</v>
      </c>
      <c r="C2401" s="1" t="s">
        <v>2606</v>
      </c>
      <c r="D2401" s="1" t="s">
        <v>2755</v>
      </c>
      <c r="E2401" s="1" t="s">
        <v>2756</v>
      </c>
      <c r="F2401" s="1" t="s">
        <v>2757</v>
      </c>
      <c r="G2401" s="1" t="s">
        <v>1111</v>
      </c>
      <c r="H2401" s="1">
        <v>5.4626831620000003</v>
      </c>
      <c r="I2401" s="1">
        <v>5.7476087250000001</v>
      </c>
      <c r="J2401" s="1">
        <v>3.1324899180000001</v>
      </c>
      <c r="K2401" s="1">
        <v>4.0244910950000001</v>
      </c>
      <c r="L2401" s="1">
        <v>3.6142294740000001</v>
      </c>
      <c r="M2401" s="1">
        <v>2.665084539</v>
      </c>
      <c r="N2401" s="1">
        <v>6.0455826970000004</v>
      </c>
      <c r="O2401" s="1">
        <v>6.3277659169999998</v>
      </c>
      <c r="P2401" s="1">
        <v>4.5499605860000001</v>
      </c>
      <c r="Q2401" s="1">
        <v>3.185675432</v>
      </c>
      <c r="R2401" s="1">
        <v>3.386455024</v>
      </c>
      <c r="S2401" s="1">
        <v>3.5159502420000002</v>
      </c>
      <c r="T2401" s="1">
        <v>3.6142294740000001</v>
      </c>
      <c r="U2401" s="1">
        <v>2.665084539</v>
      </c>
      <c r="V2401" s="1">
        <v>4.1608706030000002</v>
      </c>
      <c r="W2401" s="1">
        <v>4.4367165279999998</v>
      </c>
      <c r="X2401" s="1">
        <v>4.2198471</v>
      </c>
      <c r="Y2401" s="1">
        <v>3.7705059300000001</v>
      </c>
      <c r="Z2401" s="1">
        <v>3.386455024</v>
      </c>
      <c r="AA2401" s="1">
        <v>3.5159502420000002</v>
      </c>
      <c r="AB2401" s="1">
        <v>3.990981031</v>
      </c>
      <c r="AC2401" s="1">
        <v>4.0753403910000001</v>
      </c>
      <c r="AD2401" s="1">
        <v>3.984188064</v>
      </c>
      <c r="AE2401" s="1">
        <v>4.3718229419999997</v>
      </c>
    </row>
    <row r="2402" spans="1:31" x14ac:dyDescent="0.25">
      <c r="A2402" s="1" t="s">
        <v>1156</v>
      </c>
      <c r="B2402" s="1" t="s">
        <v>2530</v>
      </c>
      <c r="C2402" s="1" t="s">
        <v>2531</v>
      </c>
      <c r="D2402" s="1" t="s">
        <v>2535</v>
      </c>
      <c r="E2402" s="1" t="s">
        <v>6042</v>
      </c>
      <c r="G2402" s="1" t="s">
        <v>1156</v>
      </c>
      <c r="H2402" s="1">
        <v>6.6546803429999999</v>
      </c>
      <c r="I2402" s="1">
        <v>6.3760216270000001</v>
      </c>
      <c r="J2402" s="1">
        <v>5.5483108110000003</v>
      </c>
      <c r="K2402" s="1">
        <v>6.363994462</v>
      </c>
      <c r="L2402" s="1">
        <v>5.710253325</v>
      </c>
      <c r="M2402" s="1">
        <v>5.6184934039999996</v>
      </c>
      <c r="N2402" s="1">
        <v>5.8127456459999998</v>
      </c>
      <c r="O2402" s="1">
        <v>6.217434312</v>
      </c>
      <c r="P2402" s="1">
        <v>5.6296473389999999</v>
      </c>
      <c r="Q2402" s="1">
        <v>5.9062084209999997</v>
      </c>
      <c r="R2402" s="1">
        <v>6.0415391009999997</v>
      </c>
      <c r="S2402" s="1">
        <v>5.5773053920000004</v>
      </c>
      <c r="T2402" s="1">
        <v>5.710253325</v>
      </c>
      <c r="U2402" s="1">
        <v>5.6184934039999996</v>
      </c>
      <c r="V2402" s="1">
        <v>5.2072842770000003</v>
      </c>
      <c r="W2402" s="1">
        <v>5.1095551629999996</v>
      </c>
      <c r="X2402" s="1">
        <v>5.7928210719999997</v>
      </c>
      <c r="Y2402" s="1">
        <v>5.0128502209999999</v>
      </c>
      <c r="Z2402" s="1">
        <v>6.0415391009999997</v>
      </c>
      <c r="AA2402" s="1">
        <v>5.5773053920000004</v>
      </c>
      <c r="AB2402" s="1">
        <v>6.3094558689999998</v>
      </c>
      <c r="AC2402" s="1">
        <v>5.7595305120000004</v>
      </c>
      <c r="AD2402" s="1">
        <v>5.7682763389999998</v>
      </c>
      <c r="AE2402" s="1">
        <v>5.7020211359999999</v>
      </c>
    </row>
    <row r="2403" spans="1:31" x14ac:dyDescent="0.25">
      <c r="A2403" s="1" t="s">
        <v>1170</v>
      </c>
      <c r="B2403" s="1" t="s">
        <v>2530</v>
      </c>
      <c r="C2403" s="1" t="s">
        <v>2531</v>
      </c>
      <c r="D2403" s="1" t="s">
        <v>2535</v>
      </c>
      <c r="E2403" s="1" t="s">
        <v>2536</v>
      </c>
      <c r="G2403" s="1" t="s">
        <v>1170</v>
      </c>
      <c r="H2403" s="1">
        <v>6.3316799680000004</v>
      </c>
      <c r="I2403" s="1">
        <v>5.8917578519999996</v>
      </c>
      <c r="J2403" s="1">
        <v>4.2898244959999996</v>
      </c>
      <c r="K2403" s="1">
        <v>5.2180867539999998</v>
      </c>
      <c r="L2403" s="1">
        <v>3.1084154310000001</v>
      </c>
      <c r="M2403" s="1">
        <v>3.169085575</v>
      </c>
      <c r="N2403" s="1">
        <v>5.2145790439999997</v>
      </c>
      <c r="O2403" s="1">
        <v>6.2316979249999997</v>
      </c>
      <c r="P2403" s="1">
        <v>4.4805784009999998</v>
      </c>
      <c r="Q2403" s="1">
        <v>4.5369064569999997</v>
      </c>
      <c r="R2403" s="1">
        <v>3.968758995</v>
      </c>
      <c r="S2403" s="1">
        <v>3.7977317990000001</v>
      </c>
      <c r="T2403" s="1">
        <v>3.1084154310000001</v>
      </c>
      <c r="U2403" s="1">
        <v>3.169085575</v>
      </c>
      <c r="V2403" s="1">
        <v>3.5405335899999999</v>
      </c>
      <c r="W2403" s="1">
        <v>4.69862249</v>
      </c>
      <c r="X2403" s="1">
        <v>3.6673381269999998</v>
      </c>
      <c r="Y2403" s="1">
        <v>4.4420910779999998</v>
      </c>
      <c r="Z2403" s="1">
        <v>3.968758995</v>
      </c>
      <c r="AA2403" s="1">
        <v>3.7977317990000001</v>
      </c>
      <c r="AB2403" s="1">
        <v>4.139369361</v>
      </c>
      <c r="AC2403" s="1">
        <v>3.7481372300000002</v>
      </c>
      <c r="AD2403" s="1">
        <v>4.5511338559999999</v>
      </c>
      <c r="AE2403" s="1">
        <v>3.7492737119999999</v>
      </c>
    </row>
    <row r="2404" spans="1:31" x14ac:dyDescent="0.25">
      <c r="A2404" s="1" t="s">
        <v>1221</v>
      </c>
      <c r="B2404" s="1" t="s">
        <v>2530</v>
      </c>
      <c r="C2404" s="1" t="s">
        <v>2531</v>
      </c>
      <c r="D2404" s="1" t="s">
        <v>2535</v>
      </c>
      <c r="E2404" s="1" t="s">
        <v>2621</v>
      </c>
      <c r="G2404" s="1" t="s">
        <v>1221</v>
      </c>
      <c r="H2404" s="1">
        <v>4.8663747150000001</v>
      </c>
      <c r="I2404" s="1">
        <v>4.5280931029999998</v>
      </c>
      <c r="J2404" s="1">
        <v>3.6453331530000002</v>
      </c>
      <c r="K2404" s="1">
        <v>4.0244910950000001</v>
      </c>
      <c r="L2404" s="1">
        <v>3.4685048369999998</v>
      </c>
      <c r="M2404" s="1">
        <v>3.5095973119999999</v>
      </c>
      <c r="N2404" s="1">
        <v>3.344961128</v>
      </c>
      <c r="O2404" s="1">
        <v>3.434496577</v>
      </c>
      <c r="P2404" s="1">
        <v>3.86011382</v>
      </c>
      <c r="Q2404" s="1">
        <v>3.388910638</v>
      </c>
      <c r="R2404" s="1">
        <v>3.386455024</v>
      </c>
      <c r="S2404" s="1">
        <v>3.3463386960000001</v>
      </c>
      <c r="T2404" s="1">
        <v>3.4685048369999998</v>
      </c>
      <c r="U2404" s="1">
        <v>3.5095973119999999</v>
      </c>
      <c r="V2404" s="1">
        <v>3.9849921849999999</v>
      </c>
      <c r="W2404" s="1">
        <v>3.2870366010000001</v>
      </c>
      <c r="X2404" s="1">
        <v>3.8119046220000001</v>
      </c>
      <c r="Y2404" s="1">
        <v>2.9733498090000001</v>
      </c>
      <c r="Z2404" s="1">
        <v>3.386455024</v>
      </c>
      <c r="AA2404" s="1">
        <v>3.3463386960000001</v>
      </c>
      <c r="AB2404" s="1">
        <v>2.73487305</v>
      </c>
      <c r="AC2404" s="1">
        <v>3.4716344729999999</v>
      </c>
      <c r="AD2404" s="1">
        <v>1.7393328349999999</v>
      </c>
      <c r="AE2404" s="1">
        <v>3.7492737119999999</v>
      </c>
    </row>
    <row r="2405" spans="1:31" x14ac:dyDescent="0.25">
      <c r="A2405" s="1" t="s">
        <v>1232</v>
      </c>
      <c r="B2405" s="1" t="s">
        <v>2608</v>
      </c>
      <c r="C2405" s="1" t="s">
        <v>2700</v>
      </c>
      <c r="D2405" s="1" t="s">
        <v>3868</v>
      </c>
      <c r="E2405" s="1" t="s">
        <v>6043</v>
      </c>
      <c r="F2405" s="1" t="s">
        <v>6044</v>
      </c>
      <c r="G2405" s="1" t="s">
        <v>1232</v>
      </c>
      <c r="H2405" s="1">
        <v>4.6479005740000003</v>
      </c>
      <c r="I2405" s="1">
        <v>4.1114152529999997</v>
      </c>
      <c r="J2405" s="1">
        <v>5.9669407659999996</v>
      </c>
      <c r="K2405" s="1">
        <v>6.2947097530000002</v>
      </c>
      <c r="L2405" s="1">
        <v>5.7251137559999998</v>
      </c>
      <c r="M2405" s="1">
        <v>5.5973531489999999</v>
      </c>
      <c r="N2405" s="1">
        <v>5.7957915680000003</v>
      </c>
      <c r="O2405" s="1">
        <v>5.3605571169999999</v>
      </c>
      <c r="P2405" s="1">
        <v>5.4627121560000003</v>
      </c>
      <c r="Q2405" s="1">
        <v>5.4222740280000004</v>
      </c>
      <c r="R2405" s="1">
        <v>5.8420803340000003</v>
      </c>
      <c r="S2405" s="1">
        <v>5.9168316079999999</v>
      </c>
      <c r="T2405" s="1">
        <v>5.7251137559999998</v>
      </c>
      <c r="U2405" s="1">
        <v>5.5973531489999999</v>
      </c>
      <c r="V2405" s="1">
        <v>5.6392772100000004</v>
      </c>
      <c r="W2405" s="1">
        <v>5.6059572260000001</v>
      </c>
      <c r="X2405" s="1">
        <v>5.4203833540000002</v>
      </c>
      <c r="Y2405" s="1">
        <v>5.503438128</v>
      </c>
      <c r="Z2405" s="1">
        <v>5.8420803340000003</v>
      </c>
      <c r="AA2405" s="1">
        <v>5.9168316079999999</v>
      </c>
      <c r="AB2405" s="1">
        <v>5.4746970709999996</v>
      </c>
      <c r="AC2405" s="1">
        <v>5.5407520860000004</v>
      </c>
      <c r="AD2405" s="1">
        <v>5.396704357</v>
      </c>
      <c r="AE2405" s="1">
        <v>5.2972943729999997</v>
      </c>
    </row>
    <row r="2406" spans="1:31" x14ac:dyDescent="0.25">
      <c r="A2406" s="1" t="s">
        <v>1237</v>
      </c>
      <c r="B2406" s="1" t="s">
        <v>2530</v>
      </c>
      <c r="C2406" s="1" t="s">
        <v>2531</v>
      </c>
      <c r="D2406" s="1" t="s">
        <v>2535</v>
      </c>
      <c r="E2406" s="1" t="s">
        <v>2536</v>
      </c>
      <c r="G2406" s="1" t="s">
        <v>1237</v>
      </c>
      <c r="H2406" s="1">
        <v>6.8012610130000004</v>
      </c>
      <c r="I2406" s="1">
        <v>6.2746491359999998</v>
      </c>
      <c r="J2406" s="1">
        <v>5.1501560140000002</v>
      </c>
      <c r="K2406" s="1">
        <v>5.8552832600000002</v>
      </c>
      <c r="L2406" s="1">
        <v>4.2516940449999998</v>
      </c>
      <c r="M2406" s="1">
        <v>4.4472617469999998</v>
      </c>
      <c r="N2406" s="1">
        <v>5.2649372489999999</v>
      </c>
      <c r="O2406" s="1">
        <v>5.7859173799999999</v>
      </c>
      <c r="P2406" s="1">
        <v>5.426847231</v>
      </c>
      <c r="Q2406" s="1">
        <v>4.993318082</v>
      </c>
      <c r="R2406" s="1">
        <v>5.0965654090000001</v>
      </c>
      <c r="S2406" s="1">
        <v>5.3915434019999999</v>
      </c>
      <c r="T2406" s="1">
        <v>4.2516940449999998</v>
      </c>
      <c r="U2406" s="1">
        <v>4.4472617469999998</v>
      </c>
      <c r="V2406" s="1">
        <v>5.9931161309999998</v>
      </c>
      <c r="W2406" s="1">
        <v>5.9408128590000002</v>
      </c>
      <c r="X2406" s="1">
        <v>5.3326311679999998</v>
      </c>
      <c r="Y2406" s="1">
        <v>6.6058798599999999</v>
      </c>
      <c r="Z2406" s="1">
        <v>5.0965654090000001</v>
      </c>
      <c r="AA2406" s="1">
        <v>5.3915434019999999</v>
      </c>
      <c r="AB2406" s="1">
        <v>5.2406211000000003</v>
      </c>
      <c r="AC2406" s="1">
        <v>4.8053838390000001</v>
      </c>
      <c r="AD2406" s="1">
        <v>5.980763981</v>
      </c>
      <c r="AE2406" s="1">
        <v>5.7020211359999999</v>
      </c>
    </row>
    <row r="2407" spans="1:31" x14ac:dyDescent="0.25">
      <c r="A2407" s="1" t="s">
        <v>1257</v>
      </c>
      <c r="B2407" s="1" t="s">
        <v>2535</v>
      </c>
      <c r="C2407" s="1" t="s">
        <v>2535</v>
      </c>
      <c r="D2407" s="1" t="s">
        <v>2535</v>
      </c>
      <c r="E2407" s="1" t="s">
        <v>2535</v>
      </c>
      <c r="F2407" s="1" t="s">
        <v>2535</v>
      </c>
      <c r="G2407" s="1" t="s">
        <v>1257</v>
      </c>
      <c r="H2407" s="1">
        <v>2.640460343</v>
      </c>
      <c r="I2407" s="1">
        <v>1.7393328349999999</v>
      </c>
      <c r="J2407" s="1">
        <v>2.8907526730000002</v>
      </c>
      <c r="K2407" s="1">
        <v>2.620638279</v>
      </c>
      <c r="L2407" s="1">
        <v>2.7248816410000001</v>
      </c>
      <c r="M2407" s="1">
        <v>3.027864058</v>
      </c>
      <c r="N2407" s="1">
        <v>2.628425199</v>
      </c>
      <c r="O2407" s="1">
        <v>2.6816282820000001</v>
      </c>
      <c r="P2407" s="1">
        <v>3.6116823170000001</v>
      </c>
      <c r="Q2407" s="1">
        <v>2.935765398</v>
      </c>
      <c r="R2407" s="1">
        <v>1.7393328349999999</v>
      </c>
      <c r="S2407" s="1">
        <v>1.7393328349999999</v>
      </c>
      <c r="T2407" s="1">
        <v>2.7248816410000001</v>
      </c>
      <c r="U2407" s="1">
        <v>3.027864058</v>
      </c>
      <c r="V2407" s="1">
        <v>3.0516113059999999</v>
      </c>
      <c r="W2407" s="1">
        <v>1.7393328349999999</v>
      </c>
      <c r="X2407" s="1">
        <v>3.3149070109999998</v>
      </c>
      <c r="Y2407" s="1">
        <v>2.624795792</v>
      </c>
      <c r="Z2407" s="1">
        <v>1.7393328349999999</v>
      </c>
      <c r="AA2407" s="1">
        <v>1.7393328349999999</v>
      </c>
      <c r="AB2407" s="1">
        <v>2.73487305</v>
      </c>
      <c r="AC2407" s="1">
        <v>2.87258916</v>
      </c>
      <c r="AD2407" s="1">
        <v>3.3987395579999999</v>
      </c>
      <c r="AE2407" s="1">
        <v>3.0939349979999999</v>
      </c>
    </row>
    <row r="2408" spans="1:31" x14ac:dyDescent="0.25">
      <c r="A2408" s="1" t="s">
        <v>1267</v>
      </c>
      <c r="B2408" s="1" t="s">
        <v>2579</v>
      </c>
      <c r="C2408" s="1" t="s">
        <v>2933</v>
      </c>
      <c r="D2408" s="1" t="s">
        <v>3279</v>
      </c>
      <c r="E2408" s="1" t="s">
        <v>6045</v>
      </c>
      <c r="F2408" s="1" t="s">
        <v>6046</v>
      </c>
      <c r="G2408" s="1" t="s">
        <v>1267</v>
      </c>
      <c r="H2408" s="1">
        <v>8.0787247109999996</v>
      </c>
      <c r="I2408" s="1">
        <v>8.1003098760000007</v>
      </c>
      <c r="J2408" s="1">
        <v>7.4117674429999996</v>
      </c>
      <c r="K2408" s="1">
        <v>7.685267369</v>
      </c>
      <c r="L2408" s="1">
        <v>6.579573914</v>
      </c>
      <c r="M2408" s="1">
        <v>6.9536387599999996</v>
      </c>
      <c r="N2408" s="1">
        <v>7.2404527520000004</v>
      </c>
      <c r="O2408" s="1">
        <v>7.4129178519999996</v>
      </c>
      <c r="P2408" s="1">
        <v>6.9279548860000002</v>
      </c>
      <c r="Q2408" s="1">
        <v>7.4357135650000004</v>
      </c>
      <c r="R2408" s="1">
        <v>7.1769818540000001</v>
      </c>
      <c r="S2408" s="1">
        <v>7.089979875</v>
      </c>
      <c r="T2408" s="1">
        <v>6.579573914</v>
      </c>
      <c r="U2408" s="1">
        <v>6.9536387599999996</v>
      </c>
      <c r="V2408" s="1">
        <v>6.5745257170000002</v>
      </c>
      <c r="W2408" s="1">
        <v>6.4165513509999998</v>
      </c>
      <c r="X2408" s="1">
        <v>6.7915338409999997</v>
      </c>
      <c r="Y2408" s="1">
        <v>6.7169455439999997</v>
      </c>
      <c r="Z2408" s="1">
        <v>7.1769818540000001</v>
      </c>
      <c r="AA2408" s="1">
        <v>7.089979875</v>
      </c>
      <c r="AB2408" s="1">
        <v>6.8339958249999997</v>
      </c>
      <c r="AC2408" s="1">
        <v>6.8856954019999996</v>
      </c>
      <c r="AD2408" s="1">
        <v>7.1378851560000003</v>
      </c>
      <c r="AE2408" s="1">
        <v>7.0783497569999998</v>
      </c>
    </row>
    <row r="2409" spans="1:31" x14ac:dyDescent="0.25">
      <c r="A2409" s="1" t="s">
        <v>1279</v>
      </c>
      <c r="B2409" s="1" t="s">
        <v>2535</v>
      </c>
      <c r="C2409" s="1" t="s">
        <v>2535</v>
      </c>
      <c r="D2409" s="1" t="s">
        <v>2535</v>
      </c>
      <c r="E2409" s="1" t="s">
        <v>2535</v>
      </c>
      <c r="F2409" s="1" t="s">
        <v>2535</v>
      </c>
      <c r="G2409" s="1" t="s">
        <v>1279</v>
      </c>
      <c r="H2409" s="1">
        <v>2.640460343</v>
      </c>
      <c r="I2409" s="1">
        <v>1.7393328349999999</v>
      </c>
      <c r="J2409" s="1">
        <v>1.7393328349999999</v>
      </c>
      <c r="K2409" s="1">
        <v>1.7393328349999999</v>
      </c>
      <c r="L2409" s="1">
        <v>1.7393328349999999</v>
      </c>
      <c r="M2409" s="1">
        <v>1.7393328349999999</v>
      </c>
      <c r="N2409" s="1">
        <v>2.8201075470000001</v>
      </c>
      <c r="O2409" s="1">
        <v>1.7393328349999999</v>
      </c>
      <c r="P2409" s="1">
        <v>1.7393328349999999</v>
      </c>
      <c r="Q2409" s="1">
        <v>1.7393328349999999</v>
      </c>
      <c r="R2409" s="1">
        <v>1.7393328349999999</v>
      </c>
      <c r="S2409" s="1">
        <v>1.7393328349999999</v>
      </c>
      <c r="T2409" s="1">
        <v>1.7393328349999999</v>
      </c>
      <c r="U2409" s="1">
        <v>1.7393328349999999</v>
      </c>
      <c r="V2409" s="1">
        <v>1.7393328349999999</v>
      </c>
      <c r="W2409" s="1">
        <v>1.7393328349999999</v>
      </c>
      <c r="X2409" s="1">
        <v>2.3600830049999999</v>
      </c>
      <c r="Y2409" s="1">
        <v>2.624795792</v>
      </c>
      <c r="Z2409" s="1">
        <v>1.7393328349999999</v>
      </c>
      <c r="AA2409" s="1">
        <v>1.7393328349999999</v>
      </c>
      <c r="AB2409" s="1">
        <v>2.73487305</v>
      </c>
      <c r="AC2409" s="1">
        <v>1.7393328349999999</v>
      </c>
      <c r="AD2409" s="1">
        <v>1.7393328349999999</v>
      </c>
      <c r="AE2409" s="1">
        <v>1.7393328349999999</v>
      </c>
    </row>
    <row r="2410" spans="1:31" x14ac:dyDescent="0.25">
      <c r="A2410" s="1" t="s">
        <v>1330</v>
      </c>
      <c r="B2410" s="1" t="s">
        <v>2530</v>
      </c>
      <c r="C2410" s="1" t="s">
        <v>2531</v>
      </c>
      <c r="D2410" s="1" t="s">
        <v>2535</v>
      </c>
      <c r="E2410" s="1" t="s">
        <v>2536</v>
      </c>
      <c r="G2410" s="1" t="s">
        <v>1330</v>
      </c>
      <c r="H2410" s="1">
        <v>4.5667504939999999</v>
      </c>
      <c r="I2410" s="1">
        <v>4.903725959</v>
      </c>
      <c r="J2410" s="1">
        <v>4.2898244959999996</v>
      </c>
      <c r="K2410" s="1">
        <v>3.762021974</v>
      </c>
      <c r="L2410" s="1">
        <v>2.8704126319999999</v>
      </c>
      <c r="M2410" s="1">
        <v>3.8521266660000002</v>
      </c>
      <c r="N2410" s="1">
        <v>4.210067993</v>
      </c>
      <c r="O2410" s="1">
        <v>4.4862678239999996</v>
      </c>
      <c r="P2410" s="1">
        <v>4.0684607960000001</v>
      </c>
      <c r="Q2410" s="1">
        <v>3.185675432</v>
      </c>
      <c r="R2410" s="1">
        <v>3.7109484589999999</v>
      </c>
      <c r="S2410" s="1">
        <v>3.6647387380000001</v>
      </c>
      <c r="T2410" s="1">
        <v>2.8704126319999999</v>
      </c>
      <c r="U2410" s="1">
        <v>3.8521266660000002</v>
      </c>
      <c r="V2410" s="1">
        <v>3.5405335899999999</v>
      </c>
      <c r="W2410" s="1">
        <v>3.6840067150000002</v>
      </c>
      <c r="X2410" s="1">
        <v>3.6673381269999998</v>
      </c>
      <c r="Y2410" s="1">
        <v>3.6154848500000001</v>
      </c>
      <c r="Z2410" s="1">
        <v>3.7109484589999999</v>
      </c>
      <c r="AA2410" s="1">
        <v>3.6647387380000001</v>
      </c>
      <c r="AB2410" s="1">
        <v>3.1218319999999999</v>
      </c>
      <c r="AC2410" s="1">
        <v>3.3054795530000001</v>
      </c>
      <c r="AD2410" s="1">
        <v>3.725077481</v>
      </c>
      <c r="AE2410" s="1">
        <v>3.5108161330000001</v>
      </c>
    </row>
    <row r="2411" spans="1:31" x14ac:dyDescent="0.25">
      <c r="A2411" s="1" t="s">
        <v>1345</v>
      </c>
      <c r="B2411" s="1" t="s">
        <v>2535</v>
      </c>
      <c r="C2411" s="1" t="s">
        <v>2535</v>
      </c>
      <c r="D2411" s="1" t="s">
        <v>2535</v>
      </c>
      <c r="E2411" s="1" t="s">
        <v>2535</v>
      </c>
      <c r="F2411" s="1" t="s">
        <v>2535</v>
      </c>
      <c r="G2411" s="1" t="s">
        <v>1345</v>
      </c>
      <c r="H2411" s="1">
        <v>3.8023684370000002</v>
      </c>
      <c r="I2411" s="1">
        <v>4.3763156859999999</v>
      </c>
      <c r="J2411" s="1">
        <v>3.1324899180000001</v>
      </c>
      <c r="K2411" s="1">
        <v>3.8998480660000001</v>
      </c>
      <c r="L2411" s="1">
        <v>2.9964092330000001</v>
      </c>
      <c r="M2411" s="1">
        <v>2.3994532390000001</v>
      </c>
      <c r="N2411" s="1">
        <v>4.4061149080000002</v>
      </c>
      <c r="O2411" s="1">
        <v>3.7238257350000001</v>
      </c>
      <c r="P2411" s="1">
        <v>2.5478783159999998</v>
      </c>
      <c r="Q2411" s="1">
        <v>2.935765398</v>
      </c>
      <c r="R2411" s="1">
        <v>2.595728008</v>
      </c>
      <c r="S2411" s="1">
        <v>2.5733617299999998</v>
      </c>
      <c r="T2411" s="1">
        <v>2.9964092330000001</v>
      </c>
      <c r="U2411" s="1">
        <v>2.3994532390000001</v>
      </c>
      <c r="V2411" s="1">
        <v>2.8225047829999999</v>
      </c>
      <c r="W2411" s="1">
        <v>1.7393328349999999</v>
      </c>
      <c r="X2411" s="1">
        <v>2.7988456519999998</v>
      </c>
      <c r="Y2411" s="1">
        <v>1.7393328349999999</v>
      </c>
      <c r="Z2411" s="1">
        <v>2.595728008</v>
      </c>
      <c r="AA2411" s="1">
        <v>2.5733617299999998</v>
      </c>
      <c r="AB2411" s="1">
        <v>3.1218319999999999</v>
      </c>
      <c r="AC2411" s="1">
        <v>3.1109927919999998</v>
      </c>
      <c r="AD2411" s="1">
        <v>3.3987395579999999</v>
      </c>
      <c r="AE2411" s="1">
        <v>3.67472814</v>
      </c>
    </row>
    <row r="2412" spans="1:31" x14ac:dyDescent="0.25">
      <c r="A2412" s="1" t="s">
        <v>1346</v>
      </c>
      <c r="B2412" s="1" t="s">
        <v>2539</v>
      </c>
      <c r="C2412" s="1" t="s">
        <v>2606</v>
      </c>
      <c r="D2412" s="1" t="s">
        <v>6047</v>
      </c>
      <c r="E2412" s="1" t="s">
        <v>6048</v>
      </c>
      <c r="F2412" s="1" t="s">
        <v>6049</v>
      </c>
      <c r="G2412" s="1" t="s">
        <v>1346</v>
      </c>
      <c r="H2412" s="1">
        <v>1.7393328349999999</v>
      </c>
      <c r="I2412" s="1">
        <v>2.5655118899999998</v>
      </c>
      <c r="J2412" s="1">
        <v>1.7393328349999999</v>
      </c>
      <c r="K2412" s="1">
        <v>1.7393328349999999</v>
      </c>
      <c r="L2412" s="1">
        <v>1.7393328349999999</v>
      </c>
      <c r="M2412" s="1">
        <v>1.7393328349999999</v>
      </c>
      <c r="N2412" s="1">
        <v>1.7393328349999999</v>
      </c>
      <c r="O2412" s="1">
        <v>1.7393328349999999</v>
      </c>
      <c r="P2412" s="1">
        <v>1.7393328349999999</v>
      </c>
      <c r="Q2412" s="1">
        <v>2.597100669</v>
      </c>
      <c r="R2412" s="1">
        <v>1.7393328349999999</v>
      </c>
      <c r="S2412" s="1">
        <v>2.5733617299999998</v>
      </c>
      <c r="T2412" s="1">
        <v>1.7393328349999999</v>
      </c>
      <c r="U2412" s="1">
        <v>1.7393328349999999</v>
      </c>
      <c r="V2412" s="1">
        <v>1.7393328349999999</v>
      </c>
      <c r="W2412" s="1">
        <v>1.7393328349999999</v>
      </c>
      <c r="X2412" s="1">
        <v>1.7393328349999999</v>
      </c>
      <c r="Y2412" s="1">
        <v>1.7393328349999999</v>
      </c>
      <c r="Z2412" s="1">
        <v>1.7393328349999999</v>
      </c>
      <c r="AA2412" s="1">
        <v>2.5733617299999998</v>
      </c>
      <c r="AB2412" s="1">
        <v>1.7393328349999999</v>
      </c>
      <c r="AC2412" s="1">
        <v>1.7393328349999999</v>
      </c>
      <c r="AD2412" s="1">
        <v>1.7393328349999999</v>
      </c>
      <c r="AE2412" s="1">
        <v>1.7393328349999999</v>
      </c>
    </row>
    <row r="2413" spans="1:31" x14ac:dyDescent="0.25">
      <c r="A2413" s="1" t="s">
        <v>1347</v>
      </c>
      <c r="B2413" s="1" t="s">
        <v>2535</v>
      </c>
      <c r="C2413" s="1" t="s">
        <v>2535</v>
      </c>
      <c r="D2413" s="1" t="s">
        <v>2535</v>
      </c>
      <c r="E2413" s="1" t="s">
        <v>2535</v>
      </c>
      <c r="F2413" s="1" t="s">
        <v>2535</v>
      </c>
      <c r="G2413" s="1" t="s">
        <v>1347</v>
      </c>
      <c r="H2413" s="1">
        <v>1.7393328349999999</v>
      </c>
      <c r="I2413" s="1">
        <v>1.7393328349999999</v>
      </c>
      <c r="J2413" s="1">
        <v>1.7393328349999999</v>
      </c>
      <c r="K2413" s="1">
        <v>1.7393328349999999</v>
      </c>
      <c r="L2413" s="1">
        <v>1.7393328349999999</v>
      </c>
      <c r="M2413" s="1">
        <v>1.7393328349999999</v>
      </c>
      <c r="N2413" s="1">
        <v>1.7393328349999999</v>
      </c>
      <c r="O2413" s="1">
        <v>1.7393328349999999</v>
      </c>
      <c r="P2413" s="1">
        <v>1.7393328349999999</v>
      </c>
      <c r="Q2413" s="1">
        <v>1.7393328349999999</v>
      </c>
      <c r="R2413" s="1">
        <v>1.7393328349999999</v>
      </c>
      <c r="S2413" s="1">
        <v>1.7393328349999999</v>
      </c>
      <c r="T2413" s="1">
        <v>1.7393328349999999</v>
      </c>
      <c r="U2413" s="1">
        <v>1.7393328349999999</v>
      </c>
      <c r="V2413" s="1">
        <v>1.7393328349999999</v>
      </c>
      <c r="W2413" s="1">
        <v>1.7393328349999999</v>
      </c>
      <c r="X2413" s="1">
        <v>1.7393328349999999</v>
      </c>
      <c r="Y2413" s="1">
        <v>1.7393328349999999</v>
      </c>
      <c r="Z2413" s="1">
        <v>1.7393328349999999</v>
      </c>
      <c r="AA2413" s="1">
        <v>1.7393328349999999</v>
      </c>
      <c r="AB2413" s="1">
        <v>1.7393328349999999</v>
      </c>
      <c r="AC2413" s="1">
        <v>1.7393328349999999</v>
      </c>
      <c r="AD2413" s="1">
        <v>1.7393328349999999</v>
      </c>
      <c r="AE2413" s="1">
        <v>2.3627668220000002</v>
      </c>
    </row>
    <row r="2414" spans="1:31" x14ac:dyDescent="0.25">
      <c r="A2414" s="1" t="s">
        <v>1357</v>
      </c>
      <c r="B2414" s="1" t="s">
        <v>2530</v>
      </c>
      <c r="C2414" s="1" t="s">
        <v>2531</v>
      </c>
      <c r="D2414" s="1" t="s">
        <v>2535</v>
      </c>
      <c r="E2414" s="1" t="s">
        <v>2536</v>
      </c>
      <c r="G2414" s="1" t="s">
        <v>1357</v>
      </c>
      <c r="H2414" s="1">
        <v>8.2415270950000004</v>
      </c>
      <c r="I2414" s="1">
        <v>8.0884290350000008</v>
      </c>
      <c r="J2414" s="1">
        <v>7.3436743140000003</v>
      </c>
      <c r="K2414" s="1">
        <v>7.8945778720000002</v>
      </c>
      <c r="L2414" s="1">
        <v>6.0182159679999998</v>
      </c>
      <c r="M2414" s="1">
        <v>5.6801009100000002</v>
      </c>
      <c r="N2414" s="1">
        <v>7.7980630120000001</v>
      </c>
      <c r="O2414" s="1">
        <v>8.2338348460000006</v>
      </c>
      <c r="P2414" s="1">
        <v>6.7943075329999996</v>
      </c>
      <c r="Q2414" s="1">
        <v>6.9023327999999999</v>
      </c>
      <c r="R2414" s="1">
        <v>6.532477096</v>
      </c>
      <c r="S2414" s="1">
        <v>6.5149715439999998</v>
      </c>
      <c r="T2414" s="1">
        <v>6.0182159679999998</v>
      </c>
      <c r="U2414" s="1">
        <v>5.6801009100000002</v>
      </c>
      <c r="V2414" s="1">
        <v>6.6330969629999998</v>
      </c>
      <c r="W2414" s="1">
        <v>6.7165296740000002</v>
      </c>
      <c r="X2414" s="1">
        <v>6.430767253</v>
      </c>
      <c r="Y2414" s="1">
        <v>6.8689654070000001</v>
      </c>
      <c r="Z2414" s="1">
        <v>6.532477096</v>
      </c>
      <c r="AA2414" s="1">
        <v>6.5149715439999998</v>
      </c>
      <c r="AB2414" s="1">
        <v>6.679460873</v>
      </c>
      <c r="AC2414" s="1">
        <v>6.7024263700000004</v>
      </c>
      <c r="AD2414" s="1">
        <v>7.0733477520000001</v>
      </c>
      <c r="AE2414" s="1">
        <v>7.1763997049999997</v>
      </c>
    </row>
    <row r="2415" spans="1:31" x14ac:dyDescent="0.25">
      <c r="A2415" s="1" t="s">
        <v>1360</v>
      </c>
      <c r="B2415" s="1" t="s">
        <v>2530</v>
      </c>
      <c r="C2415" s="1" t="s">
        <v>2531</v>
      </c>
      <c r="D2415" s="1" t="s">
        <v>2535</v>
      </c>
      <c r="E2415" s="1" t="s">
        <v>2536</v>
      </c>
      <c r="G2415" s="1" t="s">
        <v>1360</v>
      </c>
      <c r="H2415" s="1">
        <v>5.5896774330000003</v>
      </c>
      <c r="I2415" s="1">
        <v>5.0595268689999999</v>
      </c>
      <c r="J2415" s="1">
        <v>4.5240842389999996</v>
      </c>
      <c r="K2415" s="1">
        <v>5.4913640639999999</v>
      </c>
      <c r="L2415" s="1">
        <v>4.9358482109999997</v>
      </c>
      <c r="M2415" s="1">
        <v>4.1225413939999997</v>
      </c>
      <c r="N2415" s="1">
        <v>5.1081614489999998</v>
      </c>
      <c r="O2415" s="1">
        <v>5.2237789919999997</v>
      </c>
      <c r="P2415" s="1">
        <v>5.3900565609999997</v>
      </c>
      <c r="Q2415" s="1">
        <v>5.4628336309999996</v>
      </c>
      <c r="R2415" s="1">
        <v>4.9894654599999999</v>
      </c>
      <c r="S2415" s="1">
        <v>4.7503017500000002</v>
      </c>
      <c r="T2415" s="1">
        <v>4.9358482109999997</v>
      </c>
      <c r="U2415" s="1">
        <v>4.1225413939999997</v>
      </c>
      <c r="V2415" s="1">
        <v>4.7533922439999996</v>
      </c>
      <c r="W2415" s="1">
        <v>4.7760085830000003</v>
      </c>
      <c r="X2415" s="1">
        <v>4.7537743670000001</v>
      </c>
      <c r="Y2415" s="1">
        <v>4.8250325140000001</v>
      </c>
      <c r="Z2415" s="1">
        <v>4.9894654599999999</v>
      </c>
      <c r="AA2415" s="1">
        <v>4.7503017500000002</v>
      </c>
      <c r="AB2415" s="1">
        <v>4.5063178209999997</v>
      </c>
      <c r="AC2415" s="1">
        <v>4.9660712470000004</v>
      </c>
      <c r="AD2415" s="1">
        <v>5.4385263000000004</v>
      </c>
      <c r="AE2415" s="1">
        <v>5.4097399240000001</v>
      </c>
    </row>
    <row r="2416" spans="1:31" x14ac:dyDescent="0.25">
      <c r="A2416" s="1" t="s">
        <v>1372</v>
      </c>
      <c r="B2416" s="1" t="s">
        <v>2642</v>
      </c>
      <c r="C2416" s="1" t="s">
        <v>2643</v>
      </c>
      <c r="D2416" s="1" t="s">
        <v>2687</v>
      </c>
      <c r="E2416" s="1" t="s">
        <v>3726</v>
      </c>
      <c r="F2416" s="1" t="s">
        <v>3727</v>
      </c>
      <c r="G2416" s="1" t="s">
        <v>1372</v>
      </c>
      <c r="H2416" s="1">
        <v>2.9945681560000001</v>
      </c>
      <c r="I2416" s="1">
        <v>2.8927893610000002</v>
      </c>
      <c r="J2416" s="1">
        <v>1.7393328349999999</v>
      </c>
      <c r="K2416" s="1">
        <v>1.7393328349999999</v>
      </c>
      <c r="L2416" s="1">
        <v>1.7393328349999999</v>
      </c>
      <c r="M2416" s="1">
        <v>3.027864058</v>
      </c>
      <c r="N2416" s="1">
        <v>2.628425199</v>
      </c>
      <c r="O2416" s="1">
        <v>2.411448644</v>
      </c>
      <c r="P2416" s="1">
        <v>1.7393328349999999</v>
      </c>
      <c r="Q2416" s="1">
        <v>1.7393328349999999</v>
      </c>
      <c r="R2416" s="1">
        <v>1.7393328349999999</v>
      </c>
      <c r="S2416" s="1">
        <v>2.9034795349999998</v>
      </c>
      <c r="T2416" s="1">
        <v>1.7393328349999999</v>
      </c>
      <c r="U2416" s="1">
        <v>3.027864058</v>
      </c>
      <c r="V2416" s="1">
        <v>3.2389700330000002</v>
      </c>
      <c r="W2416" s="1">
        <v>3.0218530750000001</v>
      </c>
      <c r="X2416" s="1">
        <v>2.9542167930000001</v>
      </c>
      <c r="Y2416" s="1">
        <v>2.624795792</v>
      </c>
      <c r="Z2416" s="1">
        <v>1.7393328349999999</v>
      </c>
      <c r="AA2416" s="1">
        <v>2.9034795349999998</v>
      </c>
      <c r="AB2416" s="1">
        <v>1.7393328349999999</v>
      </c>
      <c r="AC2416" s="1">
        <v>2.5506926650000001</v>
      </c>
      <c r="AD2416" s="1">
        <v>2.9432342459999998</v>
      </c>
      <c r="AE2416" s="1">
        <v>2.3627668220000002</v>
      </c>
    </row>
    <row r="2417" spans="1:31" x14ac:dyDescent="0.25">
      <c r="A2417" s="1" t="s">
        <v>1373</v>
      </c>
      <c r="B2417" s="1" t="s">
        <v>2535</v>
      </c>
      <c r="C2417" s="1" t="s">
        <v>2535</v>
      </c>
      <c r="D2417" s="1" t="s">
        <v>2535</v>
      </c>
      <c r="E2417" s="1" t="s">
        <v>2535</v>
      </c>
      <c r="F2417" s="1" t="s">
        <v>2535</v>
      </c>
      <c r="G2417" s="1" t="s">
        <v>1373</v>
      </c>
      <c r="H2417" s="1">
        <v>1.7393328349999999</v>
      </c>
      <c r="I2417" s="1">
        <v>1.7393328349999999</v>
      </c>
      <c r="J2417" s="1">
        <v>1.7393328349999999</v>
      </c>
      <c r="K2417" s="1">
        <v>2.620638279</v>
      </c>
      <c r="L2417" s="1">
        <v>1.7393328349999999</v>
      </c>
      <c r="M2417" s="1">
        <v>1.7393328349999999</v>
      </c>
      <c r="N2417" s="1">
        <v>1.7393328349999999</v>
      </c>
      <c r="O2417" s="1">
        <v>2.411448644</v>
      </c>
      <c r="P2417" s="1">
        <v>1.7393328349999999</v>
      </c>
      <c r="Q2417" s="1">
        <v>1.7393328349999999</v>
      </c>
      <c r="R2417" s="1">
        <v>1.7393328349999999</v>
      </c>
      <c r="S2417" s="1">
        <v>1.7393328349999999</v>
      </c>
      <c r="T2417" s="1">
        <v>1.7393328349999999</v>
      </c>
      <c r="U2417" s="1">
        <v>1.7393328349999999</v>
      </c>
      <c r="V2417" s="1">
        <v>1.7393328349999999</v>
      </c>
      <c r="W2417" s="1">
        <v>1.7393328349999999</v>
      </c>
      <c r="X2417" s="1">
        <v>1.7393328349999999</v>
      </c>
      <c r="Y2417" s="1">
        <v>1.7393328349999999</v>
      </c>
      <c r="Z2417" s="1">
        <v>1.7393328349999999</v>
      </c>
      <c r="AA2417" s="1">
        <v>1.7393328349999999</v>
      </c>
      <c r="AB2417" s="1">
        <v>1.7393328349999999</v>
      </c>
      <c r="AC2417" s="1">
        <v>1.7393328349999999</v>
      </c>
      <c r="AD2417" s="1">
        <v>1.7393328349999999</v>
      </c>
      <c r="AE2417" s="1">
        <v>1.7393328349999999</v>
      </c>
    </row>
    <row r="2418" spans="1:31" x14ac:dyDescent="0.25">
      <c r="A2418" s="1" t="s">
        <v>1411</v>
      </c>
      <c r="B2418" s="1" t="s">
        <v>2520</v>
      </c>
      <c r="C2418" s="1" t="s">
        <v>3853</v>
      </c>
      <c r="D2418" s="1" t="s">
        <v>6050</v>
      </c>
      <c r="E2418" s="1" t="s">
        <v>6051</v>
      </c>
      <c r="F2418" s="1" t="s">
        <v>6052</v>
      </c>
      <c r="G2418" s="1" t="s">
        <v>1411</v>
      </c>
      <c r="H2418" s="1">
        <v>3.9421380259999999</v>
      </c>
      <c r="I2418" s="1">
        <v>3.5006354609999999</v>
      </c>
      <c r="J2418" s="1">
        <v>1.7393328349999999</v>
      </c>
      <c r="K2418" s="1">
        <v>2.620638279</v>
      </c>
      <c r="L2418" s="1">
        <v>2.8704126319999999</v>
      </c>
      <c r="M2418" s="1">
        <v>3.4067547010000001</v>
      </c>
      <c r="N2418" s="1">
        <v>3.7025667929999999</v>
      </c>
      <c r="O2418" s="1">
        <v>2.883783352</v>
      </c>
      <c r="P2418" s="1">
        <v>3.106446558</v>
      </c>
      <c r="Q2418" s="1">
        <v>3.388910638</v>
      </c>
      <c r="R2418" s="1">
        <v>3.1834741979999999</v>
      </c>
      <c r="S2418" s="1">
        <v>3.5159502420000002</v>
      </c>
      <c r="T2418" s="1">
        <v>2.8704126319999999</v>
      </c>
      <c r="U2418" s="1">
        <v>3.4067547010000001</v>
      </c>
      <c r="V2418" s="1">
        <v>3.2389700330000002</v>
      </c>
      <c r="W2418" s="1">
        <v>3.2870366010000001</v>
      </c>
      <c r="X2418" s="1">
        <v>3.6673381269999998</v>
      </c>
      <c r="Y2418" s="1">
        <v>3.6154848500000001</v>
      </c>
      <c r="Z2418" s="1">
        <v>3.1834741979999999</v>
      </c>
      <c r="AA2418" s="1">
        <v>3.5159502420000002</v>
      </c>
      <c r="AB2418" s="1">
        <v>4.139369361</v>
      </c>
      <c r="AC2418" s="1">
        <v>1.7393328349999999</v>
      </c>
      <c r="AD2418" s="1">
        <v>3.1944880649999998</v>
      </c>
      <c r="AE2418" s="1">
        <v>3.419797387</v>
      </c>
    </row>
    <row r="2419" spans="1:31" x14ac:dyDescent="0.25">
      <c r="A2419" s="1" t="s">
        <v>1438</v>
      </c>
      <c r="B2419" s="1" t="s">
        <v>2535</v>
      </c>
      <c r="C2419" s="1" t="s">
        <v>2535</v>
      </c>
      <c r="D2419" s="1" t="s">
        <v>2535</v>
      </c>
      <c r="E2419" s="1" t="s">
        <v>2535</v>
      </c>
      <c r="F2419" s="1" t="s">
        <v>2535</v>
      </c>
      <c r="G2419" s="1" t="s">
        <v>1438</v>
      </c>
      <c r="H2419" s="1">
        <v>1.7393328349999999</v>
      </c>
      <c r="I2419" s="1">
        <v>1.7393328349999999</v>
      </c>
      <c r="J2419" s="1">
        <v>1.7393328349999999</v>
      </c>
      <c r="K2419" s="1">
        <v>1.7393328349999999</v>
      </c>
      <c r="L2419" s="1">
        <v>1.7393328349999999</v>
      </c>
      <c r="M2419" s="1">
        <v>1.7393328349999999</v>
      </c>
      <c r="N2419" s="1">
        <v>3.23577855</v>
      </c>
      <c r="O2419" s="1">
        <v>1.7393328349999999</v>
      </c>
      <c r="P2419" s="1">
        <v>2.5478783159999998</v>
      </c>
      <c r="Q2419" s="1">
        <v>1.7393328349999999</v>
      </c>
      <c r="R2419" s="1">
        <v>1.7393328349999999</v>
      </c>
      <c r="S2419" s="1">
        <v>1.7393328349999999</v>
      </c>
      <c r="T2419" s="1">
        <v>1.7393328349999999</v>
      </c>
      <c r="U2419" s="1">
        <v>1.7393328349999999</v>
      </c>
      <c r="V2419" s="1">
        <v>2.8225047829999999</v>
      </c>
      <c r="W2419" s="1">
        <v>2.6606351240000001</v>
      </c>
      <c r="X2419" s="1">
        <v>1.7393328349999999</v>
      </c>
      <c r="Y2419" s="1">
        <v>1.7393328349999999</v>
      </c>
      <c r="Z2419" s="1">
        <v>1.7393328349999999</v>
      </c>
      <c r="AA2419" s="1">
        <v>1.7393328349999999</v>
      </c>
      <c r="AB2419" s="1">
        <v>1.7393328349999999</v>
      </c>
      <c r="AC2419" s="1">
        <v>1.7393328349999999</v>
      </c>
      <c r="AD2419" s="1">
        <v>1.7393328349999999</v>
      </c>
      <c r="AE2419" s="1">
        <v>2.3627668220000002</v>
      </c>
    </row>
    <row r="2420" spans="1:31" x14ac:dyDescent="0.25">
      <c r="A2420" s="1" t="s">
        <v>1440</v>
      </c>
      <c r="B2420" s="1" t="s">
        <v>2579</v>
      </c>
      <c r="C2420" s="1" t="s">
        <v>2933</v>
      </c>
      <c r="D2420" s="1" t="s">
        <v>4889</v>
      </c>
      <c r="E2420" s="1" t="s">
        <v>6053</v>
      </c>
      <c r="F2420" s="1" t="s">
        <v>6054</v>
      </c>
      <c r="G2420" s="1" t="s">
        <v>1440</v>
      </c>
      <c r="H2420" s="1">
        <v>4.6479005740000003</v>
      </c>
      <c r="I2420" s="1">
        <v>5.4067069720000003</v>
      </c>
      <c r="J2420" s="1">
        <v>5.2817155790000001</v>
      </c>
      <c r="K2420" s="1">
        <v>5.6482047069999997</v>
      </c>
      <c r="L2420" s="1">
        <v>6.2716175139999999</v>
      </c>
      <c r="M2420" s="1">
        <v>5.6393255609999997</v>
      </c>
      <c r="N2420" s="1">
        <v>5.4717898820000004</v>
      </c>
      <c r="O2420" s="1">
        <v>4.4862678239999996</v>
      </c>
      <c r="P2420" s="1">
        <v>5.426847231</v>
      </c>
      <c r="Q2420" s="1">
        <v>5.5406489910000003</v>
      </c>
      <c r="R2420" s="1">
        <v>5.3334881589999998</v>
      </c>
      <c r="S2420" s="1">
        <v>4.8114074450000004</v>
      </c>
      <c r="T2420" s="1">
        <v>6.2716175139999999</v>
      </c>
      <c r="U2420" s="1">
        <v>5.6393255609999997</v>
      </c>
      <c r="V2420" s="1">
        <v>5.2072842770000003</v>
      </c>
      <c r="W2420" s="1">
        <v>4.3370700810000002</v>
      </c>
      <c r="X2420" s="1">
        <v>5.6186994139999999</v>
      </c>
      <c r="Y2420" s="1">
        <v>4.8250325140000001</v>
      </c>
      <c r="Z2420" s="1">
        <v>5.3334881589999998</v>
      </c>
      <c r="AA2420" s="1">
        <v>4.8114074450000004</v>
      </c>
      <c r="AB2420" s="1">
        <v>4.8804215500000003</v>
      </c>
      <c r="AC2420" s="1">
        <v>4.4881955270000002</v>
      </c>
      <c r="AD2420" s="1">
        <v>5.116107059</v>
      </c>
      <c r="AE2420" s="1">
        <v>5.0693189500000004</v>
      </c>
    </row>
    <row r="2421" spans="1:31" x14ac:dyDescent="0.25">
      <c r="A2421" s="1" t="s">
        <v>1446</v>
      </c>
      <c r="B2421" s="1" t="s">
        <v>2530</v>
      </c>
      <c r="C2421" s="1" t="s">
        <v>2531</v>
      </c>
      <c r="D2421" s="1" t="s">
        <v>2535</v>
      </c>
      <c r="E2421" s="1" t="s">
        <v>2621</v>
      </c>
      <c r="G2421" s="1" t="s">
        <v>1446</v>
      </c>
      <c r="H2421" s="1">
        <v>5.8817546890000001</v>
      </c>
      <c r="I2421" s="1">
        <v>5.3676718369999996</v>
      </c>
      <c r="J2421" s="1">
        <v>5.5131441250000002</v>
      </c>
      <c r="K2421" s="1">
        <v>5.4493056099999997</v>
      </c>
      <c r="L2421" s="1">
        <v>5.128160297</v>
      </c>
      <c r="M2421" s="1">
        <v>5.1796951440000001</v>
      </c>
      <c r="N2421" s="1">
        <v>4.9318354150000001</v>
      </c>
      <c r="O2421" s="1">
        <v>5.1040005129999999</v>
      </c>
      <c r="P2421" s="1">
        <v>4.4805784009999998</v>
      </c>
      <c r="Q2421" s="1">
        <v>5.6499570400000003</v>
      </c>
      <c r="R2421" s="1">
        <v>5.3334881589999998</v>
      </c>
      <c r="S2421" s="1">
        <v>5.6117239269999999</v>
      </c>
      <c r="T2421" s="1">
        <v>5.128160297</v>
      </c>
      <c r="U2421" s="1">
        <v>5.1796951440000001</v>
      </c>
      <c r="V2421" s="1">
        <v>4.998512388</v>
      </c>
      <c r="W2421" s="1">
        <v>4.9190341039999996</v>
      </c>
      <c r="X2421" s="1">
        <v>5.3771830209999996</v>
      </c>
      <c r="Y2421" s="1">
        <v>6.2347231909999996</v>
      </c>
      <c r="Z2421" s="1">
        <v>5.3334881589999998</v>
      </c>
      <c r="AA2421" s="1">
        <v>5.6117239269999999</v>
      </c>
      <c r="AB2421" s="1">
        <v>5.851934376</v>
      </c>
      <c r="AC2421" s="1">
        <v>5.198889973</v>
      </c>
      <c r="AD2421" s="1">
        <v>5.7012900599999998</v>
      </c>
      <c r="AE2421" s="1">
        <v>5.5536024810000004</v>
      </c>
    </row>
    <row r="2422" spans="1:31" x14ac:dyDescent="0.25">
      <c r="A2422" s="1" t="s">
        <v>1451</v>
      </c>
      <c r="B2422" s="1" t="s">
        <v>2530</v>
      </c>
      <c r="C2422" s="1" t="s">
        <v>2531</v>
      </c>
      <c r="D2422" s="1" t="s">
        <v>2535</v>
      </c>
      <c r="E2422" s="1" t="s">
        <v>2621</v>
      </c>
      <c r="G2422" s="1" t="s">
        <v>1451</v>
      </c>
      <c r="H2422" s="1">
        <v>8.8245271499999998</v>
      </c>
      <c r="I2422" s="1">
        <v>8.866839079</v>
      </c>
      <c r="J2422" s="1">
        <v>6.0426942559999999</v>
      </c>
      <c r="K2422" s="1">
        <v>6.9184473520000003</v>
      </c>
      <c r="L2422" s="1">
        <v>5.5187262759999998</v>
      </c>
      <c r="M2422" s="1">
        <v>4.9642129490000002</v>
      </c>
      <c r="N2422" s="1">
        <v>8.3133891089999992</v>
      </c>
      <c r="O2422" s="1">
        <v>8.2583799819999992</v>
      </c>
      <c r="P2422" s="1">
        <v>6.6313784599999996</v>
      </c>
      <c r="Q2422" s="1">
        <v>6.459205753</v>
      </c>
      <c r="R2422" s="1">
        <v>5.2891602459999998</v>
      </c>
      <c r="S2422" s="1">
        <v>5.7416668729999998</v>
      </c>
      <c r="T2422" s="1">
        <v>5.5187262759999998</v>
      </c>
      <c r="U2422" s="1">
        <v>4.9642129490000002</v>
      </c>
      <c r="V2422" s="1">
        <v>6.7698772270000003</v>
      </c>
      <c r="W2422" s="1">
        <v>6.9149645719999997</v>
      </c>
      <c r="X2422" s="1">
        <v>6.3772162630000002</v>
      </c>
      <c r="Y2422" s="1">
        <v>7.0353119980000001</v>
      </c>
      <c r="Z2422" s="1">
        <v>5.2891602459999998</v>
      </c>
      <c r="AA2422" s="1">
        <v>5.7416668729999998</v>
      </c>
      <c r="AB2422" s="1">
        <v>6.4797931459999996</v>
      </c>
      <c r="AC2422" s="1">
        <v>5.8163513240000002</v>
      </c>
      <c r="AD2422" s="1">
        <v>6.554572984</v>
      </c>
      <c r="AE2422" s="1">
        <v>6.4212742540000001</v>
      </c>
    </row>
    <row r="2423" spans="1:31" x14ac:dyDescent="0.25">
      <c r="A2423" s="1" t="s">
        <v>1456</v>
      </c>
      <c r="B2423" s="1" t="s">
        <v>2530</v>
      </c>
      <c r="C2423" s="1" t="s">
        <v>2531</v>
      </c>
      <c r="D2423" s="1" t="s">
        <v>2535</v>
      </c>
      <c r="E2423" s="1" t="s">
        <v>6055</v>
      </c>
      <c r="G2423" s="1" t="s">
        <v>1456</v>
      </c>
      <c r="H2423" s="1">
        <v>4.2900513550000001</v>
      </c>
      <c r="I2423" s="1">
        <v>4.2936285989999998</v>
      </c>
      <c r="J2423" s="1">
        <v>3.4977151119999998</v>
      </c>
      <c r="K2423" s="1">
        <v>3.607491666</v>
      </c>
      <c r="L2423" s="1">
        <v>4.0714409539999998</v>
      </c>
      <c r="M2423" s="1">
        <v>3.6044002019999999</v>
      </c>
      <c r="N2423" s="1">
        <v>3.9806352139999999</v>
      </c>
      <c r="O2423" s="1">
        <v>4.2767880749999998</v>
      </c>
      <c r="P2423" s="1">
        <v>3.466113682</v>
      </c>
      <c r="Q2423" s="1">
        <v>3.7137735799999998</v>
      </c>
      <c r="R2423" s="1">
        <v>3.386455024</v>
      </c>
      <c r="S2423" s="1">
        <v>3.5159502420000002</v>
      </c>
      <c r="T2423" s="1">
        <v>4.0714409539999998</v>
      </c>
      <c r="U2423" s="1">
        <v>3.6044002019999999</v>
      </c>
      <c r="V2423" s="1">
        <v>3.6670520409999998</v>
      </c>
      <c r="W2423" s="1">
        <v>3.50175473</v>
      </c>
      <c r="X2423" s="1">
        <v>3.5883256710000002</v>
      </c>
      <c r="Y2423" s="1">
        <v>3.6154848500000001</v>
      </c>
      <c r="Z2423" s="1">
        <v>3.386455024</v>
      </c>
      <c r="AA2423" s="1">
        <v>3.5159502420000002</v>
      </c>
      <c r="AB2423" s="1">
        <v>3.990981031</v>
      </c>
      <c r="AC2423" s="1">
        <v>3.6175630609999998</v>
      </c>
      <c r="AD2423" s="1">
        <v>4.4715299570000004</v>
      </c>
      <c r="AE2423" s="1">
        <v>3.321206681</v>
      </c>
    </row>
    <row r="2424" spans="1:31" x14ac:dyDescent="0.25">
      <c r="A2424" s="1" t="s">
        <v>1467</v>
      </c>
      <c r="B2424" s="1" t="s">
        <v>3099</v>
      </c>
      <c r="C2424" s="1" t="s">
        <v>3100</v>
      </c>
      <c r="D2424" s="1" t="s">
        <v>2535</v>
      </c>
      <c r="E2424" s="1" t="s">
        <v>6056</v>
      </c>
      <c r="F2424" s="1" t="s">
        <v>6057</v>
      </c>
      <c r="G2424" s="1" t="s">
        <v>1467</v>
      </c>
      <c r="H2424" s="1">
        <v>5.3712699940000004</v>
      </c>
      <c r="I2424" s="1">
        <v>5.8640648840000003</v>
      </c>
      <c r="J2424" s="1">
        <v>4.5240842389999996</v>
      </c>
      <c r="K2424" s="1">
        <v>5.3151275040000003</v>
      </c>
      <c r="L2424" s="1">
        <v>4.5867597299999998</v>
      </c>
      <c r="M2424" s="1">
        <v>4.2945656129999996</v>
      </c>
      <c r="N2424" s="1">
        <v>5.3605984370000002</v>
      </c>
      <c r="O2424" s="1">
        <v>5.0070106360000004</v>
      </c>
      <c r="P2424" s="1">
        <v>4.9062897479999998</v>
      </c>
      <c r="Q2424" s="1">
        <v>5.0479127070000001</v>
      </c>
      <c r="R2424" s="1">
        <v>4.6083586160000003</v>
      </c>
      <c r="S2424" s="1">
        <v>4.0285685429999996</v>
      </c>
      <c r="T2424" s="1">
        <v>4.5867597299999998</v>
      </c>
      <c r="U2424" s="1">
        <v>4.2945656129999996</v>
      </c>
      <c r="V2424" s="1">
        <v>4.5826682710000002</v>
      </c>
      <c r="W2424" s="1">
        <v>4.6166922860000001</v>
      </c>
      <c r="X2424" s="1">
        <v>4.3627028770000003</v>
      </c>
      <c r="Y2424" s="1">
        <v>3.4382968329999999</v>
      </c>
      <c r="Z2424" s="1">
        <v>4.6083586160000003</v>
      </c>
      <c r="AA2424" s="1">
        <v>4.0285685429999996</v>
      </c>
      <c r="AB2424" s="1">
        <v>3.990981031</v>
      </c>
      <c r="AC2424" s="1">
        <v>4.9145215069999999</v>
      </c>
      <c r="AD2424" s="1">
        <v>3.725077481</v>
      </c>
      <c r="AE2424" s="1">
        <v>4.542053224</v>
      </c>
    </row>
    <row r="2425" spans="1:31" x14ac:dyDescent="0.25">
      <c r="A2425" s="1" t="s">
        <v>1508</v>
      </c>
      <c r="B2425" s="1" t="s">
        <v>2530</v>
      </c>
      <c r="C2425" s="1" t="s">
        <v>2531</v>
      </c>
      <c r="D2425" s="1" t="s">
        <v>2535</v>
      </c>
      <c r="E2425" s="1" t="s">
        <v>6058</v>
      </c>
      <c r="F2425" s="1" t="s">
        <v>6059</v>
      </c>
      <c r="G2425" s="1" t="s">
        <v>1508</v>
      </c>
      <c r="H2425" s="1">
        <v>6.8693110669999999</v>
      </c>
      <c r="I2425" s="1">
        <v>6.7825936330000003</v>
      </c>
      <c r="J2425" s="1">
        <v>6.0178848</v>
      </c>
      <c r="K2425" s="1">
        <v>6.4725304650000002</v>
      </c>
      <c r="L2425" s="1">
        <v>5.2773631679999999</v>
      </c>
      <c r="M2425" s="1">
        <v>5.5758954550000004</v>
      </c>
      <c r="N2425" s="1">
        <v>5.910461819</v>
      </c>
      <c r="O2425" s="1">
        <v>6.2316979249999997</v>
      </c>
      <c r="P2425" s="1">
        <v>5.5318451900000003</v>
      </c>
      <c r="Q2425" s="1">
        <v>6.098094251</v>
      </c>
      <c r="R2425" s="1">
        <v>5.2434057019999996</v>
      </c>
      <c r="S2425" s="1">
        <v>5.505875713</v>
      </c>
      <c r="T2425" s="1">
        <v>5.2773631679999999</v>
      </c>
      <c r="U2425" s="1">
        <v>5.5758954550000004</v>
      </c>
      <c r="V2425" s="1">
        <v>5.7495972609999999</v>
      </c>
      <c r="W2425" s="1">
        <v>5.6472737119999996</v>
      </c>
      <c r="X2425" s="1">
        <v>5.6909099879999996</v>
      </c>
      <c r="Y2425" s="1">
        <v>6.0201969059999998</v>
      </c>
      <c r="Z2425" s="1">
        <v>5.2434057019999996</v>
      </c>
      <c r="AA2425" s="1">
        <v>5.505875713</v>
      </c>
      <c r="AB2425" s="1">
        <v>5.8927983030000002</v>
      </c>
      <c r="AC2425" s="1">
        <v>5.7595305120000004</v>
      </c>
      <c r="AD2425" s="1">
        <v>5.9522696560000004</v>
      </c>
      <c r="AE2425" s="1">
        <v>5.5730198079999997</v>
      </c>
    </row>
    <row r="2426" spans="1:31" x14ac:dyDescent="0.25">
      <c r="A2426" s="1" t="s">
        <v>1535</v>
      </c>
      <c r="B2426" s="1" t="s">
        <v>2530</v>
      </c>
      <c r="C2426" s="1" t="s">
        <v>2531</v>
      </c>
      <c r="D2426" s="1" t="s">
        <v>2535</v>
      </c>
      <c r="E2426" s="1" t="s">
        <v>2536</v>
      </c>
      <c r="G2426" s="1" t="s">
        <v>1535</v>
      </c>
      <c r="H2426" s="1">
        <v>2.9945681560000001</v>
      </c>
      <c r="I2426" s="1">
        <v>2.5655118899999998</v>
      </c>
      <c r="J2426" s="1">
        <v>1.7393328349999999</v>
      </c>
      <c r="K2426" s="1">
        <v>1.7393328349999999</v>
      </c>
      <c r="L2426" s="1">
        <v>1.7393328349999999</v>
      </c>
      <c r="M2426" s="1">
        <v>1.7393328349999999</v>
      </c>
      <c r="N2426" s="1">
        <v>2.628425199</v>
      </c>
      <c r="O2426" s="1">
        <v>1.7393328349999999</v>
      </c>
      <c r="P2426" s="1">
        <v>1.7393328349999999</v>
      </c>
      <c r="Q2426" s="1">
        <v>1.7393328349999999</v>
      </c>
      <c r="R2426" s="1">
        <v>1.7393328349999999</v>
      </c>
      <c r="S2426" s="1">
        <v>2.5733617299999998</v>
      </c>
      <c r="T2426" s="1">
        <v>1.7393328349999999</v>
      </c>
      <c r="U2426" s="1">
        <v>1.7393328349999999</v>
      </c>
      <c r="V2426" s="1">
        <v>2.5140266200000001</v>
      </c>
      <c r="W2426" s="1">
        <v>1.7393328349999999</v>
      </c>
      <c r="X2426" s="1">
        <v>2.3600830049999999</v>
      </c>
      <c r="Y2426" s="1">
        <v>1.7393328349999999</v>
      </c>
      <c r="Z2426" s="1">
        <v>1.7393328349999999</v>
      </c>
      <c r="AA2426" s="1">
        <v>2.5733617299999998</v>
      </c>
      <c r="AB2426" s="1">
        <v>1.7393328349999999</v>
      </c>
      <c r="AC2426" s="1">
        <v>1.7393328349999999</v>
      </c>
      <c r="AD2426" s="1">
        <v>1.7393328349999999</v>
      </c>
      <c r="AE2426" s="1">
        <v>2.6144016259999998</v>
      </c>
    </row>
    <row r="2427" spans="1:31" x14ac:dyDescent="0.25">
      <c r="A2427" s="1" t="s">
        <v>1555</v>
      </c>
      <c r="B2427" s="1" t="s">
        <v>2579</v>
      </c>
      <c r="C2427" s="1" t="s">
        <v>2933</v>
      </c>
      <c r="D2427" s="1" t="s">
        <v>2934</v>
      </c>
      <c r="E2427" s="1" t="s">
        <v>6060</v>
      </c>
      <c r="F2427" s="1" t="s">
        <v>6061</v>
      </c>
      <c r="G2427" s="1" t="s">
        <v>1555</v>
      </c>
      <c r="H2427" s="1">
        <v>7.9974869689999997</v>
      </c>
      <c r="I2427" s="1">
        <v>7.9310191970000004</v>
      </c>
      <c r="J2427" s="1">
        <v>6.6703645099999997</v>
      </c>
      <c r="K2427" s="1">
        <v>7.0916736929999997</v>
      </c>
      <c r="L2427" s="1">
        <v>6.5877046339999996</v>
      </c>
      <c r="M2427" s="1">
        <v>6.7396661670000002</v>
      </c>
      <c r="N2427" s="1">
        <v>6.9736113900000003</v>
      </c>
      <c r="O2427" s="1">
        <v>7.0284800409999999</v>
      </c>
      <c r="P2427" s="1">
        <v>6.9406621209999999</v>
      </c>
      <c r="Q2427" s="1">
        <v>7.2054957130000004</v>
      </c>
      <c r="R2427" s="1">
        <v>6.8830922379999997</v>
      </c>
      <c r="S2427" s="1">
        <v>6.949641561</v>
      </c>
      <c r="T2427" s="1">
        <v>6.5877046339999996</v>
      </c>
      <c r="U2427" s="1">
        <v>6.7396661670000002</v>
      </c>
      <c r="V2427" s="1">
        <v>6.8084999039999996</v>
      </c>
      <c r="W2427" s="1">
        <v>7.1189004880000004</v>
      </c>
      <c r="X2427" s="1">
        <v>7.4342856350000002</v>
      </c>
      <c r="Y2427" s="1">
        <v>6.9469657070000004</v>
      </c>
      <c r="Z2427" s="1">
        <v>6.8830922379999997</v>
      </c>
      <c r="AA2427" s="1">
        <v>6.949641561</v>
      </c>
      <c r="AB2427" s="1">
        <v>6.7477303849999997</v>
      </c>
      <c r="AC2427" s="1">
        <v>6.9248703330000003</v>
      </c>
      <c r="AD2427" s="1">
        <v>7.0864885400000004</v>
      </c>
      <c r="AE2427" s="1">
        <v>7.2382459949999998</v>
      </c>
    </row>
    <row r="2428" spans="1:31" x14ac:dyDescent="0.25">
      <c r="A2428" s="1" t="s">
        <v>1559</v>
      </c>
      <c r="B2428" s="1" t="s">
        <v>2547</v>
      </c>
      <c r="C2428" s="1" t="s">
        <v>2566</v>
      </c>
      <c r="D2428" s="1" t="s">
        <v>2535</v>
      </c>
      <c r="E2428" s="1" t="s">
        <v>6062</v>
      </c>
      <c r="G2428" s="1" t="s">
        <v>1559</v>
      </c>
      <c r="H2428" s="1">
        <v>1.7393328349999999</v>
      </c>
      <c r="I2428" s="1">
        <v>2.5655118899999998</v>
      </c>
      <c r="J2428" s="1">
        <v>1.7393328349999999</v>
      </c>
      <c r="K2428" s="1">
        <v>2.9677134359999999</v>
      </c>
      <c r="L2428" s="1">
        <v>2.9964092330000001</v>
      </c>
      <c r="M2428" s="1">
        <v>2.8639998100000001</v>
      </c>
      <c r="N2428" s="1">
        <v>1.7393328349999999</v>
      </c>
      <c r="O2428" s="1">
        <v>2.883783352</v>
      </c>
      <c r="P2428" s="1">
        <v>3.106446558</v>
      </c>
      <c r="Q2428" s="1">
        <v>2.935765398</v>
      </c>
      <c r="R2428" s="1">
        <v>2.595728008</v>
      </c>
      <c r="S2428" s="1">
        <v>1.7393328349999999</v>
      </c>
      <c r="T2428" s="1">
        <v>2.9964092330000001</v>
      </c>
      <c r="U2428" s="1">
        <v>2.8639998100000001</v>
      </c>
      <c r="V2428" s="1">
        <v>3.3993802240000002</v>
      </c>
      <c r="W2428" s="1">
        <v>1.7393328349999999</v>
      </c>
      <c r="X2428" s="1">
        <v>2.7988456519999998</v>
      </c>
      <c r="Y2428" s="1">
        <v>2.624795792</v>
      </c>
      <c r="Z2428" s="1">
        <v>2.595728008</v>
      </c>
      <c r="AA2428" s="1">
        <v>1.7393328349999999</v>
      </c>
      <c r="AB2428" s="1">
        <v>1.7393328349999999</v>
      </c>
      <c r="AC2428" s="1">
        <v>2.5506926650000001</v>
      </c>
      <c r="AD2428" s="1">
        <v>1.7393328349999999</v>
      </c>
      <c r="AE2428" s="1">
        <v>2.3627668220000002</v>
      </c>
    </row>
    <row r="2429" spans="1:31" x14ac:dyDescent="0.25">
      <c r="A2429" s="1" t="s">
        <v>1566</v>
      </c>
      <c r="B2429" s="1" t="s">
        <v>2579</v>
      </c>
      <c r="C2429" s="1" t="s">
        <v>2933</v>
      </c>
      <c r="D2429" s="1" t="s">
        <v>4691</v>
      </c>
      <c r="E2429" s="1" t="s">
        <v>6063</v>
      </c>
      <c r="F2429" s="1" t="s">
        <v>6064</v>
      </c>
      <c r="G2429" s="1" t="s">
        <v>1566</v>
      </c>
      <c r="H2429" s="1">
        <v>8.9554261470000007</v>
      </c>
      <c r="I2429" s="1">
        <v>8.5360923090000007</v>
      </c>
      <c r="J2429" s="1">
        <v>9.0100988859999998</v>
      </c>
      <c r="K2429" s="1">
        <v>9.0208046979999992</v>
      </c>
      <c r="L2429" s="1">
        <v>8.5584560189999994</v>
      </c>
      <c r="M2429" s="1">
        <v>8.7784789560000007</v>
      </c>
      <c r="N2429" s="1">
        <v>8.0216289550000006</v>
      </c>
      <c r="O2429" s="1">
        <v>8.0001645739999994</v>
      </c>
      <c r="P2429" s="1">
        <v>9.1011407270000007</v>
      </c>
      <c r="Q2429" s="1">
        <v>9.1807841710000009</v>
      </c>
      <c r="R2429" s="1">
        <v>9.2148363969999991</v>
      </c>
      <c r="S2429" s="1">
        <v>9.1489183490000006</v>
      </c>
      <c r="T2429" s="1">
        <v>8.5584560189999994</v>
      </c>
      <c r="U2429" s="1">
        <v>8.7784789560000007</v>
      </c>
      <c r="V2429" s="1">
        <v>8.9274123470000006</v>
      </c>
      <c r="W2429" s="1">
        <v>9.0667660530000003</v>
      </c>
      <c r="X2429" s="1">
        <v>9.3802325779999993</v>
      </c>
      <c r="Y2429" s="1">
        <v>9.1312776620000005</v>
      </c>
      <c r="Z2429" s="1">
        <v>9.2148363969999991</v>
      </c>
      <c r="AA2429" s="1">
        <v>9.1489183490000006</v>
      </c>
      <c r="AB2429" s="1">
        <v>9.1480976950000006</v>
      </c>
      <c r="AC2429" s="1">
        <v>9.1393123989999996</v>
      </c>
      <c r="AD2429" s="1">
        <v>9.1219473420000003</v>
      </c>
      <c r="AE2429" s="1">
        <v>8.9173338859999998</v>
      </c>
    </row>
    <row r="2430" spans="1:31" x14ac:dyDescent="0.25">
      <c r="A2430" s="1" t="s">
        <v>1567</v>
      </c>
      <c r="B2430" s="1" t="s">
        <v>2579</v>
      </c>
      <c r="C2430" s="1" t="s">
        <v>2933</v>
      </c>
      <c r="D2430" s="1" t="s">
        <v>4691</v>
      </c>
      <c r="E2430" s="1" t="s">
        <v>6065</v>
      </c>
      <c r="F2430" s="1" t="s">
        <v>6066</v>
      </c>
      <c r="G2430" s="1" t="s">
        <v>1567</v>
      </c>
      <c r="H2430" s="1">
        <v>7.3097097360000003</v>
      </c>
      <c r="I2430" s="1">
        <v>7.1343877689999999</v>
      </c>
      <c r="J2430" s="1">
        <v>7.2929885179999996</v>
      </c>
      <c r="K2430" s="1">
        <v>7.4296093499999998</v>
      </c>
      <c r="L2430" s="1">
        <v>7.1617939220000002</v>
      </c>
      <c r="M2430" s="1">
        <v>7.1758500060000001</v>
      </c>
      <c r="N2430" s="1">
        <v>6.4435100419999998</v>
      </c>
      <c r="O2430" s="1">
        <v>6.6897001009999997</v>
      </c>
      <c r="P2430" s="1">
        <v>7.7294490900000001</v>
      </c>
      <c r="Q2430" s="1">
        <v>7.5617573509999998</v>
      </c>
      <c r="R2430" s="1">
        <v>7.2930261510000003</v>
      </c>
      <c r="S2430" s="1">
        <v>7.5625082770000001</v>
      </c>
      <c r="T2430" s="1">
        <v>7.1617939220000002</v>
      </c>
      <c r="U2430" s="1">
        <v>7.1758500060000001</v>
      </c>
      <c r="V2430" s="1">
        <v>7.3347060300000004</v>
      </c>
      <c r="W2430" s="1">
        <v>7.2975205409999999</v>
      </c>
      <c r="X2430" s="1">
        <v>7.7651384879999998</v>
      </c>
      <c r="Y2430" s="1">
        <v>7.47501265</v>
      </c>
      <c r="Z2430" s="1">
        <v>7.2930261510000003</v>
      </c>
      <c r="AA2430" s="1">
        <v>7.5625082770000001</v>
      </c>
      <c r="AB2430" s="1">
        <v>7.310811599</v>
      </c>
      <c r="AC2430" s="1">
        <v>7.585020793</v>
      </c>
      <c r="AD2430" s="1">
        <v>7.5613855440000002</v>
      </c>
      <c r="AE2430" s="1">
        <v>7.5378057910000003</v>
      </c>
    </row>
    <row r="2431" spans="1:31" x14ac:dyDescent="0.25">
      <c r="A2431" s="1" t="s">
        <v>1568</v>
      </c>
      <c r="B2431" s="1" t="s">
        <v>2579</v>
      </c>
      <c r="C2431" s="1" t="s">
        <v>2933</v>
      </c>
      <c r="D2431" s="1" t="s">
        <v>2934</v>
      </c>
      <c r="E2431" s="1" t="s">
        <v>6067</v>
      </c>
      <c r="F2431" s="1" t="s">
        <v>6068</v>
      </c>
      <c r="G2431" s="1" t="s">
        <v>1568</v>
      </c>
      <c r="H2431" s="1">
        <v>7.6658195390000001</v>
      </c>
      <c r="I2431" s="1">
        <v>6.8404490640000004</v>
      </c>
      <c r="J2431" s="1">
        <v>7.3236133590000003</v>
      </c>
      <c r="K2431" s="1">
        <v>7.4824236539999998</v>
      </c>
      <c r="L2431" s="1">
        <v>6.7844310559999998</v>
      </c>
      <c r="M2431" s="1">
        <v>7.117892962</v>
      </c>
      <c r="N2431" s="1">
        <v>6.3653884090000004</v>
      </c>
      <c r="O2431" s="1">
        <v>6.740410754</v>
      </c>
      <c r="P2431" s="1">
        <v>7.4912292100000002</v>
      </c>
      <c r="Q2431" s="1">
        <v>7.2637368679999996</v>
      </c>
      <c r="R2431" s="1">
        <v>7.4906764319999999</v>
      </c>
      <c r="S2431" s="1">
        <v>7.2616787839999999</v>
      </c>
      <c r="T2431" s="1">
        <v>6.7844310559999998</v>
      </c>
      <c r="U2431" s="1">
        <v>7.117892962</v>
      </c>
      <c r="V2431" s="1">
        <v>7.0639220319999998</v>
      </c>
      <c r="W2431" s="1">
        <v>7.0591682799999997</v>
      </c>
      <c r="X2431" s="1">
        <v>7.5975354490000004</v>
      </c>
      <c r="Y2431" s="1">
        <v>7.2474189219999996</v>
      </c>
      <c r="Z2431" s="1">
        <v>7.4906764319999999</v>
      </c>
      <c r="AA2431" s="1">
        <v>7.2616787839999999</v>
      </c>
      <c r="AB2431" s="1">
        <v>7.5963215740000001</v>
      </c>
      <c r="AC2431" s="1">
        <v>7.3842556439999996</v>
      </c>
      <c r="AD2431" s="1">
        <v>7.4539799340000004</v>
      </c>
      <c r="AE2431" s="1">
        <v>7.4620830199999997</v>
      </c>
    </row>
    <row r="2432" spans="1:31" x14ac:dyDescent="0.25">
      <c r="A2432" s="1" t="s">
        <v>1569</v>
      </c>
      <c r="B2432" s="1" t="s">
        <v>2579</v>
      </c>
      <c r="C2432" s="1" t="s">
        <v>2933</v>
      </c>
      <c r="D2432" s="1" t="s">
        <v>2934</v>
      </c>
      <c r="E2432" s="1" t="s">
        <v>6069</v>
      </c>
      <c r="F2432" s="1" t="s">
        <v>6070</v>
      </c>
      <c r="G2432" s="1" t="s">
        <v>1569</v>
      </c>
      <c r="H2432" s="1">
        <v>8.1350588829999992</v>
      </c>
      <c r="I2432" s="1">
        <v>7.0753932370000001</v>
      </c>
      <c r="J2432" s="1">
        <v>8.2624387959999996</v>
      </c>
      <c r="K2432" s="1">
        <v>8.3459117900000006</v>
      </c>
      <c r="L2432" s="1">
        <v>7.8259230129999997</v>
      </c>
      <c r="M2432" s="1">
        <v>7.902229985</v>
      </c>
      <c r="N2432" s="1">
        <v>7.1368832189999996</v>
      </c>
      <c r="O2432" s="1">
        <v>7.3159984050000002</v>
      </c>
      <c r="P2432" s="1">
        <v>8.364463851</v>
      </c>
      <c r="Q2432" s="1">
        <v>8.2267224520000006</v>
      </c>
      <c r="R2432" s="1">
        <v>8.3400441539999992</v>
      </c>
      <c r="S2432" s="1">
        <v>7.9649448649999997</v>
      </c>
      <c r="T2432" s="1">
        <v>7.8259230129999997</v>
      </c>
      <c r="U2432" s="1">
        <v>7.902229985</v>
      </c>
      <c r="V2432" s="1">
        <v>7.4035684220000002</v>
      </c>
      <c r="W2432" s="1">
        <v>7.0283471970000004</v>
      </c>
      <c r="X2432" s="1">
        <v>8.2547252039999996</v>
      </c>
      <c r="Y2432" s="1">
        <v>7.4213935639999997</v>
      </c>
      <c r="Z2432" s="1">
        <v>8.3400441539999992</v>
      </c>
      <c r="AA2432" s="1">
        <v>7.9649448649999997</v>
      </c>
      <c r="AB2432" s="1">
        <v>8.4675162050000008</v>
      </c>
      <c r="AC2432" s="1">
        <v>8.4300236529999992</v>
      </c>
      <c r="AD2432" s="1">
        <v>8.2685225899999999</v>
      </c>
      <c r="AE2432" s="1">
        <v>8.3478353290000005</v>
      </c>
    </row>
    <row r="2433" spans="1:31" x14ac:dyDescent="0.25">
      <c r="A2433" s="1" t="s">
        <v>1610</v>
      </c>
      <c r="B2433" s="1" t="s">
        <v>2530</v>
      </c>
      <c r="C2433" s="1" t="s">
        <v>2531</v>
      </c>
      <c r="D2433" s="1" t="s">
        <v>2535</v>
      </c>
      <c r="E2433" s="1" t="s">
        <v>6071</v>
      </c>
      <c r="G2433" s="1" t="s">
        <v>1610</v>
      </c>
      <c r="H2433" s="1">
        <v>2.9945681560000001</v>
      </c>
      <c r="I2433" s="1">
        <v>1.7393328349999999</v>
      </c>
      <c r="J2433" s="1">
        <v>3.6453331530000002</v>
      </c>
      <c r="K2433" s="1">
        <v>2.9677134359999999</v>
      </c>
      <c r="L2433" s="1">
        <v>3.4685048369999998</v>
      </c>
      <c r="M2433" s="1">
        <v>3.2940962960000002</v>
      </c>
      <c r="N2433" s="1">
        <v>2.9782685729999998</v>
      </c>
      <c r="O2433" s="1">
        <v>1.7393328349999999</v>
      </c>
      <c r="P2433" s="1">
        <v>3.3003929539999999</v>
      </c>
      <c r="Q2433" s="1">
        <v>2.597100669</v>
      </c>
      <c r="R2433" s="1">
        <v>3.1834741979999999</v>
      </c>
      <c r="S2433" s="1">
        <v>3.1475403900000001</v>
      </c>
      <c r="T2433" s="1">
        <v>3.4685048369999998</v>
      </c>
      <c r="U2433" s="1">
        <v>3.2940962960000002</v>
      </c>
      <c r="V2433" s="1">
        <v>3.3993802240000002</v>
      </c>
      <c r="W2433" s="1">
        <v>2.6606351240000001</v>
      </c>
      <c r="X2433" s="1">
        <v>3.2074401739999998</v>
      </c>
      <c r="Y2433" s="1">
        <v>2.624795792</v>
      </c>
      <c r="Z2433" s="1">
        <v>3.1834741979999999</v>
      </c>
      <c r="AA2433" s="1">
        <v>3.1475403900000001</v>
      </c>
      <c r="AB2433" s="1">
        <v>3.404153038</v>
      </c>
      <c r="AC2433" s="1">
        <v>3.6175630609999998</v>
      </c>
      <c r="AD2433" s="1">
        <v>1.7393328349999999</v>
      </c>
      <c r="AE2433" s="1">
        <v>3.419797387</v>
      </c>
    </row>
    <row r="2434" spans="1:31" x14ac:dyDescent="0.25">
      <c r="A2434" s="1" t="s">
        <v>1673</v>
      </c>
      <c r="B2434" s="1" t="s">
        <v>2530</v>
      </c>
      <c r="C2434" s="1" t="s">
        <v>2531</v>
      </c>
      <c r="D2434" s="1" t="s">
        <v>2535</v>
      </c>
      <c r="E2434" s="1" t="s">
        <v>2621</v>
      </c>
      <c r="G2434" s="1" t="s">
        <v>1673</v>
      </c>
      <c r="H2434" s="1">
        <v>7.5462549440000002</v>
      </c>
      <c r="I2434" s="1">
        <v>7.2348492340000004</v>
      </c>
      <c r="J2434" s="1">
        <v>5.7728716349999996</v>
      </c>
      <c r="K2434" s="1">
        <v>6.0361807939999998</v>
      </c>
      <c r="L2434" s="1">
        <v>4.3727018190000004</v>
      </c>
      <c r="M2434" s="1">
        <v>4.3473799800000004</v>
      </c>
      <c r="N2434" s="1">
        <v>6.8804643319999998</v>
      </c>
      <c r="O2434" s="1">
        <v>7.1078454000000004</v>
      </c>
      <c r="P2434" s="1">
        <v>5.3134950500000002</v>
      </c>
      <c r="Q2434" s="1">
        <v>5.8154013029999998</v>
      </c>
      <c r="R2434" s="1">
        <v>4.8118229140000004</v>
      </c>
      <c r="S2434" s="1">
        <v>5.032286365</v>
      </c>
      <c r="T2434" s="1">
        <v>4.3727018190000004</v>
      </c>
      <c r="U2434" s="1">
        <v>4.3473799800000004</v>
      </c>
      <c r="V2434" s="1">
        <v>5.4230002329999998</v>
      </c>
      <c r="W2434" s="1">
        <v>5.6874298530000003</v>
      </c>
      <c r="X2434" s="1">
        <v>4.6838774470000004</v>
      </c>
      <c r="Y2434" s="1">
        <v>5.8995743010000004</v>
      </c>
      <c r="Z2434" s="1">
        <v>4.8118229140000004</v>
      </c>
      <c r="AA2434" s="1">
        <v>5.032286365</v>
      </c>
      <c r="AB2434" s="1">
        <v>5.675717079</v>
      </c>
      <c r="AC2434" s="1">
        <v>4.8610120620000004</v>
      </c>
      <c r="AD2434" s="1">
        <v>5.6310130599999999</v>
      </c>
      <c r="AE2434" s="1">
        <v>5.1232419389999997</v>
      </c>
    </row>
    <row r="2435" spans="1:31" x14ac:dyDescent="0.25">
      <c r="A2435" s="1" t="s">
        <v>1702</v>
      </c>
      <c r="B2435" s="1" t="s">
        <v>2530</v>
      </c>
      <c r="C2435" s="1" t="s">
        <v>2531</v>
      </c>
      <c r="D2435" s="1" t="s">
        <v>2535</v>
      </c>
      <c r="E2435" s="1" t="s">
        <v>3535</v>
      </c>
      <c r="G2435" s="1" t="s">
        <v>1702</v>
      </c>
      <c r="H2435" s="1">
        <v>5.5896774330000003</v>
      </c>
      <c r="I2435" s="1">
        <v>5.009480355</v>
      </c>
      <c r="J2435" s="1">
        <v>4.7243317210000004</v>
      </c>
      <c r="K2435" s="1">
        <v>5.2674352469999999</v>
      </c>
      <c r="L2435" s="1">
        <v>4.8563863139999999</v>
      </c>
      <c r="M2435" s="1">
        <v>5.1796951440000001</v>
      </c>
      <c r="N2435" s="1">
        <v>5.1887139119999999</v>
      </c>
      <c r="O2435" s="1">
        <v>5.4117878270000004</v>
      </c>
      <c r="P2435" s="1">
        <v>5.2736118430000003</v>
      </c>
      <c r="Q2435" s="1">
        <v>5.4222740280000004</v>
      </c>
      <c r="R2435" s="1">
        <v>4.8118229140000004</v>
      </c>
      <c r="S2435" s="1">
        <v>5.0824952919999999</v>
      </c>
      <c r="T2435" s="1">
        <v>4.8563863139999999</v>
      </c>
      <c r="U2435" s="1">
        <v>5.1796951440000001</v>
      </c>
      <c r="V2435" s="1">
        <v>4.9055261469999998</v>
      </c>
      <c r="W2435" s="1">
        <v>5.329276363</v>
      </c>
      <c r="X2435" s="1">
        <v>5.5030444689999998</v>
      </c>
      <c r="Y2435" s="1">
        <v>5.5443425189999997</v>
      </c>
      <c r="Z2435" s="1">
        <v>4.8118229140000004</v>
      </c>
      <c r="AA2435" s="1">
        <v>5.0824952919999999</v>
      </c>
      <c r="AB2435" s="1">
        <v>5.4746970709999996</v>
      </c>
      <c r="AC2435" s="1">
        <v>5.471555994</v>
      </c>
      <c r="AD2435" s="1">
        <v>5.1668950269999998</v>
      </c>
      <c r="AE2435" s="1">
        <v>5.592176748</v>
      </c>
    </row>
    <row r="2436" spans="1:31" x14ac:dyDescent="0.25">
      <c r="A2436" s="1" t="s">
        <v>1728</v>
      </c>
      <c r="B2436" s="1" t="s">
        <v>2530</v>
      </c>
      <c r="C2436" s="1" t="s">
        <v>2531</v>
      </c>
      <c r="D2436" s="1" t="s">
        <v>2535</v>
      </c>
      <c r="E2436" s="1" t="s">
        <v>6072</v>
      </c>
      <c r="G2436" s="1" t="s">
        <v>1728</v>
      </c>
      <c r="H2436" s="1">
        <v>6.8356879179999996</v>
      </c>
      <c r="I2436" s="1">
        <v>6.0475452040000004</v>
      </c>
      <c r="J2436" s="1">
        <v>5.5826322800000003</v>
      </c>
      <c r="K2436" s="1">
        <v>5.6848657879999998</v>
      </c>
      <c r="L2436" s="1">
        <v>4.4478088219999998</v>
      </c>
      <c r="M2436" s="1">
        <v>4.8607408789999997</v>
      </c>
      <c r="N2436" s="1">
        <v>5.8127456459999998</v>
      </c>
      <c r="O2436" s="1">
        <v>6.1134152940000002</v>
      </c>
      <c r="P2436" s="1">
        <v>5.4627121560000003</v>
      </c>
      <c r="Q2436" s="1">
        <v>5.2473923969999996</v>
      </c>
      <c r="R2436" s="1">
        <v>4.2802026870000001</v>
      </c>
      <c r="S2436" s="1">
        <v>4.980227309</v>
      </c>
      <c r="T2436" s="1">
        <v>4.4478088219999998</v>
      </c>
      <c r="U2436" s="1">
        <v>4.8607408789999997</v>
      </c>
      <c r="V2436" s="1">
        <v>5.4882083000000002</v>
      </c>
      <c r="W2436" s="1">
        <v>5.2774499109999997</v>
      </c>
      <c r="X2436" s="1">
        <v>5.5811786620000001</v>
      </c>
      <c r="Y2436" s="1">
        <v>5.7329513619999997</v>
      </c>
      <c r="Z2436" s="1">
        <v>4.2802026870000001</v>
      </c>
      <c r="AA2436" s="1">
        <v>4.980227309</v>
      </c>
      <c r="AB2436" s="1">
        <v>5.7218462399999996</v>
      </c>
      <c r="AC2436" s="1">
        <v>5.198889973</v>
      </c>
      <c r="AD2436" s="1">
        <v>6.2383411879999997</v>
      </c>
      <c r="AE2436" s="1">
        <v>6.2987649059999997</v>
      </c>
    </row>
    <row r="2437" spans="1:31" x14ac:dyDescent="0.25">
      <c r="A2437" s="1" t="s">
        <v>1761</v>
      </c>
      <c r="B2437" s="1" t="s">
        <v>2530</v>
      </c>
      <c r="C2437" s="1" t="s">
        <v>2531</v>
      </c>
      <c r="D2437" s="1" t="s">
        <v>2535</v>
      </c>
      <c r="E2437" s="1" t="s">
        <v>2536</v>
      </c>
      <c r="G2437" s="1" t="s">
        <v>1761</v>
      </c>
      <c r="H2437" s="1">
        <v>4.5667504939999999</v>
      </c>
      <c r="I2437" s="1">
        <v>4.4542943209999999</v>
      </c>
      <c r="J2437" s="1">
        <v>3.8969924050000002</v>
      </c>
      <c r="K2437" s="1">
        <v>3.8998480660000001</v>
      </c>
      <c r="L2437" s="1">
        <v>3.8051274570000002</v>
      </c>
      <c r="M2437" s="1">
        <v>2.3994532390000001</v>
      </c>
      <c r="N2437" s="1">
        <v>4.2617896110000002</v>
      </c>
      <c r="O2437" s="1">
        <v>4.2767880749999998</v>
      </c>
      <c r="P2437" s="1">
        <v>3.106446558</v>
      </c>
      <c r="Q2437" s="1">
        <v>3.8492287269999999</v>
      </c>
      <c r="R2437" s="1">
        <v>2.9339002829999998</v>
      </c>
      <c r="S2437" s="1">
        <v>3.9182367880000002</v>
      </c>
      <c r="T2437" s="1">
        <v>3.8051274570000002</v>
      </c>
      <c r="U2437" s="1">
        <v>2.3994532390000001</v>
      </c>
      <c r="V2437" s="1">
        <v>3.0516113059999999</v>
      </c>
      <c r="W2437" s="1">
        <v>3.0218530750000001</v>
      </c>
      <c r="X2437" s="1">
        <v>3.2074401739999998</v>
      </c>
      <c r="Y2437" s="1">
        <v>4.0337379980000003</v>
      </c>
      <c r="Z2437" s="1">
        <v>2.9339002829999998</v>
      </c>
      <c r="AA2437" s="1">
        <v>3.9182367880000002</v>
      </c>
      <c r="AB2437" s="1">
        <v>3.6315729079999999</v>
      </c>
      <c r="AC2437" s="1">
        <v>3.4716344729999999</v>
      </c>
      <c r="AD2437" s="1">
        <v>4.2970121150000002</v>
      </c>
      <c r="AE2437" s="1">
        <v>3.321206681</v>
      </c>
    </row>
    <row r="2438" spans="1:31" x14ac:dyDescent="0.25">
      <c r="A2438" s="1" t="s">
        <v>1783</v>
      </c>
      <c r="B2438" s="1" t="s">
        <v>2520</v>
      </c>
      <c r="C2438" s="1" t="s">
        <v>3160</v>
      </c>
      <c r="D2438" s="1" t="s">
        <v>3755</v>
      </c>
      <c r="E2438" s="1" t="s">
        <v>6073</v>
      </c>
      <c r="G2438" s="1" t="s">
        <v>1783</v>
      </c>
      <c r="H2438" s="1">
        <v>3.9421380259999999</v>
      </c>
      <c r="I2438" s="1">
        <v>4.3763156859999999</v>
      </c>
      <c r="J2438" s="1">
        <v>3.4977151119999998</v>
      </c>
      <c r="K2438" s="1">
        <v>3.4309024589999999</v>
      </c>
      <c r="L2438" s="1">
        <v>2.8704126319999999</v>
      </c>
      <c r="M2438" s="1">
        <v>3.4067547010000001</v>
      </c>
      <c r="N2438" s="1">
        <v>4.4945275240000004</v>
      </c>
      <c r="O2438" s="1">
        <v>4.2189785100000003</v>
      </c>
      <c r="P2438" s="1">
        <v>3.7419514989999998</v>
      </c>
      <c r="Q2438" s="1">
        <v>3.185675432</v>
      </c>
      <c r="R2438" s="1">
        <v>3.7109484589999999</v>
      </c>
      <c r="S2438" s="1">
        <v>3.5159502420000002</v>
      </c>
      <c r="T2438" s="1">
        <v>2.8704126319999999</v>
      </c>
      <c r="U2438" s="1">
        <v>3.4067547010000001</v>
      </c>
      <c r="V2438" s="1">
        <v>3.0516113059999999</v>
      </c>
      <c r="W2438" s="1">
        <v>3.50175473</v>
      </c>
      <c r="X2438" s="1">
        <v>3.3149070109999998</v>
      </c>
      <c r="Y2438" s="1">
        <v>3.6154848500000001</v>
      </c>
      <c r="Z2438" s="1">
        <v>3.7109484589999999</v>
      </c>
      <c r="AA2438" s="1">
        <v>3.5159502420000002</v>
      </c>
      <c r="AB2438" s="1">
        <v>3.990981031</v>
      </c>
      <c r="AC2438" s="1">
        <v>3.4716344729999999</v>
      </c>
      <c r="AD2438" s="1">
        <v>4.3870463700000002</v>
      </c>
      <c r="AE2438" s="1">
        <v>3.8196998459999998</v>
      </c>
    </row>
    <row r="2439" spans="1:31" x14ac:dyDescent="0.25">
      <c r="A2439" s="1" t="s">
        <v>1803</v>
      </c>
      <c r="B2439" s="1" t="s">
        <v>2530</v>
      </c>
      <c r="C2439" s="1" t="s">
        <v>2531</v>
      </c>
      <c r="D2439" s="1" t="s">
        <v>2535</v>
      </c>
      <c r="E2439" s="1" t="s">
        <v>2536</v>
      </c>
      <c r="G2439" s="1" t="s">
        <v>1803</v>
      </c>
      <c r="H2439" s="1">
        <v>8.1001087080000005</v>
      </c>
      <c r="I2439" s="1">
        <v>7.9896853249999999</v>
      </c>
      <c r="J2439" s="1">
        <v>5.6488969620000002</v>
      </c>
      <c r="K2439" s="1">
        <v>6.1712535270000002</v>
      </c>
      <c r="L2439" s="1">
        <v>3.918224124</v>
      </c>
      <c r="M2439" s="1">
        <v>3.4067547010000001</v>
      </c>
      <c r="N2439" s="1">
        <v>6.4435100419999998</v>
      </c>
      <c r="O2439" s="1">
        <v>7.1078454000000004</v>
      </c>
      <c r="P2439" s="1">
        <v>3.86011382</v>
      </c>
      <c r="Q2439" s="1">
        <v>3.8492287269999999</v>
      </c>
      <c r="R2439" s="1">
        <v>3.5594063970000001</v>
      </c>
      <c r="S2439" s="1">
        <v>4.0285685429999996</v>
      </c>
      <c r="T2439" s="1">
        <v>3.918224124</v>
      </c>
      <c r="U2439" s="1">
        <v>3.4067547010000001</v>
      </c>
      <c r="V2439" s="1">
        <v>3.6670520409999998</v>
      </c>
      <c r="W2439" s="1">
        <v>3.50175473</v>
      </c>
      <c r="X2439" s="1">
        <v>2.7988456519999998</v>
      </c>
      <c r="Y2439" s="1">
        <v>4.5275934409999996</v>
      </c>
      <c r="Z2439" s="1">
        <v>3.5594063970000001</v>
      </c>
      <c r="AA2439" s="1">
        <v>4.0285685429999996</v>
      </c>
      <c r="AB2439" s="1">
        <v>4.2729702720000002</v>
      </c>
      <c r="AC2439" s="1">
        <v>4.0753403910000001</v>
      </c>
      <c r="AD2439" s="1">
        <v>3.984188064</v>
      </c>
      <c r="AE2439" s="1">
        <v>4.0685293649999998</v>
      </c>
    </row>
    <row r="2440" spans="1:31" x14ac:dyDescent="0.25">
      <c r="A2440" s="1" t="s">
        <v>1804</v>
      </c>
      <c r="B2440" s="1" t="s">
        <v>2530</v>
      </c>
      <c r="C2440" s="1" t="s">
        <v>2531</v>
      </c>
      <c r="D2440" s="1" t="s">
        <v>2535</v>
      </c>
      <c r="E2440" s="1" t="s">
        <v>2536</v>
      </c>
      <c r="G2440" s="1" t="s">
        <v>1804</v>
      </c>
      <c r="H2440" s="1">
        <v>6.9183184219999996</v>
      </c>
      <c r="I2440" s="1">
        <v>6.8960698870000003</v>
      </c>
      <c r="J2440" s="1">
        <v>3.6453331530000002</v>
      </c>
      <c r="K2440" s="1">
        <v>4.1384138449999996</v>
      </c>
      <c r="L2440" s="1">
        <v>4.1188213390000001</v>
      </c>
      <c r="M2440" s="1">
        <v>4.239619416</v>
      </c>
      <c r="N2440" s="1">
        <v>5.9870940719999997</v>
      </c>
      <c r="O2440" s="1">
        <v>6.217434312</v>
      </c>
      <c r="P2440" s="1">
        <v>4.4805784009999998</v>
      </c>
      <c r="Q2440" s="1">
        <v>4.683187717</v>
      </c>
      <c r="R2440" s="1">
        <v>3.968758995</v>
      </c>
      <c r="S2440" s="1">
        <v>4.1304223819999999</v>
      </c>
      <c r="T2440" s="1">
        <v>4.1188213390000001</v>
      </c>
      <c r="U2440" s="1">
        <v>4.239619416</v>
      </c>
      <c r="V2440" s="1">
        <v>4.3879408260000003</v>
      </c>
      <c r="W2440" s="1">
        <v>3.6840067150000002</v>
      </c>
      <c r="X2440" s="1">
        <v>5.4623126839999996</v>
      </c>
      <c r="Y2440" s="1">
        <v>4.4420910779999998</v>
      </c>
      <c r="Z2440" s="1">
        <v>3.968758995</v>
      </c>
      <c r="AA2440" s="1">
        <v>4.1304223819999999</v>
      </c>
      <c r="AB2440" s="1">
        <v>4.2729702720000002</v>
      </c>
      <c r="AC2440" s="1">
        <v>4.4881955270000002</v>
      </c>
      <c r="AD2440" s="1">
        <v>5.5186611069999998</v>
      </c>
      <c r="AE2440" s="1">
        <v>5.2004631630000002</v>
      </c>
    </row>
    <row r="2441" spans="1:31" x14ac:dyDescent="0.25">
      <c r="A2441" s="1" t="s">
        <v>1807</v>
      </c>
      <c r="B2441" s="1" t="s">
        <v>2530</v>
      </c>
      <c r="C2441" s="1" t="s">
        <v>2531</v>
      </c>
      <c r="D2441" s="1" t="s">
        <v>2535</v>
      </c>
      <c r="E2441" s="1" t="s">
        <v>6074</v>
      </c>
      <c r="G2441" s="1" t="s">
        <v>1807</v>
      </c>
      <c r="H2441" s="1">
        <v>6.8356879179999996</v>
      </c>
      <c r="I2441" s="1">
        <v>6.6753919760000002</v>
      </c>
      <c r="J2441" s="1">
        <v>6.4096880770000002</v>
      </c>
      <c r="K2441" s="1">
        <v>6.4514685810000003</v>
      </c>
      <c r="L2441" s="1">
        <v>5.9440343650000003</v>
      </c>
      <c r="M2441" s="1">
        <v>6.0654778350000003</v>
      </c>
      <c r="N2441" s="1">
        <v>7.0681563939999998</v>
      </c>
      <c r="O2441" s="1">
        <v>6.5714196759999997</v>
      </c>
      <c r="P2441" s="1">
        <v>6.9279548860000002</v>
      </c>
      <c r="Q2441" s="1">
        <v>6.2209780280000002</v>
      </c>
      <c r="R2441" s="1">
        <v>5.6804358580000001</v>
      </c>
      <c r="S2441" s="1">
        <v>5.9707657090000001</v>
      </c>
      <c r="T2441" s="1">
        <v>5.9440343650000003</v>
      </c>
      <c r="U2441" s="1">
        <v>6.0654778350000003</v>
      </c>
      <c r="V2441" s="1">
        <v>5.4882083000000002</v>
      </c>
      <c r="W2441" s="1">
        <v>5.6472737119999996</v>
      </c>
      <c r="X2441" s="1">
        <v>6.0057221949999997</v>
      </c>
      <c r="Y2441" s="1">
        <v>6.3075735850000001</v>
      </c>
      <c r="Z2441" s="1">
        <v>5.6804358580000001</v>
      </c>
      <c r="AA2441" s="1">
        <v>5.9707657090000001</v>
      </c>
      <c r="AB2441" s="1">
        <v>5.6280506069999996</v>
      </c>
      <c r="AC2441" s="1">
        <v>6.2255363350000001</v>
      </c>
      <c r="AD2441" s="1">
        <v>6.3945942340000004</v>
      </c>
      <c r="AE2441" s="1">
        <v>6.2394295809999996</v>
      </c>
    </row>
    <row r="2442" spans="1:31" x14ac:dyDescent="0.25">
      <c r="A2442" s="1" t="s">
        <v>1815</v>
      </c>
      <c r="B2442" s="1" t="s">
        <v>2530</v>
      </c>
      <c r="C2442" s="1" t="s">
        <v>2531</v>
      </c>
      <c r="D2442" s="1" t="s">
        <v>2535</v>
      </c>
      <c r="E2442" s="1" t="s">
        <v>2536</v>
      </c>
      <c r="G2442" s="1" t="s">
        <v>1815</v>
      </c>
      <c r="H2442" s="1">
        <v>5.2735834620000004</v>
      </c>
      <c r="I2442" s="1">
        <v>5.3676718369999996</v>
      </c>
      <c r="J2442" s="1">
        <v>6.4472967060000004</v>
      </c>
      <c r="K2442" s="1">
        <v>6.6858938820000002</v>
      </c>
      <c r="L2442" s="1">
        <v>6.6118247779999999</v>
      </c>
      <c r="M2442" s="1">
        <v>6.7396661670000002</v>
      </c>
      <c r="N2442" s="1">
        <v>7.089120791</v>
      </c>
      <c r="O2442" s="1">
        <v>6.5488294189999996</v>
      </c>
      <c r="P2442" s="1">
        <v>6.5171892439999999</v>
      </c>
      <c r="Q2442" s="1">
        <v>6.5925403830000002</v>
      </c>
      <c r="R2442" s="1">
        <v>6.3936555549999996</v>
      </c>
      <c r="S2442" s="1">
        <v>6.748647074</v>
      </c>
      <c r="T2442" s="1">
        <v>6.6118247779999999</v>
      </c>
      <c r="U2442" s="1">
        <v>6.7396661670000002</v>
      </c>
      <c r="V2442" s="1">
        <v>6.433314288</v>
      </c>
      <c r="W2442" s="1">
        <v>6.4165513509999998</v>
      </c>
      <c r="X2442" s="1">
        <v>6.7245402959999998</v>
      </c>
      <c r="Y2442" s="1">
        <v>6.5865062539999997</v>
      </c>
      <c r="Z2442" s="1">
        <v>6.3936555549999996</v>
      </c>
      <c r="AA2442" s="1">
        <v>6.748647074</v>
      </c>
      <c r="AB2442" s="1">
        <v>6.935033368</v>
      </c>
      <c r="AC2442" s="1">
        <v>6.384018502</v>
      </c>
      <c r="AD2442" s="1">
        <v>6.5162149180000002</v>
      </c>
      <c r="AE2442" s="1">
        <v>6.5341627830000002</v>
      </c>
    </row>
    <row r="2443" spans="1:31" x14ac:dyDescent="0.25">
      <c r="A2443" s="1" t="s">
        <v>1848</v>
      </c>
      <c r="B2443" s="1" t="s">
        <v>2539</v>
      </c>
      <c r="C2443" s="1" t="s">
        <v>2606</v>
      </c>
      <c r="D2443" s="1" t="s">
        <v>3035</v>
      </c>
      <c r="E2443" s="1" t="s">
        <v>6075</v>
      </c>
      <c r="F2443" s="1" t="s">
        <v>6076</v>
      </c>
      <c r="G2443" s="1" t="s">
        <v>1848</v>
      </c>
      <c r="H2443" s="1">
        <v>6.9500875559999997</v>
      </c>
      <c r="I2443" s="1">
        <v>7.3287621789999999</v>
      </c>
      <c r="J2443" s="1">
        <v>6.7477255810000001</v>
      </c>
      <c r="K2443" s="1">
        <v>6.4932884399999997</v>
      </c>
      <c r="L2443" s="1">
        <v>5.4841512059999999</v>
      </c>
      <c r="M2443" s="1">
        <v>5.1796951440000001</v>
      </c>
      <c r="N2443" s="1">
        <v>7.9660727610000004</v>
      </c>
      <c r="O2443" s="1">
        <v>7.8281195260000001</v>
      </c>
      <c r="P2443" s="1">
        <v>6.2573947350000001</v>
      </c>
      <c r="Q2443" s="1">
        <v>6.1972278550000004</v>
      </c>
      <c r="R2443" s="1">
        <v>5.8723300570000001</v>
      </c>
      <c r="S2443" s="1">
        <v>6.145010976</v>
      </c>
      <c r="T2443" s="1">
        <v>5.4841512059999999</v>
      </c>
      <c r="U2443" s="1">
        <v>5.1796951440000001</v>
      </c>
      <c r="V2443" s="1">
        <v>6.3308320719999998</v>
      </c>
      <c r="W2443" s="1">
        <v>6.5528329879999996</v>
      </c>
      <c r="X2443" s="1">
        <v>5.6909099879999996</v>
      </c>
      <c r="Y2443" s="1">
        <v>6.4430557039999998</v>
      </c>
      <c r="Z2443" s="1">
        <v>5.8723300570000001</v>
      </c>
      <c r="AA2443" s="1">
        <v>6.145010976</v>
      </c>
      <c r="AB2443" s="1">
        <v>6.0812876019999997</v>
      </c>
      <c r="AC2443" s="1">
        <v>6.0234746389999998</v>
      </c>
      <c r="AD2443" s="1">
        <v>6.3073961189999999</v>
      </c>
      <c r="AE2443" s="1">
        <v>6.6479843379999997</v>
      </c>
    </row>
    <row r="2444" spans="1:31" x14ac:dyDescent="0.25">
      <c r="A2444" s="1" t="s">
        <v>1869</v>
      </c>
      <c r="B2444" s="1" t="s">
        <v>2530</v>
      </c>
      <c r="C2444" s="1" t="s">
        <v>2531</v>
      </c>
      <c r="D2444" s="1" t="s">
        <v>2535</v>
      </c>
      <c r="E2444" s="1" t="s">
        <v>2536</v>
      </c>
      <c r="G2444" s="1" t="s">
        <v>1869</v>
      </c>
      <c r="H2444" s="1">
        <v>5.5896774330000003</v>
      </c>
      <c r="I2444" s="1">
        <v>5.009480355</v>
      </c>
      <c r="J2444" s="1">
        <v>5.8310524639999999</v>
      </c>
      <c r="K2444" s="1">
        <v>5.5322182199999999</v>
      </c>
      <c r="L2444" s="1">
        <v>6.2202063540000001</v>
      </c>
      <c r="M2444" s="1">
        <v>5.8857020010000003</v>
      </c>
      <c r="N2444" s="1">
        <v>4.6173662499999999</v>
      </c>
      <c r="O2444" s="1">
        <v>4.9384407589999997</v>
      </c>
      <c r="P2444" s="1">
        <v>5.4627121560000003</v>
      </c>
      <c r="Q2444" s="1">
        <v>6.0722034220000003</v>
      </c>
      <c r="R2444" s="1">
        <v>5.7472990829999997</v>
      </c>
      <c r="S2444" s="1">
        <v>5.9969908790000002</v>
      </c>
      <c r="T2444" s="1">
        <v>6.2202063540000001</v>
      </c>
      <c r="U2444" s="1">
        <v>5.8857020010000003</v>
      </c>
      <c r="V2444" s="1">
        <v>5.4559769400000002</v>
      </c>
      <c r="W2444" s="1">
        <v>4.9190341039999996</v>
      </c>
      <c r="X2444" s="1">
        <v>5.4203833540000002</v>
      </c>
      <c r="Y2444" s="1">
        <v>5.417933841</v>
      </c>
      <c r="Z2444" s="1">
        <v>5.7472990829999997</v>
      </c>
      <c r="AA2444" s="1">
        <v>5.9969908790000002</v>
      </c>
      <c r="AB2444" s="1">
        <v>5.4746970709999996</v>
      </c>
      <c r="AC2444" s="1">
        <v>5.3988312660000002</v>
      </c>
      <c r="AD2444" s="1">
        <v>4.83054469</v>
      </c>
      <c r="AE2444" s="1">
        <v>5.5339175159999998</v>
      </c>
    </row>
    <row r="2445" spans="1:31" x14ac:dyDescent="0.25">
      <c r="A2445" s="1" t="s">
        <v>1943</v>
      </c>
      <c r="B2445" s="1" t="s">
        <v>2608</v>
      </c>
      <c r="C2445" s="1" t="s">
        <v>2700</v>
      </c>
      <c r="D2445" s="1" t="s">
        <v>2701</v>
      </c>
      <c r="E2445" s="1" t="s">
        <v>6077</v>
      </c>
      <c r="F2445" s="1" t="s">
        <v>6078</v>
      </c>
      <c r="G2445" s="1" t="s">
        <v>1943</v>
      </c>
      <c r="H2445" s="1">
        <v>5.8483408880000001</v>
      </c>
      <c r="I2445" s="1">
        <v>5.4447012069999996</v>
      </c>
      <c r="J2445" s="1">
        <v>5.8022574259999997</v>
      </c>
      <c r="K2445" s="1">
        <v>6.4932884399999997</v>
      </c>
      <c r="L2445" s="1">
        <v>4.8833754540000003</v>
      </c>
      <c r="M2445" s="1">
        <v>5.2079667260000004</v>
      </c>
      <c r="N2445" s="1">
        <v>5.3135718379999997</v>
      </c>
      <c r="O2445" s="1">
        <v>5.7466551829999997</v>
      </c>
      <c r="P2445" s="1">
        <v>5.4627121560000003</v>
      </c>
      <c r="Q2445" s="1">
        <v>4.8773483779999998</v>
      </c>
      <c r="R2445" s="1">
        <v>5.8420803340000003</v>
      </c>
      <c r="S2445" s="1">
        <v>5.710270789</v>
      </c>
      <c r="T2445" s="1">
        <v>4.8833754540000003</v>
      </c>
      <c r="U2445" s="1">
        <v>5.2079667260000004</v>
      </c>
      <c r="V2445" s="1">
        <v>5.7758979430000004</v>
      </c>
      <c r="W2445" s="1">
        <v>5.8376547490000004</v>
      </c>
      <c r="X2445" s="1">
        <v>5.1646924079999996</v>
      </c>
      <c r="Y2445" s="1">
        <v>5.4613266610000002</v>
      </c>
      <c r="Z2445" s="1">
        <v>5.8420803340000003</v>
      </c>
      <c r="AA2445" s="1">
        <v>5.710270789</v>
      </c>
      <c r="AB2445" s="1">
        <v>5.5276660309999999</v>
      </c>
      <c r="AC2445" s="1">
        <v>5.4356573160000003</v>
      </c>
      <c r="AD2445" s="1">
        <v>5.396704357</v>
      </c>
      <c r="AE2445" s="1">
        <v>5.2497036230000003</v>
      </c>
    </row>
    <row r="2446" spans="1:31" x14ac:dyDescent="0.25">
      <c r="A2446" s="1" t="s">
        <v>1944</v>
      </c>
      <c r="B2446" s="1" t="s">
        <v>2520</v>
      </c>
      <c r="C2446" s="1" t="s">
        <v>3160</v>
      </c>
      <c r="D2446" s="1" t="s">
        <v>5897</v>
      </c>
      <c r="E2446" s="1" t="s">
        <v>6079</v>
      </c>
      <c r="F2446" s="1" t="s">
        <v>6080</v>
      </c>
      <c r="G2446" s="1" t="s">
        <v>1944</v>
      </c>
      <c r="H2446" s="1">
        <v>5.5062820300000004</v>
      </c>
      <c r="I2446" s="1">
        <v>4.7893724280000001</v>
      </c>
      <c r="J2446" s="1">
        <v>5.2817155790000001</v>
      </c>
      <c r="K2446" s="1">
        <v>5.7206107949999998</v>
      </c>
      <c r="L2446" s="1">
        <v>5.2974536179999996</v>
      </c>
      <c r="M2446" s="1">
        <v>5.0606078119999998</v>
      </c>
      <c r="N2446" s="1">
        <v>4.4061149080000002</v>
      </c>
      <c r="O2446" s="1">
        <v>4.6680836990000003</v>
      </c>
      <c r="P2446" s="1">
        <v>4.7394495640000001</v>
      </c>
      <c r="Q2446" s="1">
        <v>4.4575363990000003</v>
      </c>
      <c r="R2446" s="1">
        <v>5.1472208640000003</v>
      </c>
      <c r="S2446" s="1">
        <v>4.6194390810000003</v>
      </c>
      <c r="T2446" s="1">
        <v>5.2974536179999996</v>
      </c>
      <c r="U2446" s="1">
        <v>5.0606078119999998</v>
      </c>
      <c r="V2446" s="1">
        <v>4.8566239800000002</v>
      </c>
      <c r="W2446" s="1">
        <v>5.2236621110000003</v>
      </c>
      <c r="X2446" s="1">
        <v>4.7537743670000001</v>
      </c>
      <c r="Y2446" s="1">
        <v>4.3509215530000001</v>
      </c>
      <c r="Z2446" s="1">
        <v>5.1472208640000003</v>
      </c>
      <c r="AA2446" s="1">
        <v>4.6194390810000003</v>
      </c>
      <c r="AB2446" s="1">
        <v>5.2406211000000003</v>
      </c>
      <c r="AC2446" s="1">
        <v>5.198889973</v>
      </c>
      <c r="AD2446" s="1">
        <v>5.1668950269999998</v>
      </c>
      <c r="AE2446" s="1">
        <v>4.9247587419999999</v>
      </c>
    </row>
    <row r="2447" spans="1:31" x14ac:dyDescent="0.25">
      <c r="A2447" s="1" t="s">
        <v>1949</v>
      </c>
      <c r="B2447" s="1" t="s">
        <v>2530</v>
      </c>
      <c r="C2447" s="1" t="s">
        <v>2531</v>
      </c>
      <c r="D2447" s="1" t="s">
        <v>2535</v>
      </c>
      <c r="E2447" s="1" t="s">
        <v>2536</v>
      </c>
      <c r="G2447" s="1" t="s">
        <v>1949</v>
      </c>
      <c r="H2447" s="1">
        <v>1.7393328349999999</v>
      </c>
      <c r="I2447" s="1">
        <v>1.7393328349999999</v>
      </c>
      <c r="J2447" s="1">
        <v>1.7393328349999999</v>
      </c>
      <c r="K2447" s="1">
        <v>1.7393328349999999</v>
      </c>
      <c r="L2447" s="1">
        <v>1.7393328349999999</v>
      </c>
      <c r="M2447" s="1">
        <v>1.7393328349999999</v>
      </c>
      <c r="N2447" s="1">
        <v>1.7393328349999999</v>
      </c>
      <c r="O2447" s="1">
        <v>1.7393328349999999</v>
      </c>
      <c r="P2447" s="1">
        <v>1.7393328349999999</v>
      </c>
      <c r="Q2447" s="1">
        <v>1.7393328349999999</v>
      </c>
      <c r="R2447" s="1">
        <v>1.7393328349999999</v>
      </c>
      <c r="S2447" s="1">
        <v>1.7393328349999999</v>
      </c>
      <c r="T2447" s="1">
        <v>1.7393328349999999</v>
      </c>
      <c r="U2447" s="1">
        <v>1.7393328349999999</v>
      </c>
      <c r="V2447" s="1">
        <v>1.7393328349999999</v>
      </c>
      <c r="W2447" s="1">
        <v>1.7393328349999999</v>
      </c>
      <c r="X2447" s="1">
        <v>2.3600830049999999</v>
      </c>
      <c r="Y2447" s="1">
        <v>1.7393328349999999</v>
      </c>
      <c r="Z2447" s="1">
        <v>1.7393328349999999</v>
      </c>
      <c r="AA2447" s="1">
        <v>1.7393328349999999</v>
      </c>
      <c r="AB2447" s="1">
        <v>1.7393328349999999</v>
      </c>
      <c r="AC2447" s="1">
        <v>1.7393328349999999</v>
      </c>
      <c r="AD2447" s="1">
        <v>1.7393328349999999</v>
      </c>
      <c r="AE2447" s="1">
        <v>2.3627668220000002</v>
      </c>
    </row>
    <row r="2448" spans="1:31" x14ac:dyDescent="0.25">
      <c r="A2448" s="1" t="s">
        <v>1972</v>
      </c>
      <c r="B2448" s="1" t="s">
        <v>2535</v>
      </c>
      <c r="C2448" s="1" t="s">
        <v>2535</v>
      </c>
      <c r="D2448" s="1" t="s">
        <v>2535</v>
      </c>
      <c r="E2448" s="1" t="s">
        <v>2535</v>
      </c>
      <c r="F2448" s="1" t="s">
        <v>2535</v>
      </c>
      <c r="G2448" s="1" t="s">
        <v>1972</v>
      </c>
      <c r="H2448" s="1">
        <v>2.640460343</v>
      </c>
      <c r="I2448" s="1">
        <v>2.5655118899999998</v>
      </c>
      <c r="J2448" s="1">
        <v>2.5640169199999998</v>
      </c>
      <c r="K2448" s="1">
        <v>1.7393328349999999</v>
      </c>
      <c r="L2448" s="1">
        <v>2.5490970000000002</v>
      </c>
      <c r="M2448" s="1">
        <v>2.3994532390000001</v>
      </c>
      <c r="N2448" s="1">
        <v>2.8201075470000001</v>
      </c>
      <c r="O2448" s="1">
        <v>2.6816282820000001</v>
      </c>
      <c r="P2448" s="1">
        <v>1.7393328349999999</v>
      </c>
      <c r="Q2448" s="1">
        <v>3.185675432</v>
      </c>
      <c r="R2448" s="1">
        <v>2.595728008</v>
      </c>
      <c r="S2448" s="1">
        <v>1.7393328349999999</v>
      </c>
      <c r="T2448" s="1">
        <v>2.5490970000000002</v>
      </c>
      <c r="U2448" s="1">
        <v>2.3994532390000001</v>
      </c>
      <c r="V2448" s="1">
        <v>1.7393328349999999</v>
      </c>
      <c r="W2448" s="1">
        <v>1.7393328349999999</v>
      </c>
      <c r="X2448" s="1">
        <v>1.7393328349999999</v>
      </c>
      <c r="Y2448" s="1">
        <v>1.7393328349999999</v>
      </c>
      <c r="Z2448" s="1">
        <v>2.595728008</v>
      </c>
      <c r="AA2448" s="1">
        <v>1.7393328349999999</v>
      </c>
      <c r="AB2448" s="1">
        <v>1.7393328349999999</v>
      </c>
      <c r="AC2448" s="1">
        <v>3.3054795530000001</v>
      </c>
      <c r="AD2448" s="1">
        <v>1.7393328349999999</v>
      </c>
      <c r="AE2448" s="1">
        <v>1.7393328349999999</v>
      </c>
    </row>
    <row r="2449" spans="1:31" x14ac:dyDescent="0.25">
      <c r="A2449" s="1" t="s">
        <v>1987</v>
      </c>
      <c r="B2449" s="1" t="s">
        <v>2579</v>
      </c>
      <c r="C2449" s="1" t="s">
        <v>3259</v>
      </c>
      <c r="D2449" s="1" t="s">
        <v>5593</v>
      </c>
      <c r="E2449" s="1" t="s">
        <v>6081</v>
      </c>
      <c r="F2449" s="1" t="s">
        <v>6082</v>
      </c>
      <c r="G2449" s="1" t="s">
        <v>1987</v>
      </c>
      <c r="H2449" s="1">
        <v>11.16029245</v>
      </c>
      <c r="I2449" s="1">
        <v>10.48410737</v>
      </c>
      <c r="J2449" s="1">
        <v>10.31575672</v>
      </c>
      <c r="K2449" s="1">
        <v>10.09528734</v>
      </c>
      <c r="L2449" s="1">
        <v>9.0181088850000002</v>
      </c>
      <c r="M2449" s="1">
        <v>9.3794551800000008</v>
      </c>
      <c r="N2449" s="1">
        <v>9.5086003570000006</v>
      </c>
      <c r="O2449" s="1">
        <v>10.001277590000001</v>
      </c>
      <c r="P2449" s="1">
        <v>10.022433550000001</v>
      </c>
      <c r="Q2449" s="1">
        <v>9.8711147750000006</v>
      </c>
      <c r="R2449" s="1">
        <v>10.09931381</v>
      </c>
      <c r="S2449" s="1">
        <v>9.8162430759999992</v>
      </c>
      <c r="T2449" s="1">
        <v>9.0181088850000002</v>
      </c>
      <c r="U2449" s="1">
        <v>9.3794551800000008</v>
      </c>
      <c r="V2449" s="1">
        <v>9.5642851889999996</v>
      </c>
      <c r="W2449" s="1">
        <v>9.6227456539999991</v>
      </c>
      <c r="X2449" s="1">
        <v>9.4031525620000007</v>
      </c>
      <c r="Y2449" s="1">
        <v>9.5030046840000004</v>
      </c>
      <c r="Z2449" s="1">
        <v>10.09931381</v>
      </c>
      <c r="AA2449" s="1">
        <v>9.8162430759999992</v>
      </c>
      <c r="AB2449" s="1">
        <v>9.8706609019999991</v>
      </c>
      <c r="AC2449" s="1">
        <v>10.025170129999999</v>
      </c>
      <c r="AD2449" s="1">
        <v>9.9196164259999993</v>
      </c>
      <c r="AE2449" s="1">
        <v>9.6756913900000008</v>
      </c>
    </row>
    <row r="2450" spans="1:31" x14ac:dyDescent="0.25">
      <c r="A2450" s="1" t="s">
        <v>1994</v>
      </c>
      <c r="B2450" s="1" t="s">
        <v>2579</v>
      </c>
      <c r="C2450" s="1" t="s">
        <v>2933</v>
      </c>
      <c r="D2450" s="1" t="s">
        <v>2934</v>
      </c>
      <c r="E2450" s="1" t="s">
        <v>6083</v>
      </c>
      <c r="F2450" s="1" t="s">
        <v>6084</v>
      </c>
      <c r="G2450" s="1" t="s">
        <v>1994</v>
      </c>
      <c r="H2450" s="1">
        <v>8.0930158789999993</v>
      </c>
      <c r="I2450" s="1">
        <v>7.7467590529999999</v>
      </c>
      <c r="J2450" s="1">
        <v>7.6954749209999997</v>
      </c>
      <c r="K2450" s="1">
        <v>7.9405948430000004</v>
      </c>
      <c r="L2450" s="1">
        <v>7.2918110130000002</v>
      </c>
      <c r="M2450" s="1">
        <v>7.4291615179999999</v>
      </c>
      <c r="N2450" s="1">
        <v>7.0751784710000001</v>
      </c>
      <c r="O2450" s="1">
        <v>7.6593120499999996</v>
      </c>
      <c r="P2450" s="1">
        <v>7.4021922230000001</v>
      </c>
      <c r="Q2450" s="1">
        <v>7.5893435760000001</v>
      </c>
      <c r="R2450" s="1">
        <v>7.5384802049999999</v>
      </c>
      <c r="S2450" s="1">
        <v>7.5089750439999996</v>
      </c>
      <c r="T2450" s="1">
        <v>7.2918110130000002</v>
      </c>
      <c r="U2450" s="1">
        <v>7.4291615179999999</v>
      </c>
      <c r="V2450" s="1">
        <v>7.0424851190000002</v>
      </c>
      <c r="W2450" s="1">
        <v>7.2314139690000001</v>
      </c>
      <c r="X2450" s="1">
        <v>7.4958090840000002</v>
      </c>
      <c r="Y2450" s="1">
        <v>7.0064610119999999</v>
      </c>
      <c r="Z2450" s="1">
        <v>7.5384802049999999</v>
      </c>
      <c r="AA2450" s="1">
        <v>7.5089750439999996</v>
      </c>
      <c r="AB2450" s="1">
        <v>7.453831321</v>
      </c>
      <c r="AC2450" s="1">
        <v>7.585020793</v>
      </c>
      <c r="AD2450" s="1">
        <v>7.2704470209999998</v>
      </c>
      <c r="AE2450" s="1">
        <v>7.2260872320000002</v>
      </c>
    </row>
    <row r="2451" spans="1:31" x14ac:dyDescent="0.25">
      <c r="A2451" s="1" t="s">
        <v>2012</v>
      </c>
      <c r="B2451" s="1" t="s">
        <v>2530</v>
      </c>
      <c r="C2451" s="1" t="s">
        <v>2531</v>
      </c>
      <c r="D2451" s="1" t="s">
        <v>2535</v>
      </c>
      <c r="E2451" s="1" t="s">
        <v>2536</v>
      </c>
      <c r="G2451" s="1" t="s">
        <v>2012</v>
      </c>
      <c r="H2451" s="1">
        <v>2.640460343</v>
      </c>
      <c r="I2451" s="1">
        <v>1.7393328349999999</v>
      </c>
      <c r="J2451" s="1">
        <v>1.7393328349999999</v>
      </c>
      <c r="K2451" s="1">
        <v>1.7393328349999999</v>
      </c>
      <c r="L2451" s="1">
        <v>1.7393328349999999</v>
      </c>
      <c r="M2451" s="1">
        <v>2.3994532390000001</v>
      </c>
      <c r="N2451" s="1">
        <v>1.7393328349999999</v>
      </c>
      <c r="O2451" s="1">
        <v>1.7393328349999999</v>
      </c>
      <c r="P2451" s="1">
        <v>1.7393328349999999</v>
      </c>
      <c r="Q2451" s="1">
        <v>1.7393328349999999</v>
      </c>
      <c r="R2451" s="1">
        <v>2.595728008</v>
      </c>
      <c r="S2451" s="1">
        <v>1.7393328349999999</v>
      </c>
      <c r="T2451" s="1">
        <v>1.7393328349999999</v>
      </c>
      <c r="U2451" s="1">
        <v>2.3994532390000001</v>
      </c>
      <c r="V2451" s="1">
        <v>1.7393328349999999</v>
      </c>
      <c r="W2451" s="1">
        <v>1.7393328349999999</v>
      </c>
      <c r="X2451" s="1">
        <v>2.3600830049999999</v>
      </c>
      <c r="Y2451" s="1">
        <v>1.7393328349999999</v>
      </c>
      <c r="Z2451" s="1">
        <v>2.595728008</v>
      </c>
      <c r="AA2451" s="1">
        <v>1.7393328349999999</v>
      </c>
      <c r="AB2451" s="1">
        <v>1.7393328349999999</v>
      </c>
      <c r="AC2451" s="1">
        <v>1.7393328349999999</v>
      </c>
      <c r="AD2451" s="1">
        <v>1.7393328349999999</v>
      </c>
      <c r="AE2451" s="1">
        <v>1.7393328349999999</v>
      </c>
    </row>
    <row r="2452" spans="1:31" x14ac:dyDescent="0.25">
      <c r="A2452" s="1" t="s">
        <v>2022</v>
      </c>
      <c r="B2452" s="1" t="s">
        <v>2530</v>
      </c>
      <c r="C2452" s="1" t="s">
        <v>2531</v>
      </c>
      <c r="D2452" s="1" t="s">
        <v>2535</v>
      </c>
      <c r="E2452" s="1" t="s">
        <v>6085</v>
      </c>
      <c r="G2452" s="1" t="s">
        <v>2022</v>
      </c>
      <c r="H2452" s="1">
        <v>3.8023684370000002</v>
      </c>
      <c r="I2452" s="1">
        <v>2.8927893610000002</v>
      </c>
      <c r="J2452" s="1">
        <v>2.8907526730000002</v>
      </c>
      <c r="K2452" s="1">
        <v>1.7393328349999999</v>
      </c>
      <c r="L2452" s="1">
        <v>3.1084154310000001</v>
      </c>
      <c r="M2452" s="1">
        <v>1.7393328349999999</v>
      </c>
      <c r="N2452" s="1">
        <v>2.9782685729999998</v>
      </c>
      <c r="O2452" s="1">
        <v>2.411448644</v>
      </c>
      <c r="P2452" s="1">
        <v>1.7393328349999999</v>
      </c>
      <c r="Q2452" s="1">
        <v>2.935765398</v>
      </c>
      <c r="R2452" s="1">
        <v>2.9339002829999998</v>
      </c>
      <c r="S2452" s="1">
        <v>3.1475403900000001</v>
      </c>
      <c r="T2452" s="1">
        <v>3.1084154310000001</v>
      </c>
      <c r="U2452" s="1">
        <v>1.7393328349999999</v>
      </c>
      <c r="V2452" s="1">
        <v>2.5140266200000001</v>
      </c>
      <c r="W2452" s="1">
        <v>1.7393328349999999</v>
      </c>
      <c r="X2452" s="1">
        <v>2.3600830049999999</v>
      </c>
      <c r="Y2452" s="1">
        <v>1.7393328349999999</v>
      </c>
      <c r="Z2452" s="1">
        <v>2.9339002829999998</v>
      </c>
      <c r="AA2452" s="1">
        <v>3.1475403900000001</v>
      </c>
      <c r="AB2452" s="1">
        <v>1.7393328349999999</v>
      </c>
      <c r="AC2452" s="1">
        <v>1.7393328349999999</v>
      </c>
      <c r="AD2452" s="1">
        <v>1.7393328349999999</v>
      </c>
      <c r="AE2452" s="1">
        <v>1.7393328349999999</v>
      </c>
    </row>
    <row r="2453" spans="1:31" x14ac:dyDescent="0.25">
      <c r="A2453" s="1" t="s">
        <v>2033</v>
      </c>
      <c r="B2453" s="1" t="s">
        <v>2530</v>
      </c>
      <c r="C2453" s="1" t="s">
        <v>2531</v>
      </c>
      <c r="D2453" s="1" t="s">
        <v>2535</v>
      </c>
      <c r="E2453" s="1" t="s">
        <v>2536</v>
      </c>
      <c r="G2453" s="1" t="s">
        <v>2033</v>
      </c>
      <c r="H2453" s="1">
        <v>5.3712699940000004</v>
      </c>
      <c r="I2453" s="1">
        <v>5.2862358589999996</v>
      </c>
      <c r="J2453" s="1">
        <v>3.1324899180000001</v>
      </c>
      <c r="K2453" s="1">
        <v>4.1384138449999996</v>
      </c>
      <c r="L2453" s="1">
        <v>3.4685048369999998</v>
      </c>
      <c r="M2453" s="1">
        <v>4.1225413939999997</v>
      </c>
      <c r="N2453" s="1">
        <v>4.1562881980000004</v>
      </c>
      <c r="O2453" s="1">
        <v>4.2767880749999998</v>
      </c>
      <c r="P2453" s="1">
        <v>3.466113682</v>
      </c>
      <c r="Q2453" s="1">
        <v>3.9718447549999998</v>
      </c>
      <c r="R2453" s="1">
        <v>3.1834741979999999</v>
      </c>
      <c r="S2453" s="1">
        <v>4.1304223819999999</v>
      </c>
      <c r="T2453" s="1">
        <v>3.4685048369999998</v>
      </c>
      <c r="U2453" s="1">
        <v>4.1225413939999997</v>
      </c>
      <c r="V2453" s="1">
        <v>3.7819764450000002</v>
      </c>
      <c r="W2453" s="1">
        <v>3.9848641250000001</v>
      </c>
      <c r="X2453" s="1">
        <v>4.1686775799999998</v>
      </c>
      <c r="Y2453" s="1">
        <v>4.4420910779999998</v>
      </c>
      <c r="Z2453" s="1">
        <v>3.1834741979999999</v>
      </c>
      <c r="AA2453" s="1">
        <v>4.1304223819999999</v>
      </c>
      <c r="AB2453" s="1">
        <v>4.6096720080000004</v>
      </c>
      <c r="AC2453" s="1">
        <v>3.6175630609999998</v>
      </c>
      <c r="AD2453" s="1">
        <v>4.3870463700000002</v>
      </c>
      <c r="AE2453" s="1">
        <v>4.1773695330000002</v>
      </c>
    </row>
    <row r="2454" spans="1:31" x14ac:dyDescent="0.25">
      <c r="A2454" s="1" t="s">
        <v>2042</v>
      </c>
      <c r="B2454" s="1" t="s">
        <v>2579</v>
      </c>
      <c r="C2454" s="1" t="s">
        <v>2933</v>
      </c>
      <c r="D2454" s="1" t="s">
        <v>3571</v>
      </c>
      <c r="E2454" s="1" t="s">
        <v>6086</v>
      </c>
      <c r="F2454" s="1" t="s">
        <v>6087</v>
      </c>
      <c r="G2454" s="1" t="s">
        <v>2042</v>
      </c>
      <c r="H2454" s="1">
        <v>6.1789942880000002</v>
      </c>
      <c r="I2454" s="1">
        <v>5.7169522959999997</v>
      </c>
      <c r="J2454" s="1">
        <v>6.863459046</v>
      </c>
      <c r="K2454" s="1">
        <v>6.8874374449999998</v>
      </c>
      <c r="L2454" s="1">
        <v>7.0949578820000001</v>
      </c>
      <c r="M2454" s="1">
        <v>7.0651950020000003</v>
      </c>
      <c r="N2454" s="1">
        <v>5.1887139119999999</v>
      </c>
      <c r="O2454" s="1">
        <v>5.600077969</v>
      </c>
      <c r="P2454" s="1">
        <v>6.6927797440000001</v>
      </c>
      <c r="Q2454" s="1">
        <v>6.9313787639999997</v>
      </c>
      <c r="R2454" s="1">
        <v>6.7913170000000003</v>
      </c>
      <c r="S2454" s="1">
        <v>6.5856947659999996</v>
      </c>
      <c r="T2454" s="1">
        <v>7.0949578820000001</v>
      </c>
      <c r="U2454" s="1">
        <v>7.0651950020000003</v>
      </c>
      <c r="V2454" s="1">
        <v>6.258213456</v>
      </c>
      <c r="W2454" s="1">
        <v>6.2120844699999997</v>
      </c>
      <c r="X2454" s="1">
        <v>7.5058124949999998</v>
      </c>
      <c r="Y2454" s="1">
        <v>6.1044436219999998</v>
      </c>
      <c r="Z2454" s="1">
        <v>6.7913170000000003</v>
      </c>
      <c r="AA2454" s="1">
        <v>6.5856947659999996</v>
      </c>
      <c r="AB2454" s="1">
        <v>7.0294463739999999</v>
      </c>
      <c r="AC2454" s="1">
        <v>6.9754995060000002</v>
      </c>
      <c r="AD2454" s="1">
        <v>6.7977787940000001</v>
      </c>
      <c r="AE2454" s="1">
        <v>7.150898411</v>
      </c>
    </row>
    <row r="2455" spans="1:31" x14ac:dyDescent="0.25">
      <c r="A2455" s="1" t="s">
        <v>2089</v>
      </c>
      <c r="B2455" s="1" t="s">
        <v>2608</v>
      </c>
      <c r="C2455" s="1" t="s">
        <v>2700</v>
      </c>
      <c r="D2455" s="1" t="s">
        <v>2701</v>
      </c>
      <c r="E2455" s="1" t="s">
        <v>6088</v>
      </c>
      <c r="F2455" s="1" t="s">
        <v>6089</v>
      </c>
      <c r="G2455" s="1" t="s">
        <v>2089</v>
      </c>
      <c r="H2455" s="1">
        <v>6.2573638139999996</v>
      </c>
      <c r="I2455" s="1">
        <v>5.9189259930000002</v>
      </c>
      <c r="J2455" s="1">
        <v>5.9669407659999996</v>
      </c>
      <c r="K2455" s="1">
        <v>6.7389853689999999</v>
      </c>
      <c r="L2455" s="1">
        <v>5.6335437009999998</v>
      </c>
      <c r="M2455" s="1">
        <v>4.9642129490000002</v>
      </c>
      <c r="N2455" s="1">
        <v>6.1154934519999999</v>
      </c>
      <c r="O2455" s="1">
        <v>5.5778556410000002</v>
      </c>
      <c r="P2455" s="1">
        <v>5.7211848500000002</v>
      </c>
      <c r="Q2455" s="1">
        <v>5.8765740600000003</v>
      </c>
      <c r="R2455" s="1">
        <v>5.8420803340000003</v>
      </c>
      <c r="S2455" s="1">
        <v>5.8024660560000001</v>
      </c>
      <c r="T2455" s="1">
        <v>5.6335437009999998</v>
      </c>
      <c r="U2455" s="1">
        <v>4.9642129490000002</v>
      </c>
      <c r="V2455" s="1">
        <v>5.8017242820000003</v>
      </c>
      <c r="W2455" s="1">
        <v>5.726489559</v>
      </c>
      <c r="X2455" s="1">
        <v>5.6909099879999996</v>
      </c>
      <c r="Y2455" s="1">
        <v>6.1044436219999998</v>
      </c>
      <c r="Z2455" s="1">
        <v>5.8420803340000003</v>
      </c>
      <c r="AA2455" s="1">
        <v>5.8024660560000001</v>
      </c>
      <c r="AB2455" s="1">
        <v>5.4746970709999996</v>
      </c>
      <c r="AC2455" s="1">
        <v>5.3988312660000002</v>
      </c>
      <c r="AD2455" s="1">
        <v>5.9231977699999998</v>
      </c>
      <c r="AE2455" s="1">
        <v>6.017118505</v>
      </c>
    </row>
    <row r="2456" spans="1:31" x14ac:dyDescent="0.25">
      <c r="A2456" s="1" t="s">
        <v>2090</v>
      </c>
      <c r="B2456" s="1" t="s">
        <v>2608</v>
      </c>
      <c r="C2456" s="1" t="s">
        <v>2700</v>
      </c>
      <c r="D2456" s="1" t="s">
        <v>3868</v>
      </c>
      <c r="E2456" s="1" t="s">
        <v>6090</v>
      </c>
      <c r="F2456" s="1" t="s">
        <v>6091</v>
      </c>
      <c r="G2456" s="1" t="s">
        <v>2090</v>
      </c>
      <c r="H2456" s="1">
        <v>6.6352621809999999</v>
      </c>
      <c r="I2456" s="1">
        <v>6.610348052</v>
      </c>
      <c r="J2456" s="1">
        <v>6.9705806790000002</v>
      </c>
      <c r="K2456" s="1">
        <v>7.1838709730000003</v>
      </c>
      <c r="L2456" s="1">
        <v>6.4247703999999999</v>
      </c>
      <c r="M2456" s="1">
        <v>6.6089531670000001</v>
      </c>
      <c r="N2456" s="1">
        <v>7.0751784710000001</v>
      </c>
      <c r="O2456" s="1">
        <v>7.2958072559999998</v>
      </c>
      <c r="P2456" s="1">
        <v>6.429694821</v>
      </c>
      <c r="Q2456" s="1">
        <v>6.5556885899999999</v>
      </c>
      <c r="R2456" s="1">
        <v>6.8070247769999996</v>
      </c>
      <c r="S2456" s="1">
        <v>6.7639721039999996</v>
      </c>
      <c r="T2456" s="1">
        <v>6.4247703999999999</v>
      </c>
      <c r="U2456" s="1">
        <v>6.6089531670000001</v>
      </c>
      <c r="V2456" s="1">
        <v>6.7957404280000002</v>
      </c>
      <c r="W2456" s="1">
        <v>6.6970570279999997</v>
      </c>
      <c r="X2456" s="1">
        <v>6.6632496019999996</v>
      </c>
      <c r="Y2456" s="1">
        <v>6.9162705400000002</v>
      </c>
      <c r="Z2456" s="1">
        <v>6.8070247769999996</v>
      </c>
      <c r="AA2456" s="1">
        <v>6.7639721039999996</v>
      </c>
      <c r="AB2456" s="1">
        <v>6.935033368</v>
      </c>
      <c r="AC2456" s="1">
        <v>6.7613405999999996</v>
      </c>
      <c r="AD2456" s="1">
        <v>6.6813055940000003</v>
      </c>
      <c r="AE2456" s="1">
        <v>6.736410029</v>
      </c>
    </row>
    <row r="2457" spans="1:31" x14ac:dyDescent="0.25">
      <c r="A2457" s="1" t="s">
        <v>2122</v>
      </c>
      <c r="B2457" s="1" t="s">
        <v>2530</v>
      </c>
      <c r="C2457" s="1" t="s">
        <v>2531</v>
      </c>
      <c r="D2457" s="1" t="s">
        <v>2535</v>
      </c>
      <c r="E2457" s="1" t="s">
        <v>2536</v>
      </c>
      <c r="G2457" s="1" t="s">
        <v>2122</v>
      </c>
      <c r="H2457" s="1">
        <v>2.640460343</v>
      </c>
      <c r="I2457" s="1">
        <v>2.8927893610000002</v>
      </c>
      <c r="J2457" s="1">
        <v>4.3724365990000003</v>
      </c>
      <c r="K2457" s="1">
        <v>3.22334677</v>
      </c>
      <c r="L2457" s="1">
        <v>4.0223143549999998</v>
      </c>
      <c r="M2457" s="1">
        <v>4.1225413939999997</v>
      </c>
      <c r="N2457" s="1">
        <v>3.622455167</v>
      </c>
      <c r="O2457" s="1">
        <v>3.88533178</v>
      </c>
      <c r="P2457" s="1">
        <v>3.86011382</v>
      </c>
      <c r="Q2457" s="1">
        <v>3.56206471</v>
      </c>
      <c r="R2457" s="1">
        <v>3.8462631940000001</v>
      </c>
      <c r="S2457" s="1">
        <v>3.5159502420000002</v>
      </c>
      <c r="T2457" s="1">
        <v>4.0223143549999998</v>
      </c>
      <c r="U2457" s="1">
        <v>4.1225413939999997</v>
      </c>
      <c r="V2457" s="1">
        <v>2.8225047829999999</v>
      </c>
      <c r="W2457" s="1">
        <v>3.0218530750000001</v>
      </c>
      <c r="X2457" s="1">
        <v>3.5039136989999999</v>
      </c>
      <c r="Y2457" s="1">
        <v>4.0337379980000003</v>
      </c>
      <c r="Z2457" s="1">
        <v>3.8462631940000001</v>
      </c>
      <c r="AA2457" s="1">
        <v>3.5159502420000002</v>
      </c>
      <c r="AB2457" s="1">
        <v>3.1218319999999999</v>
      </c>
      <c r="AC2457" s="1">
        <v>3.7481372300000002</v>
      </c>
      <c r="AD2457" s="1">
        <v>3.8610926929999998</v>
      </c>
      <c r="AE2457" s="1">
        <v>3.213378847</v>
      </c>
    </row>
    <row r="2458" spans="1:31" x14ac:dyDescent="0.25">
      <c r="A2458" s="1" t="s">
        <v>2151</v>
      </c>
      <c r="B2458" s="1" t="s">
        <v>2530</v>
      </c>
      <c r="C2458" s="1" t="s">
        <v>2531</v>
      </c>
      <c r="D2458" s="1" t="s">
        <v>2535</v>
      </c>
      <c r="E2458" s="1" t="s">
        <v>6092</v>
      </c>
      <c r="G2458" s="1" t="s">
        <v>2151</v>
      </c>
      <c r="H2458" s="1">
        <v>2.640460343</v>
      </c>
      <c r="I2458" s="1">
        <v>2.5655118899999998</v>
      </c>
      <c r="J2458" s="1">
        <v>1.7393328349999999</v>
      </c>
      <c r="K2458" s="1">
        <v>2.620638279</v>
      </c>
      <c r="L2458" s="1">
        <v>2.315629231</v>
      </c>
      <c r="M2458" s="1">
        <v>2.3994532390000001</v>
      </c>
      <c r="N2458" s="1">
        <v>2.628425199</v>
      </c>
      <c r="O2458" s="1">
        <v>1.7393328349999999</v>
      </c>
      <c r="P2458" s="1">
        <v>2.8687501260000001</v>
      </c>
      <c r="Q2458" s="1">
        <v>3.388910638</v>
      </c>
      <c r="R2458" s="1">
        <v>1.7393328349999999</v>
      </c>
      <c r="S2458" s="1">
        <v>2.5733617299999998</v>
      </c>
      <c r="T2458" s="1">
        <v>2.315629231</v>
      </c>
      <c r="U2458" s="1">
        <v>2.3994532390000001</v>
      </c>
      <c r="V2458" s="1">
        <v>1.7393328349999999</v>
      </c>
      <c r="W2458" s="1">
        <v>1.7393328349999999</v>
      </c>
      <c r="X2458" s="1">
        <v>1.7393328349999999</v>
      </c>
      <c r="Y2458" s="1">
        <v>1.7393328349999999</v>
      </c>
      <c r="Z2458" s="1">
        <v>1.7393328349999999</v>
      </c>
      <c r="AA2458" s="1">
        <v>2.5733617299999998</v>
      </c>
      <c r="AB2458" s="1">
        <v>2.73487305</v>
      </c>
      <c r="AC2458" s="1">
        <v>2.5506926650000001</v>
      </c>
      <c r="AD2458" s="1">
        <v>2.6025990879999998</v>
      </c>
      <c r="AE2458" s="1">
        <v>2.3627668220000002</v>
      </c>
    </row>
    <row r="2459" spans="1:31" x14ac:dyDescent="0.25">
      <c r="A2459" s="1" t="s">
        <v>2152</v>
      </c>
      <c r="B2459" s="1" t="s">
        <v>2535</v>
      </c>
      <c r="C2459" s="1" t="s">
        <v>2535</v>
      </c>
      <c r="D2459" s="1" t="s">
        <v>2535</v>
      </c>
      <c r="E2459" s="1" t="s">
        <v>2535</v>
      </c>
      <c r="F2459" s="1" t="s">
        <v>2535</v>
      </c>
      <c r="G2459" s="1" t="s">
        <v>2152</v>
      </c>
      <c r="H2459" s="1">
        <v>1.7393328349999999</v>
      </c>
      <c r="I2459" s="1">
        <v>1.7393328349999999</v>
      </c>
      <c r="J2459" s="1">
        <v>1.7393328349999999</v>
      </c>
      <c r="K2459" s="1">
        <v>1.7393328349999999</v>
      </c>
      <c r="L2459" s="1">
        <v>1.7393328349999999</v>
      </c>
      <c r="M2459" s="1">
        <v>1.7393328349999999</v>
      </c>
      <c r="N2459" s="1">
        <v>1.7393328349999999</v>
      </c>
      <c r="O2459" s="1">
        <v>1.7393328349999999</v>
      </c>
      <c r="P2459" s="1">
        <v>1.7393328349999999</v>
      </c>
      <c r="Q2459" s="1">
        <v>1.7393328349999999</v>
      </c>
      <c r="R2459" s="1">
        <v>1.7393328349999999</v>
      </c>
      <c r="S2459" s="1">
        <v>1.7393328349999999</v>
      </c>
      <c r="T2459" s="1">
        <v>1.7393328349999999</v>
      </c>
      <c r="U2459" s="1">
        <v>1.7393328349999999</v>
      </c>
      <c r="V2459" s="1">
        <v>1.7393328349999999</v>
      </c>
      <c r="W2459" s="1">
        <v>1.7393328349999999</v>
      </c>
      <c r="X2459" s="1">
        <v>1.7393328349999999</v>
      </c>
      <c r="Y2459" s="1">
        <v>1.7393328349999999</v>
      </c>
      <c r="Z2459" s="1">
        <v>1.7393328349999999</v>
      </c>
      <c r="AA2459" s="1">
        <v>1.7393328349999999</v>
      </c>
      <c r="AB2459" s="1">
        <v>1.7393328349999999</v>
      </c>
      <c r="AC2459" s="1">
        <v>2.5506926650000001</v>
      </c>
      <c r="AD2459" s="1">
        <v>1.7393328349999999</v>
      </c>
      <c r="AE2459" s="1">
        <v>1.7393328349999999</v>
      </c>
    </row>
    <row r="2460" spans="1:31" x14ac:dyDescent="0.25">
      <c r="A2460" s="1" t="s">
        <v>2153</v>
      </c>
      <c r="B2460" s="1" t="s">
        <v>2530</v>
      </c>
      <c r="C2460" s="1" t="s">
        <v>2531</v>
      </c>
      <c r="D2460" s="1" t="s">
        <v>2535</v>
      </c>
      <c r="E2460" s="1" t="s">
        <v>2536</v>
      </c>
      <c r="G2460" s="1" t="s">
        <v>2153</v>
      </c>
      <c r="H2460" s="1">
        <v>5.4177093730000001</v>
      </c>
      <c r="I2460" s="1">
        <v>4.8477128089999999</v>
      </c>
      <c r="J2460" s="1">
        <v>4.8994370109999998</v>
      </c>
      <c r="K2460" s="1">
        <v>4.8139921829999999</v>
      </c>
      <c r="L2460" s="1">
        <v>3.7446308510000001</v>
      </c>
      <c r="M2460" s="1">
        <v>4.1823509169999999</v>
      </c>
      <c r="N2460" s="1">
        <v>4.5776172920000002</v>
      </c>
      <c r="O2460" s="1">
        <v>4.7507950320000001</v>
      </c>
      <c r="P2460" s="1">
        <v>4.2485661720000003</v>
      </c>
      <c r="Q2460" s="1">
        <v>4.8155696649999999</v>
      </c>
      <c r="R2460" s="1">
        <v>3.5594063970000001</v>
      </c>
      <c r="S2460" s="1">
        <v>3.9182367880000002</v>
      </c>
      <c r="T2460" s="1">
        <v>3.7446308510000001</v>
      </c>
      <c r="U2460" s="1">
        <v>4.1823509169999999</v>
      </c>
      <c r="V2460" s="1">
        <v>3.6670520409999998</v>
      </c>
      <c r="W2460" s="1">
        <v>4.2295768090000001</v>
      </c>
      <c r="X2460" s="1">
        <v>4.3627028770000003</v>
      </c>
      <c r="Y2460" s="1">
        <v>4.4420910779999998</v>
      </c>
      <c r="Z2460" s="1">
        <v>3.5594063970000001</v>
      </c>
      <c r="AA2460" s="1">
        <v>3.9182367880000002</v>
      </c>
      <c r="AB2460" s="1">
        <v>3.8237667059999998</v>
      </c>
      <c r="AC2460" s="1">
        <v>4.6870272159999997</v>
      </c>
      <c r="AD2460" s="1">
        <v>4.3870463700000002</v>
      </c>
      <c r="AE2460" s="1">
        <v>4.1773695330000002</v>
      </c>
    </row>
    <row r="2461" spans="1:31" x14ac:dyDescent="0.25">
      <c r="A2461" s="1" t="s">
        <v>2169</v>
      </c>
      <c r="B2461" s="1" t="s">
        <v>2530</v>
      </c>
      <c r="C2461" s="1" t="s">
        <v>2531</v>
      </c>
      <c r="D2461" s="1" t="s">
        <v>2535</v>
      </c>
      <c r="E2461" s="1" t="s">
        <v>6093</v>
      </c>
      <c r="G2461" s="1" t="s">
        <v>2169</v>
      </c>
      <c r="H2461" s="1">
        <v>7.3097097360000003</v>
      </c>
      <c r="I2461" s="1">
        <v>6.8118118589999996</v>
      </c>
      <c r="J2461" s="1">
        <v>4.6607313550000002</v>
      </c>
      <c r="K2461" s="1">
        <v>4.2434183680000004</v>
      </c>
      <c r="L2461" s="1">
        <v>3.918224124</v>
      </c>
      <c r="M2461" s="1">
        <v>4.239619416</v>
      </c>
      <c r="N2461" s="1">
        <v>7.1700553200000003</v>
      </c>
      <c r="O2461" s="1">
        <v>7.2890135279999999</v>
      </c>
      <c r="P2461" s="1">
        <v>4.7972962780000001</v>
      </c>
      <c r="Q2461" s="1">
        <v>4.9365262349999997</v>
      </c>
      <c r="R2461" s="1">
        <v>4.2802026870000001</v>
      </c>
      <c r="S2461" s="1">
        <v>4.6194390810000003</v>
      </c>
      <c r="T2461" s="1">
        <v>3.918224124</v>
      </c>
      <c r="U2461" s="1">
        <v>4.239619416</v>
      </c>
      <c r="V2461" s="1">
        <v>4.9527859210000003</v>
      </c>
      <c r="W2461" s="1">
        <v>5.6472737119999996</v>
      </c>
      <c r="X2461" s="1">
        <v>6.1786011009999999</v>
      </c>
      <c r="Y2461" s="1">
        <v>5.8019430659999998</v>
      </c>
      <c r="Z2461" s="1">
        <v>4.2802026870000001</v>
      </c>
      <c r="AA2461" s="1">
        <v>4.6194390810000003</v>
      </c>
      <c r="AB2461" s="1">
        <v>5.1073354020000004</v>
      </c>
      <c r="AC2461" s="1">
        <v>5.471555994</v>
      </c>
      <c r="AD2461" s="1">
        <v>6.7490106299999999</v>
      </c>
      <c r="AE2461" s="1">
        <v>6.2026157089999998</v>
      </c>
    </row>
    <row r="2462" spans="1:31" x14ac:dyDescent="0.25">
      <c r="A2462" s="1" t="s">
        <v>2173</v>
      </c>
      <c r="B2462" s="1" t="s">
        <v>2530</v>
      </c>
      <c r="C2462" s="1" t="s">
        <v>2531</v>
      </c>
      <c r="D2462" s="1" t="s">
        <v>2535</v>
      </c>
      <c r="E2462" s="1" t="s">
        <v>2536</v>
      </c>
      <c r="G2462" s="1" t="s">
        <v>2173</v>
      </c>
      <c r="H2462" s="1">
        <v>6.1242673779999999</v>
      </c>
      <c r="I2462" s="1">
        <v>6.295503557</v>
      </c>
      <c r="J2462" s="1">
        <v>4.2898244959999996</v>
      </c>
      <c r="K2462" s="1">
        <v>4.8139921829999999</v>
      </c>
      <c r="L2462" s="1">
        <v>4.5190290319999997</v>
      </c>
      <c r="M2462" s="1">
        <v>4.059937712</v>
      </c>
      <c r="N2462" s="1">
        <v>6.5072521400000003</v>
      </c>
      <c r="O2462" s="1">
        <v>6.5142648510000001</v>
      </c>
      <c r="P2462" s="1">
        <v>6.7371710150000004</v>
      </c>
      <c r="Q2462" s="1">
        <v>6.7957952910000001</v>
      </c>
      <c r="R2462" s="1">
        <v>6.3078659510000001</v>
      </c>
      <c r="S2462" s="1">
        <v>6.145010976</v>
      </c>
      <c r="T2462" s="1">
        <v>4.5190290319999997</v>
      </c>
      <c r="U2462" s="1">
        <v>4.059937712</v>
      </c>
      <c r="V2462" s="1">
        <v>4.998512388</v>
      </c>
      <c r="W2462" s="1">
        <v>5.4743148909999997</v>
      </c>
      <c r="X2462" s="1">
        <v>5.5811786620000001</v>
      </c>
      <c r="Y2462" s="1">
        <v>5.3269702959999998</v>
      </c>
      <c r="Z2462" s="1">
        <v>6.3078659510000001</v>
      </c>
      <c r="AA2462" s="1">
        <v>6.145010976</v>
      </c>
      <c r="AB2462" s="1">
        <v>5.6280506069999996</v>
      </c>
      <c r="AC2462" s="1">
        <v>5.5407520860000004</v>
      </c>
      <c r="AD2462" s="1">
        <v>6.3296964060000001</v>
      </c>
      <c r="AE2462" s="1">
        <v>6.1260310530000002</v>
      </c>
    </row>
    <row r="2463" spans="1:31" x14ac:dyDescent="0.25">
      <c r="A2463" s="1" t="s">
        <v>2216</v>
      </c>
      <c r="B2463" s="1" t="s">
        <v>2598</v>
      </c>
      <c r="C2463" s="1" t="s">
        <v>2599</v>
      </c>
      <c r="D2463" s="1" t="s">
        <v>3080</v>
      </c>
      <c r="E2463" s="1" t="s">
        <v>6094</v>
      </c>
      <c r="F2463" s="1" t="s">
        <v>6095</v>
      </c>
      <c r="G2463" s="1" t="s">
        <v>2216</v>
      </c>
      <c r="H2463" s="1">
        <v>5.7062998909999996</v>
      </c>
      <c r="I2463" s="1">
        <v>5.4447012069999996</v>
      </c>
      <c r="J2463" s="1">
        <v>5.9141206909999999</v>
      </c>
      <c r="K2463" s="1">
        <v>5.4493056099999997</v>
      </c>
      <c r="L2463" s="1">
        <v>5.6335437009999998</v>
      </c>
      <c r="M2463" s="1">
        <v>5.7583226490000001</v>
      </c>
      <c r="N2463" s="1">
        <v>5.8460635029999999</v>
      </c>
      <c r="O2463" s="1">
        <v>5.8976328669999996</v>
      </c>
      <c r="P2463" s="1">
        <v>5.6913184689999996</v>
      </c>
      <c r="Q2463" s="1">
        <v>5.718446159</v>
      </c>
      <c r="R2463" s="1">
        <v>5.8420803340000003</v>
      </c>
      <c r="S2463" s="1">
        <v>5.6453330910000004</v>
      </c>
      <c r="T2463" s="1">
        <v>5.6335437009999998</v>
      </c>
      <c r="U2463" s="1">
        <v>5.7583226490000001</v>
      </c>
      <c r="V2463" s="1">
        <v>5.1679192199999999</v>
      </c>
      <c r="W2463" s="1">
        <v>5.6874298530000003</v>
      </c>
      <c r="X2463" s="1">
        <v>5.3098210989999997</v>
      </c>
      <c r="Y2463" s="1">
        <v>5.0702808140000002</v>
      </c>
      <c r="Z2463" s="1">
        <v>5.8420803340000003</v>
      </c>
      <c r="AA2463" s="1">
        <v>5.6453330910000004</v>
      </c>
      <c r="AB2463" s="1">
        <v>4.8804215500000003</v>
      </c>
      <c r="AC2463" s="1">
        <v>5.4356573160000003</v>
      </c>
      <c r="AD2463" s="1">
        <v>5.4791562909999998</v>
      </c>
      <c r="AE2463" s="1">
        <v>5.4097399240000001</v>
      </c>
    </row>
    <row r="2464" spans="1:31" x14ac:dyDescent="0.25">
      <c r="A2464" s="1" t="s">
        <v>2226</v>
      </c>
      <c r="B2464" s="1" t="s">
        <v>2530</v>
      </c>
      <c r="C2464" s="1" t="s">
        <v>2531</v>
      </c>
      <c r="D2464" s="1" t="s">
        <v>2535</v>
      </c>
      <c r="E2464" s="1" t="s">
        <v>2536</v>
      </c>
      <c r="G2464" s="1" t="s">
        <v>2226</v>
      </c>
      <c r="H2464" s="1">
        <v>1.7393328349999999</v>
      </c>
      <c r="I2464" s="1">
        <v>2.8927893610000002</v>
      </c>
      <c r="J2464" s="1">
        <v>1.7393328349999999</v>
      </c>
      <c r="K2464" s="1">
        <v>1.7393328349999999</v>
      </c>
      <c r="L2464" s="1">
        <v>1.7393328349999999</v>
      </c>
      <c r="M2464" s="1">
        <v>1.7393328349999999</v>
      </c>
      <c r="N2464" s="1">
        <v>1.7393328349999999</v>
      </c>
      <c r="O2464" s="1">
        <v>1.7393328349999999</v>
      </c>
      <c r="P2464" s="1">
        <v>1.7393328349999999</v>
      </c>
      <c r="Q2464" s="1">
        <v>1.7393328349999999</v>
      </c>
      <c r="R2464" s="1">
        <v>1.7393328349999999</v>
      </c>
      <c r="S2464" s="1">
        <v>2.5733617299999998</v>
      </c>
      <c r="T2464" s="1">
        <v>1.7393328349999999</v>
      </c>
      <c r="U2464" s="1">
        <v>1.7393328349999999</v>
      </c>
      <c r="V2464" s="1">
        <v>1.7393328349999999</v>
      </c>
      <c r="W2464" s="1">
        <v>1.7393328349999999</v>
      </c>
      <c r="X2464" s="1">
        <v>1.7393328349999999</v>
      </c>
      <c r="Y2464" s="1">
        <v>1.7393328349999999</v>
      </c>
      <c r="Z2464" s="1">
        <v>1.7393328349999999</v>
      </c>
      <c r="AA2464" s="1">
        <v>2.5733617299999998</v>
      </c>
      <c r="AB2464" s="1">
        <v>1.7393328349999999</v>
      </c>
      <c r="AC2464" s="1">
        <v>1.7393328349999999</v>
      </c>
      <c r="AD2464" s="1">
        <v>1.7393328349999999</v>
      </c>
      <c r="AE2464" s="1">
        <v>2.3627668220000002</v>
      </c>
    </row>
    <row r="2465" spans="1:31" x14ac:dyDescent="0.25">
      <c r="A2465" s="1" t="s">
        <v>2237</v>
      </c>
      <c r="B2465" s="1" t="s">
        <v>2530</v>
      </c>
      <c r="C2465" s="1" t="s">
        <v>2531</v>
      </c>
      <c r="D2465" s="1" t="s">
        <v>2535</v>
      </c>
      <c r="E2465" s="1" t="s">
        <v>2536</v>
      </c>
      <c r="G2465" s="1" t="s">
        <v>2237</v>
      </c>
      <c r="H2465" s="1">
        <v>1.7393328349999999</v>
      </c>
      <c r="I2465" s="1">
        <v>1.7393328349999999</v>
      </c>
      <c r="J2465" s="1">
        <v>1.7393328349999999</v>
      </c>
      <c r="K2465" s="1">
        <v>1.7393328349999999</v>
      </c>
      <c r="L2465" s="1">
        <v>1.7393328349999999</v>
      </c>
      <c r="M2465" s="1">
        <v>1.7393328349999999</v>
      </c>
      <c r="N2465" s="1">
        <v>2.8201075470000001</v>
      </c>
      <c r="O2465" s="1">
        <v>2.411448644</v>
      </c>
      <c r="P2465" s="1">
        <v>1.7393328349999999</v>
      </c>
      <c r="Q2465" s="1">
        <v>1.7393328349999999</v>
      </c>
      <c r="R2465" s="1">
        <v>1.7393328349999999</v>
      </c>
      <c r="S2465" s="1">
        <v>1.7393328349999999</v>
      </c>
      <c r="T2465" s="1">
        <v>1.7393328349999999</v>
      </c>
      <c r="U2465" s="1">
        <v>1.7393328349999999</v>
      </c>
      <c r="V2465" s="1">
        <v>1.7393328349999999</v>
      </c>
      <c r="W2465" s="1">
        <v>1.7393328349999999</v>
      </c>
      <c r="X2465" s="1">
        <v>1.7393328349999999</v>
      </c>
      <c r="Y2465" s="1">
        <v>1.7393328349999999</v>
      </c>
      <c r="Z2465" s="1">
        <v>1.7393328349999999</v>
      </c>
      <c r="AA2465" s="1">
        <v>1.7393328349999999</v>
      </c>
      <c r="AB2465" s="1">
        <v>1.7393328349999999</v>
      </c>
      <c r="AC2465" s="1">
        <v>1.7393328349999999</v>
      </c>
      <c r="AD2465" s="1">
        <v>1.7393328349999999</v>
      </c>
      <c r="AE2465" s="1">
        <v>1.7393328349999999</v>
      </c>
    </row>
    <row r="2466" spans="1:31" x14ac:dyDescent="0.25">
      <c r="A2466" s="1" t="s">
        <v>2242</v>
      </c>
      <c r="B2466" s="1" t="s">
        <v>2535</v>
      </c>
      <c r="C2466" s="1" t="s">
        <v>2535</v>
      </c>
      <c r="D2466" s="1" t="s">
        <v>2535</v>
      </c>
      <c r="E2466" s="1" t="s">
        <v>2535</v>
      </c>
      <c r="F2466" s="1" t="s">
        <v>2535</v>
      </c>
      <c r="G2466" s="1" t="s">
        <v>2242</v>
      </c>
      <c r="H2466" s="1">
        <v>1.7393328349999999</v>
      </c>
      <c r="I2466" s="1">
        <v>2.8927893610000002</v>
      </c>
      <c r="J2466" s="1">
        <v>1.7393328349999999</v>
      </c>
      <c r="K2466" s="1">
        <v>2.620638279</v>
      </c>
      <c r="L2466" s="1">
        <v>2.315629231</v>
      </c>
      <c r="M2466" s="1">
        <v>1.7393328349999999</v>
      </c>
      <c r="N2466" s="1">
        <v>2.628425199</v>
      </c>
      <c r="O2466" s="1">
        <v>2.6816282820000001</v>
      </c>
      <c r="P2466" s="1">
        <v>1.7393328349999999</v>
      </c>
      <c r="Q2466" s="1">
        <v>2.597100669</v>
      </c>
      <c r="R2466" s="1">
        <v>1.7393328349999999</v>
      </c>
      <c r="S2466" s="1">
        <v>1.7393328349999999</v>
      </c>
      <c r="T2466" s="1">
        <v>2.315629231</v>
      </c>
      <c r="U2466" s="1">
        <v>1.7393328349999999</v>
      </c>
      <c r="V2466" s="1">
        <v>1.7393328349999999</v>
      </c>
      <c r="W2466" s="1">
        <v>1.7393328349999999</v>
      </c>
      <c r="X2466" s="1">
        <v>2.6106888979999998</v>
      </c>
      <c r="Y2466" s="1">
        <v>2.624795792</v>
      </c>
      <c r="Z2466" s="1">
        <v>1.7393328349999999</v>
      </c>
      <c r="AA2466" s="1">
        <v>1.7393328349999999</v>
      </c>
      <c r="AB2466" s="1">
        <v>1.7393328349999999</v>
      </c>
      <c r="AC2466" s="1">
        <v>1.7393328349999999</v>
      </c>
      <c r="AD2466" s="1">
        <v>2.6025990879999998</v>
      </c>
      <c r="AE2466" s="1">
        <v>2.3627668220000002</v>
      </c>
    </row>
    <row r="2467" spans="1:31" x14ac:dyDescent="0.25">
      <c r="A2467" s="1" t="s">
        <v>2248</v>
      </c>
      <c r="B2467" s="1" t="s">
        <v>2530</v>
      </c>
      <c r="C2467" s="1" t="s">
        <v>2531</v>
      </c>
      <c r="D2467" s="1" t="s">
        <v>2535</v>
      </c>
      <c r="E2467" s="1" t="s">
        <v>2536</v>
      </c>
      <c r="G2467" s="1" t="s">
        <v>2248</v>
      </c>
      <c r="H2467" s="1">
        <v>5.3712699940000004</v>
      </c>
      <c r="I2467" s="1">
        <v>5.1078624770000003</v>
      </c>
      <c r="J2467" s="1">
        <v>4.4503473070000004</v>
      </c>
      <c r="K2467" s="1">
        <v>4.4318297590000002</v>
      </c>
      <c r="L2467" s="1">
        <v>3.1084154310000001</v>
      </c>
      <c r="M2467" s="1">
        <v>3.6924658159999999</v>
      </c>
      <c r="N2467" s="1">
        <v>5.1081614489999998</v>
      </c>
      <c r="O2467" s="1">
        <v>5.6856657850000003</v>
      </c>
      <c r="P2467" s="1">
        <v>3.86011382</v>
      </c>
      <c r="Q2467" s="1">
        <v>3.185675432</v>
      </c>
      <c r="R2467" s="1">
        <v>3.386455024</v>
      </c>
      <c r="S2467" s="1">
        <v>2.9034795349999998</v>
      </c>
      <c r="T2467" s="1">
        <v>3.1084154310000001</v>
      </c>
      <c r="U2467" s="1">
        <v>3.6924658159999999</v>
      </c>
      <c r="V2467" s="1">
        <v>3.5405335899999999</v>
      </c>
      <c r="W2467" s="1">
        <v>3.0218530750000001</v>
      </c>
      <c r="X2467" s="1">
        <v>3.5039136989999999</v>
      </c>
      <c r="Y2467" s="1">
        <v>4.0337379980000003</v>
      </c>
      <c r="Z2467" s="1">
        <v>3.386455024</v>
      </c>
      <c r="AA2467" s="1">
        <v>2.9034795349999998</v>
      </c>
      <c r="AB2467" s="1">
        <v>3.404153038</v>
      </c>
      <c r="AC2467" s="1">
        <v>3.3054795530000001</v>
      </c>
      <c r="AD2467" s="1">
        <v>3.3987395579999999</v>
      </c>
      <c r="AE2467" s="1">
        <v>3.8196998459999998</v>
      </c>
    </row>
    <row r="2468" spans="1:31" x14ac:dyDescent="0.25">
      <c r="A2468" s="1" t="s">
        <v>2272</v>
      </c>
      <c r="B2468" s="1" t="s">
        <v>2530</v>
      </c>
      <c r="C2468" s="1" t="s">
        <v>2531</v>
      </c>
      <c r="D2468" s="1" t="s">
        <v>2535</v>
      </c>
      <c r="E2468" s="1" t="s">
        <v>2536</v>
      </c>
      <c r="G2468" s="1" t="s">
        <v>2272</v>
      </c>
      <c r="H2468" s="1">
        <v>2.640460343</v>
      </c>
      <c r="I2468" s="1">
        <v>3.6484415459999999</v>
      </c>
      <c r="J2468" s="1">
        <v>1.7393328349999999</v>
      </c>
      <c r="K2468" s="1">
        <v>1.7393328349999999</v>
      </c>
      <c r="L2468" s="1">
        <v>2.8704126319999999</v>
      </c>
      <c r="M2468" s="1">
        <v>3.4067547010000001</v>
      </c>
      <c r="N2468" s="1">
        <v>3.9164981490000002</v>
      </c>
      <c r="O2468" s="1">
        <v>3.7238257350000001</v>
      </c>
      <c r="P2468" s="1">
        <v>3.106446558</v>
      </c>
      <c r="Q2468" s="1">
        <v>2.935765398</v>
      </c>
      <c r="R2468" s="1">
        <v>1.7393328349999999</v>
      </c>
      <c r="S2468" s="1">
        <v>3.3463386960000001</v>
      </c>
      <c r="T2468" s="1">
        <v>2.8704126319999999</v>
      </c>
      <c r="U2468" s="1">
        <v>3.4067547010000001</v>
      </c>
      <c r="V2468" s="1">
        <v>3.2389700330000002</v>
      </c>
      <c r="W2468" s="1">
        <v>3.2870366010000001</v>
      </c>
      <c r="X2468" s="1">
        <v>3.8119046220000001</v>
      </c>
      <c r="Y2468" s="1">
        <v>4.0337379980000003</v>
      </c>
      <c r="Z2468" s="1">
        <v>1.7393328349999999</v>
      </c>
      <c r="AA2468" s="1">
        <v>3.3463386960000001</v>
      </c>
      <c r="AB2468" s="1">
        <v>1.7393328349999999</v>
      </c>
      <c r="AC2468" s="1">
        <v>2.87258916</v>
      </c>
      <c r="AD2468" s="1">
        <v>2.6025990879999998</v>
      </c>
      <c r="AE2468" s="1">
        <v>3.419797387</v>
      </c>
    </row>
    <row r="2469" spans="1:31" x14ac:dyDescent="0.25">
      <c r="A2469" s="1" t="s">
        <v>2282</v>
      </c>
      <c r="B2469" s="1" t="s">
        <v>2530</v>
      </c>
      <c r="C2469" s="1" t="s">
        <v>2531</v>
      </c>
      <c r="D2469" s="1" t="s">
        <v>2535</v>
      </c>
      <c r="E2469" s="1" t="s">
        <v>2536</v>
      </c>
      <c r="G2469" s="1" t="s">
        <v>2282</v>
      </c>
      <c r="H2469" s="1">
        <v>1.7393328349999999</v>
      </c>
      <c r="I2469" s="1">
        <v>4.0101074990000001</v>
      </c>
      <c r="J2469" s="1">
        <v>2.5640169199999998</v>
      </c>
      <c r="K2469" s="1">
        <v>1.7393328349999999</v>
      </c>
      <c r="L2469" s="1">
        <v>2.7248816410000001</v>
      </c>
      <c r="M2469" s="1">
        <v>2.665084539</v>
      </c>
      <c r="N2469" s="1">
        <v>2.8201075470000001</v>
      </c>
      <c r="O2469" s="1">
        <v>3.050193165</v>
      </c>
      <c r="P2469" s="1">
        <v>3.466113682</v>
      </c>
      <c r="Q2469" s="1">
        <v>2.597100669</v>
      </c>
      <c r="R2469" s="1">
        <v>2.9339002829999998</v>
      </c>
      <c r="S2469" s="1">
        <v>1.7393328349999999</v>
      </c>
      <c r="T2469" s="1">
        <v>2.7248816410000001</v>
      </c>
      <c r="U2469" s="1">
        <v>2.665084539</v>
      </c>
      <c r="V2469" s="1">
        <v>3.5405335899999999</v>
      </c>
      <c r="W2469" s="1">
        <v>2.6606351240000001</v>
      </c>
      <c r="X2469" s="1">
        <v>2.6106888979999998</v>
      </c>
      <c r="Y2469" s="1">
        <v>3.229986142</v>
      </c>
      <c r="Z2469" s="1">
        <v>2.9339002829999998</v>
      </c>
      <c r="AA2469" s="1">
        <v>1.7393328349999999</v>
      </c>
      <c r="AB2469" s="1">
        <v>3.1218319999999999</v>
      </c>
      <c r="AC2469" s="1">
        <v>3.1109927919999998</v>
      </c>
      <c r="AD2469" s="1">
        <v>1.7393328349999999</v>
      </c>
      <c r="AE2469" s="1">
        <v>1.7393328349999999</v>
      </c>
    </row>
    <row r="2470" spans="1:31" x14ac:dyDescent="0.25">
      <c r="A2470" s="1" t="s">
        <v>2291</v>
      </c>
      <c r="B2470" s="1" t="s">
        <v>3099</v>
      </c>
      <c r="C2470" s="1" t="s">
        <v>3122</v>
      </c>
      <c r="D2470" s="1" t="s">
        <v>3123</v>
      </c>
      <c r="E2470" s="1" t="s">
        <v>6096</v>
      </c>
      <c r="F2470" s="1" t="s">
        <v>6097</v>
      </c>
      <c r="G2470" s="1" t="s">
        <v>2291</v>
      </c>
      <c r="H2470" s="1">
        <v>4.2900513550000001</v>
      </c>
      <c r="I2470" s="1">
        <v>3.9003964459999998</v>
      </c>
      <c r="J2470" s="1">
        <v>5.0551375939999996</v>
      </c>
      <c r="K2470" s="1">
        <v>5.166960875</v>
      </c>
      <c r="L2470" s="1">
        <v>4.6825378889999998</v>
      </c>
      <c r="M2470" s="1">
        <v>4.709731562</v>
      </c>
      <c r="N2470" s="1">
        <v>4.1002678350000004</v>
      </c>
      <c r="O2470" s="1">
        <v>4.1585876539999997</v>
      </c>
      <c r="P2470" s="1">
        <v>4.6160325330000003</v>
      </c>
      <c r="Q2470" s="1">
        <v>4.8773483779999998</v>
      </c>
      <c r="R2470" s="1">
        <v>5.4182058560000002</v>
      </c>
      <c r="S2470" s="1">
        <v>5.1778667870000001</v>
      </c>
      <c r="T2470" s="1">
        <v>4.6825378889999998</v>
      </c>
      <c r="U2470" s="1">
        <v>4.709731562</v>
      </c>
      <c r="V2470" s="1">
        <v>4.6987742170000004</v>
      </c>
      <c r="W2470" s="1">
        <v>5.5634106699999997</v>
      </c>
      <c r="X2470" s="1">
        <v>5.0861518739999996</v>
      </c>
      <c r="Y2470" s="1">
        <v>4.8250325140000001</v>
      </c>
      <c r="Z2470" s="1">
        <v>5.4182058560000002</v>
      </c>
      <c r="AA2470" s="1">
        <v>5.1778667870000001</v>
      </c>
      <c r="AB2470" s="1">
        <v>5.3028471579999996</v>
      </c>
      <c r="AC2470" s="1">
        <v>4.8053838390000001</v>
      </c>
      <c r="AD2470" s="1">
        <v>5.116107059</v>
      </c>
      <c r="AE2470" s="1">
        <v>4.7636391339999999</v>
      </c>
    </row>
    <row r="2471" spans="1:31" x14ac:dyDescent="0.25">
      <c r="A2471" s="1" t="s">
        <v>2308</v>
      </c>
      <c r="B2471" s="1" t="s">
        <v>2579</v>
      </c>
      <c r="C2471" s="1" t="s">
        <v>2933</v>
      </c>
      <c r="D2471" s="1" t="s">
        <v>5855</v>
      </c>
      <c r="E2471" s="1" t="s">
        <v>6098</v>
      </c>
      <c r="F2471" s="1" t="s">
        <v>6099</v>
      </c>
      <c r="G2471" s="1" t="s">
        <v>2308</v>
      </c>
      <c r="H2471" s="1">
        <v>9.5573186089999993</v>
      </c>
      <c r="I2471" s="1">
        <v>8.9577967350000005</v>
      </c>
      <c r="J2471" s="1">
        <v>8.0831917339999997</v>
      </c>
      <c r="K2471" s="1">
        <v>8.0909901600000005</v>
      </c>
      <c r="L2471" s="1">
        <v>6.8601972809999996</v>
      </c>
      <c r="M2471" s="1">
        <v>7.3241691099999997</v>
      </c>
      <c r="N2471" s="1">
        <v>8.3014683409999996</v>
      </c>
      <c r="O2471" s="1">
        <v>8.1005494240000004</v>
      </c>
      <c r="P2471" s="1">
        <v>8.1732561639999997</v>
      </c>
      <c r="Q2471" s="1">
        <v>7.5617573509999998</v>
      </c>
      <c r="R2471" s="1">
        <v>7.5571665660000003</v>
      </c>
      <c r="S2471" s="1">
        <v>7.854835338</v>
      </c>
      <c r="T2471" s="1">
        <v>6.8601972809999996</v>
      </c>
      <c r="U2471" s="1">
        <v>7.3241691099999997</v>
      </c>
      <c r="V2471" s="1">
        <v>7.3522324780000003</v>
      </c>
      <c r="W2471" s="1">
        <v>6.9646536269999997</v>
      </c>
      <c r="X2471" s="1">
        <v>6.807806319</v>
      </c>
      <c r="Y2471" s="1">
        <v>6.7346511490000003</v>
      </c>
      <c r="Z2471" s="1">
        <v>7.5571665660000003</v>
      </c>
      <c r="AA2471" s="1">
        <v>7.854835338</v>
      </c>
      <c r="AB2471" s="1">
        <v>7.2804224470000003</v>
      </c>
      <c r="AC2471" s="1">
        <v>7.4212408840000004</v>
      </c>
      <c r="AD2471" s="1">
        <v>7.0195523419999999</v>
      </c>
      <c r="AE2471" s="1">
        <v>6.719154037</v>
      </c>
    </row>
    <row r="2472" spans="1:31" x14ac:dyDescent="0.25">
      <c r="A2472" s="1" t="s">
        <v>2312</v>
      </c>
      <c r="B2472" s="1" t="s">
        <v>2530</v>
      </c>
      <c r="C2472" s="1" t="s">
        <v>2531</v>
      </c>
      <c r="D2472" s="1" t="s">
        <v>2535</v>
      </c>
      <c r="E2472" s="1" t="s">
        <v>6100</v>
      </c>
      <c r="G2472" s="1" t="s">
        <v>2312</v>
      </c>
      <c r="H2472" s="1">
        <v>3.2549621289999999</v>
      </c>
      <c r="I2472" s="1">
        <v>4.0101074990000001</v>
      </c>
      <c r="J2472" s="1">
        <v>3.7773371739999999</v>
      </c>
      <c r="K2472" s="1">
        <v>4.4318297590000002</v>
      </c>
      <c r="L2472" s="1">
        <v>2.9964092330000001</v>
      </c>
      <c r="M2472" s="1">
        <v>3.6044002019999999</v>
      </c>
      <c r="N2472" s="1">
        <v>4.1002678350000004</v>
      </c>
      <c r="O2472" s="1">
        <v>3.88533178</v>
      </c>
      <c r="P2472" s="1">
        <v>3.3003929539999999</v>
      </c>
      <c r="Q2472" s="1">
        <v>3.7137735799999998</v>
      </c>
      <c r="R2472" s="1">
        <v>3.386455024</v>
      </c>
      <c r="S2472" s="1">
        <v>3.5159502420000002</v>
      </c>
      <c r="T2472" s="1">
        <v>2.9964092330000001</v>
      </c>
      <c r="U2472" s="1">
        <v>3.6044002019999999</v>
      </c>
      <c r="V2472" s="1">
        <v>4.0758289169999999</v>
      </c>
      <c r="W2472" s="1">
        <v>3.6840067150000002</v>
      </c>
      <c r="X2472" s="1">
        <v>3.7416722899999999</v>
      </c>
      <c r="Y2472" s="1">
        <v>4.6081171230000004</v>
      </c>
      <c r="Z2472" s="1">
        <v>3.386455024</v>
      </c>
      <c r="AA2472" s="1">
        <v>3.5159502420000002</v>
      </c>
      <c r="AB2472" s="1">
        <v>3.6315729079999999</v>
      </c>
      <c r="AC2472" s="1">
        <v>4.0753403910000001</v>
      </c>
      <c r="AD2472" s="1">
        <v>3.8610926929999998</v>
      </c>
      <c r="AE2472" s="1">
        <v>3.5108161330000001</v>
      </c>
    </row>
    <row r="2473" spans="1:31" x14ac:dyDescent="0.25">
      <c r="A2473" s="1" t="s">
        <v>2318</v>
      </c>
      <c r="B2473" s="1" t="s">
        <v>2530</v>
      </c>
      <c r="C2473" s="1" t="s">
        <v>2531</v>
      </c>
      <c r="D2473" s="1" t="s">
        <v>2535</v>
      </c>
      <c r="E2473" s="1" t="s">
        <v>2536</v>
      </c>
      <c r="G2473" s="1" t="s">
        <v>2318</v>
      </c>
      <c r="H2473" s="1">
        <v>1.7393328349999999</v>
      </c>
      <c r="I2473" s="1">
        <v>2.5655118899999998</v>
      </c>
      <c r="J2473" s="1">
        <v>2.8907526730000002</v>
      </c>
      <c r="K2473" s="1">
        <v>1.7393328349999999</v>
      </c>
      <c r="L2473" s="1">
        <v>2.315629231</v>
      </c>
      <c r="M2473" s="1">
        <v>1.7393328349999999</v>
      </c>
      <c r="N2473" s="1">
        <v>1.7393328349999999</v>
      </c>
      <c r="O2473" s="1">
        <v>1.7393328349999999</v>
      </c>
      <c r="P2473" s="1">
        <v>1.7393328349999999</v>
      </c>
      <c r="Q2473" s="1">
        <v>1.7393328349999999</v>
      </c>
      <c r="R2473" s="1">
        <v>1.7393328349999999</v>
      </c>
      <c r="S2473" s="1">
        <v>2.9034795349999998</v>
      </c>
      <c r="T2473" s="1">
        <v>2.315629231</v>
      </c>
      <c r="U2473" s="1">
        <v>1.7393328349999999</v>
      </c>
      <c r="V2473" s="1">
        <v>1.7393328349999999</v>
      </c>
      <c r="W2473" s="1">
        <v>1.7393328349999999</v>
      </c>
      <c r="X2473" s="1">
        <v>1.7393328349999999</v>
      </c>
      <c r="Y2473" s="1">
        <v>1.7393328349999999</v>
      </c>
      <c r="Z2473" s="1">
        <v>1.7393328349999999</v>
      </c>
      <c r="AA2473" s="1">
        <v>2.9034795349999998</v>
      </c>
      <c r="AB2473" s="1">
        <v>1.7393328349999999</v>
      </c>
      <c r="AC2473" s="1">
        <v>1.7393328349999999</v>
      </c>
      <c r="AD2473" s="1">
        <v>1.7393328349999999</v>
      </c>
      <c r="AE2473" s="1">
        <v>1.7393328349999999</v>
      </c>
    </row>
    <row r="2474" spans="1:31" x14ac:dyDescent="0.25">
      <c r="A2474" s="1" t="s">
        <v>2320</v>
      </c>
      <c r="B2474" s="1" t="s">
        <v>2530</v>
      </c>
      <c r="C2474" s="1" t="s">
        <v>2531</v>
      </c>
      <c r="D2474" s="1" t="s">
        <v>2535</v>
      </c>
      <c r="E2474" s="1" t="s">
        <v>6101</v>
      </c>
      <c r="F2474" s="1" t="s">
        <v>5284</v>
      </c>
      <c r="G2474" s="1" t="s">
        <v>2320</v>
      </c>
      <c r="H2474" s="1">
        <v>3.8023684370000002</v>
      </c>
      <c r="I2474" s="1">
        <v>4.1114152529999997</v>
      </c>
      <c r="J2474" s="1">
        <v>4.2018709520000002</v>
      </c>
      <c r="K2474" s="1">
        <v>5.3612725399999999</v>
      </c>
      <c r="L2474" s="1">
        <v>4.3727018190000004</v>
      </c>
      <c r="M2474" s="1">
        <v>4.5846937370000003</v>
      </c>
      <c r="N2474" s="1">
        <v>3.7779028299999999</v>
      </c>
      <c r="O2474" s="1">
        <v>4.0289865369999998</v>
      </c>
      <c r="P2474" s="1">
        <v>4.0684607960000001</v>
      </c>
      <c r="Q2474" s="1">
        <v>4.2835653880000004</v>
      </c>
      <c r="R2474" s="1">
        <v>4.6083586160000003</v>
      </c>
      <c r="S2474" s="1">
        <v>4.2250836859999996</v>
      </c>
      <c r="T2474" s="1">
        <v>4.3727018190000004</v>
      </c>
      <c r="U2474" s="1">
        <v>4.5846937370000003</v>
      </c>
      <c r="V2474" s="1">
        <v>4.9055261469999998</v>
      </c>
      <c r="W2474" s="1">
        <v>4.1128053839999996</v>
      </c>
      <c r="X2474" s="1">
        <v>5.0029944190000002</v>
      </c>
      <c r="Y2474" s="1">
        <v>5.2297915760000002</v>
      </c>
      <c r="Z2474" s="1">
        <v>4.6083586160000003</v>
      </c>
      <c r="AA2474" s="1">
        <v>4.2250836859999996</v>
      </c>
      <c r="AB2474" s="1">
        <v>4.6096720080000004</v>
      </c>
      <c r="AC2474" s="1">
        <v>4.7474570290000004</v>
      </c>
      <c r="AD2474" s="1">
        <v>3.5727029510000001</v>
      </c>
      <c r="AE2474" s="1">
        <v>4.5815229759999996</v>
      </c>
    </row>
    <row r="2475" spans="1:31" x14ac:dyDescent="0.25">
      <c r="A2475" s="1" t="s">
        <v>2331</v>
      </c>
      <c r="B2475" s="1" t="s">
        <v>2942</v>
      </c>
      <c r="C2475" s="1" t="s">
        <v>3659</v>
      </c>
      <c r="D2475" s="1" t="s">
        <v>2807</v>
      </c>
      <c r="E2475" s="1" t="s">
        <v>6102</v>
      </c>
      <c r="F2475" s="1" t="s">
        <v>6103</v>
      </c>
      <c r="G2475" s="1" t="s">
        <v>2331</v>
      </c>
      <c r="H2475" s="1">
        <v>5.2221022919999998</v>
      </c>
      <c r="I2475" s="1">
        <v>5.3275363779999996</v>
      </c>
      <c r="J2475" s="1">
        <v>4.7243317210000004</v>
      </c>
      <c r="K2475" s="1">
        <v>5.3151275040000003</v>
      </c>
      <c r="L2475" s="1">
        <v>4.5533082269999996</v>
      </c>
      <c r="M2475" s="1">
        <v>4.2945656129999996</v>
      </c>
      <c r="N2475" s="1">
        <v>4.1562881980000004</v>
      </c>
      <c r="O2475" s="1">
        <v>4.5801520279999997</v>
      </c>
      <c r="P2475" s="1">
        <v>5.1018341500000002</v>
      </c>
      <c r="Q2475" s="1">
        <v>4.7509440400000003</v>
      </c>
      <c r="R2475" s="1">
        <v>4.6083586160000003</v>
      </c>
      <c r="S2475" s="1">
        <v>4.8699614389999999</v>
      </c>
      <c r="T2475" s="1">
        <v>4.5533082269999996</v>
      </c>
      <c r="U2475" s="1">
        <v>4.2945656129999996</v>
      </c>
      <c r="V2475" s="1">
        <v>4.2408545169999998</v>
      </c>
      <c r="W2475" s="1">
        <v>5.0488589419999998</v>
      </c>
      <c r="X2475" s="1">
        <v>5.3098210989999997</v>
      </c>
      <c r="Y2475" s="1">
        <v>4.2532353330000001</v>
      </c>
      <c r="Z2475" s="1">
        <v>4.6083586160000003</v>
      </c>
      <c r="AA2475" s="1">
        <v>4.8699614389999999</v>
      </c>
      <c r="AB2475" s="1">
        <v>4.8804215500000003</v>
      </c>
      <c r="AC2475" s="1">
        <v>4.6238605430000002</v>
      </c>
      <c r="AD2475" s="1">
        <v>3.725077481</v>
      </c>
      <c r="AE2475" s="1">
        <v>4.1773695330000002</v>
      </c>
    </row>
    <row r="2476" spans="1:31" x14ac:dyDescent="0.25">
      <c r="A2476" s="1" t="s">
        <v>2393</v>
      </c>
      <c r="B2476" s="1" t="s">
        <v>2662</v>
      </c>
      <c r="C2476" s="1" t="s">
        <v>2531</v>
      </c>
      <c r="D2476" s="1" t="s">
        <v>5511</v>
      </c>
      <c r="E2476" s="1" t="s">
        <v>5512</v>
      </c>
      <c r="G2476" s="1" t="s">
        <v>2393</v>
      </c>
      <c r="H2476" s="1">
        <v>2.9945681560000001</v>
      </c>
      <c r="I2476" s="1">
        <v>1.7393328349999999</v>
      </c>
      <c r="J2476" s="1">
        <v>1.7393328349999999</v>
      </c>
      <c r="K2476" s="1">
        <v>1.7393328349999999</v>
      </c>
      <c r="L2476" s="1">
        <v>1.7393328349999999</v>
      </c>
      <c r="M2476" s="1">
        <v>1.7393328349999999</v>
      </c>
      <c r="N2476" s="1">
        <v>2.628425199</v>
      </c>
      <c r="O2476" s="1">
        <v>2.6816282820000001</v>
      </c>
      <c r="P2476" s="1">
        <v>1.7393328349999999</v>
      </c>
      <c r="Q2476" s="1">
        <v>1.7393328349999999</v>
      </c>
      <c r="R2476" s="1">
        <v>1.7393328349999999</v>
      </c>
      <c r="S2476" s="1">
        <v>1.7393328349999999</v>
      </c>
      <c r="T2476" s="1">
        <v>1.7393328349999999</v>
      </c>
      <c r="U2476" s="1">
        <v>1.7393328349999999</v>
      </c>
      <c r="V2476" s="1">
        <v>1.7393328349999999</v>
      </c>
      <c r="W2476" s="1">
        <v>1.7393328349999999</v>
      </c>
      <c r="X2476" s="1">
        <v>1.7393328349999999</v>
      </c>
      <c r="Y2476" s="1">
        <v>1.7393328349999999</v>
      </c>
      <c r="Z2476" s="1">
        <v>1.7393328349999999</v>
      </c>
      <c r="AA2476" s="1">
        <v>1.7393328349999999</v>
      </c>
      <c r="AB2476" s="1">
        <v>1.7393328349999999</v>
      </c>
      <c r="AC2476" s="1">
        <v>1.7393328349999999</v>
      </c>
      <c r="AD2476" s="1">
        <v>1.7393328349999999</v>
      </c>
      <c r="AE2476" s="1">
        <v>1.7393328349999999</v>
      </c>
    </row>
    <row r="2477" spans="1:31" x14ac:dyDescent="0.25">
      <c r="A2477" s="1" t="s">
        <v>2438</v>
      </c>
      <c r="B2477" s="1" t="s">
        <v>2525</v>
      </c>
      <c r="C2477" s="1" t="s">
        <v>2749</v>
      </c>
      <c r="D2477" s="1" t="s">
        <v>2535</v>
      </c>
      <c r="E2477" s="1" t="s">
        <v>6104</v>
      </c>
      <c r="F2477" s="1" t="s">
        <v>6105</v>
      </c>
      <c r="G2477" s="1" t="s">
        <v>2438</v>
      </c>
      <c r="H2477" s="1">
        <v>2.640460343</v>
      </c>
      <c r="I2477" s="1">
        <v>1.7393328349999999</v>
      </c>
      <c r="J2477" s="1">
        <v>2.5640169199999998</v>
      </c>
      <c r="K2477" s="1">
        <v>1.7393328349999999</v>
      </c>
      <c r="L2477" s="1">
        <v>2.5490970000000002</v>
      </c>
      <c r="M2477" s="1">
        <v>3.027864058</v>
      </c>
      <c r="N2477" s="1">
        <v>2.8201075470000001</v>
      </c>
      <c r="O2477" s="1">
        <v>2.6816282820000001</v>
      </c>
      <c r="P2477" s="1">
        <v>1.7393328349999999</v>
      </c>
      <c r="Q2477" s="1">
        <v>1.7393328349999999</v>
      </c>
      <c r="R2477" s="1">
        <v>1.7393328349999999</v>
      </c>
      <c r="S2477" s="1">
        <v>2.5733617299999998</v>
      </c>
      <c r="T2477" s="1">
        <v>2.5490970000000002</v>
      </c>
      <c r="U2477" s="1">
        <v>3.027864058</v>
      </c>
      <c r="V2477" s="1">
        <v>2.5140266200000001</v>
      </c>
      <c r="W2477" s="1">
        <v>1.7393328349999999</v>
      </c>
      <c r="X2477" s="1">
        <v>2.3600830049999999</v>
      </c>
      <c r="Y2477" s="1">
        <v>2.624795792</v>
      </c>
      <c r="Z2477" s="1">
        <v>1.7393328349999999</v>
      </c>
      <c r="AA2477" s="1">
        <v>2.5733617299999998</v>
      </c>
      <c r="AB2477" s="1">
        <v>1.7393328349999999</v>
      </c>
      <c r="AC2477" s="1">
        <v>1.7393328349999999</v>
      </c>
      <c r="AD2477" s="1">
        <v>1.7393328349999999</v>
      </c>
      <c r="AE2477" s="1">
        <v>2.3627668220000002</v>
      </c>
    </row>
    <row r="2478" spans="1:31" x14ac:dyDescent="0.25">
      <c r="A2478" s="1" t="s">
        <v>2443</v>
      </c>
      <c r="B2478" s="1" t="s">
        <v>2579</v>
      </c>
      <c r="C2478" s="1" t="s">
        <v>2933</v>
      </c>
      <c r="D2478" s="1" t="s">
        <v>5855</v>
      </c>
      <c r="E2478" s="1" t="s">
        <v>6106</v>
      </c>
      <c r="F2478" s="1" t="s">
        <v>6107</v>
      </c>
      <c r="G2478" s="1" t="s">
        <v>2443</v>
      </c>
      <c r="H2478" s="1">
        <v>9.2577216619999998</v>
      </c>
      <c r="I2478" s="1">
        <v>9.4414497449999999</v>
      </c>
      <c r="J2478" s="1">
        <v>8.61985052</v>
      </c>
      <c r="K2478" s="1">
        <v>8.6801561750000005</v>
      </c>
      <c r="L2478" s="1">
        <v>7.9189911589999999</v>
      </c>
      <c r="M2478" s="1">
        <v>7.9651921689999998</v>
      </c>
      <c r="N2478" s="1">
        <v>9.1282022119999997</v>
      </c>
      <c r="O2478" s="1">
        <v>9.0771533649999991</v>
      </c>
      <c r="P2478" s="1">
        <v>8.3454894970000009</v>
      </c>
      <c r="Q2478" s="1">
        <v>8.4437214560000005</v>
      </c>
      <c r="R2478" s="1">
        <v>8.2794534619999993</v>
      </c>
      <c r="S2478" s="1">
        <v>8.284551682</v>
      </c>
      <c r="T2478" s="1">
        <v>7.9189911589999999</v>
      </c>
      <c r="U2478" s="1">
        <v>7.9651921689999998</v>
      </c>
      <c r="V2478" s="1">
        <v>7.6642905150000002</v>
      </c>
      <c r="W2478" s="1">
        <v>7.2314139690000001</v>
      </c>
      <c r="X2478" s="1">
        <v>7.5834352090000001</v>
      </c>
      <c r="Y2478" s="1">
        <v>7.4959140870000001</v>
      </c>
      <c r="Z2478" s="1">
        <v>8.2794534619999993</v>
      </c>
      <c r="AA2478" s="1">
        <v>8.284551682</v>
      </c>
      <c r="AB2478" s="1">
        <v>7.7032630519999996</v>
      </c>
      <c r="AC2478" s="1">
        <v>7.7612167000000003</v>
      </c>
      <c r="AD2478" s="1">
        <v>7.7215220310000001</v>
      </c>
      <c r="AE2478" s="1">
        <v>7.7690441620000001</v>
      </c>
    </row>
    <row r="2479" spans="1:31" x14ac:dyDescent="0.25">
      <c r="A2479" s="1" t="s">
        <v>2450</v>
      </c>
      <c r="B2479" s="1" t="s">
        <v>2579</v>
      </c>
      <c r="C2479" s="1" t="s">
        <v>2933</v>
      </c>
      <c r="D2479" s="1" t="s">
        <v>5855</v>
      </c>
      <c r="E2479" s="1" t="s">
        <v>6108</v>
      </c>
      <c r="F2479" s="1" t="s">
        <v>6109</v>
      </c>
      <c r="G2479" s="1" t="s">
        <v>2450</v>
      </c>
      <c r="H2479" s="1">
        <v>8.7271079700000005</v>
      </c>
      <c r="I2479" s="1">
        <v>7.9768530909999997</v>
      </c>
      <c r="J2479" s="1">
        <v>7.1859344570000001</v>
      </c>
      <c r="K2479" s="1">
        <v>7.6394957330000004</v>
      </c>
      <c r="L2479" s="1">
        <v>7.0128503719999999</v>
      </c>
      <c r="M2479" s="1">
        <v>7.2519165799999996</v>
      </c>
      <c r="N2479" s="1">
        <v>6.7894418200000004</v>
      </c>
      <c r="O2479" s="1">
        <v>7.2192546719999999</v>
      </c>
      <c r="P2479" s="1">
        <v>7.3743722920000003</v>
      </c>
      <c r="Q2479" s="1">
        <v>7.4049921110000003</v>
      </c>
      <c r="R2479" s="1">
        <v>7.050768648</v>
      </c>
      <c r="S2479" s="1">
        <v>7.089979875</v>
      </c>
      <c r="T2479" s="1">
        <v>7.0128503719999999</v>
      </c>
      <c r="U2479" s="1">
        <v>7.2519165799999996</v>
      </c>
      <c r="V2479" s="1">
        <v>7.0424851190000002</v>
      </c>
      <c r="W2479" s="1">
        <v>7.1902438899999996</v>
      </c>
      <c r="X2479" s="1">
        <v>7.888766167</v>
      </c>
      <c r="Y2479" s="1">
        <v>7.2350386169999998</v>
      </c>
      <c r="Z2479" s="1">
        <v>7.050768648</v>
      </c>
      <c r="AA2479" s="1">
        <v>7.089979875</v>
      </c>
      <c r="AB2479" s="1">
        <v>7.7812810140000002</v>
      </c>
      <c r="AC2479" s="1">
        <v>7.3269352899999998</v>
      </c>
      <c r="AD2479" s="1">
        <v>7.6347609089999997</v>
      </c>
      <c r="AE2479" s="1">
        <v>7.4620830199999997</v>
      </c>
    </row>
    <row r="2480" spans="1:31" x14ac:dyDescent="0.25">
      <c r="A2480" s="1" t="s">
        <v>2487</v>
      </c>
      <c r="B2480" s="1" t="s">
        <v>2530</v>
      </c>
      <c r="C2480" s="1" t="s">
        <v>2531</v>
      </c>
      <c r="D2480" s="1" t="s">
        <v>3842</v>
      </c>
      <c r="E2480" s="1" t="s">
        <v>6110</v>
      </c>
      <c r="G2480" s="1" t="s">
        <v>2487</v>
      </c>
      <c r="H2480" s="1">
        <v>9.652046833</v>
      </c>
      <c r="I2480" s="1">
        <v>9.3222524409999998</v>
      </c>
      <c r="J2480" s="1">
        <v>7.6234685510000002</v>
      </c>
      <c r="K2480" s="1">
        <v>8.4181605689999994</v>
      </c>
      <c r="L2480" s="1">
        <v>5.05907325</v>
      </c>
      <c r="M2480" s="1">
        <v>5.2356861500000003</v>
      </c>
      <c r="N2480" s="1">
        <v>8.714926105</v>
      </c>
      <c r="O2480" s="1">
        <v>9.3655848489999993</v>
      </c>
      <c r="P2480" s="1">
        <v>6.8082443379999997</v>
      </c>
      <c r="Q2480" s="1">
        <v>6.4187248529999996</v>
      </c>
      <c r="R2480" s="1">
        <v>6.474614356</v>
      </c>
      <c r="S2480" s="1">
        <v>6.5149715439999998</v>
      </c>
      <c r="T2480" s="1">
        <v>5.05907325</v>
      </c>
      <c r="U2480" s="1">
        <v>5.2356861500000003</v>
      </c>
      <c r="V2480" s="1">
        <v>6.7957404280000002</v>
      </c>
      <c r="W2480" s="1">
        <v>6.8980132320000003</v>
      </c>
      <c r="X2480" s="1">
        <v>6.4095855210000003</v>
      </c>
      <c r="Y2480" s="1">
        <v>7.3195474049999998</v>
      </c>
      <c r="Z2480" s="1">
        <v>6.474614356</v>
      </c>
      <c r="AA2480" s="1">
        <v>6.5149715439999998</v>
      </c>
      <c r="AB2480" s="1">
        <v>7.398314289</v>
      </c>
      <c r="AC2480" s="1">
        <v>6.6409981050000004</v>
      </c>
      <c r="AD2480" s="1">
        <v>7.678793926</v>
      </c>
      <c r="AE2480" s="1">
        <v>7.4146636289999996</v>
      </c>
    </row>
  </sheetData>
  <sortState ref="A2:AE2480">
    <sortCondition ref="G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opLeftCell="A22" workbookViewId="0">
      <selection activeCell="O24" sqref="O24"/>
    </sheetView>
  </sheetViews>
  <sheetFormatPr defaultRowHeight="15" x14ac:dyDescent="0.25"/>
  <cols>
    <col min="1" max="1" width="21.85546875" bestFit="1" customWidth="1"/>
    <col min="2" max="2" width="17.85546875" bestFit="1" customWidth="1"/>
    <col min="3" max="4" width="17.7109375" bestFit="1" customWidth="1"/>
    <col min="5" max="5" width="17.5703125" bestFit="1" customWidth="1"/>
    <col min="7" max="7" width="21.85546875" bestFit="1" customWidth="1"/>
    <col min="8" max="8" width="19.42578125" bestFit="1" customWidth="1"/>
    <col min="9" max="10" width="19.28515625" bestFit="1" customWidth="1"/>
    <col min="11" max="11" width="19.140625" bestFit="1" customWidth="1"/>
  </cols>
  <sheetData>
    <row r="1" spans="1:11" s="1" customFormat="1" x14ac:dyDescent="0.25">
      <c r="A1" s="10" t="s">
        <v>2517</v>
      </c>
      <c r="B1" s="11"/>
      <c r="C1" s="11"/>
      <c r="D1" s="11"/>
      <c r="E1" s="12"/>
      <c r="G1" s="10" t="s">
        <v>2518</v>
      </c>
      <c r="H1" s="11"/>
      <c r="I1" s="11"/>
      <c r="J1" s="11"/>
      <c r="K1" s="12"/>
    </row>
    <row r="2" spans="1:11" x14ac:dyDescent="0.25">
      <c r="A2" s="2" t="s">
        <v>0</v>
      </c>
      <c r="B2" s="3" t="s">
        <v>25</v>
      </c>
      <c r="C2" s="4" t="s">
        <v>26</v>
      </c>
      <c r="D2" s="4" t="s">
        <v>27</v>
      </c>
      <c r="E2" s="5" t="s">
        <v>28</v>
      </c>
      <c r="G2" s="2" t="s">
        <v>41</v>
      </c>
      <c r="H2" s="3" t="s">
        <v>25</v>
      </c>
      <c r="I2" s="4" t="s">
        <v>26</v>
      </c>
      <c r="J2" s="4" t="s">
        <v>27</v>
      </c>
      <c r="K2" s="5" t="s">
        <v>28</v>
      </c>
    </row>
    <row r="3" spans="1:11" x14ac:dyDescent="0.25">
      <c r="A3" s="2" t="s">
        <v>1</v>
      </c>
      <c r="B3" s="3">
        <v>3.8023684370000002</v>
      </c>
      <c r="C3" s="4">
        <v>5.7431528099999998</v>
      </c>
      <c r="D3" s="4">
        <v>8.7632989010000006</v>
      </c>
      <c r="E3" s="5">
        <v>6.6738400520000001</v>
      </c>
      <c r="G3" s="2" t="s">
        <v>29</v>
      </c>
      <c r="H3" s="4">
        <v>3.9062379680000001</v>
      </c>
      <c r="I3" s="4">
        <v>5.4934261939999995</v>
      </c>
      <c r="J3" s="4">
        <v>8.5760902025000014</v>
      </c>
      <c r="K3" s="5">
        <v>6.8806134999999999</v>
      </c>
    </row>
    <row r="4" spans="1:11" x14ac:dyDescent="0.25">
      <c r="A4" s="2" t="s">
        <v>2</v>
      </c>
      <c r="B4" s="3">
        <v>4.0101074990000001</v>
      </c>
      <c r="C4" s="4">
        <v>5.2436995780000002</v>
      </c>
      <c r="D4" s="4">
        <v>8.3888815040000004</v>
      </c>
      <c r="E4" s="5">
        <v>7.0873869479999998</v>
      </c>
      <c r="G4" s="2" t="s">
        <v>30</v>
      </c>
      <c r="H4" s="4">
        <v>3.38021109</v>
      </c>
      <c r="I4" s="4">
        <v>6.1937725439999998</v>
      </c>
      <c r="J4" s="4">
        <v>8.8938882274999997</v>
      </c>
      <c r="K4" s="5">
        <v>7.0057824770000003</v>
      </c>
    </row>
    <row r="5" spans="1:11" x14ac:dyDescent="0.25">
      <c r="A5" s="2" t="s">
        <v>3</v>
      </c>
      <c r="B5" s="3">
        <v>3.329519721</v>
      </c>
      <c r="C5" s="4">
        <v>6.3513642939999997</v>
      </c>
      <c r="D5" s="4">
        <v>8.909423812</v>
      </c>
      <c r="E5" s="5">
        <v>6.7775425279999997</v>
      </c>
      <c r="G5" s="2" t="s">
        <v>31</v>
      </c>
      <c r="H5" s="4">
        <v>3.082747404</v>
      </c>
      <c r="I5" s="4">
        <v>6.8068394345000005</v>
      </c>
      <c r="J5" s="4">
        <v>8.9122359324999998</v>
      </c>
      <c r="K5" s="5">
        <v>7.3226173135000003</v>
      </c>
    </row>
    <row r="6" spans="1:11" x14ac:dyDescent="0.25">
      <c r="A6" s="2" t="s">
        <v>4</v>
      </c>
      <c r="B6" s="3">
        <v>3.4309024589999999</v>
      </c>
      <c r="C6" s="4">
        <v>6.0361807939999998</v>
      </c>
      <c r="D6" s="4">
        <v>8.8783526429999995</v>
      </c>
      <c r="E6" s="5">
        <v>7.2340224260000001</v>
      </c>
      <c r="G6" s="2" t="s">
        <v>32</v>
      </c>
      <c r="H6" s="4">
        <v>3.5605551650000002</v>
      </c>
      <c r="I6" s="4">
        <v>4.1915295270000001</v>
      </c>
      <c r="J6" s="4">
        <v>7.298015564</v>
      </c>
      <c r="K6" s="5">
        <v>7.0259435789999998</v>
      </c>
    </row>
    <row r="7" spans="1:11" x14ac:dyDescent="0.25">
      <c r="A7" s="2" t="s">
        <v>5</v>
      </c>
      <c r="B7" s="3">
        <v>2.9964092330000001</v>
      </c>
      <c r="C7" s="4">
        <v>6.7630564729999998</v>
      </c>
      <c r="D7" s="4">
        <v>8.7995380270000005</v>
      </c>
      <c r="E7" s="5">
        <v>7.4693846209999997</v>
      </c>
      <c r="G7" s="2" t="s">
        <v>33</v>
      </c>
      <c r="H7" s="4">
        <v>2.9022577620000001</v>
      </c>
      <c r="I7" s="4">
        <v>6.0668952155000007</v>
      </c>
      <c r="J7" s="4">
        <v>9.0271476620000008</v>
      </c>
      <c r="K7" s="5">
        <v>7.0294393374999995</v>
      </c>
    </row>
    <row r="8" spans="1:11" x14ac:dyDescent="0.25">
      <c r="A8" s="2" t="s">
        <v>6</v>
      </c>
      <c r="B8" s="3">
        <v>3.169085575</v>
      </c>
      <c r="C8" s="4">
        <v>6.8506223960000003</v>
      </c>
      <c r="D8" s="4">
        <v>9.0249338380000008</v>
      </c>
      <c r="E8" s="5">
        <v>7.1758500060000001</v>
      </c>
      <c r="G8" s="2" t="s">
        <v>34</v>
      </c>
      <c r="H8" s="4">
        <v>3.1401194895</v>
      </c>
      <c r="I8" s="4">
        <v>6.4557007259999999</v>
      </c>
      <c r="J8" s="4">
        <v>9.1454266569999998</v>
      </c>
      <c r="K8" s="5">
        <v>6.917629228</v>
      </c>
    </row>
    <row r="9" spans="1:11" x14ac:dyDescent="0.25">
      <c r="A9" s="2" t="s">
        <v>7</v>
      </c>
      <c r="B9" s="3">
        <v>3.23577855</v>
      </c>
      <c r="C9" s="4">
        <v>3.8490531570000002</v>
      </c>
      <c r="D9" s="4">
        <v>7.1831132760000003</v>
      </c>
      <c r="E9" s="5">
        <v>7.252890893</v>
      </c>
      <c r="G9" s="2" t="s">
        <v>35</v>
      </c>
      <c r="H9" s="4">
        <v>3.082747404</v>
      </c>
      <c r="I9" s="4">
        <v>6.8068394345000005</v>
      </c>
      <c r="J9" s="4">
        <v>8.9122359324999998</v>
      </c>
      <c r="K9" s="5">
        <v>7.3226173135000003</v>
      </c>
    </row>
    <row r="10" spans="1:11" x14ac:dyDescent="0.25">
      <c r="A10" s="2" t="s">
        <v>8</v>
      </c>
      <c r="B10" s="3">
        <v>3.88533178</v>
      </c>
      <c r="C10" s="4">
        <v>4.5340058970000001</v>
      </c>
      <c r="D10" s="4">
        <v>7.4129178519999996</v>
      </c>
      <c r="E10" s="5">
        <v>6.7989962650000004</v>
      </c>
      <c r="G10" s="2" t="s">
        <v>36</v>
      </c>
      <c r="H10" s="4">
        <v>2.7415699535</v>
      </c>
      <c r="I10" s="4">
        <v>6.1820804344999996</v>
      </c>
      <c r="J10" s="4">
        <v>8.8786521160000014</v>
      </c>
      <c r="K10" s="5">
        <v>7.5295828450000002</v>
      </c>
    </row>
    <row r="11" spans="1:11" x14ac:dyDescent="0.25">
      <c r="A11" s="2" t="s">
        <v>9</v>
      </c>
      <c r="B11" s="3">
        <v>2.8687501260000001</v>
      </c>
      <c r="C11" s="4">
        <v>6.0615870090000001</v>
      </c>
      <c r="D11" s="4">
        <v>8.983343734</v>
      </c>
      <c r="E11" s="5">
        <v>7.085000398</v>
      </c>
      <c r="G11" s="2" t="s">
        <v>37</v>
      </c>
      <c r="H11" s="4">
        <v>2.9637833010000003</v>
      </c>
      <c r="I11" s="4">
        <v>6.5682255835000003</v>
      </c>
      <c r="J11" s="4">
        <v>9.3735407669999997</v>
      </c>
      <c r="K11" s="5">
        <v>7.5795319869999993</v>
      </c>
    </row>
    <row r="12" spans="1:11" x14ac:dyDescent="0.25">
      <c r="A12" s="2" t="s">
        <v>10</v>
      </c>
      <c r="B12" s="3">
        <v>2.935765398</v>
      </c>
      <c r="C12" s="4">
        <v>6.0722034220000003</v>
      </c>
      <c r="D12" s="4">
        <v>9.07095159</v>
      </c>
      <c r="E12" s="5">
        <v>6.9738782769999998</v>
      </c>
      <c r="G12" s="2" t="s">
        <v>38</v>
      </c>
      <c r="H12" s="4">
        <v>3.1401194895</v>
      </c>
      <c r="I12" s="4">
        <v>6.4557007259999999</v>
      </c>
      <c r="J12" s="4">
        <v>9.1454266569999998</v>
      </c>
      <c r="K12" s="5">
        <v>6.917629228</v>
      </c>
    </row>
    <row r="13" spans="1:11" x14ac:dyDescent="0.25">
      <c r="A13" s="2" t="s">
        <v>11</v>
      </c>
      <c r="B13" s="3">
        <v>2.9339002829999998</v>
      </c>
      <c r="C13" s="4">
        <v>6.7431387049999998</v>
      </c>
      <c r="D13" s="4">
        <v>9.2352805589999996</v>
      </c>
      <c r="E13" s="5">
        <v>6.9970160760000004</v>
      </c>
      <c r="G13" s="2" t="s">
        <v>39</v>
      </c>
      <c r="H13" s="4">
        <v>3.4685262305000002</v>
      </c>
      <c r="I13" s="4">
        <v>6.8598456134999992</v>
      </c>
      <c r="J13" s="4">
        <v>9.2324175245000006</v>
      </c>
      <c r="K13" s="5">
        <v>7.2839186785000001</v>
      </c>
    </row>
    <row r="14" spans="1:11" ht="15.75" thickBot="1" x14ac:dyDescent="0.3">
      <c r="A14" s="2" t="s">
        <v>12</v>
      </c>
      <c r="B14" s="3">
        <v>3.3463386960000001</v>
      </c>
      <c r="C14" s="4">
        <v>6.168262747</v>
      </c>
      <c r="D14" s="4">
        <v>9.055572755</v>
      </c>
      <c r="E14" s="5">
        <v>6.8382423799999996</v>
      </c>
      <c r="G14" s="6" t="s">
        <v>40</v>
      </c>
      <c r="H14" s="8">
        <v>3.0111982374999999</v>
      </c>
      <c r="I14" s="8">
        <v>6.4837162995000002</v>
      </c>
      <c r="J14" s="8">
        <v>9.2391306909999997</v>
      </c>
      <c r="K14" s="9">
        <v>7.5086065215</v>
      </c>
    </row>
    <row r="15" spans="1:11" ht="15.75" thickBot="1" x14ac:dyDescent="0.3">
      <c r="A15" s="2" t="s">
        <v>13</v>
      </c>
      <c r="B15" s="3">
        <v>2.9964092330000001</v>
      </c>
      <c r="C15" s="4">
        <v>6.7630564729999998</v>
      </c>
      <c r="D15" s="4">
        <v>8.7995380270000005</v>
      </c>
      <c r="E15" s="5">
        <v>7.4693846209999997</v>
      </c>
      <c r="G15" s="4"/>
      <c r="H15" s="4"/>
      <c r="I15" s="4"/>
      <c r="J15" s="4"/>
      <c r="K15" s="4"/>
    </row>
    <row r="16" spans="1:11" x14ac:dyDescent="0.25">
      <c r="A16" s="2" t="s">
        <v>14</v>
      </c>
      <c r="B16" s="3">
        <v>3.169085575</v>
      </c>
      <c r="C16" s="4">
        <v>6.8506223960000003</v>
      </c>
      <c r="D16" s="4">
        <v>9.0249338380000008</v>
      </c>
      <c r="E16" s="5">
        <v>7.1758500060000001</v>
      </c>
      <c r="G16" s="13" t="s">
        <v>2519</v>
      </c>
      <c r="H16" s="14"/>
      <c r="I16" s="14"/>
      <c r="J16" s="14"/>
      <c r="K16" s="15"/>
    </row>
    <row r="17" spans="1:11" x14ac:dyDescent="0.25">
      <c r="A17" s="2" t="s">
        <v>15</v>
      </c>
      <c r="B17" s="3">
        <v>2.8225047829999999</v>
      </c>
      <c r="C17" s="4">
        <v>5.9476095180000002</v>
      </c>
      <c r="D17" s="4">
        <v>8.9068115310000007</v>
      </c>
      <c r="E17" s="5">
        <v>7.3781289599999997</v>
      </c>
      <c r="G17" s="2" t="s">
        <v>41</v>
      </c>
      <c r="H17" s="3" t="s">
        <v>25</v>
      </c>
      <c r="I17" s="4" t="s">
        <v>26</v>
      </c>
      <c r="J17" s="4" t="s">
        <v>27</v>
      </c>
      <c r="K17" s="5" t="s">
        <v>28</v>
      </c>
    </row>
    <row r="18" spans="1:11" x14ac:dyDescent="0.25">
      <c r="A18" s="2" t="s">
        <v>16</v>
      </c>
      <c r="B18" s="3">
        <v>2.6606351240000001</v>
      </c>
      <c r="C18" s="4">
        <v>6.4165513509999998</v>
      </c>
      <c r="D18" s="4">
        <v>8.8504927010000003</v>
      </c>
      <c r="E18" s="5">
        <v>7.6810367299999998</v>
      </c>
      <c r="G18" s="2" t="s">
        <v>29</v>
      </c>
      <c r="H18" s="4">
        <f>H3-3.906237968</f>
        <v>0</v>
      </c>
      <c r="I18" s="4">
        <f>I3-5.493426194</f>
        <v>0</v>
      </c>
      <c r="J18" s="4">
        <f>J3-8.576090203</f>
        <v>-4.999982650133461E-10</v>
      </c>
      <c r="K18" s="5">
        <f>K3-6.8806135</f>
        <v>0</v>
      </c>
    </row>
    <row r="19" spans="1:11" x14ac:dyDescent="0.25">
      <c r="A19" s="2" t="s">
        <v>17</v>
      </c>
      <c r="B19" s="3">
        <v>2.9542167930000001</v>
      </c>
      <c r="C19" s="4">
        <v>7.0595440749999998</v>
      </c>
      <c r="D19" s="4">
        <v>9.5992063089999995</v>
      </c>
      <c r="E19" s="5">
        <v>7.4602402149999998</v>
      </c>
      <c r="G19" s="2" t="s">
        <v>30</v>
      </c>
      <c r="H19" s="4">
        <f t="shared" ref="H19:H20" si="0">H4-3.906237968</f>
        <v>-0.52602687800000014</v>
      </c>
      <c r="I19" s="4">
        <f t="shared" ref="I19:I20" si="1">I4-5.493426194</f>
        <v>0.70034634999999934</v>
      </c>
      <c r="J19" s="4">
        <f t="shared" ref="J19:J20" si="2">J4-8.576090203</f>
        <v>0.31779802450000005</v>
      </c>
      <c r="K19" s="5">
        <f t="shared" ref="K19:K20" si="3">K4-6.8806135</f>
        <v>0.1251689770000004</v>
      </c>
    </row>
    <row r="20" spans="1:11" x14ac:dyDescent="0.25">
      <c r="A20" s="2" t="s">
        <v>18</v>
      </c>
      <c r="B20" s="3">
        <v>2.9733498090000001</v>
      </c>
      <c r="C20" s="4">
        <v>6.0769070919999999</v>
      </c>
      <c r="D20" s="4">
        <v>9.1478752249999999</v>
      </c>
      <c r="E20" s="5">
        <v>7.6988237589999997</v>
      </c>
      <c r="G20" s="2" t="s">
        <v>31</v>
      </c>
      <c r="H20" s="4">
        <f t="shared" si="0"/>
        <v>-0.82349056400000009</v>
      </c>
      <c r="I20" s="4">
        <f t="shared" si="1"/>
        <v>1.3134132405000001</v>
      </c>
      <c r="J20" s="4">
        <f t="shared" si="2"/>
        <v>0.3361457295000001</v>
      </c>
      <c r="K20" s="5">
        <f t="shared" si="3"/>
        <v>0.4420038135000004</v>
      </c>
    </row>
    <row r="21" spans="1:11" x14ac:dyDescent="0.25">
      <c r="A21" s="2" t="s">
        <v>19</v>
      </c>
      <c r="B21" s="3">
        <v>2.9339002829999998</v>
      </c>
      <c r="C21" s="4">
        <v>6.7431387049999998</v>
      </c>
      <c r="D21" s="4">
        <v>9.2352805589999996</v>
      </c>
      <c r="E21" s="5">
        <v>6.9970160760000004</v>
      </c>
      <c r="G21" s="2" t="s">
        <v>32</v>
      </c>
      <c r="H21" s="4">
        <f>H6-3.560555165</f>
        <v>0</v>
      </c>
      <c r="I21" s="4">
        <f>I6-4.191529527</f>
        <v>0</v>
      </c>
      <c r="J21" s="4">
        <f>J6-7.298015564</f>
        <v>0</v>
      </c>
      <c r="K21" s="5">
        <f>K6-7.025943579</f>
        <v>0</v>
      </c>
    </row>
    <row r="22" spans="1:11" x14ac:dyDescent="0.25">
      <c r="A22" s="2" t="s">
        <v>20</v>
      </c>
      <c r="B22" s="3">
        <v>3.3463386960000001</v>
      </c>
      <c r="C22" s="4">
        <v>6.168262747</v>
      </c>
      <c r="D22" s="4">
        <v>9.055572755</v>
      </c>
      <c r="E22" s="5">
        <v>6.8382423799999996</v>
      </c>
      <c r="G22" s="2" t="s">
        <v>33</v>
      </c>
      <c r="H22" s="4">
        <f t="shared" ref="H22:H23" si="4">H7-3.560555165</f>
        <v>-0.65829740299999973</v>
      </c>
      <c r="I22" s="4">
        <f t="shared" ref="I22:I23" si="5">I7-4.191529527</f>
        <v>1.8753656885000005</v>
      </c>
      <c r="J22" s="4">
        <f t="shared" ref="J22:J23" si="6">J7-7.298015564</f>
        <v>1.7291320980000009</v>
      </c>
      <c r="K22" s="5">
        <f t="shared" ref="K22:K23" si="7">K7-7.025943579</f>
        <v>3.4957584999997238E-3</v>
      </c>
    </row>
    <row r="23" spans="1:11" x14ac:dyDescent="0.25">
      <c r="A23" s="2" t="s">
        <v>21</v>
      </c>
      <c r="B23" s="3">
        <v>3.6315729079999999</v>
      </c>
      <c r="C23" s="4">
        <v>6.8339958249999997</v>
      </c>
      <c r="D23" s="4">
        <v>9.2058108749999992</v>
      </c>
      <c r="E23" s="5">
        <v>7.2804224470000003</v>
      </c>
      <c r="G23" s="2" t="s">
        <v>34</v>
      </c>
      <c r="H23" s="4">
        <f t="shared" si="4"/>
        <v>-0.42043567549999983</v>
      </c>
      <c r="I23" s="4">
        <f t="shared" si="5"/>
        <v>2.2641711989999997</v>
      </c>
      <c r="J23" s="4">
        <f t="shared" si="6"/>
        <v>1.8474110929999998</v>
      </c>
      <c r="K23" s="5">
        <f t="shared" si="7"/>
        <v>-0.10831435099999975</v>
      </c>
    </row>
    <row r="24" spans="1:11" x14ac:dyDescent="0.25">
      <c r="A24" s="2" t="s">
        <v>22</v>
      </c>
      <c r="B24" s="3">
        <v>3.3054795530000001</v>
      </c>
      <c r="C24" s="4">
        <v>6.8856954019999996</v>
      </c>
      <c r="D24" s="4">
        <v>9.2590241740000003</v>
      </c>
      <c r="E24" s="5">
        <v>7.2874149099999999</v>
      </c>
      <c r="G24" s="2" t="s">
        <v>35</v>
      </c>
      <c r="H24" s="4">
        <f>H9-3.082747404</f>
        <v>0</v>
      </c>
      <c r="I24" s="4">
        <f>I9-6.806839435</f>
        <v>-4.999991531917658E-10</v>
      </c>
      <c r="J24" s="4">
        <f>J9-8.912235933</f>
        <v>-5.000000413701855E-10</v>
      </c>
      <c r="K24" s="5">
        <f>K9-7.322617314</f>
        <v>-5.000000413701855E-10</v>
      </c>
    </row>
    <row r="25" spans="1:11" x14ac:dyDescent="0.25">
      <c r="A25" s="2" t="s">
        <v>23</v>
      </c>
      <c r="B25" s="3">
        <v>2.6025990879999998</v>
      </c>
      <c r="C25" s="4">
        <v>6.53552176</v>
      </c>
      <c r="D25" s="4">
        <v>9.2616550899999996</v>
      </c>
      <c r="E25" s="5">
        <v>7.3705131210000001</v>
      </c>
      <c r="G25" s="2" t="s">
        <v>36</v>
      </c>
      <c r="H25" s="4">
        <f t="shared" ref="H25:H26" si="8">H10-3.082747404</f>
        <v>-0.34117745050000003</v>
      </c>
      <c r="I25" s="4">
        <f t="shared" ref="I25:I26" si="9">I10-6.806839435</f>
        <v>-0.62475900050000011</v>
      </c>
      <c r="J25" s="4">
        <f t="shared" ref="J25:J26" si="10">J10-8.912235933</f>
        <v>-3.3583816999998461E-2</v>
      </c>
      <c r="K25" s="5">
        <f t="shared" ref="K25:K26" si="11">K10-7.322617314</f>
        <v>0.20696553099999981</v>
      </c>
    </row>
    <row r="26" spans="1:11" ht="15.75" thickBot="1" x14ac:dyDescent="0.3">
      <c r="A26" s="6" t="s">
        <v>24</v>
      </c>
      <c r="B26" s="7">
        <v>3.419797387</v>
      </c>
      <c r="C26" s="8">
        <v>6.4319108390000004</v>
      </c>
      <c r="D26" s="8">
        <v>9.2166062919999998</v>
      </c>
      <c r="E26" s="9">
        <v>7.6466999219999998</v>
      </c>
      <c r="G26" s="2" t="s">
        <v>37</v>
      </c>
      <c r="H26" s="4">
        <f t="shared" si="8"/>
        <v>-0.11896410299999971</v>
      </c>
      <c r="I26" s="4">
        <f t="shared" si="9"/>
        <v>-0.23861385149999936</v>
      </c>
      <c r="J26" s="4">
        <f t="shared" si="10"/>
        <v>0.46130483399999989</v>
      </c>
      <c r="K26" s="5">
        <f t="shared" si="11"/>
        <v>0.25691467299999893</v>
      </c>
    </row>
    <row r="27" spans="1:11" x14ac:dyDescent="0.25">
      <c r="G27" s="2" t="s">
        <v>38</v>
      </c>
      <c r="H27" s="4">
        <f>H12-3.14011949</f>
        <v>-5.000000413701855E-10</v>
      </c>
      <c r="I27" s="4">
        <f>I12-6.455700726</f>
        <v>0</v>
      </c>
      <c r="J27" s="4">
        <f>J12-9.145426657</f>
        <v>0</v>
      </c>
      <c r="K27" s="5">
        <f>K12-6.917629228</f>
        <v>0</v>
      </c>
    </row>
    <row r="28" spans="1:11" x14ac:dyDescent="0.25">
      <c r="G28" s="2" t="s">
        <v>39</v>
      </c>
      <c r="H28" s="4">
        <f t="shared" ref="H28:H29" si="12">H13-3.14011949</f>
        <v>0.32840674050000018</v>
      </c>
      <c r="I28" s="4">
        <f t="shared" ref="I28:I29" si="13">I13-6.455700726</f>
        <v>0.40414488749999933</v>
      </c>
      <c r="J28" s="4">
        <f t="shared" ref="J28:J29" si="14">J13-9.145426657</f>
        <v>8.6990867500000846E-2</v>
      </c>
      <c r="K28" s="5">
        <f t="shared" ref="K28:K29" si="15">K13-6.917629228</f>
        <v>0.36628945050000006</v>
      </c>
    </row>
    <row r="29" spans="1:11" ht="15.75" thickBot="1" x14ac:dyDescent="0.3">
      <c r="G29" s="6" t="s">
        <v>40</v>
      </c>
      <c r="H29" s="8">
        <f t="shared" si="12"/>
        <v>-0.12892125250000008</v>
      </c>
      <c r="I29" s="8">
        <f t="shared" si="13"/>
        <v>2.8015573500000279E-2</v>
      </c>
      <c r="J29" s="8">
        <f t="shared" si="14"/>
        <v>9.3704033999999936E-2</v>
      </c>
      <c r="K29" s="9">
        <f t="shared" si="15"/>
        <v>0.59097729349999994</v>
      </c>
    </row>
  </sheetData>
  <mergeCells count="3">
    <mergeCell ref="A1:E1"/>
    <mergeCell ref="G1:K1"/>
    <mergeCell ref="G16:K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Exp_Data_BP1_AX_CC</vt:lpstr>
      <vt:lpstr>Fig4_Genes</vt:lpstr>
    </vt:vector>
  </TitlesOfParts>
  <Company>PNNL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McClure</dc:creator>
  <cp:lastModifiedBy>Ryan McClure</cp:lastModifiedBy>
  <cp:lastPrinted>2016-05-16T15:49:18Z</cp:lastPrinted>
  <dcterms:created xsi:type="dcterms:W3CDTF">2016-05-10T22:50:15Z</dcterms:created>
  <dcterms:modified xsi:type="dcterms:W3CDTF">2016-05-19T22:56:30Z</dcterms:modified>
</cp:coreProperties>
</file>